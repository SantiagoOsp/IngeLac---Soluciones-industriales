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_rels/sheet12.xml.rels" ContentType="application/vnd.openxmlformats-package.relationships+xml"/>
  <Override PartName="/xl/worksheets/_rels/sheet9.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ortada" sheetId="1" state="visible" r:id="rId3"/>
    <sheet name="Resumen" sheetId="2" state="visible" r:id="rId4"/>
    <sheet name="Quesería" sheetId="3" state="visible" r:id="rId5"/>
    <sheet name="Entorno" sheetId="4" state="visible" r:id="rId6"/>
    <sheet name="Beneficios y costos" sheetId="5" state="visible" r:id="rId7"/>
    <sheet name="Cotizaciones" sheetId="6" state="visible" r:id="rId8"/>
    <sheet name="BOM" sheetId="7" state="visible" r:id="rId9"/>
    <sheet name="Escenarios" sheetId="8" state="visible" r:id="rId10"/>
    <sheet name="Riesgo" sheetId="9" state="visible" r:id="rId11"/>
    <sheet name="Herramientas" sheetId="10" state="visible" r:id="rId12"/>
    <sheet name="Empresa" sheetId="11" state="visible" r:id="rId13"/>
    <sheet name="IntegraMotion" sheetId="12" state="visible" r:id="rId14"/>
    <sheet name="APU" sheetId="13" state="visible" r:id="rId15"/>
    <sheet name="Chequeos" sheetId="14" state="visible" r:id="rId16"/>
  </sheets>
  <definedNames>
    <definedName function="false" hidden="false" localSheetId="1" name="_xlnm.Print_Area" vbProcedure="false">Resumen!$A$1:$L$130</definedName>
    <definedName function="false" hidden="false" localSheetId="1" name="_xlnm.Print_Titles" vbProcedure="false">Resumen!$1:$2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<sst xmlns="http://schemas.openxmlformats.org/spreadsheetml/2006/main" count="4861" uniqueCount="2347">
  <si>
    <t xml:space="preserve">Modelo financiero de la quesería</t>
  </si>
  <si>
    <t xml:space="preserve">Lácteos Fúquene · Oferta de IntegraMotion S.A.S.</t>
  </si>
  <si>
    <t xml:space="preserve">Documento</t>
  </si>
  <si>
    <t xml:space="preserve">Elaboró</t>
  </si>
  <si>
    <t xml:space="preserve">IntegraMotion S.A.S. · Producción y evaluación económica</t>
  </si>
  <si>
    <t xml:space="preserve">Curso</t>
  </si>
  <si>
    <t xml:space="preserve">Automatización de Procesos de Manufactura · 2026-2S · Universidad Nacional de Colombia</t>
  </si>
  <si>
    <t xml:space="preserve">Unidades</t>
  </si>
  <si>
    <t xml:space="preserve">Millones de pesos constantes de 2026, salvo donde se indique</t>
  </si>
  <si>
    <t xml:space="preserve">Estado de los chequeos</t>
  </si>
  <si>
    <t xml:space="preserve">Chequeos en OK</t>
  </si>
  <si>
    <t xml:space="preserve">Resultados de la oferta</t>
  </si>
  <si>
    <t xml:space="preserve">Costo de capital del proyecto</t>
  </si>
  <si>
    <t xml:space="preserve">Crédito de fomento más garantía, después de impuestos, y capital propio al 25 %.</t>
  </si>
  <si>
    <t xml:space="preserve">TIR del proyecto en pesos corrientes</t>
  </si>
  <si>
    <t xml:space="preserve">Se compara con el costo de capital.</t>
  </si>
  <si>
    <t xml:space="preserve">TIR del proyecto en pesos constantes</t>
  </si>
  <si>
    <t xml:space="preserve">Se compara con la tasa real equivalente.</t>
  </si>
  <si>
    <t xml:space="preserve">Tasa real equivalente</t>
  </si>
  <si>
    <t xml:space="preserve">Costo de capital sin la inflación promedio de 2027 a 2037 (hoja Entorno).</t>
  </si>
  <si>
    <t xml:space="preserve">VPN a 10 años al costo de capital ($ M de 2026)</t>
  </si>
  <si>
    <t xml:space="preserve">Valor que crea el proyecto después de pagar el capital.</t>
  </si>
  <si>
    <t xml:space="preserve">Recuperación simple (años)</t>
  </si>
  <si>
    <t xml:space="preserve">Años hasta recuperar la inversión con los flujos sin descontar.</t>
  </si>
  <si>
    <t xml:space="preserve">Recuperación descontada (años)</t>
  </si>
  <si>
    <t xml:space="preserve">Lo mismo, con los flujos descontados al costo de capital.</t>
  </si>
  <si>
    <t xml:space="preserve">TIR del inversionista en pesos corrientes</t>
  </si>
  <si>
    <t xml:space="preserve">Se compara con el 25 % que exige el socio.</t>
  </si>
  <si>
    <t xml:space="preserve">Cobertura mínima del servicio de la deuda</t>
  </si>
  <si>
    <t xml:space="preserve">Del proyecto solo, con el prepago de 10 % del saldo en 2029; la empresa completa en la hoja Empresa.</t>
  </si>
  <si>
    <t xml:space="preserve">VPN si no se obtiene el crédito fiscal por innovación ($ M)</t>
  </si>
  <si>
    <t xml:space="preserve">La oferta incluye la gestión del crédito. Sin la certificación el proyecto todavía crea valor, aunque poco, y el dueño gana menos del 25 % que pide: la gestión es parte de la oferta, no un extra.</t>
  </si>
  <si>
    <t xml:space="preserve">VPN si la primera compuerta no se supera ($ M)</t>
  </si>
  <si>
    <t xml:space="preserve">Se paga el contrato principal completo y las herramientas de la etapa 0, sin comprar equipos. Es la pérdida que se acepta con los ahorros conservadores de la etapa 0; sensibilidad en la hoja Herramientas.</t>
  </si>
  <si>
    <t xml:space="preserve">Deuda total / EBITDA más alta de la empresa</t>
  </si>
  <si>
    <t xml:space="preserve">Con el crédito del proyecto.</t>
  </si>
  <si>
    <t xml:space="preserve">Inversión total ($ M de 2026)</t>
  </si>
  <si>
    <t xml:space="preserve">Con imprevistos, sin IVA.</t>
  </si>
  <si>
    <t xml:space="preserve">Beneficio anual pleno ($ M de 2026)</t>
  </si>
  <si>
    <t xml:space="preserve">A salarios de 2026; los ahorros de mano de obra crecen con el salario mínimo real.</t>
  </si>
  <si>
    <t xml:space="preserve">Contenido</t>
  </si>
  <si>
    <t xml:space="preserve">Resumen</t>
  </si>
  <si>
    <t xml:space="preserve">Los cuadros que se presentan: costo total, costo de ingeniería, cronograma, BOM, beneficios, flujo, indicadores y escenarios.</t>
  </si>
  <si>
    <t xml:space="preserve">Quesería</t>
  </si>
  <si>
    <t xml:space="preserve">Supuestos, inversión, beneficios, flujo de caja, crédito y resultados de la oferta.</t>
  </si>
  <si>
    <t xml:space="preserve">Entorno</t>
  </si>
  <si>
    <t xml:space="preserve">Inflación y salario mínimo de 2027 a 2037 y lectura política y económica, con fuentes.</t>
  </si>
  <si>
    <t xml:space="preserve">Beneficios y costos</t>
  </si>
  <si>
    <t xml:space="preserve">Balance de masa de los quesos, cálculo de cada beneficio, cómo se mide cada uno (matriz de trazabilidad) y costos operativos nuevos (energía, vapor y calibración).</t>
  </si>
  <si>
    <t xml:space="preserve">Cotizaciones</t>
  </si>
  <si>
    <t xml:space="preserve">Precios de referencia de los equipos y tasas de cambio.</t>
  </si>
  <si>
    <t xml:space="preserve">BOM</t>
  </si>
  <si>
    <t xml:space="preserve">Lista de materiales del diseño técnico, valorada ítem por ítem y enlazada a la inversión.</t>
  </si>
  <si>
    <t xml:space="preserve">Escenarios</t>
  </si>
  <si>
    <t xml:space="preserve">La evaluación completa con los supuestos que más mueven el resultado.</t>
  </si>
  <si>
    <t xml:space="preserve">Riesgo</t>
  </si>
  <si>
    <t xml:space="preserve">Punto de equilibrio, gráfico de tornado, escenarios clave y plan de respuesta a los riesgos (señal, estrategia, responsable y recursos).</t>
  </si>
  <si>
    <t xml:space="preserve">Herramientas</t>
  </si>
  <si>
    <t xml:space="preserve">Herramientas económicas una sobre otra, beneficios tributarios y qué pasa si no se aprueban, valor de cada etapa y protecciones en los contratos.</t>
  </si>
  <si>
    <t xml:space="preserve">Empresa</t>
  </si>
  <si>
    <t xml:space="preserve">Efecto en el estado de resultados y el endeudamiento de Lácteos Fúquene.</t>
  </si>
  <si>
    <t xml:space="preserve">IntegraMotion</t>
  </si>
  <si>
    <t xml:space="preserve">Horas y precio del contrato principal y los dos otrosíes por paquete de la EDT, control del contrato principal por valor ganado (curva S), gastos de funcionamiento, entregables y plan de negocio.</t>
  </si>
  <si>
    <t xml:space="preserve">APU</t>
  </si>
  <si>
    <t xml:space="preserve">Análisis de precios unitarios de la ingeniería.</t>
  </si>
  <si>
    <t xml:space="preserve">Chequeos</t>
  </si>
  <si>
    <t xml:space="preserve">Diferencias que deben dar cero.</t>
  </si>
  <si>
    <t xml:space="preserve">Cómo se lee</t>
  </si>
  <si>
    <t xml:space="preserve">Texto azul</t>
  </si>
  <si>
    <t xml:space="preserve">Dato de entrada: se puede cambiar.</t>
  </si>
  <si>
    <t xml:space="preserve">Texto negro</t>
  </si>
  <si>
    <t xml:space="preserve">Fórmula: no se escribe encima.</t>
  </si>
  <si>
    <t xml:space="preserve">Fondo amarillo</t>
  </si>
  <si>
    <t xml:space="preserve">Cifra clave o supuesto que más mueve el resultado.</t>
  </si>
  <si>
    <t xml:space="preserve">Resumen del proyecto: automatización de la quesería de Lácteos Fúquene</t>
  </si>
  <si>
    <t xml:space="preserve">Oferta de IntegraMotion S.A.S. Millones de pesos constantes de 2026, sin IVA, salvo donde se indique. Todas las cifras salen de las demás hojas del modelo.</t>
  </si>
  <si>
    <t xml:space="preserve">Las tres cifras que hay que saber</t>
  </si>
  <si>
    <t xml:space="preserve">Costo total del proyecto</t>
  </si>
  <si>
    <t xml:space="preserve">Costo de ingeniería</t>
  </si>
  <si>
    <t xml:space="preserve">Cronograma</t>
  </si>
  <si>
    <t xml:space="preserve">16 semanas</t>
  </si>
  <si>
    <t xml:space="preserve">Inversión del año 0 (semestre 2026-2 y 2027) y de 2028, con imprevistos: equipos del BOM, ingeniería, ERP, formación y aval.</t>
  </si>
  <si>
    <t xml:space="preserve">Lo que Lácteos Fúquene le paga a IntegraMotion: contrato principal y dos otrosíes.</t>
  </si>
  <si>
    <t xml:space="preserve">Contrato principal en el semestre 2026-2; otrosí 1 en marzo y abril de 2027 y otrosí 2 en 2028, si se superan las compuertas.</t>
  </si>
  <si>
    <t xml:space="preserve">Presupuesto del proyecto (costo para Lácteos Fúquene)</t>
  </si>
  <si>
    <t xml:space="preserve">Rubro ($ M constantes de 2026)</t>
  </si>
  <si>
    <t xml:space="preserve">Año 0: 2026-2 y 2027 (etapas 0 y 1)</t>
  </si>
  <si>
    <t xml:space="preserve">2028 (etapa 2)</t>
  </si>
  <si>
    <t xml:space="preserve">Total</t>
  </si>
  <si>
    <t xml:space="preserve">Equipos, instrumentos, control y herramientas (del BOM)</t>
  </si>
  <si>
    <t xml:space="preserve">Ingeniería de IntegraMotion</t>
  </si>
  <si>
    <t xml:space="preserve">Parametrización del ERP por su proveedor, formación con el SENA y aval del proyecto de innovación</t>
  </si>
  <si>
    <t xml:space="preserve">Imprevistos según la madurez de cada precio</t>
  </si>
  <si>
    <t xml:space="preserve">Comprobación: total − inversión de la hoja Quesería</t>
  </si>
  <si>
    <t xml:space="preserve">Costo de ingeniería por contrato</t>
  </si>
  <si>
    <t xml:space="preserve">Contrato ($ M de 2026, sin reajuste)</t>
  </si>
  <si>
    <t xml:space="preserve">Plazo</t>
  </si>
  <si>
    <t xml:space="preserve">Horas</t>
  </si>
  <si>
    <t xml:space="preserve">Costo para IntegraMotion</t>
  </si>
  <si>
    <t xml:space="preserve">Costo de ingeniería del proyecto</t>
  </si>
  <si>
    <t xml:space="preserve">Con IVA</t>
  </si>
  <si>
    <t xml:space="preserve">Contrato principal: los 19 paquetes de la EDT</t>
  </si>
  <si>
    <t xml:space="preserve">Otrosí 1: implementación de la etapa 1</t>
  </si>
  <si>
    <t xml:space="preserve">2 meses</t>
  </si>
  <si>
    <t xml:space="preserve">Otrosí 2: detalle e implementación de la etapa 2</t>
  </si>
  <si>
    <t xml:space="preserve">Reajuste real de los otrosíes: se liquidan con el salario mínimo del año en que se ejecutan, que sube más que la inflación</t>
  </si>
  <si>
    <t xml:space="preserve">Ingeniería en el presupuesto del proyecto, en pesos constantes de 2026</t>
  </si>
  <si>
    <t xml:space="preserve">Para IntegraMotion, el costo es lo que gasta (honorarios, conocimiento certificado, viajes e instrumentos) y el precio es lo que cobra: costo más administración, imprevistos y utilidad (AIU). Ese precio es el costo de ingeniería del proyecto para Lácteos Fúquene y entra a la inversión.</t>
  </si>
  <si>
    <t xml:space="preserve">Equipos del BOM por rubro</t>
  </si>
  <si>
    <t xml:space="preserve">Rubro</t>
  </si>
  <si>
    <t xml:space="preserve">Etapa</t>
  </si>
  <si>
    <t xml:space="preserve">Ítems</t>
  </si>
  <si>
    <t xml:space="preserve">Valor del BOM</t>
  </si>
  <si>
    <t xml:space="preserve">Parte de la quesería</t>
  </si>
  <si>
    <t xml:space="preserve">A la inversión</t>
  </si>
  <si>
    <t xml:space="preserve">Total que entra a la inversión, sin imprevistos</t>
  </si>
  <si>
    <t xml:space="preserve">Celda de paletizado (se diseña en el contrato principal; su compra es una etapa 3 fuera de la evaluación)</t>
  </si>
  <si>
    <t xml:space="preserve">Beneficios anuales en régimen</t>
  </si>
  <si>
    <t xml:space="preserve">Medida</t>
  </si>
  <si>
    <t xml:space="preserve">Beneficio</t>
  </si>
  <si>
    <t xml:space="preserve">Respaldo (1 a 5)</t>
  </si>
  <si>
    <t xml:space="preserve">Beneficio anual pleno</t>
  </si>
  <si>
    <t xml:space="preserve">Costos operativos nuevos al año (energía, vapor, mantenimiento, suscripciones y póliza)</t>
  </si>
  <si>
    <t xml:space="preserve">Respaldo: 1 contratado, 2 medido, 3 técnicamente justificado, 4 por medir en la etapa 0, 5 hipotético.</t>
  </si>
  <si>
    <t xml:space="preserve">Los doce hallazgos del diagnóstico y dónde se cobra cada uno</t>
  </si>
  <si>
    <t xml:space="preserve">Hallazgo</t>
  </si>
  <si>
    <t xml:space="preserve">Valor para la planta</t>
  </si>
  <si>
    <t xml:space="preserve">A la quesería</t>
  </si>
  <si>
    <t xml:space="preserve">Los hallazgos de yogur y UHT (H2 a H4) no entran en esta oferta: su pérdida de hoy, a precio de venta, es la base de la ampliación a esas líneas con la misma plataforma.</t>
  </si>
  <si>
    <t xml:space="preserve">Flujo de caja (año 0 = semestre 2026-2 y 2027; años 1 a 10 = 2028 a 2037)</t>
  </si>
  <si>
    <t xml:space="preserve">$ M</t>
  </si>
  <si>
    <t xml:space="preserve">2026-27</t>
  </si>
  <si>
    <t xml:space="preserve">2028</t>
  </si>
  <si>
    <t xml:space="preserve">2029</t>
  </si>
  <si>
    <t xml:space="preserve">2030</t>
  </si>
  <si>
    <t xml:space="preserve">2031</t>
  </si>
  <si>
    <t xml:space="preserve">2032</t>
  </si>
  <si>
    <t xml:space="preserve">2033</t>
  </si>
  <si>
    <t xml:space="preserve">2034</t>
  </si>
  <si>
    <t xml:space="preserve">2035</t>
  </si>
  <si>
    <t xml:space="preserve">2036</t>
  </si>
  <si>
    <t xml:space="preserve">2037</t>
  </si>
  <si>
    <t xml:space="preserve">Beneficios</t>
  </si>
  <si>
    <t xml:space="preserve">− Costos operativos nuevos y transición del personal</t>
  </si>
  <si>
    <t xml:space="preserve">− Impuesto de renta (positivo: descuentos que recibe la empresa)</t>
  </si>
  <si>
    <t xml:space="preserve">− Inversión, reposiciones e IVA</t>
  </si>
  <si>
    <t xml:space="preserve">± Capital de trabajo y valor final de los equipos</t>
  </si>
  <si>
    <t xml:space="preserve">Flujo de caja libre del proyecto</t>
  </si>
  <si>
    <t xml:space="preserve">Flujo del inversionista (con el crédito)</t>
  </si>
  <si>
    <t xml:space="preserve">Cobertura del servicio de la deuda (veces)</t>
  </si>
  <si>
    <t xml:space="preserve">Comprobación: suma de las líneas − flujo de caja libre</t>
  </si>
  <si>
    <t xml:space="preserve">Indicadores de la oferta</t>
  </si>
  <si>
    <t xml:space="preserve">Indicador</t>
  </si>
  <si>
    <t xml:space="preserve">Oferta</t>
  </si>
  <si>
    <t xml:space="preserve">Se compara con</t>
  </si>
  <si>
    <t xml:space="preserve">VPN a 10 años al costo de capital</t>
  </si>
  <si>
    <t xml:space="preserve">mayor que 0</t>
  </si>
  <si>
    <t xml:space="preserve">TIR del inversionista con el crédito</t>
  </si>
  <si>
    <t xml:space="preserve">Recuperación (años)</t>
  </si>
  <si>
    <t xml:space="preserve">10 años de vida</t>
  </si>
  <si>
    <t xml:space="preserve">ROI a 10 años</t>
  </si>
  <si>
    <t xml:space="preserve">Aporte del dueño en el año 0 y en 2028</t>
  </si>
  <si>
    <t xml:space="preserve">Escenarios clave</t>
  </si>
  <si>
    <t xml:space="preserve">Escenario</t>
  </si>
  <si>
    <t xml:space="preserve">VPN</t>
  </si>
  <si>
    <t xml:space="preserve">TIR del proyecto</t>
  </si>
  <si>
    <t xml:space="preserve">TIR del inversionista</t>
  </si>
  <si>
    <t xml:space="preserve">Cobertura</t>
  </si>
  <si>
    <t xml:space="preserve">Sin crédito fiscal por innovación</t>
  </si>
  <si>
    <t xml:space="preserve">Sin reubicación del personal</t>
  </si>
  <si>
    <t xml:space="preserve">Beneficios −20 %</t>
  </si>
  <si>
    <t xml:space="preserve">Inversión +20 %</t>
  </si>
  <si>
    <t xml:space="preserve">Solo etapas 0 y 1</t>
  </si>
  <si>
    <t xml:space="preserve">Conservador</t>
  </si>
  <si>
    <t xml:space="preserve">Conservador con compuerta</t>
  </si>
  <si>
    <t xml:space="preserve">Punto de equilibrio y tornado en la hoja Riesgo; compuertas, pérdida si se sale en la primera compuerta y prepago si no se hace la etapa 2, en la hoja Herramientas.</t>
  </si>
  <si>
    <t xml:space="preserve">Financiación</t>
  </si>
  <si>
    <t xml:space="preserve">Parte financiada con crédito de fomento (Bancóldex, a través del banco de la empresa)</t>
  </si>
  <si>
    <t xml:space="preserve">Tasa efectiva anual</t>
  </si>
  <si>
    <t xml:space="preserve">Plazo, con un año de gracia a capital (años)</t>
  </si>
  <si>
    <t xml:space="preserve">Prepago en 2029 con el crédito fiscal y el IVA recuperado (% del saldo; en reserva)</t>
  </si>
  <si>
    <t xml:space="preserve">Garantía</t>
  </si>
  <si>
    <t xml:space="preserve">Prenda sobre los equipos (Ley 1676 de 2013)</t>
  </si>
  <si>
    <t xml:space="preserve">Crédito fiscal por innovación (art. 256-1 ET), 2028 + 2029</t>
  </si>
  <si>
    <t xml:space="preserve">Modelo financiero de la quesería — Lácteos Fúquene</t>
  </si>
  <si>
    <t xml:space="preserve">Oferta de IntegraMotion S.A.S. Millones de pesos constantes de 2026. Texto azul: datos de entrada; negro: fórmulas; fondo amarillo: cifras clave.</t>
  </si>
  <si>
    <t xml:space="preserve">Supuestos</t>
  </si>
  <si>
    <t xml:space="preserve">Supuesto</t>
  </si>
  <si>
    <t xml:space="preserve">Valor</t>
  </si>
  <si>
    <t xml:space="preserve">Unidad</t>
  </si>
  <si>
    <t xml:space="preserve">Fuente o criterio</t>
  </si>
  <si>
    <t xml:space="preserve">Tasas e inflación</t>
  </si>
  <si>
    <t xml:space="preserve">Ruta de inflación (1 base, 2 consenso de los analistas, 3 persistente)</t>
  </si>
  <si>
    <t xml:space="preserve">ruta</t>
  </si>
  <si>
    <t xml:space="preserve">Hoja Entorno: inflación de cada año de 2027 a 2037.</t>
  </si>
  <si>
    <t xml:space="preserve">Costo de capital de la empresa con su deuda actual</t>
  </si>
  <si>
    <t xml:space="preserve">%</t>
  </si>
  <si>
    <t xml:space="preserve">70 % deuda al 18 % (intereses / deuda de 2026: 252 / 1.400) y 30 % capital propio al 25 %. Es la referencia de la primera entrega.</t>
  </si>
  <si>
    <t xml:space="preserve">Costo de capital del proyecto en pesos corrientes</t>
  </si>
  <si>
    <t xml:space="preserve">Con la deuda que de verdad financia el proyecto: crédito de fomento más la comisión de la garantía, después de impuestos (70 %), y capital propio al 25 % (30 %). Con él se descuentan los flujos.</t>
  </si>
  <si>
    <t xml:space="preserve">El costo de capital sin la inflación promedio de la ruta; con ella se compara la TIR en pesos constantes.</t>
  </si>
  <si>
    <t xml:space="preserve">Rentabilidad que exige el inversionista en pesos corrientes</t>
  </si>
  <si>
    <t xml:space="preserve">Lo que espera ganar el socio por arriesgar su capital.</t>
  </si>
  <si>
    <t xml:space="preserve">Rentabilidad exigida real equivalente</t>
  </si>
  <si>
    <t xml:space="preserve">Misma conversión de la tasa de descuento.</t>
  </si>
  <si>
    <t xml:space="preserve">Operación de la planta y reparto</t>
  </si>
  <si>
    <t xml:space="preserve">Leche de la quesería</t>
  </si>
  <si>
    <t xml:space="preserve">L/día</t>
  </si>
  <si>
    <t xml:space="preserve">Reparto de la leche de la planta.</t>
  </si>
  <si>
    <t xml:space="preserve">Leche de la planta</t>
  </si>
  <si>
    <t xml:space="preserve">Caso de estudio.</t>
  </si>
  <si>
    <t xml:space="preserve">Parte de la quesería en la leche</t>
  </si>
  <si>
    <t xml:space="preserve">Reparte la grasa en línea, el mantenimiento y la etapa 0.</t>
  </si>
  <si>
    <t xml:space="preserve">Ventas de la quesería</t>
  </si>
  <si>
    <t xml:space="preserve">$ M/año</t>
  </si>
  <si>
    <t xml:space="preserve">Caso de estudio (294 días de operación).</t>
  </si>
  <si>
    <t xml:space="preserve">Ventas de la planta</t>
  </si>
  <si>
    <t xml:space="preserve">Parte de la quesería en las ventas</t>
  </si>
  <si>
    <t xml:space="preserve">Reparte la reducción de merma.</t>
  </si>
  <si>
    <t xml:space="preserve">Beneficio del primer año de cada etapa</t>
  </si>
  <si>
    <t xml:space="preserve">% del pleno</t>
  </si>
  <si>
    <t xml:space="preserve">Arranque, ajuste de recetas y formación.</t>
  </si>
  <si>
    <t xml:space="preserve">Meses de operación de la etapa 1 en 2027</t>
  </si>
  <si>
    <t xml:space="preserve">meses</t>
  </si>
  <si>
    <t xml:space="preserve">El contrato principal son las 16 semanas del semestre 2026-2 y cierra con la primera compuerta en diciembre de 2026. Los equipos se compran en enero y el otrosí 1 (montaje y puesta en marcha) va en marzo y abril: la etapa 1 opera desde mayo de 2027. Se cuentan 8 meses con el beneficio de arranque; la compuerta de diciembre de 2027 usa esos datos medidos.</t>
  </si>
  <si>
    <t xml:space="preserve">Costo anual de un operario</t>
  </si>
  <si>
    <t xml:space="preserve">Salario, prestaciones y aportes.</t>
  </si>
  <si>
    <t xml:space="preserve">Meses de traslape mientras se forman los operarios de la hiladora</t>
  </si>
  <si>
    <t xml:space="preserve">Los 2 operarios que se reubican siguen en el hilado hasta que la hiladora opera sola, mientras se forman para su nuevo puesto; la producción no cae en ese tiempo.</t>
  </si>
  <si>
    <t xml:space="preserve">Costo de reemplazar a un operario con alguien de afuera</t>
  </si>
  <si>
    <t xml:space="preserve">% del costo anual</t>
  </si>
  <si>
    <t xml:space="preserve">Reclutamiento, vacante y curva de aprendizaje: 30 a 50 % del salario anual (Semana, febrero de 2026). Se evita al cubrir el puesto con personal de la planta.</t>
  </si>
  <si>
    <t xml:space="preserve">Inversión, imprevistos y reposición</t>
  </si>
  <si>
    <t xml:space="preserve">Imprevistos: precio cerrado (contratos y SENA)</t>
  </si>
  <si>
    <t xml:space="preserve">% del rubro</t>
  </si>
  <si>
    <t xml:space="preserve">Clasificación de estimados AACE 18R-97: la contingencia baja a medida que el precio madura. Solo cubre cambios de alcance.</t>
  </si>
  <si>
    <t xml:space="preserve">Imprevistos: precio publicado de catálogo</t>
  </si>
  <si>
    <t xml:space="preserve">Falta la cotización formal y el flete real.</t>
  </si>
  <si>
    <t xml:space="preserve">Imprevistos: estimado con referencias de mercado</t>
  </si>
  <si>
    <t xml:space="preserve">Equipos con precios de referencia de máquinas parecidas (hoja Cotizaciones).</t>
  </si>
  <si>
    <t xml:space="preserve">Imprevistos: estimado sin cotización</t>
  </si>
  <si>
    <t xml:space="preserve">Estimado de orden de magnitud (clase 4 a 5 de AACE).</t>
  </si>
  <si>
    <t xml:space="preserve">Vida fiscal de maquinaria y equipo</t>
  </si>
  <si>
    <t xml:space="preserve">años</t>
  </si>
  <si>
    <t xml:space="preserve">Línea recta, 10 % anual (art. 137 ET). La de cada rubro está en la tabla de inversión.</t>
  </si>
  <si>
    <t xml:space="preserve">Mantenimiento de equipos nuevos</t>
  </si>
  <si>
    <t xml:space="preserve">% equipos/año</t>
  </si>
  <si>
    <t xml:space="preserve">Práctica de la industria para equipos de proceso.</t>
  </si>
  <si>
    <t xml:space="preserve">Suscripciones de software del SCADA de la quesería</t>
  </si>
  <si>
    <t xml:space="preserve">Licencias de SCADA, historiador y analítica dimensionadas para una línea (12,0) y renovación de la protección del firewall (unos US$1.435 al año, 36 % a la quesería: 1,6).</t>
  </si>
  <si>
    <t xml:space="preserve">Póliza todo riesgo de los equipos nuevos</t>
  </si>
  <si>
    <t xml:space="preserve">El banco la pide endosada a su favor. Supuesto; se cotiza.</t>
  </si>
  <si>
    <t xml:space="preserve">Reposición del hardware del SCADA en el año 5</t>
  </si>
  <si>
    <t xml:space="preserve">% del rubro SCADA</t>
  </si>
  <si>
    <t xml:space="preserve">Servidor, red y estaciones (vida fiscal de 5 años); las licencias siguen en las suscripciones.</t>
  </si>
  <si>
    <t xml:space="preserve">Reposición parcial de instrumentación en el año 6</t>
  </si>
  <si>
    <t xml:space="preserve">% de los equipos de la etapa 1</t>
  </si>
  <si>
    <t xml:space="preserve">Sensores, celdas de carga y sondas en ambiente húmedo y con lavados.</t>
  </si>
  <si>
    <t xml:space="preserve">Valor de los equipos al año 10</t>
  </si>
  <si>
    <t xml:space="preserve">% de su costo</t>
  </si>
  <si>
    <t xml:space="preserve">Se vende o se toma como parte de pago; se grava completo.</t>
  </si>
  <si>
    <t xml:space="preserve">Capital de trabajo</t>
  </si>
  <si>
    <t xml:space="preserve">Días de cartera sobre las ventas adicionales</t>
  </si>
  <si>
    <t xml:space="preserve">días</t>
  </si>
  <si>
    <t xml:space="preserve">Política comercial de la planta. El capital de trabajo suma cartera e inventario al costo y resta las cuentas por pagar; se recupera al final del horizonte.</t>
  </si>
  <si>
    <t xml:space="preserve">Días de inventario del queso adicional</t>
  </si>
  <si>
    <t xml:space="preserve">Queso fresco: se despacha en la semana. Se valora al costo, no al precio.</t>
  </si>
  <si>
    <t xml:space="preserve">Costo de ventas sobre ventas</t>
  </si>
  <si>
    <t xml:space="preserve">Estado de resultados del caso: leche, insumos, nómina, energía y mantenimiento sobre las ventas.</t>
  </si>
  <si>
    <t xml:space="preserve">Costo variable sobre ventas (lo que se evita al no perder producto)</t>
  </si>
  <si>
    <t xml:space="preserve">Estado de resultados del caso: leche (47,8 %), insumos y empaques (17,0 %) y energía, agua, gas y químicos (4,0 %). La nómina y el mantenimiento no cambian si se pierde menos producto.</t>
  </si>
  <si>
    <t xml:space="preserve">Días de cuentas por pagar sobre los costos operativos nuevos</t>
  </si>
  <si>
    <t xml:space="preserve">Balance del caso: cuentas por pagar de 1.206 sobre compras de leche e insumos.</t>
  </si>
  <si>
    <t xml:space="preserve">Parte de la inversión financiada con crédito</t>
  </si>
  <si>
    <t xml:space="preserve">Líneas Bancóldex Impulso a la Productividad y Transformación Digital, a través del banco de la empresa. Con 65 % la cobertura del servicio de la deuda no baja de 1,2.</t>
  </si>
  <si>
    <t xml:space="preserve">Tasa del crédito de fomento (efectiva anual, pesos corrientes)</t>
  </si>
  <si>
    <t xml:space="preserve">Superfinanciera, datos abiertos: créditos con recursos de redescuento a medianas empresas, 3 a 5 años, mayo a julio de 2026. El crédito se pacta en pesos corrientes; cada pago se pasa a pesos constantes con el factor del flujo.</t>
  </si>
  <si>
    <t xml:space="preserve">Plazo del crédito, incluida la gracia</t>
  </si>
  <si>
    <t xml:space="preserve">Bancóldex Impulso a la Productividad: hasta 7 años con 12 meses de gracia.</t>
  </si>
  <si>
    <t xml:space="preserve">Gracia a capital</t>
  </si>
  <si>
    <t xml:space="preserve">Se pagan solo intereses.</t>
  </si>
  <si>
    <t xml:space="preserve">Prepago del crédito en el año 2, % del saldo</t>
  </si>
  <si>
    <t xml:space="preserve">Respuesta preparada al riesgo de cobertura (hoja Riesgo): si la proyección de 2029 muestra menos de 1,2 para 2030, cuando se pagan completas las cuotas de los dos tramos, la empresa prepaga parte del saldo con el IVA recuperado y la segunda mitad del crédito fiscal, que llegan ese año. En la oferta la cobertura ya pasa de 1,2, así que queda en reserva; con 10 % la cobertura subiría a cerca de 1,44. Los créditos comerciales admiten prepago; se pacta sin penalidad.</t>
  </si>
  <si>
    <t xml:space="preserve">Garantía del crédito (0 = prenda sobre los equipos; 1 = FNG)</t>
  </si>
  <si>
    <t xml:space="preserve">0 / 1</t>
  </si>
  <si>
    <t xml:space="preserve">IntegraMotion negocia la prenda con el banco.</t>
  </si>
  <si>
    <t xml:space="preserve">Avalúo y registro de la garantía mobiliaria (prenda)</t>
  </si>
  <si>
    <t xml:space="preserve">Ley 1676 de 2013: avalúo de los equipos e inscripción en el registro de garantías mobiliarias de Confecámaras. Supuesto; se cotiza.</t>
  </si>
  <si>
    <t xml:space="preserve">Comisión de la garantía del Fondo Nacional de Garantías</t>
  </si>
  <si>
    <t xml:space="preserve">% anual del saldo</t>
  </si>
  <si>
    <t xml:space="preserve">Garantía Preferente del FNG, 1,99 % anual (La República), con IVA, sobre el saldo. La oferta la reemplaza por prenda sobre los equipos; se usa en el escenario Garantía del FNG.</t>
  </si>
  <si>
    <t xml:space="preserve">Gravamen a los movimientos financieros (cuatro por mil)</t>
  </si>
  <si>
    <t xml:space="preserve">% de cada pago</t>
  </si>
  <si>
    <t xml:space="preserve">Se aplica a los pagos del proyecto y del crédito; la mitad es deducible de renta (art. 115 ET).</t>
  </si>
  <si>
    <t xml:space="preserve">Impuestos y beneficios tributarios</t>
  </si>
  <si>
    <t xml:space="preserve">Impuesto de renta</t>
  </si>
  <si>
    <t xml:space="preserve">Tarifa general de personas jurídicas.</t>
  </si>
  <si>
    <t xml:space="preserve">IVA de equipos y contratos de integración</t>
  </si>
  <si>
    <t xml:space="preserve">Se paga al comprar y se recupera como descuento en la declaración de renta del año, que se presenta al año siguiente (art. 258-1 ET: activos fijos productivos y servicios para ponerlos en uso). El IVA del diagnóstico y del aval se descuenta en la declaración de IVA. Los valores de la inversión van sin IVA.</t>
  </si>
  <si>
    <t xml:space="preserve">Descuento tributario por inversión ambiental (art. 255 ET)</t>
  </si>
  <si>
    <t xml:space="preserve">% inversión</t>
  </si>
  <si>
    <t xml:space="preserve">Sobre el enfriador y el tanque del suero, que evitan verterlo; solo si se ejerce la opción del suero. Requiere certificado de la CAR; IntegraMotion lo tramita.</t>
  </si>
  <si>
    <t xml:space="preserve">Tope del descuento del art. 255 sobre el impuesto de la empresa</t>
  </si>
  <si>
    <t xml:space="preserve">% del impuesto</t>
  </si>
  <si>
    <t xml:space="preserve">Art. 258 ET.</t>
  </si>
  <si>
    <t xml:space="preserve">Impuesto de renta a cargo de la empresa</t>
  </si>
  <si>
    <t xml:space="preserve">Estado de resultados del caso (2026).</t>
  </si>
  <si>
    <t xml:space="preserve">Crédito fiscal por innovación en la oferta (1 = se incluye; 0 = no)</t>
  </si>
  <si>
    <t xml:space="preserve">Gestión que IntegraMotion se compromete a hacer: postular el proyecto ante Minciencias. Queda condicionado a la certificación del CNBT; el escenario Sin crédito fiscal muestra el resultado sin él.</t>
  </si>
  <si>
    <t xml:space="preserve">Crédito fiscal por inversión en innovación (art. 256-1 ET)</t>
  </si>
  <si>
    <t xml:space="preserve">Para micro, pequeñas y medianas empresas: Lácteos Fúquene es mediana. IntegraMotion postula el proyecto ante Minciencias con el aval de un actor reconocido; el CNBT certifica la inversión y el crédito se compensa con impuestos nacionales en los dos años siguientes. La inversión se sigue depreciando (DIAN, concepto 012495 de 2026).</t>
  </si>
  <si>
    <t xml:space="preserve">Caso conservador: cuánto se cuenta de cada beneficio según su respaldo</t>
  </si>
  <si>
    <t xml:space="preserve">Caso conservador: beneficio contratado</t>
  </si>
  <si>
    <t xml:space="preserve">% del beneficio</t>
  </si>
  <si>
    <t xml:space="preserve">Respaldo 1: beneficio con contrato firmado.</t>
  </si>
  <si>
    <t xml:space="preserve">Caso conservador: beneficio medido en la planta</t>
  </si>
  <si>
    <t xml:space="preserve">Respaldo 2. Medido en la etapa 0 con el protocolo de medida y verificación.</t>
  </si>
  <si>
    <t xml:space="preserve">Caso conservador: beneficio técnicamente justificado</t>
  </si>
  <si>
    <t xml:space="preserve">Respaldo 3. Balance de masa, VSM, literatura o datos de la planta.</t>
  </si>
  <si>
    <t xml:space="preserve">Caso conservador: beneficio por medir en la etapa 0</t>
  </si>
  <si>
    <t xml:space="preserve">Respaldo 4. Supuesto razonable que todavía no tiene medición.</t>
  </si>
  <si>
    <t xml:space="preserve">Caso conservador: beneficio hipotético</t>
  </si>
  <si>
    <t xml:space="preserve">Respaldo 5.</t>
  </si>
  <si>
    <t xml:space="preserve">Inversión</t>
  </si>
  <si>
    <t xml:space="preserve">Componente</t>
  </si>
  <si>
    <t xml:space="preserve">Año</t>
  </si>
  <si>
    <t xml:space="preserve">Planta</t>
  </si>
  <si>
    <t xml:space="preserve">Reparto</t>
  </si>
  <si>
    <t xml:space="preserve">¿Equipo?</t>
  </si>
  <si>
    <t xml:space="preserve">Madurez del precio (1 a 4)</t>
  </si>
  <si>
    <t xml:space="preserve">% imprevistos</t>
  </si>
  <si>
    <t xml:space="preserve">Vida fiscal (años; 0 = gasto)</t>
  </si>
  <si>
    <t xml:space="preserve">Innovación (1 = sí)</t>
  </si>
  <si>
    <t xml:space="preserve">Diagnóstico de la planta, plan de mantenimiento y orden de la operación</t>
  </si>
  <si>
    <t xml:space="preserve">Automatización de 2 tinas: liras con variador, sensor de coagulación, dosificación</t>
  </si>
  <si>
    <t xml:space="preserve">Tina del doble crema: medición y mando básicos (caudal, nivel, temperatura, válvula y bomba)</t>
  </si>
  <si>
    <t xml:space="preserve">Controladora de peso y detector de metales en la salida del empaque</t>
  </si>
  <si>
    <t xml:space="preserve">Medidor de grasa en línea en la estandarización</t>
  </si>
  <si>
    <t xml:space="preserve">SCADA, historiador y MES ligero de la quesería (red, servidor, licencias e instrumentación)</t>
  </si>
  <si>
    <t xml:space="preserve">Contrato principal con IntegraMotion (semestre 2026-2): ingeniería de la etapa 1 (diseño, programación y validación virtual)</t>
  </si>
  <si>
    <t xml:space="preserve">Contrato principal con IntegraMotion (semestre 2026-2): etapa 0 (diagnóstico, línea base y gestión)</t>
  </si>
  <si>
    <t xml:space="preserve">Contrato principal con IntegraMotion (semestre 2026-2): ingeniería básica de la etapa 2 y diseño de la celda de paletizado</t>
  </si>
  <si>
    <t xml:space="preserve">Otrosí 1 con IntegraMotion: implementación de la etapa 1 (montaje supervisado, puesta en marcha, capacitación y soporte)</t>
  </si>
  <si>
    <t xml:space="preserve">Parametrización de SAP Business One para la quesería, por el proveedor del ERP</t>
  </si>
  <si>
    <t xml:space="preserve">Formación de los operarios con el SENA</t>
  </si>
  <si>
    <t xml:space="preserve">Aval y seguimiento del proyecto de innovación por un actor reconocido por Minciencias</t>
  </si>
  <si>
    <t xml:space="preserve">Imprevistos de las etapas 0 y 1</t>
  </si>
  <si>
    <t xml:space="preserve">Hiladora-moldeadora continua para doble crema y mozzarella</t>
  </si>
  <si>
    <t xml:space="preserve">CIP automático del circuito de quesos</t>
  </si>
  <si>
    <t xml:space="preserve">Enfriador de placas y tanque pulmón del suero (opción, fuera de la oferta)</t>
  </si>
  <si>
    <t xml:space="preserve">Instrumentación y control de la etapa 2: E/S del PLC, ampliación del tablero, salmuera y suero</t>
  </si>
  <si>
    <t xml:space="preserve">Otrosí 2 con IntegraMotion: ingeniería de detalle e implementación de la etapa 2</t>
  </si>
  <si>
    <t xml:space="preserve">Imprevistos de la etapa 2</t>
  </si>
  <si>
    <t xml:space="preserve">Todo se dimensiona para la quesería. Equipos: hoja BOM, que valora cada ítem del diseño técnico (instrumentos, actuadores, control, SCADA y equipos de proceso) y lo suma por rubro. CIP y formación: un tercio del costo estimado para toda la planta. Diagnóstico, grasa en línea y la plataforma del SCADA (licencias, servidor y red) son comunes a la planta: se carga la parte de la leche de quesos. Contratos con IntegraMotion: hoja IntegraMotion, sin IVA. El contrato principal se ejecuta en el semestre 2026-2, en pesos de 2026, y se lleva al año 0, el arranque de la evaluación; los otrosíes se reajustan con el salario mínimo real del año en que se ejecutan (hoja Entorno). La tina del doble crema lleva solo medición y mando básicos porque no usa sensor de coagulación.</t>
  </si>
  <si>
    <t xml:space="preserve">Madurez del precio: 1 precio cerrado, 2 precio publicado, 3 estimado con referencias, 4 estimado sin cotización. Los imprevistos de cada etapa suman cada rubro por su porcentaje (supuestos de arriba). Vida fiscal: art. 137 ET (maquinaria 10 años; equipo de cómputo y redes 5 años); el diagnóstico, la formación y el aval son gastos deducibles del año. Los imprevistos se deducen y llevan IVA según el rubro al que pertenecen. Innovación: rubros del proyecto que se postula ante Minciencias (control del corte por coagulación, SCADA y MES, la ingeniería que los desarrolla y el aval); la compra de equipos estándar no califica.</t>
  </si>
  <si>
    <t xml:space="preserve">Inversión del año 0 (etapas 0 y 1)</t>
  </si>
  <si>
    <t xml:space="preserve">Inversión del año 1 (etapa 2)</t>
  </si>
  <si>
    <t xml:space="preserve">Equipos del año 0</t>
  </si>
  <si>
    <t xml:space="preserve">Equipos del año 1</t>
  </si>
  <si>
    <t xml:space="preserve">Imprevistos sobre la inversión sin imprevistos</t>
  </si>
  <si>
    <t xml:space="preserve">Inversión total</t>
  </si>
  <si>
    <t xml:space="preserve">Inversión del proyecto de innovación (base del crédito fiscal)</t>
  </si>
  <si>
    <t xml:space="preserve">Reposición del año 5 (hardware del SCADA)</t>
  </si>
  <si>
    <t xml:space="preserve">Reposición del año 6 (instrumentación)</t>
  </si>
  <si>
    <t xml:space="preserve">Δ ventas planta</t>
  </si>
  <si>
    <t xml:space="preserve">Δ ventas quesería</t>
  </si>
  <si>
    <t xml:space="preserve">Factor conservador</t>
  </si>
  <si>
    <t xml:space="preserve">Quesería, caso conservador</t>
  </si>
  <si>
    <t xml:space="preserve">Horas extra del hilado evitadas con el orden del hilado (0,5 h/día)</t>
  </si>
  <si>
    <t xml:space="preserve">Mayor rendimiento del campesino y la mozzarella (sensor de coagulación)</t>
  </si>
  <si>
    <t xml:space="preserve">Estandarización de grasa en línea</t>
  </si>
  <si>
    <t xml:space="preserve">Menor merma (de 2,0 a 1,5 % de las ventas)</t>
  </si>
  <si>
    <t xml:space="preserve">Mantenimiento preventivo (ahorro neto de 20 % del gasto)</t>
  </si>
  <si>
    <t xml:space="preserve">Menor sobrepeso de los tres quesos (de 1,0 a 0,5 %)</t>
  </si>
  <si>
    <t xml:space="preserve">Programación con el estado real de la planta: MES con estado de máquinas, paros y OEE enlazado al ERP (hallazgo H9)</t>
  </si>
  <si>
    <t xml:space="preserve">Balance de sólidos y humedad por lote en el MES (hallazgo H11)</t>
  </si>
  <si>
    <t xml:space="preserve">Hiladora-moldeadora: más doble crema y mozzarella</t>
  </si>
  <si>
    <t xml:space="preserve">Horas extra restantes que elimina la hiladora (0,5 h/día)</t>
  </si>
  <si>
    <t xml:space="preserve">Limpieza CIP automática del circuito de quesos</t>
  </si>
  <si>
    <t xml:space="preserve">Contrato de venta del suero enfriado (opción, fuera de la oferta: solo con contrato a $49/kg o más)</t>
  </si>
  <si>
    <t xml:space="preserve">Mezcla óptima de los tres quesos con el costo real por lote (hallazgo H12)</t>
  </si>
  <si>
    <t xml:space="preserve">Contrato de marca propia con una cadena: segundo lote diario de doble crema</t>
  </si>
  <si>
    <t xml:space="preserve">Reubicación por competencias (H10): control nocturno de la incubación del yogur por un operario del hilado (H2)</t>
  </si>
  <si>
    <t xml:space="preserve">Reubicación por competencias (H10): el otro operario cubre el mantenimiento autónomo del plan preventivo</t>
  </si>
  <si>
    <t xml:space="preserve">Respaldo: 1 contratado, 2 medido en la planta, 3 técnicamente justificado, 4 por medir en la etapa 0, 5 hipotético. El caso conservador toma cada beneficio por su factor. Reubicación: nadie sale y no se reduce la nómina. En la etapa 0 encontramos que faltaban dos puestos (H10) y, con la matriz de competencias y el método húngaro, asignamos a los 2 operarios que libera la hiladora: uno al turno de noche del yogur (H2) y otro al mantenimiento autónomo. La asignación está hecha; lo que se estima es cuánto baja la pérdida del yogur, por eso va como técnicamente justificado. El costo de selección evitado se cuenta aparte, una sola vez.</t>
  </si>
  <si>
    <t xml:space="preserve">Cada beneficio se calcula en la hoja Beneficios y costos, a partir del balance de masa y de los precios. Nadie sale de la empresa: los 2 operarios del hilado se reubican por competencias donde generan más valor.</t>
  </si>
  <si>
    <t xml:space="preserve">Beneficio de las etapas 0 y 1</t>
  </si>
  <si>
    <t xml:space="preserve">Beneficio de la etapa 2</t>
  </si>
  <si>
    <t xml:space="preserve">Ventas adicionales de las etapas 0 y 1</t>
  </si>
  <si>
    <t xml:space="preserve">Ventas adicionales de la etapa 2</t>
  </si>
  <si>
    <t xml:space="preserve">Beneficio de las etapas 0 y 1, caso conservador</t>
  </si>
  <si>
    <t xml:space="preserve">Beneficio de la etapa 2, caso conservador</t>
  </si>
  <si>
    <t xml:space="preserve">Costos operativos nuevos en régimen (mantenimiento, póliza, suscripciones, energía, vapor y calibración)</t>
  </si>
  <si>
    <t xml:space="preserve">Flujo de caja de la oferta (años 0 a 10 = 2027 a 2037; $ M constantes de 2026)</t>
  </si>
  <si>
    <t xml:space="preserve">Año 0</t>
  </si>
  <si>
    <t xml:space="preserve">Año 1</t>
  </si>
  <si>
    <t xml:space="preserve">Año 2</t>
  </si>
  <si>
    <t xml:space="preserve">Año 3</t>
  </si>
  <si>
    <t xml:space="preserve">Año 4</t>
  </si>
  <si>
    <t xml:space="preserve">Año 5</t>
  </si>
  <si>
    <t xml:space="preserve">Año 6</t>
  </si>
  <si>
    <t xml:space="preserve">Año 7</t>
  </si>
  <si>
    <t xml:space="preserve">Año 8</t>
  </si>
  <si>
    <t xml:space="preserve">Año 9</t>
  </si>
  <si>
    <t xml:space="preserve">Año 10</t>
  </si>
  <si>
    <t xml:space="preserve">Año (número)</t>
  </si>
  <si>
    <t xml:space="preserve">Inflación del año</t>
  </si>
  <si>
    <t xml:space="preserve">Índice de precios (2026 = 1)</t>
  </si>
  <si>
    <t xml:space="preserve">Salario mínimo real (2026 = 1)</t>
  </si>
  <si>
    <t xml:space="preserve">Factor de pesos constantes</t>
  </si>
  <si>
    <t xml:space="preserve">Reposición de equipos</t>
  </si>
  <si>
    <t xml:space="preserve">IVA de equipos y contratos</t>
  </si>
  <si>
    <t xml:space="preserve">Beneficio total</t>
  </si>
  <si>
    <t xml:space="preserve">Costos operativos nuevos</t>
  </si>
  <si>
    <t xml:space="preserve">Costo de la transición del personal</t>
  </si>
  <si>
    <t xml:space="preserve">GMF de los pagos del proyecto</t>
  </si>
  <si>
    <t xml:space="preserve">Depreciación y gastos deducibles de la inversión</t>
  </si>
  <si>
    <t xml:space="preserve">Descuento tributario (art. 255)</t>
  </si>
  <si>
    <t xml:space="preserve">Crédito fiscal por innovación (art. 256-1)</t>
  </si>
  <si>
    <t xml:space="preserve">IVA recuperado como descuento de renta (art. 258-1)</t>
  </si>
  <si>
    <t xml:space="preserve">Ventas adicionales</t>
  </si>
  <si>
    <t xml:space="preserve">Inversión en capital de trabajo</t>
  </si>
  <si>
    <t xml:space="preserve">Valor de los equipos al año 10, después de impuestos</t>
  </si>
  <si>
    <t xml:space="preserve">Flujo de caja libre en pesos corrientes</t>
  </si>
  <si>
    <t xml:space="preserve">Flujo acumulado</t>
  </si>
  <si>
    <t xml:space="preserve">Recuperación (auxiliar)</t>
  </si>
  <si>
    <t xml:space="preserve">Factor de descuento del proyecto</t>
  </si>
  <si>
    <t xml:space="preserve">Flujo descontado</t>
  </si>
  <si>
    <t xml:space="preserve">Flujo descontado acumulado</t>
  </si>
  <si>
    <t xml:space="preserve">Recuperación descontada (auxiliar)</t>
  </si>
  <si>
    <t xml:space="preserve">Saldo del crédito al cierre del año, pesos corrientes</t>
  </si>
  <si>
    <t xml:space="preserve">Desembolso del crédito</t>
  </si>
  <si>
    <t xml:space="preserve">Intereses</t>
  </si>
  <si>
    <t xml:space="preserve">Abono a capital</t>
  </si>
  <si>
    <t xml:space="preserve">Garantía del crédito</t>
  </si>
  <si>
    <t xml:space="preserve">GMF del servicio de la deuda</t>
  </si>
  <si>
    <t xml:space="preserve">Ahorro de impuesto por los gastos financieros</t>
  </si>
  <si>
    <t xml:space="preserve">Flujo del inversionista</t>
  </si>
  <si>
    <t xml:space="preserve">Flujo del inversionista en pesos corrientes</t>
  </si>
  <si>
    <t xml:space="preserve">Factor de descuento del inversionista</t>
  </si>
  <si>
    <t xml:space="preserve">Flujo de la operación disponible para la deuda</t>
  </si>
  <si>
    <t xml:space="preserve">El crédito cubre el 65 % de cada desembolso y se pacta en pesos corrientes: durante la gracia se pagan solo intereses y después abonos iguales. Los pagos del crédito, la depreciación fiscal, la cartera y el IVA recuperado se pasan a pesos constantes con el índice de precios de la ruta. Los ahorros de mano de obra crecen con el salario mínimo real. La cobertura compara el flujo de la operación con intereses, abonos y comisión.</t>
  </si>
  <si>
    <t xml:space="preserve">TIR del proyecto en pesos corrientes (se compara con el costo de capital)</t>
  </si>
  <si>
    <t xml:space="preserve">Tasa real equivalente (costo de capital sin la inflación promedio)</t>
  </si>
  <si>
    <t xml:space="preserve">Recuperación (años desde el año 0)</t>
  </si>
  <si>
    <t xml:space="preserve">Recuperación descontada (años desde el año 0)</t>
  </si>
  <si>
    <t xml:space="preserve">ROI a 10 años (flujo libre acumulado / inversión; no es anual ni descontado)</t>
  </si>
  <si>
    <t xml:space="preserve">TIR del inversionista con el crédito, en pesos corrientes (se compara con el 25 %)</t>
  </si>
  <si>
    <t xml:space="preserve">TIR del inversionista en pesos constantes</t>
  </si>
  <si>
    <t xml:space="preserve">VPN del inversionista al 25 % ($ M de 2026)</t>
  </si>
  <si>
    <t xml:space="preserve">Cobertura mínima del servicio de la deuda (años 2 a 8; los bancos piden 1,2 o más)</t>
  </si>
  <si>
    <t xml:space="preserve">Aporte propio neto en los años 0 y 1 ($ M)</t>
  </si>
  <si>
    <t xml:space="preserve">Inversión total ($ M)</t>
  </si>
  <si>
    <t xml:space="preserve">Beneficio anual pleno, a salarios de 2026 ($ M)</t>
  </si>
  <si>
    <t xml:space="preserve">Costos operativos nuevos en régimen ($ M/año)</t>
  </si>
  <si>
    <t xml:space="preserve">Cómo leerlo</t>
  </si>
  <si>
    <t xml:space="preserve">• Los flujos están en pesos constantes de 2026; el VPN los descuenta al costo de capital del proyecto con la inflación de cada año (hoja Entorno). La TIR en pesos corrientes se compara con ese costo de capital.</t>
  </si>
  <si>
    <t xml:space="preserve">• Calendario: la etapa 0 y la etapa 1 se hacen en 2027 (año 0) y la etapa 1 rinde desde mitad de ese año; la etapa 2 se compra en 2028 si pasa la compuerta y rinde desde 2029.</t>
  </si>
  <si>
    <t xml:space="preserve">• La TIR del proyecto no depende de cómo se pague; la del inversionista mide lo que gana el dinero propio con el 65 % en crédito.</t>
  </si>
  <si>
    <t xml:space="preserve">• Lo compartido con yogur y UHT se reparte según la leche, las ventas o un circuito de tres. El SCADA y el MES son solo de la quesería.</t>
  </si>
  <si>
    <t xml:space="preserve">• Escenarios y Riesgo prueban los supuestos que más pesan; Herramientas muestra de dónde sale el valor y las compuertas; Empresa, el efecto en Lácteos Fúquene.</t>
  </si>
  <si>
    <t xml:space="preserve">Entorno económico y político del proyecto</t>
  </si>
  <si>
    <t xml:space="preserve">La quesería se ejecuta en 2027 y 2028 y opera hasta 2037. Precios en pesos de 2026; esta hoja dice cuánto cambian año por año la inflación y el salario mínimo.</t>
  </si>
  <si>
    <t xml:space="preserve">Inflación y salario mínimo, año por año</t>
  </si>
  <si>
    <t xml:space="preserve">Promedio</t>
  </si>
  <si>
    <t xml:space="preserve">Año calendario</t>
  </si>
  <si>
    <t xml:space="preserve">Ruta 1 · base: inflación de cada año</t>
  </si>
  <si>
    <t xml:space="preserve">Ruta 2 · consenso de los analistas</t>
  </si>
  <si>
    <t xml:space="preserve">Ruta 3 · inflación persistente</t>
  </si>
  <si>
    <t xml:space="preserve">Promedio geométrico de 2027 a 2037. La ruta que usa el modelo se elige en los supuestos de la hoja Quesería.</t>
  </si>
  <si>
    <t xml:space="preserve">Incremento del salario mínimo para 2027</t>
  </si>
  <si>
    <t xml:space="preserve">Davivienda: inflación de 2026 (6,91 %) − productividad (0,32 %) + «sorpresa política» (1,91 %). Gremios: 8 % a 9,5 %; Credicorp: 9 % a 10 %.</t>
  </si>
  <si>
    <t xml:space="preserve">Aumento real del salario mínimo desde 2028</t>
  </si>
  <si>
    <t xml:space="preserve">El Gobierno plantea volver a ajustarlo por inflación y productividad; la productividad del trabajo ha estado cerca de cero.</t>
  </si>
  <si>
    <t xml:space="preserve">Salario mínimo real de 2027 con la ruta base (2026 = 1)</t>
  </si>
  <si>
    <t xml:space="preserve">Cuánto sube por encima de la inflación.</t>
  </si>
  <si>
    <t xml:space="preserve">Salario mínimo real de 2028 con la ruta base (2026 = 1)</t>
  </si>
  <si>
    <t xml:space="preserve">Reajusta los contratos de IntegraMotion: la etapa 2 se ejecuta en 2028.</t>
  </si>
  <si>
    <t xml:space="preserve">Salario mínimo de 2027 en pesos</t>
  </si>
  <si>
    <t xml:space="preserve">Decreto de 2026: $1.750.905.</t>
  </si>
  <si>
    <t xml:space="preserve">Afecta lo que depende del salario: horas extra y reubicación de operarios (beneficios), traslape del personal y honorarios de IntegraMotion.</t>
  </si>
  <si>
    <t xml:space="preserve">Cómo se armaron las rutas</t>
  </si>
  <si>
    <t xml:space="preserve">• Encuesta de analistas del Banco de la República (septiembre de 2026): 6,8 % al cierre de 2026, 5,1 % al cierre de 2027, 4,0 % en agosto de 2028 y 3,4 % a cinco años. Los analistas han subido su pronóstico casi todos los meses de 2026.</t>
  </si>
  <si>
    <t xml:space="preserve">• Inflación de septiembre de 2026: 6,29 % anual (DANE), la más alta desde julio de 2024. Tasa del Banco de la República: 12,25 % desde el 1 de octubre, con una subida de 25 puntos básicos y la junta dividida.</t>
  </si>
  <si>
    <t xml:space="preserve">• Rutas en promedio de cada año. Consenso: de 6,8 % en diciembre de 2026 a 5,1 % en diciembre de 2027 da 5,9 % para 2027; luego 4,5 %, 3,7 % y 3,4 %. Ruta base: por encima del consenso cada año, con más margen desde 2028, y 4 % desde 2030, el techo del rango de la meta (2 % a 4 %). Ruta persistente: la inflación se queda cerca del dato de septiembre todo el horizonte.</t>
  </si>
  <si>
    <t xml:space="preserve">Lectura política y económica (octubre de 2026)</t>
  </si>
  <si>
    <t xml:space="preserve">• Salario mínimo: en 2026 subió 23,7 %, muy por encima de la inflación. El Gobierno de Abelardo de la Espriella y su ministro de Hacienda piden volver a un ajuste técnico (inflación más productividad); los analistas esperan 8 % a 10 % para 2027 por una prima política. La decisión se toma a más tardar el 30 de diciembre.</t>
  </si>
  <si>
    <t xml:space="preserve">• Presupuesto General de 2027: el Congreso lo aprobó el 20 de octubre por $634,9 billones, pero quedó en vilo por un presunto vicio de trámite en el artículo 65 (Senado y Cámara habrían aprobado textos distintos); si se confirma, el Gobierno lo expide por decreto. Suma incertidumbre fiscal: hace menos probable que las tasas de interés bajen rápido.</t>
  </si>
  <si>
    <t xml:space="preserve">• Política monetaria: el Banco de la República volvió a subir la tasa en septiembre. Davivienda espera bajadas graduales hasta 11 % al cierre de 2027. El crédito de fomento se pacta sobre la IBR más un margen, así que sigue esa tendencia.</t>
  </si>
  <si>
    <t xml:space="preserve">• Impuestos: el Gobierno anunció una reforma para bajar la carga de las empresas, sin tarifa definida todavía. El modelo deja la renta en 35 % y prueba 30 % en la hoja Escenarios.</t>
  </si>
  <si>
    <t xml:space="preserve">• Energía: el gas para la industria depende cada vez más de importaciones y El Niño presiona las tarifas. La hoja Escenarios prueba costos operativos 30 % más altos.</t>
  </si>
  <si>
    <t xml:space="preserve">Cómo entra al modelo</t>
  </si>
  <si>
    <t xml:space="preserve">• Los flujos siguen en pesos constantes de 2026. Lo que se pacta en pesos corrientes (el crédito, la depreciación fiscal, la cartera y el IVA que se recupera) se convierte con el índice de precios de la ruta.</t>
  </si>
  <si>
    <t xml:space="preserve">• El VPN descuenta los flujos al costo de capital del proyecto en pesos corrientes. La TIR en pesos corrientes se compara con ese costo; la TIR en pesos constantes, con la tasa real equivalente.</t>
  </si>
  <si>
    <t xml:space="preserve">• Más inflación no crea valor por sí sola: solo cambia el valor real de lo que se pactó en pesos (sobre todo la deuda). Lo que sí cambia el resultado es lo que sube más o menos que la inflación, como el salario mínimo.</t>
  </si>
  <si>
    <t xml:space="preserve">• Los contratos de IntegraMotion se reajustan con el salario mínimo del año en que se ejecutan; así la integradora no pierde valor si el mínimo sube más que la inflación.</t>
  </si>
  <si>
    <t xml:space="preserve">Fuentes</t>
  </si>
  <si>
    <t xml:space="preserve">• Encuesta de analistas del Banco de la República, septiembre de 2026: infobae.com/colombia/2026/09/17/el-banco-de-la-republica-elevo-la-expectativa-de-inflacion-para-diciembre-de-2026-seria-casi-del-7/</t>
  </si>
  <si>
    <t xml:space="preserve">• Decisión de la junta del Banco de la República, septiembre de 2026: banrep.gov.co/en/news/board-directors/september-2026</t>
  </si>
  <si>
    <t xml:space="preserve">• Inflación de septiembre de 2026 (DANE, vía INCP): incp.org.co/?p=136856</t>
  </si>
  <si>
    <t xml:space="preserve">• Salario mínimo 2027, Davivienda: portafolio.co/economia/empleo/salario-minimo-subiria-148-827-en-2027-segun-expertos-de-davivienda-inflacion-seria-clave-en-el-calculo-503911</t>
  </si>
  <si>
    <t xml:space="preserve">• Salario mínimo 2027, gremios y BDO: elcolombiano.com/negocios/salario-minimo-2027-pulso-ajuste-inflacion-productividad-LD42142845</t>
  </si>
  <si>
    <t xml:space="preserve">• Presupuesto de 2027 aprobado y en vilo: portafolio.co/economia/gobierno/presupuesto-de-2027-recien-aprobado-en-vilo-por-inminente-hundimiento-por-vicio-de-tramite-en-el-congreso-504829</t>
  </si>
  <si>
    <t xml:space="preserve">Beneficios y costos operativos de la quesería</t>
  </si>
  <si>
    <t xml:space="preserve">Cada beneficio sale del balance de masa, de los precios y de la mejora que se espera; cada costo nuevo, del consumo de los equipos. $ M constantes de 2026. Las cifras en azul se miden en la etapa 0.</t>
  </si>
  <si>
    <t xml:space="preserve">Datos de la operación</t>
  </si>
  <si>
    <t xml:space="preserve">Dato</t>
  </si>
  <si>
    <t xml:space="preserve">Días de operación al año</t>
  </si>
  <si>
    <t xml:space="preserve">Caso: lunes a sábado menos festivos.</t>
  </si>
  <si>
    <t xml:space="preserve">Densidad de la leche</t>
  </si>
  <si>
    <t xml:space="preserve">kg/L</t>
  </si>
  <si>
    <t xml:space="preserve">Valor típico.</t>
  </si>
  <si>
    <t xml:space="preserve">Grasa de la leche cruda</t>
  </si>
  <si>
    <t xml:space="preserve">% m/m</t>
  </si>
  <si>
    <t xml:space="preserve">Hato Holstein de la sabana de Ubaté.</t>
  </si>
  <si>
    <t xml:space="preserve">Grasa de la crema</t>
  </si>
  <si>
    <t xml:space="preserve">Descremadora centrífuga.</t>
  </si>
  <si>
    <t xml:space="preserve">Grasa de más que se deja hoy al estandarizar a mano</t>
  </si>
  <si>
    <t xml:space="preserve">puntos</t>
  </si>
  <si>
    <t xml:space="preserve">Cuadro de Pearson y muestreo: el operario deja margen para no quedar por debajo del mínimo.</t>
  </si>
  <si>
    <t xml:space="preserve">Grasa de más con el medidor en línea</t>
  </si>
  <si>
    <t xml:space="preserve">Medidor de grasa y densidad con válvula de remezcla.</t>
  </si>
  <si>
    <t xml:space="preserve">Crema añadida al fundido del doble crema</t>
  </si>
  <si>
    <t xml:space="preserve">kg/día</t>
  </si>
  <si>
    <t xml:space="preserve">Sale de la crema de la estandarización.</t>
  </si>
  <si>
    <t xml:space="preserve">Agua de lavado del grano del campesino</t>
  </si>
  <si>
    <t xml:space="preserve">kg/kg leche</t>
  </si>
  <si>
    <t xml:space="preserve">Sale con el suero.</t>
  </si>
  <si>
    <t xml:space="preserve">Queso adicional por el corte con sensor de coagulación</t>
  </si>
  <si>
    <t xml:space="preserve">Menos finos al suero en el campesino y la mozzarella (0,15 puntos de rendimiento).</t>
  </si>
  <si>
    <t xml:space="preserve">Queso adicional con la hiladora-moldeadora</t>
  </si>
  <si>
    <t xml:space="preserve">% del queso hilado</t>
  </si>
  <si>
    <t xml:space="preserve">Menos grasa y finos al agua de hilado que en la marmita a mano.</t>
  </si>
  <si>
    <t xml:space="preserve">Sobrepeso de los quesos hoy</t>
  </si>
  <si>
    <t xml:space="preserve">% del peso</t>
  </si>
  <si>
    <t xml:space="preserve">Igual al de las bolsas UHT del caso.</t>
  </si>
  <si>
    <t xml:space="preserve">Sobrepeso con la controladora de peso</t>
  </si>
  <si>
    <t xml:space="preserve">La controladora rechaza y ajusta el corte.</t>
  </si>
  <si>
    <t xml:space="preserve">Empaque del producto que deja de regalarse</t>
  </si>
  <si>
    <t xml:space="preserve">% del precio</t>
  </si>
  <si>
    <t xml:space="preserve">El queso recuperado se vende, pero lleva su empaque.</t>
  </si>
  <si>
    <t xml:space="preserve">Merma y devoluciones hoy</t>
  </si>
  <si>
    <t xml:space="preserve">% ventas</t>
  </si>
  <si>
    <t xml:space="preserve">Estado de resultados del caso.</t>
  </si>
  <si>
    <t xml:space="preserve">Merma con trazabilidad y registros electrónicos</t>
  </si>
  <si>
    <t xml:space="preserve">Control de temperatura, lotes y vida útil.</t>
  </si>
  <si>
    <t xml:space="preserve">Gasto de mantenimiento de la planta</t>
  </si>
  <si>
    <t xml:space="preserve">Ahorro neto del mantenimiento preventivo</t>
  </si>
  <si>
    <t xml:space="preserve">% del gasto</t>
  </si>
  <si>
    <t xml:space="preserve">Hipótesis: el correctivo que se evita menos el preventivo que se agrega. Hoy el preventivo es menos del 20 % de las horas (EDT de la producción); según PNNL/DOE el preventivo cuesta 12–18 % menos que el correctivo y el predictivo otro 8–12 % menos. Se mide en la etapa 0 con órdenes de trabajo, repuestos y horas de parada.</t>
  </si>
  <si>
    <t xml:space="preserve">Gasto de la planta en energía, agua, gas y químicos</t>
  </si>
  <si>
    <t xml:space="preserve">Ahorro con limpieza CIP automática</t>
  </si>
  <si>
    <t xml:space="preserve">% de ese gasto</t>
  </si>
  <si>
    <t xml:space="preserve">Recuperación de soluciones y ciclos medidos en lugar de lavado a mano.</t>
  </si>
  <si>
    <t xml:space="preserve">Parte del circuito de quesos en la limpieza</t>
  </si>
  <si>
    <t xml:space="preserve">Uno de los tres circuitos (quesos, yogur y UHT).</t>
  </si>
  <si>
    <t xml:space="preserve">Horas extra diarias del hilado que se evitan en cada etapa</t>
  </si>
  <si>
    <t xml:space="preserve">h/día</t>
  </si>
  <si>
    <t xml:space="preserve">VSM: el hilado a mano necesita 8,4 h en una ventana de 7,4 h.</t>
  </si>
  <si>
    <t xml:space="preserve">Operarios del hilado</t>
  </si>
  <si>
    <t xml:space="preserve">personas</t>
  </si>
  <si>
    <t xml:space="preserve">Dos parejas.</t>
  </si>
  <si>
    <t xml:space="preserve">Costo de la hora extra</t>
  </si>
  <si>
    <t xml:space="preserve">$/h</t>
  </si>
  <si>
    <t xml:space="preserve">Costo de la hora de un salario mínimo más el recargo de 25 %.</t>
  </si>
  <si>
    <t xml:space="preserve">Precio de la crema vendida</t>
  </si>
  <si>
    <t xml:space="preserve">$/kg</t>
  </si>
  <si>
    <t xml:space="preserve">Crema al 40 % a granel.</t>
  </si>
  <si>
    <t xml:space="preserve">Precio de la leche entera UHT</t>
  </si>
  <si>
    <t xml:space="preserve">$/L</t>
  </si>
  <si>
    <t xml:space="preserve">Precio a distribuidor del caso.</t>
  </si>
  <si>
    <t xml:space="preserve">Precio del suero hoy, sin enfriar</t>
  </si>
  <si>
    <t xml:space="preserve">Precio del suero enfriado con contrato</t>
  </si>
  <si>
    <t xml:space="preserve">Contrato anual con una fábrica de alimento balanceado; se valida en la etapa 0 con dos cotizaciones.</t>
  </si>
  <si>
    <t xml:space="preserve">Ventas de la quesería que hoy salen incompletas o tarde por paros que Ventas no conoce</t>
  </si>
  <si>
    <t xml:space="preserve">% ventas de quesos</t>
  </si>
  <si>
    <t xml:space="preserve">Caso de estudio, hallazgo H9 (registro de despachos de 2026): Ventas promete sin saber qué máquinas están en falla.</t>
  </si>
  <si>
    <t xml:space="preserve">Descuento con que se coloca ese queso en otro cliente o canal</t>
  </si>
  <si>
    <t xml:space="preserve">Caso de estudio: el queso fresco que no sale a tiempo se coloca en mayoristas con descuento.</t>
  </si>
  <si>
    <t xml:space="preserve">Parte de esos incumplimientos que se evita con el estado de la planta en el ERP</t>
  </si>
  <si>
    <t xml:space="preserve">Estimado: los paros siguen ocurriendo, pero Ventas los ve en el ERP y promete con la capacidad real.</t>
  </si>
  <si>
    <t xml:space="preserve">Horas al día de supervisores y planeador conciliando registros de papel y Excel</t>
  </si>
  <si>
    <t xml:space="preserve">Caso de estudio, hallazgo H9: planeación semanal en Excel y registros en papel. El MES los registra solos; el tiempo liberado se usa en mejora.</t>
  </si>
  <si>
    <t xml:space="preserve">Costo de una hora de supervisor</t>
  </si>
  <si>
    <t xml:space="preserve">Salario de unos $3,5 M al mes con factor prestacional de 1,52, entre 182 horas.</t>
  </si>
  <si>
    <t xml:space="preserve">Ventas del yogur</t>
  </si>
  <si>
    <t xml:space="preserve">Ventas del UHT</t>
  </si>
  <si>
    <t xml:space="preserve">Yogur que se sobreacidifica o se reprocesa (H2)</t>
  </si>
  <si>
    <t xml:space="preserve">% de la producción</t>
  </si>
  <si>
    <t xml:space="preserve">Sobrellenado de los vasos de yogur (H3)</t>
  </si>
  <si>
    <t xml:space="preserve">Sobrellenado de las bolsas de UHT (H3)</t>
  </si>
  <si>
    <t xml:space="preserve">% del volumen</t>
  </si>
  <si>
    <t xml:space="preserve">Producto perdido en las interfases del UHT (H4)</t>
  </si>
  <si>
    <t xml:space="preserve">Operarios liberados que cubren un puesto que la planta tendría que contratar</t>
  </si>
  <si>
    <t xml:space="preserve">Hallazgo H10 de la etapa 0: el plan preventivo necesita un puesto de mantenimiento autónomo (inspección, lubricación y limpieza técnica) que hoy no existe. La asignación por competencias pone ahí a uno de los operarios que libera la hiladora.</t>
  </si>
  <si>
    <t xml:space="preserve">Queso adicional con el balance de sólidos y la humedad controlados por lote</t>
  </si>
  <si>
    <t xml:space="preserve">% del queso</t>
  </si>
  <si>
    <t xml:space="preserve">Hallazgo H11 de la etapa 0. Por la fórmula de Van Slyke el rendimiento va con 1/(1 − humedad): subir la humedad promedio 0,25 puntos dentro de la norma del queso (de 50,00 a 50,25 %) da 0,5 % más queso; también sale de llevar a la mediana los lotes que hoy pierden más grasa y proteína al suero. La etapa 0 mide la dispersión real con un mes de lotes. No incluye el sensor ni la hiladora.</t>
  </si>
  <si>
    <t xml:space="preserve">Lo que puede bajar la leche de cada queso frente a hoy</t>
  </si>
  <si>
    <t xml:space="preserve">% de su leche</t>
  </si>
  <si>
    <t xml:space="preserve">Hallazgo H12. Bajar la producción de un queso no tiene límite de mercado; se limita para no perder clientes del campesino.</t>
  </si>
  <si>
    <t xml:space="preserve">Lo que el mercado absorbe de más de campesino</t>
  </si>
  <si>
    <t xml:space="preserve">% de su producción</t>
  </si>
  <si>
    <t xml:space="preserve">Estudio de mercado de la empresa (tabla de esta hoja): el campesino no sube en la mezcla óptima porque es el que menos deja por litro.</t>
  </si>
  <si>
    <t xml:space="preserve">Lo que el mercado absorbe de más de doble crema</t>
  </si>
  <si>
    <t xml:space="preserve">Estudio de mercado de la empresa: la región central (unos 12,8 millones de habitantes, DANE 2026) consume unas 15.000 a 19.000 t de queso al año; los hilados son cerca del 28 % (Nielsen). 15 % más de doble crema son unas 18 t al año, menos del 0,5 % de los hilados de la región y un 6 % de lo que ese mercado crece en un año. El doble crema casi no compite con importados.</t>
  </si>
  <si>
    <t xml:space="preserve">Lo que el mercado absorbe de más de mozzarella</t>
  </si>
  <si>
    <t xml:space="preserve">Estudio de mercado de la empresa: la mozzarella para pizzerías compite con la de Estados Unidos, que entra sin arancel ni cupo desde enero de 2026; por eso se limita a 5 %.</t>
  </si>
  <si>
    <t xml:space="preserve">Yogur sobreacidificado con control nocturno de la incubación por pH</t>
  </si>
  <si>
    <t xml:space="preserve">Hallazgos H2 y H10: nadie vigila de noche la incubación del yogur. La asignación por competencias pone ahí al operario que conoce la acidificación de la cuajada (pH 5,1 a 5,3): mide el pH cada hora y corta la incubación a tiempo. Estimado: la pérdida baja a la mitad.</t>
  </si>
  <si>
    <t xml:space="preserve">Leche adicional del contrato de marca propia con una cadena</t>
  </si>
  <si>
    <t xml:space="preserve">Un segundo lote diario de doble crema en la TQ-302, por la tarde, con la receta RM-Q2 y su mismo tamaño de lote. La leche se compra al acopio del valle de Ubaté. Empieza con la etapa 2, porque sin la hiladora no hay capacidad de hilado.</t>
  </si>
  <si>
    <t xml:space="preserve">Descuento de la marca propia sobre el precio a distribuidor</t>
  </si>
  <si>
    <t xml:space="preserve">Las cadenas pagan su marca propia por debajo de la marca del fabricante.</t>
  </si>
  <si>
    <t xml:space="preserve">Precio de la leche cruda pagado al productor</t>
  </si>
  <si>
    <t xml:space="preserve">Caso de estudio, 2026.</t>
  </si>
  <si>
    <t xml:space="preserve">Prima por la leche adicional</t>
  </si>
  <si>
    <t xml:space="preserve">Bonificación para que las rutas del acopio entreguen más leche.</t>
  </si>
  <si>
    <t xml:space="preserve">Logística al centro de distribución de la cadena</t>
  </si>
  <si>
    <t xml:space="preserve">% de las ventas</t>
  </si>
  <si>
    <t xml:space="preserve">Transporte refrigerado y cargue.</t>
  </si>
  <si>
    <t xml:space="preserve">Operarios adicionales para el segundo lote</t>
  </si>
  <si>
    <t xml:space="preserve">Uno en la hiladora y uno en el empaque, en el turno de la tarde. El quesero del turno ya opera las tres tinas desde el SCADA. Son empleos nuevos.</t>
  </si>
  <si>
    <t xml:space="preserve">Días de cartera de la cadena</t>
  </si>
  <si>
    <t xml:space="preserve">Plazo de pago usual de las cadenas a sus proveedores.</t>
  </si>
  <si>
    <t xml:space="preserve">Días de pago con pronto pago</t>
  </si>
  <si>
    <t xml:space="preserve">Propuesta de IntegraMotion: la cadena paga a 30 días a cambio de un descuento, en lugar de 60.</t>
  </si>
  <si>
    <t xml:space="preserve">Descuento por pronto pago</t>
  </si>
  <si>
    <t xml:space="preserve">Costo de cobrar 30 días antes; menor que el de financiar esa cartera con el banco.</t>
  </si>
  <si>
    <t xml:space="preserve">Días de pago de la leche al productor</t>
  </si>
  <si>
    <t xml:space="preserve">Pago quincenal.</t>
  </si>
  <si>
    <t xml:space="preserve">Horas de la termoformadora ocupadas hoy</t>
  </si>
  <si>
    <t xml:space="preserve">EDT de la producción: unas 8 de sus 10 horas.</t>
  </si>
  <si>
    <t xml:space="preserve">OEE de la termoformadora hoy</t>
  </si>
  <si>
    <t xml:space="preserve">VSM y documento de OEE de la quesería.</t>
  </si>
  <si>
    <t xml:space="preserve">OEE de la termoformadora con el MES y el mantenimiento preventivo</t>
  </si>
  <si>
    <t xml:space="preserve">Mitad del rango de 66 a 70 % del documento de OEE.</t>
  </si>
  <si>
    <t xml:space="preserve">Quesos</t>
  </si>
  <si>
    <t xml:space="preserve">Referencia</t>
  </si>
  <si>
    <t xml:space="preserve">Leche (L/día)</t>
  </si>
  <si>
    <t xml:space="preserve">Grasa objetivo</t>
  </si>
  <si>
    <t xml:space="preserve">Rendimiento (kg/kg)</t>
  </si>
  <si>
    <t xml:space="preserve">Precio ($/kg)</t>
  </si>
  <si>
    <t xml:space="preserve">Insumos y empaque ($/kg)</t>
  </si>
  <si>
    <t xml:space="preserve">Q1 campesino</t>
  </si>
  <si>
    <t xml:space="preserve">Q2 doble crema (leche entera, sin estandarizar)</t>
  </si>
  <si>
    <t xml:space="preserve">Q3 mozzarella</t>
  </si>
  <si>
    <t xml:space="preserve">Rendimiento del campesino y la mozzarella sobre leche estandarizada; el del doble crema, sobre leche entera e incluye la crema del fundido. Precios: Corabastos y mercado mayorista, 2026.</t>
  </si>
  <si>
    <t xml:space="preserve">Estandarización de grasa de toda la recepción (kg/día)</t>
  </si>
  <si>
    <t xml:space="preserve">Crema retirada hoy</t>
  </si>
  <si>
    <t xml:space="preserve">Crema con medidor</t>
  </si>
  <si>
    <t xml:space="preserve">Crema adicional</t>
  </si>
  <si>
    <t xml:space="preserve">L1 leche entera UHT</t>
  </si>
  <si>
    <t xml:space="preserve">L2 deslactosada</t>
  </si>
  <si>
    <t xml:space="preserve">L3 bebida láctea</t>
  </si>
  <si>
    <t xml:space="preserve">Y1 yogur natural</t>
  </si>
  <si>
    <t xml:space="preserve">Y2 yogur de fresa</t>
  </si>
  <si>
    <t xml:space="preserve">Y3 yogur de mora</t>
  </si>
  <si>
    <t xml:space="preserve">Balance de grasa: crema = leche × (grasa de la leche − grasa objetivo) / (grasa de la crema − grasa objetivo). Hoy el objetivo lleva la grasa de más del ajuste manual. El doble crema usa leche entera y no se estandariza.</t>
  </si>
  <si>
    <t xml:space="preserve">Balance de masa de los quesos (kg/día)</t>
  </si>
  <si>
    <t xml:space="preserve">Corriente</t>
  </si>
  <si>
    <t xml:space="preserve">Q2 doble crema</t>
  </si>
  <si>
    <t xml:space="preserve">Leche</t>
  </si>
  <si>
    <t xml:space="preserve">Crema retirada en la estandarización</t>
  </si>
  <si>
    <t xml:space="preserve">Crema añadida al fundido</t>
  </si>
  <si>
    <t xml:space="preserve">Leche para quesería</t>
  </si>
  <si>
    <t xml:space="preserve">Agua de lavado del grano</t>
  </si>
  <si>
    <t xml:space="preserve">Queso hoy</t>
  </si>
  <si>
    <t xml:space="preserve">Suero</t>
  </si>
  <si>
    <t xml:space="preserve">Cierre: entradas − salidas (debe ser 0)</t>
  </si>
  <si>
    <t xml:space="preserve">Queso adicional por el sensor de coagulación (etapa 1)</t>
  </si>
  <si>
    <t xml:space="preserve">Queso adicional por la hiladora (etapa 2)</t>
  </si>
  <si>
    <t xml:space="preserve">Queso que pasa por el hilado con la hiladora</t>
  </si>
  <si>
    <t xml:space="preserve">Queso adicional frente a la producción actual</t>
  </si>
  <si>
    <t xml:space="preserve">Se vende a los mismos clientes: es menos del 2 % del queso que ya se despacha.</t>
  </si>
  <si>
    <t xml:space="preserve">El suero total coincide con los 8.188 kg/día del caso. El queso adicional usa la misma leche: no se compra más.</t>
  </si>
  <si>
    <t xml:space="preserve">Mezcla óptima de los tres quesos (programación lineal, desde la etapa 2)</t>
  </si>
  <si>
    <t xml:space="preserve">Los 9.000 L de la quesería se reparten hoy por costumbre. Con el costo real por lote, cada litro va al queso que más deja, dentro de lo que absorbe el mercado según el estudio de mercado de la empresa (más doble crema; poca mozzarella más, porque compite con la importada) y con la capacidad que libera la hiladora. Es un programa lineal con una restricción de leche y cotas por queso; esta tabla lo resuelve ordenando los quesos por margen por litro, que para esa estructura da el óptimo exacto.</t>
  </si>
  <si>
    <t xml:space="preserve">Queso</t>
  </si>
  <si>
    <t xml:space="preserve">Leche hoy (L/día)</t>
  </si>
  <si>
    <t xml:space="preserve">Margen por litro ($/L)</t>
  </si>
  <si>
    <t xml:space="preserve">Mínimo (L/día)</t>
  </si>
  <si>
    <t xml:space="preserve">Máximo (L/día)</t>
  </si>
  <si>
    <t xml:space="preserve">Puesto por margen</t>
  </si>
  <si>
    <t xml:space="preserve">Leche óptima (L/día)</t>
  </si>
  <si>
    <t xml:space="preserve">Cambio (L/día)</t>
  </si>
  <si>
    <t xml:space="preserve">Margen adicional de la mezcla óptima ($ M/año)</t>
  </si>
  <si>
    <t xml:space="preserve">Ventas adicionales de la mezcla óptima ($ M/año)</t>
  </si>
  <si>
    <t xml:space="preserve">Horas de hiladora al día con la mezcla óptima (300 kg/h)</t>
  </si>
  <si>
    <t xml:space="preserve">Cabe en un turno: la hiladora libera la capacidad que el hilado a mano no tiene.</t>
  </si>
  <si>
    <t xml:space="preserve">Comprobación: leche óptima − leche de hoy (L/día)</t>
  </si>
  <si>
    <t xml:space="preserve">Margen por litro: queso por litro × (precio − insumos) más la crema que se retira y se vende, menos la crema que se añade al fundido. La leche cuesta lo mismo en los tres, así que no cambia la decisión. Método: Meneghini et al. (2016), programación lineal de la mezcla en una láctea de Brasil.</t>
  </si>
  <si>
    <t xml:space="preserve">Estudio de mercado: ¿la región absorbe la nueva mezcla?</t>
  </si>
  <si>
    <t xml:space="preserve">Lácteos Fúquene vende en Bogotá, Cundinamarca y Boyacá. Con fuentes públicas se estima el tamaño del mercado de quesos de esa región y se compara con el queso de más que pide la mezcla óptima. Los límites de la mezcla (supuestos de arriba) salen de este análisis.</t>
  </si>
  <si>
    <t xml:space="preserve">Fuente o cálculo</t>
  </si>
  <si>
    <t xml:space="preserve">Población de Bogotá, Cundinamarca y Boyacá en 2026</t>
  </si>
  <si>
    <t xml:space="preserve">DANE, proyecciones con base en el censo de 2018: Bogotá 7.945.996, Cundinamarca 3.601.277, Boyacá 1.295.848.</t>
  </si>
  <si>
    <t xml:space="preserve">Consumo de queso por persona (bajo)</t>
  </si>
  <si>
    <t xml:space="preserve">kg/año</t>
  </si>
  <si>
    <t xml:space="preserve">Cundinamarca, Nielsen 2017 (Portafolio, 26 de septiembre de 2018).</t>
  </si>
  <si>
    <t xml:space="preserve">Consumo de queso por persona (alto)</t>
  </si>
  <si>
    <t xml:space="preserve">Promedio nacional (Portafolio, 13 de agosto de 2024).</t>
  </si>
  <si>
    <t xml:space="preserve">Mercado de queso de la región (bajo)</t>
  </si>
  <si>
    <t xml:space="preserve">t/año</t>
  </si>
  <si>
    <t xml:space="preserve">Población × consumo por persona.</t>
  </si>
  <si>
    <t xml:space="preserve">Mercado de queso de la región (alto)</t>
  </si>
  <si>
    <t xml:space="preserve">Participación de los quesos hilados (doble crema, mozzarella)</t>
  </si>
  <si>
    <t xml:space="preserve">% del mercado</t>
  </si>
  <si>
    <t xml:space="preserve">Nielsen 2017: frescos 32 %, hilados 28 %, gratinados 6 %, maduros 2 % (Portafolio, 2018).</t>
  </si>
  <si>
    <t xml:space="preserve">Mercado de hilados de la región (bajo)</t>
  </si>
  <si>
    <t xml:space="preserve">Se toma el bajo para ser prudentes.</t>
  </si>
  <si>
    <t xml:space="preserve">Crecimiento del mercado de queso</t>
  </si>
  <si>
    <t xml:space="preserve">% al año</t>
  </si>
  <si>
    <t xml:space="preserve">Portafolio, 13 de agosto de 2024. Nielsen (Portafolio, 9 de noviembre de 2023) ve a Cundinamarca y Boyacá entre las regiones que más crecen.</t>
  </si>
  <si>
    <t xml:space="preserve">Crecimiento anual de los hilados de la región</t>
  </si>
  <si>
    <t xml:space="preserve">Mercado bajo × crecimiento.</t>
  </si>
  <si>
    <t xml:space="preserve">Hilados que produce hoy Lácteos Fúquene</t>
  </si>
  <si>
    <t xml:space="preserve">Balance de masa de esta hoja.</t>
  </si>
  <si>
    <t xml:space="preserve">Participación de Lácteos Fúquene en los hilados de la región</t>
  </si>
  <si>
    <t xml:space="preserve">Con el mercado bajo.</t>
  </si>
  <si>
    <t xml:space="preserve">Hilados de más con la mezcla óptima</t>
  </si>
  <si>
    <t xml:space="preserve">Cambio de leche × queso por litro × días.</t>
  </si>
  <si>
    <t xml:space="preserve">Hilados de más frente al mercado de la región</t>
  </si>
  <si>
    <t xml:space="preserve">Es lo que tendría que ganar de mercado.</t>
  </si>
  <si>
    <t xml:space="preserve">Hilados de más frente a lo que crece ese mercado en un año</t>
  </si>
  <si>
    <t xml:space="preserve">Si es pequeño, se vende con el crecimiento del mercado, sin quitarle clientes a nadie ni bajar el precio.</t>
  </si>
  <si>
    <t xml:space="preserve">Lectura: el doble crema de más es una fracción pequeña de lo que crece el mercado de hilados de la región y casi no compite con importados, así que se puede subir 15 %. La mozzarella sí compite con la de Estados Unidos, que entra sin arancel ni cupo desde 2026: se limita a 5 %. El campesino baja 15 % sin problema de mercado. Ventas confirma estos límites en la etapa 0 con sus clientes.</t>
  </si>
  <si>
    <t xml:space="preserve">Contrato de marca propia con una cadena (desde la etapa 2)</t>
  </si>
  <si>
    <t xml:space="preserve">Una cadena de supermercados de la región ofrece a Lácteos Fúquene producir su doble crema de marca propia. Exige lo que hoy la planta no puede dar: trazabilidad de cada lote hasta el productor de la leche, peso declarado controlado, registros sanitarios digitales y entregas completas y a tiempo. Con la automatización sí puede: el MES da la trazabilidad, la estación E18 el peso, el historiador los registros y la hiladora la capacidad. El volumen entra como un segundo lote diario de doble crema con leche comprada al acopio, sin cambiar las recetas ni los tamaños de lote.</t>
  </si>
  <si>
    <t xml:space="preserve">Concepto</t>
  </si>
  <si>
    <t xml:space="preserve">Cálculo</t>
  </si>
  <si>
    <t xml:space="preserve">Doble crema del contrato</t>
  </si>
  <si>
    <t xml:space="preserve">Leche adicional × queso por litro del doble crema.</t>
  </si>
  <si>
    <t xml:space="preserve">Margen por litro sin la leche, a precio de distribuidor</t>
  </si>
  <si>
    <t xml:space="preserve">El mismo de la mezcla óptima.</t>
  </si>
  <si>
    <t xml:space="preserve">Descuento de la marca propia por litro</t>
  </si>
  <si>
    <t xml:space="preserve">Descuento × precio × queso por litro.</t>
  </si>
  <si>
    <t xml:space="preserve">Leche comprada al acopio</t>
  </si>
  <si>
    <t xml:space="preserve">Precio al productor con la prima.</t>
  </si>
  <si>
    <t xml:space="preserve">Energía, agua, gas y químicos</t>
  </si>
  <si>
    <t xml:space="preserve">Gasto de la planta entre sus litros del año.</t>
  </si>
  <si>
    <t xml:space="preserve">Logística a la cadena</t>
  </si>
  <si>
    <t xml:space="preserve">Porcentaje × precio de la marca propia × queso por litro.</t>
  </si>
  <si>
    <t xml:space="preserve">Contribución por litro</t>
  </si>
  <si>
    <t xml:space="preserve">Margen menos descuento, leche, servicios y logística.</t>
  </si>
  <si>
    <t xml:space="preserve">Operarios adicionales</t>
  </si>
  <si>
    <t xml:space="preserve">Personas × costo anual de un operario.</t>
  </si>
  <si>
    <t xml:space="preserve">Ventas anuales del contrato</t>
  </si>
  <si>
    <t xml:space="preserve">Queso × días × precio de la marca propia.</t>
  </si>
  <si>
    <t xml:space="preserve">La cadena paga a 30 días con este descuento.</t>
  </si>
  <si>
    <t xml:space="preserve">Beneficio anual del contrato</t>
  </si>
  <si>
    <t xml:space="preserve">Contribución × litros × días, menos los operarios y el pronto pago.</t>
  </si>
  <si>
    <t xml:space="preserve">Compras de leche del contrato al año</t>
  </si>
  <si>
    <t xml:space="preserve">Litros × días × precio con prima.</t>
  </si>
  <si>
    <t xml:space="preserve">Capital de trabajo adicional con pronto pago</t>
  </si>
  <si>
    <t xml:space="preserve">Cartera sobre los 30 días que ya toma el modelo, menos la leche que se paga a 15 días. Se recupera al final del horizonte.</t>
  </si>
  <si>
    <t xml:space="preserve">Capital de trabajo adicional si la cadena paga a 60 días</t>
  </si>
  <si>
    <t xml:space="preserve">Lo mismo, con el plazo usual de la cadena (escenario Sin pronto pago).</t>
  </si>
  <si>
    <t xml:space="preserve">Horas de hiladora al día con la mezcla óptima y el contrato</t>
  </si>
  <si>
    <t xml:space="preserve">Cabe en los dos turnos.</t>
  </si>
  <si>
    <t xml:space="preserve">Horas de la termoformadora con el contrato y el OEE mejorado</t>
  </si>
  <si>
    <t xml:space="preserve">Las horas de hoy, menos lo que ahorra el OEE, más las unidades del contrato. Caben en los dos turnos (14 h).</t>
  </si>
  <si>
    <t xml:space="preserve">Participación del contrato en el mercado de hilados de la región</t>
  </si>
  <si>
    <t xml:space="preserve">La cadena sustituye a su proveedor actual de marca propia: no es demanda nueva.</t>
  </si>
  <si>
    <t xml:space="preserve">Lectura: la contribución por litro es delgada porque la leche se compra: el contrato vale por el volumen y por la relación con la cadena, y su riesgo está en el plazo de pago. Por eso IntegraMotion propone el pronto pago: la cadena paga a 30 días con un descuento de 1 %, que cuesta menos que financiar 60 días de cartera y deja la cobertura de la deuda por encima de 1,2 (escenario Sin pronto pago). Se firma antes de comprar la hiladora: es condición de la segunda compuerta.</t>
  </si>
  <si>
    <t xml:space="preserve">Beneficio planta ($ M/año)</t>
  </si>
  <si>
    <t xml:space="preserve">Δ ventas planta ($ M/año)</t>
  </si>
  <si>
    <t xml:space="preserve">Horas extra del hilado evitadas con el orden del hilado</t>
  </si>
  <si>
    <t xml:space="preserve">Horas × operarios × días × costo de la hora extra.</t>
  </si>
  <si>
    <t xml:space="preserve">Mayor rendimiento del campesino y la mozzarella</t>
  </si>
  <si>
    <t xml:space="preserve">Queso adicional × (precio − insumos) × días.</t>
  </si>
  <si>
    <t xml:space="preserve">Estandarización de grasa en línea (toda la recepción)</t>
  </si>
  <si>
    <t xml:space="preserve">Crema adicional × (precio de la crema − leche UHT que deja de venderse) × días.</t>
  </si>
  <si>
    <t xml:space="preserve">Menor merma y devoluciones (toda la planta)</t>
  </si>
  <si>
    <t xml:space="preserve">Reducción de la merma × ventas de la planta.</t>
  </si>
  <si>
    <t xml:space="preserve">Mantenimiento preventivo (toda la planta)</t>
  </si>
  <si>
    <t xml:space="preserve">Ahorro × gasto de mantenimiento.</t>
  </si>
  <si>
    <t xml:space="preserve">Menor sobrepeso de los tres quesos</t>
  </si>
  <si>
    <t xml:space="preserve">Sobrepeso evitado × ventas de quesos, menos el empaque.</t>
  </si>
  <si>
    <t xml:space="preserve">Programación con el estado real de la planta (MES y ERP integrados)</t>
  </si>
  <si>
    <t xml:space="preserve">Pedidos que dejan de salir tarde o incompletos × descuento evitado, más las horas de conciliación que registra el MES.</t>
  </si>
  <si>
    <t xml:space="preserve">Balance de sólidos y humedad por lote en el MES (H11)</t>
  </si>
  <si>
    <t xml:space="preserve">Queso que se recupera × (precio − insumos) × días.</t>
  </si>
  <si>
    <t xml:space="preserve">Horas extra restantes que elimina la hiladora</t>
  </si>
  <si>
    <t xml:space="preserve">Igual que en la etapa 1.</t>
  </si>
  <si>
    <t xml:space="preserve">Limpieza CIP automática (las tres líneas)</t>
  </si>
  <si>
    <t xml:space="preserve">Ahorro × gasto de energía, agua, gas y químicos; la quesería toma su circuito.</t>
  </si>
  <si>
    <t xml:space="preserve">Contrato de venta del suero enfriado</t>
  </si>
  <si>
    <t xml:space="preserve">Suero × días × (precio con contrato − precio actual). La energía del enfriamiento va en los costos.</t>
  </si>
  <si>
    <t xml:space="preserve">Mezcla óptima de los tres quesos con el costo real por lote (H12)</t>
  </si>
  <si>
    <t xml:space="preserve">Programación lineal de la mezcla (tabla de arriba).</t>
  </si>
  <si>
    <t xml:space="preserve">Contrato de marca propia con una cadena (segundo lote diario de doble crema)</t>
  </si>
  <si>
    <t xml:space="preserve">Tabla del contrato, arriba.</t>
  </si>
  <si>
    <t xml:space="preserve">Reubicación por competencias (H10): control nocturno de la incubación del yogur (H2)</t>
  </si>
  <si>
    <t xml:space="preserve">Yogur que deja de perderse × ventas del yogur × costo variable: leche, insumos y energía que se dejan de botar. La nómina no se cuenta porque no cambia.</t>
  </si>
  <si>
    <t xml:space="preserve">Reubicación por competencias (H10): mantenimiento autónomo del plan preventivo</t>
  </si>
  <si>
    <t xml:space="preserve">Contratación que se evita × costo anual de un operario.</t>
  </si>
  <si>
    <t xml:space="preserve">Cada hallazgo de la quesería tiene una medida en la oferta y un beneficio. De yogur y UHT, la oferta toma solo lo que resuelve la reubicación del personal (H2); el resto, a precio de venta, es la base de la ampliación a esas líneas, que usa la misma plataforma.</t>
  </si>
  <si>
    <t xml:space="preserve">Valor para la planta ($ M/año)</t>
  </si>
  <si>
    <t xml:space="preserve">Se carga a la quesería ($ M/año)</t>
  </si>
  <si>
    <t xml:space="preserve">H1. Grasa estandarizada a mano</t>
  </si>
  <si>
    <t xml:space="preserve">Medidor de grasa en línea con válvula de remezcla</t>
  </si>
  <si>
    <t xml:space="preserve">1</t>
  </si>
  <si>
    <t xml:space="preserve">H2. Yogur incubado de noche sin vigilancia</t>
  </si>
  <si>
    <t xml:space="preserve">Control nocturno por pH con un operario del hilado reubicado (H10)</t>
  </si>
  <si>
    <t xml:space="preserve">2</t>
  </si>
  <si>
    <t xml:space="preserve">H2. Lo que queda del yogur sobreacidificado</t>
  </si>
  <si>
    <t xml:space="preserve">Fuera de esta oferta: fin de la incubación por pH en línea (ampliación a yogur)</t>
  </si>
  <si>
    <t xml:space="preserve">—</t>
  </si>
  <si>
    <t xml:space="preserve">H3. Producto regalado en el llenado: quesos</t>
  </si>
  <si>
    <t xml:space="preserve">Controladora de peso y detector de metales (E18)</t>
  </si>
  <si>
    <t xml:space="preserve">H3. Producto regalado en el llenado: yogur y UHT</t>
  </si>
  <si>
    <t xml:space="preserve">Fuera de esta oferta: llenado controlado por peso (ampliación)</t>
  </si>
  <si>
    <t xml:space="preserve">H4. Pérdidas del UHT en arranques y cambios</t>
  </si>
  <si>
    <t xml:space="preserve">Fuera de esta oferta: corte de interfases por conductividad (ampliación a UHT)</t>
  </si>
  <si>
    <t xml:space="preserve">H5. Hilado manual, cuello de botella</t>
  </si>
  <si>
    <t xml:space="preserve">Orden del hilado (etapa 0) e hiladora-moldeadora (etapa 2): horas extra y más queso</t>
  </si>
  <si>
    <t xml:space="preserve">0 y 2</t>
  </si>
  <si>
    <t xml:space="preserve">H6. Registros críticos en papel</t>
  </si>
  <si>
    <t xml:space="preserve">SCADA, historiador y MES con trazabilidad por lote: menor merma</t>
  </si>
  <si>
    <t xml:space="preserve">H7. Limpieza y mantenimiento manuales y correctivos</t>
  </si>
  <si>
    <t xml:space="preserve">Plan de mantenimiento preventivo (etapa 0) y CIP automático (etapa 2)</t>
  </si>
  <si>
    <t xml:space="preserve">H8. Suero vendido barato</t>
  </si>
  <si>
    <t xml:space="preserve">Opción: enfriador y contrato de venta del suero, solo si el contrato es de $49/kg o más (a $45/kg no paga su enfriamiento)</t>
  </si>
  <si>
    <t xml:space="preserve">Opción</t>
  </si>
  <si>
    <t xml:space="preserve">H9. Información en islas</t>
  </si>
  <si>
    <t xml:space="preserve">MES con estado de máquinas, paros y OEE enlazado al ERP</t>
  </si>
  <si>
    <t xml:space="preserve">H10. Puestos asignados por costumbre, no por competencias</t>
  </si>
  <si>
    <t xml:space="preserve">Matriz de competencias y asignación por el método húngaro: un operario al turno de noche del yogur (valor en H2) y otro al mantenimiento autónomo</t>
  </si>
  <si>
    <t xml:space="preserve">H11. No se sabe cuánto queso sale de cada litro, lote por lote</t>
  </si>
  <si>
    <t xml:space="preserve">Balance de sólidos y humedad por lote en el MES, con analizador de leche y suero</t>
  </si>
  <si>
    <t xml:space="preserve">H12. El costo y la mezcla de quesos se deciden con promedios</t>
  </si>
  <si>
    <t xml:space="preserve">Costo real por lote y mezcla óptima por programación lineal, en la reunión mensual de ventas y operaciones</t>
  </si>
  <si>
    <t xml:space="preserve">Innovación de la oferta (no viene de una pérdida)</t>
  </si>
  <si>
    <t xml:space="preserve">Corte del cuajo con sensor de coagulación: más rendimiento</t>
  </si>
  <si>
    <t xml:space="preserve">Oportunidad comercial (no viene de una pérdida)</t>
  </si>
  <si>
    <t xml:space="preserve">Contrato de marca propia con una cadena, posible por la trazabilidad, el peso controlado, la hiladora y el OEE</t>
  </si>
  <si>
    <t xml:space="preserve">Valor de las medidas de la oferta</t>
  </si>
  <si>
    <t xml:space="preserve">Pérdidas de yogur y UHT que quedan para la ampliación</t>
  </si>
  <si>
    <t xml:space="preserve">Lo que se carga a la quesería es su parte de lo común a la planta (36 % de la leche para grasa y mantenimiento, su parte de las ventas para la merma, un tercio del CIP). Coincide con el beneficio anual pleno de la hoja Quesería.</t>
  </si>
  <si>
    <t xml:space="preserve">Cómo se mide cada beneficio: matriz de trazabilidad</t>
  </si>
  <si>
    <t xml:space="preserve">Cada beneficio tiene línea base, indicador, fuente del dato, responsable y criterio de aceptación. La etapa 0 mide la línea base con un protocolo de medida y verificación; las compuertas comparan contra ella. La última columna dice qué no entra en cada beneficio, para no contar dos veces el mismo producto.</t>
  </si>
  <si>
    <t xml:space="preserve">Línea base de hoy y fuente</t>
  </si>
  <si>
    <t xml:space="preserve">Responsable y frecuencia</t>
  </si>
  <si>
    <t xml:space="preserve">Criterio de aceptación</t>
  </si>
  <si>
    <t xml:space="preserve">Qué no incluye</t>
  </si>
  <si>
    <t xml:space="preserve">Horas extra del hilado (orden del hilado)</t>
  </si>
  <si>
    <t xml:space="preserve">8,4 h/día de hilado; horas extra de 3 meses de nómina</t>
  </si>
  <si>
    <t xml:space="preserve">Horas extra por tonelada hilada</t>
  </si>
  <si>
    <t xml:space="preserve">Jefe de quesería; mensual</t>
  </si>
  <si>
    <t xml:space="preserve">0,5 h/día menos, sostenido 2 meses (compuerta 1)</t>
  </si>
  <si>
    <t xml:space="preserve">Las horas que elimina la hiladora (etapa 2).</t>
  </si>
  <si>
    <t xml:space="preserve">Rendimiento por el sensor de coagulación</t>
  </si>
  <si>
    <t xml:space="preserve">kg de queso por 100 L de cada tina y referencia; un mes de registros de lote</t>
  </si>
  <si>
    <t xml:space="preserve">Rendimiento corregido por grasa y proteína de la leche</t>
  </si>
  <si>
    <t xml:space="preserve">Ingeniero de procesos; por lote</t>
  </si>
  <si>
    <t xml:space="preserve">Prueba en una tina con equipo de demostración antes de comprar (compuerta 1)</t>
  </si>
  <si>
    <t xml:space="preserve">El queso adicional de la hiladora.</t>
  </si>
  <si>
    <t xml:space="preserve">0,08 puntos de grasa de más por referencia; laboratorio</t>
  </si>
  <si>
    <t xml:space="preserve">Grasa real menos objetivo, por lote</t>
  </si>
  <si>
    <t xml:space="preserve">Jefe de calidad; diario</t>
  </si>
  <si>
    <t xml:space="preserve">Desviación menor a 0,02 puntos en 3 meses</t>
  </si>
  <si>
    <t xml:space="preserve">El rendimiento del sensor.</t>
  </si>
  <si>
    <t xml:space="preserve">Menor merma y devoluciones</t>
  </si>
  <si>
    <t xml:space="preserve">2,0 % de las ventas, por causa (vencimiento, cadena de frío, empaque, devolución); ERP</t>
  </si>
  <si>
    <t xml:space="preserve">Merma por causa sobre ventas</t>
  </si>
  <si>
    <t xml:space="preserve">Jefes de logística y calidad; mensual</t>
  </si>
  <si>
    <t xml:space="preserve">1,5 % sostenido 6 meses</t>
  </si>
  <si>
    <t xml:space="preserve">El sobrepeso (sale dentro del empaque y no se registra como merma) y el yogur sobreacidificado (H2).</t>
  </si>
  <si>
    <t xml:space="preserve">Mantenimiento preventivo</t>
  </si>
  <si>
    <t xml:space="preserve">Gasto de 12 meses en órdenes, repuestos y paros</t>
  </si>
  <si>
    <t xml:space="preserve">Gasto de mantenimiento por hora de operación</t>
  </si>
  <si>
    <t xml:space="preserve">Jefe de mantenimiento; mensual</t>
  </si>
  <si>
    <t xml:space="preserve">Ahorro neto de 20 % frente a la línea base</t>
  </si>
  <si>
    <t xml:space="preserve">El mantenimiento de los equipos nuevos (3 % de su costo, en costos nuevos).</t>
  </si>
  <si>
    <t xml:space="preserve">Menor sobrepeso de los quesos</t>
  </si>
  <si>
    <t xml:space="preserve">1,0 % sobre el peso declarado; muestreo de 30 unidades por turno</t>
  </si>
  <si>
    <t xml:space="preserve">Sobrepeso promedio por referencia</t>
  </si>
  <si>
    <t xml:space="preserve">Jefe de calidad; por turno</t>
  </si>
  <si>
    <t xml:space="preserve">0,5 % con la controladora de peso</t>
  </si>
  <si>
    <t xml:space="preserve">La merma y las devoluciones.</t>
  </si>
  <si>
    <t xml:space="preserve">Programación con el estado real de la planta (H9)</t>
  </si>
  <si>
    <t xml:space="preserve">1 % de las ventas de quesos tarde o incompleto; 1,5 h/día de conciliación</t>
  </si>
  <si>
    <t xml:space="preserve">Pedidos completos y a tiempo (OTIF); horas de digitación</t>
  </si>
  <si>
    <t xml:space="preserve">Jefe de planeación y gerente comercial; mensual</t>
  </si>
  <si>
    <t xml:space="preserve">Dos tercios menos de pedidos incumplidos en 6 meses</t>
  </si>
  <si>
    <t xml:space="preserve">El descuento por otras causas (precio, cliente).</t>
  </si>
  <si>
    <t xml:space="preserve">Hiladora: más doble crema y mozzarella</t>
  </si>
  <si>
    <t xml:space="preserve">kg/h y queso perdido en el hilado manual; registros de lote</t>
  </si>
  <si>
    <t xml:space="preserve">Rendimiento y capacidad del hilado</t>
  </si>
  <si>
    <t xml:space="preserve">Prueba en la fábrica del proveedor con leche de la planta (compuerta 2)</t>
  </si>
  <si>
    <t xml:space="preserve">El rendimiento del sensor de coagulación.</t>
  </si>
  <si>
    <t xml:space="preserve">Horas extra restantes (hiladora)</t>
  </si>
  <si>
    <t xml:space="preserve">Las que quedan después del orden del hilado</t>
  </si>
  <si>
    <t xml:space="preserve">Cero horas extra de hilado en régimen</t>
  </si>
  <si>
    <t xml:space="preserve">Las del orden del hilado (etapa 0).</t>
  </si>
  <si>
    <t xml:space="preserve">CIP automático</t>
  </si>
  <si>
    <t xml:space="preserve">Agua, químicos, vapor y horas por ciclo de lavado</t>
  </si>
  <si>
    <t xml:space="preserve">Costo por ciclo, con limpieza validada (ATP)</t>
  </si>
  <si>
    <t xml:space="preserve">Jefes de mantenimiento y calidad; mensual</t>
  </si>
  <si>
    <t xml:space="preserve">Un tercio menos de gasto, sin fallas de limpieza</t>
  </si>
  <si>
    <t xml:space="preserve">La energía del CIP (en costos nuevos).</t>
  </si>
  <si>
    <t xml:space="preserve">Venta del suero enfriado (opción, fuera de la oferta)</t>
  </si>
  <si>
    <t xml:space="preserve">8.188 kg/día a $30/kg</t>
  </si>
  <si>
    <t xml:space="preserve">Precio neto por kg vendido</t>
  </si>
  <si>
    <t xml:space="preserve">Gerente comercial; mensual</t>
  </si>
  <si>
    <t xml:space="preserve">Contrato firmado a $49/kg o más antes de comprar el enfriador (compuerta 2); por debajo, no se compra</t>
  </si>
  <si>
    <t xml:space="preserve">La energía del enfriamiento, que se resta al evaluar la opción.</t>
  </si>
  <si>
    <t xml:space="preserve">Balance de sólidos y humedad por lote (H11)</t>
  </si>
  <si>
    <t xml:space="preserve">Rendimiento de cada lote frente al de Van Slyke; humedad del queso y grasa y proteína del suero (un mes de lotes, laboratorio)</t>
  </si>
  <si>
    <t xml:space="preserve">Eficiencia de rendimiento por lote</t>
  </si>
  <si>
    <t xml:space="preserve">Ingeniero de procesos y jefe de calidad; por lote</t>
  </si>
  <si>
    <t xml:space="preserve">Lotes bajos llevados a la mediana: 0,5 % más queso en 6 meses</t>
  </si>
  <si>
    <t xml:space="preserve">El sensor de coagulación y la hiladora (se descuentan de la línea base).</t>
  </si>
  <si>
    <t xml:space="preserve">Mezcla óptima de los quesos (H12)</t>
  </si>
  <si>
    <t xml:space="preserve">Leche por queso de hoy (4.500 / 3.000 / 1.500 L) y costo real por lote de un mes</t>
  </si>
  <si>
    <t xml:space="preserve">Margen de contribución de la quesería por litro</t>
  </si>
  <si>
    <t xml:space="preserve">Contador de costos con Ventas (IntegraMotion acompaña el primer ciclo); mensual</t>
  </si>
  <si>
    <t xml:space="preserve">Mezcla aprobada en la reunión mensual y ventas del doble crema sin bajar el precio</t>
  </si>
  <si>
    <t xml:space="preserve">El queso adicional de la hiladora (va en su beneficio).</t>
  </si>
  <si>
    <t xml:space="preserve">Contrato de marca propia con la cadena</t>
  </si>
  <si>
    <t xml:space="preserve">Sin contrato hoy: la cadena pide trazabilidad, peso controlado y entregas completas</t>
  </si>
  <si>
    <t xml:space="preserve">Ventas y margen del segundo lote; entregas completas y a tiempo a la cadena</t>
  </si>
  <si>
    <t xml:space="preserve">Gerente comercial y contador de costos; mensual</t>
  </si>
  <si>
    <t xml:space="preserve">Contrato firmado con pronto pago antes de comprar la hiladora (compuerta 2); 98 % de entregas completas y a tiempo</t>
  </si>
  <si>
    <t xml:space="preserve">La mezcla óptima ni el queso de más de la hiladora: el contrato es leche adicional comprada al acopio, en un segundo lote</t>
  </si>
  <si>
    <t xml:space="preserve">Control nocturno del yogur (H10 y H2)</t>
  </si>
  <si>
    <t xml:space="preserve">2 % de lotes fuera de pH final; registro de pH por turno</t>
  </si>
  <si>
    <t xml:space="preserve">Lotes sobreacidificados o reprocesados</t>
  </si>
  <si>
    <t xml:space="preserve">Jefe de producción de yogur; semanal</t>
  </si>
  <si>
    <t xml:space="preserve">1 % en 3 meses</t>
  </si>
  <si>
    <t xml:space="preserve">La nómina: se valora a costo variable (leche, insumos, energía).</t>
  </si>
  <si>
    <t xml:space="preserve">Mantenimiento autónomo (H10)</t>
  </si>
  <si>
    <t xml:space="preserve">Puesto que pide el plan preventivo y no existe</t>
  </si>
  <si>
    <t xml:space="preserve">Tareas de inspección y lubricación cumplidas</t>
  </si>
  <si>
    <t xml:space="preserve">90 % de cumplimiento sin contratar</t>
  </si>
  <si>
    <t xml:space="preserve">El ahorro del plan preventivo.</t>
  </si>
  <si>
    <t xml:space="preserve">Tarifa de energía eléctrica</t>
  </si>
  <si>
    <t xml:space="preserve">$/kWh</t>
  </si>
  <si>
    <t xml:space="preserve">Enel Colombia, tarifa comercial e industrial, agosto de 2026.</t>
  </si>
  <si>
    <t xml:space="preserve">Precio del gas natural para la industria</t>
  </si>
  <si>
    <t xml:space="preserve">US$/MBTU</t>
  </si>
  <si>
    <t xml:space="preserve">Precio esperado para la industria en 2026 con gas importado (Vanti, en Portafolio).</t>
  </si>
  <si>
    <t xml:space="preserve">Tasa de cambio</t>
  </si>
  <si>
    <t xml:space="preserve">$/US$</t>
  </si>
  <si>
    <t xml:space="preserve">Hoja Cotizaciones.</t>
  </si>
  <si>
    <t xml:space="preserve">Energía útil de un kg de vapor</t>
  </si>
  <si>
    <t xml:space="preserve">MJ/kg</t>
  </si>
  <si>
    <t xml:space="preserve">Vapor saturado de baja presión.</t>
  </si>
  <si>
    <t xml:space="preserve">Eficiencia de la caldera</t>
  </si>
  <si>
    <t xml:space="preserve">Caldera de gas en buen estado.</t>
  </si>
  <si>
    <t xml:space="preserve">Costo del vapor</t>
  </si>
  <si>
    <t xml:space="preserve">1 MBTU = 1.055 MJ.</t>
  </si>
  <si>
    <t xml:space="preserve">Vapor de la hiladora</t>
  </si>
  <si>
    <t xml:space="preserve">kg/kg de queso hilado</t>
  </si>
  <si>
    <t xml:space="preserve">Hiladora con inyección de vapor; se cuenta todo como adicional aunque reemplaza el agua caliente de las marmitas.</t>
  </si>
  <si>
    <t xml:space="preserve">Calor específico del suero</t>
  </si>
  <si>
    <t xml:space="preserve">kJ/kg·K</t>
  </si>
  <si>
    <t xml:space="preserve">Enfriamiento con agua helada</t>
  </si>
  <si>
    <t xml:space="preserve">°C</t>
  </si>
  <si>
    <t xml:space="preserve">De 20 a 4 °C; el primer tramo, de 38 a 20 °C, se hace con agua de torre.</t>
  </si>
  <si>
    <t xml:space="preserve">Rendimiento del equipo de agua helada</t>
  </si>
  <si>
    <t xml:space="preserve">kWh frío/kWh eléctrico</t>
  </si>
  <si>
    <t xml:space="preserve">Valor típico de un enfriador de agua.</t>
  </si>
  <si>
    <t xml:space="preserve">Consumo eléctrico</t>
  </si>
  <si>
    <t xml:space="preserve">kW</t>
  </si>
  <si>
    <t xml:space="preserve">kWh/día</t>
  </si>
  <si>
    <t xml:space="preserve">Días/año</t>
  </si>
  <si>
    <t xml:space="preserve">kWh/año</t>
  </si>
  <si>
    <t xml:space="preserve">Quesería ($ M/año)</t>
  </si>
  <si>
    <t xml:space="preserve">Controladora de peso y detector de metales</t>
  </si>
  <si>
    <t xml:space="preserve">Medidor de grasa en línea (recepción común)</t>
  </si>
  <si>
    <t xml:space="preserve">SCADA: servidor, red y estaciones</t>
  </si>
  <si>
    <t xml:space="preserve">Hiladora-moldeadora: motores y bombas</t>
  </si>
  <si>
    <t xml:space="preserve">CIP: bombas de impulsión y retorno</t>
  </si>
  <si>
    <t xml:space="preserve">Enfriamiento del suero: agua helada y bombas (opción del suero, fuera de la oferta)</t>
  </si>
  <si>
    <t xml:space="preserve">kg de vapor/día</t>
  </si>
  <si>
    <t xml:space="preserve">Las liras con variador reemplazan motores que ya existen: no suman consumo.</t>
  </si>
  <si>
    <t xml:space="preserve">Costo del enfriamiento por kg de suero</t>
  </si>
  <si>
    <t xml:space="preserve">Sale del consumo de energía del enfriamiento (tabla de arriba).</t>
  </si>
  <si>
    <t xml:space="preserve">Calibración y verificación</t>
  </si>
  <si>
    <t xml:space="preserve">$ M/año (planta)</t>
  </si>
  <si>
    <t xml:space="preserve">Controladora de peso: calibración con pesas patrón</t>
  </si>
  <si>
    <t xml:space="preserve">Detector de metales: probetas de prueba y verificación</t>
  </si>
  <si>
    <t xml:space="preserve">Medidor de grasa: contraste con el laboratorio y recalibración</t>
  </si>
  <si>
    <t xml:space="preserve">Sensores de coagulación, temperatura y caudal de las tinas</t>
  </si>
  <si>
    <t xml:space="preserve">Conductivímetros y temperatura del CIP</t>
  </si>
  <si>
    <t xml:space="preserve">Laboratorio acreditado por el ONAC; se cotiza en la etapa 0.</t>
  </si>
  <si>
    <t xml:space="preserve">Costos nuevos de la quesería ($ M/año)</t>
  </si>
  <si>
    <t xml:space="preserve">Etapa 1</t>
  </si>
  <si>
    <t xml:space="preserve">Etapa 2</t>
  </si>
  <si>
    <t xml:space="preserve">Energía, vapor y calibración</t>
  </si>
  <si>
    <t xml:space="preserve">Se suman al mantenimiento de los equipos nuevos (3 % de su costo al año) y a las suscripciones del SCADA de la hoja Quesería.</t>
  </si>
  <si>
    <t xml:space="preserve">Cotizaciones y precios de referencia de los equipos</t>
  </si>
  <si>
    <t xml:space="preserve">Precios publicados en octubre de 2026, convertidos a pesos con la TRM y el euro del día. Sin cotización formal todavía: las cifras en azul se reemplazan cuando lleguen las de los proveedores.</t>
  </si>
  <si>
    <t xml:space="preserve">Tasas de cambio y factores</t>
  </si>
  <si>
    <t xml:space="preserve">Fuente</t>
  </si>
  <si>
    <t xml:space="preserve">Tasa representativa del mercado (16 de octubre de 2026)</t>
  </si>
  <si>
    <t xml:space="preserve">Superintendencia Financiera, citada por Noticias Caracol, 16-oct-2026.</t>
  </si>
  <si>
    <t xml:space="preserve">Euro en pesos (15 de octubre de 2026)</t>
  </si>
  <si>
    <t xml:space="preserve">$/€</t>
  </si>
  <si>
    <t xml:space="preserve">Investing.com, citado por Portafolio, 15-oct-2026.</t>
  </si>
  <si>
    <t xml:space="preserve">Flete, seguro, arancel y nacionalización de un equipo importado</t>
  </si>
  <si>
    <t xml:space="preserve">Supuesto: flete marítimo e internación desde Asia o Europa; confirmar con el agente de aduanas.</t>
  </si>
  <si>
    <t xml:space="preserve">Instalación, integración y puesta en marcha</t>
  </si>
  <si>
    <t xml:space="preserve">Supuesto: montaje, cableado al PLC y pruebas en sitio.</t>
  </si>
  <si>
    <t xml:space="preserve">Equipos de la inversión</t>
  </si>
  <si>
    <t xml:space="preserve">Equipo</t>
  </si>
  <si>
    <t xml:space="preserve">Precio de referencia</t>
  </si>
  <si>
    <t xml:space="preserve">Moneda</t>
  </si>
  <si>
    <t xml:space="preserve">Precio en $ M</t>
  </si>
  <si>
    <t xml:space="preserve">Con nacionalización e instalación ($ M)</t>
  </si>
  <si>
    <t xml:space="preserve">Valor en el modelo ($ M)</t>
  </si>
  <si>
    <t xml:space="preserve">Estado</t>
  </si>
  <si>
    <t xml:space="preserve">Lectura</t>
  </si>
  <si>
    <t xml:space="preserve">Controladora de peso y detector de metales (estación E18)</t>
  </si>
  <si>
    <t xml:space="preserve">US$</t>
  </si>
  <si>
    <t xml:space="preserve">Precio publicado</t>
  </si>
  <si>
    <t xml:space="preserve">Made-in-China, catálogo de controladoras de peso: equipo combinado con detector de metales, US$6.500–7.000 por unidad (oct-2026).</t>
  </si>
  <si>
    <t xml:space="preserve">Equipo de origen chino. Una marca europea puede costar 3 a 4 veces más; se recomienda pedir las dos cotizaciones.</t>
  </si>
  <si>
    <t xml:space="preserve">Hiladora-moldeadora continua de 300 kg/h</t>
  </si>
  <si>
    <t xml:space="preserve">€</t>
  </si>
  <si>
    <t xml:space="preserve">Estimado con referencias</t>
  </si>
  <si>
    <t xml:space="preserve">Werktuigen: DIMA 100 Compact usada (2023), 100 kg/h, €39.000. Ullmer's: cocedora-hiladora DIMA usada, US$35.000. Made-in-China: cocedora-hiladora por lotes, US$12.500–18.500.</t>
  </si>
  <si>
    <t xml:space="preserve">Las referencias son de máquinas usadas de 100 kg/h o de equipos por lotes. Una continua nueva de 300 kg/h (Milkylab, CMT, Dima) es de precio a solicitud; el estimado equivale a unos US$102.000.</t>
  </si>
  <si>
    <t xml:space="preserve">Accio: sistemas CIP automáticos de US$4.000–10.000 (estaciones pequeñas) hasta US$80.000 (línea completa de leche).</t>
  </si>
  <si>
    <t xml:space="preserve">El estimado (un tercio de una estación de tres circuitos) está dentro del rango publicado.</t>
  </si>
  <si>
    <t xml:space="preserve">SCADA, historiador y MES ligero (licencias Ignition)</t>
  </si>
  <si>
    <t xml:space="preserve">Valorado en el BOM</t>
  </si>
  <si>
    <t xml:space="preserve">Detalle ítem por ítem en la hoja BOM.</t>
  </si>
  <si>
    <t xml:space="preserve">Las licencias son una parte; el valor del modelo incluye servidor, red e instrumentación de la quesería.</t>
  </si>
  <si>
    <t xml:space="preserve">Controlador de las tinas (CompactLogix 1769-L33ER)</t>
  </si>
  <si>
    <t xml:space="preserve">NJT Automation: 1769-L33ER nuevo, caja abierta, US$2.199,99.</t>
  </si>
  <si>
    <t xml:space="preserve">Componente incluido en la automatización de las tinas; se muestra como referencia del costo del control.</t>
  </si>
  <si>
    <t xml:space="preserve">Automatización de 2 tinas (liras con variador, sensor de coagulación, dosificación)</t>
  </si>
  <si>
    <t xml:space="preserve">Tina del doble crema: medición y mando básicos</t>
  </si>
  <si>
    <t xml:space="preserve">Medidor de grasa en línea (planta)</t>
  </si>
  <si>
    <t xml:space="preserve">Enfriador de placas y tanque pulmón del suero</t>
  </si>
  <si>
    <t xml:space="preserve">Estimado</t>
  </si>
  <si>
    <t xml:space="preserve">Pendiente de cotización.</t>
  </si>
  <si>
    <t xml:space="preserve">Siguiente paso: solicitud formal de cotización a proveedores en Colombia (equipos de proceso lácteo, instrumentación y control) para la hiladora, las tinas, el medidor de grasa, el CIP y la estación E18.</t>
  </si>
  <si>
    <t xml:space="preserve">BOM: lista de materiales del proyecto, del diseño técnico a la inversión</t>
  </si>
  <si>
    <t xml:space="preserve">Cada ítem sale del diseño técnico del proyecto (instrumentación de la sección 7 del README, modelo físico ISA-88, arquitectura ISA-95) y entra a la inversión de la hoja Quesería por su rubro. Lo especifica el paquete de la EDT indicado; el ingeniero de gestión y finanzas lo cotiza (paquete 6.1).</t>
  </si>
  <si>
    <t xml:space="preserve">Tasas y factores</t>
  </si>
  <si>
    <t xml:space="preserve">Dólar</t>
  </si>
  <si>
    <t xml:space="preserve">Euro</t>
  </si>
  <si>
    <t xml:space="preserve">Libra esterlina</t>
  </si>
  <si>
    <t xml:space="preserve">$/£</t>
  </si>
  <si>
    <t xml:space="preserve">Dólar × 1,33 US$/£ (estimado, octubre de 2026).</t>
  </si>
  <si>
    <t xml:space="preserve">Importación directa</t>
  </si>
  <si>
    <t xml:space="preserve">Flete, seguro, arancel y aduana de un equipo que se trae del exterior; hoja Cotizaciones.</t>
  </si>
  <si>
    <t xml:space="preserve">Instalación</t>
  </si>
  <si>
    <t xml:space="preserve">Montaje, cableado al PLC y pruebas; hoja Cotizaciones.</t>
  </si>
  <si>
    <t xml:space="preserve">Compra a un distribuidor en Colombia</t>
  </si>
  <si>
    <t xml:space="preserve">Instrumentos, control y red comprados a distribuidores con stock local (Endress+Hauser, Rockwell, Siemens): el precio local suele ser el de lista más 10 a 20 %. Confirmar con su cotización.</t>
  </si>
  <si>
    <t xml:space="preserve">Lista de materiales</t>
  </si>
  <si>
    <t xml:space="preserve">Tag</t>
  </si>
  <si>
    <t xml:space="preserve">Descripción</t>
  </si>
  <si>
    <t xml:space="preserve">Rubro de la inversión</t>
  </si>
  <si>
    <t xml:space="preserve">Cantidad</t>
  </si>
  <si>
    <t xml:space="preserve">Precio unitario</t>
  </si>
  <si>
    <t xml:space="preserve">Origen (0 nacional, 1 importado, 2 distribuidor)</t>
  </si>
  <si>
    <t xml:space="preserve">Instalación (1 = sí)</t>
  </si>
  <si>
    <t xml:space="preserve">Valor ($ M)</t>
  </si>
  <si>
    <t xml:space="preserve">Paquete de la EDT</t>
  </si>
  <si>
    <t xml:space="preserve">Madurez (1 a 4)</t>
  </si>
  <si>
    <t xml:space="preserve">IR-01</t>
  </si>
  <si>
    <t xml:space="preserve">Cámara termográfica para mantenimiento predictivo (FLIR E8 Pro)</t>
  </si>
  <si>
    <t xml:space="preserve">Etapa 0: herramientas de mantenimiento y medición</t>
  </si>
  <si>
    <t xml:space="preserve">2.1</t>
  </si>
  <si>
    <t xml:space="preserve">FLIR, precio de lista 2026.</t>
  </si>
  <si>
    <t xml:space="preserve">D0</t>
  </si>
  <si>
    <t xml:space="preserve">VA-01</t>
  </si>
  <si>
    <t xml:space="preserve">Analizador de vibraciones portátil</t>
  </si>
  <si>
    <t xml:space="preserve">Estimado.</t>
  </si>
  <si>
    <t xml:space="preserve">UL-01</t>
  </si>
  <si>
    <t xml:space="preserve">Detector ultrasónico de fugas de aire y vapor</t>
  </si>
  <si>
    <t xml:space="preserve">CMMS</t>
  </si>
  <si>
    <t xml:space="preserve">Software de mantenimiento (CMMS), suscripción del primer año</t>
  </si>
  <si>
    <t xml:space="preserve">$</t>
  </si>
  <si>
    <t xml:space="preserve">Estimado: unos $0,5 M al mes.</t>
  </si>
  <si>
    <t xml:space="preserve">BAL-02</t>
  </si>
  <si>
    <t xml:space="preserve">Pesas patrón y calibración de las básculas de la planta</t>
  </si>
  <si>
    <t xml:space="preserve">2.3</t>
  </si>
  <si>
    <t xml:space="preserve">MANT</t>
  </si>
  <si>
    <t xml:space="preserve">Repuestos y reparaciones urgentes que deje el diagnóstico (sellos, rodamientos, trampas de vapor)</t>
  </si>
  <si>
    <t xml:space="preserve">Estimado del diagnóstico; se ajusta con el inventario de fallas.</t>
  </si>
  <si>
    <t xml:space="preserve">FT-301/303</t>
  </si>
  <si>
    <t xml:space="preserve">Caudalímetro electromagnético sanitario DN50 (Promag H 100)</t>
  </si>
  <si>
    <t xml:space="preserve">Tinas TQ-301 y TQ-303, control y tablero</t>
  </si>
  <si>
    <t xml:space="preserve">3.1</t>
  </si>
  <si>
    <t xml:space="preserve">Instrumart, precio de lista (oct-2026).</t>
  </si>
  <si>
    <t xml:space="preserve">T13</t>
  </si>
  <si>
    <t xml:space="preserve">LT-301/303</t>
  </si>
  <si>
    <t xml:space="preserve">Radar de nivel sanitario (Micropilot FMR43)</t>
  </si>
  <si>
    <t xml:space="preserve">Instrumart, precio de lista.</t>
  </si>
  <si>
    <t xml:space="preserve">LSHH-301/303</t>
  </si>
  <si>
    <t xml:space="preserve">Interruptor de nivel alto por vibración (Liquiphant FTL33)</t>
  </si>
  <si>
    <t xml:space="preserve">TT-301/303</t>
  </si>
  <si>
    <t xml:space="preserve">RTD sanitaria Pt100 con transmisor de 4–20 mA</t>
  </si>
  <si>
    <t xml:space="preserve">Intempco RS80, US$230,50 (Instrumart), más transmisor estimado en US$250.</t>
  </si>
  <si>
    <t xml:space="preserve">XV-301/303</t>
  </si>
  <si>
    <t xml:space="preserve">Válvula de mariposa sanitaria DN50 con actuador neumático y posicionador on/off</t>
  </si>
  <si>
    <t xml:space="preserve">Tameson, precio de lista.</t>
  </si>
  <si>
    <t xml:space="preserve">TV-301/303</t>
  </si>
  <si>
    <t xml:space="preserve">Válvula de control del agua caliente y fría de la camisa</t>
  </si>
  <si>
    <t xml:space="preserve">SC-301/303</t>
  </si>
  <si>
    <t xml:space="preserve">Variador de velocidad de las liras de corte y agitación (PowerFlex 525, 7,5 kW)</t>
  </si>
  <si>
    <t xml:space="preserve">Estimado nuevo; NJT Automation lo publica usado en US$549,99. Las liras y sus motores ya existen.</t>
  </si>
  <si>
    <t xml:space="preserve">AT-301/303</t>
  </si>
  <si>
    <t xml:space="preserve">Sensor de coagulación en línea (tipo CoAguLite) con su transmisor</t>
  </si>
  <si>
    <t xml:space="preserve">Precio a solicitud; usa el PLC y el SCADA de la planta. Estimado.</t>
  </si>
  <si>
    <t xml:space="preserve">P-DOS</t>
  </si>
  <si>
    <t xml:space="preserve">Bombas dosificadoras de cuajo, cloruro de calcio y cultivo (ProMinent Gamma X)</t>
  </si>
  <si>
    <t xml:space="preserve">£</t>
  </si>
  <si>
    <t xml:space="preserve">TF Pumps, precio de lista.</t>
  </si>
  <si>
    <t xml:space="preserve">XV-DOS</t>
  </si>
  <si>
    <t xml:space="preserve">Válvulas de destino de la dosificación a cada tina</t>
  </si>
  <si>
    <t xml:space="preserve">BAL-01</t>
  </si>
  <si>
    <t xml:space="preserve">Balanza de ingredientes con salida Ethernet</t>
  </si>
  <si>
    <t xml:space="preserve">pH-M01</t>
  </si>
  <si>
    <t xml:space="preserve">pHmetro de mesa calibrado para la muestra de cuajada</t>
  </si>
  <si>
    <t xml:space="preserve">PLC-300</t>
  </si>
  <si>
    <t xml:space="preserve">Controlador CompactLogix 5380 (5069-L320ER)</t>
  </si>
  <si>
    <t xml:space="preserve">3.2</t>
  </si>
  <si>
    <t xml:space="preserve">NJT Automation, reacondicionado; nuevo con el distribuidor.</t>
  </si>
  <si>
    <t xml:space="preserve">AI-300</t>
  </si>
  <si>
    <t xml:space="preserve">Módulo de 8 entradas analógicas (5069-IF8)</t>
  </si>
  <si>
    <t xml:space="preserve">NJT Automation.</t>
  </si>
  <si>
    <t xml:space="preserve">AO-300</t>
  </si>
  <si>
    <t xml:space="preserve">Módulo de 4 salidas analógicas (5069-OF4)</t>
  </si>
  <si>
    <t xml:space="preserve">DI-300</t>
  </si>
  <si>
    <t xml:space="preserve">Módulo de 16 entradas digitales (5069-IB16)</t>
  </si>
  <si>
    <t xml:space="preserve">NJT Automation, nuevo en caja abierta.</t>
  </si>
  <si>
    <t xml:space="preserve">DO-300</t>
  </si>
  <si>
    <t xml:space="preserve">Módulo de 16 salidas digitales (5069-OB16)</t>
  </si>
  <si>
    <t xml:space="preserve">PS-300</t>
  </si>
  <si>
    <t xml:space="preserve">Distribuidor de potencia del bus (5069-FPD) y fuente de 24 V</t>
  </si>
  <si>
    <t xml:space="preserve">TC-300</t>
  </si>
  <si>
    <t xml:space="preserve">Tablero de control en acero inoxidable: protecciones, borneras, cableado y canalización</t>
  </si>
  <si>
    <t xml:space="preserve">Estimado de un tablerista nacional.</t>
  </si>
  <si>
    <t xml:space="preserve">FT-302</t>
  </si>
  <si>
    <t xml:space="preserve">Tina TQ-302 del doble crema</t>
  </si>
  <si>
    <t xml:space="preserve">Instrumart.</t>
  </si>
  <si>
    <t xml:space="preserve">T2</t>
  </si>
  <si>
    <t xml:space="preserve">LT-302</t>
  </si>
  <si>
    <t xml:space="preserve">LSHH-302</t>
  </si>
  <si>
    <t xml:space="preserve">Interruptor de nivel alto (Liquiphant FTL33)</t>
  </si>
  <si>
    <t xml:space="preserve">TT-302</t>
  </si>
  <si>
    <t xml:space="preserve">RTD sanitaria Pt100 con transmisor</t>
  </si>
  <si>
    <t xml:space="preserve">Intempco RS80 más transmisor estimado.</t>
  </si>
  <si>
    <t xml:space="preserve">XV-302</t>
  </si>
  <si>
    <t xml:space="preserve">Válvula de mariposa sanitaria DN50 con actuador neumático</t>
  </si>
  <si>
    <t xml:space="preserve">Tameson.</t>
  </si>
  <si>
    <t xml:space="preserve">TV-302</t>
  </si>
  <si>
    <t xml:space="preserve">Válvula de control de la camisa</t>
  </si>
  <si>
    <t xml:space="preserve">E18</t>
  </si>
  <si>
    <t xml:space="preserve">Controladora de peso con detector de metales (estación E18)</t>
  </si>
  <si>
    <t xml:space="preserve">Estación E18 de inspección</t>
  </si>
  <si>
    <t xml:space="preserve">AT-GR</t>
  </si>
  <si>
    <t xml:space="preserve">Analizador de grasa en línea para la estandarización (NIR)</t>
  </si>
  <si>
    <t xml:space="preserve">Estandarización de grasa (recepción)</t>
  </si>
  <si>
    <t xml:space="preserve">FOSS, Anton Paar y Maselli: precio a solicitud. Estimado.</t>
  </si>
  <si>
    <t xml:space="preserve">GR</t>
  </si>
  <si>
    <t xml:space="preserve">FV-GR</t>
  </si>
  <si>
    <t xml:space="preserve">Válvula de remezcla de crema para la estandarización</t>
  </si>
  <si>
    <t xml:space="preserve">IGN-P</t>
  </si>
  <si>
    <t xml:space="preserve">Ignition Platform (servidor)</t>
  </si>
  <si>
    <t xml:space="preserve">SCADA, historiador y MES</t>
  </si>
  <si>
    <t xml:space="preserve">3.3</t>
  </si>
  <si>
    <t xml:space="preserve">Inductive Automation, lista 2026 (G2).</t>
  </si>
  <si>
    <t xml:space="preserve">SC</t>
  </si>
  <si>
    <t xml:space="preserve">IGN-A</t>
  </si>
  <si>
    <t xml:space="preserve">Ignition Application Building Suite (pantallas, alarmas, reportes)</t>
  </si>
  <si>
    <t xml:space="preserve">IGN-H</t>
  </si>
  <si>
    <t xml:space="preserve">Ignition Industrial Historian</t>
  </si>
  <si>
    <t xml:space="preserve">SRV-01</t>
  </si>
  <si>
    <t xml:space="preserve">Servidor del SCADA y el MES (Dell PowerEdge T160) con soporte de 3 años</t>
  </si>
  <si>
    <t xml:space="preserve">2.5</t>
  </si>
  <si>
    <t xml:space="preserve">SHI: configuración base más soporte ProSupport de 3 años (US$1.279).</t>
  </si>
  <si>
    <t xml:space="preserve">SW-01/02</t>
  </si>
  <si>
    <t xml:space="preserve">Switch industrial administrable</t>
  </si>
  <si>
    <t xml:space="preserve">AN-01</t>
  </si>
  <si>
    <t xml:space="preserve">Analizador de leche y suero por ultrasonido (grasa, proteína, sólidos no grasos y densidad) para el balance de sólidos por lote</t>
  </si>
  <si>
    <t xml:space="preserve">5.1</t>
  </si>
  <si>
    <t xml:space="preserve">Milkotester Master Pro, lista de Serowar 2026; calibración para suero.</t>
  </si>
  <si>
    <t xml:space="preserve">FW-01</t>
  </si>
  <si>
    <t xml:space="preserve">Firewall industrial entre la red de planta y la del ERP (zonas y conductos de IEC 62443), con un año de protección</t>
  </si>
  <si>
    <t xml:space="preserve">FortiGate Rugged 60F con FortiCare y UTP por un año (FGR-60F-BDL-950-12), lista de AVFirewalls 2026.</t>
  </si>
  <si>
    <t xml:space="preserve">HMI-01/02</t>
  </si>
  <si>
    <t xml:space="preserve">Estación de operación de acero inoxidable en la sala de tinas</t>
  </si>
  <si>
    <t xml:space="preserve">UPS-01</t>
  </si>
  <si>
    <t xml:space="preserve">UPS del servidor y del tablero</t>
  </si>
  <si>
    <t xml:space="preserve">MON-AT</t>
  </si>
  <si>
    <t xml:space="preserve">Monitoreo de estado de equipos antiguos (prensa, termoformadora, empacadoras, marmitas): transformador de corriente y contacto de marcha</t>
  </si>
  <si>
    <t xml:space="preserve">RIO-01/02</t>
  </si>
  <si>
    <t xml:space="preserve">Módulo de E/S remotas Ethernet para el monitoreo de equipos antiguos</t>
  </si>
  <si>
    <t xml:space="preserve">Precio de referencia de módulos Ethernet de 8 entradas digitales.</t>
  </si>
  <si>
    <t xml:space="preserve">HI-306</t>
  </si>
  <si>
    <t xml:space="preserve">Hiladora-moldeadora continua de 300 kg/h (E13), con su PLC y protocolo abierto</t>
  </si>
  <si>
    <t xml:space="preserve">Hiladora E13</t>
  </si>
  <si>
    <t xml:space="preserve">HI</t>
  </si>
  <si>
    <t xml:space="preserve">CIP-01</t>
  </si>
  <si>
    <t xml:space="preserve">CIP del circuito de quesos</t>
  </si>
  <si>
    <t xml:space="preserve">CIP</t>
  </si>
  <si>
    <t xml:space="preserve">HE-SU</t>
  </si>
  <si>
    <t xml:space="preserve">SU</t>
  </si>
  <si>
    <t xml:space="preserve">IO-E2</t>
  </si>
  <si>
    <t xml:space="preserve">Módulos de E/S para el CIP y el suero (5069: 1 IF8, 1 OF4, 2 IB16, 1 OB16)</t>
  </si>
  <si>
    <t xml:space="preserve">Instrumentación y control de la etapa 2</t>
  </si>
  <si>
    <t xml:space="preserve">NJT Automation y estimados, como en la etapa 1.</t>
  </si>
  <si>
    <t xml:space="preserve">E2</t>
  </si>
  <si>
    <t xml:space="preserve">TC-E2</t>
  </si>
  <si>
    <t xml:space="preserve">Ampliación del tablero de control</t>
  </si>
  <si>
    <t xml:space="preserve">FT/LT/TT-SU</t>
  </si>
  <si>
    <t xml:space="preserve">Caudal, nivel y temperatura del suero</t>
  </si>
  <si>
    <t xml:space="preserve">Mismos instrumentos de la etapa 1 en versión básica.</t>
  </si>
  <si>
    <t xml:space="preserve">TT/AT-315</t>
  </si>
  <si>
    <t xml:space="preserve">Temperatura y concentración de la salmuera (E15)</t>
  </si>
  <si>
    <t xml:space="preserve">CP-01</t>
  </si>
  <si>
    <t xml:space="preserve">Celda de paletizado con cobot, llave en mano (brazo, pinza, base, transportador y seguridad)</t>
  </si>
  <si>
    <t xml:space="preserve">Celda de paletizado (etapa 3, fuera de la evaluación)</t>
  </si>
  <si>
    <t xml:space="preserve">4.2</t>
  </si>
  <si>
    <t xml:space="preserve">Standard Bots (2026): celdas con cobot de US$60.000 a 160.000; brazo desde US$39.500.</t>
  </si>
  <si>
    <t xml:space="preserve">CP</t>
  </si>
  <si>
    <t xml:space="preserve">Total del BOM</t>
  </si>
  <si>
    <t xml:space="preserve">Hiladora, CIP y suero toman su valor de la hoja Cotizaciones, que ya incluye importación e instalación. Las licencias de Ignition no pagan importación ni instalación. Lo que es común a la planta lo paga la quesería en proporción a su leche (36 % de la recepción): las herramientas de mantenimiento, la estandarización de grasa y la plataforma del SCADA (licencias, servidor y red), que después reciben las demás líneas sin comprarla de nuevo. La señal de cada instrumento y actuador está en la lista de señales del paquete 3.1; el número de módulos de E/S cubre las señales con una reserva cercana al 25 %.</t>
  </si>
  <si>
    <t xml:space="preserve">Del BOM a la inversión de la quesería</t>
  </si>
  <si>
    <t xml:space="preserve">Rubro en la hoja Quesería</t>
  </si>
  <si>
    <t xml:space="preserve">Valor del BOM ($ M)</t>
  </si>
  <si>
    <t xml:space="preserve">Madurez ponderada</t>
  </si>
  <si>
    <t xml:space="preserve">Reparto a la quesería</t>
  </si>
  <si>
    <t xml:space="preserve">A la quesería ($ M)</t>
  </si>
  <si>
    <t xml:space="preserve">% imprevistos ponderado</t>
  </si>
  <si>
    <t xml:space="preserve">Valor en la hoja Quesería ($ M)</t>
  </si>
  <si>
    <t xml:space="preserve">Diferencia</t>
  </si>
  <si>
    <t xml:space="preserve">Fuera de la evaluación: se valora para la decisión de la etapa 3.</t>
  </si>
  <si>
    <t xml:space="preserve">Total que entra a la inversión (sin imprevistos)</t>
  </si>
  <si>
    <t xml:space="preserve">Comprobación: BOM que entra a la quesería − rubros de equipos de la hoja Quesería ($ M)</t>
  </si>
  <si>
    <t xml:space="preserve">El reparto de cada rubro pondera la parte de la quesería de cada ítem. Los imprevistos de cada rubro se ponderan con la madurez del precio de cada ítem; la hoja Quesería toma del BOM la madurez ponderada y el porcentaje de imprevistos de cada rubro.</t>
  </si>
  <si>
    <t xml:space="preserve">Escenarios de la oferta</t>
  </si>
  <si>
    <t xml:space="preserve">La misma evaluación de la hoja Quesería con los supuestos que más mueven el resultado. La columna Oferta reproduce la hoja Quesería. Los flujos de cada escenario están agrupados debajo: se abren con el signo + de la izquierda.</t>
  </si>
  <si>
    <t xml:space="preserve">Qué cambia en cada escenario</t>
  </si>
  <si>
    <t xml:space="preserve">Sin arranque en 2027</t>
  </si>
  <si>
    <t xml:space="preserve">Beneficios +20 %</t>
  </si>
  <si>
    <t xml:space="preserve">Inversión −20 %</t>
  </si>
  <si>
    <t xml:space="preserve">Costos operativos +30 %</t>
  </si>
  <si>
    <t xml:space="preserve">Costos operativos −30 %</t>
  </si>
  <si>
    <t xml:space="preserve">Inflación del consenso</t>
  </si>
  <si>
    <t xml:space="preserve">Inflación persistente</t>
  </si>
  <si>
    <t xml:space="preserve">Salario mínimo 2027: 7 %</t>
  </si>
  <si>
    <t xml:space="preserve">Salario mínimo 2027: 10 %</t>
  </si>
  <si>
    <t xml:space="preserve">Renta 30 %</t>
  </si>
  <si>
    <t xml:space="preserve">Crédito ordinario</t>
  </si>
  <si>
    <t xml:space="preserve">Garantía del FNG</t>
  </si>
  <si>
    <t xml:space="preserve">Sin las dos gestiones</t>
  </si>
  <si>
    <t xml:space="preserve">Adverso combinado</t>
  </si>
  <si>
    <t xml:space="preserve">Sin herramientas</t>
  </si>
  <si>
    <t xml:space="preserve">Con el costo de capital del proyecto</t>
  </si>
  <si>
    <t xml:space="preserve">Sin el contrato de la cadena</t>
  </si>
  <si>
    <t xml:space="preserve">Cadena sin pronto pago</t>
  </si>
  <si>
    <t xml:space="preserve">Con la opción del suero a $45/kg</t>
  </si>
  <si>
    <t xml:space="preserve">Enfriador del suero sin contrato</t>
  </si>
  <si>
    <t xml:space="preserve">Opción del suero sin descuento ambiental</t>
  </si>
  <si>
    <t xml:space="preserve">Horas extra restantes que elimina la hiladora (1 = se cuentan)</t>
  </si>
  <si>
    <t xml:space="preserve">Descuento ambiental del enfriador del suero (1 = se toma, si se compra)</t>
  </si>
  <si>
    <t xml:space="preserve">Valor de los equipos al año 10 (1 = se cuenta)</t>
  </si>
  <si>
    <t xml:space="preserve">Reubicación de los 2 operarios del hilado (1 = se cuenta)</t>
  </si>
  <si>
    <t xml:space="preserve">Factor de beneficios</t>
  </si>
  <si>
    <t xml:space="preserve">Factor de inversión</t>
  </si>
  <si>
    <t xml:space="preserve">Factor de costos operativos nuevos</t>
  </si>
  <si>
    <t xml:space="preserve">Tasa del crédito</t>
  </si>
  <si>
    <t xml:space="preserve">Ruta de inflación (1 base, 2 consenso, 3 persistente)</t>
  </si>
  <si>
    <t xml:space="preserve">Incremento del salario mínimo de 2027</t>
  </si>
  <si>
    <t xml:space="preserve">Costo de capital (1 = del proyecto; 0 = 16 % de la empresa)</t>
  </si>
  <si>
    <t xml:space="preserve">Depreciación fiscal por tipo de activo (1 = sí; 0 = todo a 10 años)</t>
  </si>
  <si>
    <t xml:space="preserve">Crédito fiscal por innovación, art. 256-1 (1 = se obtiene)</t>
  </si>
  <si>
    <t xml:space="preserve">Etapa 2 (1 = se hace)</t>
  </si>
  <si>
    <t xml:space="preserve">Beneficios según su respaldo (1 = caso conservador)</t>
  </si>
  <si>
    <t xml:space="preserve">Arranque de la etapa 1 en 2027 (1 = se cuenta)</t>
  </si>
  <si>
    <t xml:space="preserve">Contrato de marca propia con la cadena (1 = se firma)</t>
  </si>
  <si>
    <t xml:space="preserve">Pronto pago de la cadena a 30 días (1 = se pacta)</t>
  </si>
  <si>
    <t xml:space="preserve">Opción del suero: se compra el enfriador (1 = sí)</t>
  </si>
  <si>
    <t xml:space="preserve">Contrato de venta del suero enfriado a $45/kg (1 = se firma)</t>
  </si>
  <si>
    <t xml:space="preserve">Ajuste de las tasas nominales por la inflación de la ruta (Fisher)</t>
  </si>
  <si>
    <t xml:space="preserve">Conservador: cada beneficio según su respaldo (contratado y medido 100 %, técnicamente justificado 75 %, por medir 50 %, hipotético 0 %), sin descuento ambiental ni crédito fiscal, con garantía del FNG y sin valor final de los equipos. Conservador con compuerta: lo mismo, pero la etapa 2 no se hace porque sus condiciones no se cumplen. Las rutas de inflación mueven las tasas nominales en la misma proporción (Fisher). Crédito ordinario: 15,7 %, tasa de los créditos empresariales a medianas empresas a 3–5 años en la misma fuente. Garantía del FNG: si el banco no acepta la prenda. Sin crédito fiscal: si el CNBT no certifica la inversión. Renta 30 %: si prospera la reducción anunciada por el Gobierno. Adverso combinado: beneficios −20 %, inversión +20 % y costos +30 % a la vez. Los escenarios de herramientas se explican en la hoja Herramientas.</t>
  </si>
  <si>
    <t xml:space="preserve">Resultados por escenario</t>
  </si>
  <si>
    <t xml:space="preserve">TIR del proyecto en pesos corrientes (frente al costo de capital)</t>
  </si>
  <si>
    <t xml:space="preserve">VPN al costo de capital ($ M de 2026)</t>
  </si>
  <si>
    <t xml:space="preserve">TIR del inversionista en pesos corrientes (frente al 25 %)</t>
  </si>
  <si>
    <t xml:space="preserve">Flujos de cada escenario (años 0 a 10)</t>
  </si>
  <si>
    <t xml:space="preserve">Análisis de riesgo de la oferta</t>
  </si>
  <si>
    <t xml:space="preserve">Cuánto puede empeorar cada supuesto antes de que el proyecto deje de valer la pena, y qué supuestos pesan más. Se calcula con la hoja Escenarios.</t>
  </si>
  <si>
    <t xml:space="preserve">Punto de equilibrio: variación que deja el VPN en cero</t>
  </si>
  <si>
    <t xml:space="preserve">Variación de equilibrio</t>
  </si>
  <si>
    <t xml:space="preserve">Valor de equilibrio</t>
  </si>
  <si>
    <t xml:space="preserve">Valor de la oferta</t>
  </si>
  <si>
    <t xml:space="preserve">Los beneficios pueden caer esta fracción y el proyecto todavía devuelve su costo de capital.</t>
  </si>
  <si>
    <t xml:space="preserve">La inversión puede subir esta fracción, además de los imprevistos que ya incluye.</t>
  </si>
  <si>
    <t xml:space="preserve">Los costos nuevos pueden subir esta fracción.</t>
  </si>
  <si>
    <t xml:space="preserve">El VPN cambia en línea recta con cada factor; por eso basta un escenario para hallar el punto donde se hace cero. En ese punto la TIR en pesos corrientes iguala el costo de capital.</t>
  </si>
  <si>
    <t xml:space="preserve">Sensibilidad del VPN (gráfico de tornado)</t>
  </si>
  <si>
    <t xml:space="preserve">VPN con el valor desfavorable</t>
  </si>
  <si>
    <t xml:space="preserve">VPN con el valor favorable</t>
  </si>
  <si>
    <t xml:space="preserve">Cambio desfavorable</t>
  </si>
  <si>
    <t xml:space="preserve">Cambio favorable</t>
  </si>
  <si>
    <t xml:space="preserve">Valores probados</t>
  </si>
  <si>
    <t xml:space="preserve">−20 % / +20 %</t>
  </si>
  <si>
    <t xml:space="preserve">Reubicación del personal</t>
  </si>
  <si>
    <t xml:space="preserve">Sin reubicación / con reubicación</t>
  </si>
  <si>
    <t xml:space="preserve">+20 % / −20 %</t>
  </si>
  <si>
    <t xml:space="preserve">+30 % / −30 %</t>
  </si>
  <si>
    <t xml:space="preserve">Supuestos del escenario conservador</t>
  </si>
  <si>
    <t xml:space="preserve">Beneficios según su respaldo / oferta</t>
  </si>
  <si>
    <t xml:space="preserve">Inflación</t>
  </si>
  <si>
    <t xml:space="preserve">Consenso de analistas / persistente</t>
  </si>
  <si>
    <t xml:space="preserve">Salario mínimo de 2027</t>
  </si>
  <si>
    <t xml:space="preserve">7 % / 10 %</t>
  </si>
  <si>
    <t xml:space="preserve">Gestiones de IntegraMotion (prenda y crédito fiscal)</t>
  </si>
  <si>
    <t xml:space="preserve">Sin ellas / con ellas</t>
  </si>
  <si>
    <t xml:space="preserve">VPN de la oferta ($ M)</t>
  </si>
  <si>
    <t xml:space="preserve">Inflación: las tasas nominales se mueven con la inflación de cada ruta, así que el cambio de VPN viene solo de lo pactado en pesos corrientes (deuda, depreciación fiscal, IVA y cartera). Salario mínimo: si sube más, valen más las horas extra y el puesto que se cubre con la reubicación.</t>
  </si>
  <si>
    <t xml:space="preserve">TIR en pesos corrientes</t>
  </si>
  <si>
    <t xml:space="preserve">VPN ($ M)</t>
  </si>
  <si>
    <t xml:space="preserve">Cobertura mínima</t>
  </si>
  <si>
    <t xml:space="preserve">Beneficios según su respaldo, haciendo la etapa 2 de todos modos.</t>
  </si>
  <si>
    <t xml:space="preserve">Beneficios según su respaldo; la compuerta detiene la etapa 2.</t>
  </si>
  <si>
    <t xml:space="preserve">Tres supuestos malos a la vez: es la prueba más dura.</t>
  </si>
  <si>
    <t xml:space="preserve">La inflación se queda cerca del 6,5 % hasta 2037.</t>
  </si>
  <si>
    <t xml:space="preserve">Si prospera la reducción de impuestos anunciada.</t>
  </si>
  <si>
    <t xml:space="preserve">Sin la línea de fomento.</t>
  </si>
  <si>
    <t xml:space="preserve">Si el banco no acepta la prenda.</t>
  </si>
  <si>
    <t xml:space="preserve">Si el CNBT no certifica la inversión.</t>
  </si>
  <si>
    <t xml:space="preserve">Ninguna de las dos gestiones sale.</t>
  </si>
  <si>
    <t xml:space="preserve">Primera compuerta no superada: se sale en la semana 16</t>
  </si>
  <si>
    <t xml:space="preserve">Se paga el contrato principal completo y las herramientas de la etapa 0; no se compran equipos ni se usa crédito. Es la pérdida que se acepta, con los ahorros conservadores de la etapa 0; el cálculo y su sensibilidad están en la hoja Herramientas.</t>
  </si>
  <si>
    <t xml:space="preserve">Plan de respuesta a los riesgos</t>
  </si>
  <si>
    <t xml:space="preserve">Toda empresa asume riesgos; la oferta no los elimina. Para cada uno define antes qué señal lo activa, la estrategia (evitar, mitigar, transferir o aceptar con una reserva, según el PMBOK), quién responde y con qué recursos.</t>
  </si>
  <si>
    <t xml:space="preserve">Señal que activa la respuesta</t>
  </si>
  <si>
    <t xml:space="preserve">Estrategia</t>
  </si>
  <si>
    <t xml:space="preserve">Quién responde</t>
  </si>
  <si>
    <t xml:space="preserve">Respuesta preparada, costo y dónde está en el modelo</t>
  </si>
  <si>
    <t xml:space="preserve">Los beneficios de la etapa 1 no se dan (rendimiento, grasa, merma, sobrepeso)</t>
  </si>
  <si>
    <t xml:space="preserve">La línea base medida en la etapa 0 da menos que el modelo; o 2 meses seguidos bajo la meta</t>
  </si>
  <si>
    <t xml:space="preserve">Evitar</t>
  </si>
  <si>
    <t xml:space="preserve">Jefe de quesería e ingeniero de procesos</t>
  </si>
  <si>
    <t xml:space="preserve">Primera compuerta: si con las pérdidas medidas la etapa 1 no tiene VPN positivo, no se compra. Lo comprometido es el contrato principal y las herramientas de la etapa 0; lo que se pierde está calculado en la hoja Herramientas. Ya comprada, el soporte del otrosí 1 ajusta recetas.</t>
  </si>
  <si>
    <t xml:space="preserve">La integración falla: la hiladora, el CIP o SAP no entregan los datos esperados</t>
  </si>
  <si>
    <t xml:space="preserve">El proveedor no entrega lista de señales y protocolo antes del otrosí 2; falla la prueba de interfaz con SAP</t>
  </si>
  <si>
    <t xml:space="preserve">Transferir y mitigar</t>
  </si>
  <si>
    <t xml:space="preserve">IntegraMotion y el proveedor del equipo</t>
  </si>
  <si>
    <t xml:space="preserve">La orden de compra exige lista de señales, protocolo abierto (EtherNet/IP u OPC UA) y pruebas en fábrica con acta. La interfaz con SAP se prueba con el PLC emulado antes del montaje. Si no alcanza, orden de cambio con las mismas tarifas.</t>
  </si>
  <si>
    <t xml:space="preserve">Retraso o falla en la puesta en marcha</t>
  </si>
  <si>
    <t xml:space="preserve">SPI del contrato menor a 0,90 (control por valor ganado); prueba de aceptación fallida</t>
  </si>
  <si>
    <t xml:space="preserve">Mitigar y transferir</t>
  </si>
  <si>
    <t xml:space="preserve">Director de proyecto de IntegraMotion</t>
  </si>
  <si>
    <t xml:space="preserve">Validación virtual antes del montaje y arranque tina por tina. Los retrasos de terceros se trasladan a sus contratos. Las horas extra de IntegraMotion salen de su imprevisto del AIU, no del cliente. Cada mes de retraso de la etapa 1 cuesta unos $20 M de beneficio.</t>
  </si>
  <si>
    <t xml:space="preserve">La limpieza o la trazabilidad no cumplen lo sanitario</t>
  </si>
  <si>
    <t xml:space="preserve">Hisopados ATP o análisis microbiológicos fuera de límite; observación del INVIMA</t>
  </si>
  <si>
    <t xml:space="preserve">Jefe de calidad con IntegraMotion</t>
  </si>
  <si>
    <t xml:space="preserve">El CIP se valida con el protocolo del proveedor (conductividad, temperatura, tiempo) antes de liberar. Los registros del punto crítico pasan al historiador con respaldo en papel dos meses; el termógrafo no se retira hasta validar.</t>
  </si>
  <si>
    <t xml:space="preserve">La cadena no firma el contrato de marca propia o exige 60 días de plazo</t>
  </si>
  <si>
    <t xml:space="preserve">No hay contrato firmado en la segunda compuerta, o la cadena rechaza el pronto pago</t>
  </si>
  <si>
    <t xml:space="preserve">Evitar y mitigar</t>
  </si>
  <si>
    <t xml:space="preserve">Gerente comercial de Lácteos Fúquene con IntegraMotion</t>
  </si>
  <si>
    <t xml:space="preserve">Sin contrato no se abre el segundo lote ni se compra leche adicional: el proyecto vuelve a su valor sin la cadena (escenario Sin el contrato de la cadena). Con 60 días, la cartera de más se cede a un banco o se acepta con la cobertura que muestra el escenario Cadena sin pronto pago.</t>
  </si>
  <si>
    <t xml:space="preserve">Nadie compra el suero a $45/kg</t>
  </si>
  <si>
    <t xml:space="preserve">No hay contrato firmado en la segunda compuerta</t>
  </si>
  <si>
    <t xml:space="preserve">Gerente comercial de Lácteos Fúquene</t>
  </si>
  <si>
    <t xml:space="preserve">El enfriador no se compra: se deja de ganar el beneficio del suero, pero no se pierde la inversión (escenario Sin el contrato del suero).</t>
  </si>
  <si>
    <t xml:space="preserve">La reubicación no funciona en la práctica</t>
  </si>
  <si>
    <t xml:space="preserve">El yogur sobreacidificado no baja en 3 meses; el operario no alcanza el desempeño del puesto</t>
  </si>
  <si>
    <t xml:space="preserve">Mitigar</t>
  </si>
  <si>
    <t xml:space="preserve">Gestión humana y jefe de producción</t>
  </si>
  <si>
    <t xml:space="preserve">Formación y dos semanas de acompañamiento en el otrosí 2. La matriz de competencias da la segunda mejor asignación. El escenario Sin reubicación del personal muestra el efecto.</t>
  </si>
  <si>
    <t xml:space="preserve">La cobertura de la deuda baja de 1,2</t>
  </si>
  <si>
    <t xml:space="preserve">La proyección de caja de 2029 muestra menos de 1,2 para 2030</t>
  </si>
  <si>
    <t xml:space="preserve">Gerente financiero de Lácteos Fúquene</t>
  </si>
  <si>
    <t xml:space="preserve">Prepago en 2029 con la segunda mitad del crédito fiscal y el IVA recuperado (supuesto de prepago de la hoja Quesería) o reserva de caja para la cuota de 2030. La deuda total de la empresa nunca pasa de 1,3 veces su EBITDA.</t>
  </si>
  <si>
    <t xml:space="preserve">La segunda compuerta no se supera y la deuda de la etapa 1 queda con menos beneficio</t>
  </si>
  <si>
    <t xml:space="preserve">Segunda compuerta no aprobada: con solo las etapas 0 y 1, la cobertura mínima de la deuda baja de 1,2</t>
  </si>
  <si>
    <t xml:space="preserve">Gerente financiero de Lácteos Fúquene con IntegraMotion</t>
  </si>
  <si>
    <t xml:space="preserve">El crédito de la etapa 2 no se desembolsa. Con la holgura de caja de 2027 se prepaga una pequeña parte del saldo, o se deja como reserva, y la cobertura vuelve a 1,2 (monto en la hoja Herramientas). Se acuerda con el banco al aprobar el crédito.</t>
  </si>
  <si>
    <t xml:space="preserve">Falta caja durante la implementación (anticipos, IVA que se recupera un año después)</t>
  </si>
  <si>
    <t xml:space="preserve">El flujo mensual del año 0 deja la caja por debajo de un mes de nómina</t>
  </si>
  <si>
    <t xml:space="preserve">Desembolsos del crédito atados a los hitos de pago; el aporte del dueño del año 0 es un 36 % de la caja de 2026 (hoja Empresa).</t>
  </si>
  <si>
    <t xml:space="preserve">El CNBT no certifica la inversión en innovación</t>
  </si>
  <si>
    <t xml:space="preserve">Resolución negativa o demora de más de 6 meses</t>
  </si>
  <si>
    <t xml:space="preserve">Aceptar con reserva</t>
  </si>
  <si>
    <t xml:space="preserve">IntegraMotion (ingeniero de gestión y finanzas)</t>
  </si>
  <si>
    <t xml:space="preserve">Se postula antes de ejecutar y solo con la parte de desarrollo. La etapa 2 no depende del crédito fiscal. Sin él el proyecto sigue creando valor (escenario Sin crédito fiscal por innovación).</t>
  </si>
  <si>
    <t xml:space="preserve">El banco exige la garantía del FNG</t>
  </si>
  <si>
    <t xml:space="preserve">Respuesta del comité de crédito</t>
  </si>
  <si>
    <t xml:space="preserve">IntegraMotion con el banco</t>
  </si>
  <si>
    <t xml:space="preserve">Prenda con avalúo de los equipos y el balance de la empresa ($6.500 M en activos fijos, deuda de 0,8 veces el EBITDA). El escenario Garantía del FNG muestra el efecto.</t>
  </si>
  <si>
    <t xml:space="preserve">La hiladora cuesta más que el estimado</t>
  </si>
  <si>
    <t xml:space="preserve">Cotización formal por encima del rubro con sus imprevistos</t>
  </si>
  <si>
    <t xml:space="preserve">Ingeniero de gestión y finanzas</t>
  </si>
  <si>
    <t xml:space="preserve">Imprevistos de 15 %; precio en pesos fijado al firmar o cubierto con un forward; la etapa 2 se puede aplazar sin perder la etapa 1.</t>
  </si>
  <si>
    <t xml:space="preserve">Fallas, repuestos importados u obsolescencia en 10 años</t>
  </si>
  <si>
    <t xml:space="preserve">Sube el tiempo de reparación; aviso de fin de soporte del fabricante</t>
  </si>
  <si>
    <t xml:space="preserve">Jefe de mantenimiento</t>
  </si>
  <si>
    <t xml:space="preserve">Equipos con distribuidor en Colombia (Rockwell, Endress+Hauser), repuestos críticos en la etapa 0, reposiciones de los años 5 y 6 en el flujo y mantenimiento de 3 % al año.</t>
  </si>
  <si>
    <t xml:space="preserve">Un ataque informático llega a la planta por la red del ERP</t>
  </si>
  <si>
    <t xml:space="preserve">Alertas del firewall; accesos remotos no autorizados</t>
  </si>
  <si>
    <t xml:space="preserve">IntegraMotion en el diseño; TI de la empresa en la operación</t>
  </si>
  <si>
    <t xml:space="preserve">Firewall entre la red de planta y la del ERP (zonas y conductos de IEC 62443), acceso remoto solo por VPN con doble factor y respaldos del PLC y el SCADA. El PLC sigue operando si cae la red. Costo: ítem FW-01 del BOM y su renovación.</t>
  </si>
  <si>
    <t xml:space="preserve">Sube el gas o la energía; la inflación no baja; el salario mínimo sube más</t>
  </si>
  <si>
    <t xml:space="preserve">Tarifas y decretos de cada año</t>
  </si>
  <si>
    <t xml:space="preserve">Aceptar</t>
  </si>
  <si>
    <t xml:space="preserve">Gerente financiero</t>
  </si>
  <si>
    <t xml:space="preserve">Los escenarios de costos +30 %, inflación y salario mínimo muestran que el proyecto los aguanta; los otrosíes se reajustan con el salario mínimo.</t>
  </si>
  <si>
    <t xml:space="preserve">Herramientas económicas de la oferta</t>
  </si>
  <si>
    <t xml:space="preserve">Lo que se hace con ingeniería económica, sin comprar equipos ni cambiar líneas, para que el valor de la propuesta no dependa de supuestos mal analizados. Se calcula con la hoja Escenarios.</t>
  </si>
  <si>
    <t xml:space="preserve">Herramientas, una sobre otra</t>
  </si>
  <si>
    <t xml:space="preserve">Paso</t>
  </si>
  <si>
    <t xml:space="preserve">Costo de capital</t>
  </si>
  <si>
    <t xml:space="preserve">VPN ($ M de 2026)</t>
  </si>
  <si>
    <t xml:space="preserve">Estado y base</t>
  </si>
  <si>
    <t xml:space="preserve">Punto de partida: costo de capital de 16 %, todo depreciado a 10 años, garantía del FNG</t>
  </si>
  <si>
    <t xml:space="preserve">Referencia.</t>
  </si>
  <si>
    <t xml:space="preserve">+ Costo de capital con la deuda que financia el proyecto</t>
  </si>
  <si>
    <t xml:space="preserve">El 16 % usaba el 18 % de la deuda actual de la empresa; el proyecto se financia con Bancóldex al 14,1 % más la garantía.</t>
  </si>
  <si>
    <t xml:space="preserve">+ Depreciación por tipo de activo y gastos deducibles en el año</t>
  </si>
  <si>
    <t xml:space="preserve">Art. 137 ET: equipo de cómputo y redes al 20 % anual; el diagnóstico, la formación y el aval son gastos del año.</t>
  </si>
  <si>
    <t xml:space="preserve">+ Prenda sobre los equipos en lugar de la garantía del FNG</t>
  </si>
  <si>
    <t xml:space="preserve">Gestión de IntegraMotion ante el banco (Ley 1676 de 2013).</t>
  </si>
  <si>
    <t xml:space="preserve">+ Crédito fiscal por innovación (art. 256-1 ET)</t>
  </si>
  <si>
    <t xml:space="preserve">Gestión de IntegraMotion ante Minciencias y el CNBT: 50 % de la parte de desarrollo de la etapa 1.</t>
  </si>
  <si>
    <t xml:space="preserve">Cada fila suma la herramienta a las de arriba; todas están en la oferta. Las dos primeras corrigen el análisis; las dos últimas son gestiones que IntegraMotion hace por el cliente.</t>
  </si>
  <si>
    <t xml:space="preserve">Cómo se consiguen las dos gestiones</t>
  </si>
  <si>
    <t xml:space="preserve">• Prenda sobre los equipos: avalúo de los equipos financiados, contrato de garantía mobiliaria inscrito en el registro de Confecámaras (Ley 1676 de 2013) y póliza todo riesgo endosada al banco. Argumento ante el banco: $6.500 M en activos fijos y deuda de 0,8 veces el EBITDA. Costo: avalúo y registro, y la póliza dentro de los costos operativos.</t>
  </si>
  <si>
    <t xml:space="preserve">• Crédito fiscal por innovación (art. 256-1): Lácteos Fúquene es mediana empresa. Se formula el proyecto de innovación (corte del cuajo con sensor de coagulación y modelo de control, estandarización de grasa por balance de masa en línea y MES) y se postula en la convocatoria de beneficios tributarios de Minciencias antes de ejecutarlo, con el aval de un actor reconocido. El CNBT certifica la inversión y el crédito se compensa con impuestos nacionales en los dos años siguientes (o en títulos TIDIS si supera 1.000 UVT).</t>
  </si>
  <si>
    <t xml:space="preserve">• Base del crédito: solo la parte de desarrollo; la compra de equipos estándar (controladora de peso, medidor de grasa, tina básica) no califica. Responsable: ingeniero de gestión y finanzas, como entregable del contrato principal.</t>
  </si>
  <si>
    <t xml:space="preserve">Opción del suero: precio mínimo para comprar el enfriador</t>
  </si>
  <si>
    <t xml:space="preserve">El beneficio del suero crece en línea con el precio que paga la fábrica; el costo del enfriador y de su energía no depende del precio. El precio mínimo es el que hace que la opción sume cero al VPN.</t>
  </si>
  <si>
    <t xml:space="preserve">VPN que aporta la diferencia de precio a $45/kg (con la opción − enfriador sin contrato)</t>
  </si>
  <si>
    <t xml:space="preserve">VPN que cuestan el enfriador y su energía, con el descuento ambiental (oferta − enfriador sin contrato)</t>
  </si>
  <si>
    <t xml:space="preserve">VPN del descuento ambiental</t>
  </si>
  <si>
    <t xml:space="preserve">Precio mínimo con el certificado de la CAR</t>
  </si>
  <si>
    <t xml:space="preserve">Precio mínimo sin el certificado de la CAR</t>
  </si>
  <si>
    <t xml:space="preserve">La segunda compuerta pide un contrato a $49/kg o más: cubre el caso sin certificado de la CAR. Por debajo de ese precio el suero se sigue vendiendo como hoy y no se compra el enfriador.</t>
  </si>
  <si>
    <t xml:space="preserve">Oportunidades que encontramos: qué exige cada una y por qué Lácteos Fúquene la cumple</t>
  </si>
  <si>
    <t xml:space="preserve">En el diagnóstico no solo buscamos pérdidas: también revisamos qué puede conseguir la empresa por su tamaño, su balance y su proceso. Ninguna oportunidad se da por hecha: cada una se comprueba antes de contar con ella y tiene su escenario sin ella.</t>
  </si>
  <si>
    <t xml:space="preserve">Oportunidad</t>
  </si>
  <si>
    <t xml:space="preserve">Qué exige</t>
  </si>
  <si>
    <t xml:space="preserve">Por qué Lácteos Fúquene la cumple</t>
  </si>
  <si>
    <t xml:space="preserve">Cómo y cuándo se comprueba</t>
  </si>
  <si>
    <t xml:space="preserve">Valor de referencia</t>
  </si>
  <si>
    <t xml:space="preserve">Aporte al VPN ($ M)</t>
  </si>
  <si>
    <t xml:space="preserve">Contrato de marca propia con una cadena de supermercados</t>
  </si>
  <si>
    <t xml:space="preserve">Trazabilidad de cada lote hasta el productor en menos de 4 horas, peso declarado controlado en línea, registros sanitarios digitales, 98 % de pedidos completos y a tiempo y un segundo lote diario de doble crema.</t>
  </si>
  <si>
    <t xml:space="preserve">Ya vende a cadenas y el doble crema es su queso menos expuesto a las importaciones. El MES, la controladora de peso y la hiladora del proyecto cierran las cuatro brechas; la leche del segundo lote se compra en las mismas rutas.</t>
  </si>
  <si>
    <t xml:space="preserve">Carta de intención en la etapa 0; contrato firmado con pronto pago a 30 días en la segunda compuerta.</t>
  </si>
  <si>
    <t xml:space="preserve">Venta del suero enfriado a una fábrica de alimento balanceado (opción, fuera de la oferta)</t>
  </si>
  <si>
    <t xml:space="preserve">Suero enfriado y entregado todos los días, con volumen estable y contrato anual reajustado por el IPC.</t>
  </si>
  <si>
    <t xml:space="preserve">Los quesos dejan 8.188 kg de suero al día todo el año. Un enfriador de placas y un tanque pulmón lo dejan apto para la fábrica, que paga más que el porcicultor que hoy lo recoge caliente. Pero enfriarlo cuesta energía: a $45/kg el enfriador no se paga.</t>
  </si>
  <si>
    <t xml:space="preserve">Dos cotizaciones en la etapa 0. El enfriador se compra solo con un contrato firmado a $49/kg o más, el precio mínimo de la columna siguiente redondeado hacia arriba (segunda compuerta).</t>
  </si>
  <si>
    <t xml:space="preserve">$/kg mínimo para comprar el enfriador (sin certificado de la CAR)</t>
  </si>
  <si>
    <t xml:space="preserve">Crédito de fomento con recursos de Bancóldex</t>
  </si>
  <si>
    <t xml:space="preserve">Ser mipyme (Decreto 957 de 2019), un proyecto de modernización y capacidad de pago ante el banco que redescuenta.</t>
  </si>
  <si>
    <t xml:space="preserve">Es mediana empresa por sus ventas de manufactura y su deuda es 0,8 veces el EBITDA.</t>
  </si>
  <si>
    <t xml:space="preserve">Aprobación del crédito antes de comprar la etapa 1 (primera compuerta).</t>
  </si>
  <si>
    <t xml:space="preserve">menos de tasa frente al crédito ordinario</t>
  </si>
  <si>
    <t xml:space="preserve">Prenda sobre los equipos en lugar de la garantía del FNG</t>
  </si>
  <si>
    <t xml:space="preserve">Equipos identificables y avaluables, póliza todo riesgo endosada al banco y prenda inscrita en el registro de garantías mobiliarias (Ley 1676 de 2013).</t>
  </si>
  <si>
    <t xml:space="preserve">Cada equipo financiado tiene tag y precio en el BOM; la empresa tiene $6.500 M en activos fijos y deuda de 0,8 veces el EBITDA.</t>
  </si>
  <si>
    <t xml:space="preserve">Respuesta del comité de crédito antes del primer desembolso.</t>
  </si>
  <si>
    <t xml:space="preserve">comisión anual del FNG sobre el saldo que se evita</t>
  </si>
  <si>
    <t xml:space="preserve">Crédito fiscal por innovación (art. 256-1 ET)</t>
  </si>
  <si>
    <t xml:space="preserve">Mipyme; proyecto de innovación con aval de un actor reconocido, postulado ante Minciencias antes de ejecutarlo. Solo cuenta la parte de desarrollo.</t>
  </si>
  <si>
    <t xml:space="preserve">El corte por coagulación con modelo de control, la estandarización de grasa por balance de masa en línea y el MES son desarrollo nuevo para la planta.</t>
  </si>
  <si>
    <t xml:space="preserve">Proyecto radicado en la primera compuerta; certificado del CNBT antes de declarar la renta en que se toma.</t>
  </si>
  <si>
    <t xml:space="preserve">$ M, en 2028 y 2029</t>
  </si>
  <si>
    <t xml:space="preserve">Descuento por inversión ambiental (art. 255 ET)</t>
  </si>
  <si>
    <t xml:space="preserve">Inversión en control ambiental certificada por la autoridad ambiental antes de declarar; el descuento no pasa del 25 % del impuesto del año.</t>
  </si>
  <si>
    <t xml:space="preserve">El suero tiene una carga orgánica muy alta (Resolución 631 de 2015); el enfriador y el tanque evitan verterlo.</t>
  </si>
  <si>
    <t xml:space="preserve">Solo si se ejerce la opción del suero: certificado de la CAR de Cundinamarca antes de declarar la renta de 2028.</t>
  </si>
  <si>
    <t xml:space="preserve">$ M, en 2028</t>
  </si>
  <si>
    <t xml:space="preserve">Aporte al VPN: VPN de la oferta menos el del escenario sin esa oportunidad (hoja Escenarios). El suero y su descuento ambiental no están en la oferta: su aporte es lo que sumarían a $45/kg. Los aportes no se suman: los impuestos y la deuda los cruzan. El IVA de los equipos (art. 258-1) no está en la tabla porque es un derecho de la norma, no una oportunidad.</t>
  </si>
  <si>
    <t xml:space="preserve">Beneficios tributarios y de financiación: requisitos y qué pasa si no se aprueban</t>
  </si>
  <si>
    <t xml:space="preserve">Postular no es obtener. Cada beneficio tiene su requisito, quién lo aprueba, cuándo llega y una respuesta si no se aprueba.</t>
  </si>
  <si>
    <t xml:space="preserve">Quién lo aprueba</t>
  </si>
  <si>
    <t xml:space="preserve">Requisito y rubros elegibles</t>
  </si>
  <si>
    <t xml:space="preserve">Cuándo llega</t>
  </si>
  <si>
    <t xml:space="preserve">Si no se aprueba</t>
  </si>
  <si>
    <t xml:space="preserve">CNBT, con la calificación de Minciencias</t>
  </si>
  <si>
    <t xml:space="preserve">Mediana empresa; proyecto de innovación con aval de un actor reconocido, postulado antes de ejecutar. Solo la parte de desarrollo: tinas con sensor, SCADA y MES, su ingeniería y el aval.</t>
  </si>
  <si>
    <t xml:space="preserve">Mitad en 2028 y mitad en 2029</t>
  </si>
  <si>
    <t xml:space="preserve">El VPN baja pero sigue positivo (escenario Sin crédito fiscal). La etapa 2 no depende de él.</t>
  </si>
  <si>
    <t xml:space="preserve">CAR de Cundinamarca (certificado)</t>
  </si>
  <si>
    <t xml:space="preserve">Solo si se ejerce la opción del suero: enfriador y tanque, que evitan verterlo; 25 % de la inversión con tope de 25 % del impuesto.</t>
  </si>
  <si>
    <t xml:space="preserve">El precio mínimo del suero sube de $46,1 a $48,4/kg; la compuerta ya pide $49/kg.</t>
  </si>
  <si>
    <t xml:space="preserve">IVA de equipos y contratos (art. 258-1 ET)</t>
  </si>
  <si>
    <t xml:space="preserve">DIAN, en la declaración de renta</t>
  </si>
  <si>
    <t xml:space="preserve">IVA pagado en bienes de capital y su instalación; se descuenta en la renta del año siguiente.</t>
  </si>
  <si>
    <t xml:space="preserve">2028 y 2029</t>
  </si>
  <si>
    <t xml:space="preserve">Es un derecho de la norma, no una postulación; el riesgo es de calendario, no de aprobación.</t>
  </si>
  <si>
    <t xml:space="preserve">Crédito de fomento con prenda (Bancóldex)</t>
  </si>
  <si>
    <t xml:space="preserve">Banco de la empresa (redescuento de Bancóldex)</t>
  </si>
  <si>
    <t xml:space="preserve">Mediana empresa con capacidad de pago; prenda inscrita sobre los equipos (Ley 1676 de 2013).</t>
  </si>
  <si>
    <t xml:space="preserve">Desembolsos en el año 0 y 2028</t>
  </si>
  <si>
    <t xml:space="preserve">Garantía del FNG o crédito ordinario: escenarios con su efecto en el VPN y la cobertura.</t>
  </si>
  <si>
    <t xml:space="preserve">Cómo se escogieron las medidas de valor del MES: matriz de criterios</t>
  </si>
  <si>
    <t xml:space="preserve">Candidatas que salieron del diagnóstico. Puntaje de 1 a 5 en cada criterio; el total pondera por el peso. Se escogieron las tres primeras: las tres usan los datos del MES que instala el proyecto y se quedan en la línea de quesos.</t>
  </si>
  <si>
    <t xml:space="preserve">Medida candidata</t>
  </si>
  <si>
    <t xml:space="preserve">Se queda en la línea de quesos</t>
  </si>
  <si>
    <t xml:space="preserve">Usa lo que instala el proyecto (MES, SCADA, ERP, sensores)</t>
  </si>
  <si>
    <t xml:space="preserve">Tamaño del valor</t>
  </si>
  <si>
    <t xml:space="preserve">Se mide con una línea base en la etapa 0</t>
  </si>
  <si>
    <t xml:space="preserve">Depende poco de supuestos externos</t>
  </si>
  <si>
    <t xml:space="preserve">Cuesta poco</t>
  </si>
  <si>
    <t xml:space="preserve">Puntaje</t>
  </si>
  <si>
    <t xml:space="preserve">Puesto</t>
  </si>
  <si>
    <t xml:space="preserve">Peso del criterio</t>
  </si>
  <si>
    <t xml:space="preserve">Balance de sólidos y humedad por lote en el MES</t>
  </si>
  <si>
    <t xml:space="preserve">Costo real por referencia y por lote</t>
  </si>
  <si>
    <t xml:space="preserve">Mezcla óptima de los tres quesos (programación lineal)</t>
  </si>
  <si>
    <t xml:space="preserve">Gestión de energía de la quesería con el SCADA</t>
  </si>
  <si>
    <t xml:space="preserve">Reunión de ventas y operaciones de quesos</t>
  </si>
  <si>
    <t xml:space="preserve">Trazabilidad por lote como herramienta comercial</t>
  </si>
  <si>
    <t xml:space="preserve">Leche por calidad hacia la quesería</t>
  </si>
  <si>
    <t xml:space="preserve">Capital de trabajo (cartera)</t>
  </si>
  <si>
    <t xml:space="preserve">Comprobación: los pesos suman 100 %</t>
  </si>
  <si>
    <t xml:space="preserve">La trazabilidad comercial queda como valor cualitativo (permite certificarse y entrar a cadenas exigentes); la leche por calidad, como recomendación que sale de los datos del balance de sólidos, porque se decide en la recepción común a las tres líneas.</t>
  </si>
  <si>
    <t xml:space="preserve">Propuestas operativas y organizacionales que aseguran los beneficios</t>
  </si>
  <si>
    <t xml:space="preserve">Propuesta</t>
  </si>
  <si>
    <t xml:space="preserve">Efecto en el VPN ($ M)</t>
  </si>
  <si>
    <t xml:space="preserve">Qué asegura</t>
  </si>
  <si>
    <t xml:space="preserve">Arranque de la etapa 1 en mayo de 2027</t>
  </si>
  <si>
    <t xml:space="preserve">El contrato principal se hace en el semestre 2026-2 y el otrosí 1 en marzo y abril de 2027. Se ganan 8 meses de beneficio y la compuerta de diciembre se decide con datos medidos, no con promesas.</t>
  </si>
  <si>
    <t xml:space="preserve">Línea base medida con un protocolo de medida y verificación (etapa 0)</t>
  </si>
  <si>
    <t xml:space="preserve">Responsable: jefe de quesería con el ingeniero de procesos. Indicadores normalizados para que no se confundan con cambios de volumen o de mezcla: horas extra por tonelada, mantenimiento por hora de operación, merma y sobrepeso por producto y lote, rendimiento por litro y por receta; registro diario en el MES y revisión mensual.</t>
  </si>
  <si>
    <t xml:space="preserve">Reubicación por competencias del personal liberado</t>
  </si>
  <si>
    <t xml:space="preserve">Matriz de competencias de la etapa 0: cada operario que libera la hiladora va al puesto donde genera más valor, no solo a manejar o mantener la máquina. Cubrir el mantenimiento autónomo con alguien de la planta ahorra además el costo de reemplazo (valor del año 2 en la columna).</t>
  </si>
  <si>
    <t xml:space="preserve">Opción del suero con precio mínimo</t>
  </si>
  <si>
    <t xml:space="preserve">A $45/kg el enfriador no paga su energía ni su inversión: queda fuera de la oferta y se compra solo con un contrato a $49/kg o más. El valor de la columna es lo que se deja de perder.</t>
  </si>
  <si>
    <t xml:space="preserve">Utilidad de IntegraMotion atada a los resultados</t>
  </si>
  <si>
    <t xml:space="preserve">Propuesta de contrato: la utilidad del AIU del contrato principal y del otrosí 1 (10 % de su costo directo) queda contingente. Se paga completa si el beneficio verificado a 12 meses llega al 80 % de la meta, en proporción entre 50 % y 80 %, y nada por debajo de 50 %. No está en el VPN de la quesería, que la paga completa.</t>
  </si>
  <si>
    <t xml:space="preserve">Bonificación del equipo de la quesería por metas</t>
  </si>
  <si>
    <t xml:space="preserve">Se paga solo de ahorro ya verificado en merma, sobrepeso y rendimiento; su monto se fija en la etapa 0. No está en el VPN: al definirlo se resta del beneficio.</t>
  </si>
  <si>
    <t xml:space="preserve">Caso conservador con la compuerta de la etapa 2</t>
  </si>
  <si>
    <t xml:space="preserve">Si solo se cuenta lo respaldado y aun así se compra la etapa 1: por eso hace falta la primera compuerta.</t>
  </si>
  <si>
    <t xml:space="preserve">Caso conservador haciendo la etapa 2 de todos modos</t>
  </si>
  <si>
    <t xml:space="preserve">Sin ninguna compuerta.</t>
  </si>
  <si>
    <t xml:space="preserve">Si la primera compuerta no se supera: lo que se pierde</t>
  </si>
  <si>
    <t xml:space="preserve">Si la línea base medida en la etapa 0 solo respalda el caso conservador, la etapa 1 no se compra. La primera compuerta está en la semana 16, cuando el contrato principal ya entregó toda su ingeniería: ese contrato se paga completo, igual que las herramientas de mantenimiento y medición de la etapa 0 (hoja BOM). Lo que se evita es la compra de equipos y los dos otrosíes. Quedan el diagnóstico, el orden del hilado, el plan de mantenimiento preventivo y el mantenimiento autónomo, y la ingeniería de las etapas 1 y 2 lista para retomarla.</t>
  </si>
  <si>
    <t xml:space="preserve">$ M de 2026</t>
  </si>
  <si>
    <t xml:space="preserve">Costo comprometido con imprevistos: herramientas de la etapa 0 y contrato principal completo</t>
  </si>
  <si>
    <t xml:space="preserve">Ahorros, caso conservador (horas extra por el orden del hilado y mantenimiento preventivo)</t>
  </si>
  <si>
    <t xml:space="preserve">Impuesto de renta, pagado al año siguiente (sin equipos que activar, el costo es gasto deducible; el del año 10 se cierra en el año 10)</t>
  </si>
  <si>
    <t xml:space="preserve">Flujo de caja libre de la etapa 0</t>
  </si>
  <si>
    <t xml:space="preserve">VPN si se sale en la primera compuerta ($ M de 2026)</t>
  </si>
  <si>
    <t xml:space="preserve">Descontado al costo de capital del caso conservador (con FNG). Es la pérdida que se acepta si las pérdidas medidas no justifican la etapa 1: los ahorros de la etapa 0 recuperan una parte del contrato principal, no todo. A cambio, la empresa no compra equipos que no se pagarían (caso conservador haciendo la etapa 1, arriba).</t>
  </si>
  <si>
    <t xml:space="preserve">Parte del costo comprometido que recuperan los ahorros de la etapa 0</t>
  </si>
  <si>
    <t xml:space="preserve">Si no se da el ahorro de mantenimiento</t>
  </si>
  <si>
    <t xml:space="preserve">El mantenimiento es cerca de tres cuartos del ahorro de la etapa 0: es lo primero que se mide.</t>
  </si>
  <si>
    <t xml:space="preserve">Si el ahorro neto de mantenimiento es 10 % del gasto y no 20 %</t>
  </si>
  <si>
    <t xml:space="preserve">Si ambos ahorros son la mitad del caso conservador</t>
  </si>
  <si>
    <t xml:space="preserve">Ahorro que haría falta para recuperar todo lo comprometido (veces el caso conservador)</t>
  </si>
  <si>
    <t xml:space="preserve">La etapa 0 sola no recupera el contrato principal: para eso está la etapa 1.</t>
  </si>
  <si>
    <t xml:space="preserve">Si el costo comprometido no fuera deducible</t>
  </si>
  <si>
    <t xml:space="preserve">Sin equipos que activar, el contrato y las herramientas son gastos del año con relación de causalidad (art. 107 ET).</t>
  </si>
  <si>
    <t xml:space="preserve">Valor de cada etapa (análisis incremental)</t>
  </si>
  <si>
    <t xml:space="preserve">Lo que vale el proyecto si se queda en la etapa 1. Crea valor, pero su cobertura mínima de la deuda queda bajo 1,2: ver el prepago de abajo.</t>
  </si>
  <si>
    <t xml:space="preserve">Etapa 2, incremental</t>
  </si>
  <si>
    <t xml:space="preserve">Lo que agregan la hiladora, el CIP, la mezcla, la cadena y la reubicación sobre la etapa 1.</t>
  </si>
  <si>
    <t xml:space="preserve">Proyecto completo (oferta)</t>
  </si>
  <si>
    <t xml:space="preserve">Flujo incremental de la etapa 2 en pesos corrientes ($ M)</t>
  </si>
  <si>
    <t xml:space="preserve">Oferta − solo etapas 0 y 1</t>
  </si>
  <si>
    <t xml:space="preserve">Solo etapas 0 y 1: cobertura mínima de la deuda (veces)</t>
  </si>
  <si>
    <t xml:space="preserve">Sin la etapa 2 no se desembolsa su crédito, pero la deuda de la etapa 1 se paga con menos beneficio.</t>
  </si>
  <si>
    <t xml:space="preserve">Prepago al cierre del año 1 que deja la cobertura mínima en 1,2 ($ M corrientes)</t>
  </si>
  <si>
    <t xml:space="preserve">Reduce en la misma proporción todas las cuotas que siguen. Aproximado: no recalcula el menor ahorro de impuesto por los intereses.</t>
  </si>
  <si>
    <t xml:space="preserve">Caja del año 1 que queda después del servicio de la deuda, solo etapas 0 y 1 ($ M de 2026)</t>
  </si>
  <si>
    <t xml:space="preserve">El año 1 tiene holgura de sobra para el prepago: es la respuesta preparada si la segunda compuerta no se supera.</t>
  </si>
  <si>
    <t xml:space="preserve">Primera compuerta, para comprar la etapa 1 (al cerrar la etapa 0): decide si la pérdida que se quiere atacar existe y es del tamaño supuesto.</t>
  </si>
  <si>
    <t xml:space="preserve">• Línea base medida con 12 meses de registros de la planta y 4 semanas de medición de los seis indicadores (rendimiento por producto, grasa, merma, sobrepeso, horas extra y gasto de mantenimiento), con el protocolo del paquete 2.3.</t>
  </si>
  <si>
    <t xml:space="preserve">• Con esas pérdidas medidas, el VPN de la etapa 1 en el caso conservador es mayor que cero.</t>
  </si>
  <si>
    <t xml:space="preserve">• Prueba del sensor de coagulación en una tina durante 10 lotes, con equipo de demostración del proveedor y sin comprarlo: en 8 lotes o más, el corte que indica el sensor queda a ±2 minutos del que fija el maestro quesero. Si el proveedor cobra la demostración, se paga con los imprevistos de la etapa 0.</t>
  </si>
  <si>
    <t xml:space="preserve">• Orden del hilado y plan de mantenimiento en marcha: en las últimas 4 semanas, las horas extra del hilado bajan 0,5 h/día frente a la línea base y se cumple el 90 % o más de las órdenes preventivas.</t>
  </si>
  <si>
    <t xml:space="preserve">• Matriz de competencias completa para el 100 % de los operarios de quesos y yogur.</t>
  </si>
  <si>
    <t xml:space="preserve">• Proyecto de innovación radicado ante Minciencias y carta de aprobación del crédito con prenda.</t>
  </si>
  <si>
    <t xml:space="preserve">Segunda compuerta, para aprobar la etapa 2 (diciembre de 2027): verifica que la automatización ya instalada logró la mejora, con al menos 8 meses de operación.</t>
  </si>
  <si>
    <t xml:space="preserve">• Con 8 meses de operación, el beneficio medido de la etapa 1 en rendimiento, grasa, sobrepeso y merma es igual o mayor al del caso conservador, contra la línea base de la etapa 0.</t>
  </si>
  <si>
    <t xml:space="preserve">• El enfriador del suero se compra solo si hay contrato de compra firmado a $49/kg o más, con precio reajustado cada año por el IPC; sin él, la etapa 2 sigue sin el enfriador.</t>
  </si>
  <si>
    <t xml:space="preserve">• Plan de reasignación firmado por gestión humana con puesto de yogur o UHT, competencias, formación y fecha para cada uno de los 2 operarios; así se confirma que esas 2 contrataciones se evitan.</t>
  </si>
  <si>
    <t xml:space="preserve">• Cotización formal de la hiladora igual o menor al rubro con sus imprevistos.</t>
  </si>
  <si>
    <t xml:space="preserve">• Contrato de marca propia firmado con la cadena, con pronto pago a 30 días, y leche adicional comprometida por las rutas del acopio.</t>
  </si>
  <si>
    <t xml:space="preserve">• Cobertura de la deuda proyectada con la etapa 2 igual o mayor a 1,2. Si la etapa 2 no se aprueba, se hace el prepago calculado arriba (Valor de cada etapa) para que la deuda de la etapa 1 también la cumpla.</t>
  </si>
  <si>
    <t xml:space="preserve">Si alguna no se cumple, la empresa se queda en la etapa 1, que crea valor por sí sola, y no pierde lo ganado.</t>
  </si>
  <si>
    <t xml:space="preserve">Otras protecciones en los contratos</t>
  </si>
  <si>
    <t xml:space="preserve">• Contratos de IntegraMotion liquidados con el salario mínimo del año en que se firman (hoja IntegraMotion).</t>
  </si>
  <si>
    <t xml:space="preserve">• Si se ejerce la opción del suero, su contrato se reajusta cada año por el IPC, para que su beneficio se mantenga en pesos constantes.</t>
  </si>
  <si>
    <t xml:space="preserve">• Hiladora cotizada en euros: precio fijado en pesos al firmar la compra, o cubierto con un contrato a plazo (forward) con el banco.</t>
  </si>
  <si>
    <t xml:space="preserve">• Pagos a IntegraMotion por hitos (30/40/30 y 50/50): la quesería paga a medida que recibe.</t>
  </si>
  <si>
    <t xml:space="preserve">Efecto del proyecto en Lácteos Fúquene</t>
  </si>
  <si>
    <t xml:space="preserve">Estado de resultados y endeudamiento de la empresa con el proyecto. Sin el proyecto la empresa se mantiene igual a 2026, en pesos constantes (supuesto didáctico). $ M constantes de 2026.</t>
  </si>
  <si>
    <t xml:space="preserve">La empresa en 2026 (caso de estudio)</t>
  </si>
  <si>
    <t xml:space="preserve">Ventas</t>
  </si>
  <si>
    <t xml:space="preserve">Estado de resultados y balance del caso.</t>
  </si>
  <si>
    <t xml:space="preserve">EBITDA</t>
  </si>
  <si>
    <t xml:space="preserve">Depreciación</t>
  </si>
  <si>
    <t xml:space="preserve">Utilidad neta</t>
  </si>
  <si>
    <t xml:space="preserve">Deuda financiera</t>
  </si>
  <si>
    <t xml:space="preserve">Caja y bancos</t>
  </si>
  <si>
    <t xml:space="preserve">Con el proyecto (años 0 a 10)</t>
  </si>
  <si>
    <t xml:space="preserve">Ventas sin el proyecto</t>
  </si>
  <si>
    <t xml:space="preserve">Ventas adicionales del proyecto</t>
  </si>
  <si>
    <t xml:space="preserve">Ventas con el proyecto</t>
  </si>
  <si>
    <t xml:space="preserve">EBITDA sin el proyecto</t>
  </si>
  <si>
    <t xml:space="preserve">EBITDA del proyecto</t>
  </si>
  <si>
    <t xml:space="preserve">EBITDA con el proyecto</t>
  </si>
  <si>
    <t xml:space="preserve">Margen EBITDA</t>
  </si>
  <si>
    <t xml:space="preserve">Intereses, comisiones y GMF</t>
  </si>
  <si>
    <t xml:space="preserve">Utilidad antes de impuestos</t>
  </si>
  <si>
    <t xml:space="preserve">Impuesto antes de descuentos</t>
  </si>
  <si>
    <t xml:space="preserve">Descuentos de renta del proyecto (art. 255 y 258-1)</t>
  </si>
  <si>
    <t xml:space="preserve">Crédito fiscal por innovación</t>
  </si>
  <si>
    <t xml:space="preserve">Utilidad neta con el proyecto</t>
  </si>
  <si>
    <t xml:space="preserve">Cambio de la utilidad neta</t>
  </si>
  <si>
    <t xml:space="preserve">Deuda financiera actual</t>
  </si>
  <si>
    <t xml:space="preserve">Saldo del crédito del proyecto</t>
  </si>
  <si>
    <t xml:space="preserve">Deuda total / EBITDA (veces)</t>
  </si>
  <si>
    <t xml:space="preserve">EBITDA / gastos financieros (veces)</t>
  </si>
  <si>
    <t xml:space="preserve">Salida de caja de los socios en el año</t>
  </si>
  <si>
    <t xml:space="preserve">Salida de caja / caja y bancos de 2026</t>
  </si>
  <si>
    <t xml:space="preserve">Deuda actual: se supone que se refinancia y se mantiene. El crédito del proyecto se muestra en pesos constantes. La utilidad neta sin el proyecto es la de 2026.</t>
  </si>
  <si>
    <t xml:space="preserve">Deuda total / EBITDA más alta (los bancos suelen pedir 3 veces o menos)</t>
  </si>
  <si>
    <t xml:space="preserve">Deuda / EBITDA de 2026, sin el proyecto</t>
  </si>
  <si>
    <t xml:space="preserve">EBITDA / gastos financieros más bajo</t>
  </si>
  <si>
    <t xml:space="preserve">Mayor salida de caja de los socios frente a la caja de 2026</t>
  </si>
  <si>
    <t xml:space="preserve">Cambio de la utilidad neta en el año 2</t>
  </si>
  <si>
    <t xml:space="preserve">Cambio de la utilidad neta en el año 5</t>
  </si>
  <si>
    <t xml:space="preserve">IntegraMotion S.A.S.: cuánto cuesta la ingeniería de la quesería y cómo se reparte</t>
  </si>
  <si>
    <t xml:space="preserve">Cifras de la empresa integradora, no del cliente. Millones de pesos de 2026. Texto azul: datos de entrada; negro: fórmulas.</t>
  </si>
  <si>
    <t xml:space="preserve">Salario mínimo mensual de 2026</t>
  </si>
  <si>
    <t xml:space="preserve">$ M/mes</t>
  </si>
  <si>
    <t xml:space="preserve">Decreto 1469 de 2025.</t>
  </si>
  <si>
    <t xml:space="preserve">Horas de referencia al mes</t>
  </si>
  <si>
    <t xml:space="preserve">h/mes</t>
  </si>
  <si>
    <t xml:space="preserve">Convierte un pago mensual en tarifa por hora (42 h × 52 semanas ÷ 12). Al director, con contrato laboral, le aplica la jornada de la Ley 2101 de 2021; a los socios por prestación de servicios no: es solo la unidad para estimar.</t>
  </si>
  <si>
    <t xml:space="preserve">Honorario de referencia de un socio, tiempo completo</t>
  </si>
  <si>
    <t xml:space="preserve">SMMLV/mes</t>
  </si>
  <si>
    <t xml:space="preserve">SCI, honorarios de referencia, categoría 8: de 4,2 a 5,4 SMMLV (punto medio). Cada socio tiene una especialización en su área, que la SCI cuenta como 2 años de experiencia específica.</t>
  </si>
  <si>
    <t xml:space="preserve">Salario del director (representante legal), tiempo completo</t>
  </si>
  <si>
    <t xml:space="preserve">Contrato laboral; tope de la categoría 8 de la SCI por la dirección y la responsabilidad legal.</t>
  </si>
  <si>
    <t xml:space="preserve">Factor prestacional del salario</t>
  </si>
  <si>
    <t xml:space="preserve">x</t>
  </si>
  <si>
    <t xml:space="preserve">Prima, cesantías e intereses, vacaciones, pensión, ARL y caja (exonerado de salud, SENA e ICBF por debajo de 10 SMMLV).</t>
  </si>
  <si>
    <t xml:space="preserve">La misma de la hoja Cotizaciones (octubre de 2026).</t>
  </si>
  <si>
    <t xml:space="preserve">Ocupación facturada del equipo</t>
  </si>
  <si>
    <t xml:space="preserve">% de la capacidad</t>
  </si>
  <si>
    <t xml:space="preserve">Supuesto del plan de negocio: el resto es tiempo comercial, formación y propuestas. Reparte el costo anual del conocimiento entre las horas que se facturan.</t>
  </si>
  <si>
    <t xml:space="preserve">Administración (A del AIU)</t>
  </si>
  <si>
    <t xml:space="preserve">% costo directo</t>
  </si>
  <si>
    <t xml:space="preserve">Cubre los gastos de funcionamiento de IntegraMotion durante los 8 meses de los tres contratos, aunque no tenga otros clientes (detalle al final de esta hoja).</t>
  </si>
  <si>
    <t xml:space="preserve">Imprevistos (I del AIU)</t>
  </si>
  <si>
    <t xml:space="preserve">Reserva del contrato.</t>
  </si>
  <si>
    <t xml:space="preserve">Utilidad (U del AIU)</t>
  </si>
  <si>
    <t xml:space="preserve">Margen de la empresa; de ahí salen los dividendos.</t>
  </si>
  <si>
    <t xml:space="preserve">IVA sobre servicios de ingeniería</t>
  </si>
  <si>
    <t xml:space="preserve">Lo cobra IntegraMotion y lo paga a la DIAN; no es ingreso.</t>
  </si>
  <si>
    <t xml:space="preserve">Impuesto de renta de IntegraMotion</t>
  </si>
  <si>
    <t xml:space="preserve">Régimen ordinario de personas jurídicas.</t>
  </si>
  <si>
    <t xml:space="preserve">Aportes a seguridad social de un independiente</t>
  </si>
  <si>
    <t xml:space="preserve">% del honorario</t>
  </si>
  <si>
    <t xml:space="preserve">Sobre el 40 % del honorario: salud 12,5 %, pensión 16 % y ARL 0,522 %.</t>
  </si>
  <si>
    <t xml:space="preserve">Costo de un viaje Bogotá–Ubaté</t>
  </si>
  <si>
    <t xml:space="preserve">$ M/viaje</t>
  </si>
  <si>
    <t xml:space="preserve">Transporte y viáticos del día por persona.</t>
  </si>
  <si>
    <t xml:space="preserve">Socios</t>
  </si>
  <si>
    <t xml:space="preserve">Los seis integrantes del Equipo 5, con acciones iguales. El director también es socio: recibe salario por su contrato laboral y dividendo como los demás. Los otros cinco cobran honorarios por entregables.</t>
  </si>
  <si>
    <t xml:space="preserve">El costo del conocimiento: certificaciones, cursos y licencias de cada rol</t>
  </si>
  <si>
    <t xml:space="preserve">Lo que cuesta tener y mantener la especialidad con la que se hace el proyecto. Se paga aunque no haya contrato, así que se reparte entre las horas que el ingeniero factura en un año. Precios en dólares; los marcados como estimados se cotizan con el fabricante.</t>
  </si>
  <si>
    <t xml:space="preserve">Certificación, curso o licencia</t>
  </si>
  <si>
    <t xml:space="preserve">Rol</t>
  </si>
  <si>
    <t xml:space="preserve">Precio (US$)</t>
  </si>
  <si>
    <t xml:space="preserve">Vigencia (años)</t>
  </si>
  <si>
    <t xml:space="preserve">Personas que la comparten</t>
  </si>
  <si>
    <t xml:space="preserve">Se usa en esta oferta (1 = sí)</t>
  </si>
  <si>
    <t xml:space="preserve">US$ por persona al año</t>
  </si>
  <si>
    <t xml:space="preserve">Examen de certificación PMP (miembro del PMI)</t>
  </si>
  <si>
    <t xml:space="preserve">Dirección</t>
  </si>
  <si>
    <t xml:space="preserve">PMI, tarifa 2025–2026 (PM Study Circle).</t>
  </si>
  <si>
    <t xml:space="preserve">Membresía anual del PMI</t>
  </si>
  <si>
    <t xml:space="preserve">PMI (PM Study Circle).</t>
  </si>
  <si>
    <t xml:space="preserve">Curso de 35 horas exigido para el examen PMP</t>
  </si>
  <si>
    <t xml:space="preserve">Estimado; varía por proveedor.</t>
  </si>
  <si>
    <t xml:space="preserve">Renovación de la certificación PMP (60 PDU cada 3 años)</t>
  </si>
  <si>
    <t xml:space="preserve">PMI, miembros (PM Study Circle).</t>
  </si>
  <si>
    <t xml:space="preserve">Lean Six Sigma Green Belt (40 horas)</t>
  </si>
  <si>
    <t xml:space="preserve">Procesos</t>
  </si>
  <si>
    <t xml:space="preserve">Learners Ink, curso presencial en Colombia, 2026.</t>
  </si>
  <si>
    <t xml:space="preserve">Control por lotes con ISA-88 (ISA, curso IC40, 3 días)</t>
  </si>
  <si>
    <t xml:space="preserve">ISA; precio a solicitud, estimado.</t>
  </si>
  <si>
    <t xml:space="preserve">Studio 5000 Logix Designer nivel 1 (Rockwell, CCP146)</t>
  </si>
  <si>
    <t xml:space="preserve">Automatización</t>
  </si>
  <si>
    <t xml:space="preserve">Estimado igual al nivel 3; precio a solicitud del distribuidor.</t>
  </si>
  <si>
    <t xml:space="preserve">Studio 5000 Logix Designer nivel 3 (Rockwell, CCP143, 4 días)</t>
  </si>
  <si>
    <t xml:space="preserve">Agilix Solutions, distribuidor de Rockwell, 2026.</t>
  </si>
  <si>
    <t xml:space="preserve">Certificaciones Ignition Core y Gold (Inductive Automation)</t>
  </si>
  <si>
    <t xml:space="preserve">Exámenes de US$350 y US$500 (Industrial Monitor Direct).</t>
  </si>
  <si>
    <t xml:space="preserve">Licencia de Studio 5000 Logix Designer Full, perpetua</t>
  </si>
  <si>
    <t xml:space="preserve">Industrial Monitor Direct; se amortiza en 5 años.</t>
  </si>
  <si>
    <t xml:space="preserve">Tecnomatix Plant Simulation, suscripción anual</t>
  </si>
  <si>
    <t xml:space="preserve">Robótica y simulación</t>
  </si>
  <si>
    <t xml:space="preserve">Siemens, Plant Simulation Foundation, US$250/mes (FitGap).</t>
  </si>
  <si>
    <t xml:space="preserve">RobotStudio Premium, suscripción anual (ABB)</t>
  </si>
  <si>
    <t xml:space="preserve">Desde US$3.400 al año (FitGap). Se usa en el diseño de la celda de paletizado (paquete 4.2).</t>
  </si>
  <si>
    <t xml:space="preserve">NX Mechatronics Concept Designer, suscripción anual (Siemens)</t>
  </si>
  <si>
    <t xml:space="preserve">Precio a solicitud, estimado.</t>
  </si>
  <si>
    <t xml:space="preserve">Curso de Plant Simulation (Siemens Xcelerator Academy)</t>
  </si>
  <si>
    <t xml:space="preserve">Curso de modelación financiera y evaluación de proyectos</t>
  </si>
  <si>
    <t xml:space="preserve">Gestión y finanzas</t>
  </si>
  <si>
    <t xml:space="preserve">Las certificaciones se renuevan cada 3 años; las licencias perpetuas se amortizan en 5 y las suscripciones son anuales. Las licencias que quedan en la planta (Ignition, servidor) las paga Lácteos Fúquene en la inversión del SCADA. Regla de asignación: lo que usa el proyecto entra en la hora del rol; lo que no usa se cobra en el proyecto que lo use (columna en 0); los gastos generales de la empresa van en la administración.</t>
  </si>
  <si>
    <t xml:space="preserve">Lo que cuesta y lo que vale una hora de cada rol</t>
  </si>
  <si>
    <t xml:space="preserve">Vínculo</t>
  </si>
  <si>
    <t xml:space="preserve">Remuneración de referencia ($ M/mes)</t>
  </si>
  <si>
    <t xml:space="preserve">Costo laboral ($ M/mes)</t>
  </si>
  <si>
    <t xml:space="preserve">Remuneración por hora ($/h)</t>
  </si>
  <si>
    <t xml:space="preserve">Conocimiento ($/h)</t>
  </si>
  <si>
    <t xml:space="preserve">Costo para IntegraMotion ($/h)</t>
  </si>
  <si>
    <t xml:space="preserve">Tarifa al cliente sin IVA ($/h)</t>
  </si>
  <si>
    <t xml:space="preserve">Rol en la EDT</t>
  </si>
  <si>
    <t xml:space="preserve">Factor de venta (tarifa ÷ remuneración)</t>
  </si>
  <si>
    <t xml:space="preserve">Director de proyecto</t>
  </si>
  <si>
    <t xml:space="preserve">Contrato laboral</t>
  </si>
  <si>
    <t xml:space="preserve">Ingeniero de procesos y producción</t>
  </si>
  <si>
    <t xml:space="preserve">Honorarios</t>
  </si>
  <si>
    <t xml:space="preserve">Ingeniero de automatización y control (2)</t>
  </si>
  <si>
    <t xml:space="preserve">Ingeniero de robótica y simulación</t>
  </si>
  <si>
    <t xml:space="preserve">Tres magnitudes distintas: la remuneración de referencia del profesional (SCI), el costo que soporta IntegraMotion (remuneración más conocimiento) y la tarifa al cliente (costo más AIU). El factor de venta es un control: cuántas veces la remuneración se cobra al cliente.</t>
  </si>
  <si>
    <t xml:space="preserve">Los cinco socios con honorarios tienen contrato de prestación de servicios: sin horario ni subordinación, se les paga por entregables (valor = horas estimadas × honorario por hora) y pagan su propia seguridad social como independientes. El director, como empleado, la recibe en el factor prestacional.</t>
  </si>
  <si>
    <t xml:space="preserve">Horas de ingeniería por contrato y etapa, estimadas desde el trabajo</t>
  </si>
  <si>
    <t xml:space="preserve">El contrato principal son las 16 semanas de la EDT del proyecto: diagnóstico, diseño, programación y validación virtual de todo el proyecto, con el BOM cotizado al final. Los otrosíes amplían el contrato si se superan las compuertas: el otrosí 1 implementa la etapa 1 en la planta y el otrosí 2 hace la ingeniería de detalle y la implementación de la etapa 2. Tiempos de referencia de los integradores (Industrial Monitor Direct): de 1 a 2 h por señal digital y de 1,5 a 2,5 h por señal analógica, con un factor de 1,3 por ser control por lotes de alimentos; pantallas de 6 h porque se parte de plantillas propias.</t>
  </si>
  <si>
    <t xml:space="preserve">Actividad</t>
  </si>
  <si>
    <t xml:space="preserve">Contrato</t>
  </si>
  <si>
    <t xml:space="preserve">Horas por unidad</t>
  </si>
  <si>
    <t xml:space="preserve">Costo ($ M)</t>
  </si>
  <si>
    <t xml:space="preserve">Entregable y criterio de aceptación</t>
  </si>
  <si>
    <t xml:space="preserve">Fase de la ingeniería</t>
  </si>
  <si>
    <t xml:space="preserve">Inicio y planeación: alcance, requisitos, responsables y EDT definidos</t>
  </si>
  <si>
    <t xml:space="preserve">Contrato principal</t>
  </si>
  <si>
    <t xml:space="preserve">etapa</t>
  </si>
  <si>
    <t xml:space="preserve">1.1</t>
  </si>
  <si>
    <t xml:space="preserve">Plan con alcance, EDT de 19 paquetes, cronograma, matriz de responsables y línea base de valor ganado (Anexo 3), entregado en la semana 1.</t>
  </si>
  <si>
    <t xml:space="preserve">Gestión del proyecto</t>
  </si>
  <si>
    <t xml:space="preserve">Análisis del problema: diagnóstico de las líneas y plan de mantenimiento preventivo</t>
  </si>
  <si>
    <t xml:space="preserve">diagnóstico</t>
  </si>
  <si>
    <t xml:space="preserve">Informe con tres visitas, entrevistas e historial de fallas de 12 meses de cada equipo de la quesería; plan preventivo con tarea, frecuencia y responsable para el 100 % de esos equipos.</t>
  </si>
  <si>
    <t xml:space="preserve">Ingeniería conceptual</t>
  </si>
  <si>
    <t xml:space="preserve">VSM de las líneas, protocolo de medida y verificación y línea base</t>
  </si>
  <si>
    <t xml:space="preserve">protocolo</t>
  </si>
  <si>
    <t xml:space="preserve">VSM con tiempo de ciclo y de espera de cada paso; protocolo con variable, instrumento, frecuencia y fórmula de cada beneficio; línea base con 4 semanas de datos de los seis indicadores (rendimiento, grasa, merma, sobrepeso, horas extra y mantenimiento).</t>
  </si>
  <si>
    <t xml:space="preserve">Medidas organizacionales: orden del hilado y estándares de trabajo</t>
  </si>
  <si>
    <t xml:space="preserve">estándar</t>
  </si>
  <si>
    <t xml:space="preserve">2.4</t>
  </si>
  <si>
    <t xml:space="preserve">Estándar de trabajo del hilado aplicado 2 semanas en los dos turnos, con las horas extra del hilado registradas antes y después.</t>
  </si>
  <si>
    <t xml:space="preserve">Matriz de competencias del personal y plan de reubicación</t>
  </si>
  <si>
    <t xml:space="preserve">plan</t>
  </si>
  <si>
    <t xml:space="preserve">Matriz con los cinco criterios (proceso, habilidades, condición física, formación e intereses) para el 100 % de los operarios de quesos y yogur; plan que asigna puesto, formación y fecha a cada operario que libera la hiladora.</t>
  </si>
  <si>
    <t xml:space="preserve">Línea base económica y modelo financiero</t>
  </si>
  <si>
    <t xml:space="preserve">modelo</t>
  </si>
  <si>
    <t xml:space="preserve">6.1</t>
  </si>
  <si>
    <t xml:space="preserve">Modelo financiero con la línea base medida, los escenarios y sus comprobaciones internas sin error; calcula el VPN de la etapa 1 con las pérdidas medidas.</t>
  </si>
  <si>
    <t xml:space="preserve">EDT de la producción: fases, recetas y permisos ISA-88</t>
  </si>
  <si>
    <t xml:space="preserve">especificación</t>
  </si>
  <si>
    <t xml:space="preserve">2.2</t>
  </si>
  <si>
    <t xml:space="preserve">Fases, permisos e interbloqueos de las tres recetas; cada paso de la receta escrita actual del jefe de quesería queda asignado a una fase.</t>
  </si>
  <si>
    <t xml:space="preserve">Ingeniería básica</t>
  </si>
  <si>
    <t xml:space="preserve">Recetas de las tres referencias y balance de masa</t>
  </si>
  <si>
    <t xml:space="preserve">recetas</t>
  </si>
  <si>
    <t xml:space="preserve">Tres recetas maestras con parámetros y tolerancias; el balance de masa cierra con diferencia menor al 2 % frente a los lotes de la línea base.</t>
  </si>
  <si>
    <t xml:space="preserve">Arquitectura ISA-95: control, red y flujos de información con el MES y el ERP</t>
  </si>
  <si>
    <t xml:space="preserve">documento</t>
  </si>
  <si>
    <t xml:space="preserve">Red por zonas y conductos (IEC 62443), flujos PLC–Ignition–MES–ERP e identificador común de lote, orden y equipo en los cuatro niveles.</t>
  </si>
  <si>
    <t xml:space="preserve">Selección y especificación de instrumentos y actuadores (hojas de datos)</t>
  </si>
  <si>
    <t xml:space="preserve">equipos</t>
  </si>
  <si>
    <t xml:space="preserve">Una hoja de datos por cada uno de los 22 instrumentos y actuadores del BOM, con rango, material, señal y protocolo.</t>
  </si>
  <si>
    <t xml:space="preserve">Lista de señales y planos de lazo y conexionado</t>
  </si>
  <si>
    <t xml:space="preserve">planos</t>
  </si>
  <si>
    <t xml:space="preserve">Lista con el 100 % de las señales del BOM y 20 planos de lazo y conexionado; ninguna señal sin plano.</t>
  </si>
  <si>
    <t xml:space="preserve">Ingeniería de detalle</t>
  </si>
  <si>
    <t xml:space="preserve">BOM técnico: cantidades y especificaciones para cotizar</t>
  </si>
  <si>
    <t xml:space="preserve">Cada ítem con tag, especificación, cantidad y paquete de la EDT; cuadra uno a uno con la lista de señales.</t>
  </si>
  <si>
    <t xml:space="preserve">Especificación funcional ISA-88: lógica de control</t>
  </si>
  <si>
    <t xml:space="preserve">Estados, transiciones, modos y alarmas de cada fase ISA-88, entregados antes de empezar a programar.</t>
  </si>
  <si>
    <t xml:space="preserve">Programación de señales analógicas (3 tinas y medidor de grasa)</t>
  </si>
  <si>
    <t xml:space="preserve">señales</t>
  </si>
  <si>
    <t xml:space="preserve">Las 26 señales escaladas y con alarmas; el 100 % pasa la prueba de punta a punta en el emulador.</t>
  </si>
  <si>
    <t xml:space="preserve">Programación de señales digitales (tinas, grasa y estación de peso)</t>
  </si>
  <si>
    <t xml:space="preserve">Las 47 señales con su estado y su falla; el 100 % pasa la prueba en el emulador.</t>
  </si>
  <si>
    <t xml:space="preserve">Lógica de fases ISA-88 (clases reutilizables)</t>
  </si>
  <si>
    <t xml:space="preserve">fases</t>
  </si>
  <si>
    <t xml:space="preserve">Siete clases de fase con su máquina de estados; cada una pasa la prueba de todas sus transiciones.</t>
  </si>
  <si>
    <t xml:space="preserve">Configuración de las fases en cada tina</t>
  </si>
  <si>
    <t xml:space="preserve">tinas</t>
  </si>
  <si>
    <t xml:space="preserve">Fases instanciadas en TQ-301, 302 y 303; una receta completa corre en el emulador en cada tina.</t>
  </si>
  <si>
    <t xml:space="preserve">Lazos de control (temperatura de 3 tinas y grasa)</t>
  </si>
  <si>
    <t xml:space="preserve">lazos</t>
  </si>
  <si>
    <t xml:space="preserve">Cuatro lazos configurados; en simulación cada uno llega a su consigna con sobrepico menor al 10 %. La sintonía fina va en la puesta en marcha.</t>
  </si>
  <si>
    <t xml:space="preserve">Pantallas del SCADA en Ignition</t>
  </si>
  <si>
    <t xml:space="preserve">pantallas</t>
  </si>
  <si>
    <t xml:space="preserve">16 pantallas desde plantillas propias, con navegación y permisos por rol; en la prueba, tres operarios completan las tareas de un lote sin ayuda.</t>
  </si>
  <si>
    <t xml:space="preserve">Alarmas, historiador y tendencias</t>
  </si>
  <si>
    <t xml:space="preserve">paquete</t>
  </si>
  <si>
    <t xml:space="preserve">Alarmas con prioridad asignada; el 100 % de las variables del lote queda en el historiador con su tendencia.</t>
  </si>
  <si>
    <t xml:space="preserve">MES ligero: lotes, recetas, consumos y calidad</t>
  </si>
  <si>
    <t xml:space="preserve">Lote, receta, consumos, calidad y genealogía en Ignition con PostgreSQL; en la prueba, un lote se rastrea de la leche recibida al queso empacado en menos de 5 minutos. No incluye inventarios ni programación de la producción.</t>
  </si>
  <si>
    <t xml:space="preserve">Estado de las máquinas, paros y OEE en el MES, para equipos nuevos y antiguos</t>
  </si>
  <si>
    <t xml:space="preserve">Estado de cada máquina en tiempo real (las antiguas con sensor de corriente y E/S remotas), causas de paro y OEE por turno; el tiempo de paro difiere menos del 5 % del registro manual de una semana.</t>
  </si>
  <si>
    <t xml:space="preserve">Publicación del estado de la planta y el OEE al ERP</t>
  </si>
  <si>
    <t xml:space="preserve">interfaz</t>
  </si>
  <si>
    <t xml:space="preserve">5.3</t>
  </si>
  <si>
    <t xml:space="preserve">Capacidad disponible y paros activos de cada máquina visibles en SAP Business One con menos de 5 minutos de retraso.</t>
  </si>
  <si>
    <t xml:space="preserve">Proceso de promesa de entrega con la capacidad real (Ventas y Operaciones)</t>
  </si>
  <si>
    <t xml:space="preserve">procedimiento</t>
  </si>
  <si>
    <t xml:space="preserve">5.2</t>
  </si>
  <si>
    <t xml:space="preserve">Procedimiento escrito para prometer pedidos con el estado de la planta; indicador de pedidos completos y a tiempo calculado para las 4 semanas de la línea base.</t>
  </si>
  <si>
    <t xml:space="preserve">Configuración funcional del ERP: compras, inventarios, costos y ventas de la quesería</t>
  </si>
  <si>
    <t xml:space="preserve">Maestros y flujos de compras, inventarios, costos y ventas de la quesería, y lista de campos que intercambia con el MES. La parametrización la hace el proveedor del ERP.</t>
  </si>
  <si>
    <t xml:space="preserve">Interfaz MES–ERP por API (Node-RED)</t>
  </si>
  <si>
    <t xml:space="preserve">Órdenes y reportes con SAP Business One; en la prueba, 100 transacciones sin pérdida, con reintento y registro de cada error.</t>
  </si>
  <si>
    <t xml:space="preserve">Balance de sólidos y humedad por lote en el MES: rendimiento real frente al de Van Slyke y alertas</t>
  </si>
  <si>
    <t xml:space="preserve">Cada lote con su rendimiento, su eficiencia frente a Van Slyke y la grasa y proteína que van al suero; la alerta se activa con un lote de prueba fuera de la banda.</t>
  </si>
  <si>
    <t xml:space="preserve">Costo real por lote y por referencia con los datos del MES y el ERP</t>
  </si>
  <si>
    <t xml:space="preserve">Costo por kilo de cada queso y de cada lote; el total de un mes difiere menos del 2 % del costo de la contabilidad.</t>
  </si>
  <si>
    <t xml:space="preserve">Modelo de mezcla óptima de los tres quesos (programación lineal) y reunión mensual de ventas y operaciones</t>
  </si>
  <si>
    <t xml:space="preserve">Mezcla del mes con las restricciones de leche, demanda e hilado, comparada con la real; probada con los datos de la línea base.</t>
  </si>
  <si>
    <t xml:space="preserve">Solicitud de compra de repuestos desde el MES al ERP cuando el plan preventivo o una falla lo piden</t>
  </si>
  <si>
    <t xml:space="preserve">En la prueba, una orden de mantenimiento del MES crea en SAP Business One la solicitud del repuesto con su código y su cantidad.</t>
  </si>
  <si>
    <t xml:space="preserve">Comunicaciones (controladora de peso, medidor de grasa, OPC UA)</t>
  </si>
  <si>
    <t xml:space="preserve">enlaces</t>
  </si>
  <si>
    <t xml:space="preserve">Cuatro enlaces probados; si se pierde la comunicación, la alarma sale en menos de 10 segundos y el equipo queda en estado seguro.</t>
  </si>
  <si>
    <t xml:space="preserve">Pruebas de aceptación en fábrica con el PLC emulado (15 % de la programación)</t>
  </si>
  <si>
    <t xml:space="preserve">h de programación</t>
  </si>
  <si>
    <t xml:space="preserve">Protocolo con las secuencias completas de las tres recetas, las fallas y los interbloqueos en el PLC emulado; el 100 % de los casos aprobado, y los que fallan, corregidos y probados de nuevo.</t>
  </si>
  <si>
    <t xml:space="preserve">Modelo de la quesería en Plant Simulation y validación de capacidad</t>
  </si>
  <si>
    <t xml:space="preserve">4.1</t>
  </si>
  <si>
    <t xml:space="preserve">Modelo en Plant Simulation con diferencia menor al 10 % en la producción diaria frente a los tiempos del VSM.</t>
  </si>
  <si>
    <t xml:space="preserve">Gemelo virtual en NX MCD conectado al PLC emulado</t>
  </si>
  <si>
    <t xml:space="preserve">gemelo</t>
  </si>
  <si>
    <t xml:space="preserve">4.3</t>
  </si>
  <si>
    <t xml:space="preserve">Gemelo de una tina y del hilado conectado al PLC emulado; una receta completa corre con los tiempos del VSM ±10 %.</t>
  </si>
  <si>
    <t xml:space="preserve">BOM consolidado: solicitud y comparación de cotizaciones</t>
  </si>
  <si>
    <t xml:space="preserve">Dos cotizaciones por cada equipo principal y BOM valorado con la madurez del precio de cada ítem.</t>
  </si>
  <si>
    <t xml:space="preserve">Financiación: crédito con prenda, hitos de pago, leasing y postulación ante Minciencias</t>
  </si>
  <si>
    <t xml:space="preserve">trámite</t>
  </si>
  <si>
    <t xml:space="preserve">6.2</t>
  </si>
  <si>
    <t xml:space="preserve">Solicitud de crédito con prenda radicada en el banco y proyecto radicado ante Minciencias, con número de radicado. La aprobación depende del banco y de Minciencias, no del contratista.</t>
  </si>
  <si>
    <t xml:space="preserve">Ingeniería básica de la etapa 2: interfaces con la hiladora, el CIP y el suero</t>
  </si>
  <si>
    <t xml:space="preserve">Especificación de interfaces de la hiladora, el CIP y el suero y lista preliminar de señales, con el detalle que piden dos proveedores para cotizar.</t>
  </si>
  <si>
    <t xml:space="preserve">Recetas preliminares de hilado y limpieza CIP</t>
  </si>
  <si>
    <t xml:space="preserve">Parámetros de hilado (temperatura, tiempo, pH) y de limpieza (concentración, temperatura, tiempo), cada uno con su fuente.</t>
  </si>
  <si>
    <t xml:space="preserve">Escenario de la hiladora en Plant Simulation</t>
  </si>
  <si>
    <t xml:space="preserve">escenario</t>
  </si>
  <si>
    <t xml:space="preserve">Horas de hilado por día con la hiladora de 300 kg/h para la mezcla actual y la óptima, en el modelo validado.</t>
  </si>
  <si>
    <t xml:space="preserve">Celda de paletizado en RobotStudio: alcance, patrón de estiba, efector y seguridad (ISO 10218)</t>
  </si>
  <si>
    <t xml:space="preserve">celda</t>
  </si>
  <si>
    <t xml:space="preserve">Celda simulada en RobotStudio con tiempo de ciclo, alcance, patrón de estiba y zonas de seguridad (ISO 10218); el ciclo cubre la producción diaria.</t>
  </si>
  <si>
    <t xml:space="preserve">Señales e interbloqueos de la celda de paletizado con el PLC</t>
  </si>
  <si>
    <t xml:space="preserve">Lista de señales e interbloqueos de la celda con el PLC, con las de seguridad separadas.</t>
  </si>
  <si>
    <t xml:space="preserve">Documentación de la ingeniería: programas, planos y especificaciones</t>
  </si>
  <si>
    <t xml:space="preserve">1.3</t>
  </si>
  <si>
    <t xml:space="preserve">Programas, planos y especificaciones en formato editable, con copia de respaldo; el 100 % de los documentos del índice entregado.</t>
  </si>
  <si>
    <t xml:space="preserve">Informe final y sustentación de la consultoría</t>
  </si>
  <si>
    <t xml:space="preserve">informe</t>
  </si>
  <si>
    <t xml:space="preserve">Informe con la línea base, los resultados del modelo y la medición de cada criterio de la primera compuerta, presentado en la semana 16.</t>
  </si>
  <si>
    <t xml:space="preserve">Seguimiento y compuertas (10 % de las horas del equipo en el contrato)</t>
  </si>
  <si>
    <t xml:space="preserve">h del equipo</t>
  </si>
  <si>
    <t xml:space="preserve">1.2</t>
  </si>
  <si>
    <t xml:space="preserve">Informe semanal de avance con valor ganado, registro de cambios y de riesgos, y acta de la primera compuerta.</t>
  </si>
  <si>
    <t xml:space="preserve">Supervisión del montaje de instrumentos y tableros por el contratista</t>
  </si>
  <si>
    <t xml:space="preserve">Otrosí 1</t>
  </si>
  <si>
    <t xml:space="preserve">semanas-persona</t>
  </si>
  <si>
    <t xml:space="preserve">Montaje revisado contra los planos; lista de pendientes cerrada antes de energizar.</t>
  </si>
  <si>
    <t xml:space="preserve">Implementación</t>
  </si>
  <si>
    <t xml:space="preserve">Puesta en marcha y pruebas en sitio: control</t>
  </si>
  <si>
    <t xml:space="preserve">Lazos de temperatura con error en régimen menor a 0,5 °C; prueba en sitio con el 100 % de las señales verificadas.</t>
  </si>
  <si>
    <t xml:space="preserve">Puesta en marcha y pruebas en sitio: proceso</t>
  </si>
  <si>
    <t xml:space="preserve">Tres lotes seguidos de cada receta dentro de la especificación de humedad, grasa y peso.</t>
  </si>
  <si>
    <t xml:space="preserve">Capacitación de operarios y supervisores</t>
  </si>
  <si>
    <t xml:space="preserve">programa</t>
  </si>
  <si>
    <t xml:space="preserve">Sesiones en cada turno; cada operario de la quesería obtiene 80 % o más en la evaluación práctica, o repite la sesión sin costo.</t>
  </si>
  <si>
    <t xml:space="preserve">Capacitación de mantenimiento e instrumentación</t>
  </si>
  <si>
    <t xml:space="preserve">Cada técnico resuelve en la evaluación práctica tres fallas simuladas de instrumentación.</t>
  </si>
  <si>
    <t xml:space="preserve">Manuales y documentación final</t>
  </si>
  <si>
    <t xml:space="preserve">Manuales de operación y mantenimiento, programas y planos según lo construido, entregados antes del fin del soporte.</t>
  </si>
  <si>
    <t xml:space="preserve">Soporte después del arranque (3 meses)</t>
  </si>
  <si>
    <t xml:space="preserve">semanas</t>
  </si>
  <si>
    <t xml:space="preserve">Hasta 8 h por semana; cada incidencia registrada y respondida en menos de 24 horas hábiles.</t>
  </si>
  <si>
    <t xml:space="preserve">Dirección y segunda compuerta (10 % de las horas del equipo en el contrato)</t>
  </si>
  <si>
    <t xml:space="preserve">Informe semanal con valor ganado, control del montaje y de cambios, y acta de la segunda compuerta.</t>
  </si>
  <si>
    <t xml:space="preserve">Ingeniería de detalle de la etapa 2 con la documentación del proveedor</t>
  </si>
  <si>
    <t xml:space="preserve">Otrosí 2</t>
  </si>
  <si>
    <t xml:space="preserve">Especificación de interfaces final, entregada 10 días hábiles después de recibir la documentación del proveedor.</t>
  </si>
  <si>
    <t xml:space="preserve">Programación de señales analógicas (CIP, suero e hiladora)</t>
  </si>
  <si>
    <t xml:space="preserve">Las 14 señales escaladas; el 100 % pasa la prueba en el emulador.</t>
  </si>
  <si>
    <t xml:space="preserve">Programación de señales digitales</t>
  </si>
  <si>
    <t xml:space="preserve">Las 38 señales; el 100 % pasa la prueba en el emulador.</t>
  </si>
  <si>
    <t xml:space="preserve">Secuencias del CIP</t>
  </si>
  <si>
    <t xml:space="preserve">pasos</t>
  </si>
  <si>
    <t xml:space="preserve">Seis pasos con tiempos, temperaturas y conductividad dentro de la receta de limpieza; cada ciclo queda en el historiador.</t>
  </si>
  <si>
    <t xml:space="preserve">Comunicación con el PLC de la hiladora</t>
  </si>
  <si>
    <t xml:space="preserve">enlace</t>
  </si>
  <si>
    <t xml:space="preserve">Enlace por EtherNet/IP u OPC UA con el 100 % de las señales documentadas por el proveedor.</t>
  </si>
  <si>
    <t xml:space="preserve">Pantallas del SCADA</t>
  </si>
  <si>
    <t xml:space="preserve">Seis pantallas desde las plantillas de la etapa 1, con navegación y permisos por rol.</t>
  </si>
  <si>
    <t xml:space="preserve">Lotes de la hiladora y del suero en el MES</t>
  </si>
  <si>
    <t xml:space="preserve">Cada lote de hilado y el destino del suero quedan en la genealogía del lote del MES.</t>
  </si>
  <si>
    <t xml:space="preserve">Pruebas con el PLC emulado (15 % de la programación)</t>
  </si>
  <si>
    <t xml:space="preserve">Secuencias del CIP y enlace con la hiladora en el emulador; el 100 % de los casos aprobado.</t>
  </si>
  <si>
    <t xml:space="preserve">Gemelo y simulación con la hiladora</t>
  </si>
  <si>
    <t xml:space="preserve">Modelo con la hiladora; la producción diaria simulada difiere menos del 10 % de la medida.</t>
  </si>
  <si>
    <t xml:space="preserve">Prueba en sitio con el 100 % de las señales verificadas.</t>
  </si>
  <si>
    <t xml:space="preserve">Tres lotes seguidos de doble crema y de mozzarella dentro de la especificación de humedad, grasa y peso.</t>
  </si>
  <si>
    <t xml:space="preserve">Recetas de hilado y validación de la limpieza CIP</t>
  </si>
  <si>
    <t xml:space="preserve">Recetas de hilado en el MES; limpieza validada con hisopados ATP bajo el límite del plan de saneamiento en tres ciclos seguidos.</t>
  </si>
  <si>
    <t xml:space="preserve">Formación de los operarios reubicados: control de la incubación por pH y mantenimiento autónomo</t>
  </si>
  <si>
    <t xml:space="preserve">Cada operario reubicado completa dos semanas de acompañamiento y obtiene 80 % o más en la evaluación práctica de su nuevo puesto.</t>
  </si>
  <si>
    <t xml:space="preserve">Capacitación del personal de la hiladora y el CIP</t>
  </si>
  <si>
    <t xml:space="preserve">Sesiones en cada turno; cada persona obtiene 80 % o más en la evaluación práctica, o repite la sesión sin costo.</t>
  </si>
  <si>
    <t xml:space="preserve">Documentación de la etapa 2</t>
  </si>
  <si>
    <t xml:space="preserve">Manuales y planos según lo construido de la etapa 2.</t>
  </si>
  <si>
    <t xml:space="preserve">Soporte después del arranque (2 meses)</t>
  </si>
  <si>
    <t xml:space="preserve">Hasta 8 h por semana durante dos meses; cada incidencia respondida en menos de 24 horas hábiles.</t>
  </si>
  <si>
    <t xml:space="preserve">Certificación ante el CNBT y verificación de beneficios</t>
  </si>
  <si>
    <t xml:space="preserve">Solicitud radicada ante el CNBT e informe de beneficios medido con el protocolo de la etapa 0. La certificación la decide el CNBT.</t>
  </si>
  <si>
    <t xml:space="preserve">Pruebas de aceptación de la hiladora en la fábrica del proveedor</t>
  </si>
  <si>
    <t xml:space="preserve">visita</t>
  </si>
  <si>
    <t xml:space="preserve">Acta de pruebas en la fábrica del proveedor o con su representante: 300 kg/h y secuencias de mando probadas.</t>
  </si>
  <si>
    <t xml:space="preserve">Dirección del proyecto (10 % de las horas del equipo en el contrato)</t>
  </si>
  <si>
    <t xml:space="preserve">Informe semanal con valor ganado, control del proveedor y de cambios, y acta de cierre.</t>
  </si>
  <si>
    <t xml:space="preserve">Horas por rol, contrato y etapa</t>
  </si>
  <si>
    <t xml:space="preserve">Contrato principal · etapa 0</t>
  </si>
  <si>
    <t xml:space="preserve">Contrato principal · etapa 1</t>
  </si>
  <si>
    <t xml:space="preserve">Contrato principal · etapa 2 (básica)</t>
  </si>
  <si>
    <t xml:space="preserve">Contrato principal · celda de paletizado</t>
  </si>
  <si>
    <t xml:space="preserve">Otrosí 1 · implementación etapa 1</t>
  </si>
  <si>
    <t xml:space="preserve">Otrosí 2 · etapa 2</t>
  </si>
  <si>
    <t xml:space="preserve">Personas</t>
  </si>
  <si>
    <t xml:space="preserve">Dedicación en el contrato principal (16 semanas)</t>
  </si>
  <si>
    <t xml:space="preserve">Horas: Director de proyecto</t>
  </si>
  <si>
    <t xml:space="preserve">Horas: Ingeniero de procesos y producción</t>
  </si>
  <si>
    <t xml:space="preserve">Horas: Ingeniero de automatización y control (2)</t>
  </si>
  <si>
    <t xml:space="preserve">Horas: Ingeniero de robótica y simulación</t>
  </si>
  <si>
    <t xml:space="preserve">Horas: Ingeniero de gestión y finanzas</t>
  </si>
  <si>
    <t xml:space="preserve">Horas del equipo</t>
  </si>
  <si>
    <t xml:space="preserve">Dedicación: horas del contrato principal ÷ (personas × 16 semanas × 42 h). Los otrosíes se ejecutan en 2 meses cada uno, más el soporte de los meses siguientes.</t>
  </si>
  <si>
    <t xml:space="preserve">Lo que cuesta la ingeniería de cada contrato ($ M)</t>
  </si>
  <si>
    <t xml:space="preserve">Cómo se calcula</t>
  </si>
  <si>
    <t xml:space="preserve">Mano de obra (honorarios y salario)</t>
  </si>
  <si>
    <t xml:space="preserve">Horas de cada rol × honorario o salario por hora.</t>
  </si>
  <si>
    <t xml:space="preserve">Conocimiento (certificaciones, cursos y licencias)</t>
  </si>
  <si>
    <t xml:space="preserve">Horas de cada rol × costo del conocimiento por hora.</t>
  </si>
  <si>
    <t xml:space="preserve">Viajes a planta (persona-día)</t>
  </si>
  <si>
    <t xml:space="preserve">Otrosí 1: 15 días de puesta en marcha con 2 personas. Costo por persona-día en los supuestos.</t>
  </si>
  <si>
    <t xml:space="preserve">Viajes a planta</t>
  </si>
  <si>
    <t xml:space="preserve">Instrumentos de prueba y calibración</t>
  </si>
  <si>
    <t xml:space="preserve">Alquiler de calibradores, pesas patrón y probetas para las pruebas en sitio.</t>
  </si>
  <si>
    <t xml:space="preserve">Costo directo</t>
  </si>
  <si>
    <t xml:space="preserve">Administración</t>
  </si>
  <si>
    <t xml:space="preserve">Gastos de funcionamiento de la empresa.</t>
  </si>
  <si>
    <t xml:space="preserve">Imprevistos</t>
  </si>
  <si>
    <t xml:space="preserve">Utilidad</t>
  </si>
  <si>
    <t xml:space="preserve">Precio sin IVA</t>
  </si>
  <si>
    <t xml:space="preserve">IVA</t>
  </si>
  <si>
    <t xml:space="preserve">Precio con IVA</t>
  </si>
  <si>
    <t xml:space="preserve">Precio de la hora, promedio, sin IVA ($/h)</t>
  </si>
  <si>
    <t xml:space="preserve">Parte del precio que es conocimiento</t>
  </si>
  <si>
    <t xml:space="preserve">Conocimiento con su AIU, sobre el precio.</t>
  </si>
  <si>
    <t xml:space="preserve">El contrato principal es casi todo diseño y validación virtual: es donde más pesa el conocimiento (ISA-88, PLC, SCADA, MES, simulación, gemelo y RobotStudio). Los otrosíes son trabajo en planta: montaje supervisado, puesta en marcha, capacitación y soporte.</t>
  </si>
  <si>
    <t xml:space="preserve">Costo de la ingeniería por paquete de la EDT del proyecto</t>
  </si>
  <si>
    <t xml:space="preserve">Cada actividad tiene su paquete de la EDT del proyecto y la duración que le da la EDT (README del proyecto, sección 3.1). La columna de personas dice cuántos ingenieros a tiempo completo necesita el paquete para caber en esas semanas: si supera los que tiene el rol, el paquete se solapa con otros o se alarga dentro de las 16 semanas.</t>
  </si>
  <si>
    <t xml:space="preserve">Semanas en la EDT</t>
  </si>
  <si>
    <t xml:space="preserve">Horas contrato principal</t>
  </si>
  <si>
    <t xml:space="preserve">Horas otrosí 1</t>
  </si>
  <si>
    <t xml:space="preserve">Horas otrosí 2</t>
  </si>
  <si>
    <t xml:space="preserve">Personas a tiempo completo (contrato principal)</t>
  </si>
  <si>
    <t xml:space="preserve">Costo de personal y conocimiento ($ M)</t>
  </si>
  <si>
    <t xml:space="preserve">Precio sin IVA ($ M)</t>
  </si>
  <si>
    <t xml:space="preserve">Parte del precio</t>
  </si>
  <si>
    <t xml:space="preserve">1. Gestión del proyecto</t>
  </si>
  <si>
    <t xml:space="preserve">1.1 Inicio y planeación</t>
  </si>
  <si>
    <t xml:space="preserve">1.2 Seguimiento y compuertas</t>
  </si>
  <si>
    <t xml:space="preserve">1.3 Informe final y sustentación</t>
  </si>
  <si>
    <t xml:space="preserve">2. Ingeniería de proceso</t>
  </si>
  <si>
    <t xml:space="preserve">2.1 Análisis del problema</t>
  </si>
  <si>
    <t xml:space="preserve">2.2 EDT de la producción</t>
  </si>
  <si>
    <t xml:space="preserve">2.3 VSM de las líneas</t>
  </si>
  <si>
    <t xml:space="preserve">2.4 Medidas organizacionales</t>
  </si>
  <si>
    <t xml:space="preserve">2.5 Arquitectura ISA-95</t>
  </si>
  <si>
    <t xml:space="preserve">3. Automatización y control</t>
  </si>
  <si>
    <t xml:space="preserve">3.1 Instrumentación</t>
  </si>
  <si>
    <t xml:space="preserve">3.2 PLC e ISA-88</t>
  </si>
  <si>
    <t xml:space="preserve">3.3 SCADA</t>
  </si>
  <si>
    <t xml:space="preserve">4. Robótica y simulación</t>
  </si>
  <si>
    <t xml:space="preserve">4.1 Plant Simulation</t>
  </si>
  <si>
    <t xml:space="preserve">4.2 RobotStudio</t>
  </si>
  <si>
    <t xml:space="preserve">4.3 NX MCD</t>
  </si>
  <si>
    <t xml:space="preserve">5. MES y ERP</t>
  </si>
  <si>
    <t xml:space="preserve">5.1 Implementación MES</t>
  </si>
  <si>
    <t xml:space="preserve">5.2 Implementación ERP (configuración funcional)</t>
  </si>
  <si>
    <t xml:space="preserve">5.3 Integración y comunicación</t>
  </si>
  <si>
    <t xml:space="preserve">6. Finanzas y oferta</t>
  </si>
  <si>
    <t xml:space="preserve">6.1 Modelo financiero y oferta</t>
  </si>
  <si>
    <t xml:space="preserve">6.2 Financiación</t>
  </si>
  <si>
    <t xml:space="preserve">Viajes e instrumentos de prueba, con su AIU</t>
  </si>
  <si>
    <t xml:space="preserve">Total de los paquetes</t>
  </si>
  <si>
    <t xml:space="preserve">Comprobación: total de los paquetes − precio de los tres contratos ($ M)</t>
  </si>
  <si>
    <t xml:space="preserve">La ingeniería por fase: conceptual, básica, de detalle e implementación</t>
  </si>
  <si>
    <t xml:space="preserve">La ingeniería conceptual define qué hacer y si vale la pena (diagnóstico, VSM, línea base, arquitectura y modelo financiero); la básica define con qué (recetas ISA-88, hojas de datos, especificación funcional, BOM y cotizaciones, configuración funcional del ERP, ingeniería básica de la etapa 2 y celda); la de detalle deja todo listo para construir y probar (planos de lazo, programas del PLC, SCADA y MES, interfaces, pruebas con el PLC emulado y gemelo). La implementación es el trabajo en planta de los otrosíes. Cada actividad tiene su fase en la tabla de horas.</t>
  </si>
  <si>
    <t xml:space="preserve">Fase</t>
  </si>
  <si>
    <t xml:space="preserve">Comprobación: total por fase − precio de los tres contratos ($ M)</t>
  </si>
  <si>
    <t xml:space="preserve">Contrato principal: 16 semanas de la EDT del proyecto (semestre 2026-2)</t>
  </si>
  <si>
    <t xml:space="preserve">Costo por hora ($)</t>
  </si>
  <si>
    <t xml:space="preserve">De ese costo: conocimiento ($ M)</t>
  </si>
  <si>
    <t xml:space="preserve">Personal y conocimiento ($ M)</t>
  </si>
  <si>
    <t xml:space="preserve">Los 19 paquetes de la EDT: diagnóstico, diseño, programación y validación virtual de todo el proyecto, celda de paletizado incluida, y BOM cotizado.</t>
  </si>
  <si>
    <t xml:space="preserve">Otrosí 1: implementación de la etapa 1 (2 meses, 2027)</t>
  </si>
  <si>
    <t xml:space="preserve">Se firma si se supera la primera compuerta: montaje supervisado, puesta en marcha, capacitación y soporte de la etapa 1.</t>
  </si>
  <si>
    <t xml:space="preserve">Otrosí 2: ingeniería de detalle e implementación de la etapa 2 (2 meses, 2028)</t>
  </si>
  <si>
    <t xml:space="preserve">Se firma si se supera la segunda compuerta: integración de la hiladora, el CIP y el suero, puesta en marcha y certificación ante el CNBT.</t>
  </si>
  <si>
    <t xml:space="preserve">Estado de resultados de IntegraMotion por el proyecto ($ M)</t>
  </si>
  <si>
    <t xml:space="preserve">Ingresos (precio sin IVA)</t>
  </si>
  <si>
    <t xml:space="preserve">− Honorarios de los socios</t>
  </si>
  <si>
    <t xml:space="preserve">− Salario del director, costo empresa</t>
  </si>
  <si>
    <t xml:space="preserve">− Conocimiento: certificaciones, cursos y licencias</t>
  </si>
  <si>
    <t xml:space="preserve">− Viajes</t>
  </si>
  <si>
    <t xml:space="preserve">− Instrumentos de prueba</t>
  </si>
  <si>
    <t xml:space="preserve">− Administración</t>
  </si>
  <si>
    <t xml:space="preserve">− Imprevistos (se gastan)</t>
  </si>
  <si>
    <t xml:space="preserve">− Impuesto de renta</t>
  </si>
  <si>
    <t xml:space="preserve">Utilidad neta = dividendos</t>
  </si>
  <si>
    <t xml:space="preserve">Dividendo por socio</t>
  </si>
  <si>
    <t xml:space="preserve">El IVA no es ingreso: se cobra al cliente y se paga a la DIAN. El cliente retiene en la fuente sobre los pagos; es un anticipo del impuesto de renta de IntegraMotion.</t>
  </si>
  <si>
    <t xml:space="preserve">Margen de IntegraMotion y qué pasa si las horas se pasan</t>
  </si>
  <si>
    <t xml:space="preserve">Utilidad del AIU sobre el precio sin IVA</t>
  </si>
  <si>
    <t xml:space="preserve">El 10 % se aplica al costo directo; sobre el precio es menos.</t>
  </si>
  <si>
    <t xml:space="preserve">Utilidad antes de impuestos sobre ventas</t>
  </si>
  <si>
    <t xml:space="preserve">Utilidad neta sobre ventas</t>
  </si>
  <si>
    <t xml:space="preserve">Factor de venta promedio (precio ÷ remuneración del equipo)</t>
  </si>
  <si>
    <t xml:space="preserve">Control de consistencia: la tarifa cubre remuneración, conocimiento, viajes, gastos, imprevistos y utilidad.</t>
  </si>
  <si>
    <t xml:space="preserve">Utilidad antes de impuestos si no se gastan los imprevistos</t>
  </si>
  <si>
    <t xml:space="preserve">El estado de resultados supone, por prudencia, que la reserva se consume.</t>
  </si>
  <si>
    <t xml:space="preserve">Utilidad antes de impuestos si las horas reales son 10 % más</t>
  </si>
  <si>
    <t xml:space="preserve">Precio cerrado: el sobrecosto lo absorben primero los imprevistos y después la utilidad.</t>
  </si>
  <si>
    <t xml:space="preserve">Utilidad antes de impuestos si las horas reales son 20 % más</t>
  </si>
  <si>
    <t xml:space="preserve">Sobrecosto de horas que deja la utilidad en cero</t>
  </si>
  <si>
    <t xml:space="preserve">Por encima de esto IntegraMotion pierde; por eso los cambios de alcance van por orden de cambio.</t>
  </si>
  <si>
    <t xml:space="preserve">Lo que recibe cada socio por el proyecto ($ M)</t>
  </si>
  <si>
    <t xml:space="preserve">Socio</t>
  </si>
  <si>
    <t xml:space="preserve">Sueldo u honorarios</t>
  </si>
  <si>
    <t xml:space="preserve">Aportes propios</t>
  </si>
  <si>
    <t xml:space="preserve">Dividendo</t>
  </si>
  <si>
    <t xml:space="preserve">Total neto</t>
  </si>
  <si>
    <t xml:space="preserve">Ingeniero de automatización y control (2) — cada uno</t>
  </si>
  <si>
    <t xml:space="preserve">Director: sueldo con prestaciones, que la empresa paga aparte. Socios con honorarios: pagan su seguridad social sobre el 40 % del honorario. Las certificaciones y licencias las paga la empresa, no el socio. Dividendos por debajo de 1.090 UVT al año: sin retención en la fuente (art. 242 ET).</t>
  </si>
  <si>
    <t xml:space="preserve">Pagos de Lácteos Fúquene a IntegraMotion</t>
  </si>
  <si>
    <t xml:space="preserve">Hito</t>
  </si>
  <si>
    <t xml:space="preserve">% del contrato</t>
  </si>
  <si>
    <t xml:space="preserve">Sin IVA ($ M)</t>
  </si>
  <si>
    <t xml:space="preserve">Con IVA ($ M)</t>
  </si>
  <si>
    <t xml:space="preserve">Cuándo</t>
  </si>
  <si>
    <t xml:space="preserve">Pago del contrato principal: anticipo a la firma</t>
  </si>
  <si>
    <t xml:space="preserve">Semestre 2026-2, semana 1</t>
  </si>
  <si>
    <t xml:space="preserve">Pago del contrato principal: ingeniería de la etapa 1 aceptada</t>
  </si>
  <si>
    <t xml:space="preserve">Semestre 2026-2, semana 10</t>
  </si>
  <si>
    <t xml:space="preserve">Pago del contrato principal: informe final y primera compuerta</t>
  </si>
  <si>
    <t xml:space="preserve">Semestre 2026-2, semana 16</t>
  </si>
  <si>
    <t xml:space="preserve">Pago del otrosí 1: inicio del montaje</t>
  </si>
  <si>
    <t xml:space="preserve">Marzo de 2027, después de la primera compuerta</t>
  </si>
  <si>
    <t xml:space="preserve">Pago del otrosí 1: prueba en sitio de la etapa 1</t>
  </si>
  <si>
    <t xml:space="preserve">Abril de 2027</t>
  </si>
  <si>
    <t xml:space="preserve">Pago del otrosí 2: inicio de la integración</t>
  </si>
  <si>
    <t xml:space="preserve">2028, después de la segunda compuerta</t>
  </si>
  <si>
    <t xml:space="preserve">Pago del otrosí 2: aceptación en sitio de la hiladora</t>
  </si>
  <si>
    <t xml:space="preserve">Control del contrato principal por valor ganado</t>
  </si>
  <si>
    <t xml:space="preserve">Línea base de costo del contrato principal: cada paquete reparte su costo de personal y conocimiento en las semanas que le da la EDT, desde la semana de inicio del cronograma (en azul, ajustable). En la ejecución se llenan cada semana el valor ganado (costo presupuestado del trabajo terminado) y el costo real; el modelo calcula los índices y el estado. Así IntegraMotion controla las horas de un contrato de precio fijo.</t>
  </si>
  <si>
    <t xml:space="preserve">Semana de inicio</t>
  </si>
  <si>
    <t xml:space="preserve">Semanas</t>
  </si>
  <si>
    <t xml:space="preserve">Semana final</t>
  </si>
  <si>
    <t xml:space="preserve">Costo presupuestado ($ M)</t>
  </si>
  <si>
    <t xml:space="preserve">Presupuesto a la terminación (BAC): costo de personal y conocimiento del contrato principal</t>
  </si>
  <si>
    <t xml:space="preserve">Comprobación: BAC − costo de personal y conocimiento del contrato principal</t>
  </si>
  <si>
    <t xml:space="preserve">Comprobación: ningún paquete termina después de la semana 16</t>
  </si>
  <si>
    <t xml:space="preserve">Semana</t>
  </si>
  <si>
    <t xml:space="preserve">Valor planeado de la semana ($ M)</t>
  </si>
  <si>
    <t xml:space="preserve">Valor planeado acumulado PV ($ M)</t>
  </si>
  <si>
    <t xml:space="preserve">Avance planeado</t>
  </si>
  <si>
    <t xml:space="preserve">Facturado acumulado sin IVA ($ M)</t>
  </si>
  <si>
    <t xml:space="preserve">Valor ganado acumulado EV ($ M)</t>
  </si>
  <si>
    <t xml:space="preserve">Costo real acumulado AC ($ M)</t>
  </si>
  <si>
    <t xml:space="preserve">CPI = EV/AC</t>
  </si>
  <si>
    <t xml:space="preserve">SPI = EV/PV</t>
  </si>
  <si>
    <t xml:space="preserve">Costo estimado a la terminación EAC ($ M)</t>
  </si>
  <si>
    <t xml:space="preserve">Comprobación: PV de la semana 16 − BAC</t>
  </si>
  <si>
    <t xml:space="preserve">Reglas: CPI y SPI de 0,95 o más, en control. Entre 0,90 y 0,95, alerta: el director revisa el paquete en la reunión semanal (paquete 1.2). Menos de 0,90, plan de recuperación con el cliente: reasignar horas entre roles, solapar paquetes o tramitar una orden de cambio si el alcance cambió.</t>
  </si>
  <si>
    <t xml:space="preserve">El sobrecosto que no viene de un cambio de alcance lo absorbe IntegraMotion con su imprevisto del AIU, no el cliente. La columna de facturación muestra la caja: el anticipo de 30 % cubre las primeras semanas y el hito de la semana 10 llega cuando ya se ha ejecutado más de la mitad del costo.</t>
  </si>
  <si>
    <t xml:space="preserve">Alcance, exclusiones y responsabilidades del proveedor</t>
  </si>
  <si>
    <t xml:space="preserve">• El contrato principal cubre los 19 paquetes de la EDT del proyecto en 16 semanas. Los otrosíes amplían su alcance y su valor solo si se superan las compuertas; si no, el contrato termina con la ingeniería, el BOM cotizado y la decisión documentada.</t>
  </si>
  <si>
    <t xml:space="preserve">• IntegraMotion hace la ingeniería, la integración y la gerencia; no vende equipos ni hace montajes. Lo que hacen terceros, quién los contrata y dónde está su costo va en la tabla de abajo. Tampoco incluye la ampliación a yogur y UHT ni la compra e instalación de la celda de paletizado.</t>
  </si>
  <si>
    <t xml:space="preserve">• El proveedor de la hiladora y del CIP entrega, antes del otrosí 2, la lista de señales y un protocolo abierto (EtherNet/IP u OPC UA), hace las pruebas en su fábrica con acta y corrige las fallas de fábrica en su garantía.</t>
  </si>
  <si>
    <t xml:space="preserve">• Las pruebas en la fábrica del proveedor se hacen con su representante en Colombia o de forma remota; los viajes internacionales no están incluidos y, si el cliente los pide, se facturan aparte.</t>
  </si>
  <si>
    <t xml:space="preserve">• Soporte después del arranque: hasta 8 h por semana, remoto y con visitas programadas, durante 3 meses (otrosí 1) y 2 meses (otrosí 2). Fuera de eso, por horas a la tarifa de cada rol.</t>
  </si>
  <si>
    <t xml:space="preserve">• Cambios de alcance: por orden de cambio valorada con las mismas tarifas y aprobada antes de ejecutarse. Cada actividad tiene su entregable y su criterio de aceptación; el pago por hitos se libera con esas actas.</t>
  </si>
  <si>
    <t xml:space="preserve">Trabajo</t>
  </si>
  <si>
    <t xml:space="preserve">Quién lo hace</t>
  </si>
  <si>
    <t xml:space="preserve">Dónde está su costo</t>
  </si>
  <si>
    <t xml:space="preserve">Diagnóstico, diseño, programación, validación virtual, BOM y gestiones</t>
  </si>
  <si>
    <t xml:space="preserve">Contrato principal.</t>
  </si>
  <si>
    <t xml:space="preserve">Supervisión del montaje, puesta en marcha, capacitación y soporte</t>
  </si>
  <si>
    <t xml:space="preserve">Otrosí 1 y otrosí 2.</t>
  </si>
  <si>
    <t xml:space="preserve">Suministro de equipos e instrumentos</t>
  </si>
  <si>
    <t xml:space="preserve">Proveedores; los compra Lácteos Fúquene con el BOM</t>
  </si>
  <si>
    <t xml:space="preserve">Hoja BOM.</t>
  </si>
  <si>
    <t xml:space="preserve">Montaje mecánico, tubería sanitaria y aire comprimido</t>
  </si>
  <si>
    <t xml:space="preserve">Contratista de montaje que contrata Lácteos Fúquene; IntegraMotion lo supervisa</t>
  </si>
  <si>
    <t xml:space="preserve">Instalación del BOM: 15 % de los ítems que la llevan.</t>
  </si>
  <si>
    <t xml:space="preserve">Instalación eléctrica de potencia, canalización y cableado de campo</t>
  </si>
  <si>
    <t xml:space="preserve">Contratista eléctrico con RETIE que contrata Lácteos Fúquene</t>
  </si>
  <si>
    <t xml:space="preserve">Fabricación del tablero de control</t>
  </si>
  <si>
    <t xml:space="preserve">Tablerista nacional</t>
  </si>
  <si>
    <t xml:space="preserve">Ítems TC-300 y TC-E2 del BOM.</t>
  </si>
  <si>
    <t xml:space="preserve">Planos de detalle de obra, eléctricos de potencia, hidráulicos, mecánicos y de reubicación de equipos</t>
  </si>
  <si>
    <t xml:space="preserve">Contratista de montaje; IntegraMotion entrega los planos de lazo y conexionado y la distribución conceptual</t>
  </si>
  <si>
    <t xml:space="preserve">Instalación y pruebas en fábrica de la hiladora y del CIP</t>
  </si>
  <si>
    <t xml:space="preserve">Proveedor de cada equipo</t>
  </si>
  <si>
    <t xml:space="preserve">Precio del equipo, con instalación (hoja Cotizaciones).</t>
  </si>
  <si>
    <t xml:space="preserve">Parametrización de SAP Business One</t>
  </si>
  <si>
    <t xml:space="preserve">Proveedor del ERP</t>
  </si>
  <si>
    <t xml:space="preserve">Rubro de la inversión.</t>
  </si>
  <si>
    <t xml:space="preserve">Formación de los operarios</t>
  </si>
  <si>
    <t xml:space="preserve">SENA y proveedores de los equipos</t>
  </si>
  <si>
    <t xml:space="preserve">Calibración acreditada de instrumentos</t>
  </si>
  <si>
    <t xml:space="preserve">Laboratorio acreditado por el ONAC</t>
  </si>
  <si>
    <t xml:space="preserve">Costos operativos nuevos.</t>
  </si>
  <si>
    <t xml:space="preserve">Aval del proyecto de innovación</t>
  </si>
  <si>
    <t xml:space="preserve">Actor reconocido por Minciencias</t>
  </si>
  <si>
    <t xml:space="preserve">Cómo se fijó el precio</t>
  </si>
  <si>
    <t xml:space="preserve">• Horas desde el trabajo: señales, fases, pantallas, recetas y semanas en planta, con tiempos de referencia de los integradores, cada una en su paquete de la EDT del proyecto.</t>
  </si>
  <si>
    <t xml:space="preserve">• Costo de cada hora por capas: honorario de referencia de la SCI para ingenieros con especialización (categoría 8), más el costo anual de las certificaciones, cursos y licencias de cada rol repartido entre sus horas facturadas.</t>
  </si>
  <si>
    <t xml:space="preserve">• Precio: costo directo (personal, conocimiento, viajes e instrumentos) más el AIU, más IVA.</t>
  </si>
  <si>
    <t xml:space="preserve">• Los programas del PLC, las pantallas del SCADA, el gemelo, la celda en RobotStudio y la documentación se entregan al cliente; las licencias de producción quedan a su nombre.</t>
  </si>
  <si>
    <t xml:space="preserve">• El contrato principal se ejecuta en el semestre 2026-2, en pesos de 2026. Cada otrosí se reajusta con el incremento del salario mínimo del año en que se ejecuta (2027 y 2028): así IntegraMotion no pierde valor si el mínimo sube más que la inflación.</t>
  </si>
  <si>
    <t xml:space="preserve">Gastos de funcionamiento de IntegraMotion durante el proyecto</t>
  </si>
  <si>
    <t xml:space="preserve">Lo que cuesta que la empresa funcione mientras dura el proyecto, sin contar con otros clientes. Precios de 2026; las cifras en azul son supuestos o referencias publicadas.</t>
  </si>
  <si>
    <t xml:space="preserve">Gasto</t>
  </si>
  <si>
    <t xml:space="preserve">Oficina virtual en Bogotá: domicilio comercial, correspondencia y salas de reunión por uso</t>
  </si>
  <si>
    <t xml:space="preserve">Encuentra24, Regus 94 Trece (Calle 94A n.° 13-72), oct-2026: $295.000/mes.</t>
  </si>
  <si>
    <t xml:space="preserve">Un puesto de coworking para el director (incluye energía, internet, aseo y recepción)</t>
  </si>
  <si>
    <t xml:space="preserve">Office Hub, Regus Chapinero (Calle 65A n.° 7-18): $1.364.823/mes. El resto del equipo trabaja en la planta o de forma remota.</t>
  </si>
  <si>
    <t xml:space="preserve">Contador (contabilidad, nómina de una persona, IVA, retenciones y renta)</t>
  </si>
  <si>
    <t xml:space="preserve">Cuánto Me Cuesta (2026): $0,8–1,5 M al mes para una pyme.</t>
  </si>
  <si>
    <t xml:space="preserve">Software contable y facturación electrónica</t>
  </si>
  <si>
    <t xml:space="preserve">Siigo Nube Emprendedor, $191.327/mes (Alegra, jul-2026). Las licencias de ingeniería van en el costo del conocimiento de cada hora.</t>
  </si>
  <si>
    <t xml:space="preserve">Microsoft 365 Business Standard (6 usuarios)</t>
  </si>
  <si>
    <t xml:space="preserve">US$14 por usuario al mes desde jul-2026 (Bestructured, 2026).</t>
  </si>
  <si>
    <t xml:space="preserve">Planes de datos móviles (6 líneas)</t>
  </si>
  <si>
    <t xml:space="preserve">Claro pospago 60 GB, $44.900/mes (Enter.co, mar-2025).</t>
  </si>
  <si>
    <t xml:space="preserve">Portátiles de ingeniería (6 × $4,5 M, depreciados en 5 años)</t>
  </si>
  <si>
    <t xml:space="preserve">Supuesto; el equipo de cómputo se deprecia en 5 años.</t>
  </si>
  <si>
    <t xml:space="preserve">Pólizas de responsabilidad civil profesional y de cumplimiento</t>
  </si>
  <si>
    <t xml:space="preserve">Supuesto: unos $3 M al año.</t>
  </si>
  <si>
    <t xml:space="preserve">Asesoría del SG-SST (hasta 10 trabajadores)</t>
  </si>
  <si>
    <t xml:space="preserve">Supuesto; Resolución 0312 de 2019.</t>
  </si>
  <si>
    <t xml:space="preserve">Gastos bancarios, transporte local y papelería</t>
  </si>
  <si>
    <t xml:space="preserve">Supuesto.</t>
  </si>
  <si>
    <t xml:space="preserve">Gastos fijos al mes</t>
  </si>
  <si>
    <t xml:space="preserve">Dedicación contratada del director durante el proyecto</t>
  </si>
  <si>
    <t xml:space="preserve">Contrato laboral por obra o labor durante los 8 meses de los tres contratos.</t>
  </si>
  <si>
    <t xml:space="preserve">Lo que debe cubrir la administración del AIU</t>
  </si>
  <si>
    <t xml:space="preserve">Gastos fijos de los 8 meses</t>
  </si>
  <si>
    <t xml:space="preserve">Tiempo contratado del director que no se factura a la quesería</t>
  </si>
  <si>
    <t xml:space="preserve">Impuesto de industria y comercio (9,66 por mil de los ingresos)</t>
  </si>
  <si>
    <t xml:space="preserve">Administración cobrada en los tres contratos</t>
  </si>
  <si>
    <t xml:space="preserve">Holgura</t>
  </si>
  <si>
    <t xml:space="preserve">Utilidad antes de impuestos con estos gastos reales</t>
  </si>
  <si>
    <t xml:space="preserve">La administración del AIU deja a IntegraMotion cubierta aunque la quesería sea su único contrato. Como los gastos fijos son los mismos y el costo directo creció con el conocimiento, basta un porcentaje menor.</t>
  </si>
  <si>
    <t xml:space="preserve">Entregables de cada rol y pago por hito</t>
  </si>
  <si>
    <t xml:space="preserve">Los cinco socios tienen contratos de prestación de servicios por productos; el director, contrato laboral. El valor de cada contrato son las horas estimadas por la tarifa, y se paga en los mismos hitos en que Lácteos Fúquene le paga a IntegraMotion.</t>
  </si>
  <si>
    <t xml:space="preserve">Contrato principal (16 semanas)</t>
  </si>
  <si>
    <t xml:space="preserve">Entregables</t>
  </si>
  <si>
    <t xml:space="preserve">Firma (30%)</t>
  </si>
  <si>
    <t xml:space="preserve">Ingeniería aprobada (40%)</t>
  </si>
  <si>
    <t xml:space="preserve">Informe final (30%)</t>
  </si>
  <si>
    <t xml:space="preserve">Plan del proyecto y EDT aprobados, seguimiento, control de cambios y riesgos, informe final y primera compuerta (paquetes 1.1–1.3).</t>
  </si>
  <si>
    <t xml:space="preserve">Diagnóstico y plan de mantenimiento, VSM y línea base, estándar del hilado, fases y recetas ISA-88 de las tres referencias y parámetros preliminares del hilado y el CIP (2.1–2.4).</t>
  </si>
  <si>
    <t xml:space="preserve">Prestación de servicios</t>
  </si>
  <si>
    <t xml:space="preserve">Arquitectura ISA-95, hojas de datos, lista de señales, planos y BOM técnico; especificación funcional y programa del PLC por fases ISA-88 en Studio 5000; SCADA, historiador y MES ligero en Ignition, con estado de las máquinas, paros y OEE; interfaz con el ERP; pruebas con el PLC emulado; ingeniería básica de la etapa 2 y señales de la celda de paletizado (2.5, 3.1–3.3, 5.1, 5.3).</t>
  </si>
  <si>
    <t xml:space="preserve">Modelo de la quesería en Plant Simulation, celda de paletizado en RobotStudio y gemelo virtual en NX MCD conectado al PLC emulado (4.1–4.3).</t>
  </si>
  <si>
    <t xml:space="preserve">Modelo financiero y oferta, BOM valorado con cotizaciones, configuración funcional del ERP y proceso de promesa de entrega con la capacidad real, financiación con prenda y postulación ante Minciencias para el crédito fiscal (5.2, 6.1–6.2).</t>
  </si>
  <si>
    <t xml:space="preserve">Otrosí 1 (etapa 1)</t>
  </si>
  <si>
    <t xml:space="preserve">Inicio del montaje (50%)</t>
  </si>
  <si>
    <t xml:space="preserve">Prueba en sitio (50%)</t>
  </si>
  <si>
    <t xml:space="preserve">Control del montaje, de los cambios y de los riesgos; acta de la segunda compuerta.</t>
  </si>
  <si>
    <t xml:space="preserve">Lotes de prueba de las tres recetas y capacitación de operarios y supervisores.</t>
  </si>
  <si>
    <t xml:space="preserve">Supervisión del montaje, sintonía de lazos, prueba en sitio, capacitación de mantenimiento, manuales y soporte de 3 meses.</t>
  </si>
  <si>
    <t xml:space="preserve">Otrosí 2 (etapa 2)</t>
  </si>
  <si>
    <t xml:space="preserve">Inicio (50%)</t>
  </si>
  <si>
    <t xml:space="preserve">Aceptación de la hiladora (50%)</t>
  </si>
  <si>
    <t xml:space="preserve">Control del proveedor de la hiladora y el CIP, pruebas de aceptación en su fábrica, cambios y cierre.</t>
  </si>
  <si>
    <t xml:space="preserve">Recetas de hilado, validación de la limpieza CIP, lotes de prueba y capacitación del personal.</t>
  </si>
  <si>
    <t xml:space="preserve">Ingeniería de detalle, programación del CIP, del suero y del enlace con la hiladora, pruebas, puesta en marcha, documentación y soporte de 2 meses.</t>
  </si>
  <si>
    <t xml:space="preserve">Actualización del modelo y del gemelo virtual con la hiladora.</t>
  </si>
  <si>
    <t xml:space="preserve">Certificación de la inversión en innovación ante el CNBT, verificación de beneficios contra la línea base y cierre económico.</t>
  </si>
  <si>
    <t xml:space="preserve">Plan de negocio de IntegraMotion: un año tipo</t>
  </si>
  <si>
    <t xml:space="preserve">La quesería se cotiza como un contrato típico de la empresa. El plan supone varios contratos de este tamaño al año; el punto de equilibrio dice cuánta ocupación necesita la empresa para no perder.</t>
  </si>
  <si>
    <t xml:space="preserve">Supuesto del plan: el resto es tiempo comercial, formación y propuestas.</t>
  </si>
  <si>
    <t xml:space="preserve">Capacidad del equipo</t>
  </si>
  <si>
    <t xml:space="preserve">h/año</t>
  </si>
  <si>
    <t xml:space="preserve">6 personas × 182 h de referencia × 12 meses.</t>
  </si>
  <si>
    <t xml:space="preserve">Horas facturadas</t>
  </si>
  <si>
    <t xml:space="preserve">Contratos del tamaño de la quesería al año</t>
  </si>
  <si>
    <t xml:space="preserve">contratos</t>
  </si>
  <si>
    <t xml:space="preserve">Horas facturadas ÷ horas de los tres contratos de la quesería.</t>
  </si>
  <si>
    <t xml:space="preserve">Precio promedio por hora, sin IVA</t>
  </si>
  <si>
    <t xml:space="preserve">El de los contratos de la quesería.</t>
  </si>
  <si>
    <t xml:space="preserve">Costo directo promedio por hora</t>
  </si>
  <si>
    <t xml:space="preserve">Honorarios, salario del director facturado, conocimiento, viajes e instrumentos.</t>
  </si>
  <si>
    <t xml:space="preserve">Estado de resultados del año ($ M)</t>
  </si>
  <si>
    <t xml:space="preserve">Ingresos sin IVA</t>
  </si>
  <si>
    <t xml:space="preserve">Horas facturadas × precio por hora.</t>
  </si>
  <si>
    <t xml:space="preserve">− Costo directo</t>
  </si>
  <si>
    <t xml:space="preserve">− Imprevistos que se gastan</t>
  </si>
  <si>
    <t xml:space="preserve">− Gastos fijos de funcionamiento</t>
  </si>
  <si>
    <t xml:space="preserve">Tabla de gastos de arriba, 12 meses.</t>
  </si>
  <si>
    <t xml:space="preserve">− Director a tiempo completo: tiempo no facturado</t>
  </si>
  <si>
    <t xml:space="preserve">Con varios contratos, el director es empleado de tiempo completo; su tiempo facturado ya va en el costo directo.</t>
  </si>
  <si>
    <t xml:space="preserve">− Impuesto de industria y comercio (9,66 por mil)</t>
  </si>
  <si>
    <t xml:space="preserve">− Impuesto de renta (35 %)</t>
  </si>
  <si>
    <t xml:space="preserve">Utilidad neta del año = dividendos</t>
  </si>
  <si>
    <t xml:space="preserve">Dividendo por socio al año</t>
  </si>
  <si>
    <t xml:space="preserve">Honorarios de un socio al año (a la ocupación del plan)</t>
  </si>
  <si>
    <t xml:space="preserve">Honorario de referencia × 12 × ocupación: al socio se le paga lo que entrega.</t>
  </si>
  <si>
    <t xml:space="preserve">Ocupación de equilibrio (utilidad cero)</t>
  </si>
  <si>
    <t xml:space="preserve">Por debajo de esta ocupación la empresa pierde plata.</t>
  </si>
  <si>
    <t xml:space="preserve">IntegraMotion es una empresa nueva: este es su plan, no su historia. Con la quesería sola cubre sus gastos de los 8 meses (sección de arriba); para crecer necesita la ocupación del plan, que es tarea del área comercial.</t>
  </si>
  <si>
    <t xml:space="preserve">Precio en pesos del año en que se ejecuta cada contrato</t>
  </si>
  <si>
    <t xml:space="preserve">2026 (base)</t>
  </si>
  <si>
    <t xml:space="preserve">2027</t>
  </si>
  <si>
    <t xml:space="preserve">Salario mínimo mensual ($ M)</t>
  </si>
  <si>
    <t xml:space="preserve">2027: incremento de la hoja Entorno. 2028: inflación de la ruta base más el aumento real.</t>
  </si>
  <si>
    <t xml:space="preserve">Honorario de referencia de un socio ($ M/mes)</t>
  </si>
  <si>
    <t xml:space="preserve">4,8 salarios mínimos del año.</t>
  </si>
  <si>
    <t xml:space="preserve">Precio promedio de una hora facturada, sin IVA ($)</t>
  </si>
  <si>
    <t xml:space="preserve">Sube con el salario mínimo: el costo de la hora son honorarios.</t>
  </si>
  <si>
    <t xml:space="preserve">Contrato principal, sin IVA ($ M)</t>
  </si>
  <si>
    <t xml:space="preserve">Se ejecuta en el semestre 2026-2: vale lo de la columna 2026.</t>
  </si>
  <si>
    <t xml:space="preserve">Otrosí 1, sin IVA ($ M)</t>
  </si>
  <si>
    <t xml:space="preserve">Se firma en 2027, después de la primera compuerta.</t>
  </si>
  <si>
    <t xml:space="preserve">Otrosí 2, sin IVA ($ M)</t>
  </si>
  <si>
    <t xml:space="preserve">Se firma después de la segunda compuerta, con el salario mínimo de 2028.</t>
  </si>
  <si>
    <t xml:space="preserve">Valor de cada contrato en el año en que se ejecuta ($ M corrientes)</t>
  </si>
  <si>
    <t xml:space="preserve">La oferta se presenta en pesos de 2026: el contrato principal se ejecuta en el semestre 2026-2 a esos precios, y cada otrosí se liquida con el salario mínimo del año en que se firma. Así IntegraMotion no pierde valor si el mínimo sube más que la inflación, y Lácteos Fúquene sabe desde hoy cómo se calcula su precio. Los gastos de funcionamiento se cubren con la administración del AIU, que es un porcentaje del costo directo y sube con él. En el modelo de la quesería los otrosíes entran en pesos constantes de 2026: el precio corriente dividido por la inflación de cada año.</t>
  </si>
  <si>
    <t xml:space="preserve">Análisis de precios unitarios (APU) de la ingeniería de IntegraMotion</t>
  </si>
  <si>
    <t xml:space="preserve">Cada hora de ingeniería se costea por componentes: mano de obra, conocimiento (certificaciones, cursos y licencias), transporte e instrumentos. El presupuesto multiplica horas por precio unitario y suma el AIU. Debe dar lo mismo que la hoja IntegraMotion.</t>
  </si>
  <si>
    <t xml:space="preserve">Contrato principal: las 16 semanas de la EDT del proyecto</t>
  </si>
  <si>
    <t xml:space="preserve">APU por hora de ingeniería (pesos por hora)</t>
  </si>
  <si>
    <t xml:space="preserve">Mano de obra</t>
  </si>
  <si>
    <t xml:space="preserve">Conocimiento</t>
  </si>
  <si>
    <t xml:space="preserve">Transporte a planta</t>
  </si>
  <si>
    <t xml:space="preserve">Instrumentos</t>
  </si>
  <si>
    <t xml:space="preserve">Costo directo unitario</t>
  </si>
  <si>
    <t xml:space="preserve">hora</t>
  </si>
  <si>
    <t xml:space="preserve">Mano de obra: salario o honorario mensual ÷ 182 horas de referencia (director con factor prestacional 1,38). Conocimiento: costo anual de certificaciones, cursos y licencias del rol ÷ sus horas facturadas al año. Transporte e instrumentos: total del contrato ÷ horas del equipo.</t>
  </si>
  <si>
    <t xml:space="preserve">Presupuesto del contrato ($ M)</t>
  </si>
  <si>
    <t xml:space="preserve">Ítem</t>
  </si>
  <si>
    <t xml:space="preserve">Valor unitario ($)</t>
  </si>
  <si>
    <t xml:space="preserve">Valor total ($ M)</t>
  </si>
  <si>
    <t xml:space="preserve">h</t>
  </si>
  <si>
    <t xml:space="preserve">Valor sin IVA</t>
  </si>
  <si>
    <t xml:space="preserve">Valor con IVA</t>
  </si>
  <si>
    <t xml:space="preserve">Comprobación: diferencia con la hoja IntegraMotion ($ M)</t>
  </si>
  <si>
    <t xml:space="preserve">Otrosí 2: ingeniería de detalle e implementación de la etapa 2</t>
  </si>
  <si>
    <t xml:space="preserve">Los socios con honorarios pagan su propia seguridad social; por eso su mano de obra es el honorario por hora. El AIU se aplica sobre el costo directo, como en el resto del modelo.</t>
  </si>
  <si>
    <t xml:space="preserve">Chequeos del modelo</t>
  </si>
  <si>
    <t xml:space="preserve">Cada chequeo calcula una diferencia que debe ser cero. Si alguno dice Revisar, hay un error de fórmula o de enlace.</t>
  </si>
  <si>
    <t xml:space="preserve">Chequeo</t>
  </si>
  <si>
    <t xml:space="preserve">Qué compara</t>
  </si>
  <si>
    <t xml:space="preserve">Empresa: descuentos de renta que superan el impuesto de algún año (capacidad tributaria)</t>
  </si>
  <si>
    <t xml:space="preserve">La empresa paga suficiente renta cada año para usar los descuentos y el crédito fiscal.</t>
  </si>
  <si>
    <t xml:space="preserve">Inversión: suma de los componentes − (año 0 + año 1)</t>
  </si>
  <si>
    <t xml:space="preserve">Tabla de inversión de la hoja Quesería.</t>
  </si>
  <si>
    <t xml:space="preserve">Beneficios: suma de la tabla − (etapas 0 y 1 + etapa 2)</t>
  </si>
  <si>
    <t xml:space="preserve">Tabla de beneficios de la hoja Quesería.</t>
  </si>
  <si>
    <t xml:space="preserve">Hallazgos: lo que se carga a la quesería − beneficio anual pleno</t>
  </si>
  <si>
    <t xml:space="preserve">Todo beneficio de la oferta viene de un hallazgo o de la innovación del sensor de coagulación.</t>
  </si>
  <si>
    <t xml:space="preserve">Beneficios: hoja Quesería − hoja Beneficios y costos (valor planta)</t>
  </si>
  <si>
    <t xml:space="preserve">Que cada beneficio venga de su cálculo.</t>
  </si>
  <si>
    <t xml:space="preserve">Flujo de caja libre: suma de los años − suma de sus componentes</t>
  </si>
  <si>
    <t xml:space="preserve">Que el flujo sume todos sus rubros con el signo correcto.</t>
  </si>
  <si>
    <t xml:space="preserve">Crédito: saldo al final del año 8</t>
  </si>
  <si>
    <t xml:space="preserve">El crédito queda pagado.</t>
  </si>
  <si>
    <t xml:space="preserve">Crédito: abonos en pesos corrientes − desembolsos en pesos corrientes</t>
  </si>
  <si>
    <t xml:space="preserve">Se devuelve lo que se prestó.</t>
  </si>
  <si>
    <t xml:space="preserve">Escenarios: TIR de la columna Oferta − TIR de la hoja Quesería</t>
  </si>
  <si>
    <t xml:space="preserve">La hoja Escenarios reproduce la oferta.</t>
  </si>
  <si>
    <t xml:space="preserve">Escenarios: VPN de la columna Oferta − VPN de la hoja Quesería</t>
  </si>
  <si>
    <t xml:space="preserve">Escenarios: cobertura mínima de la columna Oferta − la de la hoja Quesería</t>
  </si>
  <si>
    <t xml:space="preserve">Depreciación fiscal: etapa 1 deducida en pesos corrientes − su costo</t>
  </si>
  <si>
    <t xml:space="preserve">Cada rubro se deduce completo según su vida fiscal; la reposición del año 6 deduce 4 de sus 5 años dentro del horizonte (escenario Solo etapas 0 y 1).</t>
  </si>
  <si>
    <t xml:space="preserve">Suero: lo que falta para que $49/kg cubra el precio mínimo sin certificado de la CAR</t>
  </si>
  <si>
    <t xml:space="preserve">El precio que pide la segunda compuerta paga el enfriador aunque no llegue el descuento ambiental.</t>
  </si>
  <si>
    <t xml:space="preserve">Balance de masa de los quesos: entradas − salidas</t>
  </si>
  <si>
    <t xml:space="preserve">Leche, crema y agua que entran = queso, crema y suero que salen.</t>
  </si>
  <si>
    <t xml:space="preserve">Leche: recepción − leche repartida en las nueve referencias</t>
  </si>
  <si>
    <t xml:space="preserve">La estandarización usa toda la leche de la planta.</t>
  </si>
  <si>
    <t xml:space="preserve">Leche: quesería − (campesino + doble crema + mozzarella)</t>
  </si>
  <si>
    <t xml:space="preserve">Costos nuevos: total − suma de energía, vapor y calibración</t>
  </si>
  <si>
    <t xml:space="preserve">Tabla de costos de la hoja Beneficios y costos.</t>
  </si>
  <si>
    <t xml:space="preserve">Empresa: utilidad neta de 2026 calculada − la del caso</t>
  </si>
  <si>
    <t xml:space="preserve">El estado de resultados del caso cuadra con la tarifa de renta.</t>
  </si>
  <si>
    <t xml:space="preserve">Empresa: EBITDA del proyecto − (beneficios − costos − traslape) del flujo</t>
  </si>
  <si>
    <t xml:space="preserve">El estado de resultados de la empresa toma lo mismo que el flujo del proyecto.</t>
  </si>
  <si>
    <t xml:space="preserve">Cotizaciones: valor del modelo − valor de la tabla de inversión (8 equipos)</t>
  </si>
  <si>
    <t xml:space="preserve">Que la inversión use los precios de la hoja Cotizaciones.</t>
  </si>
  <si>
    <t xml:space="preserve">APU: presupuesto del contrato principal − precio de la hoja IntegraMotion</t>
  </si>
  <si>
    <t xml:space="preserve">El APU reproduce el precio de cada contrato.</t>
  </si>
  <si>
    <t xml:space="preserve">APU: presupuesto del otrosí 1 − precio de la hoja IntegraMotion</t>
  </si>
  <si>
    <t xml:space="preserve">APU: presupuesto del otrosí 2 − precio de la hoja IntegraMotion</t>
  </si>
  <si>
    <t xml:space="preserve">Contrato principal: hoja Quesería − hoja IntegraMotion</t>
  </si>
  <si>
    <t xml:space="preserve">La inversión toma el precio sin IVA del contrato, completo aunque esté repartido en dos rubros.</t>
  </si>
  <si>
    <t xml:space="preserve">Otrosí 1: hoja Quesería − hoja IntegraMotion reajustada</t>
  </si>
  <si>
    <t xml:space="preserve">Otrosí 2: hoja Quesería − hoja IntegraMotion reajustada</t>
  </si>
  <si>
    <t xml:space="preserve">Resumen: presupuesto − inversión de la hoja Quesería</t>
  </si>
  <si>
    <t xml:space="preserve">El cuadro de presupuesto suma toda la inversión.</t>
  </si>
  <si>
    <t xml:space="preserve">Resumen: líneas del flujo − flujo de caja libre</t>
  </si>
  <si>
    <t xml:space="preserve">El flujo resumido cuadra con el de la hoja Quesería.</t>
  </si>
  <si>
    <t xml:space="preserve">BOM: lo que entra a la quesería − rubros de equipos de la hoja Quesería</t>
  </si>
  <si>
    <t xml:space="preserve">Cada rubro de equipos de la inversión es la suma de sus ítems en el BOM.</t>
  </si>
  <si>
    <t xml:space="preserve">IntegraMotion: precio por paquete de la EDT − precio de los tres contratos</t>
  </si>
  <si>
    <t xml:space="preserve">Los paquetes de la EDT reparten el mismo precio de los tres contratos.</t>
  </si>
  <si>
    <t xml:space="preserve">IntegraMotion: precio por fase de la ingeniería − precio de los tres contratos</t>
  </si>
  <si>
    <t xml:space="preserve">Las fases (conceptual, básica, de detalle, implementación y gestión) reparten el mismo precio.</t>
  </si>
  <si>
    <t xml:space="preserve">Beneficios y costos: leche de la mezcla óptima − leche de hoy</t>
  </si>
  <si>
    <t xml:space="preserve">La mezcla óptima reparte los mismos litros.</t>
  </si>
  <si>
    <t xml:space="preserve">Herramientas: pesos de la matriz de criterios − 100 %</t>
  </si>
  <si>
    <t xml:space="preserve">Los pesos de los criterios suman 100 %.</t>
  </si>
  <si>
    <t xml:space="preserve">IntegraMotion: línea base de valor ganado − costo del contrato principal</t>
  </si>
  <si>
    <t xml:space="preserve">La curva S reparte todo el costo de personal y conocimiento del contrato principal.</t>
  </si>
  <si>
    <t xml:space="preserve">IntegraMotion: PV de la semana 16 − BAC</t>
  </si>
  <si>
    <t xml:space="preserve">La curva S llega al presupuesto completo.</t>
  </si>
  <si>
    <t xml:space="preserve">IntegraMotion: semana final del cronograma − 16 (0 o menos)</t>
  </si>
  <si>
    <t xml:space="preserve">Ningún paquete se sale de las 16 semanas.</t>
  </si>
  <si>
    <t xml:space="preserve">Estado general del modelo</t>
  </si>
</sst>
</file>

<file path=xl/styles.xml><?xml version="1.0" encoding="utf-8"?>
<styleSheet xmlns="http://schemas.openxmlformats.org/spreadsheetml/2006/main">
  <numFmts count="20">
    <numFmt numFmtId="164" formatCode="General"/>
    <numFmt numFmtId="165" formatCode="0.0%;\(0.0%\);\-"/>
    <numFmt numFmtId="166" formatCode="#,##0;\(#,##0\);\-"/>
    <numFmt numFmtId="167" formatCode="0.0"/>
    <numFmt numFmtId="168" formatCode="0.00"/>
    <numFmt numFmtId="169" formatCode="#,##0.0;\(#,##0.0\);\-"/>
    <numFmt numFmtId="170" formatCode="0.000;\-0.000;0.000"/>
    <numFmt numFmtId="171" formatCode="0"/>
    <numFmt numFmtId="172" formatCode="0.00%;\(0.00%\);\-"/>
    <numFmt numFmtId="173" formatCode="0.000"/>
    <numFmt numFmtId="174" formatCode="0.0;\-0.0;\-"/>
    <numFmt numFmtId="175" formatCode="0%"/>
    <numFmt numFmtId="176" formatCode="\$#,##0"/>
    <numFmt numFmtId="177" formatCode="#,##0"/>
    <numFmt numFmtId="178" formatCode="#,##0.0"/>
    <numFmt numFmtId="179" formatCode="#,##0.00"/>
    <numFmt numFmtId="180" formatCode="#,##0.000"/>
    <numFmt numFmtId="181" formatCode="0.0#"/>
    <numFmt numFmtId="182" formatCode="#,##0.000;\(#,##0.000\);\-"/>
    <numFmt numFmtId="183" formatCode="\$#,##0;&quot;($&quot;#,##0\);\-"/>
  </numFmts>
  <fonts count="18">
    <font>
      <sz val="11"/>
      <color theme="1"/>
      <name val="Calibri"/>
      <family val="2"/>
      <charset val="1"/>
    </font>
    <font>
      <sz val="10"/>
      <name val="Arial"/>
      <family val="0"/>
    </font>
    <font>
      <sz val="10"/>
      <name val="Arial"/>
      <family val="0"/>
    </font>
    <font>
      <sz val="10"/>
      <name val="Arial"/>
      <family val="0"/>
    </font>
    <font>
      <b val="true"/>
      <sz val="18"/>
      <color rgb="FF1F3864"/>
      <name val="Arial"/>
      <family val="0"/>
      <charset val="1"/>
    </font>
    <font>
      <sz val="12"/>
      <color rgb="FF1F3864"/>
      <name val="Arial"/>
      <family val="0"/>
      <charset val="1"/>
    </font>
    <font>
      <b val="true"/>
      <sz val="11"/>
      <color rgb="FFFFFFFF"/>
      <name val="Arial"/>
      <family val="0"/>
      <charset val="1"/>
    </font>
    <font>
      <b val="true"/>
      <sz val="10"/>
      <name val="Arial"/>
      <family val="0"/>
      <charset val="1"/>
    </font>
    <font>
      <sz val="10"/>
      <name val="Arial"/>
      <family val="0"/>
      <charset val="1"/>
    </font>
    <font>
      <i val="true"/>
      <sz val="9"/>
      <color rgb="FF595959"/>
      <name val="Arial"/>
      <family val="0"/>
      <charset val="1"/>
    </font>
    <font>
      <u val="single"/>
      <sz val="10"/>
      <color rgb="FF0563C1"/>
      <name val="Arial"/>
      <family val="0"/>
      <charset val="1"/>
    </font>
    <font>
      <sz val="10"/>
      <color rgb="FF0000FF"/>
      <name val="Arial"/>
      <family val="0"/>
      <charset val="1"/>
    </font>
    <font>
      <b val="true"/>
      <sz val="16"/>
      <color rgb="FF1F3864"/>
      <name val="Arial"/>
      <family val="0"/>
      <charset val="1"/>
    </font>
    <font>
      <sz val="10"/>
      <color rgb="FF1F3864"/>
      <name val="Arial"/>
      <family val="0"/>
      <charset val="1"/>
    </font>
    <font>
      <b val="true"/>
      <sz val="14"/>
      <color rgb="FF1F3864"/>
      <name val="Arial"/>
      <family val="0"/>
      <charset val="1"/>
    </font>
    <font>
      <b val="true"/>
      <sz val="18"/>
      <color rgb="FF000000"/>
      <name val="Calibri"/>
      <family val="2"/>
    </font>
    <font>
      <sz val="10"/>
      <color rgb="FF000000"/>
      <name val="Calibri"/>
      <family val="2"/>
    </font>
    <font>
      <b val="true"/>
      <sz val="10"/>
      <color rgb="FF000000"/>
      <name val="Calibri"/>
      <family val="2"/>
    </font>
  </fonts>
  <fills count="6">
    <fill>
      <patternFill patternType="none"/>
    </fill>
    <fill>
      <patternFill patternType="gray125"/>
    </fill>
    <fill>
      <patternFill patternType="solid">
        <fgColor rgb="FF1F3864"/>
        <bgColor rgb="FF333399"/>
      </patternFill>
    </fill>
    <fill>
      <patternFill patternType="solid">
        <fgColor rgb="FFFFFF00"/>
        <bgColor rgb="FFFFFF00"/>
      </patternFill>
    </fill>
    <fill>
      <patternFill patternType="solid">
        <fgColor rgb="FFEAF0F8"/>
        <bgColor rgb="FFFFFFFF"/>
      </patternFill>
    </fill>
    <fill>
      <patternFill patternType="solid">
        <fgColor rgb="FFD9D9D9"/>
        <bgColor rgb="FFEAF0F8"/>
      </patternFill>
    </fill>
  </fills>
  <borders count="3">
    <border diagonalUp="false" diagonalDown="false">
      <left/>
      <right/>
      <top/>
      <bottom/>
      <diagonal/>
    </border>
    <border diagonalUp="false" diagonalDown="false">
      <left/>
      <right/>
      <top style="thin">
        <color rgb="FF808080"/>
      </top>
      <bottom/>
      <diagonal/>
    </border>
    <border diagonalUp="false" diagonalDown="false">
      <left/>
      <right/>
      <top style="thin">
        <color rgb="FFA6A6A6"/>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9" fontId="12" fillId="4" borderId="0" xfId="0" applyFont="true" applyBorder="false" applyAlignment="true" applyProtection="false">
      <alignment horizontal="left" vertical="bottom" textRotation="0" wrapText="false" indent="0" shrinkToFit="false"/>
      <protection locked="true" hidden="false"/>
    </xf>
    <xf numFmtId="164" fontId="12" fillId="4" borderId="0" xfId="0" applyFont="true" applyBorder="false" applyAlignment="true" applyProtection="false">
      <alignment horizontal="left" vertical="bottom" textRotation="0" wrapText="false" indent="0" shrinkToFit="false"/>
      <protection locked="true" hidden="false"/>
    </xf>
    <xf numFmtId="164" fontId="9" fillId="4" borderId="0" xfId="0" applyFont="true" applyBorder="true" applyAlignment="true" applyProtection="false">
      <alignment horizontal="general" vertical="top" textRotation="0" wrapText="true" indent="0" shrinkToFit="false"/>
      <protection locked="true" hidden="false"/>
    </xf>
    <xf numFmtId="164" fontId="7" fillId="5" borderId="0" xfId="0" applyFont="true" applyBorder="false" applyAlignment="true" applyProtection="false">
      <alignment horizontal="left" vertical="center" textRotation="0" wrapText="true" indent="0" shrinkToFit="false"/>
      <protection locked="true" hidden="false"/>
    </xf>
    <xf numFmtId="164" fontId="7" fillId="5" borderId="0" xfId="0" applyFont="true" applyBorder="false" applyAlignment="true" applyProtection="false">
      <alignment horizontal="center" vertical="center" textRotation="0" wrapText="tru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70"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71" fontId="8" fillId="0" borderId="0" xfId="0" applyFont="true" applyBorder="false" applyAlignment="true" applyProtection="false">
      <alignment horizontal="center"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71" fontId="7" fillId="0" borderId="0" xfId="0" applyFont="true" applyBorder="false" applyAlignment="true" applyProtection="false">
      <alignment horizontal="center"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right" vertical="bottom" textRotation="0" wrapText="false" indent="0" shrinkToFit="false"/>
      <protection locked="true" hidden="false"/>
    </xf>
    <xf numFmtId="165" fontId="8" fillId="0" borderId="0" xfId="0" applyFont="true" applyBorder="false" applyAlignment="true" applyProtection="false">
      <alignment horizontal="right" vertical="bottom" textRotation="0" wrapText="false" indent="0" shrinkToFit="false"/>
      <protection locked="true" hidden="false"/>
    </xf>
    <xf numFmtId="168" fontId="8" fillId="0" borderId="0" xfId="0" applyFont="true" applyBorder="false" applyAlignment="true" applyProtection="false">
      <alignment horizontal="right"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7" fillId="5" borderId="0" xfId="0" applyFont="tru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71" fontId="11" fillId="3"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8" fillId="3"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5" fontId="11" fillId="3" borderId="0" xfId="0" applyFont="true" applyBorder="false" applyAlignment="false" applyProtection="false">
      <alignment horizontal="general" vertical="bottom" textRotation="0" wrapText="false" indent="0" shrinkToFit="false"/>
      <protection locked="true" hidden="false"/>
    </xf>
    <xf numFmtId="169" fontId="11" fillId="0" borderId="0" xfId="0" applyFont="true" applyBorder="false" applyAlignment="false" applyProtection="false">
      <alignment horizontal="general" vertical="bottom" textRotation="0" wrapText="false" indent="0" shrinkToFit="false"/>
      <protection locked="true" hidden="false"/>
    </xf>
    <xf numFmtId="171" fontId="11" fillId="0" borderId="0" xfId="0" applyFont="true" applyBorder="false" applyAlignment="false" applyProtection="false">
      <alignment horizontal="general" vertical="bottom" textRotation="0" wrapText="false" indent="0" shrinkToFit="false"/>
      <protection locked="true" hidden="false"/>
    </xf>
    <xf numFmtId="172" fontId="11" fillId="0" borderId="0" xfId="0" applyFont="true" applyBorder="false" applyAlignment="false" applyProtection="false">
      <alignment horizontal="general" vertical="bottom" textRotation="0" wrapText="false" indent="0" shrinkToFit="false"/>
      <protection locked="true" hidden="false"/>
    </xf>
    <xf numFmtId="171" fontId="11" fillId="0" borderId="0" xfId="0" applyFont="true" applyBorder="false" applyAlignment="true" applyProtection="false">
      <alignment horizontal="center" vertical="bottom" textRotation="0" wrapText="false" indent="0" shrinkToFit="false"/>
      <protection locked="true" hidden="false"/>
    </xf>
    <xf numFmtId="169" fontId="7" fillId="3" borderId="0" xfId="0" applyFont="true" applyBorder="false" applyAlignment="false" applyProtection="false">
      <alignment horizontal="general" vertical="bottom" textRotation="0" wrapText="false" indent="0" shrinkToFit="false"/>
      <protection locked="true" hidden="false"/>
    </xf>
    <xf numFmtId="171" fontId="9" fillId="0" borderId="0" xfId="0" applyFont="true" applyBorder="false" applyAlignment="true" applyProtection="false">
      <alignment horizontal="center"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73" fontId="9"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6" fontId="7" fillId="0" borderId="2" xfId="0" applyFont="true" applyBorder="true" applyAlignment="false" applyProtection="false">
      <alignment horizontal="general" vertical="bottom" textRotation="0" wrapText="false" indent="0" shrinkToFit="false"/>
      <protection locked="true" hidden="false"/>
    </xf>
    <xf numFmtId="174" fontId="9" fillId="0" borderId="0" xfId="0" applyFont="true" applyBorder="false" applyAlignment="false" applyProtection="false">
      <alignment horizontal="general" vertical="bottom" textRotation="0" wrapText="false" indent="0" shrinkToFit="false"/>
      <protection locked="true" hidden="false"/>
    </xf>
    <xf numFmtId="165" fontId="7" fillId="3" borderId="0" xfId="0" applyFont="true" applyBorder="false" applyAlignment="false" applyProtection="false">
      <alignment horizontal="general" vertical="bottom" textRotation="0" wrapText="false" indent="0" shrinkToFit="false"/>
      <protection locked="true" hidden="false"/>
    </xf>
    <xf numFmtId="166" fontId="7" fillId="3" borderId="0" xfId="0" applyFont="true" applyBorder="false" applyAlignment="false" applyProtection="false">
      <alignment horizontal="general" vertical="bottom" textRotation="0" wrapText="false" indent="0" shrinkToFit="false"/>
      <protection locked="true" hidden="false"/>
    </xf>
    <xf numFmtId="167" fontId="7" fillId="3"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75" fontId="7" fillId="3" borderId="0" xfId="0" applyFont="true" applyBorder="false" applyAlignment="false" applyProtection="false">
      <alignment horizontal="general" vertical="bottom" textRotation="0" wrapText="false" indent="0" shrinkToFit="false"/>
      <protection locked="true" hidden="false"/>
    </xf>
    <xf numFmtId="168" fontId="7" fillId="3" borderId="0" xfId="0" applyFont="true" applyBorder="false" applyAlignment="false" applyProtection="false">
      <alignment horizontal="general" vertical="bottom" textRotation="0" wrapText="false" indent="0" shrinkToFit="false"/>
      <protection locked="true" hidden="false"/>
    </xf>
    <xf numFmtId="173" fontId="8" fillId="0" borderId="0" xfId="0" applyFont="true" applyBorder="false" applyAlignment="false" applyProtection="false">
      <alignment horizontal="general" vertical="bottom" textRotation="0" wrapText="false" indent="0" shrinkToFit="false"/>
      <protection locked="true" hidden="false"/>
    </xf>
    <xf numFmtId="176" fontId="8" fillId="0" borderId="0" xfId="0" applyFont="true" applyBorder="fals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72" fontId="8" fillId="0" borderId="0" xfId="0" applyFont="true" applyBorder="false" applyAlignment="false" applyProtection="false">
      <alignment horizontal="general" vertical="bottom" textRotation="0" wrapText="false" indent="0" shrinkToFit="false"/>
      <protection locked="true" hidden="false"/>
    </xf>
    <xf numFmtId="172" fontId="7" fillId="0" borderId="0" xfId="0" applyFont="true" applyBorder="false" applyAlignment="false" applyProtection="false">
      <alignment horizontal="general" vertical="bottom" textRotation="0" wrapText="false" indent="0" shrinkToFit="false"/>
      <protection locked="true" hidden="false"/>
    </xf>
    <xf numFmtId="171" fontId="8" fillId="0" borderId="0" xfId="0" applyFont="true" applyBorder="false" applyAlignment="false" applyProtection="false">
      <alignment horizontal="general" vertical="bottom" textRotation="0" wrapText="false" indent="0" shrinkToFit="false"/>
      <protection locked="true" hidden="false"/>
    </xf>
    <xf numFmtId="177" fontId="11" fillId="0" borderId="0" xfId="0" applyFont="true" applyBorder="false" applyAlignment="false" applyProtection="false">
      <alignment horizontal="general" vertical="bottom" textRotation="0" wrapText="false" indent="0" shrinkToFit="false"/>
      <protection locked="true" hidden="false"/>
    </xf>
    <xf numFmtId="177" fontId="8" fillId="0" borderId="0" xfId="0" applyFont="true" applyBorder="false" applyAlignment="false" applyProtection="false">
      <alignment horizontal="general" vertical="bottom" textRotation="0" wrapText="false" indent="0" shrinkToFit="false"/>
      <protection locked="true" hidden="false"/>
    </xf>
    <xf numFmtId="178"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79" fontId="11"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79" fontId="8"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8" fontId="8" fillId="0" borderId="0" xfId="0" applyFont="true" applyBorder="false" applyAlignment="true" applyProtection="false">
      <alignment horizontal="center" vertical="bottom" textRotation="0" wrapText="false" indent="0" shrinkToFit="false"/>
      <protection locked="true" hidden="false"/>
    </xf>
    <xf numFmtId="168" fontId="11" fillId="0" borderId="0" xfId="0" applyFont="true" applyBorder="false" applyAlignment="true" applyProtection="false">
      <alignment horizontal="center" vertical="bottom" textRotation="0" wrapText="false" indent="0" shrinkToFit="false"/>
      <protection locked="true" hidden="false"/>
    </xf>
    <xf numFmtId="165" fontId="8" fillId="0" borderId="0" xfId="0" applyFont="true" applyBorder="false" applyAlignment="true" applyProtection="false">
      <alignment horizontal="center" vertical="bottom" textRotation="0" wrapText="false" indent="0" shrinkToFit="false"/>
      <protection locked="true" hidden="false"/>
    </xf>
    <xf numFmtId="165" fontId="11" fillId="0" borderId="0" xfId="0" applyFont="true" applyBorder="false" applyAlignment="true" applyProtection="false">
      <alignment horizontal="center" vertical="bottom" textRotation="0" wrapText="false" indent="0" shrinkToFit="false"/>
      <protection locked="true" hidden="false"/>
    </xf>
    <xf numFmtId="172" fontId="8" fillId="0" borderId="0" xfId="0" applyFont="true" applyBorder="false" applyAlignment="true" applyProtection="false">
      <alignment horizontal="center" vertical="bottom" textRotation="0" wrapText="false" indent="0" shrinkToFit="false"/>
      <protection locked="true" hidden="false"/>
    </xf>
    <xf numFmtId="165" fontId="7" fillId="0" borderId="0" xfId="0" applyFont="true" applyBorder="false" applyAlignment="true" applyProtection="false">
      <alignment horizontal="center" vertical="bottom" textRotation="0" wrapText="false" indent="0" shrinkToFit="false"/>
      <protection locked="true" hidden="false"/>
    </xf>
    <xf numFmtId="175" fontId="8"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true" applyProtection="false">
      <alignment horizontal="general" vertical="top" textRotation="0" wrapText="false" indent="0" shrinkToFit="false"/>
      <protection locked="true" hidden="false"/>
    </xf>
    <xf numFmtId="166" fontId="7" fillId="0" borderId="0" xfId="0" applyFont="true" applyBorder="true" applyAlignment="true" applyProtection="false">
      <alignment horizontal="general" vertical="top" textRotation="0" wrapText="false" indent="0" shrinkToFit="false"/>
      <protection locked="true" hidden="false"/>
    </xf>
    <xf numFmtId="167" fontId="8" fillId="0" borderId="0" xfId="0" applyFont="true" applyBorder="false" applyAlignment="true" applyProtection="false">
      <alignment horizontal="general" vertical="top" textRotation="0" wrapText="false" indent="0" shrinkToFit="false"/>
      <protection locked="true" hidden="false"/>
    </xf>
    <xf numFmtId="165" fontId="8" fillId="0" borderId="0" xfId="0" applyFont="true" applyBorder="false" applyAlignment="true" applyProtection="false">
      <alignment horizontal="general" vertical="top" textRotation="0" wrapText="false" indent="0" shrinkToFit="false"/>
      <protection locked="true" hidden="false"/>
    </xf>
    <xf numFmtId="180" fontId="11" fillId="0" borderId="0" xfId="0" applyFont="true" applyBorder="false" applyAlignment="false" applyProtection="false">
      <alignment horizontal="general" vertical="bottom" textRotation="0" wrapText="false" indent="0" shrinkToFit="false"/>
      <protection locked="true" hidden="false"/>
    </xf>
    <xf numFmtId="177" fontId="7" fillId="0" borderId="0" xfId="0" applyFont="true" applyBorder="false" applyAlignment="false" applyProtection="false">
      <alignment horizontal="general" vertical="bottom" textRotation="0" wrapText="false" indent="0" shrinkToFit="false"/>
      <protection locked="true" hidden="false"/>
    </xf>
    <xf numFmtId="181" fontId="11" fillId="0" borderId="0" xfId="0" applyFont="true" applyBorder="false" applyAlignment="false" applyProtection="false">
      <alignment horizontal="general" vertical="bottom" textRotation="0" wrapText="false" indent="0" shrinkToFit="false"/>
      <protection locked="true" hidden="false"/>
    </xf>
    <xf numFmtId="171" fontId="8" fillId="0" borderId="0" xfId="0" applyFont="true" applyBorder="false" applyAlignment="true" applyProtection="false">
      <alignment horizontal="left" vertical="bottom" textRotation="0" wrapText="false" indent="0" shrinkToFit="false"/>
      <protection locked="true" hidden="false"/>
    </xf>
    <xf numFmtId="182" fontId="11" fillId="0" borderId="0" xfId="0" applyFont="true" applyBorder="false" applyAlignment="false" applyProtection="false">
      <alignment horizontal="general" vertical="bottom" textRotation="0" wrapText="false" indent="0" shrinkToFit="false"/>
      <protection locked="true" hidden="false"/>
    </xf>
    <xf numFmtId="182" fontId="8" fillId="0" borderId="0" xfId="0" applyFont="true" applyBorder="false" applyAlignment="false" applyProtection="false">
      <alignment horizontal="general" vertical="bottom" textRotation="0" wrapText="false" indent="0" shrinkToFit="false"/>
      <protection locked="true" hidden="false"/>
    </xf>
    <xf numFmtId="182" fontId="7" fillId="0" borderId="0" xfId="0" applyFont="true" applyBorder="false" applyAlignment="false" applyProtection="false">
      <alignment horizontal="general" vertical="bottom" textRotation="0" wrapText="false" indent="0" shrinkToFit="false"/>
      <protection locked="true" hidden="false"/>
    </xf>
    <xf numFmtId="182" fontId="7" fillId="3" borderId="0" xfId="0" applyFont="true" applyBorder="false" applyAlignment="false" applyProtection="false">
      <alignment horizontal="general" vertical="bottom" textRotation="0" wrapText="false" indent="0" shrinkToFit="false"/>
      <protection locked="true" hidden="false"/>
    </xf>
    <xf numFmtId="183" fontId="8" fillId="0" borderId="0" xfId="0" applyFont="true" applyBorder="false" applyAlignment="false" applyProtection="false">
      <alignment horizontal="general" vertical="bottom" textRotation="0" wrapText="false" indent="0" shrinkToFit="false"/>
      <protection locked="true" hidden="false"/>
    </xf>
    <xf numFmtId="180" fontId="8" fillId="0" borderId="0" xfId="0" applyFont="true" applyBorder="false" applyAlignment="false" applyProtection="false">
      <alignment horizontal="general" vertical="bottom" textRotation="0" wrapText="false" indent="0" shrinkToFit="false"/>
      <protection locked="true" hidden="false"/>
    </xf>
    <xf numFmtId="183"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4" fontId="7" fillId="3"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A6A6A6"/>
      <rgbColor rgb="FF808080"/>
      <rgbColor rgb="FF9999FF"/>
      <rgbColor rgb="FFBE4B48"/>
      <rgbColor rgb="FFFFFFCC"/>
      <rgbColor rgb="FFEAF0F8"/>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8B855"/>
      <rgbColor rgb="FFFFCC00"/>
      <rgbColor rgb="FFFF9900"/>
      <rgbColor rgb="FFFF6600"/>
      <rgbColor rgb="FF7D5FA0"/>
      <rgbColor rgb="FF878787"/>
      <rgbColor rgb="FF1F3864"/>
      <rgbColor rgb="FF4A7EBB"/>
      <rgbColor rgb="FF003300"/>
      <rgbColor rgb="FF333300"/>
      <rgbColor rgb="FF993300"/>
      <rgbColor rgb="FF993366"/>
      <rgbColor rgb="FF333399"/>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Cambio del VPN frente a la oferta ($ M)</a:t>
            </a:r>
          </a:p>
        </c:rich>
      </c:tx>
      <c:overlay val="0"/>
      <c:spPr>
        <a:noFill/>
        <a:ln w="0">
          <a:noFill/>
        </a:ln>
      </c:spPr>
    </c:title>
    <c:autoTitleDeleted val="0"/>
    <c:plotArea>
      <c:barChart>
        <c:barDir val="bar"/>
        <c:grouping val="clustered"/>
        <c:varyColors val="0"/>
        <c:ser>
          <c:idx val="0"/>
          <c:order val="0"/>
          <c:tx>
            <c:strRef>
              <c:f>Riesgo!D12</c:f>
              <c:strCache>
                <c:ptCount val="1"/>
                <c:pt idx="0">
                  <c:v>Cambio desfavorable</c:v>
                </c:pt>
              </c:strCache>
            </c:strRef>
          </c:tx>
          <c:spPr>
            <a:solidFill>
              <a:srgbClr val="c00000"/>
            </a:solidFill>
            <a:ln w="0">
              <a:solidFill>
                <a:srgbClr val="c00000"/>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Riesgo!$A$13:$A$20</c:f>
              <c:strCache>
                <c:ptCount val="8"/>
                <c:pt idx="0">
                  <c:v>Beneficios</c:v>
                </c:pt>
                <c:pt idx="1">
                  <c:v>Reubicación del personal</c:v>
                </c:pt>
                <c:pt idx="2">
                  <c:v>Inversión</c:v>
                </c:pt>
                <c:pt idx="3">
                  <c:v>Costos operativos nuevos</c:v>
                </c:pt>
                <c:pt idx="4">
                  <c:v>Supuestos del escenario conservador</c:v>
                </c:pt>
                <c:pt idx="5">
                  <c:v>Inflación</c:v>
                </c:pt>
                <c:pt idx="6">
                  <c:v>Salario mínimo de 2027</c:v>
                </c:pt>
                <c:pt idx="7">
                  <c:v>Gestiones de IntegraMotion (prenda y crédito fiscal)</c:v>
                </c:pt>
              </c:strCache>
            </c:strRef>
          </c:cat>
          <c:val>
            <c:numRef>
              <c:f>Riesgo!$D$13:$D$20</c:f>
              <c:numCache>
                <c:formatCode>#,##0;\(#,##0\);\-</c:formatCode>
                <c:ptCount val="8"/>
                <c:pt idx="0">
                  <c:v>-397.119261279705</c:v>
                </c:pt>
                <c:pt idx="1">
                  <c:v>-351.263144589887</c:v>
                </c:pt>
                <c:pt idx="2">
                  <c:v>-232.993636175082</c:v>
                </c:pt>
                <c:pt idx="3">
                  <c:v>-85.093138773155</c:v>
                </c:pt>
                <c:pt idx="4">
                  <c:v>-1000.77036277369</c:v>
                </c:pt>
                <c:pt idx="5">
                  <c:v>-8.44753946146454</c:v>
                </c:pt>
                <c:pt idx="6">
                  <c:v>-2.85675111366595</c:v>
                </c:pt>
                <c:pt idx="7">
                  <c:v>-320.785786533615</c:v>
                </c:pt>
              </c:numCache>
            </c:numRef>
          </c:val>
        </c:ser>
        <c:ser>
          <c:idx val="1"/>
          <c:order val="1"/>
          <c:tx>
            <c:strRef>
              <c:f>Riesgo!E12</c:f>
              <c:strCache>
                <c:ptCount val="1"/>
                <c:pt idx="0">
                  <c:v>Cambio favorable</c:v>
                </c:pt>
              </c:strCache>
            </c:strRef>
          </c:tx>
          <c:spPr>
            <a:solidFill>
              <a:srgbClr val="2e75b6"/>
            </a:solidFill>
            <a:ln w="0">
              <a:solidFill>
                <a:srgbClr val="2e75b6"/>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Riesgo!$A$13:$A$20</c:f>
              <c:strCache>
                <c:ptCount val="8"/>
                <c:pt idx="0">
                  <c:v>Beneficios</c:v>
                </c:pt>
                <c:pt idx="1">
                  <c:v>Reubicación del personal</c:v>
                </c:pt>
                <c:pt idx="2">
                  <c:v>Inversión</c:v>
                </c:pt>
                <c:pt idx="3">
                  <c:v>Costos operativos nuevos</c:v>
                </c:pt>
                <c:pt idx="4">
                  <c:v>Supuestos del escenario conservador</c:v>
                </c:pt>
                <c:pt idx="5">
                  <c:v>Inflación</c:v>
                </c:pt>
                <c:pt idx="6">
                  <c:v>Salario mínimo de 2027</c:v>
                </c:pt>
                <c:pt idx="7">
                  <c:v>Gestiones de IntegraMotion (prenda y crédito fiscal)</c:v>
                </c:pt>
              </c:strCache>
            </c:strRef>
          </c:cat>
          <c:val>
            <c:numRef>
              <c:f>Riesgo!$E$13:$E$20</c:f>
              <c:numCache>
                <c:formatCode>#,##0;\(#,##0\);\-</c:formatCode>
                <c:ptCount val="8"/>
                <c:pt idx="0">
                  <c:v>397.119261279706</c:v>
                </c:pt>
                <c:pt idx="1">
                  <c:v>0</c:v>
                </c:pt>
                <c:pt idx="2">
                  <c:v>232.993636175082</c:v>
                </c:pt>
                <c:pt idx="3">
                  <c:v>85.0931387731554</c:v>
                </c:pt>
                <c:pt idx="4">
                  <c:v>0</c:v>
                </c:pt>
                <c:pt idx="5">
                  <c:v>22.574522558138</c:v>
                </c:pt>
                <c:pt idx="6">
                  <c:v>2.85675111366595</c:v>
                </c:pt>
                <c:pt idx="7">
                  <c:v>0</c:v>
                </c:pt>
              </c:numCache>
            </c:numRef>
          </c:val>
        </c:ser>
        <c:gapWidth val="150"/>
        <c:overlap val="100"/>
        <c:axId val="7820207"/>
        <c:axId val="66243984"/>
      </c:barChart>
      <c:catAx>
        <c:axId val="7820207"/>
        <c:scaling>
          <c:orientation val="maxMin"/>
        </c:scaling>
        <c:delete val="0"/>
        <c:axPos val="b"/>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66243984"/>
        <c:crosses val="autoZero"/>
        <c:auto val="1"/>
        <c:lblAlgn val="ctr"/>
        <c:lblOffset val="100"/>
        <c:noMultiLvlLbl val="0"/>
      </c:catAx>
      <c:valAx>
        <c:axId val="66243984"/>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82020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Curva S del contrato principal</a:t>
            </a:r>
          </a:p>
        </c:rich>
      </c:tx>
      <c:overlay val="0"/>
      <c:spPr>
        <a:noFill/>
        <a:ln w="0">
          <a:noFill/>
        </a:ln>
      </c:spPr>
    </c:title>
    <c:autoTitleDeleted val="0"/>
    <c:plotArea>
      <c:lineChart>
        <c:grouping val="standard"/>
        <c:varyColors val="0"/>
        <c:ser>
          <c:idx val="0"/>
          <c:order val="0"/>
          <c:tx>
            <c:strRef>
              <c:f>IntegraMotion!C332</c:f>
              <c:strCache>
                <c:ptCount val="1"/>
                <c:pt idx="0">
                  <c:v>Valor planeado acumulado PV ($ M)</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IntegraMotion!$A$333:$A$348</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IntegraMotion!$C$333:$C$348</c:f>
              <c:numCache>
                <c:formatCode>#,##0.0;\(#,##0.0\);\-</c:formatCode>
                <c:ptCount val="16"/>
                <c:pt idx="0">
                  <c:v>7.20524433315258</c:v>
                </c:pt>
                <c:pt idx="1">
                  <c:v>14.4104886663052</c:v>
                </c:pt>
                <c:pt idx="2">
                  <c:v>19.797660178631</c:v>
                </c:pt>
                <c:pt idx="3">
                  <c:v>25.1848316909568</c:v>
                </c:pt>
                <c:pt idx="4">
                  <c:v>31.2849452981718</c:v>
                </c:pt>
                <c:pt idx="5">
                  <c:v>42.1113449711639</c:v>
                </c:pt>
                <c:pt idx="6">
                  <c:v>52.937744644156</c:v>
                </c:pt>
                <c:pt idx="7">
                  <c:v>70.0668847234023</c:v>
                </c:pt>
                <c:pt idx="8">
                  <c:v>84.0379504338191</c:v>
                </c:pt>
                <c:pt idx="9">
                  <c:v>101.009916208426</c:v>
                </c:pt>
                <c:pt idx="10">
                  <c:v>120.169782760112</c:v>
                </c:pt>
                <c:pt idx="11">
                  <c:v>131.586766033226</c:v>
                </c:pt>
                <c:pt idx="12">
                  <c:v>139.287794012428</c:v>
                </c:pt>
                <c:pt idx="13">
                  <c:v>146.98882199163</c:v>
                </c:pt>
                <c:pt idx="14">
                  <c:v>150.001766163485</c:v>
                </c:pt>
                <c:pt idx="15">
                  <c:v>153.01471033534</c:v>
                </c:pt>
              </c:numCache>
            </c:numRef>
          </c:val>
          <c:smooth val="1"/>
        </c:ser>
        <c:ser>
          <c:idx val="1"/>
          <c:order val="1"/>
          <c:tx>
            <c:strRef>
              <c:f>IntegraMotion!E332</c:f>
              <c:strCache>
                <c:ptCount val="1"/>
                <c:pt idx="0">
                  <c:v>Facturado acumulado sin IVA ($ M)</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IntegraMotion!$A$333:$A$348</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IntegraMotion!$E$333:$E$348</c:f>
              <c:numCache>
                <c:formatCode>#,##0.0;\(#,##0.0\);\-</c:formatCode>
                <c:ptCount val="16"/>
                <c:pt idx="0">
                  <c:v>67.0180342098366</c:v>
                </c:pt>
                <c:pt idx="1">
                  <c:v>67.0180342098366</c:v>
                </c:pt>
                <c:pt idx="2">
                  <c:v>67.0180342098366</c:v>
                </c:pt>
                <c:pt idx="3">
                  <c:v>67.0180342098366</c:v>
                </c:pt>
                <c:pt idx="4">
                  <c:v>67.0180342098366</c:v>
                </c:pt>
                <c:pt idx="5">
                  <c:v>67.0180342098366</c:v>
                </c:pt>
                <c:pt idx="6">
                  <c:v>67.0180342098366</c:v>
                </c:pt>
                <c:pt idx="7">
                  <c:v>67.0180342098366</c:v>
                </c:pt>
                <c:pt idx="8">
                  <c:v>67.0180342098366</c:v>
                </c:pt>
                <c:pt idx="9">
                  <c:v>156.375413156285</c:v>
                </c:pt>
                <c:pt idx="10">
                  <c:v>156.375413156285</c:v>
                </c:pt>
                <c:pt idx="11">
                  <c:v>156.375413156285</c:v>
                </c:pt>
                <c:pt idx="12">
                  <c:v>156.375413156285</c:v>
                </c:pt>
                <c:pt idx="13">
                  <c:v>156.375413156285</c:v>
                </c:pt>
                <c:pt idx="14">
                  <c:v>156.375413156285</c:v>
                </c:pt>
                <c:pt idx="15">
                  <c:v>223.393447366122</c:v>
                </c:pt>
              </c:numCache>
            </c:numRef>
          </c:val>
          <c:smooth val="1"/>
        </c:ser>
        <c:ser>
          <c:idx val="2"/>
          <c:order val="2"/>
          <c:tx>
            <c:strRef>
              <c:f>IntegraMotion!F332</c:f>
              <c:strCache>
                <c:ptCount val="1"/>
                <c:pt idx="0">
                  <c:v>Valor ganado acumulado EV ($ M)</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IntegraMotion!$A$333:$A$348</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IntegraMotion!$F$333:$F$348</c:f>
              <c:numCache>
                <c:formatCode>General</c:formatCode>
                <c:ptCount val="16"/>
              </c:numCache>
            </c:numRef>
          </c:val>
          <c:smooth val="1"/>
        </c:ser>
        <c:ser>
          <c:idx val="3"/>
          <c:order val="3"/>
          <c:tx>
            <c:strRef>
              <c:f>IntegraMotion!G332</c:f>
              <c:strCache>
                <c:ptCount val="1"/>
                <c:pt idx="0">
                  <c:v>Costo real acumulado AC ($ M)</c:v>
                </c:pt>
              </c:strCache>
            </c:strRef>
          </c:tx>
          <c:spPr>
            <a:solidFill>
              <a:srgbClr val="7d5fa0"/>
            </a:solidFill>
            <a:ln w="28440">
              <a:solidFill>
                <a:srgbClr val="7d5fa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IntegraMotion!$A$333:$A$348</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IntegraMotion!$G$333:$G$348</c:f>
              <c:numCache>
                <c:formatCode>General</c:formatCode>
                <c:ptCount val="16"/>
              </c:numCache>
            </c:numRef>
          </c:val>
          <c:smooth val="1"/>
        </c:ser>
        <c:hiLowLines>
          <c:spPr>
            <a:ln w="0">
              <a:noFill/>
            </a:ln>
          </c:spPr>
        </c:hiLowLines>
        <c:marker val="0"/>
        <c:axId val="83243725"/>
        <c:axId val="1405812"/>
      </c:lineChart>
      <c:catAx>
        <c:axId val="83243725"/>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Semana</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405812"/>
        <c:crosses val="autoZero"/>
        <c:auto val="1"/>
        <c:lblAlgn val="ctr"/>
        <c:lblOffset val="100"/>
        <c:noMultiLvlLbl val="0"/>
      </c:catAx>
      <c:valAx>
        <c:axId val="140581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M</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324372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20</xdr:row>
      <xdr:rowOff>174600</xdr:rowOff>
    </xdr:from>
    <xdr:to>
      <xdr:col>4</xdr:col>
      <xdr:colOff>276840</xdr:colOff>
      <xdr:row>36</xdr:row>
      <xdr:rowOff>6480</xdr:rowOff>
    </xdr:to>
    <xdr:graphicFrame>
      <xdr:nvGraphicFramePr>
        <xdr:cNvPr id="0" name="Chart 1"/>
        <xdr:cNvGraphicFramePr/>
      </xdr:nvGraphicFramePr>
      <xdr:xfrm>
        <a:off x="0" y="4381560"/>
        <a:ext cx="647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350</xdr:row>
      <xdr:rowOff>14040</xdr:rowOff>
    </xdr:from>
    <xdr:to>
      <xdr:col>3</xdr:col>
      <xdr:colOff>558720</xdr:colOff>
      <xdr:row>364</xdr:row>
      <xdr:rowOff>36360</xdr:rowOff>
    </xdr:to>
    <xdr:graphicFrame>
      <xdr:nvGraphicFramePr>
        <xdr:cNvPr id="1" name="Chart 1"/>
        <xdr:cNvGraphicFramePr/>
      </xdr:nvGraphicFramePr>
      <xdr:xfrm>
        <a:off x="0" y="72999720"/>
        <a:ext cx="647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Modelo_financiero_queseria_v2.xlsx" TargetMode="External"/><Relationship Id="rId2" Type="http://schemas.openxmlformats.org/officeDocument/2006/relationships/hyperlink" Target="Modelo_financiero_queseria_v2.xlsx" TargetMode="External"/><Relationship Id="rId3" Type="http://schemas.openxmlformats.org/officeDocument/2006/relationships/hyperlink" Target="Modelo_financiero_queseria_v2.xlsx" TargetMode="External"/><Relationship Id="rId4" Type="http://schemas.openxmlformats.org/officeDocument/2006/relationships/hyperlink" Target="Modelo_financiero_queseria_v2.xlsx" TargetMode="External"/><Relationship Id="rId5" Type="http://schemas.openxmlformats.org/officeDocument/2006/relationships/hyperlink" Target="Modelo_financiero_queseria_v2.xlsx" TargetMode="External"/><Relationship Id="rId6" Type="http://schemas.openxmlformats.org/officeDocument/2006/relationships/hyperlink" Target="Modelo_financiero_queseria_v2.xlsx" TargetMode="External"/><Relationship Id="rId7" Type="http://schemas.openxmlformats.org/officeDocument/2006/relationships/hyperlink" Target="Modelo_financiero_queseria_v2.xlsx" TargetMode="External"/><Relationship Id="rId8" Type="http://schemas.openxmlformats.org/officeDocument/2006/relationships/hyperlink" Target="Modelo_financiero_queseria_v2.xlsx" TargetMode="External"/><Relationship Id="rId9" Type="http://schemas.openxmlformats.org/officeDocument/2006/relationships/hyperlink" Target="Modelo_financiero_queseria_v2.xlsx" TargetMode="External"/><Relationship Id="rId10" Type="http://schemas.openxmlformats.org/officeDocument/2006/relationships/hyperlink" Target="Modelo_financiero_queseria_v2.xlsx" TargetMode="External"/><Relationship Id="rId11" Type="http://schemas.openxmlformats.org/officeDocument/2006/relationships/hyperlink" Target="Modelo_financiero_queseria_v2.xlsx" TargetMode="External"/><Relationship Id="rId12" Type="http://schemas.openxmlformats.org/officeDocument/2006/relationships/hyperlink" Target="Modelo_financiero_queseria_v2.xlsx" TargetMode="External"/><Relationship Id="rId13" Type="http://schemas.openxmlformats.org/officeDocument/2006/relationships/hyperlink" Target="Modelo_financiero_queseria_v2.xlsx" TargetMode="External"/>
</Relationships>
</file>

<file path=xl/worksheets/_rels/sheet9.xml.rels><?xml version="1.0" encoding="UTF-8"?>
<Relationships xmlns="http://schemas.openxmlformats.org/package/2006/relationships"><Relationship Id="rId1" Type="http://schemas.openxmlformats.org/officeDocument/2006/relationships/drawing" Target="../drawings/drawing1.xml"/>
</Relationships>
</file>

<file path=xl/worksheets/_rels/sheet1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4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4"/>
    <col collapsed="false" customWidth="true" hidden="false" outlineLevel="0" max="3" min="3" style="0" width="20"/>
    <col collapsed="false" customWidth="true" hidden="false" outlineLevel="0" max="4" min="4" style="0" width="70"/>
  </cols>
  <sheetData>
    <row r="2" customFormat="false" ht="22.05"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c r="C5" s="4"/>
      <c r="D5" s="4"/>
    </row>
    <row r="6" customFormat="false" ht="15" hidden="false" customHeight="false" outlineLevel="0" collapsed="false">
      <c r="B6" s="5" t="s">
        <v>3</v>
      </c>
      <c r="C6" s="6" t="s">
        <v>4</v>
      </c>
    </row>
    <row r="7" customFormat="false" ht="15" hidden="false" customHeight="false" outlineLevel="0" collapsed="false">
      <c r="B7" s="5" t="s">
        <v>5</v>
      </c>
      <c r="C7" s="6" t="s">
        <v>6</v>
      </c>
    </row>
    <row r="8" customFormat="false" ht="15" hidden="false" customHeight="false" outlineLevel="0" collapsed="false">
      <c r="B8" s="5" t="s">
        <v>7</v>
      </c>
      <c r="C8" s="6" t="s">
        <v>8</v>
      </c>
    </row>
    <row r="9" customFormat="false" ht="15" hidden="false" customHeight="false" outlineLevel="0" collapsed="false">
      <c r="B9" s="5" t="s">
        <v>9</v>
      </c>
      <c r="C9" s="7" t="str">
        <f aca="false">Chequeos!$C$43</f>
        <v>OK</v>
      </c>
    </row>
    <row r="10" customFormat="false" ht="15" hidden="false" customHeight="false" outlineLevel="0" collapsed="false">
      <c r="B10" s="5" t="s">
        <v>10</v>
      </c>
      <c r="C10" s="6" t="str">
        <f aca="false">Chequeos!$B$43</f>
        <v>36 de 36</v>
      </c>
    </row>
    <row r="12" customFormat="false" ht="15" hidden="false" customHeight="false" outlineLevel="0" collapsed="false">
      <c r="B12" s="3" t="s">
        <v>11</v>
      </c>
      <c r="C12" s="4"/>
      <c r="D12" s="4"/>
    </row>
    <row r="13" customFormat="false" ht="15" hidden="false" customHeight="false" outlineLevel="0" collapsed="false">
      <c r="B13" s="6" t="s">
        <v>12</v>
      </c>
      <c r="C13" s="8" t="n">
        <f aca="false">Quesería!B178</f>
        <v>0.1470725</v>
      </c>
      <c r="D13" s="9" t="s">
        <v>13</v>
      </c>
    </row>
    <row r="14" customFormat="false" ht="15" hidden="false" customHeight="false" outlineLevel="0" collapsed="false">
      <c r="B14" s="6" t="s">
        <v>14</v>
      </c>
      <c r="C14" s="8" t="n">
        <f aca="false">Quesería!B179</f>
        <v>0.243271358090429</v>
      </c>
      <c r="D14" s="9" t="s">
        <v>15</v>
      </c>
    </row>
    <row r="15" customFormat="false" ht="15" hidden="false" customHeight="false" outlineLevel="0" collapsed="false">
      <c r="B15" s="6" t="s">
        <v>16</v>
      </c>
      <c r="C15" s="8" t="n">
        <f aca="false">Quesería!B180</f>
        <v>0.192381249046293</v>
      </c>
      <c r="D15" s="9" t="s">
        <v>17</v>
      </c>
    </row>
    <row r="16" customFormat="false" ht="15" hidden="false" customHeight="false" outlineLevel="0" collapsed="false">
      <c r="B16" s="6" t="s">
        <v>18</v>
      </c>
      <c r="C16" s="8" t="n">
        <f aca="false">Quesería!B181</f>
        <v>0.0996090543813608</v>
      </c>
      <c r="D16" s="9" t="s">
        <v>19</v>
      </c>
    </row>
    <row r="17" customFormat="false" ht="15" hidden="false" customHeight="false" outlineLevel="0" collapsed="false">
      <c r="B17" s="6" t="s">
        <v>20</v>
      </c>
      <c r="C17" s="10" t="n">
        <f aca="false">Quesería!B182</f>
        <v>639.556697226745</v>
      </c>
      <c r="D17" s="9" t="s">
        <v>21</v>
      </c>
    </row>
    <row r="18" customFormat="false" ht="15" hidden="false" customHeight="false" outlineLevel="0" collapsed="false">
      <c r="B18" s="6" t="s">
        <v>22</v>
      </c>
      <c r="C18" s="11" t="n">
        <f aca="false">Quesería!B183</f>
        <v>4.68240169042623</v>
      </c>
      <c r="D18" s="9" t="s">
        <v>23</v>
      </c>
    </row>
    <row r="19" customFormat="false" ht="15" hidden="false" customHeight="false" outlineLevel="0" collapsed="false">
      <c r="B19" s="6" t="s">
        <v>24</v>
      </c>
      <c r="C19" s="11" t="n">
        <f aca="false">Quesería!B184</f>
        <v>6.44100430962657</v>
      </c>
      <c r="D19" s="9" t="s">
        <v>25</v>
      </c>
    </row>
    <row r="20" customFormat="false" ht="15" hidden="false" customHeight="false" outlineLevel="0" collapsed="false">
      <c r="B20" s="6" t="s">
        <v>26</v>
      </c>
      <c r="C20" s="8" t="n">
        <f aca="false">Quesería!B186</f>
        <v>0.421024376007229</v>
      </c>
      <c r="D20" s="9" t="s">
        <v>27</v>
      </c>
    </row>
    <row r="21" customFormat="false" ht="15" hidden="false" customHeight="false" outlineLevel="0" collapsed="false">
      <c r="B21" s="6" t="s">
        <v>28</v>
      </c>
      <c r="C21" s="12" t="n">
        <f aca="false">Quesería!B189</f>
        <v>1.34356883281698</v>
      </c>
      <c r="D21" s="9" t="s">
        <v>29</v>
      </c>
    </row>
    <row r="22" customFormat="false" ht="15" hidden="false" customHeight="false" outlineLevel="0" collapsed="false">
      <c r="B22" s="6" t="s">
        <v>30</v>
      </c>
      <c r="C22" s="10" t="n">
        <f aca="false">Escenarios!$T$37</f>
        <v>402.889457933148</v>
      </c>
      <c r="D22" s="9" t="s">
        <v>31</v>
      </c>
    </row>
    <row r="23" customFormat="false" ht="15" hidden="false" customHeight="false" outlineLevel="0" collapsed="false">
      <c r="B23" s="6" t="s">
        <v>32</v>
      </c>
      <c r="C23" s="10" t="n">
        <f aca="false">Herramientas!B80</f>
        <v>-48.8670853775761</v>
      </c>
      <c r="D23" s="9" t="s">
        <v>33</v>
      </c>
    </row>
    <row r="24" customFormat="false" ht="15" hidden="false" customHeight="false" outlineLevel="0" collapsed="false">
      <c r="B24" s="6" t="s">
        <v>34</v>
      </c>
      <c r="C24" s="12" t="n">
        <f aca="false">Empresa!$B$41</f>
        <v>1.24782962069685</v>
      </c>
      <c r="D24" s="9" t="s">
        <v>35</v>
      </c>
    </row>
    <row r="25" customFormat="false" ht="15" hidden="false" customHeight="false" outlineLevel="0" collapsed="false">
      <c r="B25" s="6" t="s">
        <v>36</v>
      </c>
      <c r="C25" s="10" t="n">
        <f aca="false">Quesería!$F$97</f>
        <v>1589.26930610618</v>
      </c>
      <c r="D25" s="9" t="s">
        <v>37</v>
      </c>
    </row>
    <row r="26" customFormat="false" ht="15" hidden="false" customHeight="false" outlineLevel="0" collapsed="false">
      <c r="B26" s="6" t="s">
        <v>38</v>
      </c>
      <c r="C26" s="10" t="n">
        <f aca="false">Quesería!$E$128</f>
        <v>568.06498073784</v>
      </c>
      <c r="D26" s="9" t="s">
        <v>39</v>
      </c>
    </row>
    <row r="28" customFormat="false" ht="15" hidden="false" customHeight="false" outlineLevel="0" collapsed="false">
      <c r="B28" s="3" t="s">
        <v>40</v>
      </c>
      <c r="C28" s="4"/>
      <c r="D28" s="4"/>
    </row>
    <row r="29" customFormat="false" ht="15" hidden="false" customHeight="false" outlineLevel="0" collapsed="false">
      <c r="B29" s="13" t="s">
        <v>41</v>
      </c>
      <c r="C29" s="14" t="s">
        <v>42</v>
      </c>
      <c r="D29" s="14"/>
    </row>
    <row r="30" customFormat="false" ht="15" hidden="false" customHeight="false" outlineLevel="0" collapsed="false">
      <c r="B30" s="13" t="s">
        <v>43</v>
      </c>
      <c r="C30" s="14" t="s">
        <v>44</v>
      </c>
      <c r="D30" s="14"/>
    </row>
    <row r="31" customFormat="false" ht="15" hidden="false" customHeight="false" outlineLevel="0" collapsed="false">
      <c r="B31" s="13" t="s">
        <v>45</v>
      </c>
      <c r="C31" s="14" t="s">
        <v>46</v>
      </c>
      <c r="D31" s="14"/>
    </row>
    <row r="32" customFormat="false" ht="15" hidden="false" customHeight="false" outlineLevel="0" collapsed="false">
      <c r="B32" s="13" t="s">
        <v>47</v>
      </c>
      <c r="C32" s="14" t="s">
        <v>48</v>
      </c>
      <c r="D32" s="14"/>
    </row>
    <row r="33" customFormat="false" ht="15" hidden="false" customHeight="false" outlineLevel="0" collapsed="false">
      <c r="B33" s="13" t="s">
        <v>49</v>
      </c>
      <c r="C33" s="14" t="s">
        <v>50</v>
      </c>
      <c r="D33" s="14"/>
    </row>
    <row r="34" customFormat="false" ht="15" hidden="false" customHeight="false" outlineLevel="0" collapsed="false">
      <c r="B34" s="13" t="s">
        <v>51</v>
      </c>
      <c r="C34" s="14" t="s">
        <v>52</v>
      </c>
      <c r="D34" s="14"/>
    </row>
    <row r="35" customFormat="false" ht="15" hidden="false" customHeight="false" outlineLevel="0" collapsed="false">
      <c r="B35" s="13" t="s">
        <v>53</v>
      </c>
      <c r="C35" s="14" t="s">
        <v>54</v>
      </c>
      <c r="D35" s="14"/>
    </row>
    <row r="36" customFormat="false" ht="15" hidden="false" customHeight="false" outlineLevel="0" collapsed="false">
      <c r="B36" s="13" t="s">
        <v>55</v>
      </c>
      <c r="C36" s="14" t="s">
        <v>56</v>
      </c>
      <c r="D36" s="14"/>
    </row>
    <row r="37" customFormat="false" ht="15" hidden="false" customHeight="false" outlineLevel="0" collapsed="false">
      <c r="B37" s="13" t="s">
        <v>57</v>
      </c>
      <c r="C37" s="14" t="s">
        <v>58</v>
      </c>
      <c r="D37" s="14"/>
    </row>
    <row r="38" customFormat="false" ht="15" hidden="false" customHeight="false" outlineLevel="0" collapsed="false">
      <c r="B38" s="13" t="s">
        <v>59</v>
      </c>
      <c r="C38" s="14" t="s">
        <v>60</v>
      </c>
      <c r="D38" s="14"/>
    </row>
    <row r="39" customFormat="false" ht="15" hidden="false" customHeight="false" outlineLevel="0" collapsed="false">
      <c r="B39" s="13" t="s">
        <v>61</v>
      </c>
      <c r="C39" s="14" t="s">
        <v>62</v>
      </c>
      <c r="D39" s="14"/>
    </row>
    <row r="40" customFormat="false" ht="15" hidden="false" customHeight="false" outlineLevel="0" collapsed="false">
      <c r="B40" s="13" t="s">
        <v>63</v>
      </c>
      <c r="C40" s="14" t="s">
        <v>64</v>
      </c>
      <c r="D40" s="14"/>
    </row>
    <row r="41" customFormat="false" ht="15" hidden="false" customHeight="false" outlineLevel="0" collapsed="false">
      <c r="B41" s="13" t="s">
        <v>65</v>
      </c>
      <c r="C41" s="14" t="s">
        <v>66</v>
      </c>
      <c r="D41" s="14"/>
    </row>
    <row r="43" customFormat="false" ht="15" hidden="false" customHeight="false" outlineLevel="0" collapsed="false">
      <c r="B43" s="3" t="s">
        <v>67</v>
      </c>
      <c r="C43" s="4"/>
      <c r="D43" s="4"/>
    </row>
    <row r="44" customFormat="false" ht="15" hidden="false" customHeight="false" outlineLevel="0" collapsed="false">
      <c r="B44" s="15" t="s">
        <v>68</v>
      </c>
      <c r="C44" s="9" t="s">
        <v>69</v>
      </c>
    </row>
    <row r="45" customFormat="false" ht="15" hidden="false" customHeight="false" outlineLevel="0" collapsed="false">
      <c r="B45" s="6" t="s">
        <v>70</v>
      </c>
      <c r="C45" s="9" t="s">
        <v>71</v>
      </c>
    </row>
    <row r="46" customFormat="false" ht="15" hidden="false" customHeight="false" outlineLevel="0" collapsed="false">
      <c r="B46" s="7" t="s">
        <v>72</v>
      </c>
      <c r="C46" s="9" t="s">
        <v>73</v>
      </c>
    </row>
  </sheetData>
  <mergeCells count="13">
    <mergeCell ref="C29:D29"/>
    <mergeCell ref="C30:D30"/>
    <mergeCell ref="C31:D31"/>
    <mergeCell ref="C32:D32"/>
    <mergeCell ref="C33:D33"/>
    <mergeCell ref="C34:D34"/>
    <mergeCell ref="C35:D35"/>
    <mergeCell ref="C36:D36"/>
    <mergeCell ref="C37:D37"/>
    <mergeCell ref="C38:D38"/>
    <mergeCell ref="C39:D39"/>
    <mergeCell ref="C40:D40"/>
    <mergeCell ref="C41:D41"/>
  </mergeCells>
  <hyperlinks>
    <hyperlink ref="B29" r:id="rId1" location="'Resumen'!A1" display="Resumen"/>
    <hyperlink ref="B30" r:id="rId2" location="'Quesería'!A1" display="Quesería"/>
    <hyperlink ref="B31" r:id="rId3" location="'Entorno'!A1" display="Entorno"/>
    <hyperlink ref="B32" r:id="rId4" location="'Beneficios%20y%20costos'!A1" display="Beneficios y costos"/>
    <hyperlink ref="B33" r:id="rId5" location="'Cotizaciones'!A1" display="Cotizaciones"/>
    <hyperlink ref="B34" r:id="rId6" location="'BOM'!A1" display="BOM"/>
    <hyperlink ref="B35" r:id="rId7" location="'Escenarios'!A1" display="Escenarios"/>
    <hyperlink ref="B36" r:id="rId8" location="'Riesgo'!A1" display="Riesgo"/>
    <hyperlink ref="B37" r:id="rId9" location="'Herramientas'!A1" display="Herramientas"/>
    <hyperlink ref="B38" r:id="rId10" location="'Empresa'!A1" display="Empresa"/>
    <hyperlink ref="B39" r:id="rId11" location="'IntegraMotion'!A1" display="IntegraMotion"/>
    <hyperlink ref="B40" r:id="rId12" location="'APU'!A1" display="APU"/>
    <hyperlink ref="B41" r:id="rId13" location="'Chequeos'!A1" display="Chequeo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1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12" min="2" style="0" width="11.5"/>
  </cols>
  <sheetData>
    <row r="1" customFormat="false" ht="19.7" hidden="false" customHeight="false" outlineLevel="0" collapsed="false">
      <c r="A1" s="16" t="s">
        <v>74</v>
      </c>
    </row>
    <row r="2" customFormat="false" ht="15" hidden="false" customHeight="false" outlineLevel="0" collapsed="false">
      <c r="A2" s="17" t="s">
        <v>75</v>
      </c>
    </row>
    <row r="4" customFormat="false" ht="15" hidden="false" customHeight="false" outlineLevel="0" collapsed="false">
      <c r="A4" s="3" t="s">
        <v>76</v>
      </c>
      <c r="B4" s="4"/>
      <c r="C4" s="4"/>
      <c r="D4" s="4"/>
      <c r="E4" s="4"/>
      <c r="F4" s="4"/>
      <c r="G4" s="4"/>
      <c r="H4" s="4"/>
      <c r="I4" s="4"/>
      <c r="J4" s="4"/>
      <c r="K4" s="4"/>
      <c r="L4" s="4"/>
    </row>
    <row r="5" customFormat="false" ht="15" hidden="false" customHeight="false" outlineLevel="0" collapsed="false">
      <c r="A5" s="18" t="s">
        <v>77</v>
      </c>
      <c r="B5" s="19"/>
      <c r="C5" s="19"/>
      <c r="D5" s="19"/>
      <c r="E5" s="18" t="s">
        <v>78</v>
      </c>
      <c r="F5" s="19"/>
      <c r="G5" s="19"/>
      <c r="H5" s="19"/>
      <c r="I5" s="18" t="s">
        <v>79</v>
      </c>
      <c r="J5" s="19"/>
      <c r="K5" s="19"/>
      <c r="L5" s="19"/>
    </row>
    <row r="6" customFormat="false" ht="24" hidden="false" customHeight="true" outlineLevel="0" collapsed="false">
      <c r="A6" s="20" t="n">
        <f aca="false">Quesería!$B$191</f>
        <v>1589.26930610618</v>
      </c>
      <c r="B6" s="19"/>
      <c r="C6" s="19"/>
      <c r="D6" s="19"/>
      <c r="E6" s="20" t="n">
        <f aca="false">IntegraMotion!$I$149</f>
        <v>376.01435157109</v>
      </c>
      <c r="F6" s="19"/>
      <c r="G6" s="19"/>
      <c r="H6" s="19"/>
      <c r="I6" s="21" t="s">
        <v>80</v>
      </c>
      <c r="J6" s="19"/>
      <c r="K6" s="19"/>
      <c r="L6" s="19"/>
    </row>
    <row r="7" customFormat="false" ht="36" hidden="false" customHeight="true" outlineLevel="0" collapsed="false">
      <c r="A7" s="22" t="s">
        <v>81</v>
      </c>
      <c r="B7" s="22"/>
      <c r="C7" s="22"/>
      <c r="D7" s="22"/>
      <c r="E7" s="22" t="s">
        <v>82</v>
      </c>
      <c r="F7" s="22"/>
      <c r="G7" s="22"/>
      <c r="H7" s="22"/>
      <c r="I7" s="22" t="s">
        <v>83</v>
      </c>
      <c r="J7" s="22"/>
      <c r="K7" s="22"/>
      <c r="L7" s="22"/>
    </row>
    <row r="9" customFormat="false" ht="15" hidden="false" customHeight="false" outlineLevel="0" collapsed="false">
      <c r="A9" s="3" t="s">
        <v>84</v>
      </c>
      <c r="B9" s="4"/>
      <c r="C9" s="4"/>
      <c r="D9" s="4"/>
      <c r="E9" s="4"/>
      <c r="F9" s="4"/>
      <c r="G9" s="4"/>
      <c r="H9" s="4"/>
      <c r="I9" s="4"/>
      <c r="J9" s="4"/>
      <c r="K9" s="4"/>
      <c r="L9" s="4"/>
    </row>
    <row r="10" customFormat="false" ht="43.5" hidden="false" customHeight="true" outlineLevel="0" collapsed="false">
      <c r="A10" s="23" t="s">
        <v>85</v>
      </c>
      <c r="B10" s="24" t="s">
        <v>86</v>
      </c>
      <c r="C10" s="24" t="s">
        <v>87</v>
      </c>
      <c r="D10" s="24" t="s">
        <v>88</v>
      </c>
    </row>
    <row r="11" customFormat="false" ht="15" hidden="false" customHeight="false" outlineLevel="0" collapsed="false">
      <c r="A11" s="6" t="s">
        <v>89</v>
      </c>
      <c r="B11" s="25" t="n">
        <f aca="false">Quesería!$F$70*(Quesería!$C$70=0)+Quesería!$F$71*(Quesería!$C$71=0)+Quesería!$F$72*(Quesería!$C$72=0)+Quesería!$F$73*(Quesería!$C$73=0)+Quesería!$F$74*(Quesería!$C$74=0)+Quesería!$F$75*(Quesería!$C$75=0)+Quesería!$F$84*(Quesería!$C$84=0)+Quesería!$F$85*(Quesería!$C$85=0)+Quesería!$F$86*(Quesería!$C$86=0)+Quesería!$F$87*(Quesería!$C$87=0)</f>
        <v>484.365667179112</v>
      </c>
      <c r="C11" s="25" t="n">
        <f aca="false">Quesería!$F$70*(Quesería!$C$70=1)+Quesería!$F$71*(Quesería!$C$71=1)+Quesería!$F$72*(Quesería!$C$72=1)+Quesería!$F$73*(Quesería!$C$73=1)+Quesería!$F$74*(Quesería!$C$74=1)+Quesería!$F$75*(Quesería!$C$75=1)+Quesería!$F$84*(Quesería!$C$84=1)+Quesería!$F$85*(Quesería!$C$85=1)+Quesería!$F$86*(Quesería!$C$86=1)+Quesería!$F$87*(Quesería!$C$87=1)</f>
        <v>488.781866866667</v>
      </c>
      <c r="D11" s="25" t="n">
        <f aca="false">B11+C11</f>
        <v>973.147534045779</v>
      </c>
    </row>
    <row r="12" customFormat="false" ht="15" hidden="false" customHeight="false" outlineLevel="0" collapsed="false">
      <c r="A12" s="6" t="s">
        <v>90</v>
      </c>
      <c r="B12" s="25" t="n">
        <f aca="false">Quesería!$F$76*(Quesería!$C$76=0)+Quesería!$F$77*(Quesería!$C$77=0)+Quesería!$F$78*(Quesería!$C$78=0)+Quesería!$F$79*(Quesería!$C$79=0)+Quesería!$F$88*(Quesería!$C$88=0)</f>
        <v>289.956158381384</v>
      </c>
      <c r="C12" s="25" t="n">
        <f aca="false">Quesería!$F$76*(Quesería!$C$76=1)+Quesería!$F$77*(Quesería!$C$77=1)+Quesería!$F$78*(Quesería!$C$78=1)+Quesería!$F$79*(Quesería!$C$79=1)+Quesería!$F$88*(Quesería!$C$88=1)</f>
        <v>90.1060315312683</v>
      </c>
      <c r="D12" s="25" t="n">
        <f aca="false">B12+C12</f>
        <v>380.062189912652</v>
      </c>
    </row>
    <row r="13" customFormat="false" ht="15" hidden="false" customHeight="false" outlineLevel="0" collapsed="false">
      <c r="A13" s="6" t="s">
        <v>91</v>
      </c>
      <c r="B13" s="25" t="n">
        <f aca="false">Quesería!$F$80*(Quesería!$C$80=0)+Quesería!$F$81*(Quesería!$C$81=0)+Quesería!$F$82*(Quesería!$C$82=0)</f>
        <v>46.6666666666667</v>
      </c>
      <c r="C13" s="25" t="n">
        <f aca="false">Quesería!$F$80*(Quesería!$C$80=1)+Quesería!$F$81*(Quesería!$C$81=1)+Quesería!$F$82*(Quesería!$C$82=1)</f>
        <v>0</v>
      </c>
      <c r="D13" s="25" t="n">
        <f aca="false">B13+C13</f>
        <v>46.6666666666667</v>
      </c>
    </row>
    <row r="14" customFormat="false" ht="15" hidden="false" customHeight="false" outlineLevel="0" collapsed="false">
      <c r="A14" s="6" t="s">
        <v>92</v>
      </c>
      <c r="B14" s="25" t="n">
        <f aca="false">Quesería!$F$83*(Quesería!$C$83=0)+Quesería!$F$89*(Quesería!$C$89=0)</f>
        <v>109.811747204514</v>
      </c>
      <c r="C14" s="25" t="n">
        <f aca="false">Quesería!$F$83*(Quesería!$C$83=1)+Quesería!$F$89*(Quesería!$C$89=1)</f>
        <v>79.5811682765634</v>
      </c>
      <c r="D14" s="25" t="n">
        <f aca="false">B14+C14</f>
        <v>189.392915481078</v>
      </c>
    </row>
    <row r="15" customFormat="false" ht="15" hidden="false" customHeight="false" outlineLevel="0" collapsed="false">
      <c r="A15" s="5" t="s">
        <v>77</v>
      </c>
      <c r="B15" s="26" t="n">
        <f aca="false">SUM(B11:B14)</f>
        <v>930.800239431677</v>
      </c>
      <c r="C15" s="26" t="n">
        <f aca="false">SUM(C11:C14)</f>
        <v>658.469066674498</v>
      </c>
      <c r="D15" s="26" t="n">
        <f aca="false">SUM(D11:D14)</f>
        <v>1589.26930610618</v>
      </c>
    </row>
    <row r="16" customFormat="false" ht="15" hidden="false" customHeight="false" outlineLevel="0" collapsed="false">
      <c r="A16" s="9" t="s">
        <v>93</v>
      </c>
      <c r="D16" s="27" t="n">
        <f aca="false">D15-Quesería!$B$191</f>
        <v>0</v>
      </c>
    </row>
    <row r="18" customFormat="false" ht="15" hidden="false" customHeight="false" outlineLevel="0" collapsed="false">
      <c r="A18" s="3" t="s">
        <v>94</v>
      </c>
      <c r="B18" s="4"/>
      <c r="C18" s="4"/>
      <c r="D18" s="4"/>
      <c r="E18" s="4"/>
      <c r="F18" s="4"/>
      <c r="G18" s="4"/>
      <c r="H18" s="4"/>
      <c r="I18" s="4"/>
      <c r="J18" s="4"/>
      <c r="K18" s="4"/>
      <c r="L18" s="4"/>
    </row>
    <row r="19" customFormat="false" ht="57.75" hidden="false" customHeight="true" outlineLevel="0" collapsed="false">
      <c r="A19" s="23" t="s">
        <v>95</v>
      </c>
      <c r="B19" s="24" t="s">
        <v>96</v>
      </c>
      <c r="C19" s="24" t="s">
        <v>97</v>
      </c>
      <c r="D19" s="24" t="s">
        <v>98</v>
      </c>
      <c r="E19" s="24" t="s">
        <v>99</v>
      </c>
      <c r="F19" s="24" t="s">
        <v>100</v>
      </c>
    </row>
    <row r="20" customFormat="false" ht="15" hidden="false" customHeight="false" outlineLevel="0" collapsed="false">
      <c r="A20" s="6" t="s">
        <v>101</v>
      </c>
      <c r="B20" s="28" t="s">
        <v>80</v>
      </c>
      <c r="C20" s="29" t="n">
        <f aca="false">IntegraMotion!$H$139</f>
        <v>2680.59125</v>
      </c>
      <c r="D20" s="25" t="n">
        <f aca="false">IntegraMotion!$H$145</f>
        <v>160.71471033534</v>
      </c>
      <c r="E20" s="30" t="n">
        <f aca="false">IntegraMotion!$H$149</f>
        <v>223.393447366122</v>
      </c>
      <c r="F20" s="25" t="n">
        <f aca="false">IntegraMotion!$H$151</f>
        <v>265.838202365685</v>
      </c>
    </row>
    <row r="21" customFormat="false" ht="15" hidden="false" customHeight="false" outlineLevel="0" collapsed="false">
      <c r="A21" s="6" t="s">
        <v>102</v>
      </c>
      <c r="B21" s="28" t="s">
        <v>103</v>
      </c>
      <c r="C21" s="29" t="n">
        <f aca="false">IntegraMotion!$F$139</f>
        <v>611.6</v>
      </c>
      <c r="D21" s="25" t="n">
        <f aca="false">IntegraMotion!$F$145</f>
        <v>46.7834589902711</v>
      </c>
      <c r="E21" s="30" t="n">
        <f aca="false">IntegraMotion!$F$149</f>
        <v>65.0290079964768</v>
      </c>
      <c r="F21" s="25" t="n">
        <f aca="false">IntegraMotion!$F$151</f>
        <v>77.3845195158074</v>
      </c>
    </row>
    <row r="22" customFormat="false" ht="15" hidden="false" customHeight="false" outlineLevel="0" collapsed="false">
      <c r="A22" s="6" t="s">
        <v>104</v>
      </c>
      <c r="B22" s="28" t="s">
        <v>103</v>
      </c>
      <c r="C22" s="29" t="n">
        <f aca="false">IntegraMotion!$G$139</f>
        <v>1004.8425</v>
      </c>
      <c r="D22" s="25" t="n">
        <f aca="false">IntegraMotion!$G$145</f>
        <v>63.0157526679796</v>
      </c>
      <c r="E22" s="30" t="n">
        <f aca="false">IntegraMotion!$G$149</f>
        <v>87.5918962084916</v>
      </c>
      <c r="F22" s="25" t="n">
        <f aca="false">IntegraMotion!$G$151</f>
        <v>104.234356488105</v>
      </c>
    </row>
    <row r="23" customFormat="false" ht="15" hidden="false" customHeight="false" outlineLevel="0" collapsed="false">
      <c r="A23" s="5" t="s">
        <v>88</v>
      </c>
      <c r="C23" s="31" t="n">
        <f aca="false">SUM(C20:C22)</f>
        <v>4297.03375</v>
      </c>
      <c r="D23" s="26" t="n">
        <f aca="false">SUM(D20:D22)</f>
        <v>270.51392199359</v>
      </c>
      <c r="E23" s="26" t="n">
        <f aca="false">SUM(E20:E22)</f>
        <v>376.01435157109</v>
      </c>
      <c r="F23" s="26" t="n">
        <f aca="false">SUM(F20:F22)</f>
        <v>447.457078369598</v>
      </c>
    </row>
    <row r="24" customFormat="false" ht="15" hidden="false" customHeight="false" outlineLevel="0" collapsed="false">
      <c r="A24" s="6" t="s">
        <v>105</v>
      </c>
      <c r="E24" s="25" t="n">
        <f aca="false">D12-E23</f>
        <v>4.04783834156154</v>
      </c>
    </row>
    <row r="25" customFormat="false" ht="15" hidden="false" customHeight="false" outlineLevel="0" collapsed="false">
      <c r="A25" s="5" t="s">
        <v>106</v>
      </c>
      <c r="E25" s="30" t="n">
        <f aca="false">D12</f>
        <v>380.062189912652</v>
      </c>
    </row>
    <row r="26" customFormat="false" ht="27.75" hidden="false" customHeight="true" outlineLevel="0" collapsed="false">
      <c r="A26" s="32" t="s">
        <v>107</v>
      </c>
      <c r="B26" s="32"/>
      <c r="C26" s="32"/>
      <c r="D26" s="32"/>
      <c r="E26" s="32"/>
      <c r="F26" s="32"/>
      <c r="G26" s="32"/>
      <c r="H26" s="32"/>
      <c r="I26" s="32"/>
      <c r="J26" s="32"/>
      <c r="K26" s="32"/>
      <c r="L26" s="32"/>
    </row>
    <row r="28" customFormat="false" ht="15" hidden="false" customHeight="false" outlineLevel="0" collapsed="false">
      <c r="A28" s="3" t="s">
        <v>108</v>
      </c>
      <c r="B28" s="4"/>
      <c r="C28" s="4"/>
      <c r="D28" s="4"/>
      <c r="E28" s="4"/>
      <c r="F28" s="4"/>
      <c r="G28" s="4"/>
      <c r="H28" s="4"/>
      <c r="I28" s="4"/>
      <c r="J28" s="4"/>
      <c r="K28" s="4"/>
      <c r="L28" s="4"/>
    </row>
    <row r="29" customFormat="false" ht="43.5" hidden="false" customHeight="true" outlineLevel="0" collapsed="false">
      <c r="A29" s="23" t="s">
        <v>109</v>
      </c>
      <c r="B29" s="24" t="s">
        <v>110</v>
      </c>
      <c r="C29" s="24" t="s">
        <v>111</v>
      </c>
      <c r="D29" s="24" t="s">
        <v>112</v>
      </c>
      <c r="E29" s="24" t="s">
        <v>113</v>
      </c>
      <c r="F29" s="24" t="s">
        <v>114</v>
      </c>
    </row>
    <row r="30" customFormat="false" ht="15" hidden="false" customHeight="false" outlineLevel="0" collapsed="false">
      <c r="A30" s="6" t="str">
        <f aca="false">BOM!A72</f>
        <v>Etapa 0: herramientas de mantenimiento y medición</v>
      </c>
      <c r="B30" s="33" t="n">
        <f aca="false">BOM!C72</f>
        <v>0</v>
      </c>
      <c r="C30" s="33" t="n">
        <f aca="false">BOM!E72</f>
        <v>6</v>
      </c>
      <c r="D30" s="25" t="n">
        <f aca="false">BOM!F72</f>
        <v>56.872527971</v>
      </c>
      <c r="E30" s="34" t="n">
        <f aca="false">BOM!H72</f>
        <v>0.36</v>
      </c>
      <c r="F30" s="25" t="n">
        <f aca="false">BOM!I72</f>
        <v>20.47411006956</v>
      </c>
    </row>
    <row r="31" customFormat="false" ht="15" hidden="false" customHeight="false" outlineLevel="0" collapsed="false">
      <c r="A31" s="6" t="str">
        <f aca="false">BOM!A73</f>
        <v>Tinas TQ-301 y TQ-303, control y tablero</v>
      </c>
      <c r="B31" s="33" t="n">
        <f aca="false">BOM!C73</f>
        <v>1</v>
      </c>
      <c r="C31" s="33" t="n">
        <f aca="false">BOM!E73</f>
        <v>19</v>
      </c>
      <c r="D31" s="25" t="n">
        <f aca="false">BOM!F73</f>
        <v>267.509653045577</v>
      </c>
      <c r="E31" s="34" t="n">
        <f aca="false">BOM!H73</f>
        <v>1</v>
      </c>
      <c r="F31" s="25" t="n">
        <f aca="false">BOM!I73</f>
        <v>267.509653045577</v>
      </c>
    </row>
    <row r="32" customFormat="false" ht="15" hidden="false" customHeight="false" outlineLevel="0" collapsed="false">
      <c r="A32" s="6" t="str">
        <f aca="false">BOM!A74</f>
        <v>Tina TQ-302 del doble crema</v>
      </c>
      <c r="B32" s="33" t="n">
        <f aca="false">BOM!C74</f>
        <v>1</v>
      </c>
      <c r="C32" s="33" t="n">
        <f aca="false">BOM!E74</f>
        <v>6</v>
      </c>
      <c r="D32" s="25" t="n">
        <f aca="false">BOM!F74</f>
        <v>47.746860805791</v>
      </c>
      <c r="E32" s="34" t="n">
        <f aca="false">BOM!H74</f>
        <v>1</v>
      </c>
      <c r="F32" s="25" t="n">
        <f aca="false">BOM!I74</f>
        <v>47.746860805791</v>
      </c>
    </row>
    <row r="33" customFormat="false" ht="15" hidden="false" customHeight="false" outlineLevel="0" collapsed="false">
      <c r="A33" s="6" t="str">
        <f aca="false">BOM!A75</f>
        <v>Estación E18 de inspección</v>
      </c>
      <c r="B33" s="33" t="n">
        <f aca="false">BOM!C75</f>
        <v>1</v>
      </c>
      <c r="C33" s="33" t="n">
        <f aca="false">BOM!E75</f>
        <v>1</v>
      </c>
      <c r="D33" s="25" t="n">
        <f aca="false">BOM!F75</f>
        <v>33.1788639</v>
      </c>
      <c r="E33" s="34" t="n">
        <f aca="false">BOM!H75</f>
        <v>1</v>
      </c>
      <c r="F33" s="25" t="n">
        <f aca="false">BOM!I75</f>
        <v>33.1788639</v>
      </c>
    </row>
    <row r="34" customFormat="false" ht="15" hidden="false" customHeight="false" outlineLevel="0" collapsed="false">
      <c r="A34" s="6" t="str">
        <f aca="false">BOM!A76</f>
        <v>Estandarización de grasa (recepción)</v>
      </c>
      <c r="B34" s="33" t="n">
        <f aca="false">BOM!C76</f>
        <v>1</v>
      </c>
      <c r="C34" s="33" t="n">
        <f aca="false">BOM!E76</f>
        <v>2</v>
      </c>
      <c r="D34" s="25" t="n">
        <f aca="false">BOM!F76</f>
        <v>129.98093385</v>
      </c>
      <c r="E34" s="34" t="n">
        <f aca="false">BOM!H76</f>
        <v>0.36</v>
      </c>
      <c r="F34" s="25" t="n">
        <f aca="false">BOM!I76</f>
        <v>46.793136186</v>
      </c>
    </row>
    <row r="35" customFormat="false" ht="15" hidden="false" customHeight="false" outlineLevel="0" collapsed="false">
      <c r="A35" s="6" t="str">
        <f aca="false">BOM!A77</f>
        <v>SCADA, historiador y MES</v>
      </c>
      <c r="B35" s="33" t="n">
        <f aca="false">BOM!C77</f>
        <v>1</v>
      </c>
      <c r="C35" s="33" t="n">
        <f aca="false">BOM!E77</f>
        <v>11</v>
      </c>
      <c r="D35" s="25" t="n">
        <f aca="false">BOM!F77</f>
        <v>130.792130937844</v>
      </c>
      <c r="E35" s="34" t="n">
        <f aca="false">BOM!H77</f>
        <v>0.524978396481776</v>
      </c>
      <c r="F35" s="25" t="n">
        <f aca="false">BOM!I77</f>
        <v>68.6630431721838</v>
      </c>
    </row>
    <row r="36" customFormat="false" ht="15" hidden="false" customHeight="false" outlineLevel="0" collapsed="false">
      <c r="A36" s="6" t="str">
        <f aca="false">BOM!A78</f>
        <v>Hiladora E13</v>
      </c>
      <c r="B36" s="33" t="n">
        <f aca="false">BOM!C78</f>
        <v>2</v>
      </c>
      <c r="C36" s="33" t="n">
        <f aca="false">BOM!E78</f>
        <v>1</v>
      </c>
      <c r="D36" s="25" t="n">
        <f aca="false">BOM!F78</f>
        <v>322.6</v>
      </c>
      <c r="E36" s="34" t="n">
        <f aca="false">BOM!H78</f>
        <v>1</v>
      </c>
      <c r="F36" s="25" t="n">
        <f aca="false">BOM!I78</f>
        <v>322.6</v>
      </c>
    </row>
    <row r="37" customFormat="false" ht="15" hidden="false" customHeight="false" outlineLevel="0" collapsed="false">
      <c r="A37" s="6" t="str">
        <f aca="false">BOM!A79</f>
        <v>CIP del circuito de quesos</v>
      </c>
      <c r="B37" s="33" t="n">
        <f aca="false">BOM!C79</f>
        <v>2</v>
      </c>
      <c r="C37" s="33" t="n">
        <f aca="false">BOM!E79</f>
        <v>1</v>
      </c>
      <c r="D37" s="25" t="n">
        <f aca="false">BOM!F79</f>
        <v>106.666666666667</v>
      </c>
      <c r="E37" s="34" t="n">
        <f aca="false">BOM!H79</f>
        <v>1</v>
      </c>
      <c r="F37" s="25" t="n">
        <f aca="false">BOM!I79</f>
        <v>106.666666666667</v>
      </c>
    </row>
    <row r="38" customFormat="false" ht="15" hidden="false" customHeight="false" outlineLevel="0" collapsed="false">
      <c r="A38" s="6" t="str">
        <f aca="false">BOM!A80</f>
        <v>Suero</v>
      </c>
      <c r="B38" s="33" t="n">
        <f aca="false">BOM!C80</f>
        <v>2</v>
      </c>
      <c r="C38" s="33" t="n">
        <f aca="false">BOM!E80</f>
        <v>1</v>
      </c>
      <c r="D38" s="25" t="n">
        <f aca="false">BOM!F80</f>
        <v>80</v>
      </c>
      <c r="E38" s="34" t="n">
        <f aca="false">BOM!H80</f>
        <v>0</v>
      </c>
      <c r="F38" s="25" t="n">
        <f aca="false">BOM!I80</f>
        <v>0</v>
      </c>
    </row>
    <row r="39" customFormat="false" ht="15" hidden="false" customHeight="false" outlineLevel="0" collapsed="false">
      <c r="A39" s="6" t="str">
        <f aca="false">BOM!A81</f>
        <v>Instrumentación y control de la etapa 2</v>
      </c>
      <c r="B39" s="33" t="n">
        <f aca="false">BOM!C81</f>
        <v>2</v>
      </c>
      <c r="C39" s="33" t="n">
        <f aca="false">BOM!E81</f>
        <v>4</v>
      </c>
      <c r="D39" s="25" t="n">
        <f aca="false">BOM!F81</f>
        <v>59.5152002</v>
      </c>
      <c r="E39" s="34" t="n">
        <f aca="false">BOM!H81</f>
        <v>1</v>
      </c>
      <c r="F39" s="25" t="n">
        <f aca="false">BOM!I81</f>
        <v>59.5152002</v>
      </c>
    </row>
    <row r="40" customFormat="false" ht="15" hidden="false" customHeight="false" outlineLevel="0" collapsed="false">
      <c r="A40" s="5" t="s">
        <v>115</v>
      </c>
      <c r="C40" s="35" t="n">
        <f aca="false">SUM(C30:C39)</f>
        <v>52</v>
      </c>
      <c r="F40" s="26" t="n">
        <f aca="false">SUM(F30:F39)</f>
        <v>973.147534045779</v>
      </c>
    </row>
    <row r="41" customFormat="false" ht="15" hidden="false" customHeight="false" outlineLevel="0" collapsed="false">
      <c r="A41" s="9" t="s">
        <v>116</v>
      </c>
      <c r="D41" s="36" t="n">
        <f aca="false">BOM!F82</f>
        <v>521.382147</v>
      </c>
    </row>
    <row r="43" customFormat="false" ht="15" hidden="false" customHeight="false" outlineLevel="0" collapsed="false">
      <c r="A43" s="3" t="s">
        <v>117</v>
      </c>
      <c r="B43" s="4"/>
      <c r="C43" s="4"/>
      <c r="D43" s="4"/>
      <c r="E43" s="4"/>
      <c r="F43" s="4"/>
      <c r="G43" s="4"/>
      <c r="H43" s="4"/>
      <c r="I43" s="4"/>
      <c r="J43" s="4"/>
      <c r="K43" s="4"/>
      <c r="L43" s="4"/>
    </row>
    <row r="44" customFormat="false" ht="30" hidden="false" customHeight="true" outlineLevel="0" collapsed="false">
      <c r="A44" s="23" t="s">
        <v>118</v>
      </c>
      <c r="B44" s="24" t="s">
        <v>110</v>
      </c>
      <c r="C44" s="24" t="s">
        <v>119</v>
      </c>
      <c r="D44" s="24" t="s">
        <v>120</v>
      </c>
    </row>
    <row r="45" customFormat="false" ht="15" hidden="false" customHeight="false" outlineLevel="0" collapsed="false">
      <c r="A45" s="6" t="str">
        <f aca="false">Quesería!A104</f>
        <v>Horas extra del hilado evitadas con el orden del hilado (0,5 h/día)</v>
      </c>
      <c r="B45" s="33" t="n">
        <f aca="false">Quesería!B104</f>
        <v>1</v>
      </c>
      <c r="C45" s="25" t="n">
        <f aca="false">Quesería!E104</f>
        <v>11.76</v>
      </c>
      <c r="D45" s="33" t="n">
        <f aca="false">Quesería!H104</f>
        <v>3</v>
      </c>
    </row>
    <row r="46" customFormat="false" ht="15" hidden="false" customHeight="false" outlineLevel="0" collapsed="false">
      <c r="A46" s="6" t="str">
        <f aca="false">Quesería!A105</f>
        <v>Mayor rendimiento del campesino y la mozzarella (sensor de coagulación)</v>
      </c>
      <c r="B46" s="33" t="n">
        <f aca="false">Quesería!B105</f>
        <v>1</v>
      </c>
      <c r="C46" s="25" t="n">
        <f aca="false">Quesería!E105</f>
        <v>52.7983953135048</v>
      </c>
      <c r="D46" s="33" t="n">
        <f aca="false">Quesería!H105</f>
        <v>3</v>
      </c>
    </row>
    <row r="47" customFormat="false" ht="15" hidden="false" customHeight="false" outlineLevel="0" collapsed="false">
      <c r="A47" s="6" t="str">
        <f aca="false">Quesería!A106</f>
        <v>Estandarización de grasa en línea</v>
      </c>
      <c r="B47" s="33" t="n">
        <f aca="false">Quesería!B106</f>
        <v>1</v>
      </c>
      <c r="C47" s="25" t="n">
        <f aca="false">Quesería!E106</f>
        <v>18.7214975275507</v>
      </c>
      <c r="D47" s="33" t="n">
        <f aca="false">Quesería!H106</f>
        <v>3</v>
      </c>
    </row>
    <row r="48" customFormat="false" ht="15" hidden="false" customHeight="false" outlineLevel="0" collapsed="false">
      <c r="A48" s="6" t="str">
        <f aca="false">Quesería!A107</f>
        <v>Menor merma (de 2,0 a 1,5 % de las ventas)</v>
      </c>
      <c r="B48" s="33" t="n">
        <f aca="false">Quesería!B107</f>
        <v>1</v>
      </c>
      <c r="C48" s="25" t="n">
        <f aca="false">Quesería!E107</f>
        <v>33.86</v>
      </c>
      <c r="D48" s="33" t="n">
        <f aca="false">Quesería!H107</f>
        <v>4</v>
      </c>
    </row>
    <row r="49" customFormat="false" ht="15" hidden="false" customHeight="false" outlineLevel="0" collapsed="false">
      <c r="A49" s="6" t="str">
        <f aca="false">Quesería!A108</f>
        <v>Mantenimiento preventivo (ahorro neto de 20 % del gasto)</v>
      </c>
      <c r="B49" s="33" t="n">
        <f aca="false">Quesería!B108</f>
        <v>1</v>
      </c>
      <c r="C49" s="25" t="n">
        <f aca="false">Quesería!E108</f>
        <v>32.904</v>
      </c>
      <c r="D49" s="33" t="n">
        <f aca="false">Quesería!H108</f>
        <v>3</v>
      </c>
    </row>
    <row r="50" customFormat="false" ht="15" hidden="false" customHeight="false" outlineLevel="0" collapsed="false">
      <c r="A50" s="6" t="str">
        <f aca="false">Quesería!A109</f>
        <v>Menor sobrepeso de los tres quesos (de 1,0 a 0,5 %)</v>
      </c>
      <c r="B50" s="33" t="n">
        <f aca="false">Quesería!B109</f>
        <v>1</v>
      </c>
      <c r="C50" s="25" t="n">
        <f aca="false">Quesería!E109</f>
        <v>32.5056</v>
      </c>
      <c r="D50" s="33" t="n">
        <f aca="false">Quesería!H109</f>
        <v>4</v>
      </c>
    </row>
    <row r="51" customFormat="false" ht="15" hidden="false" customHeight="false" outlineLevel="0" collapsed="false">
      <c r="A51" s="6" t="str">
        <f aca="false">Quesería!A110</f>
        <v>Programación con el estado real de la planta: MES con estado de máquinas, paros y OEE enlazado al ERP (hallazgo H9)</v>
      </c>
      <c r="B51" s="33" t="n">
        <f aca="false">Quesería!B110</f>
        <v>1</v>
      </c>
      <c r="C51" s="25" t="n">
        <f aca="false">Quesería!E110</f>
        <v>26.333</v>
      </c>
      <c r="D51" s="33" t="n">
        <f aca="false">Quesería!H110</f>
        <v>3</v>
      </c>
    </row>
    <row r="52" customFormat="false" ht="15" hidden="false" customHeight="false" outlineLevel="0" collapsed="false">
      <c r="A52" s="6" t="str">
        <f aca="false">Quesería!A111</f>
        <v>Balance de sólidos y humedad por lote en el MES (hallazgo H11)</v>
      </c>
      <c r="B52" s="33" t="n">
        <f aca="false">Quesería!B111</f>
        <v>1</v>
      </c>
      <c r="C52" s="25" t="n">
        <f aca="false">Quesería!E111</f>
        <v>32.5510516813505</v>
      </c>
      <c r="D52" s="33" t="n">
        <f aca="false">Quesería!H111</f>
        <v>4</v>
      </c>
    </row>
    <row r="53" customFormat="false" ht="15" hidden="false" customHeight="false" outlineLevel="0" collapsed="false">
      <c r="A53" s="6" t="str">
        <f aca="false">Quesería!A112</f>
        <v>Hiladora-moldeadora: más doble crema y mozzarella</v>
      </c>
      <c r="B53" s="33" t="n">
        <f aca="false">Quesería!B112</f>
        <v>2</v>
      </c>
      <c r="C53" s="25" t="n">
        <f aca="false">Quesería!E112</f>
        <v>70.7031730842444</v>
      </c>
      <c r="D53" s="33" t="n">
        <f aca="false">Quesería!H112</f>
        <v>3</v>
      </c>
    </row>
    <row r="54" customFormat="false" ht="15" hidden="false" customHeight="false" outlineLevel="0" collapsed="false">
      <c r="A54" s="6" t="str">
        <f aca="false">Quesería!A113</f>
        <v>Horas extra restantes que elimina la hiladora (0,5 h/día)</v>
      </c>
      <c r="B54" s="33" t="n">
        <f aca="false">Quesería!B113</f>
        <v>2</v>
      </c>
      <c r="C54" s="25" t="n">
        <f aca="false">Quesería!E113</f>
        <v>11.76</v>
      </c>
      <c r="D54" s="33" t="n">
        <f aca="false">Quesería!H113</f>
        <v>3</v>
      </c>
    </row>
    <row r="55" customFormat="false" ht="15" hidden="false" customHeight="false" outlineLevel="0" collapsed="false">
      <c r="A55" s="6" t="str">
        <f aca="false">Quesería!A114</f>
        <v>Limpieza CIP automática del circuito de quesos</v>
      </c>
      <c r="B55" s="33" t="n">
        <f aca="false">Quesería!B114</f>
        <v>2</v>
      </c>
      <c r="C55" s="25" t="n">
        <f aca="false">Quesería!E114</f>
        <v>40.6</v>
      </c>
      <c r="D55" s="33" t="n">
        <f aca="false">Quesería!H114</f>
        <v>4</v>
      </c>
    </row>
    <row r="56" customFormat="false" ht="15" hidden="false" customHeight="false" outlineLevel="0" collapsed="false">
      <c r="A56" s="6" t="str">
        <f aca="false">Quesería!A115</f>
        <v>Contrato de venta del suero enfriado (opción, fuera de la oferta: solo con contrato a $49/kg o más)</v>
      </c>
      <c r="B56" s="33" t="n">
        <f aca="false">Quesería!B115</f>
        <v>2</v>
      </c>
      <c r="C56" s="25" t="n">
        <f aca="false">Quesería!E115</f>
        <v>0</v>
      </c>
      <c r="D56" s="33" t="n">
        <f aca="false">Quesería!H115</f>
        <v>1</v>
      </c>
    </row>
    <row r="57" customFormat="false" ht="15" hidden="false" customHeight="false" outlineLevel="0" collapsed="false">
      <c r="A57" s="6" t="str">
        <f aca="false">Quesería!A116</f>
        <v>Mezcla óptima de los tres quesos con el costo real por lote (hallazgo H12)</v>
      </c>
      <c r="B57" s="33" t="n">
        <f aca="false">Quesería!B116</f>
        <v>2</v>
      </c>
      <c r="C57" s="25" t="n">
        <f aca="false">Quesería!E116</f>
        <v>34.1492443311894</v>
      </c>
      <c r="D57" s="33" t="n">
        <f aca="false">Quesería!H116</f>
        <v>4</v>
      </c>
    </row>
    <row r="58" customFormat="false" ht="15" hidden="false" customHeight="false" outlineLevel="0" collapsed="false">
      <c r="A58" s="6" t="str">
        <f aca="false">Quesería!A117</f>
        <v>Contrato de marca propia con una cadena: segundo lote diario de doble crema</v>
      </c>
      <c r="B58" s="33" t="n">
        <f aca="false">Quesería!B117</f>
        <v>2</v>
      </c>
      <c r="C58" s="25" t="n">
        <f aca="false">Quesería!E117</f>
        <v>65.6441387999999</v>
      </c>
      <c r="D58" s="33" t="n">
        <f aca="false">Quesería!H117</f>
        <v>3</v>
      </c>
    </row>
    <row r="59" customFormat="false" ht="15" hidden="false" customHeight="false" outlineLevel="0" collapsed="false">
      <c r="A59" s="6" t="str">
        <f aca="false">Quesería!A118</f>
        <v>Reubicación por competencias (H10): control nocturno de la incubación del yogur por un operario del hilado (H2)</v>
      </c>
      <c r="B59" s="33" t="n">
        <f aca="false">Quesería!B118</f>
        <v>2</v>
      </c>
      <c r="C59" s="25" t="n">
        <f aca="false">Quesería!E118</f>
        <v>67.77488</v>
      </c>
      <c r="D59" s="33" t="n">
        <f aca="false">Quesería!H118</f>
        <v>3</v>
      </c>
    </row>
    <row r="60" customFormat="false" ht="15" hidden="false" customHeight="false" outlineLevel="0" collapsed="false">
      <c r="A60" s="6" t="str">
        <f aca="false">Quesería!A119</f>
        <v>Reubicación por competencias (H10): el otro operario cubre el mantenimiento autónomo del plan preventivo</v>
      </c>
      <c r="B60" s="33" t="n">
        <f aca="false">Quesería!B119</f>
        <v>2</v>
      </c>
      <c r="C60" s="25" t="n">
        <f aca="false">Quesería!E119</f>
        <v>36</v>
      </c>
      <c r="D60" s="33" t="n">
        <f aca="false">Quesería!H119</f>
        <v>3</v>
      </c>
    </row>
    <row r="61" customFormat="false" ht="15" hidden="false" customHeight="false" outlineLevel="0" collapsed="false">
      <c r="A61" s="5" t="s">
        <v>121</v>
      </c>
      <c r="C61" s="26" t="n">
        <f aca="false">SUM(C45:C60)</f>
        <v>568.06498073784</v>
      </c>
    </row>
    <row r="62" customFormat="false" ht="15" hidden="false" customHeight="false" outlineLevel="0" collapsed="false">
      <c r="A62" s="6" t="s">
        <v>122</v>
      </c>
      <c r="C62" s="25" t="n">
        <f aca="false">Quesería!$B$193</f>
        <v>76.4964821173777</v>
      </c>
    </row>
    <row r="63" customFormat="false" ht="15" hidden="false" customHeight="false" outlineLevel="0" collapsed="false">
      <c r="A63" s="9" t="s">
        <v>123</v>
      </c>
    </row>
    <row r="65" customFormat="false" ht="15" hidden="false" customHeight="false" outlineLevel="0" collapsed="false">
      <c r="A65" s="3" t="s">
        <v>124</v>
      </c>
      <c r="B65" s="4"/>
      <c r="C65" s="4"/>
      <c r="D65" s="4"/>
      <c r="E65" s="4"/>
      <c r="F65" s="4"/>
      <c r="G65" s="4"/>
      <c r="H65" s="4"/>
      <c r="I65" s="4"/>
      <c r="J65" s="4"/>
      <c r="K65" s="4"/>
      <c r="L65" s="4"/>
    </row>
    <row r="66" customFormat="false" ht="30" hidden="false" customHeight="true" outlineLevel="0" collapsed="false">
      <c r="A66" s="23" t="s">
        <v>125</v>
      </c>
      <c r="B66" s="24" t="s">
        <v>110</v>
      </c>
      <c r="C66" s="24" t="s">
        <v>126</v>
      </c>
      <c r="D66" s="24" t="s">
        <v>127</v>
      </c>
    </row>
    <row r="67" customFormat="false" ht="15" hidden="false" customHeight="false" outlineLevel="0" collapsed="false">
      <c r="A67" s="6" t="str">
        <f aca="false">'Beneficios y costos'!A176</f>
        <v>H1. Grasa estandarizada a mano</v>
      </c>
      <c r="B67" s="28" t="str">
        <f aca="false">'Beneficios y costos'!C176&amp;""</f>
        <v>1</v>
      </c>
      <c r="C67" s="25" t="n">
        <f aca="false">'Beneficios y costos'!D176</f>
        <v>52.0041597987519</v>
      </c>
      <c r="D67" s="25" t="n">
        <f aca="false">'Beneficios y costos'!E176</f>
        <v>18.7214975275507</v>
      </c>
    </row>
    <row r="68" customFormat="false" ht="15" hidden="false" customHeight="false" outlineLevel="0" collapsed="false">
      <c r="A68" s="6" t="str">
        <f aca="false">'Beneficios y costos'!A177</f>
        <v>H2. Yogur incubado de noche sin vigilancia</v>
      </c>
      <c r="B68" s="28" t="str">
        <f aca="false">'Beneficios y costos'!C177&amp;""</f>
        <v>2</v>
      </c>
      <c r="C68" s="25" t="n">
        <f aca="false">'Beneficios y costos'!D177</f>
        <v>67.77488</v>
      </c>
      <c r="D68" s="25" t="n">
        <f aca="false">'Beneficios y costos'!E177</f>
        <v>67.77488</v>
      </c>
    </row>
    <row r="69" customFormat="false" ht="15" hidden="false" customHeight="false" outlineLevel="0" collapsed="false">
      <c r="A69" s="6" t="str">
        <f aca="false">'Beneficios y costos'!A178</f>
        <v>H2. Lo que queda del yogur sobreacidificado</v>
      </c>
      <c r="B69" s="28" t="str">
        <f aca="false">'Beneficios y costos'!C178&amp;""</f>
        <v>—</v>
      </c>
      <c r="C69" s="25" t="n">
        <f aca="false">'Beneficios y costos'!D178</f>
        <v>98.51</v>
      </c>
      <c r="D69" s="25" t="n">
        <f aca="false">'Beneficios y costos'!E178</f>
        <v>0</v>
      </c>
    </row>
    <row r="70" customFormat="false" ht="15" hidden="false" customHeight="false" outlineLevel="0" collapsed="false">
      <c r="A70" s="6" t="str">
        <f aca="false">'Beneficios y costos'!A179</f>
        <v>H3. Producto regalado en el llenado: quesos</v>
      </c>
      <c r="B70" s="28" t="str">
        <f aca="false">'Beneficios y costos'!C179&amp;""</f>
        <v>1</v>
      </c>
      <c r="C70" s="25" t="n">
        <f aca="false">'Beneficios y costos'!D179</f>
        <v>32.5056</v>
      </c>
      <c r="D70" s="25" t="n">
        <f aca="false">'Beneficios y costos'!E179</f>
        <v>32.5056</v>
      </c>
    </row>
    <row r="71" customFormat="false" ht="15" hidden="false" customHeight="false" outlineLevel="0" collapsed="false">
      <c r="A71" s="6" t="str">
        <f aca="false">'Beneficios y costos'!A180</f>
        <v>H3. Producto regalado en el llenado: yogur y UHT</v>
      </c>
      <c r="B71" s="28" t="str">
        <f aca="false">'Beneficios y costos'!C180&amp;""</f>
        <v>—</v>
      </c>
      <c r="C71" s="25" t="n">
        <f aca="false">'Beneficios y costos'!D180</f>
        <v>307.3632</v>
      </c>
      <c r="D71" s="25" t="n">
        <f aca="false">'Beneficios y costos'!E180</f>
        <v>0</v>
      </c>
    </row>
    <row r="72" customFormat="false" ht="15" hidden="false" customHeight="false" outlineLevel="0" collapsed="false">
      <c r="A72" s="6" t="str">
        <f aca="false">'Beneficios y costos'!A181</f>
        <v>H4. Pérdidas del UHT en arranques y cambios</v>
      </c>
      <c r="B72" s="28" t="str">
        <f aca="false">'Beneficios y costos'!C181&amp;""</f>
        <v>—</v>
      </c>
      <c r="C72" s="25" t="n">
        <f aca="false">'Beneficios y costos'!D181</f>
        <v>123.15</v>
      </c>
      <c r="D72" s="25" t="n">
        <f aca="false">'Beneficios y costos'!E181</f>
        <v>0</v>
      </c>
    </row>
    <row r="73" customFormat="false" ht="15" hidden="false" customHeight="false" outlineLevel="0" collapsed="false">
      <c r="A73" s="6" t="str">
        <f aca="false">'Beneficios y costos'!A182</f>
        <v>H5. Hilado manual, cuello de botella</v>
      </c>
      <c r="B73" s="28" t="str">
        <f aca="false">'Beneficios y costos'!C182&amp;""</f>
        <v>0 y 2</v>
      </c>
      <c r="C73" s="25" t="n">
        <f aca="false">'Beneficios y costos'!D182</f>
        <v>94.2231730842444</v>
      </c>
      <c r="D73" s="25" t="n">
        <f aca="false">'Beneficios y costos'!E182</f>
        <v>94.2231730842444</v>
      </c>
    </row>
    <row r="74" customFormat="false" ht="15" hidden="false" customHeight="false" outlineLevel="0" collapsed="false">
      <c r="A74" s="6" t="str">
        <f aca="false">'Beneficios y costos'!A183</f>
        <v>H6. Registros críticos en papel</v>
      </c>
      <c r="B74" s="28" t="str">
        <f aca="false">'Beneficios y costos'!C183&amp;""</f>
        <v>1</v>
      </c>
      <c r="C74" s="25" t="n">
        <f aca="false">'Beneficios y costos'!D183</f>
        <v>152.285</v>
      </c>
      <c r="D74" s="25" t="n">
        <f aca="false">'Beneficios y costos'!E183</f>
        <v>33.86</v>
      </c>
    </row>
    <row r="75" customFormat="false" ht="15" hidden="false" customHeight="false" outlineLevel="0" collapsed="false">
      <c r="A75" s="6" t="str">
        <f aca="false">'Beneficios y costos'!A184</f>
        <v>H7. Limpieza y mantenimiento manuales y correctivos</v>
      </c>
      <c r="B75" s="28" t="str">
        <f aca="false">'Beneficios y costos'!C184&amp;""</f>
        <v>0 y 2</v>
      </c>
      <c r="C75" s="25" t="n">
        <f aca="false">'Beneficios y costos'!D184</f>
        <v>213.2</v>
      </c>
      <c r="D75" s="25" t="n">
        <f aca="false">'Beneficios y costos'!E184</f>
        <v>73.504</v>
      </c>
    </row>
    <row r="76" customFormat="false" ht="15" hidden="false" customHeight="false" outlineLevel="0" collapsed="false">
      <c r="A76" s="6" t="str">
        <f aca="false">'Beneficios y costos'!A185</f>
        <v>H8. Suero vendido barato</v>
      </c>
      <c r="B76" s="28" t="str">
        <f aca="false">'Beneficios y costos'!C185&amp;""</f>
        <v>Opción</v>
      </c>
      <c r="C76" s="25" t="n">
        <f aca="false">'Beneficios y costos'!D185</f>
        <v>36.1108213118971</v>
      </c>
      <c r="D76" s="25" t="n">
        <f aca="false">'Beneficios y costos'!E185</f>
        <v>0</v>
      </c>
    </row>
    <row r="77" customFormat="false" ht="15" hidden="false" customHeight="false" outlineLevel="0" collapsed="false">
      <c r="A77" s="6" t="str">
        <f aca="false">'Beneficios y costos'!A186</f>
        <v>H9. Información en islas</v>
      </c>
      <c r="B77" s="28" t="str">
        <f aca="false">'Beneficios y costos'!C186&amp;""</f>
        <v>1</v>
      </c>
      <c r="C77" s="25" t="n">
        <f aca="false">'Beneficios y costos'!D186</f>
        <v>26.333</v>
      </c>
      <c r="D77" s="25" t="n">
        <f aca="false">'Beneficios y costos'!E186</f>
        <v>26.333</v>
      </c>
    </row>
    <row r="78" customFormat="false" ht="15" hidden="false" customHeight="false" outlineLevel="0" collapsed="false">
      <c r="A78" s="6" t="str">
        <f aca="false">'Beneficios y costos'!A187</f>
        <v>H10. Puestos asignados por costumbre, no por competencias</v>
      </c>
      <c r="B78" s="28" t="str">
        <f aca="false">'Beneficios y costos'!C187&amp;""</f>
        <v>0 y 2</v>
      </c>
      <c r="C78" s="25" t="n">
        <f aca="false">'Beneficios y costos'!D187</f>
        <v>36</v>
      </c>
      <c r="D78" s="25" t="n">
        <f aca="false">'Beneficios y costos'!E187</f>
        <v>36</v>
      </c>
    </row>
    <row r="79" customFormat="false" ht="15" hidden="false" customHeight="false" outlineLevel="0" collapsed="false">
      <c r="A79" s="6" t="str">
        <f aca="false">'Beneficios y costos'!A188</f>
        <v>H11. No se sabe cuánto queso sale de cada litro, lote por lote</v>
      </c>
      <c r="B79" s="28" t="str">
        <f aca="false">'Beneficios y costos'!C188&amp;""</f>
        <v>1</v>
      </c>
      <c r="C79" s="25" t="n">
        <f aca="false">'Beneficios y costos'!D188</f>
        <v>32.5510516813505</v>
      </c>
      <c r="D79" s="25" t="n">
        <f aca="false">'Beneficios y costos'!E188</f>
        <v>32.5510516813505</v>
      </c>
    </row>
    <row r="80" customFormat="false" ht="15" hidden="false" customHeight="false" outlineLevel="0" collapsed="false">
      <c r="A80" s="6" t="str">
        <f aca="false">'Beneficios y costos'!A189</f>
        <v>H12. El costo y la mezcla de quesos se deciden con promedios</v>
      </c>
      <c r="B80" s="28" t="str">
        <f aca="false">'Beneficios y costos'!C189&amp;""</f>
        <v>2</v>
      </c>
      <c r="C80" s="25" t="n">
        <f aca="false">'Beneficios y costos'!D189</f>
        <v>34.1492443311894</v>
      </c>
      <c r="D80" s="25" t="n">
        <f aca="false">'Beneficios y costos'!E189</f>
        <v>34.1492443311894</v>
      </c>
    </row>
    <row r="81" customFormat="false" ht="15" hidden="false" customHeight="false" outlineLevel="0" collapsed="false">
      <c r="A81" s="6" t="str">
        <f aca="false">'Beneficios y costos'!A190</f>
        <v>Innovación de la oferta (no viene de una pérdida)</v>
      </c>
      <c r="B81" s="28" t="str">
        <f aca="false">'Beneficios y costos'!C190&amp;""</f>
        <v>1</v>
      </c>
      <c r="C81" s="25" t="n">
        <f aca="false">'Beneficios y costos'!D190</f>
        <v>52.7983953135048</v>
      </c>
      <c r="D81" s="25" t="n">
        <f aca="false">'Beneficios y costos'!E190</f>
        <v>52.7983953135048</v>
      </c>
    </row>
    <row r="82" customFormat="false" ht="15" hidden="false" customHeight="false" outlineLevel="0" collapsed="false">
      <c r="A82" s="6" t="str">
        <f aca="false">'Beneficios y costos'!A191</f>
        <v>Oportunidad comercial (no viene de una pérdida)</v>
      </c>
      <c r="B82" s="28" t="str">
        <f aca="false">'Beneficios y costos'!C191&amp;""</f>
        <v>2</v>
      </c>
      <c r="C82" s="25" t="n">
        <f aca="false">'Beneficios y costos'!D191</f>
        <v>65.6441387999999</v>
      </c>
      <c r="D82" s="25" t="n">
        <f aca="false">'Beneficios y costos'!E191</f>
        <v>65.6441387999999</v>
      </c>
    </row>
    <row r="83" customFormat="false" ht="15" hidden="false" customHeight="false" outlineLevel="0" collapsed="false">
      <c r="A83" s="5" t="str">
        <f aca="false">'Beneficios y costos'!A192</f>
        <v>Valor de las medidas de la oferta</v>
      </c>
      <c r="B83" s="28" t="str">
        <f aca="false">'Beneficios y costos'!C192&amp;""</f>
        <v/>
      </c>
      <c r="C83" s="30" t="n">
        <f aca="false">'Beneficios y costos'!D192</f>
        <v>859.468643009041</v>
      </c>
      <c r="D83" s="30" t="n">
        <f aca="false">'Beneficios y costos'!E192</f>
        <v>568.06498073784</v>
      </c>
    </row>
    <row r="84" customFormat="false" ht="15" hidden="false" customHeight="false" outlineLevel="0" collapsed="false">
      <c r="A84" s="5" t="str">
        <f aca="false">'Beneficios y costos'!A193</f>
        <v>Pérdidas de yogur y UHT que quedan para la ampliación</v>
      </c>
      <c r="B84" s="28" t="str">
        <f aca="false">'Beneficios y costos'!C193&amp;""</f>
        <v/>
      </c>
      <c r="C84" s="30" t="n">
        <f aca="false">'Beneficios y costos'!D193</f>
        <v>529.0232</v>
      </c>
      <c r="D84" s="30" t="n">
        <f aca="false">'Beneficios y costos'!E193</f>
        <v>0</v>
      </c>
    </row>
    <row r="85" customFormat="false" ht="15" hidden="false" customHeight="false" outlineLevel="0" collapsed="false">
      <c r="A85" s="9" t="s">
        <v>128</v>
      </c>
    </row>
    <row r="87" customFormat="false" ht="15" hidden="false" customHeight="false" outlineLevel="0" collapsed="false">
      <c r="A87" s="3" t="s">
        <v>129</v>
      </c>
      <c r="B87" s="4"/>
      <c r="C87" s="4"/>
      <c r="D87" s="4"/>
      <c r="E87" s="4"/>
      <c r="F87" s="4"/>
      <c r="G87" s="4"/>
      <c r="H87" s="4"/>
      <c r="I87" s="4"/>
      <c r="J87" s="4"/>
      <c r="K87" s="4"/>
      <c r="L87" s="4"/>
    </row>
    <row r="88" customFormat="false" ht="15" hidden="false" customHeight="false" outlineLevel="0" collapsed="false">
      <c r="A88" s="23" t="s">
        <v>130</v>
      </c>
      <c r="B88" s="24" t="s">
        <v>131</v>
      </c>
      <c r="C88" s="24" t="s">
        <v>132</v>
      </c>
      <c r="D88" s="24" t="s">
        <v>133</v>
      </c>
      <c r="E88" s="24" t="s">
        <v>134</v>
      </c>
      <c r="F88" s="24" t="s">
        <v>135</v>
      </c>
      <c r="G88" s="24" t="s">
        <v>136</v>
      </c>
      <c r="H88" s="24" t="s">
        <v>137</v>
      </c>
      <c r="I88" s="24" t="s">
        <v>138</v>
      </c>
      <c r="J88" s="24" t="s">
        <v>139</v>
      </c>
      <c r="K88" s="24" t="s">
        <v>140</v>
      </c>
      <c r="L88" s="24" t="s">
        <v>141</v>
      </c>
    </row>
    <row r="89" customFormat="false" ht="15" hidden="false" customHeight="false" outlineLevel="0" collapsed="false">
      <c r="A89" s="6" t="s">
        <v>142</v>
      </c>
      <c r="B89" s="25" t="n">
        <f aca="false">Quesería!B143</f>
        <v>120.716772261203</v>
      </c>
      <c r="C89" s="25" t="n">
        <f aca="false">Quesería!C143</f>
        <v>181.328317354069</v>
      </c>
      <c r="D89" s="25" t="n">
        <f aca="false">Quesería!D143</f>
        <v>499.183071266528</v>
      </c>
      <c r="E89" s="25" t="n">
        <f aca="false">Quesería!E143</f>
        <v>570.38718782501</v>
      </c>
      <c r="F89" s="25" t="n">
        <f aca="false">Quesería!F143</f>
        <v>570.696398860445</v>
      </c>
      <c r="G89" s="25" t="n">
        <f aca="false">Quesería!G143</f>
        <v>571.007155951058</v>
      </c>
      <c r="H89" s="25" t="n">
        <f aca="false">Quesería!H143</f>
        <v>571.319466827124</v>
      </c>
      <c r="I89" s="25" t="n">
        <f aca="false">Quesería!I143</f>
        <v>571.633339257571</v>
      </c>
      <c r="J89" s="25" t="n">
        <f aca="false">Quesería!J143</f>
        <v>571.94878105017</v>
      </c>
      <c r="K89" s="25" t="n">
        <f aca="false">Quesería!K143</f>
        <v>572.265800051731</v>
      </c>
      <c r="L89" s="25" t="n">
        <f aca="false">Quesería!L143</f>
        <v>572.584404148301</v>
      </c>
    </row>
    <row r="90" customFormat="false" ht="15" hidden="false" customHeight="false" outlineLevel="0" collapsed="false">
      <c r="A90" s="6" t="s">
        <v>143</v>
      </c>
      <c r="B90" s="25" t="n">
        <f aca="false">-(Quesería!B144+Quesería!B145+Quesería!B146)</f>
        <v>-4.31966364396742</v>
      </c>
      <c r="C90" s="25" t="n">
        <f aca="false">-(Quesería!C144+Quesería!C145+Quesería!C146)</f>
        <v>-63.9880576255051</v>
      </c>
      <c r="D90" s="25" t="n">
        <f aca="false">-(Quesería!D144+Quesería!D145+Quesería!D146)</f>
        <v>-76.8024680458472</v>
      </c>
      <c r="E90" s="25" t="n">
        <f aca="false">-(Quesería!E144+Quesería!E145+Quesería!E146)</f>
        <v>-76.8024680458472</v>
      </c>
      <c r="F90" s="25" t="n">
        <f aca="false">-(Quesería!F144+Quesería!F145+Quesería!F146)</f>
        <v>-76.8024680458472</v>
      </c>
      <c r="G90" s="25" t="n">
        <f aca="false">-(Quesería!G144+Quesería!G145+Quesería!G146)</f>
        <v>-76.933202480047</v>
      </c>
      <c r="H90" s="25" t="n">
        <f aca="false">-(Quesería!H144+Quesería!H145+Quesería!H146)</f>
        <v>-77.0232804270313</v>
      </c>
      <c r="I90" s="25" t="n">
        <f aca="false">-(Quesería!I144+Quesería!I145+Quesería!I146)</f>
        <v>-76.8024680458472</v>
      </c>
      <c r="J90" s="25" t="n">
        <f aca="false">-(Quesería!J144+Quesería!J145+Quesería!J146)</f>
        <v>-76.8024680458472</v>
      </c>
      <c r="K90" s="25" t="n">
        <f aca="false">-(Quesería!K144+Quesería!K145+Quesería!K146)</f>
        <v>-76.8024680458472</v>
      </c>
      <c r="L90" s="25" t="n">
        <f aca="false">-(Quesería!L144+Quesería!L145+Quesería!L146)</f>
        <v>-76.8024680458472</v>
      </c>
    </row>
    <row r="91" customFormat="false" ht="15" hidden="false" customHeight="false" outlineLevel="0" collapsed="false">
      <c r="A91" s="6" t="s">
        <v>144</v>
      </c>
      <c r="B91" s="25" t="n">
        <f aca="false">-Quesería!B151</f>
        <v>9.59839124703308</v>
      </c>
      <c r="C91" s="25" t="n">
        <f aca="false">-Quesería!C151</f>
        <v>267.27574962886</v>
      </c>
      <c r="D91" s="25" t="n">
        <f aca="false">-Quesería!D151</f>
        <v>153.621746486017</v>
      </c>
      <c r="E91" s="25" t="n">
        <f aca="false">-Quesería!E151</f>
        <v>-125.109835670203</v>
      </c>
      <c r="F91" s="25" t="n">
        <f aca="false">-Quesería!F151</f>
        <v>-127.052611986067</v>
      </c>
      <c r="G91" s="25" t="n">
        <f aca="false">-Quesería!G151</f>
        <v>-128.902491185509</v>
      </c>
      <c r="H91" s="25" t="n">
        <f aca="false">-Quesería!H151</f>
        <v>-128.131016857608</v>
      </c>
      <c r="I91" s="25" t="n">
        <f aca="false">-Quesería!I151</f>
        <v>-123.236338377604</v>
      </c>
      <c r="J91" s="25" t="n">
        <f aca="false">-Quesería!J151</f>
        <v>-133.41911076664</v>
      </c>
      <c r="K91" s="25" t="n">
        <f aca="false">-Quesería!K151</f>
        <v>-135.0660538142</v>
      </c>
      <c r="L91" s="25" t="n">
        <f aca="false">-Quesería!L151</f>
        <v>-136.654475245128</v>
      </c>
    </row>
    <row r="92" customFormat="false" ht="15" hidden="false" customHeight="false" outlineLevel="0" collapsed="false">
      <c r="A92" s="6" t="s">
        <v>145</v>
      </c>
      <c r="B92" s="25" t="n">
        <f aca="false">-(Quesería!B138+Quesería!B139+Quesería!B140)</f>
        <v>-1079.91591099185</v>
      </c>
      <c r="C92" s="25" t="n">
        <f aca="false">-(Quesería!C138+Quesería!C139+Quesería!C140)</f>
        <v>-783.578189342653</v>
      </c>
      <c r="D92" s="25" t="n">
        <f aca="false">-(Quesería!D138+Quesería!D139+Quesería!D140)</f>
        <v>-0</v>
      </c>
      <c r="E92" s="25" t="n">
        <f aca="false">-(Quesería!E138+Quesería!E139+Quesería!E140)</f>
        <v>-0</v>
      </c>
      <c r="F92" s="25" t="n">
        <f aca="false">-(Quesería!F138+Quesería!F139+Quesería!F140)</f>
        <v>-0</v>
      </c>
      <c r="G92" s="25" t="n">
        <f aca="false">-(Quesería!G138+Quesería!G139+Quesería!G140)</f>
        <v>-32.6836085499595</v>
      </c>
      <c r="H92" s="25" t="n">
        <f aca="false">-(Quesería!H138+Quesería!H139+Quesería!H140)</f>
        <v>-55.2030952960367</v>
      </c>
      <c r="I92" s="25" t="n">
        <f aca="false">-(Quesería!I138+Quesería!I139+Quesería!I140)</f>
        <v>-0</v>
      </c>
      <c r="J92" s="25" t="n">
        <f aca="false">-(Quesería!J138+Quesería!J139+Quesería!J140)</f>
        <v>-0</v>
      </c>
      <c r="K92" s="25" t="n">
        <f aca="false">-(Quesería!K138+Quesería!K139+Quesería!K140)</f>
        <v>-0</v>
      </c>
      <c r="L92" s="25" t="n">
        <f aca="false">-(Quesería!L138+Quesería!L139+Quesería!L140)</f>
        <v>-0</v>
      </c>
    </row>
    <row r="93" customFormat="false" ht="15" hidden="false" customHeight="false" outlineLevel="0" collapsed="false">
      <c r="A93" s="6" t="s">
        <v>146</v>
      </c>
      <c r="B93" s="25" t="n">
        <f aca="false">-Quesería!B153+Quesería!B154</f>
        <v>-7.23146900616979</v>
      </c>
      <c r="C93" s="25" t="n">
        <f aca="false">-Quesería!C153+Quesería!C154</f>
        <v>-1.42287846600884</v>
      </c>
      <c r="D93" s="25" t="n">
        <f aca="false">-Quesería!D153+Quesería!D154</f>
        <v>-121.067969072345</v>
      </c>
      <c r="E93" s="25" t="n">
        <f aca="false">-Quesería!E153+Quesería!E154</f>
        <v>-44.6849531551876</v>
      </c>
      <c r="F93" s="25" t="n">
        <f aca="false">-Quesería!F153+Quesería!F154</f>
        <v>-6.49010597714096</v>
      </c>
      <c r="G93" s="25" t="n">
        <f aca="false">-Quesería!G153+Quesería!G154</f>
        <v>-6.49010597714096</v>
      </c>
      <c r="H93" s="25" t="n">
        <f aca="false">-Quesería!H153+Quesería!H154</f>
        <v>-6.49010597714096</v>
      </c>
      <c r="I93" s="25" t="n">
        <f aca="false">-Quesería!I153+Quesería!I154</f>
        <v>-6.49010597714096</v>
      </c>
      <c r="J93" s="25" t="n">
        <f aca="false">-Quesería!J153+Quesería!J154</f>
        <v>-6.49010597714096</v>
      </c>
      <c r="K93" s="25" t="n">
        <f aca="false">-Quesería!K153+Quesería!K154</f>
        <v>-6.49010597714099</v>
      </c>
      <c r="L93" s="25" t="n">
        <f aca="false">-Quesería!L153+Quesería!L154</f>
        <v>224.176421986978</v>
      </c>
    </row>
    <row r="94" customFormat="false" ht="15" hidden="false" customHeight="false" outlineLevel="0" collapsed="false">
      <c r="A94" s="5" t="s">
        <v>147</v>
      </c>
      <c r="B94" s="26" t="n">
        <f aca="false">Quesería!B155</f>
        <v>-961.151880133756</v>
      </c>
      <c r="C94" s="26" t="n">
        <f aca="false">Quesería!C155</f>
        <v>-400.385058451238</v>
      </c>
      <c r="D94" s="26" t="n">
        <f aca="false">Quesería!D155</f>
        <v>454.934380634354</v>
      </c>
      <c r="E94" s="26" t="n">
        <f aca="false">Quesería!E155</f>
        <v>323.789930953772</v>
      </c>
      <c r="F94" s="26" t="n">
        <f aca="false">Quesería!F155</f>
        <v>360.351212851391</v>
      </c>
      <c r="G94" s="26" t="n">
        <f aca="false">Quesería!G155</f>
        <v>325.997747758402</v>
      </c>
      <c r="H94" s="26" t="n">
        <f aca="false">Quesería!H155</f>
        <v>304.471968269307</v>
      </c>
      <c r="I94" s="26" t="n">
        <f aca="false">Quesería!I155</f>
        <v>365.104426856979</v>
      </c>
      <c r="J94" s="26" t="n">
        <f aca="false">Quesería!J155</f>
        <v>355.237096260542</v>
      </c>
      <c r="K94" s="26" t="n">
        <f aca="false">Quesería!K155</f>
        <v>353.907172214543</v>
      </c>
      <c r="L94" s="26" t="n">
        <f aca="false">Quesería!L155</f>
        <v>583.303882844304</v>
      </c>
    </row>
    <row r="95" customFormat="false" ht="15" hidden="false" customHeight="false" outlineLevel="0" collapsed="false">
      <c r="A95" s="6" t="s">
        <v>148</v>
      </c>
      <c r="B95" s="25" t="n">
        <f aca="false">Quesería!B170</f>
        <v>-358.744924503166</v>
      </c>
      <c r="C95" s="25" t="n">
        <f aca="false">Quesería!C170</f>
        <v>-25.4578919146794</v>
      </c>
      <c r="D95" s="25" t="n">
        <f aca="false">Quesería!D170</f>
        <v>274.21152263339</v>
      </c>
      <c r="E95" s="25" t="n">
        <f aca="false">Quesería!E170</f>
        <v>92.3042386536525</v>
      </c>
      <c r="F95" s="25" t="n">
        <f aca="false">Quesería!F170</f>
        <v>151.409120977721</v>
      </c>
      <c r="G95" s="25" t="n">
        <f aca="false">Quesería!G170</f>
        <v>138.207567657521</v>
      </c>
      <c r="H95" s="25" t="n">
        <f aca="false">Quesería!H170</f>
        <v>136.515715739571</v>
      </c>
      <c r="I95" s="25" t="n">
        <f aca="false">Quesería!I170</f>
        <v>215.734211286554</v>
      </c>
      <c r="J95" s="25" t="n">
        <f aca="false">Quesería!J170</f>
        <v>296.140841229455</v>
      </c>
      <c r="K95" s="25" t="n">
        <f aca="false">Quesería!K170</f>
        <v>353.907172214543</v>
      </c>
      <c r="L95" s="25" t="n">
        <f aca="false">Quesería!L170</f>
        <v>583.303882844304</v>
      </c>
    </row>
    <row r="96" customFormat="false" ht="15" hidden="false" customHeight="false" outlineLevel="0" collapsed="false">
      <c r="A96" s="6" t="s">
        <v>149</v>
      </c>
      <c r="B96" s="37" t="str">
        <f aca="false">Quesería!B174</f>
        <v/>
      </c>
      <c r="C96" s="37" t="n">
        <f aca="false">Quesería!C174</f>
        <v>5.06718066892277</v>
      </c>
      <c r="D96" s="37" t="n">
        <f aca="false">Quesería!D174</f>
        <v>2.20987470854351</v>
      </c>
      <c r="E96" s="37" t="n">
        <f aca="false">Quesería!E174</f>
        <v>1.34356883281698</v>
      </c>
      <c r="F96" s="37" t="n">
        <f aca="false">Quesería!F174</f>
        <v>1.63357605418085</v>
      </c>
      <c r="G96" s="37" t="n">
        <f aca="false">Quesería!G174</f>
        <v>1.68320318346917</v>
      </c>
      <c r="H96" s="37" t="n">
        <f aca="false">Quesería!H174</f>
        <v>1.79494308419805</v>
      </c>
      <c r="I96" s="37" t="n">
        <f aca="false">Quesería!I174</f>
        <v>2.36842363470325</v>
      </c>
      <c r="J96" s="37" t="n">
        <f aca="false">Quesería!J174</f>
        <v>5.81495731479158</v>
      </c>
      <c r="K96" s="37" t="str">
        <f aca="false">Quesería!K174</f>
        <v/>
      </c>
      <c r="L96" s="37" t="str">
        <f aca="false">Quesería!L174</f>
        <v/>
      </c>
    </row>
    <row r="97" customFormat="false" ht="15" hidden="false" customHeight="false" outlineLevel="0" collapsed="false">
      <c r="A97" s="9" t="s">
        <v>150</v>
      </c>
      <c r="L97" s="27" t="n">
        <f aca="false">ABS(SUM(B89:B93)-B94)+ABS(SUM(C89:C93)-C94)+ABS(SUM(D89:D93)-D94)+ABS(SUM(E89:E93)-E94)+ABS(SUM(F89:F93)-F94)+ABS(SUM(G89:G93)-G94)+ABS(SUM(H89:H93)-H94)+ABS(SUM(I89:I93)-I94)+ABS(SUM(J89:J93)-J94)+ABS(SUM(K89:K93)-K94)+ABS(SUM(L89:L93)-L94)</f>
        <v>0</v>
      </c>
    </row>
    <row r="99" customFormat="false" ht="15" hidden="false" customHeight="false" outlineLevel="0" collapsed="false">
      <c r="A99" s="3" t="s">
        <v>151</v>
      </c>
      <c r="B99" s="4"/>
      <c r="C99" s="4"/>
      <c r="D99" s="4"/>
      <c r="E99" s="4"/>
      <c r="F99" s="4"/>
      <c r="G99" s="4"/>
      <c r="H99" s="4"/>
      <c r="I99" s="4"/>
      <c r="J99" s="4"/>
      <c r="K99" s="4"/>
      <c r="L99" s="4"/>
    </row>
    <row r="100" customFormat="false" ht="30" hidden="false" customHeight="true" outlineLevel="0" collapsed="false">
      <c r="A100" s="23" t="s">
        <v>152</v>
      </c>
      <c r="B100" s="24" t="s">
        <v>153</v>
      </c>
      <c r="C100" s="24" t="s">
        <v>154</v>
      </c>
    </row>
    <row r="101" customFormat="false" ht="15" hidden="false" customHeight="false" outlineLevel="0" collapsed="false">
      <c r="A101" s="6" t="s">
        <v>155</v>
      </c>
      <c r="B101" s="30" t="n">
        <f aca="false">Quesería!$B$182</f>
        <v>639.556697226745</v>
      </c>
      <c r="C101" s="38" t="s">
        <v>156</v>
      </c>
    </row>
    <row r="102" customFormat="false" ht="15" hidden="false" customHeight="false" outlineLevel="0" collapsed="false">
      <c r="A102" s="6" t="s">
        <v>14</v>
      </c>
      <c r="B102" s="8" t="n">
        <f aca="false">Quesería!$B$179</f>
        <v>0.243271358090429</v>
      </c>
      <c r="C102" s="39" t="n">
        <f aca="false">Quesería!$B$178</f>
        <v>0.1470725</v>
      </c>
    </row>
    <row r="103" customFormat="false" ht="15" hidden="false" customHeight="false" outlineLevel="0" collapsed="false">
      <c r="A103" s="6" t="s">
        <v>16</v>
      </c>
      <c r="B103" s="8" t="n">
        <f aca="false">Quesería!$B$180</f>
        <v>0.192381249046293</v>
      </c>
      <c r="C103" s="39" t="n">
        <f aca="false">Quesería!$B$181</f>
        <v>0.0996090543813608</v>
      </c>
    </row>
    <row r="104" customFormat="false" ht="15" hidden="false" customHeight="false" outlineLevel="0" collapsed="false">
      <c r="A104" s="6" t="s">
        <v>157</v>
      </c>
      <c r="B104" s="8" t="n">
        <f aca="false">Quesería!$B$186</f>
        <v>0.421024376007229</v>
      </c>
      <c r="C104" s="39" t="n">
        <f aca="false">Quesería!$B$11</f>
        <v>0.25</v>
      </c>
    </row>
    <row r="105" customFormat="false" ht="15" hidden="false" customHeight="false" outlineLevel="0" collapsed="false">
      <c r="A105" s="6" t="s">
        <v>158</v>
      </c>
      <c r="B105" s="11" t="n">
        <f aca="false">Quesería!$B$183</f>
        <v>4.68240169042623</v>
      </c>
      <c r="C105" s="38" t="s">
        <v>159</v>
      </c>
    </row>
    <row r="106" customFormat="false" ht="15" hidden="false" customHeight="false" outlineLevel="0" collapsed="false">
      <c r="A106" s="6" t="s">
        <v>24</v>
      </c>
      <c r="B106" s="11" t="n">
        <f aca="false">Quesería!$B$184</f>
        <v>6.44100430962657</v>
      </c>
      <c r="C106" s="38" t="s">
        <v>159</v>
      </c>
    </row>
    <row r="107" customFormat="false" ht="15" hidden="false" customHeight="false" outlineLevel="0" collapsed="false">
      <c r="A107" s="6" t="s">
        <v>160</v>
      </c>
      <c r="B107" s="8" t="n">
        <f aca="false">Quesería!$B$185</f>
        <v>1.299692174336</v>
      </c>
    </row>
    <row r="108" customFormat="false" ht="15" hidden="false" customHeight="false" outlineLevel="0" collapsed="false">
      <c r="A108" s="6" t="s">
        <v>28</v>
      </c>
      <c r="B108" s="12" t="n">
        <f aca="false">Quesería!$B$189</f>
        <v>1.34356883281698</v>
      </c>
      <c r="C108" s="40" t="n">
        <v>1.2</v>
      </c>
    </row>
    <row r="109" customFormat="false" ht="15" hidden="false" customHeight="false" outlineLevel="0" collapsed="false">
      <c r="A109" s="6" t="s">
        <v>161</v>
      </c>
      <c r="B109" s="30" t="n">
        <f aca="false">Quesería!$B$190</f>
        <v>384.202816417845</v>
      </c>
    </row>
    <row r="111" customFormat="false" ht="15" hidden="false" customHeight="false" outlineLevel="0" collapsed="false">
      <c r="A111" s="3" t="s">
        <v>162</v>
      </c>
      <c r="B111" s="4"/>
      <c r="C111" s="4"/>
      <c r="D111" s="4"/>
      <c r="E111" s="4"/>
      <c r="F111" s="4"/>
      <c r="G111" s="4"/>
      <c r="H111" s="4"/>
      <c r="I111" s="4"/>
      <c r="J111" s="4"/>
      <c r="K111" s="4"/>
      <c r="L111" s="4"/>
    </row>
    <row r="112" customFormat="false" ht="43.5" hidden="false" customHeight="true" outlineLevel="0" collapsed="false">
      <c r="A112" s="23" t="s">
        <v>163</v>
      </c>
      <c r="B112" s="24" t="s">
        <v>164</v>
      </c>
      <c r="C112" s="24" t="s">
        <v>165</v>
      </c>
      <c r="D112" s="24" t="s">
        <v>166</v>
      </c>
      <c r="E112" s="24" t="s">
        <v>167</v>
      </c>
    </row>
    <row r="113" customFormat="false" ht="15" hidden="false" customHeight="false" outlineLevel="0" collapsed="false">
      <c r="A113" s="5" t="s">
        <v>153</v>
      </c>
      <c r="B113" s="30" t="n">
        <f aca="false">Escenarios!B37</f>
        <v>639.556697226745</v>
      </c>
      <c r="C113" s="8" t="n">
        <f aca="false">Escenarios!B35</f>
        <v>0.243271358090429</v>
      </c>
      <c r="D113" s="8" t="n">
        <f aca="false">Escenarios!B41</f>
        <v>0.421024376007229</v>
      </c>
      <c r="E113" s="12" t="n">
        <f aca="false">Escenarios!B43</f>
        <v>1.34356883281698</v>
      </c>
    </row>
    <row r="114" customFormat="false" ht="15" hidden="false" customHeight="false" outlineLevel="0" collapsed="false">
      <c r="A114" s="6" t="s">
        <v>168</v>
      </c>
      <c r="B114" s="25" t="n">
        <f aca="false">Escenarios!T37</f>
        <v>402.889457933148</v>
      </c>
      <c r="C114" s="34" t="n">
        <f aca="false">Escenarios!T35</f>
        <v>0.202916445064775</v>
      </c>
      <c r="D114" s="34" t="n">
        <f aca="false">Escenarios!T41</f>
        <v>0.301201101644771</v>
      </c>
      <c r="E114" s="37" t="n">
        <f aca="false">Escenarios!T43</f>
        <v>1.34356883281698</v>
      </c>
    </row>
    <row r="115" customFormat="false" ht="15" hidden="false" customHeight="false" outlineLevel="0" collapsed="false">
      <c r="A115" s="6" t="s">
        <v>169</v>
      </c>
      <c r="B115" s="25" t="n">
        <f aca="false">Escenarios!F37</f>
        <v>288.293552636858</v>
      </c>
      <c r="C115" s="34" t="n">
        <f aca="false">Escenarios!F35</f>
        <v>0.192860582664917</v>
      </c>
      <c r="D115" s="34" t="n">
        <f aca="false">Escenarios!F41</f>
        <v>0.308617756354727</v>
      </c>
      <c r="E115" s="37" t="n">
        <f aca="false">Escenarios!F43</f>
        <v>1.09206165078833</v>
      </c>
    </row>
    <row r="116" customFormat="false" ht="15" hidden="false" customHeight="false" outlineLevel="0" collapsed="false">
      <c r="A116" s="6" t="s">
        <v>170</v>
      </c>
      <c r="B116" s="25" t="n">
        <f aca="false">Escenarios!G37</f>
        <v>242.43743594704</v>
      </c>
      <c r="C116" s="34" t="n">
        <f aca="false">Escenarios!G35</f>
        <v>0.185637951893308</v>
      </c>
      <c r="D116" s="34" t="n">
        <f aca="false">Escenarios!G41</f>
        <v>0.289864895653218</v>
      </c>
      <c r="E116" s="37" t="n">
        <f aca="false">Escenarios!G43</f>
        <v>1.10379246098069</v>
      </c>
    </row>
    <row r="117" customFormat="false" ht="15" hidden="false" customHeight="false" outlineLevel="0" collapsed="false">
      <c r="A117" s="6" t="s">
        <v>171</v>
      </c>
      <c r="B117" s="25" t="n">
        <f aca="false">Escenarios!I37</f>
        <v>406.563061051664</v>
      </c>
      <c r="C117" s="34" t="n">
        <f aca="false">Escenarios!I35</f>
        <v>0.200287547406275</v>
      </c>
      <c r="D117" s="34" t="n">
        <f aca="false">Escenarios!I41</f>
        <v>0.323395774961866</v>
      </c>
      <c r="E117" s="37" t="n">
        <f aca="false">Escenarios!I43</f>
        <v>1.16192980547225</v>
      </c>
    </row>
    <row r="118" customFormat="false" ht="15" hidden="false" customHeight="false" outlineLevel="0" collapsed="false">
      <c r="A118" s="6" t="s">
        <v>172</v>
      </c>
      <c r="B118" s="25" t="n">
        <f aca="false">Escenarios!Y37</f>
        <v>286.189595655785</v>
      </c>
      <c r="C118" s="34" t="n">
        <f aca="false">Escenarios!Y35</f>
        <v>0.234932263833018</v>
      </c>
      <c r="D118" s="34" t="n">
        <f aca="false">Escenarios!Y41</f>
        <v>0.496640507160863</v>
      </c>
      <c r="E118" s="37" t="n">
        <f aca="false">Escenarios!Y43</f>
        <v>1.15934491900943</v>
      </c>
    </row>
    <row r="119" customFormat="false" ht="15" hidden="false" customHeight="false" outlineLevel="0" collapsed="false">
      <c r="A119" s="6" t="s">
        <v>173</v>
      </c>
      <c r="B119" s="25" t="n">
        <f aca="false">Escenarios!C37</f>
        <v>-361.213665546943</v>
      </c>
      <c r="C119" s="34" t="n">
        <f aca="false">Escenarios!C35</f>
        <v>0.100593891876478</v>
      </c>
      <c r="D119" s="34" t="n">
        <f aca="false">Escenarios!C41</f>
        <v>0.0936268404462679</v>
      </c>
      <c r="E119" s="37" t="n">
        <f aca="false">Escenarios!C43</f>
        <v>0.868048368442137</v>
      </c>
    </row>
    <row r="120" customFormat="false" ht="15" hidden="false" customHeight="false" outlineLevel="0" collapsed="false">
      <c r="A120" s="6" t="s">
        <v>174</v>
      </c>
      <c r="B120" s="25" t="n">
        <f aca="false">Escenarios!D37</f>
        <v>-340.708446867415</v>
      </c>
      <c r="C120" s="34" t="n">
        <f aca="false">Escenarios!D35</f>
        <v>0.0517128081309421</v>
      </c>
      <c r="D120" s="34" t="n">
        <f aca="false">Escenarios!D41</f>
        <v>-0.000659537606921579</v>
      </c>
      <c r="E120" s="37" t="n">
        <f aca="false">Escenarios!D43</f>
        <v>0.604444031794327</v>
      </c>
    </row>
    <row r="121" customFormat="false" ht="15" hidden="false" customHeight="false" outlineLevel="0" collapsed="false">
      <c r="A121" s="9" t="s">
        <v>175</v>
      </c>
    </row>
    <row r="123" customFormat="false" ht="15" hidden="false" customHeight="false" outlineLevel="0" collapsed="false">
      <c r="A123" s="3" t="s">
        <v>176</v>
      </c>
      <c r="B123" s="4"/>
      <c r="C123" s="4"/>
      <c r="D123" s="4"/>
      <c r="E123" s="4"/>
      <c r="F123" s="4"/>
      <c r="G123" s="4"/>
      <c r="H123" s="4"/>
      <c r="I123" s="4"/>
      <c r="J123" s="4"/>
      <c r="K123" s="4"/>
      <c r="L123" s="4"/>
    </row>
    <row r="124" customFormat="false" ht="15" hidden="false" customHeight="false" outlineLevel="0" collapsed="false">
      <c r="A124" s="6" t="s">
        <v>177</v>
      </c>
      <c r="B124" s="8" t="n">
        <f aca="false">Quesería!$B$44</f>
        <v>0.65</v>
      </c>
    </row>
    <row r="125" customFormat="false" ht="15" hidden="false" customHeight="false" outlineLevel="0" collapsed="false">
      <c r="A125" s="6" t="s">
        <v>178</v>
      </c>
      <c r="B125" s="8" t="n">
        <f aca="false">Quesería!$B$45</f>
        <v>0.141</v>
      </c>
    </row>
    <row r="126" customFormat="false" ht="15" hidden="false" customHeight="false" outlineLevel="0" collapsed="false">
      <c r="A126" s="6" t="s">
        <v>179</v>
      </c>
      <c r="B126" s="41" t="n">
        <f aca="false">Quesería!$B$46</f>
        <v>7</v>
      </c>
    </row>
    <row r="127" customFormat="false" ht="15" hidden="false" customHeight="false" outlineLevel="0" collapsed="false">
      <c r="A127" s="6" t="s">
        <v>180</v>
      </c>
      <c r="B127" s="8" t="n">
        <f aca="false">Quesería!$B$48</f>
        <v>0</v>
      </c>
    </row>
    <row r="128" customFormat="false" ht="15" hidden="false" customHeight="false" outlineLevel="0" collapsed="false">
      <c r="A128" s="6" t="s">
        <v>181</v>
      </c>
      <c r="B128" s="5" t="s">
        <v>182</v>
      </c>
    </row>
    <row r="129" customFormat="false" ht="15" hidden="false" customHeight="false" outlineLevel="0" collapsed="false">
      <c r="A129" s="6" t="s">
        <v>183</v>
      </c>
      <c r="B129" s="30" t="n">
        <f aca="false">Quesería!C149+Quesería!D149</f>
        <v>270.309241770289</v>
      </c>
    </row>
  </sheetData>
  <mergeCells count="4">
    <mergeCell ref="A7:D7"/>
    <mergeCell ref="E7:H7"/>
    <mergeCell ref="I7:L7"/>
    <mergeCell ref="A26:L26"/>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rowBreaks count="2" manualBreakCount="2">
    <brk id="42" man="true" max="16383" min="0"/>
    <brk id="98" man="true" max="16383" min="0"/>
  </rowBreak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4" min="2" style="0" width="11"/>
    <col collapsed="false" customWidth="true" hidden="false" outlineLevel="0" max="5" min="5" style="0" width="13"/>
    <col collapsed="false" customWidth="true" hidden="false" outlineLevel="0" max="7" min="6" style="0" width="11"/>
    <col collapsed="false" customWidth="true" hidden="false" outlineLevel="0" max="8" min="8" style="0" width="13"/>
    <col collapsed="false" customWidth="true" hidden="false" outlineLevel="0" max="9" min="9" style="0" width="11"/>
    <col collapsed="false" customWidth="true" hidden="false" outlineLevel="0" max="10" min="10" style="0" width="12"/>
    <col collapsed="false" customWidth="true" hidden="false" outlineLevel="0" max="13" min="11" style="0" width="11"/>
  </cols>
  <sheetData>
    <row r="1" customFormat="false" ht="17.35" hidden="false" customHeight="false" outlineLevel="0" collapsed="false">
      <c r="A1" s="42" t="s">
        <v>184</v>
      </c>
    </row>
    <row r="2" customFormat="false" ht="15" hidden="false" customHeight="false" outlineLevel="0" collapsed="false">
      <c r="A2" s="9" t="s">
        <v>185</v>
      </c>
    </row>
    <row r="4" customFormat="false" ht="15" hidden="false" customHeight="false" outlineLevel="0" collapsed="false">
      <c r="A4" s="3" t="s">
        <v>186</v>
      </c>
      <c r="B4" s="4"/>
      <c r="C4" s="4"/>
      <c r="D4" s="4"/>
      <c r="E4" s="4"/>
      <c r="F4" s="4"/>
      <c r="G4" s="4"/>
      <c r="H4" s="4"/>
      <c r="I4" s="4"/>
      <c r="J4" s="4"/>
      <c r="K4" s="4"/>
      <c r="L4" s="4"/>
    </row>
    <row r="5" customFormat="false" ht="23.85" hidden="false" customHeight="false" outlineLevel="0" collapsed="false">
      <c r="A5" s="23" t="s">
        <v>187</v>
      </c>
      <c r="B5" s="24" t="s">
        <v>188</v>
      </c>
      <c r="C5" s="24" t="s">
        <v>189</v>
      </c>
      <c r="D5" s="24" t="s">
        <v>190</v>
      </c>
    </row>
    <row r="6" customFormat="false" ht="15" hidden="false" customHeight="false" outlineLevel="0" collapsed="false">
      <c r="A6" s="43" t="s">
        <v>191</v>
      </c>
      <c r="B6" s="44"/>
      <c r="C6" s="44"/>
      <c r="D6" s="44"/>
    </row>
    <row r="7" customFormat="false" ht="15" hidden="false" customHeight="false" outlineLevel="0" collapsed="false">
      <c r="A7" s="6" t="s">
        <v>192</v>
      </c>
      <c r="B7" s="45" t="n">
        <v>1</v>
      </c>
      <c r="C7" s="9" t="s">
        <v>193</v>
      </c>
      <c r="D7" s="9" t="s">
        <v>194</v>
      </c>
    </row>
    <row r="8" customFormat="false" ht="15" hidden="false" customHeight="false" outlineLevel="0" collapsed="false">
      <c r="A8" s="6" t="s">
        <v>195</v>
      </c>
      <c r="B8" s="46" t="n">
        <v>0.16</v>
      </c>
      <c r="C8" s="9" t="s">
        <v>196</v>
      </c>
      <c r="D8" s="9" t="s">
        <v>197</v>
      </c>
    </row>
    <row r="9" customFormat="false" ht="15" hidden="false" customHeight="false" outlineLevel="0" collapsed="false">
      <c r="A9" s="6" t="s">
        <v>198</v>
      </c>
      <c r="B9" s="47" t="n">
        <f aca="false">$B$44*($B$45+$B$49*$B$51*1.19)*(1-$B$54)+(1-$B$44)*$B$11</f>
        <v>0.1470725</v>
      </c>
      <c r="C9" s="9" t="s">
        <v>196</v>
      </c>
      <c r="D9" s="9" t="s">
        <v>199</v>
      </c>
    </row>
    <row r="10" customFormat="false" ht="15" hidden="false" customHeight="false" outlineLevel="0" collapsed="false">
      <c r="A10" s="6" t="s">
        <v>18</v>
      </c>
      <c r="B10" s="34" t="n">
        <f aca="false">(1+$B$9)/(1+CHOOSE($B$7,Entorno!$M$7,Entorno!$M$8,Entorno!$M$9))-1</f>
        <v>0.0996090543813608</v>
      </c>
      <c r="C10" s="9" t="s">
        <v>196</v>
      </c>
      <c r="D10" s="9" t="s">
        <v>200</v>
      </c>
    </row>
    <row r="11" customFormat="false" ht="15" hidden="false" customHeight="false" outlineLevel="0" collapsed="false">
      <c r="A11" s="6" t="s">
        <v>201</v>
      </c>
      <c r="B11" s="46" t="n">
        <v>0.25</v>
      </c>
      <c r="C11" s="9" t="s">
        <v>196</v>
      </c>
      <c r="D11" s="9" t="s">
        <v>202</v>
      </c>
    </row>
    <row r="12" customFormat="false" ht="15" hidden="false" customHeight="false" outlineLevel="0" collapsed="false">
      <c r="A12" s="6" t="s">
        <v>203</v>
      </c>
      <c r="B12" s="34" t="n">
        <f aca="false">(1+$B$11)/(1+CHOOSE($B$7,Entorno!$M$7,Entorno!$M$8,Entorno!$M$9))-1</f>
        <v>0.198277631079728</v>
      </c>
      <c r="C12" s="9" t="s">
        <v>196</v>
      </c>
      <c r="D12" s="9" t="s">
        <v>204</v>
      </c>
    </row>
    <row r="13" customFormat="false" ht="15" hidden="false" customHeight="false" outlineLevel="0" collapsed="false">
      <c r="A13" s="43" t="s">
        <v>205</v>
      </c>
      <c r="B13" s="44"/>
      <c r="C13" s="44"/>
      <c r="D13" s="44"/>
    </row>
    <row r="14" customFormat="false" ht="15" hidden="false" customHeight="false" outlineLevel="0" collapsed="false">
      <c r="A14" s="6" t="s">
        <v>206</v>
      </c>
      <c r="B14" s="48" t="n">
        <v>9000</v>
      </c>
      <c r="C14" s="9" t="s">
        <v>207</v>
      </c>
      <c r="D14" s="9" t="s">
        <v>208</v>
      </c>
    </row>
    <row r="15" customFormat="false" ht="15" hidden="false" customHeight="false" outlineLevel="0" collapsed="false">
      <c r="A15" s="6" t="s">
        <v>209</v>
      </c>
      <c r="B15" s="48" t="n">
        <v>25000</v>
      </c>
      <c r="C15" s="9" t="s">
        <v>207</v>
      </c>
      <c r="D15" s="9" t="s">
        <v>210</v>
      </c>
    </row>
    <row r="16" customFormat="false" ht="15" hidden="false" customHeight="false" outlineLevel="0" collapsed="false">
      <c r="A16" s="6" t="s">
        <v>211</v>
      </c>
      <c r="B16" s="34" t="n">
        <f aca="false">$B$14/$B$15</f>
        <v>0.36</v>
      </c>
      <c r="C16" s="9" t="s">
        <v>196</v>
      </c>
      <c r="D16" s="9" t="s">
        <v>212</v>
      </c>
    </row>
    <row r="17" customFormat="false" ht="15" hidden="false" customHeight="false" outlineLevel="0" collapsed="false">
      <c r="A17" s="6" t="s">
        <v>213</v>
      </c>
      <c r="B17" s="48" t="n">
        <v>6772</v>
      </c>
      <c r="C17" s="9" t="s">
        <v>214</v>
      </c>
      <c r="D17" s="9" t="s">
        <v>215</v>
      </c>
    </row>
    <row r="18" customFormat="false" ht="15" hidden="false" customHeight="false" outlineLevel="0" collapsed="false">
      <c r="A18" s="6" t="s">
        <v>216</v>
      </c>
      <c r="B18" s="48" t="n">
        <v>30457</v>
      </c>
      <c r="C18" s="9" t="s">
        <v>214</v>
      </c>
      <c r="D18" s="9" t="s">
        <v>210</v>
      </c>
    </row>
    <row r="19" customFormat="false" ht="15" hidden="false" customHeight="false" outlineLevel="0" collapsed="false">
      <c r="A19" s="6" t="s">
        <v>217</v>
      </c>
      <c r="B19" s="34" t="n">
        <f aca="false">$B$17/$B$18</f>
        <v>0.22234625865975</v>
      </c>
      <c r="C19" s="9" t="s">
        <v>196</v>
      </c>
      <c r="D19" s="9" t="s">
        <v>218</v>
      </c>
    </row>
    <row r="20" customFormat="false" ht="15" hidden="false" customHeight="false" outlineLevel="0" collapsed="false">
      <c r="A20" s="6" t="s">
        <v>219</v>
      </c>
      <c r="B20" s="49" t="n">
        <v>0.75</v>
      </c>
      <c r="C20" s="9" t="s">
        <v>220</v>
      </c>
      <c r="D20" s="9" t="s">
        <v>221</v>
      </c>
    </row>
    <row r="21" customFormat="false" ht="15" hidden="false" customHeight="false" outlineLevel="0" collapsed="false">
      <c r="A21" s="6" t="s">
        <v>222</v>
      </c>
      <c r="B21" s="45" t="n">
        <v>8</v>
      </c>
      <c r="C21" s="9" t="s">
        <v>223</v>
      </c>
      <c r="D21" s="9" t="s">
        <v>224</v>
      </c>
    </row>
    <row r="22" customFormat="false" ht="15" hidden="false" customHeight="false" outlineLevel="0" collapsed="false">
      <c r="A22" s="6" t="s">
        <v>225</v>
      </c>
      <c r="B22" s="50" t="n">
        <v>36</v>
      </c>
      <c r="C22" s="9" t="s">
        <v>214</v>
      </c>
      <c r="D22" s="9" t="s">
        <v>226</v>
      </c>
    </row>
    <row r="23" customFormat="false" ht="15" hidden="false" customHeight="false" outlineLevel="0" collapsed="false">
      <c r="A23" s="6" t="s">
        <v>227</v>
      </c>
      <c r="B23" s="45" t="n">
        <v>3</v>
      </c>
      <c r="C23" s="9" t="s">
        <v>223</v>
      </c>
      <c r="D23" s="9" t="s">
        <v>228</v>
      </c>
    </row>
    <row r="24" customFormat="false" ht="15" hidden="false" customHeight="false" outlineLevel="0" collapsed="false">
      <c r="A24" s="6" t="s">
        <v>229</v>
      </c>
      <c r="B24" s="46" t="n">
        <v>0.3</v>
      </c>
      <c r="C24" s="9" t="s">
        <v>230</v>
      </c>
      <c r="D24" s="9" t="s">
        <v>231</v>
      </c>
    </row>
    <row r="25" customFormat="false" ht="15" hidden="false" customHeight="false" outlineLevel="0" collapsed="false">
      <c r="A25" s="43" t="s">
        <v>232</v>
      </c>
      <c r="B25" s="44"/>
      <c r="C25" s="44"/>
      <c r="D25" s="44"/>
    </row>
    <row r="26" customFormat="false" ht="15" hidden="false" customHeight="false" outlineLevel="0" collapsed="false">
      <c r="A26" s="6" t="s">
        <v>233</v>
      </c>
      <c r="B26" s="46" t="n">
        <v>0.05</v>
      </c>
      <c r="C26" s="9" t="s">
        <v>234</v>
      </c>
      <c r="D26" s="9" t="s">
        <v>235</v>
      </c>
    </row>
    <row r="27" customFormat="false" ht="15" hidden="false" customHeight="false" outlineLevel="0" collapsed="false">
      <c r="A27" s="6" t="s">
        <v>236</v>
      </c>
      <c r="B27" s="46" t="n">
        <v>0.1</v>
      </c>
      <c r="C27" s="9" t="s">
        <v>234</v>
      </c>
      <c r="D27" s="9" t="s">
        <v>237</v>
      </c>
    </row>
    <row r="28" customFormat="false" ht="15" hidden="false" customHeight="false" outlineLevel="0" collapsed="false">
      <c r="A28" s="6" t="s">
        <v>238</v>
      </c>
      <c r="B28" s="46" t="n">
        <v>0.15</v>
      </c>
      <c r="C28" s="9" t="s">
        <v>234</v>
      </c>
      <c r="D28" s="9" t="s">
        <v>239</v>
      </c>
    </row>
    <row r="29" customFormat="false" ht="15" hidden="false" customHeight="false" outlineLevel="0" collapsed="false">
      <c r="A29" s="6" t="s">
        <v>240</v>
      </c>
      <c r="B29" s="46" t="n">
        <v>0.25</v>
      </c>
      <c r="C29" s="9" t="s">
        <v>234</v>
      </c>
      <c r="D29" s="9" t="s">
        <v>241</v>
      </c>
    </row>
    <row r="30" customFormat="false" ht="15" hidden="false" customHeight="false" outlineLevel="0" collapsed="false">
      <c r="A30" s="6" t="s">
        <v>242</v>
      </c>
      <c r="B30" s="51" t="n">
        <v>10</v>
      </c>
      <c r="C30" s="9" t="s">
        <v>243</v>
      </c>
      <c r="D30" s="9" t="s">
        <v>244</v>
      </c>
    </row>
    <row r="31" customFormat="false" ht="15" hidden="false" customHeight="false" outlineLevel="0" collapsed="false">
      <c r="A31" s="6" t="s">
        <v>245</v>
      </c>
      <c r="B31" s="46" t="n">
        <v>0.03</v>
      </c>
      <c r="C31" s="9" t="s">
        <v>246</v>
      </c>
      <c r="D31" s="9" t="s">
        <v>247</v>
      </c>
    </row>
    <row r="32" customFormat="false" ht="15" hidden="false" customHeight="false" outlineLevel="0" collapsed="false">
      <c r="A32" s="6" t="s">
        <v>248</v>
      </c>
      <c r="B32" s="50" t="n">
        <v>13.6</v>
      </c>
      <c r="C32" s="9" t="s">
        <v>214</v>
      </c>
      <c r="D32" s="9" t="s">
        <v>249</v>
      </c>
    </row>
    <row r="33" customFormat="false" ht="15" hidden="false" customHeight="false" outlineLevel="0" collapsed="false">
      <c r="A33" s="6" t="s">
        <v>250</v>
      </c>
      <c r="B33" s="52" t="n">
        <v>0.0025</v>
      </c>
      <c r="C33" s="9" t="s">
        <v>246</v>
      </c>
      <c r="D33" s="9" t="s">
        <v>251</v>
      </c>
    </row>
    <row r="34" customFormat="false" ht="15" hidden="false" customHeight="false" outlineLevel="0" collapsed="false">
      <c r="A34" s="6" t="s">
        <v>252</v>
      </c>
      <c r="B34" s="46" t="n">
        <v>0.4</v>
      </c>
      <c r="C34" s="9" t="s">
        <v>253</v>
      </c>
      <c r="D34" s="9" t="s">
        <v>254</v>
      </c>
    </row>
    <row r="35" customFormat="false" ht="15" hidden="false" customHeight="false" outlineLevel="0" collapsed="false">
      <c r="A35" s="6" t="s">
        <v>255</v>
      </c>
      <c r="B35" s="46" t="n">
        <v>0.1</v>
      </c>
      <c r="C35" s="9" t="s">
        <v>256</v>
      </c>
      <c r="D35" s="9" t="s">
        <v>257</v>
      </c>
    </row>
    <row r="36" customFormat="false" ht="15" hidden="false" customHeight="false" outlineLevel="0" collapsed="false">
      <c r="A36" s="6" t="s">
        <v>258</v>
      </c>
      <c r="B36" s="46" t="n">
        <v>0.1</v>
      </c>
      <c r="C36" s="9" t="s">
        <v>259</v>
      </c>
      <c r="D36" s="9" t="s">
        <v>260</v>
      </c>
    </row>
    <row r="37" customFormat="false" ht="15" hidden="false" customHeight="false" outlineLevel="0" collapsed="false">
      <c r="A37" s="43" t="s">
        <v>261</v>
      </c>
      <c r="B37" s="44"/>
      <c r="C37" s="44"/>
      <c r="D37" s="44"/>
    </row>
    <row r="38" customFormat="false" ht="15" hidden="false" customHeight="false" outlineLevel="0" collapsed="false">
      <c r="A38" s="6" t="s">
        <v>262</v>
      </c>
      <c r="B38" s="51" t="n">
        <v>30</v>
      </c>
      <c r="C38" s="9" t="s">
        <v>263</v>
      </c>
      <c r="D38" s="9" t="s">
        <v>264</v>
      </c>
    </row>
    <row r="39" customFormat="false" ht="15" hidden="false" customHeight="false" outlineLevel="0" collapsed="false">
      <c r="A39" s="6" t="s">
        <v>265</v>
      </c>
      <c r="B39" s="51" t="n">
        <v>5</v>
      </c>
      <c r="C39" s="9" t="s">
        <v>263</v>
      </c>
      <c r="D39" s="9" t="s">
        <v>266</v>
      </c>
    </row>
    <row r="40" customFormat="false" ht="15" hidden="false" customHeight="false" outlineLevel="0" collapsed="false">
      <c r="A40" s="6" t="s">
        <v>267</v>
      </c>
      <c r="B40" s="46" t="n">
        <v>0.82</v>
      </c>
      <c r="C40" s="9" t="s">
        <v>196</v>
      </c>
      <c r="D40" s="9" t="s">
        <v>268</v>
      </c>
    </row>
    <row r="41" customFormat="false" ht="15" hidden="false" customHeight="false" outlineLevel="0" collapsed="false">
      <c r="A41" s="6" t="s">
        <v>269</v>
      </c>
      <c r="B41" s="46" t="n">
        <v>0.688</v>
      </c>
      <c r="C41" s="9" t="s">
        <v>196</v>
      </c>
      <c r="D41" s="9" t="s">
        <v>270</v>
      </c>
    </row>
    <row r="42" customFormat="false" ht="15" hidden="false" customHeight="false" outlineLevel="0" collapsed="false">
      <c r="A42" s="6" t="s">
        <v>271</v>
      </c>
      <c r="B42" s="51" t="n">
        <v>22</v>
      </c>
      <c r="C42" s="9" t="s">
        <v>263</v>
      </c>
      <c r="D42" s="9" t="s">
        <v>272</v>
      </c>
    </row>
    <row r="43" customFormat="false" ht="15" hidden="false" customHeight="false" outlineLevel="0" collapsed="false">
      <c r="A43" s="43" t="s">
        <v>176</v>
      </c>
      <c r="B43" s="44"/>
      <c r="C43" s="44"/>
      <c r="D43" s="44"/>
    </row>
    <row r="44" customFormat="false" ht="15" hidden="false" customHeight="false" outlineLevel="0" collapsed="false">
      <c r="A44" s="6" t="s">
        <v>273</v>
      </c>
      <c r="B44" s="46" t="n">
        <v>0.65</v>
      </c>
      <c r="C44" s="9" t="s">
        <v>196</v>
      </c>
      <c r="D44" s="9" t="s">
        <v>274</v>
      </c>
    </row>
    <row r="45" customFormat="false" ht="15" hidden="false" customHeight="false" outlineLevel="0" collapsed="false">
      <c r="A45" s="6" t="s">
        <v>275</v>
      </c>
      <c r="B45" s="49" t="n">
        <v>0.141</v>
      </c>
      <c r="C45" s="9" t="s">
        <v>196</v>
      </c>
      <c r="D45" s="9" t="s">
        <v>276</v>
      </c>
    </row>
    <row r="46" customFormat="false" ht="15" hidden="false" customHeight="false" outlineLevel="0" collapsed="false">
      <c r="A46" s="6" t="s">
        <v>277</v>
      </c>
      <c r="B46" s="51" t="n">
        <v>7</v>
      </c>
      <c r="C46" s="9" t="s">
        <v>243</v>
      </c>
      <c r="D46" s="9" t="s">
        <v>278</v>
      </c>
    </row>
    <row r="47" customFormat="false" ht="15" hidden="false" customHeight="false" outlineLevel="0" collapsed="false">
      <c r="A47" s="6" t="s">
        <v>279</v>
      </c>
      <c r="B47" s="51" t="n">
        <v>1</v>
      </c>
      <c r="C47" s="9" t="s">
        <v>243</v>
      </c>
      <c r="D47" s="9" t="s">
        <v>280</v>
      </c>
    </row>
    <row r="48" customFormat="false" ht="15" hidden="false" customHeight="false" outlineLevel="0" collapsed="false">
      <c r="A48" s="6" t="s">
        <v>281</v>
      </c>
      <c r="B48" s="46" t="n">
        <v>0</v>
      </c>
      <c r="C48" s="9" t="s">
        <v>196</v>
      </c>
      <c r="D48" s="9" t="s">
        <v>282</v>
      </c>
    </row>
    <row r="49" customFormat="false" ht="15" hidden="false" customHeight="false" outlineLevel="0" collapsed="false">
      <c r="A49" s="6" t="s">
        <v>283</v>
      </c>
      <c r="B49" s="45" t="n">
        <v>0</v>
      </c>
      <c r="C49" s="9" t="s">
        <v>284</v>
      </c>
      <c r="D49" s="9" t="s">
        <v>285</v>
      </c>
    </row>
    <row r="50" customFormat="false" ht="15" hidden="false" customHeight="false" outlineLevel="0" collapsed="false">
      <c r="A50" s="6" t="s">
        <v>286</v>
      </c>
      <c r="B50" s="50" t="n">
        <v>4</v>
      </c>
      <c r="C50" s="9" t="s">
        <v>130</v>
      </c>
      <c r="D50" s="9" t="s">
        <v>287</v>
      </c>
    </row>
    <row r="51" customFormat="false" ht="15" hidden="false" customHeight="false" outlineLevel="0" collapsed="false">
      <c r="A51" s="6" t="s">
        <v>288</v>
      </c>
      <c r="B51" s="52" t="n">
        <v>0.0199</v>
      </c>
      <c r="C51" s="9" t="s">
        <v>289</v>
      </c>
      <c r="D51" s="9" t="s">
        <v>290</v>
      </c>
    </row>
    <row r="52" customFormat="false" ht="15" hidden="false" customHeight="false" outlineLevel="0" collapsed="false">
      <c r="A52" s="6" t="s">
        <v>291</v>
      </c>
      <c r="B52" s="52" t="n">
        <v>0.004</v>
      </c>
      <c r="C52" s="9" t="s">
        <v>292</v>
      </c>
      <c r="D52" s="9" t="s">
        <v>293</v>
      </c>
    </row>
    <row r="53" customFormat="false" ht="15" hidden="false" customHeight="false" outlineLevel="0" collapsed="false">
      <c r="A53" s="43" t="s">
        <v>294</v>
      </c>
      <c r="B53" s="44"/>
      <c r="C53" s="44"/>
      <c r="D53" s="44"/>
    </row>
    <row r="54" customFormat="false" ht="15" hidden="false" customHeight="false" outlineLevel="0" collapsed="false">
      <c r="A54" s="6" t="s">
        <v>295</v>
      </c>
      <c r="B54" s="46" t="n">
        <v>0.35</v>
      </c>
      <c r="C54" s="9" t="s">
        <v>196</v>
      </c>
      <c r="D54" s="9" t="s">
        <v>296</v>
      </c>
    </row>
    <row r="55" customFormat="false" ht="15" hidden="false" customHeight="false" outlineLevel="0" collapsed="false">
      <c r="A55" s="6" t="s">
        <v>297</v>
      </c>
      <c r="B55" s="46" t="n">
        <v>0.19</v>
      </c>
      <c r="C55" s="9" t="s">
        <v>196</v>
      </c>
      <c r="D55" s="9" t="s">
        <v>298</v>
      </c>
    </row>
    <row r="56" customFormat="false" ht="15" hidden="false" customHeight="false" outlineLevel="0" collapsed="false">
      <c r="A56" s="6" t="s">
        <v>299</v>
      </c>
      <c r="B56" s="46" t="n">
        <v>0.25</v>
      </c>
      <c r="C56" s="9" t="s">
        <v>300</v>
      </c>
      <c r="D56" s="9" t="s">
        <v>301</v>
      </c>
    </row>
    <row r="57" customFormat="false" ht="15" hidden="false" customHeight="false" outlineLevel="0" collapsed="false">
      <c r="A57" s="6" t="s">
        <v>302</v>
      </c>
      <c r="B57" s="46" t="n">
        <v>0.25</v>
      </c>
      <c r="C57" s="9" t="s">
        <v>303</v>
      </c>
      <c r="D57" s="9" t="s">
        <v>304</v>
      </c>
    </row>
    <row r="58" customFormat="false" ht="15" hidden="false" customHeight="false" outlineLevel="0" collapsed="false">
      <c r="A58" s="6" t="s">
        <v>305</v>
      </c>
      <c r="B58" s="48" t="n">
        <v>334</v>
      </c>
      <c r="C58" s="9" t="s">
        <v>214</v>
      </c>
      <c r="D58" s="9" t="s">
        <v>306</v>
      </c>
    </row>
    <row r="59" customFormat="false" ht="15" hidden="false" customHeight="false" outlineLevel="0" collapsed="false">
      <c r="A59" s="6" t="s">
        <v>307</v>
      </c>
      <c r="B59" s="45" t="n">
        <v>1</v>
      </c>
      <c r="C59" s="9" t="s">
        <v>284</v>
      </c>
      <c r="D59" s="9" t="s">
        <v>308</v>
      </c>
    </row>
    <row r="60" customFormat="false" ht="15" hidden="false" customHeight="false" outlineLevel="0" collapsed="false">
      <c r="A60" s="6" t="s">
        <v>309</v>
      </c>
      <c r="B60" s="49" t="n">
        <v>0.5</v>
      </c>
      <c r="C60" s="9" t="s">
        <v>300</v>
      </c>
      <c r="D60" s="9" t="s">
        <v>310</v>
      </c>
    </row>
    <row r="61" customFormat="false" ht="15" hidden="false" customHeight="false" outlineLevel="0" collapsed="false">
      <c r="A61" s="43" t="s">
        <v>311</v>
      </c>
      <c r="B61" s="44"/>
      <c r="C61" s="44"/>
      <c r="D61" s="44"/>
    </row>
    <row r="62" customFormat="false" ht="15" hidden="false" customHeight="false" outlineLevel="0" collapsed="false">
      <c r="A62" s="6" t="s">
        <v>312</v>
      </c>
      <c r="B62" s="46" t="n">
        <v>1</v>
      </c>
      <c r="C62" s="9" t="s">
        <v>313</v>
      </c>
      <c r="D62" s="9" t="s">
        <v>314</v>
      </c>
    </row>
    <row r="63" customFormat="false" ht="15" hidden="false" customHeight="false" outlineLevel="0" collapsed="false">
      <c r="A63" s="6" t="s">
        <v>315</v>
      </c>
      <c r="B63" s="46" t="n">
        <v>1</v>
      </c>
      <c r="C63" s="9" t="s">
        <v>313</v>
      </c>
      <c r="D63" s="9" t="s">
        <v>316</v>
      </c>
    </row>
    <row r="64" customFormat="false" ht="15" hidden="false" customHeight="false" outlineLevel="0" collapsed="false">
      <c r="A64" s="6" t="s">
        <v>317</v>
      </c>
      <c r="B64" s="46" t="n">
        <v>0.75</v>
      </c>
      <c r="C64" s="9" t="s">
        <v>313</v>
      </c>
      <c r="D64" s="9" t="s">
        <v>318</v>
      </c>
    </row>
    <row r="65" customFormat="false" ht="15" hidden="false" customHeight="false" outlineLevel="0" collapsed="false">
      <c r="A65" s="6" t="s">
        <v>319</v>
      </c>
      <c r="B65" s="46" t="n">
        <v>0.5</v>
      </c>
      <c r="C65" s="9" t="s">
        <v>313</v>
      </c>
      <c r="D65" s="9" t="s">
        <v>320</v>
      </c>
    </row>
    <row r="66" customFormat="false" ht="15" hidden="false" customHeight="false" outlineLevel="0" collapsed="false">
      <c r="A66" s="6" t="s">
        <v>321</v>
      </c>
      <c r="B66" s="46" t="n">
        <v>0</v>
      </c>
      <c r="C66" s="9" t="s">
        <v>313</v>
      </c>
      <c r="D66" s="9" t="s">
        <v>322</v>
      </c>
    </row>
    <row r="68" customFormat="false" ht="15" hidden="false" customHeight="false" outlineLevel="0" collapsed="false">
      <c r="A68" s="3" t="s">
        <v>323</v>
      </c>
      <c r="B68" s="4"/>
      <c r="C68" s="4"/>
      <c r="D68" s="4"/>
      <c r="E68" s="4"/>
      <c r="F68" s="4"/>
      <c r="G68" s="4"/>
      <c r="H68" s="4"/>
      <c r="I68" s="4"/>
      <c r="J68" s="4"/>
      <c r="K68" s="4"/>
      <c r="L68" s="4"/>
    </row>
    <row r="69" customFormat="false" ht="30" hidden="false" customHeight="true" outlineLevel="0" collapsed="false">
      <c r="A69" s="23" t="s">
        <v>324</v>
      </c>
      <c r="B69" s="24" t="s">
        <v>110</v>
      </c>
      <c r="C69" s="24" t="s">
        <v>325</v>
      </c>
      <c r="D69" s="24" t="s">
        <v>326</v>
      </c>
      <c r="E69" s="24" t="s">
        <v>327</v>
      </c>
      <c r="F69" s="24" t="s">
        <v>43</v>
      </c>
      <c r="G69" s="24" t="s">
        <v>328</v>
      </c>
      <c r="H69" s="24" t="s">
        <v>329</v>
      </c>
      <c r="I69" s="24" t="s">
        <v>330</v>
      </c>
      <c r="J69" s="24" t="s">
        <v>331</v>
      </c>
      <c r="K69" s="24" t="s">
        <v>332</v>
      </c>
    </row>
    <row r="70" customFormat="false" ht="15" hidden="false" customHeight="false" outlineLevel="0" collapsed="false">
      <c r="A70" s="6" t="s">
        <v>333</v>
      </c>
      <c r="B70" s="53" t="n">
        <v>0</v>
      </c>
      <c r="C70" s="53" t="n">
        <v>0</v>
      </c>
      <c r="D70" s="25" t="n">
        <f aca="false">BOM!$F$72</f>
        <v>56.872527971</v>
      </c>
      <c r="E70" s="34" t="n">
        <f aca="false">BOM!$H$72</f>
        <v>0.36</v>
      </c>
      <c r="F70" s="25" t="n">
        <f aca="false">D70*E70</f>
        <v>20.47411006956</v>
      </c>
      <c r="G70" s="53" t="n">
        <v>0</v>
      </c>
      <c r="H70" s="33" t="n">
        <f aca="false">ROUND(BOM!$G$72,0)</f>
        <v>4</v>
      </c>
      <c r="I70" s="34" t="n">
        <f aca="false">BOM!$J$72</f>
        <v>0.21827576485487</v>
      </c>
      <c r="J70" s="53" t="n">
        <v>0</v>
      </c>
      <c r="K70" s="53" t="n">
        <v>0</v>
      </c>
    </row>
    <row r="71" customFormat="false" ht="15" hidden="false" customHeight="false" outlineLevel="0" collapsed="false">
      <c r="A71" s="6" t="s">
        <v>334</v>
      </c>
      <c r="B71" s="53" t="n">
        <v>1</v>
      </c>
      <c r="C71" s="53" t="n">
        <v>0</v>
      </c>
      <c r="D71" s="25" t="n">
        <f aca="false">BOM!$F$73</f>
        <v>267.509653045577</v>
      </c>
      <c r="E71" s="34" t="n">
        <f aca="false">BOM!$H$73</f>
        <v>1</v>
      </c>
      <c r="F71" s="25" t="n">
        <f aca="false">D71*E71</f>
        <v>267.509653045577</v>
      </c>
      <c r="G71" s="53" t="n">
        <v>1</v>
      </c>
      <c r="H71" s="33" t="n">
        <f aca="false">ROUND(BOM!$G$73,0)</f>
        <v>3</v>
      </c>
      <c r="I71" s="34" t="n">
        <f aca="false">BOM!$J$73</f>
        <v>0.182293239181008</v>
      </c>
      <c r="J71" s="53" t="n">
        <v>10</v>
      </c>
      <c r="K71" s="53" t="n">
        <v>1</v>
      </c>
    </row>
    <row r="72" customFormat="false" ht="15" hidden="false" customHeight="false" outlineLevel="0" collapsed="false">
      <c r="A72" s="6" t="s">
        <v>335</v>
      </c>
      <c r="B72" s="53" t="n">
        <v>1</v>
      </c>
      <c r="C72" s="53" t="n">
        <v>0</v>
      </c>
      <c r="D72" s="25" t="n">
        <f aca="false">BOM!$F$74</f>
        <v>47.746860805791</v>
      </c>
      <c r="E72" s="34" t="n">
        <f aca="false">BOM!$H$74</f>
        <v>1</v>
      </c>
      <c r="F72" s="25" t="n">
        <f aca="false">D72*E72</f>
        <v>47.746860805791</v>
      </c>
      <c r="G72" s="53" t="n">
        <v>1</v>
      </c>
      <c r="H72" s="33" t="n">
        <f aca="false">ROUND(BOM!$G$74,0)</f>
        <v>2</v>
      </c>
      <c r="I72" s="34" t="n">
        <f aca="false">BOM!$J$74</f>
        <v>0.135038542396636</v>
      </c>
      <c r="J72" s="53" t="n">
        <v>10</v>
      </c>
      <c r="K72" s="53" t="n">
        <v>0</v>
      </c>
    </row>
    <row r="73" customFormat="false" ht="15" hidden="false" customHeight="false" outlineLevel="0" collapsed="false">
      <c r="A73" s="6" t="s">
        <v>336</v>
      </c>
      <c r="B73" s="53" t="n">
        <v>1</v>
      </c>
      <c r="C73" s="53" t="n">
        <v>0</v>
      </c>
      <c r="D73" s="25" t="n">
        <f aca="false">BOM!$F$75</f>
        <v>33.1788639</v>
      </c>
      <c r="E73" s="34" t="n">
        <f aca="false">BOM!$H$75</f>
        <v>1</v>
      </c>
      <c r="F73" s="25" t="n">
        <f aca="false">D73*E73</f>
        <v>33.1788639</v>
      </c>
      <c r="G73" s="53" t="n">
        <v>1</v>
      </c>
      <c r="H73" s="33" t="n">
        <f aca="false">ROUND(BOM!$G$75,0)</f>
        <v>2</v>
      </c>
      <c r="I73" s="34" t="n">
        <f aca="false">BOM!$J$75</f>
        <v>0.1</v>
      </c>
      <c r="J73" s="53" t="n">
        <v>10</v>
      </c>
      <c r="K73" s="53" t="n">
        <v>0</v>
      </c>
    </row>
    <row r="74" customFormat="false" ht="15" hidden="false" customHeight="false" outlineLevel="0" collapsed="false">
      <c r="A74" s="6" t="s">
        <v>337</v>
      </c>
      <c r="B74" s="53" t="n">
        <v>1</v>
      </c>
      <c r="C74" s="53" t="n">
        <v>0</v>
      </c>
      <c r="D74" s="25" t="n">
        <f aca="false">BOM!$F$76</f>
        <v>129.98093385</v>
      </c>
      <c r="E74" s="34" t="n">
        <f aca="false">BOM!$H$76</f>
        <v>0.36</v>
      </c>
      <c r="F74" s="25" t="n">
        <f aca="false">D74*E74</f>
        <v>46.793136186</v>
      </c>
      <c r="G74" s="53" t="n">
        <v>1</v>
      </c>
      <c r="H74" s="33" t="n">
        <f aca="false">ROUND(BOM!$G$76,0)</f>
        <v>4</v>
      </c>
      <c r="I74" s="34" t="n">
        <f aca="false">BOM!$J$76</f>
        <v>0.25</v>
      </c>
      <c r="J74" s="53" t="n">
        <v>10</v>
      </c>
      <c r="K74" s="53" t="n">
        <v>0</v>
      </c>
    </row>
    <row r="75" customFormat="false" ht="15" hidden="false" customHeight="false" outlineLevel="0" collapsed="false">
      <c r="A75" s="6" t="s">
        <v>338</v>
      </c>
      <c r="B75" s="53" t="n">
        <v>1</v>
      </c>
      <c r="C75" s="53" t="n">
        <v>0</v>
      </c>
      <c r="D75" s="25" t="n">
        <f aca="false">BOM!$F$77</f>
        <v>130.792130937844</v>
      </c>
      <c r="E75" s="34" t="n">
        <f aca="false">BOM!$H$77</f>
        <v>0.524978396481776</v>
      </c>
      <c r="F75" s="25" t="n">
        <f aca="false">D75*E75</f>
        <v>68.6630431721838</v>
      </c>
      <c r="G75" s="53" t="n">
        <v>1</v>
      </c>
      <c r="H75" s="33" t="n">
        <f aca="false">ROUND(BOM!$G$77,0)</f>
        <v>3</v>
      </c>
      <c r="I75" s="34" t="n">
        <f aca="false">BOM!$J$77</f>
        <v>0.149754006701615</v>
      </c>
      <c r="J75" s="53" t="n">
        <v>5</v>
      </c>
      <c r="K75" s="53" t="n">
        <v>1</v>
      </c>
    </row>
    <row r="76" customFormat="false" ht="15" hidden="false" customHeight="false" outlineLevel="0" collapsed="false">
      <c r="A76" s="6" t="s">
        <v>339</v>
      </c>
      <c r="B76" s="53" t="n">
        <v>1</v>
      </c>
      <c r="C76" s="53" t="n">
        <v>0</v>
      </c>
      <c r="D76" s="25" t="n">
        <f aca="false">IntegraMotion!$C$149</f>
        <v>162.405063246097</v>
      </c>
      <c r="E76" s="46" t="n">
        <v>1</v>
      </c>
      <c r="F76" s="25" t="n">
        <f aca="false">D76*E76</f>
        <v>162.405063246097</v>
      </c>
      <c r="G76" s="53" t="n">
        <v>0</v>
      </c>
      <c r="H76" s="53" t="n">
        <v>1</v>
      </c>
      <c r="I76" s="34" t="n">
        <f aca="false">CHOOSE(H76,$B$26,$B$27,$B$28,$B$29)</f>
        <v>0.05</v>
      </c>
      <c r="J76" s="53" t="n">
        <v>10</v>
      </c>
      <c r="K76" s="53" t="n">
        <v>1</v>
      </c>
    </row>
    <row r="77" customFormat="false" ht="15" hidden="false" customHeight="false" outlineLevel="0" collapsed="false">
      <c r="A77" s="6" t="s">
        <v>340</v>
      </c>
      <c r="B77" s="53" t="n">
        <v>1</v>
      </c>
      <c r="C77" s="53" t="n">
        <v>0</v>
      </c>
      <c r="D77" s="25" t="n">
        <f aca="false">IntegraMotion!$B$149</f>
        <v>37.1472181651973</v>
      </c>
      <c r="E77" s="46" t="n">
        <v>1</v>
      </c>
      <c r="F77" s="25" t="n">
        <f aca="false">D77*E77</f>
        <v>37.1472181651973</v>
      </c>
      <c r="G77" s="53" t="n">
        <v>0</v>
      </c>
      <c r="H77" s="53" t="n">
        <v>1</v>
      </c>
      <c r="I77" s="34" t="n">
        <f aca="false">CHOOSE(H77,$B$26,$B$27,$B$28,$B$29)</f>
        <v>0.05</v>
      </c>
      <c r="J77" s="53" t="n">
        <v>0</v>
      </c>
      <c r="K77" s="53" t="n">
        <v>0</v>
      </c>
    </row>
    <row r="78" customFormat="false" ht="15" hidden="false" customHeight="false" outlineLevel="0" collapsed="false">
      <c r="A78" s="6" t="s">
        <v>341</v>
      </c>
      <c r="B78" s="53" t="n">
        <v>1</v>
      </c>
      <c r="C78" s="53" t="n">
        <v>0</v>
      </c>
      <c r="D78" s="25" t="n">
        <f aca="false">(IntegraMotion!$D$149+IntegraMotion!$E$149)</f>
        <v>23.8411659548278</v>
      </c>
      <c r="E78" s="46" t="n">
        <v>1</v>
      </c>
      <c r="F78" s="25" t="n">
        <f aca="false">D78*E78</f>
        <v>23.8411659548278</v>
      </c>
      <c r="G78" s="53" t="n">
        <v>0</v>
      </c>
      <c r="H78" s="53" t="n">
        <v>1</v>
      </c>
      <c r="I78" s="34" t="n">
        <f aca="false">CHOOSE(H78,$B$26,$B$27,$B$28,$B$29)</f>
        <v>0.05</v>
      </c>
      <c r="J78" s="53" t="n">
        <v>0</v>
      </c>
      <c r="K78" s="53" t="n">
        <v>0</v>
      </c>
    </row>
    <row r="79" customFormat="false" ht="15" hidden="false" customHeight="false" outlineLevel="0" collapsed="false">
      <c r="A79" s="6" t="s">
        <v>342</v>
      </c>
      <c r="B79" s="53" t="n">
        <v>1</v>
      </c>
      <c r="C79" s="53" t="n">
        <v>0</v>
      </c>
      <c r="D79" s="25" t="n">
        <f aca="false">IntegraMotion!$D$235*Entorno!$B$14</f>
        <v>66.5627110152616</v>
      </c>
      <c r="E79" s="46" t="n">
        <v>1</v>
      </c>
      <c r="F79" s="25" t="n">
        <f aca="false">D79*E79</f>
        <v>66.5627110152616</v>
      </c>
      <c r="G79" s="53" t="n">
        <v>0</v>
      </c>
      <c r="H79" s="53" t="n">
        <v>1</v>
      </c>
      <c r="I79" s="34" t="n">
        <f aca="false">CHOOSE(H79,$B$26,$B$27,$B$28,$B$29)</f>
        <v>0.05</v>
      </c>
      <c r="J79" s="53" t="n">
        <v>10</v>
      </c>
      <c r="K79" s="53" t="n">
        <v>1</v>
      </c>
    </row>
    <row r="80" customFormat="false" ht="15" hidden="false" customHeight="false" outlineLevel="0" collapsed="false">
      <c r="A80" s="6" t="s">
        <v>343</v>
      </c>
      <c r="B80" s="53" t="n">
        <v>1</v>
      </c>
      <c r="C80" s="53" t="n">
        <v>0</v>
      </c>
      <c r="D80" s="50" t="n">
        <v>25</v>
      </c>
      <c r="E80" s="46" t="n">
        <v>1</v>
      </c>
      <c r="F80" s="25" t="n">
        <f aca="false">D80*E80</f>
        <v>25</v>
      </c>
      <c r="G80" s="53" t="n">
        <v>0</v>
      </c>
      <c r="H80" s="53" t="n">
        <v>4</v>
      </c>
      <c r="I80" s="34" t="n">
        <f aca="false">CHOOSE(H80,$B$26,$B$27,$B$28,$B$29)</f>
        <v>0.25</v>
      </c>
      <c r="J80" s="53" t="n">
        <v>0</v>
      </c>
      <c r="K80" s="53" t="n">
        <v>0</v>
      </c>
    </row>
    <row r="81" customFormat="false" ht="15" hidden="false" customHeight="false" outlineLevel="0" collapsed="false">
      <c r="A81" s="6" t="s">
        <v>344</v>
      </c>
      <c r="B81" s="53" t="n">
        <v>1</v>
      </c>
      <c r="C81" s="53" t="n">
        <v>0</v>
      </c>
      <c r="D81" s="25" t="n">
        <f aca="false">20/3</f>
        <v>6.66666666666667</v>
      </c>
      <c r="E81" s="46" t="n">
        <v>1</v>
      </c>
      <c r="F81" s="25" t="n">
        <f aca="false">D81*E81</f>
        <v>6.66666666666667</v>
      </c>
      <c r="G81" s="53" t="n">
        <v>0</v>
      </c>
      <c r="H81" s="53" t="n">
        <v>1</v>
      </c>
      <c r="I81" s="34" t="n">
        <f aca="false">CHOOSE(H81,$B$26,$B$27,$B$28,$B$29)</f>
        <v>0.05</v>
      </c>
      <c r="J81" s="53" t="n">
        <v>0</v>
      </c>
      <c r="K81" s="53" t="n">
        <v>0</v>
      </c>
    </row>
    <row r="82" customFormat="false" ht="15" hidden="false" customHeight="false" outlineLevel="0" collapsed="false">
      <c r="A82" s="6" t="s">
        <v>345</v>
      </c>
      <c r="B82" s="53" t="n">
        <v>1</v>
      </c>
      <c r="C82" s="53" t="n">
        <v>0</v>
      </c>
      <c r="D82" s="50" t="n">
        <v>15</v>
      </c>
      <c r="E82" s="46" t="n">
        <v>1</v>
      </c>
      <c r="F82" s="25" t="n">
        <f aca="false">D82*E82</f>
        <v>15</v>
      </c>
      <c r="G82" s="53" t="n">
        <v>0</v>
      </c>
      <c r="H82" s="53" t="n">
        <v>4</v>
      </c>
      <c r="I82" s="34" t="n">
        <f aca="false">CHOOSE(H82,$B$26,$B$27,$B$28,$B$29)</f>
        <v>0.25</v>
      </c>
      <c r="J82" s="53" t="n">
        <v>0</v>
      </c>
      <c r="K82" s="53" t="n">
        <v>1</v>
      </c>
    </row>
    <row r="83" customFormat="false" ht="15" hidden="false" customHeight="false" outlineLevel="0" collapsed="false">
      <c r="A83" s="6" t="s">
        <v>346</v>
      </c>
      <c r="B83" s="53" t="n">
        <v>1</v>
      </c>
      <c r="C83" s="53" t="n">
        <v>0</v>
      </c>
      <c r="D83" s="25" t="n">
        <f aca="false">SUMPRODUCT(F70:F82,I70:I82)</f>
        <v>109.811747204514</v>
      </c>
      <c r="E83" s="46" t="n">
        <v>1</v>
      </c>
      <c r="F83" s="25" t="n">
        <f aca="false">D83*E83</f>
        <v>109.811747204514</v>
      </c>
      <c r="G83" s="53" t="n">
        <v>0</v>
      </c>
      <c r="K83" s="53" t="n">
        <v>0</v>
      </c>
    </row>
    <row r="84" customFormat="false" ht="15" hidden="false" customHeight="false" outlineLevel="0" collapsed="false">
      <c r="A84" s="6" t="s">
        <v>347</v>
      </c>
      <c r="B84" s="53" t="n">
        <v>2</v>
      </c>
      <c r="C84" s="53" t="n">
        <v>1</v>
      </c>
      <c r="D84" s="25" t="n">
        <f aca="false">BOM!$F$78</f>
        <v>322.6</v>
      </c>
      <c r="E84" s="34" t="n">
        <f aca="false">BOM!$H$78</f>
        <v>1</v>
      </c>
      <c r="F84" s="25" t="n">
        <f aca="false">D84*E84</f>
        <v>322.6</v>
      </c>
      <c r="G84" s="53" t="n">
        <v>1</v>
      </c>
      <c r="H84" s="33" t="n">
        <f aca="false">ROUND(BOM!$G$78,0)</f>
        <v>3</v>
      </c>
      <c r="I84" s="34" t="n">
        <f aca="false">BOM!$J$78</f>
        <v>0.15</v>
      </c>
      <c r="J84" s="53" t="n">
        <v>10</v>
      </c>
      <c r="K84" s="53" t="n">
        <v>0</v>
      </c>
    </row>
    <row r="85" customFormat="false" ht="15" hidden="false" customHeight="false" outlineLevel="0" collapsed="false">
      <c r="A85" s="6" t="s">
        <v>348</v>
      </c>
      <c r="B85" s="53" t="n">
        <v>2</v>
      </c>
      <c r="C85" s="53" t="n">
        <v>1</v>
      </c>
      <c r="D85" s="25" t="n">
        <f aca="false">BOM!$F$79</f>
        <v>106.666666666667</v>
      </c>
      <c r="E85" s="34" t="n">
        <f aca="false">BOM!$H$79</f>
        <v>1</v>
      </c>
      <c r="F85" s="25" t="n">
        <f aca="false">D85*E85</f>
        <v>106.666666666667</v>
      </c>
      <c r="G85" s="53" t="n">
        <v>1</v>
      </c>
      <c r="H85" s="33" t="n">
        <f aca="false">ROUND(BOM!$G$79,0)</f>
        <v>3</v>
      </c>
      <c r="I85" s="34" t="n">
        <f aca="false">BOM!$J$79</f>
        <v>0.15</v>
      </c>
      <c r="J85" s="53" t="n">
        <v>10</v>
      </c>
      <c r="K85" s="53" t="n">
        <v>0</v>
      </c>
    </row>
    <row r="86" customFormat="false" ht="15" hidden="false" customHeight="false" outlineLevel="0" collapsed="false">
      <c r="A86" s="6" t="s">
        <v>349</v>
      </c>
      <c r="B86" s="53" t="n">
        <v>2</v>
      </c>
      <c r="C86" s="53" t="n">
        <v>1</v>
      </c>
      <c r="D86" s="25" t="n">
        <f aca="false">BOM!$F$80</f>
        <v>80</v>
      </c>
      <c r="E86" s="34" t="n">
        <v>0</v>
      </c>
      <c r="F86" s="25" t="n">
        <f aca="false">D86*E86</f>
        <v>0</v>
      </c>
      <c r="G86" s="53" t="n">
        <v>1</v>
      </c>
      <c r="H86" s="33" t="n">
        <f aca="false">ROUND(BOM!$G$80,0)</f>
        <v>4</v>
      </c>
      <c r="I86" s="34" t="n">
        <f aca="false">BOM!$J$80</f>
        <v>0.25</v>
      </c>
      <c r="J86" s="53" t="n">
        <v>10</v>
      </c>
      <c r="K86" s="53" t="n">
        <v>0</v>
      </c>
    </row>
    <row r="87" customFormat="false" ht="15" hidden="false" customHeight="false" outlineLevel="0" collapsed="false">
      <c r="A87" s="6" t="s">
        <v>350</v>
      </c>
      <c r="B87" s="53" t="n">
        <v>2</v>
      </c>
      <c r="C87" s="53" t="n">
        <v>1</v>
      </c>
      <c r="D87" s="25" t="n">
        <f aca="false">BOM!$F$81</f>
        <v>59.5152002</v>
      </c>
      <c r="E87" s="34" t="n">
        <f aca="false">BOM!$H$81</f>
        <v>1</v>
      </c>
      <c r="F87" s="25" t="n">
        <f aca="false">D87*E87</f>
        <v>59.5152002</v>
      </c>
      <c r="G87" s="53" t="n">
        <v>1</v>
      </c>
      <c r="H87" s="33" t="n">
        <f aca="false">ROUND(BOM!$G$81,0)</f>
        <v>3</v>
      </c>
      <c r="I87" s="34" t="n">
        <f aca="false">BOM!$J$81</f>
        <v>0.179548529856075</v>
      </c>
      <c r="J87" s="53" t="n">
        <v>10</v>
      </c>
      <c r="K87" s="53" t="n">
        <v>0</v>
      </c>
    </row>
    <row r="88" customFormat="false" ht="15" hidden="false" customHeight="false" outlineLevel="0" collapsed="false">
      <c r="A88" s="6" t="s">
        <v>351</v>
      </c>
      <c r="B88" s="53" t="n">
        <v>2</v>
      </c>
      <c r="C88" s="53" t="n">
        <v>1</v>
      </c>
      <c r="D88" s="25" t="n">
        <f aca="false">IntegraMotion!$D$255*Entorno!$B$15</f>
        <v>90.1060315312683</v>
      </c>
      <c r="E88" s="46" t="n">
        <v>1</v>
      </c>
      <c r="F88" s="25" t="n">
        <f aca="false">D88*E88</f>
        <v>90.1060315312683</v>
      </c>
      <c r="G88" s="53" t="n">
        <v>0</v>
      </c>
      <c r="H88" s="53" t="n">
        <v>1</v>
      </c>
      <c r="I88" s="34" t="n">
        <f aca="false">CHOOSE(H88,$B$26,$B$27,$B$28,$B$29)</f>
        <v>0.05</v>
      </c>
      <c r="J88" s="53" t="n">
        <v>10</v>
      </c>
      <c r="K88" s="53" t="n">
        <v>0</v>
      </c>
    </row>
    <row r="89" customFormat="false" ht="15" hidden="false" customHeight="false" outlineLevel="0" collapsed="false">
      <c r="A89" s="6" t="s">
        <v>352</v>
      </c>
      <c r="B89" s="53" t="n">
        <v>2</v>
      </c>
      <c r="C89" s="53" t="n">
        <v>1</v>
      </c>
      <c r="D89" s="25" t="n">
        <f aca="false">SUMPRODUCT(F84:F88,I84:I88)</f>
        <v>79.5811682765634</v>
      </c>
      <c r="E89" s="46" t="n">
        <v>1</v>
      </c>
      <c r="F89" s="25" t="n">
        <f aca="false">D89*E89</f>
        <v>79.5811682765634</v>
      </c>
      <c r="G89" s="53" t="n">
        <v>0</v>
      </c>
      <c r="K89" s="53" t="n">
        <v>0</v>
      </c>
    </row>
    <row r="90" customFormat="false" ht="15" hidden="false" customHeight="false" outlineLevel="0" collapsed="false">
      <c r="A90" s="9" t="s">
        <v>353</v>
      </c>
    </row>
    <row r="91" customFormat="false" ht="15" hidden="false" customHeight="false" outlineLevel="0" collapsed="false">
      <c r="A91" s="9" t="s">
        <v>354</v>
      </c>
    </row>
    <row r="92" customFormat="false" ht="15" hidden="false" customHeight="false" outlineLevel="0" collapsed="false">
      <c r="A92" s="5" t="s">
        <v>355</v>
      </c>
      <c r="F92" s="30" t="n">
        <f aca="false">SUMIFS(F70:F89,C70:C89,0)</f>
        <v>930.800239431677</v>
      </c>
    </row>
    <row r="93" customFormat="false" ht="15" hidden="false" customHeight="false" outlineLevel="0" collapsed="false">
      <c r="A93" s="5" t="s">
        <v>356</v>
      </c>
      <c r="F93" s="30" t="n">
        <f aca="false">SUMIFS(F70:F89,C70:C89,1)</f>
        <v>658.469066674498</v>
      </c>
    </row>
    <row r="94" customFormat="false" ht="15" hidden="false" customHeight="false" outlineLevel="0" collapsed="false">
      <c r="A94" s="6" t="s">
        <v>357</v>
      </c>
      <c r="F94" s="25" t="n">
        <f aca="false">SUMIFS(F70:F89,C70:C89,0,G70:G89,1)</f>
        <v>463.891557109552</v>
      </c>
    </row>
    <row r="95" customFormat="false" ht="15" hidden="false" customHeight="false" outlineLevel="0" collapsed="false">
      <c r="A95" s="6" t="s">
        <v>358</v>
      </c>
      <c r="F95" s="25" t="n">
        <f aca="false">SUMIFS(F70:F89,C70:C89,1,G70:G89,1)</f>
        <v>488.781866866667</v>
      </c>
    </row>
    <row r="96" customFormat="false" ht="15" hidden="false" customHeight="false" outlineLevel="0" collapsed="false">
      <c r="A96" s="6" t="s">
        <v>359</v>
      </c>
      <c r="F96" s="34" t="n">
        <f aca="false">(F83+F89)/(SUM(F70:F89)-F83-F89)</f>
        <v>0.135292599224783</v>
      </c>
    </row>
    <row r="97" customFormat="false" ht="15" hidden="false" customHeight="false" outlineLevel="0" collapsed="false">
      <c r="A97" s="5" t="s">
        <v>360</v>
      </c>
      <c r="F97" s="54" t="n">
        <f aca="false">$F$92+$F$93</f>
        <v>1589.26930610618</v>
      </c>
    </row>
    <row r="98" customFormat="false" ht="15" hidden="false" customHeight="false" outlineLevel="0" collapsed="false">
      <c r="A98" s="6" t="s">
        <v>361</v>
      </c>
      <c r="F98" s="25" t="n">
        <f aca="false">SUMPRODUCT(F70:F89,K70:K89)</f>
        <v>580.14047047912</v>
      </c>
    </row>
    <row r="99" customFormat="false" ht="15" hidden="false" customHeight="false" outlineLevel="0" collapsed="false">
      <c r="A99" s="6" t="s">
        <v>362</v>
      </c>
      <c r="F99" s="25" t="n">
        <f aca="false">$B$34*F75</f>
        <v>27.4652172688735</v>
      </c>
    </row>
    <row r="100" customFormat="false" ht="15" hidden="false" customHeight="false" outlineLevel="0" collapsed="false">
      <c r="A100" s="6" t="s">
        <v>363</v>
      </c>
      <c r="F100" s="25" t="n">
        <f aca="false">$B$35*$F$94</f>
        <v>46.3891557109552</v>
      </c>
    </row>
    <row r="102" customFormat="false" ht="15" hidden="false" customHeight="false" outlineLevel="0" collapsed="false">
      <c r="A102" s="3" t="s">
        <v>117</v>
      </c>
      <c r="B102" s="4"/>
      <c r="C102" s="4"/>
      <c r="D102" s="4"/>
      <c r="E102" s="4"/>
      <c r="F102" s="4"/>
      <c r="G102" s="4"/>
      <c r="H102" s="4"/>
      <c r="I102" s="4"/>
      <c r="J102" s="4"/>
      <c r="K102" s="4"/>
      <c r="L102" s="4"/>
    </row>
    <row r="103" customFormat="false" ht="30" hidden="false" customHeight="true" outlineLevel="0" collapsed="false">
      <c r="A103" s="23" t="s">
        <v>118</v>
      </c>
      <c r="B103" s="24" t="s">
        <v>110</v>
      </c>
      <c r="C103" s="24" t="s">
        <v>326</v>
      </c>
      <c r="D103" s="24" t="s">
        <v>327</v>
      </c>
      <c r="E103" s="24" t="s">
        <v>43</v>
      </c>
      <c r="F103" s="24" t="s">
        <v>364</v>
      </c>
      <c r="G103" s="24" t="s">
        <v>365</v>
      </c>
      <c r="H103" s="24" t="s">
        <v>120</v>
      </c>
      <c r="I103" s="24" t="s">
        <v>366</v>
      </c>
      <c r="J103" s="24" t="s">
        <v>367</v>
      </c>
    </row>
    <row r="104" customFormat="false" ht="15" hidden="false" customHeight="false" outlineLevel="0" collapsed="false">
      <c r="A104" s="6" t="s">
        <v>368</v>
      </c>
      <c r="B104" s="53" t="n">
        <v>1</v>
      </c>
      <c r="C104" s="25" t="n">
        <f aca="false">'Beneficios y costos'!$C$156</f>
        <v>11.76</v>
      </c>
      <c r="D104" s="46" t="n">
        <v>1</v>
      </c>
      <c r="E104" s="25" t="n">
        <f aca="false">C104*D104</f>
        <v>11.76</v>
      </c>
      <c r="F104" s="25" t="n">
        <f aca="false">'Beneficios y costos'!$D$156</f>
        <v>0</v>
      </c>
      <c r="G104" s="25" t="n">
        <f aca="false">F104*D104</f>
        <v>0</v>
      </c>
      <c r="H104" s="53" t="n">
        <v>3</v>
      </c>
      <c r="I104" s="34" t="n">
        <f aca="false">CHOOSE(H104,$B$62,$B$63,$B$64,$B$65,$B$66)</f>
        <v>0.75</v>
      </c>
      <c r="J104" s="25" t="n">
        <f aca="false">E104*I104</f>
        <v>8.82</v>
      </c>
    </row>
    <row r="105" customFormat="false" ht="15" hidden="false" customHeight="false" outlineLevel="0" collapsed="false">
      <c r="A105" s="6" t="s">
        <v>369</v>
      </c>
      <c r="B105" s="53" t="n">
        <v>1</v>
      </c>
      <c r="C105" s="25" t="n">
        <f aca="false">'Beneficios y costos'!$C$157</f>
        <v>52.7983953135048</v>
      </c>
      <c r="D105" s="46" t="n">
        <v>1</v>
      </c>
      <c r="E105" s="25" t="n">
        <f aca="false">C105*D105</f>
        <v>52.7983953135048</v>
      </c>
      <c r="F105" s="25" t="n">
        <f aca="false">'Beneficios y costos'!$D$157</f>
        <v>54.8252688906753</v>
      </c>
      <c r="G105" s="25" t="n">
        <f aca="false">F105*D105</f>
        <v>54.8252688906753</v>
      </c>
      <c r="H105" s="53" t="n">
        <v>3</v>
      </c>
      <c r="I105" s="34" t="n">
        <f aca="false">CHOOSE(H105,$B$62,$B$63,$B$64,$B$65,$B$66)</f>
        <v>0.75</v>
      </c>
      <c r="J105" s="25" t="n">
        <f aca="false">E105*I105</f>
        <v>39.5987964851286</v>
      </c>
    </row>
    <row r="106" customFormat="false" ht="15" hidden="false" customHeight="false" outlineLevel="0" collapsed="false">
      <c r="A106" s="6" t="s">
        <v>370</v>
      </c>
      <c r="B106" s="53" t="n">
        <v>1</v>
      </c>
      <c r="C106" s="25" t="n">
        <f aca="false">'Beneficios y costos'!$C$158</f>
        <v>52.0041597987519</v>
      </c>
      <c r="D106" s="34" t="n">
        <f aca="false">$B$16</f>
        <v>0.36</v>
      </c>
      <c r="E106" s="25" t="n">
        <f aca="false">C106*D106</f>
        <v>18.7214975275507</v>
      </c>
      <c r="F106" s="25" t="n">
        <f aca="false">'Beneficios y costos'!$D$158</f>
        <v>52.0041597987519</v>
      </c>
      <c r="G106" s="25" t="n">
        <f aca="false">F106*D106</f>
        <v>18.7214975275507</v>
      </c>
      <c r="H106" s="53" t="n">
        <v>3</v>
      </c>
      <c r="I106" s="34" t="n">
        <f aca="false">CHOOSE(H106,$B$62,$B$63,$B$64,$B$65,$B$66)</f>
        <v>0.75</v>
      </c>
      <c r="J106" s="25" t="n">
        <f aca="false">E106*I106</f>
        <v>14.041123145663</v>
      </c>
    </row>
    <row r="107" customFormat="false" ht="15" hidden="false" customHeight="false" outlineLevel="0" collapsed="false">
      <c r="A107" s="6" t="s">
        <v>371</v>
      </c>
      <c r="B107" s="53" t="n">
        <v>1</v>
      </c>
      <c r="C107" s="25" t="n">
        <f aca="false">'Beneficios y costos'!$C$159</f>
        <v>152.285</v>
      </c>
      <c r="D107" s="34" t="n">
        <f aca="false">$B$19</f>
        <v>0.22234625865975</v>
      </c>
      <c r="E107" s="25" t="n">
        <f aca="false">C107*D107</f>
        <v>33.86</v>
      </c>
      <c r="F107" s="50" t="n">
        <v>0</v>
      </c>
      <c r="G107" s="25" t="n">
        <f aca="false">F107*D107</f>
        <v>0</v>
      </c>
      <c r="H107" s="53" t="n">
        <v>4</v>
      </c>
      <c r="I107" s="34" t="n">
        <f aca="false">CHOOSE(H107,$B$62,$B$63,$B$64,$B$65,$B$66)</f>
        <v>0.5</v>
      </c>
      <c r="J107" s="25" t="n">
        <f aca="false">E107*I107</f>
        <v>16.93</v>
      </c>
    </row>
    <row r="108" customFormat="false" ht="15" hidden="false" customHeight="false" outlineLevel="0" collapsed="false">
      <c r="A108" s="6" t="s">
        <v>372</v>
      </c>
      <c r="B108" s="53" t="n">
        <v>1</v>
      </c>
      <c r="C108" s="25" t="n">
        <f aca="false">'Beneficios y costos'!$C$160</f>
        <v>91.4</v>
      </c>
      <c r="D108" s="34" t="n">
        <f aca="false">$B$16</f>
        <v>0.36</v>
      </c>
      <c r="E108" s="25" t="n">
        <f aca="false">C108*D108</f>
        <v>32.904</v>
      </c>
      <c r="F108" s="50" t="n">
        <v>0</v>
      </c>
      <c r="G108" s="25" t="n">
        <f aca="false">F108*D108</f>
        <v>0</v>
      </c>
      <c r="H108" s="53" t="n">
        <v>3</v>
      </c>
      <c r="I108" s="34" t="n">
        <f aca="false">CHOOSE(H108,$B$62,$B$63,$B$64,$B$65,$B$66)</f>
        <v>0.75</v>
      </c>
      <c r="J108" s="25" t="n">
        <f aca="false">E108*I108</f>
        <v>24.678</v>
      </c>
    </row>
    <row r="109" customFormat="false" ht="15" hidden="false" customHeight="false" outlineLevel="0" collapsed="false">
      <c r="A109" s="6" t="s">
        <v>373</v>
      </c>
      <c r="B109" s="53" t="n">
        <v>1</v>
      </c>
      <c r="C109" s="25" t="n">
        <f aca="false">'Beneficios y costos'!$C$161</f>
        <v>32.5056</v>
      </c>
      <c r="D109" s="46" t="n">
        <v>1</v>
      </c>
      <c r="E109" s="25" t="n">
        <f aca="false">C109*D109</f>
        <v>32.5056</v>
      </c>
      <c r="F109" s="25" t="n">
        <f aca="false">'Beneficios y costos'!$D$161</f>
        <v>33.86</v>
      </c>
      <c r="G109" s="25" t="n">
        <f aca="false">F109*D109</f>
        <v>33.86</v>
      </c>
      <c r="H109" s="53" t="n">
        <v>4</v>
      </c>
      <c r="I109" s="34" t="n">
        <f aca="false">CHOOSE(H109,$B$62,$B$63,$B$64,$B$65,$B$66)</f>
        <v>0.5</v>
      </c>
      <c r="J109" s="25" t="n">
        <f aca="false">E109*I109</f>
        <v>16.2528</v>
      </c>
    </row>
    <row r="110" customFormat="false" ht="15" hidden="false" customHeight="false" outlineLevel="0" collapsed="false">
      <c r="A110" s="6" t="s">
        <v>374</v>
      </c>
      <c r="B110" s="53" t="n">
        <v>1</v>
      </c>
      <c r="C110" s="25" t="n">
        <f aca="false">'Beneficios y costos'!$C$162</f>
        <v>26.333</v>
      </c>
      <c r="D110" s="46" t="n">
        <v>1</v>
      </c>
      <c r="E110" s="25" t="n">
        <f aca="false">C110*D110</f>
        <v>26.333</v>
      </c>
      <c r="F110" s="25" t="n">
        <f aca="false">'Beneficios y costos'!$D$162</f>
        <v>13.544</v>
      </c>
      <c r="G110" s="25" t="n">
        <f aca="false">F110*D110</f>
        <v>13.544</v>
      </c>
      <c r="H110" s="53" t="n">
        <v>3</v>
      </c>
      <c r="I110" s="34" t="n">
        <f aca="false">CHOOSE(H110,$B$62,$B$63,$B$64,$B$65,$B$66)</f>
        <v>0.75</v>
      </c>
      <c r="J110" s="25" t="n">
        <f aca="false">E110*I110</f>
        <v>19.74975</v>
      </c>
    </row>
    <row r="111" customFormat="false" ht="15" hidden="false" customHeight="false" outlineLevel="0" collapsed="false">
      <c r="A111" s="6" t="s">
        <v>375</v>
      </c>
      <c r="B111" s="53" t="n">
        <v>1</v>
      </c>
      <c r="C111" s="25" t="n">
        <f aca="false">'Beneficios y costos'!$C$163</f>
        <v>32.5510516813505</v>
      </c>
      <c r="D111" s="46" t="n">
        <v>1</v>
      </c>
      <c r="E111" s="25" t="n">
        <f aca="false">C111*D111</f>
        <v>32.5510516813505</v>
      </c>
      <c r="F111" s="25" t="n">
        <f aca="false">'Beneficios y costos'!$D$163</f>
        <v>33.8578076141479</v>
      </c>
      <c r="G111" s="25" t="n">
        <f aca="false">F111*D111</f>
        <v>33.8578076141479</v>
      </c>
      <c r="H111" s="53" t="n">
        <v>4</v>
      </c>
      <c r="I111" s="34" t="n">
        <f aca="false">CHOOSE(H111,$B$62,$B$63,$B$64,$B$65,$B$66)</f>
        <v>0.5</v>
      </c>
      <c r="J111" s="25" t="n">
        <f aca="false">E111*I111</f>
        <v>16.2755258406752</v>
      </c>
    </row>
    <row r="112" customFormat="false" ht="15" hidden="false" customHeight="false" outlineLevel="0" collapsed="false">
      <c r="A112" s="6" t="s">
        <v>376</v>
      </c>
      <c r="B112" s="53" t="n">
        <v>2</v>
      </c>
      <c r="C112" s="25" t="n">
        <f aca="false">'Beneficios y costos'!$C$164</f>
        <v>70.7031730842444</v>
      </c>
      <c r="D112" s="46" t="n">
        <v>1</v>
      </c>
      <c r="E112" s="25" t="n">
        <f aca="false">C112*D112</f>
        <v>70.7031730842444</v>
      </c>
      <c r="F112" s="25" t="n">
        <f aca="false">'Beneficios y costos'!$D$164</f>
        <v>73.5484542250804</v>
      </c>
      <c r="G112" s="25" t="n">
        <f aca="false">F112*D112</f>
        <v>73.5484542250804</v>
      </c>
      <c r="H112" s="53" t="n">
        <v>3</v>
      </c>
      <c r="I112" s="34" t="n">
        <f aca="false">CHOOSE(H112,$B$62,$B$63,$B$64,$B$65,$B$66)</f>
        <v>0.75</v>
      </c>
      <c r="J112" s="25" t="n">
        <f aca="false">E112*I112</f>
        <v>53.0273798131833</v>
      </c>
    </row>
    <row r="113" customFormat="false" ht="15" hidden="false" customHeight="false" outlineLevel="0" collapsed="false">
      <c r="A113" s="6" t="s">
        <v>377</v>
      </c>
      <c r="B113" s="53" t="n">
        <v>2</v>
      </c>
      <c r="C113" s="25" t="n">
        <f aca="false">'Beneficios y costos'!$C$165</f>
        <v>11.76</v>
      </c>
      <c r="D113" s="46" t="n">
        <v>1</v>
      </c>
      <c r="E113" s="25" t="n">
        <f aca="false">C113*D113</f>
        <v>11.76</v>
      </c>
      <c r="F113" s="50" t="n">
        <v>0</v>
      </c>
      <c r="G113" s="25" t="n">
        <f aca="false">F113*D113</f>
        <v>0</v>
      </c>
      <c r="H113" s="53" t="n">
        <v>3</v>
      </c>
      <c r="I113" s="34" t="n">
        <f aca="false">CHOOSE(H113,$B$62,$B$63,$B$64,$B$65,$B$66)</f>
        <v>0.75</v>
      </c>
      <c r="J113" s="25" t="n">
        <f aca="false">E113*I113</f>
        <v>8.82</v>
      </c>
    </row>
    <row r="114" customFormat="false" ht="15" hidden="false" customHeight="false" outlineLevel="0" collapsed="false">
      <c r="A114" s="6" t="s">
        <v>378</v>
      </c>
      <c r="B114" s="53" t="n">
        <v>2</v>
      </c>
      <c r="C114" s="25" t="n">
        <f aca="false">'Beneficios y costos'!$C$166</f>
        <v>121.8</v>
      </c>
      <c r="D114" s="34" t="n">
        <f aca="false">'Beneficios y costos'!$B$25</f>
        <v>0.333333333333333</v>
      </c>
      <c r="E114" s="25" t="n">
        <f aca="false">C114*D114</f>
        <v>40.6</v>
      </c>
      <c r="F114" s="50" t="n">
        <v>0</v>
      </c>
      <c r="G114" s="25" t="n">
        <f aca="false">F114*D114</f>
        <v>0</v>
      </c>
      <c r="H114" s="53" t="n">
        <v>4</v>
      </c>
      <c r="I114" s="34" t="n">
        <f aca="false">CHOOSE(H114,$B$62,$B$63,$B$64,$B$65,$B$66)</f>
        <v>0.5</v>
      </c>
      <c r="J114" s="25" t="n">
        <f aca="false">E114*I114</f>
        <v>20.3</v>
      </c>
    </row>
    <row r="115" customFormat="false" ht="15" hidden="false" customHeight="false" outlineLevel="0" collapsed="false">
      <c r="A115" s="6" t="s">
        <v>379</v>
      </c>
      <c r="B115" s="53" t="n">
        <v>2</v>
      </c>
      <c r="C115" s="25" t="n">
        <f aca="false">'Beneficios y costos'!$C$167</f>
        <v>36.1108213118971</v>
      </c>
      <c r="D115" s="46" t="n">
        <v>0</v>
      </c>
      <c r="E115" s="25" t="n">
        <f aca="false">C115*D115</f>
        <v>0</v>
      </c>
      <c r="F115" s="25" t="n">
        <f aca="false">'Beneficios y costos'!$D$167</f>
        <v>36.1108213118971</v>
      </c>
      <c r="G115" s="25" t="n">
        <f aca="false">F115*D115</f>
        <v>0</v>
      </c>
      <c r="H115" s="53" t="n">
        <v>1</v>
      </c>
      <c r="I115" s="34" t="n">
        <f aca="false">CHOOSE(H115,$B$62,$B$63,$B$64,$B$65,$B$66)</f>
        <v>1</v>
      </c>
      <c r="J115" s="25" t="n">
        <f aca="false">E115*I115</f>
        <v>0</v>
      </c>
    </row>
    <row r="116" customFormat="false" ht="15" hidden="false" customHeight="false" outlineLevel="0" collapsed="false">
      <c r="A116" s="6" t="s">
        <v>380</v>
      </c>
      <c r="B116" s="53" t="n">
        <v>2</v>
      </c>
      <c r="C116" s="25" t="n">
        <f aca="false">'Beneficios y costos'!$C$168</f>
        <v>34.1492443311894</v>
      </c>
      <c r="D116" s="46" t="n">
        <v>1</v>
      </c>
      <c r="E116" s="25" t="n">
        <f aca="false">C116*D116</f>
        <v>34.1492443311894</v>
      </c>
      <c r="F116" s="25" t="n">
        <f aca="false">'Beneficios y costos'!$D$168</f>
        <v>80.0496393569128</v>
      </c>
      <c r="G116" s="25" t="n">
        <f aca="false">F116*D116</f>
        <v>80.0496393569128</v>
      </c>
      <c r="H116" s="53" t="n">
        <v>4</v>
      </c>
      <c r="I116" s="34" t="n">
        <f aca="false">CHOOSE(H116,$B$62,$B$63,$B$64,$B$65,$B$66)</f>
        <v>0.5</v>
      </c>
      <c r="J116" s="25" t="n">
        <f aca="false">E116*I116</f>
        <v>17.0746221655947</v>
      </c>
    </row>
    <row r="117" customFormat="false" ht="15" hidden="false" customHeight="false" outlineLevel="0" collapsed="false">
      <c r="A117" s="6" t="s">
        <v>381</v>
      </c>
      <c r="B117" s="53" t="n">
        <v>2</v>
      </c>
      <c r="C117" s="25" t="n">
        <f aca="false">'Beneficios y costos'!$C$169</f>
        <v>65.6441387999999</v>
      </c>
      <c r="D117" s="46" t="n">
        <v>1</v>
      </c>
      <c r="E117" s="25" t="n">
        <f aca="false">C117*D117</f>
        <v>65.6441387999999</v>
      </c>
      <c r="F117" s="25" t="n">
        <f aca="false">'Beneficios y costos'!$D$169</f>
        <v>2338.37604</v>
      </c>
      <c r="G117" s="25" t="n">
        <f aca="false">F117*D117</f>
        <v>2338.37604</v>
      </c>
      <c r="H117" s="53" t="n">
        <v>3</v>
      </c>
      <c r="I117" s="34" t="n">
        <f aca="false">CHOOSE(H117,$B$62,$B$63,$B$64,$B$65,$B$66)</f>
        <v>0.75</v>
      </c>
      <c r="J117" s="25" t="n">
        <f aca="false">E117*I117</f>
        <v>49.2331040999999</v>
      </c>
    </row>
    <row r="118" customFormat="false" ht="15" hidden="false" customHeight="false" outlineLevel="0" collapsed="false">
      <c r="A118" s="6" t="s">
        <v>382</v>
      </c>
      <c r="B118" s="53" t="n">
        <v>2</v>
      </c>
      <c r="C118" s="25" t="n">
        <f aca="false">'Beneficios y costos'!$C$170</f>
        <v>67.77488</v>
      </c>
      <c r="D118" s="46" t="n">
        <v>1</v>
      </c>
      <c r="E118" s="25" t="n">
        <f aca="false">C118*D118</f>
        <v>67.77488</v>
      </c>
      <c r="F118" s="50" t="n">
        <v>0</v>
      </c>
      <c r="G118" s="25" t="n">
        <f aca="false">F118*D118</f>
        <v>0</v>
      </c>
      <c r="H118" s="53" t="n">
        <v>3</v>
      </c>
      <c r="I118" s="34" t="n">
        <f aca="false">CHOOSE(H118,$B$62,$B$63,$B$64,$B$65,$B$66)</f>
        <v>0.75</v>
      </c>
      <c r="J118" s="25" t="n">
        <f aca="false">E118*I118</f>
        <v>50.83116</v>
      </c>
    </row>
    <row r="119" customFormat="false" ht="15" hidden="false" customHeight="false" outlineLevel="0" collapsed="false">
      <c r="A119" s="6" t="s">
        <v>383</v>
      </c>
      <c r="B119" s="53" t="n">
        <v>2</v>
      </c>
      <c r="C119" s="25" t="n">
        <f aca="false">'Beneficios y costos'!$C$171</f>
        <v>36</v>
      </c>
      <c r="D119" s="46" t="n">
        <v>1</v>
      </c>
      <c r="E119" s="25" t="n">
        <f aca="false">C119*D119</f>
        <v>36</v>
      </c>
      <c r="F119" s="50" t="n">
        <v>0</v>
      </c>
      <c r="G119" s="25" t="n">
        <f aca="false">F119*D119</f>
        <v>0</v>
      </c>
      <c r="H119" s="53" t="n">
        <v>3</v>
      </c>
      <c r="I119" s="34" t="n">
        <f aca="false">CHOOSE(H119,$B$62,$B$63,$B$64,$B$65,$B$66)</f>
        <v>0.75</v>
      </c>
      <c r="J119" s="25" t="n">
        <f aca="false">E119*I119</f>
        <v>27</v>
      </c>
    </row>
    <row r="120" customFormat="false" ht="15" hidden="false" customHeight="false" outlineLevel="0" collapsed="false">
      <c r="A120" s="9" t="s">
        <v>384</v>
      </c>
    </row>
    <row r="121" customFormat="false" ht="15" hidden="false" customHeight="false" outlineLevel="0" collapsed="false">
      <c r="A121" s="9" t="s">
        <v>385</v>
      </c>
    </row>
    <row r="122" customFormat="false" ht="15" hidden="false" customHeight="false" outlineLevel="0" collapsed="false">
      <c r="A122" s="5" t="s">
        <v>386</v>
      </c>
      <c r="E122" s="30" t="n">
        <f aca="false">SUMIFS(E104:E119,B104:B119,1)</f>
        <v>241.433544522406</v>
      </c>
    </row>
    <row r="123" customFormat="false" ht="15" hidden="false" customHeight="false" outlineLevel="0" collapsed="false">
      <c r="A123" s="5" t="s">
        <v>387</v>
      </c>
      <c r="E123" s="30" t="n">
        <f aca="false">SUMIFS(E104:E119,B104:B119,2)</f>
        <v>326.631436215434</v>
      </c>
    </row>
    <row r="124" customFormat="false" ht="15" hidden="false" customHeight="false" outlineLevel="0" collapsed="false">
      <c r="A124" s="6" t="s">
        <v>388</v>
      </c>
      <c r="G124" s="25" t="n">
        <f aca="false">SUMIFS(G104:G119,B104:B119,1)</f>
        <v>154.808574032374</v>
      </c>
    </row>
    <row r="125" customFormat="false" ht="15" hidden="false" customHeight="false" outlineLevel="0" collapsed="false">
      <c r="A125" s="6" t="s">
        <v>389</v>
      </c>
      <c r="G125" s="25" t="n">
        <f aca="false">SUMIFS(G104:G119,B104:B119,2)</f>
        <v>2491.97413358199</v>
      </c>
    </row>
    <row r="126" customFormat="false" ht="15" hidden="false" customHeight="false" outlineLevel="0" collapsed="false">
      <c r="A126" s="6" t="s">
        <v>390</v>
      </c>
      <c r="J126" s="25" t="n">
        <f aca="false">SUMIFS(J104:J119,B104:B119,1)</f>
        <v>156.345995471467</v>
      </c>
    </row>
    <row r="127" customFormat="false" ht="15" hidden="false" customHeight="false" outlineLevel="0" collapsed="false">
      <c r="A127" s="6" t="s">
        <v>391</v>
      </c>
      <c r="J127" s="25" t="n">
        <f aca="false">SUMIFS(J104:J119,B104:B119,2)</f>
        <v>226.286266078778</v>
      </c>
    </row>
    <row r="128" customFormat="false" ht="15" hidden="false" customHeight="false" outlineLevel="0" collapsed="false">
      <c r="A128" s="5" t="s">
        <v>121</v>
      </c>
      <c r="E128" s="54" t="n">
        <f aca="false">$E$122+$E$123</f>
        <v>568.06498073784</v>
      </c>
    </row>
    <row r="129" customFormat="false" ht="15" hidden="false" customHeight="false" outlineLevel="0" collapsed="false">
      <c r="A129" s="6" t="s">
        <v>392</v>
      </c>
      <c r="E129" s="25" t="n">
        <f aca="false">($B$31+$B$33)*($F$94+$F$95)+$B$32+'Beneficios y costos'!$D$249</f>
        <v>76.4964821173777</v>
      </c>
    </row>
    <row r="131" customFormat="false" ht="15" hidden="false" customHeight="false" outlineLevel="0" collapsed="false">
      <c r="A131" s="3" t="s">
        <v>393</v>
      </c>
      <c r="B131" s="4"/>
      <c r="C131" s="4"/>
      <c r="D131" s="4"/>
      <c r="E131" s="4"/>
      <c r="F131" s="4"/>
      <c r="G131" s="4"/>
      <c r="H131" s="4"/>
      <c r="I131" s="4"/>
      <c r="J131" s="4"/>
      <c r="K131" s="4"/>
      <c r="L131" s="4"/>
    </row>
    <row r="132" customFormat="false" ht="15" hidden="false" customHeight="false" outlineLevel="0" collapsed="false">
      <c r="A132" s="23" t="s">
        <v>130</v>
      </c>
      <c r="B132" s="24" t="s">
        <v>394</v>
      </c>
      <c r="C132" s="24" t="s">
        <v>395</v>
      </c>
      <c r="D132" s="24" t="s">
        <v>396</v>
      </c>
      <c r="E132" s="24" t="s">
        <v>397</v>
      </c>
      <c r="F132" s="24" t="s">
        <v>398</v>
      </c>
      <c r="G132" s="24" t="s">
        <v>399</v>
      </c>
      <c r="H132" s="24" t="s">
        <v>400</v>
      </c>
      <c r="I132" s="24" t="s">
        <v>401</v>
      </c>
      <c r="J132" s="24" t="s">
        <v>402</v>
      </c>
      <c r="K132" s="24" t="s">
        <v>403</v>
      </c>
      <c r="L132" s="24" t="s">
        <v>404</v>
      </c>
    </row>
    <row r="133" customFormat="false" ht="15" hidden="false" customHeight="false" outlineLevel="0" collapsed="false">
      <c r="A133" s="9" t="s">
        <v>405</v>
      </c>
      <c r="B133" s="55" t="n">
        <v>0</v>
      </c>
      <c r="C133" s="55" t="n">
        <v>1</v>
      </c>
      <c r="D133" s="55" t="n">
        <v>2</v>
      </c>
      <c r="E133" s="55" t="n">
        <v>3</v>
      </c>
      <c r="F133" s="55" t="n">
        <v>4</v>
      </c>
      <c r="G133" s="55" t="n">
        <v>5</v>
      </c>
      <c r="H133" s="55" t="n">
        <v>6</v>
      </c>
      <c r="I133" s="55" t="n">
        <v>7</v>
      </c>
      <c r="J133" s="55" t="n">
        <v>8</v>
      </c>
      <c r="K133" s="55" t="n">
        <v>9</v>
      </c>
      <c r="L133" s="55" t="n">
        <v>10</v>
      </c>
    </row>
    <row r="134" customFormat="false" ht="15" hidden="false" customHeight="false" outlineLevel="0" collapsed="false">
      <c r="A134" s="9" t="s">
        <v>406</v>
      </c>
      <c r="B134" s="56" t="n">
        <f aca="false">CHOOSE($B$7,Entorno!B$7,Entorno!B$8,Entorno!B$9)</f>
        <v>0.06</v>
      </c>
      <c r="C134" s="56" t="n">
        <f aca="false">CHOOSE($B$7,Entorno!C$7,Entorno!C$8,Entorno!C$9)</f>
        <v>0.05</v>
      </c>
      <c r="D134" s="56" t="n">
        <f aca="false">CHOOSE($B$7,Entorno!D$7,Entorno!D$8,Entorno!D$9)</f>
        <v>0.045</v>
      </c>
      <c r="E134" s="56" t="n">
        <f aca="false">CHOOSE($B$7,Entorno!E$7,Entorno!E$8,Entorno!E$9)</f>
        <v>0.04</v>
      </c>
      <c r="F134" s="56" t="n">
        <f aca="false">CHOOSE($B$7,Entorno!F$7,Entorno!F$8,Entorno!F$9)</f>
        <v>0.04</v>
      </c>
      <c r="G134" s="56" t="n">
        <f aca="false">CHOOSE($B$7,Entorno!G$7,Entorno!G$8,Entorno!G$9)</f>
        <v>0.04</v>
      </c>
      <c r="H134" s="56" t="n">
        <f aca="false">CHOOSE($B$7,Entorno!H$7,Entorno!H$8,Entorno!H$9)</f>
        <v>0.04</v>
      </c>
      <c r="I134" s="56" t="n">
        <f aca="false">CHOOSE($B$7,Entorno!I$7,Entorno!I$8,Entorno!I$9)</f>
        <v>0.04</v>
      </c>
      <c r="J134" s="56" t="n">
        <f aca="false">CHOOSE($B$7,Entorno!J$7,Entorno!J$8,Entorno!J$9)</f>
        <v>0.04</v>
      </c>
      <c r="K134" s="56" t="n">
        <f aca="false">CHOOSE($B$7,Entorno!K$7,Entorno!K$8,Entorno!K$9)</f>
        <v>0.04</v>
      </c>
      <c r="L134" s="56" t="n">
        <f aca="false">CHOOSE($B$7,Entorno!L$7,Entorno!L$8,Entorno!L$9)</f>
        <v>0.04</v>
      </c>
    </row>
    <row r="135" customFormat="false" ht="15" hidden="false" customHeight="false" outlineLevel="0" collapsed="false">
      <c r="A135" s="9" t="s">
        <v>407</v>
      </c>
      <c r="B135" s="57" t="n">
        <f aca="false">1+B134</f>
        <v>1.06</v>
      </c>
      <c r="C135" s="57" t="n">
        <f aca="false">B135*(1+C134)</f>
        <v>1.113</v>
      </c>
      <c r="D135" s="57" t="n">
        <f aca="false">C135*(1+D134)</f>
        <v>1.163085</v>
      </c>
      <c r="E135" s="57" t="n">
        <f aca="false">D135*(1+E134)</f>
        <v>1.2096084</v>
      </c>
      <c r="F135" s="57" t="n">
        <f aca="false">E135*(1+F134)</f>
        <v>1.257992736</v>
      </c>
      <c r="G135" s="57" t="n">
        <f aca="false">F135*(1+G134)</f>
        <v>1.30831244544</v>
      </c>
      <c r="H135" s="57" t="n">
        <f aca="false">G135*(1+H134)</f>
        <v>1.3606449432576</v>
      </c>
      <c r="I135" s="57" t="n">
        <f aca="false">H135*(1+I134)</f>
        <v>1.4150707409879</v>
      </c>
      <c r="J135" s="57" t="n">
        <f aca="false">I135*(1+J134)</f>
        <v>1.47167357062742</v>
      </c>
      <c r="K135" s="57" t="n">
        <f aca="false">J135*(1+K134)</f>
        <v>1.53054051345252</v>
      </c>
      <c r="L135" s="57" t="n">
        <f aca="false">K135*(1+L134)</f>
        <v>1.59176213399062</v>
      </c>
    </row>
    <row r="136" customFormat="false" ht="15" hidden="false" customHeight="false" outlineLevel="0" collapsed="false">
      <c r="A136" s="9" t="s">
        <v>408</v>
      </c>
      <c r="B136" s="57" t="n">
        <f aca="false">(1+Entorno!$B$12)/(1+B134)</f>
        <v>1.02358490566038</v>
      </c>
      <c r="C136" s="57" t="n">
        <f aca="false">B136*(1+Entorno!$B$13)</f>
        <v>1.02870283018868</v>
      </c>
      <c r="D136" s="57" t="n">
        <f aca="false">C136*(1+Entorno!$B$13)</f>
        <v>1.03384634433962</v>
      </c>
      <c r="E136" s="57" t="n">
        <f aca="false">D136*(1+Entorno!$B$13)</f>
        <v>1.03901557606132</v>
      </c>
      <c r="F136" s="57" t="n">
        <f aca="false">E136*(1+Entorno!$B$13)</f>
        <v>1.04421065394163</v>
      </c>
      <c r="G136" s="57" t="n">
        <f aca="false">F136*(1+Entorno!$B$13)</f>
        <v>1.04943170721133</v>
      </c>
      <c r="H136" s="57" t="n">
        <f aca="false">G136*(1+Entorno!$B$13)</f>
        <v>1.05467886574739</v>
      </c>
      <c r="I136" s="57" t="n">
        <f aca="false">H136*(1+Entorno!$B$13)</f>
        <v>1.05995226007613</v>
      </c>
      <c r="J136" s="57" t="n">
        <f aca="false">I136*(1+Entorno!$B$13)</f>
        <v>1.06525202137651</v>
      </c>
      <c r="K136" s="57" t="n">
        <f aca="false">J136*(1+Entorno!$B$13)</f>
        <v>1.07057828148339</v>
      </c>
      <c r="L136" s="57" t="n">
        <f aca="false">K136*(1+Entorno!$B$13)</f>
        <v>1.07593117289081</v>
      </c>
    </row>
    <row r="137" customFormat="false" ht="15" hidden="false" customHeight="false" outlineLevel="0" collapsed="false">
      <c r="A137" s="9" t="s">
        <v>409</v>
      </c>
      <c r="B137" s="57" t="n">
        <f aca="false">1/B135</f>
        <v>0.943396226415094</v>
      </c>
      <c r="C137" s="57" t="n">
        <f aca="false">1/C135</f>
        <v>0.898472596585804</v>
      </c>
      <c r="D137" s="57" t="n">
        <f aca="false">1/D135</f>
        <v>0.859782389077324</v>
      </c>
      <c r="E137" s="57" t="n">
        <f aca="false">1/E135</f>
        <v>0.826713835651273</v>
      </c>
      <c r="F137" s="57" t="n">
        <f aca="false">1/F135</f>
        <v>0.794917149664686</v>
      </c>
      <c r="G137" s="57" t="n">
        <f aca="false">1/G135</f>
        <v>0.764343413139121</v>
      </c>
      <c r="H137" s="57" t="n">
        <f aca="false">1/H135</f>
        <v>0.734945589556847</v>
      </c>
      <c r="I137" s="57" t="n">
        <f aca="false">1/I135</f>
        <v>0.706678451496968</v>
      </c>
      <c r="J137" s="57" t="n">
        <f aca="false">1/J135</f>
        <v>0.679498511054777</v>
      </c>
      <c r="K137" s="57" t="n">
        <f aca="false">1/K135</f>
        <v>0.653363952937286</v>
      </c>
      <c r="L137" s="57" t="n">
        <f aca="false">1/L135</f>
        <v>0.628234570132006</v>
      </c>
    </row>
    <row r="138" customFormat="false" ht="15" hidden="false" customHeight="false" outlineLevel="0" collapsed="false">
      <c r="A138" s="6" t="s">
        <v>323</v>
      </c>
      <c r="B138" s="29" t="n">
        <f aca="false">IF(B$133=0,$F$92,IF(B$133=1,($F$93-(-0)*$D$86*(1+$I$86))*1,0))*1</f>
        <v>930.800239431677</v>
      </c>
      <c r="C138" s="29" t="n">
        <f aca="false">IF(C$133=0,$F$92,IF(C$133=1,($F$93-(-0)*$D$86*(1+$I$86))*1,0))*1</f>
        <v>658.469066674498</v>
      </c>
      <c r="D138" s="29" t="n">
        <f aca="false">IF(D$133=0,$F$92,IF(D$133=1,($F$93-(-0)*$D$86*(1+$I$86))*1,0))*1</f>
        <v>0</v>
      </c>
      <c r="E138" s="29" t="n">
        <f aca="false">IF(E$133=0,$F$92,IF(E$133=1,($F$93-(-0)*$D$86*(1+$I$86))*1,0))*1</f>
        <v>0</v>
      </c>
      <c r="F138" s="29" t="n">
        <f aca="false">IF(F$133=0,$F$92,IF(F$133=1,($F$93-(-0)*$D$86*(1+$I$86))*1,0))*1</f>
        <v>0</v>
      </c>
      <c r="G138" s="29" t="n">
        <f aca="false">IF(G$133=0,$F$92,IF(G$133=1,($F$93-(-0)*$D$86*(1+$I$86))*1,0))*1</f>
        <v>0</v>
      </c>
      <c r="H138" s="29" t="n">
        <f aca="false">IF(H$133=0,$F$92,IF(H$133=1,($F$93-(-0)*$D$86*(1+$I$86))*1,0))*1</f>
        <v>0</v>
      </c>
      <c r="I138" s="29" t="n">
        <f aca="false">IF(I$133=0,$F$92,IF(I$133=1,($F$93-(-0)*$D$86*(1+$I$86))*1,0))*1</f>
        <v>0</v>
      </c>
      <c r="J138" s="29" t="n">
        <f aca="false">IF(J$133=0,$F$92,IF(J$133=1,($F$93-(-0)*$D$86*(1+$I$86))*1,0))*1</f>
        <v>0</v>
      </c>
      <c r="K138" s="29" t="n">
        <f aca="false">IF(K$133=0,$F$92,IF(K$133=1,($F$93-(-0)*$D$86*(1+$I$86))*1,0))*1</f>
        <v>0</v>
      </c>
      <c r="L138" s="29" t="n">
        <f aca="false">IF(L$133=0,$F$92,IF(L$133=1,($F$93-(-0)*$D$86*(1+$I$86))*1,0))*1</f>
        <v>0</v>
      </c>
    </row>
    <row r="139" customFormat="false" ht="15" hidden="false" customHeight="false" outlineLevel="0" collapsed="false">
      <c r="A139" s="6" t="s">
        <v>410</v>
      </c>
      <c r="B139" s="29" t="n">
        <f aca="false">IF(B$133=5,$F$99,IF(B$133=6,$F$100,0))*1</f>
        <v>0</v>
      </c>
      <c r="C139" s="29" t="n">
        <f aca="false">IF(C$133=5,$F$99,IF(C$133=6,$F$100,0))*1</f>
        <v>0</v>
      </c>
      <c r="D139" s="29" t="n">
        <f aca="false">IF(D$133=5,$F$99,IF(D$133=6,$F$100,0))*1</f>
        <v>0</v>
      </c>
      <c r="E139" s="29" t="n">
        <f aca="false">IF(E$133=5,$F$99,IF(E$133=6,$F$100,0))*1</f>
        <v>0</v>
      </c>
      <c r="F139" s="29" t="n">
        <f aca="false">IF(F$133=5,$F$99,IF(F$133=6,$F$100,0))*1</f>
        <v>0</v>
      </c>
      <c r="G139" s="29" t="n">
        <f aca="false">IF(G$133=5,$F$99,IF(G$133=6,$F$100,0))*1</f>
        <v>27.4652172688735</v>
      </c>
      <c r="H139" s="29" t="n">
        <f aca="false">IF(H$133=5,$F$99,IF(H$133=6,$F$100,0))*1</f>
        <v>46.3891557109552</v>
      </c>
      <c r="I139" s="29" t="n">
        <f aca="false">IF(I$133=5,$F$99,IF(I$133=6,$F$100,0))*1</f>
        <v>0</v>
      </c>
      <c r="J139" s="29" t="n">
        <f aca="false">IF(J$133=5,$F$99,IF(J$133=6,$F$100,0))*1</f>
        <v>0</v>
      </c>
      <c r="K139" s="29" t="n">
        <f aca="false">IF(K$133=5,$F$99,IF(K$133=6,$F$100,0))*1</f>
        <v>0</v>
      </c>
      <c r="L139" s="29" t="n">
        <f aca="false">IF(L$133=5,$F$99,IF(L$133=6,$F$100,0))*1</f>
        <v>0</v>
      </c>
    </row>
    <row r="140" customFormat="false" ht="15" hidden="false" customHeight="false" outlineLevel="0" collapsed="false">
      <c r="A140" s="6" t="s">
        <v>411</v>
      </c>
      <c r="B140" s="29" t="n">
        <f aca="false">$B$55*(IF(B$133=0,SUMPRODUCT(($C$70:$C$89=0)*($H$70:$H$89&gt;0)*($J$70:$J$89&gt;0)*$F$70:$F$89*(1+$I$70:$I$89)),IF(B$133=1,(SUMPRODUCT(($C$70:$C$89=1)*($H$70:$H$89&gt;0)*($J$70:$J$89&gt;0)*$F$70:$F$89*(1+$I$70:$I$89))-(-0)*$D$86*(1+$I$86))*1,0))*1+B139)</f>
        <v>149.115671560178</v>
      </c>
      <c r="C140" s="29" t="n">
        <f aca="false">$B$55*(IF(C$133=0,SUMPRODUCT(($C$70:$C$89=0)*($H$70:$H$89&gt;0)*($J$70:$J$89&gt;0)*$F$70:$F$89*(1+$I$70:$I$89)),IF(C$133=1,(SUMPRODUCT(($C$70:$C$89=1)*($H$70:$H$89&gt;0)*($J$70:$J$89&gt;0)*$F$70:$F$89*(1+$I$70:$I$89))-(-0)*$D$86*(1+$I$86))*1,0))*1+C139)</f>
        <v>125.109122668155</v>
      </c>
      <c r="D140" s="29" t="n">
        <f aca="false">$B$55*(IF(D$133=0,SUMPRODUCT(($C$70:$C$89=0)*($H$70:$H$89&gt;0)*($J$70:$J$89&gt;0)*$F$70:$F$89*(1+$I$70:$I$89)),IF(D$133=1,(SUMPRODUCT(($C$70:$C$89=1)*($H$70:$H$89&gt;0)*($J$70:$J$89&gt;0)*$F$70:$F$89*(1+$I$70:$I$89))-(-0)*$D$86*(1+$I$86))*1,0))*1+D139)</f>
        <v>0</v>
      </c>
      <c r="E140" s="29" t="n">
        <f aca="false">$B$55*(IF(E$133=0,SUMPRODUCT(($C$70:$C$89=0)*($H$70:$H$89&gt;0)*($J$70:$J$89&gt;0)*$F$70:$F$89*(1+$I$70:$I$89)),IF(E$133=1,(SUMPRODUCT(($C$70:$C$89=1)*($H$70:$H$89&gt;0)*($J$70:$J$89&gt;0)*$F$70:$F$89*(1+$I$70:$I$89))-(-0)*$D$86*(1+$I$86))*1,0))*1+E139)</f>
        <v>0</v>
      </c>
      <c r="F140" s="29" t="n">
        <f aca="false">$B$55*(IF(F$133=0,SUMPRODUCT(($C$70:$C$89=0)*($H$70:$H$89&gt;0)*($J$70:$J$89&gt;0)*$F$70:$F$89*(1+$I$70:$I$89)),IF(F$133=1,(SUMPRODUCT(($C$70:$C$89=1)*($H$70:$H$89&gt;0)*($J$70:$J$89&gt;0)*$F$70:$F$89*(1+$I$70:$I$89))-(-0)*$D$86*(1+$I$86))*1,0))*1+F139)</f>
        <v>0</v>
      </c>
      <c r="G140" s="29" t="n">
        <f aca="false">$B$55*(IF(G$133=0,SUMPRODUCT(($C$70:$C$89=0)*($H$70:$H$89&gt;0)*($J$70:$J$89&gt;0)*$F$70:$F$89*(1+$I$70:$I$89)),IF(G$133=1,(SUMPRODUCT(($C$70:$C$89=1)*($H$70:$H$89&gt;0)*($J$70:$J$89&gt;0)*$F$70:$F$89*(1+$I$70:$I$89))-(-0)*$D$86*(1+$I$86))*1,0))*1+G139)</f>
        <v>5.21839128108597</v>
      </c>
      <c r="H140" s="29" t="n">
        <f aca="false">$B$55*(IF(H$133=0,SUMPRODUCT(($C$70:$C$89=0)*($H$70:$H$89&gt;0)*($J$70:$J$89&gt;0)*$F$70:$F$89*(1+$I$70:$I$89)),IF(H$133=1,(SUMPRODUCT(($C$70:$C$89=1)*($H$70:$H$89&gt;0)*($J$70:$J$89&gt;0)*$F$70:$F$89*(1+$I$70:$I$89))-(-0)*$D$86*(1+$I$86))*1,0))*1+H139)</f>
        <v>8.8139395850815</v>
      </c>
      <c r="I140" s="29" t="n">
        <f aca="false">$B$55*(IF(I$133=0,SUMPRODUCT(($C$70:$C$89=0)*($H$70:$H$89&gt;0)*($J$70:$J$89&gt;0)*$F$70:$F$89*(1+$I$70:$I$89)),IF(I$133=1,(SUMPRODUCT(($C$70:$C$89=1)*($H$70:$H$89&gt;0)*($J$70:$J$89&gt;0)*$F$70:$F$89*(1+$I$70:$I$89))-(-0)*$D$86*(1+$I$86))*1,0))*1+I139)</f>
        <v>0</v>
      </c>
      <c r="J140" s="29" t="n">
        <f aca="false">$B$55*(IF(J$133=0,SUMPRODUCT(($C$70:$C$89=0)*($H$70:$H$89&gt;0)*($J$70:$J$89&gt;0)*$F$70:$F$89*(1+$I$70:$I$89)),IF(J$133=1,(SUMPRODUCT(($C$70:$C$89=1)*($H$70:$H$89&gt;0)*($J$70:$J$89&gt;0)*$F$70:$F$89*(1+$I$70:$I$89))-(-0)*$D$86*(1+$I$86))*1,0))*1+J139)</f>
        <v>0</v>
      </c>
      <c r="K140" s="29" t="n">
        <f aca="false">$B$55*(IF(K$133=0,SUMPRODUCT(($C$70:$C$89=0)*($H$70:$H$89&gt;0)*($J$70:$J$89&gt;0)*$F$70:$F$89*(1+$I$70:$I$89)),IF(K$133=1,(SUMPRODUCT(($C$70:$C$89=1)*($H$70:$H$89&gt;0)*($J$70:$J$89&gt;0)*$F$70:$F$89*(1+$I$70:$I$89))-(-0)*$D$86*(1+$I$86))*1,0))*1+K139)</f>
        <v>0</v>
      </c>
      <c r="L140" s="29" t="n">
        <f aca="false">$B$55*(IF(L$133=0,SUMPRODUCT(($C$70:$C$89=0)*($H$70:$H$89&gt;0)*($J$70:$J$89&gt;0)*$F$70:$F$89*(1+$I$70:$I$89)),IF(L$133=1,(SUMPRODUCT(($C$70:$C$89=1)*($H$70:$H$89&gt;0)*($J$70:$J$89&gt;0)*$F$70:$F$89*(1+$I$70:$I$89))-(-0)*$D$86*(1+$I$86))*1,0))*1+L139)</f>
        <v>0</v>
      </c>
    </row>
    <row r="141" customFormat="false" ht="15" hidden="false" customHeight="false" outlineLevel="0" collapsed="false">
      <c r="A141" s="6" t="s">
        <v>386</v>
      </c>
      <c r="B141" s="29" t="n">
        <f aca="false">IF(B$133=0,(0*$J$126+(1-0)*$E$122)*$B$20*$B$21/12*1,((0*$J$126+(1-0)*$E$122)+(0*$J$104+(1-0)*$E$104)*(B136-1))*IF(B$133=1,$B$20,1))*1</f>
        <v>120.716772261203</v>
      </c>
      <c r="C141" s="29" t="n">
        <f aca="false">IF(C$133=0,(0*$J$126+(1-0)*$E$122)*$B$20*$B$21/12*1,((0*$J$126+(1-0)*$E$122)+(0*$J$104+(1-0)*$E$104)*(C136-1))*IF(C$133=1,$B$20,1))*1</f>
        <v>181.328317354069</v>
      </c>
      <c r="D141" s="29" t="n">
        <f aca="false">IF(D$133=0,(0*$J$126+(1-0)*$E$122)*$B$20*$B$21/12*1,((0*$J$126+(1-0)*$E$122)+(0*$J$104+(1-0)*$E$104)*(D136-1))*IF(D$133=1,$B$20,1))*1</f>
        <v>241.83157753184</v>
      </c>
      <c r="E141" s="29" t="n">
        <f aca="false">IF(E$133=0,(0*$J$126+(1-0)*$E$122)*$B$20*$B$21/12*1,((0*$J$126+(1-0)*$E$122)+(0*$J$104+(1-0)*$E$104)*(E136-1))*IF(E$133=1,$B$20,1))*1</f>
        <v>241.892367696887</v>
      </c>
      <c r="F141" s="29" t="n">
        <f aca="false">IF(F$133=0,(0*$J$126+(1-0)*$E$122)*$B$20*$B$21/12*1,((0*$J$126+(1-0)*$E$122)+(0*$J$104+(1-0)*$E$104)*(F136-1))*IF(F$133=1,$B$20,1))*1</f>
        <v>241.95346181276</v>
      </c>
      <c r="G141" s="29" t="n">
        <f aca="false">IF(G$133=0,(0*$J$126+(1-0)*$E$122)*$B$20*$B$21/12*1,((0*$J$126+(1-0)*$E$122)+(0*$J$104+(1-0)*$E$104)*(G136-1))*IF(G$133=1,$B$20,1))*1</f>
        <v>242.014861399211</v>
      </c>
      <c r="H141" s="29" t="n">
        <f aca="false">IF(H$133=0,(0*$J$126+(1-0)*$E$122)*$B$20*$B$21/12*1,((0*$J$126+(1-0)*$E$122)+(0*$J$104+(1-0)*$E$104)*(H136-1))*IF(H$133=1,$B$20,1))*1</f>
        <v>242.076567983595</v>
      </c>
      <c r="I141" s="29" t="n">
        <f aca="false">IF(I$133=0,(0*$J$126+(1-0)*$E$122)*$B$20*$B$21/12*1,((0*$J$126+(1-0)*$E$122)+(0*$J$104+(1-0)*$E$104)*(I136-1))*IF(I$133=1,$B$20,1))*1</f>
        <v>242.138583100901</v>
      </c>
      <c r="J141" s="29" t="n">
        <f aca="false">IF(J$133=0,(0*$J$126+(1-0)*$E$122)*$B$20*$B$21/12*1,((0*$J$126+(1-0)*$E$122)+(0*$J$104+(1-0)*$E$104)*(J136-1))*IF(J$133=1,$B$20,1))*1</f>
        <v>242.200908293794</v>
      </c>
      <c r="K141" s="29" t="n">
        <f aca="false">IF(K$133=0,(0*$J$126+(1-0)*$E$122)*$B$20*$B$21/12*1,((0*$J$126+(1-0)*$E$122)+(0*$J$104+(1-0)*$E$104)*(K136-1))*IF(K$133=1,$B$20,1))*1</f>
        <v>242.263545112651</v>
      </c>
      <c r="L141" s="29" t="n">
        <f aca="false">IF(L$133=0,(0*$J$126+(1-0)*$E$122)*$B$20*$B$21/12*1,((0*$J$126+(1-0)*$E$122)+(0*$J$104+(1-0)*$E$104)*(L136-1))*IF(L$133=1,$B$20,1))*1</f>
        <v>242.326495115602</v>
      </c>
    </row>
    <row r="142" customFormat="false" ht="15" hidden="false" customHeight="false" outlineLevel="0" collapsed="false">
      <c r="A142" s="6" t="s">
        <v>387</v>
      </c>
      <c r="B142" s="29" t="n">
        <f aca="false">IF(B$133&lt;=1,0,(((0*$J$127+(1-0)*$E$123)-(0*$J$113+(1-0)*$E$113)+1*(0*$J$113+(1-0)*$E$113)-(1-1)*((0*$J$119+(1-0)*$E$119)+(0*$J$118+(1-0)*$E$118))-(1-1)*(0*$J$117+(1-0)*$E$117)+1*(1-1)*'Beneficios y costos'!$B$144-(-0*1)*'Beneficios y costos'!$C$167)+(1*(0*$J$113+(1-0)*$E$113)+1*(0*$J$119+(1-0)*$E$119))*(B136-1))*IF(B$133=2,$B$20,1)+IF(B$133=2,$B$24*1*(0*$J$119+(1-0)*$E$119)*B136,0))*1*1</f>
        <v>0</v>
      </c>
      <c r="C142" s="29" t="n">
        <f aca="false">IF(C$133&lt;=1,0,(((0*$J$127+(1-0)*$E$123)-(0*$J$113+(1-0)*$E$113)+1*(0*$J$113+(1-0)*$E$113)-(1-1)*((0*$J$119+(1-0)*$E$119)+(0*$J$118+(1-0)*$E$118))-(1-1)*(0*$J$117+(1-0)*$E$117)+1*(1-1)*'Beneficios y costos'!$B$144-(-0*1)*'Beneficios y costos'!$C$167)+(1*(0*$J$113+(1-0)*$E$113)+1*(0*$J$119+(1-0)*$E$119))*(C136-1))*IF(C$133=2,$B$20,1)+IF(C$133=2,$B$24*1*(0*$J$119+(1-0)*$E$119)*C136,0))*1*1</f>
        <v>0</v>
      </c>
      <c r="D142" s="29" t="n">
        <f aca="false">IF(D$133&lt;=1,0,(((0*$J$127+(1-0)*$E$123)-(0*$J$113+(1-0)*$E$113)+1*(0*$J$113+(1-0)*$E$113)-(1-1)*((0*$J$119+(1-0)*$E$119)+(0*$J$118+(1-0)*$E$118))-(1-1)*(0*$J$117+(1-0)*$E$117)+1*(1-1)*'Beneficios y costos'!$B$144-(-0*1)*'Beneficios y costos'!$C$167)+(1*(0*$J$113+(1-0)*$E$113)+1*(0*$J$119+(1-0)*$E$119))*(D136-1))*IF(D$133=2,$B$20,1)+IF(D$133=2,$B$24*1*(0*$J$119+(1-0)*$E$119)*D136,0))*1*1</f>
        <v>257.351493734688</v>
      </c>
      <c r="E142" s="29" t="n">
        <f aca="false">IF(E$133&lt;=1,0,(((0*$J$127+(1-0)*$E$123)-(0*$J$113+(1-0)*$E$113)+1*(0*$J$113+(1-0)*$E$113)-(1-1)*((0*$J$119+(1-0)*$E$119)+(0*$J$118+(1-0)*$E$118))-(1-1)*(0*$J$117+(1-0)*$E$117)+1*(1-1)*'Beneficios y costos'!$B$144-(-0*1)*'Beneficios y costos'!$C$167)+(1*(0*$J$113+(1-0)*$E$113)+1*(0*$J$119+(1-0)*$E$119))*(E136-1))*IF(E$133=2,$B$20,1)+IF(E$133=2,$B$24*1*(0*$J$119+(1-0)*$E$119)*E136,0))*1*1</f>
        <v>328.494820128122</v>
      </c>
      <c r="F142" s="29" t="n">
        <f aca="false">IF(F$133&lt;=1,0,(((0*$J$127+(1-0)*$E$123)-(0*$J$113+(1-0)*$E$113)+1*(0*$J$113+(1-0)*$E$113)-(1-1)*((0*$J$119+(1-0)*$E$119)+(0*$J$118+(1-0)*$E$118))-(1-1)*(0*$J$117+(1-0)*$E$117)+1*(1-1)*'Beneficios y costos'!$B$144-(-0*1)*'Beneficios y costos'!$C$167)+(1*(0*$J$113+(1-0)*$E$113)+1*(0*$J$119+(1-0)*$E$119))*(F136-1))*IF(F$133=2,$B$20,1)+IF(F$133=2,$B$24*1*(0*$J$119+(1-0)*$E$119)*F136,0))*1*1</f>
        <v>328.742937047686</v>
      </c>
      <c r="G142" s="29" t="n">
        <f aca="false">IF(G$133&lt;=1,0,(((0*$J$127+(1-0)*$E$123)-(0*$J$113+(1-0)*$E$113)+1*(0*$J$113+(1-0)*$E$113)-(1-1)*((0*$J$119+(1-0)*$E$119)+(0*$J$118+(1-0)*$E$118))-(1-1)*(0*$J$117+(1-0)*$E$117)+1*(1-1)*'Beneficios y costos'!$B$144-(-0*1)*'Beneficios y costos'!$C$167)+(1*(0*$J$113+(1-0)*$E$113)+1*(0*$J$119+(1-0)*$E$119))*(G136-1))*IF(G$133=2,$B$20,1)+IF(G$133=2,$B$24*1*(0*$J$119+(1-0)*$E$119)*G136,0))*1*1</f>
        <v>328.992294551847</v>
      </c>
      <c r="H142" s="29" t="n">
        <f aca="false">IF(H$133&lt;=1,0,(((0*$J$127+(1-0)*$E$123)-(0*$J$113+(1-0)*$E$113)+1*(0*$J$113+(1-0)*$E$113)-(1-1)*((0*$J$119+(1-0)*$E$119)+(0*$J$118+(1-0)*$E$118))-(1-1)*(0*$J$117+(1-0)*$E$117)+1*(1-1)*'Beneficios y costos'!$B$144-(-0*1)*'Beneficios y costos'!$C$167)+(1*(0*$J$113+(1-0)*$E$113)+1*(0*$J$119+(1-0)*$E$119))*(H136-1))*IF(H$133=2,$B$20,1)+IF(H$133=2,$B$24*1*(0*$J$119+(1-0)*$E$119)*H136,0))*1*1</f>
        <v>329.242898843529</v>
      </c>
      <c r="I142" s="29" t="n">
        <f aca="false">IF(I$133&lt;=1,0,(((0*$J$127+(1-0)*$E$123)-(0*$J$113+(1-0)*$E$113)+1*(0*$J$113+(1-0)*$E$113)-(1-1)*((0*$J$119+(1-0)*$E$119)+(0*$J$118+(1-0)*$E$118))-(1-1)*(0*$J$117+(1-0)*$E$117)+1*(1-1)*'Beneficios y costos'!$B$144-(-0*1)*'Beneficios y costos'!$C$167)+(1*(0*$J$113+(1-0)*$E$113)+1*(0*$J$119+(1-0)*$E$119))*(I136-1))*IF(I$133=2,$B$20,1)+IF(I$133=2,$B$24*1*(0*$J$119+(1-0)*$E$119)*I136,0))*1*1</f>
        <v>329.49475615667</v>
      </c>
      <c r="J142" s="29" t="n">
        <f aca="false">IF(J$133&lt;=1,0,(((0*$J$127+(1-0)*$E$123)-(0*$J$113+(1-0)*$E$113)+1*(0*$J$113+(1-0)*$E$113)-(1-1)*((0*$J$119+(1-0)*$E$119)+(0*$J$118+(1-0)*$E$118))-(1-1)*(0*$J$117+(1-0)*$E$117)+1*(1-1)*'Beneficios y costos'!$B$144-(-0*1)*'Beneficios y costos'!$C$167)+(1*(0*$J$113+(1-0)*$E$113)+1*(0*$J$119+(1-0)*$E$119))*(J136-1))*IF(J$133=2,$B$20,1)+IF(J$133=2,$B$24*1*(0*$J$119+(1-0)*$E$119)*J136,0))*1*1</f>
        <v>329.747872756376</v>
      </c>
      <c r="K142" s="29" t="n">
        <f aca="false">IF(K$133&lt;=1,0,(((0*$J$127+(1-0)*$E$123)-(0*$J$113+(1-0)*$E$113)+1*(0*$J$113+(1-0)*$E$113)-(1-1)*((0*$J$119+(1-0)*$E$119)+(0*$J$118+(1-0)*$E$118))-(1-1)*(0*$J$117+(1-0)*$E$117)+1*(1-1)*'Beneficios y costos'!$B$144-(-0*1)*'Beneficios y costos'!$C$167)+(1*(0*$J$113+(1-0)*$E$113)+1*(0*$J$119+(1-0)*$E$119))*(K136-1))*IF(K$133=2,$B$20,1)+IF(K$133=2,$B$24*1*(0*$J$119+(1-0)*$E$119)*K136,0))*1*1</f>
        <v>330.00225493908</v>
      </c>
      <c r="L142" s="29" t="n">
        <f aca="false">IF(L$133&lt;=1,0,(((0*$J$127+(1-0)*$E$123)-(0*$J$113+(1-0)*$E$113)+1*(0*$J$113+(1-0)*$E$113)-(1-1)*((0*$J$119+(1-0)*$E$119)+(0*$J$118+(1-0)*$E$118))-(1-1)*(0*$J$117+(1-0)*$E$117)+1*(1-1)*'Beneficios y costos'!$B$144-(-0*1)*'Beneficios y costos'!$C$167)+(1*(0*$J$113+(1-0)*$E$113)+1*(0*$J$119+(1-0)*$E$119))*(L136-1))*IF(L$133=2,$B$20,1)+IF(L$133=2,$B$24*1*(0*$J$119+(1-0)*$E$119)*L136,0))*1*1</f>
        <v>330.257909032699</v>
      </c>
    </row>
    <row r="143" customFormat="false" ht="15" hidden="false" customHeight="false" outlineLevel="0" collapsed="false">
      <c r="A143" s="5" t="s">
        <v>412</v>
      </c>
      <c r="B143" s="10" t="n">
        <f aca="false">B141+B142</f>
        <v>120.716772261203</v>
      </c>
      <c r="C143" s="10" t="n">
        <f aca="false">C141+C142</f>
        <v>181.328317354069</v>
      </c>
      <c r="D143" s="10" t="n">
        <f aca="false">D141+D142</f>
        <v>499.183071266528</v>
      </c>
      <c r="E143" s="10" t="n">
        <f aca="false">E141+E142</f>
        <v>570.38718782501</v>
      </c>
      <c r="F143" s="10" t="n">
        <f aca="false">F141+F142</f>
        <v>570.696398860445</v>
      </c>
      <c r="G143" s="10" t="n">
        <f aca="false">G141+G142</f>
        <v>571.007155951058</v>
      </c>
      <c r="H143" s="10" t="n">
        <f aca="false">H141+H142</f>
        <v>571.319466827124</v>
      </c>
      <c r="I143" s="10" t="n">
        <f aca="false">I141+I142</f>
        <v>571.633339257571</v>
      </c>
      <c r="J143" s="10" t="n">
        <f aca="false">J141+J142</f>
        <v>571.94878105017</v>
      </c>
      <c r="K143" s="10" t="n">
        <f aca="false">K141+K142</f>
        <v>572.265800051731</v>
      </c>
      <c r="L143" s="10" t="n">
        <f aca="false">L141+L142</f>
        <v>572.584404148301</v>
      </c>
    </row>
    <row r="144" customFormat="false" ht="15" hidden="false" customHeight="false" outlineLevel="0" collapsed="false">
      <c r="A144" s="6" t="s">
        <v>413</v>
      </c>
      <c r="B144" s="29" t="n">
        <f aca="false">(IF(B$133&gt;=1,($B$31+$B$33)*$F$94*1+$B$32+'Beneficios y costos'!$B$249,0)+IF(B$133&gt;=2,(($B$31+$B$33)*($F$95-(-0)*$D$86)*1+'Beneficios y costos'!$C$249-(-0)*'Beneficios y costos'!$H$235)*1,0))*1</f>
        <v>0</v>
      </c>
      <c r="C144" s="29" t="n">
        <f aca="false">(IF(C$133&gt;=1,($B$31+$B$33)*$F$94*1+$B$32+'Beneficios y costos'!$B$249,0)+IF(C$133&gt;=2,(($B$31+$B$33)*($F$95-(-0)*$D$86)*1+'Beneficios y costos'!$C$249-(-0)*'Beneficios y costos'!$H$235)*1,0))*1</f>
        <v>42.0946487260605</v>
      </c>
      <c r="D144" s="29" t="n">
        <f aca="false">(IF(D$133&gt;=1,($B$31+$B$33)*$F$94*1+$B$32+'Beneficios y costos'!$B$249,0)+IF(D$133&gt;=2,(($B$31+$B$33)*($F$95-(-0)*$D$86)*1+'Beneficios y costos'!$C$249-(-0)*'Beneficios y costos'!$H$235)*1,0))*1</f>
        <v>76.4964821173776</v>
      </c>
      <c r="E144" s="29" t="n">
        <f aca="false">(IF(E$133&gt;=1,($B$31+$B$33)*$F$94*1+$B$32+'Beneficios y costos'!$B$249,0)+IF(E$133&gt;=2,(($B$31+$B$33)*($F$95-(-0)*$D$86)*1+'Beneficios y costos'!$C$249-(-0)*'Beneficios y costos'!$H$235)*1,0))*1</f>
        <v>76.4964821173776</v>
      </c>
      <c r="F144" s="29" t="n">
        <f aca="false">(IF(F$133&gt;=1,($B$31+$B$33)*$F$94*1+$B$32+'Beneficios y costos'!$B$249,0)+IF(F$133&gt;=2,(($B$31+$B$33)*($F$95-(-0)*$D$86)*1+'Beneficios y costos'!$C$249-(-0)*'Beneficios y costos'!$H$235)*1,0))*1</f>
        <v>76.4964821173776</v>
      </c>
      <c r="G144" s="29" t="n">
        <f aca="false">(IF(G$133&gt;=1,($B$31+$B$33)*$F$94*1+$B$32+'Beneficios y costos'!$B$249,0)+IF(G$133&gt;=2,(($B$31+$B$33)*($F$95-(-0)*$D$86)*1+'Beneficios y costos'!$C$249-(-0)*'Beneficios y costos'!$H$235)*1,0))*1</f>
        <v>76.4964821173776</v>
      </c>
      <c r="H144" s="29" t="n">
        <f aca="false">(IF(H$133&gt;=1,($B$31+$B$33)*$F$94*1+$B$32+'Beneficios y costos'!$B$249,0)+IF(H$133&gt;=2,(($B$31+$B$33)*($F$95-(-0)*$D$86)*1+'Beneficios y costos'!$C$249-(-0)*'Beneficios y costos'!$H$235)*1,0))*1</f>
        <v>76.4964821173776</v>
      </c>
      <c r="I144" s="29" t="n">
        <f aca="false">(IF(I$133&gt;=1,($B$31+$B$33)*$F$94*1+$B$32+'Beneficios y costos'!$B$249,0)+IF(I$133&gt;=2,(($B$31+$B$33)*($F$95-(-0)*$D$86)*1+'Beneficios y costos'!$C$249-(-0)*'Beneficios y costos'!$H$235)*1,0))*1</f>
        <v>76.4964821173776</v>
      </c>
      <c r="J144" s="29" t="n">
        <f aca="false">(IF(J$133&gt;=1,($B$31+$B$33)*$F$94*1+$B$32+'Beneficios y costos'!$B$249,0)+IF(J$133&gt;=2,(($B$31+$B$33)*($F$95-(-0)*$D$86)*1+'Beneficios y costos'!$C$249-(-0)*'Beneficios y costos'!$H$235)*1,0))*1</f>
        <v>76.4964821173776</v>
      </c>
      <c r="K144" s="29" t="n">
        <f aca="false">(IF(K$133&gt;=1,($B$31+$B$33)*$F$94*1+$B$32+'Beneficios y costos'!$B$249,0)+IF(K$133&gt;=2,(($B$31+$B$33)*($F$95-(-0)*$D$86)*1+'Beneficios y costos'!$C$249-(-0)*'Beneficios y costos'!$H$235)*1,0))*1</f>
        <v>76.4964821173776</v>
      </c>
      <c r="L144" s="29" t="n">
        <f aca="false">(IF(L$133&gt;=1,($B$31+$B$33)*$F$94*1+$B$32+'Beneficios y costos'!$B$249,0)+IF(L$133&gt;=2,(($B$31+$B$33)*($F$95-(-0)*$D$86)*1+'Beneficios y costos'!$C$249-(-0)*'Beneficios y costos'!$H$235)*1,0))*1</f>
        <v>76.4964821173776</v>
      </c>
    </row>
    <row r="145" customFormat="false" ht="15" hidden="false" customHeight="false" outlineLevel="0" collapsed="false">
      <c r="A145" s="6" t="s">
        <v>414</v>
      </c>
      <c r="B145" s="29" t="n">
        <f aca="false">IF(B$133=1,2*$B$22*$B$23/12*B136,0)*1</f>
        <v>0</v>
      </c>
      <c r="C145" s="29" t="n">
        <f aca="false">IF(C$133=1,2*$B$22*$B$23/12*C136,0)*1</f>
        <v>18.5166509433962</v>
      </c>
      <c r="D145" s="29" t="n">
        <f aca="false">IF(D$133=1,2*$B$22*$B$23/12*D136,0)*1</f>
        <v>0</v>
      </c>
      <c r="E145" s="29" t="n">
        <f aca="false">IF(E$133=1,2*$B$22*$B$23/12*E136,0)*1</f>
        <v>0</v>
      </c>
      <c r="F145" s="29" t="n">
        <f aca="false">IF(F$133=1,2*$B$22*$B$23/12*F136,0)*1</f>
        <v>0</v>
      </c>
      <c r="G145" s="29" t="n">
        <f aca="false">IF(G$133=1,2*$B$22*$B$23/12*G136,0)*1</f>
        <v>0</v>
      </c>
      <c r="H145" s="29" t="n">
        <f aca="false">IF(H$133=1,2*$B$22*$B$23/12*H136,0)*1</f>
        <v>0</v>
      </c>
      <c r="I145" s="29" t="n">
        <f aca="false">IF(I$133=1,2*$B$22*$B$23/12*I136,0)*1</f>
        <v>0</v>
      </c>
      <c r="J145" s="29" t="n">
        <f aca="false">IF(J$133=1,2*$B$22*$B$23/12*J136,0)*1</f>
        <v>0</v>
      </c>
      <c r="K145" s="29" t="n">
        <f aca="false">IF(K$133=1,2*$B$22*$B$23/12*K136,0)*1</f>
        <v>0</v>
      </c>
      <c r="L145" s="29" t="n">
        <f aca="false">IF(L$133=1,2*$B$22*$B$23/12*L136,0)*1</f>
        <v>0</v>
      </c>
    </row>
    <row r="146" customFormat="false" ht="15" hidden="false" customHeight="false" outlineLevel="0" collapsed="false">
      <c r="A146" s="6" t="s">
        <v>415</v>
      </c>
      <c r="B146" s="29" t="n">
        <f aca="false">$B$52*(B138+B139+B140+B144+B145)</f>
        <v>4.31966364396742</v>
      </c>
      <c r="C146" s="29" t="n">
        <f aca="false">$B$52*(C138+C139+C140+C144+C145)</f>
        <v>3.37675795604844</v>
      </c>
      <c r="D146" s="29" t="n">
        <f aca="false">$B$52*(D138+D139+D140+D144+D145)</f>
        <v>0.305985928469511</v>
      </c>
      <c r="E146" s="29" t="n">
        <f aca="false">$B$52*(E138+E139+E140+E144+E145)</f>
        <v>0.305985928469511</v>
      </c>
      <c r="F146" s="29" t="n">
        <f aca="false">$B$52*(F138+F139+F140+F144+F145)</f>
        <v>0.305985928469511</v>
      </c>
      <c r="G146" s="29" t="n">
        <f aca="false">$B$52*(G138+G139+G140+G144+G145)</f>
        <v>0.436720362669349</v>
      </c>
      <c r="H146" s="29" t="n">
        <f aca="false">$B$52*(H138+H139+H140+H144+H145)</f>
        <v>0.526798309653658</v>
      </c>
      <c r="I146" s="29" t="n">
        <f aca="false">$B$52*(I138+I139+I140+I144+I145)</f>
        <v>0.305985928469511</v>
      </c>
      <c r="J146" s="29" t="n">
        <f aca="false">$B$52*(J138+J139+J140+J144+J145)</f>
        <v>0.305985928469511</v>
      </c>
      <c r="K146" s="29" t="n">
        <f aca="false">$B$52*(K138+K139+K140+K144+K145)</f>
        <v>0.305985928469511</v>
      </c>
      <c r="L146" s="29" t="n">
        <f aca="false">$B$52*(L138+L139+L140+L144+L145)</f>
        <v>0.305985928469511</v>
      </c>
    </row>
    <row r="147" customFormat="false" ht="15" hidden="false" customHeight="false" outlineLevel="0" collapsed="false">
      <c r="A147" s="6" t="s">
        <v>416</v>
      </c>
      <c r="B147" s="29" t="n">
        <f aca="false">(IF(1=1,(SUMPRODUCT(($C$70:$C$89=0)*($J$70:$J$89&gt;0)*(B$133&gt;=1)*(B$133&lt;=$J$70:$J$89)*($H$70:$H$89&gt;0)*$F$70:$F$89*(1+$I$70:$I$89)/($J$70:$J$89+($J$70:$J$89=0)))+SUMPRODUCT(($C$70:$C$89=0)*($J$70:$J$89=0)*(B$133=0)*($H$70:$H$89&gt;0)*$F$70:$F$89*(1+$I$70:$I$89)))*$B$135+((SUMPRODUCT(($C$70:$C$89=1)*($J$70:$J$89&gt;0)*(B$133&gt;=2)*(B$133&lt;=$J$70:$J$89+1)*($H$70:$H$89&gt;0)*$F$70:$F$89*(1+$I$70:$I$89)/($J$70:$J$89+($J$70:$J$89=0)))+SUMPRODUCT(($C$70:$C$89=1)*($J$70:$J$89=0)*(B$133=1)*($H$70:$H$89&gt;0)*$F$70:$F$89*(1+$I$70:$I$89)))-(-0)*IF(AND(B$133&gt;=2,B$133&lt;=$J$86+1),$D$86*(1+$I$86)/$J$86,0))*$C$135*1,IF(AND(B$133&gt;=1,B$133&lt;=$B$30),$F$92/$B$30,0)*$B$135+IF(AND(B$133&gt;=2,B$133&lt;=$B$30+1),($F$93-(-0)*$D$86*(1+$I$86))/$B$30,0)*$C$135*1)*1+IF(AND(B$133&gt;=6,B$133&lt;=10),$G139*$G135/5,0)+IF(AND(B$133&gt;=7,B$133&lt;=11),$H139*$H135/5,0))*B137</f>
        <v>145.980915430742</v>
      </c>
      <c r="C147" s="29" t="n">
        <f aca="false">(IF(1=1,(SUMPRODUCT(($C$70:$C$89=0)*($J$70:$J$89&gt;0)*(C$133&gt;=1)*(C$133&lt;=$J$70:$J$89)*($H$70:$H$89&gt;0)*$F$70:$F$89*(1+$I$70:$I$89)/($J$70:$J$89+($J$70:$J$89=0)))+SUMPRODUCT(($C$70:$C$89=0)*($J$70:$J$89=0)*(C$133=0)*($H$70:$H$89&gt;0)*$F$70:$F$89*(1+$I$70:$I$89)))*$B$135+((SUMPRODUCT(($C$70:$C$89=1)*($J$70:$J$89&gt;0)*(C$133&gt;=2)*(C$133&lt;=$J$70:$J$89+1)*($H$70:$H$89&gt;0)*$F$70:$F$89*(1+$I$70:$I$89)/($J$70:$J$89+($J$70:$J$89=0)))+SUMPRODUCT(($C$70:$C$89=1)*($J$70:$J$89=0)*(C$133=1)*($H$70:$H$89&gt;0)*$F$70:$F$89*(1+$I$70:$I$89)))-(-0)*IF(AND(C$133&gt;=2,C$133&lt;=$J$86+1),$D$86*(1+$I$86)/$J$86,0))*$C$135*1,IF(AND(C$133&gt;=1,C$133&lt;=$B$30),$F$92/$B$30,0)*$B$135+IF(AND(C$133&gt;=2,C$133&lt;=$B$30+1),($F$93-(-0)*$D$86*(1+$I$86))/$B$30,0)*$C$135*1)*1+IF(AND(C$133&gt;=6,C$133&lt;=10),$G139*$G135/5,0)+IF(AND(C$133&gt;=7,C$133&lt;=11),$H139*$H135/5,0))*C137</f>
        <v>82.2633269524265</v>
      </c>
      <c r="D147" s="29" t="n">
        <f aca="false">(IF(1=1,(SUMPRODUCT(($C$70:$C$89=0)*($J$70:$J$89&gt;0)*(D$133&gt;=1)*(D$133&lt;=$J$70:$J$89)*($H$70:$H$89&gt;0)*$F$70:$F$89*(1+$I$70:$I$89)/($J$70:$J$89+($J$70:$J$89=0)))+SUMPRODUCT(($C$70:$C$89=0)*($J$70:$J$89=0)*(D$133=0)*($H$70:$H$89&gt;0)*$F$70:$F$89*(1+$I$70:$I$89)))*$B$135+((SUMPRODUCT(($C$70:$C$89=1)*($J$70:$J$89&gt;0)*(D$133&gt;=2)*(D$133&lt;=$J$70:$J$89+1)*($H$70:$H$89&gt;0)*$F$70:$F$89*(1+$I$70:$I$89)/($J$70:$J$89+($J$70:$J$89=0)))+SUMPRODUCT(($C$70:$C$89=1)*($J$70:$J$89=0)*(D$133=1)*($H$70:$H$89&gt;0)*$F$70:$F$89*(1+$I$70:$I$89)))-(-0)*IF(AND(D$133&gt;=2,D$133&lt;=$J$86+1),$D$86*(1+$I$86)/$J$86,0))*$C$135*1,IF(AND(D$133&gt;=1,D$133&lt;=$B$30),$F$92/$B$30,0)*$B$135+IF(AND(D$133&gt;=2,D$133&lt;=$B$30+1),($F$93-(-0)*$D$86*(1+$I$86))/$B$30,0)*$C$135*1)*1+IF(AND(D$133&gt;=6,D$133&lt;=10),$G139*$G135/5,0)+IF(AND(D$133&gt;=7,D$133&lt;=11),$H139*$H135/5,0))*D137</f>
        <v>141.732280975958</v>
      </c>
      <c r="E147" s="29" t="n">
        <f aca="false">(IF(1=1,(SUMPRODUCT(($C$70:$C$89=0)*($J$70:$J$89&gt;0)*(E$133&gt;=1)*(E$133&lt;=$J$70:$J$89)*($H$70:$H$89&gt;0)*$F$70:$F$89*(1+$I$70:$I$89)/($J$70:$J$89+($J$70:$J$89=0)))+SUMPRODUCT(($C$70:$C$89=0)*($J$70:$J$89=0)*(E$133=0)*($H$70:$H$89&gt;0)*$F$70:$F$89*(1+$I$70:$I$89)))*$B$135+((SUMPRODUCT(($C$70:$C$89=1)*($J$70:$J$89&gt;0)*(E$133&gt;=2)*(E$133&lt;=$J$70:$J$89+1)*($H$70:$H$89&gt;0)*$F$70:$F$89*(1+$I$70:$I$89)/($J$70:$J$89+($J$70:$J$89=0)))+SUMPRODUCT(($C$70:$C$89=1)*($J$70:$J$89=0)*(E$133=1)*($H$70:$H$89&gt;0)*$F$70:$F$89*(1+$I$70:$I$89)))-(-0)*IF(AND(E$133&gt;=2,E$133&lt;=$J$86+1),$D$86*(1+$I$86)/$J$86,0))*$C$135*1,IF(AND(E$133&gt;=1,E$133&lt;=$B$30),$F$92/$B$30,0)*$B$135+IF(AND(E$133&gt;=2,E$133&lt;=$B$30+1),($F$93-(-0)*$D$86*(1+$I$86))/$B$30,0)*$C$135*1)*1+IF(AND(E$133&gt;=6,E$133&lt;=10),$G139*$G135/5,0)+IF(AND(E$133&gt;=7,E$133&lt;=11),$H139*$H135/5,0))*E137</f>
        <v>136.28103939996</v>
      </c>
      <c r="F147" s="29" t="n">
        <f aca="false">(IF(1=1,(SUMPRODUCT(($C$70:$C$89=0)*($J$70:$J$89&gt;0)*(F$133&gt;=1)*(F$133&lt;=$J$70:$J$89)*($H$70:$H$89&gt;0)*$F$70:$F$89*(1+$I$70:$I$89)/($J$70:$J$89+($J$70:$J$89=0)))+SUMPRODUCT(($C$70:$C$89=0)*($J$70:$J$89=0)*(F$133=0)*($H$70:$H$89&gt;0)*$F$70:$F$89*(1+$I$70:$I$89)))*$B$135+((SUMPRODUCT(($C$70:$C$89=1)*($J$70:$J$89&gt;0)*(F$133&gt;=2)*(F$133&lt;=$J$70:$J$89+1)*($H$70:$H$89&gt;0)*$F$70:$F$89*(1+$I$70:$I$89)/($J$70:$J$89+($J$70:$J$89=0)))+SUMPRODUCT(($C$70:$C$89=1)*($J$70:$J$89=0)*(F$133=1)*($H$70:$H$89&gt;0)*$F$70:$F$89*(1+$I$70:$I$89)))-(-0)*IF(AND(F$133&gt;=2,F$133&lt;=$J$86+1),$D$86*(1+$I$86)/$J$86,0))*$C$135*1,IF(AND(F$133&gt;=1,F$133&lt;=$B$30),$F$92/$B$30,0)*$B$135+IF(AND(F$133&gt;=2,F$133&lt;=$B$30+1),($F$93-(-0)*$D$86*(1+$I$86))/$B$30,0)*$C$135*1)*1+IF(AND(F$133&gt;=6,F$133&lt;=10),$G139*$G135/5,0)+IF(AND(F$133&gt;=7,F$133&lt;=11),$H139*$H135/5,0))*F137</f>
        <v>131.0394609615</v>
      </c>
      <c r="G147" s="29" t="n">
        <f aca="false">(IF(1=1,(SUMPRODUCT(($C$70:$C$89=0)*($J$70:$J$89&gt;0)*(G$133&gt;=1)*(G$133&lt;=$J$70:$J$89)*($H$70:$H$89&gt;0)*$F$70:$F$89*(1+$I$70:$I$89)/($J$70:$J$89+($J$70:$J$89=0)))+SUMPRODUCT(($C$70:$C$89=0)*($J$70:$J$89=0)*(G$133=0)*($H$70:$H$89&gt;0)*$F$70:$F$89*(1+$I$70:$I$89)))*$B$135+((SUMPRODUCT(($C$70:$C$89=1)*($J$70:$J$89&gt;0)*(G$133&gt;=2)*(G$133&lt;=$J$70:$J$89+1)*($H$70:$H$89&gt;0)*$F$70:$F$89*(1+$I$70:$I$89)/($J$70:$J$89+($J$70:$J$89=0)))+SUMPRODUCT(($C$70:$C$89=1)*($J$70:$J$89=0)*(G$133=1)*($H$70:$H$89&gt;0)*$F$70:$F$89*(1+$I$70:$I$89)))-(-0)*IF(AND(G$133&gt;=2,G$133&lt;=$J$86+1),$D$86*(1+$I$86)/$J$86,0))*$C$135*1,IF(AND(G$133&gt;=1,G$133&lt;=$B$30),$F$92/$B$30,0)*$B$135+IF(AND(G$133&gt;=2,G$133&lt;=$B$30+1),($F$93-(-0)*$D$86*(1+$I$86))/$B$30,0)*$C$135*1)*1+IF(AND(G$133&gt;=6,G$133&lt;=10),$G139*$G135/5,0)+IF(AND(G$133&gt;=7,G$133&lt;=11),$H139*$H135/5,0))*G137</f>
        <v>125.99948169375</v>
      </c>
      <c r="H147" s="29" t="n">
        <f aca="false">(IF(1=1,(SUMPRODUCT(($C$70:$C$89=0)*($J$70:$J$89&gt;0)*(H$133&gt;=1)*(H$133&lt;=$J$70:$J$89)*($H$70:$H$89&gt;0)*$F$70:$F$89*(1+$I$70:$I$89)/($J$70:$J$89+($J$70:$J$89=0)))+SUMPRODUCT(($C$70:$C$89=0)*($J$70:$J$89=0)*(H$133=0)*($H$70:$H$89&gt;0)*$F$70:$F$89*(1+$I$70:$I$89)))*$B$135+((SUMPRODUCT(($C$70:$C$89=1)*($J$70:$J$89&gt;0)*(H$133&gt;=2)*(H$133&lt;=$J$70:$J$89+1)*($H$70:$H$89&gt;0)*$F$70:$F$89*(1+$I$70:$I$89)/($J$70:$J$89+($J$70:$J$89=0)))+SUMPRODUCT(($C$70:$C$89=1)*($J$70:$J$89=0)*(H$133=1)*($H$70:$H$89&gt;0)*$F$70:$F$89*(1+$I$70:$I$89)))-(-0)*IF(AND(H$133&gt;=2,H$133&lt;=$J$86+1),$D$86*(1+$I$86)/$J$86,0))*$C$135*1,IF(AND(H$133&gt;=1,H$133&lt;=$B$30),$F$92/$B$30,0)*$B$135+IF(AND(H$133&gt;=2,H$133&lt;=$B$30+1),($F$93-(-0)*$D$86*(1+$I$86))/$B$30,0)*$C$135*1)*1+IF(AND(H$133&gt;=6,H$133&lt;=10),$G139*$G135/5,0)+IF(AND(H$133&gt;=7,H$133&lt;=11),$H139*$H135/5,0))*H137</f>
        <v>114.13472617855</v>
      </c>
      <c r="I147" s="29" t="n">
        <f aca="false">(IF(1=1,(SUMPRODUCT(($C$70:$C$89=0)*($J$70:$J$89&gt;0)*(I$133&gt;=1)*(I$133&lt;=$J$70:$J$89)*($H$70:$H$89&gt;0)*$F$70:$F$89*(1+$I$70:$I$89)/($J$70:$J$89+($J$70:$J$89=0)))+SUMPRODUCT(($C$70:$C$89=0)*($J$70:$J$89=0)*(I$133=0)*($H$70:$H$89&gt;0)*$F$70:$F$89*(1+$I$70:$I$89)))*$B$135+((SUMPRODUCT(($C$70:$C$89=1)*($J$70:$J$89&gt;0)*(I$133&gt;=2)*(I$133&lt;=$J$70:$J$89+1)*($H$70:$H$89&gt;0)*$F$70:$F$89*(1+$I$70:$I$89)/($J$70:$J$89+($J$70:$J$89=0)))+SUMPRODUCT(($C$70:$C$89=1)*($J$70:$J$89=0)*(I$133=1)*($H$70:$H$89&gt;0)*$F$70:$F$89*(1+$I$70:$I$89)))-(-0)*IF(AND(I$133&gt;=2,I$133&lt;=$J$86+1),$D$86*(1+$I$86)/$J$86,0))*$C$135*1,IF(AND(I$133&gt;=1,I$133&lt;=$B$30),$F$92/$B$30,0)*$B$135+IF(AND(I$133&gt;=2,I$133&lt;=$B$30+1),($F$93-(-0)*$D$86*(1+$I$86))/$B$30,0)*$C$135*1)*1+IF(AND(I$133&gt;=6,I$133&lt;=10),$G139*$G135/5,0)+IF(AND(I$133&gt;=7,I$133&lt;=11),$H139*$H135/5,0))*I137</f>
        <v>118.665920500713</v>
      </c>
      <c r="J147" s="29" t="n">
        <f aca="false">(IF(1=1,(SUMPRODUCT(($C$70:$C$89=0)*($J$70:$J$89&gt;0)*(J$133&gt;=1)*(J$133&lt;=$J$70:$J$89)*($H$70:$H$89&gt;0)*$F$70:$F$89*(1+$I$70:$I$89)/($J$70:$J$89+($J$70:$J$89=0)))+SUMPRODUCT(($C$70:$C$89=0)*($J$70:$J$89=0)*(J$133=0)*($H$70:$H$89&gt;0)*$F$70:$F$89*(1+$I$70:$I$89)))*$B$135+((SUMPRODUCT(($C$70:$C$89=1)*($J$70:$J$89&gt;0)*(J$133&gt;=2)*(J$133&lt;=$J$70:$J$89+1)*($H$70:$H$89&gt;0)*$F$70:$F$89*(1+$I$70:$I$89)/($J$70:$J$89+($J$70:$J$89=0)))+SUMPRODUCT(($C$70:$C$89=1)*($J$70:$J$89=0)*(J$133=1)*($H$70:$H$89&gt;0)*$F$70:$F$89*(1+$I$70:$I$89)))-(-0)*IF(AND(J$133&gt;=2,J$133&lt;=$J$86+1),$D$86*(1+$I$86)/$J$86,0))*$C$135*1,IF(AND(J$133&gt;=1,J$133&lt;=$B$30),$F$92/$B$30,0)*$B$135+IF(AND(J$133&gt;=2,J$133&lt;=$B$30+1),($F$93-(-0)*$D$86*(1+$I$86))/$B$30,0)*$C$135*1)*1+IF(AND(J$133&gt;=6,J$133&lt;=10),$G139*$G135/5,0)+IF(AND(J$133&gt;=7,J$133&lt;=11),$H139*$H135/5,0))*J137</f>
        <v>114.101846635301</v>
      </c>
      <c r="K147" s="29" t="n">
        <f aca="false">(IF(1=1,(SUMPRODUCT(($C$70:$C$89=0)*($J$70:$J$89&gt;0)*(K$133&gt;=1)*(K$133&lt;=$J$70:$J$89)*($H$70:$H$89&gt;0)*$F$70:$F$89*(1+$I$70:$I$89)/($J$70:$J$89+($J$70:$J$89=0)))+SUMPRODUCT(($C$70:$C$89=0)*($J$70:$J$89=0)*(K$133=0)*($H$70:$H$89&gt;0)*$F$70:$F$89*(1+$I$70:$I$89)))*$B$135+((SUMPRODUCT(($C$70:$C$89=1)*($J$70:$J$89&gt;0)*(K$133&gt;=2)*(K$133&lt;=$J$70:$J$89+1)*($H$70:$H$89&gt;0)*$F$70:$F$89*(1+$I$70:$I$89)/($J$70:$J$89+($J$70:$J$89=0)))+SUMPRODUCT(($C$70:$C$89=1)*($J$70:$J$89=0)*(K$133=1)*($H$70:$H$89&gt;0)*$F$70:$F$89*(1+$I$70:$I$89)))-(-0)*IF(AND(K$133&gt;=2,K$133&lt;=$J$86+1),$D$86*(1+$I$86)/$J$86,0))*$C$135*1,IF(AND(K$133&gt;=1,K$133&lt;=$B$30),$F$92/$B$30,0)*$B$135+IF(AND(K$133&gt;=2,K$133&lt;=$B$30+1),($F$93-(-0)*$D$86*(1+$I$86))/$B$30,0)*$C$135*1)*1+IF(AND(K$133&gt;=6,K$133&lt;=10),$G139*$G135/5,0)+IF(AND(K$133&gt;=7,K$133&lt;=11),$H139*$H135/5,0))*K137</f>
        <v>109.713314072405</v>
      </c>
      <c r="L147" s="29" t="n">
        <f aca="false">(IF(1=1,(SUMPRODUCT(($C$70:$C$89=0)*($J$70:$J$89&gt;0)*(L$133&gt;=1)*(L$133&lt;=$J$70:$J$89)*($H$70:$H$89&gt;0)*$F$70:$F$89*(1+$I$70:$I$89)/($J$70:$J$89+($J$70:$J$89=0)))+SUMPRODUCT(($C$70:$C$89=0)*($J$70:$J$89=0)*(L$133=0)*($H$70:$H$89&gt;0)*$F$70:$F$89*(1+$I$70:$I$89)))*$B$135+((SUMPRODUCT(($C$70:$C$89=1)*($J$70:$J$89&gt;0)*(L$133&gt;=2)*(L$133&lt;=$J$70:$J$89+1)*($H$70:$H$89&gt;0)*$F$70:$F$89*(1+$I$70:$I$89)/($J$70:$J$89+($J$70:$J$89=0)))+SUMPRODUCT(($C$70:$C$89=1)*($J$70:$J$89=0)*(L$133=1)*($H$70:$H$89&gt;0)*$F$70:$F$89*(1+$I$70:$I$89)))-(-0)*IF(AND(L$133&gt;=2,L$133&lt;=$J$86+1),$D$86*(1+$I$86)/$J$86,0))*$C$135*1,IF(AND(L$133&gt;=1,L$133&lt;=$B$30),$F$92/$B$30,0)*$B$135+IF(AND(L$133&gt;=2,L$133&lt;=$B$30+1),($F$93-(-0)*$D$86*(1+$I$86))/$B$30,0)*$C$135*1)*1+IF(AND(L$133&gt;=6,L$133&lt;=10),$G139*$G135/5,0)+IF(AND(L$133&gt;=7,L$133&lt;=11),$H139*$H135/5,0))*L137</f>
        <v>105.493571223466</v>
      </c>
    </row>
    <row r="148" customFormat="false" ht="15" hidden="false" customHeight="false" outlineLevel="0" collapsed="false">
      <c r="A148" s="9" t="s">
        <v>417</v>
      </c>
      <c r="B148" s="58" t="n">
        <f aca="false">IF(B$133=1,MIN(1*0*$B$56*$D$86*1*1,$B$57*$B$58),0)</f>
        <v>0</v>
      </c>
      <c r="C148" s="58" t="n">
        <f aca="false">IF(C$133=1,MIN(1*0*$B$56*$D$86*1*1,$B$57*$B$58),0)</f>
        <v>0</v>
      </c>
      <c r="D148" s="58" t="n">
        <f aca="false">IF(D$133=1,MIN(1*0*$B$56*$D$86*1*1,$B$57*$B$58),0)</f>
        <v>0</v>
      </c>
      <c r="E148" s="58" t="n">
        <f aca="false">IF(E$133=1,MIN(1*0*$B$56*$D$86*1*1,$B$57*$B$58),0)</f>
        <v>0</v>
      </c>
      <c r="F148" s="58" t="n">
        <f aca="false">IF(F$133=1,MIN(1*0*$B$56*$D$86*1*1,$B$57*$B$58),0)</f>
        <v>0</v>
      </c>
      <c r="G148" s="58" t="n">
        <f aca="false">IF(G$133=1,MIN(1*0*$B$56*$D$86*1*1,$B$57*$B$58),0)</f>
        <v>0</v>
      </c>
      <c r="H148" s="58" t="n">
        <f aca="false">IF(H$133=1,MIN(1*0*$B$56*$D$86*1*1,$B$57*$B$58),0)</f>
        <v>0</v>
      </c>
      <c r="I148" s="58" t="n">
        <f aca="false">IF(I$133=1,MIN(1*0*$B$56*$D$86*1*1,$B$57*$B$58),0)</f>
        <v>0</v>
      </c>
      <c r="J148" s="58" t="n">
        <f aca="false">IF(J$133=1,MIN(1*0*$B$56*$D$86*1*1,$B$57*$B$58),0)</f>
        <v>0</v>
      </c>
      <c r="K148" s="58" t="n">
        <f aca="false">IF(K$133=1,MIN(1*0*$B$56*$D$86*1*1,$B$57*$B$58),0)</f>
        <v>0</v>
      </c>
      <c r="L148" s="58" t="n">
        <f aca="false">IF(L$133=1,MIN(1*0*$B$56*$D$86*1*1,$B$57*$B$58),0)</f>
        <v>0</v>
      </c>
    </row>
    <row r="149" customFormat="false" ht="15" hidden="false" customHeight="false" outlineLevel="0" collapsed="false">
      <c r="A149" s="9" t="s">
        <v>418</v>
      </c>
      <c r="B149" s="58" t="n">
        <v>0</v>
      </c>
      <c r="C149" s="58" t="n">
        <f aca="false">$B$59*$B$60*$F$98*1*$B$135/C135/2</f>
        <v>138.12868344741</v>
      </c>
      <c r="D149" s="58" t="n">
        <f aca="false">$B$59*$B$60*$F$98*1*$B$135/D135/2</f>
        <v>132.18055832288</v>
      </c>
      <c r="E149" s="58" t="n">
        <v>0</v>
      </c>
      <c r="F149" s="58" t="n">
        <v>0</v>
      </c>
      <c r="G149" s="58" t="n">
        <v>0</v>
      </c>
      <c r="H149" s="58" t="n">
        <v>0</v>
      </c>
      <c r="I149" s="58" t="n">
        <v>0</v>
      </c>
      <c r="J149" s="58" t="n">
        <v>0</v>
      </c>
      <c r="K149" s="58" t="n">
        <v>0</v>
      </c>
      <c r="L149" s="58" t="n">
        <v>0</v>
      </c>
    </row>
    <row r="150" customFormat="false" ht="15" hidden="false" customHeight="false" outlineLevel="0" collapsed="false">
      <c r="A150" s="9" t="s">
        <v>419</v>
      </c>
      <c r="B150" s="58" t="n">
        <f aca="false">0</f>
        <v>0</v>
      </c>
      <c r="C150" s="58" t="n">
        <f aca="false">B140*B135/C135</f>
        <v>142.014925295407</v>
      </c>
      <c r="D150" s="58" t="n">
        <f aca="false">C140*C135/D135</f>
        <v>119.721648486272</v>
      </c>
      <c r="E150" s="58" t="n">
        <f aca="false">D140*D135/E135</f>
        <v>0</v>
      </c>
      <c r="F150" s="58" t="n">
        <f aca="false">E140*E135/F135</f>
        <v>0</v>
      </c>
      <c r="G150" s="58" t="n">
        <f aca="false">F140*F135/G135</f>
        <v>0</v>
      </c>
      <c r="H150" s="58" t="n">
        <f aca="false">G140*G135/H135</f>
        <v>5.01768392412113</v>
      </c>
      <c r="I150" s="58" t="n">
        <f aca="false">H140*H135/I135</f>
        <v>8.47494190873221</v>
      </c>
      <c r="J150" s="58" t="n">
        <f aca="false">I140*I135/J135</f>
        <v>0</v>
      </c>
      <c r="K150" s="58" t="n">
        <f aca="false">J140*J135/K135</f>
        <v>0</v>
      </c>
      <c r="L150" s="58" t="n">
        <f aca="false">K140*K135/L135</f>
        <v>0</v>
      </c>
    </row>
    <row r="151" customFormat="false" ht="15" hidden="false" customHeight="false" outlineLevel="0" collapsed="false">
      <c r="A151" s="6" t="s">
        <v>295</v>
      </c>
      <c r="B151" s="29" t="n">
        <f aca="false">$B$54*(B143-B144-B145-0.5*B146-B147)-B148-B149-B150</f>
        <v>-9.59839124703308</v>
      </c>
      <c r="C151" s="29" t="n">
        <f aca="false">$B$54*(C143-C144-C145-0.5*C146-C147)-C148-C149-C150</f>
        <v>-267.27574962886</v>
      </c>
      <c r="D151" s="29" t="n">
        <f aca="false">$B$54*(D143-D144-D145-0.5*D146-D147)-D148-D149-D150</f>
        <v>-153.621746486017</v>
      </c>
      <c r="E151" s="29" t="n">
        <f aca="false">$B$54*(E143-E144-E145-0.5*E146-E147)-E148-E149-E150</f>
        <v>125.109835670203</v>
      </c>
      <c r="F151" s="29" t="n">
        <f aca="false">$B$54*(F143-F144-F145-0.5*F146-F147)-F148-F149-F150</f>
        <v>127.052611986067</v>
      </c>
      <c r="G151" s="29" t="n">
        <f aca="false">$B$54*(G143-G144-G145-0.5*G146-G147)-G148-G149-G150</f>
        <v>128.902491185509</v>
      </c>
      <c r="H151" s="29" t="n">
        <f aca="false">$B$54*(H143-H144-H145-0.5*H146-H147)-H148-H149-H150</f>
        <v>128.131016857608</v>
      </c>
      <c r="I151" s="29" t="n">
        <f aca="false">$B$54*(I143-I144-I145-0.5*I146-I147)-I148-I149-I150</f>
        <v>123.236338377604</v>
      </c>
      <c r="J151" s="29" t="n">
        <f aca="false">$B$54*(J143-J144-J145-0.5*J146-J147)-J148-J149-J150</f>
        <v>133.41911076664</v>
      </c>
      <c r="K151" s="29" t="n">
        <f aca="false">$B$54*(K143-K144-K145-0.5*K146-K147)-K148-K149-K150</f>
        <v>135.0660538142</v>
      </c>
      <c r="L151" s="29" t="n">
        <f aca="false">$B$54*(L143-L144-L145-0.5*L146-L147)-L148-L149-L150</f>
        <v>136.654475245128</v>
      </c>
    </row>
    <row r="152" customFormat="false" ht="15" hidden="false" customHeight="false" outlineLevel="0" collapsed="false">
      <c r="A152" s="9" t="s">
        <v>420</v>
      </c>
      <c r="B152" s="58" t="n">
        <f aca="false">(IF(B$133&gt;=1,$G$124*IF(B$133=1,$B$20,1),$G$124*$B$20*$B$21/12*1)+IF(B$133&gt;=2,($G$125-(1-1)*$G$117-(-0*1)*'Beneficios y costos'!$D$167)*1*IF(B$133=2,$B$20,1),0))*1</f>
        <v>77.4042870161869</v>
      </c>
      <c r="C152" s="58" t="n">
        <f aca="false">(IF(C$133&gt;=1,$G$124*IF(C$133=1,$B$20,1),$G$124*$B$20*$B$21/12*1)+IF(C$133&gt;=2,($G$125-(1-1)*$G$117-(-0*1)*'Beneficios y costos'!$D$167)*1*IF(C$133=2,$B$20,1),0))*1</f>
        <v>116.10643052428</v>
      </c>
      <c r="D152" s="58" t="n">
        <f aca="false">(IF(D$133&gt;=1,$G$124*IF(D$133=1,$B$20,1),$G$124*$B$20*$B$21/12*1)+IF(D$133&gt;=2,($G$125-(1-1)*$G$117-(-0*1)*'Beneficios y costos'!$D$167)*1*IF(D$133=2,$B$20,1),0))*1</f>
        <v>2023.78917421887</v>
      </c>
      <c r="E152" s="58" t="n">
        <f aca="false">(IF(E$133&gt;=1,$G$124*IF(E$133=1,$B$20,1),$G$124*$B$20*$B$21/12*1)+IF(E$133&gt;=2,($G$125-(1-1)*$G$117-(-0*1)*'Beneficios y costos'!$D$167)*1*IF(E$133=2,$B$20,1),0))*1</f>
        <v>2646.78270761437</v>
      </c>
      <c r="F152" s="58" t="n">
        <f aca="false">(IF(F$133&gt;=1,$G$124*IF(F$133=1,$B$20,1),$G$124*$B$20*$B$21/12*1)+IF(F$133&gt;=2,($G$125-(1-1)*$G$117-(-0*1)*'Beneficios y costos'!$D$167)*1*IF(F$133=2,$B$20,1),0))*1</f>
        <v>2646.78270761437</v>
      </c>
      <c r="G152" s="58" t="n">
        <f aca="false">(IF(G$133&gt;=1,$G$124*IF(G$133=1,$B$20,1),$G$124*$B$20*$B$21/12*1)+IF(G$133&gt;=2,($G$125-(1-1)*$G$117-(-0*1)*'Beneficios y costos'!$D$167)*1*IF(G$133=2,$B$20,1),0))*1</f>
        <v>2646.78270761437</v>
      </c>
      <c r="H152" s="58" t="n">
        <f aca="false">(IF(H$133&gt;=1,$G$124*IF(H$133=1,$B$20,1),$G$124*$B$20*$B$21/12*1)+IF(H$133&gt;=2,($G$125-(1-1)*$G$117-(-0*1)*'Beneficios y costos'!$D$167)*1*IF(H$133=2,$B$20,1),0))*1</f>
        <v>2646.78270761437</v>
      </c>
      <c r="I152" s="58" t="n">
        <f aca="false">(IF(I$133&gt;=1,$G$124*IF(I$133=1,$B$20,1),$G$124*$B$20*$B$21/12*1)+IF(I$133&gt;=2,($G$125-(1-1)*$G$117-(-0*1)*'Beneficios y costos'!$D$167)*1*IF(I$133=2,$B$20,1),0))*1</f>
        <v>2646.78270761437</v>
      </c>
      <c r="J152" s="58" t="n">
        <f aca="false">(IF(J$133&gt;=1,$G$124*IF(J$133=1,$B$20,1),$G$124*$B$20*$B$21/12*1)+IF(J$133&gt;=2,($G$125-(1-1)*$G$117-(-0*1)*'Beneficios y costos'!$D$167)*1*IF(J$133=2,$B$20,1),0))*1</f>
        <v>2646.78270761437</v>
      </c>
      <c r="K152" s="58" t="n">
        <f aca="false">(IF(K$133&gt;=1,$G$124*IF(K$133=1,$B$20,1),$G$124*$B$20*$B$21/12*1)+IF(K$133&gt;=2,($G$125-(1-1)*$G$117-(-0*1)*'Beneficios y costos'!$D$167)*1*IF(K$133=2,$B$20,1),0))*1</f>
        <v>2646.78270761437</v>
      </c>
      <c r="L152" s="58" t="n">
        <f aca="false">(IF(L$133&gt;=1,$G$124*IF(L$133=1,$B$20,1),$G$124*$B$20*$B$21/12*1)+IF(L$133&gt;=2,($G$125-(1-1)*$G$117-(-0*1)*'Beneficios y costos'!$D$167)*1*IF(L$133=2,$B$20,1),0))*1</f>
        <v>2646.78270761437</v>
      </c>
    </row>
    <row r="153" customFormat="false" ht="15" hidden="false" customHeight="false" outlineLevel="0" collapsed="false">
      <c r="A153" s="6" t="s">
        <v>421</v>
      </c>
      <c r="B153" s="29" t="n">
        <f aca="false">(B152*($B$38+$B$40*$B$39)/365-B144*$B$42/365+IF(B$133&gt;=2,(1*'Beneficios y costos'!$B$147+(1-1)*'Beneficios y costos'!$B$148)*1*1*1*IF(B$133=2,$B$20,1),0))</f>
        <v>7.23146900616979</v>
      </c>
      <c r="C153" s="29" t="n">
        <f aca="false">(C152*($B$38+$B$40*$B$39)/365-C144*$B$42/365+IF(C$133&gt;=2,(1*'Beneficios y costos'!$B$147+(1-1)*'Beneficios y costos'!$B$148)*1*1*1*IF(C$133=2,$B$20,1),0))-(B152*($B$38+$B$40*$B$39)/365-B144*$B$42/365+IF(B$133&gt;=2,(1*'Beneficios y costos'!$B$147+(1-1)*'Beneficios y costos'!$B$148)*1*1*1*IF(B$133=2,$B$20,1),0))*B135/C135</f>
        <v>1.42287846600884</v>
      </c>
      <c r="D153" s="29" t="n">
        <f aca="false">(D152*($B$38+$B$40*$B$39)/365-D144*$B$42/365+IF(D$133&gt;=2,(1*'Beneficios y costos'!$B$147+(1-1)*'Beneficios y costos'!$B$148)*1*1*1*IF(D$133=2,$B$20,1),0))-(C152*($B$38+$B$40*$B$39)/365-C144*$B$42/365+IF(C$133&gt;=2,(1*'Beneficios y costos'!$B$147+(1-1)*'Beneficios y costos'!$B$148)*1*1*1*IF(C$133=2,$B$20,1),0))*C135/D135</f>
        <v>121.067969072345</v>
      </c>
      <c r="E153" s="29" t="n">
        <f aca="false">(E152*($B$38+$B$40*$B$39)/365-E144*$B$42/365+IF(E$133&gt;=2,(1*'Beneficios y costos'!$B$147+(1-1)*'Beneficios y costos'!$B$148)*1*1*1*IF(E$133=2,$B$20,1),0))-(D152*($B$38+$B$40*$B$39)/365-D144*$B$42/365+IF(D$133&gt;=2,(1*'Beneficios y costos'!$B$147+(1-1)*'Beneficios y costos'!$B$148)*1*1*1*IF(D$133=2,$B$20,1),0))*D135/E135</f>
        <v>44.6849531551876</v>
      </c>
      <c r="F153" s="29" t="n">
        <f aca="false">(F152*($B$38+$B$40*$B$39)/365-F144*$B$42/365+IF(F$133&gt;=2,(1*'Beneficios y costos'!$B$147+(1-1)*'Beneficios y costos'!$B$148)*1*1*1*IF(F$133=2,$B$20,1),0))-(E152*($B$38+$B$40*$B$39)/365-E144*$B$42/365+IF(E$133&gt;=2,(1*'Beneficios y costos'!$B$147+(1-1)*'Beneficios y costos'!$B$148)*1*1*1*IF(E$133=2,$B$20,1),0))*E135/F135</f>
        <v>6.49010597714096</v>
      </c>
      <c r="G153" s="29" t="n">
        <f aca="false">(G152*($B$38+$B$40*$B$39)/365-G144*$B$42/365+IF(G$133&gt;=2,(1*'Beneficios y costos'!$B$147+(1-1)*'Beneficios y costos'!$B$148)*1*1*1*IF(G$133=2,$B$20,1),0))-(F152*($B$38+$B$40*$B$39)/365-F144*$B$42/365+IF(F$133&gt;=2,(1*'Beneficios y costos'!$B$147+(1-1)*'Beneficios y costos'!$B$148)*1*1*1*IF(F$133=2,$B$20,1),0))*F135/G135</f>
        <v>6.49010597714096</v>
      </c>
      <c r="H153" s="29" t="n">
        <f aca="false">(H152*($B$38+$B$40*$B$39)/365-H144*$B$42/365+IF(H$133&gt;=2,(1*'Beneficios y costos'!$B$147+(1-1)*'Beneficios y costos'!$B$148)*1*1*1*IF(H$133=2,$B$20,1),0))-(G152*($B$38+$B$40*$B$39)/365-G144*$B$42/365+IF(G$133&gt;=2,(1*'Beneficios y costos'!$B$147+(1-1)*'Beneficios y costos'!$B$148)*1*1*1*IF(G$133=2,$B$20,1),0))*G135/H135</f>
        <v>6.49010597714096</v>
      </c>
      <c r="I153" s="29" t="n">
        <f aca="false">(I152*($B$38+$B$40*$B$39)/365-I144*$B$42/365+IF(I$133&gt;=2,(1*'Beneficios y costos'!$B$147+(1-1)*'Beneficios y costos'!$B$148)*1*1*1*IF(I$133=2,$B$20,1),0))-(H152*($B$38+$B$40*$B$39)/365-H144*$B$42/365+IF(H$133&gt;=2,(1*'Beneficios y costos'!$B$147+(1-1)*'Beneficios y costos'!$B$148)*1*1*1*IF(H$133=2,$B$20,1),0))*H135/I135</f>
        <v>6.49010597714096</v>
      </c>
      <c r="J153" s="29" t="n">
        <f aca="false">(J152*($B$38+$B$40*$B$39)/365-J144*$B$42/365+IF(J$133&gt;=2,(1*'Beneficios y costos'!$B$147+(1-1)*'Beneficios y costos'!$B$148)*1*1*1*IF(J$133=2,$B$20,1),0))-(I152*($B$38+$B$40*$B$39)/365-I144*$B$42/365+IF(I$133&gt;=2,(1*'Beneficios y costos'!$B$147+(1-1)*'Beneficios y costos'!$B$148)*1*1*1*IF(I$133=2,$B$20,1),0))*I135/J135</f>
        <v>6.49010597714096</v>
      </c>
      <c r="K153" s="29" t="n">
        <f aca="false">(K152*($B$38+$B$40*$B$39)/365-K144*$B$42/365+IF(K$133&gt;=2,(1*'Beneficios y costos'!$B$147+(1-1)*'Beneficios y costos'!$B$148)*1*1*1*IF(K$133=2,$B$20,1),0))-(J152*($B$38+$B$40*$B$39)/365-J144*$B$42/365+IF(J$133&gt;=2,(1*'Beneficios y costos'!$B$147+(1-1)*'Beneficios y costos'!$B$148)*1*1*1*IF(J$133=2,$B$20,1),0))*J135/K135</f>
        <v>6.49010597714099</v>
      </c>
      <c r="L153" s="29" t="n">
        <f aca="false">-(K152*($B$38+$B$40*$B$39)/365-K144*$B$42/365+IF(K$133&gt;=2,(1*'Beneficios y costos'!$B$147+(1-1)*'Beneficios y costos'!$B$148)*1*1*1*IF(K$133=2,$B$20,1),0))*K135/L135</f>
        <v>-162.252649428524</v>
      </c>
    </row>
    <row r="154" customFormat="false" ht="15" hidden="false" customHeight="false" outlineLevel="0" collapsed="false">
      <c r="A154" s="6" t="s">
        <v>422</v>
      </c>
      <c r="B154" s="29" t="n">
        <v>0</v>
      </c>
      <c r="C154" s="29" t="n">
        <v>0</v>
      </c>
      <c r="D154" s="29" t="n">
        <v>0</v>
      </c>
      <c r="E154" s="29" t="n">
        <v>0</v>
      </c>
      <c r="F154" s="29" t="n">
        <v>0</v>
      </c>
      <c r="G154" s="29" t="n">
        <v>0</v>
      </c>
      <c r="H154" s="29" t="n">
        <v>0</v>
      </c>
      <c r="I154" s="29" t="n">
        <v>0</v>
      </c>
      <c r="J154" s="29" t="n">
        <v>0</v>
      </c>
      <c r="K154" s="29" t="n">
        <v>0</v>
      </c>
      <c r="L154" s="29" t="n">
        <f aca="false">1*$B$36*($F$94+($F$95-(-0)*$D$86)*1)*1*(1-$B$54)</f>
        <v>61.9237725584542</v>
      </c>
    </row>
    <row r="155" customFormat="false" ht="15" hidden="false" customHeight="false" outlineLevel="0" collapsed="false">
      <c r="A155" s="5" t="s">
        <v>147</v>
      </c>
      <c r="B155" s="59" t="n">
        <f aca="false">B143-B144-B145-B146-B151-B138-B139-B140-B153+B154</f>
        <v>-961.151880133756</v>
      </c>
      <c r="C155" s="59" t="n">
        <f aca="false">C143-C144-C145-C146-C151-C138-C139-C140-C153+C154</f>
        <v>-400.385058451238</v>
      </c>
      <c r="D155" s="59" t="n">
        <f aca="false">D143-D144-D145-D146-D151-D138-D139-D140-D153+D154</f>
        <v>454.934380634354</v>
      </c>
      <c r="E155" s="59" t="n">
        <f aca="false">E143-E144-E145-E146-E151-E138-E139-E140-E153+E154</f>
        <v>323.789930953772</v>
      </c>
      <c r="F155" s="59" t="n">
        <f aca="false">F143-F144-F145-F146-F151-F138-F139-F140-F153+F154</f>
        <v>360.351212851391</v>
      </c>
      <c r="G155" s="59" t="n">
        <f aca="false">G143-G144-G145-G146-G151-G138-G139-G140-G153+G154</f>
        <v>325.997747758402</v>
      </c>
      <c r="H155" s="59" t="n">
        <f aca="false">H143-H144-H145-H146-H151-H138-H139-H140-H153+H154</f>
        <v>304.471968269307</v>
      </c>
      <c r="I155" s="59" t="n">
        <f aca="false">I143-I144-I145-I146-I151-I138-I139-I140-I153+I154</f>
        <v>365.104426856979</v>
      </c>
      <c r="J155" s="59" t="n">
        <f aca="false">J143-J144-J145-J146-J151-J138-J139-J140-J153+J154</f>
        <v>355.237096260542</v>
      </c>
      <c r="K155" s="59" t="n">
        <f aca="false">K143-K144-K145-K146-K151-K138-K139-K140-K153+K154</f>
        <v>353.907172214543</v>
      </c>
      <c r="L155" s="59" t="n">
        <f aca="false">L143-L144-L145-L146-L151-L138-L139-L140-L153+L154</f>
        <v>583.303882844304</v>
      </c>
    </row>
    <row r="156" customFormat="false" ht="15" hidden="false" customHeight="false" outlineLevel="0" collapsed="false">
      <c r="A156" s="9" t="s">
        <v>423</v>
      </c>
      <c r="B156" s="58" t="n">
        <f aca="false">B155*B135</f>
        <v>-1018.82099294178</v>
      </c>
      <c r="C156" s="58" t="n">
        <f aca="false">C155*C135</f>
        <v>-445.628570056228</v>
      </c>
      <c r="D156" s="58" t="n">
        <f aca="false">D155*D135</f>
        <v>529.127354100107</v>
      </c>
      <c r="E156" s="58" t="n">
        <f aca="false">E155*E135</f>
        <v>391.659020317102</v>
      </c>
      <c r="F156" s="58" t="n">
        <f aca="false">F155*F135</f>
        <v>453.319208175839</v>
      </c>
      <c r="G156" s="58" t="n">
        <f aca="false">G155*G135</f>
        <v>426.506910577728</v>
      </c>
      <c r="H156" s="58" t="n">
        <f aca="false">H155*H135</f>
        <v>414.278243989321</v>
      </c>
      <c r="I156" s="58" t="n">
        <f aca="false">I155*I135</f>
        <v>516.648591850469</v>
      </c>
      <c r="J156" s="58" t="n">
        <f aca="false">J155*J135</f>
        <v>522.793045873068</v>
      </c>
      <c r="K156" s="58" t="n">
        <f aca="false">K155*K135</f>
        <v>541.669265075775</v>
      </c>
      <c r="L156" s="58" t="n">
        <f aca="false">L155*L135</f>
        <v>928.481033321263</v>
      </c>
    </row>
    <row r="157" customFormat="false" ht="15" hidden="false" customHeight="false" outlineLevel="0" collapsed="false">
      <c r="A157" s="6" t="s">
        <v>424</v>
      </c>
      <c r="B157" s="29" t="n">
        <f aca="false">B155</f>
        <v>-961.151880133756</v>
      </c>
      <c r="C157" s="29" t="n">
        <f aca="false">B157+C155</f>
        <v>-1361.53693858499</v>
      </c>
      <c r="D157" s="29" t="n">
        <f aca="false">C157+D155</f>
        <v>-906.60255795064</v>
      </c>
      <c r="E157" s="29" t="n">
        <f aca="false">D157+E155</f>
        <v>-582.812626996869</v>
      </c>
      <c r="F157" s="29" t="n">
        <f aca="false">E157+F155</f>
        <v>-222.461414145478</v>
      </c>
      <c r="G157" s="29" t="n">
        <f aca="false">F157+G155</f>
        <v>103.536333612924</v>
      </c>
      <c r="H157" s="29" t="n">
        <f aca="false">G157+H155</f>
        <v>408.008301882231</v>
      </c>
      <c r="I157" s="29" t="n">
        <f aca="false">H157+I155</f>
        <v>773.11272873921</v>
      </c>
      <c r="J157" s="29" t="n">
        <f aca="false">I157+J155</f>
        <v>1128.34982499975</v>
      </c>
      <c r="K157" s="29" t="n">
        <f aca="false">J157+K155</f>
        <v>1482.2569972143</v>
      </c>
      <c r="L157" s="29" t="n">
        <f aca="false">K157+L155</f>
        <v>2065.5608800586</v>
      </c>
    </row>
    <row r="158" customFormat="false" ht="15" hidden="false" customHeight="false" outlineLevel="0" collapsed="false">
      <c r="A158" s="9" t="s">
        <v>425</v>
      </c>
      <c r="B158" s="60" t="n">
        <v>0</v>
      </c>
      <c r="C158" s="60" t="n">
        <f aca="false">IF(AND(B157&lt;0,C157&gt;=0),B$133+(-B157)/C155,0)</f>
        <v>0</v>
      </c>
      <c r="D158" s="60" t="n">
        <f aca="false">IF(AND(C157&lt;0,D157&gt;=0),C$133+(-C157)/D155,0)</f>
        <v>0</v>
      </c>
      <c r="E158" s="60" t="n">
        <f aca="false">IF(AND(D157&lt;0,E157&gt;=0),D$133+(-D157)/E155,0)</f>
        <v>0</v>
      </c>
      <c r="F158" s="60" t="n">
        <f aca="false">IF(AND(E157&lt;0,F157&gt;=0),E$133+(-E157)/F155,0)</f>
        <v>0</v>
      </c>
      <c r="G158" s="60" t="n">
        <f aca="false">IF(AND(F157&lt;0,G157&gt;=0),F$133+(-F157)/G155,0)</f>
        <v>4.68240169042623</v>
      </c>
      <c r="H158" s="60" t="n">
        <f aca="false">IF(AND(G157&lt;0,H157&gt;=0),G$133+(-G157)/H155,0)</f>
        <v>0</v>
      </c>
      <c r="I158" s="60" t="n">
        <f aca="false">IF(AND(H157&lt;0,I157&gt;=0),H$133+(-H157)/I155,0)</f>
        <v>0</v>
      </c>
      <c r="J158" s="60" t="n">
        <f aca="false">IF(AND(I157&lt;0,J157&gt;=0),I$133+(-I157)/J155,0)</f>
        <v>0</v>
      </c>
      <c r="K158" s="60" t="n">
        <f aca="false">IF(AND(J157&lt;0,K157&gt;=0),J$133+(-J157)/K155,0)</f>
        <v>0</v>
      </c>
      <c r="L158" s="60" t="n">
        <f aca="false">IF(AND(K157&lt;0,L157&gt;=0),K$133+(-K157)/L155,0)</f>
        <v>0</v>
      </c>
    </row>
    <row r="159" customFormat="false" ht="15" hidden="false" customHeight="false" outlineLevel="0" collapsed="false">
      <c r="A159" s="9" t="s">
        <v>426</v>
      </c>
      <c r="B159" s="57" t="n">
        <f aca="false">(B135/$B$135)/(1+$B$9)^B$133</f>
        <v>1</v>
      </c>
      <c r="C159" s="57" t="n">
        <f aca="false">(C135/$B$135)/(1+$B$9)^C$133</f>
        <v>0.915373701313561</v>
      </c>
      <c r="D159" s="57" t="n">
        <f aca="false">(D135/$B$135)/(1+$B$9)^D$133</f>
        <v>0.833918970137172</v>
      </c>
      <c r="E159" s="57" t="n">
        <f aca="false">(E135/$B$135)/(1+$B$9)^E$133</f>
        <v>0.756077518153961</v>
      </c>
      <c r="F159" s="57" t="n">
        <f aca="false">(F135/$B$135)/(1+$B$9)^F$133</f>
        <v>0.685502109831871</v>
      </c>
      <c r="G159" s="57" t="n">
        <f aca="false">(G135/$B$135)/(1+$B$9)^G$133</f>
        <v>0.621514502549008</v>
      </c>
      <c r="H159" s="57" t="n">
        <f aca="false">(H135/$B$135)/(1+$B$9)^H$133</f>
        <v>0.563499763660072</v>
      </c>
      <c r="I159" s="57" t="n">
        <f aca="false">(I135/$B$135)/(1+$B$9)^I$133</f>
        <v>0.510900360880829</v>
      </c>
      <c r="J159" s="57" t="n">
        <f aca="false">(J135/$B$135)/(1+$B$9)^J$133</f>
        <v>0.463210804300567</v>
      </c>
      <c r="K159" s="57" t="n">
        <f aca="false">(K135/$B$135)/(1+$B$9)^K$133</f>
        <v>0.419972788531318</v>
      </c>
      <c r="L159" s="57" t="n">
        <f aca="false">(L135/$B$135)/(1+$B$9)^L$133</f>
        <v>0.380770788308996</v>
      </c>
    </row>
    <row r="160" customFormat="false" ht="15" hidden="false" customHeight="false" outlineLevel="0" collapsed="false">
      <c r="A160" s="9" t="s">
        <v>427</v>
      </c>
      <c r="B160" s="58" t="n">
        <f aca="false">B155*B159</f>
        <v>-961.151880133756</v>
      </c>
      <c r="C160" s="58" t="n">
        <f aca="false">C155*C159</f>
        <v>-366.501952905157</v>
      </c>
      <c r="D160" s="58" t="n">
        <f aca="false">D155*D159</f>
        <v>379.378410178592</v>
      </c>
      <c r="E160" s="58" t="n">
        <f aca="false">E155*E159</f>
        <v>244.81028739877</v>
      </c>
      <c r="F160" s="58" t="n">
        <f aca="false">F155*F159</f>
        <v>247.021516690102</v>
      </c>
      <c r="G160" s="58" t="n">
        <f aca="false">G155*G159</f>
        <v>202.61232803016</v>
      </c>
      <c r="H160" s="58" t="n">
        <f aca="false">H155*H159</f>
        <v>171.569882160872</v>
      </c>
      <c r="I160" s="58" t="n">
        <f aca="false">I155*I159</f>
        <v>186.531983440419</v>
      </c>
      <c r="J160" s="58" t="n">
        <f aca="false">J155*J159</f>
        <v>164.549661076244</v>
      </c>
      <c r="K160" s="58" t="n">
        <f aca="false">K155*K159</f>
        <v>148.631381996175</v>
      </c>
      <c r="L160" s="58" t="n">
        <f aca="false">L155*L159</f>
        <v>222.105079294324</v>
      </c>
    </row>
    <row r="161" customFormat="false" ht="15" hidden="false" customHeight="false" outlineLevel="0" collapsed="false">
      <c r="A161" s="9" t="s">
        <v>428</v>
      </c>
      <c r="B161" s="58" t="n">
        <f aca="false">B160</f>
        <v>-961.151880133756</v>
      </c>
      <c r="C161" s="58" t="n">
        <f aca="false">B161+C160</f>
        <v>-1327.65383303891</v>
      </c>
      <c r="D161" s="58" t="n">
        <f aca="false">C161+D160</f>
        <v>-948.27542286032</v>
      </c>
      <c r="E161" s="58" t="n">
        <f aca="false">D161+E160</f>
        <v>-703.46513546155</v>
      </c>
      <c r="F161" s="58" t="n">
        <f aca="false">E161+F160</f>
        <v>-456.443618771447</v>
      </c>
      <c r="G161" s="58" t="n">
        <f aca="false">F161+G160</f>
        <v>-253.831290741287</v>
      </c>
      <c r="H161" s="58" t="n">
        <f aca="false">G161+H160</f>
        <v>-82.2614085804157</v>
      </c>
      <c r="I161" s="58" t="n">
        <f aca="false">H161+I160</f>
        <v>104.270574860003</v>
      </c>
      <c r="J161" s="58" t="n">
        <f aca="false">I161+J160</f>
        <v>268.820235936247</v>
      </c>
      <c r="K161" s="58" t="n">
        <f aca="false">J161+K160</f>
        <v>417.451617932422</v>
      </c>
      <c r="L161" s="58" t="n">
        <f aca="false">K161+L160</f>
        <v>639.556697226745</v>
      </c>
    </row>
    <row r="162" customFormat="false" ht="15" hidden="false" customHeight="false" outlineLevel="0" collapsed="false">
      <c r="A162" s="9" t="s">
        <v>429</v>
      </c>
      <c r="B162" s="60" t="n">
        <v>0</v>
      </c>
      <c r="C162" s="60" t="n">
        <f aca="false">IF(AND(B161&lt;0,C161&gt;=0),B$133+(-B161)/C160,0)</f>
        <v>0</v>
      </c>
      <c r="D162" s="60" t="n">
        <f aca="false">IF(AND(C161&lt;0,D161&gt;=0),C$133+(-C161)/D160,0)</f>
        <v>0</v>
      </c>
      <c r="E162" s="60" t="n">
        <f aca="false">IF(AND(D161&lt;0,E161&gt;=0),D$133+(-D161)/E160,0)</f>
        <v>0</v>
      </c>
      <c r="F162" s="60" t="n">
        <f aca="false">IF(AND(E161&lt;0,F161&gt;=0),E$133+(-E161)/F160,0)</f>
        <v>0</v>
      </c>
      <c r="G162" s="60" t="n">
        <f aca="false">IF(AND(F161&lt;0,G161&gt;=0),F$133+(-F161)/G160,0)</f>
        <v>0</v>
      </c>
      <c r="H162" s="60" t="n">
        <f aca="false">IF(AND(G161&lt;0,H161&gt;=0),G$133+(-G161)/H160,0)</f>
        <v>0</v>
      </c>
      <c r="I162" s="60" t="n">
        <f aca="false">IF(AND(H161&lt;0,I161&gt;=0),H$133+(-H161)/I160,0)</f>
        <v>6.44100430962657</v>
      </c>
      <c r="J162" s="60" t="n">
        <f aca="false">IF(AND(I161&lt;0,J161&gt;=0),I$133+(-I161)/J160,0)</f>
        <v>0</v>
      </c>
      <c r="K162" s="60" t="n">
        <f aca="false">IF(AND(J161&lt;0,K161&gt;=0),J$133+(-J161)/K160,0)</f>
        <v>0</v>
      </c>
      <c r="L162" s="60" t="n">
        <f aca="false">IF(AND(K161&lt;0,L161&gt;=0),K$133+(-K161)/L160,0)</f>
        <v>0</v>
      </c>
    </row>
    <row r="163" customFormat="false" ht="15" hidden="false" customHeight="false" outlineLevel="0" collapsed="false">
      <c r="A163" s="9" t="s">
        <v>430</v>
      </c>
      <c r="B163" s="58" t="n">
        <f aca="false">IF(B$133&lt;0,0,($B$44*$B$138*$B$135)*(1-MAX(0,MIN(B$133-0-$B$47,($B$46-$B$47)))/($B$46-$B$47))*IF(B$133&gt;=2,1-$B$48,1))+IF(B$133&lt;1,0,($B$44*$C$138*$C$135)*(1-MAX(0,MIN(B$133-1-$B$47,($B$46-$B$47)))/($B$46-$B$47))*IF(B$133&gt;=2,1-$B$48,1))</f>
        <v>641.321364968425</v>
      </c>
      <c r="C163" s="58" t="n">
        <f aca="false">IF(C$133&lt;0,0,($B$44*$B$138*$B$135)*(1-MAX(0,MIN(C$133-0-$B$47,($B$46-$B$47)))/($B$46-$B$47))*IF(C$133&gt;=2,1-$B$48,1))+IF(C$133&lt;1,0,($B$44*$C$138*$C$135)*(1-MAX(0,MIN(C$133-1-$B$47,($B$46-$B$47)))/($B$46-$B$47))*IF(C$133&gt;=2,1-$B$48,1))</f>
        <v>1117.69081125409</v>
      </c>
      <c r="D163" s="58" t="n">
        <f aca="false">IF(D$133&lt;0,0,($B$44*$B$138*$B$135)*(1-MAX(0,MIN(D$133-0-$B$47,($B$46-$B$47)))/($B$46-$B$47))*IF(D$133&gt;=2,1-$B$48,1))+IF(D$133&lt;1,0,($B$44*$C$138*$C$135)*(1-MAX(0,MIN(D$133-1-$B$47,($B$46-$B$47)))/($B$46-$B$47))*IF(D$133&gt;=2,1-$B$48,1))</f>
        <v>1010.80391709269</v>
      </c>
      <c r="E163" s="58" t="n">
        <f aca="false">IF(E$133&lt;0,0,($B$44*$B$138*$B$135)*(1-MAX(0,MIN(E$133-0-$B$47,($B$46-$B$47)))/($B$46-$B$47))*IF(E$133&gt;=2,1-$B$48,1))+IF(E$133&lt;1,0,($B$44*$C$138*$C$135)*(1-MAX(0,MIN(E$133-1-$B$47,($B$46-$B$47)))/($B$46-$B$47))*IF(E$133&gt;=2,1-$B$48,1))</f>
        <v>824.522115217005</v>
      </c>
      <c r="F163" s="58" t="n">
        <f aca="false">IF(F$133&lt;0,0,($B$44*$B$138*$B$135)*(1-MAX(0,MIN(F$133-0-$B$47,($B$46-$B$47)))/($B$46-$B$47))*IF(F$133&gt;=2,1-$B$48,1))+IF(F$133&lt;1,0,($B$44*$C$138*$C$135)*(1-MAX(0,MIN(F$133-1-$B$47,($B$46-$B$47)))/($B$46-$B$47))*IF(F$133&gt;=2,1-$B$48,1))</f>
        <v>638.240313341323</v>
      </c>
      <c r="G163" s="58" t="n">
        <f aca="false">IF(G$133&lt;0,0,($B$44*$B$138*$B$135)*(1-MAX(0,MIN(G$133-0-$B$47,($B$46-$B$47)))/($B$46-$B$47))*IF(G$133&gt;=2,1-$B$48,1))+IF(G$133&lt;1,0,($B$44*$C$138*$C$135)*(1-MAX(0,MIN(G$133-1-$B$47,($B$46-$B$47)))/($B$46-$B$47))*IF(G$133&gt;=2,1-$B$48,1))</f>
        <v>451.958511465641</v>
      </c>
      <c r="H163" s="58" t="n">
        <f aca="false">IF(H$133&lt;0,0,($B$44*$B$138*$B$135)*(1-MAX(0,MIN(H$133-0-$B$47,($B$46-$B$47)))/($B$46-$B$47))*IF(H$133&gt;=2,1-$B$48,1))+IF(H$133&lt;1,0,($B$44*$C$138*$C$135)*(1-MAX(0,MIN(H$133-1-$B$47,($B$46-$B$47)))/($B$46-$B$47))*IF(H$133&gt;=2,1-$B$48,1))</f>
        <v>265.67670958996</v>
      </c>
      <c r="I163" s="58" t="n">
        <f aca="false">IF(I$133&lt;0,0,($B$44*$B$138*$B$135)*(1-MAX(0,MIN(I$133-0-$B$47,($B$46-$B$47)))/($B$46-$B$47))*IF(I$133&gt;=2,1-$B$48,1))+IF(I$133&lt;1,0,($B$44*$C$138*$C$135)*(1-MAX(0,MIN(I$133-1-$B$47,($B$46-$B$47)))/($B$46-$B$47))*IF(I$133&gt;=2,1-$B$48,1))</f>
        <v>79.3949077142776</v>
      </c>
      <c r="J163" s="58" t="n">
        <f aca="false">IF(J$133&lt;0,0,($B$44*$B$138*$B$135)*(1-MAX(0,MIN(J$133-0-$B$47,($B$46-$B$47)))/($B$46-$B$47))*IF(J$133&gt;=2,1-$B$48,1))+IF(J$133&lt;1,0,($B$44*$C$138*$C$135)*(1-MAX(0,MIN(J$133-1-$B$47,($B$46-$B$47)))/($B$46-$B$47))*IF(J$133&gt;=2,1-$B$48,1))</f>
        <v>0</v>
      </c>
      <c r="K163" s="58" t="n">
        <f aca="false">IF(K$133&lt;0,0,($B$44*$B$138*$B$135)*(1-MAX(0,MIN(K$133-0-$B$47,($B$46-$B$47)))/($B$46-$B$47))*IF(K$133&gt;=2,1-$B$48,1))+IF(K$133&lt;1,0,($B$44*$C$138*$C$135)*(1-MAX(0,MIN(K$133-1-$B$47,($B$46-$B$47)))/($B$46-$B$47))*IF(K$133&gt;=2,1-$B$48,1))</f>
        <v>0</v>
      </c>
      <c r="L163" s="58" t="n">
        <f aca="false">IF(L$133&lt;0,0,($B$44*$B$138*$B$135)*(1-MAX(0,MIN(L$133-0-$B$47,($B$46-$B$47)))/($B$46-$B$47))*IF(L$133&gt;=2,1-$B$48,1))+IF(L$133&lt;1,0,($B$44*$C$138*$C$135)*(1-MAX(0,MIN(L$133-1-$B$47,($B$46-$B$47)))/($B$46-$B$47))*IF(L$133&gt;=2,1-$B$48,1))</f>
        <v>0</v>
      </c>
    </row>
    <row r="164" customFormat="false" ht="15" hidden="false" customHeight="false" outlineLevel="0" collapsed="false">
      <c r="A164" s="6" t="s">
        <v>431</v>
      </c>
      <c r="B164" s="29" t="n">
        <f aca="false">$B$44*B138</f>
        <v>605.02015563059</v>
      </c>
      <c r="C164" s="29" t="n">
        <f aca="false">$B$44*C138</f>
        <v>428.004893338424</v>
      </c>
      <c r="D164" s="29" t="n">
        <f aca="false">$B$44*D138</f>
        <v>0</v>
      </c>
      <c r="E164" s="29" t="n">
        <f aca="false">$B$44*E138</f>
        <v>0</v>
      </c>
      <c r="F164" s="29" t="n">
        <f aca="false">$B$44*F138</f>
        <v>0</v>
      </c>
      <c r="G164" s="29" t="n">
        <f aca="false">$B$44*G138</f>
        <v>0</v>
      </c>
      <c r="H164" s="29" t="n">
        <f aca="false">$B$44*H138</f>
        <v>0</v>
      </c>
      <c r="I164" s="29" t="n">
        <f aca="false">$B$44*I138</f>
        <v>0</v>
      </c>
      <c r="J164" s="29" t="n">
        <f aca="false">$B$44*J138</f>
        <v>0</v>
      </c>
      <c r="K164" s="29" t="n">
        <f aca="false">$B$44*K138</f>
        <v>0</v>
      </c>
      <c r="L164" s="29" t="n">
        <f aca="false">$B$44*L138</f>
        <v>0</v>
      </c>
    </row>
    <row r="165" customFormat="false" ht="15" hidden="false" customHeight="false" outlineLevel="0" collapsed="false">
      <c r="A165" s="6" t="s">
        <v>432</v>
      </c>
      <c r="B165" s="29" t="n">
        <f aca="false">(IF(AND(B$133&gt;0,B$133&lt;=0+$B$46),($B$45+0)*($B$44*$B$138*$B$135)*(1-MAX(0,MIN((B$133-1)-0-$B$47,($B$46-$B$47)))/($B$46-$B$47))*IF(B$133&gt;2,1-$B$48,1),0)+IF(AND(B$133&gt;1,B$133&lt;=1+$B$46),($B$45+0)*($B$44*$C$138*$C$135)*(1-MAX(0,MIN((B$133-1)-1-$B$47,($B$46-$B$47)))/($B$46-$B$47))*IF(B$133&gt;2,1-$B$48,1),0))*B137</f>
        <v>0</v>
      </c>
      <c r="C165" s="29" t="n">
        <f aca="false">(IF(AND(C$133&gt;0,C$133&lt;=0+$B$46),($B$45+0)*($B$44*$B$138*$B$135)*(1-MAX(0,MIN((C$133-1)-0-$B$47,($B$46-$B$47)))/($B$46-$B$47))*IF(C$133&gt;2,1-$B$48,1),0)+IF(AND(C$133&gt;1,C$133&lt;=1+$B$46),($B$45+0)*($B$44*$C$138*$C$135)*(1-MAX(0,MIN((C$133-1)-1-$B$47,($B$46-$B$47)))/($B$46-$B$47))*IF(C$133&gt;2,1-$B$48,1),0))*C137</f>
        <v>81.2455637561078</v>
      </c>
      <c r="D165" s="29" t="n">
        <f aca="false">(IF(AND(D$133&gt;0,D$133&lt;=0+$B$46),($B$45+0)*($B$44*$B$138*$B$135)*(1-MAX(0,MIN((D$133-1)-0-$B$47,($B$46-$B$47)))/($B$46-$B$47))*IF(D$133&gt;2,1-$B$48,1),0)+IF(AND(D$133&gt;1,D$133&lt;=1+$B$46),($B$45+0)*($B$44*$C$138*$C$135)*(1-MAX(0,MIN((D$133-1)-1-$B$47,($B$46-$B$47)))/($B$46-$B$47))*IF(D$133&gt;2,1-$B$48,1),0))*D137</f>
        <v>135.496893508924</v>
      </c>
      <c r="E165" s="29" t="n">
        <f aca="false">(IF(AND(E$133&gt;0,E$133&lt;=0+$B$46),($B$45+0)*($B$44*$B$138*$B$135)*(1-MAX(0,MIN((E$133-1)-0-$B$47,($B$46-$B$47)))/($B$46-$B$47))*IF(E$133&gt;2,1-$B$48,1),0)+IF(AND(E$133&gt;1,E$133&lt;=1+$B$46),($B$45+0)*($B$44*$C$138*$C$135)*(1-MAX(0,MIN((E$133-1)-1-$B$47,($B$46-$B$47)))/($B$46-$B$47))*IF(E$133&gt;2,1-$B$48,1),0))*E137</f>
        <v>117.826027258135</v>
      </c>
      <c r="F165" s="29" t="n">
        <f aca="false">(IF(AND(F$133&gt;0,F$133&lt;=0+$B$46),($B$45+0)*($B$44*$B$138*$B$135)*(1-MAX(0,MIN((F$133-1)-0-$B$47,($B$46-$B$47)))/($B$46-$B$47))*IF(F$133&gt;2,1-$B$48,1),0)+IF(AND(F$133&gt;1,F$133&lt;=1+$B$46),($B$45+0)*($B$44*$C$138*$C$135)*(1-MAX(0,MIN((F$133-1)-1-$B$47,($B$46-$B$47)))/($B$46-$B$47))*IF(F$133&gt;2,1-$B$48,1),0))*F137</f>
        <v>92.4151745225957</v>
      </c>
      <c r="G165" s="29" t="n">
        <f aca="false">(IF(AND(G$133&gt;0,G$133&lt;=0+$B$46),($B$45+0)*($B$44*$B$138*$B$135)*(1-MAX(0,MIN((G$133-1)-0-$B$47,($B$46-$B$47)))/($B$46-$B$47))*IF(G$133&gt;2,1-$B$48,1),0)+IF(AND(G$133&gt;1,G$133&lt;=1+$B$46),($B$45+0)*($B$44*$C$138*$C$135)*(1-MAX(0,MIN((G$133-1)-1-$B$47,($B$46-$B$47)))/($B$46-$B$47))*IF(G$133&gt;2,1-$B$48,1),0))*G137</f>
        <v>68.7847039098228</v>
      </c>
      <c r="H165" s="29" t="n">
        <f aca="false">(IF(AND(H$133&gt;0,H$133&lt;=0+$B$46),($B$45+0)*($B$44*$B$138*$B$135)*(1-MAX(0,MIN((H$133-1)-0-$B$47,($B$46-$B$47)))/($B$46-$B$47))*IF(H$133&gt;2,1-$B$48,1),0)+IF(AND(H$133&gt;1,H$133&lt;=1+$B$46),($B$45+0)*($B$44*$C$138*$C$135)*(1-MAX(0,MIN((H$133-1)-1-$B$47,($B$46-$B$47)))/($B$46-$B$47))*IF(H$133&gt;2,1-$B$48,1),0))*H137</f>
        <v>46.8352529676735</v>
      </c>
      <c r="I165" s="29" t="n">
        <f aca="false">(IF(AND(I$133&gt;0,I$133&lt;=0+$B$46),($B$45+0)*($B$44*$B$138*$B$135)*(1-MAX(0,MIN((I$133-1)-0-$B$47,($B$46-$B$47)))/($B$46-$B$47))*IF(I$133&gt;2,1-$B$48,1),0)+IF(AND(I$133&gt;1,I$133&lt;=1+$B$46),($B$45+0)*($B$44*$C$138*$C$135)*(1-MAX(0,MIN((I$133-1)-1-$B$47,($B$46-$B$47)))/($B$46-$B$47))*IF(I$133&gt;2,1-$B$48,1),0))*I137</f>
        <v>26.4724688081898</v>
      </c>
      <c r="J165" s="29" t="n">
        <f aca="false">(IF(AND(J$133&gt;0,J$133&lt;=0+$B$46),($B$45+0)*($B$44*$B$138*$B$135)*(1-MAX(0,MIN((J$133-1)-0-$B$47,($B$46-$B$47)))/($B$46-$B$47))*IF(J$133&gt;2,1-$B$48,1),0)+IF(AND(J$133&gt;1,J$133&lt;=1+$B$46),($B$45+0)*($B$44*$C$138*$C$135)*(1-MAX(0,MIN((J$133-1)-1-$B$47,($B$46-$B$47)))/($B$46-$B$47))*IF(J$133&gt;2,1-$B$48,1),0))*J137</f>
        <v>7.60676974238282</v>
      </c>
      <c r="K165" s="29" t="n">
        <f aca="false">(IF(AND(K$133&gt;0,K$133&lt;=0+$B$46),($B$45+0)*($B$44*$B$138*$B$135)*(1-MAX(0,MIN((K$133-1)-0-$B$47,($B$46-$B$47)))/($B$46-$B$47))*IF(K$133&gt;2,1-$B$48,1),0)+IF(AND(K$133&gt;1,K$133&lt;=1+$B$46),($B$45+0)*($B$44*$C$138*$C$135)*(1-MAX(0,MIN((K$133-1)-1-$B$47,($B$46-$B$47)))/($B$46-$B$47))*IF(K$133&gt;2,1-$B$48,1),0))*K137</f>
        <v>0</v>
      </c>
      <c r="L165" s="29" t="n">
        <f aca="false">(IF(AND(L$133&gt;0,L$133&lt;=0+$B$46),($B$45+0)*($B$44*$B$138*$B$135)*(1-MAX(0,MIN((L$133-1)-0-$B$47,($B$46-$B$47)))/($B$46-$B$47))*IF(L$133&gt;2,1-$B$48,1),0)+IF(AND(L$133&gt;1,L$133&lt;=1+$B$46),($B$45+0)*($B$44*$C$138*$C$135)*(1-MAX(0,MIN((L$133-1)-1-$B$47,($B$46-$B$47)))/($B$46-$B$47))*IF(L$133&gt;2,1-$B$48,1),0))*L137</f>
        <v>0</v>
      </c>
    </row>
    <row r="166" customFormat="false" ht="15" hidden="false" customHeight="false" outlineLevel="0" collapsed="false">
      <c r="A166" s="6" t="s">
        <v>433</v>
      </c>
      <c r="B166" s="29" t="n">
        <f aca="false">((IF(AND(B$133&gt;0+$B$47,B$133&lt;=0+$B$46),($B$44*$B$138*$B$135)/($B$46-$B$47),0)*IF(B$133&gt;2,1-$B$48,1)+IF(B$133=2,$B$48*($B$44*$B$138*$B$135)*(1-MAX(0,MIN(2-0-$B$47,($B$46-$B$47)))/($B$46-$B$47)),0))+(IF(AND(B$133&gt;1+$B$47,B$133&lt;=1+$B$46),($B$44*$C$138*$C$135)/($B$46-$B$47),0)*IF(B$133&gt;2,1-$B$48,1)+IF(B$133=2,$B$48*($B$44*$C$138*$C$135)*(1-MAX(0,MIN(2-1-$B$47,($B$46-$B$47)))/($B$46-$B$47)),0)))*B137</f>
        <v>0</v>
      </c>
      <c r="C166" s="29" t="n">
        <f aca="false">((IF(AND(C$133&gt;0+$B$47,C$133&lt;=0+$B$46),($B$44*$B$138*$B$135)/($B$46-$B$47),0)*IF(C$133&gt;2,1-$B$48,1)+IF(C$133=2,$B$48*($B$44*$B$138*$B$135)*(1-MAX(0,MIN(2-0-$B$47,($B$46-$B$47)))/($B$46-$B$47)),0))+(IF(AND(C$133&gt;1+$B$47,C$133&lt;=1+$B$46),($B$44*$C$138*$C$135)/($B$46-$B$47),0)*IF(C$133&gt;2,1-$B$48,1)+IF(C$133=2,$B$48*($B$44*$C$138*$C$135)*(1-MAX(0,MIN(2-1-$B$47,($B$46-$B$47)))/($B$46-$B$47)),0)))*C137</f>
        <v>0</v>
      </c>
      <c r="D166" s="29" t="n">
        <f aca="false">((IF(AND(D$133&gt;0+$B$47,D$133&lt;=0+$B$46),($B$44*$B$138*$B$135)/($B$46-$B$47),0)*IF(D$133&gt;2,1-$B$48,1)+IF(D$133=2,$B$48*($B$44*$B$138*$B$135)*(1-MAX(0,MIN(2-0-$B$47,($B$46-$B$47)))/($B$46-$B$47)),0))+(IF(AND(D$133&gt;1+$B$47,D$133&lt;=1+$B$46),($B$44*$C$138*$C$135)/($B$46-$B$47),0)*IF(D$133&gt;2,1-$B$48,1)+IF(D$133=2,$B$48*($B$44*$C$138*$C$135)*(1-MAX(0,MIN(2-1-$B$47,($B$46-$B$47)))/($B$46-$B$47)),0)))*D137</f>
        <v>91.8994692231472</v>
      </c>
      <c r="E166" s="29" t="n">
        <f aca="false">((IF(AND(E$133&gt;0+$B$47,E$133&lt;=0+$B$46),($B$44*$B$138*$B$135)/($B$46-$B$47),0)*IF(E$133&gt;2,1-$B$48,1)+IF(E$133=2,$B$48*($B$44*$B$138*$B$135)*(1-MAX(0,MIN(2-0-$B$47,($B$46-$B$47)))/($B$46-$B$47)),0))+(IF(AND(E$133&gt;1+$B$47,E$133&lt;=1+$B$46),($B$44*$C$138*$C$135)/($B$46-$B$47),0)*IF(E$133&gt;2,1-$B$48,1)+IF(E$133=2,$B$48*($B$44*$C$138*$C$135)*(1-MAX(0,MIN(2-1-$B$47,($B$46-$B$47)))/($B$46-$B$47)),0)))*E137</f>
        <v>154.001742940676</v>
      </c>
      <c r="F166" s="29" t="n">
        <f aca="false">((IF(AND(F$133&gt;0+$B$47,F$133&lt;=0+$B$46),($B$44*$B$138*$B$135)/($B$46-$B$47),0)*IF(F$133&gt;2,1-$B$48,1)+IF(F$133=2,$B$48*($B$44*$B$138*$B$135)*(1-MAX(0,MIN(2-0-$B$47,($B$46-$B$47)))/($B$46-$B$47)),0))+(IF(AND(F$133&gt;1+$B$47,F$133&lt;=1+$B$46),($B$44*$C$138*$C$135)/($B$46-$B$47),0)*IF(F$133&gt;2,1-$B$48,1)+IF(F$133=2,$B$48*($B$44*$C$138*$C$135)*(1-MAX(0,MIN(2-1-$B$47,($B$46-$B$47)))/($B$46-$B$47)),0)))*F137</f>
        <v>148.078598981419</v>
      </c>
      <c r="G166" s="29" t="n">
        <f aca="false">((IF(AND(G$133&gt;0+$B$47,G$133&lt;=0+$B$46),($B$44*$B$138*$B$135)/($B$46-$B$47),0)*IF(G$133&gt;2,1-$B$48,1)+IF(G$133=2,$B$48*($B$44*$B$138*$B$135)*(1-MAX(0,MIN(2-0-$B$47,($B$46-$B$47)))/($B$46-$B$47)),0))+(IF(AND(G$133&gt;1+$B$47,G$133&lt;=1+$B$46),($B$44*$C$138*$C$135)/($B$46-$B$47),0)*IF(G$133&gt;2,1-$B$48,1)+IF(G$133=2,$B$48*($B$44*$C$138*$C$135)*(1-MAX(0,MIN(2-1-$B$47,($B$46-$B$47)))/($B$46-$B$47)),0)))*G137</f>
        <v>142.383268251364</v>
      </c>
      <c r="H166" s="29" t="n">
        <f aca="false">((IF(AND(H$133&gt;0+$B$47,H$133&lt;=0+$B$46),($B$44*$B$138*$B$135)/($B$46-$B$47),0)*IF(H$133&gt;2,1-$B$48,1)+IF(H$133=2,$B$48*($B$44*$B$138*$B$135)*(1-MAX(0,MIN(2-0-$B$47,($B$46-$B$47)))/($B$46-$B$47)),0))+(IF(AND(H$133&gt;1+$B$47,H$133&lt;=1+$B$46),($B$44*$C$138*$C$135)/($B$46-$B$47),0)*IF(H$133&gt;2,1-$B$48,1)+IF(H$133=2,$B$48*($B$44*$C$138*$C$135)*(1-MAX(0,MIN(2-1-$B$47,($B$46-$B$47)))/($B$46-$B$47)),0)))*H137</f>
        <v>136.906988703235</v>
      </c>
      <c r="I166" s="29" t="n">
        <f aca="false">((IF(AND(I$133&gt;0+$B$47,I$133&lt;=0+$B$46),($B$44*$B$138*$B$135)/($B$46-$B$47),0)*IF(I$133&gt;2,1-$B$48,1)+IF(I$133=2,$B$48*($B$44*$B$138*$B$135)*(1-MAX(0,MIN(2-0-$B$47,($B$46-$B$47)))/($B$46-$B$47)),0))+(IF(AND(I$133&gt;1+$B$47,I$133&lt;=1+$B$46),($B$44*$C$138*$C$135)/($B$46-$B$47),0)*IF(I$133&gt;2,1-$B$48,1)+IF(I$133=2,$B$48*($B$44*$C$138*$C$135)*(1-MAX(0,MIN(2-1-$B$47,($B$46-$B$47)))/($B$46-$B$47)),0)))*I137</f>
        <v>131.641335291572</v>
      </c>
      <c r="J166" s="29" t="n">
        <f aca="false">((IF(AND(J$133&gt;0+$B$47,J$133&lt;=0+$B$46),($B$44*$B$138*$B$135)/($B$46-$B$47),0)*IF(J$133&gt;2,1-$B$48,1)+IF(J$133=2,$B$48*($B$44*$B$138*$B$135)*(1-MAX(0,MIN(2-0-$B$47,($B$46-$B$47)))/($B$46-$B$47)),0))+(IF(AND(J$133&gt;1+$B$47,J$133&lt;=1+$B$46),($B$44*$C$138*$C$135)/($B$46-$B$47),0)*IF(J$133&gt;2,1-$B$48,1)+IF(J$133=2,$B$48*($B$44*$C$138*$C$135)*(1-MAX(0,MIN(2-1-$B$47,($B$46-$B$47)))/($B$46-$B$47)),0)))*J137</f>
        <v>53.9487215771831</v>
      </c>
      <c r="K166" s="29" t="n">
        <f aca="false">((IF(AND(K$133&gt;0+$B$47,K$133&lt;=0+$B$46),($B$44*$B$138*$B$135)/($B$46-$B$47),0)*IF(K$133&gt;2,1-$B$48,1)+IF(K$133=2,$B$48*($B$44*$B$138*$B$135)*(1-MAX(0,MIN(2-0-$B$47,($B$46-$B$47)))/($B$46-$B$47)),0))+(IF(AND(K$133&gt;1+$B$47,K$133&lt;=1+$B$46),($B$44*$C$138*$C$135)/($B$46-$B$47),0)*IF(K$133&gt;2,1-$B$48,1)+IF(K$133=2,$B$48*($B$44*$C$138*$C$135)*(1-MAX(0,MIN(2-1-$B$47,($B$46-$B$47)))/($B$46-$B$47)),0)))*K137</f>
        <v>0</v>
      </c>
      <c r="L166" s="29" t="n">
        <f aca="false">((IF(AND(L$133&gt;0+$B$47,L$133&lt;=0+$B$46),($B$44*$B$138*$B$135)/($B$46-$B$47),0)*IF(L$133&gt;2,1-$B$48,1)+IF(L$133=2,$B$48*($B$44*$B$138*$B$135)*(1-MAX(0,MIN(2-0-$B$47,($B$46-$B$47)))/($B$46-$B$47)),0))+(IF(AND(L$133&gt;1+$B$47,L$133&lt;=1+$B$46),($B$44*$C$138*$C$135)/($B$46-$B$47),0)*IF(L$133&gt;2,1-$B$48,1)+IF(L$133=2,$B$48*($B$44*$C$138*$C$135)*(1-MAX(0,MIN(2-1-$B$47,($B$46-$B$47)))/($B$46-$B$47)),0)))*L137</f>
        <v>0</v>
      </c>
    </row>
    <row r="167" customFormat="false" ht="15" hidden="false" customHeight="false" outlineLevel="0" collapsed="false">
      <c r="A167" s="6" t="s">
        <v>434</v>
      </c>
      <c r="B167" s="29" t="n">
        <f aca="false">$B$49*$B$51*(1+0.19)*B163*B137+(1-$B$49)*IF(B$133=0,$B$50,0)</f>
        <v>4</v>
      </c>
      <c r="C167" s="29" t="n">
        <f aca="false">$B$49*$B$51*(1+0.19)*C163*C137+(1-$B$49)*IF(C$133=0,$B$50,0)</f>
        <v>0</v>
      </c>
      <c r="D167" s="29" t="n">
        <f aca="false">$B$49*$B$51*(1+0.19)*D163*D137+(1-$B$49)*IF(D$133=0,$B$50,0)</f>
        <v>0</v>
      </c>
      <c r="E167" s="29" t="n">
        <f aca="false">$B$49*$B$51*(1+0.19)*E163*E137+(1-$B$49)*IF(E$133=0,$B$50,0)</f>
        <v>0</v>
      </c>
      <c r="F167" s="29" t="n">
        <f aca="false">$B$49*$B$51*(1+0.19)*F163*F137+(1-$B$49)*IF(F$133=0,$B$50,0)</f>
        <v>0</v>
      </c>
      <c r="G167" s="29" t="n">
        <f aca="false">$B$49*$B$51*(1+0.19)*G163*G137+(1-$B$49)*IF(G$133=0,$B$50,0)</f>
        <v>0</v>
      </c>
      <c r="H167" s="29" t="n">
        <f aca="false">$B$49*$B$51*(1+0.19)*H163*H137+(1-$B$49)*IF(H$133=0,$B$50,0)</f>
        <v>0</v>
      </c>
      <c r="I167" s="29" t="n">
        <f aca="false">$B$49*$B$51*(1+0.19)*I163*I137+(1-$B$49)*IF(I$133=0,$B$50,0)</f>
        <v>0</v>
      </c>
      <c r="J167" s="29" t="n">
        <f aca="false">$B$49*$B$51*(1+0.19)*J163*J137+(1-$B$49)*IF(J$133=0,$B$50,0)</f>
        <v>0</v>
      </c>
      <c r="K167" s="29" t="n">
        <f aca="false">$B$49*$B$51*(1+0.19)*K163*K137+(1-$B$49)*IF(K$133=0,$B$50,0)</f>
        <v>0</v>
      </c>
      <c r="L167" s="29" t="n">
        <f aca="false">$B$49*$B$51*(1+0.19)*L163*L137+(1-$B$49)*IF(L$133=0,$B$50,0)</f>
        <v>0</v>
      </c>
    </row>
    <row r="168" customFormat="false" ht="15" hidden="false" customHeight="false" outlineLevel="0" collapsed="false">
      <c r="A168" s="6" t="s">
        <v>435</v>
      </c>
      <c r="B168" s="29" t="n">
        <f aca="false">$B$52*(B165+B166+B167)</f>
        <v>0.016</v>
      </c>
      <c r="C168" s="29" t="n">
        <f aca="false">$B$52*(C165+C166+C167)</f>
        <v>0.324982255024431</v>
      </c>
      <c r="D168" s="29" t="n">
        <f aca="false">$B$52*(D165+D166+D167)</f>
        <v>0.909585450928285</v>
      </c>
      <c r="E168" s="29" t="n">
        <f aca="false">$B$52*(E165+E166+E167)</f>
        <v>1.08731108079524</v>
      </c>
      <c r="F168" s="29" t="n">
        <f aca="false">$B$52*(F165+F166+F167)</f>
        <v>0.961975094016058</v>
      </c>
      <c r="G168" s="29" t="n">
        <f aca="false">$B$52*(G165+G166+G167)</f>
        <v>0.844671888644748</v>
      </c>
      <c r="H168" s="29" t="n">
        <f aca="false">$B$52*(H165+H166+H167)</f>
        <v>0.734968966683633</v>
      </c>
      <c r="I168" s="29" t="n">
        <f aca="false">$B$52*(I165+I166+I167)</f>
        <v>0.632455216399047</v>
      </c>
      <c r="J168" s="29" t="n">
        <f aca="false">$B$52*(J165+J166+J167)</f>
        <v>0.246221965278264</v>
      </c>
      <c r="K168" s="29" t="n">
        <f aca="false">$B$52*(K165+K166+K167)</f>
        <v>0</v>
      </c>
      <c r="L168" s="29" t="n">
        <f aca="false">$B$52*(L165+L166+L167)</f>
        <v>0</v>
      </c>
    </row>
    <row r="169" customFormat="false" ht="15" hidden="false" customHeight="false" outlineLevel="0" collapsed="false">
      <c r="A169" s="6" t="s">
        <v>436</v>
      </c>
      <c r="B169" s="29" t="n">
        <f aca="false">$B$54*(B165+B167+0.5*B168)</f>
        <v>1.4028</v>
      </c>
      <c r="C169" s="29" t="n">
        <f aca="false">$B$54*(C165+C167+0.5*C168)</f>
        <v>28.492819209267</v>
      </c>
      <c r="D169" s="29" t="n">
        <f aca="false">$B$54*(D165+D167+0.5*D168)</f>
        <v>47.5830901820358</v>
      </c>
      <c r="E169" s="29" t="n">
        <f aca="false">$B$54*(E165+E167+0.5*E168)</f>
        <v>41.4293889794864</v>
      </c>
      <c r="F169" s="29" t="n">
        <f aca="false">$B$54*(F165+F167+0.5*F168)</f>
        <v>32.5136567243613</v>
      </c>
      <c r="G169" s="29" t="n">
        <f aca="false">$B$54*(G165+G167+0.5*G168)</f>
        <v>24.2224639489508</v>
      </c>
      <c r="H169" s="29" t="n">
        <f aca="false">$B$54*(H165+H167+0.5*H168)</f>
        <v>16.5209581078554</v>
      </c>
      <c r="I169" s="29" t="n">
        <f aca="false">$B$54*(I165+I167+0.5*I168)</f>
        <v>9.37604374573625</v>
      </c>
      <c r="J169" s="29" t="n">
        <f aca="false">$B$54*(J165+J167+0.5*J168)</f>
        <v>2.70545825375768</v>
      </c>
      <c r="K169" s="29" t="n">
        <f aca="false">$B$54*(K165+K167+0.5*K168)</f>
        <v>0</v>
      </c>
      <c r="L169" s="29" t="n">
        <f aca="false">$B$54*(L165+L167+0.5*L168)</f>
        <v>0</v>
      </c>
    </row>
    <row r="170" customFormat="false" ht="15" hidden="false" customHeight="false" outlineLevel="0" collapsed="false">
      <c r="A170" s="5" t="s">
        <v>437</v>
      </c>
      <c r="B170" s="59" t="n">
        <f aca="false">B155+B164-B165-B166-B167-B168+B169</f>
        <v>-358.744924503166</v>
      </c>
      <c r="C170" s="59" t="n">
        <f aca="false">C155+C164-C165-C166-C167-C168+C169</f>
        <v>-25.4578919146794</v>
      </c>
      <c r="D170" s="59" t="n">
        <f aca="false">D155+D164-D165-D166-D167-D168+D169</f>
        <v>274.21152263339</v>
      </c>
      <c r="E170" s="59" t="n">
        <f aca="false">E155+E164-E165-E166-E167-E168+E169</f>
        <v>92.3042386536525</v>
      </c>
      <c r="F170" s="59" t="n">
        <f aca="false">F155+F164-F165-F166-F167-F168+F169</f>
        <v>151.409120977721</v>
      </c>
      <c r="G170" s="59" t="n">
        <f aca="false">G155+G164-G165-G166-G167-G168+G169</f>
        <v>138.207567657521</v>
      </c>
      <c r="H170" s="59" t="n">
        <f aca="false">H155+H164-H165-H166-H167-H168+H169</f>
        <v>136.515715739571</v>
      </c>
      <c r="I170" s="59" t="n">
        <f aca="false">I155+I164-I165-I166-I167-I168+I169</f>
        <v>215.734211286554</v>
      </c>
      <c r="J170" s="59" t="n">
        <f aca="false">J155+J164-J165-J166-J167-J168+J169</f>
        <v>296.140841229455</v>
      </c>
      <c r="K170" s="59" t="n">
        <f aca="false">K155+K164-K165-K166-K167-K168+K169</f>
        <v>353.907172214543</v>
      </c>
      <c r="L170" s="59" t="n">
        <f aca="false">L155+L164-L165-L166-L167-L168+L169</f>
        <v>583.303882844304</v>
      </c>
    </row>
    <row r="171" customFormat="false" ht="15" hidden="false" customHeight="false" outlineLevel="0" collapsed="false">
      <c r="A171" s="9" t="s">
        <v>438</v>
      </c>
      <c r="B171" s="58" t="n">
        <f aca="false">B170*B135</f>
        <v>-380.269619973356</v>
      </c>
      <c r="C171" s="58" t="n">
        <f aca="false">C170*C135</f>
        <v>-28.3346337010382</v>
      </c>
      <c r="D171" s="58" t="n">
        <f aca="false">D170*D135</f>
        <v>318.931308802056</v>
      </c>
      <c r="E171" s="58" t="n">
        <f aca="false">E170*E135</f>
        <v>111.651982431063</v>
      </c>
      <c r="F171" s="58" t="n">
        <f aca="false">F170*F135</f>
        <v>190.471574354119</v>
      </c>
      <c r="G171" s="58" t="n">
        <f aca="false">G170*G135</f>
        <v>180.818680820326</v>
      </c>
      <c r="H171" s="58" t="n">
        <f aca="false">H170*H135</f>
        <v>185.749418296239</v>
      </c>
      <c r="I171" s="58" t="n">
        <f aca="false">I170*I135</f>
        <v>305.279170221706</v>
      </c>
      <c r="J171" s="58" t="n">
        <f aca="false">J170*J135</f>
        <v>435.82264922076</v>
      </c>
      <c r="K171" s="58" t="n">
        <f aca="false">K170*K135</f>
        <v>541.669265075775</v>
      </c>
      <c r="L171" s="58" t="n">
        <f aca="false">L170*L135</f>
        <v>928.481033321263</v>
      </c>
    </row>
    <row r="172" customFormat="false" ht="15" hidden="false" customHeight="false" outlineLevel="0" collapsed="false">
      <c r="A172" s="9" t="s">
        <v>439</v>
      </c>
      <c r="B172" s="57" t="n">
        <f aca="false">(B135/$B$135)/(1+$B$11+0)^B$133</f>
        <v>1</v>
      </c>
      <c r="C172" s="57" t="n">
        <f aca="false">(C135/$B$135)/(1+$B$11+0)^C$133</f>
        <v>0.84</v>
      </c>
      <c r="D172" s="57" t="n">
        <f aca="false">(D135/$B$135)/(1+$B$11+0)^D$133</f>
        <v>0.70224</v>
      </c>
      <c r="E172" s="57" t="n">
        <f aca="false">(E135/$B$135)/(1+$B$11+0)^E$133</f>
        <v>0.58426368</v>
      </c>
      <c r="F172" s="57" t="n">
        <f aca="false">(F135/$B$135)/(1+$B$11+0)^F$133</f>
        <v>0.48610738176</v>
      </c>
      <c r="G172" s="57" t="n">
        <f aca="false">(G135/$B$135)/(1+$B$11+0)^G$133</f>
        <v>0.40444134162432</v>
      </c>
      <c r="H172" s="57" t="n">
        <f aca="false">(H135/$B$135)/(1+$B$11+0)^H$133</f>
        <v>0.336495196231434</v>
      </c>
      <c r="I172" s="57" t="n">
        <f aca="false">(I135/$B$135)/(1+$B$11+0)^I$133</f>
        <v>0.279964003264553</v>
      </c>
      <c r="J172" s="57" t="n">
        <f aca="false">(J135/$B$135)/(1+$B$11+0)^J$133</f>
        <v>0.232930050716108</v>
      </c>
      <c r="K172" s="57" t="n">
        <f aca="false">(K135/$B$135)/(1+$B$11+0)^K$133</f>
        <v>0.193797802195802</v>
      </c>
      <c r="L172" s="57" t="n">
        <f aca="false">(L135/$B$135)/(1+$B$11+0)^L$133</f>
        <v>0.161239771426907</v>
      </c>
    </row>
    <row r="173" customFormat="false" ht="15" hidden="false" customHeight="false" outlineLevel="0" collapsed="false">
      <c r="A173" s="9" t="s">
        <v>440</v>
      </c>
      <c r="B173" s="58" t="n">
        <f aca="false">B155+B138+B140+B169</f>
        <v>120.166830858099</v>
      </c>
      <c r="C173" s="58" t="n">
        <f aca="false">C155+C138+C140+C169</f>
        <v>411.685950100682</v>
      </c>
      <c r="D173" s="58" t="n">
        <f aca="false">D155+D138+D140+D169</f>
        <v>502.517470816389</v>
      </c>
      <c r="E173" s="58" t="n">
        <f aca="false">E155+E138+E140+E169</f>
        <v>365.219319933258</v>
      </c>
      <c r="F173" s="58" t="n">
        <f aca="false">F155+F138+F140+F169</f>
        <v>392.864869575752</v>
      </c>
      <c r="G173" s="58" t="n">
        <f aca="false">G155+G138+G140+G169</f>
        <v>355.438602988439</v>
      </c>
      <c r="H173" s="58" t="n">
        <f aca="false">H155+H138+H140+H169</f>
        <v>329.806865962244</v>
      </c>
      <c r="I173" s="58" t="n">
        <f aca="false">I155+I138+I140+I169</f>
        <v>374.480470602715</v>
      </c>
      <c r="J173" s="58" t="n">
        <f aca="false">J155+J138+J140+J169</f>
        <v>357.942554514299</v>
      </c>
      <c r="K173" s="58" t="n">
        <f aca="false">K155+K138+K140+K169</f>
        <v>353.907172214543</v>
      </c>
      <c r="L173" s="58" t="n">
        <f aca="false">L155+L138+L140+L169</f>
        <v>583.303882844304</v>
      </c>
    </row>
    <row r="174" customFormat="false" ht="15" hidden="false" customHeight="false" outlineLevel="0" collapsed="false">
      <c r="A174" s="5" t="s">
        <v>149</v>
      </c>
      <c r="B174" s="12" t="str">
        <f aca="false">IF(AND(B$133&gt;=1,(B165+B166+B167)&gt;0.001),B173/(B165+B166+B167),"")</f>
        <v/>
      </c>
      <c r="C174" s="12" t="n">
        <f aca="false">IF(AND(C$133&gt;=1,(C165+C166+C167)&gt;0.001),C173/(C165+C166+C167),"")</f>
        <v>5.06718066892277</v>
      </c>
      <c r="D174" s="12" t="n">
        <f aca="false">IF(AND(D$133&gt;=1,(D165+D166+D167)&gt;0.001),D173/(D165+D166+D167),"")</f>
        <v>2.20987470854351</v>
      </c>
      <c r="E174" s="12" t="n">
        <f aca="false">IF(AND(E$133&gt;=1,(E165+E166+E167)&gt;0.001),E173/(E165+E166+E167),"")</f>
        <v>1.34356883281698</v>
      </c>
      <c r="F174" s="12" t="n">
        <f aca="false">IF(AND(F$133&gt;=1,(F165+F166+F167)&gt;0.001),F173/(F165+F166+F167),"")</f>
        <v>1.63357605418085</v>
      </c>
      <c r="G174" s="12" t="n">
        <f aca="false">IF(AND(G$133&gt;=1,(G165+G166+G167)&gt;0.001),G173/(G165+G166+G167),"")</f>
        <v>1.68320318346917</v>
      </c>
      <c r="H174" s="12" t="n">
        <f aca="false">IF(AND(H$133&gt;=1,(H165+H166+H167)&gt;0.001),H173/(H165+H166+H167),"")</f>
        <v>1.79494308419805</v>
      </c>
      <c r="I174" s="12" t="n">
        <f aca="false">IF(AND(I$133&gt;=1,(I165+I166+I167)&gt;0.001),I173/(I165+I166+I167),"")</f>
        <v>2.36842363470325</v>
      </c>
      <c r="J174" s="12" t="n">
        <f aca="false">IF(AND(J$133&gt;=1,(J165+J166+J167)&gt;0.001),J173/(J165+J166+J167),"")</f>
        <v>5.81495731479158</v>
      </c>
      <c r="K174" s="12" t="str">
        <f aca="false">IF(AND(K$133&gt;=1,(K165+K166+K167)&gt;0.001),K173/(K165+K166+K167),"")</f>
        <v/>
      </c>
      <c r="L174" s="12" t="str">
        <f aca="false">IF(AND(L$133&gt;=1,(L165+L166+L167)&gt;0.001),L173/(L165+L166+L167),"")</f>
        <v/>
      </c>
    </row>
    <row r="175" customFormat="false" ht="15" hidden="false" customHeight="false" outlineLevel="0" collapsed="false">
      <c r="A175" s="9" t="s">
        <v>441</v>
      </c>
    </row>
    <row r="177" customFormat="false" ht="15" hidden="false" customHeight="false" outlineLevel="0" collapsed="false">
      <c r="A177" s="3" t="s">
        <v>11</v>
      </c>
      <c r="B177" s="4"/>
      <c r="C177" s="4"/>
      <c r="D177" s="4"/>
      <c r="E177" s="4"/>
      <c r="F177" s="4"/>
      <c r="G177" s="4"/>
      <c r="H177" s="4"/>
      <c r="I177" s="4"/>
      <c r="J177" s="4"/>
      <c r="K177" s="4"/>
      <c r="L177" s="4"/>
    </row>
    <row r="178" customFormat="false" ht="15" hidden="false" customHeight="false" outlineLevel="0" collapsed="false">
      <c r="A178" s="6" t="s">
        <v>198</v>
      </c>
      <c r="B178" s="34" t="n">
        <f aca="false">$B$9</f>
        <v>0.1470725</v>
      </c>
    </row>
    <row r="179" customFormat="false" ht="15" hidden="false" customHeight="false" outlineLevel="0" collapsed="false">
      <c r="A179" s="5" t="s">
        <v>442</v>
      </c>
      <c r="B179" s="61" t="n">
        <f aca="false">IRR(B156:L156)</f>
        <v>0.243271358090429</v>
      </c>
    </row>
    <row r="180" customFormat="false" ht="15" hidden="false" customHeight="false" outlineLevel="0" collapsed="false">
      <c r="A180" s="6" t="s">
        <v>16</v>
      </c>
      <c r="B180" s="34" t="n">
        <f aca="false">IRR(B155:L155)</f>
        <v>0.192381249046293</v>
      </c>
    </row>
    <row r="181" customFormat="false" ht="15" hidden="false" customHeight="false" outlineLevel="0" collapsed="false">
      <c r="A181" s="6" t="s">
        <v>443</v>
      </c>
      <c r="B181" s="34" t="n">
        <f aca="false">(1+$B$9)/L135^(1/11)-1</f>
        <v>0.0996090543813608</v>
      </c>
    </row>
    <row r="182" customFormat="false" ht="15" hidden="false" customHeight="false" outlineLevel="0" collapsed="false">
      <c r="A182" s="5" t="s">
        <v>20</v>
      </c>
      <c r="B182" s="62" t="n">
        <f aca="false">SUMPRODUCT(B155:L155,B159:L159)</f>
        <v>639.556697226745</v>
      </c>
    </row>
    <row r="183" customFormat="false" ht="15" hidden="false" customHeight="false" outlineLevel="0" collapsed="false">
      <c r="A183" s="5" t="s">
        <v>444</v>
      </c>
      <c r="B183" s="63" t="n">
        <f aca="false">SUM(B158:L158)</f>
        <v>4.68240169042623</v>
      </c>
    </row>
    <row r="184" customFormat="false" ht="15" hidden="false" customHeight="false" outlineLevel="0" collapsed="false">
      <c r="A184" s="6" t="s">
        <v>445</v>
      </c>
      <c r="B184" s="64" t="n">
        <f aca="false">IF(SUM(B162:L162)=0,"Más de 10",SUM(B162:L162))</f>
        <v>6.44100430962657</v>
      </c>
    </row>
    <row r="185" customFormat="false" ht="15" hidden="false" customHeight="false" outlineLevel="0" collapsed="false">
      <c r="A185" s="5" t="s">
        <v>446</v>
      </c>
      <c r="B185" s="65" t="n">
        <f aca="false">SUM(B155:L155)/SUM(B138:L138)</f>
        <v>1.299692174336</v>
      </c>
    </row>
    <row r="186" customFormat="false" ht="15" hidden="false" customHeight="false" outlineLevel="0" collapsed="false">
      <c r="A186" s="5" t="s">
        <v>447</v>
      </c>
      <c r="B186" s="61" t="n">
        <f aca="false">IFERROR(IRR(B171:L171),"No existe")</f>
        <v>0.421024376007229</v>
      </c>
    </row>
    <row r="187" customFormat="false" ht="15" hidden="false" customHeight="false" outlineLevel="0" collapsed="false">
      <c r="A187" s="6" t="s">
        <v>448</v>
      </c>
      <c r="B187" s="34" t="n">
        <f aca="false">IFERROR(IRR(B170:L170),"No existe")</f>
        <v>0.362086836669833</v>
      </c>
    </row>
    <row r="188" customFormat="false" ht="15" hidden="false" customHeight="false" outlineLevel="0" collapsed="false">
      <c r="A188" s="6" t="s">
        <v>449</v>
      </c>
      <c r="B188" s="29" t="n">
        <f aca="false">SUMPRODUCT(B170:L170,B172:L172)</f>
        <v>333.813719611869</v>
      </c>
    </row>
    <row r="189" customFormat="false" ht="15" hidden="false" customHeight="false" outlineLevel="0" collapsed="false">
      <c r="A189" s="5" t="s">
        <v>450</v>
      </c>
      <c r="B189" s="66" t="n">
        <f aca="false">MIN(D174:L174)</f>
        <v>1.34356883281698</v>
      </c>
    </row>
    <row r="190" customFormat="false" ht="15" hidden="false" customHeight="false" outlineLevel="0" collapsed="false">
      <c r="A190" s="6" t="s">
        <v>451</v>
      </c>
      <c r="B190" s="29" t="n">
        <f aca="false">-(B170+C170)</f>
        <v>384.202816417845</v>
      </c>
    </row>
    <row r="191" customFormat="false" ht="15" hidden="false" customHeight="false" outlineLevel="0" collapsed="false">
      <c r="A191" s="6" t="s">
        <v>452</v>
      </c>
      <c r="B191" s="29" t="n">
        <f aca="false">$F$97</f>
        <v>1589.26930610618</v>
      </c>
    </row>
    <row r="192" customFormat="false" ht="15" hidden="false" customHeight="false" outlineLevel="0" collapsed="false">
      <c r="A192" s="6" t="s">
        <v>453</v>
      </c>
      <c r="B192" s="29" t="n">
        <f aca="false">$E$128</f>
        <v>568.06498073784</v>
      </c>
    </row>
    <row r="193" customFormat="false" ht="15" hidden="false" customHeight="false" outlineLevel="0" collapsed="false">
      <c r="A193" s="6" t="s">
        <v>454</v>
      </c>
      <c r="B193" s="29" t="n">
        <f aca="false">$E$129</f>
        <v>76.4964821173777</v>
      </c>
    </row>
    <row r="195" customFormat="false" ht="15" hidden="false" customHeight="false" outlineLevel="0" collapsed="false">
      <c r="A195" s="3" t="s">
        <v>455</v>
      </c>
      <c r="B195" s="4"/>
      <c r="C195" s="4"/>
      <c r="D195" s="4"/>
      <c r="E195" s="4"/>
      <c r="F195" s="4"/>
      <c r="G195" s="4"/>
      <c r="H195" s="4"/>
      <c r="I195" s="4"/>
      <c r="J195" s="4"/>
      <c r="K195" s="4"/>
      <c r="L195" s="4"/>
    </row>
    <row r="196" customFormat="false" ht="15" hidden="false" customHeight="false" outlineLevel="0" collapsed="false">
      <c r="A196" s="9" t="s">
        <v>456</v>
      </c>
    </row>
    <row r="197" customFormat="false" ht="15" hidden="false" customHeight="false" outlineLevel="0" collapsed="false">
      <c r="A197" s="9" t="s">
        <v>457</v>
      </c>
    </row>
    <row r="198" customFormat="false" ht="15" hidden="false" customHeight="false" outlineLevel="0" collapsed="false">
      <c r="A198" s="9" t="s">
        <v>458</v>
      </c>
    </row>
    <row r="199" customFormat="false" ht="15" hidden="false" customHeight="false" outlineLevel="0" collapsed="false">
      <c r="A199" s="9" t="s">
        <v>459</v>
      </c>
    </row>
    <row r="200" customFormat="false" ht="15" hidden="false" customHeight="false" outlineLevel="0" collapsed="false">
      <c r="A200" s="9" t="s">
        <v>460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13" min="2" style="0" width="9.51"/>
  </cols>
  <sheetData>
    <row r="1" customFormat="false" ht="17.35" hidden="false" customHeight="false" outlineLevel="0" collapsed="false">
      <c r="A1" s="42" t="s">
        <v>461</v>
      </c>
    </row>
    <row r="2" customFormat="false" ht="15" hidden="false" customHeight="false" outlineLevel="0" collapsed="false">
      <c r="A2" s="9" t="s">
        <v>462</v>
      </c>
    </row>
    <row r="4" customFormat="false" ht="15" hidden="false" customHeight="false" outlineLevel="0" collapsed="false">
      <c r="A4" s="3" t="s">
        <v>463</v>
      </c>
      <c r="B4" s="4"/>
      <c r="C4" s="4"/>
      <c r="D4" s="4"/>
      <c r="E4" s="4"/>
      <c r="F4" s="4"/>
      <c r="G4" s="4"/>
      <c r="H4" s="4"/>
      <c r="I4" s="4"/>
      <c r="J4" s="4"/>
      <c r="K4" s="4"/>
      <c r="L4" s="4"/>
      <c r="M4" s="4"/>
    </row>
    <row r="5" customFormat="false" ht="15" hidden="false" customHeight="false" outlineLevel="0" collapsed="false">
      <c r="A5" s="23"/>
      <c r="B5" s="24" t="s">
        <v>394</v>
      </c>
      <c r="C5" s="24" t="s">
        <v>395</v>
      </c>
      <c r="D5" s="24" t="s">
        <v>396</v>
      </c>
      <c r="E5" s="24" t="s">
        <v>397</v>
      </c>
      <c r="F5" s="24" t="s">
        <v>398</v>
      </c>
      <c r="G5" s="24" t="s">
        <v>399</v>
      </c>
      <c r="H5" s="24" t="s">
        <v>400</v>
      </c>
      <c r="I5" s="24" t="s">
        <v>401</v>
      </c>
      <c r="J5" s="24" t="s">
        <v>402</v>
      </c>
      <c r="K5" s="24" t="s">
        <v>403</v>
      </c>
      <c r="L5" s="24" t="s">
        <v>404</v>
      </c>
      <c r="M5" s="24" t="s">
        <v>464</v>
      </c>
    </row>
    <row r="6" customFormat="false" ht="15" hidden="false" customHeight="false" outlineLevel="0" collapsed="false">
      <c r="A6" s="9" t="s">
        <v>465</v>
      </c>
      <c r="B6" s="55" t="n">
        <v>2027</v>
      </c>
      <c r="C6" s="55" t="n">
        <v>2028</v>
      </c>
      <c r="D6" s="55" t="n">
        <v>2029</v>
      </c>
      <c r="E6" s="55" t="n">
        <v>2030</v>
      </c>
      <c r="F6" s="55" t="n">
        <v>2031</v>
      </c>
      <c r="G6" s="55" t="n">
        <v>2032</v>
      </c>
      <c r="H6" s="55" t="n">
        <v>2033</v>
      </c>
      <c r="I6" s="55" t="n">
        <v>2034</v>
      </c>
      <c r="J6" s="55" t="n">
        <v>2035</v>
      </c>
      <c r="K6" s="55" t="n">
        <v>2036</v>
      </c>
      <c r="L6" s="55" t="n">
        <v>2037</v>
      </c>
    </row>
    <row r="7" customFormat="false" ht="15" hidden="false" customHeight="false" outlineLevel="0" collapsed="false">
      <c r="A7" s="5" t="s">
        <v>466</v>
      </c>
      <c r="B7" s="46" t="n">
        <v>0.06</v>
      </c>
      <c r="C7" s="46" t="n">
        <v>0.05</v>
      </c>
      <c r="D7" s="46" t="n">
        <v>0.045</v>
      </c>
      <c r="E7" s="46" t="n">
        <v>0.04</v>
      </c>
      <c r="F7" s="46" t="n">
        <v>0.04</v>
      </c>
      <c r="G7" s="46" t="n">
        <v>0.04</v>
      </c>
      <c r="H7" s="46" t="n">
        <v>0.04</v>
      </c>
      <c r="I7" s="46" t="n">
        <v>0.04</v>
      </c>
      <c r="J7" s="46" t="n">
        <v>0.04</v>
      </c>
      <c r="K7" s="46" t="n">
        <v>0.04</v>
      </c>
      <c r="L7" s="46" t="n">
        <v>0.04</v>
      </c>
      <c r="M7" s="8" t="n">
        <f aca="false">EXP(SUMPRODUCT(LN(1+B7:L7))/11)-1</f>
        <v>0.043163927606382</v>
      </c>
    </row>
    <row r="8" customFormat="false" ht="15" hidden="false" customHeight="false" outlineLevel="0" collapsed="false">
      <c r="A8" s="6" t="s">
        <v>467</v>
      </c>
      <c r="B8" s="46" t="n">
        <v>0.059</v>
      </c>
      <c r="C8" s="46" t="n">
        <v>0.045</v>
      </c>
      <c r="D8" s="46" t="n">
        <v>0.037</v>
      </c>
      <c r="E8" s="46" t="n">
        <v>0.034</v>
      </c>
      <c r="F8" s="46" t="n">
        <v>0.034</v>
      </c>
      <c r="G8" s="46" t="n">
        <v>0.034</v>
      </c>
      <c r="H8" s="46" t="n">
        <v>0.034</v>
      </c>
      <c r="I8" s="46" t="n">
        <v>0.034</v>
      </c>
      <c r="J8" s="46" t="n">
        <v>0.034</v>
      </c>
      <c r="K8" s="46" t="n">
        <v>0.034</v>
      </c>
      <c r="L8" s="46" t="n">
        <v>0.034</v>
      </c>
      <c r="M8" s="8" t="n">
        <f aca="false">EXP(SUMPRODUCT(LN(1+B8:L8))/11)-1</f>
        <v>0.0375187115400344</v>
      </c>
    </row>
    <row r="9" customFormat="false" ht="15" hidden="false" customHeight="false" outlineLevel="0" collapsed="false">
      <c r="A9" s="6" t="s">
        <v>468</v>
      </c>
      <c r="B9" s="46" t="n">
        <v>0.065</v>
      </c>
      <c r="C9" s="46" t="n">
        <v>0.065</v>
      </c>
      <c r="D9" s="46" t="n">
        <v>0.065</v>
      </c>
      <c r="E9" s="46" t="n">
        <v>0.065</v>
      </c>
      <c r="F9" s="46" t="n">
        <v>0.065</v>
      </c>
      <c r="G9" s="46" t="n">
        <v>0.065</v>
      </c>
      <c r="H9" s="46" t="n">
        <v>0.065</v>
      </c>
      <c r="I9" s="46" t="n">
        <v>0.065</v>
      </c>
      <c r="J9" s="46" t="n">
        <v>0.065</v>
      </c>
      <c r="K9" s="46" t="n">
        <v>0.065</v>
      </c>
      <c r="L9" s="46" t="n">
        <v>0.065</v>
      </c>
      <c r="M9" s="8" t="n">
        <f aca="false">EXP(SUMPRODUCT(LN(1+B9:L9))/11)-1</f>
        <v>0.065</v>
      </c>
    </row>
    <row r="10" customFormat="false" ht="15" hidden="false" customHeight="false" outlineLevel="0" collapsed="false">
      <c r="A10" s="9" t="s">
        <v>469</v>
      </c>
    </row>
    <row r="12" customFormat="false" ht="15" hidden="false" customHeight="false" outlineLevel="0" collapsed="false">
      <c r="A12" s="6" t="s">
        <v>470</v>
      </c>
      <c r="B12" s="49" t="n">
        <v>0.085</v>
      </c>
      <c r="D12" s="9" t="s">
        <v>471</v>
      </c>
    </row>
    <row r="13" customFormat="false" ht="15" hidden="false" customHeight="false" outlineLevel="0" collapsed="false">
      <c r="A13" s="6" t="s">
        <v>472</v>
      </c>
      <c r="B13" s="46" t="n">
        <v>0.005</v>
      </c>
      <c r="D13" s="9" t="s">
        <v>473</v>
      </c>
    </row>
    <row r="14" customFormat="false" ht="15" hidden="false" customHeight="false" outlineLevel="0" collapsed="false">
      <c r="A14" s="6" t="s">
        <v>474</v>
      </c>
      <c r="B14" s="67" t="n">
        <f aca="false">(1+B12)/(1+B7)</f>
        <v>1.02358490566038</v>
      </c>
      <c r="D14" s="9" t="s">
        <v>475</v>
      </c>
    </row>
    <row r="15" customFormat="false" ht="15" hidden="false" customHeight="false" outlineLevel="0" collapsed="false">
      <c r="A15" s="6" t="s">
        <v>476</v>
      </c>
      <c r="B15" s="67" t="n">
        <f aca="false">B14*(1+B13)</f>
        <v>1.02870283018868</v>
      </c>
      <c r="D15" s="9" t="s">
        <v>477</v>
      </c>
    </row>
    <row r="16" customFormat="false" ht="15" hidden="false" customHeight="false" outlineLevel="0" collapsed="false">
      <c r="A16" s="6" t="s">
        <v>478</v>
      </c>
      <c r="B16" s="68" t="n">
        <f aca="false">1750905*(1+B12)</f>
        <v>1899731.925</v>
      </c>
      <c r="D16" s="9" t="s">
        <v>479</v>
      </c>
    </row>
    <row r="17" customFormat="false" ht="15" hidden="false" customHeight="false" outlineLevel="0" collapsed="false">
      <c r="A17" s="9" t="s">
        <v>480</v>
      </c>
    </row>
    <row r="19" customFormat="false" ht="15" hidden="false" customHeight="false" outlineLevel="0" collapsed="false">
      <c r="A19" s="3" t="s">
        <v>481</v>
      </c>
      <c r="B19" s="4"/>
      <c r="C19" s="4"/>
      <c r="D19" s="4"/>
      <c r="E19" s="4"/>
      <c r="F19" s="4"/>
      <c r="G19" s="4"/>
      <c r="H19" s="4"/>
      <c r="I19" s="4"/>
      <c r="J19" s="4"/>
      <c r="K19" s="4"/>
      <c r="L19" s="4"/>
      <c r="M19" s="4"/>
    </row>
    <row r="20" customFormat="false" ht="15" hidden="false" customHeight="false" outlineLevel="0" collapsed="false">
      <c r="A20" s="9" t="s">
        <v>482</v>
      </c>
    </row>
    <row r="21" customFormat="false" ht="15" hidden="false" customHeight="false" outlineLevel="0" collapsed="false">
      <c r="A21" s="9" t="s">
        <v>483</v>
      </c>
    </row>
    <row r="22" customFormat="false" ht="15" hidden="false" customHeight="false" outlineLevel="0" collapsed="false">
      <c r="A22" s="9" t="s">
        <v>484</v>
      </c>
    </row>
    <row r="24" customFormat="false" ht="15" hidden="false" customHeight="false" outlineLevel="0" collapsed="false">
      <c r="A24" s="3" t="s">
        <v>485</v>
      </c>
      <c r="B24" s="4"/>
      <c r="C24" s="4"/>
      <c r="D24" s="4"/>
      <c r="E24" s="4"/>
      <c r="F24" s="4"/>
      <c r="G24" s="4"/>
      <c r="H24" s="4"/>
      <c r="I24" s="4"/>
      <c r="J24" s="4"/>
      <c r="K24" s="4"/>
      <c r="L24" s="4"/>
      <c r="M24" s="4"/>
    </row>
    <row r="25" customFormat="false" ht="15" hidden="false" customHeight="false" outlineLevel="0" collapsed="false">
      <c r="A25" s="9" t="s">
        <v>486</v>
      </c>
    </row>
    <row r="26" customFormat="false" ht="15" hidden="false" customHeight="false" outlineLevel="0" collapsed="false">
      <c r="A26" s="9" t="s">
        <v>487</v>
      </c>
    </row>
    <row r="27" customFormat="false" ht="15" hidden="false" customHeight="false" outlineLevel="0" collapsed="false">
      <c r="A27" s="9" t="s">
        <v>488</v>
      </c>
    </row>
    <row r="28" customFormat="false" ht="15" hidden="false" customHeight="false" outlineLevel="0" collapsed="false">
      <c r="A28" s="9" t="s">
        <v>489</v>
      </c>
    </row>
    <row r="29" customFormat="false" ht="15" hidden="false" customHeight="false" outlineLevel="0" collapsed="false">
      <c r="A29" s="9" t="s">
        <v>490</v>
      </c>
    </row>
    <row r="31" customFormat="false" ht="15" hidden="false" customHeight="false" outlineLevel="0" collapsed="false">
      <c r="A31" s="3" t="s">
        <v>491</v>
      </c>
      <c r="B31" s="4"/>
      <c r="C31" s="4"/>
      <c r="D31" s="4"/>
      <c r="E31" s="4"/>
      <c r="F31" s="4"/>
      <c r="G31" s="4"/>
      <c r="H31" s="4"/>
      <c r="I31" s="4"/>
      <c r="J31" s="4"/>
      <c r="K31" s="4"/>
      <c r="L31" s="4"/>
      <c r="M31" s="4"/>
    </row>
    <row r="32" customFormat="false" ht="15" hidden="false" customHeight="false" outlineLevel="0" collapsed="false">
      <c r="A32" s="9" t="s">
        <v>492</v>
      </c>
    </row>
    <row r="33" customFormat="false" ht="15" hidden="false" customHeight="false" outlineLevel="0" collapsed="false">
      <c r="A33" s="9" t="s">
        <v>493</v>
      </c>
    </row>
    <row r="34" customFormat="false" ht="15" hidden="false" customHeight="false" outlineLevel="0" collapsed="false">
      <c r="A34" s="9" t="s">
        <v>494</v>
      </c>
    </row>
    <row r="35" customFormat="false" ht="15" hidden="false" customHeight="false" outlineLevel="0" collapsed="false">
      <c r="A35" s="9" t="s">
        <v>495</v>
      </c>
    </row>
    <row r="37" customFormat="false" ht="15" hidden="false" customHeight="false" outlineLevel="0" collapsed="false">
      <c r="A37" s="3" t="s">
        <v>496</v>
      </c>
      <c r="B37" s="4"/>
      <c r="C37" s="4"/>
      <c r="D37" s="4"/>
      <c r="E37" s="4"/>
      <c r="F37" s="4"/>
      <c r="G37" s="4"/>
      <c r="H37" s="4"/>
      <c r="I37" s="4"/>
      <c r="J37" s="4"/>
      <c r="K37" s="4"/>
      <c r="L37" s="4"/>
      <c r="M37" s="4"/>
    </row>
    <row r="38" customFormat="false" ht="15" hidden="false" customHeight="false" outlineLevel="0" collapsed="false">
      <c r="A38" s="9" t="s">
        <v>497</v>
      </c>
    </row>
    <row r="39" customFormat="false" ht="15" hidden="false" customHeight="false" outlineLevel="0" collapsed="false">
      <c r="A39" s="9" t="s">
        <v>498</v>
      </c>
    </row>
    <row r="40" customFormat="false" ht="15" hidden="false" customHeight="false" outlineLevel="0" collapsed="false">
      <c r="A40" s="9" t="s">
        <v>499</v>
      </c>
    </row>
    <row r="41" customFormat="false" ht="15" hidden="false" customHeight="false" outlineLevel="0" collapsed="false">
      <c r="A41" s="9" t="s">
        <v>500</v>
      </c>
    </row>
    <row r="42" customFormat="false" ht="15" hidden="false" customHeight="false" outlineLevel="0" collapsed="false">
      <c r="A42" s="9" t="s">
        <v>501</v>
      </c>
    </row>
    <row r="43" customFormat="false" ht="15" hidden="false" customHeight="false" outlineLevel="0" collapsed="false">
      <c r="A43" s="9" t="s">
        <v>502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11" min="2" style="0" width="12"/>
  </cols>
  <sheetData>
    <row r="1" customFormat="false" ht="17.35" hidden="false" customHeight="false" outlineLevel="0" collapsed="false">
      <c r="A1" s="42" t="s">
        <v>503</v>
      </c>
    </row>
    <row r="2" customFormat="false" ht="15" hidden="false" customHeight="false" outlineLevel="0" collapsed="false">
      <c r="A2" s="9" t="s">
        <v>504</v>
      </c>
    </row>
    <row r="4" customFormat="false" ht="15" hidden="false" customHeight="false" outlineLevel="0" collapsed="false">
      <c r="A4" s="3" t="s">
        <v>505</v>
      </c>
      <c r="B4" s="4"/>
      <c r="C4" s="4"/>
      <c r="D4" s="4"/>
      <c r="E4" s="4"/>
      <c r="F4" s="4"/>
      <c r="G4" s="4"/>
      <c r="H4" s="4"/>
      <c r="I4" s="4"/>
      <c r="J4" s="4"/>
      <c r="K4" s="4"/>
    </row>
    <row r="5" customFormat="false" ht="23.85" hidden="false" customHeight="false" outlineLevel="0" collapsed="false">
      <c r="A5" s="23" t="s">
        <v>506</v>
      </c>
      <c r="B5" s="24" t="s">
        <v>188</v>
      </c>
      <c r="C5" s="24" t="s">
        <v>189</v>
      </c>
      <c r="D5" s="24" t="s">
        <v>190</v>
      </c>
    </row>
    <row r="6" customFormat="false" ht="15" hidden="false" customHeight="false" outlineLevel="0" collapsed="false">
      <c r="A6" s="6" t="s">
        <v>507</v>
      </c>
      <c r="B6" s="51" t="n">
        <v>294</v>
      </c>
      <c r="C6" s="9" t="s">
        <v>263</v>
      </c>
      <c r="D6" s="9" t="s">
        <v>508</v>
      </c>
    </row>
    <row r="7" customFormat="false" ht="15" hidden="false" customHeight="false" outlineLevel="0" collapsed="false">
      <c r="A7" s="6" t="s">
        <v>509</v>
      </c>
      <c r="B7" s="69" t="n">
        <v>1.03</v>
      </c>
      <c r="C7" s="9" t="s">
        <v>510</v>
      </c>
      <c r="D7" s="9" t="s">
        <v>511</v>
      </c>
    </row>
    <row r="8" customFormat="false" ht="15" hidden="false" customHeight="false" outlineLevel="0" collapsed="false">
      <c r="A8" s="6" t="s">
        <v>512</v>
      </c>
      <c r="B8" s="52" t="n">
        <v>0.036</v>
      </c>
      <c r="C8" s="9" t="s">
        <v>513</v>
      </c>
      <c r="D8" s="9" t="s">
        <v>514</v>
      </c>
    </row>
    <row r="9" customFormat="false" ht="15" hidden="false" customHeight="false" outlineLevel="0" collapsed="false">
      <c r="A9" s="6" t="s">
        <v>515</v>
      </c>
      <c r="B9" s="46" t="n">
        <v>0.4</v>
      </c>
      <c r="C9" s="9" t="s">
        <v>513</v>
      </c>
      <c r="D9" s="9" t="s">
        <v>516</v>
      </c>
    </row>
    <row r="10" customFormat="false" ht="15" hidden="false" customHeight="false" outlineLevel="0" collapsed="false">
      <c r="A10" s="6" t="s">
        <v>517</v>
      </c>
      <c r="B10" s="52" t="n">
        <v>0.0008</v>
      </c>
      <c r="C10" s="9" t="s">
        <v>518</v>
      </c>
      <c r="D10" s="9" t="s">
        <v>519</v>
      </c>
    </row>
    <row r="11" customFormat="false" ht="15" hidden="false" customHeight="false" outlineLevel="0" collapsed="false">
      <c r="A11" s="6" t="s">
        <v>520</v>
      </c>
      <c r="B11" s="52" t="n">
        <v>0.0003</v>
      </c>
      <c r="C11" s="9" t="s">
        <v>518</v>
      </c>
      <c r="D11" s="9" t="s">
        <v>521</v>
      </c>
    </row>
    <row r="12" customFormat="false" ht="15" hidden="false" customHeight="false" outlineLevel="0" collapsed="false">
      <c r="A12" s="6" t="s">
        <v>522</v>
      </c>
      <c r="B12" s="48" t="n">
        <v>30</v>
      </c>
      <c r="C12" s="9" t="s">
        <v>523</v>
      </c>
      <c r="D12" s="9" t="s">
        <v>524</v>
      </c>
    </row>
    <row r="13" customFormat="false" ht="15" hidden="false" customHeight="false" outlineLevel="0" collapsed="false">
      <c r="A13" s="6" t="s">
        <v>525</v>
      </c>
      <c r="B13" s="46" t="n">
        <v>0.03</v>
      </c>
      <c r="C13" s="9" t="s">
        <v>526</v>
      </c>
      <c r="D13" s="9" t="s">
        <v>527</v>
      </c>
    </row>
    <row r="14" customFormat="false" ht="15" hidden="false" customHeight="false" outlineLevel="0" collapsed="false">
      <c r="A14" s="6" t="s">
        <v>528</v>
      </c>
      <c r="B14" s="52" t="n">
        <v>0.0015</v>
      </c>
      <c r="C14" s="9" t="s">
        <v>526</v>
      </c>
      <c r="D14" s="9" t="s">
        <v>529</v>
      </c>
    </row>
    <row r="15" customFormat="false" ht="15" hidden="false" customHeight="false" outlineLevel="0" collapsed="false">
      <c r="A15" s="6" t="s">
        <v>530</v>
      </c>
      <c r="B15" s="46" t="n">
        <v>0.02</v>
      </c>
      <c r="C15" s="9" t="s">
        <v>531</v>
      </c>
      <c r="D15" s="9" t="s">
        <v>532</v>
      </c>
    </row>
    <row r="16" customFormat="false" ht="15" hidden="false" customHeight="false" outlineLevel="0" collapsed="false">
      <c r="A16" s="6" t="s">
        <v>533</v>
      </c>
      <c r="B16" s="46" t="n">
        <v>0.01</v>
      </c>
      <c r="C16" s="9" t="s">
        <v>534</v>
      </c>
      <c r="D16" s="9" t="s">
        <v>535</v>
      </c>
    </row>
    <row r="17" customFormat="false" ht="15" hidden="false" customHeight="false" outlineLevel="0" collapsed="false">
      <c r="A17" s="6" t="s">
        <v>536</v>
      </c>
      <c r="B17" s="46" t="n">
        <v>0.005</v>
      </c>
      <c r="C17" s="9" t="s">
        <v>534</v>
      </c>
      <c r="D17" s="9" t="s">
        <v>537</v>
      </c>
    </row>
    <row r="18" customFormat="false" ht="15" hidden="false" customHeight="false" outlineLevel="0" collapsed="false">
      <c r="A18" s="6" t="s">
        <v>538</v>
      </c>
      <c r="B18" s="46" t="n">
        <v>0.04</v>
      </c>
      <c r="C18" s="9" t="s">
        <v>539</v>
      </c>
      <c r="D18" s="9" t="s">
        <v>540</v>
      </c>
    </row>
    <row r="19" customFormat="false" ht="15" hidden="false" customHeight="false" outlineLevel="0" collapsed="false">
      <c r="A19" s="6" t="s">
        <v>541</v>
      </c>
      <c r="B19" s="46" t="n">
        <v>0.02</v>
      </c>
      <c r="C19" s="9" t="s">
        <v>542</v>
      </c>
      <c r="D19" s="9" t="s">
        <v>543</v>
      </c>
    </row>
    <row r="20" customFormat="false" ht="15" hidden="false" customHeight="false" outlineLevel="0" collapsed="false">
      <c r="A20" s="6" t="s">
        <v>544</v>
      </c>
      <c r="B20" s="46" t="n">
        <v>0.015</v>
      </c>
      <c r="C20" s="9" t="s">
        <v>542</v>
      </c>
      <c r="D20" s="9" t="s">
        <v>545</v>
      </c>
    </row>
    <row r="21" customFormat="false" ht="15" hidden="false" customHeight="false" outlineLevel="0" collapsed="false">
      <c r="A21" s="6" t="s">
        <v>546</v>
      </c>
      <c r="B21" s="50" t="n">
        <v>457</v>
      </c>
      <c r="C21" s="9" t="s">
        <v>214</v>
      </c>
      <c r="D21" s="9" t="s">
        <v>543</v>
      </c>
    </row>
    <row r="22" customFormat="false" ht="15" hidden="false" customHeight="false" outlineLevel="0" collapsed="false">
      <c r="A22" s="6" t="s">
        <v>547</v>
      </c>
      <c r="B22" s="46" t="n">
        <v>0.2</v>
      </c>
      <c r="C22" s="9" t="s">
        <v>548</v>
      </c>
      <c r="D22" s="9" t="s">
        <v>549</v>
      </c>
    </row>
    <row r="23" customFormat="false" ht="15" hidden="false" customHeight="false" outlineLevel="0" collapsed="false">
      <c r="A23" s="6" t="s">
        <v>550</v>
      </c>
      <c r="B23" s="50" t="n">
        <v>1218</v>
      </c>
      <c r="C23" s="9" t="s">
        <v>214</v>
      </c>
      <c r="D23" s="9" t="s">
        <v>543</v>
      </c>
    </row>
    <row r="24" customFormat="false" ht="15" hidden="false" customHeight="false" outlineLevel="0" collapsed="false">
      <c r="A24" s="6" t="s">
        <v>551</v>
      </c>
      <c r="B24" s="46" t="n">
        <v>0.1</v>
      </c>
      <c r="C24" s="9" t="s">
        <v>552</v>
      </c>
      <c r="D24" s="9" t="s">
        <v>553</v>
      </c>
    </row>
    <row r="25" customFormat="false" ht="15" hidden="false" customHeight="false" outlineLevel="0" collapsed="false">
      <c r="A25" s="6" t="s">
        <v>554</v>
      </c>
      <c r="B25" s="34" t="n">
        <f aca="false">1/3</f>
        <v>0.333333333333333</v>
      </c>
      <c r="C25" s="9" t="s">
        <v>196</v>
      </c>
      <c r="D25" s="9" t="s">
        <v>555</v>
      </c>
    </row>
    <row r="26" customFormat="false" ht="15" hidden="false" customHeight="false" outlineLevel="0" collapsed="false">
      <c r="A26" s="6" t="s">
        <v>556</v>
      </c>
      <c r="B26" s="70" t="n">
        <v>0.5</v>
      </c>
      <c r="C26" s="9" t="s">
        <v>557</v>
      </c>
      <c r="D26" s="9" t="s">
        <v>558</v>
      </c>
    </row>
    <row r="27" customFormat="false" ht="15" hidden="false" customHeight="false" outlineLevel="0" collapsed="false">
      <c r="A27" s="6" t="s">
        <v>559</v>
      </c>
      <c r="B27" s="51" t="n">
        <v>4</v>
      </c>
      <c r="C27" s="9" t="s">
        <v>560</v>
      </c>
      <c r="D27" s="9" t="s">
        <v>561</v>
      </c>
    </row>
    <row r="28" customFormat="false" ht="15" hidden="false" customHeight="false" outlineLevel="0" collapsed="false">
      <c r="A28" s="6" t="s">
        <v>562</v>
      </c>
      <c r="B28" s="48" t="n">
        <v>20000</v>
      </c>
      <c r="C28" s="9" t="s">
        <v>563</v>
      </c>
      <c r="D28" s="9" t="s">
        <v>564</v>
      </c>
    </row>
    <row r="29" customFormat="false" ht="15" hidden="false" customHeight="false" outlineLevel="0" collapsed="false">
      <c r="A29" s="6" t="s">
        <v>565</v>
      </c>
      <c r="B29" s="48" t="n">
        <v>9000</v>
      </c>
      <c r="C29" s="9" t="s">
        <v>566</v>
      </c>
      <c r="D29" s="9" t="s">
        <v>567</v>
      </c>
    </row>
    <row r="30" customFormat="false" ht="15" hidden="false" customHeight="false" outlineLevel="0" collapsed="false">
      <c r="A30" s="6" t="s">
        <v>568</v>
      </c>
      <c r="B30" s="48" t="n">
        <v>3100</v>
      </c>
      <c r="C30" s="9" t="s">
        <v>569</v>
      </c>
      <c r="D30" s="9" t="s">
        <v>570</v>
      </c>
    </row>
    <row r="31" customFormat="false" ht="15" hidden="false" customHeight="false" outlineLevel="0" collapsed="false">
      <c r="A31" s="6" t="s">
        <v>571</v>
      </c>
      <c r="B31" s="48" t="n">
        <v>30</v>
      </c>
      <c r="C31" s="9" t="s">
        <v>566</v>
      </c>
      <c r="D31" s="9" t="s">
        <v>210</v>
      </c>
    </row>
    <row r="32" customFormat="false" ht="15" hidden="false" customHeight="false" outlineLevel="0" collapsed="false">
      <c r="A32" s="6" t="s">
        <v>572</v>
      </c>
      <c r="B32" s="48" t="n">
        <v>45</v>
      </c>
      <c r="C32" s="9" t="s">
        <v>566</v>
      </c>
      <c r="D32" s="9" t="s">
        <v>573</v>
      </c>
    </row>
    <row r="33" customFormat="false" ht="15" hidden="false" customHeight="false" outlineLevel="0" collapsed="false">
      <c r="A33" s="6" t="s">
        <v>574</v>
      </c>
      <c r="B33" s="46" t="n">
        <v>0.01</v>
      </c>
      <c r="C33" s="9" t="s">
        <v>575</v>
      </c>
      <c r="D33" s="9" t="s">
        <v>576</v>
      </c>
    </row>
    <row r="34" customFormat="false" ht="15" hidden="false" customHeight="false" outlineLevel="0" collapsed="false">
      <c r="A34" s="6" t="s">
        <v>577</v>
      </c>
      <c r="B34" s="46" t="n">
        <v>0.3</v>
      </c>
      <c r="C34" s="9" t="s">
        <v>539</v>
      </c>
      <c r="D34" s="9" t="s">
        <v>578</v>
      </c>
    </row>
    <row r="35" customFormat="false" ht="15" hidden="false" customHeight="false" outlineLevel="0" collapsed="false">
      <c r="A35" s="6" t="s">
        <v>579</v>
      </c>
      <c r="B35" s="34" t="n">
        <f aca="false">2/3</f>
        <v>0.666666666666667</v>
      </c>
      <c r="C35" s="9" t="s">
        <v>196</v>
      </c>
      <c r="D35" s="9" t="s">
        <v>580</v>
      </c>
    </row>
    <row r="36" customFormat="false" ht="15" hidden="false" customHeight="false" outlineLevel="0" collapsed="false">
      <c r="A36" s="6" t="s">
        <v>581</v>
      </c>
      <c r="B36" s="70" t="n">
        <v>1.5</v>
      </c>
      <c r="C36" s="9" t="s">
        <v>557</v>
      </c>
      <c r="D36" s="9" t="s">
        <v>582</v>
      </c>
    </row>
    <row r="37" customFormat="false" ht="15" hidden="false" customHeight="false" outlineLevel="0" collapsed="false">
      <c r="A37" s="6" t="s">
        <v>583</v>
      </c>
      <c r="B37" s="48" t="n">
        <v>29000</v>
      </c>
      <c r="C37" s="9" t="s">
        <v>563</v>
      </c>
      <c r="D37" s="9" t="s">
        <v>584</v>
      </c>
    </row>
    <row r="38" customFormat="false" ht="15" hidden="false" customHeight="false" outlineLevel="0" collapsed="false">
      <c r="A38" s="6" t="s">
        <v>585</v>
      </c>
      <c r="B38" s="48" t="n">
        <v>9851</v>
      </c>
      <c r="C38" s="9" t="s">
        <v>214</v>
      </c>
      <c r="D38" s="9" t="s">
        <v>210</v>
      </c>
    </row>
    <row r="39" customFormat="false" ht="15" hidden="false" customHeight="false" outlineLevel="0" collapsed="false">
      <c r="A39" s="6" t="s">
        <v>586</v>
      </c>
      <c r="B39" s="48" t="n">
        <v>12315</v>
      </c>
      <c r="C39" s="9" t="s">
        <v>214</v>
      </c>
      <c r="D39" s="9" t="s">
        <v>210</v>
      </c>
    </row>
    <row r="40" customFormat="false" ht="15" hidden="false" customHeight="false" outlineLevel="0" collapsed="false">
      <c r="A40" s="6" t="s">
        <v>587</v>
      </c>
      <c r="B40" s="46" t="n">
        <v>0.02</v>
      </c>
      <c r="C40" s="9" t="s">
        <v>588</v>
      </c>
      <c r="D40" s="9" t="s">
        <v>210</v>
      </c>
    </row>
    <row r="41" customFormat="false" ht="15" hidden="false" customHeight="false" outlineLevel="0" collapsed="false">
      <c r="A41" s="6" t="s">
        <v>589</v>
      </c>
      <c r="B41" s="46" t="n">
        <v>0.02</v>
      </c>
      <c r="C41" s="9" t="s">
        <v>534</v>
      </c>
      <c r="D41" s="9" t="s">
        <v>210</v>
      </c>
    </row>
    <row r="42" customFormat="false" ht="15" hidden="false" customHeight="false" outlineLevel="0" collapsed="false">
      <c r="A42" s="6" t="s">
        <v>590</v>
      </c>
      <c r="B42" s="46" t="n">
        <v>0.01</v>
      </c>
      <c r="C42" s="9" t="s">
        <v>591</v>
      </c>
      <c r="D42" s="9" t="s">
        <v>210</v>
      </c>
    </row>
    <row r="43" customFormat="false" ht="15" hidden="false" customHeight="false" outlineLevel="0" collapsed="false">
      <c r="A43" s="6" t="s">
        <v>592</v>
      </c>
      <c r="B43" s="46" t="n">
        <v>0.01</v>
      </c>
      <c r="C43" s="9" t="s">
        <v>591</v>
      </c>
      <c r="D43" s="9" t="s">
        <v>210</v>
      </c>
    </row>
    <row r="44" customFormat="false" ht="15" hidden="false" customHeight="false" outlineLevel="0" collapsed="false">
      <c r="A44" s="6" t="s">
        <v>593</v>
      </c>
      <c r="B44" s="51" t="n">
        <v>1</v>
      </c>
      <c r="C44" s="9" t="s">
        <v>560</v>
      </c>
      <c r="D44" s="9" t="s">
        <v>594</v>
      </c>
    </row>
    <row r="45" customFormat="false" ht="15" hidden="false" customHeight="false" outlineLevel="0" collapsed="false">
      <c r="A45" s="6" t="s">
        <v>595</v>
      </c>
      <c r="B45" s="46" t="n">
        <v>0.005</v>
      </c>
      <c r="C45" s="9" t="s">
        <v>596</v>
      </c>
      <c r="D45" s="9" t="s">
        <v>597</v>
      </c>
    </row>
    <row r="46" customFormat="false" ht="15" hidden="false" customHeight="false" outlineLevel="0" collapsed="false">
      <c r="A46" s="6" t="s">
        <v>598</v>
      </c>
      <c r="B46" s="46" t="n">
        <v>0.15</v>
      </c>
      <c r="C46" s="9" t="s">
        <v>599</v>
      </c>
      <c r="D46" s="9" t="s">
        <v>600</v>
      </c>
    </row>
    <row r="47" customFormat="false" ht="15" hidden="false" customHeight="false" outlineLevel="0" collapsed="false">
      <c r="A47" s="6" t="s">
        <v>601</v>
      </c>
      <c r="B47" s="46" t="n">
        <v>0.05</v>
      </c>
      <c r="C47" s="9" t="s">
        <v>602</v>
      </c>
      <c r="D47" s="9" t="s">
        <v>603</v>
      </c>
    </row>
    <row r="48" customFormat="false" ht="15" hidden="false" customHeight="false" outlineLevel="0" collapsed="false">
      <c r="A48" s="6" t="s">
        <v>604</v>
      </c>
      <c r="B48" s="46" t="n">
        <v>0.15</v>
      </c>
      <c r="C48" s="9" t="s">
        <v>602</v>
      </c>
      <c r="D48" s="9" t="s">
        <v>605</v>
      </c>
    </row>
    <row r="49" customFormat="false" ht="15" hidden="false" customHeight="false" outlineLevel="0" collapsed="false">
      <c r="A49" s="6" t="s">
        <v>606</v>
      </c>
      <c r="B49" s="46" t="n">
        <v>0.05</v>
      </c>
      <c r="C49" s="9" t="s">
        <v>602</v>
      </c>
      <c r="D49" s="9" t="s">
        <v>607</v>
      </c>
    </row>
    <row r="50" customFormat="false" ht="15" hidden="false" customHeight="false" outlineLevel="0" collapsed="false">
      <c r="A50" s="6" t="s">
        <v>608</v>
      </c>
      <c r="B50" s="46" t="n">
        <v>0.01</v>
      </c>
      <c r="C50" s="9" t="s">
        <v>588</v>
      </c>
      <c r="D50" s="9" t="s">
        <v>609</v>
      </c>
    </row>
    <row r="51" customFormat="false" ht="15" hidden="false" customHeight="false" outlineLevel="0" collapsed="false">
      <c r="A51" s="6" t="s">
        <v>610</v>
      </c>
      <c r="B51" s="48" t="n">
        <v>3000</v>
      </c>
      <c r="C51" s="9" t="s">
        <v>207</v>
      </c>
      <c r="D51" s="9" t="s">
        <v>611</v>
      </c>
    </row>
    <row r="52" customFormat="false" ht="15" hidden="false" customHeight="false" outlineLevel="0" collapsed="false">
      <c r="A52" s="6" t="s">
        <v>612</v>
      </c>
      <c r="B52" s="46" t="n">
        <v>0.1</v>
      </c>
      <c r="C52" s="9" t="s">
        <v>196</v>
      </c>
      <c r="D52" s="9" t="s">
        <v>613</v>
      </c>
    </row>
    <row r="53" customFormat="false" ht="15" hidden="false" customHeight="false" outlineLevel="0" collapsed="false">
      <c r="A53" s="6" t="s">
        <v>614</v>
      </c>
      <c r="B53" s="48" t="n">
        <v>1980</v>
      </c>
      <c r="C53" s="9" t="s">
        <v>569</v>
      </c>
      <c r="D53" s="9" t="s">
        <v>615</v>
      </c>
    </row>
    <row r="54" customFormat="false" ht="15" hidden="false" customHeight="false" outlineLevel="0" collapsed="false">
      <c r="A54" s="6" t="s">
        <v>616</v>
      </c>
      <c r="B54" s="46" t="n">
        <v>0.03</v>
      </c>
      <c r="C54" s="9" t="s">
        <v>539</v>
      </c>
      <c r="D54" s="9" t="s">
        <v>617</v>
      </c>
    </row>
    <row r="55" customFormat="false" ht="15" hidden="false" customHeight="false" outlineLevel="0" collapsed="false">
      <c r="A55" s="6" t="s">
        <v>618</v>
      </c>
      <c r="B55" s="46" t="n">
        <v>0.02</v>
      </c>
      <c r="C55" s="9" t="s">
        <v>619</v>
      </c>
      <c r="D55" s="9" t="s">
        <v>620</v>
      </c>
    </row>
    <row r="56" customFormat="false" ht="15" hidden="false" customHeight="false" outlineLevel="0" collapsed="false">
      <c r="A56" s="6" t="s">
        <v>621</v>
      </c>
      <c r="B56" s="51" t="n">
        <v>2</v>
      </c>
      <c r="C56" s="9" t="s">
        <v>560</v>
      </c>
      <c r="D56" s="9" t="s">
        <v>622</v>
      </c>
    </row>
    <row r="57" customFormat="false" ht="15" hidden="false" customHeight="false" outlineLevel="0" collapsed="false">
      <c r="A57" s="6" t="s">
        <v>623</v>
      </c>
      <c r="B57" s="51" t="n">
        <v>60</v>
      </c>
      <c r="C57" s="9" t="s">
        <v>263</v>
      </c>
      <c r="D57" s="9" t="s">
        <v>624</v>
      </c>
    </row>
    <row r="58" customFormat="false" ht="15" hidden="false" customHeight="false" outlineLevel="0" collapsed="false">
      <c r="A58" s="6" t="s">
        <v>625</v>
      </c>
      <c r="B58" s="51" t="n">
        <v>30</v>
      </c>
      <c r="C58" s="9" t="s">
        <v>263</v>
      </c>
      <c r="D58" s="9" t="s">
        <v>626</v>
      </c>
    </row>
    <row r="59" customFormat="false" ht="15" hidden="false" customHeight="false" outlineLevel="0" collapsed="false">
      <c r="A59" s="6" t="s">
        <v>627</v>
      </c>
      <c r="B59" s="46" t="n">
        <v>0.01</v>
      </c>
      <c r="C59" s="9" t="s">
        <v>619</v>
      </c>
      <c r="D59" s="9" t="s">
        <v>628</v>
      </c>
    </row>
    <row r="60" customFormat="false" ht="15" hidden="false" customHeight="false" outlineLevel="0" collapsed="false">
      <c r="A60" s="6" t="s">
        <v>629</v>
      </c>
      <c r="B60" s="51" t="n">
        <v>15</v>
      </c>
      <c r="C60" s="9" t="s">
        <v>263</v>
      </c>
      <c r="D60" s="9" t="s">
        <v>630</v>
      </c>
    </row>
    <row r="61" customFormat="false" ht="15" hidden="false" customHeight="false" outlineLevel="0" collapsed="false">
      <c r="A61" s="6" t="s">
        <v>631</v>
      </c>
      <c r="B61" s="70" t="n">
        <v>8</v>
      </c>
      <c r="C61" s="9" t="s">
        <v>557</v>
      </c>
      <c r="D61" s="9" t="s">
        <v>632</v>
      </c>
    </row>
    <row r="62" customFormat="false" ht="15" hidden="false" customHeight="false" outlineLevel="0" collapsed="false">
      <c r="A62" s="6" t="s">
        <v>633</v>
      </c>
      <c r="B62" s="46" t="n">
        <v>0.62</v>
      </c>
      <c r="C62" s="9" t="s">
        <v>196</v>
      </c>
      <c r="D62" s="9" t="s">
        <v>634</v>
      </c>
    </row>
    <row r="63" customFormat="false" ht="15" hidden="false" customHeight="false" outlineLevel="0" collapsed="false">
      <c r="A63" s="6" t="s">
        <v>635</v>
      </c>
      <c r="B63" s="46" t="n">
        <v>0.68</v>
      </c>
      <c r="C63" s="9" t="s">
        <v>196</v>
      </c>
      <c r="D63" s="9" t="s">
        <v>636</v>
      </c>
    </row>
    <row r="65" customFormat="false" ht="15" hidden="false" customHeight="false" outlineLevel="0" collapsed="false">
      <c r="A65" s="3" t="s">
        <v>637</v>
      </c>
      <c r="B65" s="4"/>
      <c r="C65" s="4"/>
      <c r="D65" s="4"/>
      <c r="E65" s="4"/>
      <c r="F65" s="4"/>
      <c r="G65" s="4"/>
      <c r="H65" s="4"/>
      <c r="I65" s="4"/>
      <c r="J65" s="4"/>
      <c r="K65" s="4"/>
    </row>
    <row r="66" customFormat="false" ht="35.05" hidden="false" customHeight="false" outlineLevel="0" collapsed="false">
      <c r="A66" s="23" t="s">
        <v>638</v>
      </c>
      <c r="B66" s="24" t="s">
        <v>639</v>
      </c>
      <c r="C66" s="24" t="s">
        <v>640</v>
      </c>
      <c r="D66" s="24" t="s">
        <v>641</v>
      </c>
      <c r="E66" s="24" t="s">
        <v>642</v>
      </c>
      <c r="F66" s="24" t="s">
        <v>643</v>
      </c>
    </row>
    <row r="67" customFormat="false" ht="15" hidden="false" customHeight="false" outlineLevel="0" collapsed="false">
      <c r="A67" s="6" t="s">
        <v>644</v>
      </c>
      <c r="B67" s="48" t="n">
        <v>4500</v>
      </c>
      <c r="C67" s="52" t="n">
        <v>0.026</v>
      </c>
      <c r="D67" s="46" t="n">
        <v>0.12</v>
      </c>
      <c r="E67" s="48" t="n">
        <v>19500</v>
      </c>
      <c r="F67" s="48" t="n">
        <v>750</v>
      </c>
    </row>
    <row r="68" customFormat="false" ht="15" hidden="false" customHeight="false" outlineLevel="0" collapsed="false">
      <c r="A68" s="6" t="s">
        <v>645</v>
      </c>
      <c r="B68" s="48" t="n">
        <v>3000</v>
      </c>
      <c r="C68" s="71" t="n">
        <f aca="false">$B$8</f>
        <v>0.036</v>
      </c>
      <c r="D68" s="46" t="n">
        <v>0.13</v>
      </c>
      <c r="E68" s="48" t="n">
        <v>22000</v>
      </c>
      <c r="F68" s="48" t="n">
        <v>900</v>
      </c>
    </row>
    <row r="69" customFormat="false" ht="15" hidden="false" customHeight="false" outlineLevel="0" collapsed="false">
      <c r="A69" s="6" t="s">
        <v>646</v>
      </c>
      <c r="B69" s="48" t="n">
        <v>1500</v>
      </c>
      <c r="C69" s="52" t="n">
        <v>0.026</v>
      </c>
      <c r="D69" s="46" t="n">
        <v>0.1</v>
      </c>
      <c r="E69" s="48" t="n">
        <v>24000</v>
      </c>
      <c r="F69" s="48" t="n">
        <v>800</v>
      </c>
    </row>
    <row r="70" customFormat="false" ht="15" hidden="false" customHeight="false" outlineLevel="0" collapsed="false">
      <c r="A70" s="9" t="s">
        <v>647</v>
      </c>
    </row>
    <row r="72" customFormat="false" ht="15" hidden="false" customHeight="false" outlineLevel="0" collapsed="false">
      <c r="A72" s="3" t="s">
        <v>648</v>
      </c>
      <c r="B72" s="4"/>
      <c r="C72" s="4"/>
      <c r="D72" s="4"/>
      <c r="E72" s="4"/>
      <c r="F72" s="4"/>
      <c r="G72" s="4"/>
      <c r="H72" s="4"/>
      <c r="I72" s="4"/>
      <c r="J72" s="4"/>
      <c r="K72" s="4"/>
    </row>
    <row r="73" customFormat="false" ht="23.85" hidden="false" customHeight="false" outlineLevel="0" collapsed="false">
      <c r="A73" s="23" t="s">
        <v>638</v>
      </c>
      <c r="B73" s="24" t="s">
        <v>639</v>
      </c>
      <c r="C73" s="24" t="s">
        <v>640</v>
      </c>
      <c r="D73" s="24" t="s">
        <v>649</v>
      </c>
      <c r="E73" s="24" t="s">
        <v>650</v>
      </c>
      <c r="F73" s="24" t="s">
        <v>651</v>
      </c>
    </row>
    <row r="74" customFormat="false" ht="15" hidden="false" customHeight="false" outlineLevel="0" collapsed="false">
      <c r="A74" s="6" t="s">
        <v>652</v>
      </c>
      <c r="B74" s="48" t="n">
        <v>6500</v>
      </c>
      <c r="C74" s="52" t="n">
        <v>0.03</v>
      </c>
      <c r="D74" s="25" t="n">
        <f aca="false">MAX(0,B74*$B$7*($B$8-(C74+$B$10))/($B$9-(C74+$B$10)))</f>
        <v>94.2957746478873</v>
      </c>
      <c r="E74" s="25" t="n">
        <f aca="false">MAX(0,B74*$B$7*($B$8-(C74+$B$11))/($B$9-(C74+$B$11)))</f>
        <v>103.222883418988</v>
      </c>
      <c r="F74" s="25" t="n">
        <f aca="false">E74-D74</f>
        <v>8.92710877110098</v>
      </c>
    </row>
    <row r="75" customFormat="false" ht="15" hidden="false" customHeight="false" outlineLevel="0" collapsed="false">
      <c r="A75" s="6" t="s">
        <v>653</v>
      </c>
      <c r="B75" s="48" t="n">
        <v>3500</v>
      </c>
      <c r="C75" s="52" t="n">
        <v>0.015</v>
      </c>
      <c r="D75" s="25" t="n">
        <f aca="false">MAX(0,B75*$B$7*($B$8-(C75+$B$10))/($B$9-(C75+$B$10)))</f>
        <v>189.539302446642</v>
      </c>
      <c r="E75" s="25" t="n">
        <f aca="false">MAX(0,B75*$B$7*($B$8-(C75+$B$11))/($B$9-(C75+$B$11)))</f>
        <v>193.978424746556</v>
      </c>
      <c r="F75" s="25" t="n">
        <f aca="false">E75-D75</f>
        <v>4.43912229991338</v>
      </c>
    </row>
    <row r="76" customFormat="false" ht="15" hidden="false" customHeight="false" outlineLevel="0" collapsed="false">
      <c r="A76" s="6" t="s">
        <v>654</v>
      </c>
      <c r="B76" s="48" t="n">
        <v>2000</v>
      </c>
      <c r="C76" s="52" t="n">
        <v>0.02</v>
      </c>
      <c r="D76" s="25" t="n">
        <f aca="false">MAX(0,B76*$B$7*($B$8-(C76+$B$10))/($B$9-(C76+$B$10)))</f>
        <v>82.5738396624472</v>
      </c>
      <c r="E76" s="25" t="n">
        <f aca="false">MAX(0,B76*$B$7*($B$8-(C76+$B$11))/($B$9-(C76+$B$11)))</f>
        <v>85.1777719252041</v>
      </c>
      <c r="F76" s="25" t="n">
        <f aca="false">E76-D76</f>
        <v>2.60393226275684</v>
      </c>
    </row>
    <row r="77" customFormat="false" ht="15" hidden="false" customHeight="false" outlineLevel="0" collapsed="false">
      <c r="A77" s="6" t="s">
        <v>644</v>
      </c>
      <c r="B77" s="29" t="n">
        <f aca="false">B67</f>
        <v>4500</v>
      </c>
      <c r="C77" s="71" t="n">
        <f aca="false">C67</f>
        <v>0.026</v>
      </c>
      <c r="D77" s="25" t="n">
        <f aca="false">MAX(0,B77*$B$7*($B$8-(C77+$B$10))/($B$9-(C77+$B$10)))</f>
        <v>114.260450160772</v>
      </c>
      <c r="E77" s="25" t="n">
        <f aca="false">MAX(0,B77*$B$7*($B$8-(C77+$B$11))/($B$9-(C77+$B$11)))</f>
        <v>120.309071447685</v>
      </c>
      <c r="F77" s="25" t="n">
        <f aca="false">E77-D77</f>
        <v>6.04862128691357</v>
      </c>
    </row>
    <row r="78" customFormat="false" ht="15" hidden="false" customHeight="false" outlineLevel="0" collapsed="false">
      <c r="A78" s="6" t="s">
        <v>646</v>
      </c>
      <c r="B78" s="29" t="n">
        <f aca="false">B69</f>
        <v>1500</v>
      </c>
      <c r="C78" s="71" t="n">
        <f aca="false">C69</f>
        <v>0.026</v>
      </c>
      <c r="D78" s="25" t="n">
        <f aca="false">MAX(0,B78*$B$7*($B$8-(C78+$B$10))/($B$9-(C78+$B$10)))</f>
        <v>38.0868167202572</v>
      </c>
      <c r="E78" s="25" t="n">
        <f aca="false">MAX(0,B78*$B$7*($B$8-(C78+$B$11))/($B$9-(C78+$B$11)))</f>
        <v>40.1030238158951</v>
      </c>
      <c r="F78" s="25" t="n">
        <f aca="false">E78-D78</f>
        <v>2.01620709563786</v>
      </c>
    </row>
    <row r="79" customFormat="false" ht="15" hidden="false" customHeight="false" outlineLevel="0" collapsed="false">
      <c r="A79" s="6" t="s">
        <v>655</v>
      </c>
      <c r="B79" s="48" t="n">
        <v>1400</v>
      </c>
      <c r="C79" s="52" t="n">
        <v>0.03</v>
      </c>
      <c r="D79" s="25" t="n">
        <f aca="false">MAX(0,B79*$B$7*($B$8-(C79+$B$10))/($B$9-(C79+$B$10)))</f>
        <v>20.3098591549296</v>
      </c>
      <c r="E79" s="25" t="n">
        <f aca="false">MAX(0,B79*$B$7*($B$8-(C79+$B$11))/($B$9-(C79+$B$11)))</f>
        <v>22.2326210440898</v>
      </c>
      <c r="F79" s="25" t="n">
        <f aca="false">E79-D79</f>
        <v>1.92276188916021</v>
      </c>
    </row>
    <row r="80" customFormat="false" ht="15" hidden="false" customHeight="false" outlineLevel="0" collapsed="false">
      <c r="A80" s="6" t="s">
        <v>656</v>
      </c>
      <c r="B80" s="48" t="n">
        <v>1400</v>
      </c>
      <c r="C80" s="52" t="n">
        <v>0.03</v>
      </c>
      <c r="D80" s="25" t="n">
        <f aca="false">MAX(0,B80*$B$7*($B$8-(C80+$B$10))/($B$9-(C80+$B$10)))</f>
        <v>20.3098591549296</v>
      </c>
      <c r="E80" s="25" t="n">
        <f aca="false">MAX(0,B80*$B$7*($B$8-(C80+$B$11))/($B$9-(C80+$B$11)))</f>
        <v>22.2326210440898</v>
      </c>
      <c r="F80" s="25" t="n">
        <f aca="false">E80-D80</f>
        <v>1.92276188916021</v>
      </c>
    </row>
    <row r="81" customFormat="false" ht="15" hidden="false" customHeight="false" outlineLevel="0" collapsed="false">
      <c r="A81" s="6" t="s">
        <v>657</v>
      </c>
      <c r="B81" s="48" t="n">
        <v>1200</v>
      </c>
      <c r="C81" s="52" t="n">
        <v>0.03</v>
      </c>
      <c r="D81" s="25" t="n">
        <f aca="false">MAX(0,B81*$B$7*($B$8-(C81+$B$10))/($B$9-(C81+$B$10)))</f>
        <v>17.4084507042254</v>
      </c>
      <c r="E81" s="25" t="n">
        <f aca="false">MAX(0,B81*$B$7*($B$8-(C81+$B$11))/($B$9-(C81+$B$11)))</f>
        <v>19.0565323235055</v>
      </c>
      <c r="F81" s="25" t="n">
        <f aca="false">E81-D81</f>
        <v>1.64808161928018</v>
      </c>
    </row>
    <row r="82" customFormat="false" ht="15" hidden="false" customHeight="false" outlineLevel="0" collapsed="false">
      <c r="A82" s="5" t="s">
        <v>88</v>
      </c>
      <c r="B82" s="10" t="n">
        <f aca="false">SUM(B74:B81)</f>
        <v>22000</v>
      </c>
      <c r="D82" s="30" t="n">
        <f aca="false">SUM(D74:D81)</f>
        <v>576.78435265209</v>
      </c>
      <c r="E82" s="30" t="n">
        <f aca="false">SUM(E74:E81)</f>
        <v>606.312949766014</v>
      </c>
      <c r="F82" s="30" t="n">
        <f aca="false">SUM(F74:F81)</f>
        <v>29.5285971139232</v>
      </c>
    </row>
    <row r="83" customFormat="false" ht="15" hidden="false" customHeight="false" outlineLevel="0" collapsed="false">
      <c r="A83" s="9" t="s">
        <v>658</v>
      </c>
    </row>
    <row r="85" customFormat="false" ht="15" hidden="false" customHeight="false" outlineLevel="0" collapsed="false">
      <c r="A85" s="3" t="s">
        <v>659</v>
      </c>
      <c r="B85" s="4"/>
      <c r="C85" s="4"/>
      <c r="D85" s="4"/>
      <c r="E85" s="4"/>
      <c r="F85" s="4"/>
      <c r="G85" s="4"/>
      <c r="H85" s="4"/>
      <c r="I85" s="4"/>
      <c r="J85" s="4"/>
      <c r="K85" s="4"/>
    </row>
    <row r="86" customFormat="false" ht="23.85" hidden="false" customHeight="false" outlineLevel="0" collapsed="false">
      <c r="A86" s="23" t="s">
        <v>660</v>
      </c>
      <c r="B86" s="24" t="s">
        <v>644</v>
      </c>
      <c r="C86" s="24" t="s">
        <v>661</v>
      </c>
      <c r="D86" s="24" t="s">
        <v>646</v>
      </c>
      <c r="E86" s="24" t="s">
        <v>88</v>
      </c>
    </row>
    <row r="87" customFormat="false" ht="15" hidden="false" customHeight="false" outlineLevel="0" collapsed="false">
      <c r="A87" s="6" t="s">
        <v>662</v>
      </c>
      <c r="B87" s="25" t="n">
        <f aca="false">B67*$B$7</f>
        <v>4635</v>
      </c>
      <c r="C87" s="25" t="n">
        <f aca="false">B68*$B$7</f>
        <v>3090</v>
      </c>
      <c r="D87" s="25" t="n">
        <f aca="false">B69*$B$7</f>
        <v>1545</v>
      </c>
      <c r="E87" s="25" t="n">
        <f aca="false">SUM(B87:D87)</f>
        <v>9270</v>
      </c>
    </row>
    <row r="88" customFormat="false" ht="15" hidden="false" customHeight="false" outlineLevel="0" collapsed="false">
      <c r="A88" s="6" t="s">
        <v>663</v>
      </c>
      <c r="B88" s="25" t="n">
        <f aca="false">D77</f>
        <v>114.260450160772</v>
      </c>
      <c r="C88" s="25" t="n">
        <f aca="false">0</f>
        <v>0</v>
      </c>
      <c r="D88" s="25" t="n">
        <f aca="false">D78</f>
        <v>38.0868167202572</v>
      </c>
      <c r="E88" s="25" t="n">
        <f aca="false">SUM(B88:D88)</f>
        <v>152.347266881029</v>
      </c>
    </row>
    <row r="89" customFormat="false" ht="15" hidden="false" customHeight="false" outlineLevel="0" collapsed="false">
      <c r="A89" s="6" t="s">
        <v>664</v>
      </c>
      <c r="B89" s="25" t="n">
        <f aca="false">0</f>
        <v>0</v>
      </c>
      <c r="C89" s="25" t="n">
        <f aca="false">$B$12</f>
        <v>30</v>
      </c>
      <c r="D89" s="25" t="n">
        <f aca="false">0</f>
        <v>0</v>
      </c>
      <c r="E89" s="25" t="n">
        <f aca="false">SUM(B89:D89)</f>
        <v>30</v>
      </c>
    </row>
    <row r="90" customFormat="false" ht="15" hidden="false" customHeight="false" outlineLevel="0" collapsed="false">
      <c r="A90" s="6" t="s">
        <v>665</v>
      </c>
      <c r="B90" s="25" t="n">
        <f aca="false">B87-B88</f>
        <v>4520.73954983923</v>
      </c>
      <c r="C90" s="25" t="n">
        <f aca="false">C87-C88</f>
        <v>3090</v>
      </c>
      <c r="D90" s="25" t="n">
        <f aca="false">D87-D88</f>
        <v>1506.91318327974</v>
      </c>
      <c r="E90" s="25" t="n">
        <f aca="false">SUM(B90:D90)</f>
        <v>9117.65273311897</v>
      </c>
    </row>
    <row r="91" customFormat="false" ht="15" hidden="false" customHeight="false" outlineLevel="0" collapsed="false">
      <c r="A91" s="6" t="s">
        <v>666</v>
      </c>
      <c r="B91" s="25" t="n">
        <f aca="false">B90*$B$13</f>
        <v>135.622186495177</v>
      </c>
      <c r="C91" s="25" t="n">
        <f aca="false">0</f>
        <v>0</v>
      </c>
      <c r="D91" s="25" t="n">
        <f aca="false">0</f>
        <v>0</v>
      </c>
      <c r="E91" s="25" t="n">
        <f aca="false">SUM(B91:D91)</f>
        <v>135.622186495177</v>
      </c>
    </row>
    <row r="92" customFormat="false" ht="15" hidden="false" customHeight="false" outlineLevel="0" collapsed="false">
      <c r="A92" s="5" t="s">
        <v>667</v>
      </c>
      <c r="B92" s="30" t="n">
        <f aca="false">B90*D67</f>
        <v>542.488745980707</v>
      </c>
      <c r="C92" s="30" t="n">
        <f aca="false">C90*D68</f>
        <v>401.7</v>
      </c>
      <c r="D92" s="30" t="n">
        <f aca="false">D90*D69</f>
        <v>150.691318327974</v>
      </c>
      <c r="E92" s="30" t="n">
        <f aca="false">SUM(B92:D92)</f>
        <v>1094.88006430868</v>
      </c>
    </row>
    <row r="93" customFormat="false" ht="15" hidden="false" customHeight="false" outlineLevel="0" collapsed="false">
      <c r="A93" s="6" t="s">
        <v>668</v>
      </c>
      <c r="B93" s="25" t="n">
        <f aca="false">B90+B89+B91-B92</f>
        <v>4113.8729903537</v>
      </c>
      <c r="C93" s="25" t="n">
        <f aca="false">C90+C89+C91-C92</f>
        <v>2718.3</v>
      </c>
      <c r="D93" s="25" t="n">
        <f aca="false">D90+D89+D91-D92</f>
        <v>1356.22186495177</v>
      </c>
      <c r="E93" s="25" t="n">
        <f aca="false">SUM(B93:D93)</f>
        <v>8188.39485530547</v>
      </c>
    </row>
    <row r="94" customFormat="false" ht="15" hidden="false" customHeight="false" outlineLevel="0" collapsed="false">
      <c r="A94" s="6" t="s">
        <v>669</v>
      </c>
      <c r="B94" s="25" t="n">
        <f aca="false">(B87+B89+B91)-(B88+B92+B93)</f>
        <v>0</v>
      </c>
      <c r="C94" s="25" t="n">
        <f aca="false">(C87+C89+C91)-(C88+C92+C93)</f>
        <v>0</v>
      </c>
      <c r="D94" s="25" t="n">
        <f aca="false">(D87+D89+D91)-(D88+D92+D93)</f>
        <v>0</v>
      </c>
      <c r="E94" s="25" t="n">
        <f aca="false">SUM(B94:D94)</f>
        <v>0</v>
      </c>
    </row>
    <row r="95" customFormat="false" ht="15" hidden="false" customHeight="false" outlineLevel="0" collapsed="false">
      <c r="A95" s="6" t="s">
        <v>670</v>
      </c>
      <c r="B95" s="25" t="n">
        <f aca="false">B90*$B$14</f>
        <v>6.78110932475884</v>
      </c>
      <c r="C95" s="25" t="n">
        <f aca="false">0</f>
        <v>0</v>
      </c>
      <c r="D95" s="25" t="n">
        <f aca="false">D90*$B$14</f>
        <v>2.26036977491961</v>
      </c>
      <c r="E95" s="25" t="n">
        <f aca="false">SUM(B95:D95)</f>
        <v>9.04147909967846</v>
      </c>
    </row>
    <row r="96" customFormat="false" ht="15" hidden="false" customHeight="false" outlineLevel="0" collapsed="false">
      <c r="A96" s="6" t="s">
        <v>671</v>
      </c>
      <c r="B96" s="25" t="n">
        <f aca="false">0</f>
        <v>0</v>
      </c>
      <c r="C96" s="25" t="n">
        <f aca="false">(C92+C95)*$B$15</f>
        <v>8.034</v>
      </c>
      <c r="D96" s="25" t="n">
        <f aca="false">(D92+D95)*$B$15</f>
        <v>3.05903376205788</v>
      </c>
      <c r="E96" s="25" t="n">
        <f aca="false">SUM(B96:D96)</f>
        <v>11.0930337620579</v>
      </c>
    </row>
    <row r="97" customFormat="false" ht="15" hidden="false" customHeight="false" outlineLevel="0" collapsed="false">
      <c r="A97" s="6" t="s">
        <v>672</v>
      </c>
      <c r="B97" s="25" t="n">
        <f aca="false">0</f>
        <v>0</v>
      </c>
      <c r="C97" s="25" t="n">
        <f aca="false">C92+C95+C96</f>
        <v>409.734</v>
      </c>
      <c r="D97" s="25" t="n">
        <f aca="false">D92+D95+D96</f>
        <v>156.010721864952</v>
      </c>
      <c r="E97" s="25" t="n">
        <f aca="false">SUM(B97:D97)</f>
        <v>565.744721864952</v>
      </c>
    </row>
    <row r="98" customFormat="false" ht="15" hidden="false" customHeight="false" outlineLevel="0" collapsed="false">
      <c r="A98" s="6" t="s">
        <v>673</v>
      </c>
      <c r="B98" s="72" t="n">
        <f aca="false">(E95+E96)/E92</f>
        <v>0.018389697208022</v>
      </c>
      <c r="D98" s="9" t="s">
        <v>674</v>
      </c>
    </row>
    <row r="99" customFormat="false" ht="15" hidden="false" customHeight="false" outlineLevel="0" collapsed="false">
      <c r="A99" s="9" t="s">
        <v>675</v>
      </c>
    </row>
    <row r="101" customFormat="false" ht="15" hidden="false" customHeight="false" outlineLevel="0" collapsed="false">
      <c r="A101" s="3" t="s">
        <v>676</v>
      </c>
      <c r="B101" s="4"/>
      <c r="C101" s="4"/>
      <c r="D101" s="4"/>
      <c r="E101" s="4"/>
      <c r="F101" s="4"/>
      <c r="G101" s="4"/>
      <c r="H101" s="4"/>
      <c r="I101" s="4"/>
      <c r="J101" s="4"/>
      <c r="K101" s="4"/>
    </row>
    <row r="102" customFormat="false" ht="15" hidden="false" customHeight="false" outlineLevel="0" collapsed="false">
      <c r="A102" s="9" t="s">
        <v>677</v>
      </c>
    </row>
    <row r="103" customFormat="false" ht="43.5" hidden="false" customHeight="true" outlineLevel="0" collapsed="false">
      <c r="A103" s="23" t="s">
        <v>678</v>
      </c>
      <c r="B103" s="24" t="s">
        <v>679</v>
      </c>
      <c r="C103" s="24" t="s">
        <v>680</v>
      </c>
      <c r="D103" s="24" t="s">
        <v>681</v>
      </c>
      <c r="E103" s="24" t="s">
        <v>682</v>
      </c>
      <c r="F103" s="24" t="s">
        <v>683</v>
      </c>
      <c r="G103" s="24" t="s">
        <v>684</v>
      </c>
      <c r="H103" s="24" t="s">
        <v>685</v>
      </c>
    </row>
    <row r="104" customFormat="false" ht="15" hidden="false" customHeight="false" outlineLevel="0" collapsed="false">
      <c r="A104" s="6" t="str">
        <f aca="false">A67</f>
        <v>Q1 campesino</v>
      </c>
      <c r="B104" s="29" t="n">
        <f aca="false">B67</f>
        <v>4500</v>
      </c>
      <c r="C104" s="29" t="n">
        <f aca="false">(B92*(E67-F67)+(B88-B89)*$B$29)/B67</f>
        <v>2488.89067524116</v>
      </c>
      <c r="D104" s="29" t="n">
        <f aca="false">B104*(1-$B$46)</f>
        <v>3825</v>
      </c>
      <c r="E104" s="29" t="n">
        <f aca="false">B104*(1+$B$47)</f>
        <v>4725</v>
      </c>
      <c r="F104" s="73" t="n">
        <f aca="false">RANK(C104,$C$104:$C$106,0)</f>
        <v>3</v>
      </c>
      <c r="G104" s="10" t="n">
        <f aca="false">D104+MIN(E104-D104,MAX(0,(SUM($B$104:$B$106)-SUM($D$104:$D$106))-SUMIF($F$104:$F$106,"&lt;"&amp;F104,$E$104:$E$106)+SUMIF($F$104:$F$106,"&lt;"&amp;F104,$D$104:$D$106)))</f>
        <v>3975</v>
      </c>
      <c r="H104" s="29" t="n">
        <f aca="false">G104-B104</f>
        <v>-525</v>
      </c>
    </row>
    <row r="105" customFormat="false" ht="15" hidden="false" customHeight="false" outlineLevel="0" collapsed="false">
      <c r="A105" s="6" t="str">
        <f aca="false">A68</f>
        <v>Q2 doble crema (leche entera, sin estandarizar)</v>
      </c>
      <c r="B105" s="29" t="n">
        <f aca="false">B68</f>
        <v>3000</v>
      </c>
      <c r="C105" s="29" t="n">
        <f aca="false">(C92*(E68-F68)+(C88-C89)*$B$29)/B68</f>
        <v>2735.29</v>
      </c>
      <c r="D105" s="29" t="n">
        <f aca="false">B105*(1-$B$46)</f>
        <v>2550</v>
      </c>
      <c r="E105" s="29" t="n">
        <f aca="false">B105*(1+$B$48)</f>
        <v>3450</v>
      </c>
      <c r="F105" s="73" t="n">
        <f aca="false">RANK(C105,$C$104:$C$106,0)</f>
        <v>1</v>
      </c>
      <c r="G105" s="10" t="n">
        <f aca="false">D105+MIN(E105-D105,MAX(0,(SUM($B$104:$B$106)-SUM($D$104:$D$106))-SUMIF($F$104:$F$106,"&lt;"&amp;F105,$E$104:$E$106)+SUMIF($F$104:$F$106,"&lt;"&amp;F105,$D$104:$D$106)))</f>
        <v>3450</v>
      </c>
      <c r="H105" s="29" t="n">
        <f aca="false">G105-B105</f>
        <v>450</v>
      </c>
    </row>
    <row r="106" customFormat="false" ht="15" hidden="false" customHeight="false" outlineLevel="0" collapsed="false">
      <c r="A106" s="6" t="str">
        <f aca="false">A69</f>
        <v>Q3 mozzarella</v>
      </c>
      <c r="B106" s="29" t="n">
        <f aca="false">B69</f>
        <v>1500</v>
      </c>
      <c r="C106" s="29" t="n">
        <f aca="false">(D92*(E69-F69)+(D88-D89)*$B$29)/B69</f>
        <v>2559.21329046088</v>
      </c>
      <c r="D106" s="29" t="n">
        <f aca="false">B106*(1-$B$46)</f>
        <v>1275</v>
      </c>
      <c r="E106" s="29" t="n">
        <f aca="false">B106*(1+$B$49)</f>
        <v>1575</v>
      </c>
      <c r="F106" s="73" t="n">
        <f aca="false">RANK(C106,$C$104:$C$106,0)</f>
        <v>2</v>
      </c>
      <c r="G106" s="10" t="n">
        <f aca="false">D106+MIN(E106-D106,MAX(0,(SUM($B$104:$B$106)-SUM($D$104:$D$106))-SUMIF($F$104:$F$106,"&lt;"&amp;F106,$E$104:$E$106)+SUMIF($F$104:$F$106,"&lt;"&amp;F106,$D$104:$D$106)))</f>
        <v>1575</v>
      </c>
      <c r="H106" s="29" t="n">
        <f aca="false">G106-B106</f>
        <v>75</v>
      </c>
    </row>
    <row r="107" customFormat="false" ht="15" hidden="false" customHeight="false" outlineLevel="0" collapsed="false">
      <c r="A107" s="5" t="s">
        <v>686</v>
      </c>
      <c r="C107" s="30" t="n">
        <f aca="false">SUMPRODUCT(H104:H106,C104:C106)*$B$6/1000000</f>
        <v>34.1492443311894</v>
      </c>
    </row>
    <row r="108" customFormat="false" ht="15" hidden="false" customHeight="false" outlineLevel="0" collapsed="false">
      <c r="A108" s="6" t="s">
        <v>687</v>
      </c>
      <c r="C108" s="25" t="n">
        <f aca="false">(H104*B92/B67*E67+H105*C92/B68*E68+H106*D92/B69*E69)*$B$6/1000000</f>
        <v>80.0496393569128</v>
      </c>
    </row>
    <row r="109" customFormat="false" ht="15" hidden="false" customHeight="false" outlineLevel="0" collapsed="false">
      <c r="A109" s="6" t="s">
        <v>688</v>
      </c>
      <c r="C109" s="64" t="n">
        <f aca="false">(G105*C92/B68+G106*D92/B69)/300</f>
        <v>2.06726961414791</v>
      </c>
      <c r="D109" s="9" t="s">
        <v>689</v>
      </c>
    </row>
    <row r="110" customFormat="false" ht="15" hidden="false" customHeight="false" outlineLevel="0" collapsed="false">
      <c r="A110" s="6" t="s">
        <v>690</v>
      </c>
      <c r="C110" s="29" t="n">
        <f aca="false">SUM(G104:G106)-SUM(B104:B106)</f>
        <v>0</v>
      </c>
    </row>
    <row r="111" customFormat="false" ht="15" hidden="false" customHeight="false" outlineLevel="0" collapsed="false">
      <c r="A111" s="9" t="s">
        <v>691</v>
      </c>
    </row>
    <row r="113" customFormat="false" ht="15" hidden="false" customHeight="false" outlineLevel="0" collapsed="false">
      <c r="A113" s="3" t="s">
        <v>692</v>
      </c>
      <c r="B113" s="4"/>
      <c r="C113" s="4"/>
      <c r="D113" s="4"/>
      <c r="E113" s="4"/>
      <c r="F113" s="4"/>
      <c r="G113" s="4"/>
      <c r="H113" s="4"/>
      <c r="I113" s="4"/>
      <c r="J113" s="4"/>
      <c r="K113" s="4"/>
    </row>
    <row r="114" customFormat="false" ht="15" hidden="false" customHeight="false" outlineLevel="0" collapsed="false">
      <c r="A114" s="9" t="s">
        <v>693</v>
      </c>
    </row>
    <row r="115" customFormat="false" ht="23.85" hidden="false" customHeight="false" outlineLevel="0" collapsed="false">
      <c r="A115" s="23" t="s">
        <v>506</v>
      </c>
      <c r="B115" s="24" t="s">
        <v>188</v>
      </c>
      <c r="C115" s="24" t="s">
        <v>189</v>
      </c>
      <c r="D115" s="24" t="s">
        <v>694</v>
      </c>
    </row>
    <row r="116" customFormat="false" ht="15" hidden="false" customHeight="false" outlineLevel="0" collapsed="false">
      <c r="A116" s="6" t="s">
        <v>695</v>
      </c>
      <c r="B116" s="74" t="n">
        <v>12843121</v>
      </c>
      <c r="C116" s="9" t="s">
        <v>560</v>
      </c>
      <c r="D116" s="9" t="s">
        <v>696</v>
      </c>
    </row>
    <row r="117" customFormat="false" ht="15" hidden="false" customHeight="false" outlineLevel="0" collapsed="false">
      <c r="A117" s="6" t="s">
        <v>697</v>
      </c>
      <c r="B117" s="70" t="n">
        <v>1.2</v>
      </c>
      <c r="C117" s="9" t="s">
        <v>698</v>
      </c>
      <c r="D117" s="9" t="s">
        <v>699</v>
      </c>
    </row>
    <row r="118" customFormat="false" ht="15" hidden="false" customHeight="false" outlineLevel="0" collapsed="false">
      <c r="A118" s="6" t="s">
        <v>700</v>
      </c>
      <c r="B118" s="70" t="n">
        <v>1.5</v>
      </c>
      <c r="C118" s="9" t="s">
        <v>698</v>
      </c>
      <c r="D118" s="9" t="s">
        <v>701</v>
      </c>
    </row>
    <row r="119" customFormat="false" ht="15" hidden="false" customHeight="false" outlineLevel="0" collapsed="false">
      <c r="A119" s="6" t="s">
        <v>702</v>
      </c>
      <c r="B119" s="75" t="n">
        <f aca="false">B116*B117/1000</f>
        <v>15411.7452</v>
      </c>
      <c r="C119" s="9" t="s">
        <v>703</v>
      </c>
      <c r="D119" s="9" t="s">
        <v>704</v>
      </c>
    </row>
    <row r="120" customFormat="false" ht="15" hidden="false" customHeight="false" outlineLevel="0" collapsed="false">
      <c r="A120" s="6" t="s">
        <v>705</v>
      </c>
      <c r="B120" s="75" t="n">
        <f aca="false">B116*B118/1000</f>
        <v>19264.6815</v>
      </c>
      <c r="C120" s="9" t="s">
        <v>703</v>
      </c>
      <c r="D120" s="9" t="s">
        <v>704</v>
      </c>
    </row>
    <row r="121" customFormat="false" ht="15" hidden="false" customHeight="false" outlineLevel="0" collapsed="false">
      <c r="A121" s="6" t="s">
        <v>706</v>
      </c>
      <c r="B121" s="46" t="n">
        <v>0.28</v>
      </c>
      <c r="C121" s="9" t="s">
        <v>707</v>
      </c>
      <c r="D121" s="9" t="s">
        <v>708</v>
      </c>
    </row>
    <row r="122" customFormat="false" ht="15" hidden="false" customHeight="false" outlineLevel="0" collapsed="false">
      <c r="A122" s="6" t="s">
        <v>709</v>
      </c>
      <c r="B122" s="75" t="n">
        <f aca="false">B119*B121</f>
        <v>4315.288656</v>
      </c>
      <c r="C122" s="9" t="s">
        <v>703</v>
      </c>
      <c r="D122" s="9" t="s">
        <v>710</v>
      </c>
    </row>
    <row r="123" customFormat="false" ht="15" hidden="false" customHeight="false" outlineLevel="0" collapsed="false">
      <c r="A123" s="6" t="s">
        <v>711</v>
      </c>
      <c r="B123" s="46" t="n">
        <v>0.068</v>
      </c>
      <c r="C123" s="9" t="s">
        <v>712</v>
      </c>
      <c r="D123" s="9" t="s">
        <v>713</v>
      </c>
    </row>
    <row r="124" customFormat="false" ht="15" hidden="false" customHeight="false" outlineLevel="0" collapsed="false">
      <c r="A124" s="6" t="s">
        <v>714</v>
      </c>
      <c r="B124" s="75" t="n">
        <f aca="false">B122*B123</f>
        <v>293.439628608</v>
      </c>
      <c r="C124" s="9" t="s">
        <v>703</v>
      </c>
      <c r="D124" s="9" t="s">
        <v>715</v>
      </c>
    </row>
    <row r="125" customFormat="false" ht="15" hidden="false" customHeight="false" outlineLevel="0" collapsed="false">
      <c r="A125" s="6" t="s">
        <v>716</v>
      </c>
      <c r="B125" s="75" t="n">
        <f aca="false">(C92+D92)*$B$6/1000</f>
        <v>162.403047588424</v>
      </c>
      <c r="C125" s="9" t="s">
        <v>703</v>
      </c>
      <c r="D125" s="9" t="s">
        <v>717</v>
      </c>
    </row>
    <row r="126" customFormat="false" ht="15" hidden="false" customHeight="false" outlineLevel="0" collapsed="false">
      <c r="A126" s="6" t="s">
        <v>718</v>
      </c>
      <c r="B126" s="34" t="n">
        <f aca="false">B125/B122</f>
        <v>0.0376343416477177</v>
      </c>
      <c r="C126" s="9" t="s">
        <v>196</v>
      </c>
      <c r="D126" s="9" t="s">
        <v>719</v>
      </c>
    </row>
    <row r="127" customFormat="false" ht="15" hidden="false" customHeight="false" outlineLevel="0" collapsed="false">
      <c r="A127" s="6" t="s">
        <v>720</v>
      </c>
      <c r="B127" s="76" t="n">
        <f aca="false">(H105*C92/B68+H106*D92/B69)*$B$6/1000</f>
        <v>19.9301323794212</v>
      </c>
      <c r="C127" s="9" t="s">
        <v>703</v>
      </c>
      <c r="D127" s="9" t="s">
        <v>721</v>
      </c>
    </row>
    <row r="128" customFormat="false" ht="15" hidden="false" customHeight="false" outlineLevel="0" collapsed="false">
      <c r="A128" s="6" t="s">
        <v>722</v>
      </c>
      <c r="B128" s="71" t="n">
        <f aca="false">B127/B122</f>
        <v>0.00461849344694711</v>
      </c>
      <c r="C128" s="9" t="s">
        <v>196</v>
      </c>
      <c r="D128" s="9" t="s">
        <v>723</v>
      </c>
    </row>
    <row r="129" customFormat="false" ht="15" hidden="false" customHeight="false" outlineLevel="0" collapsed="false">
      <c r="A129" s="6" t="s">
        <v>724</v>
      </c>
      <c r="B129" s="34" t="n">
        <f aca="false">B127/B124</f>
        <v>0.067919021278634</v>
      </c>
      <c r="C129" s="9" t="s">
        <v>196</v>
      </c>
      <c r="D129" s="9" t="s">
        <v>725</v>
      </c>
    </row>
    <row r="130" customFormat="false" ht="15" hidden="false" customHeight="false" outlineLevel="0" collapsed="false">
      <c r="A130" s="9" t="s">
        <v>726</v>
      </c>
    </row>
    <row r="132" customFormat="false" ht="15" hidden="false" customHeight="false" outlineLevel="0" collapsed="false">
      <c r="A132" s="3" t="s">
        <v>727</v>
      </c>
      <c r="B132" s="4"/>
      <c r="C132" s="4"/>
      <c r="D132" s="4"/>
      <c r="E132" s="4"/>
      <c r="F132" s="4"/>
      <c r="G132" s="4"/>
      <c r="H132" s="4"/>
      <c r="I132" s="4"/>
      <c r="J132" s="4"/>
      <c r="K132" s="4"/>
    </row>
    <row r="133" customFormat="false" ht="15" hidden="false" customHeight="false" outlineLevel="0" collapsed="false">
      <c r="A133" s="9" t="s">
        <v>728</v>
      </c>
    </row>
    <row r="134" customFormat="false" ht="15" hidden="false" customHeight="false" outlineLevel="0" collapsed="false">
      <c r="A134" s="23" t="s">
        <v>729</v>
      </c>
      <c r="B134" s="24" t="s">
        <v>188</v>
      </c>
      <c r="C134" s="24" t="s">
        <v>189</v>
      </c>
      <c r="D134" s="24" t="s">
        <v>730</v>
      </c>
    </row>
    <row r="135" customFormat="false" ht="15" hidden="false" customHeight="false" outlineLevel="0" collapsed="false">
      <c r="A135" s="6" t="s">
        <v>731</v>
      </c>
      <c r="B135" s="29" t="n">
        <f aca="false">$B$51*(C92/B68)</f>
        <v>401.7</v>
      </c>
      <c r="C135" s="9" t="s">
        <v>523</v>
      </c>
      <c r="D135" s="9" t="s">
        <v>732</v>
      </c>
    </row>
    <row r="136" customFormat="false" ht="15" hidden="false" customHeight="false" outlineLevel="0" collapsed="false">
      <c r="A136" s="6" t="s">
        <v>733</v>
      </c>
      <c r="B136" s="29" t="n">
        <f aca="false">C105</f>
        <v>2735.29</v>
      </c>
      <c r="C136" s="9" t="s">
        <v>569</v>
      </c>
      <c r="D136" s="9" t="s">
        <v>734</v>
      </c>
    </row>
    <row r="137" customFormat="false" ht="15" hidden="false" customHeight="false" outlineLevel="0" collapsed="false">
      <c r="A137" s="6" t="s">
        <v>735</v>
      </c>
      <c r="B137" s="29" t="n">
        <f aca="false">$B$52*E68*(C92/B68)</f>
        <v>294.58</v>
      </c>
      <c r="C137" s="9" t="s">
        <v>569</v>
      </c>
      <c r="D137" s="9" t="s">
        <v>736</v>
      </c>
    </row>
    <row r="138" customFormat="false" ht="15" hidden="false" customHeight="false" outlineLevel="0" collapsed="false">
      <c r="A138" s="6" t="s">
        <v>737</v>
      </c>
      <c r="B138" s="29" t="n">
        <f aca="false">$B$53*(1+$B$54)</f>
        <v>2039.4</v>
      </c>
      <c r="C138" s="9" t="s">
        <v>569</v>
      </c>
      <c r="D138" s="9" t="s">
        <v>738</v>
      </c>
    </row>
    <row r="139" customFormat="false" ht="15" hidden="false" customHeight="false" outlineLevel="0" collapsed="false">
      <c r="A139" s="6" t="s">
        <v>739</v>
      </c>
      <c r="B139" s="29" t="n">
        <f aca="false">$B$23*1000000/(25000*$B$6)</f>
        <v>165.714285714286</v>
      </c>
      <c r="C139" s="9" t="s">
        <v>569</v>
      </c>
      <c r="D139" s="9" t="s">
        <v>740</v>
      </c>
    </row>
    <row r="140" customFormat="false" ht="15" hidden="false" customHeight="false" outlineLevel="0" collapsed="false">
      <c r="A140" s="6" t="s">
        <v>741</v>
      </c>
      <c r="B140" s="29" t="n">
        <f aca="false">$B$55*E68*(1-$B$52)*(C92/B68)</f>
        <v>53.0244</v>
      </c>
      <c r="C140" s="9" t="s">
        <v>569</v>
      </c>
      <c r="D140" s="9" t="s">
        <v>742</v>
      </c>
    </row>
    <row r="141" customFormat="false" ht="15" hidden="false" customHeight="false" outlineLevel="0" collapsed="false">
      <c r="A141" s="5" t="s">
        <v>743</v>
      </c>
      <c r="B141" s="10" t="n">
        <f aca="false">B136-B137-B138-B139-B140</f>
        <v>182.571314285714</v>
      </c>
      <c r="C141" s="9" t="s">
        <v>569</v>
      </c>
      <c r="D141" s="9" t="s">
        <v>744</v>
      </c>
    </row>
    <row r="142" customFormat="false" ht="15" hidden="false" customHeight="false" outlineLevel="0" collapsed="false">
      <c r="A142" s="6" t="s">
        <v>745</v>
      </c>
      <c r="B142" s="25" t="n">
        <f aca="false">$B$56*Quesería!$B$22</f>
        <v>72</v>
      </c>
      <c r="C142" s="9" t="s">
        <v>214</v>
      </c>
      <c r="D142" s="9" t="s">
        <v>746</v>
      </c>
    </row>
    <row r="143" customFormat="false" ht="15" hidden="false" customHeight="false" outlineLevel="0" collapsed="false">
      <c r="A143" s="6" t="s">
        <v>747</v>
      </c>
      <c r="B143" s="25" t="n">
        <f aca="false">B135*$B$6*E68*(1-$B$52)/1000000</f>
        <v>2338.37604</v>
      </c>
      <c r="C143" s="9" t="s">
        <v>214</v>
      </c>
      <c r="D143" s="9" t="s">
        <v>748</v>
      </c>
    </row>
    <row r="144" customFormat="false" ht="15" hidden="false" customHeight="false" outlineLevel="0" collapsed="false">
      <c r="A144" s="6" t="s">
        <v>627</v>
      </c>
      <c r="B144" s="25" t="n">
        <f aca="false">$B$59*B143</f>
        <v>23.3837604</v>
      </c>
      <c r="C144" s="9" t="s">
        <v>214</v>
      </c>
      <c r="D144" s="9" t="s">
        <v>749</v>
      </c>
    </row>
    <row r="145" customFormat="false" ht="15" hidden="false" customHeight="false" outlineLevel="0" collapsed="false">
      <c r="A145" s="5" t="s">
        <v>750</v>
      </c>
      <c r="B145" s="30" t="n">
        <f aca="false">B141*$B$51*$B$6/1000000-B142-B144</f>
        <v>65.6441387999999</v>
      </c>
      <c r="C145" s="9" t="s">
        <v>214</v>
      </c>
      <c r="D145" s="9" t="s">
        <v>751</v>
      </c>
    </row>
    <row r="146" customFormat="false" ht="15" hidden="false" customHeight="false" outlineLevel="0" collapsed="false">
      <c r="A146" s="6" t="s">
        <v>752</v>
      </c>
      <c r="B146" s="25" t="n">
        <f aca="false">$B$51*$B$6*B138/1000000</f>
        <v>1798.7508</v>
      </c>
      <c r="C146" s="9" t="s">
        <v>214</v>
      </c>
      <c r="D146" s="9" t="s">
        <v>753</v>
      </c>
    </row>
    <row r="147" customFormat="false" ht="15" hidden="false" customHeight="false" outlineLevel="0" collapsed="false">
      <c r="A147" s="6" t="s">
        <v>754</v>
      </c>
      <c r="B147" s="25" t="n">
        <f aca="false">B143*($B$58-Quesería!$B$38)/365-B146*$B$60/365</f>
        <v>-73.9212657534247</v>
      </c>
      <c r="C147" s="9" t="s">
        <v>130</v>
      </c>
      <c r="D147" s="9" t="s">
        <v>755</v>
      </c>
    </row>
    <row r="148" customFormat="false" ht="15" hidden="false" customHeight="false" outlineLevel="0" collapsed="false">
      <c r="A148" s="6" t="s">
        <v>756</v>
      </c>
      <c r="B148" s="25" t="n">
        <f aca="false">B143*($B$57-Quesería!$B$38)/365-B146*$B$60/365</f>
        <v>118.274025205479</v>
      </c>
      <c r="C148" s="9" t="s">
        <v>130</v>
      </c>
      <c r="D148" s="9" t="s">
        <v>757</v>
      </c>
    </row>
    <row r="149" customFormat="false" ht="15" hidden="false" customHeight="false" outlineLevel="0" collapsed="false">
      <c r="A149" s="6" t="s">
        <v>758</v>
      </c>
      <c r="B149" s="64" t="n">
        <f aca="false">C109+B135/300</f>
        <v>3.40626961414791</v>
      </c>
      <c r="C149" s="9" t="s">
        <v>557</v>
      </c>
      <c r="D149" s="9" t="s">
        <v>759</v>
      </c>
    </row>
    <row r="150" customFormat="false" ht="15" hidden="false" customHeight="false" outlineLevel="0" collapsed="false">
      <c r="A150" s="6" t="s">
        <v>760</v>
      </c>
      <c r="B150" s="64" t="n">
        <f aca="false">$B$61*$B$62/$B$63*(1+B135/(B92+C92))</f>
        <v>10.3973605858212</v>
      </c>
      <c r="C150" s="9" t="s">
        <v>557</v>
      </c>
      <c r="D150" s="9" t="s">
        <v>761</v>
      </c>
    </row>
    <row r="151" customFormat="false" ht="15" hidden="false" customHeight="false" outlineLevel="0" collapsed="false">
      <c r="A151" s="6" t="s">
        <v>762</v>
      </c>
      <c r="B151" s="34" t="n">
        <f aca="false">B135*$B$6/1000/B122</f>
        <v>0.0273677636456123</v>
      </c>
      <c r="C151" s="9" t="s">
        <v>196</v>
      </c>
      <c r="D151" s="9" t="s">
        <v>763</v>
      </c>
    </row>
    <row r="152" customFormat="false" ht="15" hidden="false" customHeight="false" outlineLevel="0" collapsed="false">
      <c r="A152" s="9" t="s">
        <v>764</v>
      </c>
    </row>
    <row r="154" customFormat="false" ht="15" hidden="false" customHeight="false" outlineLevel="0" collapsed="false">
      <c r="A154" s="3" t="s">
        <v>117</v>
      </c>
      <c r="B154" s="4"/>
      <c r="C154" s="4"/>
      <c r="D154" s="4"/>
      <c r="E154" s="4"/>
      <c r="F154" s="4"/>
      <c r="G154" s="4"/>
      <c r="H154" s="4"/>
      <c r="I154" s="4"/>
      <c r="J154" s="4"/>
      <c r="K154" s="4"/>
    </row>
    <row r="155" customFormat="false" ht="30" hidden="false" customHeight="true" outlineLevel="0" collapsed="false">
      <c r="A155" s="23" t="s">
        <v>118</v>
      </c>
      <c r="B155" s="24" t="s">
        <v>110</v>
      </c>
      <c r="C155" s="24" t="s">
        <v>765</v>
      </c>
      <c r="D155" s="24" t="s">
        <v>766</v>
      </c>
      <c r="E155" s="24" t="s">
        <v>730</v>
      </c>
    </row>
    <row r="156" customFormat="false" ht="15" hidden="false" customHeight="false" outlineLevel="0" collapsed="false">
      <c r="A156" s="6" t="s">
        <v>767</v>
      </c>
      <c r="B156" s="33" t="n">
        <v>1</v>
      </c>
      <c r="C156" s="25" t="n">
        <f aca="false">$B$26*$B$27*$B$6*$B$28/1000000</f>
        <v>11.76</v>
      </c>
      <c r="D156" s="25" t="n">
        <f aca="false">0</f>
        <v>0</v>
      </c>
      <c r="E156" s="9" t="s">
        <v>768</v>
      </c>
    </row>
    <row r="157" customFormat="false" ht="15" hidden="false" customHeight="false" outlineLevel="0" collapsed="false">
      <c r="A157" s="6" t="s">
        <v>769</v>
      </c>
      <c r="B157" s="33" t="n">
        <v>1</v>
      </c>
      <c r="C157" s="25" t="n">
        <f aca="false">(B95*(E67-F67)+D95*(E69-F69))*$B$6/1000000</f>
        <v>52.7983953135048</v>
      </c>
      <c r="D157" s="25" t="n">
        <f aca="false">(B95*E67+D95*E69)*$B$6/1000000</f>
        <v>54.8252688906753</v>
      </c>
      <c r="E157" s="9" t="s">
        <v>770</v>
      </c>
    </row>
    <row r="158" customFormat="false" ht="15" hidden="false" customHeight="false" outlineLevel="0" collapsed="false">
      <c r="A158" s="6" t="s">
        <v>771</v>
      </c>
      <c r="B158" s="33" t="n">
        <v>1</v>
      </c>
      <c r="C158" s="25" t="n">
        <f aca="false">F82*$B$6*($B$29-$B$30/$B$7)/1000000</f>
        <v>52.0041597987519</v>
      </c>
      <c r="D158" s="25" t="n">
        <f aca="false">F82*$B$6*($B$29-$B$30/$B$7)/1000000</f>
        <v>52.0041597987519</v>
      </c>
      <c r="E158" s="9" t="s">
        <v>772</v>
      </c>
    </row>
    <row r="159" customFormat="false" ht="15" hidden="false" customHeight="false" outlineLevel="0" collapsed="false">
      <c r="A159" s="6" t="s">
        <v>773</v>
      </c>
      <c r="B159" s="33" t="n">
        <v>1</v>
      </c>
      <c r="C159" s="25" t="n">
        <f aca="false">($B$19-$B$20)*Quesería!$B$18</f>
        <v>152.285</v>
      </c>
      <c r="D159" s="25" t="n">
        <f aca="false">0</f>
        <v>0</v>
      </c>
      <c r="E159" s="9" t="s">
        <v>774</v>
      </c>
    </row>
    <row r="160" customFormat="false" ht="15" hidden="false" customHeight="false" outlineLevel="0" collapsed="false">
      <c r="A160" s="6" t="s">
        <v>775</v>
      </c>
      <c r="B160" s="33" t="n">
        <v>1</v>
      </c>
      <c r="C160" s="25" t="n">
        <f aca="false">$B$22*$B$21</f>
        <v>91.4</v>
      </c>
      <c r="D160" s="25" t="n">
        <f aca="false">0</f>
        <v>0</v>
      </c>
      <c r="E160" s="9" t="s">
        <v>776</v>
      </c>
    </row>
    <row r="161" customFormat="false" ht="15" hidden="false" customHeight="false" outlineLevel="0" collapsed="false">
      <c r="A161" s="6" t="s">
        <v>777</v>
      </c>
      <c r="B161" s="33" t="n">
        <v>1</v>
      </c>
      <c r="C161" s="25" t="n">
        <f aca="false">($B$16-$B$17)*Quesería!$B$17*(1-$B$18)</f>
        <v>32.5056</v>
      </c>
      <c r="D161" s="25" t="n">
        <f aca="false">($B$16-$B$17)*Quesería!$B$17</f>
        <v>33.86</v>
      </c>
      <c r="E161" s="9" t="s">
        <v>778</v>
      </c>
    </row>
    <row r="162" customFormat="false" ht="15" hidden="false" customHeight="false" outlineLevel="0" collapsed="false">
      <c r="A162" s="6" t="s">
        <v>779</v>
      </c>
      <c r="B162" s="33" t="n">
        <v>1</v>
      </c>
      <c r="C162" s="25" t="n">
        <f aca="false">Quesería!$B$17*$B$33*$B$34*$B$35+$B$36*$B$6*$B$37/1000000</f>
        <v>26.333</v>
      </c>
      <c r="D162" s="25" t="n">
        <f aca="false">Quesería!$B$17*$B$33*$B$34*$B$35</f>
        <v>13.544</v>
      </c>
      <c r="E162" s="9" t="s">
        <v>780</v>
      </c>
    </row>
    <row r="163" customFormat="false" ht="15" hidden="false" customHeight="false" outlineLevel="0" collapsed="false">
      <c r="A163" s="6" t="s">
        <v>781</v>
      </c>
      <c r="B163" s="33" t="n">
        <v>1</v>
      </c>
      <c r="C163" s="25" t="n">
        <f aca="false">$B$45*(B92*(E67-F67)+C92*(E68-F68)+D92*(E69-F69))*$B$6/1000000</f>
        <v>32.5510516813505</v>
      </c>
      <c r="D163" s="25" t="n">
        <f aca="false">$B$45*(B92*E67+C92*E68+D92*E69)*$B$6/1000000</f>
        <v>33.8578076141479</v>
      </c>
      <c r="E163" s="9" t="s">
        <v>782</v>
      </c>
    </row>
    <row r="164" customFormat="false" ht="15" hidden="false" customHeight="false" outlineLevel="0" collapsed="false">
      <c r="A164" s="6" t="s">
        <v>376</v>
      </c>
      <c r="B164" s="33" t="n">
        <v>2</v>
      </c>
      <c r="C164" s="25" t="n">
        <f aca="false">(C96*(E68-F68)+D96*(E69-F69))*$B$6/1000000</f>
        <v>70.7031730842444</v>
      </c>
      <c r="D164" s="25" t="n">
        <f aca="false">(C96*E68+D96*E69)*$B$6/1000000</f>
        <v>73.5484542250804</v>
      </c>
      <c r="E164" s="9" t="s">
        <v>770</v>
      </c>
    </row>
    <row r="165" customFormat="false" ht="15" hidden="false" customHeight="false" outlineLevel="0" collapsed="false">
      <c r="A165" s="6" t="s">
        <v>783</v>
      </c>
      <c r="B165" s="33" t="n">
        <v>2</v>
      </c>
      <c r="C165" s="25" t="n">
        <f aca="false">$B$26*$B$27*$B$6*$B$28/1000000</f>
        <v>11.76</v>
      </c>
      <c r="D165" s="25" t="n">
        <f aca="false">0</f>
        <v>0</v>
      </c>
      <c r="E165" s="9" t="s">
        <v>784</v>
      </c>
    </row>
    <row r="166" customFormat="false" ht="15" hidden="false" customHeight="false" outlineLevel="0" collapsed="false">
      <c r="A166" s="6" t="s">
        <v>785</v>
      </c>
      <c r="B166" s="33" t="n">
        <v>2</v>
      </c>
      <c r="C166" s="25" t="n">
        <f aca="false">$B$24*$B$23</f>
        <v>121.8</v>
      </c>
      <c r="D166" s="25" t="n">
        <f aca="false">0</f>
        <v>0</v>
      </c>
      <c r="E166" s="9" t="s">
        <v>786</v>
      </c>
    </row>
    <row r="167" customFormat="false" ht="15" hidden="false" customHeight="false" outlineLevel="0" collapsed="false">
      <c r="A167" s="6" t="s">
        <v>787</v>
      </c>
      <c r="B167" s="33" t="n">
        <v>2</v>
      </c>
      <c r="C167" s="25" t="n">
        <f aca="false">E93*$B$6*($B$32-$B$31)/1000000</f>
        <v>36.1108213118971</v>
      </c>
      <c r="D167" s="25" t="n">
        <f aca="false">E93*$B$6*($B$32-$B$31)/1000000</f>
        <v>36.1108213118971</v>
      </c>
      <c r="E167" s="9" t="s">
        <v>788</v>
      </c>
    </row>
    <row r="168" customFormat="false" ht="15" hidden="false" customHeight="false" outlineLevel="0" collapsed="false">
      <c r="A168" s="6" t="s">
        <v>789</v>
      </c>
      <c r="B168" s="33" t="n">
        <v>2</v>
      </c>
      <c r="C168" s="25" t="n">
        <f aca="false">C107</f>
        <v>34.1492443311894</v>
      </c>
      <c r="D168" s="25" t="n">
        <f aca="false">C108</f>
        <v>80.0496393569128</v>
      </c>
      <c r="E168" s="9" t="s">
        <v>790</v>
      </c>
    </row>
    <row r="169" customFormat="false" ht="15" hidden="false" customHeight="false" outlineLevel="0" collapsed="false">
      <c r="A169" s="6" t="s">
        <v>791</v>
      </c>
      <c r="B169" s="33" t="n">
        <v>2</v>
      </c>
      <c r="C169" s="25" t="n">
        <f aca="false">$B$145</f>
        <v>65.6441387999999</v>
      </c>
      <c r="D169" s="25" t="n">
        <f aca="false">$B$143</f>
        <v>2338.37604</v>
      </c>
      <c r="E169" s="9" t="s">
        <v>792</v>
      </c>
    </row>
    <row r="170" customFormat="false" ht="15" hidden="false" customHeight="false" outlineLevel="0" collapsed="false">
      <c r="A170" s="6" t="s">
        <v>793</v>
      </c>
      <c r="B170" s="33" t="n">
        <v>2</v>
      </c>
      <c r="C170" s="25" t="n">
        <f aca="false">($B$40-$B$50)*$B$38*Quesería!$B$41</f>
        <v>67.77488</v>
      </c>
      <c r="D170" s="25" t="n">
        <f aca="false">0</f>
        <v>0</v>
      </c>
      <c r="E170" s="9" t="s">
        <v>794</v>
      </c>
    </row>
    <row r="171" customFormat="false" ht="15" hidden="false" customHeight="false" outlineLevel="0" collapsed="false">
      <c r="A171" s="6" t="s">
        <v>795</v>
      </c>
      <c r="B171" s="33" t="n">
        <v>2</v>
      </c>
      <c r="C171" s="25" t="n">
        <f aca="false">$B$44*Quesería!$B$22</f>
        <v>36</v>
      </c>
      <c r="D171" s="25" t="n">
        <f aca="false">0</f>
        <v>0</v>
      </c>
      <c r="E171" s="9" t="s">
        <v>796</v>
      </c>
    </row>
    <row r="173" customFormat="false" ht="15" hidden="false" customHeight="false" outlineLevel="0" collapsed="false">
      <c r="A173" s="3" t="s">
        <v>124</v>
      </c>
      <c r="B173" s="4"/>
      <c r="C173" s="4"/>
      <c r="D173" s="4"/>
      <c r="E173" s="4"/>
      <c r="F173" s="4"/>
      <c r="G173" s="4"/>
      <c r="H173" s="4"/>
      <c r="I173" s="4"/>
      <c r="J173" s="4"/>
      <c r="K173" s="4"/>
    </row>
    <row r="174" customFormat="false" ht="15" hidden="false" customHeight="false" outlineLevel="0" collapsed="false">
      <c r="A174" s="9" t="s">
        <v>797</v>
      </c>
    </row>
    <row r="175" customFormat="false" ht="30" hidden="false" customHeight="true" outlineLevel="0" collapsed="false">
      <c r="A175" s="23" t="s">
        <v>125</v>
      </c>
      <c r="B175" s="24" t="s">
        <v>118</v>
      </c>
      <c r="C175" s="24" t="s">
        <v>110</v>
      </c>
      <c r="D175" s="24" t="s">
        <v>798</v>
      </c>
      <c r="E175" s="24" t="s">
        <v>799</v>
      </c>
    </row>
    <row r="176" customFormat="false" ht="15" hidden="false" customHeight="false" outlineLevel="0" collapsed="false">
      <c r="A176" s="6" t="s">
        <v>800</v>
      </c>
      <c r="B176" s="9" t="s">
        <v>801</v>
      </c>
      <c r="C176" s="28" t="s">
        <v>802</v>
      </c>
      <c r="D176" s="25" t="n">
        <f aca="false">C158</f>
        <v>52.0041597987519</v>
      </c>
      <c r="E176" s="25" t="n">
        <f aca="false">C158*Quesería!$B$16</f>
        <v>18.7214975275507</v>
      </c>
    </row>
    <row r="177" customFormat="false" ht="15" hidden="false" customHeight="false" outlineLevel="0" collapsed="false">
      <c r="A177" s="6" t="s">
        <v>803</v>
      </c>
      <c r="B177" s="9" t="s">
        <v>804</v>
      </c>
      <c r="C177" s="28" t="s">
        <v>805</v>
      </c>
      <c r="D177" s="25" t="n">
        <f aca="false">C170</f>
        <v>67.77488</v>
      </c>
      <c r="E177" s="25" t="n">
        <f aca="false">C170</f>
        <v>67.77488</v>
      </c>
    </row>
    <row r="178" customFormat="false" ht="15" hidden="false" customHeight="false" outlineLevel="0" collapsed="false">
      <c r="A178" s="6" t="s">
        <v>806</v>
      </c>
      <c r="B178" s="9" t="s">
        <v>807</v>
      </c>
      <c r="C178" s="28" t="s">
        <v>808</v>
      </c>
      <c r="D178" s="25" t="n">
        <f aca="false">$B$50*$B$38</f>
        <v>98.51</v>
      </c>
      <c r="E178" s="25" t="n">
        <f aca="false">0</f>
        <v>0</v>
      </c>
    </row>
    <row r="179" customFormat="false" ht="15" hidden="false" customHeight="false" outlineLevel="0" collapsed="false">
      <c r="A179" s="6" t="s">
        <v>809</v>
      </c>
      <c r="B179" s="9" t="s">
        <v>810</v>
      </c>
      <c r="C179" s="28" t="s">
        <v>802</v>
      </c>
      <c r="D179" s="25" t="n">
        <f aca="false">C161</f>
        <v>32.5056</v>
      </c>
      <c r="E179" s="25" t="n">
        <f aca="false">C161</f>
        <v>32.5056</v>
      </c>
    </row>
    <row r="180" customFormat="false" ht="15" hidden="false" customHeight="false" outlineLevel="0" collapsed="false">
      <c r="A180" s="6" t="s">
        <v>811</v>
      </c>
      <c r="B180" s="9" t="s">
        <v>812</v>
      </c>
      <c r="C180" s="28" t="s">
        <v>808</v>
      </c>
      <c r="D180" s="25" t="n">
        <f aca="false">($B$41*$B$38+$B$42*$B$39)*(1-$B$18)</f>
        <v>307.3632</v>
      </c>
      <c r="E180" s="25" t="n">
        <f aca="false">0</f>
        <v>0</v>
      </c>
    </row>
    <row r="181" customFormat="false" ht="15" hidden="false" customHeight="false" outlineLevel="0" collapsed="false">
      <c r="A181" s="6" t="s">
        <v>813</v>
      </c>
      <c r="B181" s="9" t="s">
        <v>814</v>
      </c>
      <c r="C181" s="28" t="s">
        <v>808</v>
      </c>
      <c r="D181" s="25" t="n">
        <f aca="false">$B$43*$B$39</f>
        <v>123.15</v>
      </c>
      <c r="E181" s="25" t="n">
        <f aca="false">0</f>
        <v>0</v>
      </c>
    </row>
    <row r="182" customFormat="false" ht="15" hidden="false" customHeight="false" outlineLevel="0" collapsed="false">
      <c r="A182" s="6" t="s">
        <v>815</v>
      </c>
      <c r="B182" s="9" t="s">
        <v>816</v>
      </c>
      <c r="C182" s="28" t="s">
        <v>817</v>
      </c>
      <c r="D182" s="25" t="n">
        <f aca="false">C156+C165+C164</f>
        <v>94.2231730842444</v>
      </c>
      <c r="E182" s="25" t="n">
        <f aca="false">C156+C165+C164</f>
        <v>94.2231730842444</v>
      </c>
    </row>
    <row r="183" customFormat="false" ht="15" hidden="false" customHeight="false" outlineLevel="0" collapsed="false">
      <c r="A183" s="6" t="s">
        <v>818</v>
      </c>
      <c r="B183" s="9" t="s">
        <v>819</v>
      </c>
      <c r="C183" s="28" t="s">
        <v>802</v>
      </c>
      <c r="D183" s="25" t="n">
        <f aca="false">C159</f>
        <v>152.285</v>
      </c>
      <c r="E183" s="25" t="n">
        <f aca="false">C159*Quesería!$B$19</f>
        <v>33.86</v>
      </c>
    </row>
    <row r="184" customFormat="false" ht="15" hidden="false" customHeight="false" outlineLevel="0" collapsed="false">
      <c r="A184" s="6" t="s">
        <v>820</v>
      </c>
      <c r="B184" s="9" t="s">
        <v>821</v>
      </c>
      <c r="C184" s="28" t="s">
        <v>817</v>
      </c>
      <c r="D184" s="25" t="n">
        <f aca="false">C160+C166</f>
        <v>213.2</v>
      </c>
      <c r="E184" s="25" t="n">
        <f aca="false">C160*Quesería!$B$16+C166*$B$25</f>
        <v>73.504</v>
      </c>
    </row>
    <row r="185" customFormat="false" ht="15" hidden="false" customHeight="false" outlineLevel="0" collapsed="false">
      <c r="A185" s="6" t="s">
        <v>822</v>
      </c>
      <c r="B185" s="9" t="s">
        <v>823</v>
      </c>
      <c r="C185" s="28" t="s">
        <v>824</v>
      </c>
      <c r="D185" s="25" t="n">
        <f aca="false">C167</f>
        <v>36.1108213118971</v>
      </c>
      <c r="E185" s="25" t="n">
        <f aca="false">0</f>
        <v>0</v>
      </c>
    </row>
    <row r="186" customFormat="false" ht="15" hidden="false" customHeight="false" outlineLevel="0" collapsed="false">
      <c r="A186" s="6" t="s">
        <v>825</v>
      </c>
      <c r="B186" s="9" t="s">
        <v>826</v>
      </c>
      <c r="C186" s="28" t="s">
        <v>802</v>
      </c>
      <c r="D186" s="25" t="n">
        <f aca="false">C162</f>
        <v>26.333</v>
      </c>
      <c r="E186" s="25" t="n">
        <f aca="false">C162</f>
        <v>26.333</v>
      </c>
    </row>
    <row r="187" customFormat="false" ht="15" hidden="false" customHeight="false" outlineLevel="0" collapsed="false">
      <c r="A187" s="6" t="s">
        <v>827</v>
      </c>
      <c r="B187" s="9" t="s">
        <v>828</v>
      </c>
      <c r="C187" s="28" t="s">
        <v>817</v>
      </c>
      <c r="D187" s="25" t="n">
        <f aca="false">C171</f>
        <v>36</v>
      </c>
      <c r="E187" s="25" t="n">
        <f aca="false">C171</f>
        <v>36</v>
      </c>
    </row>
    <row r="188" customFormat="false" ht="15" hidden="false" customHeight="false" outlineLevel="0" collapsed="false">
      <c r="A188" s="6" t="s">
        <v>829</v>
      </c>
      <c r="B188" s="9" t="s">
        <v>830</v>
      </c>
      <c r="C188" s="28" t="s">
        <v>802</v>
      </c>
      <c r="D188" s="25" t="n">
        <f aca="false">C163</f>
        <v>32.5510516813505</v>
      </c>
      <c r="E188" s="25" t="n">
        <f aca="false">C163</f>
        <v>32.5510516813505</v>
      </c>
    </row>
    <row r="189" customFormat="false" ht="15" hidden="false" customHeight="false" outlineLevel="0" collapsed="false">
      <c r="A189" s="6" t="s">
        <v>831</v>
      </c>
      <c r="B189" s="9" t="s">
        <v>832</v>
      </c>
      <c r="C189" s="28" t="s">
        <v>805</v>
      </c>
      <c r="D189" s="25" t="n">
        <f aca="false">C168</f>
        <v>34.1492443311894</v>
      </c>
      <c r="E189" s="25" t="n">
        <f aca="false">C168</f>
        <v>34.1492443311894</v>
      </c>
    </row>
    <row r="190" customFormat="false" ht="15" hidden="false" customHeight="false" outlineLevel="0" collapsed="false">
      <c r="A190" s="6" t="s">
        <v>833</v>
      </c>
      <c r="B190" s="9" t="s">
        <v>834</v>
      </c>
      <c r="C190" s="28" t="s">
        <v>802</v>
      </c>
      <c r="D190" s="25" t="n">
        <f aca="false">C157</f>
        <v>52.7983953135048</v>
      </c>
      <c r="E190" s="25" t="n">
        <f aca="false">C157</f>
        <v>52.7983953135048</v>
      </c>
    </row>
    <row r="191" customFormat="false" ht="15" hidden="false" customHeight="false" outlineLevel="0" collapsed="false">
      <c r="A191" s="6" t="s">
        <v>835</v>
      </c>
      <c r="B191" s="9" t="s">
        <v>836</v>
      </c>
      <c r="C191" s="28" t="s">
        <v>805</v>
      </c>
      <c r="D191" s="25" t="n">
        <f aca="false">C169</f>
        <v>65.6441387999999</v>
      </c>
      <c r="E191" s="25" t="n">
        <f aca="false">C169</f>
        <v>65.6441387999999</v>
      </c>
    </row>
    <row r="192" customFormat="false" ht="15" hidden="false" customHeight="false" outlineLevel="0" collapsed="false">
      <c r="A192" s="5" t="s">
        <v>837</v>
      </c>
      <c r="D192" s="30" t="n">
        <f aca="false">D176+D177+D179+D182+D183+D184+D186+D187+D188+D189+D190+D191</f>
        <v>859.468643009041</v>
      </c>
      <c r="E192" s="30" t="n">
        <f aca="false">SUM(E176:E191)</f>
        <v>568.06498073784</v>
      </c>
    </row>
    <row r="193" customFormat="false" ht="15" hidden="false" customHeight="false" outlineLevel="0" collapsed="false">
      <c r="A193" s="5" t="s">
        <v>838</v>
      </c>
      <c r="D193" s="30" t="n">
        <f aca="false">D178+D180+D181</f>
        <v>529.0232</v>
      </c>
    </row>
    <row r="194" customFormat="false" ht="15" hidden="false" customHeight="false" outlineLevel="0" collapsed="false">
      <c r="A194" s="9" t="s">
        <v>839</v>
      </c>
    </row>
    <row r="196" customFormat="false" ht="15" hidden="false" customHeight="false" outlineLevel="0" collapsed="false">
      <c r="A196" s="3" t="s">
        <v>840</v>
      </c>
      <c r="B196" s="4"/>
      <c r="C196" s="4"/>
      <c r="D196" s="4"/>
      <c r="E196" s="4"/>
      <c r="F196" s="4"/>
      <c r="G196" s="4"/>
      <c r="H196" s="4"/>
      <c r="I196" s="4"/>
      <c r="J196" s="4"/>
      <c r="K196" s="4"/>
    </row>
    <row r="197" customFormat="false" ht="15" hidden="false" customHeight="false" outlineLevel="0" collapsed="false">
      <c r="A197" s="9" t="s">
        <v>841</v>
      </c>
    </row>
    <row r="198" customFormat="false" ht="30" hidden="false" customHeight="true" outlineLevel="0" collapsed="false">
      <c r="A198" s="23" t="s">
        <v>119</v>
      </c>
      <c r="B198" s="24" t="s">
        <v>842</v>
      </c>
      <c r="C198" s="24"/>
      <c r="D198" s="24" t="s">
        <v>152</v>
      </c>
      <c r="E198" s="24"/>
      <c r="F198" s="24" t="s">
        <v>843</v>
      </c>
      <c r="G198" s="24"/>
      <c r="H198" s="24" t="s">
        <v>844</v>
      </c>
      <c r="I198" s="24"/>
      <c r="J198" s="24" t="s">
        <v>845</v>
      </c>
      <c r="K198" s="24"/>
    </row>
    <row r="199" customFormat="false" ht="54" hidden="false" customHeight="true" outlineLevel="0" collapsed="false">
      <c r="A199" s="77" t="s">
        <v>846</v>
      </c>
      <c r="B199" s="32" t="s">
        <v>847</v>
      </c>
      <c r="C199" s="32"/>
      <c r="D199" s="32" t="s">
        <v>848</v>
      </c>
      <c r="E199" s="32"/>
      <c r="F199" s="32" t="s">
        <v>849</v>
      </c>
      <c r="G199" s="32"/>
      <c r="H199" s="32" t="s">
        <v>850</v>
      </c>
      <c r="I199" s="32"/>
      <c r="J199" s="32" t="s">
        <v>851</v>
      </c>
      <c r="K199" s="32"/>
    </row>
    <row r="200" customFormat="false" ht="54" hidden="false" customHeight="true" outlineLevel="0" collapsed="false">
      <c r="A200" s="77" t="s">
        <v>852</v>
      </c>
      <c r="B200" s="32" t="s">
        <v>853</v>
      </c>
      <c r="C200" s="32"/>
      <c r="D200" s="32" t="s">
        <v>854</v>
      </c>
      <c r="E200" s="32"/>
      <c r="F200" s="32" t="s">
        <v>855</v>
      </c>
      <c r="G200" s="32"/>
      <c r="H200" s="32" t="s">
        <v>856</v>
      </c>
      <c r="I200" s="32"/>
      <c r="J200" s="32" t="s">
        <v>857</v>
      </c>
      <c r="K200" s="32"/>
    </row>
    <row r="201" customFormat="false" ht="54" hidden="false" customHeight="true" outlineLevel="0" collapsed="false">
      <c r="A201" s="77" t="s">
        <v>370</v>
      </c>
      <c r="B201" s="32" t="s">
        <v>858</v>
      </c>
      <c r="C201" s="32"/>
      <c r="D201" s="32" t="s">
        <v>859</v>
      </c>
      <c r="E201" s="32"/>
      <c r="F201" s="32" t="s">
        <v>860</v>
      </c>
      <c r="G201" s="32"/>
      <c r="H201" s="32" t="s">
        <v>861</v>
      </c>
      <c r="I201" s="32"/>
      <c r="J201" s="32" t="s">
        <v>862</v>
      </c>
      <c r="K201" s="32"/>
    </row>
    <row r="202" customFormat="false" ht="54" hidden="false" customHeight="true" outlineLevel="0" collapsed="false">
      <c r="A202" s="77" t="s">
        <v>863</v>
      </c>
      <c r="B202" s="32" t="s">
        <v>864</v>
      </c>
      <c r="C202" s="32"/>
      <c r="D202" s="32" t="s">
        <v>865</v>
      </c>
      <c r="E202" s="32"/>
      <c r="F202" s="32" t="s">
        <v>866</v>
      </c>
      <c r="G202" s="32"/>
      <c r="H202" s="32" t="s">
        <v>867</v>
      </c>
      <c r="I202" s="32"/>
      <c r="J202" s="32" t="s">
        <v>868</v>
      </c>
      <c r="K202" s="32"/>
    </row>
    <row r="203" customFormat="false" ht="54" hidden="false" customHeight="true" outlineLevel="0" collapsed="false">
      <c r="A203" s="77" t="s">
        <v>869</v>
      </c>
      <c r="B203" s="32" t="s">
        <v>870</v>
      </c>
      <c r="C203" s="32"/>
      <c r="D203" s="32" t="s">
        <v>871</v>
      </c>
      <c r="E203" s="32"/>
      <c r="F203" s="32" t="s">
        <v>872</v>
      </c>
      <c r="G203" s="32"/>
      <c r="H203" s="32" t="s">
        <v>873</v>
      </c>
      <c r="I203" s="32"/>
      <c r="J203" s="32" t="s">
        <v>874</v>
      </c>
      <c r="K203" s="32"/>
    </row>
    <row r="204" customFormat="false" ht="54" hidden="false" customHeight="true" outlineLevel="0" collapsed="false">
      <c r="A204" s="77" t="s">
        <v>875</v>
      </c>
      <c r="B204" s="32" t="s">
        <v>876</v>
      </c>
      <c r="C204" s="32"/>
      <c r="D204" s="32" t="s">
        <v>877</v>
      </c>
      <c r="E204" s="32"/>
      <c r="F204" s="32" t="s">
        <v>878</v>
      </c>
      <c r="G204" s="32"/>
      <c r="H204" s="32" t="s">
        <v>879</v>
      </c>
      <c r="I204" s="32"/>
      <c r="J204" s="32" t="s">
        <v>880</v>
      </c>
      <c r="K204" s="32"/>
    </row>
    <row r="205" customFormat="false" ht="54" hidden="false" customHeight="true" outlineLevel="0" collapsed="false">
      <c r="A205" s="77" t="s">
        <v>881</v>
      </c>
      <c r="B205" s="32" t="s">
        <v>882</v>
      </c>
      <c r="C205" s="32"/>
      <c r="D205" s="32" t="s">
        <v>883</v>
      </c>
      <c r="E205" s="32"/>
      <c r="F205" s="32" t="s">
        <v>884</v>
      </c>
      <c r="G205" s="32"/>
      <c r="H205" s="32" t="s">
        <v>885</v>
      </c>
      <c r="I205" s="32"/>
      <c r="J205" s="32" t="s">
        <v>886</v>
      </c>
      <c r="K205" s="32"/>
    </row>
    <row r="206" customFormat="false" ht="54" hidden="false" customHeight="true" outlineLevel="0" collapsed="false">
      <c r="A206" s="77" t="s">
        <v>887</v>
      </c>
      <c r="B206" s="32" t="s">
        <v>888</v>
      </c>
      <c r="C206" s="32"/>
      <c r="D206" s="32" t="s">
        <v>889</v>
      </c>
      <c r="E206" s="32"/>
      <c r="F206" s="32" t="s">
        <v>855</v>
      </c>
      <c r="G206" s="32"/>
      <c r="H206" s="32" t="s">
        <v>890</v>
      </c>
      <c r="I206" s="32"/>
      <c r="J206" s="32" t="s">
        <v>891</v>
      </c>
      <c r="K206" s="32"/>
    </row>
    <row r="207" customFormat="false" ht="54" hidden="false" customHeight="true" outlineLevel="0" collapsed="false">
      <c r="A207" s="77" t="s">
        <v>892</v>
      </c>
      <c r="B207" s="32" t="s">
        <v>893</v>
      </c>
      <c r="C207" s="32"/>
      <c r="D207" s="32" t="s">
        <v>848</v>
      </c>
      <c r="E207" s="32"/>
      <c r="F207" s="32" t="s">
        <v>849</v>
      </c>
      <c r="G207" s="32"/>
      <c r="H207" s="32" t="s">
        <v>894</v>
      </c>
      <c r="I207" s="32"/>
      <c r="J207" s="32" t="s">
        <v>895</v>
      </c>
      <c r="K207" s="32"/>
    </row>
    <row r="208" customFormat="false" ht="54" hidden="false" customHeight="true" outlineLevel="0" collapsed="false">
      <c r="A208" s="77" t="s">
        <v>896</v>
      </c>
      <c r="B208" s="32" t="s">
        <v>897</v>
      </c>
      <c r="C208" s="32"/>
      <c r="D208" s="32" t="s">
        <v>898</v>
      </c>
      <c r="E208" s="32"/>
      <c r="F208" s="32" t="s">
        <v>899</v>
      </c>
      <c r="G208" s="32"/>
      <c r="H208" s="32" t="s">
        <v>900</v>
      </c>
      <c r="I208" s="32"/>
      <c r="J208" s="32" t="s">
        <v>901</v>
      </c>
      <c r="K208" s="32"/>
    </row>
    <row r="209" customFormat="false" ht="54" hidden="false" customHeight="true" outlineLevel="0" collapsed="false">
      <c r="A209" s="77" t="s">
        <v>902</v>
      </c>
      <c r="B209" s="32" t="s">
        <v>903</v>
      </c>
      <c r="C209" s="32"/>
      <c r="D209" s="32" t="s">
        <v>904</v>
      </c>
      <c r="E209" s="32"/>
      <c r="F209" s="32" t="s">
        <v>905</v>
      </c>
      <c r="G209" s="32"/>
      <c r="H209" s="32" t="s">
        <v>906</v>
      </c>
      <c r="I209" s="32"/>
      <c r="J209" s="32" t="s">
        <v>907</v>
      </c>
      <c r="K209" s="32"/>
    </row>
    <row r="210" customFormat="false" ht="54" hidden="false" customHeight="true" outlineLevel="0" collapsed="false">
      <c r="A210" s="77" t="s">
        <v>908</v>
      </c>
      <c r="B210" s="32" t="s">
        <v>909</v>
      </c>
      <c r="C210" s="32"/>
      <c r="D210" s="32" t="s">
        <v>910</v>
      </c>
      <c r="E210" s="32"/>
      <c r="F210" s="32" t="s">
        <v>911</v>
      </c>
      <c r="G210" s="32"/>
      <c r="H210" s="32" t="s">
        <v>912</v>
      </c>
      <c r="I210" s="32"/>
      <c r="J210" s="32" t="s">
        <v>913</v>
      </c>
      <c r="K210" s="32"/>
    </row>
    <row r="211" customFormat="false" ht="54" hidden="false" customHeight="true" outlineLevel="0" collapsed="false">
      <c r="A211" s="77" t="s">
        <v>914</v>
      </c>
      <c r="B211" s="32" t="s">
        <v>915</v>
      </c>
      <c r="C211" s="32"/>
      <c r="D211" s="32" t="s">
        <v>916</v>
      </c>
      <c r="E211" s="32"/>
      <c r="F211" s="32" t="s">
        <v>917</v>
      </c>
      <c r="G211" s="32"/>
      <c r="H211" s="32" t="s">
        <v>918</v>
      </c>
      <c r="I211" s="32"/>
      <c r="J211" s="32" t="s">
        <v>919</v>
      </c>
      <c r="K211" s="32"/>
    </row>
    <row r="212" customFormat="false" ht="54" hidden="false" customHeight="true" outlineLevel="0" collapsed="false">
      <c r="A212" s="77" t="s">
        <v>920</v>
      </c>
      <c r="B212" s="32" t="s">
        <v>921</v>
      </c>
      <c r="C212" s="32"/>
      <c r="D212" s="32" t="s">
        <v>922</v>
      </c>
      <c r="E212" s="32"/>
      <c r="F212" s="32" t="s">
        <v>923</v>
      </c>
      <c r="G212" s="32"/>
      <c r="H212" s="32" t="s">
        <v>924</v>
      </c>
      <c r="I212" s="32"/>
      <c r="J212" s="32" t="s">
        <v>925</v>
      </c>
      <c r="K212" s="32"/>
    </row>
    <row r="213" customFormat="false" ht="54" hidden="false" customHeight="true" outlineLevel="0" collapsed="false">
      <c r="A213" s="77" t="s">
        <v>926</v>
      </c>
      <c r="B213" s="32" t="s">
        <v>927</v>
      </c>
      <c r="C213" s="32"/>
      <c r="D213" s="32" t="s">
        <v>928</v>
      </c>
      <c r="E213" s="32"/>
      <c r="F213" s="32" t="s">
        <v>929</v>
      </c>
      <c r="G213" s="32"/>
      <c r="H213" s="32" t="s">
        <v>930</v>
      </c>
      <c r="I213" s="32"/>
      <c r="J213" s="32" t="s">
        <v>931</v>
      </c>
      <c r="K213" s="32"/>
    </row>
    <row r="214" customFormat="false" ht="54" hidden="false" customHeight="true" outlineLevel="0" collapsed="false">
      <c r="A214" s="77" t="s">
        <v>932</v>
      </c>
      <c r="B214" s="32" t="s">
        <v>933</v>
      </c>
      <c r="C214" s="32"/>
      <c r="D214" s="32" t="s">
        <v>934</v>
      </c>
      <c r="E214" s="32"/>
      <c r="F214" s="32" t="s">
        <v>872</v>
      </c>
      <c r="G214" s="32"/>
      <c r="H214" s="32" t="s">
        <v>935</v>
      </c>
      <c r="I214" s="32"/>
      <c r="J214" s="32" t="s">
        <v>936</v>
      </c>
      <c r="K214" s="32"/>
    </row>
    <row r="216" customFormat="false" ht="15" hidden="false" customHeight="false" outlineLevel="0" collapsed="false">
      <c r="A216" s="3" t="s">
        <v>413</v>
      </c>
      <c r="B216" s="4"/>
      <c r="C216" s="4"/>
      <c r="D216" s="4"/>
      <c r="E216" s="4"/>
      <c r="F216" s="4"/>
      <c r="G216" s="4"/>
      <c r="H216" s="4"/>
      <c r="I216" s="4"/>
      <c r="J216" s="4"/>
      <c r="K216" s="4"/>
    </row>
    <row r="217" customFormat="false" ht="23.85" hidden="false" customHeight="false" outlineLevel="0" collapsed="false">
      <c r="A217" s="23" t="s">
        <v>506</v>
      </c>
      <c r="B217" s="24" t="s">
        <v>188</v>
      </c>
      <c r="C217" s="24" t="s">
        <v>189</v>
      </c>
      <c r="D217" s="24" t="s">
        <v>190</v>
      </c>
    </row>
    <row r="218" customFormat="false" ht="15" hidden="false" customHeight="false" outlineLevel="0" collapsed="false">
      <c r="A218" s="6" t="s">
        <v>937</v>
      </c>
      <c r="B218" s="48" t="n">
        <v>1036</v>
      </c>
      <c r="C218" s="9" t="s">
        <v>938</v>
      </c>
      <c r="D218" s="9" t="s">
        <v>939</v>
      </c>
    </row>
    <row r="219" customFormat="false" ht="15" hidden="false" customHeight="false" outlineLevel="0" collapsed="false">
      <c r="A219" s="6" t="s">
        <v>940</v>
      </c>
      <c r="B219" s="70" t="n">
        <v>20</v>
      </c>
      <c r="C219" s="9" t="s">
        <v>941</v>
      </c>
      <c r="D219" s="9" t="s">
        <v>942</v>
      </c>
    </row>
    <row r="220" customFormat="false" ht="15" hidden="false" customHeight="false" outlineLevel="0" collapsed="false">
      <c r="A220" s="6" t="s">
        <v>943</v>
      </c>
      <c r="B220" s="75" t="n">
        <f aca="false">Cotizaciones!$B$6</f>
        <v>3170.46</v>
      </c>
      <c r="C220" s="9" t="s">
        <v>944</v>
      </c>
      <c r="D220" s="9" t="s">
        <v>945</v>
      </c>
    </row>
    <row r="221" customFormat="false" ht="15" hidden="false" customHeight="false" outlineLevel="0" collapsed="false">
      <c r="A221" s="6" t="s">
        <v>946</v>
      </c>
      <c r="B221" s="70" t="n">
        <v>2.7</v>
      </c>
      <c r="C221" s="9" t="s">
        <v>947</v>
      </c>
      <c r="D221" s="9" t="s">
        <v>948</v>
      </c>
    </row>
    <row r="222" customFormat="false" ht="15" hidden="false" customHeight="false" outlineLevel="0" collapsed="false">
      <c r="A222" s="6" t="s">
        <v>949</v>
      </c>
      <c r="B222" s="46" t="n">
        <v>0.8</v>
      </c>
      <c r="C222" s="9" t="s">
        <v>196</v>
      </c>
      <c r="D222" s="9" t="s">
        <v>950</v>
      </c>
    </row>
    <row r="223" customFormat="false" ht="15" hidden="false" customHeight="false" outlineLevel="0" collapsed="false">
      <c r="A223" s="6" t="s">
        <v>951</v>
      </c>
      <c r="B223" s="29" t="n">
        <f aca="false">B221/B222/1055*B219*B220</f>
        <v>202.849336492891</v>
      </c>
      <c r="C223" s="9" t="s">
        <v>566</v>
      </c>
      <c r="D223" s="9" t="s">
        <v>952</v>
      </c>
    </row>
    <row r="224" customFormat="false" ht="15" hidden="false" customHeight="false" outlineLevel="0" collapsed="false">
      <c r="A224" s="6" t="s">
        <v>953</v>
      </c>
      <c r="B224" s="69" t="n">
        <v>0.15</v>
      </c>
      <c r="C224" s="9" t="s">
        <v>954</v>
      </c>
      <c r="D224" s="9" t="s">
        <v>955</v>
      </c>
    </row>
    <row r="225" customFormat="false" ht="15" hidden="false" customHeight="false" outlineLevel="0" collapsed="false">
      <c r="A225" s="6" t="s">
        <v>956</v>
      </c>
      <c r="B225" s="70" t="n">
        <v>3.9</v>
      </c>
      <c r="C225" s="9" t="s">
        <v>957</v>
      </c>
      <c r="D225" s="9"/>
    </row>
    <row r="226" customFormat="false" ht="15" hidden="false" customHeight="false" outlineLevel="0" collapsed="false">
      <c r="A226" s="6" t="s">
        <v>958</v>
      </c>
      <c r="B226" s="51" t="n">
        <v>16</v>
      </c>
      <c r="C226" s="9" t="s">
        <v>959</v>
      </c>
      <c r="D226" s="9" t="s">
        <v>960</v>
      </c>
    </row>
    <row r="227" customFormat="false" ht="15" hidden="false" customHeight="false" outlineLevel="0" collapsed="false">
      <c r="A227" s="6" t="s">
        <v>961</v>
      </c>
      <c r="B227" s="70" t="n">
        <v>3</v>
      </c>
      <c r="C227" s="9" t="s">
        <v>962</v>
      </c>
      <c r="D227" s="9" t="s">
        <v>963</v>
      </c>
    </row>
    <row r="229" customFormat="false" ht="30" hidden="false" customHeight="true" outlineLevel="0" collapsed="false">
      <c r="A229" s="23" t="s">
        <v>964</v>
      </c>
      <c r="B229" s="24" t="s">
        <v>110</v>
      </c>
      <c r="C229" s="24" t="s">
        <v>965</v>
      </c>
      <c r="D229" s="24" t="s">
        <v>557</v>
      </c>
      <c r="E229" s="24" t="s">
        <v>966</v>
      </c>
      <c r="F229" s="24" t="s">
        <v>967</v>
      </c>
      <c r="G229" s="24" t="s">
        <v>968</v>
      </c>
      <c r="H229" s="24" t="s">
        <v>214</v>
      </c>
      <c r="I229" s="24" t="s">
        <v>327</v>
      </c>
      <c r="J229" s="24" t="s">
        <v>969</v>
      </c>
    </row>
    <row r="230" customFormat="false" ht="15" hidden="false" customHeight="false" outlineLevel="0" collapsed="false">
      <c r="A230" s="6" t="s">
        <v>970</v>
      </c>
      <c r="B230" s="53" t="n">
        <v>1</v>
      </c>
      <c r="C230" s="70" t="n">
        <v>1.2</v>
      </c>
      <c r="D230" s="70" t="n">
        <v>8</v>
      </c>
      <c r="E230" s="25" t="n">
        <f aca="false">C230*D230</f>
        <v>9.6</v>
      </c>
      <c r="F230" s="73" t="n">
        <f aca="false">$B$6</f>
        <v>294</v>
      </c>
      <c r="G230" s="29" t="n">
        <f aca="false">E230*F230</f>
        <v>2822.4</v>
      </c>
      <c r="H230" s="25" t="n">
        <f aca="false">G230*$B$218/1000000</f>
        <v>2.9240064</v>
      </c>
      <c r="I230" s="46" t="n">
        <v>1</v>
      </c>
      <c r="J230" s="25" t="n">
        <f aca="false">H230*I230</f>
        <v>2.9240064</v>
      </c>
    </row>
    <row r="231" customFormat="false" ht="15" hidden="false" customHeight="false" outlineLevel="0" collapsed="false">
      <c r="A231" s="6" t="s">
        <v>971</v>
      </c>
      <c r="B231" s="53" t="n">
        <v>1</v>
      </c>
      <c r="C231" s="70" t="n">
        <v>0.3</v>
      </c>
      <c r="D231" s="70" t="n">
        <v>10</v>
      </c>
      <c r="E231" s="25" t="n">
        <f aca="false">C231*D231</f>
        <v>3</v>
      </c>
      <c r="F231" s="73" t="n">
        <f aca="false">$B$6</f>
        <v>294</v>
      </c>
      <c r="G231" s="29" t="n">
        <f aca="false">E231*F231</f>
        <v>882</v>
      </c>
      <c r="H231" s="25" t="n">
        <f aca="false">G231*$B$218/1000000</f>
        <v>0.913752</v>
      </c>
      <c r="I231" s="34" t="n">
        <f aca="false">Quesería!$B$16</f>
        <v>0.36</v>
      </c>
      <c r="J231" s="25" t="n">
        <f aca="false">H231*I231</f>
        <v>0.32895072</v>
      </c>
    </row>
    <row r="232" customFormat="false" ht="15" hidden="false" customHeight="false" outlineLevel="0" collapsed="false">
      <c r="A232" s="6" t="s">
        <v>972</v>
      </c>
      <c r="B232" s="53" t="n">
        <v>1</v>
      </c>
      <c r="C232" s="70" t="n">
        <v>0.6</v>
      </c>
      <c r="D232" s="70" t="n">
        <v>24</v>
      </c>
      <c r="E232" s="25" t="n">
        <f aca="false">C232*D232</f>
        <v>14.4</v>
      </c>
      <c r="F232" s="51" t="n">
        <v>365</v>
      </c>
      <c r="G232" s="29" t="n">
        <f aca="false">E232*F232</f>
        <v>5256</v>
      </c>
      <c r="H232" s="25" t="n">
        <f aca="false">G232*$B$218/1000000</f>
        <v>5.445216</v>
      </c>
      <c r="I232" s="46" t="n">
        <v>1</v>
      </c>
      <c r="J232" s="25" t="n">
        <f aca="false">H232*I232</f>
        <v>5.445216</v>
      </c>
    </row>
    <row r="233" customFormat="false" ht="15" hidden="false" customHeight="false" outlineLevel="0" collapsed="false">
      <c r="A233" s="6" t="s">
        <v>973</v>
      </c>
      <c r="B233" s="53" t="n">
        <v>2</v>
      </c>
      <c r="C233" s="70" t="n">
        <v>7.5</v>
      </c>
      <c r="D233" s="70" t="n">
        <v>4</v>
      </c>
      <c r="E233" s="25" t="n">
        <f aca="false">C233*D233</f>
        <v>30</v>
      </c>
      <c r="F233" s="73" t="n">
        <f aca="false">$B$6</f>
        <v>294</v>
      </c>
      <c r="G233" s="29" t="n">
        <f aca="false">E233*F233</f>
        <v>8820</v>
      </c>
      <c r="H233" s="25" t="n">
        <f aca="false">G233*$B$218/1000000</f>
        <v>9.13752</v>
      </c>
      <c r="I233" s="46" t="n">
        <v>1</v>
      </c>
      <c r="J233" s="25" t="n">
        <f aca="false">H233*I233</f>
        <v>9.13752</v>
      </c>
    </row>
    <row r="234" customFormat="false" ht="15" hidden="false" customHeight="false" outlineLevel="0" collapsed="false">
      <c r="A234" s="6" t="s">
        <v>974</v>
      </c>
      <c r="B234" s="53" t="n">
        <v>2</v>
      </c>
      <c r="C234" s="70" t="n">
        <v>7.7</v>
      </c>
      <c r="D234" s="70" t="n">
        <v>1.5</v>
      </c>
      <c r="E234" s="25" t="n">
        <f aca="false">C234*D234</f>
        <v>11.55</v>
      </c>
      <c r="F234" s="73" t="n">
        <f aca="false">$B$6</f>
        <v>294</v>
      </c>
      <c r="G234" s="29" t="n">
        <f aca="false">E234*F234</f>
        <v>3395.7</v>
      </c>
      <c r="H234" s="25" t="n">
        <f aca="false">G234*$B$218/1000000</f>
        <v>3.5179452</v>
      </c>
      <c r="I234" s="46" t="n">
        <v>1</v>
      </c>
      <c r="J234" s="25" t="n">
        <f aca="false">H234*I234</f>
        <v>3.5179452</v>
      </c>
    </row>
    <row r="235" customFormat="false" ht="15" hidden="false" customHeight="false" outlineLevel="0" collapsed="false">
      <c r="A235" s="6" t="s">
        <v>975</v>
      </c>
      <c r="B235" s="53" t="n">
        <v>2</v>
      </c>
      <c r="E235" s="25" t="n">
        <f aca="false">E93*$B$225*$B$226/3600/$B$227+2*4</f>
        <v>55.3107258306538</v>
      </c>
      <c r="F235" s="73" t="n">
        <f aca="false">$B$6</f>
        <v>294</v>
      </c>
      <c r="G235" s="29" t="n">
        <f aca="false">E235*F235</f>
        <v>16261.3533942122</v>
      </c>
      <c r="H235" s="25" t="n">
        <f aca="false">G235*$B$218/1000000</f>
        <v>16.8467621164039</v>
      </c>
      <c r="I235" s="46" t="n">
        <v>0</v>
      </c>
      <c r="J235" s="25" t="n">
        <f aca="false">H235*I235</f>
        <v>0</v>
      </c>
    </row>
    <row r="236" customFormat="false" ht="15" hidden="false" customHeight="false" outlineLevel="0" collapsed="false">
      <c r="A236" s="6" t="s">
        <v>953</v>
      </c>
      <c r="B236" s="53" t="n">
        <v>2</v>
      </c>
      <c r="E236" s="25" t="n">
        <f aca="false">$B$224*E97</f>
        <v>84.8617082797428</v>
      </c>
      <c r="F236" s="73" t="n">
        <f aca="false">$B$6</f>
        <v>294</v>
      </c>
      <c r="G236" s="9" t="s">
        <v>976</v>
      </c>
      <c r="H236" s="25" t="n">
        <f aca="false">E236*F236*$B$223/1000000</f>
        <v>5.06095751815053</v>
      </c>
      <c r="I236" s="46" t="n">
        <v>1</v>
      </c>
      <c r="J236" s="25" t="n">
        <f aca="false">H236*I236</f>
        <v>5.06095751815053</v>
      </c>
    </row>
    <row r="237" customFormat="false" ht="15" hidden="false" customHeight="false" outlineLevel="0" collapsed="false">
      <c r="A237" s="9" t="s">
        <v>977</v>
      </c>
    </row>
    <row r="238" customFormat="false" ht="15" hidden="false" customHeight="false" outlineLevel="0" collapsed="false">
      <c r="A238" s="6" t="s">
        <v>978</v>
      </c>
      <c r="B238" s="64" t="n">
        <f aca="false">H235*1000000/(E93*$B$6)</f>
        <v>6.99794196214537</v>
      </c>
      <c r="C238" s="9" t="s">
        <v>566</v>
      </c>
      <c r="D238" s="9" t="s">
        <v>979</v>
      </c>
    </row>
    <row r="240" customFormat="false" ht="23.85" hidden="false" customHeight="false" outlineLevel="0" collapsed="false">
      <c r="A240" s="23" t="s">
        <v>980</v>
      </c>
      <c r="B240" s="24" t="s">
        <v>110</v>
      </c>
      <c r="C240" s="24" t="s">
        <v>981</v>
      </c>
      <c r="D240" s="24" t="s">
        <v>327</v>
      </c>
      <c r="E240" s="24" t="s">
        <v>969</v>
      </c>
    </row>
    <row r="241" customFormat="false" ht="15" hidden="false" customHeight="false" outlineLevel="0" collapsed="false">
      <c r="A241" s="6" t="s">
        <v>982</v>
      </c>
      <c r="B241" s="53" t="n">
        <v>1</v>
      </c>
      <c r="C241" s="50" t="n">
        <v>1.5</v>
      </c>
      <c r="D241" s="46" t="n">
        <v>1</v>
      </c>
      <c r="E241" s="25" t="n">
        <f aca="false">C241*D241</f>
        <v>1.5</v>
      </c>
    </row>
    <row r="242" customFormat="false" ht="15" hidden="false" customHeight="false" outlineLevel="0" collapsed="false">
      <c r="A242" s="6" t="s">
        <v>983</v>
      </c>
      <c r="B242" s="53" t="n">
        <v>1</v>
      </c>
      <c r="C242" s="50" t="n">
        <v>0.5</v>
      </c>
      <c r="D242" s="46" t="n">
        <v>1</v>
      </c>
      <c r="E242" s="25" t="n">
        <f aca="false">C242*D242</f>
        <v>0.5</v>
      </c>
    </row>
    <row r="243" customFormat="false" ht="15" hidden="false" customHeight="false" outlineLevel="0" collapsed="false">
      <c r="A243" s="6" t="s">
        <v>984</v>
      </c>
      <c r="B243" s="53" t="n">
        <v>1</v>
      </c>
      <c r="C243" s="50" t="n">
        <v>2</v>
      </c>
      <c r="D243" s="34" t="n">
        <f aca="false">Quesería!$B$16</f>
        <v>0.36</v>
      </c>
      <c r="E243" s="25" t="n">
        <f aca="false">C243*D243</f>
        <v>0.72</v>
      </c>
    </row>
    <row r="244" customFormat="false" ht="15" hidden="false" customHeight="false" outlineLevel="0" collapsed="false">
      <c r="A244" s="6" t="s">
        <v>985</v>
      </c>
      <c r="B244" s="53" t="n">
        <v>1</v>
      </c>
      <c r="C244" s="50" t="n">
        <v>2</v>
      </c>
      <c r="D244" s="46" t="n">
        <v>1</v>
      </c>
      <c r="E244" s="25" t="n">
        <f aca="false">C244*D244</f>
        <v>2</v>
      </c>
    </row>
    <row r="245" customFormat="false" ht="15" hidden="false" customHeight="false" outlineLevel="0" collapsed="false">
      <c r="A245" s="6" t="s">
        <v>986</v>
      </c>
      <c r="B245" s="53" t="n">
        <v>2</v>
      </c>
      <c r="C245" s="50" t="n">
        <v>0.8</v>
      </c>
      <c r="D245" s="46" t="n">
        <v>1</v>
      </c>
      <c r="E245" s="25" t="n">
        <f aca="false">C245*D245</f>
        <v>0.8</v>
      </c>
    </row>
    <row r="246" customFormat="false" ht="15" hidden="false" customHeight="false" outlineLevel="0" collapsed="false">
      <c r="A246" s="9" t="s">
        <v>987</v>
      </c>
    </row>
    <row r="248" customFormat="false" ht="15" hidden="false" customHeight="false" outlineLevel="0" collapsed="false">
      <c r="A248" s="23" t="s">
        <v>988</v>
      </c>
      <c r="B248" s="24" t="s">
        <v>989</v>
      </c>
      <c r="C248" s="24" t="s">
        <v>990</v>
      </c>
      <c r="D248" s="24" t="s">
        <v>88</v>
      </c>
    </row>
    <row r="249" customFormat="false" ht="15" hidden="false" customHeight="false" outlineLevel="0" collapsed="false">
      <c r="A249" s="5" t="s">
        <v>991</v>
      </c>
      <c r="B249" s="30" t="n">
        <f aca="false">SUMIFS(J230:J236,B230:B236,1)+SUMIFS(E241:E245,B241:B245,1)</f>
        <v>13.41817312</v>
      </c>
      <c r="C249" s="30" t="n">
        <f aca="false">SUMIFS(J230:J236,B230:B236,2)+SUMIFS(E241:E245,B241:B245,2)</f>
        <v>18.5164227181505</v>
      </c>
      <c r="D249" s="54" t="n">
        <f aca="false">B249+C249</f>
        <v>31.9345958381505</v>
      </c>
    </row>
    <row r="250" customFormat="false" ht="15" hidden="false" customHeight="false" outlineLevel="0" collapsed="false">
      <c r="A250" s="9" t="s">
        <v>992</v>
      </c>
    </row>
  </sheetData>
  <mergeCells count="80">
    <mergeCell ref="B199:C199"/>
    <mergeCell ref="D199:E199"/>
    <mergeCell ref="F199:G199"/>
    <mergeCell ref="H199:I199"/>
    <mergeCell ref="J199:K199"/>
    <mergeCell ref="B200:C200"/>
    <mergeCell ref="D200:E200"/>
    <mergeCell ref="F200:G200"/>
    <mergeCell ref="H200:I200"/>
    <mergeCell ref="J200:K200"/>
    <mergeCell ref="B201:C201"/>
    <mergeCell ref="D201:E201"/>
    <mergeCell ref="F201:G201"/>
    <mergeCell ref="H201:I201"/>
    <mergeCell ref="J201:K201"/>
    <mergeCell ref="B202:C202"/>
    <mergeCell ref="D202:E202"/>
    <mergeCell ref="F202:G202"/>
    <mergeCell ref="H202:I202"/>
    <mergeCell ref="J202:K202"/>
    <mergeCell ref="B203:C203"/>
    <mergeCell ref="D203:E203"/>
    <mergeCell ref="F203:G203"/>
    <mergeCell ref="H203:I203"/>
    <mergeCell ref="J203:K203"/>
    <mergeCell ref="B204:C204"/>
    <mergeCell ref="D204:E204"/>
    <mergeCell ref="F204:G204"/>
    <mergeCell ref="H204:I204"/>
    <mergeCell ref="J204:K204"/>
    <mergeCell ref="B205:C205"/>
    <mergeCell ref="D205:E205"/>
    <mergeCell ref="F205:G205"/>
    <mergeCell ref="H205:I205"/>
    <mergeCell ref="J205:K205"/>
    <mergeCell ref="B206:C206"/>
    <mergeCell ref="D206:E206"/>
    <mergeCell ref="F206:G206"/>
    <mergeCell ref="H206:I206"/>
    <mergeCell ref="J206:K206"/>
    <mergeCell ref="B207:C207"/>
    <mergeCell ref="D207:E207"/>
    <mergeCell ref="F207:G207"/>
    <mergeCell ref="H207:I207"/>
    <mergeCell ref="J207:K207"/>
    <mergeCell ref="B208:C208"/>
    <mergeCell ref="D208:E208"/>
    <mergeCell ref="F208:G208"/>
    <mergeCell ref="H208:I208"/>
    <mergeCell ref="J208:K208"/>
    <mergeCell ref="B209:C209"/>
    <mergeCell ref="D209:E209"/>
    <mergeCell ref="F209:G209"/>
    <mergeCell ref="H209:I209"/>
    <mergeCell ref="J209:K209"/>
    <mergeCell ref="B210:C210"/>
    <mergeCell ref="D210:E210"/>
    <mergeCell ref="F210:G210"/>
    <mergeCell ref="H210:I210"/>
    <mergeCell ref="J210:K210"/>
    <mergeCell ref="B211:C211"/>
    <mergeCell ref="D211:E211"/>
    <mergeCell ref="F211:G211"/>
    <mergeCell ref="H211:I211"/>
    <mergeCell ref="J211:K211"/>
    <mergeCell ref="B212:C212"/>
    <mergeCell ref="D212:E212"/>
    <mergeCell ref="F212:G212"/>
    <mergeCell ref="H212:I212"/>
    <mergeCell ref="J212:K212"/>
    <mergeCell ref="B213:C213"/>
    <mergeCell ref="D213:E213"/>
    <mergeCell ref="F213:G213"/>
    <mergeCell ref="H213:I213"/>
    <mergeCell ref="J213:K213"/>
    <mergeCell ref="B214:C214"/>
    <mergeCell ref="D214:E214"/>
    <mergeCell ref="F214:G214"/>
    <mergeCell ref="H214:I214"/>
    <mergeCell ref="J214:K2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2" topLeftCell="A1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4" min="2" style="0" width="12"/>
    <col collapsed="false" customWidth="true" hidden="false" outlineLevel="0" max="6" min="5" style="0" width="13"/>
    <col collapsed="false" customWidth="true" hidden="false" outlineLevel="0" max="7" min="7" style="0" width="14"/>
    <col collapsed="false" customWidth="true" hidden="false" outlineLevel="0" max="8" min="8" style="0" width="18"/>
    <col collapsed="false" customWidth="true" hidden="false" outlineLevel="0" max="9" min="9" style="0" width="60"/>
  </cols>
  <sheetData>
    <row r="1" customFormat="false" ht="17.35" hidden="false" customHeight="false" outlineLevel="0" collapsed="false">
      <c r="A1" s="42" t="s">
        <v>993</v>
      </c>
    </row>
    <row r="2" customFormat="false" ht="15" hidden="false" customHeight="false" outlineLevel="0" collapsed="false">
      <c r="A2" s="9" t="s">
        <v>994</v>
      </c>
    </row>
    <row r="4" customFormat="false" ht="15" hidden="false" customHeight="false" outlineLevel="0" collapsed="false">
      <c r="A4" s="3" t="s">
        <v>995</v>
      </c>
      <c r="B4" s="4"/>
      <c r="C4" s="4"/>
      <c r="D4" s="4"/>
      <c r="E4" s="4"/>
      <c r="F4" s="4"/>
      <c r="G4" s="4"/>
      <c r="H4" s="4"/>
      <c r="I4" s="4"/>
    </row>
    <row r="5" customFormat="false" ht="15" hidden="false" customHeight="false" outlineLevel="0" collapsed="false">
      <c r="A5" s="23" t="s">
        <v>729</v>
      </c>
      <c r="B5" s="24" t="s">
        <v>188</v>
      </c>
      <c r="C5" s="24" t="s">
        <v>189</v>
      </c>
      <c r="D5" s="24" t="s">
        <v>996</v>
      </c>
    </row>
    <row r="6" customFormat="false" ht="15" hidden="false" customHeight="false" outlineLevel="0" collapsed="false">
      <c r="A6" s="6" t="s">
        <v>997</v>
      </c>
      <c r="B6" s="78" t="n">
        <v>3170.46</v>
      </c>
      <c r="C6" s="6" t="s">
        <v>944</v>
      </c>
      <c r="D6" s="9" t="s">
        <v>998</v>
      </c>
    </row>
    <row r="7" customFormat="false" ht="15" hidden="false" customHeight="false" outlineLevel="0" collapsed="false">
      <c r="A7" s="6" t="s">
        <v>999</v>
      </c>
      <c r="B7" s="78" t="n">
        <v>3569.9</v>
      </c>
      <c r="C7" s="6" t="s">
        <v>1000</v>
      </c>
      <c r="D7" s="9" t="s">
        <v>1001</v>
      </c>
    </row>
    <row r="8" customFormat="false" ht="15" hidden="false" customHeight="false" outlineLevel="0" collapsed="false">
      <c r="A8" s="6" t="s">
        <v>1002</v>
      </c>
      <c r="B8" s="46" t="n">
        <v>0.3</v>
      </c>
      <c r="C8" s="6" t="s">
        <v>539</v>
      </c>
      <c r="D8" s="9" t="s">
        <v>1003</v>
      </c>
    </row>
    <row r="9" customFormat="false" ht="15" hidden="false" customHeight="false" outlineLevel="0" collapsed="false">
      <c r="A9" s="6" t="s">
        <v>1004</v>
      </c>
      <c r="B9" s="46" t="n">
        <v>0.15</v>
      </c>
      <c r="C9" s="6" t="s">
        <v>539</v>
      </c>
      <c r="D9" s="9" t="s">
        <v>1005</v>
      </c>
    </row>
    <row r="11" customFormat="false" ht="15" hidden="false" customHeight="false" outlineLevel="0" collapsed="false">
      <c r="A11" s="3" t="s">
        <v>1006</v>
      </c>
      <c r="B11" s="4"/>
      <c r="C11" s="4"/>
      <c r="D11" s="4"/>
      <c r="E11" s="4"/>
      <c r="F11" s="4"/>
      <c r="G11" s="4"/>
      <c r="H11" s="4"/>
      <c r="I11" s="4"/>
    </row>
    <row r="12" customFormat="false" ht="57.45" hidden="false" customHeight="false" outlineLevel="0" collapsed="false">
      <c r="A12" s="23" t="s">
        <v>1007</v>
      </c>
      <c r="B12" s="24" t="s">
        <v>1008</v>
      </c>
      <c r="C12" s="24" t="s">
        <v>1009</v>
      </c>
      <c r="D12" s="24" t="s">
        <v>1010</v>
      </c>
      <c r="E12" s="24" t="s">
        <v>1011</v>
      </c>
      <c r="F12" s="24" t="s">
        <v>1012</v>
      </c>
      <c r="G12" s="24" t="s">
        <v>1013</v>
      </c>
      <c r="H12" s="24" t="s">
        <v>638</v>
      </c>
      <c r="I12" s="24" t="s">
        <v>1014</v>
      </c>
    </row>
    <row r="13" customFormat="false" ht="61.5" hidden="false" customHeight="true" outlineLevel="0" collapsed="false">
      <c r="A13" s="77" t="s">
        <v>1015</v>
      </c>
      <c r="B13" s="74" t="n">
        <v>7000</v>
      </c>
      <c r="C13" s="6" t="s">
        <v>1016</v>
      </c>
      <c r="D13" s="25" t="n">
        <f aca="false">B13*$B$6/1000000</f>
        <v>22.19322</v>
      </c>
      <c r="E13" s="25" t="n">
        <f aca="false">D13*(1+$B$8)*(1+$B$9)</f>
        <v>33.1788639</v>
      </c>
      <c r="F13" s="30" t="n">
        <f aca="false">E13</f>
        <v>33.1788639</v>
      </c>
      <c r="G13" s="77" t="s">
        <v>1017</v>
      </c>
      <c r="H13" s="79" t="s">
        <v>1018</v>
      </c>
      <c r="I13" s="79" t="s">
        <v>1019</v>
      </c>
    </row>
    <row r="14" customFormat="false" ht="61.5" hidden="false" customHeight="true" outlineLevel="0" collapsed="false">
      <c r="A14" s="77" t="s">
        <v>1020</v>
      </c>
      <c r="B14" s="74" t="n">
        <v>39000</v>
      </c>
      <c r="C14" s="6" t="s">
        <v>1021</v>
      </c>
      <c r="D14" s="25" t="n">
        <f aca="false">B14*$B$7/1000000</f>
        <v>139.2261</v>
      </c>
      <c r="E14" s="25" t="n">
        <f aca="false">D14*(1+$B$8)*(1+$B$9)</f>
        <v>208.1430195</v>
      </c>
      <c r="F14" s="50" t="n">
        <v>322.6</v>
      </c>
      <c r="G14" s="77" t="s">
        <v>1022</v>
      </c>
      <c r="H14" s="79" t="s">
        <v>1023</v>
      </c>
      <c r="I14" s="79" t="s">
        <v>1024</v>
      </c>
    </row>
    <row r="15" customFormat="false" ht="61.5" hidden="false" customHeight="true" outlineLevel="0" collapsed="false">
      <c r="A15" s="77" t="s">
        <v>348</v>
      </c>
      <c r="B15" s="74" t="n">
        <v>5000</v>
      </c>
      <c r="C15" s="6" t="s">
        <v>1016</v>
      </c>
      <c r="D15" s="25" t="n">
        <f aca="false">B15*$B$6/1000000</f>
        <v>15.8523</v>
      </c>
      <c r="E15" s="25" t="n">
        <f aca="false">D15*(1+$B$8)*(1+$B$9)</f>
        <v>23.6991885</v>
      </c>
      <c r="F15" s="25" t="n">
        <f aca="false">320/3</f>
        <v>106.666666666667</v>
      </c>
      <c r="G15" s="77" t="s">
        <v>1022</v>
      </c>
      <c r="H15" s="79" t="s">
        <v>1025</v>
      </c>
      <c r="I15" s="79" t="s">
        <v>1026</v>
      </c>
    </row>
    <row r="16" customFormat="false" ht="61.5" hidden="false" customHeight="true" outlineLevel="0" collapsed="false">
      <c r="A16" s="77" t="s">
        <v>1027</v>
      </c>
      <c r="B16" s="74" t="n">
        <v>9500</v>
      </c>
      <c r="C16" s="6" t="s">
        <v>1016</v>
      </c>
      <c r="D16" s="25" t="n">
        <f aca="false">B16*$B$6/1000000</f>
        <v>30.11937</v>
      </c>
      <c r="E16" s="25" t="n">
        <f aca="false">D16*(1+$B$8)*(1+$B$9)</f>
        <v>45.02845815</v>
      </c>
      <c r="F16" s="25" t="n">
        <f aca="false">BOM!$F$77</f>
        <v>130.792130937844</v>
      </c>
      <c r="G16" s="77" t="s">
        <v>1028</v>
      </c>
      <c r="H16" s="79" t="s">
        <v>1029</v>
      </c>
      <c r="I16" s="79" t="s">
        <v>1030</v>
      </c>
    </row>
    <row r="17" customFormat="false" ht="61.5" hidden="false" customHeight="true" outlineLevel="0" collapsed="false">
      <c r="A17" s="77" t="s">
        <v>1031</v>
      </c>
      <c r="B17" s="74" t="n">
        <v>2200</v>
      </c>
      <c r="C17" s="6" t="s">
        <v>1016</v>
      </c>
      <c r="D17" s="25" t="n">
        <f aca="false">B17*$B$6/1000000</f>
        <v>6.975012</v>
      </c>
      <c r="E17" s="25" t="n">
        <f aca="false">D17*(1+$B$8)*(1+$B$9)</f>
        <v>10.42764294</v>
      </c>
      <c r="F17" s="30" t="n">
        <f aca="false">E17</f>
        <v>10.42764294</v>
      </c>
      <c r="G17" s="77" t="s">
        <v>1017</v>
      </c>
      <c r="H17" s="79" t="s">
        <v>1032</v>
      </c>
      <c r="I17" s="79" t="s">
        <v>1033</v>
      </c>
    </row>
    <row r="18" customFormat="false" ht="61.5" hidden="false" customHeight="true" outlineLevel="0" collapsed="false">
      <c r="A18" s="77" t="s">
        <v>1034</v>
      </c>
      <c r="F18" s="25" t="n">
        <f aca="false">BOM!$F$73</f>
        <v>267.509653045577</v>
      </c>
      <c r="G18" s="77" t="s">
        <v>1028</v>
      </c>
      <c r="H18" s="79" t="s">
        <v>1029</v>
      </c>
      <c r="I18" s="79"/>
    </row>
    <row r="19" customFormat="false" ht="61.5" hidden="false" customHeight="true" outlineLevel="0" collapsed="false">
      <c r="A19" s="77" t="s">
        <v>1035</v>
      </c>
      <c r="F19" s="25" t="n">
        <f aca="false">BOM!$F$74</f>
        <v>47.746860805791</v>
      </c>
      <c r="G19" s="77" t="s">
        <v>1028</v>
      </c>
      <c r="H19" s="79" t="s">
        <v>1029</v>
      </c>
      <c r="I19" s="79"/>
    </row>
    <row r="20" customFormat="false" ht="61.5" hidden="false" customHeight="true" outlineLevel="0" collapsed="false">
      <c r="A20" s="77" t="s">
        <v>1036</v>
      </c>
      <c r="F20" s="25" t="n">
        <f aca="false">BOM!$F$76</f>
        <v>129.98093385</v>
      </c>
      <c r="G20" s="77" t="s">
        <v>1028</v>
      </c>
      <c r="H20" s="79" t="s">
        <v>1029</v>
      </c>
      <c r="I20" s="79"/>
    </row>
    <row r="21" customFormat="false" ht="61.5" hidden="false" customHeight="true" outlineLevel="0" collapsed="false">
      <c r="A21" s="77" t="s">
        <v>1037</v>
      </c>
      <c r="F21" s="50" t="n">
        <v>80</v>
      </c>
      <c r="G21" s="77" t="s">
        <v>1038</v>
      </c>
      <c r="H21" s="79" t="s">
        <v>1039</v>
      </c>
      <c r="I21" s="79"/>
    </row>
    <row r="23" customFormat="false" ht="15" hidden="false" customHeight="false" outlineLevel="0" collapsed="false">
      <c r="A23" s="9" t="s">
        <v>1040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8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3" topLeftCell="C14" activePane="bottomRight" state="frozen"/>
      <selection pane="topLeft" activeCell="A1" activeCellId="0" sqref="A1"/>
      <selection pane="topRight" activeCell="C1" activeCellId="0" sqref="C1"/>
      <selection pane="bottomLeft" activeCell="A14" activeCellId="0" sqref="A1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54"/>
    <col collapsed="false" customWidth="true" hidden="false" outlineLevel="0" max="3" min="3" style="0" width="7"/>
    <col collapsed="false" customWidth="true" hidden="false" outlineLevel="0" max="4" min="4" style="0" width="30"/>
    <col collapsed="false" customWidth="true" hidden="false" outlineLevel="0" max="5" min="5" style="0" width="9"/>
    <col collapsed="false" customWidth="true" hidden="false" outlineLevel="0" max="6" min="6" style="0" width="12"/>
    <col collapsed="false" customWidth="true" hidden="false" outlineLevel="0" max="7" min="7" style="0" width="8"/>
    <col collapsed="false" customWidth="true" hidden="false" outlineLevel="0" max="8" min="8" style="0" width="11"/>
    <col collapsed="false" customWidth="true" hidden="false" outlineLevel="0" max="9" min="9" style="0" width="10"/>
    <col collapsed="false" customWidth="true" hidden="false" outlineLevel="0" max="10" min="10" style="0" width="11"/>
    <col collapsed="false" customWidth="true" hidden="false" outlineLevel="0" max="11" min="11" style="0" width="10"/>
    <col collapsed="false" customWidth="true" hidden="false" outlineLevel="0" max="13" min="12" style="0" width="9"/>
    <col collapsed="false" customWidth="true" hidden="false" outlineLevel="0" max="14" min="14" style="0" width="10"/>
    <col collapsed="false" customWidth="true" hidden="false" outlineLevel="0" max="15" min="15" style="0" width="60"/>
    <col collapsed="false" customWidth="true" hidden="true" outlineLevel="0" max="16" min="16" style="0" width="13"/>
  </cols>
  <sheetData>
    <row r="1" customFormat="false" ht="17.35" hidden="false" customHeight="false" outlineLevel="0" collapsed="false">
      <c r="A1" s="42" t="s">
        <v>1041</v>
      </c>
    </row>
    <row r="2" customFormat="false" ht="27.75" hidden="false" customHeight="true" outlineLevel="0" collapsed="false">
      <c r="A2" s="14" t="s">
        <v>1042</v>
      </c>
      <c r="B2" s="14"/>
      <c r="C2" s="14"/>
      <c r="D2" s="14"/>
      <c r="E2" s="14"/>
      <c r="F2" s="14"/>
      <c r="G2" s="14"/>
      <c r="H2" s="14"/>
      <c r="I2" s="14"/>
      <c r="J2" s="14"/>
      <c r="K2" s="14"/>
      <c r="L2" s="14"/>
      <c r="M2" s="14"/>
      <c r="N2" s="14"/>
      <c r="O2" s="14"/>
    </row>
    <row r="4" customFormat="false" ht="15" hidden="false" customHeight="false" outlineLevel="0" collapsed="false">
      <c r="A4" s="3" t="s">
        <v>1043</v>
      </c>
      <c r="B4" s="4"/>
      <c r="C4" s="4"/>
      <c r="D4" s="4"/>
      <c r="E4" s="4"/>
      <c r="F4" s="4"/>
    </row>
    <row r="5" customFormat="false" ht="15" hidden="false" customHeight="false" outlineLevel="0" collapsed="false">
      <c r="A5" s="23" t="s">
        <v>729</v>
      </c>
      <c r="B5" s="24"/>
      <c r="C5" s="24" t="s">
        <v>188</v>
      </c>
      <c r="D5" s="24" t="s">
        <v>189</v>
      </c>
      <c r="E5" s="24" t="s">
        <v>996</v>
      </c>
    </row>
    <row r="6" customFormat="false" ht="15" hidden="false" customHeight="false" outlineLevel="0" collapsed="false">
      <c r="A6" s="6" t="s">
        <v>1044</v>
      </c>
      <c r="C6" s="80" t="n">
        <f aca="false">Cotizaciones!$B$6</f>
        <v>3170.46</v>
      </c>
      <c r="D6" s="6" t="s">
        <v>944</v>
      </c>
      <c r="E6" s="9" t="s">
        <v>945</v>
      </c>
    </row>
    <row r="7" customFormat="false" ht="15" hidden="false" customHeight="false" outlineLevel="0" collapsed="false">
      <c r="A7" s="6" t="s">
        <v>1045</v>
      </c>
      <c r="C7" s="80" t="n">
        <f aca="false">Cotizaciones!$B$7</f>
        <v>3569.9</v>
      </c>
      <c r="D7" s="6" t="s">
        <v>1000</v>
      </c>
      <c r="E7" s="9" t="s">
        <v>945</v>
      </c>
    </row>
    <row r="8" customFormat="false" ht="15" hidden="false" customHeight="false" outlineLevel="0" collapsed="false">
      <c r="A8" s="6" t="s">
        <v>1046</v>
      </c>
      <c r="C8" s="80" t="n">
        <f aca="false">C6*1.33</f>
        <v>4216.7118</v>
      </c>
      <c r="D8" s="6" t="s">
        <v>1047</v>
      </c>
      <c r="E8" s="9" t="s">
        <v>1048</v>
      </c>
    </row>
    <row r="9" customFormat="false" ht="15" hidden="false" customHeight="false" outlineLevel="0" collapsed="false">
      <c r="A9" s="6" t="s">
        <v>1049</v>
      </c>
      <c r="C9" s="34" t="n">
        <f aca="false">Cotizaciones!$B$8</f>
        <v>0.3</v>
      </c>
      <c r="D9" s="6" t="s">
        <v>539</v>
      </c>
      <c r="E9" s="9" t="s">
        <v>1050</v>
      </c>
    </row>
    <row r="10" customFormat="false" ht="15" hidden="false" customHeight="false" outlineLevel="0" collapsed="false">
      <c r="A10" s="6" t="s">
        <v>1051</v>
      </c>
      <c r="C10" s="34" t="n">
        <f aca="false">Cotizaciones!$B$9</f>
        <v>0.15</v>
      </c>
      <c r="D10" s="6" t="s">
        <v>539</v>
      </c>
      <c r="E10" s="9" t="s">
        <v>1052</v>
      </c>
    </row>
    <row r="11" customFormat="false" ht="15" hidden="false" customHeight="false" outlineLevel="0" collapsed="false">
      <c r="A11" s="6" t="s">
        <v>1053</v>
      </c>
      <c r="C11" s="46" t="n">
        <v>0.15</v>
      </c>
      <c r="D11" s="6" t="s">
        <v>539</v>
      </c>
      <c r="E11" s="9" t="s">
        <v>1054</v>
      </c>
    </row>
    <row r="12" customFormat="false" ht="15" hidden="false" customHeight="false" outlineLevel="0" collapsed="false">
      <c r="A12" s="3" t="s">
        <v>1055</v>
      </c>
      <c r="B12" s="4"/>
      <c r="C12" s="4"/>
      <c r="D12" s="4"/>
      <c r="E12" s="4"/>
      <c r="F12" s="4"/>
      <c r="G12" s="4"/>
      <c r="H12" s="4"/>
      <c r="I12" s="4"/>
      <c r="J12" s="4"/>
      <c r="K12" s="4"/>
      <c r="L12" s="4"/>
      <c r="M12" s="4"/>
      <c r="N12" s="4"/>
      <c r="O12" s="4"/>
    </row>
    <row r="13" customFormat="false" ht="30" hidden="false" customHeight="true" outlineLevel="0" collapsed="false">
      <c r="A13" s="23" t="s">
        <v>1056</v>
      </c>
      <c r="B13" s="24" t="s">
        <v>1057</v>
      </c>
      <c r="C13" s="24" t="s">
        <v>110</v>
      </c>
      <c r="D13" s="24" t="s">
        <v>1058</v>
      </c>
      <c r="E13" s="24" t="s">
        <v>1059</v>
      </c>
      <c r="F13" s="24" t="s">
        <v>1060</v>
      </c>
      <c r="G13" s="24" t="s">
        <v>1009</v>
      </c>
      <c r="H13" s="24" t="s">
        <v>1061</v>
      </c>
      <c r="I13" s="24" t="s">
        <v>1062</v>
      </c>
      <c r="J13" s="24" t="s">
        <v>1063</v>
      </c>
      <c r="K13" s="24" t="s">
        <v>113</v>
      </c>
      <c r="L13" s="24" t="s">
        <v>1064</v>
      </c>
      <c r="M13" s="24" t="s">
        <v>1065</v>
      </c>
      <c r="N13" s="24" t="s">
        <v>330</v>
      </c>
      <c r="O13" s="24" t="s">
        <v>996</v>
      </c>
    </row>
    <row r="14" customFormat="false" ht="15" hidden="false" customHeight="false" outlineLevel="0" collapsed="false">
      <c r="A14" s="6" t="s">
        <v>1066</v>
      </c>
      <c r="B14" s="77" t="s">
        <v>1067</v>
      </c>
      <c r="C14" s="53" t="n">
        <v>0</v>
      </c>
      <c r="D14" s="9" t="s">
        <v>1068</v>
      </c>
      <c r="E14" s="74" t="n">
        <v>1</v>
      </c>
      <c r="F14" s="78" t="n">
        <v>3299</v>
      </c>
      <c r="G14" s="6" t="s">
        <v>1016</v>
      </c>
      <c r="H14" s="53" t="n">
        <v>2</v>
      </c>
      <c r="I14" s="53" t="n">
        <v>0</v>
      </c>
      <c r="J14" s="25" t="n">
        <f aca="false">E14*F14*$C$6/1000000*(1+(H14=1)*$C$9+(H14=2)*$C$11)*(1+I14*$C$10)</f>
        <v>12.028249671</v>
      </c>
      <c r="K14" s="34" t="n">
        <f aca="false">Quesería!$B$16</f>
        <v>0.36</v>
      </c>
      <c r="L14" s="28" t="s">
        <v>1069</v>
      </c>
      <c r="M14" s="53" t="n">
        <v>2</v>
      </c>
      <c r="N14" s="34" t="n">
        <f aca="false">CHOOSE(M14,Quesería!$B$26,Quesería!$B$27,Quesería!$B$28,Quesería!$B$29)</f>
        <v>0.1</v>
      </c>
      <c r="O14" s="79" t="s">
        <v>1070</v>
      </c>
      <c r="P14" s="81" t="s">
        <v>1071</v>
      </c>
    </row>
    <row r="15" customFormat="false" ht="15" hidden="false" customHeight="false" outlineLevel="0" collapsed="false">
      <c r="A15" s="6" t="s">
        <v>1072</v>
      </c>
      <c r="B15" s="77" t="s">
        <v>1073</v>
      </c>
      <c r="C15" s="53" t="n">
        <v>0</v>
      </c>
      <c r="D15" s="9" t="s">
        <v>1068</v>
      </c>
      <c r="E15" s="74" t="n">
        <v>1</v>
      </c>
      <c r="F15" s="78" t="n">
        <v>1500</v>
      </c>
      <c r="G15" s="6" t="s">
        <v>1016</v>
      </c>
      <c r="H15" s="53" t="n">
        <v>2</v>
      </c>
      <c r="I15" s="53" t="n">
        <v>0</v>
      </c>
      <c r="J15" s="25" t="n">
        <f aca="false">E15*F15*$C$6/1000000*(1+(H15=1)*$C$9+(H15=2)*$C$11)*(1+I15*$C$10)</f>
        <v>5.4690435</v>
      </c>
      <c r="K15" s="34" t="n">
        <f aca="false">Quesería!$B$16</f>
        <v>0.36</v>
      </c>
      <c r="L15" s="28" t="s">
        <v>1069</v>
      </c>
      <c r="M15" s="53" t="n">
        <v>4</v>
      </c>
      <c r="N15" s="34" t="n">
        <f aca="false">CHOOSE(M15,Quesería!$B$26,Quesería!$B$27,Quesería!$B$28,Quesería!$B$29)</f>
        <v>0.25</v>
      </c>
      <c r="O15" s="79" t="s">
        <v>1074</v>
      </c>
      <c r="P15" s="81" t="s">
        <v>1071</v>
      </c>
    </row>
    <row r="16" customFormat="false" ht="15" hidden="false" customHeight="false" outlineLevel="0" collapsed="false">
      <c r="A16" s="6" t="s">
        <v>1075</v>
      </c>
      <c r="B16" s="77" t="s">
        <v>1076</v>
      </c>
      <c r="C16" s="53" t="n">
        <v>0</v>
      </c>
      <c r="D16" s="9" t="s">
        <v>1068</v>
      </c>
      <c r="E16" s="74" t="n">
        <v>1</v>
      </c>
      <c r="F16" s="78" t="n">
        <v>1200</v>
      </c>
      <c r="G16" s="6" t="s">
        <v>1016</v>
      </c>
      <c r="H16" s="53" t="n">
        <v>2</v>
      </c>
      <c r="I16" s="53" t="n">
        <v>0</v>
      </c>
      <c r="J16" s="25" t="n">
        <f aca="false">E16*F16*$C$6/1000000*(1+(H16=1)*$C$9+(H16=2)*$C$11)*(1+I16*$C$10)</f>
        <v>4.3752348</v>
      </c>
      <c r="K16" s="34" t="n">
        <f aca="false">Quesería!$B$16</f>
        <v>0.36</v>
      </c>
      <c r="L16" s="28" t="s">
        <v>1069</v>
      </c>
      <c r="M16" s="53" t="n">
        <v>4</v>
      </c>
      <c r="N16" s="34" t="n">
        <f aca="false">CHOOSE(M16,Quesería!$B$26,Quesería!$B$27,Quesería!$B$28,Quesería!$B$29)</f>
        <v>0.25</v>
      </c>
      <c r="O16" s="79" t="s">
        <v>1074</v>
      </c>
      <c r="P16" s="81" t="s">
        <v>1071</v>
      </c>
    </row>
    <row r="17" customFormat="false" ht="15" hidden="false" customHeight="false" outlineLevel="0" collapsed="false">
      <c r="A17" s="6" t="s">
        <v>1077</v>
      </c>
      <c r="B17" s="77" t="s">
        <v>1078</v>
      </c>
      <c r="C17" s="53" t="n">
        <v>0</v>
      </c>
      <c r="D17" s="9" t="s">
        <v>1068</v>
      </c>
      <c r="E17" s="74" t="n">
        <v>1</v>
      </c>
      <c r="F17" s="74" t="n">
        <v>6000000</v>
      </c>
      <c r="G17" s="6" t="s">
        <v>1079</v>
      </c>
      <c r="H17" s="53" t="n">
        <v>0</v>
      </c>
      <c r="I17" s="53" t="n">
        <v>0</v>
      </c>
      <c r="J17" s="25" t="n">
        <f aca="false">E17*F17*1/1000000*(1+(H17=1)*$C$9+(H17=2)*$C$11)*(1+I17*$C$10)</f>
        <v>6</v>
      </c>
      <c r="K17" s="34" t="n">
        <f aca="false">Quesería!$B$16</f>
        <v>0.36</v>
      </c>
      <c r="L17" s="28" t="s">
        <v>1069</v>
      </c>
      <c r="M17" s="53" t="n">
        <v>4</v>
      </c>
      <c r="N17" s="34" t="n">
        <f aca="false">CHOOSE(M17,Quesería!$B$26,Quesería!$B$27,Quesería!$B$28,Quesería!$B$29)</f>
        <v>0.25</v>
      </c>
      <c r="O17" s="79" t="s">
        <v>1080</v>
      </c>
      <c r="P17" s="81" t="s">
        <v>1071</v>
      </c>
    </row>
    <row r="18" customFormat="false" ht="15" hidden="false" customHeight="false" outlineLevel="0" collapsed="false">
      <c r="A18" s="6" t="s">
        <v>1081</v>
      </c>
      <c r="B18" s="77" t="s">
        <v>1082</v>
      </c>
      <c r="C18" s="53" t="n">
        <v>0</v>
      </c>
      <c r="D18" s="9" t="s">
        <v>1068</v>
      </c>
      <c r="E18" s="74" t="n">
        <v>1</v>
      </c>
      <c r="F18" s="74" t="n">
        <v>4000000</v>
      </c>
      <c r="G18" s="6" t="s">
        <v>1079</v>
      </c>
      <c r="H18" s="53" t="n">
        <v>0</v>
      </c>
      <c r="I18" s="53" t="n">
        <v>0</v>
      </c>
      <c r="J18" s="25" t="n">
        <f aca="false">E18*F18*1/1000000*(1+(H18=1)*$C$9+(H18=2)*$C$11)*(1+I18*$C$10)</f>
        <v>4</v>
      </c>
      <c r="K18" s="34" t="n">
        <f aca="false">Quesería!$B$16</f>
        <v>0.36</v>
      </c>
      <c r="L18" s="28" t="s">
        <v>1083</v>
      </c>
      <c r="M18" s="53" t="n">
        <v>4</v>
      </c>
      <c r="N18" s="34" t="n">
        <f aca="false">CHOOSE(M18,Quesería!$B$26,Quesería!$B$27,Quesería!$B$28,Quesería!$B$29)</f>
        <v>0.25</v>
      </c>
      <c r="O18" s="79" t="s">
        <v>1074</v>
      </c>
      <c r="P18" s="81" t="s">
        <v>1071</v>
      </c>
    </row>
    <row r="19" customFormat="false" ht="23.85" hidden="false" customHeight="false" outlineLevel="0" collapsed="false">
      <c r="A19" s="6" t="s">
        <v>1084</v>
      </c>
      <c r="B19" s="77" t="s">
        <v>1085</v>
      </c>
      <c r="C19" s="53" t="n">
        <v>0</v>
      </c>
      <c r="D19" s="9" t="s">
        <v>1068</v>
      </c>
      <c r="E19" s="74" t="n">
        <v>1</v>
      </c>
      <c r="F19" s="74" t="n">
        <v>25000000</v>
      </c>
      <c r="G19" s="6" t="s">
        <v>1079</v>
      </c>
      <c r="H19" s="53" t="n">
        <v>0</v>
      </c>
      <c r="I19" s="53" t="n">
        <v>0</v>
      </c>
      <c r="J19" s="25" t="n">
        <f aca="false">E19*F19*1/1000000*(1+(H19=1)*$C$9+(H19=2)*$C$11)*(1+I19*$C$10)</f>
        <v>25</v>
      </c>
      <c r="K19" s="34" t="n">
        <f aca="false">Quesería!$B$16</f>
        <v>0.36</v>
      </c>
      <c r="L19" s="28" t="s">
        <v>1069</v>
      </c>
      <c r="M19" s="53" t="n">
        <v>4</v>
      </c>
      <c r="N19" s="34" t="n">
        <f aca="false">CHOOSE(M19,Quesería!$B$26,Quesería!$B$27,Quesería!$B$28,Quesería!$B$29)</f>
        <v>0.25</v>
      </c>
      <c r="O19" s="79" t="s">
        <v>1086</v>
      </c>
      <c r="P19" s="81" t="s">
        <v>1071</v>
      </c>
    </row>
    <row r="20" customFormat="false" ht="15" hidden="false" customHeight="false" outlineLevel="0" collapsed="false">
      <c r="A20" s="6" t="s">
        <v>1087</v>
      </c>
      <c r="B20" s="77" t="s">
        <v>1088</v>
      </c>
      <c r="C20" s="53" t="n">
        <v>1</v>
      </c>
      <c r="D20" s="9" t="s">
        <v>1089</v>
      </c>
      <c r="E20" s="74" t="n">
        <v>2</v>
      </c>
      <c r="F20" s="78" t="n">
        <v>4816.4</v>
      </c>
      <c r="G20" s="6" t="s">
        <v>1016</v>
      </c>
      <c r="H20" s="53" t="n">
        <v>2</v>
      </c>
      <c r="I20" s="53" t="n">
        <v>1</v>
      </c>
      <c r="J20" s="25" t="n">
        <f aca="false">E20*F20*$C$6/1000000*(1+(H20=1)*$C$9+(H20=2)*$C$11)*(1+I20*$C$10)</f>
        <v>40.38968837388</v>
      </c>
      <c r="K20" s="46" t="n">
        <v>1</v>
      </c>
      <c r="L20" s="28" t="s">
        <v>1090</v>
      </c>
      <c r="M20" s="53" t="n">
        <v>2</v>
      </c>
      <c r="N20" s="34" t="n">
        <f aca="false">CHOOSE(M20,Quesería!$B$26,Quesería!$B$27,Quesería!$B$28,Quesería!$B$29)</f>
        <v>0.1</v>
      </c>
      <c r="O20" s="79" t="s">
        <v>1091</v>
      </c>
      <c r="P20" s="81" t="s">
        <v>1092</v>
      </c>
    </row>
    <row r="21" customFormat="false" ht="15" hidden="false" customHeight="false" outlineLevel="0" collapsed="false">
      <c r="A21" s="6" t="s">
        <v>1093</v>
      </c>
      <c r="B21" s="77" t="s">
        <v>1094</v>
      </c>
      <c r="C21" s="53" t="n">
        <v>1</v>
      </c>
      <c r="D21" s="9" t="s">
        <v>1089</v>
      </c>
      <c r="E21" s="74" t="n">
        <v>2</v>
      </c>
      <c r="F21" s="78" t="n">
        <v>1936.25</v>
      </c>
      <c r="G21" s="6" t="s">
        <v>1016</v>
      </c>
      <c r="H21" s="53" t="n">
        <v>2</v>
      </c>
      <c r="I21" s="53" t="n">
        <v>1</v>
      </c>
      <c r="J21" s="25" t="n">
        <f aca="false">E21*F21*$C$6/1000000*(1+(H21=1)*$C$9+(H21=2)*$C$11)*(1+I21*$C$10)</f>
        <v>16.237134397875</v>
      </c>
      <c r="K21" s="46" t="n">
        <v>1</v>
      </c>
      <c r="L21" s="28" t="s">
        <v>1090</v>
      </c>
      <c r="M21" s="53" t="n">
        <v>2</v>
      </c>
      <c r="N21" s="34" t="n">
        <f aca="false">CHOOSE(M21,Quesería!$B$26,Quesería!$B$27,Quesería!$B$28,Quesería!$B$29)</f>
        <v>0.1</v>
      </c>
      <c r="O21" s="79" t="s">
        <v>1095</v>
      </c>
      <c r="P21" s="81" t="s">
        <v>1092</v>
      </c>
    </row>
    <row r="22" customFormat="false" ht="15" hidden="false" customHeight="false" outlineLevel="0" collapsed="false">
      <c r="A22" s="6" t="s">
        <v>1096</v>
      </c>
      <c r="B22" s="77" t="s">
        <v>1097</v>
      </c>
      <c r="C22" s="53" t="n">
        <v>1</v>
      </c>
      <c r="D22" s="9" t="s">
        <v>1089</v>
      </c>
      <c r="E22" s="74" t="n">
        <v>2</v>
      </c>
      <c r="F22" s="78" t="n">
        <v>436.59</v>
      </c>
      <c r="G22" s="6" t="s">
        <v>1016</v>
      </c>
      <c r="H22" s="53" t="n">
        <v>2</v>
      </c>
      <c r="I22" s="53" t="n">
        <v>1</v>
      </c>
      <c r="J22" s="25" t="n">
        <f aca="false">E22*F22*$C$6/1000000*(1+(H22=1)*$C$9+(H22=2)*$C$11)*(1+I22*$C$10)</f>
        <v>3.661185542553</v>
      </c>
      <c r="K22" s="46" t="n">
        <v>1</v>
      </c>
      <c r="L22" s="28" t="s">
        <v>1090</v>
      </c>
      <c r="M22" s="53" t="n">
        <v>2</v>
      </c>
      <c r="N22" s="34" t="n">
        <f aca="false">CHOOSE(M22,Quesería!$B$26,Quesería!$B$27,Quesería!$B$28,Quesería!$B$29)</f>
        <v>0.1</v>
      </c>
      <c r="O22" s="79" t="s">
        <v>1095</v>
      </c>
      <c r="P22" s="81" t="s">
        <v>1092</v>
      </c>
    </row>
    <row r="23" customFormat="false" ht="15" hidden="false" customHeight="false" outlineLevel="0" collapsed="false">
      <c r="A23" s="6" t="s">
        <v>1098</v>
      </c>
      <c r="B23" s="77" t="s">
        <v>1099</v>
      </c>
      <c r="C23" s="53" t="n">
        <v>1</v>
      </c>
      <c r="D23" s="9" t="s">
        <v>1089</v>
      </c>
      <c r="E23" s="74" t="n">
        <v>2</v>
      </c>
      <c r="F23" s="78" t="n">
        <v>480</v>
      </c>
      <c r="G23" s="6" t="s">
        <v>1016</v>
      </c>
      <c r="H23" s="53" t="n">
        <v>2</v>
      </c>
      <c r="I23" s="53" t="n">
        <v>1</v>
      </c>
      <c r="J23" s="25" t="n">
        <f aca="false">E23*F23*$C$6/1000000*(1+(H23=1)*$C$9+(H23=2)*$C$11)*(1+I23*$C$10)</f>
        <v>4.025216016</v>
      </c>
      <c r="K23" s="46" t="n">
        <v>1</v>
      </c>
      <c r="L23" s="28" t="s">
        <v>1090</v>
      </c>
      <c r="M23" s="53" t="n">
        <v>3</v>
      </c>
      <c r="N23" s="34" t="n">
        <f aca="false">CHOOSE(M23,Quesería!$B$26,Quesería!$B$27,Quesería!$B$28,Quesería!$B$29)</f>
        <v>0.15</v>
      </c>
      <c r="O23" s="79" t="s">
        <v>1100</v>
      </c>
      <c r="P23" s="81" t="s">
        <v>1092</v>
      </c>
    </row>
    <row r="24" customFormat="false" ht="23.85" hidden="false" customHeight="false" outlineLevel="0" collapsed="false">
      <c r="A24" s="6" t="s">
        <v>1101</v>
      </c>
      <c r="B24" s="77" t="s">
        <v>1102</v>
      </c>
      <c r="C24" s="53" t="n">
        <v>1</v>
      </c>
      <c r="D24" s="9" t="s">
        <v>1089</v>
      </c>
      <c r="E24" s="74" t="n">
        <v>2</v>
      </c>
      <c r="F24" s="78" t="n">
        <v>1218.22</v>
      </c>
      <c r="G24" s="6" t="s">
        <v>1016</v>
      </c>
      <c r="H24" s="53" t="n">
        <v>2</v>
      </c>
      <c r="I24" s="53" t="n">
        <v>1</v>
      </c>
      <c r="J24" s="25" t="n">
        <f aca="false">E24*F24*$C$6/1000000*(1+(H24=1)*$C$9+(H24=2)*$C$11)*(1+I24*$C$10)</f>
        <v>10.215830531274</v>
      </c>
      <c r="K24" s="46" t="n">
        <v>1</v>
      </c>
      <c r="L24" s="28" t="s">
        <v>1090</v>
      </c>
      <c r="M24" s="53" t="n">
        <v>2</v>
      </c>
      <c r="N24" s="34" t="n">
        <f aca="false">CHOOSE(M24,Quesería!$B$26,Quesería!$B$27,Quesería!$B$28,Quesería!$B$29)</f>
        <v>0.1</v>
      </c>
      <c r="O24" s="79" t="s">
        <v>1103</v>
      </c>
      <c r="P24" s="81" t="s">
        <v>1092</v>
      </c>
    </row>
    <row r="25" customFormat="false" ht="15" hidden="false" customHeight="false" outlineLevel="0" collapsed="false">
      <c r="A25" s="6" t="s">
        <v>1104</v>
      </c>
      <c r="B25" s="77" t="s">
        <v>1105</v>
      </c>
      <c r="C25" s="53" t="n">
        <v>1</v>
      </c>
      <c r="D25" s="9" t="s">
        <v>1089</v>
      </c>
      <c r="E25" s="74" t="n">
        <v>2</v>
      </c>
      <c r="F25" s="78" t="n">
        <v>2500</v>
      </c>
      <c r="G25" s="6" t="s">
        <v>1016</v>
      </c>
      <c r="H25" s="53" t="n">
        <v>2</v>
      </c>
      <c r="I25" s="53" t="n">
        <v>1</v>
      </c>
      <c r="J25" s="25" t="n">
        <f aca="false">E25*F25*$C$6/1000000*(1+(H25=1)*$C$9+(H25=2)*$C$11)*(1+I25*$C$10)</f>
        <v>20.96466675</v>
      </c>
      <c r="K25" s="46" t="n">
        <v>1</v>
      </c>
      <c r="L25" s="28" t="s">
        <v>1090</v>
      </c>
      <c r="M25" s="53" t="n">
        <v>4</v>
      </c>
      <c r="N25" s="34" t="n">
        <f aca="false">CHOOSE(M25,Quesería!$B$26,Quesería!$B$27,Quesería!$B$28,Quesería!$B$29)</f>
        <v>0.25</v>
      </c>
      <c r="O25" s="79" t="s">
        <v>1074</v>
      </c>
      <c r="P25" s="81" t="s">
        <v>1092</v>
      </c>
    </row>
    <row r="26" customFormat="false" ht="23.85" hidden="false" customHeight="false" outlineLevel="0" collapsed="false">
      <c r="A26" s="6" t="s">
        <v>1106</v>
      </c>
      <c r="B26" s="77" t="s">
        <v>1107</v>
      </c>
      <c r="C26" s="53" t="n">
        <v>1</v>
      </c>
      <c r="D26" s="9" t="s">
        <v>1089</v>
      </c>
      <c r="E26" s="74" t="n">
        <v>2</v>
      </c>
      <c r="F26" s="78" t="n">
        <v>1850</v>
      </c>
      <c r="G26" s="6" t="s">
        <v>1016</v>
      </c>
      <c r="H26" s="53" t="n">
        <v>2</v>
      </c>
      <c r="I26" s="53" t="n">
        <v>1</v>
      </c>
      <c r="J26" s="25" t="n">
        <f aca="false">E26*F26*$C$6/1000000*(1+(H26=1)*$C$9+(H26=2)*$C$11)*(1+I26*$C$10)</f>
        <v>15.513853395</v>
      </c>
      <c r="K26" s="46" t="n">
        <v>1</v>
      </c>
      <c r="L26" s="28" t="s">
        <v>1090</v>
      </c>
      <c r="M26" s="53" t="n">
        <v>3</v>
      </c>
      <c r="N26" s="34" t="n">
        <f aca="false">CHOOSE(M26,Quesería!$B$26,Quesería!$B$27,Quesería!$B$28,Quesería!$B$29)</f>
        <v>0.15</v>
      </c>
      <c r="O26" s="79" t="s">
        <v>1108</v>
      </c>
      <c r="P26" s="81" t="s">
        <v>1092</v>
      </c>
    </row>
    <row r="27" customFormat="false" ht="23.85" hidden="false" customHeight="false" outlineLevel="0" collapsed="false">
      <c r="A27" s="6" t="s">
        <v>1109</v>
      </c>
      <c r="B27" s="77" t="s">
        <v>1110</v>
      </c>
      <c r="C27" s="53" t="n">
        <v>1</v>
      </c>
      <c r="D27" s="9" t="s">
        <v>1089</v>
      </c>
      <c r="E27" s="74" t="n">
        <v>2</v>
      </c>
      <c r="F27" s="78" t="n">
        <v>6000</v>
      </c>
      <c r="G27" s="6" t="s">
        <v>1016</v>
      </c>
      <c r="H27" s="53" t="n">
        <v>1</v>
      </c>
      <c r="I27" s="53" t="n">
        <v>1</v>
      </c>
      <c r="J27" s="25" t="n">
        <f aca="false">E27*F27*$C$6/1000000*(1+(H27=1)*$C$9+(H27=2)*$C$11)*(1+I27*$C$10)</f>
        <v>56.8780524</v>
      </c>
      <c r="K27" s="46" t="n">
        <v>1</v>
      </c>
      <c r="L27" s="28" t="s">
        <v>1090</v>
      </c>
      <c r="M27" s="53" t="n">
        <v>4</v>
      </c>
      <c r="N27" s="34" t="n">
        <f aca="false">CHOOSE(M27,Quesería!$B$26,Quesería!$B$27,Quesería!$B$28,Quesería!$B$29)</f>
        <v>0.25</v>
      </c>
      <c r="O27" s="79" t="s">
        <v>1111</v>
      </c>
      <c r="P27" s="81" t="s">
        <v>1092</v>
      </c>
    </row>
    <row r="28" customFormat="false" ht="23.85" hidden="false" customHeight="false" outlineLevel="0" collapsed="false">
      <c r="A28" s="6" t="s">
        <v>1112</v>
      </c>
      <c r="B28" s="77" t="s">
        <v>1113</v>
      </c>
      <c r="C28" s="53" t="n">
        <v>1</v>
      </c>
      <c r="D28" s="9" t="s">
        <v>1089</v>
      </c>
      <c r="E28" s="74" t="n">
        <v>3</v>
      </c>
      <c r="F28" s="78" t="n">
        <v>1421</v>
      </c>
      <c r="G28" s="6" t="s">
        <v>1114</v>
      </c>
      <c r="H28" s="53" t="n">
        <v>2</v>
      </c>
      <c r="I28" s="53" t="n">
        <v>1</v>
      </c>
      <c r="J28" s="25" t="n">
        <f aca="false">E28*F28*$C$8/1000000*(1+(H28=1)*$C$9+(H28=2)*$C$11)*(1+I28*$C$10)</f>
        <v>23.7730515784965</v>
      </c>
      <c r="K28" s="46" t="n">
        <v>1</v>
      </c>
      <c r="L28" s="28" t="s">
        <v>1090</v>
      </c>
      <c r="M28" s="53" t="n">
        <v>2</v>
      </c>
      <c r="N28" s="34" t="n">
        <f aca="false">CHOOSE(M28,Quesería!$B$26,Quesería!$B$27,Quesería!$B$28,Quesería!$B$29)</f>
        <v>0.1</v>
      </c>
      <c r="O28" s="79" t="s">
        <v>1115</v>
      </c>
      <c r="P28" s="81" t="s">
        <v>1092</v>
      </c>
    </row>
    <row r="29" customFormat="false" ht="15" hidden="false" customHeight="false" outlineLevel="0" collapsed="false">
      <c r="A29" s="6" t="s">
        <v>1116</v>
      </c>
      <c r="B29" s="77" t="s">
        <v>1117</v>
      </c>
      <c r="C29" s="53" t="n">
        <v>1</v>
      </c>
      <c r="D29" s="9" t="s">
        <v>1089</v>
      </c>
      <c r="E29" s="74" t="n">
        <v>6</v>
      </c>
      <c r="F29" s="78" t="n">
        <v>300</v>
      </c>
      <c r="G29" s="6" t="s">
        <v>1016</v>
      </c>
      <c r="H29" s="53" t="n">
        <v>2</v>
      </c>
      <c r="I29" s="53" t="n">
        <v>1</v>
      </c>
      <c r="J29" s="25" t="n">
        <f aca="false">E29*F29*$C$6/1000000*(1+(H29=1)*$C$9+(H29=2)*$C$11)*(1+I29*$C$10)</f>
        <v>7.54728003</v>
      </c>
      <c r="K29" s="46" t="n">
        <v>1</v>
      </c>
      <c r="L29" s="28" t="s">
        <v>1090</v>
      </c>
      <c r="M29" s="53" t="n">
        <v>4</v>
      </c>
      <c r="N29" s="34" t="n">
        <f aca="false">CHOOSE(M29,Quesería!$B$26,Quesería!$B$27,Quesería!$B$28,Quesería!$B$29)</f>
        <v>0.25</v>
      </c>
      <c r="O29" s="79" t="s">
        <v>1074</v>
      </c>
      <c r="P29" s="81" t="s">
        <v>1092</v>
      </c>
    </row>
    <row r="30" customFormat="false" ht="15" hidden="false" customHeight="false" outlineLevel="0" collapsed="false">
      <c r="A30" s="6" t="s">
        <v>1118</v>
      </c>
      <c r="B30" s="77" t="s">
        <v>1119</v>
      </c>
      <c r="C30" s="53" t="n">
        <v>1</v>
      </c>
      <c r="D30" s="9" t="s">
        <v>1089</v>
      </c>
      <c r="E30" s="74" t="n">
        <v>1</v>
      </c>
      <c r="F30" s="78" t="n">
        <v>1500</v>
      </c>
      <c r="G30" s="6" t="s">
        <v>1016</v>
      </c>
      <c r="H30" s="53" t="n">
        <v>2</v>
      </c>
      <c r="I30" s="53" t="n">
        <v>1</v>
      </c>
      <c r="J30" s="25" t="n">
        <f aca="false">E30*F30*$C$6/1000000*(1+(H30=1)*$C$9+(H30=2)*$C$11)*(1+I30*$C$10)</f>
        <v>6.289400025</v>
      </c>
      <c r="K30" s="46" t="n">
        <v>1</v>
      </c>
      <c r="L30" s="28" t="s">
        <v>1090</v>
      </c>
      <c r="M30" s="53" t="n">
        <v>4</v>
      </c>
      <c r="N30" s="34" t="n">
        <f aca="false">CHOOSE(M30,Quesería!$B$26,Quesería!$B$27,Quesería!$B$28,Quesería!$B$29)</f>
        <v>0.25</v>
      </c>
      <c r="O30" s="79" t="s">
        <v>1074</v>
      </c>
      <c r="P30" s="81" t="s">
        <v>1092</v>
      </c>
    </row>
    <row r="31" customFormat="false" ht="15" hidden="false" customHeight="false" outlineLevel="0" collapsed="false">
      <c r="A31" s="6" t="s">
        <v>1120</v>
      </c>
      <c r="B31" s="77" t="s">
        <v>1121</v>
      </c>
      <c r="C31" s="53" t="n">
        <v>1</v>
      </c>
      <c r="D31" s="9" t="s">
        <v>1089</v>
      </c>
      <c r="E31" s="74" t="n">
        <v>1</v>
      </c>
      <c r="F31" s="78" t="n">
        <v>1200</v>
      </c>
      <c r="G31" s="6" t="s">
        <v>1016</v>
      </c>
      <c r="H31" s="53" t="n">
        <v>2</v>
      </c>
      <c r="I31" s="53" t="n">
        <v>0</v>
      </c>
      <c r="J31" s="25" t="n">
        <f aca="false">E31*F31*$C$6/1000000*(1+(H31=1)*$C$9+(H31=2)*$C$11)*(1+I31*$C$10)</f>
        <v>4.3752348</v>
      </c>
      <c r="K31" s="46" t="n">
        <v>1</v>
      </c>
      <c r="L31" s="28" t="s">
        <v>1090</v>
      </c>
      <c r="M31" s="53" t="n">
        <v>4</v>
      </c>
      <c r="N31" s="34" t="n">
        <f aca="false">CHOOSE(M31,Quesería!$B$26,Quesería!$B$27,Quesería!$B$28,Quesería!$B$29)</f>
        <v>0.25</v>
      </c>
      <c r="O31" s="79" t="s">
        <v>1074</v>
      </c>
      <c r="P31" s="81" t="s">
        <v>1092</v>
      </c>
    </row>
    <row r="32" customFormat="false" ht="15" hidden="false" customHeight="false" outlineLevel="0" collapsed="false">
      <c r="A32" s="6" t="s">
        <v>1122</v>
      </c>
      <c r="B32" s="77" t="s">
        <v>1123</v>
      </c>
      <c r="C32" s="53" t="n">
        <v>1</v>
      </c>
      <c r="D32" s="9" t="s">
        <v>1089</v>
      </c>
      <c r="E32" s="74" t="n">
        <v>1</v>
      </c>
      <c r="F32" s="78" t="n">
        <v>2199.99</v>
      </c>
      <c r="G32" s="6" t="s">
        <v>1016</v>
      </c>
      <c r="H32" s="53" t="n">
        <v>2</v>
      </c>
      <c r="I32" s="53" t="n">
        <v>1</v>
      </c>
      <c r="J32" s="25" t="n">
        <f aca="false">E32*F32*$C$6/1000000*(1+(H32=1)*$C$9+(H32=2)*$C$11)*(1+I32*$C$10)</f>
        <v>9.2244114406665</v>
      </c>
      <c r="K32" s="46" t="n">
        <v>1</v>
      </c>
      <c r="L32" s="28" t="s">
        <v>1124</v>
      </c>
      <c r="M32" s="53" t="n">
        <v>3</v>
      </c>
      <c r="N32" s="34" t="n">
        <f aca="false">CHOOSE(M32,Quesería!$B$26,Quesería!$B$27,Quesería!$B$28,Quesería!$B$29)</f>
        <v>0.15</v>
      </c>
      <c r="O32" s="79" t="s">
        <v>1125</v>
      </c>
      <c r="P32" s="81" t="s">
        <v>1092</v>
      </c>
    </row>
    <row r="33" customFormat="false" ht="15" hidden="false" customHeight="false" outlineLevel="0" collapsed="false">
      <c r="A33" s="6" t="s">
        <v>1126</v>
      </c>
      <c r="B33" s="77" t="s">
        <v>1127</v>
      </c>
      <c r="C33" s="53" t="n">
        <v>1</v>
      </c>
      <c r="D33" s="9" t="s">
        <v>1089</v>
      </c>
      <c r="E33" s="74" t="n">
        <v>3</v>
      </c>
      <c r="F33" s="78" t="n">
        <v>449.99</v>
      </c>
      <c r="G33" s="6" t="s">
        <v>1016</v>
      </c>
      <c r="H33" s="53" t="n">
        <v>2</v>
      </c>
      <c r="I33" s="53" t="n">
        <v>1</v>
      </c>
      <c r="J33" s="25" t="n">
        <f aca="false">E33*F33*$C$6/1000000*(1+(H33=1)*$C$9+(H33=2)*$C$11)*(1+I33*$C$10)</f>
        <v>5.6603342344995</v>
      </c>
      <c r="K33" s="46" t="n">
        <v>1</v>
      </c>
      <c r="L33" s="28" t="s">
        <v>1124</v>
      </c>
      <c r="M33" s="53" t="n">
        <v>3</v>
      </c>
      <c r="N33" s="34" t="n">
        <f aca="false">CHOOSE(M33,Quesería!$B$26,Quesería!$B$27,Quesería!$B$28,Quesería!$B$29)</f>
        <v>0.15</v>
      </c>
      <c r="O33" s="79" t="s">
        <v>1128</v>
      </c>
      <c r="P33" s="81" t="s">
        <v>1092</v>
      </c>
    </row>
    <row r="34" customFormat="false" ht="15" hidden="false" customHeight="false" outlineLevel="0" collapsed="false">
      <c r="A34" s="6" t="s">
        <v>1129</v>
      </c>
      <c r="B34" s="77" t="s">
        <v>1130</v>
      </c>
      <c r="C34" s="53" t="n">
        <v>1</v>
      </c>
      <c r="D34" s="9" t="s">
        <v>1089</v>
      </c>
      <c r="E34" s="74" t="n">
        <v>2</v>
      </c>
      <c r="F34" s="78" t="n">
        <v>600</v>
      </c>
      <c r="G34" s="6" t="s">
        <v>1016</v>
      </c>
      <c r="H34" s="53" t="n">
        <v>2</v>
      </c>
      <c r="I34" s="53" t="n">
        <v>1</v>
      </c>
      <c r="J34" s="25" t="n">
        <f aca="false">E34*F34*$C$6/1000000*(1+(H34=1)*$C$9+(H34=2)*$C$11)*(1+I34*$C$10)</f>
        <v>5.03152002</v>
      </c>
      <c r="K34" s="46" t="n">
        <v>1</v>
      </c>
      <c r="L34" s="28" t="s">
        <v>1124</v>
      </c>
      <c r="M34" s="53" t="n">
        <v>4</v>
      </c>
      <c r="N34" s="34" t="n">
        <f aca="false">CHOOSE(M34,Quesería!$B$26,Quesería!$B$27,Quesería!$B$28,Quesería!$B$29)</f>
        <v>0.25</v>
      </c>
      <c r="O34" s="79" t="s">
        <v>1074</v>
      </c>
      <c r="P34" s="81" t="s">
        <v>1092</v>
      </c>
    </row>
    <row r="35" customFormat="false" ht="15" hidden="false" customHeight="false" outlineLevel="0" collapsed="false">
      <c r="A35" s="6" t="s">
        <v>1131</v>
      </c>
      <c r="B35" s="77" t="s">
        <v>1132</v>
      </c>
      <c r="C35" s="53" t="n">
        <v>1</v>
      </c>
      <c r="D35" s="9" t="s">
        <v>1089</v>
      </c>
      <c r="E35" s="74" t="n">
        <v>2</v>
      </c>
      <c r="F35" s="78" t="n">
        <v>419.99</v>
      </c>
      <c r="G35" s="6" t="s">
        <v>1016</v>
      </c>
      <c r="H35" s="53" t="n">
        <v>2</v>
      </c>
      <c r="I35" s="53" t="n">
        <v>1</v>
      </c>
      <c r="J35" s="25" t="n">
        <f aca="false">E35*F35*$C$6/1000000*(1+(H35=1)*$C$9+(H35=2)*$C$11)*(1+I35*$C$10)</f>
        <v>3.521980155333</v>
      </c>
      <c r="K35" s="46" t="n">
        <v>1</v>
      </c>
      <c r="L35" s="28" t="s">
        <v>1124</v>
      </c>
      <c r="M35" s="53" t="n">
        <v>2</v>
      </c>
      <c r="N35" s="34" t="n">
        <f aca="false">CHOOSE(M35,Quesería!$B$26,Quesería!$B$27,Quesería!$B$28,Quesería!$B$29)</f>
        <v>0.1</v>
      </c>
      <c r="O35" s="79" t="s">
        <v>1133</v>
      </c>
      <c r="P35" s="81" t="s">
        <v>1092</v>
      </c>
    </row>
    <row r="36" customFormat="false" ht="15" hidden="false" customHeight="false" outlineLevel="0" collapsed="false">
      <c r="A36" s="6" t="s">
        <v>1134</v>
      </c>
      <c r="B36" s="77" t="s">
        <v>1135</v>
      </c>
      <c r="C36" s="53" t="n">
        <v>1</v>
      </c>
      <c r="D36" s="9" t="s">
        <v>1089</v>
      </c>
      <c r="E36" s="74" t="n">
        <v>2</v>
      </c>
      <c r="F36" s="78" t="n">
        <v>450</v>
      </c>
      <c r="G36" s="6" t="s">
        <v>1016</v>
      </c>
      <c r="H36" s="53" t="n">
        <v>2</v>
      </c>
      <c r="I36" s="53" t="n">
        <v>1</v>
      </c>
      <c r="J36" s="25" t="n">
        <f aca="false">E36*F36*$C$6/1000000*(1+(H36=1)*$C$9+(H36=2)*$C$11)*(1+I36*$C$10)</f>
        <v>3.773640015</v>
      </c>
      <c r="K36" s="46" t="n">
        <v>1</v>
      </c>
      <c r="L36" s="28" t="s">
        <v>1124</v>
      </c>
      <c r="M36" s="53" t="n">
        <v>4</v>
      </c>
      <c r="N36" s="34" t="n">
        <f aca="false">CHOOSE(M36,Quesería!$B$26,Quesería!$B$27,Quesería!$B$28,Quesería!$B$29)</f>
        <v>0.25</v>
      </c>
      <c r="O36" s="79" t="s">
        <v>1074</v>
      </c>
      <c r="P36" s="81" t="s">
        <v>1092</v>
      </c>
    </row>
    <row r="37" customFormat="false" ht="15" hidden="false" customHeight="false" outlineLevel="0" collapsed="false">
      <c r="A37" s="6" t="s">
        <v>1136</v>
      </c>
      <c r="B37" s="77" t="s">
        <v>1137</v>
      </c>
      <c r="C37" s="53" t="n">
        <v>1</v>
      </c>
      <c r="D37" s="9" t="s">
        <v>1089</v>
      </c>
      <c r="E37" s="74" t="n">
        <v>1</v>
      </c>
      <c r="F37" s="78" t="n">
        <v>400</v>
      </c>
      <c r="G37" s="6" t="s">
        <v>1016</v>
      </c>
      <c r="H37" s="53" t="n">
        <v>2</v>
      </c>
      <c r="I37" s="53" t="n">
        <v>1</v>
      </c>
      <c r="J37" s="25" t="n">
        <f aca="false">E37*F37*$C$6/1000000*(1+(H37=1)*$C$9+(H37=2)*$C$11)*(1+I37*$C$10)</f>
        <v>1.67717334</v>
      </c>
      <c r="K37" s="46" t="n">
        <v>1</v>
      </c>
      <c r="L37" s="28" t="s">
        <v>1124</v>
      </c>
      <c r="M37" s="53" t="n">
        <v>4</v>
      </c>
      <c r="N37" s="34" t="n">
        <f aca="false">CHOOSE(M37,Quesería!$B$26,Quesería!$B$27,Quesería!$B$28,Quesería!$B$29)</f>
        <v>0.25</v>
      </c>
      <c r="O37" s="79" t="s">
        <v>1074</v>
      </c>
      <c r="P37" s="81" t="s">
        <v>1092</v>
      </c>
    </row>
    <row r="38" customFormat="false" ht="23.85" hidden="false" customHeight="false" outlineLevel="0" collapsed="false">
      <c r="A38" s="6" t="s">
        <v>1138</v>
      </c>
      <c r="B38" s="77" t="s">
        <v>1139</v>
      </c>
      <c r="C38" s="53" t="n">
        <v>1</v>
      </c>
      <c r="D38" s="9" t="s">
        <v>1089</v>
      </c>
      <c r="E38" s="74" t="n">
        <v>1</v>
      </c>
      <c r="F38" s="74" t="n">
        <v>25000000</v>
      </c>
      <c r="G38" s="6" t="s">
        <v>1079</v>
      </c>
      <c r="H38" s="53" t="n">
        <v>0</v>
      </c>
      <c r="I38" s="53" t="n">
        <v>1</v>
      </c>
      <c r="J38" s="25" t="n">
        <f aca="false">E38*F38*1/1000000*(1+(H38=1)*$C$9+(H38=2)*$C$11)*(1+I38*$C$10)</f>
        <v>28.75</v>
      </c>
      <c r="K38" s="46" t="n">
        <v>1</v>
      </c>
      <c r="L38" s="28" t="s">
        <v>1090</v>
      </c>
      <c r="M38" s="53" t="n">
        <v>4</v>
      </c>
      <c r="N38" s="34" t="n">
        <f aca="false">CHOOSE(M38,Quesería!$B$26,Quesería!$B$27,Quesería!$B$28,Quesería!$B$29)</f>
        <v>0.25</v>
      </c>
      <c r="O38" s="79" t="s">
        <v>1140</v>
      </c>
      <c r="P38" s="81" t="s">
        <v>1092</v>
      </c>
    </row>
    <row r="39" customFormat="false" ht="15" hidden="false" customHeight="false" outlineLevel="0" collapsed="false">
      <c r="A39" s="6" t="s">
        <v>1141</v>
      </c>
      <c r="B39" s="77" t="s">
        <v>1088</v>
      </c>
      <c r="C39" s="53" t="n">
        <v>1</v>
      </c>
      <c r="D39" s="9" t="s">
        <v>1142</v>
      </c>
      <c r="E39" s="74" t="n">
        <v>1</v>
      </c>
      <c r="F39" s="78" t="n">
        <v>4816.4</v>
      </c>
      <c r="G39" s="6" t="s">
        <v>1016</v>
      </c>
      <c r="H39" s="53" t="n">
        <v>2</v>
      </c>
      <c r="I39" s="53" t="n">
        <v>1</v>
      </c>
      <c r="J39" s="25" t="n">
        <f aca="false">E39*F39*$C$6/1000000*(1+(H39=1)*$C$9+(H39=2)*$C$11)*(1+I39*$C$10)</f>
        <v>20.19484418694</v>
      </c>
      <c r="K39" s="46" t="n">
        <v>1</v>
      </c>
      <c r="L39" s="28" t="s">
        <v>1090</v>
      </c>
      <c r="M39" s="53" t="n">
        <v>2</v>
      </c>
      <c r="N39" s="34" t="n">
        <f aca="false">CHOOSE(M39,Quesería!$B$26,Quesería!$B$27,Quesería!$B$28,Quesería!$B$29)</f>
        <v>0.1</v>
      </c>
      <c r="O39" s="79" t="s">
        <v>1143</v>
      </c>
      <c r="P39" s="81" t="s">
        <v>1144</v>
      </c>
    </row>
    <row r="40" customFormat="false" ht="15" hidden="false" customHeight="false" outlineLevel="0" collapsed="false">
      <c r="A40" s="6" t="s">
        <v>1145</v>
      </c>
      <c r="B40" s="77" t="s">
        <v>1094</v>
      </c>
      <c r="C40" s="53" t="n">
        <v>1</v>
      </c>
      <c r="D40" s="9" t="s">
        <v>1142</v>
      </c>
      <c r="E40" s="74" t="n">
        <v>1</v>
      </c>
      <c r="F40" s="78" t="n">
        <v>1936.25</v>
      </c>
      <c r="G40" s="6" t="s">
        <v>1016</v>
      </c>
      <c r="H40" s="53" t="n">
        <v>2</v>
      </c>
      <c r="I40" s="53" t="n">
        <v>1</v>
      </c>
      <c r="J40" s="25" t="n">
        <f aca="false">E40*F40*$C$6/1000000*(1+(H40=1)*$C$9+(H40=2)*$C$11)*(1+I40*$C$10)</f>
        <v>8.1185671989375</v>
      </c>
      <c r="K40" s="46" t="n">
        <v>1</v>
      </c>
      <c r="L40" s="28" t="s">
        <v>1090</v>
      </c>
      <c r="M40" s="53" t="n">
        <v>2</v>
      </c>
      <c r="N40" s="34" t="n">
        <f aca="false">CHOOSE(M40,Quesería!$B$26,Quesería!$B$27,Quesería!$B$28,Quesería!$B$29)</f>
        <v>0.1</v>
      </c>
      <c r="O40" s="79" t="s">
        <v>1143</v>
      </c>
      <c r="P40" s="81" t="s">
        <v>1144</v>
      </c>
    </row>
    <row r="41" customFormat="false" ht="15" hidden="false" customHeight="false" outlineLevel="0" collapsed="false">
      <c r="A41" s="6" t="s">
        <v>1146</v>
      </c>
      <c r="B41" s="77" t="s">
        <v>1147</v>
      </c>
      <c r="C41" s="53" t="n">
        <v>1</v>
      </c>
      <c r="D41" s="9" t="s">
        <v>1142</v>
      </c>
      <c r="E41" s="74" t="n">
        <v>1</v>
      </c>
      <c r="F41" s="78" t="n">
        <v>436.59</v>
      </c>
      <c r="G41" s="6" t="s">
        <v>1016</v>
      </c>
      <c r="H41" s="53" t="n">
        <v>2</v>
      </c>
      <c r="I41" s="53" t="n">
        <v>1</v>
      </c>
      <c r="J41" s="25" t="n">
        <f aca="false">E41*F41*$C$6/1000000*(1+(H41=1)*$C$9+(H41=2)*$C$11)*(1+I41*$C$10)</f>
        <v>1.8305927712765</v>
      </c>
      <c r="K41" s="46" t="n">
        <v>1</v>
      </c>
      <c r="L41" s="28" t="s">
        <v>1090</v>
      </c>
      <c r="M41" s="53" t="n">
        <v>2</v>
      </c>
      <c r="N41" s="34" t="n">
        <f aca="false">CHOOSE(M41,Quesería!$B$26,Quesería!$B$27,Quesería!$B$28,Quesería!$B$29)</f>
        <v>0.1</v>
      </c>
      <c r="O41" s="79" t="s">
        <v>1143</v>
      </c>
      <c r="P41" s="81" t="s">
        <v>1144</v>
      </c>
    </row>
    <row r="42" customFormat="false" ht="15" hidden="false" customHeight="false" outlineLevel="0" collapsed="false">
      <c r="A42" s="6" t="s">
        <v>1148</v>
      </c>
      <c r="B42" s="77" t="s">
        <v>1149</v>
      </c>
      <c r="C42" s="53" t="n">
        <v>1</v>
      </c>
      <c r="D42" s="9" t="s">
        <v>1142</v>
      </c>
      <c r="E42" s="74" t="n">
        <v>1</v>
      </c>
      <c r="F42" s="78" t="n">
        <v>480</v>
      </c>
      <c r="G42" s="6" t="s">
        <v>1016</v>
      </c>
      <c r="H42" s="53" t="n">
        <v>2</v>
      </c>
      <c r="I42" s="53" t="n">
        <v>1</v>
      </c>
      <c r="J42" s="25" t="n">
        <f aca="false">E42*F42*$C$6/1000000*(1+(H42=1)*$C$9+(H42=2)*$C$11)*(1+I42*$C$10)</f>
        <v>2.012608008</v>
      </c>
      <c r="K42" s="46" t="n">
        <v>1</v>
      </c>
      <c r="L42" s="28" t="s">
        <v>1090</v>
      </c>
      <c r="M42" s="53" t="n">
        <v>3</v>
      </c>
      <c r="N42" s="34" t="n">
        <f aca="false">CHOOSE(M42,Quesería!$B$26,Quesería!$B$27,Quesería!$B$28,Quesería!$B$29)</f>
        <v>0.15</v>
      </c>
      <c r="O42" s="79" t="s">
        <v>1150</v>
      </c>
      <c r="P42" s="81" t="s">
        <v>1144</v>
      </c>
    </row>
    <row r="43" customFormat="false" ht="15" hidden="false" customHeight="false" outlineLevel="0" collapsed="false">
      <c r="A43" s="6" t="s">
        <v>1151</v>
      </c>
      <c r="B43" s="77" t="s">
        <v>1152</v>
      </c>
      <c r="C43" s="53" t="n">
        <v>1</v>
      </c>
      <c r="D43" s="9" t="s">
        <v>1142</v>
      </c>
      <c r="E43" s="74" t="n">
        <v>1</v>
      </c>
      <c r="F43" s="78" t="n">
        <v>1218.22</v>
      </c>
      <c r="G43" s="6" t="s">
        <v>1016</v>
      </c>
      <c r="H43" s="53" t="n">
        <v>2</v>
      </c>
      <c r="I43" s="53" t="n">
        <v>1</v>
      </c>
      <c r="J43" s="25" t="n">
        <f aca="false">E43*F43*$C$6/1000000*(1+(H43=1)*$C$9+(H43=2)*$C$11)*(1+I43*$C$10)</f>
        <v>5.107915265637</v>
      </c>
      <c r="K43" s="46" t="n">
        <v>1</v>
      </c>
      <c r="L43" s="28" t="s">
        <v>1090</v>
      </c>
      <c r="M43" s="53" t="n">
        <v>2</v>
      </c>
      <c r="N43" s="34" t="n">
        <f aca="false">CHOOSE(M43,Quesería!$B$26,Quesería!$B$27,Quesería!$B$28,Quesería!$B$29)</f>
        <v>0.1</v>
      </c>
      <c r="O43" s="79" t="s">
        <v>1153</v>
      </c>
      <c r="P43" s="81" t="s">
        <v>1144</v>
      </c>
    </row>
    <row r="44" customFormat="false" ht="15" hidden="false" customHeight="false" outlineLevel="0" collapsed="false">
      <c r="A44" s="6" t="s">
        <v>1154</v>
      </c>
      <c r="B44" s="77" t="s">
        <v>1155</v>
      </c>
      <c r="C44" s="53" t="n">
        <v>1</v>
      </c>
      <c r="D44" s="9" t="s">
        <v>1142</v>
      </c>
      <c r="E44" s="74" t="n">
        <v>1</v>
      </c>
      <c r="F44" s="78" t="n">
        <v>2500</v>
      </c>
      <c r="G44" s="6" t="s">
        <v>1016</v>
      </c>
      <c r="H44" s="53" t="n">
        <v>2</v>
      </c>
      <c r="I44" s="53" t="n">
        <v>1</v>
      </c>
      <c r="J44" s="25" t="n">
        <f aca="false">E44*F44*$C$6/1000000*(1+(H44=1)*$C$9+(H44=2)*$C$11)*(1+I44*$C$10)</f>
        <v>10.482333375</v>
      </c>
      <c r="K44" s="46" t="n">
        <v>1</v>
      </c>
      <c r="L44" s="28" t="s">
        <v>1090</v>
      </c>
      <c r="M44" s="53" t="n">
        <v>4</v>
      </c>
      <c r="N44" s="34" t="n">
        <f aca="false">CHOOSE(M44,Quesería!$B$26,Quesería!$B$27,Quesería!$B$28,Quesería!$B$29)</f>
        <v>0.25</v>
      </c>
      <c r="O44" s="79" t="s">
        <v>1074</v>
      </c>
      <c r="P44" s="81" t="s">
        <v>1144</v>
      </c>
    </row>
    <row r="45" customFormat="false" ht="15" hidden="false" customHeight="false" outlineLevel="0" collapsed="false">
      <c r="A45" s="6" t="s">
        <v>1156</v>
      </c>
      <c r="B45" s="77" t="s">
        <v>1157</v>
      </c>
      <c r="C45" s="53" t="n">
        <v>1</v>
      </c>
      <c r="D45" s="9" t="s">
        <v>1158</v>
      </c>
      <c r="E45" s="74" t="n">
        <v>1</v>
      </c>
      <c r="F45" s="80" t="n">
        <f aca="false">Cotizaciones!$B$13</f>
        <v>7000</v>
      </c>
      <c r="G45" s="6" t="s">
        <v>1016</v>
      </c>
      <c r="H45" s="53" t="n">
        <v>1</v>
      </c>
      <c r="I45" s="53" t="n">
        <v>1</v>
      </c>
      <c r="J45" s="25" t="n">
        <f aca="false">E45*F45*$C$6/1000000*(1+(H45=1)*$C$9+(H45=2)*$C$11)*(1+I45*$C$10)</f>
        <v>33.1788639</v>
      </c>
      <c r="K45" s="46" t="n">
        <v>1</v>
      </c>
      <c r="L45" s="28" t="s">
        <v>1090</v>
      </c>
      <c r="M45" s="53" t="n">
        <v>2</v>
      </c>
      <c r="N45" s="34" t="n">
        <f aca="false">CHOOSE(M45,Quesería!$B$26,Quesería!$B$27,Quesería!$B$28,Quesería!$B$29)</f>
        <v>0.1</v>
      </c>
      <c r="O45" s="79" t="s">
        <v>945</v>
      </c>
      <c r="P45" s="81" t="s">
        <v>1156</v>
      </c>
    </row>
    <row r="46" customFormat="false" ht="15" hidden="false" customHeight="false" outlineLevel="0" collapsed="false">
      <c r="A46" s="6" t="s">
        <v>1159</v>
      </c>
      <c r="B46" s="77" t="s">
        <v>1160</v>
      </c>
      <c r="C46" s="53" t="n">
        <v>1</v>
      </c>
      <c r="D46" s="9" t="s">
        <v>1161</v>
      </c>
      <c r="E46" s="74" t="n">
        <v>1</v>
      </c>
      <c r="F46" s="78" t="n">
        <v>28000</v>
      </c>
      <c r="G46" s="6" t="s">
        <v>1016</v>
      </c>
      <c r="H46" s="53" t="n">
        <v>2</v>
      </c>
      <c r="I46" s="53" t="n">
        <v>1</v>
      </c>
      <c r="J46" s="25" t="n">
        <f aca="false">E46*F46*$C$6/1000000*(1+(H46=1)*$C$9+(H46=2)*$C$11)*(1+I46*$C$10)</f>
        <v>117.4021338</v>
      </c>
      <c r="K46" s="34" t="n">
        <f aca="false">Quesería!$B$16</f>
        <v>0.36</v>
      </c>
      <c r="L46" s="28" t="s">
        <v>1090</v>
      </c>
      <c r="M46" s="53" t="n">
        <v>4</v>
      </c>
      <c r="N46" s="34" t="n">
        <f aca="false">CHOOSE(M46,Quesería!$B$26,Quesería!$B$27,Quesería!$B$28,Quesería!$B$29)</f>
        <v>0.25</v>
      </c>
      <c r="O46" s="79" t="s">
        <v>1162</v>
      </c>
      <c r="P46" s="81" t="s">
        <v>1163</v>
      </c>
    </row>
    <row r="47" customFormat="false" ht="15" hidden="false" customHeight="false" outlineLevel="0" collapsed="false">
      <c r="A47" s="6" t="s">
        <v>1164</v>
      </c>
      <c r="B47" s="77" t="s">
        <v>1165</v>
      </c>
      <c r="C47" s="53" t="n">
        <v>1</v>
      </c>
      <c r="D47" s="9" t="s">
        <v>1161</v>
      </c>
      <c r="E47" s="74" t="n">
        <v>1</v>
      </c>
      <c r="F47" s="78" t="n">
        <v>3000</v>
      </c>
      <c r="G47" s="6" t="s">
        <v>1016</v>
      </c>
      <c r="H47" s="53" t="n">
        <v>2</v>
      </c>
      <c r="I47" s="53" t="n">
        <v>1</v>
      </c>
      <c r="J47" s="25" t="n">
        <f aca="false">E47*F47*$C$6/1000000*(1+(H47=1)*$C$9+(H47=2)*$C$11)*(1+I47*$C$10)</f>
        <v>12.57880005</v>
      </c>
      <c r="K47" s="34" t="n">
        <f aca="false">Quesería!$B$16</f>
        <v>0.36</v>
      </c>
      <c r="L47" s="28" t="s">
        <v>1090</v>
      </c>
      <c r="M47" s="53" t="n">
        <v>4</v>
      </c>
      <c r="N47" s="34" t="n">
        <f aca="false">CHOOSE(M47,Quesería!$B$26,Quesería!$B$27,Quesería!$B$28,Quesería!$B$29)</f>
        <v>0.25</v>
      </c>
      <c r="O47" s="79" t="s">
        <v>1074</v>
      </c>
      <c r="P47" s="81" t="s">
        <v>1163</v>
      </c>
    </row>
    <row r="48" customFormat="false" ht="15" hidden="false" customHeight="false" outlineLevel="0" collapsed="false">
      <c r="A48" s="6" t="s">
        <v>1166</v>
      </c>
      <c r="B48" s="77" t="s">
        <v>1167</v>
      </c>
      <c r="C48" s="53" t="n">
        <v>1</v>
      </c>
      <c r="D48" s="9" t="s">
        <v>1168</v>
      </c>
      <c r="E48" s="74" t="n">
        <v>1</v>
      </c>
      <c r="F48" s="78" t="n">
        <v>1200</v>
      </c>
      <c r="G48" s="6" t="s">
        <v>1016</v>
      </c>
      <c r="H48" s="53" t="n">
        <v>0</v>
      </c>
      <c r="I48" s="53" t="n">
        <v>0</v>
      </c>
      <c r="J48" s="25" t="n">
        <f aca="false">E48*F48*$C$6/1000000*(1+(H48=1)*$C$9+(H48=2)*$C$11)*(1+I48*$C$10)</f>
        <v>3.804552</v>
      </c>
      <c r="K48" s="34" t="n">
        <f aca="false">Quesería!$B$16</f>
        <v>0.36</v>
      </c>
      <c r="L48" s="28" t="s">
        <v>1169</v>
      </c>
      <c r="M48" s="53" t="n">
        <v>2</v>
      </c>
      <c r="N48" s="34" t="n">
        <f aca="false">CHOOSE(M48,Quesería!$B$26,Quesería!$B$27,Quesería!$B$28,Quesería!$B$29)</f>
        <v>0.1</v>
      </c>
      <c r="O48" s="79" t="s">
        <v>1170</v>
      </c>
      <c r="P48" s="81" t="s">
        <v>1171</v>
      </c>
    </row>
    <row r="49" customFormat="false" ht="15" hidden="false" customHeight="false" outlineLevel="0" collapsed="false">
      <c r="A49" s="6" t="s">
        <v>1172</v>
      </c>
      <c r="B49" s="77" t="s">
        <v>1173</v>
      </c>
      <c r="C49" s="53" t="n">
        <v>1</v>
      </c>
      <c r="D49" s="9" t="s">
        <v>1168</v>
      </c>
      <c r="E49" s="74" t="n">
        <v>1</v>
      </c>
      <c r="F49" s="78" t="n">
        <v>13500</v>
      </c>
      <c r="G49" s="6" t="s">
        <v>1016</v>
      </c>
      <c r="H49" s="53" t="n">
        <v>0</v>
      </c>
      <c r="I49" s="53" t="n">
        <v>0</v>
      </c>
      <c r="J49" s="25" t="n">
        <f aca="false">E49*F49*$C$6/1000000*(1+(H49=1)*$C$9+(H49=2)*$C$11)*(1+I49*$C$10)</f>
        <v>42.80121</v>
      </c>
      <c r="K49" s="34" t="n">
        <f aca="false">Quesería!$B$16</f>
        <v>0.36</v>
      </c>
      <c r="L49" s="28" t="s">
        <v>1169</v>
      </c>
      <c r="M49" s="53" t="n">
        <v>2</v>
      </c>
      <c r="N49" s="34" t="n">
        <f aca="false">CHOOSE(M49,Quesería!$B$26,Quesería!$B$27,Quesería!$B$28,Quesería!$B$29)</f>
        <v>0.1</v>
      </c>
      <c r="O49" s="79" t="s">
        <v>1170</v>
      </c>
      <c r="P49" s="81" t="s">
        <v>1171</v>
      </c>
    </row>
    <row r="50" customFormat="false" ht="15" hidden="false" customHeight="false" outlineLevel="0" collapsed="false">
      <c r="A50" s="6" t="s">
        <v>1174</v>
      </c>
      <c r="B50" s="77" t="s">
        <v>1175</v>
      </c>
      <c r="C50" s="53" t="n">
        <v>1</v>
      </c>
      <c r="D50" s="9" t="s">
        <v>1168</v>
      </c>
      <c r="E50" s="74" t="n">
        <v>1</v>
      </c>
      <c r="F50" s="78" t="n">
        <v>3500</v>
      </c>
      <c r="G50" s="6" t="s">
        <v>1016</v>
      </c>
      <c r="H50" s="53" t="n">
        <v>0</v>
      </c>
      <c r="I50" s="53" t="n">
        <v>0</v>
      </c>
      <c r="J50" s="25" t="n">
        <f aca="false">E50*F50*$C$6/1000000*(1+(H50=1)*$C$9+(H50=2)*$C$11)*(1+I50*$C$10)</f>
        <v>11.09661</v>
      </c>
      <c r="K50" s="34" t="n">
        <f aca="false">Quesería!$B$16</f>
        <v>0.36</v>
      </c>
      <c r="L50" s="28" t="s">
        <v>1169</v>
      </c>
      <c r="M50" s="53" t="n">
        <v>2</v>
      </c>
      <c r="N50" s="34" t="n">
        <f aca="false">CHOOSE(M50,Quesería!$B$26,Quesería!$B$27,Quesería!$B$28,Quesería!$B$29)</f>
        <v>0.1</v>
      </c>
      <c r="O50" s="79" t="s">
        <v>1170</v>
      </c>
      <c r="P50" s="81" t="s">
        <v>1171</v>
      </c>
    </row>
    <row r="51" customFormat="false" ht="23.85" hidden="false" customHeight="false" outlineLevel="0" collapsed="false">
      <c r="A51" s="6" t="s">
        <v>1176</v>
      </c>
      <c r="B51" s="77" t="s">
        <v>1177</v>
      </c>
      <c r="C51" s="53" t="n">
        <v>1</v>
      </c>
      <c r="D51" s="9" t="s">
        <v>1168</v>
      </c>
      <c r="E51" s="74" t="n">
        <v>1</v>
      </c>
      <c r="F51" s="78" t="n">
        <v>2500</v>
      </c>
      <c r="G51" s="6" t="s">
        <v>1016</v>
      </c>
      <c r="H51" s="53" t="n">
        <v>2</v>
      </c>
      <c r="I51" s="53" t="n">
        <v>1</v>
      </c>
      <c r="J51" s="25" t="n">
        <f aca="false">E51*F51*$C$6/1000000*(1+(H51=1)*$C$9+(H51=2)*$C$11)*(1+I51*$C$10)</f>
        <v>10.482333375</v>
      </c>
      <c r="K51" s="34" t="n">
        <f aca="false">Quesería!$B$16</f>
        <v>0.36</v>
      </c>
      <c r="L51" s="28" t="s">
        <v>1178</v>
      </c>
      <c r="M51" s="53" t="n">
        <v>3</v>
      </c>
      <c r="N51" s="34" t="n">
        <f aca="false">CHOOSE(M51,Quesería!$B$26,Quesería!$B$27,Quesería!$B$28,Quesería!$B$29)</f>
        <v>0.15</v>
      </c>
      <c r="O51" s="79" t="s">
        <v>1179</v>
      </c>
      <c r="P51" s="81" t="s">
        <v>1171</v>
      </c>
    </row>
    <row r="52" customFormat="false" ht="15" hidden="false" customHeight="false" outlineLevel="0" collapsed="false">
      <c r="A52" s="6" t="s">
        <v>1180</v>
      </c>
      <c r="B52" s="77" t="s">
        <v>1181</v>
      </c>
      <c r="C52" s="53" t="n">
        <v>1</v>
      </c>
      <c r="D52" s="9" t="s">
        <v>1168</v>
      </c>
      <c r="E52" s="74" t="n">
        <v>2</v>
      </c>
      <c r="F52" s="78" t="n">
        <v>1200</v>
      </c>
      <c r="G52" s="6" t="s">
        <v>1016</v>
      </c>
      <c r="H52" s="53" t="n">
        <v>2</v>
      </c>
      <c r="I52" s="53" t="n">
        <v>1</v>
      </c>
      <c r="J52" s="25" t="n">
        <f aca="false">E52*F52*$C$6/1000000*(1+(H52=1)*$C$9+(H52=2)*$C$11)*(1+I52*$C$10)</f>
        <v>10.06304004</v>
      </c>
      <c r="K52" s="34" t="n">
        <f aca="false">Quesería!$B$16</f>
        <v>0.36</v>
      </c>
      <c r="L52" s="28" t="s">
        <v>1178</v>
      </c>
      <c r="M52" s="53" t="n">
        <v>4</v>
      </c>
      <c r="N52" s="34" t="n">
        <f aca="false">CHOOSE(M52,Quesería!$B$26,Quesería!$B$27,Quesería!$B$28,Quesería!$B$29)</f>
        <v>0.25</v>
      </c>
      <c r="O52" s="79" t="s">
        <v>1074</v>
      </c>
      <c r="P52" s="81" t="s">
        <v>1171</v>
      </c>
    </row>
    <row r="53" customFormat="false" ht="23.85" hidden="false" customHeight="false" outlineLevel="0" collapsed="false">
      <c r="A53" s="6" t="s">
        <v>1182</v>
      </c>
      <c r="B53" s="77" t="s">
        <v>1183</v>
      </c>
      <c r="C53" s="53" t="n">
        <v>1</v>
      </c>
      <c r="D53" s="9" t="s">
        <v>1168</v>
      </c>
      <c r="E53" s="74" t="n">
        <v>1</v>
      </c>
      <c r="F53" s="78" t="n">
        <v>1139.3</v>
      </c>
      <c r="G53" s="6" t="s">
        <v>1021</v>
      </c>
      <c r="H53" s="53" t="n">
        <v>1</v>
      </c>
      <c r="I53" s="53" t="n">
        <v>0</v>
      </c>
      <c r="J53" s="25" t="n">
        <f aca="false">E53*F53*$C$7/1000000*(1+(H53=1)*$C$9+(H53=2)*$C$11)*(1+I53*$C$10)</f>
        <v>5.287343191</v>
      </c>
      <c r="K53" s="46" t="n">
        <v>1</v>
      </c>
      <c r="L53" s="28" t="s">
        <v>1184</v>
      </c>
      <c r="M53" s="53" t="n">
        <v>2</v>
      </c>
      <c r="N53" s="34" t="n">
        <f aca="false">CHOOSE(M53,Quesería!$B$26,Quesería!$B$27,Quesería!$B$28,Quesería!$B$29)</f>
        <v>0.1</v>
      </c>
      <c r="O53" s="79" t="s">
        <v>1185</v>
      </c>
      <c r="P53" s="81" t="s">
        <v>1171</v>
      </c>
    </row>
    <row r="54" customFormat="false" ht="23.85" hidden="false" customHeight="false" outlineLevel="0" collapsed="false">
      <c r="A54" s="6" t="s">
        <v>1186</v>
      </c>
      <c r="B54" s="77" t="s">
        <v>1187</v>
      </c>
      <c r="C54" s="53" t="n">
        <v>1</v>
      </c>
      <c r="D54" s="9" t="s">
        <v>1168</v>
      </c>
      <c r="E54" s="74" t="n">
        <v>1</v>
      </c>
      <c r="F54" s="78" t="n">
        <v>3690.64</v>
      </c>
      <c r="G54" s="6" t="s">
        <v>1016</v>
      </c>
      <c r="H54" s="53" t="n">
        <v>2</v>
      </c>
      <c r="I54" s="53" t="n">
        <v>1</v>
      </c>
      <c r="J54" s="25" t="n">
        <f aca="false">E54*F54*$C$6/1000000*(1+(H54=1)*$C$9+(H54=2)*$C$11)*(1+I54*$C$10)</f>
        <v>15.474607538844</v>
      </c>
      <c r="K54" s="34" t="n">
        <f aca="false">Quesería!$B$16</f>
        <v>0.36</v>
      </c>
      <c r="L54" s="28" t="s">
        <v>1178</v>
      </c>
      <c r="M54" s="53" t="n">
        <v>2</v>
      </c>
      <c r="N54" s="34" t="n">
        <f aca="false">CHOOSE(M54,Quesería!$B$26,Quesería!$B$27,Quesería!$B$28,Quesería!$B$29)</f>
        <v>0.1</v>
      </c>
      <c r="O54" s="79" t="s">
        <v>1188</v>
      </c>
      <c r="P54" s="81" t="s">
        <v>1171</v>
      </c>
    </row>
    <row r="55" customFormat="false" ht="15" hidden="false" customHeight="false" outlineLevel="0" collapsed="false">
      <c r="A55" s="6" t="s">
        <v>1189</v>
      </c>
      <c r="B55" s="77" t="s">
        <v>1190</v>
      </c>
      <c r="C55" s="53" t="n">
        <v>1</v>
      </c>
      <c r="D55" s="9" t="s">
        <v>1168</v>
      </c>
      <c r="E55" s="74" t="n">
        <v>2</v>
      </c>
      <c r="F55" s="78" t="n">
        <v>2500</v>
      </c>
      <c r="G55" s="6" t="s">
        <v>1016</v>
      </c>
      <c r="H55" s="53" t="n">
        <v>2</v>
      </c>
      <c r="I55" s="53" t="n">
        <v>1</v>
      </c>
      <c r="J55" s="25" t="n">
        <f aca="false">E55*F55*$C$6/1000000*(1+(H55=1)*$C$9+(H55=2)*$C$11)*(1+I55*$C$10)</f>
        <v>20.96466675</v>
      </c>
      <c r="K55" s="46" t="n">
        <v>1</v>
      </c>
      <c r="L55" s="28" t="s">
        <v>1169</v>
      </c>
      <c r="M55" s="53" t="n">
        <v>4</v>
      </c>
      <c r="N55" s="34" t="n">
        <f aca="false">CHOOSE(M55,Quesería!$B$26,Quesería!$B$27,Quesería!$B$28,Quesería!$B$29)</f>
        <v>0.25</v>
      </c>
      <c r="O55" s="79" t="s">
        <v>1074</v>
      </c>
      <c r="P55" s="81" t="s">
        <v>1171</v>
      </c>
    </row>
    <row r="56" customFormat="false" ht="15" hidden="false" customHeight="false" outlineLevel="0" collapsed="false">
      <c r="A56" s="6" t="s">
        <v>1191</v>
      </c>
      <c r="B56" s="77" t="s">
        <v>1192</v>
      </c>
      <c r="C56" s="53" t="n">
        <v>1</v>
      </c>
      <c r="D56" s="9" t="s">
        <v>1168</v>
      </c>
      <c r="E56" s="74" t="n">
        <v>1</v>
      </c>
      <c r="F56" s="78" t="n">
        <v>800</v>
      </c>
      <c r="G56" s="6" t="s">
        <v>1016</v>
      </c>
      <c r="H56" s="53" t="n">
        <v>2</v>
      </c>
      <c r="I56" s="53" t="n">
        <v>1</v>
      </c>
      <c r="J56" s="25" t="n">
        <f aca="false">E56*F56*$C$6/1000000*(1+(H56=1)*$C$9+(H56=2)*$C$11)*(1+I56*$C$10)</f>
        <v>3.35434668</v>
      </c>
      <c r="K56" s="34" t="n">
        <f aca="false">Quesería!$B$16</f>
        <v>0.36</v>
      </c>
      <c r="L56" s="28" t="s">
        <v>1178</v>
      </c>
      <c r="M56" s="53" t="n">
        <v>4</v>
      </c>
      <c r="N56" s="34" t="n">
        <f aca="false">CHOOSE(M56,Quesería!$B$26,Quesería!$B$27,Quesería!$B$28,Quesería!$B$29)</f>
        <v>0.25</v>
      </c>
      <c r="O56" s="79" t="s">
        <v>1074</v>
      </c>
      <c r="P56" s="81" t="s">
        <v>1171</v>
      </c>
    </row>
    <row r="57" customFormat="false" ht="35.05" hidden="false" customHeight="false" outlineLevel="0" collapsed="false">
      <c r="A57" s="6" t="s">
        <v>1193</v>
      </c>
      <c r="B57" s="77" t="s">
        <v>1194</v>
      </c>
      <c r="C57" s="53" t="n">
        <v>1</v>
      </c>
      <c r="D57" s="9" t="s">
        <v>1168</v>
      </c>
      <c r="E57" s="74" t="n">
        <v>6</v>
      </c>
      <c r="F57" s="78" t="n">
        <v>180</v>
      </c>
      <c r="G57" s="6" t="s">
        <v>1016</v>
      </c>
      <c r="H57" s="53" t="n">
        <v>2</v>
      </c>
      <c r="I57" s="53" t="n">
        <v>1</v>
      </c>
      <c r="J57" s="25" t="n">
        <f aca="false">E57*F57*$C$6/1000000*(1+(H57=1)*$C$9+(H57=2)*$C$11)*(1+I57*$C$10)</f>
        <v>4.528368018</v>
      </c>
      <c r="K57" s="46" t="n">
        <v>1</v>
      </c>
      <c r="L57" s="28" t="s">
        <v>1184</v>
      </c>
      <c r="M57" s="53" t="n">
        <v>4</v>
      </c>
      <c r="N57" s="34" t="n">
        <f aca="false">CHOOSE(M57,Quesería!$B$26,Quesería!$B$27,Quesería!$B$28,Quesería!$B$29)</f>
        <v>0.25</v>
      </c>
      <c r="O57" s="79" t="s">
        <v>1074</v>
      </c>
      <c r="P57" s="81" t="s">
        <v>1171</v>
      </c>
    </row>
    <row r="58" customFormat="false" ht="23.85" hidden="false" customHeight="false" outlineLevel="0" collapsed="false">
      <c r="A58" s="6" t="s">
        <v>1195</v>
      </c>
      <c r="B58" s="77" t="s">
        <v>1196</v>
      </c>
      <c r="C58" s="53" t="n">
        <v>1</v>
      </c>
      <c r="D58" s="9" t="s">
        <v>1168</v>
      </c>
      <c r="E58" s="74" t="n">
        <v>2</v>
      </c>
      <c r="F58" s="78" t="n">
        <v>350</v>
      </c>
      <c r="G58" s="6" t="s">
        <v>1016</v>
      </c>
      <c r="H58" s="53" t="n">
        <v>2</v>
      </c>
      <c r="I58" s="53" t="n">
        <v>1</v>
      </c>
      <c r="J58" s="25" t="n">
        <f aca="false">E58*F58*$C$6/1000000*(1+(H58=1)*$C$9+(H58=2)*$C$11)*(1+I58*$C$10)</f>
        <v>2.935053345</v>
      </c>
      <c r="K58" s="46" t="n">
        <v>1</v>
      </c>
      <c r="L58" s="28" t="s">
        <v>1184</v>
      </c>
      <c r="M58" s="53" t="n">
        <v>3</v>
      </c>
      <c r="N58" s="34" t="n">
        <f aca="false">CHOOSE(M58,Quesería!$B$26,Quesería!$B$27,Quesería!$B$28,Quesería!$B$29)</f>
        <v>0.15</v>
      </c>
      <c r="O58" s="79" t="s">
        <v>1197</v>
      </c>
      <c r="P58" s="81" t="s">
        <v>1171</v>
      </c>
    </row>
    <row r="59" customFormat="false" ht="23.85" hidden="false" customHeight="false" outlineLevel="0" collapsed="false">
      <c r="A59" s="6" t="s">
        <v>1198</v>
      </c>
      <c r="B59" s="77" t="s">
        <v>1199</v>
      </c>
      <c r="C59" s="53" t="n">
        <v>2</v>
      </c>
      <c r="D59" s="9" t="s">
        <v>1200</v>
      </c>
      <c r="E59" s="74" t="n">
        <v>1</v>
      </c>
      <c r="F59" s="75" t="n">
        <f aca="false">Cotizaciones!$F$14*1000000</f>
        <v>322600000</v>
      </c>
      <c r="G59" s="6" t="s">
        <v>1079</v>
      </c>
      <c r="H59" s="53" t="n">
        <v>0</v>
      </c>
      <c r="I59" s="53" t="n">
        <v>0</v>
      </c>
      <c r="J59" s="25" t="n">
        <f aca="false">E59*F59/1000000</f>
        <v>322.6</v>
      </c>
      <c r="K59" s="46" t="n">
        <v>1</v>
      </c>
      <c r="L59" s="28" t="s">
        <v>1090</v>
      </c>
      <c r="M59" s="53" t="n">
        <v>3</v>
      </c>
      <c r="N59" s="34" t="n">
        <f aca="false">CHOOSE(M59,Quesería!$B$26,Quesería!$B$27,Quesería!$B$28,Quesería!$B$29)</f>
        <v>0.15</v>
      </c>
      <c r="O59" s="79" t="s">
        <v>945</v>
      </c>
      <c r="P59" s="81" t="s">
        <v>1201</v>
      </c>
    </row>
    <row r="60" customFormat="false" ht="15" hidden="false" customHeight="false" outlineLevel="0" collapsed="false">
      <c r="A60" s="6" t="s">
        <v>1202</v>
      </c>
      <c r="B60" s="77" t="s">
        <v>348</v>
      </c>
      <c r="C60" s="53" t="n">
        <v>2</v>
      </c>
      <c r="D60" s="9" t="s">
        <v>1203</v>
      </c>
      <c r="E60" s="74" t="n">
        <v>1</v>
      </c>
      <c r="F60" s="75" t="n">
        <f aca="false">Cotizaciones!$F$15*1000000</f>
        <v>106666666.666667</v>
      </c>
      <c r="G60" s="6" t="s">
        <v>1079</v>
      </c>
      <c r="H60" s="53" t="n">
        <v>0</v>
      </c>
      <c r="I60" s="53" t="n">
        <v>0</v>
      </c>
      <c r="J60" s="25" t="n">
        <f aca="false">E60*F60/1000000</f>
        <v>106.666666666667</v>
      </c>
      <c r="K60" s="46" t="n">
        <v>1</v>
      </c>
      <c r="L60" s="28" t="s">
        <v>1090</v>
      </c>
      <c r="M60" s="53" t="n">
        <v>3</v>
      </c>
      <c r="N60" s="34" t="n">
        <f aca="false">CHOOSE(M60,Quesería!$B$26,Quesería!$B$27,Quesería!$B$28,Quesería!$B$29)</f>
        <v>0.15</v>
      </c>
      <c r="O60" s="79" t="s">
        <v>945</v>
      </c>
      <c r="P60" s="81" t="s">
        <v>1204</v>
      </c>
    </row>
    <row r="61" customFormat="false" ht="15" hidden="false" customHeight="false" outlineLevel="0" collapsed="false">
      <c r="A61" s="6" t="s">
        <v>1205</v>
      </c>
      <c r="B61" s="77" t="s">
        <v>1037</v>
      </c>
      <c r="C61" s="53" t="n">
        <v>2</v>
      </c>
      <c r="D61" s="9" t="s">
        <v>668</v>
      </c>
      <c r="E61" s="74" t="n">
        <v>1</v>
      </c>
      <c r="F61" s="75" t="n">
        <f aca="false">Cotizaciones!$F$21*1000000</f>
        <v>80000000</v>
      </c>
      <c r="G61" s="6" t="s">
        <v>1079</v>
      </c>
      <c r="H61" s="53" t="n">
        <v>0</v>
      </c>
      <c r="I61" s="53" t="n">
        <v>0</v>
      </c>
      <c r="J61" s="25" t="n">
        <f aca="false">E61*F61/1000000</f>
        <v>80</v>
      </c>
      <c r="K61" s="46" t="n">
        <v>1</v>
      </c>
      <c r="L61" s="28" t="s">
        <v>1090</v>
      </c>
      <c r="M61" s="53" t="n">
        <v>4</v>
      </c>
      <c r="N61" s="34" t="n">
        <f aca="false">CHOOSE(M61,Quesería!$B$26,Quesería!$B$27,Quesería!$B$28,Quesería!$B$29)</f>
        <v>0.25</v>
      </c>
      <c r="O61" s="79" t="s">
        <v>945</v>
      </c>
      <c r="P61" s="81" t="s">
        <v>1206</v>
      </c>
    </row>
    <row r="62" customFormat="false" ht="23.85" hidden="false" customHeight="false" outlineLevel="0" collapsed="false">
      <c r="A62" s="6" t="s">
        <v>1207</v>
      </c>
      <c r="B62" s="77" t="s">
        <v>1208</v>
      </c>
      <c r="C62" s="53" t="n">
        <v>2</v>
      </c>
      <c r="D62" s="9" t="s">
        <v>1209</v>
      </c>
      <c r="E62" s="74" t="n">
        <v>1</v>
      </c>
      <c r="F62" s="78" t="n">
        <v>2800</v>
      </c>
      <c r="G62" s="6" t="s">
        <v>1016</v>
      </c>
      <c r="H62" s="53" t="n">
        <v>2</v>
      </c>
      <c r="I62" s="53" t="n">
        <v>1</v>
      </c>
      <c r="J62" s="25" t="n">
        <f aca="false">E62*F62*$C$6/1000000*(1+(H62=1)*$C$9+(H62=2)*$C$11)*(1+I62*$C$10)</f>
        <v>11.74021338</v>
      </c>
      <c r="K62" s="46" t="n">
        <v>1</v>
      </c>
      <c r="L62" s="28" t="s">
        <v>1124</v>
      </c>
      <c r="M62" s="53" t="n">
        <v>3</v>
      </c>
      <c r="N62" s="34" t="n">
        <f aca="false">CHOOSE(M62,Quesería!$B$26,Quesería!$B$27,Quesería!$B$28,Quesería!$B$29)</f>
        <v>0.15</v>
      </c>
      <c r="O62" s="79" t="s">
        <v>1210</v>
      </c>
      <c r="P62" s="81" t="s">
        <v>1211</v>
      </c>
    </row>
    <row r="63" customFormat="false" ht="15" hidden="false" customHeight="false" outlineLevel="0" collapsed="false">
      <c r="A63" s="6" t="s">
        <v>1212</v>
      </c>
      <c r="B63" s="77" t="s">
        <v>1213</v>
      </c>
      <c r="C63" s="53" t="n">
        <v>2</v>
      </c>
      <c r="D63" s="9" t="s">
        <v>1209</v>
      </c>
      <c r="E63" s="74" t="n">
        <v>1</v>
      </c>
      <c r="F63" s="74" t="n">
        <v>8000000</v>
      </c>
      <c r="G63" s="6" t="s">
        <v>1079</v>
      </c>
      <c r="H63" s="53" t="n">
        <v>0</v>
      </c>
      <c r="I63" s="53" t="n">
        <v>1</v>
      </c>
      <c r="J63" s="25" t="n">
        <f aca="false">E63*F63*1/1000000*(1+(H63=1)*$C$9+(H63=2)*$C$11)*(1+I63*$C$10)</f>
        <v>9.2</v>
      </c>
      <c r="K63" s="46" t="n">
        <v>1</v>
      </c>
      <c r="L63" s="28" t="s">
        <v>1090</v>
      </c>
      <c r="M63" s="53" t="n">
        <v>4</v>
      </c>
      <c r="N63" s="34" t="n">
        <f aca="false">CHOOSE(M63,Quesería!$B$26,Quesería!$B$27,Quesería!$B$28,Quesería!$B$29)</f>
        <v>0.25</v>
      </c>
      <c r="O63" s="79" t="s">
        <v>1074</v>
      </c>
      <c r="P63" s="81" t="s">
        <v>1211</v>
      </c>
    </row>
    <row r="64" customFormat="false" ht="15" hidden="false" customHeight="false" outlineLevel="0" collapsed="false">
      <c r="A64" s="6" t="s">
        <v>1214</v>
      </c>
      <c r="B64" s="77" t="s">
        <v>1215</v>
      </c>
      <c r="C64" s="53" t="n">
        <v>2</v>
      </c>
      <c r="D64" s="9" t="s">
        <v>1209</v>
      </c>
      <c r="E64" s="74" t="n">
        <v>1</v>
      </c>
      <c r="F64" s="78" t="n">
        <v>7200</v>
      </c>
      <c r="G64" s="6" t="s">
        <v>1016</v>
      </c>
      <c r="H64" s="53" t="n">
        <v>2</v>
      </c>
      <c r="I64" s="53" t="n">
        <v>1</v>
      </c>
      <c r="J64" s="25" t="n">
        <f aca="false">E64*F64*$C$6/1000000*(1+(H64=1)*$C$9+(H64=2)*$C$11)*(1+I64*$C$10)</f>
        <v>30.18912012</v>
      </c>
      <c r="K64" s="46" t="n">
        <v>1</v>
      </c>
      <c r="L64" s="28" t="s">
        <v>1090</v>
      </c>
      <c r="M64" s="53" t="n">
        <v>3</v>
      </c>
      <c r="N64" s="34" t="n">
        <f aca="false">CHOOSE(M64,Quesería!$B$26,Quesería!$B$27,Quesería!$B$28,Quesería!$B$29)</f>
        <v>0.15</v>
      </c>
      <c r="O64" s="79" t="s">
        <v>1216</v>
      </c>
      <c r="P64" s="81" t="s">
        <v>1211</v>
      </c>
    </row>
    <row r="65" customFormat="false" ht="15" hidden="false" customHeight="false" outlineLevel="0" collapsed="false">
      <c r="A65" s="6" t="s">
        <v>1217</v>
      </c>
      <c r="B65" s="77" t="s">
        <v>1218</v>
      </c>
      <c r="C65" s="53" t="n">
        <v>2</v>
      </c>
      <c r="D65" s="9" t="s">
        <v>1209</v>
      </c>
      <c r="E65" s="74" t="n">
        <v>1</v>
      </c>
      <c r="F65" s="78" t="n">
        <v>2000</v>
      </c>
      <c r="G65" s="6" t="s">
        <v>1016</v>
      </c>
      <c r="H65" s="53" t="n">
        <v>2</v>
      </c>
      <c r="I65" s="53" t="n">
        <v>1</v>
      </c>
      <c r="J65" s="25" t="n">
        <f aca="false">E65*F65*$C$6/1000000*(1+(H65=1)*$C$9+(H65=2)*$C$11)*(1+I65*$C$10)</f>
        <v>8.3858667</v>
      </c>
      <c r="K65" s="46" t="n">
        <v>1</v>
      </c>
      <c r="L65" s="28" t="s">
        <v>1090</v>
      </c>
      <c r="M65" s="53" t="n">
        <v>4</v>
      </c>
      <c r="N65" s="34" t="n">
        <f aca="false">CHOOSE(M65,Quesería!$B$26,Quesería!$B$27,Quesería!$B$28,Quesería!$B$29)</f>
        <v>0.25</v>
      </c>
      <c r="O65" s="79" t="s">
        <v>1074</v>
      </c>
      <c r="P65" s="81" t="s">
        <v>1211</v>
      </c>
    </row>
    <row r="66" customFormat="false" ht="23.85" hidden="false" customHeight="false" outlineLevel="0" collapsed="false">
      <c r="A66" s="6" t="s">
        <v>1219</v>
      </c>
      <c r="B66" s="77" t="s">
        <v>1220</v>
      </c>
      <c r="C66" s="53" t="n">
        <v>3</v>
      </c>
      <c r="D66" s="9" t="s">
        <v>1221</v>
      </c>
      <c r="E66" s="74" t="n">
        <v>1</v>
      </c>
      <c r="F66" s="78" t="n">
        <v>110000</v>
      </c>
      <c r="G66" s="6" t="s">
        <v>1016</v>
      </c>
      <c r="H66" s="53" t="n">
        <v>1</v>
      </c>
      <c r="I66" s="53" t="n">
        <v>1</v>
      </c>
      <c r="J66" s="25" t="n">
        <f aca="false">E66*F66*$C$6/1000000*(1+(H66=1)*$C$9+(H66=2)*$C$11)*(1+I66*$C$10)</f>
        <v>521.382147</v>
      </c>
      <c r="K66" s="46" t="n">
        <v>1</v>
      </c>
      <c r="L66" s="28" t="s">
        <v>1222</v>
      </c>
      <c r="M66" s="53" t="n">
        <v>3</v>
      </c>
      <c r="N66" s="34" t="n">
        <f aca="false">CHOOSE(M66,Quesería!$B$26,Quesería!$B$27,Quesería!$B$28,Quesería!$B$29)</f>
        <v>0.15</v>
      </c>
      <c r="O66" s="79" t="s">
        <v>1223</v>
      </c>
      <c r="P66" s="81" t="s">
        <v>1224</v>
      </c>
    </row>
    <row r="67" customFormat="false" ht="15" hidden="false" customHeight="false" outlineLevel="0" collapsed="false">
      <c r="A67" s="5" t="s">
        <v>1225</v>
      </c>
      <c r="J67" s="54" t="n">
        <f aca="false">SUM(J14:J66)</f>
        <v>1756.24498437688</v>
      </c>
    </row>
    <row r="68" customFormat="false" ht="39.75" hidden="false" customHeight="true" outlineLevel="0" collapsed="false">
      <c r="A68" s="32" t="s">
        <v>1226</v>
      </c>
      <c r="B68" s="32"/>
      <c r="C68" s="32"/>
      <c r="D68" s="32"/>
      <c r="E68" s="32"/>
      <c r="F68" s="32"/>
      <c r="G68" s="32"/>
      <c r="H68" s="32"/>
      <c r="I68" s="32"/>
      <c r="J68" s="32"/>
      <c r="K68" s="32"/>
      <c r="L68" s="32"/>
      <c r="M68" s="32"/>
      <c r="N68" s="32"/>
      <c r="O68" s="32"/>
    </row>
    <row r="70" customFormat="false" ht="15" hidden="false" customHeight="false" outlineLevel="0" collapsed="false">
      <c r="A70" s="3" t="s">
        <v>1227</v>
      </c>
      <c r="B70" s="4"/>
      <c r="C70" s="4"/>
      <c r="D70" s="4"/>
      <c r="E70" s="4"/>
      <c r="F70" s="4"/>
      <c r="G70" s="4"/>
      <c r="H70" s="4"/>
      <c r="I70" s="4"/>
      <c r="J70" s="4"/>
      <c r="K70" s="4"/>
      <c r="L70" s="4"/>
      <c r="M70" s="4"/>
      <c r="N70" s="4"/>
      <c r="O70" s="4"/>
    </row>
    <row r="71" customFormat="false" ht="30" hidden="false" customHeight="true" outlineLevel="0" collapsed="false">
      <c r="A71" s="23" t="s">
        <v>109</v>
      </c>
      <c r="B71" s="24"/>
      <c r="C71" s="24" t="s">
        <v>110</v>
      </c>
      <c r="D71" s="24" t="s">
        <v>1228</v>
      </c>
      <c r="E71" s="24" t="s">
        <v>111</v>
      </c>
      <c r="F71" s="24" t="s">
        <v>1229</v>
      </c>
      <c r="G71" s="24" t="s">
        <v>1230</v>
      </c>
      <c r="H71" s="24" t="s">
        <v>1231</v>
      </c>
      <c r="I71" s="24" t="s">
        <v>1232</v>
      </c>
      <c r="J71" s="24" t="s">
        <v>1233</v>
      </c>
      <c r="K71" s="24" t="s">
        <v>1234</v>
      </c>
      <c r="L71" s="24" t="s">
        <v>1235</v>
      </c>
    </row>
    <row r="72" customFormat="false" ht="15" hidden="false" customHeight="false" outlineLevel="0" collapsed="false">
      <c r="A72" s="82" t="s">
        <v>1068</v>
      </c>
      <c r="B72" s="82"/>
      <c r="C72" s="33" t="n">
        <f aca="false">Quesería!B70</f>
        <v>0</v>
      </c>
      <c r="D72" s="9" t="s">
        <v>333</v>
      </c>
      <c r="E72" s="73" t="n">
        <f aca="false">COUNTIF($P$14:$P$66,"D0")</f>
        <v>6</v>
      </c>
      <c r="F72" s="25" t="n">
        <f aca="false">SUMIF($P$14:$P$66,"D0",$J$14:$J$66)</f>
        <v>56.872527971</v>
      </c>
      <c r="G72" s="64" t="n">
        <f aca="false">IF(F72&gt;0,SUMPRODUCT(($P$14:$P$66="D0")*$J$14:$J$66*$M$14:$M$66)/F72,0)</f>
        <v>3.57701019806493</v>
      </c>
      <c r="H72" s="34" t="n">
        <f aca="false">IF(F72&gt;0,SUMPRODUCT(($P$14:$P$66="D0")*$J$14:$J$66*$K$14:$K$66)/F72,0)</f>
        <v>0.36</v>
      </c>
      <c r="I72" s="25" t="n">
        <f aca="false">F72*H72</f>
        <v>20.47411006956</v>
      </c>
      <c r="J72" s="34" t="n">
        <f aca="false">IF(F72&gt;0,SUMPRODUCT(($P$14:$P$66="D0")*$J$14:$J$66*$N$14:$N$66)/F72,0)</f>
        <v>0.21827576485487</v>
      </c>
      <c r="K72" s="25" t="n">
        <f aca="false">Quesería!F70</f>
        <v>20.47411006956</v>
      </c>
      <c r="L72" s="83" t="n">
        <f aca="false">I72-K72</f>
        <v>0</v>
      </c>
    </row>
    <row r="73" customFormat="false" ht="15" hidden="false" customHeight="false" outlineLevel="0" collapsed="false">
      <c r="A73" s="82" t="s">
        <v>1089</v>
      </c>
      <c r="B73" s="82"/>
      <c r="C73" s="33" t="n">
        <f aca="false">Quesería!B71</f>
        <v>1</v>
      </c>
      <c r="D73" s="9" t="s">
        <v>334</v>
      </c>
      <c r="E73" s="73" t="n">
        <f aca="false">COUNTIF($P$14:$P$66,"T13")</f>
        <v>19</v>
      </c>
      <c r="F73" s="25" t="n">
        <f aca="false">SUMIF($P$14:$P$66,"T13",$J$14:$J$66)</f>
        <v>267.509653045577</v>
      </c>
      <c r="G73" s="64" t="n">
        <f aca="false">IF(F73&gt;0,SUMPRODUCT(($P$14:$P$66="T13")*$J$14:$J$66*$M$14:$M$66)/F73,0)</f>
        <v>3.14013736092806</v>
      </c>
      <c r="H73" s="34" t="n">
        <f aca="false">IF(F73&gt;0,SUMPRODUCT(($P$14:$P$66="T13")*$J$14:$J$66*$K$14:$K$66)/F73,0)</f>
        <v>1</v>
      </c>
      <c r="I73" s="25" t="n">
        <f aca="false">F73*H73</f>
        <v>267.509653045577</v>
      </c>
      <c r="J73" s="34" t="n">
        <f aca="false">IF(F73&gt;0,SUMPRODUCT(($P$14:$P$66="T13")*$J$14:$J$66*$N$14:$N$66)/F73,0)</f>
        <v>0.182293239181008</v>
      </c>
      <c r="K73" s="25" t="n">
        <f aca="false">Quesería!F71</f>
        <v>267.509653045577</v>
      </c>
      <c r="L73" s="83" t="n">
        <f aca="false">I73-K73</f>
        <v>0</v>
      </c>
    </row>
    <row r="74" customFormat="false" ht="15" hidden="false" customHeight="false" outlineLevel="0" collapsed="false">
      <c r="A74" s="82" t="s">
        <v>1142</v>
      </c>
      <c r="B74" s="82"/>
      <c r="C74" s="33" t="n">
        <f aca="false">Quesería!B72</f>
        <v>1</v>
      </c>
      <c r="D74" s="9" t="s">
        <v>335</v>
      </c>
      <c r="E74" s="73" t="n">
        <f aca="false">COUNTIF($P$14:$P$66,"T2")</f>
        <v>6</v>
      </c>
      <c r="F74" s="25" t="n">
        <f aca="false">SUMIF($P$14:$P$66,"T2",$J$14:$J$66)</f>
        <v>47.746860805791</v>
      </c>
      <c r="G74" s="64" t="n">
        <f aca="false">IF(F74&gt;0,SUMPRODUCT(($P$14:$P$66="T2")*$J$14:$J$66*$M$14:$M$66)/F74,0)</f>
        <v>2.48123110860543</v>
      </c>
      <c r="H74" s="34" t="n">
        <f aca="false">IF(F74&gt;0,SUMPRODUCT(($P$14:$P$66="T2")*$J$14:$J$66*$K$14:$K$66)/F74,0)</f>
        <v>1</v>
      </c>
      <c r="I74" s="25" t="n">
        <f aca="false">F74*H74</f>
        <v>47.746860805791</v>
      </c>
      <c r="J74" s="34" t="n">
        <f aca="false">IF(F74&gt;0,SUMPRODUCT(($P$14:$P$66="T2")*$J$14:$J$66*$N$14:$N$66)/F74,0)</f>
        <v>0.135038542396636</v>
      </c>
      <c r="K74" s="25" t="n">
        <f aca="false">Quesería!F72</f>
        <v>47.746860805791</v>
      </c>
      <c r="L74" s="83" t="n">
        <f aca="false">I74-K74</f>
        <v>0</v>
      </c>
    </row>
    <row r="75" customFormat="false" ht="15" hidden="false" customHeight="false" outlineLevel="0" collapsed="false">
      <c r="A75" s="82" t="s">
        <v>1158</v>
      </c>
      <c r="B75" s="82"/>
      <c r="C75" s="33" t="n">
        <f aca="false">Quesería!B73</f>
        <v>1</v>
      </c>
      <c r="D75" s="9" t="s">
        <v>336</v>
      </c>
      <c r="E75" s="73" t="n">
        <f aca="false">COUNTIF($P$14:$P$66,"E18")</f>
        <v>1</v>
      </c>
      <c r="F75" s="25" t="n">
        <f aca="false">SUMIF($P$14:$P$66,"E18",$J$14:$J$66)</f>
        <v>33.1788639</v>
      </c>
      <c r="G75" s="64" t="n">
        <f aca="false">IF(F75&gt;0,SUMPRODUCT(($P$14:$P$66="E18")*$J$14:$J$66*$M$14:$M$66)/F75,0)</f>
        <v>2</v>
      </c>
      <c r="H75" s="34" t="n">
        <f aca="false">IF(F75&gt;0,SUMPRODUCT(($P$14:$P$66="E18")*$J$14:$J$66*$K$14:$K$66)/F75,0)</f>
        <v>1</v>
      </c>
      <c r="I75" s="25" t="n">
        <f aca="false">F75*H75</f>
        <v>33.1788639</v>
      </c>
      <c r="J75" s="34" t="n">
        <f aca="false">IF(F75&gt;0,SUMPRODUCT(($P$14:$P$66="E18")*$J$14:$J$66*$N$14:$N$66)/F75,0)</f>
        <v>0.1</v>
      </c>
      <c r="K75" s="25" t="n">
        <f aca="false">Quesería!F73</f>
        <v>33.1788639</v>
      </c>
      <c r="L75" s="83" t="n">
        <f aca="false">I75-K75</f>
        <v>0</v>
      </c>
    </row>
    <row r="76" customFormat="false" ht="15" hidden="false" customHeight="false" outlineLevel="0" collapsed="false">
      <c r="A76" s="82" t="s">
        <v>1161</v>
      </c>
      <c r="B76" s="82"/>
      <c r="C76" s="33" t="n">
        <f aca="false">Quesería!B74</f>
        <v>1</v>
      </c>
      <c r="D76" s="9" t="s">
        <v>337</v>
      </c>
      <c r="E76" s="73" t="n">
        <f aca="false">COUNTIF($P$14:$P$66,"GR")</f>
        <v>2</v>
      </c>
      <c r="F76" s="25" t="n">
        <f aca="false">SUMIF($P$14:$P$66,"GR",$J$14:$J$66)</f>
        <v>129.98093385</v>
      </c>
      <c r="G76" s="64" t="n">
        <f aca="false">IF(F76&gt;0,SUMPRODUCT(($P$14:$P$66="GR")*$J$14:$J$66*$M$14:$M$66)/F76,0)</f>
        <v>4</v>
      </c>
      <c r="H76" s="34" t="n">
        <f aca="false">IF(F76&gt;0,SUMPRODUCT(($P$14:$P$66="GR")*$J$14:$J$66*$K$14:$K$66)/F76,0)</f>
        <v>0.36</v>
      </c>
      <c r="I76" s="25" t="n">
        <f aca="false">F76*H76</f>
        <v>46.793136186</v>
      </c>
      <c r="J76" s="34" t="n">
        <f aca="false">IF(F76&gt;0,SUMPRODUCT(($P$14:$P$66="GR")*$J$14:$J$66*$N$14:$N$66)/F76,0)</f>
        <v>0.25</v>
      </c>
      <c r="K76" s="25" t="n">
        <f aca="false">Quesería!F74</f>
        <v>46.793136186</v>
      </c>
      <c r="L76" s="83" t="n">
        <f aca="false">I76-K76</f>
        <v>0</v>
      </c>
    </row>
    <row r="77" customFormat="false" ht="15" hidden="false" customHeight="false" outlineLevel="0" collapsed="false">
      <c r="A77" s="82" t="s">
        <v>1168</v>
      </c>
      <c r="B77" s="82"/>
      <c r="C77" s="33" t="n">
        <f aca="false">Quesería!B75</f>
        <v>1</v>
      </c>
      <c r="D77" s="9" t="s">
        <v>338</v>
      </c>
      <c r="E77" s="73" t="n">
        <f aca="false">COUNTIF($P$14:$P$66,"SC")</f>
        <v>11</v>
      </c>
      <c r="F77" s="25" t="n">
        <f aca="false">SUMIF($P$14:$P$66,"SC",$J$14:$J$66)</f>
        <v>130.792130937844</v>
      </c>
      <c r="G77" s="64" t="n">
        <f aca="false">IF(F77&gt;0,SUMPRODUCT(($P$14:$P$66="SC")*$J$14:$J$66*$M$14:$M$66)/F77,0)</f>
        <v>2.69758194963089</v>
      </c>
      <c r="H77" s="34" t="n">
        <f aca="false">IF(F77&gt;0,SUMPRODUCT(($P$14:$P$66="SC")*$J$14:$J$66*$K$14:$K$66)/F77,0)</f>
        <v>0.524978396481776</v>
      </c>
      <c r="I77" s="25" t="n">
        <f aca="false">F77*H77</f>
        <v>68.6630431721838</v>
      </c>
      <c r="J77" s="34" t="n">
        <f aca="false">IF(F77&gt;0,SUMPRODUCT(($P$14:$P$66="SC")*$J$14:$J$66*$N$14:$N$66)/F77,0)</f>
        <v>0.149754006701615</v>
      </c>
      <c r="K77" s="25" t="n">
        <f aca="false">Quesería!F75</f>
        <v>68.6630431721838</v>
      </c>
      <c r="L77" s="83" t="n">
        <f aca="false">I77-K77</f>
        <v>0</v>
      </c>
    </row>
    <row r="78" customFormat="false" ht="15" hidden="false" customHeight="false" outlineLevel="0" collapsed="false">
      <c r="A78" s="82" t="s">
        <v>1200</v>
      </c>
      <c r="B78" s="82"/>
      <c r="C78" s="33" t="n">
        <f aca="false">Quesería!B84</f>
        <v>2</v>
      </c>
      <c r="D78" s="9" t="s">
        <v>347</v>
      </c>
      <c r="E78" s="73" t="n">
        <f aca="false">COUNTIF($P$14:$P$66,"HI")</f>
        <v>1</v>
      </c>
      <c r="F78" s="25" t="n">
        <f aca="false">SUMIF($P$14:$P$66,"HI",$J$14:$J$66)</f>
        <v>322.6</v>
      </c>
      <c r="G78" s="64" t="n">
        <f aca="false">IF(F78&gt;0,SUMPRODUCT(($P$14:$P$66="HI")*$J$14:$J$66*$M$14:$M$66)/F78,0)</f>
        <v>3</v>
      </c>
      <c r="H78" s="34" t="n">
        <f aca="false">IF(F78&gt;0,SUMPRODUCT(($P$14:$P$66="HI")*$J$14:$J$66*$K$14:$K$66)/F78,0)</f>
        <v>1</v>
      </c>
      <c r="I78" s="25" t="n">
        <f aca="false">F78*H78</f>
        <v>322.6</v>
      </c>
      <c r="J78" s="34" t="n">
        <f aca="false">IF(F78&gt;0,SUMPRODUCT(($P$14:$P$66="HI")*$J$14:$J$66*$N$14:$N$66)/F78,0)</f>
        <v>0.15</v>
      </c>
      <c r="K78" s="25" t="n">
        <f aca="false">Quesería!F84</f>
        <v>322.6</v>
      </c>
      <c r="L78" s="83" t="n">
        <f aca="false">I78-K78</f>
        <v>0</v>
      </c>
    </row>
    <row r="79" customFormat="false" ht="15" hidden="false" customHeight="false" outlineLevel="0" collapsed="false">
      <c r="A79" s="82" t="s">
        <v>1203</v>
      </c>
      <c r="B79" s="82"/>
      <c r="C79" s="33" t="n">
        <f aca="false">Quesería!B85</f>
        <v>2</v>
      </c>
      <c r="D79" s="9" t="s">
        <v>348</v>
      </c>
      <c r="E79" s="73" t="n">
        <f aca="false">COUNTIF($P$14:$P$66,"CIP")</f>
        <v>1</v>
      </c>
      <c r="F79" s="25" t="n">
        <f aca="false">SUMIF($P$14:$P$66,"CIP",$J$14:$J$66)</f>
        <v>106.666666666667</v>
      </c>
      <c r="G79" s="64" t="n">
        <f aca="false">IF(F79&gt;0,SUMPRODUCT(($P$14:$P$66="CIP")*$J$14:$J$66*$M$14:$M$66)/F79,0)</f>
        <v>3</v>
      </c>
      <c r="H79" s="34" t="n">
        <f aca="false">IF(F79&gt;0,SUMPRODUCT(($P$14:$P$66="CIP")*$J$14:$J$66*$K$14:$K$66)/F79,0)</f>
        <v>1</v>
      </c>
      <c r="I79" s="25" t="n">
        <f aca="false">F79*H79</f>
        <v>106.666666666667</v>
      </c>
      <c r="J79" s="34" t="n">
        <f aca="false">IF(F79&gt;0,SUMPRODUCT(($P$14:$P$66="CIP")*$J$14:$J$66*$N$14:$N$66)/F79,0)</f>
        <v>0.15</v>
      </c>
      <c r="K79" s="25" t="n">
        <f aca="false">Quesería!F85</f>
        <v>106.666666666667</v>
      </c>
      <c r="L79" s="83" t="n">
        <f aca="false">I79-K79</f>
        <v>0</v>
      </c>
    </row>
    <row r="80" customFormat="false" ht="15" hidden="false" customHeight="false" outlineLevel="0" collapsed="false">
      <c r="A80" s="82" t="s">
        <v>668</v>
      </c>
      <c r="B80" s="82"/>
      <c r="C80" s="33" t="n">
        <f aca="false">Quesería!B86</f>
        <v>2</v>
      </c>
      <c r="D80" s="9" t="s">
        <v>349</v>
      </c>
      <c r="E80" s="73" t="n">
        <f aca="false">COUNTIF($P$14:$P$66,"SU")</f>
        <v>1</v>
      </c>
      <c r="F80" s="25" t="n">
        <f aca="false">SUMIF($P$14:$P$66,"SU",$J$14:$J$66)</f>
        <v>80</v>
      </c>
      <c r="G80" s="64" t="n">
        <f aca="false">IF(F80&gt;0,SUMPRODUCT(($P$14:$P$66="SU")*$J$14:$J$66*$M$14:$M$66)/F80,0)</f>
        <v>4</v>
      </c>
      <c r="H80" s="46" t="n">
        <v>0</v>
      </c>
      <c r="I80" s="25" t="n">
        <f aca="false">F80*H80</f>
        <v>0</v>
      </c>
      <c r="J80" s="34" t="n">
        <f aca="false">IF(F80&gt;0,SUMPRODUCT(($P$14:$P$66="SU")*$J$14:$J$66*$N$14:$N$66)/F80,0)</f>
        <v>0.25</v>
      </c>
      <c r="K80" s="25" t="n">
        <f aca="false">Quesería!F86</f>
        <v>0</v>
      </c>
      <c r="L80" s="83" t="n">
        <f aca="false">I80-K80</f>
        <v>0</v>
      </c>
    </row>
    <row r="81" customFormat="false" ht="15" hidden="false" customHeight="false" outlineLevel="0" collapsed="false">
      <c r="A81" s="82" t="s">
        <v>1209</v>
      </c>
      <c r="B81" s="82"/>
      <c r="C81" s="33" t="n">
        <f aca="false">Quesería!B87</f>
        <v>2</v>
      </c>
      <c r="D81" s="9" t="s">
        <v>350</v>
      </c>
      <c r="E81" s="73" t="n">
        <f aca="false">COUNTIF($P$14:$P$66,"E2")</f>
        <v>4</v>
      </c>
      <c r="F81" s="25" t="n">
        <f aca="false">SUMIF($P$14:$P$66,"E2",$J$14:$J$66)</f>
        <v>59.5152002</v>
      </c>
      <c r="G81" s="64" t="n">
        <f aca="false">IF(F81&gt;0,SUMPRODUCT(($P$14:$P$66="E2")*$J$14:$J$66*$M$14:$M$66)/F81,0)</f>
        <v>3.29548529856075</v>
      </c>
      <c r="H81" s="34" t="n">
        <f aca="false">IF(F81&gt;0,SUMPRODUCT(($P$14:$P$66="E2")*$J$14:$J$66*$K$14:$K$66)/F81,0)</f>
        <v>1</v>
      </c>
      <c r="I81" s="25" t="n">
        <f aca="false">F81*H81</f>
        <v>59.5152002</v>
      </c>
      <c r="J81" s="34" t="n">
        <f aca="false">IF(F81&gt;0,SUMPRODUCT(($P$14:$P$66="E2")*$J$14:$J$66*$N$14:$N$66)/F81,0)</f>
        <v>0.179548529856075</v>
      </c>
      <c r="K81" s="25" t="n">
        <f aca="false">Quesería!F87</f>
        <v>59.5152002</v>
      </c>
      <c r="L81" s="83" t="n">
        <f aca="false">I81-K81</f>
        <v>0</v>
      </c>
    </row>
    <row r="82" customFormat="false" ht="15" hidden="false" customHeight="false" outlineLevel="0" collapsed="false">
      <c r="A82" s="84" t="s">
        <v>1221</v>
      </c>
      <c r="B82" s="84"/>
      <c r="C82" s="33" t="n">
        <v>3</v>
      </c>
      <c r="D82" s="9" t="s">
        <v>1236</v>
      </c>
      <c r="E82" s="73" t="n">
        <f aca="false">COUNTIF($P$14:$P$66,"CP")</f>
        <v>1</v>
      </c>
      <c r="F82" s="25" t="n">
        <f aca="false">SUMIF($P$14:$P$66,"CP",$J$14:$J$66)</f>
        <v>521.382147</v>
      </c>
      <c r="G82" s="64" t="n">
        <f aca="false">IF(F82&gt;0,SUMPRODUCT(($P$14:$P$66="CP")*$J$14:$J$66*$M$14:$M$66)/F82,0)</f>
        <v>3</v>
      </c>
      <c r="J82" s="34" t="n">
        <f aca="false">IF(F82&gt;0,SUMPRODUCT(($P$14:$P$66="CP")*$J$14:$J$66*$N$14:$N$66)/F82,0)</f>
        <v>0.15</v>
      </c>
    </row>
    <row r="83" customFormat="false" ht="15" hidden="false" customHeight="false" outlineLevel="0" collapsed="false">
      <c r="A83" s="5" t="s">
        <v>1237</v>
      </c>
      <c r="I83" s="54" t="n">
        <f aca="false">SUM(I72:I82)</f>
        <v>973.147534045779</v>
      </c>
      <c r="K83" s="30" t="n">
        <f aca="false">SUM(K72:K82)</f>
        <v>973.147534045779</v>
      </c>
    </row>
    <row r="84" customFormat="false" ht="15" hidden="false" customHeight="false" outlineLevel="0" collapsed="false">
      <c r="A84" s="6" t="s">
        <v>1238</v>
      </c>
      <c r="L84" s="83" t="n">
        <f aca="false">SUM(L72:L82)</f>
        <v>0</v>
      </c>
    </row>
    <row r="85" customFormat="false" ht="27.75" hidden="false" customHeight="true" outlineLevel="0" collapsed="false">
      <c r="A85" s="32" t="s">
        <v>1239</v>
      </c>
      <c r="B85" s="32"/>
      <c r="C85" s="32"/>
      <c r="D85" s="32"/>
      <c r="E85" s="32"/>
      <c r="F85" s="32"/>
      <c r="G85" s="32"/>
      <c r="H85" s="32"/>
      <c r="I85" s="32"/>
      <c r="J85" s="32"/>
      <c r="K85" s="32"/>
      <c r="L85" s="32"/>
      <c r="M85" s="32"/>
      <c r="N85" s="32"/>
      <c r="O85" s="32"/>
    </row>
  </sheetData>
  <mergeCells count="14">
    <mergeCell ref="A2:O2"/>
    <mergeCell ref="A68:O68"/>
    <mergeCell ref="A72:B72"/>
    <mergeCell ref="A73:B73"/>
    <mergeCell ref="A74:B74"/>
    <mergeCell ref="A75:B75"/>
    <mergeCell ref="A76:B76"/>
    <mergeCell ref="A77:B77"/>
    <mergeCell ref="A78:B78"/>
    <mergeCell ref="A79:B79"/>
    <mergeCell ref="A80:B80"/>
    <mergeCell ref="A81:B81"/>
    <mergeCell ref="A82:B82"/>
    <mergeCell ref="A85:O8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129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1" outlineLevelCol="0"/>
  <cols>
    <col collapsed="false" customWidth="true" hidden="false" outlineLevel="0" max="1" min="1" style="0" width="58"/>
    <col collapsed="false" customWidth="true" hidden="false" outlineLevel="0" max="19" min="2" style="0" width="12"/>
  </cols>
  <sheetData>
    <row r="1" customFormat="false" ht="17.35" hidden="false" customHeight="false" outlineLevel="0" collapsed="false">
      <c r="A1" s="42" t="s">
        <v>1240</v>
      </c>
    </row>
    <row r="2" customFormat="false" ht="15" hidden="false" customHeight="false" outlineLevel="0" collapsed="false">
      <c r="A2" s="9" t="s">
        <v>1241</v>
      </c>
    </row>
    <row r="4" customFormat="false" ht="15" hidden="false" customHeight="false" outlineLevel="0" collapsed="false">
      <c r="A4" s="3" t="s">
        <v>1242</v>
      </c>
      <c r="B4" s="4"/>
      <c r="C4" s="4"/>
      <c r="D4" s="4"/>
      <c r="E4" s="4"/>
      <c r="F4" s="4"/>
      <c r="G4" s="4"/>
      <c r="H4" s="4"/>
      <c r="I4" s="4"/>
      <c r="J4" s="4"/>
      <c r="K4" s="4"/>
      <c r="L4" s="4"/>
      <c r="M4" s="4"/>
      <c r="N4" s="4"/>
      <c r="O4" s="4"/>
      <c r="P4" s="4"/>
      <c r="Q4" s="4"/>
      <c r="R4" s="4"/>
      <c r="S4" s="4"/>
      <c r="T4" s="4"/>
      <c r="U4" s="4"/>
      <c r="V4" s="4"/>
      <c r="W4" s="4"/>
      <c r="X4" s="4"/>
      <c r="Y4" s="4"/>
      <c r="Z4" s="4"/>
      <c r="AA4" s="4"/>
      <c r="AB4" s="4"/>
      <c r="AC4" s="4"/>
      <c r="AD4" s="4"/>
    </row>
    <row r="5" customFormat="false" ht="42" hidden="false" customHeight="true" outlineLevel="0" collapsed="false">
      <c r="A5" s="23" t="s">
        <v>187</v>
      </c>
      <c r="B5" s="24" t="s">
        <v>153</v>
      </c>
      <c r="C5" s="24" t="s">
        <v>173</v>
      </c>
      <c r="D5" s="24" t="s">
        <v>174</v>
      </c>
      <c r="E5" s="24" t="s">
        <v>1243</v>
      </c>
      <c r="F5" s="24" t="s">
        <v>169</v>
      </c>
      <c r="G5" s="24" t="s">
        <v>170</v>
      </c>
      <c r="H5" s="24" t="s">
        <v>1244</v>
      </c>
      <c r="I5" s="24" t="s">
        <v>171</v>
      </c>
      <c r="J5" s="24" t="s">
        <v>1245</v>
      </c>
      <c r="K5" s="24" t="s">
        <v>1246</v>
      </c>
      <c r="L5" s="24" t="s">
        <v>1247</v>
      </c>
      <c r="M5" s="24" t="s">
        <v>1248</v>
      </c>
      <c r="N5" s="24" t="s">
        <v>1249</v>
      </c>
      <c r="O5" s="24" t="s">
        <v>1250</v>
      </c>
      <c r="P5" s="24" t="s">
        <v>1251</v>
      </c>
      <c r="Q5" s="24" t="s">
        <v>1252</v>
      </c>
      <c r="R5" s="24" t="s">
        <v>1253</v>
      </c>
      <c r="S5" s="24" t="s">
        <v>1254</v>
      </c>
      <c r="T5" s="24" t="s">
        <v>168</v>
      </c>
      <c r="U5" s="24" t="s">
        <v>1255</v>
      </c>
      <c r="V5" s="24" t="s">
        <v>1256</v>
      </c>
      <c r="W5" s="24" t="s">
        <v>1257</v>
      </c>
      <c r="X5" s="24" t="s">
        <v>1258</v>
      </c>
      <c r="Y5" s="24" t="s">
        <v>172</v>
      </c>
      <c r="Z5" s="24" t="s">
        <v>1259</v>
      </c>
      <c r="AA5" s="24" t="s">
        <v>1260</v>
      </c>
      <c r="AB5" s="24" t="s">
        <v>1261</v>
      </c>
      <c r="AC5" s="24" t="s">
        <v>1262</v>
      </c>
      <c r="AD5" s="24" t="s">
        <v>1263</v>
      </c>
    </row>
    <row r="6" customFormat="false" ht="15" hidden="false" customHeight="false" outlineLevel="0" collapsed="false">
      <c r="A6" s="6" t="s">
        <v>1264</v>
      </c>
      <c r="B6" s="33" t="n">
        <v>1</v>
      </c>
      <c r="C6" s="33" t="n">
        <v>1</v>
      </c>
      <c r="D6" s="33" t="n">
        <v>1</v>
      </c>
      <c r="E6" s="33" t="n">
        <v>1</v>
      </c>
      <c r="F6" s="33" t="n">
        <v>1</v>
      </c>
      <c r="G6" s="33" t="n">
        <v>1</v>
      </c>
      <c r="H6" s="33" t="n">
        <v>1</v>
      </c>
      <c r="I6" s="33" t="n">
        <v>1</v>
      </c>
      <c r="J6" s="33" t="n">
        <v>1</v>
      </c>
      <c r="K6" s="33" t="n">
        <v>1</v>
      </c>
      <c r="L6" s="33" t="n">
        <v>1</v>
      </c>
      <c r="M6" s="33" t="n">
        <v>1</v>
      </c>
      <c r="N6" s="33" t="n">
        <v>1</v>
      </c>
      <c r="O6" s="33" t="n">
        <v>1</v>
      </c>
      <c r="P6" s="33" t="n">
        <v>1</v>
      </c>
      <c r="Q6" s="33" t="n">
        <v>1</v>
      </c>
      <c r="R6" s="33" t="n">
        <v>1</v>
      </c>
      <c r="S6" s="33" t="n">
        <v>1</v>
      </c>
      <c r="T6" s="33" t="n">
        <v>1</v>
      </c>
      <c r="U6" s="33" t="n">
        <v>1</v>
      </c>
      <c r="V6" s="33" t="n">
        <v>1</v>
      </c>
      <c r="W6" s="33" t="n">
        <v>1</v>
      </c>
      <c r="X6" s="33" t="n">
        <v>1</v>
      </c>
      <c r="Y6" s="33" t="n">
        <v>1</v>
      </c>
      <c r="Z6" s="33" t="n">
        <v>1</v>
      </c>
      <c r="AA6" s="33" t="n">
        <v>1</v>
      </c>
      <c r="AB6" s="33" t="n">
        <v>1</v>
      </c>
      <c r="AC6" s="33" t="n">
        <v>1</v>
      </c>
      <c r="AD6" s="33" t="n">
        <v>1</v>
      </c>
    </row>
    <row r="7" customFormat="false" ht="15" hidden="false" customHeight="false" outlineLevel="0" collapsed="false">
      <c r="A7" s="6" t="s">
        <v>1265</v>
      </c>
      <c r="B7" s="33" t="n">
        <v>1</v>
      </c>
      <c r="C7" s="53" t="n">
        <v>0</v>
      </c>
      <c r="D7" s="53" t="n">
        <v>0</v>
      </c>
      <c r="E7" s="33" t="n">
        <v>1</v>
      </c>
      <c r="F7" s="33" t="n">
        <v>1</v>
      </c>
      <c r="G7" s="33" t="n">
        <v>1</v>
      </c>
      <c r="H7" s="33" t="n">
        <v>1</v>
      </c>
      <c r="I7" s="33" t="n">
        <v>1</v>
      </c>
      <c r="J7" s="33" t="n">
        <v>1</v>
      </c>
      <c r="K7" s="33" t="n">
        <v>1</v>
      </c>
      <c r="L7" s="33" t="n">
        <v>1</v>
      </c>
      <c r="M7" s="33" t="n">
        <v>1</v>
      </c>
      <c r="N7" s="33" t="n">
        <v>1</v>
      </c>
      <c r="O7" s="33" t="n">
        <v>1</v>
      </c>
      <c r="P7" s="33" t="n">
        <v>1</v>
      </c>
      <c r="Q7" s="33" t="n">
        <v>1</v>
      </c>
      <c r="R7" s="33" t="n">
        <v>1</v>
      </c>
      <c r="S7" s="33" t="n">
        <v>1</v>
      </c>
      <c r="T7" s="33" t="n">
        <v>1</v>
      </c>
      <c r="U7" s="33" t="n">
        <v>1</v>
      </c>
      <c r="V7" s="33" t="n">
        <v>1</v>
      </c>
      <c r="W7" s="33" t="n">
        <v>1</v>
      </c>
      <c r="X7" s="33" t="n">
        <v>1</v>
      </c>
      <c r="Y7" s="33" t="n">
        <v>1</v>
      </c>
      <c r="Z7" s="33" t="n">
        <v>1</v>
      </c>
      <c r="AA7" s="33" t="n">
        <v>1</v>
      </c>
      <c r="AB7" s="33" t="n">
        <v>1</v>
      </c>
      <c r="AC7" s="33" t="n">
        <v>1</v>
      </c>
      <c r="AD7" s="53" t="n">
        <v>0</v>
      </c>
    </row>
    <row r="8" customFormat="false" ht="15" hidden="false" customHeight="false" outlineLevel="0" collapsed="false">
      <c r="A8" s="6" t="s">
        <v>1266</v>
      </c>
      <c r="B8" s="33" t="n">
        <v>1</v>
      </c>
      <c r="C8" s="53" t="n">
        <v>0</v>
      </c>
      <c r="D8" s="53" t="n">
        <v>0</v>
      </c>
      <c r="E8" s="33" t="n">
        <v>1</v>
      </c>
      <c r="F8" s="33" t="n">
        <v>1</v>
      </c>
      <c r="G8" s="33" t="n">
        <v>1</v>
      </c>
      <c r="H8" s="33" t="n">
        <v>1</v>
      </c>
      <c r="I8" s="33" t="n">
        <v>1</v>
      </c>
      <c r="J8" s="33" t="n">
        <v>1</v>
      </c>
      <c r="K8" s="33" t="n">
        <v>1</v>
      </c>
      <c r="L8" s="33" t="n">
        <v>1</v>
      </c>
      <c r="M8" s="33" t="n">
        <v>1</v>
      </c>
      <c r="N8" s="33" t="n">
        <v>1</v>
      </c>
      <c r="O8" s="33" t="n">
        <v>1</v>
      </c>
      <c r="P8" s="33" t="n">
        <v>1</v>
      </c>
      <c r="Q8" s="33" t="n">
        <v>1</v>
      </c>
      <c r="R8" s="33" t="n">
        <v>1</v>
      </c>
      <c r="S8" s="33" t="n">
        <v>1</v>
      </c>
      <c r="T8" s="33" t="n">
        <v>1</v>
      </c>
      <c r="U8" s="33" t="n">
        <v>1</v>
      </c>
      <c r="V8" s="33" t="n">
        <v>1</v>
      </c>
      <c r="W8" s="33" t="n">
        <v>1</v>
      </c>
      <c r="X8" s="33" t="n">
        <v>1</v>
      </c>
      <c r="Y8" s="33" t="n">
        <v>1</v>
      </c>
      <c r="Z8" s="33" t="n">
        <v>1</v>
      </c>
      <c r="AA8" s="33" t="n">
        <v>1</v>
      </c>
      <c r="AB8" s="33" t="n">
        <v>1</v>
      </c>
      <c r="AC8" s="33" t="n">
        <v>1</v>
      </c>
      <c r="AD8" s="33" t="n">
        <v>1</v>
      </c>
    </row>
    <row r="9" customFormat="false" ht="15" hidden="false" customHeight="false" outlineLevel="0" collapsed="false">
      <c r="A9" s="6" t="s">
        <v>1267</v>
      </c>
      <c r="B9" s="33" t="n">
        <v>1</v>
      </c>
      <c r="C9" s="33" t="n">
        <v>1</v>
      </c>
      <c r="D9" s="33" t="n">
        <v>1</v>
      </c>
      <c r="E9" s="33" t="n">
        <v>1</v>
      </c>
      <c r="F9" s="53" t="n">
        <v>0</v>
      </c>
      <c r="G9" s="33" t="n">
        <v>1</v>
      </c>
      <c r="H9" s="33" t="n">
        <v>1</v>
      </c>
      <c r="I9" s="33" t="n">
        <v>1</v>
      </c>
      <c r="J9" s="33" t="n">
        <v>1</v>
      </c>
      <c r="K9" s="33" t="n">
        <v>1</v>
      </c>
      <c r="L9" s="33" t="n">
        <v>1</v>
      </c>
      <c r="M9" s="33" t="n">
        <v>1</v>
      </c>
      <c r="N9" s="33" t="n">
        <v>1</v>
      </c>
      <c r="O9" s="33" t="n">
        <v>1</v>
      </c>
      <c r="P9" s="33" t="n">
        <v>1</v>
      </c>
      <c r="Q9" s="33" t="n">
        <v>1</v>
      </c>
      <c r="R9" s="33" t="n">
        <v>1</v>
      </c>
      <c r="S9" s="33" t="n">
        <v>1</v>
      </c>
      <c r="T9" s="33" t="n">
        <v>1</v>
      </c>
      <c r="U9" s="33" t="n">
        <v>1</v>
      </c>
      <c r="V9" s="33" t="n">
        <v>1</v>
      </c>
      <c r="W9" s="33" t="n">
        <v>1</v>
      </c>
      <c r="X9" s="33" t="n">
        <v>1</v>
      </c>
      <c r="Y9" s="33" t="n">
        <v>1</v>
      </c>
      <c r="Z9" s="33" t="n">
        <v>1</v>
      </c>
      <c r="AA9" s="33" t="n">
        <v>1</v>
      </c>
      <c r="AB9" s="33" t="n">
        <v>1</v>
      </c>
      <c r="AC9" s="33" t="n">
        <v>1</v>
      </c>
      <c r="AD9" s="33" t="n">
        <v>1</v>
      </c>
    </row>
    <row r="10" customFormat="false" ht="15" hidden="false" customHeight="false" outlineLevel="0" collapsed="false">
      <c r="A10" s="6" t="s">
        <v>1268</v>
      </c>
      <c r="B10" s="85" t="n">
        <v>1</v>
      </c>
      <c r="C10" s="85" t="n">
        <v>1</v>
      </c>
      <c r="D10" s="85" t="n">
        <v>1</v>
      </c>
      <c r="E10" s="85" t="n">
        <v>1</v>
      </c>
      <c r="F10" s="85" t="n">
        <v>1</v>
      </c>
      <c r="G10" s="86" t="n">
        <v>0.8</v>
      </c>
      <c r="H10" s="86" t="n">
        <v>1.2</v>
      </c>
      <c r="I10" s="85" t="n">
        <v>1</v>
      </c>
      <c r="J10" s="85" t="n">
        <v>1</v>
      </c>
      <c r="K10" s="85" t="n">
        <v>1</v>
      </c>
      <c r="L10" s="85" t="n">
        <v>1</v>
      </c>
      <c r="M10" s="85" t="n">
        <v>1</v>
      </c>
      <c r="N10" s="85" t="n">
        <v>1</v>
      </c>
      <c r="O10" s="85" t="n">
        <v>1</v>
      </c>
      <c r="P10" s="85" t="n">
        <v>1</v>
      </c>
      <c r="Q10" s="85" t="n">
        <v>1</v>
      </c>
      <c r="R10" s="85" t="n">
        <v>1</v>
      </c>
      <c r="S10" s="85" t="n">
        <v>1</v>
      </c>
      <c r="T10" s="85" t="n">
        <v>1</v>
      </c>
      <c r="U10" s="85" t="n">
        <v>1</v>
      </c>
      <c r="V10" s="86" t="n">
        <v>0.8</v>
      </c>
      <c r="W10" s="85" t="n">
        <v>1</v>
      </c>
      <c r="X10" s="85" t="n">
        <v>1</v>
      </c>
      <c r="Y10" s="85" t="n">
        <v>1</v>
      </c>
      <c r="Z10" s="85" t="n">
        <v>1</v>
      </c>
      <c r="AA10" s="85" t="n">
        <v>1</v>
      </c>
      <c r="AB10" s="85" t="n">
        <v>1</v>
      </c>
      <c r="AC10" s="85" t="n">
        <v>1</v>
      </c>
      <c r="AD10" s="85" t="n">
        <v>1</v>
      </c>
    </row>
    <row r="11" customFormat="false" ht="15" hidden="false" customHeight="false" outlineLevel="0" collapsed="false">
      <c r="A11" s="6" t="s">
        <v>1269</v>
      </c>
      <c r="B11" s="85" t="n">
        <v>1</v>
      </c>
      <c r="C11" s="85" t="n">
        <v>1</v>
      </c>
      <c r="D11" s="85" t="n">
        <v>1</v>
      </c>
      <c r="E11" s="85" t="n">
        <v>1</v>
      </c>
      <c r="F11" s="85" t="n">
        <v>1</v>
      </c>
      <c r="G11" s="85" t="n">
        <v>1</v>
      </c>
      <c r="H11" s="85" t="n">
        <v>1</v>
      </c>
      <c r="I11" s="86" t="n">
        <v>1.2</v>
      </c>
      <c r="J11" s="86" t="n">
        <v>0.8</v>
      </c>
      <c r="K11" s="85" t="n">
        <v>1</v>
      </c>
      <c r="L11" s="85" t="n">
        <v>1</v>
      </c>
      <c r="M11" s="85" t="n">
        <v>1</v>
      </c>
      <c r="N11" s="85" t="n">
        <v>1</v>
      </c>
      <c r="O11" s="85" t="n">
        <v>1</v>
      </c>
      <c r="P11" s="85" t="n">
        <v>1</v>
      </c>
      <c r="Q11" s="85" t="n">
        <v>1</v>
      </c>
      <c r="R11" s="85" t="n">
        <v>1</v>
      </c>
      <c r="S11" s="85" t="n">
        <v>1</v>
      </c>
      <c r="T11" s="85" t="n">
        <v>1</v>
      </c>
      <c r="U11" s="85" t="n">
        <v>1</v>
      </c>
      <c r="V11" s="86" t="n">
        <v>1.2</v>
      </c>
      <c r="W11" s="85" t="n">
        <v>1</v>
      </c>
      <c r="X11" s="85" t="n">
        <v>1</v>
      </c>
      <c r="Y11" s="85" t="n">
        <v>1</v>
      </c>
      <c r="Z11" s="85" t="n">
        <v>1</v>
      </c>
      <c r="AA11" s="85" t="n">
        <v>1</v>
      </c>
      <c r="AB11" s="85" t="n">
        <v>1</v>
      </c>
      <c r="AC11" s="85" t="n">
        <v>1</v>
      </c>
      <c r="AD11" s="85" t="n">
        <v>1</v>
      </c>
    </row>
    <row r="12" customFormat="false" ht="15" hidden="false" customHeight="false" outlineLevel="0" collapsed="false">
      <c r="A12" s="6" t="s">
        <v>1270</v>
      </c>
      <c r="B12" s="85" t="n">
        <v>1</v>
      </c>
      <c r="C12" s="85" t="n">
        <v>1</v>
      </c>
      <c r="D12" s="85" t="n">
        <v>1</v>
      </c>
      <c r="E12" s="85" t="n">
        <v>1</v>
      </c>
      <c r="F12" s="85" t="n">
        <v>1</v>
      </c>
      <c r="G12" s="85" t="n">
        <v>1</v>
      </c>
      <c r="H12" s="85" t="n">
        <v>1</v>
      </c>
      <c r="I12" s="85" t="n">
        <v>1</v>
      </c>
      <c r="J12" s="85" t="n">
        <v>1</v>
      </c>
      <c r="K12" s="86" t="n">
        <v>1.3</v>
      </c>
      <c r="L12" s="86" t="n">
        <v>0.7</v>
      </c>
      <c r="M12" s="85" t="n">
        <v>1</v>
      </c>
      <c r="N12" s="85" t="n">
        <v>1</v>
      </c>
      <c r="O12" s="85" t="n">
        <v>1</v>
      </c>
      <c r="P12" s="85" t="n">
        <v>1</v>
      </c>
      <c r="Q12" s="85" t="n">
        <v>1</v>
      </c>
      <c r="R12" s="85" t="n">
        <v>1</v>
      </c>
      <c r="S12" s="85" t="n">
        <v>1</v>
      </c>
      <c r="T12" s="85" t="n">
        <v>1</v>
      </c>
      <c r="U12" s="85" t="n">
        <v>1</v>
      </c>
      <c r="V12" s="86" t="n">
        <v>1.3</v>
      </c>
      <c r="W12" s="85" t="n">
        <v>1</v>
      </c>
      <c r="X12" s="85" t="n">
        <v>1</v>
      </c>
      <c r="Y12" s="85" t="n">
        <v>1</v>
      </c>
      <c r="Z12" s="85" t="n">
        <v>1</v>
      </c>
      <c r="AA12" s="85" t="n">
        <v>1</v>
      </c>
      <c r="AB12" s="85" t="n">
        <v>1</v>
      </c>
      <c r="AC12" s="85" t="n">
        <v>1</v>
      </c>
      <c r="AD12" s="85" t="n">
        <v>1</v>
      </c>
    </row>
    <row r="13" customFormat="false" ht="15" hidden="false" customHeight="false" outlineLevel="0" collapsed="false">
      <c r="A13" s="6" t="s">
        <v>283</v>
      </c>
      <c r="B13" s="33" t="n">
        <f aca="false">Quesería!$B$49</f>
        <v>0</v>
      </c>
      <c r="C13" s="53" t="n">
        <v>1</v>
      </c>
      <c r="D13" s="53" t="n">
        <v>1</v>
      </c>
      <c r="E13" s="33" t="n">
        <f aca="false">Quesería!$B$49</f>
        <v>0</v>
      </c>
      <c r="F13" s="33" t="n">
        <f aca="false">Quesería!$B$49</f>
        <v>0</v>
      </c>
      <c r="G13" s="33" t="n">
        <f aca="false">Quesería!$B$49</f>
        <v>0</v>
      </c>
      <c r="H13" s="33" t="n">
        <f aca="false">Quesería!$B$49</f>
        <v>0</v>
      </c>
      <c r="I13" s="33" t="n">
        <f aca="false">Quesería!$B$49</f>
        <v>0</v>
      </c>
      <c r="J13" s="33" t="n">
        <f aca="false">Quesería!$B$49</f>
        <v>0</v>
      </c>
      <c r="K13" s="33" t="n">
        <f aca="false">Quesería!$B$49</f>
        <v>0</v>
      </c>
      <c r="L13" s="33" t="n">
        <f aca="false">Quesería!$B$49</f>
        <v>0</v>
      </c>
      <c r="M13" s="33" t="n">
        <f aca="false">Quesería!$B$49</f>
        <v>0</v>
      </c>
      <c r="N13" s="33" t="n">
        <f aca="false">Quesería!$B$49</f>
        <v>0</v>
      </c>
      <c r="O13" s="33" t="n">
        <f aca="false">Quesería!$B$49</f>
        <v>0</v>
      </c>
      <c r="P13" s="33" t="n">
        <f aca="false">Quesería!$B$49</f>
        <v>0</v>
      </c>
      <c r="Q13" s="33" t="n">
        <f aca="false">Quesería!$B$49</f>
        <v>0</v>
      </c>
      <c r="R13" s="33" t="n">
        <f aca="false">Quesería!$B$49</f>
        <v>0</v>
      </c>
      <c r="S13" s="53" t="n">
        <v>1</v>
      </c>
      <c r="T13" s="33" t="n">
        <f aca="false">Quesería!$B$49</f>
        <v>0</v>
      </c>
      <c r="U13" s="53" t="n">
        <v>1</v>
      </c>
      <c r="V13" s="33" t="n">
        <f aca="false">Quesería!$B$49</f>
        <v>0</v>
      </c>
      <c r="W13" s="53" t="n">
        <v>1</v>
      </c>
      <c r="X13" s="53" t="n">
        <v>1</v>
      </c>
      <c r="Y13" s="33" t="n">
        <f aca="false">Quesería!$B$49</f>
        <v>0</v>
      </c>
      <c r="Z13" s="33" t="n">
        <f aca="false">Quesería!$B$49</f>
        <v>0</v>
      </c>
      <c r="AA13" s="33" t="n">
        <f aca="false">Quesería!$B$49</f>
        <v>0</v>
      </c>
      <c r="AB13" s="33" t="n">
        <f aca="false">Quesería!$B$49</f>
        <v>0</v>
      </c>
      <c r="AC13" s="33" t="n">
        <f aca="false">Quesería!$B$49</f>
        <v>0</v>
      </c>
      <c r="AD13" s="33" t="n">
        <f aca="false">Quesería!$B$49</f>
        <v>0</v>
      </c>
    </row>
    <row r="14" customFormat="false" ht="15" hidden="false" customHeight="false" outlineLevel="0" collapsed="false">
      <c r="A14" s="6" t="s">
        <v>1271</v>
      </c>
      <c r="B14" s="87" t="n">
        <f aca="false">Quesería!$B$45</f>
        <v>0.141</v>
      </c>
      <c r="C14" s="87" t="n">
        <f aca="false">Quesería!$B$45</f>
        <v>0.141</v>
      </c>
      <c r="D14" s="87" t="n">
        <f aca="false">Quesería!$B$45</f>
        <v>0.141</v>
      </c>
      <c r="E14" s="87" t="n">
        <f aca="false">Quesería!$B$45</f>
        <v>0.141</v>
      </c>
      <c r="F14" s="87" t="n">
        <f aca="false">Quesería!$B$45</f>
        <v>0.141</v>
      </c>
      <c r="G14" s="87" t="n">
        <f aca="false">Quesería!$B$45</f>
        <v>0.141</v>
      </c>
      <c r="H14" s="87" t="n">
        <f aca="false">Quesería!$B$45</f>
        <v>0.141</v>
      </c>
      <c r="I14" s="87" t="n">
        <f aca="false">Quesería!$B$45</f>
        <v>0.141</v>
      </c>
      <c r="J14" s="87" t="n">
        <f aca="false">Quesería!$B$45</f>
        <v>0.141</v>
      </c>
      <c r="K14" s="87" t="n">
        <f aca="false">Quesería!$B$45</f>
        <v>0.141</v>
      </c>
      <c r="L14" s="87" t="n">
        <f aca="false">Quesería!$B$45</f>
        <v>0.141</v>
      </c>
      <c r="M14" s="87" t="n">
        <f aca="false">Quesería!$B$45</f>
        <v>0.141</v>
      </c>
      <c r="N14" s="87" t="n">
        <f aca="false">Quesería!$B$45</f>
        <v>0.141</v>
      </c>
      <c r="O14" s="87" t="n">
        <f aca="false">Quesería!$B$45</f>
        <v>0.141</v>
      </c>
      <c r="P14" s="87" t="n">
        <f aca="false">Quesería!$B$45</f>
        <v>0.141</v>
      </c>
      <c r="Q14" s="87" t="n">
        <f aca="false">Quesería!$B$45</f>
        <v>0.141</v>
      </c>
      <c r="R14" s="88" t="n">
        <v>0.157</v>
      </c>
      <c r="S14" s="87" t="n">
        <f aca="false">Quesería!$B$45</f>
        <v>0.141</v>
      </c>
      <c r="T14" s="87" t="n">
        <f aca="false">Quesería!$B$45</f>
        <v>0.141</v>
      </c>
      <c r="U14" s="87" t="n">
        <f aca="false">Quesería!$B$45</f>
        <v>0.141</v>
      </c>
      <c r="V14" s="87" t="n">
        <f aca="false">Quesería!$B$45</f>
        <v>0.141</v>
      </c>
      <c r="W14" s="87" t="n">
        <f aca="false">Quesería!$B$45</f>
        <v>0.141</v>
      </c>
      <c r="X14" s="87" t="n">
        <f aca="false">Quesería!$B$45</f>
        <v>0.141</v>
      </c>
      <c r="Y14" s="87" t="n">
        <f aca="false">Quesería!$B$45</f>
        <v>0.141</v>
      </c>
      <c r="Z14" s="87" t="n">
        <f aca="false">Quesería!$B$45</f>
        <v>0.141</v>
      </c>
      <c r="AA14" s="87" t="n">
        <f aca="false">Quesería!$B$45</f>
        <v>0.141</v>
      </c>
      <c r="AB14" s="87" t="n">
        <f aca="false">Quesería!$B$45</f>
        <v>0.141</v>
      </c>
      <c r="AC14" s="87" t="n">
        <f aca="false">Quesería!$B$45</f>
        <v>0.141</v>
      </c>
      <c r="AD14" s="87" t="n">
        <f aca="false">Quesería!$B$45</f>
        <v>0.141</v>
      </c>
    </row>
    <row r="15" customFormat="false" ht="15" hidden="false" customHeight="false" outlineLevel="0" collapsed="false">
      <c r="A15" s="6" t="s">
        <v>1272</v>
      </c>
      <c r="B15" s="33" t="n">
        <f aca="false">Quesería!$B$7</f>
        <v>1</v>
      </c>
      <c r="C15" s="33" t="n">
        <f aca="false">Quesería!$B$7</f>
        <v>1</v>
      </c>
      <c r="D15" s="33" t="n">
        <f aca="false">Quesería!$B$7</f>
        <v>1</v>
      </c>
      <c r="E15" s="33" t="n">
        <f aca="false">Quesería!$B$7</f>
        <v>1</v>
      </c>
      <c r="F15" s="33" t="n">
        <f aca="false">Quesería!$B$7</f>
        <v>1</v>
      </c>
      <c r="G15" s="33" t="n">
        <f aca="false">Quesería!$B$7</f>
        <v>1</v>
      </c>
      <c r="H15" s="33" t="n">
        <f aca="false">Quesería!$B$7</f>
        <v>1</v>
      </c>
      <c r="I15" s="33" t="n">
        <f aca="false">Quesería!$B$7</f>
        <v>1</v>
      </c>
      <c r="J15" s="33" t="n">
        <f aca="false">Quesería!$B$7</f>
        <v>1</v>
      </c>
      <c r="K15" s="33" t="n">
        <f aca="false">Quesería!$B$7</f>
        <v>1</v>
      </c>
      <c r="L15" s="33" t="n">
        <f aca="false">Quesería!$B$7</f>
        <v>1</v>
      </c>
      <c r="M15" s="53" t="n">
        <v>2</v>
      </c>
      <c r="N15" s="53" t="n">
        <v>3</v>
      </c>
      <c r="O15" s="33" t="n">
        <f aca="false">Quesería!$B$7</f>
        <v>1</v>
      </c>
      <c r="P15" s="33" t="n">
        <f aca="false">Quesería!$B$7</f>
        <v>1</v>
      </c>
      <c r="Q15" s="33" t="n">
        <f aca="false">Quesería!$B$7</f>
        <v>1</v>
      </c>
      <c r="R15" s="33" t="n">
        <f aca="false">Quesería!$B$7</f>
        <v>1</v>
      </c>
      <c r="S15" s="33" t="n">
        <f aca="false">Quesería!$B$7</f>
        <v>1</v>
      </c>
      <c r="T15" s="33" t="n">
        <f aca="false">Quesería!$B$7</f>
        <v>1</v>
      </c>
      <c r="U15" s="33" t="n">
        <f aca="false">Quesería!$B$7</f>
        <v>1</v>
      </c>
      <c r="V15" s="33" t="n">
        <f aca="false">Quesería!$B$7</f>
        <v>1</v>
      </c>
      <c r="W15" s="33" t="n">
        <f aca="false">Quesería!$B$7</f>
        <v>1</v>
      </c>
      <c r="X15" s="33" t="n">
        <f aca="false">Quesería!$B$7</f>
        <v>1</v>
      </c>
      <c r="Y15" s="33" t="n">
        <f aca="false">Quesería!$B$7</f>
        <v>1</v>
      </c>
      <c r="Z15" s="33" t="n">
        <f aca="false">Quesería!$B$7</f>
        <v>1</v>
      </c>
      <c r="AA15" s="33" t="n">
        <f aca="false">Quesería!$B$7</f>
        <v>1</v>
      </c>
      <c r="AB15" s="33" t="n">
        <f aca="false">Quesería!$B$7</f>
        <v>1</v>
      </c>
      <c r="AC15" s="33" t="n">
        <f aca="false">Quesería!$B$7</f>
        <v>1</v>
      </c>
      <c r="AD15" s="33" t="n">
        <f aca="false">Quesería!$B$7</f>
        <v>1</v>
      </c>
    </row>
    <row r="16" customFormat="false" ht="15" hidden="false" customHeight="false" outlineLevel="0" collapsed="false">
      <c r="A16" s="6" t="s">
        <v>1273</v>
      </c>
      <c r="B16" s="87" t="n">
        <f aca="false">Entorno!$B$12</f>
        <v>0.085</v>
      </c>
      <c r="C16" s="87" t="n">
        <f aca="false">Entorno!$B$12</f>
        <v>0.085</v>
      </c>
      <c r="D16" s="87" t="n">
        <f aca="false">Entorno!$B$12</f>
        <v>0.085</v>
      </c>
      <c r="E16" s="87" t="n">
        <f aca="false">Entorno!$B$12</f>
        <v>0.085</v>
      </c>
      <c r="F16" s="87" t="n">
        <f aca="false">Entorno!$B$12</f>
        <v>0.085</v>
      </c>
      <c r="G16" s="87" t="n">
        <f aca="false">Entorno!$B$12</f>
        <v>0.085</v>
      </c>
      <c r="H16" s="87" t="n">
        <f aca="false">Entorno!$B$12</f>
        <v>0.085</v>
      </c>
      <c r="I16" s="87" t="n">
        <f aca="false">Entorno!$B$12</f>
        <v>0.085</v>
      </c>
      <c r="J16" s="87" t="n">
        <f aca="false">Entorno!$B$12</f>
        <v>0.085</v>
      </c>
      <c r="K16" s="87" t="n">
        <f aca="false">Entorno!$B$12</f>
        <v>0.085</v>
      </c>
      <c r="L16" s="87" t="n">
        <f aca="false">Entorno!$B$12</f>
        <v>0.085</v>
      </c>
      <c r="M16" s="87" t="n">
        <f aca="false">Entorno!$B$12</f>
        <v>0.085</v>
      </c>
      <c r="N16" s="87" t="n">
        <f aca="false">Entorno!$B$12</f>
        <v>0.085</v>
      </c>
      <c r="O16" s="88" t="n">
        <v>0.07</v>
      </c>
      <c r="P16" s="88" t="n">
        <v>0.1</v>
      </c>
      <c r="Q16" s="87" t="n">
        <f aca="false">Entorno!$B$12</f>
        <v>0.085</v>
      </c>
      <c r="R16" s="87" t="n">
        <f aca="false">Entorno!$B$12</f>
        <v>0.085</v>
      </c>
      <c r="S16" s="87" t="n">
        <f aca="false">Entorno!$B$12</f>
        <v>0.085</v>
      </c>
      <c r="T16" s="87" t="n">
        <f aca="false">Entorno!$B$12</f>
        <v>0.085</v>
      </c>
      <c r="U16" s="87" t="n">
        <f aca="false">Entorno!$B$12</f>
        <v>0.085</v>
      </c>
      <c r="V16" s="87" t="n">
        <f aca="false">Entorno!$B$12</f>
        <v>0.085</v>
      </c>
      <c r="W16" s="87" t="n">
        <f aca="false">Entorno!$B$12</f>
        <v>0.085</v>
      </c>
      <c r="X16" s="87" t="n">
        <f aca="false">Entorno!$B$12</f>
        <v>0.085</v>
      </c>
      <c r="Y16" s="87" t="n">
        <f aca="false">Entorno!$B$12</f>
        <v>0.085</v>
      </c>
      <c r="Z16" s="87" t="n">
        <f aca="false">Entorno!$B$12</f>
        <v>0.085</v>
      </c>
      <c r="AA16" s="87" t="n">
        <f aca="false">Entorno!$B$12</f>
        <v>0.085</v>
      </c>
      <c r="AB16" s="87" t="n">
        <f aca="false">Entorno!$B$12</f>
        <v>0.085</v>
      </c>
      <c r="AC16" s="87" t="n">
        <f aca="false">Entorno!$B$12</f>
        <v>0.085</v>
      </c>
      <c r="AD16" s="87" t="n">
        <f aca="false">Entorno!$B$12</f>
        <v>0.085</v>
      </c>
    </row>
    <row r="17" customFormat="false" ht="15" hidden="false" customHeight="false" outlineLevel="0" collapsed="false">
      <c r="A17" s="6" t="s">
        <v>295</v>
      </c>
      <c r="B17" s="87" t="n">
        <f aca="false">Quesería!$B$54</f>
        <v>0.35</v>
      </c>
      <c r="C17" s="87" t="n">
        <f aca="false">Quesería!$B$54</f>
        <v>0.35</v>
      </c>
      <c r="D17" s="87" t="n">
        <f aca="false">Quesería!$B$54</f>
        <v>0.35</v>
      </c>
      <c r="E17" s="87" t="n">
        <f aca="false">Quesería!$B$54</f>
        <v>0.35</v>
      </c>
      <c r="F17" s="87" t="n">
        <f aca="false">Quesería!$B$54</f>
        <v>0.35</v>
      </c>
      <c r="G17" s="87" t="n">
        <f aca="false">Quesería!$B$54</f>
        <v>0.35</v>
      </c>
      <c r="H17" s="87" t="n">
        <f aca="false">Quesería!$B$54</f>
        <v>0.35</v>
      </c>
      <c r="I17" s="87" t="n">
        <f aca="false">Quesería!$B$54</f>
        <v>0.35</v>
      </c>
      <c r="J17" s="87" t="n">
        <f aca="false">Quesería!$B$54</f>
        <v>0.35</v>
      </c>
      <c r="K17" s="87" t="n">
        <f aca="false">Quesería!$B$54</f>
        <v>0.35</v>
      </c>
      <c r="L17" s="87" t="n">
        <f aca="false">Quesería!$B$54</f>
        <v>0.35</v>
      </c>
      <c r="M17" s="87" t="n">
        <f aca="false">Quesería!$B$54</f>
        <v>0.35</v>
      </c>
      <c r="N17" s="87" t="n">
        <f aca="false">Quesería!$B$54</f>
        <v>0.35</v>
      </c>
      <c r="O17" s="87" t="n">
        <f aca="false">Quesería!$B$54</f>
        <v>0.35</v>
      </c>
      <c r="P17" s="87" t="n">
        <f aca="false">Quesería!$B$54</f>
        <v>0.35</v>
      </c>
      <c r="Q17" s="88" t="n">
        <v>0.3</v>
      </c>
      <c r="R17" s="87" t="n">
        <f aca="false">Quesería!$B$54</f>
        <v>0.35</v>
      </c>
      <c r="S17" s="87" t="n">
        <f aca="false">Quesería!$B$54</f>
        <v>0.35</v>
      </c>
      <c r="T17" s="87" t="n">
        <f aca="false">Quesería!$B$54</f>
        <v>0.35</v>
      </c>
      <c r="U17" s="87" t="n">
        <f aca="false">Quesería!$B$54</f>
        <v>0.35</v>
      </c>
      <c r="V17" s="87" t="n">
        <f aca="false">Quesería!$B$54</f>
        <v>0.35</v>
      </c>
      <c r="W17" s="87" t="n">
        <f aca="false">Quesería!$B$54</f>
        <v>0.35</v>
      </c>
      <c r="X17" s="87" t="n">
        <f aca="false">Quesería!$B$54</f>
        <v>0.35</v>
      </c>
      <c r="Y17" s="87" t="n">
        <f aca="false">Quesería!$B$54</f>
        <v>0.35</v>
      </c>
      <c r="Z17" s="87" t="n">
        <f aca="false">Quesería!$B$54</f>
        <v>0.35</v>
      </c>
      <c r="AA17" s="87" t="n">
        <f aca="false">Quesería!$B$54</f>
        <v>0.35</v>
      </c>
      <c r="AB17" s="87" t="n">
        <f aca="false">Quesería!$B$54</f>
        <v>0.35</v>
      </c>
      <c r="AC17" s="87" t="n">
        <f aca="false">Quesería!$B$54</f>
        <v>0.35</v>
      </c>
      <c r="AD17" s="87" t="n">
        <f aca="false">Quesería!$B$54</f>
        <v>0.35</v>
      </c>
    </row>
    <row r="18" customFormat="false" ht="15" hidden="false" customHeight="false" outlineLevel="0" collapsed="false">
      <c r="A18" s="6" t="s">
        <v>1274</v>
      </c>
      <c r="B18" s="33" t="n">
        <v>1</v>
      </c>
      <c r="C18" s="33" t="n">
        <v>1</v>
      </c>
      <c r="D18" s="33" t="n">
        <v>1</v>
      </c>
      <c r="E18" s="33" t="n">
        <v>1</v>
      </c>
      <c r="F18" s="33" t="n">
        <v>1</v>
      </c>
      <c r="G18" s="33" t="n">
        <v>1</v>
      </c>
      <c r="H18" s="33" t="n">
        <v>1</v>
      </c>
      <c r="I18" s="33" t="n">
        <v>1</v>
      </c>
      <c r="J18" s="33" t="n">
        <v>1</v>
      </c>
      <c r="K18" s="33" t="n">
        <v>1</v>
      </c>
      <c r="L18" s="33" t="n">
        <v>1</v>
      </c>
      <c r="M18" s="33" t="n">
        <v>1</v>
      </c>
      <c r="N18" s="33" t="n">
        <v>1</v>
      </c>
      <c r="O18" s="33" t="n">
        <v>1</v>
      </c>
      <c r="P18" s="33" t="n">
        <v>1</v>
      </c>
      <c r="Q18" s="33" t="n">
        <v>1</v>
      </c>
      <c r="R18" s="33" t="n">
        <v>1</v>
      </c>
      <c r="S18" s="33" t="n">
        <v>1</v>
      </c>
      <c r="T18" s="33" t="n">
        <v>1</v>
      </c>
      <c r="U18" s="33" t="n">
        <v>1</v>
      </c>
      <c r="V18" s="33" t="n">
        <v>1</v>
      </c>
      <c r="W18" s="53" t="n">
        <v>0</v>
      </c>
      <c r="X18" s="33" t="n">
        <v>1</v>
      </c>
      <c r="Y18" s="33" t="n">
        <v>1</v>
      </c>
      <c r="Z18" s="33" t="n">
        <v>1</v>
      </c>
      <c r="AA18" s="33" t="n">
        <v>1</v>
      </c>
      <c r="AB18" s="33" t="n">
        <v>1</v>
      </c>
      <c r="AC18" s="33" t="n">
        <v>1</v>
      </c>
      <c r="AD18" s="33" t="n">
        <v>1</v>
      </c>
    </row>
    <row r="19" customFormat="false" ht="15" hidden="false" customHeight="false" outlineLevel="0" collapsed="false">
      <c r="A19" s="6" t="s">
        <v>1275</v>
      </c>
      <c r="B19" s="33" t="n">
        <v>1</v>
      </c>
      <c r="C19" s="33" t="n">
        <v>1</v>
      </c>
      <c r="D19" s="33" t="n">
        <v>1</v>
      </c>
      <c r="E19" s="33" t="n">
        <v>1</v>
      </c>
      <c r="F19" s="33" t="n">
        <v>1</v>
      </c>
      <c r="G19" s="33" t="n">
        <v>1</v>
      </c>
      <c r="H19" s="33" t="n">
        <v>1</v>
      </c>
      <c r="I19" s="33" t="n">
        <v>1</v>
      </c>
      <c r="J19" s="33" t="n">
        <v>1</v>
      </c>
      <c r="K19" s="33" t="n">
        <v>1</v>
      </c>
      <c r="L19" s="33" t="n">
        <v>1</v>
      </c>
      <c r="M19" s="33" t="n">
        <v>1</v>
      </c>
      <c r="N19" s="33" t="n">
        <v>1</v>
      </c>
      <c r="O19" s="33" t="n">
        <v>1</v>
      </c>
      <c r="P19" s="33" t="n">
        <v>1</v>
      </c>
      <c r="Q19" s="33" t="n">
        <v>1</v>
      </c>
      <c r="R19" s="33" t="n">
        <v>1</v>
      </c>
      <c r="S19" s="33" t="n">
        <v>1</v>
      </c>
      <c r="T19" s="33" t="n">
        <v>1</v>
      </c>
      <c r="U19" s="33" t="n">
        <v>1</v>
      </c>
      <c r="V19" s="33" t="n">
        <v>1</v>
      </c>
      <c r="W19" s="53" t="n">
        <v>0</v>
      </c>
      <c r="X19" s="53" t="n">
        <v>0</v>
      </c>
      <c r="Y19" s="33" t="n">
        <v>1</v>
      </c>
      <c r="Z19" s="33" t="n">
        <v>1</v>
      </c>
      <c r="AA19" s="33" t="n">
        <v>1</v>
      </c>
      <c r="AB19" s="33" t="n">
        <v>1</v>
      </c>
      <c r="AC19" s="33" t="n">
        <v>1</v>
      </c>
      <c r="AD19" s="33" t="n">
        <v>1</v>
      </c>
    </row>
    <row r="20" customFormat="false" ht="15" hidden="false" customHeight="false" outlineLevel="0" collapsed="false">
      <c r="A20" s="6" t="s">
        <v>1276</v>
      </c>
      <c r="B20" s="33" t="n">
        <f aca="false">Quesería!$B$59</f>
        <v>1</v>
      </c>
      <c r="C20" s="53" t="n">
        <v>0</v>
      </c>
      <c r="D20" s="53" t="n">
        <v>0</v>
      </c>
      <c r="E20" s="33" t="n">
        <f aca="false">Quesería!$B$59</f>
        <v>1</v>
      </c>
      <c r="F20" s="33" t="n">
        <f aca="false">Quesería!$B$59</f>
        <v>1</v>
      </c>
      <c r="G20" s="33" t="n">
        <f aca="false">Quesería!$B$59</f>
        <v>1</v>
      </c>
      <c r="H20" s="33" t="n">
        <f aca="false">Quesería!$B$59</f>
        <v>1</v>
      </c>
      <c r="I20" s="33" t="n">
        <f aca="false">Quesería!$B$59</f>
        <v>1</v>
      </c>
      <c r="J20" s="33" t="n">
        <f aca="false">Quesería!$B$59</f>
        <v>1</v>
      </c>
      <c r="K20" s="33" t="n">
        <f aca="false">Quesería!$B$59</f>
        <v>1</v>
      </c>
      <c r="L20" s="33" t="n">
        <f aca="false">Quesería!$B$59</f>
        <v>1</v>
      </c>
      <c r="M20" s="33" t="n">
        <f aca="false">Quesería!$B$59</f>
        <v>1</v>
      </c>
      <c r="N20" s="33" t="n">
        <f aca="false">Quesería!$B$59</f>
        <v>1</v>
      </c>
      <c r="O20" s="33" t="n">
        <f aca="false">Quesería!$B$59</f>
        <v>1</v>
      </c>
      <c r="P20" s="33" t="n">
        <f aca="false">Quesería!$B$59</f>
        <v>1</v>
      </c>
      <c r="Q20" s="33" t="n">
        <f aca="false">Quesería!$B$59</f>
        <v>1</v>
      </c>
      <c r="R20" s="33" t="n">
        <f aca="false">Quesería!$B$59</f>
        <v>1</v>
      </c>
      <c r="S20" s="33" t="n">
        <f aca="false">Quesería!$B$59</f>
        <v>1</v>
      </c>
      <c r="T20" s="53" t="n">
        <v>0</v>
      </c>
      <c r="U20" s="53" t="n">
        <v>0</v>
      </c>
      <c r="V20" s="33" t="n">
        <f aca="false">Quesería!$B$59</f>
        <v>1</v>
      </c>
      <c r="W20" s="53" t="n">
        <v>0</v>
      </c>
      <c r="X20" s="53" t="n">
        <v>0</v>
      </c>
      <c r="Y20" s="33" t="n">
        <f aca="false">Quesería!$B$59</f>
        <v>1</v>
      </c>
      <c r="Z20" s="33" t="n">
        <f aca="false">Quesería!$B$59</f>
        <v>1</v>
      </c>
      <c r="AA20" s="33" t="n">
        <f aca="false">Quesería!$B$59</f>
        <v>1</v>
      </c>
      <c r="AB20" s="33" t="n">
        <f aca="false">Quesería!$B$59</f>
        <v>1</v>
      </c>
      <c r="AC20" s="33" t="n">
        <f aca="false">Quesería!$B$59</f>
        <v>1</v>
      </c>
      <c r="AD20" s="33" t="n">
        <f aca="false">Quesería!$B$59</f>
        <v>1</v>
      </c>
    </row>
    <row r="21" customFormat="false" ht="15" hidden="false" customHeight="false" outlineLevel="0" collapsed="false">
      <c r="A21" s="6" t="s">
        <v>1277</v>
      </c>
      <c r="B21" s="33" t="n">
        <v>1</v>
      </c>
      <c r="C21" s="33" t="n">
        <v>1</v>
      </c>
      <c r="D21" s="53" t="n">
        <v>0</v>
      </c>
      <c r="E21" s="33" t="n">
        <v>1</v>
      </c>
      <c r="F21" s="33" t="n">
        <v>1</v>
      </c>
      <c r="G21" s="33" t="n">
        <v>1</v>
      </c>
      <c r="H21" s="33" t="n">
        <v>1</v>
      </c>
      <c r="I21" s="33" t="n">
        <v>1</v>
      </c>
      <c r="J21" s="33" t="n">
        <v>1</v>
      </c>
      <c r="K21" s="33" t="n">
        <v>1</v>
      </c>
      <c r="L21" s="33" t="n">
        <v>1</v>
      </c>
      <c r="M21" s="33" t="n">
        <v>1</v>
      </c>
      <c r="N21" s="33" t="n">
        <v>1</v>
      </c>
      <c r="O21" s="33" t="n">
        <v>1</v>
      </c>
      <c r="P21" s="33" t="n">
        <v>1</v>
      </c>
      <c r="Q21" s="33" t="n">
        <v>1</v>
      </c>
      <c r="R21" s="33" t="n">
        <v>1</v>
      </c>
      <c r="S21" s="33" t="n">
        <v>1</v>
      </c>
      <c r="T21" s="33" t="n">
        <v>1</v>
      </c>
      <c r="U21" s="33" t="n">
        <v>1</v>
      </c>
      <c r="V21" s="33" t="n">
        <v>1</v>
      </c>
      <c r="W21" s="33" t="n">
        <v>1</v>
      </c>
      <c r="X21" s="33" t="n">
        <v>1</v>
      </c>
      <c r="Y21" s="53" t="n">
        <v>0</v>
      </c>
      <c r="Z21" s="33" t="n">
        <v>1</v>
      </c>
      <c r="AA21" s="33" t="n">
        <v>1</v>
      </c>
      <c r="AB21" s="33" t="n">
        <v>1</v>
      </c>
      <c r="AC21" s="33" t="n">
        <v>1</v>
      </c>
      <c r="AD21" s="33" t="n">
        <v>1</v>
      </c>
    </row>
    <row r="22" customFormat="false" ht="15" hidden="false" customHeight="false" outlineLevel="0" collapsed="false">
      <c r="A22" s="6" t="s">
        <v>1278</v>
      </c>
      <c r="B22" s="33" t="n">
        <v>0</v>
      </c>
      <c r="C22" s="53" t="n">
        <v>1</v>
      </c>
      <c r="D22" s="53" t="n">
        <v>1</v>
      </c>
      <c r="E22" s="33" t="n">
        <v>0</v>
      </c>
      <c r="F22" s="33" t="n">
        <v>0</v>
      </c>
      <c r="G22" s="33" t="n">
        <v>0</v>
      </c>
      <c r="H22" s="33" t="n">
        <v>0</v>
      </c>
      <c r="I22" s="33" t="n">
        <v>0</v>
      </c>
      <c r="J22" s="33" t="n">
        <v>0</v>
      </c>
      <c r="K22" s="33" t="n">
        <v>0</v>
      </c>
      <c r="L22" s="33" t="n">
        <v>0</v>
      </c>
      <c r="M22" s="33" t="n">
        <v>0</v>
      </c>
      <c r="N22" s="33" t="n">
        <v>0</v>
      </c>
      <c r="O22" s="33" t="n">
        <v>0</v>
      </c>
      <c r="P22" s="33" t="n">
        <v>0</v>
      </c>
      <c r="Q22" s="33" t="n">
        <v>0</v>
      </c>
      <c r="R22" s="33" t="n">
        <v>0</v>
      </c>
      <c r="S22" s="33" t="n">
        <v>0</v>
      </c>
      <c r="T22" s="33" t="n">
        <v>0</v>
      </c>
      <c r="U22" s="33" t="n">
        <v>0</v>
      </c>
      <c r="V22" s="33" t="n">
        <v>0</v>
      </c>
      <c r="W22" s="33" t="n">
        <v>0</v>
      </c>
      <c r="X22" s="33" t="n">
        <v>0</v>
      </c>
      <c r="Y22" s="33" t="n">
        <v>0</v>
      </c>
      <c r="Z22" s="33" t="n">
        <v>0</v>
      </c>
      <c r="AA22" s="33" t="n">
        <v>0</v>
      </c>
      <c r="AB22" s="33" t="n">
        <v>0</v>
      </c>
      <c r="AC22" s="33" t="n">
        <v>0</v>
      </c>
      <c r="AD22" s="33" t="n">
        <v>0</v>
      </c>
    </row>
    <row r="23" customFormat="false" ht="15" hidden="false" customHeight="false" outlineLevel="0" collapsed="false">
      <c r="A23" s="6" t="s">
        <v>1279</v>
      </c>
      <c r="B23" s="33" t="n">
        <v>1</v>
      </c>
      <c r="C23" s="33" t="n">
        <v>1</v>
      </c>
      <c r="D23" s="33" t="n">
        <v>1</v>
      </c>
      <c r="E23" s="53" t="n">
        <v>0</v>
      </c>
      <c r="F23" s="33" t="n">
        <v>1</v>
      </c>
      <c r="G23" s="33" t="n">
        <v>1</v>
      </c>
      <c r="H23" s="33" t="n">
        <v>1</v>
      </c>
      <c r="I23" s="33" t="n">
        <v>1</v>
      </c>
      <c r="J23" s="33" t="n">
        <v>1</v>
      </c>
      <c r="K23" s="33" t="n">
        <v>1</v>
      </c>
      <c r="L23" s="33" t="n">
        <v>1</v>
      </c>
      <c r="M23" s="33" t="n">
        <v>1</v>
      </c>
      <c r="N23" s="33" t="n">
        <v>1</v>
      </c>
      <c r="O23" s="33" t="n">
        <v>1</v>
      </c>
      <c r="P23" s="33" t="n">
        <v>1</v>
      </c>
      <c r="Q23" s="33" t="n">
        <v>1</v>
      </c>
      <c r="R23" s="33" t="n">
        <v>1</v>
      </c>
      <c r="S23" s="33" t="n">
        <v>1</v>
      </c>
      <c r="T23" s="33" t="n">
        <v>1</v>
      </c>
      <c r="U23" s="33" t="n">
        <v>1</v>
      </c>
      <c r="V23" s="33" t="n">
        <v>1</v>
      </c>
      <c r="W23" s="33" t="n">
        <v>1</v>
      </c>
      <c r="X23" s="33" t="n">
        <v>1</v>
      </c>
      <c r="Y23" s="33" t="n">
        <v>1</v>
      </c>
      <c r="Z23" s="33" t="n">
        <v>1</v>
      </c>
      <c r="AA23" s="33" t="n">
        <v>1</v>
      </c>
      <c r="AB23" s="33" t="n">
        <v>1</v>
      </c>
      <c r="AC23" s="33" t="n">
        <v>1</v>
      </c>
      <c r="AD23" s="33" t="n">
        <v>1</v>
      </c>
    </row>
    <row r="24" customFormat="false" ht="15" hidden="false" customHeight="false" outlineLevel="0" collapsed="false">
      <c r="A24" s="6" t="s">
        <v>1280</v>
      </c>
      <c r="B24" s="33" t="n">
        <v>1</v>
      </c>
      <c r="C24" s="33" t="n">
        <v>1</v>
      </c>
      <c r="D24" s="33" t="n">
        <v>1</v>
      </c>
      <c r="E24" s="33" t="n">
        <v>1</v>
      </c>
      <c r="F24" s="33" t="n">
        <v>1</v>
      </c>
      <c r="G24" s="33" t="n">
        <v>1</v>
      </c>
      <c r="H24" s="33" t="n">
        <v>1</v>
      </c>
      <c r="I24" s="33" t="n">
        <v>1</v>
      </c>
      <c r="J24" s="33" t="n">
        <v>1</v>
      </c>
      <c r="K24" s="33" t="n">
        <v>1</v>
      </c>
      <c r="L24" s="33" t="n">
        <v>1</v>
      </c>
      <c r="M24" s="33" t="n">
        <v>1</v>
      </c>
      <c r="N24" s="33" t="n">
        <v>1</v>
      </c>
      <c r="O24" s="33" t="n">
        <v>1</v>
      </c>
      <c r="P24" s="33" t="n">
        <v>1</v>
      </c>
      <c r="Q24" s="33" t="n">
        <v>1</v>
      </c>
      <c r="R24" s="33" t="n">
        <v>1</v>
      </c>
      <c r="S24" s="33" t="n">
        <v>1</v>
      </c>
      <c r="T24" s="33" t="n">
        <v>1</v>
      </c>
      <c r="U24" s="33" t="n">
        <v>1</v>
      </c>
      <c r="V24" s="33" t="n">
        <v>1</v>
      </c>
      <c r="W24" s="33" t="n">
        <v>1</v>
      </c>
      <c r="X24" s="33" t="n">
        <v>1</v>
      </c>
      <c r="Y24" s="33" t="n">
        <v>1</v>
      </c>
      <c r="Z24" s="53" t="n">
        <v>0</v>
      </c>
      <c r="AA24" s="33" t="n">
        <v>1</v>
      </c>
      <c r="AB24" s="33" t="n">
        <v>1</v>
      </c>
      <c r="AC24" s="33" t="n">
        <v>1</v>
      </c>
      <c r="AD24" s="33" t="n">
        <v>1</v>
      </c>
    </row>
    <row r="25" customFormat="false" ht="15" hidden="false" customHeight="false" outlineLevel="0" collapsed="false">
      <c r="A25" s="6" t="s">
        <v>1281</v>
      </c>
      <c r="B25" s="33" t="n">
        <v>1</v>
      </c>
      <c r="C25" s="33" t="n">
        <v>1</v>
      </c>
      <c r="D25" s="33" t="n">
        <v>1</v>
      </c>
      <c r="E25" s="33" t="n">
        <v>1</v>
      </c>
      <c r="F25" s="33" t="n">
        <v>1</v>
      </c>
      <c r="G25" s="33" t="n">
        <v>1</v>
      </c>
      <c r="H25" s="33" t="n">
        <v>1</v>
      </c>
      <c r="I25" s="33" t="n">
        <v>1</v>
      </c>
      <c r="J25" s="33" t="n">
        <v>1</v>
      </c>
      <c r="K25" s="33" t="n">
        <v>1</v>
      </c>
      <c r="L25" s="33" t="n">
        <v>1</v>
      </c>
      <c r="M25" s="33" t="n">
        <v>1</v>
      </c>
      <c r="N25" s="33" t="n">
        <v>1</v>
      </c>
      <c r="O25" s="33" t="n">
        <v>1</v>
      </c>
      <c r="P25" s="33" t="n">
        <v>1</v>
      </c>
      <c r="Q25" s="33" t="n">
        <v>1</v>
      </c>
      <c r="R25" s="33" t="n">
        <v>1</v>
      </c>
      <c r="S25" s="33" t="n">
        <v>1</v>
      </c>
      <c r="T25" s="33" t="n">
        <v>1</v>
      </c>
      <c r="U25" s="33" t="n">
        <v>1</v>
      </c>
      <c r="V25" s="33" t="n">
        <v>1</v>
      </c>
      <c r="W25" s="33" t="n">
        <v>1</v>
      </c>
      <c r="X25" s="33" t="n">
        <v>1</v>
      </c>
      <c r="Y25" s="33" t="n">
        <v>1</v>
      </c>
      <c r="Z25" s="33" t="n">
        <v>1</v>
      </c>
      <c r="AA25" s="53" t="n">
        <v>0</v>
      </c>
      <c r="AB25" s="33" t="n">
        <v>1</v>
      </c>
      <c r="AC25" s="33" t="n">
        <v>1</v>
      </c>
      <c r="AD25" s="33" t="n">
        <v>1</v>
      </c>
    </row>
    <row r="26" customFormat="false" ht="15" hidden="false" customHeight="false" outlineLevel="0" collapsed="false">
      <c r="A26" s="6" t="s">
        <v>1282</v>
      </c>
      <c r="B26" s="33" t="n">
        <v>0</v>
      </c>
      <c r="C26" s="33" t="n">
        <v>0</v>
      </c>
      <c r="D26" s="33" t="n">
        <v>0</v>
      </c>
      <c r="E26" s="33" t="n">
        <v>0</v>
      </c>
      <c r="F26" s="33" t="n">
        <v>0</v>
      </c>
      <c r="G26" s="33" t="n">
        <v>0</v>
      </c>
      <c r="H26" s="33" t="n">
        <v>0</v>
      </c>
      <c r="I26" s="33" t="n">
        <v>0</v>
      </c>
      <c r="J26" s="33" t="n">
        <v>0</v>
      </c>
      <c r="K26" s="33" t="n">
        <v>0</v>
      </c>
      <c r="L26" s="33" t="n">
        <v>0</v>
      </c>
      <c r="M26" s="33" t="n">
        <v>0</v>
      </c>
      <c r="N26" s="33" t="n">
        <v>0</v>
      </c>
      <c r="O26" s="33" t="n">
        <v>0</v>
      </c>
      <c r="P26" s="33" t="n">
        <v>0</v>
      </c>
      <c r="Q26" s="33" t="n">
        <v>0</v>
      </c>
      <c r="R26" s="33" t="n">
        <v>0</v>
      </c>
      <c r="S26" s="33" t="n">
        <v>0</v>
      </c>
      <c r="T26" s="33" t="n">
        <v>0</v>
      </c>
      <c r="U26" s="33" t="n">
        <v>0</v>
      </c>
      <c r="V26" s="33" t="n">
        <v>0</v>
      </c>
      <c r="W26" s="33" t="n">
        <v>0</v>
      </c>
      <c r="X26" s="33" t="n">
        <v>0</v>
      </c>
      <c r="Y26" s="33" t="n">
        <v>0</v>
      </c>
      <c r="Z26" s="33" t="n">
        <v>0</v>
      </c>
      <c r="AA26" s="33" t="n">
        <v>0</v>
      </c>
      <c r="AB26" s="53" t="n">
        <v>1</v>
      </c>
      <c r="AC26" s="53" t="n">
        <v>1</v>
      </c>
      <c r="AD26" s="53" t="n">
        <v>1</v>
      </c>
    </row>
    <row r="27" customFormat="false" ht="15" hidden="false" customHeight="false" outlineLevel="0" collapsed="false">
      <c r="A27" s="6" t="s">
        <v>1283</v>
      </c>
      <c r="B27" s="33" t="n">
        <v>1</v>
      </c>
      <c r="C27" s="33" t="n">
        <v>1</v>
      </c>
      <c r="D27" s="33" t="n">
        <v>1</v>
      </c>
      <c r="E27" s="33" t="n">
        <v>1</v>
      </c>
      <c r="F27" s="33" t="n">
        <v>1</v>
      </c>
      <c r="G27" s="33" t="n">
        <v>1</v>
      </c>
      <c r="H27" s="33" t="n">
        <v>1</v>
      </c>
      <c r="I27" s="33" t="n">
        <v>1</v>
      </c>
      <c r="J27" s="33" t="n">
        <v>1</v>
      </c>
      <c r="K27" s="33" t="n">
        <v>1</v>
      </c>
      <c r="L27" s="33" t="n">
        <v>1</v>
      </c>
      <c r="M27" s="33" t="n">
        <v>1</v>
      </c>
      <c r="N27" s="33" t="n">
        <v>1</v>
      </c>
      <c r="O27" s="33" t="n">
        <v>1</v>
      </c>
      <c r="P27" s="33" t="n">
        <v>1</v>
      </c>
      <c r="Q27" s="33" t="n">
        <v>1</v>
      </c>
      <c r="R27" s="33" t="n">
        <v>1</v>
      </c>
      <c r="S27" s="33" t="n">
        <v>1</v>
      </c>
      <c r="T27" s="33" t="n">
        <v>1</v>
      </c>
      <c r="U27" s="33" t="n">
        <v>1</v>
      </c>
      <c r="V27" s="33" t="n">
        <v>1</v>
      </c>
      <c r="W27" s="33" t="n">
        <v>1</v>
      </c>
      <c r="X27" s="33" t="n">
        <v>1</v>
      </c>
      <c r="Y27" s="33" t="n">
        <v>1</v>
      </c>
      <c r="Z27" s="33" t="n">
        <v>1</v>
      </c>
      <c r="AA27" s="33" t="n">
        <v>1</v>
      </c>
      <c r="AB27" s="33" t="n">
        <v>1</v>
      </c>
      <c r="AC27" s="53" t="n">
        <v>0</v>
      </c>
      <c r="AD27" s="33" t="n">
        <v>1</v>
      </c>
    </row>
    <row r="28" customFormat="false" ht="15" hidden="false" customHeight="false" outlineLevel="0" collapsed="false">
      <c r="A28" s="6" t="s">
        <v>1284</v>
      </c>
      <c r="B28" s="89" t="n">
        <f aca="false">CHOOSE(B$15,Entorno!$M$7,Entorno!$M$8,Entorno!$M$9)-CHOOSE(Quesería!$B$7,Entorno!$M$7,Entorno!$M$8,Entorno!$M$9)</f>
        <v>0</v>
      </c>
      <c r="C28" s="89" t="n">
        <f aca="false">CHOOSE(C$15,Entorno!$M$7,Entorno!$M$8,Entorno!$M$9)-CHOOSE(Quesería!$B$7,Entorno!$M$7,Entorno!$M$8,Entorno!$M$9)</f>
        <v>0</v>
      </c>
      <c r="D28" s="89" t="n">
        <f aca="false">CHOOSE(D$15,Entorno!$M$7,Entorno!$M$8,Entorno!$M$9)-CHOOSE(Quesería!$B$7,Entorno!$M$7,Entorno!$M$8,Entorno!$M$9)</f>
        <v>0</v>
      </c>
      <c r="E28" s="89" t="n">
        <f aca="false">CHOOSE(E$15,Entorno!$M$7,Entorno!$M$8,Entorno!$M$9)-CHOOSE(Quesería!$B$7,Entorno!$M$7,Entorno!$M$8,Entorno!$M$9)</f>
        <v>0</v>
      </c>
      <c r="F28" s="89" t="n">
        <f aca="false">CHOOSE(F$15,Entorno!$M$7,Entorno!$M$8,Entorno!$M$9)-CHOOSE(Quesería!$B$7,Entorno!$M$7,Entorno!$M$8,Entorno!$M$9)</f>
        <v>0</v>
      </c>
      <c r="G28" s="89" t="n">
        <f aca="false">CHOOSE(G$15,Entorno!$M$7,Entorno!$M$8,Entorno!$M$9)-CHOOSE(Quesería!$B$7,Entorno!$M$7,Entorno!$M$8,Entorno!$M$9)</f>
        <v>0</v>
      </c>
      <c r="H28" s="89" t="n">
        <f aca="false">CHOOSE(H$15,Entorno!$M$7,Entorno!$M$8,Entorno!$M$9)-CHOOSE(Quesería!$B$7,Entorno!$M$7,Entorno!$M$8,Entorno!$M$9)</f>
        <v>0</v>
      </c>
      <c r="I28" s="89" t="n">
        <f aca="false">CHOOSE(I$15,Entorno!$M$7,Entorno!$M$8,Entorno!$M$9)-CHOOSE(Quesería!$B$7,Entorno!$M$7,Entorno!$M$8,Entorno!$M$9)</f>
        <v>0</v>
      </c>
      <c r="J28" s="89" t="n">
        <f aca="false">CHOOSE(J$15,Entorno!$M$7,Entorno!$M$8,Entorno!$M$9)-CHOOSE(Quesería!$B$7,Entorno!$M$7,Entorno!$M$8,Entorno!$M$9)</f>
        <v>0</v>
      </c>
      <c r="K28" s="89" t="n">
        <f aca="false">CHOOSE(K$15,Entorno!$M$7,Entorno!$M$8,Entorno!$M$9)-CHOOSE(Quesería!$B$7,Entorno!$M$7,Entorno!$M$8,Entorno!$M$9)</f>
        <v>0</v>
      </c>
      <c r="L28" s="89" t="n">
        <f aca="false">CHOOSE(L$15,Entorno!$M$7,Entorno!$M$8,Entorno!$M$9)-CHOOSE(Quesería!$B$7,Entorno!$M$7,Entorno!$M$8,Entorno!$M$9)</f>
        <v>0</v>
      </c>
      <c r="M28" s="89" t="n">
        <f aca="false">CHOOSE(M$15,Entorno!$M$7,Entorno!$M$8,Entorno!$M$9)-CHOOSE(Quesería!$B$7,Entorno!$M$7,Entorno!$M$8,Entorno!$M$9)</f>
        <v>-0.0056452160663476</v>
      </c>
      <c r="N28" s="89" t="n">
        <f aca="false">CHOOSE(N$15,Entorno!$M$7,Entorno!$M$8,Entorno!$M$9)-CHOOSE(Quesería!$B$7,Entorno!$M$7,Entorno!$M$8,Entorno!$M$9)</f>
        <v>0.021836072393618</v>
      </c>
      <c r="O28" s="89" t="n">
        <f aca="false">CHOOSE(O$15,Entorno!$M$7,Entorno!$M$8,Entorno!$M$9)-CHOOSE(Quesería!$B$7,Entorno!$M$7,Entorno!$M$8,Entorno!$M$9)</f>
        <v>0</v>
      </c>
      <c r="P28" s="89" t="n">
        <f aca="false">CHOOSE(P$15,Entorno!$M$7,Entorno!$M$8,Entorno!$M$9)-CHOOSE(Quesería!$B$7,Entorno!$M$7,Entorno!$M$8,Entorno!$M$9)</f>
        <v>0</v>
      </c>
      <c r="Q28" s="89" t="n">
        <f aca="false">CHOOSE(Q$15,Entorno!$M$7,Entorno!$M$8,Entorno!$M$9)-CHOOSE(Quesería!$B$7,Entorno!$M$7,Entorno!$M$8,Entorno!$M$9)</f>
        <v>0</v>
      </c>
      <c r="R28" s="89" t="n">
        <f aca="false">CHOOSE(R$15,Entorno!$M$7,Entorno!$M$8,Entorno!$M$9)-CHOOSE(Quesería!$B$7,Entorno!$M$7,Entorno!$M$8,Entorno!$M$9)</f>
        <v>0</v>
      </c>
      <c r="S28" s="89" t="n">
        <f aca="false">CHOOSE(S$15,Entorno!$M$7,Entorno!$M$8,Entorno!$M$9)-CHOOSE(Quesería!$B$7,Entorno!$M$7,Entorno!$M$8,Entorno!$M$9)</f>
        <v>0</v>
      </c>
      <c r="T28" s="89" t="n">
        <f aca="false">CHOOSE(T$15,Entorno!$M$7,Entorno!$M$8,Entorno!$M$9)-CHOOSE(Quesería!$B$7,Entorno!$M$7,Entorno!$M$8,Entorno!$M$9)</f>
        <v>0</v>
      </c>
      <c r="U28" s="89" t="n">
        <f aca="false">CHOOSE(U$15,Entorno!$M$7,Entorno!$M$8,Entorno!$M$9)-CHOOSE(Quesería!$B$7,Entorno!$M$7,Entorno!$M$8,Entorno!$M$9)</f>
        <v>0</v>
      </c>
      <c r="V28" s="89" t="n">
        <f aca="false">CHOOSE(V$15,Entorno!$M$7,Entorno!$M$8,Entorno!$M$9)-CHOOSE(Quesería!$B$7,Entorno!$M$7,Entorno!$M$8,Entorno!$M$9)</f>
        <v>0</v>
      </c>
      <c r="W28" s="89" t="n">
        <f aca="false">CHOOSE(W$15,Entorno!$M$7,Entorno!$M$8,Entorno!$M$9)-CHOOSE(Quesería!$B$7,Entorno!$M$7,Entorno!$M$8,Entorno!$M$9)</f>
        <v>0</v>
      </c>
      <c r="X28" s="89" t="n">
        <f aca="false">CHOOSE(X$15,Entorno!$M$7,Entorno!$M$8,Entorno!$M$9)-CHOOSE(Quesería!$B$7,Entorno!$M$7,Entorno!$M$8,Entorno!$M$9)</f>
        <v>0</v>
      </c>
      <c r="Y28" s="89" t="n">
        <f aca="false">CHOOSE(Y$15,Entorno!$M$7,Entorno!$M$8,Entorno!$M$9)-CHOOSE(Quesería!$B$7,Entorno!$M$7,Entorno!$M$8,Entorno!$M$9)</f>
        <v>0</v>
      </c>
      <c r="Z28" s="89" t="n">
        <f aca="false">CHOOSE(Z$15,Entorno!$M$7,Entorno!$M$8,Entorno!$M$9)-CHOOSE(Quesería!$B$7,Entorno!$M$7,Entorno!$M$8,Entorno!$M$9)</f>
        <v>0</v>
      </c>
      <c r="AA28" s="89" t="n">
        <f aca="false">CHOOSE(AA$15,Entorno!$M$7,Entorno!$M$8,Entorno!$M$9)-CHOOSE(Quesería!$B$7,Entorno!$M$7,Entorno!$M$8,Entorno!$M$9)</f>
        <v>0</v>
      </c>
      <c r="AB28" s="89" t="n">
        <f aca="false">CHOOSE(AB$15,Entorno!$M$7,Entorno!$M$8,Entorno!$M$9)-CHOOSE(Quesería!$B$7,Entorno!$M$7,Entorno!$M$8,Entorno!$M$9)</f>
        <v>0</v>
      </c>
      <c r="AC28" s="89" t="n">
        <f aca="false">CHOOSE(AC$15,Entorno!$M$7,Entorno!$M$8,Entorno!$M$9)-CHOOSE(Quesería!$B$7,Entorno!$M$7,Entorno!$M$8,Entorno!$M$9)</f>
        <v>0</v>
      </c>
      <c r="AD28" s="89" t="n">
        <f aca="false">CHOOSE(AD$15,Entorno!$M$7,Entorno!$M$8,Entorno!$M$9)-CHOOSE(Quesería!$B$7,Entorno!$M$7,Entorno!$M$8,Entorno!$M$9)</f>
        <v>0</v>
      </c>
    </row>
    <row r="29" customFormat="false" ht="15" hidden="false" customHeight="false" outlineLevel="0" collapsed="false">
      <c r="A29" s="5" t="s">
        <v>12</v>
      </c>
      <c r="B29" s="90" t="n">
        <f aca="false">IF(B$18=1,Quesería!$B$44*(B$14+B$28+B$13*Quesería!$B$51*1.19)*(1-B$17)+(1-Quesería!$B$44)*(Quesería!$B$11+B$28),Quesería!$B$8+B$28)</f>
        <v>0.1470725</v>
      </c>
      <c r="C29" s="90" t="n">
        <f aca="false">IF(C$18=1,Quesería!$B$44*(C$14+C$28+C$13*Quesería!$B$51*1.19)*(1-C$17)+(1-Quesería!$B$44)*(Quesería!$B$11+C$28),Quesería!$B$8+C$28)</f>
        <v>0.1570777225</v>
      </c>
      <c r="D29" s="90" t="n">
        <f aca="false">IF(D$18=1,Quesería!$B$44*(D$14+D$28+D$13*Quesería!$B$51*1.19)*(1-D$17)+(1-Quesería!$B$44)*(Quesería!$B$11+D$28),Quesería!$B$8+D$28)</f>
        <v>0.1570777225</v>
      </c>
      <c r="E29" s="90" t="n">
        <f aca="false">IF(E$18=1,Quesería!$B$44*(E$14+E$28+E$13*Quesería!$B$51*1.19)*(1-E$17)+(1-Quesería!$B$44)*(Quesería!$B$11+E$28),Quesería!$B$8+E$28)</f>
        <v>0.1470725</v>
      </c>
      <c r="F29" s="90" t="n">
        <f aca="false">IF(F$18=1,Quesería!$B$44*(F$14+F$28+F$13*Quesería!$B$51*1.19)*(1-F$17)+(1-Quesería!$B$44)*(Quesería!$B$11+F$28),Quesería!$B$8+F$28)</f>
        <v>0.1470725</v>
      </c>
      <c r="G29" s="90" t="n">
        <f aca="false">IF(G$18=1,Quesería!$B$44*(G$14+G$28+G$13*Quesería!$B$51*1.19)*(1-G$17)+(1-Quesería!$B$44)*(Quesería!$B$11+G$28),Quesería!$B$8+G$28)</f>
        <v>0.1470725</v>
      </c>
      <c r="H29" s="90" t="n">
        <f aca="false">IF(H$18=1,Quesería!$B$44*(H$14+H$28+H$13*Quesería!$B$51*1.19)*(1-H$17)+(1-Quesería!$B$44)*(Quesería!$B$11+H$28),Quesería!$B$8+H$28)</f>
        <v>0.1470725</v>
      </c>
      <c r="I29" s="90" t="n">
        <f aca="false">IF(I$18=1,Quesería!$B$44*(I$14+I$28+I$13*Quesería!$B$51*1.19)*(1-I$17)+(1-Quesería!$B$44)*(Quesería!$B$11+I$28),Quesería!$B$8+I$28)</f>
        <v>0.1470725</v>
      </c>
      <c r="J29" s="90" t="n">
        <f aca="false">IF(J$18=1,Quesería!$B$44*(J$14+J$28+J$13*Quesería!$B$51*1.19)*(1-J$17)+(1-Quesería!$B$44)*(Quesería!$B$11+J$28),Quesería!$B$8+J$28)</f>
        <v>0.1470725</v>
      </c>
      <c r="K29" s="90" t="n">
        <f aca="false">IF(K$18=1,Quesería!$B$44*(K$14+K$28+K$13*Quesería!$B$51*1.19)*(1-K$17)+(1-Quesería!$B$44)*(Quesería!$B$11+K$28),Quesería!$B$8+K$28)</f>
        <v>0.1470725</v>
      </c>
      <c r="L29" s="90" t="n">
        <f aca="false">IF(L$18=1,Quesería!$B$44*(L$14+L$28+L$13*Quesería!$B$51*1.19)*(1-L$17)+(1-Quesería!$B$44)*(Quesería!$B$11+L$28),Quesería!$B$8+L$28)</f>
        <v>0.1470725</v>
      </c>
      <c r="M29" s="90" t="n">
        <f aca="false">IF(M$18=1,Quesería!$B$44*(M$14+M$28+M$13*Quesería!$B$51*1.19)*(1-M$17)+(1-Quesería!$B$44)*(Quesería!$B$11+M$28),Quesería!$B$8+M$28)</f>
        <v>0.142711570588746</v>
      </c>
      <c r="N29" s="90" t="n">
        <f aca="false">IF(N$18=1,Quesería!$B$44*(N$14+N$28+N$13*Quesería!$B$51*1.19)*(1-N$17)+(1-Quesería!$B$44)*(Quesería!$B$11+N$28),Quesería!$B$8+N$28)</f>
        <v>0.16394086592407</v>
      </c>
      <c r="O29" s="90" t="n">
        <f aca="false">IF(O$18=1,Quesería!$B$44*(O$14+O$28+O$13*Quesería!$B$51*1.19)*(1-O$17)+(1-Quesería!$B$44)*(Quesería!$B$11+O$28),Quesería!$B$8+O$28)</f>
        <v>0.1470725</v>
      </c>
      <c r="P29" s="90" t="n">
        <f aca="false">IF(P$18=1,Quesería!$B$44*(P$14+P$28+P$13*Quesería!$B$51*1.19)*(1-P$17)+(1-Quesería!$B$44)*(Quesería!$B$11+P$28),Quesería!$B$8+P$28)</f>
        <v>0.1470725</v>
      </c>
      <c r="Q29" s="90" t="n">
        <f aca="false">IF(Q$18=1,Quesería!$B$44*(Q$14+Q$28+Q$13*Quesería!$B$51*1.19)*(1-Q$17)+(1-Quesería!$B$44)*(Quesería!$B$11+Q$28),Quesería!$B$8+Q$28)</f>
        <v>0.151655</v>
      </c>
      <c r="R29" s="90" t="n">
        <f aca="false">IF(R$18=1,Quesería!$B$44*(R$14+R$28+R$13*Quesería!$B$51*1.19)*(1-R$17)+(1-Quesería!$B$44)*(Quesería!$B$11+R$28),Quesería!$B$8+R$28)</f>
        <v>0.1538325</v>
      </c>
      <c r="S29" s="90" t="n">
        <f aca="false">IF(S$18=1,Quesería!$B$44*(S$14+S$28+S$13*Quesería!$B$51*1.19)*(1-S$17)+(1-Quesería!$B$44)*(Quesería!$B$11+S$28),Quesería!$B$8+S$28)</f>
        <v>0.1570777225</v>
      </c>
      <c r="T29" s="90" t="n">
        <f aca="false">IF(T$18=1,Quesería!$B$44*(T$14+T$28+T$13*Quesería!$B$51*1.19)*(1-T$17)+(1-Quesería!$B$44)*(Quesería!$B$11+T$28),Quesería!$B$8+T$28)</f>
        <v>0.1470725</v>
      </c>
      <c r="U29" s="90" t="n">
        <f aca="false">IF(U$18=1,Quesería!$B$44*(U$14+U$28+U$13*Quesería!$B$51*1.19)*(1-U$17)+(1-Quesería!$B$44)*(Quesería!$B$11+U$28),Quesería!$B$8+U$28)</f>
        <v>0.1570777225</v>
      </c>
      <c r="V29" s="90" t="n">
        <f aca="false">IF(V$18=1,Quesería!$B$44*(V$14+V$28+V$13*Quesería!$B$51*1.19)*(1-V$17)+(1-Quesería!$B$44)*(Quesería!$B$11+V$28),Quesería!$B$8+V$28)</f>
        <v>0.1470725</v>
      </c>
      <c r="W29" s="90" t="n">
        <f aca="false">IF(W$18=1,Quesería!$B$44*(W$14+W$28+W$13*Quesería!$B$51*1.19)*(1-W$17)+(1-Quesería!$B$44)*(Quesería!$B$11+W$28),Quesería!$B$8+W$28)</f>
        <v>0.16</v>
      </c>
      <c r="X29" s="90" t="n">
        <f aca="false">IF(X$18=1,Quesería!$B$44*(X$14+X$28+X$13*Quesería!$B$51*1.19)*(1-X$17)+(1-Quesería!$B$44)*(Quesería!$B$11+X$28),Quesería!$B$8+X$28)</f>
        <v>0.1570777225</v>
      </c>
      <c r="Y29" s="90" t="n">
        <f aca="false">IF(Y$18=1,Quesería!$B$44*(Y$14+Y$28+Y$13*Quesería!$B$51*1.19)*(1-Y$17)+(1-Quesería!$B$44)*(Quesería!$B$11+Y$28),Quesería!$B$8+Y$28)</f>
        <v>0.1470725</v>
      </c>
      <c r="Z29" s="90" t="n">
        <f aca="false">IF(Z$18=1,Quesería!$B$44*(Z$14+Z$28+Z$13*Quesería!$B$51*1.19)*(1-Z$17)+(1-Quesería!$B$44)*(Quesería!$B$11+Z$28),Quesería!$B$8+Z$28)</f>
        <v>0.1470725</v>
      </c>
      <c r="AA29" s="90" t="n">
        <f aca="false">IF(AA$18=1,Quesería!$B$44*(AA$14+AA$28+AA$13*Quesería!$B$51*1.19)*(1-AA$17)+(1-Quesería!$B$44)*(Quesería!$B$11+AA$28),Quesería!$B$8+AA$28)</f>
        <v>0.1470725</v>
      </c>
      <c r="AB29" s="90" t="n">
        <f aca="false">IF(AB$18=1,Quesería!$B$44*(AB$14+AB$28+AB$13*Quesería!$B$51*1.19)*(1-AB$17)+(1-Quesería!$B$44)*(Quesería!$B$11+AB$28),Quesería!$B$8+AB$28)</f>
        <v>0.1470725</v>
      </c>
      <c r="AC29" s="90" t="n">
        <f aca="false">IF(AC$18=1,Quesería!$B$44*(AC$14+AC$28+AC$13*Quesería!$B$51*1.19)*(1-AC$17)+(1-Quesería!$B$44)*(Quesería!$B$11+AC$28),Quesería!$B$8+AC$28)</f>
        <v>0.1470725</v>
      </c>
      <c r="AD29" s="90" t="n">
        <f aca="false">IF(AD$18=1,Quesería!$B$44*(AD$14+AD$28+AD$13*Quesería!$B$51*1.19)*(1-AD$17)+(1-Quesería!$B$44)*(Quesería!$B$11+AD$28),Quesería!$B$8+AD$28)</f>
        <v>0.1470725</v>
      </c>
    </row>
    <row r="30" customFormat="false" ht="15" hidden="false" customHeight="false" outlineLevel="0" collapsed="false">
      <c r="A30" s="9" t="s">
        <v>1285</v>
      </c>
    </row>
    <row r="32" customFormat="false" ht="15" hidden="false" customHeight="false" outlineLevel="0" collapsed="false">
      <c r="A32" s="3" t="s">
        <v>1286</v>
      </c>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row>
    <row r="33" customFormat="false" ht="42" hidden="false" customHeight="true" outlineLevel="0" collapsed="false">
      <c r="A33" s="23"/>
      <c r="B33" s="24" t="s">
        <v>153</v>
      </c>
      <c r="C33" s="24" t="s">
        <v>173</v>
      </c>
      <c r="D33" s="24" t="s">
        <v>174</v>
      </c>
      <c r="E33" s="24" t="s">
        <v>1243</v>
      </c>
      <c r="F33" s="24" t="s">
        <v>169</v>
      </c>
      <c r="G33" s="24" t="s">
        <v>170</v>
      </c>
      <c r="H33" s="24" t="s">
        <v>1244</v>
      </c>
      <c r="I33" s="24" t="s">
        <v>171</v>
      </c>
      <c r="J33" s="24" t="s">
        <v>1245</v>
      </c>
      <c r="K33" s="24" t="s">
        <v>1246</v>
      </c>
      <c r="L33" s="24" t="s">
        <v>1247</v>
      </c>
      <c r="M33" s="24" t="s">
        <v>1248</v>
      </c>
      <c r="N33" s="24" t="s">
        <v>1249</v>
      </c>
      <c r="O33" s="24" t="s">
        <v>1250</v>
      </c>
      <c r="P33" s="24" t="s">
        <v>1251</v>
      </c>
      <c r="Q33" s="24" t="s">
        <v>1252</v>
      </c>
      <c r="R33" s="24" t="s">
        <v>1253</v>
      </c>
      <c r="S33" s="24" t="s">
        <v>1254</v>
      </c>
      <c r="T33" s="24" t="s">
        <v>168</v>
      </c>
      <c r="U33" s="24" t="s">
        <v>1255</v>
      </c>
      <c r="V33" s="24" t="s">
        <v>1256</v>
      </c>
      <c r="W33" s="24" t="s">
        <v>1257</v>
      </c>
      <c r="X33" s="24" t="s">
        <v>1258</v>
      </c>
      <c r="Y33" s="24" t="s">
        <v>172</v>
      </c>
      <c r="Z33" s="24" t="s">
        <v>1259</v>
      </c>
      <c r="AA33" s="24" t="s">
        <v>1260</v>
      </c>
      <c r="AB33" s="24" t="s">
        <v>1261</v>
      </c>
      <c r="AC33" s="24" t="s">
        <v>1262</v>
      </c>
      <c r="AD33" s="24" t="s">
        <v>1263</v>
      </c>
    </row>
    <row r="34" customFormat="false" ht="15" hidden="false" customHeight="false" outlineLevel="0" collapsed="false">
      <c r="A34" s="6" t="s">
        <v>12</v>
      </c>
      <c r="B34" s="34" t="n">
        <f aca="false">$B$29</f>
        <v>0.1470725</v>
      </c>
      <c r="C34" s="34" t="n">
        <f aca="false">$C$29</f>
        <v>0.1570777225</v>
      </c>
      <c r="D34" s="34" t="n">
        <f aca="false">$D$29</f>
        <v>0.1570777225</v>
      </c>
      <c r="E34" s="34" t="n">
        <f aca="false">$E$29</f>
        <v>0.1470725</v>
      </c>
      <c r="F34" s="34" t="n">
        <f aca="false">$F$29</f>
        <v>0.1470725</v>
      </c>
      <c r="G34" s="34" t="n">
        <f aca="false">$G$29</f>
        <v>0.1470725</v>
      </c>
      <c r="H34" s="34" t="n">
        <f aca="false">$H$29</f>
        <v>0.1470725</v>
      </c>
      <c r="I34" s="34" t="n">
        <f aca="false">$I$29</f>
        <v>0.1470725</v>
      </c>
      <c r="J34" s="34" t="n">
        <f aca="false">$J$29</f>
        <v>0.1470725</v>
      </c>
      <c r="K34" s="34" t="n">
        <f aca="false">$K$29</f>
        <v>0.1470725</v>
      </c>
      <c r="L34" s="34" t="n">
        <f aca="false">$L$29</f>
        <v>0.1470725</v>
      </c>
      <c r="M34" s="34" t="n">
        <f aca="false">$M$29</f>
        <v>0.142711570588746</v>
      </c>
      <c r="N34" s="34" t="n">
        <f aca="false">$N$29</f>
        <v>0.16394086592407</v>
      </c>
      <c r="O34" s="34" t="n">
        <f aca="false">$O$29</f>
        <v>0.1470725</v>
      </c>
      <c r="P34" s="34" t="n">
        <f aca="false">$P$29</f>
        <v>0.1470725</v>
      </c>
      <c r="Q34" s="34" t="n">
        <f aca="false">$Q$29</f>
        <v>0.151655</v>
      </c>
      <c r="R34" s="34" t="n">
        <f aca="false">$R$29</f>
        <v>0.1538325</v>
      </c>
      <c r="S34" s="34" t="n">
        <f aca="false">$S$29</f>
        <v>0.1570777225</v>
      </c>
      <c r="T34" s="34" t="n">
        <f aca="false">$T$29</f>
        <v>0.1470725</v>
      </c>
      <c r="U34" s="34" t="n">
        <f aca="false">$U$29</f>
        <v>0.1570777225</v>
      </c>
      <c r="V34" s="34" t="n">
        <f aca="false">$V$29</f>
        <v>0.1470725</v>
      </c>
      <c r="W34" s="34" t="n">
        <f aca="false">$W$29</f>
        <v>0.16</v>
      </c>
      <c r="X34" s="34" t="n">
        <f aca="false">$X$29</f>
        <v>0.1570777225</v>
      </c>
      <c r="Y34" s="34" t="n">
        <f aca="false">$Y$29</f>
        <v>0.1470725</v>
      </c>
      <c r="Z34" s="34" t="n">
        <f aca="false">$Z$29</f>
        <v>0.1470725</v>
      </c>
      <c r="AA34" s="34" t="n">
        <f aca="false">$AA$29</f>
        <v>0.1470725</v>
      </c>
      <c r="AB34" s="34" t="n">
        <f aca="false">$AB$29</f>
        <v>0.1470725</v>
      </c>
      <c r="AC34" s="34" t="n">
        <f aca="false">$AC$29</f>
        <v>0.1470725</v>
      </c>
      <c r="AD34" s="34" t="n">
        <f aca="false">$AD$29</f>
        <v>0.1470725</v>
      </c>
    </row>
    <row r="35" customFormat="false" ht="15" hidden="false" customHeight="false" outlineLevel="0" collapsed="false">
      <c r="A35" s="5" t="s">
        <v>1287</v>
      </c>
      <c r="B35" s="61" t="n">
        <f aca="false">IRR(B72:L72)</f>
        <v>0.243271358090429</v>
      </c>
      <c r="C35" s="8" t="n">
        <f aca="false">IRR(B115:L115)</f>
        <v>0.100593891876478</v>
      </c>
      <c r="D35" s="8" t="n">
        <f aca="false">IRR(B158:L158)</f>
        <v>0.0517128081309421</v>
      </c>
      <c r="E35" s="8" t="n">
        <f aca="false">IRR(B201:L201)</f>
        <v>0.227994341340295</v>
      </c>
      <c r="F35" s="8" t="n">
        <f aca="false">IRR(B244:L244)</f>
        <v>0.192860582664917</v>
      </c>
      <c r="G35" s="8" t="n">
        <f aca="false">IRR(B287:L287)</f>
        <v>0.185637951893308</v>
      </c>
      <c r="H35" s="8" t="n">
        <f aca="false">IRR(B330:L330)</f>
        <v>0.296246002206679</v>
      </c>
      <c r="I35" s="8" t="n">
        <f aca="false">IRR(B373:L373)</f>
        <v>0.200287547406275</v>
      </c>
      <c r="J35" s="8" t="n">
        <f aca="false">IRR(B416:L416)</f>
        <v>0.302763385829295</v>
      </c>
      <c r="K35" s="8" t="n">
        <f aca="false">IRR(B459:L459)</f>
        <v>0.231146635529528</v>
      </c>
      <c r="L35" s="8" t="n">
        <f aca="false">IRR(B502:L502)</f>
        <v>0.25523190233984</v>
      </c>
      <c r="M35" s="8" t="n">
        <f aca="false">IRR(B545:L545)</f>
        <v>0.237775093368741</v>
      </c>
      <c r="N35" s="8" t="n">
        <f aca="false">IRR(B588:L588)</f>
        <v>0.263148993203125</v>
      </c>
      <c r="O35" s="8" t="n">
        <f aca="false">IRR(B631:L631)</f>
        <v>0.242883510638654</v>
      </c>
      <c r="P35" s="8" t="n">
        <f aca="false">IRR(B674:L674)</f>
        <v>0.2436588974432</v>
      </c>
      <c r="Q35" s="8" t="n">
        <f aca="false">IRR(B717:L717)</f>
        <v>0.256010060339305</v>
      </c>
      <c r="R35" s="8" t="n">
        <f aca="false">IRR(B760:L760)</f>
        <v>0.243271358090429</v>
      </c>
      <c r="S35" s="8" t="n">
        <f aca="false">IRR(B803:L803)</f>
        <v>0.243271358090429</v>
      </c>
      <c r="T35" s="8" t="n">
        <f aca="false">IRR(B846:L846)</f>
        <v>0.202916445064775</v>
      </c>
      <c r="U35" s="8" t="n">
        <f aca="false">IRR(B889:L889)</f>
        <v>0.202916445064775</v>
      </c>
      <c r="V35" s="8" t="n">
        <f aca="false">IRR(B932:L932)</f>
        <v>0.135525118345892</v>
      </c>
      <c r="W35" s="8" t="n">
        <f aca="false">IRR(B975:L975)</f>
        <v>0.197225147705282</v>
      </c>
      <c r="X35" s="8" t="n">
        <f aca="false">IRR(B1018:L1018)</f>
        <v>0.197225147705282</v>
      </c>
      <c r="Y35" s="8" t="n">
        <f aca="false">IRR(B1061:L1061)</f>
        <v>0.234932263833018</v>
      </c>
      <c r="Z35" s="8" t="n">
        <f aca="false">IRR(B1104:L1104)</f>
        <v>0.231531376286414</v>
      </c>
      <c r="AA35" s="8" t="n">
        <f aca="false">IRR(B1147:L1147)</f>
        <v>0.230237692400905</v>
      </c>
      <c r="AB35" s="8" t="n">
        <f aca="false">IRR(B1190:L1190)</f>
        <v>0.237752566964467</v>
      </c>
      <c r="AC35" s="8" t="n">
        <f aca="false">IRR(B1233:L1233)</f>
        <v>0.222476244998611</v>
      </c>
      <c r="AD35" s="8" t="n">
        <f aca="false">IRR(B1276:L1276)</f>
        <v>0.234466602261086</v>
      </c>
    </row>
    <row r="36" customFormat="false" ht="15" hidden="false" customHeight="false" outlineLevel="0" collapsed="false">
      <c r="A36" s="6" t="s">
        <v>16</v>
      </c>
      <c r="B36" s="34" t="n">
        <f aca="false">IRR(B71:L71)</f>
        <v>0.192381249046293</v>
      </c>
      <c r="C36" s="34" t="n">
        <f aca="false">IRR(B114:L114)</f>
        <v>0.0562079517815805</v>
      </c>
      <c r="D36" s="34" t="n">
        <f aca="false">IRR(B157:L157)</f>
        <v>0.00851832522248742</v>
      </c>
      <c r="E36" s="34" t="n">
        <f aca="false">IRR(B200:L200)</f>
        <v>0.177769786104732</v>
      </c>
      <c r="F36" s="34" t="n">
        <f aca="false">IRR(B243:L243)</f>
        <v>0.144214492987066</v>
      </c>
      <c r="G36" s="34" t="n">
        <f aca="false">IRR(B286:L286)</f>
        <v>0.137280948351898</v>
      </c>
      <c r="H36" s="34" t="n">
        <f aca="false">IRR(B329:L329)</f>
        <v>0.243010104491975</v>
      </c>
      <c r="I36" s="34" t="n">
        <f aca="false">IRR(B372:L372)</f>
        <v>0.151281811774138</v>
      </c>
      <c r="J36" s="34" t="n">
        <f aca="false">IRR(B415:L415)</f>
        <v>0.249248026851889</v>
      </c>
      <c r="K36" s="34" t="n">
        <f aca="false">IRR(B458:L458)</f>
        <v>0.180805020885326</v>
      </c>
      <c r="L36" s="34" t="n">
        <f aca="false">IRR(B501:L501)</f>
        <v>0.20379975474061</v>
      </c>
      <c r="M36" s="34" t="n">
        <f aca="false">IRR(B544:L544)</f>
        <v>0.194287890537793</v>
      </c>
      <c r="N36" s="34" t="n">
        <f aca="false">IRR(B587:L587)</f>
        <v>0.186055392678991</v>
      </c>
      <c r="O36" s="34" t="n">
        <f aca="false">IRR(B630:L630)</f>
        <v>0.192010680989826</v>
      </c>
      <c r="P36" s="34" t="n">
        <f aca="false">IRR(B673:L673)</f>
        <v>0.192751522245523</v>
      </c>
      <c r="Q36" s="34" t="n">
        <f aca="false">IRR(B716:L716)</f>
        <v>0.204554474450255</v>
      </c>
      <c r="R36" s="34" t="n">
        <f aca="false">IRR(B759:L759)</f>
        <v>0.192381249046293</v>
      </c>
      <c r="S36" s="34" t="n">
        <f aca="false">IRR(B802:L802)</f>
        <v>0.192381249046293</v>
      </c>
      <c r="T36" s="34" t="n">
        <f aca="false">IRR(B845:L845)</f>
        <v>0.154052151573635</v>
      </c>
      <c r="U36" s="34" t="n">
        <f aca="false">IRR(B888:L888)</f>
        <v>0.154052151573635</v>
      </c>
      <c r="V36" s="34" t="n">
        <f aca="false">IRR(B931:L931)</f>
        <v>0.0893602021075907</v>
      </c>
      <c r="W36" s="34" t="n">
        <f aca="false">IRR(B974:L974)</f>
        <v>0.148594080715135</v>
      </c>
      <c r="X36" s="34" t="n">
        <f aca="false">IRR(B1017:L1017)</f>
        <v>0.148594080715135</v>
      </c>
      <c r="Y36" s="34" t="n">
        <f aca="false">IRR(B1060:L1060)</f>
        <v>0.182830457427272</v>
      </c>
      <c r="Z36" s="34" t="n">
        <f aca="false">IRR(B1103:L1103)</f>
        <v>0.180947569185749</v>
      </c>
      <c r="AA36" s="34" t="n">
        <f aca="false">IRR(B1146:L1146)</f>
        <v>0.180172580438499</v>
      </c>
      <c r="AB36" s="34" t="n">
        <f aca="false">IRR(B1189:L1189)</f>
        <v>0.187182278635508</v>
      </c>
      <c r="AC36" s="34" t="n">
        <f aca="false">IRR(B1232:L1232)</f>
        <v>0.172578635748574</v>
      </c>
      <c r="AD36" s="34" t="n">
        <f aca="false">IRR(B1275:L1275)</f>
        <v>0.184058476225523</v>
      </c>
    </row>
    <row r="37" customFormat="false" ht="15" hidden="false" customHeight="false" outlineLevel="0" collapsed="false">
      <c r="A37" s="5" t="s">
        <v>1288</v>
      </c>
      <c r="B37" s="10" t="n">
        <f aca="false">SUMPRODUCT(B71:L71,B75:L75)</f>
        <v>639.556697226745</v>
      </c>
      <c r="C37" s="10" t="n">
        <f aca="false">SUMPRODUCT(B114:L114,B118:L118)</f>
        <v>-361.213665546943</v>
      </c>
      <c r="D37" s="10" t="n">
        <f aca="false">SUMPRODUCT(B157:L157,B161:L161)</f>
        <v>-340.708446867415</v>
      </c>
      <c r="E37" s="10" t="n">
        <f aca="false">SUMPRODUCT(B200:L200,B204:L204)</f>
        <v>562.017981834455</v>
      </c>
      <c r="F37" s="10" t="n">
        <f aca="false">SUMPRODUCT(B243:L243,B247:L247)</f>
        <v>288.293552636858</v>
      </c>
      <c r="G37" s="10" t="n">
        <f aca="false">SUMPRODUCT(B286:L286,B290:L290)</f>
        <v>242.43743594704</v>
      </c>
      <c r="H37" s="10" t="n">
        <f aca="false">SUMPRODUCT(B329:L329,B333:L333)</f>
        <v>1036.67595850645</v>
      </c>
      <c r="I37" s="10" t="n">
        <f aca="false">SUMPRODUCT(B372:L372,B376:L376)</f>
        <v>406.563061051664</v>
      </c>
      <c r="J37" s="10" t="n">
        <f aca="false">SUMPRODUCT(B415:L415,B419:L419)</f>
        <v>872.550333401827</v>
      </c>
      <c r="K37" s="10" t="n">
        <f aca="false">SUMPRODUCT(B458:L458,B462:L462)</f>
        <v>554.46355845359</v>
      </c>
      <c r="L37" s="10" t="n">
        <f aca="false">SUMPRODUCT(B501:L501,B505:L505)</f>
        <v>724.649835999901</v>
      </c>
      <c r="M37" s="10" t="n">
        <f aca="false">SUMPRODUCT(B544:L544,B548:L548)</f>
        <v>631.109157765281</v>
      </c>
      <c r="N37" s="10" t="n">
        <f aca="false">SUMPRODUCT(B587:L587,B591:L591)</f>
        <v>662.131219784883</v>
      </c>
      <c r="O37" s="10" t="n">
        <f aca="false">SUMPRODUCT(B630:L630,B634:L634)</f>
        <v>636.699946113079</v>
      </c>
      <c r="P37" s="10" t="n">
        <f aca="false">SUMPRODUCT(B673:L673,B677:L677)</f>
        <v>642.413448340411</v>
      </c>
      <c r="Q37" s="10" t="n">
        <f aca="false">SUMPRODUCT(B716:L716,B720:L720)</f>
        <v>692.714519373339</v>
      </c>
      <c r="R37" s="10" t="n">
        <f aca="false">SUMPRODUCT(B759:L759,B763:L763)</f>
        <v>580.042498177263</v>
      </c>
      <c r="S37" s="10" t="n">
        <f aca="false">SUMPRODUCT(B802:L802,B806:L806)</f>
        <v>552.446798255424</v>
      </c>
      <c r="T37" s="10" t="n">
        <f aca="false">SUMPRODUCT(B845:L845,B849:L849)</f>
        <v>402.889457933148</v>
      </c>
      <c r="U37" s="10" t="n">
        <f aca="false">SUMPRODUCT(B888:L888,B892:L892)</f>
        <v>318.770910693131</v>
      </c>
      <c r="V37" s="10" t="n">
        <f aca="false">SUMPRODUCT(B931:L931,B935:L935)</f>
        <v>-82.4680736468862</v>
      </c>
      <c r="W37" s="10" t="n">
        <f aca="false">SUMPRODUCT(B974:L974,B978:L978)</f>
        <v>264.165663420326</v>
      </c>
      <c r="X37" s="10" t="n">
        <f aca="false">SUMPRODUCT(B1017:L1017,B1021:L1021)</f>
        <v>287.926069995476</v>
      </c>
      <c r="Y37" s="10" t="n">
        <f aca="false">SUMPRODUCT(B1060:L1060,B1064:L1064)</f>
        <v>286.189595655785</v>
      </c>
      <c r="Z37" s="10" t="n">
        <f aca="false">SUMPRODUCT(B1103:L1103,B1107:L1107)</f>
        <v>511.169505776361</v>
      </c>
      <c r="AA37" s="10" t="n">
        <f aca="false">SUMPRODUCT(B1146:L1146,B1150:L1150)</f>
        <v>601.471032333279</v>
      </c>
      <c r="AB37" s="10" t="n">
        <f aca="false">SUMPRODUCT(B1189:L1189,B1193:L1193)</f>
        <v>631.363316948666</v>
      </c>
      <c r="AC37" s="10" t="n">
        <f aca="false">SUMPRODUCT(B1232:L1232,B1236:L1236)</f>
        <v>515.381727450512</v>
      </c>
      <c r="AD37" s="10" t="n">
        <f aca="false">SUMPRODUCT(B1275:L1275,B1279:L1279)</f>
        <v>613.055842922395</v>
      </c>
    </row>
    <row r="38" customFormat="false" ht="15" hidden="false" customHeight="false" outlineLevel="0" collapsed="false">
      <c r="A38" s="6" t="s">
        <v>158</v>
      </c>
      <c r="B38" s="64" t="n">
        <f aca="false">SUM(B74:L74)</f>
        <v>4.68240169042623</v>
      </c>
      <c r="C38" s="64" t="n">
        <f aca="false">SUM(B117:L117)</f>
        <v>8.18756863804821</v>
      </c>
      <c r="D38" s="64" t="n">
        <f aca="false">SUM(B160:L160)</f>
        <v>9.60280993092141</v>
      </c>
      <c r="E38" s="64" t="n">
        <f aca="false">SUM(B203:L203)</f>
        <v>4.92203999112001</v>
      </c>
      <c r="F38" s="64" t="n">
        <f aca="false">SUM(B246:L246)</f>
        <v>5.68028992021604</v>
      </c>
      <c r="G38" s="64" t="n">
        <f aca="false">SUM(B289:L289)</f>
        <v>5.79758171015013</v>
      </c>
      <c r="H38" s="64" t="n">
        <f aca="false">SUM(B332:L332)</f>
        <v>4.01793778869541</v>
      </c>
      <c r="I38" s="64" t="n">
        <f aca="false">SUM(B375:L375)</f>
        <v>5.4519369658487</v>
      </c>
      <c r="J38" s="64" t="n">
        <f aca="false">SUM(B418:L418)</f>
        <v>3.96018149690957</v>
      </c>
      <c r="K38" s="64" t="n">
        <f aca="false">SUM(B461:L461)</f>
        <v>4.88139968209568</v>
      </c>
      <c r="L38" s="64" t="n">
        <f aca="false">SUM(B504:L504)</f>
        <v>4.5008432771412</v>
      </c>
      <c r="M38" s="64" t="n">
        <f aca="false">SUM(B547:L547)</f>
        <v>4.6527185806463</v>
      </c>
      <c r="N38" s="64" t="n">
        <f aca="false">SUM(B590:L590)</f>
        <v>4.77960530226546</v>
      </c>
      <c r="O38" s="64" t="n">
        <f aca="false">SUM(B633:L633)</f>
        <v>4.68840569298748</v>
      </c>
      <c r="P38" s="64" t="n">
        <f aca="false">SUM(B676:L676)</f>
        <v>4.67641832745805</v>
      </c>
      <c r="Q38" s="64" t="n">
        <f aca="false">SUM(B719:L719)</f>
        <v>4.49920119035259</v>
      </c>
      <c r="R38" s="64" t="n">
        <f aca="false">SUM(B762:L762)</f>
        <v>4.68240169042623</v>
      </c>
      <c r="S38" s="64" t="n">
        <f aca="false">SUM(B805:L805)</f>
        <v>4.68240169042623</v>
      </c>
      <c r="T38" s="64" t="n">
        <f aca="false">SUM(B848:L848)</f>
        <v>5.54774470407027</v>
      </c>
      <c r="U38" s="64" t="n">
        <f aca="false">SUM(B891:L891)</f>
        <v>5.54774470407027</v>
      </c>
      <c r="V38" s="64" t="n">
        <f aca="false">SUM(B934:L934)</f>
        <v>7.0140268998788</v>
      </c>
      <c r="W38" s="64" t="n">
        <f aca="false">SUM(B977:L977)</f>
        <v>5.66824275375889</v>
      </c>
      <c r="X38" s="64" t="n">
        <f aca="false">SUM(B1020:L1020)</f>
        <v>5.66824275375889</v>
      </c>
      <c r="Y38" s="64" t="n">
        <f aca="false">SUM(B1063:L1063)</f>
        <v>3.78860135798209</v>
      </c>
      <c r="Z38" s="64" t="n">
        <f aca="false">SUM(B1106:L1106)</f>
        <v>4.64222360393342</v>
      </c>
      <c r="AA38" s="64" t="n">
        <f aca="false">SUM(B1149:L1149)</f>
        <v>5.16648363113279</v>
      </c>
      <c r="AB38" s="64" t="n">
        <f aca="false">SUM(B1192:L1192)</f>
        <v>4.79465212381512</v>
      </c>
      <c r="AC38" s="64" t="n">
        <f aca="false">SUM(B1235:L1235)</f>
        <v>5.04934785391058</v>
      </c>
      <c r="AD38" s="64" t="n">
        <f aca="false">SUM(B1278:L1278)</f>
        <v>4.85353487571136</v>
      </c>
    </row>
    <row r="39" customFormat="false" ht="15" hidden="false" customHeight="false" outlineLevel="0" collapsed="false">
      <c r="A39" s="6" t="s">
        <v>24</v>
      </c>
      <c r="B39" s="64" t="n">
        <f aca="false">IF(SUM(B78:L78)=0,"Más de 10",SUM(B78:L78))</f>
        <v>6.44100430962657</v>
      </c>
      <c r="C39" s="64" t="str">
        <f aca="false">IF(SUM(B121:L121)=0,"Más de 10",SUM(B121:L121))</f>
        <v>Más de 10</v>
      </c>
      <c r="D39" s="64" t="str">
        <f aca="false">IF(SUM(B164:L164)=0,"Más de 10",SUM(B164:L164))</f>
        <v>Más de 10</v>
      </c>
      <c r="E39" s="64" t="n">
        <f aca="false">IF(SUM(B207:L207)=0,"Más de 10",SUM(B207:L207))</f>
        <v>6.85669020950366</v>
      </c>
      <c r="F39" s="64" t="n">
        <f aca="false">IF(SUM(B250:L250)=0,"Más de 10",SUM(B250:L250))</f>
        <v>8.22623421940932</v>
      </c>
      <c r="G39" s="64" t="n">
        <f aca="false">IF(SUM(B293:L293)=0,"Más de 10",SUM(B293:L293))</f>
        <v>8.47969120776537</v>
      </c>
      <c r="H39" s="64" t="n">
        <f aca="false">IF(SUM(B336:L336)=0,"Más de 10",SUM(B336:L336))</f>
        <v>5.19110149981609</v>
      </c>
      <c r="I39" s="64" t="n">
        <f aca="false">IF(SUM(B379:L379)=0,"Más de 10",SUM(B379:L379))</f>
        <v>7.82904606235076</v>
      </c>
      <c r="J39" s="64" t="n">
        <f aca="false">IF(SUM(B422:L422)=0,"Más de 10",SUM(B422:L422))</f>
        <v>5.06866734410393</v>
      </c>
      <c r="K39" s="64" t="n">
        <f aca="false">IF(SUM(B465:L465)=0,"Más de 10",SUM(B465:L465))</f>
        <v>6.78431027136108</v>
      </c>
      <c r="L39" s="64" t="n">
        <f aca="false">IF(SUM(B508:L508)=0,"Más de 10",SUM(B508:L508))</f>
        <v>6.1246887445377</v>
      </c>
      <c r="M39" s="64" t="n">
        <f aca="false">IF(SUM(B551:L551)=0,"Más de 10",SUM(B551:L551))</f>
        <v>6.44698572043594</v>
      </c>
      <c r="N39" s="64" t="n">
        <f aca="false">IF(SUM(B594:L594)=0,"Más de 10",SUM(B594:L594))</f>
        <v>6.4639953546183</v>
      </c>
      <c r="O39" s="64" t="n">
        <f aca="false">IF(SUM(B637:L637)=0,"Más de 10",SUM(B637:L637))</f>
        <v>6.45158903449021</v>
      </c>
      <c r="P39" s="64" t="n">
        <f aca="false">IF(SUM(B680:L680)=0,"Más de 10",SUM(B680:L680))</f>
        <v>6.43045240507751</v>
      </c>
      <c r="Q39" s="64" t="n">
        <f aca="false">IF(SUM(B723:L723)=0,"Más de 10",SUM(B723:L723))</f>
        <v>6.20701680667385</v>
      </c>
      <c r="R39" s="64" t="n">
        <f aca="false">IF(SUM(B766:L766)=0,"Más de 10",SUM(B766:L766))</f>
        <v>6.59420642788626</v>
      </c>
      <c r="S39" s="64" t="n">
        <f aca="false">IF(SUM(B809:L809)=0,"Más de 10",SUM(B809:L809))</f>
        <v>6.67039978457481</v>
      </c>
      <c r="T39" s="64" t="n">
        <f aca="false">IF(SUM(B852:L852)=0,"Más de 10",SUM(B852:L852))</f>
        <v>7.8046000433404</v>
      </c>
      <c r="U39" s="64" t="n">
        <f aca="false">IF(SUM(B895:L895)=0,"Más de 10",SUM(B895:L895))</f>
        <v>8.16234735801353</v>
      </c>
      <c r="V39" s="64" t="str">
        <f aca="false">IF(SUM(B938:L938)=0,"Más de 10",SUM(B938:L938))</f>
        <v>Más de 10</v>
      </c>
      <c r="W39" s="64" t="n">
        <f aca="false">IF(SUM(B981:L981)=0,"Más de 10",SUM(B981:L981))</f>
        <v>8.53223004789463</v>
      </c>
      <c r="X39" s="64" t="n">
        <f aca="false">IF(SUM(B1024:L1024)=0,"Más de 10",SUM(B1024:L1024))</f>
        <v>8.40916088317028</v>
      </c>
      <c r="Y39" s="64" t="n">
        <f aca="false">IF(SUM(B1067:L1067)=0,"Más de 10",SUM(B1067:L1067))</f>
        <v>6.04098781725699</v>
      </c>
      <c r="Z39" s="64" t="n">
        <f aca="false">IF(SUM(B1110:L1110)=0,"Más de 10",SUM(B1110:L1110))</f>
        <v>6.53557550820521</v>
      </c>
      <c r="AA39" s="64" t="n">
        <f aca="false">IF(SUM(B1153:L1153)=0,"Más de 10",SUM(B1153:L1153))</f>
        <v>7.10029094078453</v>
      </c>
      <c r="AB39" s="64" t="n">
        <f aca="false">IF(SUM(B1196:L1196)=0,"Más de 10",SUM(B1196:L1196))</f>
        <v>6.6042866601828</v>
      </c>
      <c r="AC39" s="64" t="n">
        <f aca="false">IF(SUM(B1239:L1239)=0,"Más de 10",SUM(B1239:L1239))</f>
        <v>7.05417955660655</v>
      </c>
      <c r="AD39" s="64" t="n">
        <f aca="false">IF(SUM(B1282:L1282)=0,"Más de 10",SUM(B1282:L1282))</f>
        <v>6.69894967757841</v>
      </c>
    </row>
    <row r="40" customFormat="false" ht="15" hidden="false" customHeight="false" outlineLevel="0" collapsed="false">
      <c r="A40" s="6" t="s">
        <v>160</v>
      </c>
      <c r="B40" s="91" t="n">
        <f aca="false">SUM(B71:L71)/SUM(B54:L54)</f>
        <v>1.299692174336</v>
      </c>
      <c r="C40" s="91" t="n">
        <f aca="false">SUM(B114:L114)/SUM(B97:L97)</f>
        <v>0.370712342969448</v>
      </c>
      <c r="D40" s="91" t="n">
        <f aca="false">SUM(B157:L157)/SUM(B140:L140)</f>
        <v>0.0455884889175757</v>
      </c>
      <c r="E40" s="91" t="n">
        <f aca="false">SUM(B200:L200)/SUM(B183:L183)</f>
        <v>1.25053653658306</v>
      </c>
      <c r="F40" s="91" t="n">
        <f aca="false">SUM(B243:L243)/SUM(B226:L226)</f>
        <v>0.916614860158384</v>
      </c>
      <c r="G40" s="91" t="n">
        <f aca="false">SUM(B286:L286)/SUM(B269:L269)</f>
        <v>0.866804842649663</v>
      </c>
      <c r="H40" s="91" t="n">
        <f aca="false">SUM(B329:L329)/SUM(B312:L312)</f>
        <v>1.73257950602234</v>
      </c>
      <c r="I40" s="91" t="n">
        <f aca="false">SUM(B372:L372)/SUM(B355:L355)</f>
        <v>0.970053298347384</v>
      </c>
      <c r="J40" s="91" t="n">
        <f aca="false">SUM(B415:L415)/SUM(B398:L398)</f>
        <v>1.79415048831892</v>
      </c>
      <c r="K40" s="91" t="n">
        <f aca="false">SUM(B458:L458)/SUM(B441:L441)</f>
        <v>1.20988696973795</v>
      </c>
      <c r="L40" s="91" t="n">
        <f aca="false">SUM(B501:L501)/SUM(B484:L484)</f>
        <v>1.38949737893405</v>
      </c>
      <c r="M40" s="91" t="n">
        <f aca="false">SUM(B544:L544)/SUM(B527:L527)</f>
        <v>1.31463584535562</v>
      </c>
      <c r="N40" s="91" t="n">
        <f aca="false">SUM(B587:L587)/SUM(B570:L570)</f>
        <v>1.24806651022877</v>
      </c>
      <c r="O40" s="91" t="n">
        <f aca="false">SUM(B630:L630)/SUM(B613:L613)</f>
        <v>1.29655799998681</v>
      </c>
      <c r="P40" s="91" t="n">
        <f aca="false">SUM(B673:L673)/SUM(B656:L656)</f>
        <v>1.30282634868518</v>
      </c>
      <c r="Q40" s="91" t="n">
        <f aca="false">SUM(B716:L716)/SUM(B699:L699)</f>
        <v>1.40629624642735</v>
      </c>
      <c r="R40" s="91" t="n">
        <f aca="false">SUM(B759:L759)/SUM(B742:L742)</f>
        <v>1.299692174336</v>
      </c>
      <c r="S40" s="91" t="n">
        <f aca="false">SUM(B802:L802)/SUM(B785:L785)</f>
        <v>1.299692174336</v>
      </c>
      <c r="T40" s="91" t="n">
        <f aca="false">SUM(B845:L845)/SUM(B828:L828)</f>
        <v>1.12960819880603</v>
      </c>
      <c r="U40" s="91" t="n">
        <f aca="false">SUM(B888:L888)/SUM(B871:L871)</f>
        <v>1.12960819880603</v>
      </c>
      <c r="V40" s="91" t="n">
        <f aca="false">SUM(B931:L931)/SUM(B914:L914)</f>
        <v>0.528458239361131</v>
      </c>
      <c r="W40" s="91" t="n">
        <f aca="false">SUM(B974:L974)/SUM(B957:L957)</f>
        <v>1.12181112978322</v>
      </c>
      <c r="X40" s="91" t="n">
        <f aca="false">SUM(B1017:L1017)/SUM(B1000:L1000)</f>
        <v>1.12181112978322</v>
      </c>
      <c r="Y40" s="91" t="n">
        <f aca="false">SUM(B1060:L1060)/SUM(B1043:L1043)</f>
        <v>0.97848581320222</v>
      </c>
      <c r="Z40" s="91" t="n">
        <f aca="false">SUM(B1103:L1103)/SUM(B1086:L1086)</f>
        <v>1.09188171290035</v>
      </c>
      <c r="AA40" s="91" t="n">
        <f aca="false">SUM(B1146:L1146)/SUM(B1129:L1129)</f>
        <v>1.34732800045132</v>
      </c>
      <c r="AB40" s="91" t="n">
        <f aca="false">SUM(B1189:L1189)/SUM(B1172:L1172)</f>
        <v>1.24660014662539</v>
      </c>
      <c r="AC40" s="91" t="n">
        <f aca="false">SUM(B1232:L1232)/SUM(B1215:L1215)</f>
        <v>1.12561606734938</v>
      </c>
      <c r="AD40" s="91" t="n">
        <f aca="false">SUM(B1275:L1275)/SUM(B1258:L1258)</f>
        <v>1.23476070816067</v>
      </c>
    </row>
    <row r="41" customFormat="false" ht="15" hidden="false" customHeight="false" outlineLevel="0" collapsed="false">
      <c r="A41" s="5" t="s">
        <v>1289</v>
      </c>
      <c r="B41" s="61" t="n">
        <f aca="false">IFERROR(IRR(B87:L87),"No existe")</f>
        <v>0.421024376007229</v>
      </c>
      <c r="C41" s="8" t="n">
        <f aca="false">IFERROR(IRR(B130:L130),"No existe")</f>
        <v>0.0936268404462679</v>
      </c>
      <c r="D41" s="8" t="n">
        <f aca="false">IFERROR(IRR(B173:L173),"No existe")</f>
        <v>-0.000659537606921579</v>
      </c>
      <c r="E41" s="8" t="n">
        <f aca="false">IFERROR(IRR(B216:L216),"No existe")</f>
        <v>0.364802025933276</v>
      </c>
      <c r="F41" s="8" t="n">
        <f aca="false">IFERROR(IRR(B259:L259),"No existe")</f>
        <v>0.308617756354727</v>
      </c>
      <c r="G41" s="8" t="n">
        <f aca="false">IFERROR(IRR(B302:L302),"No existe")</f>
        <v>0.289864895653218</v>
      </c>
      <c r="H41" s="8" t="n">
        <f aca="false">IFERROR(IRR(B345:L345),"No existe")</f>
        <v>0.548191808941352</v>
      </c>
      <c r="I41" s="8" t="n">
        <f aca="false">IFERROR(IRR(B388:L388),"No existe")</f>
        <v>0.323395774961866</v>
      </c>
      <c r="J41" s="8" t="n">
        <f aca="false">IFERROR(IRR(B431:L431),"No existe")</f>
        <v>0.562364974977509</v>
      </c>
      <c r="K41" s="8" t="n">
        <f aca="false">IFERROR(IRR(B474:L474),"No existe")</f>
        <v>0.392216248770843</v>
      </c>
      <c r="L41" s="8" t="n">
        <f aca="false">IFERROR(IRR(B517:L517),"No existe")</f>
        <v>0.449731825967676</v>
      </c>
      <c r="M41" s="8" t="n">
        <f aca="false">IFERROR(IRR(B560:L560),"No existe")</f>
        <v>0.416613491637908</v>
      </c>
      <c r="N41" s="8" t="n">
        <f aca="false">IFERROR(IRR(B603:L603),"No existe")</f>
        <v>0.435067682635909</v>
      </c>
      <c r="O41" s="8" t="n">
        <f aca="false">IFERROR(IRR(B646:L646),"No existe")</f>
        <v>0.420174977271281</v>
      </c>
      <c r="P41" s="8" t="n">
        <f aca="false">IFERROR(IRR(B689:L689),"No existe")</f>
        <v>0.42187295274557</v>
      </c>
      <c r="Q41" s="8" t="n">
        <f aca="false">IFERROR(IRR(B732:L732),"No existe")</f>
        <v>0.438514711059476</v>
      </c>
      <c r="R41" s="8" t="n">
        <f aca="false">IFERROR(IRR(B775:L775),"No existe")</f>
        <v>0.406446583022528</v>
      </c>
      <c r="S41" s="8" t="n">
        <f aca="false">IFERROR(IRR(B818:L818),"No existe")</f>
        <v>0.393335112440985</v>
      </c>
      <c r="T41" s="8" t="n">
        <f aca="false">IFERROR(IRR(B861:L861),"No existe")</f>
        <v>0.301201101644771</v>
      </c>
      <c r="U41" s="8" t="n">
        <f aca="false">IFERROR(IRR(B904:L904),"No existe")</f>
        <v>0.282611017802314</v>
      </c>
      <c r="V41" s="8" t="n">
        <f aca="false">IFERROR(IRR(B947:L947),"No existe")</f>
        <v>0.181261580741355</v>
      </c>
      <c r="W41" s="8" t="n">
        <f aca="false">IFERROR(IRR(B990:L990),"No existe")</f>
        <v>0.266376228982006</v>
      </c>
      <c r="X41" s="8" t="n">
        <f aca="false">IFERROR(IRR(B1033:L1033),"No existe")</f>
        <v>0.266376228982006</v>
      </c>
      <c r="Y41" s="8" t="n">
        <f aca="false">IFERROR(IRR(B1076:L1076),"No existe")</f>
        <v>0.496640507160863</v>
      </c>
      <c r="Z41" s="8" t="n">
        <f aca="false">IFERROR(IRR(B1119:L1119),"No existe")</f>
        <v>0.419448752074062</v>
      </c>
      <c r="AA41" s="8" t="n">
        <f aca="false">IFERROR(IRR(B1162:L1162),"No existe")</f>
        <v>0.367075276162375</v>
      </c>
      <c r="AB41" s="8" t="n">
        <f aca="false">IFERROR(IRR(B1205:L1205),"No existe")</f>
        <v>0.410423219085817</v>
      </c>
      <c r="AC41" s="8" t="n">
        <f aca="false">IFERROR(IRR(B1248:L1248),"No existe")</f>
        <v>0.37689635746338</v>
      </c>
      <c r="AD41" s="8" t="n">
        <f aca="false">IFERROR(IRR(B1291:L1291),"No existe")</f>
        <v>0.398782013829907</v>
      </c>
    </row>
    <row r="42" customFormat="false" ht="15" hidden="false" customHeight="false" outlineLevel="0" collapsed="false">
      <c r="A42" s="6" t="s">
        <v>448</v>
      </c>
      <c r="B42" s="34" t="n">
        <f aca="false">IFERROR(IRR(B86:L86),"No existe")</f>
        <v>0.362086836669833</v>
      </c>
      <c r="C42" s="34" t="n">
        <f aca="false">IFERROR(IRR(B129:L129),"No existe")</f>
        <v>0.0501980698134915</v>
      </c>
      <c r="D42" s="34" t="n">
        <f aca="false">IFERROR(IRR(B172:L172),"No existe")</f>
        <v>-0.040489299459275</v>
      </c>
      <c r="E42" s="34" t="n">
        <f aca="false">IFERROR(IRR(B215:L215),"No existe")</f>
        <v>0.308471955372686</v>
      </c>
      <c r="F42" s="34" t="n">
        <f aca="false">IFERROR(IRR(B258:L258),"No existe")</f>
        <v>0.254990941044345</v>
      </c>
      <c r="G42" s="34" t="n">
        <f aca="false">IFERROR(IRR(B301:L301),"No existe")</f>
        <v>0.237057441830429</v>
      </c>
      <c r="H42" s="34" t="n">
        <f aca="false">IFERROR(IRR(B344:L344),"No existe")</f>
        <v>0.483285466925528</v>
      </c>
      <c r="I42" s="34" t="n">
        <f aca="false">IFERROR(IRR(B387:L387),"No existe")</f>
        <v>0.26900784137453</v>
      </c>
      <c r="J42" s="34" t="n">
        <f aca="false">IFERROR(IRR(B430:L430),"No existe")</f>
        <v>0.496825185578596</v>
      </c>
      <c r="K42" s="34" t="n">
        <f aca="false">IFERROR(IRR(B473:L473),"No existe")</f>
        <v>0.33466521039314</v>
      </c>
      <c r="L42" s="34" t="n">
        <f aca="false">IFERROR(IRR(B516:L516),"No existe")</f>
        <v>0.389410704666871</v>
      </c>
      <c r="M42" s="34" t="n">
        <f aca="false">IFERROR(IRR(B559:L559),"No existe")</f>
        <v>0.365977754250856</v>
      </c>
      <c r="N42" s="34" t="n">
        <f aca="false">IFERROR(IRR(B602:L602),"No existe")</f>
        <v>0.347481392146394</v>
      </c>
      <c r="O42" s="34" t="n">
        <f aca="false">IFERROR(IRR(B645:L645),"No existe")</f>
        <v>0.361277395253841</v>
      </c>
      <c r="P42" s="34" t="n">
        <f aca="false">IFERROR(IRR(B688:L688),"No existe")</f>
        <v>0.362895497138759</v>
      </c>
      <c r="Q42" s="34" t="n">
        <f aca="false">IFERROR(IRR(B731:L731),"No existe")</f>
        <v>0.378794327381634</v>
      </c>
      <c r="R42" s="34" t="n">
        <f aca="false">IFERROR(IRR(B774:L774),"No existe")</f>
        <v>0.348252535452687</v>
      </c>
      <c r="S42" s="34" t="n">
        <f aca="false">IFERROR(IRR(B817:L817),"No existe")</f>
        <v>0.335793643780748</v>
      </c>
      <c r="T42" s="34" t="n">
        <f aca="false">IFERROR(IRR(B860:L860),"No existe")</f>
        <v>0.248449819945437</v>
      </c>
      <c r="U42" s="34" t="n">
        <f aca="false">IFERROR(IRR(B903:L903),"No existe")</f>
        <v>0.230747335358212</v>
      </c>
      <c r="V42" s="34" t="n">
        <f aca="false">IFERROR(IRR(B946:L946),"No existe")</f>
        <v>0.133494575018913</v>
      </c>
      <c r="W42" s="34" t="n">
        <f aca="false">IFERROR(IRR(B989:L989),"No existe")</f>
        <v>0.215169062526689</v>
      </c>
      <c r="X42" s="34" t="n">
        <f aca="false">IFERROR(IRR(B1032:L1032),"No existe")</f>
        <v>0.215169062526689</v>
      </c>
      <c r="Y42" s="34" t="n">
        <f aca="false">IFERROR(IRR(B1075:L1075),"No existe")</f>
        <v>0.430653269978325</v>
      </c>
      <c r="Z42" s="34" t="n">
        <f aca="false">IFERROR(IRR(B1118:L1118),"No existe")</f>
        <v>0.360048801614975</v>
      </c>
      <c r="AA42" s="34" t="n">
        <f aca="false">IFERROR(IRR(B1161:L1161),"No existe")</f>
        <v>0.311224846315958</v>
      </c>
      <c r="AB42" s="34" t="n">
        <f aca="false">IFERROR(IRR(B1204:L1204),"No existe")</f>
        <v>0.352067229702201</v>
      </c>
      <c r="AC42" s="34" t="n">
        <f aca="false">IFERROR(IRR(B1247:L1247),"No existe")</f>
        <v>0.32010271203094</v>
      </c>
      <c r="AD42" s="34" t="n">
        <f aca="false">IFERROR(IRR(B1290:L1290),"No existe")</f>
        <v>0.341029891883075</v>
      </c>
    </row>
    <row r="43" customFormat="false" ht="15" hidden="false" customHeight="false" outlineLevel="0" collapsed="false">
      <c r="A43" s="6" t="s">
        <v>28</v>
      </c>
      <c r="B43" s="37" t="n">
        <f aca="false">MIN(D90:L90)</f>
        <v>1.34356883281698</v>
      </c>
      <c r="C43" s="37" t="n">
        <f aca="false">MIN(D133:L133)</f>
        <v>0.868048368442137</v>
      </c>
      <c r="D43" s="37" t="n">
        <f aca="false">MIN(D176:L176)</f>
        <v>0.604444031794327</v>
      </c>
      <c r="E43" s="37" t="n">
        <f aca="false">MIN(D219:L219)</f>
        <v>1.34356883281698</v>
      </c>
      <c r="F43" s="37" t="n">
        <f aca="false">MIN(D262:L262)</f>
        <v>1.09206165078833</v>
      </c>
      <c r="G43" s="37" t="n">
        <f aca="false">MIN(D305:L305)</f>
        <v>1.10379246098069</v>
      </c>
      <c r="H43" s="37" t="n">
        <f aca="false">MIN(D348:L348)</f>
        <v>1.58334520465327</v>
      </c>
      <c r="I43" s="37" t="n">
        <f aca="false">MIN(D391:L391)</f>
        <v>1.16192980547225</v>
      </c>
      <c r="J43" s="37" t="n">
        <f aca="false">MIN(D434:L434)</f>
        <v>1.61602737383407</v>
      </c>
      <c r="K43" s="37" t="n">
        <f aca="false">MIN(D477:L477)</f>
        <v>1.28860997194024</v>
      </c>
      <c r="L43" s="37" t="n">
        <f aca="false">MIN(D520:L520)</f>
        <v>1.39852769369373</v>
      </c>
      <c r="M43" s="37" t="n">
        <f aca="false">MIN(D563:L563)</f>
        <v>1.34734781410986</v>
      </c>
      <c r="N43" s="37" t="n">
        <f aca="false">MIN(D606:L606)</f>
        <v>1.3192438470863</v>
      </c>
      <c r="O43" s="37" t="n">
        <f aca="false">MIN(D649:L649)</f>
        <v>1.3415244320481</v>
      </c>
      <c r="P43" s="37" t="n">
        <f aca="false">MIN(D692:L692)</f>
        <v>1.34561323358586</v>
      </c>
      <c r="Q43" s="37" t="n">
        <f aca="false">MIN(D735:L735)</f>
        <v>1.38754649381351</v>
      </c>
      <c r="R43" s="37" t="n">
        <f aca="false">MIN(D778:L778)</f>
        <v>1.29702229796203</v>
      </c>
      <c r="S43" s="37" t="n">
        <f aca="false">MIN(D821:L821)</f>
        <v>1.28791404660404</v>
      </c>
      <c r="T43" s="37" t="n">
        <f aca="false">MIN(D864:L864)</f>
        <v>1.34356883281698</v>
      </c>
      <c r="U43" s="37" t="n">
        <f aca="false">MIN(D907:L907)</f>
        <v>1.28791404660404</v>
      </c>
      <c r="V43" s="37" t="n">
        <f aca="false">MIN(D950:L950)</f>
        <v>0.912609686154258</v>
      </c>
      <c r="W43" s="37" t="n">
        <f aca="false">MIN(D993:L993)</f>
        <v>1.29505384259986</v>
      </c>
      <c r="X43" s="37" t="n">
        <f aca="false">MIN(D1036:L1036)</f>
        <v>1.29505384259986</v>
      </c>
      <c r="Y43" s="37" t="n">
        <f aca="false">MIN(D1079:L1079)</f>
        <v>1.15934491900943</v>
      </c>
      <c r="Z43" s="37" t="n">
        <f aca="false">MIN(D1122:L1122)</f>
        <v>1.33487190028963</v>
      </c>
      <c r="AA43" s="37" t="n">
        <f aca="false">MIN(D1165:L1165)</f>
        <v>1.20232692297402</v>
      </c>
      <c r="AB43" s="37" t="n">
        <f aca="false">MIN(D1208:L1208)</f>
        <v>1.31370809877781</v>
      </c>
      <c r="AC43" s="37" t="n">
        <f aca="false">MIN(D1251:L1251)</f>
        <v>1.23607520955905</v>
      </c>
      <c r="AD43" s="37" t="n">
        <f aca="false">MIN(D1294:L1294)</f>
        <v>1.31370809877781</v>
      </c>
    </row>
    <row r="45" customFormat="false" ht="15" hidden="false" customHeight="false" outlineLevel="0" collapsed="false">
      <c r="A45" s="3" t="s">
        <v>1290</v>
      </c>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row>
    <row r="46" customFormat="false" ht="15" hidden="false" customHeight="false" outlineLevel="0" collapsed="false">
      <c r="A46" s="23" t="s">
        <v>130</v>
      </c>
      <c r="B46" s="24" t="s">
        <v>394</v>
      </c>
      <c r="C46" s="24" t="s">
        <v>395</v>
      </c>
      <c r="D46" s="24" t="s">
        <v>396</v>
      </c>
      <c r="E46" s="24" t="s">
        <v>397</v>
      </c>
      <c r="F46" s="24" t="s">
        <v>398</v>
      </c>
      <c r="G46" s="24" t="s">
        <v>399</v>
      </c>
      <c r="H46" s="24" t="s">
        <v>400</v>
      </c>
      <c r="I46" s="24" t="s">
        <v>401</v>
      </c>
      <c r="J46" s="24" t="s">
        <v>402</v>
      </c>
      <c r="K46" s="24" t="s">
        <v>403</v>
      </c>
      <c r="L46" s="24" t="s">
        <v>404</v>
      </c>
    </row>
    <row r="47" customFormat="false" ht="15" hidden="false" customHeight="false" outlineLevel="0" collapsed="false">
      <c r="A47" s="9" t="s">
        <v>405</v>
      </c>
      <c r="B47" s="55" t="n">
        <v>0</v>
      </c>
      <c r="C47" s="55" t="n">
        <v>1</v>
      </c>
      <c r="D47" s="55" t="n">
        <v>2</v>
      </c>
      <c r="E47" s="55" t="n">
        <v>3</v>
      </c>
      <c r="F47" s="55" t="n">
        <v>4</v>
      </c>
      <c r="G47" s="55" t="n">
        <v>5</v>
      </c>
      <c r="H47" s="55" t="n">
        <v>6</v>
      </c>
      <c r="I47" s="55" t="n">
        <v>7</v>
      </c>
      <c r="J47" s="55" t="n">
        <v>8</v>
      </c>
      <c r="K47" s="55" t="n">
        <v>9</v>
      </c>
      <c r="L47" s="55" t="n">
        <v>10</v>
      </c>
    </row>
    <row r="49" customFormat="false" ht="15" hidden="false" customHeight="false" outlineLevel="0" collapsed="false">
      <c r="A49" s="43" t="s">
        <v>153</v>
      </c>
      <c r="B49" s="44"/>
      <c r="C49" s="44"/>
      <c r="D49" s="44"/>
      <c r="E49" s="44"/>
      <c r="F49" s="44"/>
      <c r="G49" s="44"/>
      <c r="H49" s="44"/>
      <c r="I49" s="44"/>
      <c r="J49" s="44"/>
      <c r="K49" s="44"/>
      <c r="L49" s="44"/>
    </row>
    <row r="50" customFormat="false" ht="15" hidden="true" customHeight="false" outlineLevel="1" collapsed="false">
      <c r="A50" s="9" t="s">
        <v>406</v>
      </c>
      <c r="B50" s="56" t="n">
        <f aca="false">CHOOSE($B$15,Entorno!B$7,Entorno!B$8,Entorno!B$9)</f>
        <v>0.06</v>
      </c>
      <c r="C50" s="56" t="n">
        <f aca="false">CHOOSE($B$15,Entorno!C$7,Entorno!C$8,Entorno!C$9)</f>
        <v>0.05</v>
      </c>
      <c r="D50" s="56" t="n">
        <f aca="false">CHOOSE($B$15,Entorno!D$7,Entorno!D$8,Entorno!D$9)</f>
        <v>0.045</v>
      </c>
      <c r="E50" s="56" t="n">
        <f aca="false">CHOOSE($B$15,Entorno!E$7,Entorno!E$8,Entorno!E$9)</f>
        <v>0.04</v>
      </c>
      <c r="F50" s="56" t="n">
        <f aca="false">CHOOSE($B$15,Entorno!F$7,Entorno!F$8,Entorno!F$9)</f>
        <v>0.04</v>
      </c>
      <c r="G50" s="56" t="n">
        <f aca="false">CHOOSE($B$15,Entorno!G$7,Entorno!G$8,Entorno!G$9)</f>
        <v>0.04</v>
      </c>
      <c r="H50" s="56" t="n">
        <f aca="false">CHOOSE($B$15,Entorno!H$7,Entorno!H$8,Entorno!H$9)</f>
        <v>0.04</v>
      </c>
      <c r="I50" s="56" t="n">
        <f aca="false">CHOOSE($B$15,Entorno!I$7,Entorno!I$8,Entorno!I$9)</f>
        <v>0.04</v>
      </c>
      <c r="J50" s="56" t="n">
        <f aca="false">CHOOSE($B$15,Entorno!J$7,Entorno!J$8,Entorno!J$9)</f>
        <v>0.04</v>
      </c>
      <c r="K50" s="56" t="n">
        <f aca="false">CHOOSE($B$15,Entorno!K$7,Entorno!K$8,Entorno!K$9)</f>
        <v>0.04</v>
      </c>
      <c r="L50" s="56" t="n">
        <f aca="false">CHOOSE($B$15,Entorno!L$7,Entorno!L$8,Entorno!L$9)</f>
        <v>0.04</v>
      </c>
    </row>
    <row r="51" customFormat="false" ht="15" hidden="true" customHeight="false" outlineLevel="1" collapsed="false">
      <c r="A51" s="9" t="s">
        <v>407</v>
      </c>
      <c r="B51" s="57" t="n">
        <f aca="false">1+B50</f>
        <v>1.06</v>
      </c>
      <c r="C51" s="57" t="n">
        <f aca="false">B51*(1+C50)</f>
        <v>1.113</v>
      </c>
      <c r="D51" s="57" t="n">
        <f aca="false">C51*(1+D50)</f>
        <v>1.163085</v>
      </c>
      <c r="E51" s="57" t="n">
        <f aca="false">D51*(1+E50)</f>
        <v>1.2096084</v>
      </c>
      <c r="F51" s="57" t="n">
        <f aca="false">E51*(1+F50)</f>
        <v>1.257992736</v>
      </c>
      <c r="G51" s="57" t="n">
        <f aca="false">F51*(1+G50)</f>
        <v>1.30831244544</v>
      </c>
      <c r="H51" s="57" t="n">
        <f aca="false">G51*(1+H50)</f>
        <v>1.3606449432576</v>
      </c>
      <c r="I51" s="57" t="n">
        <f aca="false">H51*(1+I50)</f>
        <v>1.4150707409879</v>
      </c>
      <c r="J51" s="57" t="n">
        <f aca="false">I51*(1+J50)</f>
        <v>1.47167357062742</v>
      </c>
      <c r="K51" s="57" t="n">
        <f aca="false">J51*(1+K50)</f>
        <v>1.53054051345252</v>
      </c>
      <c r="L51" s="57" t="n">
        <f aca="false">K51*(1+L50)</f>
        <v>1.59176213399062</v>
      </c>
    </row>
    <row r="52" customFormat="false" ht="15" hidden="true" customHeight="false" outlineLevel="1" collapsed="false">
      <c r="A52" s="9" t="s">
        <v>408</v>
      </c>
      <c r="B52" s="57" t="n">
        <f aca="false">(1+$B$16)/(1+B50)</f>
        <v>1.02358490566038</v>
      </c>
      <c r="C52" s="57" t="n">
        <f aca="false">B52*(1+Entorno!$B$13)</f>
        <v>1.02870283018868</v>
      </c>
      <c r="D52" s="57" t="n">
        <f aca="false">C52*(1+Entorno!$B$13)</f>
        <v>1.03384634433962</v>
      </c>
      <c r="E52" s="57" t="n">
        <f aca="false">D52*(1+Entorno!$B$13)</f>
        <v>1.03901557606132</v>
      </c>
      <c r="F52" s="57" t="n">
        <f aca="false">E52*(1+Entorno!$B$13)</f>
        <v>1.04421065394163</v>
      </c>
      <c r="G52" s="57" t="n">
        <f aca="false">F52*(1+Entorno!$B$13)</f>
        <v>1.04943170721133</v>
      </c>
      <c r="H52" s="57" t="n">
        <f aca="false">G52*(1+Entorno!$B$13)</f>
        <v>1.05467886574739</v>
      </c>
      <c r="I52" s="57" t="n">
        <f aca="false">H52*(1+Entorno!$B$13)</f>
        <v>1.05995226007613</v>
      </c>
      <c r="J52" s="57" t="n">
        <f aca="false">I52*(1+Entorno!$B$13)</f>
        <v>1.06525202137651</v>
      </c>
      <c r="K52" s="57" t="n">
        <f aca="false">J52*(1+Entorno!$B$13)</f>
        <v>1.07057828148339</v>
      </c>
      <c r="L52" s="57" t="n">
        <f aca="false">K52*(1+Entorno!$B$13)</f>
        <v>1.07593117289081</v>
      </c>
    </row>
    <row r="53" customFormat="false" ht="15" hidden="true" customHeight="false" outlineLevel="1" collapsed="false">
      <c r="A53" s="9" t="s">
        <v>409</v>
      </c>
      <c r="B53" s="57" t="n">
        <f aca="false">1/B51</f>
        <v>0.943396226415094</v>
      </c>
      <c r="C53" s="57" t="n">
        <f aca="false">1/C51</f>
        <v>0.898472596585804</v>
      </c>
      <c r="D53" s="57" t="n">
        <f aca="false">1/D51</f>
        <v>0.859782389077324</v>
      </c>
      <c r="E53" s="57" t="n">
        <f aca="false">1/E51</f>
        <v>0.826713835651273</v>
      </c>
      <c r="F53" s="57" t="n">
        <f aca="false">1/F51</f>
        <v>0.794917149664686</v>
      </c>
      <c r="G53" s="57" t="n">
        <f aca="false">1/G51</f>
        <v>0.764343413139121</v>
      </c>
      <c r="H53" s="57" t="n">
        <f aca="false">1/H51</f>
        <v>0.734945589556847</v>
      </c>
      <c r="I53" s="57" t="n">
        <f aca="false">1/I51</f>
        <v>0.706678451496968</v>
      </c>
      <c r="J53" s="57" t="n">
        <f aca="false">1/J51</f>
        <v>0.679498511054777</v>
      </c>
      <c r="K53" s="57" t="n">
        <f aca="false">1/K51</f>
        <v>0.653363952937286</v>
      </c>
      <c r="L53" s="57" t="n">
        <f aca="false">1/L51</f>
        <v>0.628234570132006</v>
      </c>
    </row>
    <row r="54" customFormat="false" ht="15" hidden="true" customHeight="false" outlineLevel="1" collapsed="false">
      <c r="A54" s="6" t="s">
        <v>323</v>
      </c>
      <c r="B54" s="29" t="n">
        <f aca="false">IF(B$47=0,Quesería!$F$92,IF(B$47=1,(Quesería!$F$93-(-$B$26)*Quesería!$D$86*(1+Quesería!$I$86))*$B$21,0))*$B$11</f>
        <v>930.800239431677</v>
      </c>
      <c r="C54" s="29" t="n">
        <f aca="false">IF(C$47=0,Quesería!$F$92,IF(C$47=1,(Quesería!$F$93-(-$B$26)*Quesería!$D$86*(1+Quesería!$I$86))*$B$21,0))*$B$11</f>
        <v>658.469066674498</v>
      </c>
      <c r="D54" s="29" t="n">
        <f aca="false">IF(D$47=0,Quesería!$F$92,IF(D$47=1,(Quesería!$F$93-(-$B$26)*Quesería!$D$86*(1+Quesería!$I$86))*$B$21,0))*$B$11</f>
        <v>0</v>
      </c>
      <c r="E54" s="29" t="n">
        <f aca="false">IF(E$47=0,Quesería!$F$92,IF(E$47=1,(Quesería!$F$93-(-$B$26)*Quesería!$D$86*(1+Quesería!$I$86))*$B$21,0))*$B$11</f>
        <v>0</v>
      </c>
      <c r="F54" s="29" t="n">
        <f aca="false">IF(F$47=0,Quesería!$F$92,IF(F$47=1,(Quesería!$F$93-(-$B$26)*Quesería!$D$86*(1+Quesería!$I$86))*$B$21,0))*$B$11</f>
        <v>0</v>
      </c>
      <c r="G54" s="29" t="n">
        <f aca="false">IF(G$47=0,Quesería!$F$92,IF(G$47=1,(Quesería!$F$93-(-$B$26)*Quesería!$D$86*(1+Quesería!$I$86))*$B$21,0))*$B$11</f>
        <v>0</v>
      </c>
      <c r="H54" s="29" t="n">
        <f aca="false">IF(H$47=0,Quesería!$F$92,IF(H$47=1,(Quesería!$F$93-(-$B$26)*Quesería!$D$86*(1+Quesería!$I$86))*$B$21,0))*$B$11</f>
        <v>0</v>
      </c>
      <c r="I54" s="29" t="n">
        <f aca="false">IF(I$47=0,Quesería!$F$92,IF(I$47=1,(Quesería!$F$93-(-$B$26)*Quesería!$D$86*(1+Quesería!$I$86))*$B$21,0))*$B$11</f>
        <v>0</v>
      </c>
      <c r="J54" s="29" t="n">
        <f aca="false">IF(J$47=0,Quesería!$F$92,IF(J$47=1,(Quesería!$F$93-(-$B$26)*Quesería!$D$86*(1+Quesería!$I$86))*$B$21,0))*$B$11</f>
        <v>0</v>
      </c>
      <c r="K54" s="29" t="n">
        <f aca="false">IF(K$47=0,Quesería!$F$92,IF(K$47=1,(Quesería!$F$93-(-$B$26)*Quesería!$D$86*(1+Quesería!$I$86))*$B$21,0))*$B$11</f>
        <v>0</v>
      </c>
      <c r="L54" s="29" t="n">
        <f aca="false">IF(L$47=0,Quesería!$F$92,IF(L$47=1,(Quesería!$F$93-(-$B$26)*Quesería!$D$86*(1+Quesería!$I$86))*$B$21,0))*$B$11</f>
        <v>0</v>
      </c>
    </row>
    <row r="55" customFormat="false" ht="15" hidden="true" customHeight="false" outlineLevel="1" collapsed="false">
      <c r="A55" s="6" t="s">
        <v>410</v>
      </c>
      <c r="B55" s="29" t="n">
        <f aca="false">IF(B$47=5,Quesería!$F$99,IF(B$47=6,Quesería!$F$100,0))*$B$11</f>
        <v>0</v>
      </c>
      <c r="C55" s="29" t="n">
        <f aca="false">IF(C$47=5,Quesería!$F$99,IF(C$47=6,Quesería!$F$100,0))*$B$11</f>
        <v>0</v>
      </c>
      <c r="D55" s="29" t="n">
        <f aca="false">IF(D$47=5,Quesería!$F$99,IF(D$47=6,Quesería!$F$100,0))*$B$11</f>
        <v>0</v>
      </c>
      <c r="E55" s="29" t="n">
        <f aca="false">IF(E$47=5,Quesería!$F$99,IF(E$47=6,Quesería!$F$100,0))*$B$11</f>
        <v>0</v>
      </c>
      <c r="F55" s="29" t="n">
        <f aca="false">IF(F$47=5,Quesería!$F$99,IF(F$47=6,Quesería!$F$100,0))*$B$11</f>
        <v>0</v>
      </c>
      <c r="G55" s="29" t="n">
        <f aca="false">IF(G$47=5,Quesería!$F$99,IF(G$47=6,Quesería!$F$100,0))*$B$11</f>
        <v>27.4652172688735</v>
      </c>
      <c r="H55" s="29" t="n">
        <f aca="false">IF(H$47=5,Quesería!$F$99,IF(H$47=6,Quesería!$F$100,0))*$B$11</f>
        <v>46.3891557109552</v>
      </c>
      <c r="I55" s="29" t="n">
        <f aca="false">IF(I$47=5,Quesería!$F$99,IF(I$47=6,Quesería!$F$100,0))*$B$11</f>
        <v>0</v>
      </c>
      <c r="J55" s="29" t="n">
        <f aca="false">IF(J$47=5,Quesería!$F$99,IF(J$47=6,Quesería!$F$100,0))*$B$11</f>
        <v>0</v>
      </c>
      <c r="K55" s="29" t="n">
        <f aca="false">IF(K$47=5,Quesería!$F$99,IF(K$47=6,Quesería!$F$100,0))*$B$11</f>
        <v>0</v>
      </c>
      <c r="L55" s="29" t="n">
        <f aca="false">IF(L$47=5,Quesería!$F$99,IF(L$47=6,Quesería!$F$100,0))*$B$11</f>
        <v>0</v>
      </c>
    </row>
    <row r="56" customFormat="false" ht="15" hidden="true" customHeight="false" outlineLevel="1" collapsed="false">
      <c r="A56" s="6" t="s">
        <v>411</v>
      </c>
      <c r="B56" s="29" t="n">
        <f aca="false">Quesería!$B$55*(IF(B$47=0,SUMPRODUCT((Quesería!$C$70:$C$89=0)*(Quesería!$H$70:$H$89&gt;0)*(Quesería!$J$70:$J$89&gt;0)*Quesería!$F$70:$F$89*(1+Quesería!$I$70:$I$89)),IF(B$47=1,(SUMPRODUCT((Quesería!$C$70:$C$89=1)*(Quesería!$H$70:$H$89&gt;0)*(Quesería!$J$70:$J$89&gt;0)*Quesería!$F$70:$F$89*(1+Quesería!$I$70:$I$89))-(-$B$26)*Quesería!$D$86*(1+Quesería!$I$86))*$B$21,0))*$B$11+B55)</f>
        <v>149.115671560178</v>
      </c>
      <c r="C56" s="29" t="n">
        <f aca="false">Quesería!$B$55*(IF(C$47=0,SUMPRODUCT((Quesería!$C$70:$C$89=0)*(Quesería!$H$70:$H$89&gt;0)*(Quesería!$J$70:$J$89&gt;0)*Quesería!$F$70:$F$89*(1+Quesería!$I$70:$I$89)),IF(C$47=1,(SUMPRODUCT((Quesería!$C$70:$C$89=1)*(Quesería!$H$70:$H$89&gt;0)*(Quesería!$J$70:$J$89&gt;0)*Quesería!$F$70:$F$89*(1+Quesería!$I$70:$I$89))-(-$B$26)*Quesería!$D$86*(1+Quesería!$I$86))*$B$21,0))*$B$11+C55)</f>
        <v>125.109122668155</v>
      </c>
      <c r="D56" s="29" t="n">
        <f aca="false">Quesería!$B$55*(IF(D$47=0,SUMPRODUCT((Quesería!$C$70:$C$89=0)*(Quesería!$H$70:$H$89&gt;0)*(Quesería!$J$70:$J$89&gt;0)*Quesería!$F$70:$F$89*(1+Quesería!$I$70:$I$89)),IF(D$47=1,(SUMPRODUCT((Quesería!$C$70:$C$89=1)*(Quesería!$H$70:$H$89&gt;0)*(Quesería!$J$70:$J$89&gt;0)*Quesería!$F$70:$F$89*(1+Quesería!$I$70:$I$89))-(-$B$26)*Quesería!$D$86*(1+Quesería!$I$86))*$B$21,0))*$B$11+D55)</f>
        <v>0</v>
      </c>
      <c r="E56" s="29" t="n">
        <f aca="false">Quesería!$B$55*(IF(E$47=0,SUMPRODUCT((Quesería!$C$70:$C$89=0)*(Quesería!$H$70:$H$89&gt;0)*(Quesería!$J$70:$J$89&gt;0)*Quesería!$F$70:$F$89*(1+Quesería!$I$70:$I$89)),IF(E$47=1,(SUMPRODUCT((Quesería!$C$70:$C$89=1)*(Quesería!$H$70:$H$89&gt;0)*(Quesería!$J$70:$J$89&gt;0)*Quesería!$F$70:$F$89*(1+Quesería!$I$70:$I$89))-(-$B$26)*Quesería!$D$86*(1+Quesería!$I$86))*$B$21,0))*$B$11+E55)</f>
        <v>0</v>
      </c>
      <c r="F56" s="29" t="n">
        <f aca="false">Quesería!$B$55*(IF(F$47=0,SUMPRODUCT((Quesería!$C$70:$C$89=0)*(Quesería!$H$70:$H$89&gt;0)*(Quesería!$J$70:$J$89&gt;0)*Quesería!$F$70:$F$89*(1+Quesería!$I$70:$I$89)),IF(F$47=1,(SUMPRODUCT((Quesería!$C$70:$C$89=1)*(Quesería!$H$70:$H$89&gt;0)*(Quesería!$J$70:$J$89&gt;0)*Quesería!$F$70:$F$89*(1+Quesería!$I$70:$I$89))-(-$B$26)*Quesería!$D$86*(1+Quesería!$I$86))*$B$21,0))*$B$11+F55)</f>
        <v>0</v>
      </c>
      <c r="G56" s="29" t="n">
        <f aca="false">Quesería!$B$55*(IF(G$47=0,SUMPRODUCT((Quesería!$C$70:$C$89=0)*(Quesería!$H$70:$H$89&gt;0)*(Quesería!$J$70:$J$89&gt;0)*Quesería!$F$70:$F$89*(1+Quesería!$I$70:$I$89)),IF(G$47=1,(SUMPRODUCT((Quesería!$C$70:$C$89=1)*(Quesería!$H$70:$H$89&gt;0)*(Quesería!$J$70:$J$89&gt;0)*Quesería!$F$70:$F$89*(1+Quesería!$I$70:$I$89))-(-$B$26)*Quesería!$D$86*(1+Quesería!$I$86))*$B$21,0))*$B$11+G55)</f>
        <v>5.21839128108597</v>
      </c>
      <c r="H56" s="29" t="n">
        <f aca="false">Quesería!$B$55*(IF(H$47=0,SUMPRODUCT((Quesería!$C$70:$C$89=0)*(Quesería!$H$70:$H$89&gt;0)*(Quesería!$J$70:$J$89&gt;0)*Quesería!$F$70:$F$89*(1+Quesería!$I$70:$I$89)),IF(H$47=1,(SUMPRODUCT((Quesería!$C$70:$C$89=1)*(Quesería!$H$70:$H$89&gt;0)*(Quesería!$J$70:$J$89&gt;0)*Quesería!$F$70:$F$89*(1+Quesería!$I$70:$I$89))-(-$B$26)*Quesería!$D$86*(1+Quesería!$I$86))*$B$21,0))*$B$11+H55)</f>
        <v>8.8139395850815</v>
      </c>
      <c r="I56" s="29" t="n">
        <f aca="false">Quesería!$B$55*(IF(I$47=0,SUMPRODUCT((Quesería!$C$70:$C$89=0)*(Quesería!$H$70:$H$89&gt;0)*(Quesería!$J$70:$J$89&gt;0)*Quesería!$F$70:$F$89*(1+Quesería!$I$70:$I$89)),IF(I$47=1,(SUMPRODUCT((Quesería!$C$70:$C$89=1)*(Quesería!$H$70:$H$89&gt;0)*(Quesería!$J$70:$J$89&gt;0)*Quesería!$F$70:$F$89*(1+Quesería!$I$70:$I$89))-(-$B$26)*Quesería!$D$86*(1+Quesería!$I$86))*$B$21,0))*$B$11+I55)</f>
        <v>0</v>
      </c>
      <c r="J56" s="29" t="n">
        <f aca="false">Quesería!$B$55*(IF(J$47=0,SUMPRODUCT((Quesería!$C$70:$C$89=0)*(Quesería!$H$70:$H$89&gt;0)*(Quesería!$J$70:$J$89&gt;0)*Quesería!$F$70:$F$89*(1+Quesería!$I$70:$I$89)),IF(J$47=1,(SUMPRODUCT((Quesería!$C$70:$C$89=1)*(Quesería!$H$70:$H$89&gt;0)*(Quesería!$J$70:$J$89&gt;0)*Quesería!$F$70:$F$89*(1+Quesería!$I$70:$I$89))-(-$B$26)*Quesería!$D$86*(1+Quesería!$I$86))*$B$21,0))*$B$11+J55)</f>
        <v>0</v>
      </c>
      <c r="K56" s="29" t="n">
        <f aca="false">Quesería!$B$55*(IF(K$47=0,SUMPRODUCT((Quesería!$C$70:$C$89=0)*(Quesería!$H$70:$H$89&gt;0)*(Quesería!$J$70:$J$89&gt;0)*Quesería!$F$70:$F$89*(1+Quesería!$I$70:$I$89)),IF(K$47=1,(SUMPRODUCT((Quesería!$C$70:$C$89=1)*(Quesería!$H$70:$H$89&gt;0)*(Quesería!$J$70:$J$89&gt;0)*Quesería!$F$70:$F$89*(1+Quesería!$I$70:$I$89))-(-$B$26)*Quesería!$D$86*(1+Quesería!$I$86))*$B$21,0))*$B$11+K55)</f>
        <v>0</v>
      </c>
      <c r="L56" s="29" t="n">
        <f aca="false">Quesería!$B$55*(IF(L$47=0,SUMPRODUCT((Quesería!$C$70:$C$89=0)*(Quesería!$H$70:$H$89&gt;0)*(Quesería!$J$70:$J$89&gt;0)*Quesería!$F$70:$F$89*(1+Quesería!$I$70:$I$89)),IF(L$47=1,(SUMPRODUCT((Quesería!$C$70:$C$89=1)*(Quesería!$H$70:$H$89&gt;0)*(Quesería!$J$70:$J$89&gt;0)*Quesería!$F$70:$F$89*(1+Quesería!$I$70:$I$89))-(-$B$26)*Quesería!$D$86*(1+Quesería!$I$86))*$B$21,0))*$B$11+L55)</f>
        <v>0</v>
      </c>
    </row>
    <row r="57" customFormat="false" ht="15" hidden="true" customHeight="false" outlineLevel="1" collapsed="false">
      <c r="A57" s="6" t="s">
        <v>386</v>
      </c>
      <c r="B57" s="29" t="n">
        <f aca="false">IF(B$47=0,($B$22*Quesería!$J$126+(1-$B$22)*Quesería!$E$122)*Quesería!$B$20*Quesería!$B$21/12*$B$23,(($B$22*Quesería!$J$126+(1-$B$22)*Quesería!$E$122)+($B$22*Quesería!$J$104+(1-$B$22)*Quesería!$E$104)*(B52-1))*IF(B$47=1,Quesería!$B$20,1))*$B$10</f>
        <v>120.716772261203</v>
      </c>
      <c r="C57" s="29" t="n">
        <f aca="false">IF(C$47=0,($B$22*Quesería!$J$126+(1-$B$22)*Quesería!$E$122)*Quesería!$B$20*Quesería!$B$21/12*$B$23,(($B$22*Quesería!$J$126+(1-$B$22)*Quesería!$E$122)+($B$22*Quesería!$J$104+(1-$B$22)*Quesería!$E$104)*(C52-1))*IF(C$47=1,Quesería!$B$20,1))*$B$10</f>
        <v>181.328317354069</v>
      </c>
      <c r="D57" s="29" t="n">
        <f aca="false">IF(D$47=0,($B$22*Quesería!$J$126+(1-$B$22)*Quesería!$E$122)*Quesería!$B$20*Quesería!$B$21/12*$B$23,(($B$22*Quesería!$J$126+(1-$B$22)*Quesería!$E$122)+($B$22*Quesería!$J$104+(1-$B$22)*Quesería!$E$104)*(D52-1))*IF(D$47=1,Quesería!$B$20,1))*$B$10</f>
        <v>241.83157753184</v>
      </c>
      <c r="E57" s="29" t="n">
        <f aca="false">IF(E$47=0,($B$22*Quesería!$J$126+(1-$B$22)*Quesería!$E$122)*Quesería!$B$20*Quesería!$B$21/12*$B$23,(($B$22*Quesería!$J$126+(1-$B$22)*Quesería!$E$122)+($B$22*Quesería!$J$104+(1-$B$22)*Quesería!$E$104)*(E52-1))*IF(E$47=1,Quesería!$B$20,1))*$B$10</f>
        <v>241.892367696887</v>
      </c>
      <c r="F57" s="29" t="n">
        <f aca="false">IF(F$47=0,($B$22*Quesería!$J$126+(1-$B$22)*Quesería!$E$122)*Quesería!$B$20*Quesería!$B$21/12*$B$23,(($B$22*Quesería!$J$126+(1-$B$22)*Quesería!$E$122)+($B$22*Quesería!$J$104+(1-$B$22)*Quesería!$E$104)*(F52-1))*IF(F$47=1,Quesería!$B$20,1))*$B$10</f>
        <v>241.95346181276</v>
      </c>
      <c r="G57" s="29" t="n">
        <f aca="false">IF(G$47=0,($B$22*Quesería!$J$126+(1-$B$22)*Quesería!$E$122)*Quesería!$B$20*Quesería!$B$21/12*$B$23,(($B$22*Quesería!$J$126+(1-$B$22)*Quesería!$E$122)+($B$22*Quesería!$J$104+(1-$B$22)*Quesería!$E$104)*(G52-1))*IF(G$47=1,Quesería!$B$20,1))*$B$10</f>
        <v>242.014861399211</v>
      </c>
      <c r="H57" s="29" t="n">
        <f aca="false">IF(H$47=0,($B$22*Quesería!$J$126+(1-$B$22)*Quesería!$E$122)*Quesería!$B$20*Quesería!$B$21/12*$B$23,(($B$22*Quesería!$J$126+(1-$B$22)*Quesería!$E$122)+($B$22*Quesería!$J$104+(1-$B$22)*Quesería!$E$104)*(H52-1))*IF(H$47=1,Quesería!$B$20,1))*$B$10</f>
        <v>242.076567983595</v>
      </c>
      <c r="I57" s="29" t="n">
        <f aca="false">IF(I$47=0,($B$22*Quesería!$J$126+(1-$B$22)*Quesería!$E$122)*Quesería!$B$20*Quesería!$B$21/12*$B$23,(($B$22*Quesería!$J$126+(1-$B$22)*Quesería!$E$122)+($B$22*Quesería!$J$104+(1-$B$22)*Quesería!$E$104)*(I52-1))*IF(I$47=1,Quesería!$B$20,1))*$B$10</f>
        <v>242.138583100901</v>
      </c>
      <c r="J57" s="29" t="n">
        <f aca="false">IF(J$47=0,($B$22*Quesería!$J$126+(1-$B$22)*Quesería!$E$122)*Quesería!$B$20*Quesería!$B$21/12*$B$23,(($B$22*Quesería!$J$126+(1-$B$22)*Quesería!$E$122)+($B$22*Quesería!$J$104+(1-$B$22)*Quesería!$E$104)*(J52-1))*IF(J$47=1,Quesería!$B$20,1))*$B$10</f>
        <v>242.200908293794</v>
      </c>
      <c r="K57" s="29" t="n">
        <f aca="false">IF(K$47=0,($B$22*Quesería!$J$126+(1-$B$22)*Quesería!$E$122)*Quesería!$B$20*Quesería!$B$21/12*$B$23,(($B$22*Quesería!$J$126+(1-$B$22)*Quesería!$E$122)+($B$22*Quesería!$J$104+(1-$B$22)*Quesería!$E$104)*(K52-1))*IF(K$47=1,Quesería!$B$20,1))*$B$10</f>
        <v>242.263545112651</v>
      </c>
      <c r="L57" s="29" t="n">
        <f aca="false">IF(L$47=0,($B$22*Quesería!$J$126+(1-$B$22)*Quesería!$E$122)*Quesería!$B$20*Quesería!$B$21/12*$B$23,(($B$22*Quesería!$J$126+(1-$B$22)*Quesería!$E$122)+($B$22*Quesería!$J$104+(1-$B$22)*Quesería!$E$104)*(L52-1))*IF(L$47=1,Quesería!$B$20,1))*$B$10</f>
        <v>242.326495115602</v>
      </c>
    </row>
    <row r="58" customFormat="false" ht="15" hidden="true" customHeight="false" outlineLevel="1" collapsed="false">
      <c r="A58" s="6" t="s">
        <v>387</v>
      </c>
      <c r="B58" s="29" t="n">
        <f aca="false">IF(B$47&lt;=1,0,((($B$22*Quesería!$J$127+(1-$B$22)*Quesería!$E$123)-($B$22*Quesería!$J$113+(1-$B$22)*Quesería!$E$113)+$B$6*($B$22*Quesería!$J$113+(1-$B$22)*Quesería!$E$113)-(1-$B$9)*(($B$22*Quesería!$J$119+(1-$B$22)*Quesería!$E$119)+($B$22*Quesería!$J$118+(1-$B$22)*Quesería!$E$118))-(1-$B$24)*($B$22*Quesería!$J$117+(1-$B$22)*Quesería!$E$117)+$B$24*(1-$B$25)*'Beneficios y costos'!$B$144-(-$B$26*$B$27)*'Beneficios y costos'!$C$167)+($B$6*($B$22*Quesería!$J$113+(1-$B$22)*Quesería!$E$113)+$B$9*($B$22*Quesería!$J$119+(1-$B$22)*Quesería!$E$119))*(B52-1))*IF(B$47=2,Quesería!$B$20,1)+IF(B$47=2,Quesería!$B$24*$B$9*($B$22*Quesería!$J$119+(1-$B$22)*Quesería!$E$119)*B52,0))*$B$10*$B$21</f>
        <v>0</v>
      </c>
      <c r="C58" s="29" t="n">
        <f aca="false">IF(C$47&lt;=1,0,((($B$22*Quesería!$J$127+(1-$B$22)*Quesería!$E$123)-($B$22*Quesería!$J$113+(1-$B$22)*Quesería!$E$113)+$B$6*($B$22*Quesería!$J$113+(1-$B$22)*Quesería!$E$113)-(1-$B$9)*(($B$22*Quesería!$J$119+(1-$B$22)*Quesería!$E$119)+($B$22*Quesería!$J$118+(1-$B$22)*Quesería!$E$118))-(1-$B$24)*($B$22*Quesería!$J$117+(1-$B$22)*Quesería!$E$117)+$B$24*(1-$B$25)*'Beneficios y costos'!$B$144-(-$B$26*$B$27)*'Beneficios y costos'!$C$167)+($B$6*($B$22*Quesería!$J$113+(1-$B$22)*Quesería!$E$113)+$B$9*($B$22*Quesería!$J$119+(1-$B$22)*Quesería!$E$119))*(C52-1))*IF(C$47=2,Quesería!$B$20,1)+IF(C$47=2,Quesería!$B$24*$B$9*($B$22*Quesería!$J$119+(1-$B$22)*Quesería!$E$119)*C52,0))*$B$10*$B$21</f>
        <v>0</v>
      </c>
      <c r="D58" s="29" t="n">
        <f aca="false">IF(D$47&lt;=1,0,((($B$22*Quesería!$J$127+(1-$B$22)*Quesería!$E$123)-($B$22*Quesería!$J$113+(1-$B$22)*Quesería!$E$113)+$B$6*($B$22*Quesería!$J$113+(1-$B$22)*Quesería!$E$113)-(1-$B$9)*(($B$22*Quesería!$J$119+(1-$B$22)*Quesería!$E$119)+($B$22*Quesería!$J$118+(1-$B$22)*Quesería!$E$118))-(1-$B$24)*($B$22*Quesería!$J$117+(1-$B$22)*Quesería!$E$117)+$B$24*(1-$B$25)*'Beneficios y costos'!$B$144-(-$B$26*$B$27)*'Beneficios y costos'!$C$167)+($B$6*($B$22*Quesería!$J$113+(1-$B$22)*Quesería!$E$113)+$B$9*($B$22*Quesería!$J$119+(1-$B$22)*Quesería!$E$119))*(D52-1))*IF(D$47=2,Quesería!$B$20,1)+IF(D$47=2,Quesería!$B$24*$B$9*($B$22*Quesería!$J$119+(1-$B$22)*Quesería!$E$119)*D52,0))*$B$10*$B$21</f>
        <v>257.351493734688</v>
      </c>
      <c r="E58" s="29" t="n">
        <f aca="false">IF(E$47&lt;=1,0,((($B$22*Quesería!$J$127+(1-$B$22)*Quesería!$E$123)-($B$22*Quesería!$J$113+(1-$B$22)*Quesería!$E$113)+$B$6*($B$22*Quesería!$J$113+(1-$B$22)*Quesería!$E$113)-(1-$B$9)*(($B$22*Quesería!$J$119+(1-$B$22)*Quesería!$E$119)+($B$22*Quesería!$J$118+(1-$B$22)*Quesería!$E$118))-(1-$B$24)*($B$22*Quesería!$J$117+(1-$B$22)*Quesería!$E$117)+$B$24*(1-$B$25)*'Beneficios y costos'!$B$144-(-$B$26*$B$27)*'Beneficios y costos'!$C$167)+($B$6*($B$22*Quesería!$J$113+(1-$B$22)*Quesería!$E$113)+$B$9*($B$22*Quesería!$J$119+(1-$B$22)*Quesería!$E$119))*(E52-1))*IF(E$47=2,Quesería!$B$20,1)+IF(E$47=2,Quesería!$B$24*$B$9*($B$22*Quesería!$J$119+(1-$B$22)*Quesería!$E$119)*E52,0))*$B$10*$B$21</f>
        <v>328.494820128122</v>
      </c>
      <c r="F58" s="29" t="n">
        <f aca="false">IF(F$47&lt;=1,0,((($B$22*Quesería!$J$127+(1-$B$22)*Quesería!$E$123)-($B$22*Quesería!$J$113+(1-$B$22)*Quesería!$E$113)+$B$6*($B$22*Quesería!$J$113+(1-$B$22)*Quesería!$E$113)-(1-$B$9)*(($B$22*Quesería!$J$119+(1-$B$22)*Quesería!$E$119)+($B$22*Quesería!$J$118+(1-$B$22)*Quesería!$E$118))-(1-$B$24)*($B$22*Quesería!$J$117+(1-$B$22)*Quesería!$E$117)+$B$24*(1-$B$25)*'Beneficios y costos'!$B$144-(-$B$26*$B$27)*'Beneficios y costos'!$C$167)+($B$6*($B$22*Quesería!$J$113+(1-$B$22)*Quesería!$E$113)+$B$9*($B$22*Quesería!$J$119+(1-$B$22)*Quesería!$E$119))*(F52-1))*IF(F$47=2,Quesería!$B$20,1)+IF(F$47=2,Quesería!$B$24*$B$9*($B$22*Quesería!$J$119+(1-$B$22)*Quesería!$E$119)*F52,0))*$B$10*$B$21</f>
        <v>328.742937047686</v>
      </c>
      <c r="G58" s="29" t="n">
        <f aca="false">IF(G$47&lt;=1,0,((($B$22*Quesería!$J$127+(1-$B$22)*Quesería!$E$123)-($B$22*Quesería!$J$113+(1-$B$22)*Quesería!$E$113)+$B$6*($B$22*Quesería!$J$113+(1-$B$22)*Quesería!$E$113)-(1-$B$9)*(($B$22*Quesería!$J$119+(1-$B$22)*Quesería!$E$119)+($B$22*Quesería!$J$118+(1-$B$22)*Quesería!$E$118))-(1-$B$24)*($B$22*Quesería!$J$117+(1-$B$22)*Quesería!$E$117)+$B$24*(1-$B$25)*'Beneficios y costos'!$B$144-(-$B$26*$B$27)*'Beneficios y costos'!$C$167)+($B$6*($B$22*Quesería!$J$113+(1-$B$22)*Quesería!$E$113)+$B$9*($B$22*Quesería!$J$119+(1-$B$22)*Quesería!$E$119))*(G52-1))*IF(G$47=2,Quesería!$B$20,1)+IF(G$47=2,Quesería!$B$24*$B$9*($B$22*Quesería!$J$119+(1-$B$22)*Quesería!$E$119)*G52,0))*$B$10*$B$21</f>
        <v>328.992294551847</v>
      </c>
      <c r="H58" s="29" t="n">
        <f aca="false">IF(H$47&lt;=1,0,((($B$22*Quesería!$J$127+(1-$B$22)*Quesería!$E$123)-($B$22*Quesería!$J$113+(1-$B$22)*Quesería!$E$113)+$B$6*($B$22*Quesería!$J$113+(1-$B$22)*Quesería!$E$113)-(1-$B$9)*(($B$22*Quesería!$J$119+(1-$B$22)*Quesería!$E$119)+($B$22*Quesería!$J$118+(1-$B$22)*Quesería!$E$118))-(1-$B$24)*($B$22*Quesería!$J$117+(1-$B$22)*Quesería!$E$117)+$B$24*(1-$B$25)*'Beneficios y costos'!$B$144-(-$B$26*$B$27)*'Beneficios y costos'!$C$167)+($B$6*($B$22*Quesería!$J$113+(1-$B$22)*Quesería!$E$113)+$B$9*($B$22*Quesería!$J$119+(1-$B$22)*Quesería!$E$119))*(H52-1))*IF(H$47=2,Quesería!$B$20,1)+IF(H$47=2,Quesería!$B$24*$B$9*($B$22*Quesería!$J$119+(1-$B$22)*Quesería!$E$119)*H52,0))*$B$10*$B$21</f>
        <v>329.242898843529</v>
      </c>
      <c r="I58" s="29" t="n">
        <f aca="false">IF(I$47&lt;=1,0,((($B$22*Quesería!$J$127+(1-$B$22)*Quesería!$E$123)-($B$22*Quesería!$J$113+(1-$B$22)*Quesería!$E$113)+$B$6*($B$22*Quesería!$J$113+(1-$B$22)*Quesería!$E$113)-(1-$B$9)*(($B$22*Quesería!$J$119+(1-$B$22)*Quesería!$E$119)+($B$22*Quesería!$J$118+(1-$B$22)*Quesería!$E$118))-(1-$B$24)*($B$22*Quesería!$J$117+(1-$B$22)*Quesería!$E$117)+$B$24*(1-$B$25)*'Beneficios y costos'!$B$144-(-$B$26*$B$27)*'Beneficios y costos'!$C$167)+($B$6*($B$22*Quesería!$J$113+(1-$B$22)*Quesería!$E$113)+$B$9*($B$22*Quesería!$J$119+(1-$B$22)*Quesería!$E$119))*(I52-1))*IF(I$47=2,Quesería!$B$20,1)+IF(I$47=2,Quesería!$B$24*$B$9*($B$22*Quesería!$J$119+(1-$B$22)*Quesería!$E$119)*I52,0))*$B$10*$B$21</f>
        <v>329.49475615667</v>
      </c>
      <c r="J58" s="29" t="n">
        <f aca="false">IF(J$47&lt;=1,0,((($B$22*Quesería!$J$127+(1-$B$22)*Quesería!$E$123)-($B$22*Quesería!$J$113+(1-$B$22)*Quesería!$E$113)+$B$6*($B$22*Quesería!$J$113+(1-$B$22)*Quesería!$E$113)-(1-$B$9)*(($B$22*Quesería!$J$119+(1-$B$22)*Quesería!$E$119)+($B$22*Quesería!$J$118+(1-$B$22)*Quesería!$E$118))-(1-$B$24)*($B$22*Quesería!$J$117+(1-$B$22)*Quesería!$E$117)+$B$24*(1-$B$25)*'Beneficios y costos'!$B$144-(-$B$26*$B$27)*'Beneficios y costos'!$C$167)+($B$6*($B$22*Quesería!$J$113+(1-$B$22)*Quesería!$E$113)+$B$9*($B$22*Quesería!$J$119+(1-$B$22)*Quesería!$E$119))*(J52-1))*IF(J$47=2,Quesería!$B$20,1)+IF(J$47=2,Quesería!$B$24*$B$9*($B$22*Quesería!$J$119+(1-$B$22)*Quesería!$E$119)*J52,0))*$B$10*$B$21</f>
        <v>329.747872756376</v>
      </c>
      <c r="K58" s="29" t="n">
        <f aca="false">IF(K$47&lt;=1,0,((($B$22*Quesería!$J$127+(1-$B$22)*Quesería!$E$123)-($B$22*Quesería!$J$113+(1-$B$22)*Quesería!$E$113)+$B$6*($B$22*Quesería!$J$113+(1-$B$22)*Quesería!$E$113)-(1-$B$9)*(($B$22*Quesería!$J$119+(1-$B$22)*Quesería!$E$119)+($B$22*Quesería!$J$118+(1-$B$22)*Quesería!$E$118))-(1-$B$24)*($B$22*Quesería!$J$117+(1-$B$22)*Quesería!$E$117)+$B$24*(1-$B$25)*'Beneficios y costos'!$B$144-(-$B$26*$B$27)*'Beneficios y costos'!$C$167)+($B$6*($B$22*Quesería!$J$113+(1-$B$22)*Quesería!$E$113)+$B$9*($B$22*Quesería!$J$119+(1-$B$22)*Quesería!$E$119))*(K52-1))*IF(K$47=2,Quesería!$B$20,1)+IF(K$47=2,Quesería!$B$24*$B$9*($B$22*Quesería!$J$119+(1-$B$22)*Quesería!$E$119)*K52,0))*$B$10*$B$21</f>
        <v>330.00225493908</v>
      </c>
      <c r="L58" s="29" t="n">
        <f aca="false">IF(L$47&lt;=1,0,((($B$22*Quesería!$J$127+(1-$B$22)*Quesería!$E$123)-($B$22*Quesería!$J$113+(1-$B$22)*Quesería!$E$113)+$B$6*($B$22*Quesería!$J$113+(1-$B$22)*Quesería!$E$113)-(1-$B$9)*(($B$22*Quesería!$J$119+(1-$B$22)*Quesería!$E$119)+($B$22*Quesería!$J$118+(1-$B$22)*Quesería!$E$118))-(1-$B$24)*($B$22*Quesería!$J$117+(1-$B$22)*Quesería!$E$117)+$B$24*(1-$B$25)*'Beneficios y costos'!$B$144-(-$B$26*$B$27)*'Beneficios y costos'!$C$167)+($B$6*($B$22*Quesería!$J$113+(1-$B$22)*Quesería!$E$113)+$B$9*($B$22*Quesería!$J$119+(1-$B$22)*Quesería!$E$119))*(L52-1))*IF(L$47=2,Quesería!$B$20,1)+IF(L$47=2,Quesería!$B$24*$B$9*($B$22*Quesería!$J$119+(1-$B$22)*Quesería!$E$119)*L52,0))*$B$10*$B$21</f>
        <v>330.257909032699</v>
      </c>
    </row>
    <row r="59" customFormat="false" ht="15" hidden="true" customHeight="false" outlineLevel="1" collapsed="false">
      <c r="A59" s="5" t="s">
        <v>412</v>
      </c>
      <c r="B59" s="10" t="n">
        <f aca="false">B57+B58</f>
        <v>120.716772261203</v>
      </c>
      <c r="C59" s="10" t="n">
        <f aca="false">C57+C58</f>
        <v>181.328317354069</v>
      </c>
      <c r="D59" s="10" t="n">
        <f aca="false">D57+D58</f>
        <v>499.183071266528</v>
      </c>
      <c r="E59" s="10" t="n">
        <f aca="false">E57+E58</f>
        <v>570.38718782501</v>
      </c>
      <c r="F59" s="10" t="n">
        <f aca="false">F57+F58</f>
        <v>570.696398860445</v>
      </c>
      <c r="G59" s="10" t="n">
        <f aca="false">G57+G58</f>
        <v>571.007155951058</v>
      </c>
      <c r="H59" s="10" t="n">
        <f aca="false">H57+H58</f>
        <v>571.319466827124</v>
      </c>
      <c r="I59" s="10" t="n">
        <f aca="false">I57+I58</f>
        <v>571.633339257571</v>
      </c>
      <c r="J59" s="10" t="n">
        <f aca="false">J57+J58</f>
        <v>571.94878105017</v>
      </c>
      <c r="K59" s="10" t="n">
        <f aca="false">K57+K58</f>
        <v>572.265800051731</v>
      </c>
      <c r="L59" s="10" t="n">
        <f aca="false">L57+L58</f>
        <v>572.584404148301</v>
      </c>
    </row>
    <row r="60" customFormat="false" ht="15" hidden="true" customHeight="false" outlineLevel="1" collapsed="false">
      <c r="A60" s="6" t="s">
        <v>413</v>
      </c>
      <c r="B60" s="29" t="n">
        <f aca="false">(IF(B$47&gt;=1,(Quesería!$B$31+Quesería!$B$33)*Quesería!$F$94*$B$11+Quesería!$B$32+'Beneficios y costos'!$B$249,0)+IF(B$47&gt;=2,((Quesería!$B$31+Quesería!$B$33)*(Quesería!$F$95-(-$B$26)*Quesería!$D$86)*$B$11+'Beneficios y costos'!$C$249-(-$B$26)*'Beneficios y costos'!$H$235)*$B$21,0))*$B$12</f>
        <v>0</v>
      </c>
      <c r="C60" s="29" t="n">
        <f aca="false">(IF(C$47&gt;=1,(Quesería!$B$31+Quesería!$B$33)*Quesería!$F$94*$B$11+Quesería!$B$32+'Beneficios y costos'!$B$249,0)+IF(C$47&gt;=2,((Quesería!$B$31+Quesería!$B$33)*(Quesería!$F$95-(-$B$26)*Quesería!$D$86)*$B$11+'Beneficios y costos'!$C$249-(-$B$26)*'Beneficios y costos'!$H$235)*$B$21,0))*$B$12</f>
        <v>42.0946487260605</v>
      </c>
      <c r="D60" s="29" t="n">
        <f aca="false">(IF(D$47&gt;=1,(Quesería!$B$31+Quesería!$B$33)*Quesería!$F$94*$B$11+Quesería!$B$32+'Beneficios y costos'!$B$249,0)+IF(D$47&gt;=2,((Quesería!$B$31+Quesería!$B$33)*(Quesería!$F$95-(-$B$26)*Quesería!$D$86)*$B$11+'Beneficios y costos'!$C$249-(-$B$26)*'Beneficios y costos'!$H$235)*$B$21,0))*$B$12</f>
        <v>76.4964821173776</v>
      </c>
      <c r="E60" s="29" t="n">
        <f aca="false">(IF(E$47&gt;=1,(Quesería!$B$31+Quesería!$B$33)*Quesería!$F$94*$B$11+Quesería!$B$32+'Beneficios y costos'!$B$249,0)+IF(E$47&gt;=2,((Quesería!$B$31+Quesería!$B$33)*(Quesería!$F$95-(-$B$26)*Quesería!$D$86)*$B$11+'Beneficios y costos'!$C$249-(-$B$26)*'Beneficios y costos'!$H$235)*$B$21,0))*$B$12</f>
        <v>76.4964821173776</v>
      </c>
      <c r="F60" s="29" t="n">
        <f aca="false">(IF(F$47&gt;=1,(Quesería!$B$31+Quesería!$B$33)*Quesería!$F$94*$B$11+Quesería!$B$32+'Beneficios y costos'!$B$249,0)+IF(F$47&gt;=2,((Quesería!$B$31+Quesería!$B$33)*(Quesería!$F$95-(-$B$26)*Quesería!$D$86)*$B$11+'Beneficios y costos'!$C$249-(-$B$26)*'Beneficios y costos'!$H$235)*$B$21,0))*$B$12</f>
        <v>76.4964821173776</v>
      </c>
      <c r="G60" s="29" t="n">
        <f aca="false">(IF(G$47&gt;=1,(Quesería!$B$31+Quesería!$B$33)*Quesería!$F$94*$B$11+Quesería!$B$32+'Beneficios y costos'!$B$249,0)+IF(G$47&gt;=2,((Quesería!$B$31+Quesería!$B$33)*(Quesería!$F$95-(-$B$26)*Quesería!$D$86)*$B$11+'Beneficios y costos'!$C$249-(-$B$26)*'Beneficios y costos'!$H$235)*$B$21,0))*$B$12</f>
        <v>76.4964821173776</v>
      </c>
      <c r="H60" s="29" t="n">
        <f aca="false">(IF(H$47&gt;=1,(Quesería!$B$31+Quesería!$B$33)*Quesería!$F$94*$B$11+Quesería!$B$32+'Beneficios y costos'!$B$249,0)+IF(H$47&gt;=2,((Quesería!$B$31+Quesería!$B$33)*(Quesería!$F$95-(-$B$26)*Quesería!$D$86)*$B$11+'Beneficios y costos'!$C$249-(-$B$26)*'Beneficios y costos'!$H$235)*$B$21,0))*$B$12</f>
        <v>76.4964821173776</v>
      </c>
      <c r="I60" s="29" t="n">
        <f aca="false">(IF(I$47&gt;=1,(Quesería!$B$31+Quesería!$B$33)*Quesería!$F$94*$B$11+Quesería!$B$32+'Beneficios y costos'!$B$249,0)+IF(I$47&gt;=2,((Quesería!$B$31+Quesería!$B$33)*(Quesería!$F$95-(-$B$26)*Quesería!$D$86)*$B$11+'Beneficios y costos'!$C$249-(-$B$26)*'Beneficios y costos'!$H$235)*$B$21,0))*$B$12</f>
        <v>76.4964821173776</v>
      </c>
      <c r="J60" s="29" t="n">
        <f aca="false">(IF(J$47&gt;=1,(Quesería!$B$31+Quesería!$B$33)*Quesería!$F$94*$B$11+Quesería!$B$32+'Beneficios y costos'!$B$249,0)+IF(J$47&gt;=2,((Quesería!$B$31+Quesería!$B$33)*(Quesería!$F$95-(-$B$26)*Quesería!$D$86)*$B$11+'Beneficios y costos'!$C$249-(-$B$26)*'Beneficios y costos'!$H$235)*$B$21,0))*$B$12</f>
        <v>76.4964821173776</v>
      </c>
      <c r="K60" s="29" t="n">
        <f aca="false">(IF(K$47&gt;=1,(Quesería!$B$31+Quesería!$B$33)*Quesería!$F$94*$B$11+Quesería!$B$32+'Beneficios y costos'!$B$249,0)+IF(K$47&gt;=2,((Quesería!$B$31+Quesería!$B$33)*(Quesería!$F$95-(-$B$26)*Quesería!$D$86)*$B$11+'Beneficios y costos'!$C$249-(-$B$26)*'Beneficios y costos'!$H$235)*$B$21,0))*$B$12</f>
        <v>76.4964821173776</v>
      </c>
      <c r="L60" s="29" t="n">
        <f aca="false">(IF(L$47&gt;=1,(Quesería!$B$31+Quesería!$B$33)*Quesería!$F$94*$B$11+Quesería!$B$32+'Beneficios y costos'!$B$249,0)+IF(L$47&gt;=2,((Quesería!$B$31+Quesería!$B$33)*(Quesería!$F$95-(-$B$26)*Quesería!$D$86)*$B$11+'Beneficios y costos'!$C$249-(-$B$26)*'Beneficios y costos'!$H$235)*$B$21,0))*$B$12</f>
        <v>76.4964821173776</v>
      </c>
    </row>
    <row r="61" customFormat="false" ht="15" hidden="true" customHeight="false" outlineLevel="1" collapsed="false">
      <c r="A61" s="6" t="s">
        <v>414</v>
      </c>
      <c r="B61" s="29" t="n">
        <f aca="false">IF(B$47=1,2*Quesería!$B$22*Quesería!$B$23/12*B52,0)*$B$21</f>
        <v>0</v>
      </c>
      <c r="C61" s="29" t="n">
        <f aca="false">IF(C$47=1,2*Quesería!$B$22*Quesería!$B$23/12*C52,0)*$B$21</f>
        <v>18.5166509433962</v>
      </c>
      <c r="D61" s="29" t="n">
        <f aca="false">IF(D$47=1,2*Quesería!$B$22*Quesería!$B$23/12*D52,0)*$B$21</f>
        <v>0</v>
      </c>
      <c r="E61" s="29" t="n">
        <f aca="false">IF(E$47=1,2*Quesería!$B$22*Quesería!$B$23/12*E52,0)*$B$21</f>
        <v>0</v>
      </c>
      <c r="F61" s="29" t="n">
        <f aca="false">IF(F$47=1,2*Quesería!$B$22*Quesería!$B$23/12*F52,0)*$B$21</f>
        <v>0</v>
      </c>
      <c r="G61" s="29" t="n">
        <f aca="false">IF(G$47=1,2*Quesería!$B$22*Quesería!$B$23/12*G52,0)*$B$21</f>
        <v>0</v>
      </c>
      <c r="H61" s="29" t="n">
        <f aca="false">IF(H$47=1,2*Quesería!$B$22*Quesería!$B$23/12*H52,0)*$B$21</f>
        <v>0</v>
      </c>
      <c r="I61" s="29" t="n">
        <f aca="false">IF(I$47=1,2*Quesería!$B$22*Quesería!$B$23/12*I52,0)*$B$21</f>
        <v>0</v>
      </c>
      <c r="J61" s="29" t="n">
        <f aca="false">IF(J$47=1,2*Quesería!$B$22*Quesería!$B$23/12*J52,0)*$B$21</f>
        <v>0</v>
      </c>
      <c r="K61" s="29" t="n">
        <f aca="false">IF(K$47=1,2*Quesería!$B$22*Quesería!$B$23/12*K52,0)*$B$21</f>
        <v>0</v>
      </c>
      <c r="L61" s="29" t="n">
        <f aca="false">IF(L$47=1,2*Quesería!$B$22*Quesería!$B$23/12*L52,0)*$B$21</f>
        <v>0</v>
      </c>
    </row>
    <row r="62" customFormat="false" ht="15" hidden="true" customHeight="false" outlineLevel="1" collapsed="false">
      <c r="A62" s="6" t="s">
        <v>415</v>
      </c>
      <c r="B62" s="29" t="n">
        <f aca="false">Quesería!$B$52*(B54+B55+B56+B60+B61)</f>
        <v>4.31966364396742</v>
      </c>
      <c r="C62" s="29" t="n">
        <f aca="false">Quesería!$B$52*(C54+C55+C56+C60+C61)</f>
        <v>3.37675795604844</v>
      </c>
      <c r="D62" s="29" t="n">
        <f aca="false">Quesería!$B$52*(D54+D55+D56+D60+D61)</f>
        <v>0.305985928469511</v>
      </c>
      <c r="E62" s="29" t="n">
        <f aca="false">Quesería!$B$52*(E54+E55+E56+E60+E61)</f>
        <v>0.305985928469511</v>
      </c>
      <c r="F62" s="29" t="n">
        <f aca="false">Quesería!$B$52*(F54+F55+F56+F60+F61)</f>
        <v>0.305985928469511</v>
      </c>
      <c r="G62" s="29" t="n">
        <f aca="false">Quesería!$B$52*(G54+G55+G56+G60+G61)</f>
        <v>0.436720362669349</v>
      </c>
      <c r="H62" s="29" t="n">
        <f aca="false">Quesería!$B$52*(H54+H55+H56+H60+H61)</f>
        <v>0.526798309653658</v>
      </c>
      <c r="I62" s="29" t="n">
        <f aca="false">Quesería!$B$52*(I54+I55+I56+I60+I61)</f>
        <v>0.305985928469511</v>
      </c>
      <c r="J62" s="29" t="n">
        <f aca="false">Quesería!$B$52*(J54+J55+J56+J60+J61)</f>
        <v>0.305985928469511</v>
      </c>
      <c r="K62" s="29" t="n">
        <f aca="false">Quesería!$B$52*(K54+K55+K56+K60+K61)</f>
        <v>0.305985928469511</v>
      </c>
      <c r="L62" s="29" t="n">
        <f aca="false">Quesería!$B$52*(L54+L55+L56+L60+L61)</f>
        <v>0.305985928469511</v>
      </c>
    </row>
    <row r="63" customFormat="false" ht="15" hidden="true" customHeight="false" outlineLevel="1" collapsed="false">
      <c r="A63" s="6" t="s">
        <v>416</v>
      </c>
      <c r="B63" s="29" t="n">
        <f aca="false">(IF($B$19=1,(SUMPRODUCT((Quesería!$C$70:$C$89=0)*(Quesería!$J$70:$J$89&gt;0)*(B$47&gt;=1)*(B$47&lt;=Quesería!$J$70:$J$89)*(Quesería!$H$70:$H$89&gt;0)*Quesería!$F$70:$F$89*(1+Quesería!$I$70:$I$89)/(Quesería!$J$70:$J$89+(Quesería!$J$70:$J$89=0)))+SUMPRODUCT((Quesería!$C$70:$C$89=0)*(Quesería!$J$70:$J$89=0)*(B$47=0)*(Quesería!$H$70:$H$89&gt;0)*Quesería!$F$70:$F$89*(1+Quesería!$I$70:$I$89)))*$B$51+((SUMPRODUCT((Quesería!$C$70:$C$89=1)*(Quesería!$J$70:$J$89&gt;0)*(B$47&gt;=2)*(B$47&lt;=Quesería!$J$70:$J$89+1)*(Quesería!$H$70:$H$89&gt;0)*Quesería!$F$70:$F$89*(1+Quesería!$I$70:$I$89)/(Quesería!$J$70:$J$89+(Quesería!$J$70:$J$89=0)))+SUMPRODUCT((Quesería!$C$70:$C$89=1)*(Quesería!$J$70:$J$89=0)*(B$47=1)*(Quesería!$H$70:$H$89&gt;0)*Quesería!$F$70:$F$89*(1+Quesería!$I$70:$I$89)))-(-$B$26)*IF(AND(B$47&gt;=2,B$47&lt;=Quesería!$J$86+1),Quesería!$D$86*(1+Quesería!$I$86)/Quesería!$J$86,0))*$C$51*$B$21,IF(AND(B$47&gt;=1,B$47&lt;=Quesería!$B$30),Quesería!$F$92/Quesería!$B$30,0)*$B$51+IF(AND(B$47&gt;=2,B$47&lt;=Quesería!$B$30+1),(Quesería!$F$93-(-$B$26)*Quesería!$D$86*(1+Quesería!$I$86))/Quesería!$B$30,0)*$C$51*$B$21)*$B$11+IF(AND(B$47&gt;=6,B$47&lt;=10),$G55*$G51/5,0)+IF(AND(B$47&gt;=7,B$47&lt;=11),$H55*$H51/5,0))*B53</f>
        <v>145.980915430742</v>
      </c>
      <c r="C63" s="29" t="n">
        <f aca="false">(IF($B$19=1,(SUMPRODUCT((Quesería!$C$70:$C$89=0)*(Quesería!$J$70:$J$89&gt;0)*(C$47&gt;=1)*(C$47&lt;=Quesería!$J$70:$J$89)*(Quesería!$H$70:$H$89&gt;0)*Quesería!$F$70:$F$89*(1+Quesería!$I$70:$I$89)/(Quesería!$J$70:$J$89+(Quesería!$J$70:$J$89=0)))+SUMPRODUCT((Quesería!$C$70:$C$89=0)*(Quesería!$J$70:$J$89=0)*(C$47=0)*(Quesería!$H$70:$H$89&gt;0)*Quesería!$F$70:$F$89*(1+Quesería!$I$70:$I$89)))*$B$51+((SUMPRODUCT((Quesería!$C$70:$C$89=1)*(Quesería!$J$70:$J$89&gt;0)*(C$47&gt;=2)*(C$47&lt;=Quesería!$J$70:$J$89+1)*(Quesería!$H$70:$H$89&gt;0)*Quesería!$F$70:$F$89*(1+Quesería!$I$70:$I$89)/(Quesería!$J$70:$J$89+(Quesería!$J$70:$J$89=0)))+SUMPRODUCT((Quesería!$C$70:$C$89=1)*(Quesería!$J$70:$J$89=0)*(C$47=1)*(Quesería!$H$70:$H$89&gt;0)*Quesería!$F$70:$F$89*(1+Quesería!$I$70:$I$89)))-(-$B$26)*IF(AND(C$47&gt;=2,C$47&lt;=Quesería!$J$86+1),Quesería!$D$86*(1+Quesería!$I$86)/Quesería!$J$86,0))*$C$51*$B$21,IF(AND(C$47&gt;=1,C$47&lt;=Quesería!$B$30),Quesería!$F$92/Quesería!$B$30,0)*$B$51+IF(AND(C$47&gt;=2,C$47&lt;=Quesería!$B$30+1),(Quesería!$F$93-(-$B$26)*Quesería!$D$86*(1+Quesería!$I$86))/Quesería!$B$30,0)*$C$51*$B$21)*$B$11+IF(AND(C$47&gt;=6,C$47&lt;=10),$G55*$G51/5,0)+IF(AND(C$47&gt;=7,C$47&lt;=11),$H55*$H51/5,0))*C53</f>
        <v>82.2633269524265</v>
      </c>
      <c r="D63" s="29" t="n">
        <f aca="false">(IF($B$19=1,(SUMPRODUCT((Quesería!$C$70:$C$89=0)*(Quesería!$J$70:$J$89&gt;0)*(D$47&gt;=1)*(D$47&lt;=Quesería!$J$70:$J$89)*(Quesería!$H$70:$H$89&gt;0)*Quesería!$F$70:$F$89*(1+Quesería!$I$70:$I$89)/(Quesería!$J$70:$J$89+(Quesería!$J$70:$J$89=0)))+SUMPRODUCT((Quesería!$C$70:$C$89=0)*(Quesería!$J$70:$J$89=0)*(D$47=0)*(Quesería!$H$70:$H$89&gt;0)*Quesería!$F$70:$F$89*(1+Quesería!$I$70:$I$89)))*$B$51+((SUMPRODUCT((Quesería!$C$70:$C$89=1)*(Quesería!$J$70:$J$89&gt;0)*(D$47&gt;=2)*(D$47&lt;=Quesería!$J$70:$J$89+1)*(Quesería!$H$70:$H$89&gt;0)*Quesería!$F$70:$F$89*(1+Quesería!$I$70:$I$89)/(Quesería!$J$70:$J$89+(Quesería!$J$70:$J$89=0)))+SUMPRODUCT((Quesería!$C$70:$C$89=1)*(Quesería!$J$70:$J$89=0)*(D$47=1)*(Quesería!$H$70:$H$89&gt;0)*Quesería!$F$70:$F$89*(1+Quesería!$I$70:$I$89)))-(-$B$26)*IF(AND(D$47&gt;=2,D$47&lt;=Quesería!$J$86+1),Quesería!$D$86*(1+Quesería!$I$86)/Quesería!$J$86,0))*$C$51*$B$21,IF(AND(D$47&gt;=1,D$47&lt;=Quesería!$B$30),Quesería!$F$92/Quesería!$B$30,0)*$B$51+IF(AND(D$47&gt;=2,D$47&lt;=Quesería!$B$30+1),(Quesería!$F$93-(-$B$26)*Quesería!$D$86*(1+Quesería!$I$86))/Quesería!$B$30,0)*$C$51*$B$21)*$B$11+IF(AND(D$47&gt;=6,D$47&lt;=10),$G55*$G51/5,0)+IF(AND(D$47&gt;=7,D$47&lt;=11),$H55*$H51/5,0))*D53</f>
        <v>141.732280975958</v>
      </c>
      <c r="E63" s="29" t="n">
        <f aca="false">(IF($B$19=1,(SUMPRODUCT((Quesería!$C$70:$C$89=0)*(Quesería!$J$70:$J$89&gt;0)*(E$47&gt;=1)*(E$47&lt;=Quesería!$J$70:$J$89)*(Quesería!$H$70:$H$89&gt;0)*Quesería!$F$70:$F$89*(1+Quesería!$I$70:$I$89)/(Quesería!$J$70:$J$89+(Quesería!$J$70:$J$89=0)))+SUMPRODUCT((Quesería!$C$70:$C$89=0)*(Quesería!$J$70:$J$89=0)*(E$47=0)*(Quesería!$H$70:$H$89&gt;0)*Quesería!$F$70:$F$89*(1+Quesería!$I$70:$I$89)))*$B$51+((SUMPRODUCT((Quesería!$C$70:$C$89=1)*(Quesería!$J$70:$J$89&gt;0)*(E$47&gt;=2)*(E$47&lt;=Quesería!$J$70:$J$89+1)*(Quesería!$H$70:$H$89&gt;0)*Quesería!$F$70:$F$89*(1+Quesería!$I$70:$I$89)/(Quesería!$J$70:$J$89+(Quesería!$J$70:$J$89=0)))+SUMPRODUCT((Quesería!$C$70:$C$89=1)*(Quesería!$J$70:$J$89=0)*(E$47=1)*(Quesería!$H$70:$H$89&gt;0)*Quesería!$F$70:$F$89*(1+Quesería!$I$70:$I$89)))-(-$B$26)*IF(AND(E$47&gt;=2,E$47&lt;=Quesería!$J$86+1),Quesería!$D$86*(1+Quesería!$I$86)/Quesería!$J$86,0))*$C$51*$B$21,IF(AND(E$47&gt;=1,E$47&lt;=Quesería!$B$30),Quesería!$F$92/Quesería!$B$30,0)*$B$51+IF(AND(E$47&gt;=2,E$47&lt;=Quesería!$B$30+1),(Quesería!$F$93-(-$B$26)*Quesería!$D$86*(1+Quesería!$I$86))/Quesería!$B$30,0)*$C$51*$B$21)*$B$11+IF(AND(E$47&gt;=6,E$47&lt;=10),$G55*$G51/5,0)+IF(AND(E$47&gt;=7,E$47&lt;=11),$H55*$H51/5,0))*E53</f>
        <v>136.28103939996</v>
      </c>
      <c r="F63" s="29" t="n">
        <f aca="false">(IF($B$19=1,(SUMPRODUCT((Quesería!$C$70:$C$89=0)*(Quesería!$J$70:$J$89&gt;0)*(F$47&gt;=1)*(F$47&lt;=Quesería!$J$70:$J$89)*(Quesería!$H$70:$H$89&gt;0)*Quesería!$F$70:$F$89*(1+Quesería!$I$70:$I$89)/(Quesería!$J$70:$J$89+(Quesería!$J$70:$J$89=0)))+SUMPRODUCT((Quesería!$C$70:$C$89=0)*(Quesería!$J$70:$J$89=0)*(F$47=0)*(Quesería!$H$70:$H$89&gt;0)*Quesería!$F$70:$F$89*(1+Quesería!$I$70:$I$89)))*$B$51+((SUMPRODUCT((Quesería!$C$70:$C$89=1)*(Quesería!$J$70:$J$89&gt;0)*(F$47&gt;=2)*(F$47&lt;=Quesería!$J$70:$J$89+1)*(Quesería!$H$70:$H$89&gt;0)*Quesería!$F$70:$F$89*(1+Quesería!$I$70:$I$89)/(Quesería!$J$70:$J$89+(Quesería!$J$70:$J$89=0)))+SUMPRODUCT((Quesería!$C$70:$C$89=1)*(Quesería!$J$70:$J$89=0)*(F$47=1)*(Quesería!$H$70:$H$89&gt;0)*Quesería!$F$70:$F$89*(1+Quesería!$I$70:$I$89)))-(-$B$26)*IF(AND(F$47&gt;=2,F$47&lt;=Quesería!$J$86+1),Quesería!$D$86*(1+Quesería!$I$86)/Quesería!$J$86,0))*$C$51*$B$21,IF(AND(F$47&gt;=1,F$47&lt;=Quesería!$B$30),Quesería!$F$92/Quesería!$B$30,0)*$B$51+IF(AND(F$47&gt;=2,F$47&lt;=Quesería!$B$30+1),(Quesería!$F$93-(-$B$26)*Quesería!$D$86*(1+Quesería!$I$86))/Quesería!$B$30,0)*$C$51*$B$21)*$B$11+IF(AND(F$47&gt;=6,F$47&lt;=10),$G55*$G51/5,0)+IF(AND(F$47&gt;=7,F$47&lt;=11),$H55*$H51/5,0))*F53</f>
        <v>131.0394609615</v>
      </c>
      <c r="G63" s="29" t="n">
        <f aca="false">(IF($B$19=1,(SUMPRODUCT((Quesería!$C$70:$C$89=0)*(Quesería!$J$70:$J$89&gt;0)*(G$47&gt;=1)*(G$47&lt;=Quesería!$J$70:$J$89)*(Quesería!$H$70:$H$89&gt;0)*Quesería!$F$70:$F$89*(1+Quesería!$I$70:$I$89)/(Quesería!$J$70:$J$89+(Quesería!$J$70:$J$89=0)))+SUMPRODUCT((Quesería!$C$70:$C$89=0)*(Quesería!$J$70:$J$89=0)*(G$47=0)*(Quesería!$H$70:$H$89&gt;0)*Quesería!$F$70:$F$89*(1+Quesería!$I$70:$I$89)))*$B$51+((SUMPRODUCT((Quesería!$C$70:$C$89=1)*(Quesería!$J$70:$J$89&gt;0)*(G$47&gt;=2)*(G$47&lt;=Quesería!$J$70:$J$89+1)*(Quesería!$H$70:$H$89&gt;0)*Quesería!$F$70:$F$89*(1+Quesería!$I$70:$I$89)/(Quesería!$J$70:$J$89+(Quesería!$J$70:$J$89=0)))+SUMPRODUCT((Quesería!$C$70:$C$89=1)*(Quesería!$J$70:$J$89=0)*(G$47=1)*(Quesería!$H$70:$H$89&gt;0)*Quesería!$F$70:$F$89*(1+Quesería!$I$70:$I$89)))-(-$B$26)*IF(AND(G$47&gt;=2,G$47&lt;=Quesería!$J$86+1),Quesería!$D$86*(1+Quesería!$I$86)/Quesería!$J$86,0))*$C$51*$B$21,IF(AND(G$47&gt;=1,G$47&lt;=Quesería!$B$30),Quesería!$F$92/Quesería!$B$30,0)*$B$51+IF(AND(G$47&gt;=2,G$47&lt;=Quesería!$B$30+1),(Quesería!$F$93-(-$B$26)*Quesería!$D$86*(1+Quesería!$I$86))/Quesería!$B$30,0)*$C$51*$B$21)*$B$11+IF(AND(G$47&gt;=6,G$47&lt;=10),$G55*$G51/5,0)+IF(AND(G$47&gt;=7,G$47&lt;=11),$H55*$H51/5,0))*G53</f>
        <v>125.99948169375</v>
      </c>
      <c r="H63" s="29" t="n">
        <f aca="false">(IF($B$19=1,(SUMPRODUCT((Quesería!$C$70:$C$89=0)*(Quesería!$J$70:$J$89&gt;0)*(H$47&gt;=1)*(H$47&lt;=Quesería!$J$70:$J$89)*(Quesería!$H$70:$H$89&gt;0)*Quesería!$F$70:$F$89*(1+Quesería!$I$70:$I$89)/(Quesería!$J$70:$J$89+(Quesería!$J$70:$J$89=0)))+SUMPRODUCT((Quesería!$C$70:$C$89=0)*(Quesería!$J$70:$J$89=0)*(H$47=0)*(Quesería!$H$70:$H$89&gt;0)*Quesería!$F$70:$F$89*(1+Quesería!$I$70:$I$89)))*$B$51+((SUMPRODUCT((Quesería!$C$70:$C$89=1)*(Quesería!$J$70:$J$89&gt;0)*(H$47&gt;=2)*(H$47&lt;=Quesería!$J$70:$J$89+1)*(Quesería!$H$70:$H$89&gt;0)*Quesería!$F$70:$F$89*(1+Quesería!$I$70:$I$89)/(Quesería!$J$70:$J$89+(Quesería!$J$70:$J$89=0)))+SUMPRODUCT((Quesería!$C$70:$C$89=1)*(Quesería!$J$70:$J$89=0)*(H$47=1)*(Quesería!$H$70:$H$89&gt;0)*Quesería!$F$70:$F$89*(1+Quesería!$I$70:$I$89)))-(-$B$26)*IF(AND(H$47&gt;=2,H$47&lt;=Quesería!$J$86+1),Quesería!$D$86*(1+Quesería!$I$86)/Quesería!$J$86,0))*$C$51*$B$21,IF(AND(H$47&gt;=1,H$47&lt;=Quesería!$B$30),Quesería!$F$92/Quesería!$B$30,0)*$B$51+IF(AND(H$47&gt;=2,H$47&lt;=Quesería!$B$30+1),(Quesería!$F$93-(-$B$26)*Quesería!$D$86*(1+Quesería!$I$86))/Quesería!$B$30,0)*$C$51*$B$21)*$B$11+IF(AND(H$47&gt;=6,H$47&lt;=10),$G55*$G51/5,0)+IF(AND(H$47&gt;=7,H$47&lt;=11),$H55*$H51/5,0))*H53</f>
        <v>114.13472617855</v>
      </c>
      <c r="I63" s="29" t="n">
        <f aca="false">(IF($B$19=1,(SUMPRODUCT((Quesería!$C$70:$C$89=0)*(Quesería!$J$70:$J$89&gt;0)*(I$47&gt;=1)*(I$47&lt;=Quesería!$J$70:$J$89)*(Quesería!$H$70:$H$89&gt;0)*Quesería!$F$70:$F$89*(1+Quesería!$I$70:$I$89)/(Quesería!$J$70:$J$89+(Quesería!$J$70:$J$89=0)))+SUMPRODUCT((Quesería!$C$70:$C$89=0)*(Quesería!$J$70:$J$89=0)*(I$47=0)*(Quesería!$H$70:$H$89&gt;0)*Quesería!$F$70:$F$89*(1+Quesería!$I$70:$I$89)))*$B$51+((SUMPRODUCT((Quesería!$C$70:$C$89=1)*(Quesería!$J$70:$J$89&gt;0)*(I$47&gt;=2)*(I$47&lt;=Quesería!$J$70:$J$89+1)*(Quesería!$H$70:$H$89&gt;0)*Quesería!$F$70:$F$89*(1+Quesería!$I$70:$I$89)/(Quesería!$J$70:$J$89+(Quesería!$J$70:$J$89=0)))+SUMPRODUCT((Quesería!$C$70:$C$89=1)*(Quesería!$J$70:$J$89=0)*(I$47=1)*(Quesería!$H$70:$H$89&gt;0)*Quesería!$F$70:$F$89*(1+Quesería!$I$70:$I$89)))-(-$B$26)*IF(AND(I$47&gt;=2,I$47&lt;=Quesería!$J$86+1),Quesería!$D$86*(1+Quesería!$I$86)/Quesería!$J$86,0))*$C$51*$B$21,IF(AND(I$47&gt;=1,I$47&lt;=Quesería!$B$30),Quesería!$F$92/Quesería!$B$30,0)*$B$51+IF(AND(I$47&gt;=2,I$47&lt;=Quesería!$B$30+1),(Quesería!$F$93-(-$B$26)*Quesería!$D$86*(1+Quesería!$I$86))/Quesería!$B$30,0)*$C$51*$B$21)*$B$11+IF(AND(I$47&gt;=6,I$47&lt;=10),$G55*$G51/5,0)+IF(AND(I$47&gt;=7,I$47&lt;=11),$H55*$H51/5,0))*I53</f>
        <v>118.665920500713</v>
      </c>
      <c r="J63" s="29" t="n">
        <f aca="false">(IF($B$19=1,(SUMPRODUCT((Quesería!$C$70:$C$89=0)*(Quesería!$J$70:$J$89&gt;0)*(J$47&gt;=1)*(J$47&lt;=Quesería!$J$70:$J$89)*(Quesería!$H$70:$H$89&gt;0)*Quesería!$F$70:$F$89*(1+Quesería!$I$70:$I$89)/(Quesería!$J$70:$J$89+(Quesería!$J$70:$J$89=0)))+SUMPRODUCT((Quesería!$C$70:$C$89=0)*(Quesería!$J$70:$J$89=0)*(J$47=0)*(Quesería!$H$70:$H$89&gt;0)*Quesería!$F$70:$F$89*(1+Quesería!$I$70:$I$89)))*$B$51+((SUMPRODUCT((Quesería!$C$70:$C$89=1)*(Quesería!$J$70:$J$89&gt;0)*(J$47&gt;=2)*(J$47&lt;=Quesería!$J$70:$J$89+1)*(Quesería!$H$70:$H$89&gt;0)*Quesería!$F$70:$F$89*(1+Quesería!$I$70:$I$89)/(Quesería!$J$70:$J$89+(Quesería!$J$70:$J$89=0)))+SUMPRODUCT((Quesería!$C$70:$C$89=1)*(Quesería!$J$70:$J$89=0)*(J$47=1)*(Quesería!$H$70:$H$89&gt;0)*Quesería!$F$70:$F$89*(1+Quesería!$I$70:$I$89)))-(-$B$26)*IF(AND(J$47&gt;=2,J$47&lt;=Quesería!$J$86+1),Quesería!$D$86*(1+Quesería!$I$86)/Quesería!$J$86,0))*$C$51*$B$21,IF(AND(J$47&gt;=1,J$47&lt;=Quesería!$B$30),Quesería!$F$92/Quesería!$B$30,0)*$B$51+IF(AND(J$47&gt;=2,J$47&lt;=Quesería!$B$30+1),(Quesería!$F$93-(-$B$26)*Quesería!$D$86*(1+Quesería!$I$86))/Quesería!$B$30,0)*$C$51*$B$21)*$B$11+IF(AND(J$47&gt;=6,J$47&lt;=10),$G55*$G51/5,0)+IF(AND(J$47&gt;=7,J$47&lt;=11),$H55*$H51/5,0))*J53</f>
        <v>114.101846635301</v>
      </c>
      <c r="K63" s="29" t="n">
        <f aca="false">(IF($B$19=1,(SUMPRODUCT((Quesería!$C$70:$C$89=0)*(Quesería!$J$70:$J$89&gt;0)*(K$47&gt;=1)*(K$47&lt;=Quesería!$J$70:$J$89)*(Quesería!$H$70:$H$89&gt;0)*Quesería!$F$70:$F$89*(1+Quesería!$I$70:$I$89)/(Quesería!$J$70:$J$89+(Quesería!$J$70:$J$89=0)))+SUMPRODUCT((Quesería!$C$70:$C$89=0)*(Quesería!$J$70:$J$89=0)*(K$47=0)*(Quesería!$H$70:$H$89&gt;0)*Quesería!$F$70:$F$89*(1+Quesería!$I$70:$I$89)))*$B$51+((SUMPRODUCT((Quesería!$C$70:$C$89=1)*(Quesería!$J$70:$J$89&gt;0)*(K$47&gt;=2)*(K$47&lt;=Quesería!$J$70:$J$89+1)*(Quesería!$H$70:$H$89&gt;0)*Quesería!$F$70:$F$89*(1+Quesería!$I$70:$I$89)/(Quesería!$J$70:$J$89+(Quesería!$J$70:$J$89=0)))+SUMPRODUCT((Quesería!$C$70:$C$89=1)*(Quesería!$J$70:$J$89=0)*(K$47=1)*(Quesería!$H$70:$H$89&gt;0)*Quesería!$F$70:$F$89*(1+Quesería!$I$70:$I$89)))-(-$B$26)*IF(AND(K$47&gt;=2,K$47&lt;=Quesería!$J$86+1),Quesería!$D$86*(1+Quesería!$I$86)/Quesería!$J$86,0))*$C$51*$B$21,IF(AND(K$47&gt;=1,K$47&lt;=Quesería!$B$30),Quesería!$F$92/Quesería!$B$30,0)*$B$51+IF(AND(K$47&gt;=2,K$47&lt;=Quesería!$B$30+1),(Quesería!$F$93-(-$B$26)*Quesería!$D$86*(1+Quesería!$I$86))/Quesería!$B$30,0)*$C$51*$B$21)*$B$11+IF(AND(K$47&gt;=6,K$47&lt;=10),$G55*$G51/5,0)+IF(AND(K$47&gt;=7,K$47&lt;=11),$H55*$H51/5,0))*K53</f>
        <v>109.713314072405</v>
      </c>
      <c r="L63" s="29" t="n">
        <f aca="false">(IF($B$19=1,(SUMPRODUCT((Quesería!$C$70:$C$89=0)*(Quesería!$J$70:$J$89&gt;0)*(L$47&gt;=1)*(L$47&lt;=Quesería!$J$70:$J$89)*(Quesería!$H$70:$H$89&gt;0)*Quesería!$F$70:$F$89*(1+Quesería!$I$70:$I$89)/(Quesería!$J$70:$J$89+(Quesería!$J$70:$J$89=0)))+SUMPRODUCT((Quesería!$C$70:$C$89=0)*(Quesería!$J$70:$J$89=0)*(L$47=0)*(Quesería!$H$70:$H$89&gt;0)*Quesería!$F$70:$F$89*(1+Quesería!$I$70:$I$89)))*$B$51+((SUMPRODUCT((Quesería!$C$70:$C$89=1)*(Quesería!$J$70:$J$89&gt;0)*(L$47&gt;=2)*(L$47&lt;=Quesería!$J$70:$J$89+1)*(Quesería!$H$70:$H$89&gt;0)*Quesería!$F$70:$F$89*(1+Quesería!$I$70:$I$89)/(Quesería!$J$70:$J$89+(Quesería!$J$70:$J$89=0)))+SUMPRODUCT((Quesería!$C$70:$C$89=1)*(Quesería!$J$70:$J$89=0)*(L$47=1)*(Quesería!$H$70:$H$89&gt;0)*Quesería!$F$70:$F$89*(1+Quesería!$I$70:$I$89)))-(-$B$26)*IF(AND(L$47&gt;=2,L$47&lt;=Quesería!$J$86+1),Quesería!$D$86*(1+Quesería!$I$86)/Quesería!$J$86,0))*$C$51*$B$21,IF(AND(L$47&gt;=1,L$47&lt;=Quesería!$B$30),Quesería!$F$92/Quesería!$B$30,0)*$B$51+IF(AND(L$47&gt;=2,L$47&lt;=Quesería!$B$30+1),(Quesería!$F$93-(-$B$26)*Quesería!$D$86*(1+Quesería!$I$86))/Quesería!$B$30,0)*$C$51*$B$21)*$B$11+IF(AND(L$47&gt;=6,L$47&lt;=10),$G55*$G51/5,0)+IF(AND(L$47&gt;=7,L$47&lt;=11),$H55*$H51/5,0))*L53</f>
        <v>105.493571223466</v>
      </c>
    </row>
    <row r="64" customFormat="false" ht="15" hidden="true" customHeight="false" outlineLevel="1" collapsed="false">
      <c r="A64" s="9" t="s">
        <v>417</v>
      </c>
      <c r="B64" s="58" t="n">
        <f aca="false">IF(B$47=1,MIN($B$7*$B$26*Quesería!$B$56*Quesería!$D$86*$B$11*$B$21,Quesería!$B$57*Quesería!$B$58),0)</f>
        <v>0</v>
      </c>
      <c r="C64" s="58" t="n">
        <f aca="false">IF(C$47=1,MIN($B$7*$B$26*Quesería!$B$56*Quesería!$D$86*$B$11*$B$21,Quesería!$B$57*Quesería!$B$58),0)</f>
        <v>0</v>
      </c>
      <c r="D64" s="58" t="n">
        <f aca="false">IF(D$47=1,MIN($B$7*$B$26*Quesería!$B$56*Quesería!$D$86*$B$11*$B$21,Quesería!$B$57*Quesería!$B$58),0)</f>
        <v>0</v>
      </c>
      <c r="E64" s="58" t="n">
        <f aca="false">IF(E$47=1,MIN($B$7*$B$26*Quesería!$B$56*Quesería!$D$86*$B$11*$B$21,Quesería!$B$57*Quesería!$B$58),0)</f>
        <v>0</v>
      </c>
      <c r="F64" s="58" t="n">
        <f aca="false">IF(F$47=1,MIN($B$7*$B$26*Quesería!$B$56*Quesería!$D$86*$B$11*$B$21,Quesería!$B$57*Quesería!$B$58),0)</f>
        <v>0</v>
      </c>
      <c r="G64" s="58" t="n">
        <f aca="false">IF(G$47=1,MIN($B$7*$B$26*Quesería!$B$56*Quesería!$D$86*$B$11*$B$21,Quesería!$B$57*Quesería!$B$58),0)</f>
        <v>0</v>
      </c>
      <c r="H64" s="58" t="n">
        <f aca="false">IF(H$47=1,MIN($B$7*$B$26*Quesería!$B$56*Quesería!$D$86*$B$11*$B$21,Quesería!$B$57*Quesería!$B$58),0)</f>
        <v>0</v>
      </c>
      <c r="I64" s="58" t="n">
        <f aca="false">IF(I$47=1,MIN($B$7*$B$26*Quesería!$B$56*Quesería!$D$86*$B$11*$B$21,Quesería!$B$57*Quesería!$B$58),0)</f>
        <v>0</v>
      </c>
      <c r="J64" s="58" t="n">
        <f aca="false">IF(J$47=1,MIN($B$7*$B$26*Quesería!$B$56*Quesería!$D$86*$B$11*$B$21,Quesería!$B$57*Quesería!$B$58),0)</f>
        <v>0</v>
      </c>
      <c r="K64" s="58" t="n">
        <f aca="false">IF(K$47=1,MIN($B$7*$B$26*Quesería!$B$56*Quesería!$D$86*$B$11*$B$21,Quesería!$B$57*Quesería!$B$58),0)</f>
        <v>0</v>
      </c>
      <c r="L64" s="58" t="n">
        <f aca="false">IF(L$47=1,MIN($B$7*$B$26*Quesería!$B$56*Quesería!$D$86*$B$11*$B$21,Quesería!$B$57*Quesería!$B$58),0)</f>
        <v>0</v>
      </c>
    </row>
    <row r="65" customFormat="false" ht="15" hidden="true" customHeight="false" outlineLevel="1" collapsed="false">
      <c r="A65" s="9" t="s">
        <v>418</v>
      </c>
      <c r="B65" s="58" t="n">
        <v>0</v>
      </c>
      <c r="C65" s="58" t="n">
        <f aca="false">$B$20*Quesería!$B$60*Quesería!$F$98*$B$11*$B$51/C51/2</f>
        <v>138.12868344741</v>
      </c>
      <c r="D65" s="58" t="n">
        <f aca="false">$B$20*Quesería!$B$60*Quesería!$F$98*$B$11*$B$51/D51/2</f>
        <v>132.18055832288</v>
      </c>
      <c r="E65" s="58" t="n">
        <v>0</v>
      </c>
      <c r="F65" s="58" t="n">
        <v>0</v>
      </c>
      <c r="G65" s="58" t="n">
        <v>0</v>
      </c>
      <c r="H65" s="58" t="n">
        <v>0</v>
      </c>
      <c r="I65" s="58" t="n">
        <v>0</v>
      </c>
      <c r="J65" s="58" t="n">
        <v>0</v>
      </c>
      <c r="K65" s="58" t="n">
        <v>0</v>
      </c>
      <c r="L65" s="58" t="n">
        <v>0</v>
      </c>
    </row>
    <row r="66" customFormat="false" ht="15" hidden="true" customHeight="false" outlineLevel="1" collapsed="false">
      <c r="A66" s="9" t="s">
        <v>419</v>
      </c>
      <c r="B66" s="58" t="n">
        <f aca="false">0</f>
        <v>0</v>
      </c>
      <c r="C66" s="58" t="n">
        <f aca="false">B56*B51/C51</f>
        <v>142.014925295407</v>
      </c>
      <c r="D66" s="58" t="n">
        <f aca="false">C56*C51/D51</f>
        <v>119.721648486272</v>
      </c>
      <c r="E66" s="58" t="n">
        <f aca="false">D56*D51/E51</f>
        <v>0</v>
      </c>
      <c r="F66" s="58" t="n">
        <f aca="false">E56*E51/F51</f>
        <v>0</v>
      </c>
      <c r="G66" s="58" t="n">
        <f aca="false">F56*F51/G51</f>
        <v>0</v>
      </c>
      <c r="H66" s="58" t="n">
        <f aca="false">G56*G51/H51</f>
        <v>5.01768392412113</v>
      </c>
      <c r="I66" s="58" t="n">
        <f aca="false">H56*H51/I51</f>
        <v>8.47494190873221</v>
      </c>
      <c r="J66" s="58" t="n">
        <f aca="false">I56*I51/J51</f>
        <v>0</v>
      </c>
      <c r="K66" s="58" t="n">
        <f aca="false">J56*J51/K51</f>
        <v>0</v>
      </c>
      <c r="L66" s="58" t="n">
        <f aca="false">K56*K51/L51</f>
        <v>0</v>
      </c>
    </row>
    <row r="67" customFormat="false" ht="15" hidden="true" customHeight="false" outlineLevel="1" collapsed="false">
      <c r="A67" s="6" t="s">
        <v>295</v>
      </c>
      <c r="B67" s="29" t="n">
        <f aca="false">$B$17*(B59-B60-B61-0.5*B62-B63)-B64-B65-B66</f>
        <v>-9.59839124703308</v>
      </c>
      <c r="C67" s="29" t="n">
        <f aca="false">$B$17*(C59-C60-C61-0.5*C62-C63)-C64-C65-C66</f>
        <v>-267.27574962886</v>
      </c>
      <c r="D67" s="29" t="n">
        <f aca="false">$B$17*(D59-D60-D61-0.5*D62-D63)-D64-D65-D66</f>
        <v>-153.621746486017</v>
      </c>
      <c r="E67" s="29" t="n">
        <f aca="false">$B$17*(E59-E60-E61-0.5*E62-E63)-E64-E65-E66</f>
        <v>125.109835670203</v>
      </c>
      <c r="F67" s="29" t="n">
        <f aca="false">$B$17*(F59-F60-F61-0.5*F62-F63)-F64-F65-F66</f>
        <v>127.052611986067</v>
      </c>
      <c r="G67" s="29" t="n">
        <f aca="false">$B$17*(G59-G60-G61-0.5*G62-G63)-G64-G65-G66</f>
        <v>128.902491185509</v>
      </c>
      <c r="H67" s="29" t="n">
        <f aca="false">$B$17*(H59-H60-H61-0.5*H62-H63)-H64-H65-H66</f>
        <v>128.131016857608</v>
      </c>
      <c r="I67" s="29" t="n">
        <f aca="false">$B$17*(I59-I60-I61-0.5*I62-I63)-I64-I65-I66</f>
        <v>123.236338377604</v>
      </c>
      <c r="J67" s="29" t="n">
        <f aca="false">$B$17*(J59-J60-J61-0.5*J62-J63)-J64-J65-J66</f>
        <v>133.41911076664</v>
      </c>
      <c r="K67" s="29" t="n">
        <f aca="false">$B$17*(K59-K60-K61-0.5*K62-K63)-K64-K65-K66</f>
        <v>135.0660538142</v>
      </c>
      <c r="L67" s="29" t="n">
        <f aca="false">$B$17*(L59-L60-L61-0.5*L62-L63)-L64-L65-L66</f>
        <v>136.654475245128</v>
      </c>
    </row>
    <row r="68" customFormat="false" ht="15" hidden="true" customHeight="false" outlineLevel="1" collapsed="false">
      <c r="A68" s="9" t="s">
        <v>420</v>
      </c>
      <c r="B68" s="58" t="n">
        <f aca="false">(IF(B$47&gt;=1,Quesería!$G$124*IF(B$47=1,Quesería!$B$20,1),Quesería!$G$124*Quesería!$B$20*Quesería!$B$21/12*$B$23)+IF(B$47&gt;=2,(Quesería!$G$125-(1-$B$24)*Quesería!$G$117-(-$B$26*$B$27)*'Beneficios y costos'!$D$167)*$B$21*IF(B$47=2,Quesería!$B$20,1),0))*$B$10</f>
        <v>77.4042870161869</v>
      </c>
      <c r="C68" s="58" t="n">
        <f aca="false">(IF(C$47&gt;=1,Quesería!$G$124*IF(C$47=1,Quesería!$B$20,1),Quesería!$G$124*Quesería!$B$20*Quesería!$B$21/12*$B$23)+IF(C$47&gt;=2,(Quesería!$G$125-(1-$B$24)*Quesería!$G$117-(-$B$26*$B$27)*'Beneficios y costos'!$D$167)*$B$21*IF(C$47=2,Quesería!$B$20,1),0))*$B$10</f>
        <v>116.10643052428</v>
      </c>
      <c r="D68" s="58" t="n">
        <f aca="false">(IF(D$47&gt;=1,Quesería!$G$124*IF(D$47=1,Quesería!$B$20,1),Quesería!$G$124*Quesería!$B$20*Quesería!$B$21/12*$B$23)+IF(D$47&gt;=2,(Quesería!$G$125-(1-$B$24)*Quesería!$G$117-(-$B$26*$B$27)*'Beneficios y costos'!$D$167)*$B$21*IF(D$47=2,Quesería!$B$20,1),0))*$B$10</f>
        <v>2023.78917421887</v>
      </c>
      <c r="E68" s="58" t="n">
        <f aca="false">(IF(E$47&gt;=1,Quesería!$G$124*IF(E$47=1,Quesería!$B$20,1),Quesería!$G$124*Quesería!$B$20*Quesería!$B$21/12*$B$23)+IF(E$47&gt;=2,(Quesería!$G$125-(1-$B$24)*Quesería!$G$117-(-$B$26*$B$27)*'Beneficios y costos'!$D$167)*$B$21*IF(E$47=2,Quesería!$B$20,1),0))*$B$10</f>
        <v>2646.78270761437</v>
      </c>
      <c r="F68" s="58" t="n">
        <f aca="false">(IF(F$47&gt;=1,Quesería!$G$124*IF(F$47=1,Quesería!$B$20,1),Quesería!$G$124*Quesería!$B$20*Quesería!$B$21/12*$B$23)+IF(F$47&gt;=2,(Quesería!$G$125-(1-$B$24)*Quesería!$G$117-(-$B$26*$B$27)*'Beneficios y costos'!$D$167)*$B$21*IF(F$47=2,Quesería!$B$20,1),0))*$B$10</f>
        <v>2646.78270761437</v>
      </c>
      <c r="G68" s="58" t="n">
        <f aca="false">(IF(G$47&gt;=1,Quesería!$G$124*IF(G$47=1,Quesería!$B$20,1),Quesería!$G$124*Quesería!$B$20*Quesería!$B$21/12*$B$23)+IF(G$47&gt;=2,(Quesería!$G$125-(1-$B$24)*Quesería!$G$117-(-$B$26*$B$27)*'Beneficios y costos'!$D$167)*$B$21*IF(G$47=2,Quesería!$B$20,1),0))*$B$10</f>
        <v>2646.78270761437</v>
      </c>
      <c r="H68" s="58" t="n">
        <f aca="false">(IF(H$47&gt;=1,Quesería!$G$124*IF(H$47=1,Quesería!$B$20,1),Quesería!$G$124*Quesería!$B$20*Quesería!$B$21/12*$B$23)+IF(H$47&gt;=2,(Quesería!$G$125-(1-$B$24)*Quesería!$G$117-(-$B$26*$B$27)*'Beneficios y costos'!$D$167)*$B$21*IF(H$47=2,Quesería!$B$20,1),0))*$B$10</f>
        <v>2646.78270761437</v>
      </c>
      <c r="I68" s="58" t="n">
        <f aca="false">(IF(I$47&gt;=1,Quesería!$G$124*IF(I$47=1,Quesería!$B$20,1),Quesería!$G$124*Quesería!$B$20*Quesería!$B$21/12*$B$23)+IF(I$47&gt;=2,(Quesería!$G$125-(1-$B$24)*Quesería!$G$117-(-$B$26*$B$27)*'Beneficios y costos'!$D$167)*$B$21*IF(I$47=2,Quesería!$B$20,1),0))*$B$10</f>
        <v>2646.78270761437</v>
      </c>
      <c r="J68" s="58" t="n">
        <f aca="false">(IF(J$47&gt;=1,Quesería!$G$124*IF(J$47=1,Quesería!$B$20,1),Quesería!$G$124*Quesería!$B$20*Quesería!$B$21/12*$B$23)+IF(J$47&gt;=2,(Quesería!$G$125-(1-$B$24)*Quesería!$G$117-(-$B$26*$B$27)*'Beneficios y costos'!$D$167)*$B$21*IF(J$47=2,Quesería!$B$20,1),0))*$B$10</f>
        <v>2646.78270761437</v>
      </c>
      <c r="K68" s="58" t="n">
        <f aca="false">(IF(K$47&gt;=1,Quesería!$G$124*IF(K$47=1,Quesería!$B$20,1),Quesería!$G$124*Quesería!$B$20*Quesería!$B$21/12*$B$23)+IF(K$47&gt;=2,(Quesería!$G$125-(1-$B$24)*Quesería!$G$117-(-$B$26*$B$27)*'Beneficios y costos'!$D$167)*$B$21*IF(K$47=2,Quesería!$B$20,1),0))*$B$10</f>
        <v>2646.78270761437</v>
      </c>
      <c r="L68" s="58" t="n">
        <f aca="false">(IF(L$47&gt;=1,Quesería!$G$124*IF(L$47=1,Quesería!$B$20,1),Quesería!$G$124*Quesería!$B$20*Quesería!$B$21/12*$B$23)+IF(L$47&gt;=2,(Quesería!$G$125-(1-$B$24)*Quesería!$G$117-(-$B$26*$B$27)*'Beneficios y costos'!$D$167)*$B$21*IF(L$47=2,Quesería!$B$20,1),0))*$B$10</f>
        <v>2646.78270761437</v>
      </c>
    </row>
    <row r="69" customFormat="false" ht="15" hidden="true" customHeight="false" outlineLevel="1" collapsed="false">
      <c r="A69" s="6" t="s">
        <v>421</v>
      </c>
      <c r="B69" s="29" t="n">
        <f aca="false">(B68*(Quesería!$B$38+Quesería!$B$40*Quesería!$B$39)/365-B60*Quesería!$B$42/365+IF(B$47&gt;=2,($B$25*'Beneficios y costos'!$B$147+(1-$B$25)*'Beneficios y costos'!$B$148)*$B$24*$B$21*$B$10*IF(B$47=2,Quesería!$B$20,1),0))</f>
        <v>7.23146900616979</v>
      </c>
      <c r="C69" s="29" t="n">
        <f aca="false">(C68*(Quesería!$B$38+Quesería!$B$40*Quesería!$B$39)/365-C60*Quesería!$B$42/365+IF(C$47&gt;=2,($B$25*'Beneficios y costos'!$B$147+(1-$B$25)*'Beneficios y costos'!$B$148)*$B$24*$B$21*$B$10*IF(C$47=2,Quesería!$B$20,1),0))-(B68*(Quesería!$B$38+Quesería!$B$40*Quesería!$B$39)/365-B60*Quesería!$B$42/365+IF(B$47&gt;=2,($B$25*'Beneficios y costos'!$B$147+(1-$B$25)*'Beneficios y costos'!$B$148)*$B$24*$B$21*$B$10*IF(B$47=2,Quesería!$B$20,1),0))*B51/C51</f>
        <v>1.42287846600884</v>
      </c>
      <c r="D69" s="29" t="n">
        <f aca="false">(D68*(Quesería!$B$38+Quesería!$B$40*Quesería!$B$39)/365-D60*Quesería!$B$42/365+IF(D$47&gt;=2,($B$25*'Beneficios y costos'!$B$147+(1-$B$25)*'Beneficios y costos'!$B$148)*$B$24*$B$21*$B$10*IF(D$47=2,Quesería!$B$20,1),0))-(C68*(Quesería!$B$38+Quesería!$B$40*Quesería!$B$39)/365-C60*Quesería!$B$42/365+IF(C$47&gt;=2,($B$25*'Beneficios y costos'!$B$147+(1-$B$25)*'Beneficios y costos'!$B$148)*$B$24*$B$21*$B$10*IF(C$47=2,Quesería!$B$20,1),0))*C51/D51</f>
        <v>121.067969072345</v>
      </c>
      <c r="E69" s="29" t="n">
        <f aca="false">(E68*(Quesería!$B$38+Quesería!$B$40*Quesería!$B$39)/365-E60*Quesería!$B$42/365+IF(E$47&gt;=2,($B$25*'Beneficios y costos'!$B$147+(1-$B$25)*'Beneficios y costos'!$B$148)*$B$24*$B$21*$B$10*IF(E$47=2,Quesería!$B$20,1),0))-(D68*(Quesería!$B$38+Quesería!$B$40*Quesería!$B$39)/365-D60*Quesería!$B$42/365+IF(D$47&gt;=2,($B$25*'Beneficios y costos'!$B$147+(1-$B$25)*'Beneficios y costos'!$B$148)*$B$24*$B$21*$B$10*IF(D$47=2,Quesería!$B$20,1),0))*D51/E51</f>
        <v>44.6849531551876</v>
      </c>
      <c r="F69" s="29" t="n">
        <f aca="false">(F68*(Quesería!$B$38+Quesería!$B$40*Quesería!$B$39)/365-F60*Quesería!$B$42/365+IF(F$47&gt;=2,($B$25*'Beneficios y costos'!$B$147+(1-$B$25)*'Beneficios y costos'!$B$148)*$B$24*$B$21*$B$10*IF(F$47=2,Quesería!$B$20,1),0))-(E68*(Quesería!$B$38+Quesería!$B$40*Quesería!$B$39)/365-E60*Quesería!$B$42/365+IF(E$47&gt;=2,($B$25*'Beneficios y costos'!$B$147+(1-$B$25)*'Beneficios y costos'!$B$148)*$B$24*$B$21*$B$10*IF(E$47=2,Quesería!$B$20,1),0))*E51/F51</f>
        <v>6.49010597714096</v>
      </c>
      <c r="G69" s="29" t="n">
        <f aca="false">(G68*(Quesería!$B$38+Quesería!$B$40*Quesería!$B$39)/365-G60*Quesería!$B$42/365+IF(G$47&gt;=2,($B$25*'Beneficios y costos'!$B$147+(1-$B$25)*'Beneficios y costos'!$B$148)*$B$24*$B$21*$B$10*IF(G$47=2,Quesería!$B$20,1),0))-(F68*(Quesería!$B$38+Quesería!$B$40*Quesería!$B$39)/365-F60*Quesería!$B$42/365+IF(F$47&gt;=2,($B$25*'Beneficios y costos'!$B$147+(1-$B$25)*'Beneficios y costos'!$B$148)*$B$24*$B$21*$B$10*IF(F$47=2,Quesería!$B$20,1),0))*F51/G51</f>
        <v>6.49010597714096</v>
      </c>
      <c r="H69" s="29" t="n">
        <f aca="false">(H68*(Quesería!$B$38+Quesería!$B$40*Quesería!$B$39)/365-H60*Quesería!$B$42/365+IF(H$47&gt;=2,($B$25*'Beneficios y costos'!$B$147+(1-$B$25)*'Beneficios y costos'!$B$148)*$B$24*$B$21*$B$10*IF(H$47=2,Quesería!$B$20,1),0))-(G68*(Quesería!$B$38+Quesería!$B$40*Quesería!$B$39)/365-G60*Quesería!$B$42/365+IF(G$47&gt;=2,($B$25*'Beneficios y costos'!$B$147+(1-$B$25)*'Beneficios y costos'!$B$148)*$B$24*$B$21*$B$10*IF(G$47=2,Quesería!$B$20,1),0))*G51/H51</f>
        <v>6.49010597714096</v>
      </c>
      <c r="I69" s="29" t="n">
        <f aca="false">(I68*(Quesería!$B$38+Quesería!$B$40*Quesería!$B$39)/365-I60*Quesería!$B$42/365+IF(I$47&gt;=2,($B$25*'Beneficios y costos'!$B$147+(1-$B$25)*'Beneficios y costos'!$B$148)*$B$24*$B$21*$B$10*IF(I$47=2,Quesería!$B$20,1),0))-(H68*(Quesería!$B$38+Quesería!$B$40*Quesería!$B$39)/365-H60*Quesería!$B$42/365+IF(H$47&gt;=2,($B$25*'Beneficios y costos'!$B$147+(1-$B$25)*'Beneficios y costos'!$B$148)*$B$24*$B$21*$B$10*IF(H$47=2,Quesería!$B$20,1),0))*H51/I51</f>
        <v>6.49010597714096</v>
      </c>
      <c r="J69" s="29" t="n">
        <f aca="false">(J68*(Quesería!$B$38+Quesería!$B$40*Quesería!$B$39)/365-J60*Quesería!$B$42/365+IF(J$47&gt;=2,($B$25*'Beneficios y costos'!$B$147+(1-$B$25)*'Beneficios y costos'!$B$148)*$B$24*$B$21*$B$10*IF(J$47=2,Quesería!$B$20,1),0))-(I68*(Quesería!$B$38+Quesería!$B$40*Quesería!$B$39)/365-I60*Quesería!$B$42/365+IF(I$47&gt;=2,($B$25*'Beneficios y costos'!$B$147+(1-$B$25)*'Beneficios y costos'!$B$148)*$B$24*$B$21*$B$10*IF(I$47=2,Quesería!$B$20,1),0))*I51/J51</f>
        <v>6.49010597714096</v>
      </c>
      <c r="K69" s="29" t="n">
        <f aca="false">(K68*(Quesería!$B$38+Quesería!$B$40*Quesería!$B$39)/365-K60*Quesería!$B$42/365+IF(K$47&gt;=2,($B$25*'Beneficios y costos'!$B$147+(1-$B$25)*'Beneficios y costos'!$B$148)*$B$24*$B$21*$B$10*IF(K$47=2,Quesería!$B$20,1),0))-(J68*(Quesería!$B$38+Quesería!$B$40*Quesería!$B$39)/365-J60*Quesería!$B$42/365+IF(J$47&gt;=2,($B$25*'Beneficios y costos'!$B$147+(1-$B$25)*'Beneficios y costos'!$B$148)*$B$24*$B$21*$B$10*IF(J$47=2,Quesería!$B$20,1),0))*J51/K51</f>
        <v>6.49010597714099</v>
      </c>
      <c r="L69" s="29" t="n">
        <f aca="false">-(K68*(Quesería!$B$38+Quesería!$B$40*Quesería!$B$39)/365-K60*Quesería!$B$42/365+IF(K$47&gt;=2,($B$25*'Beneficios y costos'!$B$147+(1-$B$25)*'Beneficios y costos'!$B$148)*$B$24*$B$21*$B$10*IF(K$47=2,Quesería!$B$20,1),0))*K51/L51</f>
        <v>-162.252649428524</v>
      </c>
    </row>
    <row r="70" customFormat="false" ht="15" hidden="true" customHeight="false" outlineLevel="1" collapsed="false">
      <c r="A70" s="6" t="s">
        <v>422</v>
      </c>
      <c r="B70" s="29" t="n">
        <v>0</v>
      </c>
      <c r="C70" s="29" t="n">
        <v>0</v>
      </c>
      <c r="D70" s="29" t="n">
        <v>0</v>
      </c>
      <c r="E70" s="29" t="n">
        <v>0</v>
      </c>
      <c r="F70" s="29" t="n">
        <v>0</v>
      </c>
      <c r="G70" s="29" t="n">
        <v>0</v>
      </c>
      <c r="H70" s="29" t="n">
        <v>0</v>
      </c>
      <c r="I70" s="29" t="n">
        <v>0</v>
      </c>
      <c r="J70" s="29" t="n">
        <v>0</v>
      </c>
      <c r="K70" s="29" t="n">
        <v>0</v>
      </c>
      <c r="L70" s="29" t="n">
        <f aca="false">$B$8*Quesería!$B$36*(Quesería!$F$94+(Quesería!$F$95-(-$B$26)*Quesería!$D$86)*$B$21)*$B$11*(1-$B$17)</f>
        <v>61.9237725584542</v>
      </c>
    </row>
    <row r="71" customFormat="false" ht="15" hidden="true" customHeight="false" outlineLevel="1" collapsed="false">
      <c r="A71" s="5" t="s">
        <v>147</v>
      </c>
      <c r="B71" s="59" t="n">
        <f aca="false">B59-B60-B61-B62-B67-B54-B55-B56-B69+B70</f>
        <v>-961.151880133756</v>
      </c>
      <c r="C71" s="59" t="n">
        <f aca="false">C59-C60-C61-C62-C67-C54-C55-C56-C69+C70</f>
        <v>-400.385058451238</v>
      </c>
      <c r="D71" s="59" t="n">
        <f aca="false">D59-D60-D61-D62-D67-D54-D55-D56-D69+D70</f>
        <v>454.934380634354</v>
      </c>
      <c r="E71" s="59" t="n">
        <f aca="false">E59-E60-E61-E62-E67-E54-E55-E56-E69+E70</f>
        <v>323.789930953772</v>
      </c>
      <c r="F71" s="59" t="n">
        <f aca="false">F59-F60-F61-F62-F67-F54-F55-F56-F69+F70</f>
        <v>360.351212851391</v>
      </c>
      <c r="G71" s="59" t="n">
        <f aca="false">G59-G60-G61-G62-G67-G54-G55-G56-G69+G70</f>
        <v>325.997747758402</v>
      </c>
      <c r="H71" s="59" t="n">
        <f aca="false">H59-H60-H61-H62-H67-H54-H55-H56-H69+H70</f>
        <v>304.471968269307</v>
      </c>
      <c r="I71" s="59" t="n">
        <f aca="false">I59-I60-I61-I62-I67-I54-I55-I56-I69+I70</f>
        <v>365.104426856979</v>
      </c>
      <c r="J71" s="59" t="n">
        <f aca="false">J59-J60-J61-J62-J67-J54-J55-J56-J69+J70</f>
        <v>355.237096260542</v>
      </c>
      <c r="K71" s="59" t="n">
        <f aca="false">K59-K60-K61-K62-K67-K54-K55-K56-K69+K70</f>
        <v>353.907172214543</v>
      </c>
      <c r="L71" s="59" t="n">
        <f aca="false">L59-L60-L61-L62-L67-L54-L55-L56-L69+L70</f>
        <v>583.303882844304</v>
      </c>
    </row>
    <row r="72" customFormat="false" ht="15" hidden="true" customHeight="false" outlineLevel="1" collapsed="false">
      <c r="A72" s="9" t="s">
        <v>423</v>
      </c>
      <c r="B72" s="58" t="n">
        <f aca="false">B71*B51</f>
        <v>-1018.82099294178</v>
      </c>
      <c r="C72" s="58" t="n">
        <f aca="false">C71*C51</f>
        <v>-445.628570056228</v>
      </c>
      <c r="D72" s="58" t="n">
        <f aca="false">D71*D51</f>
        <v>529.127354100107</v>
      </c>
      <c r="E72" s="58" t="n">
        <f aca="false">E71*E51</f>
        <v>391.659020317102</v>
      </c>
      <c r="F72" s="58" t="n">
        <f aca="false">F71*F51</f>
        <v>453.319208175839</v>
      </c>
      <c r="G72" s="58" t="n">
        <f aca="false">G71*G51</f>
        <v>426.506910577728</v>
      </c>
      <c r="H72" s="58" t="n">
        <f aca="false">H71*H51</f>
        <v>414.278243989321</v>
      </c>
      <c r="I72" s="58" t="n">
        <f aca="false">I71*I51</f>
        <v>516.648591850469</v>
      </c>
      <c r="J72" s="58" t="n">
        <f aca="false">J71*J51</f>
        <v>522.793045873068</v>
      </c>
      <c r="K72" s="58" t="n">
        <f aca="false">K71*K51</f>
        <v>541.669265075775</v>
      </c>
      <c r="L72" s="58" t="n">
        <f aca="false">L71*L51</f>
        <v>928.481033321263</v>
      </c>
    </row>
    <row r="73" customFormat="false" ht="15" hidden="true" customHeight="false" outlineLevel="1" collapsed="false">
      <c r="A73" s="6" t="s">
        <v>424</v>
      </c>
      <c r="B73" s="29" t="n">
        <f aca="false">B71</f>
        <v>-961.151880133756</v>
      </c>
      <c r="C73" s="29" t="n">
        <f aca="false">B73+C71</f>
        <v>-1361.53693858499</v>
      </c>
      <c r="D73" s="29" t="n">
        <f aca="false">C73+D71</f>
        <v>-906.60255795064</v>
      </c>
      <c r="E73" s="29" t="n">
        <f aca="false">D73+E71</f>
        <v>-582.812626996869</v>
      </c>
      <c r="F73" s="29" t="n">
        <f aca="false">E73+F71</f>
        <v>-222.461414145478</v>
      </c>
      <c r="G73" s="29" t="n">
        <f aca="false">F73+G71</f>
        <v>103.536333612924</v>
      </c>
      <c r="H73" s="29" t="n">
        <f aca="false">G73+H71</f>
        <v>408.008301882231</v>
      </c>
      <c r="I73" s="29" t="n">
        <f aca="false">H73+I71</f>
        <v>773.11272873921</v>
      </c>
      <c r="J73" s="29" t="n">
        <f aca="false">I73+J71</f>
        <v>1128.34982499975</v>
      </c>
      <c r="K73" s="29" t="n">
        <f aca="false">J73+K71</f>
        <v>1482.2569972143</v>
      </c>
      <c r="L73" s="29" t="n">
        <f aca="false">K73+L71</f>
        <v>2065.5608800586</v>
      </c>
    </row>
    <row r="74" customFormat="false" ht="15" hidden="true" customHeight="false" outlineLevel="1" collapsed="false">
      <c r="A74" s="9" t="s">
        <v>425</v>
      </c>
      <c r="B74" s="60" t="n">
        <v>0</v>
      </c>
      <c r="C74" s="60" t="n">
        <f aca="false">IF(AND(B73&lt;0,C73&gt;=0),B$47+(-B73)/C71,0)</f>
        <v>0</v>
      </c>
      <c r="D74" s="60" t="n">
        <f aca="false">IF(AND(C73&lt;0,D73&gt;=0),C$47+(-C73)/D71,0)</f>
        <v>0</v>
      </c>
      <c r="E74" s="60" t="n">
        <f aca="false">IF(AND(D73&lt;0,E73&gt;=0),D$47+(-D73)/E71,0)</f>
        <v>0</v>
      </c>
      <c r="F74" s="60" t="n">
        <f aca="false">IF(AND(E73&lt;0,F73&gt;=0),E$47+(-E73)/F71,0)</f>
        <v>0</v>
      </c>
      <c r="G74" s="60" t="n">
        <f aca="false">IF(AND(F73&lt;0,G73&gt;=0),F$47+(-F73)/G71,0)</f>
        <v>4.68240169042623</v>
      </c>
      <c r="H74" s="60" t="n">
        <f aca="false">IF(AND(G73&lt;0,H73&gt;=0),G$47+(-G73)/H71,0)</f>
        <v>0</v>
      </c>
      <c r="I74" s="60" t="n">
        <f aca="false">IF(AND(H73&lt;0,I73&gt;=0),H$47+(-H73)/I71,0)</f>
        <v>0</v>
      </c>
      <c r="J74" s="60" t="n">
        <f aca="false">IF(AND(I73&lt;0,J73&gt;=0),I$47+(-I73)/J71,0)</f>
        <v>0</v>
      </c>
      <c r="K74" s="60" t="n">
        <f aca="false">IF(AND(J73&lt;0,K73&gt;=0),J$47+(-J73)/K71,0)</f>
        <v>0</v>
      </c>
      <c r="L74" s="60" t="n">
        <f aca="false">IF(AND(K73&lt;0,L73&gt;=0),K$47+(-K73)/L71,0)</f>
        <v>0</v>
      </c>
    </row>
    <row r="75" customFormat="false" ht="15" hidden="true" customHeight="false" outlineLevel="1" collapsed="false">
      <c r="A75" s="9" t="s">
        <v>426</v>
      </c>
      <c r="B75" s="57" t="n">
        <f aca="false">(B51/$B$51)/(1+$B$29)^B$47</f>
        <v>1</v>
      </c>
      <c r="C75" s="57" t="n">
        <f aca="false">(C51/$B$51)/(1+$B$29)^C$47</f>
        <v>0.915373701313561</v>
      </c>
      <c r="D75" s="57" t="n">
        <f aca="false">(D51/$B$51)/(1+$B$29)^D$47</f>
        <v>0.833918970137172</v>
      </c>
      <c r="E75" s="57" t="n">
        <f aca="false">(E51/$B$51)/(1+$B$29)^E$47</f>
        <v>0.756077518153961</v>
      </c>
      <c r="F75" s="57" t="n">
        <f aca="false">(F51/$B$51)/(1+$B$29)^F$47</f>
        <v>0.685502109831871</v>
      </c>
      <c r="G75" s="57" t="n">
        <f aca="false">(G51/$B$51)/(1+$B$29)^G$47</f>
        <v>0.621514502549008</v>
      </c>
      <c r="H75" s="57" t="n">
        <f aca="false">(H51/$B$51)/(1+$B$29)^H$47</f>
        <v>0.563499763660072</v>
      </c>
      <c r="I75" s="57" t="n">
        <f aca="false">(I51/$B$51)/(1+$B$29)^I$47</f>
        <v>0.510900360880829</v>
      </c>
      <c r="J75" s="57" t="n">
        <f aca="false">(J51/$B$51)/(1+$B$29)^J$47</f>
        <v>0.463210804300567</v>
      </c>
      <c r="K75" s="57" t="n">
        <f aca="false">(K51/$B$51)/(1+$B$29)^K$47</f>
        <v>0.419972788531318</v>
      </c>
      <c r="L75" s="57" t="n">
        <f aca="false">(L51/$B$51)/(1+$B$29)^L$47</f>
        <v>0.380770788308996</v>
      </c>
    </row>
    <row r="76" customFormat="false" ht="15" hidden="true" customHeight="false" outlineLevel="1" collapsed="false">
      <c r="A76" s="9" t="s">
        <v>427</v>
      </c>
      <c r="B76" s="58" t="n">
        <f aca="false">B71*B75</f>
        <v>-961.151880133756</v>
      </c>
      <c r="C76" s="58" t="n">
        <f aca="false">C71*C75</f>
        <v>-366.501952905157</v>
      </c>
      <c r="D76" s="58" t="n">
        <f aca="false">D71*D75</f>
        <v>379.378410178592</v>
      </c>
      <c r="E76" s="58" t="n">
        <f aca="false">E71*E75</f>
        <v>244.81028739877</v>
      </c>
      <c r="F76" s="58" t="n">
        <f aca="false">F71*F75</f>
        <v>247.021516690102</v>
      </c>
      <c r="G76" s="58" t="n">
        <f aca="false">G71*G75</f>
        <v>202.61232803016</v>
      </c>
      <c r="H76" s="58" t="n">
        <f aca="false">H71*H75</f>
        <v>171.569882160872</v>
      </c>
      <c r="I76" s="58" t="n">
        <f aca="false">I71*I75</f>
        <v>186.531983440419</v>
      </c>
      <c r="J76" s="58" t="n">
        <f aca="false">J71*J75</f>
        <v>164.549661076244</v>
      </c>
      <c r="K76" s="58" t="n">
        <f aca="false">K71*K75</f>
        <v>148.631381996175</v>
      </c>
      <c r="L76" s="58" t="n">
        <f aca="false">L71*L75</f>
        <v>222.105079294324</v>
      </c>
    </row>
    <row r="77" customFormat="false" ht="15" hidden="true" customHeight="false" outlineLevel="1" collapsed="false">
      <c r="A77" s="9" t="s">
        <v>428</v>
      </c>
      <c r="B77" s="58" t="n">
        <f aca="false">B76</f>
        <v>-961.151880133756</v>
      </c>
      <c r="C77" s="58" t="n">
        <f aca="false">B77+C76</f>
        <v>-1327.65383303891</v>
      </c>
      <c r="D77" s="58" t="n">
        <f aca="false">C77+D76</f>
        <v>-948.27542286032</v>
      </c>
      <c r="E77" s="58" t="n">
        <f aca="false">D77+E76</f>
        <v>-703.46513546155</v>
      </c>
      <c r="F77" s="58" t="n">
        <f aca="false">E77+F76</f>
        <v>-456.443618771447</v>
      </c>
      <c r="G77" s="58" t="n">
        <f aca="false">F77+G76</f>
        <v>-253.831290741287</v>
      </c>
      <c r="H77" s="58" t="n">
        <f aca="false">G77+H76</f>
        <v>-82.2614085804157</v>
      </c>
      <c r="I77" s="58" t="n">
        <f aca="false">H77+I76</f>
        <v>104.270574860003</v>
      </c>
      <c r="J77" s="58" t="n">
        <f aca="false">I77+J76</f>
        <v>268.820235936247</v>
      </c>
      <c r="K77" s="58" t="n">
        <f aca="false">J77+K76</f>
        <v>417.451617932422</v>
      </c>
      <c r="L77" s="58" t="n">
        <f aca="false">K77+L76</f>
        <v>639.556697226745</v>
      </c>
    </row>
    <row r="78" customFormat="false" ht="15" hidden="true" customHeight="false" outlineLevel="1" collapsed="false">
      <c r="A78" s="9" t="s">
        <v>429</v>
      </c>
      <c r="B78" s="60" t="n">
        <v>0</v>
      </c>
      <c r="C78" s="60" t="n">
        <f aca="false">IF(AND(B77&lt;0,C77&gt;=0),B$47+(-B77)/C76,0)</f>
        <v>0</v>
      </c>
      <c r="D78" s="60" t="n">
        <f aca="false">IF(AND(C77&lt;0,D77&gt;=0),C$47+(-C77)/D76,0)</f>
        <v>0</v>
      </c>
      <c r="E78" s="60" t="n">
        <f aca="false">IF(AND(D77&lt;0,E77&gt;=0),D$47+(-D77)/E76,0)</f>
        <v>0</v>
      </c>
      <c r="F78" s="60" t="n">
        <f aca="false">IF(AND(E77&lt;0,F77&gt;=0),E$47+(-E77)/F76,0)</f>
        <v>0</v>
      </c>
      <c r="G78" s="60" t="n">
        <f aca="false">IF(AND(F77&lt;0,G77&gt;=0),F$47+(-F77)/G76,0)</f>
        <v>0</v>
      </c>
      <c r="H78" s="60" t="n">
        <f aca="false">IF(AND(G77&lt;0,H77&gt;=0),G$47+(-G77)/H76,0)</f>
        <v>0</v>
      </c>
      <c r="I78" s="60" t="n">
        <f aca="false">IF(AND(H77&lt;0,I77&gt;=0),H$47+(-H77)/I76,0)</f>
        <v>6.44100430962657</v>
      </c>
      <c r="J78" s="60" t="n">
        <f aca="false">IF(AND(I77&lt;0,J77&gt;=0),I$47+(-I77)/J76,0)</f>
        <v>0</v>
      </c>
      <c r="K78" s="60" t="n">
        <f aca="false">IF(AND(J77&lt;0,K77&gt;=0),J$47+(-J77)/K76,0)</f>
        <v>0</v>
      </c>
      <c r="L78" s="60" t="n">
        <f aca="false">IF(AND(K77&lt;0,L77&gt;=0),K$47+(-K77)/L76,0)</f>
        <v>0</v>
      </c>
    </row>
    <row r="79" customFormat="false" ht="15" hidden="true" customHeight="false" outlineLevel="1" collapsed="false">
      <c r="A79" s="9" t="s">
        <v>430</v>
      </c>
      <c r="B79" s="58" t="n">
        <f aca="false">IF(B$47&lt;0,0,(Quesería!$B$44*$B$54*$B$51)*(1-MAX(0,MIN(B$47-0-Quesería!$B$47,(Quesería!$B$46-Quesería!$B$47)))/(Quesería!$B$46-Quesería!$B$47))*IF(B$47&gt;=2,1-Quesería!$B$48,1))+IF(B$47&lt;1,0,(Quesería!$B$44*$C$54*$C$51)*(1-MAX(0,MIN(B$47-1-Quesería!$B$47,(Quesería!$B$46-Quesería!$B$47)))/(Quesería!$B$46-Quesería!$B$47))*IF(B$47&gt;=2,1-Quesería!$B$48,1))</f>
        <v>641.321364968425</v>
      </c>
      <c r="C79" s="58" t="n">
        <f aca="false">IF(C$47&lt;0,0,(Quesería!$B$44*$B$54*$B$51)*(1-MAX(0,MIN(C$47-0-Quesería!$B$47,(Quesería!$B$46-Quesería!$B$47)))/(Quesería!$B$46-Quesería!$B$47))*IF(C$47&gt;=2,1-Quesería!$B$48,1))+IF(C$47&lt;1,0,(Quesería!$B$44*$C$54*$C$51)*(1-MAX(0,MIN(C$47-1-Quesería!$B$47,(Quesería!$B$46-Quesería!$B$47)))/(Quesería!$B$46-Quesería!$B$47))*IF(C$47&gt;=2,1-Quesería!$B$48,1))</f>
        <v>1117.69081125409</v>
      </c>
      <c r="D79" s="58" t="n">
        <f aca="false">IF(D$47&lt;0,0,(Quesería!$B$44*$B$54*$B$51)*(1-MAX(0,MIN(D$47-0-Quesería!$B$47,(Quesería!$B$46-Quesería!$B$47)))/(Quesería!$B$46-Quesería!$B$47))*IF(D$47&gt;=2,1-Quesería!$B$48,1))+IF(D$47&lt;1,0,(Quesería!$B$44*$C$54*$C$51)*(1-MAX(0,MIN(D$47-1-Quesería!$B$47,(Quesería!$B$46-Quesería!$B$47)))/(Quesería!$B$46-Quesería!$B$47))*IF(D$47&gt;=2,1-Quesería!$B$48,1))</f>
        <v>1010.80391709269</v>
      </c>
      <c r="E79" s="58" t="n">
        <f aca="false">IF(E$47&lt;0,0,(Quesería!$B$44*$B$54*$B$51)*(1-MAX(0,MIN(E$47-0-Quesería!$B$47,(Quesería!$B$46-Quesería!$B$47)))/(Quesería!$B$46-Quesería!$B$47))*IF(E$47&gt;=2,1-Quesería!$B$48,1))+IF(E$47&lt;1,0,(Quesería!$B$44*$C$54*$C$51)*(1-MAX(0,MIN(E$47-1-Quesería!$B$47,(Quesería!$B$46-Quesería!$B$47)))/(Quesería!$B$46-Quesería!$B$47))*IF(E$47&gt;=2,1-Quesería!$B$48,1))</f>
        <v>824.522115217005</v>
      </c>
      <c r="F79" s="58" t="n">
        <f aca="false">IF(F$47&lt;0,0,(Quesería!$B$44*$B$54*$B$51)*(1-MAX(0,MIN(F$47-0-Quesería!$B$47,(Quesería!$B$46-Quesería!$B$47)))/(Quesería!$B$46-Quesería!$B$47))*IF(F$47&gt;=2,1-Quesería!$B$48,1))+IF(F$47&lt;1,0,(Quesería!$B$44*$C$54*$C$51)*(1-MAX(0,MIN(F$47-1-Quesería!$B$47,(Quesería!$B$46-Quesería!$B$47)))/(Quesería!$B$46-Quesería!$B$47))*IF(F$47&gt;=2,1-Quesería!$B$48,1))</f>
        <v>638.240313341323</v>
      </c>
      <c r="G79" s="58" t="n">
        <f aca="false">IF(G$47&lt;0,0,(Quesería!$B$44*$B$54*$B$51)*(1-MAX(0,MIN(G$47-0-Quesería!$B$47,(Quesería!$B$46-Quesería!$B$47)))/(Quesería!$B$46-Quesería!$B$47))*IF(G$47&gt;=2,1-Quesería!$B$48,1))+IF(G$47&lt;1,0,(Quesería!$B$44*$C$54*$C$51)*(1-MAX(0,MIN(G$47-1-Quesería!$B$47,(Quesería!$B$46-Quesería!$B$47)))/(Quesería!$B$46-Quesería!$B$47))*IF(G$47&gt;=2,1-Quesería!$B$48,1))</f>
        <v>451.958511465641</v>
      </c>
      <c r="H79" s="58" t="n">
        <f aca="false">IF(H$47&lt;0,0,(Quesería!$B$44*$B$54*$B$51)*(1-MAX(0,MIN(H$47-0-Quesería!$B$47,(Quesería!$B$46-Quesería!$B$47)))/(Quesería!$B$46-Quesería!$B$47))*IF(H$47&gt;=2,1-Quesería!$B$48,1))+IF(H$47&lt;1,0,(Quesería!$B$44*$C$54*$C$51)*(1-MAX(0,MIN(H$47-1-Quesería!$B$47,(Quesería!$B$46-Quesería!$B$47)))/(Quesería!$B$46-Quesería!$B$47))*IF(H$47&gt;=2,1-Quesería!$B$48,1))</f>
        <v>265.67670958996</v>
      </c>
      <c r="I79" s="58" t="n">
        <f aca="false">IF(I$47&lt;0,0,(Quesería!$B$44*$B$54*$B$51)*(1-MAX(0,MIN(I$47-0-Quesería!$B$47,(Quesería!$B$46-Quesería!$B$47)))/(Quesería!$B$46-Quesería!$B$47))*IF(I$47&gt;=2,1-Quesería!$B$48,1))+IF(I$47&lt;1,0,(Quesería!$B$44*$C$54*$C$51)*(1-MAX(0,MIN(I$47-1-Quesería!$B$47,(Quesería!$B$46-Quesería!$B$47)))/(Quesería!$B$46-Quesería!$B$47))*IF(I$47&gt;=2,1-Quesería!$B$48,1))</f>
        <v>79.3949077142776</v>
      </c>
      <c r="J79" s="58" t="n">
        <f aca="false">IF(J$47&lt;0,0,(Quesería!$B$44*$B$54*$B$51)*(1-MAX(0,MIN(J$47-0-Quesería!$B$47,(Quesería!$B$46-Quesería!$B$47)))/(Quesería!$B$46-Quesería!$B$47))*IF(J$47&gt;=2,1-Quesería!$B$48,1))+IF(J$47&lt;1,0,(Quesería!$B$44*$C$54*$C$51)*(1-MAX(0,MIN(J$47-1-Quesería!$B$47,(Quesería!$B$46-Quesería!$B$47)))/(Quesería!$B$46-Quesería!$B$47))*IF(J$47&gt;=2,1-Quesería!$B$48,1))</f>
        <v>0</v>
      </c>
      <c r="K79" s="58" t="n">
        <f aca="false">IF(K$47&lt;0,0,(Quesería!$B$44*$B$54*$B$51)*(1-MAX(0,MIN(K$47-0-Quesería!$B$47,(Quesería!$B$46-Quesería!$B$47)))/(Quesería!$B$46-Quesería!$B$47))*IF(K$47&gt;=2,1-Quesería!$B$48,1))+IF(K$47&lt;1,0,(Quesería!$B$44*$C$54*$C$51)*(1-MAX(0,MIN(K$47-1-Quesería!$B$47,(Quesería!$B$46-Quesería!$B$47)))/(Quesería!$B$46-Quesería!$B$47))*IF(K$47&gt;=2,1-Quesería!$B$48,1))</f>
        <v>0</v>
      </c>
      <c r="L79" s="58" t="n">
        <f aca="false">IF(L$47&lt;0,0,(Quesería!$B$44*$B$54*$B$51)*(1-MAX(0,MIN(L$47-0-Quesería!$B$47,(Quesería!$B$46-Quesería!$B$47)))/(Quesería!$B$46-Quesería!$B$47))*IF(L$47&gt;=2,1-Quesería!$B$48,1))+IF(L$47&lt;1,0,(Quesería!$B$44*$C$54*$C$51)*(1-MAX(0,MIN(L$47-1-Quesería!$B$47,(Quesería!$B$46-Quesería!$B$47)))/(Quesería!$B$46-Quesería!$B$47))*IF(L$47&gt;=2,1-Quesería!$B$48,1))</f>
        <v>0</v>
      </c>
    </row>
    <row r="80" customFormat="false" ht="15" hidden="true" customHeight="false" outlineLevel="1" collapsed="false">
      <c r="A80" s="6" t="s">
        <v>431</v>
      </c>
      <c r="B80" s="29" t="n">
        <f aca="false">Quesería!$B$44*B54</f>
        <v>605.02015563059</v>
      </c>
      <c r="C80" s="29" t="n">
        <f aca="false">Quesería!$B$44*C54</f>
        <v>428.004893338424</v>
      </c>
      <c r="D80" s="29" t="n">
        <f aca="false">Quesería!$B$44*D54</f>
        <v>0</v>
      </c>
      <c r="E80" s="29" t="n">
        <f aca="false">Quesería!$B$44*E54</f>
        <v>0</v>
      </c>
      <c r="F80" s="29" t="n">
        <f aca="false">Quesería!$B$44*F54</f>
        <v>0</v>
      </c>
      <c r="G80" s="29" t="n">
        <f aca="false">Quesería!$B$44*G54</f>
        <v>0</v>
      </c>
      <c r="H80" s="29" t="n">
        <f aca="false">Quesería!$B$44*H54</f>
        <v>0</v>
      </c>
      <c r="I80" s="29" t="n">
        <f aca="false">Quesería!$B$44*I54</f>
        <v>0</v>
      </c>
      <c r="J80" s="29" t="n">
        <f aca="false">Quesería!$B$44*J54</f>
        <v>0</v>
      </c>
      <c r="K80" s="29" t="n">
        <f aca="false">Quesería!$B$44*K54</f>
        <v>0</v>
      </c>
      <c r="L80" s="29" t="n">
        <f aca="false">Quesería!$B$44*L54</f>
        <v>0</v>
      </c>
    </row>
    <row r="81" customFormat="false" ht="15" hidden="true" customHeight="false" outlineLevel="1" collapsed="false">
      <c r="A81" s="6" t="s">
        <v>432</v>
      </c>
      <c r="B81" s="29" t="n">
        <f aca="false">(IF(AND(B$47&gt;0,B$47&lt;=0+Quesería!$B$46),($B$14+$B$28)*(Quesería!$B$44*$B$54*$B$51)*(1-MAX(0,MIN((B$47-1)-0-Quesería!$B$47,(Quesería!$B$46-Quesería!$B$47)))/(Quesería!$B$46-Quesería!$B$47))*IF(B$47&gt;2,1-Quesería!$B$48,1),0)+IF(AND(B$47&gt;1,B$47&lt;=1+Quesería!$B$46),($B$14+$B$28)*(Quesería!$B$44*$C$54*$C$51)*(1-MAX(0,MIN((B$47-1)-1-Quesería!$B$47,(Quesería!$B$46-Quesería!$B$47)))/(Quesería!$B$46-Quesería!$B$47))*IF(B$47&gt;2,1-Quesería!$B$48,1),0))*B53</f>
        <v>0</v>
      </c>
      <c r="C81" s="29" t="n">
        <f aca="false">(IF(AND(C$47&gt;0,C$47&lt;=0+Quesería!$B$46),($B$14+$B$28)*(Quesería!$B$44*$B$54*$B$51)*(1-MAX(0,MIN((C$47-1)-0-Quesería!$B$47,(Quesería!$B$46-Quesería!$B$47)))/(Quesería!$B$46-Quesería!$B$47))*IF(C$47&gt;2,1-Quesería!$B$48,1),0)+IF(AND(C$47&gt;1,C$47&lt;=1+Quesería!$B$46),($B$14+$B$28)*(Quesería!$B$44*$C$54*$C$51)*(1-MAX(0,MIN((C$47-1)-1-Quesería!$B$47,(Quesería!$B$46-Quesería!$B$47)))/(Quesería!$B$46-Quesería!$B$47))*IF(C$47&gt;2,1-Quesería!$B$48,1),0))*C53</f>
        <v>81.2455637561078</v>
      </c>
      <c r="D81" s="29" t="n">
        <f aca="false">(IF(AND(D$47&gt;0,D$47&lt;=0+Quesería!$B$46),($B$14+$B$28)*(Quesería!$B$44*$B$54*$B$51)*(1-MAX(0,MIN((D$47-1)-0-Quesería!$B$47,(Quesería!$B$46-Quesería!$B$47)))/(Quesería!$B$46-Quesería!$B$47))*IF(D$47&gt;2,1-Quesería!$B$48,1),0)+IF(AND(D$47&gt;1,D$47&lt;=1+Quesería!$B$46),($B$14+$B$28)*(Quesería!$B$44*$C$54*$C$51)*(1-MAX(0,MIN((D$47-1)-1-Quesería!$B$47,(Quesería!$B$46-Quesería!$B$47)))/(Quesería!$B$46-Quesería!$B$47))*IF(D$47&gt;2,1-Quesería!$B$48,1),0))*D53</f>
        <v>135.496893508924</v>
      </c>
      <c r="E81" s="29" t="n">
        <f aca="false">(IF(AND(E$47&gt;0,E$47&lt;=0+Quesería!$B$46),($B$14+$B$28)*(Quesería!$B$44*$B$54*$B$51)*(1-MAX(0,MIN((E$47-1)-0-Quesería!$B$47,(Quesería!$B$46-Quesería!$B$47)))/(Quesería!$B$46-Quesería!$B$47))*IF(E$47&gt;2,1-Quesería!$B$48,1),0)+IF(AND(E$47&gt;1,E$47&lt;=1+Quesería!$B$46),($B$14+$B$28)*(Quesería!$B$44*$C$54*$C$51)*(1-MAX(0,MIN((E$47-1)-1-Quesería!$B$47,(Quesería!$B$46-Quesería!$B$47)))/(Quesería!$B$46-Quesería!$B$47))*IF(E$47&gt;2,1-Quesería!$B$48,1),0))*E53</f>
        <v>117.826027258135</v>
      </c>
      <c r="F81" s="29" t="n">
        <f aca="false">(IF(AND(F$47&gt;0,F$47&lt;=0+Quesería!$B$46),($B$14+$B$28)*(Quesería!$B$44*$B$54*$B$51)*(1-MAX(0,MIN((F$47-1)-0-Quesería!$B$47,(Quesería!$B$46-Quesería!$B$47)))/(Quesería!$B$46-Quesería!$B$47))*IF(F$47&gt;2,1-Quesería!$B$48,1),0)+IF(AND(F$47&gt;1,F$47&lt;=1+Quesería!$B$46),($B$14+$B$28)*(Quesería!$B$44*$C$54*$C$51)*(1-MAX(0,MIN((F$47-1)-1-Quesería!$B$47,(Quesería!$B$46-Quesería!$B$47)))/(Quesería!$B$46-Quesería!$B$47))*IF(F$47&gt;2,1-Quesería!$B$48,1),0))*F53</f>
        <v>92.4151745225957</v>
      </c>
      <c r="G81" s="29" t="n">
        <f aca="false">(IF(AND(G$47&gt;0,G$47&lt;=0+Quesería!$B$46),($B$14+$B$28)*(Quesería!$B$44*$B$54*$B$51)*(1-MAX(0,MIN((G$47-1)-0-Quesería!$B$47,(Quesería!$B$46-Quesería!$B$47)))/(Quesería!$B$46-Quesería!$B$47))*IF(G$47&gt;2,1-Quesería!$B$48,1),0)+IF(AND(G$47&gt;1,G$47&lt;=1+Quesería!$B$46),($B$14+$B$28)*(Quesería!$B$44*$C$54*$C$51)*(1-MAX(0,MIN((G$47-1)-1-Quesería!$B$47,(Quesería!$B$46-Quesería!$B$47)))/(Quesería!$B$46-Quesería!$B$47))*IF(G$47&gt;2,1-Quesería!$B$48,1),0))*G53</f>
        <v>68.7847039098228</v>
      </c>
      <c r="H81" s="29" t="n">
        <f aca="false">(IF(AND(H$47&gt;0,H$47&lt;=0+Quesería!$B$46),($B$14+$B$28)*(Quesería!$B$44*$B$54*$B$51)*(1-MAX(0,MIN((H$47-1)-0-Quesería!$B$47,(Quesería!$B$46-Quesería!$B$47)))/(Quesería!$B$46-Quesería!$B$47))*IF(H$47&gt;2,1-Quesería!$B$48,1),0)+IF(AND(H$47&gt;1,H$47&lt;=1+Quesería!$B$46),($B$14+$B$28)*(Quesería!$B$44*$C$54*$C$51)*(1-MAX(0,MIN((H$47-1)-1-Quesería!$B$47,(Quesería!$B$46-Quesería!$B$47)))/(Quesería!$B$46-Quesería!$B$47))*IF(H$47&gt;2,1-Quesería!$B$48,1),0))*H53</f>
        <v>46.8352529676735</v>
      </c>
      <c r="I81" s="29" t="n">
        <f aca="false">(IF(AND(I$47&gt;0,I$47&lt;=0+Quesería!$B$46),($B$14+$B$28)*(Quesería!$B$44*$B$54*$B$51)*(1-MAX(0,MIN((I$47-1)-0-Quesería!$B$47,(Quesería!$B$46-Quesería!$B$47)))/(Quesería!$B$46-Quesería!$B$47))*IF(I$47&gt;2,1-Quesería!$B$48,1),0)+IF(AND(I$47&gt;1,I$47&lt;=1+Quesería!$B$46),($B$14+$B$28)*(Quesería!$B$44*$C$54*$C$51)*(1-MAX(0,MIN((I$47-1)-1-Quesería!$B$47,(Quesería!$B$46-Quesería!$B$47)))/(Quesería!$B$46-Quesería!$B$47))*IF(I$47&gt;2,1-Quesería!$B$48,1),0))*I53</f>
        <v>26.4724688081898</v>
      </c>
      <c r="J81" s="29" t="n">
        <f aca="false">(IF(AND(J$47&gt;0,J$47&lt;=0+Quesería!$B$46),($B$14+$B$28)*(Quesería!$B$44*$B$54*$B$51)*(1-MAX(0,MIN((J$47-1)-0-Quesería!$B$47,(Quesería!$B$46-Quesería!$B$47)))/(Quesería!$B$46-Quesería!$B$47))*IF(J$47&gt;2,1-Quesería!$B$48,1),0)+IF(AND(J$47&gt;1,J$47&lt;=1+Quesería!$B$46),($B$14+$B$28)*(Quesería!$B$44*$C$54*$C$51)*(1-MAX(0,MIN((J$47-1)-1-Quesería!$B$47,(Quesería!$B$46-Quesería!$B$47)))/(Quesería!$B$46-Quesería!$B$47))*IF(J$47&gt;2,1-Quesería!$B$48,1),0))*J53</f>
        <v>7.60676974238282</v>
      </c>
      <c r="K81" s="29" t="n">
        <f aca="false">(IF(AND(K$47&gt;0,K$47&lt;=0+Quesería!$B$46),($B$14+$B$28)*(Quesería!$B$44*$B$54*$B$51)*(1-MAX(0,MIN((K$47-1)-0-Quesería!$B$47,(Quesería!$B$46-Quesería!$B$47)))/(Quesería!$B$46-Quesería!$B$47))*IF(K$47&gt;2,1-Quesería!$B$48,1),0)+IF(AND(K$47&gt;1,K$47&lt;=1+Quesería!$B$46),($B$14+$B$28)*(Quesería!$B$44*$C$54*$C$51)*(1-MAX(0,MIN((K$47-1)-1-Quesería!$B$47,(Quesería!$B$46-Quesería!$B$47)))/(Quesería!$B$46-Quesería!$B$47))*IF(K$47&gt;2,1-Quesería!$B$48,1),0))*K53</f>
        <v>0</v>
      </c>
      <c r="L81" s="29" t="n">
        <f aca="false">(IF(AND(L$47&gt;0,L$47&lt;=0+Quesería!$B$46),($B$14+$B$28)*(Quesería!$B$44*$B$54*$B$51)*(1-MAX(0,MIN((L$47-1)-0-Quesería!$B$47,(Quesería!$B$46-Quesería!$B$47)))/(Quesería!$B$46-Quesería!$B$47))*IF(L$47&gt;2,1-Quesería!$B$48,1),0)+IF(AND(L$47&gt;1,L$47&lt;=1+Quesería!$B$46),($B$14+$B$28)*(Quesería!$B$44*$C$54*$C$51)*(1-MAX(0,MIN((L$47-1)-1-Quesería!$B$47,(Quesería!$B$46-Quesería!$B$47)))/(Quesería!$B$46-Quesería!$B$47))*IF(L$47&gt;2,1-Quesería!$B$48,1),0))*L53</f>
        <v>0</v>
      </c>
    </row>
    <row r="82" customFormat="false" ht="15" hidden="true" customHeight="false" outlineLevel="1" collapsed="false">
      <c r="A82" s="6" t="s">
        <v>433</v>
      </c>
      <c r="B82" s="29" t="n">
        <f aca="false">((IF(AND(B$47&gt;0+Quesería!$B$47,B$47&lt;=0+Quesería!$B$46),(Quesería!$B$44*$B$54*$B$51)/(Quesería!$B$46-Quesería!$B$47),0)*IF(B$47&gt;2,1-Quesería!$B$48,1)+IF(B$47=2,Quesería!$B$48*(Quesería!$B$44*$B$54*$B$51)*(1-MAX(0,MIN(2-0-Quesería!$B$47,(Quesería!$B$46-Quesería!$B$47)))/(Quesería!$B$46-Quesería!$B$47)),0))+(IF(AND(B$47&gt;1+Quesería!$B$47,B$47&lt;=1+Quesería!$B$46),(Quesería!$B$44*$C$54*$C$51)/(Quesería!$B$46-Quesería!$B$47),0)*IF(B$47&gt;2,1-Quesería!$B$48,1)+IF(B$47=2,Quesería!$B$48*(Quesería!$B$44*$C$54*$C$51)*(1-MAX(0,MIN(2-1-Quesería!$B$47,(Quesería!$B$46-Quesería!$B$47)))/(Quesería!$B$46-Quesería!$B$47)),0)))*B53</f>
        <v>0</v>
      </c>
      <c r="C82" s="29" t="n">
        <f aca="false">((IF(AND(C$47&gt;0+Quesería!$B$47,C$47&lt;=0+Quesería!$B$46),(Quesería!$B$44*$B$54*$B$51)/(Quesería!$B$46-Quesería!$B$47),0)*IF(C$47&gt;2,1-Quesería!$B$48,1)+IF(C$47=2,Quesería!$B$48*(Quesería!$B$44*$B$54*$B$51)*(1-MAX(0,MIN(2-0-Quesería!$B$47,(Quesería!$B$46-Quesería!$B$47)))/(Quesería!$B$46-Quesería!$B$47)),0))+(IF(AND(C$47&gt;1+Quesería!$B$47,C$47&lt;=1+Quesería!$B$46),(Quesería!$B$44*$C$54*$C$51)/(Quesería!$B$46-Quesería!$B$47),0)*IF(C$47&gt;2,1-Quesería!$B$48,1)+IF(C$47=2,Quesería!$B$48*(Quesería!$B$44*$C$54*$C$51)*(1-MAX(0,MIN(2-1-Quesería!$B$47,(Quesería!$B$46-Quesería!$B$47)))/(Quesería!$B$46-Quesería!$B$47)),0)))*C53</f>
        <v>0</v>
      </c>
      <c r="D82" s="29" t="n">
        <f aca="false">((IF(AND(D$47&gt;0+Quesería!$B$47,D$47&lt;=0+Quesería!$B$46),(Quesería!$B$44*$B$54*$B$51)/(Quesería!$B$46-Quesería!$B$47),0)*IF(D$47&gt;2,1-Quesería!$B$48,1)+IF(D$47=2,Quesería!$B$48*(Quesería!$B$44*$B$54*$B$51)*(1-MAX(0,MIN(2-0-Quesería!$B$47,(Quesería!$B$46-Quesería!$B$47)))/(Quesería!$B$46-Quesería!$B$47)),0))+(IF(AND(D$47&gt;1+Quesería!$B$47,D$47&lt;=1+Quesería!$B$46),(Quesería!$B$44*$C$54*$C$51)/(Quesería!$B$46-Quesería!$B$47),0)*IF(D$47&gt;2,1-Quesería!$B$48,1)+IF(D$47=2,Quesería!$B$48*(Quesería!$B$44*$C$54*$C$51)*(1-MAX(0,MIN(2-1-Quesería!$B$47,(Quesería!$B$46-Quesería!$B$47)))/(Quesería!$B$46-Quesería!$B$47)),0)))*D53</f>
        <v>91.8994692231472</v>
      </c>
      <c r="E82" s="29" t="n">
        <f aca="false">((IF(AND(E$47&gt;0+Quesería!$B$47,E$47&lt;=0+Quesería!$B$46),(Quesería!$B$44*$B$54*$B$51)/(Quesería!$B$46-Quesería!$B$47),0)*IF(E$47&gt;2,1-Quesería!$B$48,1)+IF(E$47=2,Quesería!$B$48*(Quesería!$B$44*$B$54*$B$51)*(1-MAX(0,MIN(2-0-Quesería!$B$47,(Quesería!$B$46-Quesería!$B$47)))/(Quesería!$B$46-Quesería!$B$47)),0))+(IF(AND(E$47&gt;1+Quesería!$B$47,E$47&lt;=1+Quesería!$B$46),(Quesería!$B$44*$C$54*$C$51)/(Quesería!$B$46-Quesería!$B$47),0)*IF(E$47&gt;2,1-Quesería!$B$48,1)+IF(E$47=2,Quesería!$B$48*(Quesería!$B$44*$C$54*$C$51)*(1-MAX(0,MIN(2-1-Quesería!$B$47,(Quesería!$B$46-Quesería!$B$47)))/(Quesería!$B$46-Quesería!$B$47)),0)))*E53</f>
        <v>154.001742940676</v>
      </c>
      <c r="F82" s="29" t="n">
        <f aca="false">((IF(AND(F$47&gt;0+Quesería!$B$47,F$47&lt;=0+Quesería!$B$46),(Quesería!$B$44*$B$54*$B$51)/(Quesería!$B$46-Quesería!$B$47),0)*IF(F$47&gt;2,1-Quesería!$B$48,1)+IF(F$47=2,Quesería!$B$48*(Quesería!$B$44*$B$54*$B$51)*(1-MAX(0,MIN(2-0-Quesería!$B$47,(Quesería!$B$46-Quesería!$B$47)))/(Quesería!$B$46-Quesería!$B$47)),0))+(IF(AND(F$47&gt;1+Quesería!$B$47,F$47&lt;=1+Quesería!$B$46),(Quesería!$B$44*$C$54*$C$51)/(Quesería!$B$46-Quesería!$B$47),0)*IF(F$47&gt;2,1-Quesería!$B$48,1)+IF(F$47=2,Quesería!$B$48*(Quesería!$B$44*$C$54*$C$51)*(1-MAX(0,MIN(2-1-Quesería!$B$47,(Quesería!$B$46-Quesería!$B$47)))/(Quesería!$B$46-Quesería!$B$47)),0)))*F53</f>
        <v>148.078598981419</v>
      </c>
      <c r="G82" s="29" t="n">
        <f aca="false">((IF(AND(G$47&gt;0+Quesería!$B$47,G$47&lt;=0+Quesería!$B$46),(Quesería!$B$44*$B$54*$B$51)/(Quesería!$B$46-Quesería!$B$47),0)*IF(G$47&gt;2,1-Quesería!$B$48,1)+IF(G$47=2,Quesería!$B$48*(Quesería!$B$44*$B$54*$B$51)*(1-MAX(0,MIN(2-0-Quesería!$B$47,(Quesería!$B$46-Quesería!$B$47)))/(Quesería!$B$46-Quesería!$B$47)),0))+(IF(AND(G$47&gt;1+Quesería!$B$47,G$47&lt;=1+Quesería!$B$46),(Quesería!$B$44*$C$54*$C$51)/(Quesería!$B$46-Quesería!$B$47),0)*IF(G$47&gt;2,1-Quesería!$B$48,1)+IF(G$47=2,Quesería!$B$48*(Quesería!$B$44*$C$54*$C$51)*(1-MAX(0,MIN(2-1-Quesería!$B$47,(Quesería!$B$46-Quesería!$B$47)))/(Quesería!$B$46-Quesería!$B$47)),0)))*G53</f>
        <v>142.383268251364</v>
      </c>
      <c r="H82" s="29" t="n">
        <f aca="false">((IF(AND(H$47&gt;0+Quesería!$B$47,H$47&lt;=0+Quesería!$B$46),(Quesería!$B$44*$B$54*$B$51)/(Quesería!$B$46-Quesería!$B$47),0)*IF(H$47&gt;2,1-Quesería!$B$48,1)+IF(H$47=2,Quesería!$B$48*(Quesería!$B$44*$B$54*$B$51)*(1-MAX(0,MIN(2-0-Quesería!$B$47,(Quesería!$B$46-Quesería!$B$47)))/(Quesería!$B$46-Quesería!$B$47)),0))+(IF(AND(H$47&gt;1+Quesería!$B$47,H$47&lt;=1+Quesería!$B$46),(Quesería!$B$44*$C$54*$C$51)/(Quesería!$B$46-Quesería!$B$47),0)*IF(H$47&gt;2,1-Quesería!$B$48,1)+IF(H$47=2,Quesería!$B$48*(Quesería!$B$44*$C$54*$C$51)*(1-MAX(0,MIN(2-1-Quesería!$B$47,(Quesería!$B$46-Quesería!$B$47)))/(Quesería!$B$46-Quesería!$B$47)),0)))*H53</f>
        <v>136.906988703235</v>
      </c>
      <c r="I82" s="29" t="n">
        <f aca="false">((IF(AND(I$47&gt;0+Quesería!$B$47,I$47&lt;=0+Quesería!$B$46),(Quesería!$B$44*$B$54*$B$51)/(Quesería!$B$46-Quesería!$B$47),0)*IF(I$47&gt;2,1-Quesería!$B$48,1)+IF(I$47=2,Quesería!$B$48*(Quesería!$B$44*$B$54*$B$51)*(1-MAX(0,MIN(2-0-Quesería!$B$47,(Quesería!$B$46-Quesería!$B$47)))/(Quesería!$B$46-Quesería!$B$47)),0))+(IF(AND(I$47&gt;1+Quesería!$B$47,I$47&lt;=1+Quesería!$B$46),(Quesería!$B$44*$C$54*$C$51)/(Quesería!$B$46-Quesería!$B$47),0)*IF(I$47&gt;2,1-Quesería!$B$48,1)+IF(I$47=2,Quesería!$B$48*(Quesería!$B$44*$C$54*$C$51)*(1-MAX(0,MIN(2-1-Quesería!$B$47,(Quesería!$B$46-Quesería!$B$47)))/(Quesería!$B$46-Quesería!$B$47)),0)))*I53</f>
        <v>131.641335291572</v>
      </c>
      <c r="J82" s="29" t="n">
        <f aca="false">((IF(AND(J$47&gt;0+Quesería!$B$47,J$47&lt;=0+Quesería!$B$46),(Quesería!$B$44*$B$54*$B$51)/(Quesería!$B$46-Quesería!$B$47),0)*IF(J$47&gt;2,1-Quesería!$B$48,1)+IF(J$47=2,Quesería!$B$48*(Quesería!$B$44*$B$54*$B$51)*(1-MAX(0,MIN(2-0-Quesería!$B$47,(Quesería!$B$46-Quesería!$B$47)))/(Quesería!$B$46-Quesería!$B$47)),0))+(IF(AND(J$47&gt;1+Quesería!$B$47,J$47&lt;=1+Quesería!$B$46),(Quesería!$B$44*$C$54*$C$51)/(Quesería!$B$46-Quesería!$B$47),0)*IF(J$47&gt;2,1-Quesería!$B$48,1)+IF(J$47=2,Quesería!$B$48*(Quesería!$B$44*$C$54*$C$51)*(1-MAX(0,MIN(2-1-Quesería!$B$47,(Quesería!$B$46-Quesería!$B$47)))/(Quesería!$B$46-Quesería!$B$47)),0)))*J53</f>
        <v>53.9487215771831</v>
      </c>
      <c r="K82" s="29" t="n">
        <f aca="false">((IF(AND(K$47&gt;0+Quesería!$B$47,K$47&lt;=0+Quesería!$B$46),(Quesería!$B$44*$B$54*$B$51)/(Quesería!$B$46-Quesería!$B$47),0)*IF(K$47&gt;2,1-Quesería!$B$48,1)+IF(K$47=2,Quesería!$B$48*(Quesería!$B$44*$B$54*$B$51)*(1-MAX(0,MIN(2-0-Quesería!$B$47,(Quesería!$B$46-Quesería!$B$47)))/(Quesería!$B$46-Quesería!$B$47)),0))+(IF(AND(K$47&gt;1+Quesería!$B$47,K$47&lt;=1+Quesería!$B$46),(Quesería!$B$44*$C$54*$C$51)/(Quesería!$B$46-Quesería!$B$47),0)*IF(K$47&gt;2,1-Quesería!$B$48,1)+IF(K$47=2,Quesería!$B$48*(Quesería!$B$44*$C$54*$C$51)*(1-MAX(0,MIN(2-1-Quesería!$B$47,(Quesería!$B$46-Quesería!$B$47)))/(Quesería!$B$46-Quesería!$B$47)),0)))*K53</f>
        <v>0</v>
      </c>
      <c r="L82" s="29" t="n">
        <f aca="false">((IF(AND(L$47&gt;0+Quesería!$B$47,L$47&lt;=0+Quesería!$B$46),(Quesería!$B$44*$B$54*$B$51)/(Quesería!$B$46-Quesería!$B$47),0)*IF(L$47&gt;2,1-Quesería!$B$48,1)+IF(L$47=2,Quesería!$B$48*(Quesería!$B$44*$B$54*$B$51)*(1-MAX(0,MIN(2-0-Quesería!$B$47,(Quesería!$B$46-Quesería!$B$47)))/(Quesería!$B$46-Quesería!$B$47)),0))+(IF(AND(L$47&gt;1+Quesería!$B$47,L$47&lt;=1+Quesería!$B$46),(Quesería!$B$44*$C$54*$C$51)/(Quesería!$B$46-Quesería!$B$47),0)*IF(L$47&gt;2,1-Quesería!$B$48,1)+IF(L$47=2,Quesería!$B$48*(Quesería!$B$44*$C$54*$C$51)*(1-MAX(0,MIN(2-1-Quesería!$B$47,(Quesería!$B$46-Quesería!$B$47)))/(Quesería!$B$46-Quesería!$B$47)),0)))*L53</f>
        <v>0</v>
      </c>
    </row>
    <row r="83" customFormat="false" ht="15" hidden="true" customHeight="false" outlineLevel="1" collapsed="false">
      <c r="A83" s="6" t="s">
        <v>434</v>
      </c>
      <c r="B83" s="29" t="n">
        <f aca="false">$B$13*Quesería!$B$51*(1+0.19)*B79*B53+(1-$B$13)*IF(B$47=0,Quesería!$B$50,0)</f>
        <v>4</v>
      </c>
      <c r="C83" s="29" t="n">
        <f aca="false">$B$13*Quesería!$B$51*(1+0.19)*C79*C53+(1-$B$13)*IF(C$47=0,Quesería!$B$50,0)</f>
        <v>0</v>
      </c>
      <c r="D83" s="29" t="n">
        <f aca="false">$B$13*Quesería!$B$51*(1+0.19)*D79*D53+(1-$B$13)*IF(D$47=0,Quesería!$B$50,0)</f>
        <v>0</v>
      </c>
      <c r="E83" s="29" t="n">
        <f aca="false">$B$13*Quesería!$B$51*(1+0.19)*E79*E53+(1-$B$13)*IF(E$47=0,Quesería!$B$50,0)</f>
        <v>0</v>
      </c>
      <c r="F83" s="29" t="n">
        <f aca="false">$B$13*Quesería!$B$51*(1+0.19)*F79*F53+(1-$B$13)*IF(F$47=0,Quesería!$B$50,0)</f>
        <v>0</v>
      </c>
      <c r="G83" s="29" t="n">
        <f aca="false">$B$13*Quesería!$B$51*(1+0.19)*G79*G53+(1-$B$13)*IF(G$47=0,Quesería!$B$50,0)</f>
        <v>0</v>
      </c>
      <c r="H83" s="29" t="n">
        <f aca="false">$B$13*Quesería!$B$51*(1+0.19)*H79*H53+(1-$B$13)*IF(H$47=0,Quesería!$B$50,0)</f>
        <v>0</v>
      </c>
      <c r="I83" s="29" t="n">
        <f aca="false">$B$13*Quesería!$B$51*(1+0.19)*I79*I53+(1-$B$13)*IF(I$47=0,Quesería!$B$50,0)</f>
        <v>0</v>
      </c>
      <c r="J83" s="29" t="n">
        <f aca="false">$B$13*Quesería!$B$51*(1+0.19)*J79*J53+(1-$B$13)*IF(J$47=0,Quesería!$B$50,0)</f>
        <v>0</v>
      </c>
      <c r="K83" s="29" t="n">
        <f aca="false">$B$13*Quesería!$B$51*(1+0.19)*K79*K53+(1-$B$13)*IF(K$47=0,Quesería!$B$50,0)</f>
        <v>0</v>
      </c>
      <c r="L83" s="29" t="n">
        <f aca="false">$B$13*Quesería!$B$51*(1+0.19)*L79*L53+(1-$B$13)*IF(L$47=0,Quesería!$B$50,0)</f>
        <v>0</v>
      </c>
    </row>
    <row r="84" customFormat="false" ht="15" hidden="true" customHeight="false" outlineLevel="1" collapsed="false">
      <c r="A84" s="6" t="s">
        <v>435</v>
      </c>
      <c r="B84" s="29" t="n">
        <f aca="false">Quesería!$B$52*(B81+B82+B83)</f>
        <v>0.016</v>
      </c>
      <c r="C84" s="29" t="n">
        <f aca="false">Quesería!$B$52*(C81+C82+C83)</f>
        <v>0.324982255024431</v>
      </c>
      <c r="D84" s="29" t="n">
        <f aca="false">Quesería!$B$52*(D81+D82+D83)</f>
        <v>0.909585450928285</v>
      </c>
      <c r="E84" s="29" t="n">
        <f aca="false">Quesería!$B$52*(E81+E82+E83)</f>
        <v>1.08731108079524</v>
      </c>
      <c r="F84" s="29" t="n">
        <f aca="false">Quesería!$B$52*(F81+F82+F83)</f>
        <v>0.961975094016058</v>
      </c>
      <c r="G84" s="29" t="n">
        <f aca="false">Quesería!$B$52*(G81+G82+G83)</f>
        <v>0.844671888644748</v>
      </c>
      <c r="H84" s="29" t="n">
        <f aca="false">Quesería!$B$52*(H81+H82+H83)</f>
        <v>0.734968966683633</v>
      </c>
      <c r="I84" s="29" t="n">
        <f aca="false">Quesería!$B$52*(I81+I82+I83)</f>
        <v>0.632455216399047</v>
      </c>
      <c r="J84" s="29" t="n">
        <f aca="false">Quesería!$B$52*(J81+J82+J83)</f>
        <v>0.246221965278264</v>
      </c>
      <c r="K84" s="29" t="n">
        <f aca="false">Quesería!$B$52*(K81+K82+K83)</f>
        <v>0</v>
      </c>
      <c r="L84" s="29" t="n">
        <f aca="false">Quesería!$B$52*(L81+L82+L83)</f>
        <v>0</v>
      </c>
    </row>
    <row r="85" customFormat="false" ht="15" hidden="true" customHeight="false" outlineLevel="1" collapsed="false">
      <c r="A85" s="6" t="s">
        <v>436</v>
      </c>
      <c r="B85" s="29" t="n">
        <f aca="false">$B$17*(B81+B83+0.5*B84)</f>
        <v>1.4028</v>
      </c>
      <c r="C85" s="29" t="n">
        <f aca="false">$B$17*(C81+C83+0.5*C84)</f>
        <v>28.492819209267</v>
      </c>
      <c r="D85" s="29" t="n">
        <f aca="false">$B$17*(D81+D83+0.5*D84)</f>
        <v>47.5830901820358</v>
      </c>
      <c r="E85" s="29" t="n">
        <f aca="false">$B$17*(E81+E83+0.5*E84)</f>
        <v>41.4293889794864</v>
      </c>
      <c r="F85" s="29" t="n">
        <f aca="false">$B$17*(F81+F83+0.5*F84)</f>
        <v>32.5136567243613</v>
      </c>
      <c r="G85" s="29" t="n">
        <f aca="false">$B$17*(G81+G83+0.5*G84)</f>
        <v>24.2224639489508</v>
      </c>
      <c r="H85" s="29" t="n">
        <f aca="false">$B$17*(H81+H83+0.5*H84)</f>
        <v>16.5209581078554</v>
      </c>
      <c r="I85" s="29" t="n">
        <f aca="false">$B$17*(I81+I83+0.5*I84)</f>
        <v>9.37604374573625</v>
      </c>
      <c r="J85" s="29" t="n">
        <f aca="false">$B$17*(J81+J83+0.5*J84)</f>
        <v>2.70545825375768</v>
      </c>
      <c r="K85" s="29" t="n">
        <f aca="false">$B$17*(K81+K83+0.5*K84)</f>
        <v>0</v>
      </c>
      <c r="L85" s="29" t="n">
        <f aca="false">$B$17*(L81+L83+0.5*L84)</f>
        <v>0</v>
      </c>
    </row>
    <row r="86" customFormat="false" ht="15" hidden="true" customHeight="false" outlineLevel="1" collapsed="false">
      <c r="A86" s="5" t="s">
        <v>437</v>
      </c>
      <c r="B86" s="59" t="n">
        <f aca="false">B71+B80-B81-B82-B83-B84+B85</f>
        <v>-358.744924503166</v>
      </c>
      <c r="C86" s="59" t="n">
        <f aca="false">C71+C80-C81-C82-C83-C84+C85</f>
        <v>-25.4578919146794</v>
      </c>
      <c r="D86" s="59" t="n">
        <f aca="false">D71+D80-D81-D82-D83-D84+D85</f>
        <v>274.21152263339</v>
      </c>
      <c r="E86" s="59" t="n">
        <f aca="false">E71+E80-E81-E82-E83-E84+E85</f>
        <v>92.3042386536525</v>
      </c>
      <c r="F86" s="59" t="n">
        <f aca="false">F71+F80-F81-F82-F83-F84+F85</f>
        <v>151.409120977721</v>
      </c>
      <c r="G86" s="59" t="n">
        <f aca="false">G71+G80-G81-G82-G83-G84+G85</f>
        <v>138.207567657521</v>
      </c>
      <c r="H86" s="59" t="n">
        <f aca="false">H71+H80-H81-H82-H83-H84+H85</f>
        <v>136.515715739571</v>
      </c>
      <c r="I86" s="59" t="n">
        <f aca="false">I71+I80-I81-I82-I83-I84+I85</f>
        <v>215.734211286554</v>
      </c>
      <c r="J86" s="59" t="n">
        <f aca="false">J71+J80-J81-J82-J83-J84+J85</f>
        <v>296.140841229455</v>
      </c>
      <c r="K86" s="59" t="n">
        <f aca="false">K71+K80-K81-K82-K83-K84+K85</f>
        <v>353.907172214543</v>
      </c>
      <c r="L86" s="59" t="n">
        <f aca="false">L71+L80-L81-L82-L83-L84+L85</f>
        <v>583.303882844304</v>
      </c>
    </row>
    <row r="87" customFormat="false" ht="15" hidden="true" customHeight="false" outlineLevel="1" collapsed="false">
      <c r="A87" s="9" t="s">
        <v>438</v>
      </c>
      <c r="B87" s="58" t="n">
        <f aca="false">B86*B51</f>
        <v>-380.269619973356</v>
      </c>
      <c r="C87" s="58" t="n">
        <f aca="false">C86*C51</f>
        <v>-28.3346337010382</v>
      </c>
      <c r="D87" s="58" t="n">
        <f aca="false">D86*D51</f>
        <v>318.931308802056</v>
      </c>
      <c r="E87" s="58" t="n">
        <f aca="false">E86*E51</f>
        <v>111.651982431063</v>
      </c>
      <c r="F87" s="58" t="n">
        <f aca="false">F86*F51</f>
        <v>190.471574354119</v>
      </c>
      <c r="G87" s="58" t="n">
        <f aca="false">G86*G51</f>
        <v>180.818680820326</v>
      </c>
      <c r="H87" s="58" t="n">
        <f aca="false">H86*H51</f>
        <v>185.749418296239</v>
      </c>
      <c r="I87" s="58" t="n">
        <f aca="false">I86*I51</f>
        <v>305.279170221706</v>
      </c>
      <c r="J87" s="58" t="n">
        <f aca="false">J86*J51</f>
        <v>435.82264922076</v>
      </c>
      <c r="K87" s="58" t="n">
        <f aca="false">K86*K51</f>
        <v>541.669265075775</v>
      </c>
      <c r="L87" s="58" t="n">
        <f aca="false">L86*L51</f>
        <v>928.481033321263</v>
      </c>
    </row>
    <row r="88" customFormat="false" ht="15" hidden="true" customHeight="false" outlineLevel="1" collapsed="false">
      <c r="A88" s="9" t="s">
        <v>439</v>
      </c>
      <c r="B88" s="57" t="n">
        <f aca="false">(B51/$B$51)/(1+Quesería!$B$11+$B$28)^B$47</f>
        <v>1</v>
      </c>
      <c r="C88" s="57" t="n">
        <f aca="false">(C51/$B$51)/(1+Quesería!$B$11+$B$28)^C$47</f>
        <v>0.84</v>
      </c>
      <c r="D88" s="57" t="n">
        <f aca="false">(D51/$B$51)/(1+Quesería!$B$11+$B$28)^D$47</f>
        <v>0.70224</v>
      </c>
      <c r="E88" s="57" t="n">
        <f aca="false">(E51/$B$51)/(1+Quesería!$B$11+$B$28)^E$47</f>
        <v>0.58426368</v>
      </c>
      <c r="F88" s="57" t="n">
        <f aca="false">(F51/$B$51)/(1+Quesería!$B$11+$B$28)^F$47</f>
        <v>0.48610738176</v>
      </c>
      <c r="G88" s="57" t="n">
        <f aca="false">(G51/$B$51)/(1+Quesería!$B$11+$B$28)^G$47</f>
        <v>0.40444134162432</v>
      </c>
      <c r="H88" s="57" t="n">
        <f aca="false">(H51/$B$51)/(1+Quesería!$B$11+$B$28)^H$47</f>
        <v>0.336495196231434</v>
      </c>
      <c r="I88" s="57" t="n">
        <f aca="false">(I51/$B$51)/(1+Quesería!$B$11+$B$28)^I$47</f>
        <v>0.279964003264553</v>
      </c>
      <c r="J88" s="57" t="n">
        <f aca="false">(J51/$B$51)/(1+Quesería!$B$11+$B$28)^J$47</f>
        <v>0.232930050716108</v>
      </c>
      <c r="K88" s="57" t="n">
        <f aca="false">(K51/$B$51)/(1+Quesería!$B$11+$B$28)^K$47</f>
        <v>0.193797802195802</v>
      </c>
      <c r="L88" s="57" t="n">
        <f aca="false">(L51/$B$51)/(1+Quesería!$B$11+$B$28)^L$47</f>
        <v>0.161239771426907</v>
      </c>
    </row>
    <row r="89" customFormat="false" ht="15" hidden="true" customHeight="false" outlineLevel="1" collapsed="false">
      <c r="A89" s="9" t="s">
        <v>440</v>
      </c>
      <c r="B89" s="58" t="n">
        <f aca="false">B71+B54+B56+B85</f>
        <v>120.166830858099</v>
      </c>
      <c r="C89" s="58" t="n">
        <f aca="false">C71+C54+C56+C85</f>
        <v>411.685950100682</v>
      </c>
      <c r="D89" s="58" t="n">
        <f aca="false">D71+D54+D56+D85</f>
        <v>502.517470816389</v>
      </c>
      <c r="E89" s="58" t="n">
        <f aca="false">E71+E54+E56+E85</f>
        <v>365.219319933258</v>
      </c>
      <c r="F89" s="58" t="n">
        <f aca="false">F71+F54+F56+F85</f>
        <v>392.864869575752</v>
      </c>
      <c r="G89" s="58" t="n">
        <f aca="false">G71+G54+G56+G85</f>
        <v>355.438602988439</v>
      </c>
      <c r="H89" s="58" t="n">
        <f aca="false">H71+H54+H56+H85</f>
        <v>329.806865962244</v>
      </c>
      <c r="I89" s="58" t="n">
        <f aca="false">I71+I54+I56+I85</f>
        <v>374.480470602715</v>
      </c>
      <c r="J89" s="58" t="n">
        <f aca="false">J71+J54+J56+J85</f>
        <v>357.942554514299</v>
      </c>
      <c r="K89" s="58" t="n">
        <f aca="false">K71+K54+K56+K85</f>
        <v>353.907172214543</v>
      </c>
      <c r="L89" s="58" t="n">
        <f aca="false">L71+L54+L56+L85</f>
        <v>583.303882844304</v>
      </c>
    </row>
    <row r="90" customFormat="false" ht="15" hidden="true" customHeight="false" outlineLevel="1" collapsed="false">
      <c r="A90" s="5" t="s">
        <v>149</v>
      </c>
      <c r="B90" s="12" t="str">
        <f aca="false">IF(AND(B$47&gt;=1,(B81+B82+B83)&gt;0.001),B89/(B81+B82+B83),"")</f>
        <v/>
      </c>
      <c r="C90" s="12" t="n">
        <f aca="false">IF(AND(C$47&gt;=1,(C81+C82+C83)&gt;0.001),C89/(C81+C82+C83),"")</f>
        <v>5.06718066892277</v>
      </c>
      <c r="D90" s="12" t="n">
        <f aca="false">IF(AND(D$47&gt;=1,(D81+D82+D83)&gt;0.001),D89/(D81+D82+D83),"")</f>
        <v>2.20987470854351</v>
      </c>
      <c r="E90" s="12" t="n">
        <f aca="false">IF(AND(E$47&gt;=1,(E81+E82+E83)&gt;0.001),E89/(E81+E82+E83),"")</f>
        <v>1.34356883281698</v>
      </c>
      <c r="F90" s="12" t="n">
        <f aca="false">IF(AND(F$47&gt;=1,(F81+F82+F83)&gt;0.001),F89/(F81+F82+F83),"")</f>
        <v>1.63357605418085</v>
      </c>
      <c r="G90" s="12" t="n">
        <f aca="false">IF(AND(G$47&gt;=1,(G81+G82+G83)&gt;0.001),G89/(G81+G82+G83),"")</f>
        <v>1.68320318346917</v>
      </c>
      <c r="H90" s="12" t="n">
        <f aca="false">IF(AND(H$47&gt;=1,(H81+H82+H83)&gt;0.001),H89/(H81+H82+H83),"")</f>
        <v>1.79494308419805</v>
      </c>
      <c r="I90" s="12" t="n">
        <f aca="false">IF(AND(I$47&gt;=1,(I81+I82+I83)&gt;0.001),I89/(I81+I82+I83),"")</f>
        <v>2.36842363470325</v>
      </c>
      <c r="J90" s="12" t="n">
        <f aca="false">IF(AND(J$47&gt;=1,(J81+J82+J83)&gt;0.001),J89/(J81+J82+J83),"")</f>
        <v>5.81495731479158</v>
      </c>
      <c r="K90" s="12" t="str">
        <f aca="false">IF(AND(K$47&gt;=1,(K81+K82+K83)&gt;0.001),K89/(K81+K82+K83),"")</f>
        <v/>
      </c>
      <c r="L90" s="12" t="str">
        <f aca="false">IF(AND(L$47&gt;=1,(L81+L82+L83)&gt;0.001),L89/(L81+L82+L83),"")</f>
        <v/>
      </c>
    </row>
    <row r="92" customFormat="false" ht="15" hidden="false" customHeight="false" outlineLevel="0" collapsed="false">
      <c r="A92" s="43" t="s">
        <v>173</v>
      </c>
      <c r="B92" s="44"/>
      <c r="C92" s="44"/>
      <c r="D92" s="44"/>
      <c r="E92" s="44"/>
      <c r="F92" s="44"/>
      <c r="G92" s="44"/>
      <c r="H92" s="44"/>
      <c r="I92" s="44"/>
      <c r="J92" s="44"/>
      <c r="K92" s="44"/>
      <c r="L92" s="44"/>
    </row>
    <row r="93" customFormat="false" ht="15" hidden="true" customHeight="false" outlineLevel="1" collapsed="false">
      <c r="A93" s="9" t="s">
        <v>406</v>
      </c>
      <c r="B93" s="56" t="n">
        <f aca="false">CHOOSE($C$15,Entorno!B$7,Entorno!B$8,Entorno!B$9)</f>
        <v>0.06</v>
      </c>
      <c r="C93" s="56" t="n">
        <f aca="false">CHOOSE($C$15,Entorno!C$7,Entorno!C$8,Entorno!C$9)</f>
        <v>0.05</v>
      </c>
      <c r="D93" s="56" t="n">
        <f aca="false">CHOOSE($C$15,Entorno!D$7,Entorno!D$8,Entorno!D$9)</f>
        <v>0.045</v>
      </c>
      <c r="E93" s="56" t="n">
        <f aca="false">CHOOSE($C$15,Entorno!E$7,Entorno!E$8,Entorno!E$9)</f>
        <v>0.04</v>
      </c>
      <c r="F93" s="56" t="n">
        <f aca="false">CHOOSE($C$15,Entorno!F$7,Entorno!F$8,Entorno!F$9)</f>
        <v>0.04</v>
      </c>
      <c r="G93" s="56" t="n">
        <f aca="false">CHOOSE($C$15,Entorno!G$7,Entorno!G$8,Entorno!G$9)</f>
        <v>0.04</v>
      </c>
      <c r="H93" s="56" t="n">
        <f aca="false">CHOOSE($C$15,Entorno!H$7,Entorno!H$8,Entorno!H$9)</f>
        <v>0.04</v>
      </c>
      <c r="I93" s="56" t="n">
        <f aca="false">CHOOSE($C$15,Entorno!I$7,Entorno!I$8,Entorno!I$9)</f>
        <v>0.04</v>
      </c>
      <c r="J93" s="56" t="n">
        <f aca="false">CHOOSE($C$15,Entorno!J$7,Entorno!J$8,Entorno!J$9)</f>
        <v>0.04</v>
      </c>
      <c r="K93" s="56" t="n">
        <f aca="false">CHOOSE($C$15,Entorno!K$7,Entorno!K$8,Entorno!K$9)</f>
        <v>0.04</v>
      </c>
      <c r="L93" s="56" t="n">
        <f aca="false">CHOOSE($C$15,Entorno!L$7,Entorno!L$8,Entorno!L$9)</f>
        <v>0.04</v>
      </c>
    </row>
    <row r="94" customFormat="false" ht="15" hidden="true" customHeight="false" outlineLevel="1" collapsed="false">
      <c r="A94" s="9" t="s">
        <v>407</v>
      </c>
      <c r="B94" s="57" t="n">
        <f aca="false">1+B93</f>
        <v>1.06</v>
      </c>
      <c r="C94" s="57" t="n">
        <f aca="false">B94*(1+C93)</f>
        <v>1.113</v>
      </c>
      <c r="D94" s="57" t="n">
        <f aca="false">C94*(1+D93)</f>
        <v>1.163085</v>
      </c>
      <c r="E94" s="57" t="n">
        <f aca="false">D94*(1+E93)</f>
        <v>1.2096084</v>
      </c>
      <c r="F94" s="57" t="n">
        <f aca="false">E94*(1+F93)</f>
        <v>1.257992736</v>
      </c>
      <c r="G94" s="57" t="n">
        <f aca="false">F94*(1+G93)</f>
        <v>1.30831244544</v>
      </c>
      <c r="H94" s="57" t="n">
        <f aca="false">G94*(1+H93)</f>
        <v>1.3606449432576</v>
      </c>
      <c r="I94" s="57" t="n">
        <f aca="false">H94*(1+I93)</f>
        <v>1.4150707409879</v>
      </c>
      <c r="J94" s="57" t="n">
        <f aca="false">I94*(1+J93)</f>
        <v>1.47167357062742</v>
      </c>
      <c r="K94" s="57" t="n">
        <f aca="false">J94*(1+K93)</f>
        <v>1.53054051345252</v>
      </c>
      <c r="L94" s="57" t="n">
        <f aca="false">K94*(1+L93)</f>
        <v>1.59176213399062</v>
      </c>
    </row>
    <row r="95" customFormat="false" ht="15" hidden="true" customHeight="false" outlineLevel="1" collapsed="false">
      <c r="A95" s="9" t="s">
        <v>408</v>
      </c>
      <c r="B95" s="57" t="n">
        <f aca="false">(1+$C$16)/(1+B93)</f>
        <v>1.02358490566038</v>
      </c>
      <c r="C95" s="57" t="n">
        <f aca="false">B95*(1+Entorno!$B$13)</f>
        <v>1.02870283018868</v>
      </c>
      <c r="D95" s="57" t="n">
        <f aca="false">C95*(1+Entorno!$B$13)</f>
        <v>1.03384634433962</v>
      </c>
      <c r="E95" s="57" t="n">
        <f aca="false">D95*(1+Entorno!$B$13)</f>
        <v>1.03901557606132</v>
      </c>
      <c r="F95" s="57" t="n">
        <f aca="false">E95*(1+Entorno!$B$13)</f>
        <v>1.04421065394163</v>
      </c>
      <c r="G95" s="57" t="n">
        <f aca="false">F95*(1+Entorno!$B$13)</f>
        <v>1.04943170721133</v>
      </c>
      <c r="H95" s="57" t="n">
        <f aca="false">G95*(1+Entorno!$B$13)</f>
        <v>1.05467886574739</v>
      </c>
      <c r="I95" s="57" t="n">
        <f aca="false">H95*(1+Entorno!$B$13)</f>
        <v>1.05995226007613</v>
      </c>
      <c r="J95" s="57" t="n">
        <f aca="false">I95*(1+Entorno!$B$13)</f>
        <v>1.06525202137651</v>
      </c>
      <c r="K95" s="57" t="n">
        <f aca="false">J95*(1+Entorno!$B$13)</f>
        <v>1.07057828148339</v>
      </c>
      <c r="L95" s="57" t="n">
        <f aca="false">K95*(1+Entorno!$B$13)</f>
        <v>1.07593117289081</v>
      </c>
    </row>
    <row r="96" customFormat="false" ht="15" hidden="true" customHeight="false" outlineLevel="1" collapsed="false">
      <c r="A96" s="9" t="s">
        <v>409</v>
      </c>
      <c r="B96" s="57" t="n">
        <f aca="false">1/B94</f>
        <v>0.943396226415094</v>
      </c>
      <c r="C96" s="57" t="n">
        <f aca="false">1/C94</f>
        <v>0.898472596585804</v>
      </c>
      <c r="D96" s="57" t="n">
        <f aca="false">1/D94</f>
        <v>0.859782389077324</v>
      </c>
      <c r="E96" s="57" t="n">
        <f aca="false">1/E94</f>
        <v>0.826713835651273</v>
      </c>
      <c r="F96" s="57" t="n">
        <f aca="false">1/F94</f>
        <v>0.794917149664686</v>
      </c>
      <c r="G96" s="57" t="n">
        <f aca="false">1/G94</f>
        <v>0.764343413139121</v>
      </c>
      <c r="H96" s="57" t="n">
        <f aca="false">1/H94</f>
        <v>0.734945589556847</v>
      </c>
      <c r="I96" s="57" t="n">
        <f aca="false">1/I94</f>
        <v>0.706678451496968</v>
      </c>
      <c r="J96" s="57" t="n">
        <f aca="false">1/J94</f>
        <v>0.679498511054777</v>
      </c>
      <c r="K96" s="57" t="n">
        <f aca="false">1/K94</f>
        <v>0.653363952937286</v>
      </c>
      <c r="L96" s="57" t="n">
        <f aca="false">1/L94</f>
        <v>0.628234570132006</v>
      </c>
    </row>
    <row r="97" customFormat="false" ht="15" hidden="true" customHeight="false" outlineLevel="1" collapsed="false">
      <c r="A97" s="6" t="s">
        <v>323</v>
      </c>
      <c r="B97" s="29" t="n">
        <f aca="false">IF(B$47=0,Quesería!$F$92,IF(B$47=1,(Quesería!$F$93-(-$C$26)*Quesería!$D$86*(1+Quesería!$I$86))*$C$21,0))*$C$11</f>
        <v>930.800239431677</v>
      </c>
      <c r="C97" s="29" t="n">
        <f aca="false">IF(C$47=0,Quesería!$F$92,IF(C$47=1,(Quesería!$F$93-(-$C$26)*Quesería!$D$86*(1+Quesería!$I$86))*$C$21,0))*$C$11</f>
        <v>658.469066674498</v>
      </c>
      <c r="D97" s="29" t="n">
        <f aca="false">IF(D$47=0,Quesería!$F$92,IF(D$47=1,(Quesería!$F$93-(-$C$26)*Quesería!$D$86*(1+Quesería!$I$86))*$C$21,0))*$C$11</f>
        <v>0</v>
      </c>
      <c r="E97" s="29" t="n">
        <f aca="false">IF(E$47=0,Quesería!$F$92,IF(E$47=1,(Quesería!$F$93-(-$C$26)*Quesería!$D$86*(1+Quesería!$I$86))*$C$21,0))*$C$11</f>
        <v>0</v>
      </c>
      <c r="F97" s="29" t="n">
        <f aca="false">IF(F$47=0,Quesería!$F$92,IF(F$47=1,(Quesería!$F$93-(-$C$26)*Quesería!$D$86*(1+Quesería!$I$86))*$C$21,0))*$C$11</f>
        <v>0</v>
      </c>
      <c r="G97" s="29" t="n">
        <f aca="false">IF(G$47=0,Quesería!$F$92,IF(G$47=1,(Quesería!$F$93-(-$C$26)*Quesería!$D$86*(1+Quesería!$I$86))*$C$21,0))*$C$11</f>
        <v>0</v>
      </c>
      <c r="H97" s="29" t="n">
        <f aca="false">IF(H$47=0,Quesería!$F$92,IF(H$47=1,(Quesería!$F$93-(-$C$26)*Quesería!$D$86*(1+Quesería!$I$86))*$C$21,0))*$C$11</f>
        <v>0</v>
      </c>
      <c r="I97" s="29" t="n">
        <f aca="false">IF(I$47=0,Quesería!$F$92,IF(I$47=1,(Quesería!$F$93-(-$C$26)*Quesería!$D$86*(1+Quesería!$I$86))*$C$21,0))*$C$11</f>
        <v>0</v>
      </c>
      <c r="J97" s="29" t="n">
        <f aca="false">IF(J$47=0,Quesería!$F$92,IF(J$47=1,(Quesería!$F$93-(-$C$26)*Quesería!$D$86*(1+Quesería!$I$86))*$C$21,0))*$C$11</f>
        <v>0</v>
      </c>
      <c r="K97" s="29" t="n">
        <f aca="false">IF(K$47=0,Quesería!$F$92,IF(K$47=1,(Quesería!$F$93-(-$C$26)*Quesería!$D$86*(1+Quesería!$I$86))*$C$21,0))*$C$11</f>
        <v>0</v>
      </c>
      <c r="L97" s="29" t="n">
        <f aca="false">IF(L$47=0,Quesería!$F$92,IF(L$47=1,(Quesería!$F$93-(-$C$26)*Quesería!$D$86*(1+Quesería!$I$86))*$C$21,0))*$C$11</f>
        <v>0</v>
      </c>
    </row>
    <row r="98" customFormat="false" ht="15" hidden="true" customHeight="false" outlineLevel="1" collapsed="false">
      <c r="A98" s="6" t="s">
        <v>410</v>
      </c>
      <c r="B98" s="29" t="n">
        <f aca="false">IF(B$47=5,Quesería!$F$99,IF(B$47=6,Quesería!$F$100,0))*$C$11</f>
        <v>0</v>
      </c>
      <c r="C98" s="29" t="n">
        <f aca="false">IF(C$47=5,Quesería!$F$99,IF(C$47=6,Quesería!$F$100,0))*$C$11</f>
        <v>0</v>
      </c>
      <c r="D98" s="29" t="n">
        <f aca="false">IF(D$47=5,Quesería!$F$99,IF(D$47=6,Quesería!$F$100,0))*$C$11</f>
        <v>0</v>
      </c>
      <c r="E98" s="29" t="n">
        <f aca="false">IF(E$47=5,Quesería!$F$99,IF(E$47=6,Quesería!$F$100,0))*$C$11</f>
        <v>0</v>
      </c>
      <c r="F98" s="29" t="n">
        <f aca="false">IF(F$47=5,Quesería!$F$99,IF(F$47=6,Quesería!$F$100,0))*$C$11</f>
        <v>0</v>
      </c>
      <c r="G98" s="29" t="n">
        <f aca="false">IF(G$47=5,Quesería!$F$99,IF(G$47=6,Quesería!$F$100,0))*$C$11</f>
        <v>27.4652172688735</v>
      </c>
      <c r="H98" s="29" t="n">
        <f aca="false">IF(H$47=5,Quesería!$F$99,IF(H$47=6,Quesería!$F$100,0))*$C$11</f>
        <v>46.3891557109552</v>
      </c>
      <c r="I98" s="29" t="n">
        <f aca="false">IF(I$47=5,Quesería!$F$99,IF(I$47=6,Quesería!$F$100,0))*$C$11</f>
        <v>0</v>
      </c>
      <c r="J98" s="29" t="n">
        <f aca="false">IF(J$47=5,Quesería!$F$99,IF(J$47=6,Quesería!$F$100,0))*$C$11</f>
        <v>0</v>
      </c>
      <c r="K98" s="29" t="n">
        <f aca="false">IF(K$47=5,Quesería!$F$99,IF(K$47=6,Quesería!$F$100,0))*$C$11</f>
        <v>0</v>
      </c>
      <c r="L98" s="29" t="n">
        <f aca="false">IF(L$47=5,Quesería!$F$99,IF(L$47=6,Quesería!$F$100,0))*$C$11</f>
        <v>0</v>
      </c>
    </row>
    <row r="99" customFormat="false" ht="15" hidden="true" customHeight="false" outlineLevel="1" collapsed="false">
      <c r="A99" s="6" t="s">
        <v>411</v>
      </c>
      <c r="B99" s="29" t="n">
        <f aca="false">Quesería!$B$55*(IF(B$47=0,SUMPRODUCT((Quesería!$C$70:$C$89=0)*(Quesería!$H$70:$H$89&gt;0)*(Quesería!$J$70:$J$89&gt;0)*Quesería!$F$70:$F$89*(1+Quesería!$I$70:$I$89)),IF(B$47=1,(SUMPRODUCT((Quesería!$C$70:$C$89=1)*(Quesería!$H$70:$H$89&gt;0)*(Quesería!$J$70:$J$89&gt;0)*Quesería!$F$70:$F$89*(1+Quesería!$I$70:$I$89))-(-$C$26)*Quesería!$D$86*(1+Quesería!$I$86))*$C$21,0))*$C$11+B98)</f>
        <v>149.115671560178</v>
      </c>
      <c r="C99" s="29" t="n">
        <f aca="false">Quesería!$B$55*(IF(C$47=0,SUMPRODUCT((Quesería!$C$70:$C$89=0)*(Quesería!$H$70:$H$89&gt;0)*(Quesería!$J$70:$J$89&gt;0)*Quesería!$F$70:$F$89*(1+Quesería!$I$70:$I$89)),IF(C$47=1,(SUMPRODUCT((Quesería!$C$70:$C$89=1)*(Quesería!$H$70:$H$89&gt;0)*(Quesería!$J$70:$J$89&gt;0)*Quesería!$F$70:$F$89*(1+Quesería!$I$70:$I$89))-(-$C$26)*Quesería!$D$86*(1+Quesería!$I$86))*$C$21,0))*$C$11+C98)</f>
        <v>125.109122668155</v>
      </c>
      <c r="D99" s="29" t="n">
        <f aca="false">Quesería!$B$55*(IF(D$47=0,SUMPRODUCT((Quesería!$C$70:$C$89=0)*(Quesería!$H$70:$H$89&gt;0)*(Quesería!$J$70:$J$89&gt;0)*Quesería!$F$70:$F$89*(1+Quesería!$I$70:$I$89)),IF(D$47=1,(SUMPRODUCT((Quesería!$C$70:$C$89=1)*(Quesería!$H$70:$H$89&gt;0)*(Quesería!$J$70:$J$89&gt;0)*Quesería!$F$70:$F$89*(1+Quesería!$I$70:$I$89))-(-$C$26)*Quesería!$D$86*(1+Quesería!$I$86))*$C$21,0))*$C$11+D98)</f>
        <v>0</v>
      </c>
      <c r="E99" s="29" t="n">
        <f aca="false">Quesería!$B$55*(IF(E$47=0,SUMPRODUCT((Quesería!$C$70:$C$89=0)*(Quesería!$H$70:$H$89&gt;0)*(Quesería!$J$70:$J$89&gt;0)*Quesería!$F$70:$F$89*(1+Quesería!$I$70:$I$89)),IF(E$47=1,(SUMPRODUCT((Quesería!$C$70:$C$89=1)*(Quesería!$H$70:$H$89&gt;0)*(Quesería!$J$70:$J$89&gt;0)*Quesería!$F$70:$F$89*(1+Quesería!$I$70:$I$89))-(-$C$26)*Quesería!$D$86*(1+Quesería!$I$86))*$C$21,0))*$C$11+E98)</f>
        <v>0</v>
      </c>
      <c r="F99" s="29" t="n">
        <f aca="false">Quesería!$B$55*(IF(F$47=0,SUMPRODUCT((Quesería!$C$70:$C$89=0)*(Quesería!$H$70:$H$89&gt;0)*(Quesería!$J$70:$J$89&gt;0)*Quesería!$F$70:$F$89*(1+Quesería!$I$70:$I$89)),IF(F$47=1,(SUMPRODUCT((Quesería!$C$70:$C$89=1)*(Quesería!$H$70:$H$89&gt;0)*(Quesería!$J$70:$J$89&gt;0)*Quesería!$F$70:$F$89*(1+Quesería!$I$70:$I$89))-(-$C$26)*Quesería!$D$86*(1+Quesería!$I$86))*$C$21,0))*$C$11+F98)</f>
        <v>0</v>
      </c>
      <c r="G99" s="29" t="n">
        <f aca="false">Quesería!$B$55*(IF(G$47=0,SUMPRODUCT((Quesería!$C$70:$C$89=0)*(Quesería!$H$70:$H$89&gt;0)*(Quesería!$J$70:$J$89&gt;0)*Quesería!$F$70:$F$89*(1+Quesería!$I$70:$I$89)),IF(G$47=1,(SUMPRODUCT((Quesería!$C$70:$C$89=1)*(Quesería!$H$70:$H$89&gt;0)*(Quesería!$J$70:$J$89&gt;0)*Quesería!$F$70:$F$89*(1+Quesería!$I$70:$I$89))-(-$C$26)*Quesería!$D$86*(1+Quesería!$I$86))*$C$21,0))*$C$11+G98)</f>
        <v>5.21839128108597</v>
      </c>
      <c r="H99" s="29" t="n">
        <f aca="false">Quesería!$B$55*(IF(H$47=0,SUMPRODUCT((Quesería!$C$70:$C$89=0)*(Quesería!$H$70:$H$89&gt;0)*(Quesería!$J$70:$J$89&gt;0)*Quesería!$F$70:$F$89*(1+Quesería!$I$70:$I$89)),IF(H$47=1,(SUMPRODUCT((Quesería!$C$70:$C$89=1)*(Quesería!$H$70:$H$89&gt;0)*(Quesería!$J$70:$J$89&gt;0)*Quesería!$F$70:$F$89*(1+Quesería!$I$70:$I$89))-(-$C$26)*Quesería!$D$86*(1+Quesería!$I$86))*$C$21,0))*$C$11+H98)</f>
        <v>8.8139395850815</v>
      </c>
      <c r="I99" s="29" t="n">
        <f aca="false">Quesería!$B$55*(IF(I$47=0,SUMPRODUCT((Quesería!$C$70:$C$89=0)*(Quesería!$H$70:$H$89&gt;0)*(Quesería!$J$70:$J$89&gt;0)*Quesería!$F$70:$F$89*(1+Quesería!$I$70:$I$89)),IF(I$47=1,(SUMPRODUCT((Quesería!$C$70:$C$89=1)*(Quesería!$H$70:$H$89&gt;0)*(Quesería!$J$70:$J$89&gt;0)*Quesería!$F$70:$F$89*(1+Quesería!$I$70:$I$89))-(-$C$26)*Quesería!$D$86*(1+Quesería!$I$86))*$C$21,0))*$C$11+I98)</f>
        <v>0</v>
      </c>
      <c r="J99" s="29" t="n">
        <f aca="false">Quesería!$B$55*(IF(J$47=0,SUMPRODUCT((Quesería!$C$70:$C$89=0)*(Quesería!$H$70:$H$89&gt;0)*(Quesería!$J$70:$J$89&gt;0)*Quesería!$F$70:$F$89*(1+Quesería!$I$70:$I$89)),IF(J$47=1,(SUMPRODUCT((Quesería!$C$70:$C$89=1)*(Quesería!$H$70:$H$89&gt;0)*(Quesería!$J$70:$J$89&gt;0)*Quesería!$F$70:$F$89*(1+Quesería!$I$70:$I$89))-(-$C$26)*Quesería!$D$86*(1+Quesería!$I$86))*$C$21,0))*$C$11+J98)</f>
        <v>0</v>
      </c>
      <c r="K99" s="29" t="n">
        <f aca="false">Quesería!$B$55*(IF(K$47=0,SUMPRODUCT((Quesería!$C$70:$C$89=0)*(Quesería!$H$70:$H$89&gt;0)*(Quesería!$J$70:$J$89&gt;0)*Quesería!$F$70:$F$89*(1+Quesería!$I$70:$I$89)),IF(K$47=1,(SUMPRODUCT((Quesería!$C$70:$C$89=1)*(Quesería!$H$70:$H$89&gt;0)*(Quesería!$J$70:$J$89&gt;0)*Quesería!$F$70:$F$89*(1+Quesería!$I$70:$I$89))-(-$C$26)*Quesería!$D$86*(1+Quesería!$I$86))*$C$21,0))*$C$11+K98)</f>
        <v>0</v>
      </c>
      <c r="L99" s="29" t="n">
        <f aca="false">Quesería!$B$55*(IF(L$47=0,SUMPRODUCT((Quesería!$C$70:$C$89=0)*(Quesería!$H$70:$H$89&gt;0)*(Quesería!$J$70:$J$89&gt;0)*Quesería!$F$70:$F$89*(1+Quesería!$I$70:$I$89)),IF(L$47=1,(SUMPRODUCT((Quesería!$C$70:$C$89=1)*(Quesería!$H$70:$H$89&gt;0)*(Quesería!$J$70:$J$89&gt;0)*Quesería!$F$70:$F$89*(1+Quesería!$I$70:$I$89))-(-$C$26)*Quesería!$D$86*(1+Quesería!$I$86))*$C$21,0))*$C$11+L98)</f>
        <v>0</v>
      </c>
    </row>
    <row r="100" customFormat="false" ht="15" hidden="true" customHeight="false" outlineLevel="1" collapsed="false">
      <c r="A100" s="6" t="s">
        <v>386</v>
      </c>
      <c r="B100" s="29" t="n">
        <f aca="false">IF(B$47=0,($C$22*Quesería!$J$126+(1-$C$22)*Quesería!$E$122)*Quesería!$B$20*Quesería!$B$21/12*$C$23,(($C$22*Quesería!$J$126+(1-$C$22)*Quesería!$E$122)+($C$22*Quesería!$J$104+(1-$C$22)*Quesería!$E$104)*(B95-1))*IF(B$47=1,Quesería!$B$20,1))*$C$10</f>
        <v>78.1729977357335</v>
      </c>
      <c r="C100" s="29" t="n">
        <f aca="false">IF(C$47=0,($C$22*Quesería!$J$126+(1-$C$22)*Quesería!$E$122)*Quesería!$B$20*Quesería!$B$21/12*$C$23,(($C$22*Quesería!$J$126+(1-$C$22)*Quesería!$E$122)+($C$22*Quesería!$J$104+(1-$C$22)*Quesería!$E$104)*(C95-1))*IF(C$47=1,Quesería!$B$20,1))*$C$10</f>
        <v>117.449365825298</v>
      </c>
      <c r="D100" s="29" t="n">
        <f aca="false">IF(D$47=0,($C$22*Quesería!$J$126+(1-$C$22)*Quesería!$E$122)*Quesería!$B$20*Quesería!$B$21/12*$C$23,(($C$22*Quesería!$J$126+(1-$C$22)*Quesería!$E$122)+($C$22*Quesería!$J$104+(1-$C$22)*Quesería!$E$104)*(D95-1))*IF(D$47=1,Quesería!$B$20,1))*$C$10</f>
        <v>156.644520228542</v>
      </c>
      <c r="E100" s="29" t="n">
        <f aca="false">IF(E$47=0,($C$22*Quesería!$J$126+(1-$C$22)*Quesería!$E$122)*Quesería!$B$20*Quesería!$B$21/12*$C$23,(($C$22*Quesería!$J$126+(1-$C$22)*Quesería!$E$122)+($C$22*Quesería!$J$104+(1-$C$22)*Quesería!$E$104)*(E95-1))*IF(E$47=1,Quesería!$B$20,1))*$C$10</f>
        <v>156.690112852328</v>
      </c>
      <c r="F100" s="29" t="n">
        <f aca="false">IF(F$47=0,($C$22*Quesería!$J$126+(1-$C$22)*Quesería!$E$122)*Quesería!$B$20*Quesería!$B$21/12*$C$23,(($C$22*Quesería!$J$126+(1-$C$22)*Quesería!$E$122)+($C$22*Quesería!$J$104+(1-$C$22)*Quesería!$E$104)*(F95-1))*IF(F$47=1,Quesería!$B$20,1))*$C$10</f>
        <v>156.735933439232</v>
      </c>
      <c r="G100" s="29" t="n">
        <f aca="false">IF(G$47=0,($C$22*Quesería!$J$126+(1-$C$22)*Quesería!$E$122)*Quesería!$B$20*Quesería!$B$21/12*$C$23,(($C$22*Quesería!$J$126+(1-$C$22)*Quesería!$E$122)+($C$22*Quesería!$J$104+(1-$C$22)*Quesería!$E$104)*(G95-1))*IF(G$47=1,Quesería!$B$20,1))*$C$10</f>
        <v>156.781983129071</v>
      </c>
      <c r="H100" s="29" t="n">
        <f aca="false">IF(H$47=0,($C$22*Quesería!$J$126+(1-$C$22)*Quesería!$E$122)*Quesería!$B$20*Quesería!$B$21/12*$C$23,(($C$22*Quesería!$J$126+(1-$C$22)*Quesería!$E$122)+($C$22*Quesería!$J$104+(1-$C$22)*Quesería!$E$104)*(H95-1))*IF(H$47=1,Quesería!$B$20,1))*$C$10</f>
        <v>156.828263067359</v>
      </c>
      <c r="I100" s="29" t="n">
        <f aca="false">IF(I$47=0,($C$22*Quesería!$J$126+(1-$C$22)*Quesería!$E$122)*Quesería!$B$20*Quesería!$B$21/12*$C$23,(($C$22*Quesería!$J$126+(1-$C$22)*Quesería!$E$122)+($C$22*Quesería!$J$104+(1-$C$22)*Quesería!$E$104)*(I95-1))*IF(I$47=1,Quesería!$B$20,1))*$C$10</f>
        <v>156.874774405338</v>
      </c>
      <c r="J100" s="29" t="n">
        <f aca="false">IF(J$47=0,($C$22*Quesería!$J$126+(1-$C$22)*Quesería!$E$122)*Quesería!$B$20*Quesería!$B$21/12*$C$23,(($C$22*Quesería!$J$126+(1-$C$22)*Quesería!$E$122)+($C$22*Quesería!$J$104+(1-$C$22)*Quesería!$E$104)*(J95-1))*IF(J$47=1,Quesería!$B$20,1))*$C$10</f>
        <v>156.921518300008</v>
      </c>
      <c r="K100" s="29" t="n">
        <f aca="false">IF(K$47=0,($C$22*Quesería!$J$126+(1-$C$22)*Quesería!$E$122)*Quesería!$B$20*Quesería!$B$21/12*$C$23,(($C$22*Quesería!$J$126+(1-$C$22)*Quesería!$E$122)+($C$22*Quesería!$J$104+(1-$C$22)*Quesería!$E$104)*(K95-1))*IF(K$47=1,Quesería!$B$20,1))*$C$10</f>
        <v>156.96849591415</v>
      </c>
      <c r="L100" s="29" t="n">
        <f aca="false">IF(L$47=0,($C$22*Quesería!$J$126+(1-$C$22)*Quesería!$E$122)*Quesería!$B$20*Quesería!$B$21/12*$C$23,(($C$22*Quesería!$J$126+(1-$C$22)*Quesería!$E$122)+($C$22*Quesería!$J$104+(1-$C$22)*Quesería!$E$104)*(L95-1))*IF(L$47=1,Quesería!$B$20,1))*$C$10</f>
        <v>157.015708416364</v>
      </c>
    </row>
    <row r="101" customFormat="false" ht="15" hidden="true" customHeight="false" outlineLevel="1" collapsed="false">
      <c r="A101" s="6" t="s">
        <v>387</v>
      </c>
      <c r="B101" s="29" t="n">
        <f aca="false">IF(B$47&lt;=1,0,((($C$22*Quesería!$J$127+(1-$C$22)*Quesería!$E$123)-($C$22*Quesería!$J$113+(1-$C$22)*Quesería!$E$113)+$C$6*($C$22*Quesería!$J$113+(1-$C$22)*Quesería!$E$113)-(1-$C$9)*(($C$22*Quesería!$J$119+(1-$C$22)*Quesería!$E$119)+($C$22*Quesería!$J$118+(1-$C$22)*Quesería!$E$118))-(1-$C$24)*($C$22*Quesería!$J$117+(1-$C$22)*Quesería!$E$117)+$C$24*(1-$C$25)*'Beneficios y costos'!$B$144-(-$C$26*$C$27)*'Beneficios y costos'!$C$167)+($C$6*($C$22*Quesería!$J$113+(1-$C$22)*Quesería!$E$113)+$C$9*($C$22*Quesería!$J$119+(1-$C$22)*Quesería!$E$119))*(B95-1))*IF(B$47=2,Quesería!$B$20,1)+IF(B$47=2,Quesería!$B$24*$C$9*($C$22*Quesería!$J$119+(1-$C$22)*Quesería!$E$119)*B95,0))*$C$10*$C$21</f>
        <v>0</v>
      </c>
      <c r="C101" s="29" t="n">
        <f aca="false">IF(C$47&lt;=1,0,((($C$22*Quesería!$J$127+(1-$C$22)*Quesería!$E$123)-($C$22*Quesería!$J$113+(1-$C$22)*Quesería!$E$113)+$C$6*($C$22*Quesería!$J$113+(1-$C$22)*Quesería!$E$113)-(1-$C$9)*(($C$22*Quesería!$J$119+(1-$C$22)*Quesería!$E$119)+($C$22*Quesería!$J$118+(1-$C$22)*Quesería!$E$118))-(1-$C$24)*($C$22*Quesería!$J$117+(1-$C$22)*Quesería!$E$117)+$C$24*(1-$C$25)*'Beneficios y costos'!$B$144-(-$C$26*$C$27)*'Beneficios y costos'!$C$167)+($C$6*($C$22*Quesería!$J$113+(1-$C$22)*Quesería!$E$113)+$C$9*($C$22*Quesería!$J$119+(1-$C$22)*Quesería!$E$119))*(C95-1))*IF(C$47=2,Quesería!$B$20,1)+IF(C$47=2,Quesería!$B$24*$C$9*($C$22*Quesería!$J$119+(1-$C$22)*Quesería!$E$119)*C95,0))*$C$10*$C$21</f>
        <v>0</v>
      </c>
      <c r="D101" s="29" t="n">
        <f aca="false">IF(D$47&lt;=1,0,((($C$22*Quesería!$J$127+(1-$C$22)*Quesería!$E$123)-($C$22*Quesería!$J$113+(1-$C$22)*Quesería!$E$113)+$C$6*($C$22*Quesería!$J$113+(1-$C$22)*Quesería!$E$113)-(1-$C$9)*(($C$22*Quesería!$J$119+(1-$C$22)*Quesería!$E$119)+($C$22*Quesería!$J$118+(1-$C$22)*Quesería!$E$118))-(1-$C$24)*($C$22*Quesería!$J$117+(1-$C$22)*Quesería!$E$117)+$C$24*(1-$C$25)*'Beneficios y costos'!$B$144-(-$C$26*$C$27)*'Beneficios y costos'!$C$167)+($C$6*($C$22*Quesería!$J$113+(1-$C$22)*Quesería!$E$113)+$C$9*($C$22*Quesería!$J$119+(1-$C$22)*Quesería!$E$119))*(D95-1))*IF(D$47=2,Quesería!$B$20,1)+IF(D$47=2,Quesería!$B$24*$C$9*($C$22*Quesería!$J$119+(1-$C$22)*Quesería!$E$119)*D95,0))*$C$10*$C$21</f>
        <v>178.998136988918</v>
      </c>
      <c r="E101" s="29" t="n">
        <f aca="false">IF(E$47&lt;=1,0,((($C$22*Quesería!$J$127+(1-$C$22)*Quesería!$E$123)-($C$22*Quesería!$J$113+(1-$C$22)*Quesería!$E$113)+$C$6*($C$22*Quesería!$J$113+(1-$C$22)*Quesería!$E$113)-(1-$C$9)*(($C$22*Quesería!$J$119+(1-$C$22)*Quesería!$E$119)+($C$22*Quesería!$J$118+(1-$C$22)*Quesería!$E$118))-(1-$C$24)*($C$22*Quesería!$J$117+(1-$C$22)*Quesería!$E$117)+$C$24*(1-$C$25)*'Beneficios y costos'!$B$144-(-$C$26*$C$27)*'Beneficios y costos'!$C$167)+($C$6*($C$22*Quesería!$J$113+(1-$C$22)*Quesería!$E$113)+$C$9*($C$22*Quesería!$J$119+(1-$C$22)*Quesería!$E$119))*(E95-1))*IF(E$47=2,Quesería!$B$20,1)+IF(E$47=2,Quesería!$B$24*$C$9*($C$22*Quesería!$J$119+(1-$C$22)*Quesería!$E$119)*E95,0))*$C$10*$C$21</f>
        <v>227.683804013294</v>
      </c>
      <c r="F101" s="29" t="n">
        <f aca="false">IF(F$47&lt;=1,0,((($C$22*Quesería!$J$127+(1-$C$22)*Quesería!$E$123)-($C$22*Quesería!$J$113+(1-$C$22)*Quesería!$E$113)+$C$6*($C$22*Quesería!$J$113+(1-$C$22)*Quesería!$E$113)-(1-$C$9)*(($C$22*Quesería!$J$119+(1-$C$22)*Quesería!$E$119)+($C$22*Quesería!$J$118+(1-$C$22)*Quesería!$E$118))-(1-$C$24)*($C$22*Quesería!$J$117+(1-$C$22)*Quesería!$E$117)+$C$24*(1-$C$25)*'Beneficios y costos'!$B$144-(-$C$26*$C$27)*'Beneficios y costos'!$C$167)+($C$6*($C$22*Quesería!$J$113+(1-$C$22)*Quesería!$E$113)+$C$9*($C$22*Quesería!$J$119+(1-$C$22)*Quesería!$E$119))*(F95-1))*IF(F$47=2,Quesería!$B$20,1)+IF(F$47=2,Quesería!$B$24*$C$9*($C$22*Quesería!$J$119+(1-$C$22)*Quesería!$E$119)*F95,0))*$C$10*$C$21</f>
        <v>227.869891702967</v>
      </c>
      <c r="G101" s="29" t="n">
        <f aca="false">IF(G$47&lt;=1,0,((($C$22*Quesería!$J$127+(1-$C$22)*Quesería!$E$123)-($C$22*Quesería!$J$113+(1-$C$22)*Quesería!$E$113)+$C$6*($C$22*Quesería!$J$113+(1-$C$22)*Quesería!$E$113)-(1-$C$9)*(($C$22*Quesería!$J$119+(1-$C$22)*Quesería!$E$119)+($C$22*Quesería!$J$118+(1-$C$22)*Quesería!$E$118))-(1-$C$24)*($C$22*Quesería!$J$117+(1-$C$22)*Quesería!$E$117)+$C$24*(1-$C$25)*'Beneficios y costos'!$B$144-(-$C$26*$C$27)*'Beneficios y costos'!$C$167)+($C$6*($C$22*Quesería!$J$113+(1-$C$22)*Quesería!$E$113)+$C$9*($C$22*Quesería!$J$119+(1-$C$22)*Quesería!$E$119))*(G95-1))*IF(G$47=2,Quesería!$B$20,1)+IF(G$47=2,Quesería!$B$24*$C$9*($C$22*Quesería!$J$119+(1-$C$22)*Quesería!$E$119)*G95,0))*$C$10*$C$21</f>
        <v>228.056909831088</v>
      </c>
      <c r="H101" s="29" t="n">
        <f aca="false">IF(H$47&lt;=1,0,((($C$22*Quesería!$J$127+(1-$C$22)*Quesería!$E$123)-($C$22*Quesería!$J$113+(1-$C$22)*Quesería!$E$113)+$C$6*($C$22*Quesería!$J$113+(1-$C$22)*Quesería!$E$113)-(1-$C$9)*(($C$22*Quesería!$J$119+(1-$C$22)*Quesería!$E$119)+($C$22*Quesería!$J$118+(1-$C$22)*Quesería!$E$118))-(1-$C$24)*($C$22*Quesería!$J$117+(1-$C$22)*Quesería!$E$117)+$C$24*(1-$C$25)*'Beneficios y costos'!$B$144-(-$C$26*$C$27)*'Beneficios y costos'!$C$167)+($C$6*($C$22*Quesería!$J$113+(1-$C$22)*Quesería!$E$113)+$C$9*($C$22*Quesería!$J$119+(1-$C$22)*Quesería!$E$119))*(H95-1))*IF(H$47=2,Quesería!$B$20,1)+IF(H$47=2,Quesería!$B$24*$C$9*($C$22*Quesería!$J$119+(1-$C$22)*Quesería!$E$119)*H95,0))*$C$10*$C$21</f>
        <v>228.244863049849</v>
      </c>
      <c r="I101" s="29" t="n">
        <f aca="false">IF(I$47&lt;=1,0,((($C$22*Quesería!$J$127+(1-$C$22)*Quesería!$E$123)-($C$22*Quesería!$J$113+(1-$C$22)*Quesería!$E$113)+$C$6*($C$22*Quesería!$J$113+(1-$C$22)*Quesería!$E$113)-(1-$C$9)*(($C$22*Quesería!$J$119+(1-$C$22)*Quesería!$E$119)+($C$22*Quesería!$J$118+(1-$C$22)*Quesería!$E$118))-(1-$C$24)*($C$22*Quesería!$J$117+(1-$C$22)*Quesería!$E$117)+$C$24*(1-$C$25)*'Beneficios y costos'!$B$144-(-$C$26*$C$27)*'Beneficios y costos'!$C$167)+($C$6*($C$22*Quesería!$J$113+(1-$C$22)*Quesería!$E$113)+$C$9*($C$22*Quesería!$J$119+(1-$C$22)*Quesería!$E$119))*(I95-1))*IF(I$47=2,Quesería!$B$20,1)+IF(I$47=2,Quesería!$B$24*$C$9*($C$22*Quesería!$J$119+(1-$C$22)*Quesería!$E$119)*I95,0))*$C$10*$C$21</f>
        <v>228.433756034705</v>
      </c>
      <c r="J101" s="29" t="n">
        <f aca="false">IF(J$47&lt;=1,0,((($C$22*Quesería!$J$127+(1-$C$22)*Quesería!$E$123)-($C$22*Quesería!$J$113+(1-$C$22)*Quesería!$E$113)+$C$6*($C$22*Quesería!$J$113+(1-$C$22)*Quesería!$E$113)-(1-$C$9)*(($C$22*Quesería!$J$119+(1-$C$22)*Quesería!$E$119)+($C$22*Quesería!$J$118+(1-$C$22)*Quesería!$E$118))-(1-$C$24)*($C$22*Quesería!$J$117+(1-$C$22)*Quesería!$E$117)+$C$24*(1-$C$25)*'Beneficios y costos'!$B$144-(-$C$26*$C$27)*'Beneficios y costos'!$C$167)+($C$6*($C$22*Quesería!$J$113+(1-$C$22)*Quesería!$E$113)+$C$9*($C$22*Quesería!$J$119+(1-$C$22)*Quesería!$E$119))*(J95-1))*IF(J$47=2,Quesería!$B$20,1)+IF(J$47=2,Quesería!$B$24*$C$9*($C$22*Quesería!$J$119+(1-$C$22)*Quesería!$E$119)*J95,0))*$C$10*$C$21</f>
        <v>228.623593484484</v>
      </c>
      <c r="K101" s="29" t="n">
        <f aca="false">IF(K$47&lt;=1,0,((($C$22*Quesería!$J$127+(1-$C$22)*Quesería!$E$123)-($C$22*Quesería!$J$113+(1-$C$22)*Quesería!$E$113)+$C$6*($C$22*Quesería!$J$113+(1-$C$22)*Quesería!$E$113)-(1-$C$9)*(($C$22*Quesería!$J$119+(1-$C$22)*Quesería!$E$119)+($C$22*Quesería!$J$118+(1-$C$22)*Quesería!$E$118))-(1-$C$24)*($C$22*Quesería!$J$117+(1-$C$22)*Quesería!$E$117)+$C$24*(1-$C$25)*'Beneficios y costos'!$B$144-(-$C$26*$C$27)*'Beneficios y costos'!$C$167)+($C$6*($C$22*Quesería!$J$113+(1-$C$22)*Quesería!$E$113)+$C$9*($C$22*Quesería!$J$119+(1-$C$22)*Quesería!$E$119))*(K95-1))*IF(K$47=2,Quesería!$B$20,1)+IF(K$47=2,Quesería!$B$24*$C$9*($C$22*Quesería!$J$119+(1-$C$22)*Quesería!$E$119)*K95,0))*$C$10*$C$21</f>
        <v>228.814380121513</v>
      </c>
      <c r="L101" s="29" t="n">
        <f aca="false">IF(L$47&lt;=1,0,((($C$22*Quesería!$J$127+(1-$C$22)*Quesería!$E$123)-($C$22*Quesería!$J$113+(1-$C$22)*Quesería!$E$113)+$C$6*($C$22*Quesería!$J$113+(1-$C$22)*Quesería!$E$113)-(1-$C$9)*(($C$22*Quesería!$J$119+(1-$C$22)*Quesería!$E$119)+($C$22*Quesería!$J$118+(1-$C$22)*Quesería!$E$118))-(1-$C$24)*($C$22*Quesería!$J$117+(1-$C$22)*Quesería!$E$117)+$C$24*(1-$C$25)*'Beneficios y costos'!$B$144-(-$C$26*$C$27)*'Beneficios y costos'!$C$167)+($C$6*($C$22*Quesería!$J$113+(1-$C$22)*Quesería!$E$113)+$C$9*($C$22*Quesería!$J$119+(1-$C$22)*Quesería!$E$119))*(L95-1))*IF(L$47=2,Quesería!$B$20,1)+IF(L$47=2,Quesería!$B$24*$C$9*($C$22*Quesería!$J$119+(1-$C$22)*Quesería!$E$119)*L95,0))*$C$10*$C$21</f>
        <v>229.006120691727</v>
      </c>
    </row>
    <row r="102" customFormat="false" ht="15" hidden="true" customHeight="false" outlineLevel="1" collapsed="false">
      <c r="A102" s="5" t="s">
        <v>412</v>
      </c>
      <c r="B102" s="10" t="n">
        <f aca="false">B100+B101</f>
        <v>78.1729977357335</v>
      </c>
      <c r="C102" s="10" t="n">
        <f aca="false">C100+C101</f>
        <v>117.449365825298</v>
      </c>
      <c r="D102" s="10" t="n">
        <f aca="false">D100+D101</f>
        <v>335.642657217461</v>
      </c>
      <c r="E102" s="10" t="n">
        <f aca="false">E100+E101</f>
        <v>384.373916865622</v>
      </c>
      <c r="F102" s="10" t="n">
        <f aca="false">F100+F101</f>
        <v>384.605825142199</v>
      </c>
      <c r="G102" s="10" t="n">
        <f aca="false">G100+G101</f>
        <v>384.838892960159</v>
      </c>
      <c r="H102" s="10" t="n">
        <f aca="false">H100+H101</f>
        <v>385.073126117208</v>
      </c>
      <c r="I102" s="10" t="n">
        <f aca="false">I100+I101</f>
        <v>385.308530440043</v>
      </c>
      <c r="J102" s="10" t="n">
        <f aca="false">J100+J101</f>
        <v>385.545111784492</v>
      </c>
      <c r="K102" s="10" t="n">
        <f aca="false">K100+K101</f>
        <v>385.782876035663</v>
      </c>
      <c r="L102" s="10" t="n">
        <f aca="false">L100+L101</f>
        <v>386.021829108091</v>
      </c>
    </row>
    <row r="103" customFormat="false" ht="15" hidden="true" customHeight="false" outlineLevel="1" collapsed="false">
      <c r="A103" s="6" t="s">
        <v>413</v>
      </c>
      <c r="B103" s="29" t="n">
        <f aca="false">(IF(B$47&gt;=1,(Quesería!$B$31+Quesería!$B$33)*Quesería!$F$94*$C$11+Quesería!$B$32+'Beneficios y costos'!$B$249,0)+IF(B$47&gt;=2,((Quesería!$B$31+Quesería!$B$33)*(Quesería!$F$95-(-$C$26)*Quesería!$D$86)*$C$11+'Beneficios y costos'!$C$249-(-$C$26)*'Beneficios y costos'!$H$235)*$C$21,0))*$C$12</f>
        <v>0</v>
      </c>
      <c r="C103" s="29" t="n">
        <f aca="false">(IF(C$47&gt;=1,(Quesería!$B$31+Quesería!$B$33)*Quesería!$F$94*$C$11+Quesería!$B$32+'Beneficios y costos'!$B$249,0)+IF(C$47&gt;=2,((Quesería!$B$31+Quesería!$B$33)*(Quesería!$F$95-(-$C$26)*Quesería!$D$86)*$C$11+'Beneficios y costos'!$C$249-(-$C$26)*'Beneficios y costos'!$H$235)*$C$21,0))*$C$12</f>
        <v>42.0946487260605</v>
      </c>
      <c r="D103" s="29" t="n">
        <f aca="false">(IF(D$47&gt;=1,(Quesería!$B$31+Quesería!$B$33)*Quesería!$F$94*$C$11+Quesería!$B$32+'Beneficios y costos'!$B$249,0)+IF(D$47&gt;=2,((Quesería!$B$31+Quesería!$B$33)*(Quesería!$F$95-(-$C$26)*Quesería!$D$86)*$C$11+'Beneficios y costos'!$C$249-(-$C$26)*'Beneficios y costos'!$H$235)*$C$21,0))*$C$12</f>
        <v>76.4964821173776</v>
      </c>
      <c r="E103" s="29" t="n">
        <f aca="false">(IF(E$47&gt;=1,(Quesería!$B$31+Quesería!$B$33)*Quesería!$F$94*$C$11+Quesería!$B$32+'Beneficios y costos'!$B$249,0)+IF(E$47&gt;=2,((Quesería!$B$31+Quesería!$B$33)*(Quesería!$F$95-(-$C$26)*Quesería!$D$86)*$C$11+'Beneficios y costos'!$C$249-(-$C$26)*'Beneficios y costos'!$H$235)*$C$21,0))*$C$12</f>
        <v>76.4964821173776</v>
      </c>
      <c r="F103" s="29" t="n">
        <f aca="false">(IF(F$47&gt;=1,(Quesería!$B$31+Quesería!$B$33)*Quesería!$F$94*$C$11+Quesería!$B$32+'Beneficios y costos'!$B$249,0)+IF(F$47&gt;=2,((Quesería!$B$31+Quesería!$B$33)*(Quesería!$F$95-(-$C$26)*Quesería!$D$86)*$C$11+'Beneficios y costos'!$C$249-(-$C$26)*'Beneficios y costos'!$H$235)*$C$21,0))*$C$12</f>
        <v>76.4964821173776</v>
      </c>
      <c r="G103" s="29" t="n">
        <f aca="false">(IF(G$47&gt;=1,(Quesería!$B$31+Quesería!$B$33)*Quesería!$F$94*$C$11+Quesería!$B$32+'Beneficios y costos'!$B$249,0)+IF(G$47&gt;=2,((Quesería!$B$31+Quesería!$B$33)*(Quesería!$F$95-(-$C$26)*Quesería!$D$86)*$C$11+'Beneficios y costos'!$C$249-(-$C$26)*'Beneficios y costos'!$H$235)*$C$21,0))*$C$12</f>
        <v>76.4964821173776</v>
      </c>
      <c r="H103" s="29" t="n">
        <f aca="false">(IF(H$47&gt;=1,(Quesería!$B$31+Quesería!$B$33)*Quesería!$F$94*$C$11+Quesería!$B$32+'Beneficios y costos'!$B$249,0)+IF(H$47&gt;=2,((Quesería!$B$31+Quesería!$B$33)*(Quesería!$F$95-(-$C$26)*Quesería!$D$86)*$C$11+'Beneficios y costos'!$C$249-(-$C$26)*'Beneficios y costos'!$H$235)*$C$21,0))*$C$12</f>
        <v>76.4964821173776</v>
      </c>
      <c r="I103" s="29" t="n">
        <f aca="false">(IF(I$47&gt;=1,(Quesería!$B$31+Quesería!$B$33)*Quesería!$F$94*$C$11+Quesería!$B$32+'Beneficios y costos'!$B$249,0)+IF(I$47&gt;=2,((Quesería!$B$31+Quesería!$B$33)*(Quesería!$F$95-(-$C$26)*Quesería!$D$86)*$C$11+'Beneficios y costos'!$C$249-(-$C$26)*'Beneficios y costos'!$H$235)*$C$21,0))*$C$12</f>
        <v>76.4964821173776</v>
      </c>
      <c r="J103" s="29" t="n">
        <f aca="false">(IF(J$47&gt;=1,(Quesería!$B$31+Quesería!$B$33)*Quesería!$F$94*$C$11+Quesería!$B$32+'Beneficios y costos'!$B$249,0)+IF(J$47&gt;=2,((Quesería!$B$31+Quesería!$B$33)*(Quesería!$F$95-(-$C$26)*Quesería!$D$86)*$C$11+'Beneficios y costos'!$C$249-(-$C$26)*'Beneficios y costos'!$H$235)*$C$21,0))*$C$12</f>
        <v>76.4964821173776</v>
      </c>
      <c r="K103" s="29" t="n">
        <f aca="false">(IF(K$47&gt;=1,(Quesería!$B$31+Quesería!$B$33)*Quesería!$F$94*$C$11+Quesería!$B$32+'Beneficios y costos'!$B$249,0)+IF(K$47&gt;=2,((Quesería!$B$31+Quesería!$B$33)*(Quesería!$F$95-(-$C$26)*Quesería!$D$86)*$C$11+'Beneficios y costos'!$C$249-(-$C$26)*'Beneficios y costos'!$H$235)*$C$21,0))*$C$12</f>
        <v>76.4964821173776</v>
      </c>
      <c r="L103" s="29" t="n">
        <f aca="false">(IF(L$47&gt;=1,(Quesería!$B$31+Quesería!$B$33)*Quesería!$F$94*$C$11+Quesería!$B$32+'Beneficios y costos'!$B$249,0)+IF(L$47&gt;=2,((Quesería!$B$31+Quesería!$B$33)*(Quesería!$F$95-(-$C$26)*Quesería!$D$86)*$C$11+'Beneficios y costos'!$C$249-(-$C$26)*'Beneficios y costos'!$H$235)*$C$21,0))*$C$12</f>
        <v>76.4964821173776</v>
      </c>
    </row>
    <row r="104" customFormat="false" ht="15" hidden="true" customHeight="false" outlineLevel="1" collapsed="false">
      <c r="A104" s="6" t="s">
        <v>414</v>
      </c>
      <c r="B104" s="29" t="n">
        <f aca="false">IF(B$47=1,2*Quesería!$B$22*Quesería!$B$23/12*B95,0)*$C$21</f>
        <v>0</v>
      </c>
      <c r="C104" s="29" t="n">
        <f aca="false">IF(C$47=1,2*Quesería!$B$22*Quesería!$B$23/12*C95,0)*$C$21</f>
        <v>18.5166509433962</v>
      </c>
      <c r="D104" s="29" t="n">
        <f aca="false">IF(D$47=1,2*Quesería!$B$22*Quesería!$B$23/12*D95,0)*$C$21</f>
        <v>0</v>
      </c>
      <c r="E104" s="29" t="n">
        <f aca="false">IF(E$47=1,2*Quesería!$B$22*Quesería!$B$23/12*E95,0)*$C$21</f>
        <v>0</v>
      </c>
      <c r="F104" s="29" t="n">
        <f aca="false">IF(F$47=1,2*Quesería!$B$22*Quesería!$B$23/12*F95,0)*$C$21</f>
        <v>0</v>
      </c>
      <c r="G104" s="29" t="n">
        <f aca="false">IF(G$47=1,2*Quesería!$B$22*Quesería!$B$23/12*G95,0)*$C$21</f>
        <v>0</v>
      </c>
      <c r="H104" s="29" t="n">
        <f aca="false">IF(H$47=1,2*Quesería!$B$22*Quesería!$B$23/12*H95,0)*$C$21</f>
        <v>0</v>
      </c>
      <c r="I104" s="29" t="n">
        <f aca="false">IF(I$47=1,2*Quesería!$B$22*Quesería!$B$23/12*I95,0)*$C$21</f>
        <v>0</v>
      </c>
      <c r="J104" s="29" t="n">
        <f aca="false">IF(J$47=1,2*Quesería!$B$22*Quesería!$B$23/12*J95,0)*$C$21</f>
        <v>0</v>
      </c>
      <c r="K104" s="29" t="n">
        <f aca="false">IF(K$47=1,2*Quesería!$B$22*Quesería!$B$23/12*K95,0)*$C$21</f>
        <v>0</v>
      </c>
      <c r="L104" s="29" t="n">
        <f aca="false">IF(L$47=1,2*Quesería!$B$22*Quesería!$B$23/12*L95,0)*$C$21</f>
        <v>0</v>
      </c>
    </row>
    <row r="105" customFormat="false" ht="15" hidden="true" customHeight="false" outlineLevel="1" collapsed="false">
      <c r="A105" s="6" t="s">
        <v>415</v>
      </c>
      <c r="B105" s="29" t="n">
        <f aca="false">Quesería!$B$52*(B97+B98+B99+B103+B104)</f>
        <v>4.31966364396742</v>
      </c>
      <c r="C105" s="29" t="n">
        <f aca="false">Quesería!$B$52*(C97+C98+C99+C103+C104)</f>
        <v>3.37675795604844</v>
      </c>
      <c r="D105" s="29" t="n">
        <f aca="false">Quesería!$B$52*(D97+D98+D99+D103+D104)</f>
        <v>0.305985928469511</v>
      </c>
      <c r="E105" s="29" t="n">
        <f aca="false">Quesería!$B$52*(E97+E98+E99+E103+E104)</f>
        <v>0.305985928469511</v>
      </c>
      <c r="F105" s="29" t="n">
        <f aca="false">Quesería!$B$52*(F97+F98+F99+F103+F104)</f>
        <v>0.305985928469511</v>
      </c>
      <c r="G105" s="29" t="n">
        <f aca="false">Quesería!$B$52*(G97+G98+G99+G103+G104)</f>
        <v>0.436720362669349</v>
      </c>
      <c r="H105" s="29" t="n">
        <f aca="false">Quesería!$B$52*(H97+H98+H99+H103+H104)</f>
        <v>0.526798309653658</v>
      </c>
      <c r="I105" s="29" t="n">
        <f aca="false">Quesería!$B$52*(I97+I98+I99+I103+I104)</f>
        <v>0.305985928469511</v>
      </c>
      <c r="J105" s="29" t="n">
        <f aca="false">Quesería!$B$52*(J97+J98+J99+J103+J104)</f>
        <v>0.305985928469511</v>
      </c>
      <c r="K105" s="29" t="n">
        <f aca="false">Quesería!$B$52*(K97+K98+K99+K103+K104)</f>
        <v>0.305985928469511</v>
      </c>
      <c r="L105" s="29" t="n">
        <f aca="false">Quesería!$B$52*(L97+L98+L99+L103+L104)</f>
        <v>0.305985928469511</v>
      </c>
    </row>
    <row r="106" customFormat="false" ht="15" hidden="true" customHeight="false" outlineLevel="1" collapsed="false">
      <c r="A106" s="6" t="s">
        <v>416</v>
      </c>
      <c r="B106" s="29" t="n">
        <f aca="false">(IF($C$19=1,(SUMPRODUCT((Quesería!$C$70:$C$89=0)*(Quesería!$J$70:$J$89&gt;0)*(B$47&gt;=1)*(B$47&lt;=Quesería!$J$70:$J$89)*(Quesería!$H$70:$H$89&gt;0)*Quesería!$F$70:$F$89*(1+Quesería!$I$70:$I$89)/(Quesería!$J$70:$J$89+(Quesería!$J$70:$J$89=0)))+SUMPRODUCT((Quesería!$C$70:$C$89=0)*(Quesería!$J$70:$J$89=0)*(B$47=0)*(Quesería!$H$70:$H$89&gt;0)*Quesería!$F$70:$F$89*(1+Quesería!$I$70:$I$89)))*$B$94+((SUMPRODUCT((Quesería!$C$70:$C$89=1)*(Quesería!$J$70:$J$89&gt;0)*(B$47&gt;=2)*(B$47&lt;=Quesería!$J$70:$J$89+1)*(Quesería!$H$70:$H$89&gt;0)*Quesería!$F$70:$F$89*(1+Quesería!$I$70:$I$89)/(Quesería!$J$70:$J$89+(Quesería!$J$70:$J$89=0)))+SUMPRODUCT((Quesería!$C$70:$C$89=1)*(Quesería!$J$70:$J$89=0)*(B$47=1)*(Quesería!$H$70:$H$89&gt;0)*Quesería!$F$70:$F$89*(1+Quesería!$I$70:$I$89)))-(-$C$26)*IF(AND(B$47&gt;=2,B$47&lt;=Quesería!$J$86+1),Quesería!$D$86*(1+Quesería!$I$86)/Quesería!$J$86,0))*$C$94*$C$21,IF(AND(B$47&gt;=1,B$47&lt;=Quesería!$B$30),Quesería!$F$92/Quesería!$B$30,0)*$B$94+IF(AND(B$47&gt;=2,B$47&lt;=Quesería!$B$30+1),(Quesería!$F$93-(-$C$26)*Quesería!$D$86*(1+Quesería!$I$86))/Quesería!$B$30,0)*$C$94*$C$21)*$C$11+IF(AND(B$47&gt;=6,B$47&lt;=10),$G98*$G94/5,0)+IF(AND(B$47&gt;=7,B$47&lt;=11),$H98*$H94/5,0))*B96</f>
        <v>145.980915430742</v>
      </c>
      <c r="C106" s="29" t="n">
        <f aca="false">(IF($C$19=1,(SUMPRODUCT((Quesería!$C$70:$C$89=0)*(Quesería!$J$70:$J$89&gt;0)*(C$47&gt;=1)*(C$47&lt;=Quesería!$J$70:$J$89)*(Quesería!$H$70:$H$89&gt;0)*Quesería!$F$70:$F$89*(1+Quesería!$I$70:$I$89)/(Quesería!$J$70:$J$89+(Quesería!$J$70:$J$89=0)))+SUMPRODUCT((Quesería!$C$70:$C$89=0)*(Quesería!$J$70:$J$89=0)*(C$47=0)*(Quesería!$H$70:$H$89&gt;0)*Quesería!$F$70:$F$89*(1+Quesería!$I$70:$I$89)))*$B$94+((SUMPRODUCT((Quesería!$C$70:$C$89=1)*(Quesería!$J$70:$J$89&gt;0)*(C$47&gt;=2)*(C$47&lt;=Quesería!$J$70:$J$89+1)*(Quesería!$H$70:$H$89&gt;0)*Quesería!$F$70:$F$89*(1+Quesería!$I$70:$I$89)/(Quesería!$J$70:$J$89+(Quesería!$J$70:$J$89=0)))+SUMPRODUCT((Quesería!$C$70:$C$89=1)*(Quesería!$J$70:$J$89=0)*(C$47=1)*(Quesería!$H$70:$H$89&gt;0)*Quesería!$F$70:$F$89*(1+Quesería!$I$70:$I$89)))-(-$C$26)*IF(AND(C$47&gt;=2,C$47&lt;=Quesería!$J$86+1),Quesería!$D$86*(1+Quesería!$I$86)/Quesería!$J$86,0))*$C$94*$C$21,IF(AND(C$47&gt;=1,C$47&lt;=Quesería!$B$30),Quesería!$F$92/Quesería!$B$30,0)*$B$94+IF(AND(C$47&gt;=2,C$47&lt;=Quesería!$B$30+1),(Quesería!$F$93-(-$C$26)*Quesería!$D$86*(1+Quesería!$I$86))/Quesería!$B$30,0)*$C$94*$C$21)*$C$11+IF(AND(C$47&gt;=6,C$47&lt;=10),$G98*$G94/5,0)+IF(AND(C$47&gt;=7,C$47&lt;=11),$H98*$H94/5,0))*C96</f>
        <v>82.2633269524265</v>
      </c>
      <c r="D106" s="29" t="n">
        <f aca="false">(IF($C$19=1,(SUMPRODUCT((Quesería!$C$70:$C$89=0)*(Quesería!$J$70:$J$89&gt;0)*(D$47&gt;=1)*(D$47&lt;=Quesería!$J$70:$J$89)*(Quesería!$H$70:$H$89&gt;0)*Quesería!$F$70:$F$89*(1+Quesería!$I$70:$I$89)/(Quesería!$J$70:$J$89+(Quesería!$J$70:$J$89=0)))+SUMPRODUCT((Quesería!$C$70:$C$89=0)*(Quesería!$J$70:$J$89=0)*(D$47=0)*(Quesería!$H$70:$H$89&gt;0)*Quesería!$F$70:$F$89*(1+Quesería!$I$70:$I$89)))*$B$94+((SUMPRODUCT((Quesería!$C$70:$C$89=1)*(Quesería!$J$70:$J$89&gt;0)*(D$47&gt;=2)*(D$47&lt;=Quesería!$J$70:$J$89+1)*(Quesería!$H$70:$H$89&gt;0)*Quesería!$F$70:$F$89*(1+Quesería!$I$70:$I$89)/(Quesería!$J$70:$J$89+(Quesería!$J$70:$J$89=0)))+SUMPRODUCT((Quesería!$C$70:$C$89=1)*(Quesería!$J$70:$J$89=0)*(D$47=1)*(Quesería!$H$70:$H$89&gt;0)*Quesería!$F$70:$F$89*(1+Quesería!$I$70:$I$89)))-(-$C$26)*IF(AND(D$47&gt;=2,D$47&lt;=Quesería!$J$86+1),Quesería!$D$86*(1+Quesería!$I$86)/Quesería!$J$86,0))*$C$94*$C$21,IF(AND(D$47&gt;=1,D$47&lt;=Quesería!$B$30),Quesería!$F$92/Quesería!$B$30,0)*$B$94+IF(AND(D$47&gt;=2,D$47&lt;=Quesería!$B$30+1),(Quesería!$F$93-(-$C$26)*Quesería!$D$86*(1+Quesería!$I$86))/Quesería!$B$30,0)*$C$94*$C$21)*$C$11+IF(AND(D$47&gt;=6,D$47&lt;=10),$G98*$G94/5,0)+IF(AND(D$47&gt;=7,D$47&lt;=11),$H98*$H94/5,0))*D96</f>
        <v>141.732280975958</v>
      </c>
      <c r="E106" s="29" t="n">
        <f aca="false">(IF($C$19=1,(SUMPRODUCT((Quesería!$C$70:$C$89=0)*(Quesería!$J$70:$J$89&gt;0)*(E$47&gt;=1)*(E$47&lt;=Quesería!$J$70:$J$89)*(Quesería!$H$70:$H$89&gt;0)*Quesería!$F$70:$F$89*(1+Quesería!$I$70:$I$89)/(Quesería!$J$70:$J$89+(Quesería!$J$70:$J$89=0)))+SUMPRODUCT((Quesería!$C$70:$C$89=0)*(Quesería!$J$70:$J$89=0)*(E$47=0)*(Quesería!$H$70:$H$89&gt;0)*Quesería!$F$70:$F$89*(1+Quesería!$I$70:$I$89)))*$B$94+((SUMPRODUCT((Quesería!$C$70:$C$89=1)*(Quesería!$J$70:$J$89&gt;0)*(E$47&gt;=2)*(E$47&lt;=Quesería!$J$70:$J$89+1)*(Quesería!$H$70:$H$89&gt;0)*Quesería!$F$70:$F$89*(1+Quesería!$I$70:$I$89)/(Quesería!$J$70:$J$89+(Quesería!$J$70:$J$89=0)))+SUMPRODUCT((Quesería!$C$70:$C$89=1)*(Quesería!$J$70:$J$89=0)*(E$47=1)*(Quesería!$H$70:$H$89&gt;0)*Quesería!$F$70:$F$89*(1+Quesería!$I$70:$I$89)))-(-$C$26)*IF(AND(E$47&gt;=2,E$47&lt;=Quesería!$J$86+1),Quesería!$D$86*(1+Quesería!$I$86)/Quesería!$J$86,0))*$C$94*$C$21,IF(AND(E$47&gt;=1,E$47&lt;=Quesería!$B$30),Quesería!$F$92/Quesería!$B$30,0)*$B$94+IF(AND(E$47&gt;=2,E$47&lt;=Quesería!$B$30+1),(Quesería!$F$93-(-$C$26)*Quesería!$D$86*(1+Quesería!$I$86))/Quesería!$B$30,0)*$C$94*$C$21)*$C$11+IF(AND(E$47&gt;=6,E$47&lt;=10),$G98*$G94/5,0)+IF(AND(E$47&gt;=7,E$47&lt;=11),$H98*$H94/5,0))*E96</f>
        <v>136.28103939996</v>
      </c>
      <c r="F106" s="29" t="n">
        <f aca="false">(IF($C$19=1,(SUMPRODUCT((Quesería!$C$70:$C$89=0)*(Quesería!$J$70:$J$89&gt;0)*(F$47&gt;=1)*(F$47&lt;=Quesería!$J$70:$J$89)*(Quesería!$H$70:$H$89&gt;0)*Quesería!$F$70:$F$89*(1+Quesería!$I$70:$I$89)/(Quesería!$J$70:$J$89+(Quesería!$J$70:$J$89=0)))+SUMPRODUCT((Quesería!$C$70:$C$89=0)*(Quesería!$J$70:$J$89=0)*(F$47=0)*(Quesería!$H$70:$H$89&gt;0)*Quesería!$F$70:$F$89*(1+Quesería!$I$70:$I$89)))*$B$94+((SUMPRODUCT((Quesería!$C$70:$C$89=1)*(Quesería!$J$70:$J$89&gt;0)*(F$47&gt;=2)*(F$47&lt;=Quesería!$J$70:$J$89+1)*(Quesería!$H$70:$H$89&gt;0)*Quesería!$F$70:$F$89*(1+Quesería!$I$70:$I$89)/(Quesería!$J$70:$J$89+(Quesería!$J$70:$J$89=0)))+SUMPRODUCT((Quesería!$C$70:$C$89=1)*(Quesería!$J$70:$J$89=0)*(F$47=1)*(Quesería!$H$70:$H$89&gt;0)*Quesería!$F$70:$F$89*(1+Quesería!$I$70:$I$89)))-(-$C$26)*IF(AND(F$47&gt;=2,F$47&lt;=Quesería!$J$86+1),Quesería!$D$86*(1+Quesería!$I$86)/Quesería!$J$86,0))*$C$94*$C$21,IF(AND(F$47&gt;=1,F$47&lt;=Quesería!$B$30),Quesería!$F$92/Quesería!$B$30,0)*$B$94+IF(AND(F$47&gt;=2,F$47&lt;=Quesería!$B$30+1),(Quesería!$F$93-(-$C$26)*Quesería!$D$86*(1+Quesería!$I$86))/Quesería!$B$30,0)*$C$94*$C$21)*$C$11+IF(AND(F$47&gt;=6,F$47&lt;=10),$G98*$G94/5,0)+IF(AND(F$47&gt;=7,F$47&lt;=11),$H98*$H94/5,0))*F96</f>
        <v>131.0394609615</v>
      </c>
      <c r="G106" s="29" t="n">
        <f aca="false">(IF($C$19=1,(SUMPRODUCT((Quesería!$C$70:$C$89=0)*(Quesería!$J$70:$J$89&gt;0)*(G$47&gt;=1)*(G$47&lt;=Quesería!$J$70:$J$89)*(Quesería!$H$70:$H$89&gt;0)*Quesería!$F$70:$F$89*(1+Quesería!$I$70:$I$89)/(Quesería!$J$70:$J$89+(Quesería!$J$70:$J$89=0)))+SUMPRODUCT((Quesería!$C$70:$C$89=0)*(Quesería!$J$70:$J$89=0)*(G$47=0)*(Quesería!$H$70:$H$89&gt;0)*Quesería!$F$70:$F$89*(1+Quesería!$I$70:$I$89)))*$B$94+((SUMPRODUCT((Quesería!$C$70:$C$89=1)*(Quesería!$J$70:$J$89&gt;0)*(G$47&gt;=2)*(G$47&lt;=Quesería!$J$70:$J$89+1)*(Quesería!$H$70:$H$89&gt;0)*Quesería!$F$70:$F$89*(1+Quesería!$I$70:$I$89)/(Quesería!$J$70:$J$89+(Quesería!$J$70:$J$89=0)))+SUMPRODUCT((Quesería!$C$70:$C$89=1)*(Quesería!$J$70:$J$89=0)*(G$47=1)*(Quesería!$H$70:$H$89&gt;0)*Quesería!$F$70:$F$89*(1+Quesería!$I$70:$I$89)))-(-$C$26)*IF(AND(G$47&gt;=2,G$47&lt;=Quesería!$J$86+1),Quesería!$D$86*(1+Quesería!$I$86)/Quesería!$J$86,0))*$C$94*$C$21,IF(AND(G$47&gt;=1,G$47&lt;=Quesería!$B$30),Quesería!$F$92/Quesería!$B$30,0)*$B$94+IF(AND(G$47&gt;=2,G$47&lt;=Quesería!$B$30+1),(Quesería!$F$93-(-$C$26)*Quesería!$D$86*(1+Quesería!$I$86))/Quesería!$B$30,0)*$C$94*$C$21)*$C$11+IF(AND(G$47&gt;=6,G$47&lt;=10),$G98*$G94/5,0)+IF(AND(G$47&gt;=7,G$47&lt;=11),$H98*$H94/5,0))*G96</f>
        <v>125.99948169375</v>
      </c>
      <c r="H106" s="29" t="n">
        <f aca="false">(IF($C$19=1,(SUMPRODUCT((Quesería!$C$70:$C$89=0)*(Quesería!$J$70:$J$89&gt;0)*(H$47&gt;=1)*(H$47&lt;=Quesería!$J$70:$J$89)*(Quesería!$H$70:$H$89&gt;0)*Quesería!$F$70:$F$89*(1+Quesería!$I$70:$I$89)/(Quesería!$J$70:$J$89+(Quesería!$J$70:$J$89=0)))+SUMPRODUCT((Quesería!$C$70:$C$89=0)*(Quesería!$J$70:$J$89=0)*(H$47=0)*(Quesería!$H$70:$H$89&gt;0)*Quesería!$F$70:$F$89*(1+Quesería!$I$70:$I$89)))*$B$94+((SUMPRODUCT((Quesería!$C$70:$C$89=1)*(Quesería!$J$70:$J$89&gt;0)*(H$47&gt;=2)*(H$47&lt;=Quesería!$J$70:$J$89+1)*(Quesería!$H$70:$H$89&gt;0)*Quesería!$F$70:$F$89*(1+Quesería!$I$70:$I$89)/(Quesería!$J$70:$J$89+(Quesería!$J$70:$J$89=0)))+SUMPRODUCT((Quesería!$C$70:$C$89=1)*(Quesería!$J$70:$J$89=0)*(H$47=1)*(Quesería!$H$70:$H$89&gt;0)*Quesería!$F$70:$F$89*(1+Quesería!$I$70:$I$89)))-(-$C$26)*IF(AND(H$47&gt;=2,H$47&lt;=Quesería!$J$86+1),Quesería!$D$86*(1+Quesería!$I$86)/Quesería!$J$86,0))*$C$94*$C$21,IF(AND(H$47&gt;=1,H$47&lt;=Quesería!$B$30),Quesería!$F$92/Quesería!$B$30,0)*$B$94+IF(AND(H$47&gt;=2,H$47&lt;=Quesería!$B$30+1),(Quesería!$F$93-(-$C$26)*Quesería!$D$86*(1+Quesería!$I$86))/Quesería!$B$30,0)*$C$94*$C$21)*$C$11+IF(AND(H$47&gt;=6,H$47&lt;=10),$G98*$G94/5,0)+IF(AND(H$47&gt;=7,H$47&lt;=11),$H98*$H94/5,0))*H96</f>
        <v>114.13472617855</v>
      </c>
      <c r="I106" s="29" t="n">
        <f aca="false">(IF($C$19=1,(SUMPRODUCT((Quesería!$C$70:$C$89=0)*(Quesería!$J$70:$J$89&gt;0)*(I$47&gt;=1)*(I$47&lt;=Quesería!$J$70:$J$89)*(Quesería!$H$70:$H$89&gt;0)*Quesería!$F$70:$F$89*(1+Quesería!$I$70:$I$89)/(Quesería!$J$70:$J$89+(Quesería!$J$70:$J$89=0)))+SUMPRODUCT((Quesería!$C$70:$C$89=0)*(Quesería!$J$70:$J$89=0)*(I$47=0)*(Quesería!$H$70:$H$89&gt;0)*Quesería!$F$70:$F$89*(1+Quesería!$I$70:$I$89)))*$B$94+((SUMPRODUCT((Quesería!$C$70:$C$89=1)*(Quesería!$J$70:$J$89&gt;0)*(I$47&gt;=2)*(I$47&lt;=Quesería!$J$70:$J$89+1)*(Quesería!$H$70:$H$89&gt;0)*Quesería!$F$70:$F$89*(1+Quesería!$I$70:$I$89)/(Quesería!$J$70:$J$89+(Quesería!$J$70:$J$89=0)))+SUMPRODUCT((Quesería!$C$70:$C$89=1)*(Quesería!$J$70:$J$89=0)*(I$47=1)*(Quesería!$H$70:$H$89&gt;0)*Quesería!$F$70:$F$89*(1+Quesería!$I$70:$I$89)))-(-$C$26)*IF(AND(I$47&gt;=2,I$47&lt;=Quesería!$J$86+1),Quesería!$D$86*(1+Quesería!$I$86)/Quesería!$J$86,0))*$C$94*$C$21,IF(AND(I$47&gt;=1,I$47&lt;=Quesería!$B$30),Quesería!$F$92/Quesería!$B$30,0)*$B$94+IF(AND(I$47&gt;=2,I$47&lt;=Quesería!$B$30+1),(Quesería!$F$93-(-$C$26)*Quesería!$D$86*(1+Quesería!$I$86))/Quesería!$B$30,0)*$C$94*$C$21)*$C$11+IF(AND(I$47&gt;=6,I$47&lt;=10),$G98*$G94/5,0)+IF(AND(I$47&gt;=7,I$47&lt;=11),$H98*$H94/5,0))*I96</f>
        <v>118.665920500713</v>
      </c>
      <c r="J106" s="29" t="n">
        <f aca="false">(IF($C$19=1,(SUMPRODUCT((Quesería!$C$70:$C$89=0)*(Quesería!$J$70:$J$89&gt;0)*(J$47&gt;=1)*(J$47&lt;=Quesería!$J$70:$J$89)*(Quesería!$H$70:$H$89&gt;0)*Quesería!$F$70:$F$89*(1+Quesería!$I$70:$I$89)/(Quesería!$J$70:$J$89+(Quesería!$J$70:$J$89=0)))+SUMPRODUCT((Quesería!$C$70:$C$89=0)*(Quesería!$J$70:$J$89=0)*(J$47=0)*(Quesería!$H$70:$H$89&gt;0)*Quesería!$F$70:$F$89*(1+Quesería!$I$70:$I$89)))*$B$94+((SUMPRODUCT((Quesería!$C$70:$C$89=1)*(Quesería!$J$70:$J$89&gt;0)*(J$47&gt;=2)*(J$47&lt;=Quesería!$J$70:$J$89+1)*(Quesería!$H$70:$H$89&gt;0)*Quesería!$F$70:$F$89*(1+Quesería!$I$70:$I$89)/(Quesería!$J$70:$J$89+(Quesería!$J$70:$J$89=0)))+SUMPRODUCT((Quesería!$C$70:$C$89=1)*(Quesería!$J$70:$J$89=0)*(J$47=1)*(Quesería!$H$70:$H$89&gt;0)*Quesería!$F$70:$F$89*(1+Quesería!$I$70:$I$89)))-(-$C$26)*IF(AND(J$47&gt;=2,J$47&lt;=Quesería!$J$86+1),Quesería!$D$86*(1+Quesería!$I$86)/Quesería!$J$86,0))*$C$94*$C$21,IF(AND(J$47&gt;=1,J$47&lt;=Quesería!$B$30),Quesería!$F$92/Quesería!$B$30,0)*$B$94+IF(AND(J$47&gt;=2,J$47&lt;=Quesería!$B$30+1),(Quesería!$F$93-(-$C$26)*Quesería!$D$86*(1+Quesería!$I$86))/Quesería!$B$30,0)*$C$94*$C$21)*$C$11+IF(AND(J$47&gt;=6,J$47&lt;=10),$G98*$G94/5,0)+IF(AND(J$47&gt;=7,J$47&lt;=11),$H98*$H94/5,0))*J96</f>
        <v>114.101846635301</v>
      </c>
      <c r="K106" s="29" t="n">
        <f aca="false">(IF($C$19=1,(SUMPRODUCT((Quesería!$C$70:$C$89=0)*(Quesería!$J$70:$J$89&gt;0)*(K$47&gt;=1)*(K$47&lt;=Quesería!$J$70:$J$89)*(Quesería!$H$70:$H$89&gt;0)*Quesería!$F$70:$F$89*(1+Quesería!$I$70:$I$89)/(Quesería!$J$70:$J$89+(Quesería!$J$70:$J$89=0)))+SUMPRODUCT((Quesería!$C$70:$C$89=0)*(Quesería!$J$70:$J$89=0)*(K$47=0)*(Quesería!$H$70:$H$89&gt;0)*Quesería!$F$70:$F$89*(1+Quesería!$I$70:$I$89)))*$B$94+((SUMPRODUCT((Quesería!$C$70:$C$89=1)*(Quesería!$J$70:$J$89&gt;0)*(K$47&gt;=2)*(K$47&lt;=Quesería!$J$70:$J$89+1)*(Quesería!$H$70:$H$89&gt;0)*Quesería!$F$70:$F$89*(1+Quesería!$I$70:$I$89)/(Quesería!$J$70:$J$89+(Quesería!$J$70:$J$89=0)))+SUMPRODUCT((Quesería!$C$70:$C$89=1)*(Quesería!$J$70:$J$89=0)*(K$47=1)*(Quesería!$H$70:$H$89&gt;0)*Quesería!$F$70:$F$89*(1+Quesería!$I$70:$I$89)))-(-$C$26)*IF(AND(K$47&gt;=2,K$47&lt;=Quesería!$J$86+1),Quesería!$D$86*(1+Quesería!$I$86)/Quesería!$J$86,0))*$C$94*$C$21,IF(AND(K$47&gt;=1,K$47&lt;=Quesería!$B$30),Quesería!$F$92/Quesería!$B$30,0)*$B$94+IF(AND(K$47&gt;=2,K$47&lt;=Quesería!$B$30+1),(Quesería!$F$93-(-$C$26)*Quesería!$D$86*(1+Quesería!$I$86))/Quesería!$B$30,0)*$C$94*$C$21)*$C$11+IF(AND(K$47&gt;=6,K$47&lt;=10),$G98*$G94/5,0)+IF(AND(K$47&gt;=7,K$47&lt;=11),$H98*$H94/5,0))*K96</f>
        <v>109.713314072405</v>
      </c>
      <c r="L106" s="29" t="n">
        <f aca="false">(IF($C$19=1,(SUMPRODUCT((Quesería!$C$70:$C$89=0)*(Quesería!$J$70:$J$89&gt;0)*(L$47&gt;=1)*(L$47&lt;=Quesería!$J$70:$J$89)*(Quesería!$H$70:$H$89&gt;0)*Quesería!$F$70:$F$89*(1+Quesería!$I$70:$I$89)/(Quesería!$J$70:$J$89+(Quesería!$J$70:$J$89=0)))+SUMPRODUCT((Quesería!$C$70:$C$89=0)*(Quesería!$J$70:$J$89=0)*(L$47=0)*(Quesería!$H$70:$H$89&gt;0)*Quesería!$F$70:$F$89*(1+Quesería!$I$70:$I$89)))*$B$94+((SUMPRODUCT((Quesería!$C$70:$C$89=1)*(Quesería!$J$70:$J$89&gt;0)*(L$47&gt;=2)*(L$47&lt;=Quesería!$J$70:$J$89+1)*(Quesería!$H$70:$H$89&gt;0)*Quesería!$F$70:$F$89*(1+Quesería!$I$70:$I$89)/(Quesería!$J$70:$J$89+(Quesería!$J$70:$J$89=0)))+SUMPRODUCT((Quesería!$C$70:$C$89=1)*(Quesería!$J$70:$J$89=0)*(L$47=1)*(Quesería!$H$70:$H$89&gt;0)*Quesería!$F$70:$F$89*(1+Quesería!$I$70:$I$89)))-(-$C$26)*IF(AND(L$47&gt;=2,L$47&lt;=Quesería!$J$86+1),Quesería!$D$86*(1+Quesería!$I$86)/Quesería!$J$86,0))*$C$94*$C$21,IF(AND(L$47&gt;=1,L$47&lt;=Quesería!$B$30),Quesería!$F$92/Quesería!$B$30,0)*$B$94+IF(AND(L$47&gt;=2,L$47&lt;=Quesería!$B$30+1),(Quesería!$F$93-(-$C$26)*Quesería!$D$86*(1+Quesería!$I$86))/Quesería!$B$30,0)*$C$94*$C$21)*$C$11+IF(AND(L$47&gt;=6,L$47&lt;=10),$G98*$G94/5,0)+IF(AND(L$47&gt;=7,L$47&lt;=11),$H98*$H94/5,0))*L96</f>
        <v>105.493571223466</v>
      </c>
    </row>
    <row r="107" customFormat="false" ht="15" hidden="true" customHeight="false" outlineLevel="1" collapsed="false">
      <c r="A107" s="9" t="s">
        <v>417</v>
      </c>
      <c r="B107" s="58" t="n">
        <f aca="false">IF(B$47=1,MIN($C$7*$C$26*Quesería!$B$56*Quesería!$D$86*$C$11*$C$21,Quesería!$B$57*Quesería!$B$58),0)</f>
        <v>0</v>
      </c>
      <c r="C107" s="58" t="n">
        <f aca="false">IF(C$47=1,MIN($C$7*$C$26*Quesería!$B$56*Quesería!$D$86*$C$11*$C$21,Quesería!$B$57*Quesería!$B$58),0)</f>
        <v>0</v>
      </c>
      <c r="D107" s="58" t="n">
        <f aca="false">IF(D$47=1,MIN($C$7*$C$26*Quesería!$B$56*Quesería!$D$86*$C$11*$C$21,Quesería!$B$57*Quesería!$B$58),0)</f>
        <v>0</v>
      </c>
      <c r="E107" s="58" t="n">
        <f aca="false">IF(E$47=1,MIN($C$7*$C$26*Quesería!$B$56*Quesería!$D$86*$C$11*$C$21,Quesería!$B$57*Quesería!$B$58),0)</f>
        <v>0</v>
      </c>
      <c r="F107" s="58" t="n">
        <f aca="false">IF(F$47=1,MIN($C$7*$C$26*Quesería!$B$56*Quesería!$D$86*$C$11*$C$21,Quesería!$B$57*Quesería!$B$58),0)</f>
        <v>0</v>
      </c>
      <c r="G107" s="58" t="n">
        <f aca="false">IF(G$47=1,MIN($C$7*$C$26*Quesería!$B$56*Quesería!$D$86*$C$11*$C$21,Quesería!$B$57*Quesería!$B$58),0)</f>
        <v>0</v>
      </c>
      <c r="H107" s="58" t="n">
        <f aca="false">IF(H$47=1,MIN($C$7*$C$26*Quesería!$B$56*Quesería!$D$86*$C$11*$C$21,Quesería!$B$57*Quesería!$B$58),0)</f>
        <v>0</v>
      </c>
      <c r="I107" s="58" t="n">
        <f aca="false">IF(I$47=1,MIN($C$7*$C$26*Quesería!$B$56*Quesería!$D$86*$C$11*$C$21,Quesería!$B$57*Quesería!$B$58),0)</f>
        <v>0</v>
      </c>
      <c r="J107" s="58" t="n">
        <f aca="false">IF(J$47=1,MIN($C$7*$C$26*Quesería!$B$56*Quesería!$D$86*$C$11*$C$21,Quesería!$B$57*Quesería!$B$58),0)</f>
        <v>0</v>
      </c>
      <c r="K107" s="58" t="n">
        <f aca="false">IF(K$47=1,MIN($C$7*$C$26*Quesería!$B$56*Quesería!$D$86*$C$11*$C$21,Quesería!$B$57*Quesería!$B$58),0)</f>
        <v>0</v>
      </c>
      <c r="L107" s="58" t="n">
        <f aca="false">IF(L$47=1,MIN($C$7*$C$26*Quesería!$B$56*Quesería!$D$86*$C$11*$C$21,Quesería!$B$57*Quesería!$B$58),0)</f>
        <v>0</v>
      </c>
    </row>
    <row r="108" customFormat="false" ht="15" hidden="true" customHeight="false" outlineLevel="1" collapsed="false">
      <c r="A108" s="9" t="s">
        <v>418</v>
      </c>
      <c r="B108" s="58" t="n">
        <v>0</v>
      </c>
      <c r="C108" s="58" t="n">
        <f aca="false">$C$20*Quesería!$B$60*Quesería!$F$98*$C$11*$B$94/C94/2</f>
        <v>0</v>
      </c>
      <c r="D108" s="58" t="n">
        <f aca="false">$C$20*Quesería!$B$60*Quesería!$F$98*$C$11*$B$94/D94/2</f>
        <v>0</v>
      </c>
      <c r="E108" s="58" t="n">
        <v>0</v>
      </c>
      <c r="F108" s="58" t="n">
        <v>0</v>
      </c>
      <c r="G108" s="58" t="n">
        <v>0</v>
      </c>
      <c r="H108" s="58" t="n">
        <v>0</v>
      </c>
      <c r="I108" s="58" t="n">
        <v>0</v>
      </c>
      <c r="J108" s="58" t="n">
        <v>0</v>
      </c>
      <c r="K108" s="58" t="n">
        <v>0</v>
      </c>
      <c r="L108" s="58" t="n">
        <v>0</v>
      </c>
    </row>
    <row r="109" customFormat="false" ht="15" hidden="true" customHeight="false" outlineLevel="1" collapsed="false">
      <c r="A109" s="9" t="s">
        <v>419</v>
      </c>
      <c r="B109" s="58" t="n">
        <f aca="false">0</f>
        <v>0</v>
      </c>
      <c r="C109" s="58" t="n">
        <f aca="false">B99*B94/C94</f>
        <v>142.014925295407</v>
      </c>
      <c r="D109" s="58" t="n">
        <f aca="false">C99*C94/D94</f>
        <v>119.721648486272</v>
      </c>
      <c r="E109" s="58" t="n">
        <f aca="false">D99*D94/E94</f>
        <v>0</v>
      </c>
      <c r="F109" s="58" t="n">
        <f aca="false">E99*E94/F94</f>
        <v>0</v>
      </c>
      <c r="G109" s="58" t="n">
        <f aca="false">F99*F94/G94</f>
        <v>0</v>
      </c>
      <c r="H109" s="58" t="n">
        <f aca="false">G99*G94/H94</f>
        <v>5.01768392412113</v>
      </c>
      <c r="I109" s="58" t="n">
        <f aca="false">H99*H94/I94</f>
        <v>8.47494190873221</v>
      </c>
      <c r="J109" s="58" t="n">
        <f aca="false">I99*I94/J94</f>
        <v>0</v>
      </c>
      <c r="K109" s="58" t="n">
        <f aca="false">J99*J94/K94</f>
        <v>0</v>
      </c>
      <c r="L109" s="58" t="n">
        <f aca="false">K99*K94/L94</f>
        <v>0</v>
      </c>
    </row>
    <row r="110" customFormat="false" ht="15" hidden="true" customHeight="false" outlineLevel="1" collapsed="false">
      <c r="A110" s="6" t="s">
        <v>295</v>
      </c>
      <c r="B110" s="29" t="n">
        <f aca="false">$C$17*(B102-B103-B104-0.5*B105-B106)-B107-B108-B109</f>
        <v>-24.4887123309474</v>
      </c>
      <c r="C110" s="29" t="n">
        <f aca="false">$C$17*(C102-C103-C104-0.5*C105-C106)-C107-C108-C109</f>
        <v>-151.50469921652</v>
      </c>
      <c r="D110" s="29" t="n">
        <f aca="false">$C$17*(D102-D103-D104-0.5*D105-D106)-D107-D108-D109</f>
        <v>-78.6803330803109</v>
      </c>
      <c r="E110" s="29" t="n">
        <f aca="false">$C$17*(E102-E103-E104-0.5*E105-E106)-E107-E108-E109</f>
        <v>60.0051908344175</v>
      </c>
      <c r="F110" s="29" t="n">
        <f aca="false">$C$17*(F102-F103-F104-0.5*F105-F106)-F107-F108-F109</f>
        <v>61.9209111846804</v>
      </c>
      <c r="G110" s="29" t="n">
        <f aca="false">$C$17*(G102-G103-G104-0.5*G105-G106)-G107-G108-G109</f>
        <v>63.7435991386938</v>
      </c>
      <c r="H110" s="29" t="n">
        <f aca="false">$C$17*(H102-H103-H104-0.5*H105-H106)-H107-H108-H109</f>
        <v>62.9447976091376</v>
      </c>
      <c r="I110" s="29" t="n">
        <f aca="false">$C$17*(I102-I103-I104-0.5*I105-I106)-I107-I108-I109</f>
        <v>58.0226552914691</v>
      </c>
      <c r="J110" s="29" t="n">
        <f aca="false">$C$17*(J102-J103-J104-0.5*J105-J106)-J107-J108-J109</f>
        <v>68.1778265236527</v>
      </c>
      <c r="K110" s="29" t="n">
        <f aca="false">$C$17*(K102-K103-K104-0.5*K105-K106)-K107-K108-K109</f>
        <v>69.7970304085763</v>
      </c>
      <c r="L110" s="29" t="n">
        <f aca="false">$C$17*(L102-L103-L104-0.5*L105-L106)-L107-L108-L109</f>
        <v>71.3575739810543</v>
      </c>
    </row>
    <row r="111" customFormat="false" ht="15" hidden="true" customHeight="false" outlineLevel="1" collapsed="false">
      <c r="A111" s="9" t="s">
        <v>420</v>
      </c>
      <c r="B111" s="58" t="n">
        <f aca="false">(IF(B$47&gt;=1,Quesería!$G$124*IF(B$47=1,Quesería!$B$20,1),Quesería!$G$124*Quesería!$B$20*Quesería!$B$21/12*$C$23)+IF(B$47&gt;=2,(Quesería!$G$125-(1-$C$24)*Quesería!$G$117-(-$C$26*$C$27)*'Beneficios y costos'!$D$167)*$C$21*IF(B$47=2,Quesería!$B$20,1),0))*$C$10</f>
        <v>77.4042870161869</v>
      </c>
      <c r="C111" s="58" t="n">
        <f aca="false">(IF(C$47&gt;=1,Quesería!$G$124*IF(C$47=1,Quesería!$B$20,1),Quesería!$G$124*Quesería!$B$20*Quesería!$B$21/12*$C$23)+IF(C$47&gt;=2,(Quesería!$G$125-(1-$C$24)*Quesería!$G$117-(-$C$26*$C$27)*'Beneficios y costos'!$D$167)*$C$21*IF(C$47=2,Quesería!$B$20,1),0))*$C$10</f>
        <v>116.10643052428</v>
      </c>
      <c r="D111" s="58" t="n">
        <f aca="false">(IF(D$47&gt;=1,Quesería!$G$124*IF(D$47=1,Quesería!$B$20,1),Quesería!$G$124*Quesería!$B$20*Quesería!$B$21/12*$C$23)+IF(D$47&gt;=2,(Quesería!$G$125-(1-$C$24)*Quesería!$G$117-(-$C$26*$C$27)*'Beneficios y costos'!$D$167)*$C$21*IF(D$47=2,Quesería!$B$20,1),0))*$C$10</f>
        <v>2023.78917421887</v>
      </c>
      <c r="E111" s="58" t="n">
        <f aca="false">(IF(E$47&gt;=1,Quesería!$G$124*IF(E$47=1,Quesería!$B$20,1),Quesería!$G$124*Quesería!$B$20*Quesería!$B$21/12*$C$23)+IF(E$47&gt;=2,(Quesería!$G$125-(1-$C$24)*Quesería!$G$117-(-$C$26*$C$27)*'Beneficios y costos'!$D$167)*$C$21*IF(E$47=2,Quesería!$B$20,1),0))*$C$10</f>
        <v>2646.78270761437</v>
      </c>
      <c r="F111" s="58" t="n">
        <f aca="false">(IF(F$47&gt;=1,Quesería!$G$124*IF(F$47=1,Quesería!$B$20,1),Quesería!$G$124*Quesería!$B$20*Quesería!$B$21/12*$C$23)+IF(F$47&gt;=2,(Quesería!$G$125-(1-$C$24)*Quesería!$G$117-(-$C$26*$C$27)*'Beneficios y costos'!$D$167)*$C$21*IF(F$47=2,Quesería!$B$20,1),0))*$C$10</f>
        <v>2646.78270761437</v>
      </c>
      <c r="G111" s="58" t="n">
        <f aca="false">(IF(G$47&gt;=1,Quesería!$G$124*IF(G$47=1,Quesería!$B$20,1),Quesería!$G$124*Quesería!$B$20*Quesería!$B$21/12*$C$23)+IF(G$47&gt;=2,(Quesería!$G$125-(1-$C$24)*Quesería!$G$117-(-$C$26*$C$27)*'Beneficios y costos'!$D$167)*$C$21*IF(G$47=2,Quesería!$B$20,1),0))*$C$10</f>
        <v>2646.78270761437</v>
      </c>
      <c r="H111" s="58" t="n">
        <f aca="false">(IF(H$47&gt;=1,Quesería!$G$124*IF(H$47=1,Quesería!$B$20,1),Quesería!$G$124*Quesería!$B$20*Quesería!$B$21/12*$C$23)+IF(H$47&gt;=2,(Quesería!$G$125-(1-$C$24)*Quesería!$G$117-(-$C$26*$C$27)*'Beneficios y costos'!$D$167)*$C$21*IF(H$47=2,Quesería!$B$20,1),0))*$C$10</f>
        <v>2646.78270761437</v>
      </c>
      <c r="I111" s="58" t="n">
        <f aca="false">(IF(I$47&gt;=1,Quesería!$G$124*IF(I$47=1,Quesería!$B$20,1),Quesería!$G$124*Quesería!$B$20*Quesería!$B$21/12*$C$23)+IF(I$47&gt;=2,(Quesería!$G$125-(1-$C$24)*Quesería!$G$117-(-$C$26*$C$27)*'Beneficios y costos'!$D$167)*$C$21*IF(I$47=2,Quesería!$B$20,1),0))*$C$10</f>
        <v>2646.78270761437</v>
      </c>
      <c r="J111" s="58" t="n">
        <f aca="false">(IF(J$47&gt;=1,Quesería!$G$124*IF(J$47=1,Quesería!$B$20,1),Quesería!$G$124*Quesería!$B$20*Quesería!$B$21/12*$C$23)+IF(J$47&gt;=2,(Quesería!$G$125-(1-$C$24)*Quesería!$G$117-(-$C$26*$C$27)*'Beneficios y costos'!$D$167)*$C$21*IF(J$47=2,Quesería!$B$20,1),0))*$C$10</f>
        <v>2646.78270761437</v>
      </c>
      <c r="K111" s="58" t="n">
        <f aca="false">(IF(K$47&gt;=1,Quesería!$G$124*IF(K$47=1,Quesería!$B$20,1),Quesería!$G$124*Quesería!$B$20*Quesería!$B$21/12*$C$23)+IF(K$47&gt;=2,(Quesería!$G$125-(1-$C$24)*Quesería!$G$117-(-$C$26*$C$27)*'Beneficios y costos'!$D$167)*$C$21*IF(K$47=2,Quesería!$B$20,1),0))*$C$10</f>
        <v>2646.78270761437</v>
      </c>
      <c r="L111" s="58" t="n">
        <f aca="false">(IF(L$47&gt;=1,Quesería!$G$124*IF(L$47=1,Quesería!$B$20,1),Quesería!$G$124*Quesería!$B$20*Quesería!$B$21/12*$C$23)+IF(L$47&gt;=2,(Quesería!$G$125-(1-$C$24)*Quesería!$G$117-(-$C$26*$C$27)*'Beneficios y costos'!$D$167)*$C$21*IF(L$47=2,Quesería!$B$20,1),0))*$C$10</f>
        <v>2646.78270761437</v>
      </c>
    </row>
    <row r="112" customFormat="false" ht="15" hidden="true" customHeight="false" outlineLevel="1" collapsed="false">
      <c r="A112" s="6" t="s">
        <v>421</v>
      </c>
      <c r="B112" s="29" t="n">
        <f aca="false">(B111*(Quesería!$B$38+Quesería!$B$40*Quesería!$B$39)/365-B103*Quesería!$B$42/365+IF(B$47&gt;=2,($C$25*'Beneficios y costos'!$B$147+(1-$C$25)*'Beneficios y costos'!$B$148)*$C$24*$C$21*$C$10*IF(B$47=2,Quesería!$B$20,1),0))</f>
        <v>7.23146900616979</v>
      </c>
      <c r="C112" s="29" t="n">
        <f aca="false">(C111*(Quesería!$B$38+Quesería!$B$40*Quesería!$B$39)/365-C103*Quesería!$B$42/365+IF(C$47&gt;=2,($C$25*'Beneficios y costos'!$B$147+(1-$C$25)*'Beneficios y costos'!$B$148)*$C$24*$C$21*$C$10*IF(C$47=2,Quesería!$B$20,1),0))-(B111*(Quesería!$B$38+Quesería!$B$40*Quesería!$B$39)/365-B103*Quesería!$B$42/365+IF(B$47&gt;=2,($C$25*'Beneficios y costos'!$B$147+(1-$C$25)*'Beneficios y costos'!$B$148)*$C$24*$C$21*$C$10*IF(B$47=2,Quesería!$B$20,1),0))*B94/C94</f>
        <v>1.42287846600884</v>
      </c>
      <c r="D112" s="29" t="n">
        <f aca="false">(D111*(Quesería!$B$38+Quesería!$B$40*Quesería!$B$39)/365-D103*Quesería!$B$42/365+IF(D$47&gt;=2,($C$25*'Beneficios y costos'!$B$147+(1-$C$25)*'Beneficios y costos'!$B$148)*$C$24*$C$21*$C$10*IF(D$47=2,Quesería!$B$20,1),0))-(C111*(Quesería!$B$38+Quesería!$B$40*Quesería!$B$39)/365-C103*Quesería!$B$42/365+IF(C$47&gt;=2,($C$25*'Beneficios y costos'!$B$147+(1-$C$25)*'Beneficios y costos'!$B$148)*$C$24*$C$21*$C$10*IF(C$47=2,Quesería!$B$20,1),0))*C94/D94</f>
        <v>121.067969072345</v>
      </c>
      <c r="E112" s="29" t="n">
        <f aca="false">(E111*(Quesería!$B$38+Quesería!$B$40*Quesería!$B$39)/365-E103*Quesería!$B$42/365+IF(E$47&gt;=2,($C$25*'Beneficios y costos'!$B$147+(1-$C$25)*'Beneficios y costos'!$B$148)*$C$24*$C$21*$C$10*IF(E$47=2,Quesería!$B$20,1),0))-(D111*(Quesería!$B$38+Quesería!$B$40*Quesería!$B$39)/365-D103*Quesería!$B$42/365+IF(D$47&gt;=2,($C$25*'Beneficios y costos'!$B$147+(1-$C$25)*'Beneficios y costos'!$B$148)*$C$24*$C$21*$C$10*IF(D$47=2,Quesería!$B$20,1),0))*D94/E94</f>
        <v>44.6849531551876</v>
      </c>
      <c r="F112" s="29" t="n">
        <f aca="false">(F111*(Quesería!$B$38+Quesería!$B$40*Quesería!$B$39)/365-F103*Quesería!$B$42/365+IF(F$47&gt;=2,($C$25*'Beneficios y costos'!$B$147+(1-$C$25)*'Beneficios y costos'!$B$148)*$C$24*$C$21*$C$10*IF(F$47=2,Quesería!$B$20,1),0))-(E111*(Quesería!$B$38+Quesería!$B$40*Quesería!$B$39)/365-E103*Quesería!$B$42/365+IF(E$47&gt;=2,($C$25*'Beneficios y costos'!$B$147+(1-$C$25)*'Beneficios y costos'!$B$148)*$C$24*$C$21*$C$10*IF(E$47=2,Quesería!$B$20,1),0))*E94/F94</f>
        <v>6.49010597714096</v>
      </c>
      <c r="G112" s="29" t="n">
        <f aca="false">(G111*(Quesería!$B$38+Quesería!$B$40*Quesería!$B$39)/365-G103*Quesería!$B$42/365+IF(G$47&gt;=2,($C$25*'Beneficios y costos'!$B$147+(1-$C$25)*'Beneficios y costos'!$B$148)*$C$24*$C$21*$C$10*IF(G$47=2,Quesería!$B$20,1),0))-(F111*(Quesería!$B$38+Quesería!$B$40*Quesería!$B$39)/365-F103*Quesería!$B$42/365+IF(F$47&gt;=2,($C$25*'Beneficios y costos'!$B$147+(1-$C$25)*'Beneficios y costos'!$B$148)*$C$24*$C$21*$C$10*IF(F$47=2,Quesería!$B$20,1),0))*F94/G94</f>
        <v>6.49010597714096</v>
      </c>
      <c r="H112" s="29" t="n">
        <f aca="false">(H111*(Quesería!$B$38+Quesería!$B$40*Quesería!$B$39)/365-H103*Quesería!$B$42/365+IF(H$47&gt;=2,($C$25*'Beneficios y costos'!$B$147+(1-$C$25)*'Beneficios y costos'!$B$148)*$C$24*$C$21*$C$10*IF(H$47=2,Quesería!$B$20,1),0))-(G111*(Quesería!$B$38+Quesería!$B$40*Quesería!$B$39)/365-G103*Quesería!$B$42/365+IF(G$47&gt;=2,($C$25*'Beneficios y costos'!$B$147+(1-$C$25)*'Beneficios y costos'!$B$148)*$C$24*$C$21*$C$10*IF(G$47=2,Quesería!$B$20,1),0))*G94/H94</f>
        <v>6.49010597714096</v>
      </c>
      <c r="I112" s="29" t="n">
        <f aca="false">(I111*(Quesería!$B$38+Quesería!$B$40*Quesería!$B$39)/365-I103*Quesería!$B$42/365+IF(I$47&gt;=2,($C$25*'Beneficios y costos'!$B$147+(1-$C$25)*'Beneficios y costos'!$B$148)*$C$24*$C$21*$C$10*IF(I$47=2,Quesería!$B$20,1),0))-(H111*(Quesería!$B$38+Quesería!$B$40*Quesería!$B$39)/365-H103*Quesería!$B$42/365+IF(H$47&gt;=2,($C$25*'Beneficios y costos'!$B$147+(1-$C$25)*'Beneficios y costos'!$B$148)*$C$24*$C$21*$C$10*IF(H$47=2,Quesería!$B$20,1),0))*H94/I94</f>
        <v>6.49010597714096</v>
      </c>
      <c r="J112" s="29" t="n">
        <f aca="false">(J111*(Quesería!$B$38+Quesería!$B$40*Quesería!$B$39)/365-J103*Quesería!$B$42/365+IF(J$47&gt;=2,($C$25*'Beneficios y costos'!$B$147+(1-$C$25)*'Beneficios y costos'!$B$148)*$C$24*$C$21*$C$10*IF(J$47=2,Quesería!$B$20,1),0))-(I111*(Quesería!$B$38+Quesería!$B$40*Quesería!$B$39)/365-I103*Quesería!$B$42/365+IF(I$47&gt;=2,($C$25*'Beneficios y costos'!$B$147+(1-$C$25)*'Beneficios y costos'!$B$148)*$C$24*$C$21*$C$10*IF(I$47=2,Quesería!$B$20,1),0))*I94/J94</f>
        <v>6.49010597714096</v>
      </c>
      <c r="K112" s="29" t="n">
        <f aca="false">(K111*(Quesería!$B$38+Quesería!$B$40*Quesería!$B$39)/365-K103*Quesería!$B$42/365+IF(K$47&gt;=2,($C$25*'Beneficios y costos'!$B$147+(1-$C$25)*'Beneficios y costos'!$B$148)*$C$24*$C$21*$C$10*IF(K$47=2,Quesería!$B$20,1),0))-(J111*(Quesería!$B$38+Quesería!$B$40*Quesería!$B$39)/365-J103*Quesería!$B$42/365+IF(J$47&gt;=2,($C$25*'Beneficios y costos'!$B$147+(1-$C$25)*'Beneficios y costos'!$B$148)*$C$24*$C$21*$C$10*IF(J$47=2,Quesería!$B$20,1),0))*J94/K94</f>
        <v>6.49010597714099</v>
      </c>
      <c r="L112" s="29" t="n">
        <f aca="false">-(K111*(Quesería!$B$38+Quesería!$B$40*Quesería!$B$39)/365-K103*Quesería!$B$42/365+IF(K$47&gt;=2,($C$25*'Beneficios y costos'!$B$147+(1-$C$25)*'Beneficios y costos'!$B$148)*$C$24*$C$21*$C$10*IF(K$47=2,Quesería!$B$20,1),0))*K94/L94</f>
        <v>-162.252649428524</v>
      </c>
    </row>
    <row r="113" customFormat="false" ht="15" hidden="true" customHeight="false" outlineLevel="1" collapsed="false">
      <c r="A113" s="6" t="s">
        <v>422</v>
      </c>
      <c r="B113" s="29" t="n">
        <v>0</v>
      </c>
      <c r="C113" s="29" t="n">
        <v>0</v>
      </c>
      <c r="D113" s="29" t="n">
        <v>0</v>
      </c>
      <c r="E113" s="29" t="n">
        <v>0</v>
      </c>
      <c r="F113" s="29" t="n">
        <v>0</v>
      </c>
      <c r="G113" s="29" t="n">
        <v>0</v>
      </c>
      <c r="H113" s="29" t="n">
        <v>0</v>
      </c>
      <c r="I113" s="29" t="n">
        <v>0</v>
      </c>
      <c r="J113" s="29" t="n">
        <v>0</v>
      </c>
      <c r="K113" s="29" t="n">
        <v>0</v>
      </c>
      <c r="L113" s="29" t="n">
        <f aca="false">$C$8*Quesería!$B$36*(Quesería!$F$94+(Quesería!$F$95-(-$C$26)*Quesería!$D$86)*$C$21)*$C$11*(1-$C$17)</f>
        <v>0</v>
      </c>
    </row>
    <row r="114" customFormat="false" ht="15" hidden="true" customHeight="false" outlineLevel="1" collapsed="false">
      <c r="A114" s="5" t="s">
        <v>147</v>
      </c>
      <c r="B114" s="59" t="n">
        <f aca="false">B102-B103-B104-B105-B110-B97-B98-B99-B112+B113</f>
        <v>-988.805333575311</v>
      </c>
      <c r="C114" s="59" t="n">
        <f aca="false">C102-C103-C104-C105-C110-C97-C98-C99-C112+C113</f>
        <v>-580.035060392348</v>
      </c>
      <c r="D114" s="59" t="n">
        <f aca="false">D102-D103-D104-D105-D110-D97-D98-D99-D112+D113</f>
        <v>216.452553179579</v>
      </c>
      <c r="E114" s="59" t="n">
        <f aca="false">E102-E103-E104-E105-E110-E97-E98-E99-E112+E113</f>
        <v>202.88130483017</v>
      </c>
      <c r="F114" s="59" t="n">
        <f aca="false">F102-F103-F104-F105-F110-F97-F98-F99-F112+F113</f>
        <v>239.392339934531</v>
      </c>
      <c r="G114" s="59" t="n">
        <f aca="false">G102-G103-G104-G105-G110-G97-G98-G99-G112+G113</f>
        <v>204.988376814318</v>
      </c>
      <c r="H114" s="59" t="n">
        <f aca="false">H102-H103-H104-H105-H110-H97-H98-H99-H112+H113</f>
        <v>183.411846807862</v>
      </c>
      <c r="I114" s="59" t="n">
        <f aca="false">I102-I103-I104-I105-I110-I97-I98-I99-I112+I113</f>
        <v>243.993301125586</v>
      </c>
      <c r="J114" s="59" t="n">
        <f aca="false">J102-J103-J104-J105-J110-J97-J98-J99-J112+J113</f>
        <v>234.074711237851</v>
      </c>
      <c r="K114" s="59" t="n">
        <f aca="false">K102-K103-K104-K105-K110-K97-K98-K99-K112+K113</f>
        <v>232.693271604099</v>
      </c>
      <c r="L114" s="59" t="n">
        <f aca="false">L102-L103-L104-L105-L110-L97-L98-L99-L112+L113</f>
        <v>400.114436509713</v>
      </c>
    </row>
    <row r="115" customFormat="false" ht="15" hidden="true" customHeight="false" outlineLevel="1" collapsed="false">
      <c r="A115" s="9" t="s">
        <v>423</v>
      </c>
      <c r="B115" s="58" t="n">
        <f aca="false">B114*B94</f>
        <v>-1048.13365358983</v>
      </c>
      <c r="C115" s="58" t="n">
        <f aca="false">C114*C94</f>
        <v>-645.579022216684</v>
      </c>
      <c r="D115" s="58" t="n">
        <f aca="false">D114*D94</f>
        <v>251.752717814871</v>
      </c>
      <c r="E115" s="58" t="n">
        <f aca="false">E114*E94</f>
        <v>245.406930525534</v>
      </c>
      <c r="F115" s="58" t="n">
        <f aca="false">F114*F94</f>
        <v>301.153824691682</v>
      </c>
      <c r="G115" s="58" t="n">
        <f aca="false">G114*G94</f>
        <v>268.188844556716</v>
      </c>
      <c r="H115" s="58" t="n">
        <f aca="false">H114*H94</f>
        <v>249.558401892655</v>
      </c>
      <c r="I115" s="58" t="n">
        <f aca="false">I114*I94</f>
        <v>345.267781419868</v>
      </c>
      <c r="J115" s="58" t="n">
        <f aca="false">J114*J94</f>
        <v>344.481566080991</v>
      </c>
      <c r="K115" s="58" t="n">
        <f aca="false">K114*K94</f>
        <v>356.146479397884</v>
      </c>
      <c r="L115" s="58" t="n">
        <f aca="false">L114*L94</f>
        <v>636.887009299154</v>
      </c>
    </row>
    <row r="116" customFormat="false" ht="15" hidden="true" customHeight="false" outlineLevel="1" collapsed="false">
      <c r="A116" s="6" t="s">
        <v>424</v>
      </c>
      <c r="B116" s="29" t="n">
        <f aca="false">B114</f>
        <v>-988.805333575311</v>
      </c>
      <c r="C116" s="29" t="n">
        <f aca="false">B116+C114</f>
        <v>-1568.84039396766</v>
      </c>
      <c r="D116" s="29" t="n">
        <f aca="false">C116+D114</f>
        <v>-1352.38784078808</v>
      </c>
      <c r="E116" s="29" t="n">
        <f aca="false">D116+E114</f>
        <v>-1149.50653595791</v>
      </c>
      <c r="F116" s="29" t="n">
        <f aca="false">E116+F114</f>
        <v>-910.114196023379</v>
      </c>
      <c r="G116" s="29" t="n">
        <f aca="false">F116+G114</f>
        <v>-705.125819209062</v>
      </c>
      <c r="H116" s="29" t="n">
        <f aca="false">G116+H114</f>
        <v>-521.7139724012</v>
      </c>
      <c r="I116" s="29" t="n">
        <f aca="false">H116+I114</f>
        <v>-277.720671275614</v>
      </c>
      <c r="J116" s="29" t="n">
        <f aca="false">I116+J114</f>
        <v>-43.6459600377627</v>
      </c>
      <c r="K116" s="29" t="n">
        <f aca="false">J116+K114</f>
        <v>189.047311566336</v>
      </c>
      <c r="L116" s="29" t="n">
        <f aca="false">K116+L114</f>
        <v>589.161748076049</v>
      </c>
    </row>
    <row r="117" customFormat="false" ht="15" hidden="true" customHeight="false" outlineLevel="1" collapsed="false">
      <c r="A117" s="9" t="s">
        <v>425</v>
      </c>
      <c r="B117" s="60" t="n">
        <v>0</v>
      </c>
      <c r="C117" s="60" t="n">
        <f aca="false">IF(AND(B116&lt;0,C116&gt;=0),B$47+(-B116)/C114,0)</f>
        <v>0</v>
      </c>
      <c r="D117" s="60" t="n">
        <f aca="false">IF(AND(C116&lt;0,D116&gt;=0),C$47+(-C116)/D114,0)</f>
        <v>0</v>
      </c>
      <c r="E117" s="60" t="n">
        <f aca="false">IF(AND(D116&lt;0,E116&gt;=0),D$47+(-D116)/E114,0)</f>
        <v>0</v>
      </c>
      <c r="F117" s="60" t="n">
        <f aca="false">IF(AND(E116&lt;0,F116&gt;=0),E$47+(-E116)/F114,0)</f>
        <v>0</v>
      </c>
      <c r="G117" s="60" t="n">
        <f aca="false">IF(AND(F116&lt;0,G116&gt;=0),F$47+(-F116)/G114,0)</f>
        <v>0</v>
      </c>
      <c r="H117" s="60" t="n">
        <f aca="false">IF(AND(G116&lt;0,H116&gt;=0),G$47+(-G116)/H114,0)</f>
        <v>0</v>
      </c>
      <c r="I117" s="60" t="n">
        <f aca="false">IF(AND(H116&lt;0,I116&gt;=0),H$47+(-H116)/I114,0)</f>
        <v>0</v>
      </c>
      <c r="J117" s="60" t="n">
        <f aca="false">IF(AND(I116&lt;0,J116&gt;=0),I$47+(-I116)/J114,0)</f>
        <v>0</v>
      </c>
      <c r="K117" s="60" t="n">
        <f aca="false">IF(AND(J116&lt;0,K116&gt;=0),J$47+(-J116)/K114,0)</f>
        <v>8.18756863804821</v>
      </c>
      <c r="L117" s="60" t="n">
        <f aca="false">IF(AND(K116&lt;0,L116&gt;=0),K$47+(-K116)/L114,0)</f>
        <v>0</v>
      </c>
    </row>
    <row r="118" customFormat="false" ht="15" hidden="true" customHeight="false" outlineLevel="1" collapsed="false">
      <c r="A118" s="9" t="s">
        <v>426</v>
      </c>
      <c r="B118" s="57" t="n">
        <f aca="false">(B94/$B$94)/(1+$C$29)^B$47</f>
        <v>1</v>
      </c>
      <c r="C118" s="57" t="n">
        <f aca="false">(C94/$B$94)/(1+$C$29)^C$47</f>
        <v>0.907458487517462</v>
      </c>
      <c r="D118" s="57" t="n">
        <f aca="false">(D94/$B$94)/(1+$C$29)^D$47</f>
        <v>0.819559568917159</v>
      </c>
      <c r="E118" s="57" t="n">
        <f aca="false">(E94/$B$94)/(1+$C$29)^E$47</f>
        <v>0.73663327458441</v>
      </c>
      <c r="F118" s="57" t="n">
        <f aca="false">(F94/$B$94)/(1+$C$29)^F$47</f>
        <v>0.6620977922836</v>
      </c>
      <c r="G118" s="57" t="n">
        <f aca="false">(G94/$B$94)/(1+$C$29)^G$47</f>
        <v>0.595104106306</v>
      </c>
      <c r="H118" s="57" t="n">
        <f aca="false">(H94/$B$94)/(1+$C$29)^H$47</f>
        <v>0.534889107726503</v>
      </c>
      <c r="I118" s="57" t="n">
        <f aca="false">(I94/$B$94)/(1+$C$29)^I$47</f>
        <v>0.480766902013848</v>
      </c>
      <c r="J118" s="57" t="n">
        <f aca="false">(J94/$B$94)/(1+$C$29)^J$47</f>
        <v>0.432120996171371</v>
      </c>
      <c r="K118" s="57" t="n">
        <f aca="false">(K94/$B$94)/(1+$C$29)^K$47</f>
        <v>0.388397276413924</v>
      </c>
      <c r="L118" s="57" t="n">
        <f aca="false">(L94/$B$94)/(1+$C$29)^L$47</f>
        <v>0.349097696391334</v>
      </c>
    </row>
    <row r="119" customFormat="false" ht="15" hidden="true" customHeight="false" outlineLevel="1" collapsed="false">
      <c r="A119" s="9" t="s">
        <v>427</v>
      </c>
      <c r="B119" s="58" t="n">
        <f aca="false">B114*B118</f>
        <v>-988.805333575311</v>
      </c>
      <c r="C119" s="58" t="n">
        <f aca="false">C114*C118</f>
        <v>-526.35773861074</v>
      </c>
      <c r="D119" s="58" t="n">
        <f aca="false">D114*D118</f>
        <v>177.395761174875</v>
      </c>
      <c r="E119" s="58" t="n">
        <f aca="false">E114*E118</f>
        <v>149.449119929006</v>
      </c>
      <c r="F119" s="58" t="n">
        <f aca="false">F114*F118</f>
        <v>158.501139760258</v>
      </c>
      <c r="G119" s="58" t="n">
        <f aca="false">G114*G118</f>
        <v>121.989424787202</v>
      </c>
      <c r="H119" s="58" t="n">
        <f aca="false">H114*H118</f>
        <v>98.1049990855273</v>
      </c>
      <c r="I119" s="58" t="n">
        <f aca="false">I114*I118</f>
        <v>117.30390349428</v>
      </c>
      <c r="J119" s="58" t="n">
        <f aca="false">J114*J118</f>
        <v>101.148597398626</v>
      </c>
      <c r="K119" s="58" t="n">
        <f aca="false">K114*K118</f>
        <v>90.3774329308776</v>
      </c>
      <c r="L119" s="58" t="n">
        <f aca="false">L114*L118</f>
        <v>139.679028078457</v>
      </c>
    </row>
    <row r="120" customFormat="false" ht="15" hidden="true" customHeight="false" outlineLevel="1" collapsed="false">
      <c r="A120" s="9" t="s">
        <v>428</v>
      </c>
      <c r="B120" s="58" t="n">
        <f aca="false">B119</f>
        <v>-988.805333575311</v>
      </c>
      <c r="C120" s="58" t="n">
        <f aca="false">B120+C119</f>
        <v>-1515.16307218605</v>
      </c>
      <c r="D120" s="58" t="n">
        <f aca="false">C120+D119</f>
        <v>-1337.76731101118</v>
      </c>
      <c r="E120" s="58" t="n">
        <f aca="false">D120+E119</f>
        <v>-1188.31819108217</v>
      </c>
      <c r="F120" s="58" t="n">
        <f aca="false">E120+F119</f>
        <v>-1029.81705132191</v>
      </c>
      <c r="G120" s="58" t="n">
        <f aca="false">F120+G119</f>
        <v>-907.827626534711</v>
      </c>
      <c r="H120" s="58" t="n">
        <f aca="false">G120+H119</f>
        <v>-809.722627449184</v>
      </c>
      <c r="I120" s="58" t="n">
        <f aca="false">H120+I119</f>
        <v>-692.418723954904</v>
      </c>
      <c r="J120" s="58" t="n">
        <f aca="false">I120+J119</f>
        <v>-591.270126556278</v>
      </c>
      <c r="K120" s="58" t="n">
        <f aca="false">J120+K119</f>
        <v>-500.8926936254</v>
      </c>
      <c r="L120" s="58" t="n">
        <f aca="false">K120+L119</f>
        <v>-361.213665546943</v>
      </c>
    </row>
    <row r="121" customFormat="false" ht="15" hidden="true" customHeight="false" outlineLevel="1" collapsed="false">
      <c r="A121" s="9" t="s">
        <v>429</v>
      </c>
      <c r="B121" s="60" t="n">
        <v>0</v>
      </c>
      <c r="C121" s="60" t="n">
        <f aca="false">IF(AND(B120&lt;0,C120&gt;=0),B$47+(-B120)/C119,0)</f>
        <v>0</v>
      </c>
      <c r="D121" s="60" t="n">
        <f aca="false">IF(AND(C120&lt;0,D120&gt;=0),C$47+(-C120)/D119,0)</f>
        <v>0</v>
      </c>
      <c r="E121" s="60" t="n">
        <f aca="false">IF(AND(D120&lt;0,E120&gt;=0),D$47+(-D120)/E119,0)</f>
        <v>0</v>
      </c>
      <c r="F121" s="60" t="n">
        <f aca="false">IF(AND(E120&lt;0,F120&gt;=0),E$47+(-E120)/F119,0)</f>
        <v>0</v>
      </c>
      <c r="G121" s="60" t="n">
        <f aca="false">IF(AND(F120&lt;0,G120&gt;=0),F$47+(-F120)/G119,0)</f>
        <v>0</v>
      </c>
      <c r="H121" s="60" t="n">
        <f aca="false">IF(AND(G120&lt;0,H120&gt;=0),G$47+(-G120)/H119,0)</f>
        <v>0</v>
      </c>
      <c r="I121" s="60" t="n">
        <f aca="false">IF(AND(H120&lt;0,I120&gt;=0),H$47+(-H120)/I119,0)</f>
        <v>0</v>
      </c>
      <c r="J121" s="60" t="n">
        <f aca="false">IF(AND(I120&lt;0,J120&gt;=0),I$47+(-I120)/J119,0)</f>
        <v>0</v>
      </c>
      <c r="K121" s="60" t="n">
        <f aca="false">IF(AND(J120&lt;0,K120&gt;=0),J$47+(-J120)/K119,0)</f>
        <v>0</v>
      </c>
      <c r="L121" s="60" t="n">
        <f aca="false">IF(AND(K120&lt;0,L120&gt;=0),K$47+(-K120)/L119,0)</f>
        <v>0</v>
      </c>
    </row>
    <row r="122" customFormat="false" ht="15" hidden="true" customHeight="false" outlineLevel="1" collapsed="false">
      <c r="A122" s="9" t="s">
        <v>430</v>
      </c>
      <c r="B122" s="58" t="n">
        <f aca="false">IF(B$47&lt;0,0,(Quesería!$B$44*$B$97*$B$94)*(1-MAX(0,MIN(B$47-0-Quesería!$B$47,(Quesería!$B$46-Quesería!$B$47)))/(Quesería!$B$46-Quesería!$B$47))*IF(B$47&gt;=2,1-Quesería!$B$48,1))+IF(B$47&lt;1,0,(Quesería!$B$44*$C$97*$C$94)*(1-MAX(0,MIN(B$47-1-Quesería!$B$47,(Quesería!$B$46-Quesería!$B$47)))/(Quesería!$B$46-Quesería!$B$47))*IF(B$47&gt;=2,1-Quesería!$B$48,1))</f>
        <v>641.321364968425</v>
      </c>
      <c r="C122" s="58" t="n">
        <f aca="false">IF(C$47&lt;0,0,(Quesería!$B$44*$B$97*$B$94)*(1-MAX(0,MIN(C$47-0-Quesería!$B$47,(Quesería!$B$46-Quesería!$B$47)))/(Quesería!$B$46-Quesería!$B$47))*IF(C$47&gt;=2,1-Quesería!$B$48,1))+IF(C$47&lt;1,0,(Quesería!$B$44*$C$97*$C$94)*(1-MAX(0,MIN(C$47-1-Quesería!$B$47,(Quesería!$B$46-Quesería!$B$47)))/(Quesería!$B$46-Quesería!$B$47))*IF(C$47&gt;=2,1-Quesería!$B$48,1))</f>
        <v>1117.69081125409</v>
      </c>
      <c r="D122" s="58" t="n">
        <f aca="false">IF(D$47&lt;0,0,(Quesería!$B$44*$B$97*$B$94)*(1-MAX(0,MIN(D$47-0-Quesería!$B$47,(Quesería!$B$46-Quesería!$B$47)))/(Quesería!$B$46-Quesería!$B$47))*IF(D$47&gt;=2,1-Quesería!$B$48,1))+IF(D$47&lt;1,0,(Quesería!$B$44*$C$97*$C$94)*(1-MAX(0,MIN(D$47-1-Quesería!$B$47,(Quesería!$B$46-Quesería!$B$47)))/(Quesería!$B$46-Quesería!$B$47))*IF(D$47&gt;=2,1-Quesería!$B$48,1))</f>
        <v>1010.80391709269</v>
      </c>
      <c r="E122" s="58" t="n">
        <f aca="false">IF(E$47&lt;0,0,(Quesería!$B$44*$B$97*$B$94)*(1-MAX(0,MIN(E$47-0-Quesería!$B$47,(Quesería!$B$46-Quesería!$B$47)))/(Quesería!$B$46-Quesería!$B$47))*IF(E$47&gt;=2,1-Quesería!$B$48,1))+IF(E$47&lt;1,0,(Quesería!$B$44*$C$97*$C$94)*(1-MAX(0,MIN(E$47-1-Quesería!$B$47,(Quesería!$B$46-Quesería!$B$47)))/(Quesería!$B$46-Quesería!$B$47))*IF(E$47&gt;=2,1-Quesería!$B$48,1))</f>
        <v>824.522115217005</v>
      </c>
      <c r="F122" s="58" t="n">
        <f aca="false">IF(F$47&lt;0,0,(Quesería!$B$44*$B$97*$B$94)*(1-MAX(0,MIN(F$47-0-Quesería!$B$47,(Quesería!$B$46-Quesería!$B$47)))/(Quesería!$B$46-Quesería!$B$47))*IF(F$47&gt;=2,1-Quesería!$B$48,1))+IF(F$47&lt;1,0,(Quesería!$B$44*$C$97*$C$94)*(1-MAX(0,MIN(F$47-1-Quesería!$B$47,(Quesería!$B$46-Quesería!$B$47)))/(Quesería!$B$46-Quesería!$B$47))*IF(F$47&gt;=2,1-Quesería!$B$48,1))</f>
        <v>638.240313341323</v>
      </c>
      <c r="G122" s="58" t="n">
        <f aca="false">IF(G$47&lt;0,0,(Quesería!$B$44*$B$97*$B$94)*(1-MAX(0,MIN(G$47-0-Quesería!$B$47,(Quesería!$B$46-Quesería!$B$47)))/(Quesería!$B$46-Quesería!$B$47))*IF(G$47&gt;=2,1-Quesería!$B$48,1))+IF(G$47&lt;1,0,(Quesería!$B$44*$C$97*$C$94)*(1-MAX(0,MIN(G$47-1-Quesería!$B$47,(Quesería!$B$46-Quesería!$B$47)))/(Quesería!$B$46-Quesería!$B$47))*IF(G$47&gt;=2,1-Quesería!$B$48,1))</f>
        <v>451.958511465641</v>
      </c>
      <c r="H122" s="58" t="n">
        <f aca="false">IF(H$47&lt;0,0,(Quesería!$B$44*$B$97*$B$94)*(1-MAX(0,MIN(H$47-0-Quesería!$B$47,(Quesería!$B$46-Quesería!$B$47)))/(Quesería!$B$46-Quesería!$B$47))*IF(H$47&gt;=2,1-Quesería!$B$48,1))+IF(H$47&lt;1,0,(Quesería!$B$44*$C$97*$C$94)*(1-MAX(0,MIN(H$47-1-Quesería!$B$47,(Quesería!$B$46-Quesería!$B$47)))/(Quesería!$B$46-Quesería!$B$47))*IF(H$47&gt;=2,1-Quesería!$B$48,1))</f>
        <v>265.67670958996</v>
      </c>
      <c r="I122" s="58" t="n">
        <f aca="false">IF(I$47&lt;0,0,(Quesería!$B$44*$B$97*$B$94)*(1-MAX(0,MIN(I$47-0-Quesería!$B$47,(Quesería!$B$46-Quesería!$B$47)))/(Quesería!$B$46-Quesería!$B$47))*IF(I$47&gt;=2,1-Quesería!$B$48,1))+IF(I$47&lt;1,0,(Quesería!$B$44*$C$97*$C$94)*(1-MAX(0,MIN(I$47-1-Quesería!$B$47,(Quesería!$B$46-Quesería!$B$47)))/(Quesería!$B$46-Quesería!$B$47))*IF(I$47&gt;=2,1-Quesería!$B$48,1))</f>
        <v>79.3949077142776</v>
      </c>
      <c r="J122" s="58" t="n">
        <f aca="false">IF(J$47&lt;0,0,(Quesería!$B$44*$B$97*$B$94)*(1-MAX(0,MIN(J$47-0-Quesería!$B$47,(Quesería!$B$46-Quesería!$B$47)))/(Quesería!$B$46-Quesería!$B$47))*IF(J$47&gt;=2,1-Quesería!$B$48,1))+IF(J$47&lt;1,0,(Quesería!$B$44*$C$97*$C$94)*(1-MAX(0,MIN(J$47-1-Quesería!$B$47,(Quesería!$B$46-Quesería!$B$47)))/(Quesería!$B$46-Quesería!$B$47))*IF(J$47&gt;=2,1-Quesería!$B$48,1))</f>
        <v>0</v>
      </c>
      <c r="K122" s="58" t="n">
        <f aca="false">IF(K$47&lt;0,0,(Quesería!$B$44*$B$97*$B$94)*(1-MAX(0,MIN(K$47-0-Quesería!$B$47,(Quesería!$B$46-Quesería!$B$47)))/(Quesería!$B$46-Quesería!$B$47))*IF(K$47&gt;=2,1-Quesería!$B$48,1))+IF(K$47&lt;1,0,(Quesería!$B$44*$C$97*$C$94)*(1-MAX(0,MIN(K$47-1-Quesería!$B$47,(Quesería!$B$46-Quesería!$B$47)))/(Quesería!$B$46-Quesería!$B$47))*IF(K$47&gt;=2,1-Quesería!$B$48,1))</f>
        <v>0</v>
      </c>
      <c r="L122" s="58" t="n">
        <f aca="false">IF(L$47&lt;0,0,(Quesería!$B$44*$B$97*$B$94)*(1-MAX(0,MIN(L$47-0-Quesería!$B$47,(Quesería!$B$46-Quesería!$B$47)))/(Quesería!$B$46-Quesería!$B$47))*IF(L$47&gt;=2,1-Quesería!$B$48,1))+IF(L$47&lt;1,0,(Quesería!$B$44*$C$97*$C$94)*(1-MAX(0,MIN(L$47-1-Quesería!$B$47,(Quesería!$B$46-Quesería!$B$47)))/(Quesería!$B$46-Quesería!$B$47))*IF(L$47&gt;=2,1-Quesería!$B$48,1))</f>
        <v>0</v>
      </c>
    </row>
    <row r="123" customFormat="false" ht="15" hidden="true" customHeight="false" outlineLevel="1" collapsed="false">
      <c r="A123" s="6" t="s">
        <v>431</v>
      </c>
      <c r="B123" s="29" t="n">
        <f aca="false">Quesería!$B$44*B97</f>
        <v>605.02015563059</v>
      </c>
      <c r="C123" s="29" t="n">
        <f aca="false">Quesería!$B$44*C97</f>
        <v>428.004893338424</v>
      </c>
      <c r="D123" s="29" t="n">
        <f aca="false">Quesería!$B$44*D97</f>
        <v>0</v>
      </c>
      <c r="E123" s="29" t="n">
        <f aca="false">Quesería!$B$44*E97</f>
        <v>0</v>
      </c>
      <c r="F123" s="29" t="n">
        <f aca="false">Quesería!$B$44*F97</f>
        <v>0</v>
      </c>
      <c r="G123" s="29" t="n">
        <f aca="false">Quesería!$B$44*G97</f>
        <v>0</v>
      </c>
      <c r="H123" s="29" t="n">
        <f aca="false">Quesería!$B$44*H97</f>
        <v>0</v>
      </c>
      <c r="I123" s="29" t="n">
        <f aca="false">Quesería!$B$44*I97</f>
        <v>0</v>
      </c>
      <c r="J123" s="29" t="n">
        <f aca="false">Quesería!$B$44*J97</f>
        <v>0</v>
      </c>
      <c r="K123" s="29" t="n">
        <f aca="false">Quesería!$B$44*K97</f>
        <v>0</v>
      </c>
      <c r="L123" s="29" t="n">
        <f aca="false">Quesería!$B$44*L97</f>
        <v>0</v>
      </c>
    </row>
    <row r="124" customFormat="false" ht="15" hidden="true" customHeight="false" outlineLevel="1" collapsed="false">
      <c r="A124" s="6" t="s">
        <v>432</v>
      </c>
      <c r="B124" s="29" t="n">
        <f aca="false">(IF(AND(B$47&gt;0,B$47&lt;=0+Quesería!$B$46),($C$14+$C$28)*(Quesería!$B$44*$B$97*$B$94)*(1-MAX(0,MIN((B$47-1)-0-Quesería!$B$47,(Quesería!$B$46-Quesería!$B$47)))/(Quesería!$B$46-Quesería!$B$47))*IF(B$47&gt;2,1-Quesería!$B$48,1),0)+IF(AND(B$47&gt;1,B$47&lt;=1+Quesería!$B$46),($C$14+$C$28)*(Quesería!$B$44*$C$97*$C$94)*(1-MAX(0,MIN((B$47-1)-1-Quesería!$B$47,(Quesería!$B$46-Quesería!$B$47)))/(Quesería!$B$46-Quesería!$B$47))*IF(B$47&gt;2,1-Quesería!$B$48,1),0))*B96</f>
        <v>0</v>
      </c>
      <c r="C124" s="29" t="n">
        <f aca="false">(IF(AND(C$47&gt;0,C$47&lt;=0+Quesería!$B$46),($C$14+$C$28)*(Quesería!$B$44*$B$97*$B$94)*(1-MAX(0,MIN((C$47-1)-0-Quesería!$B$47,(Quesería!$B$46-Quesería!$B$47)))/(Quesería!$B$46-Quesería!$B$47))*IF(C$47&gt;2,1-Quesería!$B$48,1),0)+IF(AND(C$47&gt;1,C$47&lt;=1+Quesería!$B$46),($C$14+$C$28)*(Quesería!$B$44*$C$97*$C$94)*(1-MAX(0,MIN((C$47-1)-1-Quesería!$B$47,(Quesería!$B$46-Quesería!$B$47)))/(Quesería!$B$46-Quesería!$B$47))*IF(C$47&gt;2,1-Quesería!$B$48,1),0))*C96</f>
        <v>81.2455637561078</v>
      </c>
      <c r="D124" s="29" t="n">
        <f aca="false">(IF(AND(D$47&gt;0,D$47&lt;=0+Quesería!$B$46),($C$14+$C$28)*(Quesería!$B$44*$B$97*$B$94)*(1-MAX(0,MIN((D$47-1)-0-Quesería!$B$47,(Quesería!$B$46-Quesería!$B$47)))/(Quesería!$B$46-Quesería!$B$47))*IF(D$47&gt;2,1-Quesería!$B$48,1),0)+IF(AND(D$47&gt;1,D$47&lt;=1+Quesería!$B$46),($C$14+$C$28)*(Quesería!$B$44*$C$97*$C$94)*(1-MAX(0,MIN((D$47-1)-1-Quesería!$B$47,(Quesería!$B$46-Quesería!$B$47)))/(Quesería!$B$46-Quesería!$B$47))*IF(D$47&gt;2,1-Quesería!$B$48,1),0))*D96</f>
        <v>135.496893508924</v>
      </c>
      <c r="E124" s="29" t="n">
        <f aca="false">(IF(AND(E$47&gt;0,E$47&lt;=0+Quesería!$B$46),($C$14+$C$28)*(Quesería!$B$44*$B$97*$B$94)*(1-MAX(0,MIN((E$47-1)-0-Quesería!$B$47,(Quesería!$B$46-Quesería!$B$47)))/(Quesería!$B$46-Quesería!$B$47))*IF(E$47&gt;2,1-Quesería!$B$48,1),0)+IF(AND(E$47&gt;1,E$47&lt;=1+Quesería!$B$46),($C$14+$C$28)*(Quesería!$B$44*$C$97*$C$94)*(1-MAX(0,MIN((E$47-1)-1-Quesería!$B$47,(Quesería!$B$46-Quesería!$B$47)))/(Quesería!$B$46-Quesería!$B$47))*IF(E$47&gt;2,1-Quesería!$B$48,1),0))*E96</f>
        <v>117.826027258135</v>
      </c>
      <c r="F124" s="29" t="n">
        <f aca="false">(IF(AND(F$47&gt;0,F$47&lt;=0+Quesería!$B$46),($C$14+$C$28)*(Quesería!$B$44*$B$97*$B$94)*(1-MAX(0,MIN((F$47-1)-0-Quesería!$B$47,(Quesería!$B$46-Quesería!$B$47)))/(Quesería!$B$46-Quesería!$B$47))*IF(F$47&gt;2,1-Quesería!$B$48,1),0)+IF(AND(F$47&gt;1,F$47&lt;=1+Quesería!$B$46),($C$14+$C$28)*(Quesería!$B$44*$C$97*$C$94)*(1-MAX(0,MIN((F$47-1)-1-Quesería!$B$47,(Quesería!$B$46-Quesería!$B$47)))/(Quesería!$B$46-Quesería!$B$47))*IF(F$47&gt;2,1-Quesería!$B$48,1),0))*F96</f>
        <v>92.4151745225957</v>
      </c>
      <c r="G124" s="29" t="n">
        <f aca="false">(IF(AND(G$47&gt;0,G$47&lt;=0+Quesería!$B$46),($C$14+$C$28)*(Quesería!$B$44*$B$97*$B$94)*(1-MAX(0,MIN((G$47-1)-0-Quesería!$B$47,(Quesería!$B$46-Quesería!$B$47)))/(Quesería!$B$46-Quesería!$B$47))*IF(G$47&gt;2,1-Quesería!$B$48,1),0)+IF(AND(G$47&gt;1,G$47&lt;=1+Quesería!$B$46),($C$14+$C$28)*(Quesería!$B$44*$C$97*$C$94)*(1-MAX(0,MIN((G$47-1)-1-Quesería!$B$47,(Quesería!$B$46-Quesería!$B$47)))/(Quesería!$B$46-Quesería!$B$47))*IF(G$47&gt;2,1-Quesería!$B$48,1),0))*G96</f>
        <v>68.7847039098228</v>
      </c>
      <c r="H124" s="29" t="n">
        <f aca="false">(IF(AND(H$47&gt;0,H$47&lt;=0+Quesería!$B$46),($C$14+$C$28)*(Quesería!$B$44*$B$97*$B$94)*(1-MAX(0,MIN((H$47-1)-0-Quesería!$B$47,(Quesería!$B$46-Quesería!$B$47)))/(Quesería!$B$46-Quesería!$B$47))*IF(H$47&gt;2,1-Quesería!$B$48,1),0)+IF(AND(H$47&gt;1,H$47&lt;=1+Quesería!$B$46),($C$14+$C$28)*(Quesería!$B$44*$C$97*$C$94)*(1-MAX(0,MIN((H$47-1)-1-Quesería!$B$47,(Quesería!$B$46-Quesería!$B$47)))/(Quesería!$B$46-Quesería!$B$47))*IF(H$47&gt;2,1-Quesería!$B$48,1),0))*H96</f>
        <v>46.8352529676735</v>
      </c>
      <c r="I124" s="29" t="n">
        <f aca="false">(IF(AND(I$47&gt;0,I$47&lt;=0+Quesería!$B$46),($C$14+$C$28)*(Quesería!$B$44*$B$97*$B$94)*(1-MAX(0,MIN((I$47-1)-0-Quesería!$B$47,(Quesería!$B$46-Quesería!$B$47)))/(Quesería!$B$46-Quesería!$B$47))*IF(I$47&gt;2,1-Quesería!$B$48,1),0)+IF(AND(I$47&gt;1,I$47&lt;=1+Quesería!$B$46),($C$14+$C$28)*(Quesería!$B$44*$C$97*$C$94)*(1-MAX(0,MIN((I$47-1)-1-Quesería!$B$47,(Quesería!$B$46-Quesería!$B$47)))/(Quesería!$B$46-Quesería!$B$47))*IF(I$47&gt;2,1-Quesería!$B$48,1),0))*I96</f>
        <v>26.4724688081898</v>
      </c>
      <c r="J124" s="29" t="n">
        <f aca="false">(IF(AND(J$47&gt;0,J$47&lt;=0+Quesería!$B$46),($C$14+$C$28)*(Quesería!$B$44*$B$97*$B$94)*(1-MAX(0,MIN((J$47-1)-0-Quesería!$B$47,(Quesería!$B$46-Quesería!$B$47)))/(Quesería!$B$46-Quesería!$B$47))*IF(J$47&gt;2,1-Quesería!$B$48,1),0)+IF(AND(J$47&gt;1,J$47&lt;=1+Quesería!$B$46),($C$14+$C$28)*(Quesería!$B$44*$C$97*$C$94)*(1-MAX(0,MIN((J$47-1)-1-Quesería!$B$47,(Quesería!$B$46-Quesería!$B$47)))/(Quesería!$B$46-Quesería!$B$47))*IF(J$47&gt;2,1-Quesería!$B$48,1),0))*J96</f>
        <v>7.60676974238282</v>
      </c>
      <c r="K124" s="29" t="n">
        <f aca="false">(IF(AND(K$47&gt;0,K$47&lt;=0+Quesería!$B$46),($C$14+$C$28)*(Quesería!$B$44*$B$97*$B$94)*(1-MAX(0,MIN((K$47-1)-0-Quesería!$B$47,(Quesería!$B$46-Quesería!$B$47)))/(Quesería!$B$46-Quesería!$B$47))*IF(K$47&gt;2,1-Quesería!$B$48,1),0)+IF(AND(K$47&gt;1,K$47&lt;=1+Quesería!$B$46),($C$14+$C$28)*(Quesería!$B$44*$C$97*$C$94)*(1-MAX(0,MIN((K$47-1)-1-Quesería!$B$47,(Quesería!$B$46-Quesería!$B$47)))/(Quesería!$B$46-Quesería!$B$47))*IF(K$47&gt;2,1-Quesería!$B$48,1),0))*K96</f>
        <v>0</v>
      </c>
      <c r="L124" s="29" t="n">
        <f aca="false">(IF(AND(L$47&gt;0,L$47&lt;=0+Quesería!$B$46),($C$14+$C$28)*(Quesería!$B$44*$B$97*$B$94)*(1-MAX(0,MIN((L$47-1)-0-Quesería!$B$47,(Quesería!$B$46-Quesería!$B$47)))/(Quesería!$B$46-Quesería!$B$47))*IF(L$47&gt;2,1-Quesería!$B$48,1),0)+IF(AND(L$47&gt;1,L$47&lt;=1+Quesería!$B$46),($C$14+$C$28)*(Quesería!$B$44*$C$97*$C$94)*(1-MAX(0,MIN((L$47-1)-1-Quesería!$B$47,(Quesería!$B$46-Quesería!$B$47)))/(Quesería!$B$46-Quesería!$B$47))*IF(L$47&gt;2,1-Quesería!$B$48,1),0))*L96</f>
        <v>0</v>
      </c>
    </row>
    <row r="125" customFormat="false" ht="15" hidden="true" customHeight="false" outlineLevel="1" collapsed="false">
      <c r="A125" s="6" t="s">
        <v>433</v>
      </c>
      <c r="B125" s="29" t="n">
        <f aca="false">((IF(AND(B$47&gt;0+Quesería!$B$47,B$47&lt;=0+Quesería!$B$46),(Quesería!$B$44*$B$97*$B$94)/(Quesería!$B$46-Quesería!$B$47),0)*IF(B$47&gt;2,1-Quesería!$B$48,1)+IF(B$47=2,Quesería!$B$48*(Quesería!$B$44*$B$97*$B$94)*(1-MAX(0,MIN(2-0-Quesería!$B$47,(Quesería!$B$46-Quesería!$B$47)))/(Quesería!$B$46-Quesería!$B$47)),0))+(IF(AND(B$47&gt;1+Quesería!$B$47,B$47&lt;=1+Quesería!$B$46),(Quesería!$B$44*$C$97*$C$94)/(Quesería!$B$46-Quesería!$B$47),0)*IF(B$47&gt;2,1-Quesería!$B$48,1)+IF(B$47=2,Quesería!$B$48*(Quesería!$B$44*$C$97*$C$94)*(1-MAX(0,MIN(2-1-Quesería!$B$47,(Quesería!$B$46-Quesería!$B$47)))/(Quesería!$B$46-Quesería!$B$47)),0)))*B96</f>
        <v>0</v>
      </c>
      <c r="C125" s="29" t="n">
        <f aca="false">((IF(AND(C$47&gt;0+Quesería!$B$47,C$47&lt;=0+Quesería!$B$46),(Quesería!$B$44*$B$97*$B$94)/(Quesería!$B$46-Quesería!$B$47),0)*IF(C$47&gt;2,1-Quesería!$B$48,1)+IF(C$47=2,Quesería!$B$48*(Quesería!$B$44*$B$97*$B$94)*(1-MAX(0,MIN(2-0-Quesería!$B$47,(Quesería!$B$46-Quesería!$B$47)))/(Quesería!$B$46-Quesería!$B$47)),0))+(IF(AND(C$47&gt;1+Quesería!$B$47,C$47&lt;=1+Quesería!$B$46),(Quesería!$B$44*$C$97*$C$94)/(Quesería!$B$46-Quesería!$B$47),0)*IF(C$47&gt;2,1-Quesería!$B$48,1)+IF(C$47=2,Quesería!$B$48*(Quesería!$B$44*$C$97*$C$94)*(1-MAX(0,MIN(2-1-Quesería!$B$47,(Quesería!$B$46-Quesería!$B$47)))/(Quesería!$B$46-Quesería!$B$47)),0)))*C96</f>
        <v>0</v>
      </c>
      <c r="D125" s="29" t="n">
        <f aca="false">((IF(AND(D$47&gt;0+Quesería!$B$47,D$47&lt;=0+Quesería!$B$46),(Quesería!$B$44*$B$97*$B$94)/(Quesería!$B$46-Quesería!$B$47),0)*IF(D$47&gt;2,1-Quesería!$B$48,1)+IF(D$47=2,Quesería!$B$48*(Quesería!$B$44*$B$97*$B$94)*(1-MAX(0,MIN(2-0-Quesería!$B$47,(Quesería!$B$46-Quesería!$B$47)))/(Quesería!$B$46-Quesería!$B$47)),0))+(IF(AND(D$47&gt;1+Quesería!$B$47,D$47&lt;=1+Quesería!$B$46),(Quesería!$B$44*$C$97*$C$94)/(Quesería!$B$46-Quesería!$B$47),0)*IF(D$47&gt;2,1-Quesería!$B$48,1)+IF(D$47=2,Quesería!$B$48*(Quesería!$B$44*$C$97*$C$94)*(1-MAX(0,MIN(2-1-Quesería!$B$47,(Quesería!$B$46-Quesería!$B$47)))/(Quesería!$B$46-Quesería!$B$47)),0)))*D96</f>
        <v>91.8994692231472</v>
      </c>
      <c r="E125" s="29" t="n">
        <f aca="false">((IF(AND(E$47&gt;0+Quesería!$B$47,E$47&lt;=0+Quesería!$B$46),(Quesería!$B$44*$B$97*$B$94)/(Quesería!$B$46-Quesería!$B$47),0)*IF(E$47&gt;2,1-Quesería!$B$48,1)+IF(E$47=2,Quesería!$B$48*(Quesería!$B$44*$B$97*$B$94)*(1-MAX(0,MIN(2-0-Quesería!$B$47,(Quesería!$B$46-Quesería!$B$47)))/(Quesería!$B$46-Quesería!$B$47)),0))+(IF(AND(E$47&gt;1+Quesería!$B$47,E$47&lt;=1+Quesería!$B$46),(Quesería!$B$44*$C$97*$C$94)/(Quesería!$B$46-Quesería!$B$47),0)*IF(E$47&gt;2,1-Quesería!$B$48,1)+IF(E$47=2,Quesería!$B$48*(Quesería!$B$44*$C$97*$C$94)*(1-MAX(0,MIN(2-1-Quesería!$B$47,(Quesería!$B$46-Quesería!$B$47)))/(Quesería!$B$46-Quesería!$B$47)),0)))*E96</f>
        <v>154.001742940676</v>
      </c>
      <c r="F125" s="29" t="n">
        <f aca="false">((IF(AND(F$47&gt;0+Quesería!$B$47,F$47&lt;=0+Quesería!$B$46),(Quesería!$B$44*$B$97*$B$94)/(Quesería!$B$46-Quesería!$B$47),0)*IF(F$47&gt;2,1-Quesería!$B$48,1)+IF(F$47=2,Quesería!$B$48*(Quesería!$B$44*$B$97*$B$94)*(1-MAX(0,MIN(2-0-Quesería!$B$47,(Quesería!$B$46-Quesería!$B$47)))/(Quesería!$B$46-Quesería!$B$47)),0))+(IF(AND(F$47&gt;1+Quesería!$B$47,F$47&lt;=1+Quesería!$B$46),(Quesería!$B$44*$C$97*$C$94)/(Quesería!$B$46-Quesería!$B$47),0)*IF(F$47&gt;2,1-Quesería!$B$48,1)+IF(F$47=2,Quesería!$B$48*(Quesería!$B$44*$C$97*$C$94)*(1-MAX(0,MIN(2-1-Quesería!$B$47,(Quesería!$B$46-Quesería!$B$47)))/(Quesería!$B$46-Quesería!$B$47)),0)))*F96</f>
        <v>148.078598981419</v>
      </c>
      <c r="G125" s="29" t="n">
        <f aca="false">((IF(AND(G$47&gt;0+Quesería!$B$47,G$47&lt;=0+Quesería!$B$46),(Quesería!$B$44*$B$97*$B$94)/(Quesería!$B$46-Quesería!$B$47),0)*IF(G$47&gt;2,1-Quesería!$B$48,1)+IF(G$47=2,Quesería!$B$48*(Quesería!$B$44*$B$97*$B$94)*(1-MAX(0,MIN(2-0-Quesería!$B$47,(Quesería!$B$46-Quesería!$B$47)))/(Quesería!$B$46-Quesería!$B$47)),0))+(IF(AND(G$47&gt;1+Quesería!$B$47,G$47&lt;=1+Quesería!$B$46),(Quesería!$B$44*$C$97*$C$94)/(Quesería!$B$46-Quesería!$B$47),0)*IF(G$47&gt;2,1-Quesería!$B$48,1)+IF(G$47=2,Quesería!$B$48*(Quesería!$B$44*$C$97*$C$94)*(1-MAX(0,MIN(2-1-Quesería!$B$47,(Quesería!$B$46-Quesería!$B$47)))/(Quesería!$B$46-Quesería!$B$47)),0)))*G96</f>
        <v>142.383268251364</v>
      </c>
      <c r="H125" s="29" t="n">
        <f aca="false">((IF(AND(H$47&gt;0+Quesería!$B$47,H$47&lt;=0+Quesería!$B$46),(Quesería!$B$44*$B$97*$B$94)/(Quesería!$B$46-Quesería!$B$47),0)*IF(H$47&gt;2,1-Quesería!$B$48,1)+IF(H$47=2,Quesería!$B$48*(Quesería!$B$44*$B$97*$B$94)*(1-MAX(0,MIN(2-0-Quesería!$B$47,(Quesería!$B$46-Quesería!$B$47)))/(Quesería!$B$46-Quesería!$B$47)),0))+(IF(AND(H$47&gt;1+Quesería!$B$47,H$47&lt;=1+Quesería!$B$46),(Quesería!$B$44*$C$97*$C$94)/(Quesería!$B$46-Quesería!$B$47),0)*IF(H$47&gt;2,1-Quesería!$B$48,1)+IF(H$47=2,Quesería!$B$48*(Quesería!$B$44*$C$97*$C$94)*(1-MAX(0,MIN(2-1-Quesería!$B$47,(Quesería!$B$46-Quesería!$B$47)))/(Quesería!$B$46-Quesería!$B$47)),0)))*H96</f>
        <v>136.906988703235</v>
      </c>
      <c r="I125" s="29" t="n">
        <f aca="false">((IF(AND(I$47&gt;0+Quesería!$B$47,I$47&lt;=0+Quesería!$B$46),(Quesería!$B$44*$B$97*$B$94)/(Quesería!$B$46-Quesería!$B$47),0)*IF(I$47&gt;2,1-Quesería!$B$48,1)+IF(I$47=2,Quesería!$B$48*(Quesería!$B$44*$B$97*$B$94)*(1-MAX(0,MIN(2-0-Quesería!$B$47,(Quesería!$B$46-Quesería!$B$47)))/(Quesería!$B$46-Quesería!$B$47)),0))+(IF(AND(I$47&gt;1+Quesería!$B$47,I$47&lt;=1+Quesería!$B$46),(Quesería!$B$44*$C$97*$C$94)/(Quesería!$B$46-Quesería!$B$47),0)*IF(I$47&gt;2,1-Quesería!$B$48,1)+IF(I$47=2,Quesería!$B$48*(Quesería!$B$44*$C$97*$C$94)*(1-MAX(0,MIN(2-1-Quesería!$B$47,(Quesería!$B$46-Quesería!$B$47)))/(Quesería!$B$46-Quesería!$B$47)),0)))*I96</f>
        <v>131.641335291572</v>
      </c>
      <c r="J125" s="29" t="n">
        <f aca="false">((IF(AND(J$47&gt;0+Quesería!$B$47,J$47&lt;=0+Quesería!$B$46),(Quesería!$B$44*$B$97*$B$94)/(Quesería!$B$46-Quesería!$B$47),0)*IF(J$47&gt;2,1-Quesería!$B$48,1)+IF(J$47=2,Quesería!$B$48*(Quesería!$B$44*$B$97*$B$94)*(1-MAX(0,MIN(2-0-Quesería!$B$47,(Quesería!$B$46-Quesería!$B$47)))/(Quesería!$B$46-Quesería!$B$47)),0))+(IF(AND(J$47&gt;1+Quesería!$B$47,J$47&lt;=1+Quesería!$B$46),(Quesería!$B$44*$C$97*$C$94)/(Quesería!$B$46-Quesería!$B$47),0)*IF(J$47&gt;2,1-Quesería!$B$48,1)+IF(J$47=2,Quesería!$B$48*(Quesería!$B$44*$C$97*$C$94)*(1-MAX(0,MIN(2-1-Quesería!$B$47,(Quesería!$B$46-Quesería!$B$47)))/(Quesería!$B$46-Quesería!$B$47)),0)))*J96</f>
        <v>53.9487215771831</v>
      </c>
      <c r="K125" s="29" t="n">
        <f aca="false">((IF(AND(K$47&gt;0+Quesería!$B$47,K$47&lt;=0+Quesería!$B$46),(Quesería!$B$44*$B$97*$B$94)/(Quesería!$B$46-Quesería!$B$47),0)*IF(K$47&gt;2,1-Quesería!$B$48,1)+IF(K$47=2,Quesería!$B$48*(Quesería!$B$44*$B$97*$B$94)*(1-MAX(0,MIN(2-0-Quesería!$B$47,(Quesería!$B$46-Quesería!$B$47)))/(Quesería!$B$46-Quesería!$B$47)),0))+(IF(AND(K$47&gt;1+Quesería!$B$47,K$47&lt;=1+Quesería!$B$46),(Quesería!$B$44*$C$97*$C$94)/(Quesería!$B$46-Quesería!$B$47),0)*IF(K$47&gt;2,1-Quesería!$B$48,1)+IF(K$47=2,Quesería!$B$48*(Quesería!$B$44*$C$97*$C$94)*(1-MAX(0,MIN(2-1-Quesería!$B$47,(Quesería!$B$46-Quesería!$B$47)))/(Quesería!$B$46-Quesería!$B$47)),0)))*K96</f>
        <v>0</v>
      </c>
      <c r="L125" s="29" t="n">
        <f aca="false">((IF(AND(L$47&gt;0+Quesería!$B$47,L$47&lt;=0+Quesería!$B$46),(Quesería!$B$44*$B$97*$B$94)/(Quesería!$B$46-Quesería!$B$47),0)*IF(L$47&gt;2,1-Quesería!$B$48,1)+IF(L$47=2,Quesería!$B$48*(Quesería!$B$44*$B$97*$B$94)*(1-MAX(0,MIN(2-0-Quesería!$B$47,(Quesería!$B$46-Quesería!$B$47)))/(Quesería!$B$46-Quesería!$B$47)),0))+(IF(AND(L$47&gt;1+Quesería!$B$47,L$47&lt;=1+Quesería!$B$46),(Quesería!$B$44*$C$97*$C$94)/(Quesería!$B$46-Quesería!$B$47),0)*IF(L$47&gt;2,1-Quesería!$B$48,1)+IF(L$47=2,Quesería!$B$48*(Quesería!$B$44*$C$97*$C$94)*(1-MAX(0,MIN(2-1-Quesería!$B$47,(Quesería!$B$46-Quesería!$B$47)))/(Quesería!$B$46-Quesería!$B$47)),0)))*L96</f>
        <v>0</v>
      </c>
    </row>
    <row r="126" customFormat="false" ht="15" hidden="true" customHeight="false" outlineLevel="1" collapsed="false">
      <c r="A126" s="6" t="s">
        <v>434</v>
      </c>
      <c r="B126" s="29" t="n">
        <f aca="false">$C$13*Quesería!$B$51*(1+0.19)*B122*B96+(1-$C$13)*IF(B$47=0,Quesería!$B$50,0)</f>
        <v>14.327482305488</v>
      </c>
      <c r="C126" s="29" t="n">
        <f aca="false">$C$13*Quesería!$B$51*(1+0.19)*C122*C96+(1-$C$13)*IF(C$47=0,Quesería!$B$50,0)</f>
        <v>23.7808051224691</v>
      </c>
      <c r="D126" s="29" t="n">
        <f aca="false">$C$13*Quesería!$B$51*(1+0.19)*D122*D96+(1-$C$13)*IF(D$47=0,Quesería!$B$50,0)</f>
        <v>20.5804799826942</v>
      </c>
      <c r="E126" s="29" t="n">
        <f aca="false">$C$13*Quesería!$B$51*(1+0.19)*E122*E96+(1-$C$13)*IF(E$47=0,Quesería!$B$50,0)</f>
        <v>16.1420077857048</v>
      </c>
      <c r="F126" s="29" t="n">
        <f aca="false">$C$13*Quesería!$B$51*(1+0.19)*F122*F96+(1-$C$13)*IF(F$47=0,Quesería!$B$50,0)</f>
        <v>12.0145120299295</v>
      </c>
      <c r="G126" s="29" t="n">
        <f aca="false">$C$13*Quesería!$B$51*(1+0.19)*G122*G96+(1-$C$13)*IF(G$47=0,Quesería!$B$50,0)</f>
        <v>8.18063723793316</v>
      </c>
      <c r="H126" s="29" t="n">
        <f aca="false">$C$13*Quesería!$B$51*(1+0.19)*H122*H96+(1-$C$13)*IF(H$47=0,Quesería!$B$50,0)</f>
        <v>4.62390294468519</v>
      </c>
      <c r="I126" s="29" t="n">
        <f aca="false">$C$13*Quesería!$B$51*(1+0.19)*I122*I96+(1-$C$13)*IF(I$47=0,Quesería!$B$50,0)</f>
        <v>1.32866206269604</v>
      </c>
      <c r="J126" s="29" t="n">
        <f aca="false">$C$13*Quesería!$B$51*(1+0.19)*J122*J96+(1-$C$13)*IF(J$47=0,Quesería!$B$50,0)</f>
        <v>0</v>
      </c>
      <c r="K126" s="29" t="n">
        <f aca="false">$C$13*Quesería!$B$51*(1+0.19)*K122*K96+(1-$C$13)*IF(K$47=0,Quesería!$B$50,0)</f>
        <v>0</v>
      </c>
      <c r="L126" s="29" t="n">
        <f aca="false">$C$13*Quesería!$B$51*(1+0.19)*L122*L96+(1-$C$13)*IF(L$47=0,Quesería!$B$50,0)</f>
        <v>0</v>
      </c>
    </row>
    <row r="127" customFormat="false" ht="15" hidden="true" customHeight="false" outlineLevel="1" collapsed="false">
      <c r="A127" s="6" t="s">
        <v>435</v>
      </c>
      <c r="B127" s="29" t="n">
        <f aca="false">Quesería!$B$52*(B124+B125+B126)</f>
        <v>0.057309929221952</v>
      </c>
      <c r="C127" s="29" t="n">
        <f aca="false">Quesería!$B$52*(C124+C125+C126)</f>
        <v>0.420105475514308</v>
      </c>
      <c r="D127" s="29" t="n">
        <f aca="false">Quesería!$B$52*(D124+D125+D126)</f>
        <v>0.991907370859062</v>
      </c>
      <c r="E127" s="29" t="n">
        <f aca="false">Quesería!$B$52*(E124+E125+E126)</f>
        <v>1.15187911193806</v>
      </c>
      <c r="F127" s="29" t="n">
        <f aca="false">Quesería!$B$52*(F124+F125+F126)</f>
        <v>1.01003314213578</v>
      </c>
      <c r="G127" s="29" t="n">
        <f aca="false">Quesería!$B$52*(G124+G125+G126)</f>
        <v>0.877394437596481</v>
      </c>
      <c r="H127" s="29" t="n">
        <f aca="false">Quesería!$B$52*(H124+H125+H126)</f>
        <v>0.753464578462374</v>
      </c>
      <c r="I127" s="29" t="n">
        <f aca="false">Quesería!$B$52*(I124+I125+I126)</f>
        <v>0.637769864649831</v>
      </c>
      <c r="J127" s="29" t="n">
        <f aca="false">Quesería!$B$52*(J124+J125+J126)</f>
        <v>0.246221965278264</v>
      </c>
      <c r="K127" s="29" t="n">
        <f aca="false">Quesería!$B$52*(K124+K125+K126)</f>
        <v>0</v>
      </c>
      <c r="L127" s="29" t="n">
        <f aca="false">Quesería!$B$52*(L124+L125+L126)</f>
        <v>0</v>
      </c>
    </row>
    <row r="128" customFormat="false" ht="15" hidden="true" customHeight="false" outlineLevel="1" collapsed="false">
      <c r="A128" s="6" t="s">
        <v>436</v>
      </c>
      <c r="B128" s="29" t="n">
        <f aca="false">$C$17*(B124+B126+0.5*B127)</f>
        <v>5.02464804453464</v>
      </c>
      <c r="C128" s="29" t="n">
        <f aca="false">$C$17*(C124+C126+0.5*C127)</f>
        <v>36.8327475657169</v>
      </c>
      <c r="D128" s="29" t="n">
        <f aca="false">$C$17*(D124+D126+0.5*D127)</f>
        <v>54.8006645119667</v>
      </c>
      <c r="E128" s="29" t="n">
        <f aca="false">$C$17*(E124+E126+0.5*E127)</f>
        <v>47.090391109933</v>
      </c>
      <c r="F128" s="29" t="n">
        <f aca="false">$C$17*(F124+F126+0.5*F127)</f>
        <v>36.7271460932576</v>
      </c>
      <c r="G128" s="29" t="n">
        <f aca="false">$C$17*(G124+G126+0.5*G127)</f>
        <v>27.091413428294</v>
      </c>
      <c r="H128" s="29" t="n">
        <f aca="false">$C$17*(H124+H126+0.5*H127)</f>
        <v>18.1425608705564</v>
      </c>
      <c r="I128" s="29" t="n">
        <f aca="false">$C$17*(I124+I126+0.5*I127)</f>
        <v>9.84200553112376</v>
      </c>
      <c r="J128" s="29" t="n">
        <f aca="false">$C$17*(J124+J126+0.5*J127)</f>
        <v>2.70545825375768</v>
      </c>
      <c r="K128" s="29" t="n">
        <f aca="false">$C$17*(K124+K126+0.5*K127)</f>
        <v>0</v>
      </c>
      <c r="L128" s="29" t="n">
        <f aca="false">$C$17*(L124+L126+0.5*L127)</f>
        <v>0</v>
      </c>
    </row>
    <row r="129" customFormat="false" ht="15" hidden="true" customHeight="false" outlineLevel="1" collapsed="false">
      <c r="A129" s="5" t="s">
        <v>437</v>
      </c>
      <c r="B129" s="59" t="n">
        <f aca="false">B114+B123-B124-B125-B126-B127+B128</f>
        <v>-393.145322134896</v>
      </c>
      <c r="C129" s="59" t="n">
        <f aca="false">C114+C123-C124-C125-C126-C127+C128</f>
        <v>-220.643893842299</v>
      </c>
      <c r="D129" s="59" t="n">
        <f aca="false">D114+D123-D124-D125-D126-D127+D128</f>
        <v>22.2844676059217</v>
      </c>
      <c r="E129" s="59" t="n">
        <f aca="false">E114+E123-E124-E125-E126-E127+E128</f>
        <v>-39.1499611563503</v>
      </c>
      <c r="F129" s="59" t="n">
        <f aca="false">F114+F123-F124-F125-F126-F127+F128</f>
        <v>22.6011673517084</v>
      </c>
      <c r="G129" s="59" t="n">
        <f aca="false">G114+G123-G124-G125-G126-G127+G128</f>
        <v>11.8537864058948</v>
      </c>
      <c r="H129" s="59" t="n">
        <f aca="false">H114+H123-H124-H125-H126-H127+H128</f>
        <v>12.4347984843623</v>
      </c>
      <c r="I129" s="59" t="n">
        <f aca="false">I114+I123-I124-I125-I126-I127+I128</f>
        <v>93.7550706296022</v>
      </c>
      <c r="J129" s="59" t="n">
        <f aca="false">J114+J123-J124-J125-J126-J127+J128</f>
        <v>174.978456206765</v>
      </c>
      <c r="K129" s="59" t="n">
        <f aca="false">K114+K123-K124-K125-K126-K127+K128</f>
        <v>232.693271604099</v>
      </c>
      <c r="L129" s="59" t="n">
        <f aca="false">L114+L123-L124-L125-L126-L127+L128</f>
        <v>400.114436509713</v>
      </c>
    </row>
    <row r="130" customFormat="false" ht="15" hidden="true" customHeight="false" outlineLevel="1" collapsed="false">
      <c r="A130" s="9" t="s">
        <v>438</v>
      </c>
      <c r="B130" s="58" t="n">
        <f aca="false">B129*B94</f>
        <v>-416.73404146299</v>
      </c>
      <c r="C130" s="58" t="n">
        <f aca="false">C129*C94</f>
        <v>-245.576653846478</v>
      </c>
      <c r="D130" s="58" t="n">
        <f aca="false">D129*D94</f>
        <v>25.9187300054334</v>
      </c>
      <c r="E130" s="58" t="n">
        <f aca="false">E129*E94</f>
        <v>-47.356121874395</v>
      </c>
      <c r="F130" s="58" t="n">
        <f aca="false">F129*F94</f>
        <v>28.4321043535695</v>
      </c>
      <c r="G130" s="58" t="n">
        <f aca="false">G129*G94</f>
        <v>15.5084562804197</v>
      </c>
      <c r="H130" s="58" t="n">
        <f aca="false">H129*H94</f>
        <v>16.9193456781749</v>
      </c>
      <c r="I130" s="58" t="n">
        <f aca="false">I129*I94</f>
        <v>132.670057267204</v>
      </c>
      <c r="J130" s="58" t="n">
        <f aca="false">J129*J94</f>
        <v>257.511169428683</v>
      </c>
      <c r="K130" s="58" t="n">
        <f aca="false">K129*K94</f>
        <v>356.146479397884</v>
      </c>
      <c r="L130" s="58" t="n">
        <f aca="false">L129*L94</f>
        <v>636.887009299154</v>
      </c>
    </row>
    <row r="131" customFormat="false" ht="15" hidden="true" customHeight="false" outlineLevel="1" collapsed="false">
      <c r="A131" s="9" t="s">
        <v>439</v>
      </c>
      <c r="B131" s="57" t="n">
        <f aca="false">(B94/$B$94)/(1+Quesería!$B$11+$C$28)^B$47</f>
        <v>1</v>
      </c>
      <c r="C131" s="57" t="n">
        <f aca="false">(C94/$B$94)/(1+Quesería!$B$11+$C$28)^C$47</f>
        <v>0.84</v>
      </c>
      <c r="D131" s="57" t="n">
        <f aca="false">(D94/$B$94)/(1+Quesería!$B$11+$C$28)^D$47</f>
        <v>0.70224</v>
      </c>
      <c r="E131" s="57" t="n">
        <f aca="false">(E94/$B$94)/(1+Quesería!$B$11+$C$28)^E$47</f>
        <v>0.58426368</v>
      </c>
      <c r="F131" s="57" t="n">
        <f aca="false">(F94/$B$94)/(1+Quesería!$B$11+$C$28)^F$47</f>
        <v>0.48610738176</v>
      </c>
      <c r="G131" s="57" t="n">
        <f aca="false">(G94/$B$94)/(1+Quesería!$B$11+$C$28)^G$47</f>
        <v>0.40444134162432</v>
      </c>
      <c r="H131" s="57" t="n">
        <f aca="false">(H94/$B$94)/(1+Quesería!$B$11+$C$28)^H$47</f>
        <v>0.336495196231434</v>
      </c>
      <c r="I131" s="57" t="n">
        <f aca="false">(I94/$B$94)/(1+Quesería!$B$11+$C$28)^I$47</f>
        <v>0.279964003264553</v>
      </c>
      <c r="J131" s="57" t="n">
        <f aca="false">(J94/$B$94)/(1+Quesería!$B$11+$C$28)^J$47</f>
        <v>0.232930050716108</v>
      </c>
      <c r="K131" s="57" t="n">
        <f aca="false">(K94/$B$94)/(1+Quesería!$B$11+$C$28)^K$47</f>
        <v>0.193797802195802</v>
      </c>
      <c r="L131" s="57" t="n">
        <f aca="false">(L94/$B$94)/(1+Quesería!$B$11+$C$28)^L$47</f>
        <v>0.161239771426907</v>
      </c>
    </row>
    <row r="132" customFormat="false" ht="15" hidden="true" customHeight="false" outlineLevel="1" collapsed="false">
      <c r="A132" s="9" t="s">
        <v>440</v>
      </c>
      <c r="B132" s="58" t="n">
        <f aca="false">B114+B97+B99+B128</f>
        <v>96.1352254610782</v>
      </c>
      <c r="C132" s="58" t="n">
        <f aca="false">C114+C97+C99+C128</f>
        <v>240.375876516022</v>
      </c>
      <c r="D132" s="58" t="n">
        <f aca="false">D114+D97+D99+D128</f>
        <v>271.253217691546</v>
      </c>
      <c r="E132" s="58" t="n">
        <f aca="false">E114+E97+E99+E128</f>
        <v>249.971695940103</v>
      </c>
      <c r="F132" s="58" t="n">
        <f aca="false">F114+F97+F99+F128</f>
        <v>276.119486027788</v>
      </c>
      <c r="G132" s="58" t="n">
        <f aca="false">G114+G97+G99+G128</f>
        <v>237.298181523697</v>
      </c>
      <c r="H132" s="58" t="n">
        <f aca="false">H114+H97+H99+H128</f>
        <v>210.3683472635</v>
      </c>
      <c r="I132" s="58" t="n">
        <f aca="false">I114+I97+I99+I128</f>
        <v>253.83530665671</v>
      </c>
      <c r="J132" s="58" t="n">
        <f aca="false">J114+J97+J99+J128</f>
        <v>236.780169491609</v>
      </c>
      <c r="K132" s="58" t="n">
        <f aca="false">K114+K97+K99+K128</f>
        <v>232.693271604099</v>
      </c>
      <c r="L132" s="58" t="n">
        <f aca="false">L114+L97+L99+L128</f>
        <v>400.114436509713</v>
      </c>
    </row>
    <row r="133" customFormat="false" ht="15" hidden="true" customHeight="false" outlineLevel="1" collapsed="false">
      <c r="A133" s="5" t="s">
        <v>149</v>
      </c>
      <c r="B133" s="12" t="str">
        <f aca="false">IF(AND(B$47&gt;=1,(B124+B125+B126)&gt;0.001),B132/(B124+B125+B126),"")</f>
        <v/>
      </c>
      <c r="C133" s="12" t="n">
        <f aca="false">IF(AND(C$47&gt;=1,(C124+C125+C126)&gt;0.001),C132/(C124+C125+C126),"")</f>
        <v>2.28871929099944</v>
      </c>
      <c r="D133" s="12" t="n">
        <f aca="false">IF(AND(D$47&gt;=1,(D124+D125+D126)&gt;0.001),D132/(D124+D125+D126),"")</f>
        <v>1.09386511547594</v>
      </c>
      <c r="E133" s="12" t="n">
        <f aca="false">IF(AND(E$47&gt;=1,(E124+E125+E126)&gt;0.001),E132/(E124+E125+E126),"")</f>
        <v>0.868048368442137</v>
      </c>
      <c r="F133" s="12" t="n">
        <f aca="false">IF(AND(F$47&gt;=1,(F124+F125+F126)&gt;0.001),F132/(F124+F125+F126),"")</f>
        <v>1.09350663659973</v>
      </c>
      <c r="G133" s="12" t="n">
        <f aca="false">IF(AND(G$47&gt;=1,(G124+G125+G126)&gt;0.001),G132/(G124+G125+G126),"")</f>
        <v>1.0818312556152</v>
      </c>
      <c r="H133" s="12" t="n">
        <f aca="false">IF(AND(H$47&gt;=1,(H124+H125+H126)&gt;0.001),H132/(H124+H125+H126),"")</f>
        <v>1.11680550500626</v>
      </c>
      <c r="I133" s="12" t="n">
        <f aca="false">IF(AND(I$47&gt;=1,(I124+I125+I126)&gt;0.001),I132/(I124+I125+I126),"")</f>
        <v>1.59201819167846</v>
      </c>
      <c r="J133" s="12" t="n">
        <f aca="false">IF(AND(J$47&gt;=1,(J124+J125+J126)&gt;0.001),J132/(J124+J125+J126),"")</f>
        <v>3.84661326578262</v>
      </c>
      <c r="K133" s="12" t="str">
        <f aca="false">IF(AND(K$47&gt;=1,(K124+K125+K126)&gt;0.001),K132/(K124+K125+K126),"")</f>
        <v/>
      </c>
      <c r="L133" s="12" t="str">
        <f aca="false">IF(AND(L$47&gt;=1,(L124+L125+L126)&gt;0.001),L132/(L124+L125+L126),"")</f>
        <v/>
      </c>
    </row>
    <row r="135" customFormat="false" ht="15" hidden="false" customHeight="false" outlineLevel="0" collapsed="false">
      <c r="A135" s="43" t="s">
        <v>174</v>
      </c>
      <c r="B135" s="44"/>
      <c r="C135" s="44"/>
      <c r="D135" s="44"/>
      <c r="E135" s="44"/>
      <c r="F135" s="44"/>
      <c r="G135" s="44"/>
      <c r="H135" s="44"/>
      <c r="I135" s="44"/>
      <c r="J135" s="44"/>
      <c r="K135" s="44"/>
      <c r="L135" s="44"/>
    </row>
    <row r="136" customFormat="false" ht="15" hidden="true" customHeight="false" outlineLevel="1" collapsed="false">
      <c r="A136" s="9" t="s">
        <v>406</v>
      </c>
      <c r="B136" s="56" t="n">
        <f aca="false">CHOOSE($D$15,Entorno!B$7,Entorno!B$8,Entorno!B$9)</f>
        <v>0.06</v>
      </c>
      <c r="C136" s="56" t="n">
        <f aca="false">CHOOSE($D$15,Entorno!C$7,Entorno!C$8,Entorno!C$9)</f>
        <v>0.05</v>
      </c>
      <c r="D136" s="56" t="n">
        <f aca="false">CHOOSE($D$15,Entorno!D$7,Entorno!D$8,Entorno!D$9)</f>
        <v>0.045</v>
      </c>
      <c r="E136" s="56" t="n">
        <f aca="false">CHOOSE($D$15,Entorno!E$7,Entorno!E$8,Entorno!E$9)</f>
        <v>0.04</v>
      </c>
      <c r="F136" s="56" t="n">
        <f aca="false">CHOOSE($D$15,Entorno!F$7,Entorno!F$8,Entorno!F$9)</f>
        <v>0.04</v>
      </c>
      <c r="G136" s="56" t="n">
        <f aca="false">CHOOSE($D$15,Entorno!G$7,Entorno!G$8,Entorno!G$9)</f>
        <v>0.04</v>
      </c>
      <c r="H136" s="56" t="n">
        <f aca="false">CHOOSE($D$15,Entorno!H$7,Entorno!H$8,Entorno!H$9)</f>
        <v>0.04</v>
      </c>
      <c r="I136" s="56" t="n">
        <f aca="false">CHOOSE($D$15,Entorno!I$7,Entorno!I$8,Entorno!I$9)</f>
        <v>0.04</v>
      </c>
      <c r="J136" s="56" t="n">
        <f aca="false">CHOOSE($D$15,Entorno!J$7,Entorno!J$8,Entorno!J$9)</f>
        <v>0.04</v>
      </c>
      <c r="K136" s="56" t="n">
        <f aca="false">CHOOSE($D$15,Entorno!K$7,Entorno!K$8,Entorno!K$9)</f>
        <v>0.04</v>
      </c>
      <c r="L136" s="56" t="n">
        <f aca="false">CHOOSE($D$15,Entorno!L$7,Entorno!L$8,Entorno!L$9)</f>
        <v>0.04</v>
      </c>
    </row>
    <row r="137" customFormat="false" ht="15" hidden="true" customHeight="false" outlineLevel="1" collapsed="false">
      <c r="A137" s="9" t="s">
        <v>407</v>
      </c>
      <c r="B137" s="57" t="n">
        <f aca="false">1+B136</f>
        <v>1.06</v>
      </c>
      <c r="C137" s="57" t="n">
        <f aca="false">B137*(1+C136)</f>
        <v>1.113</v>
      </c>
      <c r="D137" s="57" t="n">
        <f aca="false">C137*(1+D136)</f>
        <v>1.163085</v>
      </c>
      <c r="E137" s="57" t="n">
        <f aca="false">D137*(1+E136)</f>
        <v>1.2096084</v>
      </c>
      <c r="F137" s="57" t="n">
        <f aca="false">E137*(1+F136)</f>
        <v>1.257992736</v>
      </c>
      <c r="G137" s="57" t="n">
        <f aca="false">F137*(1+G136)</f>
        <v>1.30831244544</v>
      </c>
      <c r="H137" s="57" t="n">
        <f aca="false">G137*(1+H136)</f>
        <v>1.3606449432576</v>
      </c>
      <c r="I137" s="57" t="n">
        <f aca="false">H137*(1+I136)</f>
        <v>1.4150707409879</v>
      </c>
      <c r="J137" s="57" t="n">
        <f aca="false">I137*(1+J136)</f>
        <v>1.47167357062742</v>
      </c>
      <c r="K137" s="57" t="n">
        <f aca="false">J137*(1+K136)</f>
        <v>1.53054051345252</v>
      </c>
      <c r="L137" s="57" t="n">
        <f aca="false">K137*(1+L136)</f>
        <v>1.59176213399062</v>
      </c>
    </row>
    <row r="138" customFormat="false" ht="15" hidden="true" customHeight="false" outlineLevel="1" collapsed="false">
      <c r="A138" s="9" t="s">
        <v>408</v>
      </c>
      <c r="B138" s="57" t="n">
        <f aca="false">(1+$D$16)/(1+B136)</f>
        <v>1.02358490566038</v>
      </c>
      <c r="C138" s="57" t="n">
        <f aca="false">B138*(1+Entorno!$B$13)</f>
        <v>1.02870283018868</v>
      </c>
      <c r="D138" s="57" t="n">
        <f aca="false">C138*(1+Entorno!$B$13)</f>
        <v>1.03384634433962</v>
      </c>
      <c r="E138" s="57" t="n">
        <f aca="false">D138*(1+Entorno!$B$13)</f>
        <v>1.03901557606132</v>
      </c>
      <c r="F138" s="57" t="n">
        <f aca="false">E138*(1+Entorno!$B$13)</f>
        <v>1.04421065394163</v>
      </c>
      <c r="G138" s="57" t="n">
        <f aca="false">F138*(1+Entorno!$B$13)</f>
        <v>1.04943170721133</v>
      </c>
      <c r="H138" s="57" t="n">
        <f aca="false">G138*(1+Entorno!$B$13)</f>
        <v>1.05467886574739</v>
      </c>
      <c r="I138" s="57" t="n">
        <f aca="false">H138*(1+Entorno!$B$13)</f>
        <v>1.05995226007613</v>
      </c>
      <c r="J138" s="57" t="n">
        <f aca="false">I138*(1+Entorno!$B$13)</f>
        <v>1.06525202137651</v>
      </c>
      <c r="K138" s="57" t="n">
        <f aca="false">J138*(1+Entorno!$B$13)</f>
        <v>1.07057828148339</v>
      </c>
      <c r="L138" s="57" t="n">
        <f aca="false">K138*(1+Entorno!$B$13)</f>
        <v>1.07593117289081</v>
      </c>
    </row>
    <row r="139" customFormat="false" ht="15" hidden="true" customHeight="false" outlineLevel="1" collapsed="false">
      <c r="A139" s="9" t="s">
        <v>409</v>
      </c>
      <c r="B139" s="57" t="n">
        <f aca="false">1/B137</f>
        <v>0.943396226415094</v>
      </c>
      <c r="C139" s="57" t="n">
        <f aca="false">1/C137</f>
        <v>0.898472596585804</v>
      </c>
      <c r="D139" s="57" t="n">
        <f aca="false">1/D137</f>
        <v>0.859782389077324</v>
      </c>
      <c r="E139" s="57" t="n">
        <f aca="false">1/E137</f>
        <v>0.826713835651273</v>
      </c>
      <c r="F139" s="57" t="n">
        <f aca="false">1/F137</f>
        <v>0.794917149664686</v>
      </c>
      <c r="G139" s="57" t="n">
        <f aca="false">1/G137</f>
        <v>0.764343413139121</v>
      </c>
      <c r="H139" s="57" t="n">
        <f aca="false">1/H137</f>
        <v>0.734945589556847</v>
      </c>
      <c r="I139" s="57" t="n">
        <f aca="false">1/I137</f>
        <v>0.706678451496968</v>
      </c>
      <c r="J139" s="57" t="n">
        <f aca="false">1/J137</f>
        <v>0.679498511054777</v>
      </c>
      <c r="K139" s="57" t="n">
        <f aca="false">1/K137</f>
        <v>0.653363952937286</v>
      </c>
      <c r="L139" s="57" t="n">
        <f aca="false">1/L137</f>
        <v>0.628234570132006</v>
      </c>
    </row>
    <row r="140" customFormat="false" ht="15" hidden="true" customHeight="false" outlineLevel="1" collapsed="false">
      <c r="A140" s="6" t="s">
        <v>323</v>
      </c>
      <c r="B140" s="29" t="n">
        <f aca="false">IF(B$47=0,Quesería!$F$92,IF(B$47=1,(Quesería!$F$93-(-$D$26)*Quesería!$D$86*(1+Quesería!$I$86))*$D$21,0))*$D$11</f>
        <v>930.800239431677</v>
      </c>
      <c r="C140" s="29" t="n">
        <f aca="false">IF(C$47=0,Quesería!$F$92,IF(C$47=1,(Quesería!$F$93-(-$D$26)*Quesería!$D$86*(1+Quesería!$I$86))*$D$21,0))*$D$11</f>
        <v>0</v>
      </c>
      <c r="D140" s="29" t="n">
        <f aca="false">IF(D$47=0,Quesería!$F$92,IF(D$47=1,(Quesería!$F$93-(-$D$26)*Quesería!$D$86*(1+Quesería!$I$86))*$D$21,0))*$D$11</f>
        <v>0</v>
      </c>
      <c r="E140" s="29" t="n">
        <f aca="false">IF(E$47=0,Quesería!$F$92,IF(E$47=1,(Quesería!$F$93-(-$D$26)*Quesería!$D$86*(1+Quesería!$I$86))*$D$21,0))*$D$11</f>
        <v>0</v>
      </c>
      <c r="F140" s="29" t="n">
        <f aca="false">IF(F$47=0,Quesería!$F$92,IF(F$47=1,(Quesería!$F$93-(-$D$26)*Quesería!$D$86*(1+Quesería!$I$86))*$D$21,0))*$D$11</f>
        <v>0</v>
      </c>
      <c r="G140" s="29" t="n">
        <f aca="false">IF(G$47=0,Quesería!$F$92,IF(G$47=1,(Quesería!$F$93-(-$D$26)*Quesería!$D$86*(1+Quesería!$I$86))*$D$21,0))*$D$11</f>
        <v>0</v>
      </c>
      <c r="H140" s="29" t="n">
        <f aca="false">IF(H$47=0,Quesería!$F$92,IF(H$47=1,(Quesería!$F$93-(-$D$26)*Quesería!$D$86*(1+Quesería!$I$86))*$D$21,0))*$D$11</f>
        <v>0</v>
      </c>
      <c r="I140" s="29" t="n">
        <f aca="false">IF(I$47=0,Quesería!$F$92,IF(I$47=1,(Quesería!$F$93-(-$D$26)*Quesería!$D$86*(1+Quesería!$I$86))*$D$21,0))*$D$11</f>
        <v>0</v>
      </c>
      <c r="J140" s="29" t="n">
        <f aca="false">IF(J$47=0,Quesería!$F$92,IF(J$47=1,(Quesería!$F$93-(-$D$26)*Quesería!$D$86*(1+Quesería!$I$86))*$D$21,0))*$D$11</f>
        <v>0</v>
      </c>
      <c r="K140" s="29" t="n">
        <f aca="false">IF(K$47=0,Quesería!$F$92,IF(K$47=1,(Quesería!$F$93-(-$D$26)*Quesería!$D$86*(1+Quesería!$I$86))*$D$21,0))*$D$11</f>
        <v>0</v>
      </c>
      <c r="L140" s="29" t="n">
        <f aca="false">IF(L$47=0,Quesería!$F$92,IF(L$47=1,(Quesería!$F$93-(-$D$26)*Quesería!$D$86*(1+Quesería!$I$86))*$D$21,0))*$D$11</f>
        <v>0</v>
      </c>
    </row>
    <row r="141" customFormat="false" ht="15" hidden="true" customHeight="false" outlineLevel="1" collapsed="false">
      <c r="A141" s="6" t="s">
        <v>410</v>
      </c>
      <c r="B141" s="29" t="n">
        <f aca="false">IF(B$47=5,Quesería!$F$99,IF(B$47=6,Quesería!$F$100,0))*$D$11</f>
        <v>0</v>
      </c>
      <c r="C141" s="29" t="n">
        <f aca="false">IF(C$47=5,Quesería!$F$99,IF(C$47=6,Quesería!$F$100,0))*$D$11</f>
        <v>0</v>
      </c>
      <c r="D141" s="29" t="n">
        <f aca="false">IF(D$47=5,Quesería!$F$99,IF(D$47=6,Quesería!$F$100,0))*$D$11</f>
        <v>0</v>
      </c>
      <c r="E141" s="29" t="n">
        <f aca="false">IF(E$47=5,Quesería!$F$99,IF(E$47=6,Quesería!$F$100,0))*$D$11</f>
        <v>0</v>
      </c>
      <c r="F141" s="29" t="n">
        <f aca="false">IF(F$47=5,Quesería!$F$99,IF(F$47=6,Quesería!$F$100,0))*$D$11</f>
        <v>0</v>
      </c>
      <c r="G141" s="29" t="n">
        <f aca="false">IF(G$47=5,Quesería!$F$99,IF(G$47=6,Quesería!$F$100,0))*$D$11</f>
        <v>27.4652172688735</v>
      </c>
      <c r="H141" s="29" t="n">
        <f aca="false">IF(H$47=5,Quesería!$F$99,IF(H$47=6,Quesería!$F$100,0))*$D$11</f>
        <v>46.3891557109552</v>
      </c>
      <c r="I141" s="29" t="n">
        <f aca="false">IF(I$47=5,Quesería!$F$99,IF(I$47=6,Quesería!$F$100,0))*$D$11</f>
        <v>0</v>
      </c>
      <c r="J141" s="29" t="n">
        <f aca="false">IF(J$47=5,Quesería!$F$99,IF(J$47=6,Quesería!$F$100,0))*$D$11</f>
        <v>0</v>
      </c>
      <c r="K141" s="29" t="n">
        <f aca="false">IF(K$47=5,Quesería!$F$99,IF(K$47=6,Quesería!$F$100,0))*$D$11</f>
        <v>0</v>
      </c>
      <c r="L141" s="29" t="n">
        <f aca="false">IF(L$47=5,Quesería!$F$99,IF(L$47=6,Quesería!$F$100,0))*$D$11</f>
        <v>0</v>
      </c>
    </row>
    <row r="142" customFormat="false" ht="15" hidden="true" customHeight="false" outlineLevel="1" collapsed="false">
      <c r="A142" s="6" t="s">
        <v>411</v>
      </c>
      <c r="B142" s="29" t="n">
        <f aca="false">Quesería!$B$55*(IF(B$47=0,SUMPRODUCT((Quesería!$C$70:$C$89=0)*(Quesería!$H$70:$H$89&gt;0)*(Quesería!$J$70:$J$89&gt;0)*Quesería!$F$70:$F$89*(1+Quesería!$I$70:$I$89)),IF(B$47=1,(SUMPRODUCT((Quesería!$C$70:$C$89=1)*(Quesería!$H$70:$H$89&gt;0)*(Quesería!$J$70:$J$89&gt;0)*Quesería!$F$70:$F$89*(1+Quesería!$I$70:$I$89))-(-$D$26)*Quesería!$D$86*(1+Quesería!$I$86))*$D$21,0))*$D$11+B141)</f>
        <v>149.115671560178</v>
      </c>
      <c r="C142" s="29" t="n">
        <f aca="false">Quesería!$B$55*(IF(C$47=0,SUMPRODUCT((Quesería!$C$70:$C$89=0)*(Quesería!$H$70:$H$89&gt;0)*(Quesería!$J$70:$J$89&gt;0)*Quesería!$F$70:$F$89*(1+Quesería!$I$70:$I$89)),IF(C$47=1,(SUMPRODUCT((Quesería!$C$70:$C$89=1)*(Quesería!$H$70:$H$89&gt;0)*(Quesería!$J$70:$J$89&gt;0)*Quesería!$F$70:$F$89*(1+Quesería!$I$70:$I$89))-(-$D$26)*Quesería!$D$86*(1+Quesería!$I$86))*$D$21,0))*$D$11+C141)</f>
        <v>0</v>
      </c>
      <c r="D142" s="29" t="n">
        <f aca="false">Quesería!$B$55*(IF(D$47=0,SUMPRODUCT((Quesería!$C$70:$C$89=0)*(Quesería!$H$70:$H$89&gt;0)*(Quesería!$J$70:$J$89&gt;0)*Quesería!$F$70:$F$89*(1+Quesería!$I$70:$I$89)),IF(D$47=1,(SUMPRODUCT((Quesería!$C$70:$C$89=1)*(Quesería!$H$70:$H$89&gt;0)*(Quesería!$J$70:$J$89&gt;0)*Quesería!$F$70:$F$89*(1+Quesería!$I$70:$I$89))-(-$D$26)*Quesería!$D$86*(1+Quesería!$I$86))*$D$21,0))*$D$11+D141)</f>
        <v>0</v>
      </c>
      <c r="E142" s="29" t="n">
        <f aca="false">Quesería!$B$55*(IF(E$47=0,SUMPRODUCT((Quesería!$C$70:$C$89=0)*(Quesería!$H$70:$H$89&gt;0)*(Quesería!$J$70:$J$89&gt;0)*Quesería!$F$70:$F$89*(1+Quesería!$I$70:$I$89)),IF(E$47=1,(SUMPRODUCT((Quesería!$C$70:$C$89=1)*(Quesería!$H$70:$H$89&gt;0)*(Quesería!$J$70:$J$89&gt;0)*Quesería!$F$70:$F$89*(1+Quesería!$I$70:$I$89))-(-$D$26)*Quesería!$D$86*(1+Quesería!$I$86))*$D$21,0))*$D$11+E141)</f>
        <v>0</v>
      </c>
      <c r="F142" s="29" t="n">
        <f aca="false">Quesería!$B$55*(IF(F$47=0,SUMPRODUCT((Quesería!$C$70:$C$89=0)*(Quesería!$H$70:$H$89&gt;0)*(Quesería!$J$70:$J$89&gt;0)*Quesería!$F$70:$F$89*(1+Quesería!$I$70:$I$89)),IF(F$47=1,(SUMPRODUCT((Quesería!$C$70:$C$89=1)*(Quesería!$H$70:$H$89&gt;0)*(Quesería!$J$70:$J$89&gt;0)*Quesería!$F$70:$F$89*(1+Quesería!$I$70:$I$89))-(-$D$26)*Quesería!$D$86*(1+Quesería!$I$86))*$D$21,0))*$D$11+F141)</f>
        <v>0</v>
      </c>
      <c r="G142" s="29" t="n">
        <f aca="false">Quesería!$B$55*(IF(G$47=0,SUMPRODUCT((Quesería!$C$70:$C$89=0)*(Quesería!$H$70:$H$89&gt;0)*(Quesería!$J$70:$J$89&gt;0)*Quesería!$F$70:$F$89*(1+Quesería!$I$70:$I$89)),IF(G$47=1,(SUMPRODUCT((Quesería!$C$70:$C$89=1)*(Quesería!$H$70:$H$89&gt;0)*(Quesería!$J$70:$J$89&gt;0)*Quesería!$F$70:$F$89*(1+Quesería!$I$70:$I$89))-(-$D$26)*Quesería!$D$86*(1+Quesería!$I$86))*$D$21,0))*$D$11+G141)</f>
        <v>5.21839128108597</v>
      </c>
      <c r="H142" s="29" t="n">
        <f aca="false">Quesería!$B$55*(IF(H$47=0,SUMPRODUCT((Quesería!$C$70:$C$89=0)*(Quesería!$H$70:$H$89&gt;0)*(Quesería!$J$70:$J$89&gt;0)*Quesería!$F$70:$F$89*(1+Quesería!$I$70:$I$89)),IF(H$47=1,(SUMPRODUCT((Quesería!$C$70:$C$89=1)*(Quesería!$H$70:$H$89&gt;0)*(Quesería!$J$70:$J$89&gt;0)*Quesería!$F$70:$F$89*(1+Quesería!$I$70:$I$89))-(-$D$26)*Quesería!$D$86*(1+Quesería!$I$86))*$D$21,0))*$D$11+H141)</f>
        <v>8.8139395850815</v>
      </c>
      <c r="I142" s="29" t="n">
        <f aca="false">Quesería!$B$55*(IF(I$47=0,SUMPRODUCT((Quesería!$C$70:$C$89=0)*(Quesería!$H$70:$H$89&gt;0)*(Quesería!$J$70:$J$89&gt;0)*Quesería!$F$70:$F$89*(1+Quesería!$I$70:$I$89)),IF(I$47=1,(SUMPRODUCT((Quesería!$C$70:$C$89=1)*(Quesería!$H$70:$H$89&gt;0)*(Quesería!$J$70:$J$89&gt;0)*Quesería!$F$70:$F$89*(1+Quesería!$I$70:$I$89))-(-$D$26)*Quesería!$D$86*(1+Quesería!$I$86))*$D$21,0))*$D$11+I141)</f>
        <v>0</v>
      </c>
      <c r="J142" s="29" t="n">
        <f aca="false">Quesería!$B$55*(IF(J$47=0,SUMPRODUCT((Quesería!$C$70:$C$89=0)*(Quesería!$H$70:$H$89&gt;0)*(Quesería!$J$70:$J$89&gt;0)*Quesería!$F$70:$F$89*(1+Quesería!$I$70:$I$89)),IF(J$47=1,(SUMPRODUCT((Quesería!$C$70:$C$89=1)*(Quesería!$H$70:$H$89&gt;0)*(Quesería!$J$70:$J$89&gt;0)*Quesería!$F$70:$F$89*(1+Quesería!$I$70:$I$89))-(-$D$26)*Quesería!$D$86*(1+Quesería!$I$86))*$D$21,0))*$D$11+J141)</f>
        <v>0</v>
      </c>
      <c r="K142" s="29" t="n">
        <f aca="false">Quesería!$B$55*(IF(K$47=0,SUMPRODUCT((Quesería!$C$70:$C$89=0)*(Quesería!$H$70:$H$89&gt;0)*(Quesería!$J$70:$J$89&gt;0)*Quesería!$F$70:$F$89*(1+Quesería!$I$70:$I$89)),IF(K$47=1,(SUMPRODUCT((Quesería!$C$70:$C$89=1)*(Quesería!$H$70:$H$89&gt;0)*(Quesería!$J$70:$J$89&gt;0)*Quesería!$F$70:$F$89*(1+Quesería!$I$70:$I$89))-(-$D$26)*Quesería!$D$86*(1+Quesería!$I$86))*$D$21,0))*$D$11+K141)</f>
        <v>0</v>
      </c>
      <c r="L142" s="29" t="n">
        <f aca="false">Quesería!$B$55*(IF(L$47=0,SUMPRODUCT((Quesería!$C$70:$C$89=0)*(Quesería!$H$70:$H$89&gt;0)*(Quesería!$J$70:$J$89&gt;0)*Quesería!$F$70:$F$89*(1+Quesería!$I$70:$I$89)),IF(L$47=1,(SUMPRODUCT((Quesería!$C$70:$C$89=1)*(Quesería!$H$70:$H$89&gt;0)*(Quesería!$J$70:$J$89&gt;0)*Quesería!$F$70:$F$89*(1+Quesería!$I$70:$I$89))-(-$D$26)*Quesería!$D$86*(1+Quesería!$I$86))*$D$21,0))*$D$11+L141)</f>
        <v>0</v>
      </c>
    </row>
    <row r="143" customFormat="false" ht="15" hidden="true" customHeight="false" outlineLevel="1" collapsed="false">
      <c r="A143" s="6" t="s">
        <v>386</v>
      </c>
      <c r="B143" s="29" t="n">
        <f aca="false">IF(B$47=0,($D$22*Quesería!$J$126+(1-$D$22)*Quesería!$E$122)*Quesería!$B$20*Quesería!$B$21/12*$D$23,(($D$22*Quesería!$J$126+(1-$D$22)*Quesería!$E$122)+($D$22*Quesería!$J$104+(1-$D$22)*Quesería!$E$104)*(B138-1))*IF(B$47=1,Quesería!$B$20,1))*$D$10</f>
        <v>78.1729977357335</v>
      </c>
      <c r="C143" s="29" t="n">
        <f aca="false">IF(C$47=0,($D$22*Quesería!$J$126+(1-$D$22)*Quesería!$E$122)*Quesería!$B$20*Quesería!$B$21/12*$D$23,(($D$22*Quesería!$J$126+(1-$D$22)*Quesería!$E$122)+($D$22*Quesería!$J$104+(1-$D$22)*Quesería!$E$104)*(C138-1))*IF(C$47=1,Quesería!$B$20,1))*$D$10</f>
        <v>117.449365825298</v>
      </c>
      <c r="D143" s="29" t="n">
        <f aca="false">IF(D$47=0,($D$22*Quesería!$J$126+(1-$D$22)*Quesería!$E$122)*Quesería!$B$20*Quesería!$B$21/12*$D$23,(($D$22*Quesería!$J$126+(1-$D$22)*Quesería!$E$122)+($D$22*Quesería!$J$104+(1-$D$22)*Quesería!$E$104)*(D138-1))*IF(D$47=1,Quesería!$B$20,1))*$D$10</f>
        <v>156.644520228542</v>
      </c>
      <c r="E143" s="29" t="n">
        <f aca="false">IF(E$47=0,($D$22*Quesería!$J$126+(1-$D$22)*Quesería!$E$122)*Quesería!$B$20*Quesería!$B$21/12*$D$23,(($D$22*Quesería!$J$126+(1-$D$22)*Quesería!$E$122)+($D$22*Quesería!$J$104+(1-$D$22)*Quesería!$E$104)*(E138-1))*IF(E$47=1,Quesería!$B$20,1))*$D$10</f>
        <v>156.690112852328</v>
      </c>
      <c r="F143" s="29" t="n">
        <f aca="false">IF(F$47=0,($D$22*Quesería!$J$126+(1-$D$22)*Quesería!$E$122)*Quesería!$B$20*Quesería!$B$21/12*$D$23,(($D$22*Quesería!$J$126+(1-$D$22)*Quesería!$E$122)+($D$22*Quesería!$J$104+(1-$D$22)*Quesería!$E$104)*(F138-1))*IF(F$47=1,Quesería!$B$20,1))*$D$10</f>
        <v>156.735933439232</v>
      </c>
      <c r="G143" s="29" t="n">
        <f aca="false">IF(G$47=0,($D$22*Quesería!$J$126+(1-$D$22)*Quesería!$E$122)*Quesería!$B$20*Quesería!$B$21/12*$D$23,(($D$22*Quesería!$J$126+(1-$D$22)*Quesería!$E$122)+($D$22*Quesería!$J$104+(1-$D$22)*Quesería!$E$104)*(G138-1))*IF(G$47=1,Quesería!$B$20,1))*$D$10</f>
        <v>156.781983129071</v>
      </c>
      <c r="H143" s="29" t="n">
        <f aca="false">IF(H$47=0,($D$22*Quesería!$J$126+(1-$D$22)*Quesería!$E$122)*Quesería!$B$20*Quesería!$B$21/12*$D$23,(($D$22*Quesería!$J$126+(1-$D$22)*Quesería!$E$122)+($D$22*Quesería!$J$104+(1-$D$22)*Quesería!$E$104)*(H138-1))*IF(H$47=1,Quesería!$B$20,1))*$D$10</f>
        <v>156.828263067359</v>
      </c>
      <c r="I143" s="29" t="n">
        <f aca="false">IF(I$47=0,($D$22*Quesería!$J$126+(1-$D$22)*Quesería!$E$122)*Quesería!$B$20*Quesería!$B$21/12*$D$23,(($D$22*Quesería!$J$126+(1-$D$22)*Quesería!$E$122)+($D$22*Quesería!$J$104+(1-$D$22)*Quesería!$E$104)*(I138-1))*IF(I$47=1,Quesería!$B$20,1))*$D$10</f>
        <v>156.874774405338</v>
      </c>
      <c r="J143" s="29" t="n">
        <f aca="false">IF(J$47=0,($D$22*Quesería!$J$126+(1-$D$22)*Quesería!$E$122)*Quesería!$B$20*Quesería!$B$21/12*$D$23,(($D$22*Quesería!$J$126+(1-$D$22)*Quesería!$E$122)+($D$22*Quesería!$J$104+(1-$D$22)*Quesería!$E$104)*(J138-1))*IF(J$47=1,Quesería!$B$20,1))*$D$10</f>
        <v>156.921518300008</v>
      </c>
      <c r="K143" s="29" t="n">
        <f aca="false">IF(K$47=0,($D$22*Quesería!$J$126+(1-$D$22)*Quesería!$E$122)*Quesería!$B$20*Quesería!$B$21/12*$D$23,(($D$22*Quesería!$J$126+(1-$D$22)*Quesería!$E$122)+($D$22*Quesería!$J$104+(1-$D$22)*Quesería!$E$104)*(K138-1))*IF(K$47=1,Quesería!$B$20,1))*$D$10</f>
        <v>156.96849591415</v>
      </c>
      <c r="L143" s="29" t="n">
        <f aca="false">IF(L$47=0,($D$22*Quesería!$J$126+(1-$D$22)*Quesería!$E$122)*Quesería!$B$20*Quesería!$B$21/12*$D$23,(($D$22*Quesería!$J$126+(1-$D$22)*Quesería!$E$122)+($D$22*Quesería!$J$104+(1-$D$22)*Quesería!$E$104)*(L138-1))*IF(L$47=1,Quesería!$B$20,1))*$D$10</f>
        <v>157.015708416364</v>
      </c>
    </row>
    <row r="144" customFormat="false" ht="15" hidden="true" customHeight="false" outlineLevel="1" collapsed="false">
      <c r="A144" s="6" t="s">
        <v>387</v>
      </c>
      <c r="B144" s="29" t="n">
        <f aca="false">IF(B$47&lt;=1,0,((($D$22*Quesería!$J$127+(1-$D$22)*Quesería!$E$123)-($D$22*Quesería!$J$113+(1-$D$22)*Quesería!$E$113)+$D$6*($D$22*Quesería!$J$113+(1-$D$22)*Quesería!$E$113)-(1-$D$9)*(($D$22*Quesería!$J$119+(1-$D$22)*Quesería!$E$119)+($D$22*Quesería!$J$118+(1-$D$22)*Quesería!$E$118))-(1-$D$24)*($D$22*Quesería!$J$117+(1-$D$22)*Quesería!$E$117)+$D$24*(1-$D$25)*'Beneficios y costos'!$B$144-(-$D$26*$D$27)*'Beneficios y costos'!$C$167)+($D$6*($D$22*Quesería!$J$113+(1-$D$22)*Quesería!$E$113)+$D$9*($D$22*Quesería!$J$119+(1-$D$22)*Quesería!$E$119))*(B138-1))*IF(B$47=2,Quesería!$B$20,1)+IF(B$47=2,Quesería!$B$24*$D$9*($D$22*Quesería!$J$119+(1-$D$22)*Quesería!$E$119)*B138,0))*$D$10*$D$21</f>
        <v>0</v>
      </c>
      <c r="C144" s="29" t="n">
        <f aca="false">IF(C$47&lt;=1,0,((($D$22*Quesería!$J$127+(1-$D$22)*Quesería!$E$123)-($D$22*Quesería!$J$113+(1-$D$22)*Quesería!$E$113)+$D$6*($D$22*Quesería!$J$113+(1-$D$22)*Quesería!$E$113)-(1-$D$9)*(($D$22*Quesería!$J$119+(1-$D$22)*Quesería!$E$119)+($D$22*Quesería!$J$118+(1-$D$22)*Quesería!$E$118))-(1-$D$24)*($D$22*Quesería!$J$117+(1-$D$22)*Quesería!$E$117)+$D$24*(1-$D$25)*'Beneficios y costos'!$B$144-(-$D$26*$D$27)*'Beneficios y costos'!$C$167)+($D$6*($D$22*Quesería!$J$113+(1-$D$22)*Quesería!$E$113)+$D$9*($D$22*Quesería!$J$119+(1-$D$22)*Quesería!$E$119))*(C138-1))*IF(C$47=2,Quesería!$B$20,1)+IF(C$47=2,Quesería!$B$24*$D$9*($D$22*Quesería!$J$119+(1-$D$22)*Quesería!$E$119)*C138,0))*$D$10*$D$21</f>
        <v>0</v>
      </c>
      <c r="D144" s="29" t="n">
        <f aca="false">IF(D$47&lt;=1,0,((($D$22*Quesería!$J$127+(1-$D$22)*Quesería!$E$123)-($D$22*Quesería!$J$113+(1-$D$22)*Quesería!$E$113)+$D$6*($D$22*Quesería!$J$113+(1-$D$22)*Quesería!$E$113)-(1-$D$9)*(($D$22*Quesería!$J$119+(1-$D$22)*Quesería!$E$119)+($D$22*Quesería!$J$118+(1-$D$22)*Quesería!$E$118))-(1-$D$24)*($D$22*Quesería!$J$117+(1-$D$22)*Quesería!$E$117)+$D$24*(1-$D$25)*'Beneficios y costos'!$B$144-(-$D$26*$D$27)*'Beneficios y costos'!$C$167)+($D$6*($D$22*Quesería!$J$113+(1-$D$22)*Quesería!$E$113)+$D$9*($D$22*Quesería!$J$119+(1-$D$22)*Quesería!$E$119))*(D138-1))*IF(D$47=2,Quesería!$B$20,1)+IF(D$47=2,Quesería!$B$24*$D$9*($D$22*Quesería!$J$119+(1-$D$22)*Quesería!$E$119)*D138,0))*$D$10*$D$21</f>
        <v>0</v>
      </c>
      <c r="E144" s="29" t="n">
        <f aca="false">IF(E$47&lt;=1,0,((($D$22*Quesería!$J$127+(1-$D$22)*Quesería!$E$123)-($D$22*Quesería!$J$113+(1-$D$22)*Quesería!$E$113)+$D$6*($D$22*Quesería!$J$113+(1-$D$22)*Quesería!$E$113)-(1-$D$9)*(($D$22*Quesería!$J$119+(1-$D$22)*Quesería!$E$119)+($D$22*Quesería!$J$118+(1-$D$22)*Quesería!$E$118))-(1-$D$24)*($D$22*Quesería!$J$117+(1-$D$22)*Quesería!$E$117)+$D$24*(1-$D$25)*'Beneficios y costos'!$B$144-(-$D$26*$D$27)*'Beneficios y costos'!$C$167)+($D$6*($D$22*Quesería!$J$113+(1-$D$22)*Quesería!$E$113)+$D$9*($D$22*Quesería!$J$119+(1-$D$22)*Quesería!$E$119))*(E138-1))*IF(E$47=2,Quesería!$B$20,1)+IF(E$47=2,Quesería!$B$24*$D$9*($D$22*Quesería!$J$119+(1-$D$22)*Quesería!$E$119)*E138,0))*$D$10*$D$21</f>
        <v>0</v>
      </c>
      <c r="F144" s="29" t="n">
        <f aca="false">IF(F$47&lt;=1,0,((($D$22*Quesería!$J$127+(1-$D$22)*Quesería!$E$123)-($D$22*Quesería!$J$113+(1-$D$22)*Quesería!$E$113)+$D$6*($D$22*Quesería!$J$113+(1-$D$22)*Quesería!$E$113)-(1-$D$9)*(($D$22*Quesería!$J$119+(1-$D$22)*Quesería!$E$119)+($D$22*Quesería!$J$118+(1-$D$22)*Quesería!$E$118))-(1-$D$24)*($D$22*Quesería!$J$117+(1-$D$22)*Quesería!$E$117)+$D$24*(1-$D$25)*'Beneficios y costos'!$B$144-(-$D$26*$D$27)*'Beneficios y costos'!$C$167)+($D$6*($D$22*Quesería!$J$113+(1-$D$22)*Quesería!$E$113)+$D$9*($D$22*Quesería!$J$119+(1-$D$22)*Quesería!$E$119))*(F138-1))*IF(F$47=2,Quesería!$B$20,1)+IF(F$47=2,Quesería!$B$24*$D$9*($D$22*Quesería!$J$119+(1-$D$22)*Quesería!$E$119)*F138,0))*$D$10*$D$21</f>
        <v>0</v>
      </c>
      <c r="G144" s="29" t="n">
        <f aca="false">IF(G$47&lt;=1,0,((($D$22*Quesería!$J$127+(1-$D$22)*Quesería!$E$123)-($D$22*Quesería!$J$113+(1-$D$22)*Quesería!$E$113)+$D$6*($D$22*Quesería!$J$113+(1-$D$22)*Quesería!$E$113)-(1-$D$9)*(($D$22*Quesería!$J$119+(1-$D$22)*Quesería!$E$119)+($D$22*Quesería!$J$118+(1-$D$22)*Quesería!$E$118))-(1-$D$24)*($D$22*Quesería!$J$117+(1-$D$22)*Quesería!$E$117)+$D$24*(1-$D$25)*'Beneficios y costos'!$B$144-(-$D$26*$D$27)*'Beneficios y costos'!$C$167)+($D$6*($D$22*Quesería!$J$113+(1-$D$22)*Quesería!$E$113)+$D$9*($D$22*Quesería!$J$119+(1-$D$22)*Quesería!$E$119))*(G138-1))*IF(G$47=2,Quesería!$B$20,1)+IF(G$47=2,Quesería!$B$24*$D$9*($D$22*Quesería!$J$119+(1-$D$22)*Quesería!$E$119)*G138,0))*$D$10*$D$21</f>
        <v>0</v>
      </c>
      <c r="H144" s="29" t="n">
        <f aca="false">IF(H$47&lt;=1,0,((($D$22*Quesería!$J$127+(1-$D$22)*Quesería!$E$123)-($D$22*Quesería!$J$113+(1-$D$22)*Quesería!$E$113)+$D$6*($D$22*Quesería!$J$113+(1-$D$22)*Quesería!$E$113)-(1-$D$9)*(($D$22*Quesería!$J$119+(1-$D$22)*Quesería!$E$119)+($D$22*Quesería!$J$118+(1-$D$22)*Quesería!$E$118))-(1-$D$24)*($D$22*Quesería!$J$117+(1-$D$22)*Quesería!$E$117)+$D$24*(1-$D$25)*'Beneficios y costos'!$B$144-(-$D$26*$D$27)*'Beneficios y costos'!$C$167)+($D$6*($D$22*Quesería!$J$113+(1-$D$22)*Quesería!$E$113)+$D$9*($D$22*Quesería!$J$119+(1-$D$22)*Quesería!$E$119))*(H138-1))*IF(H$47=2,Quesería!$B$20,1)+IF(H$47=2,Quesería!$B$24*$D$9*($D$22*Quesería!$J$119+(1-$D$22)*Quesería!$E$119)*H138,0))*$D$10*$D$21</f>
        <v>0</v>
      </c>
      <c r="I144" s="29" t="n">
        <f aca="false">IF(I$47&lt;=1,0,((($D$22*Quesería!$J$127+(1-$D$22)*Quesería!$E$123)-($D$22*Quesería!$J$113+(1-$D$22)*Quesería!$E$113)+$D$6*($D$22*Quesería!$J$113+(1-$D$22)*Quesería!$E$113)-(1-$D$9)*(($D$22*Quesería!$J$119+(1-$D$22)*Quesería!$E$119)+($D$22*Quesería!$J$118+(1-$D$22)*Quesería!$E$118))-(1-$D$24)*($D$22*Quesería!$J$117+(1-$D$22)*Quesería!$E$117)+$D$24*(1-$D$25)*'Beneficios y costos'!$B$144-(-$D$26*$D$27)*'Beneficios y costos'!$C$167)+($D$6*($D$22*Quesería!$J$113+(1-$D$22)*Quesería!$E$113)+$D$9*($D$22*Quesería!$J$119+(1-$D$22)*Quesería!$E$119))*(I138-1))*IF(I$47=2,Quesería!$B$20,1)+IF(I$47=2,Quesería!$B$24*$D$9*($D$22*Quesería!$J$119+(1-$D$22)*Quesería!$E$119)*I138,0))*$D$10*$D$21</f>
        <v>0</v>
      </c>
      <c r="J144" s="29" t="n">
        <f aca="false">IF(J$47&lt;=1,0,((($D$22*Quesería!$J$127+(1-$D$22)*Quesería!$E$123)-($D$22*Quesería!$J$113+(1-$D$22)*Quesería!$E$113)+$D$6*($D$22*Quesería!$J$113+(1-$D$22)*Quesería!$E$113)-(1-$D$9)*(($D$22*Quesería!$J$119+(1-$D$22)*Quesería!$E$119)+($D$22*Quesería!$J$118+(1-$D$22)*Quesería!$E$118))-(1-$D$24)*($D$22*Quesería!$J$117+(1-$D$22)*Quesería!$E$117)+$D$24*(1-$D$25)*'Beneficios y costos'!$B$144-(-$D$26*$D$27)*'Beneficios y costos'!$C$167)+($D$6*($D$22*Quesería!$J$113+(1-$D$22)*Quesería!$E$113)+$D$9*($D$22*Quesería!$J$119+(1-$D$22)*Quesería!$E$119))*(J138-1))*IF(J$47=2,Quesería!$B$20,1)+IF(J$47=2,Quesería!$B$24*$D$9*($D$22*Quesería!$J$119+(1-$D$22)*Quesería!$E$119)*J138,0))*$D$10*$D$21</f>
        <v>0</v>
      </c>
      <c r="K144" s="29" t="n">
        <f aca="false">IF(K$47&lt;=1,0,((($D$22*Quesería!$J$127+(1-$D$22)*Quesería!$E$123)-($D$22*Quesería!$J$113+(1-$D$22)*Quesería!$E$113)+$D$6*($D$22*Quesería!$J$113+(1-$D$22)*Quesería!$E$113)-(1-$D$9)*(($D$22*Quesería!$J$119+(1-$D$22)*Quesería!$E$119)+($D$22*Quesería!$J$118+(1-$D$22)*Quesería!$E$118))-(1-$D$24)*($D$22*Quesería!$J$117+(1-$D$22)*Quesería!$E$117)+$D$24*(1-$D$25)*'Beneficios y costos'!$B$144-(-$D$26*$D$27)*'Beneficios y costos'!$C$167)+($D$6*($D$22*Quesería!$J$113+(1-$D$22)*Quesería!$E$113)+$D$9*($D$22*Quesería!$J$119+(1-$D$22)*Quesería!$E$119))*(K138-1))*IF(K$47=2,Quesería!$B$20,1)+IF(K$47=2,Quesería!$B$24*$D$9*($D$22*Quesería!$J$119+(1-$D$22)*Quesería!$E$119)*K138,0))*$D$10*$D$21</f>
        <v>0</v>
      </c>
      <c r="L144" s="29" t="n">
        <f aca="false">IF(L$47&lt;=1,0,((($D$22*Quesería!$J$127+(1-$D$22)*Quesería!$E$123)-($D$22*Quesería!$J$113+(1-$D$22)*Quesería!$E$113)+$D$6*($D$22*Quesería!$J$113+(1-$D$22)*Quesería!$E$113)-(1-$D$9)*(($D$22*Quesería!$J$119+(1-$D$22)*Quesería!$E$119)+($D$22*Quesería!$J$118+(1-$D$22)*Quesería!$E$118))-(1-$D$24)*($D$22*Quesería!$J$117+(1-$D$22)*Quesería!$E$117)+$D$24*(1-$D$25)*'Beneficios y costos'!$B$144-(-$D$26*$D$27)*'Beneficios y costos'!$C$167)+($D$6*($D$22*Quesería!$J$113+(1-$D$22)*Quesería!$E$113)+$D$9*($D$22*Quesería!$J$119+(1-$D$22)*Quesería!$E$119))*(L138-1))*IF(L$47=2,Quesería!$B$20,1)+IF(L$47=2,Quesería!$B$24*$D$9*($D$22*Quesería!$J$119+(1-$D$22)*Quesería!$E$119)*L138,0))*$D$10*$D$21</f>
        <v>0</v>
      </c>
    </row>
    <row r="145" customFormat="false" ht="15" hidden="true" customHeight="false" outlineLevel="1" collapsed="false">
      <c r="A145" s="5" t="s">
        <v>412</v>
      </c>
      <c r="B145" s="10" t="n">
        <f aca="false">B143+B144</f>
        <v>78.1729977357335</v>
      </c>
      <c r="C145" s="10" t="n">
        <f aca="false">C143+C144</f>
        <v>117.449365825298</v>
      </c>
      <c r="D145" s="10" t="n">
        <f aca="false">D143+D144</f>
        <v>156.644520228542</v>
      </c>
      <c r="E145" s="10" t="n">
        <f aca="false">E143+E144</f>
        <v>156.690112852328</v>
      </c>
      <c r="F145" s="10" t="n">
        <f aca="false">F143+F144</f>
        <v>156.735933439232</v>
      </c>
      <c r="G145" s="10" t="n">
        <f aca="false">G143+G144</f>
        <v>156.781983129071</v>
      </c>
      <c r="H145" s="10" t="n">
        <f aca="false">H143+H144</f>
        <v>156.828263067359</v>
      </c>
      <c r="I145" s="10" t="n">
        <f aca="false">I143+I144</f>
        <v>156.874774405338</v>
      </c>
      <c r="J145" s="10" t="n">
        <f aca="false">J143+J144</f>
        <v>156.921518300008</v>
      </c>
      <c r="K145" s="10" t="n">
        <f aca="false">K143+K144</f>
        <v>156.96849591415</v>
      </c>
      <c r="L145" s="10" t="n">
        <f aca="false">L143+L144</f>
        <v>157.015708416364</v>
      </c>
    </row>
    <row r="146" customFormat="false" ht="15" hidden="true" customHeight="false" outlineLevel="1" collapsed="false">
      <c r="A146" s="6" t="s">
        <v>413</v>
      </c>
      <c r="B146" s="29" t="n">
        <f aca="false">(IF(B$47&gt;=1,(Quesería!$B$31+Quesería!$B$33)*Quesería!$F$94*$D$11+Quesería!$B$32+'Beneficios y costos'!$B$249,0)+IF(B$47&gt;=2,((Quesería!$B$31+Quesería!$B$33)*(Quesería!$F$95-(-$D$26)*Quesería!$D$86)*$D$11+'Beneficios y costos'!$C$249-(-$D$26)*'Beneficios y costos'!$H$235)*$D$21,0))*$D$12</f>
        <v>0</v>
      </c>
      <c r="C146" s="29" t="n">
        <f aca="false">(IF(C$47&gt;=1,(Quesería!$B$31+Quesería!$B$33)*Quesería!$F$94*$D$11+Quesería!$B$32+'Beneficios y costos'!$B$249,0)+IF(C$47&gt;=2,((Quesería!$B$31+Quesería!$B$33)*(Quesería!$F$95-(-$D$26)*Quesería!$D$86)*$D$11+'Beneficios y costos'!$C$249-(-$D$26)*'Beneficios y costos'!$H$235)*$D$21,0))*$D$12</f>
        <v>42.0946487260605</v>
      </c>
      <c r="D146" s="29" t="n">
        <f aca="false">(IF(D$47&gt;=1,(Quesería!$B$31+Quesería!$B$33)*Quesería!$F$94*$D$11+Quesería!$B$32+'Beneficios y costos'!$B$249,0)+IF(D$47&gt;=2,((Quesería!$B$31+Quesería!$B$33)*(Quesería!$F$95-(-$D$26)*Quesería!$D$86)*$D$11+'Beneficios y costos'!$C$249-(-$D$26)*'Beneficios y costos'!$H$235)*$D$21,0))*$D$12</f>
        <v>42.0946487260605</v>
      </c>
      <c r="E146" s="29" t="n">
        <f aca="false">(IF(E$47&gt;=1,(Quesería!$B$31+Quesería!$B$33)*Quesería!$F$94*$D$11+Quesería!$B$32+'Beneficios y costos'!$B$249,0)+IF(E$47&gt;=2,((Quesería!$B$31+Quesería!$B$33)*(Quesería!$F$95-(-$D$26)*Quesería!$D$86)*$D$11+'Beneficios y costos'!$C$249-(-$D$26)*'Beneficios y costos'!$H$235)*$D$21,0))*$D$12</f>
        <v>42.0946487260605</v>
      </c>
      <c r="F146" s="29" t="n">
        <f aca="false">(IF(F$47&gt;=1,(Quesería!$B$31+Quesería!$B$33)*Quesería!$F$94*$D$11+Quesería!$B$32+'Beneficios y costos'!$B$249,0)+IF(F$47&gt;=2,((Quesería!$B$31+Quesería!$B$33)*(Quesería!$F$95-(-$D$26)*Quesería!$D$86)*$D$11+'Beneficios y costos'!$C$249-(-$D$26)*'Beneficios y costos'!$H$235)*$D$21,0))*$D$12</f>
        <v>42.0946487260605</v>
      </c>
      <c r="G146" s="29" t="n">
        <f aca="false">(IF(G$47&gt;=1,(Quesería!$B$31+Quesería!$B$33)*Quesería!$F$94*$D$11+Quesería!$B$32+'Beneficios y costos'!$B$249,0)+IF(G$47&gt;=2,((Quesería!$B$31+Quesería!$B$33)*(Quesería!$F$95-(-$D$26)*Quesería!$D$86)*$D$11+'Beneficios y costos'!$C$249-(-$D$26)*'Beneficios y costos'!$H$235)*$D$21,0))*$D$12</f>
        <v>42.0946487260605</v>
      </c>
      <c r="H146" s="29" t="n">
        <f aca="false">(IF(H$47&gt;=1,(Quesería!$B$31+Quesería!$B$33)*Quesería!$F$94*$D$11+Quesería!$B$32+'Beneficios y costos'!$B$249,0)+IF(H$47&gt;=2,((Quesería!$B$31+Quesería!$B$33)*(Quesería!$F$95-(-$D$26)*Quesería!$D$86)*$D$11+'Beneficios y costos'!$C$249-(-$D$26)*'Beneficios y costos'!$H$235)*$D$21,0))*$D$12</f>
        <v>42.0946487260605</v>
      </c>
      <c r="I146" s="29" t="n">
        <f aca="false">(IF(I$47&gt;=1,(Quesería!$B$31+Quesería!$B$33)*Quesería!$F$94*$D$11+Quesería!$B$32+'Beneficios y costos'!$B$249,0)+IF(I$47&gt;=2,((Quesería!$B$31+Quesería!$B$33)*(Quesería!$F$95-(-$D$26)*Quesería!$D$86)*$D$11+'Beneficios y costos'!$C$249-(-$D$26)*'Beneficios y costos'!$H$235)*$D$21,0))*$D$12</f>
        <v>42.0946487260605</v>
      </c>
      <c r="J146" s="29" t="n">
        <f aca="false">(IF(J$47&gt;=1,(Quesería!$B$31+Quesería!$B$33)*Quesería!$F$94*$D$11+Quesería!$B$32+'Beneficios y costos'!$B$249,0)+IF(J$47&gt;=2,((Quesería!$B$31+Quesería!$B$33)*(Quesería!$F$95-(-$D$26)*Quesería!$D$86)*$D$11+'Beneficios y costos'!$C$249-(-$D$26)*'Beneficios y costos'!$H$235)*$D$21,0))*$D$12</f>
        <v>42.0946487260605</v>
      </c>
      <c r="K146" s="29" t="n">
        <f aca="false">(IF(K$47&gt;=1,(Quesería!$B$31+Quesería!$B$33)*Quesería!$F$94*$D$11+Quesería!$B$32+'Beneficios y costos'!$B$249,0)+IF(K$47&gt;=2,((Quesería!$B$31+Quesería!$B$33)*(Quesería!$F$95-(-$D$26)*Quesería!$D$86)*$D$11+'Beneficios y costos'!$C$249-(-$D$26)*'Beneficios y costos'!$H$235)*$D$21,0))*$D$12</f>
        <v>42.0946487260605</v>
      </c>
      <c r="L146" s="29" t="n">
        <f aca="false">(IF(L$47&gt;=1,(Quesería!$B$31+Quesería!$B$33)*Quesería!$F$94*$D$11+Quesería!$B$32+'Beneficios y costos'!$B$249,0)+IF(L$47&gt;=2,((Quesería!$B$31+Quesería!$B$33)*(Quesería!$F$95-(-$D$26)*Quesería!$D$86)*$D$11+'Beneficios y costos'!$C$249-(-$D$26)*'Beneficios y costos'!$H$235)*$D$21,0))*$D$12</f>
        <v>42.0946487260605</v>
      </c>
    </row>
    <row r="147" customFormat="false" ht="15" hidden="true" customHeight="false" outlineLevel="1" collapsed="false">
      <c r="A147" s="6" t="s">
        <v>414</v>
      </c>
      <c r="B147" s="29" t="n">
        <f aca="false">IF(B$47=1,2*Quesería!$B$22*Quesería!$B$23/12*B138,0)*$D$21</f>
        <v>0</v>
      </c>
      <c r="C147" s="29" t="n">
        <f aca="false">IF(C$47=1,2*Quesería!$B$22*Quesería!$B$23/12*C138,0)*$D$21</f>
        <v>0</v>
      </c>
      <c r="D147" s="29" t="n">
        <f aca="false">IF(D$47=1,2*Quesería!$B$22*Quesería!$B$23/12*D138,0)*$D$21</f>
        <v>0</v>
      </c>
      <c r="E147" s="29" t="n">
        <f aca="false">IF(E$47=1,2*Quesería!$B$22*Quesería!$B$23/12*E138,0)*$D$21</f>
        <v>0</v>
      </c>
      <c r="F147" s="29" t="n">
        <f aca="false">IF(F$47=1,2*Quesería!$B$22*Quesería!$B$23/12*F138,0)*$D$21</f>
        <v>0</v>
      </c>
      <c r="G147" s="29" t="n">
        <f aca="false">IF(G$47=1,2*Quesería!$B$22*Quesería!$B$23/12*G138,0)*$D$21</f>
        <v>0</v>
      </c>
      <c r="H147" s="29" t="n">
        <f aca="false">IF(H$47=1,2*Quesería!$B$22*Quesería!$B$23/12*H138,0)*$D$21</f>
        <v>0</v>
      </c>
      <c r="I147" s="29" t="n">
        <f aca="false">IF(I$47=1,2*Quesería!$B$22*Quesería!$B$23/12*I138,0)*$D$21</f>
        <v>0</v>
      </c>
      <c r="J147" s="29" t="n">
        <f aca="false">IF(J$47=1,2*Quesería!$B$22*Quesería!$B$23/12*J138,0)*$D$21</f>
        <v>0</v>
      </c>
      <c r="K147" s="29" t="n">
        <f aca="false">IF(K$47=1,2*Quesería!$B$22*Quesería!$B$23/12*K138,0)*$D$21</f>
        <v>0</v>
      </c>
      <c r="L147" s="29" t="n">
        <f aca="false">IF(L$47=1,2*Quesería!$B$22*Quesería!$B$23/12*L138,0)*$D$21</f>
        <v>0</v>
      </c>
    </row>
    <row r="148" customFormat="false" ht="15" hidden="true" customHeight="false" outlineLevel="1" collapsed="false">
      <c r="A148" s="6" t="s">
        <v>415</v>
      </c>
      <c r="B148" s="29" t="n">
        <f aca="false">Quesería!$B$52*(B140+B141+B142+B146+B147)</f>
        <v>4.31966364396742</v>
      </c>
      <c r="C148" s="29" t="n">
        <f aca="false">Quesería!$B$52*(C140+C141+C142+C146+C147)</f>
        <v>0.168378594904242</v>
      </c>
      <c r="D148" s="29" t="n">
        <f aca="false">Quesería!$B$52*(D140+D141+D142+D146+D147)</f>
        <v>0.168378594904242</v>
      </c>
      <c r="E148" s="29" t="n">
        <f aca="false">Quesería!$B$52*(E140+E141+E142+E146+E147)</f>
        <v>0.168378594904242</v>
      </c>
      <c r="F148" s="29" t="n">
        <f aca="false">Quesería!$B$52*(F140+F141+F142+F146+F147)</f>
        <v>0.168378594904242</v>
      </c>
      <c r="G148" s="29" t="n">
        <f aca="false">Quesería!$B$52*(G140+G141+G142+G146+G147)</f>
        <v>0.29911302910408</v>
      </c>
      <c r="H148" s="29" t="n">
        <f aca="false">Quesería!$B$52*(H140+H141+H142+H146+H147)</f>
        <v>0.389190976088389</v>
      </c>
      <c r="I148" s="29" t="n">
        <f aca="false">Quesería!$B$52*(I140+I141+I142+I146+I147)</f>
        <v>0.168378594904242</v>
      </c>
      <c r="J148" s="29" t="n">
        <f aca="false">Quesería!$B$52*(J140+J141+J142+J146+J147)</f>
        <v>0.168378594904242</v>
      </c>
      <c r="K148" s="29" t="n">
        <f aca="false">Quesería!$B$52*(K140+K141+K142+K146+K147)</f>
        <v>0.168378594904242</v>
      </c>
      <c r="L148" s="29" t="n">
        <f aca="false">Quesería!$B$52*(L140+L141+L142+L146+L147)</f>
        <v>0.168378594904242</v>
      </c>
    </row>
    <row r="149" customFormat="false" ht="15" hidden="true" customHeight="false" outlineLevel="1" collapsed="false">
      <c r="A149" s="6" t="s">
        <v>416</v>
      </c>
      <c r="B149" s="29" t="n">
        <f aca="false">(IF($D$19=1,(SUMPRODUCT((Quesería!$C$70:$C$89=0)*(Quesería!$J$70:$J$89&gt;0)*(B$47&gt;=1)*(B$47&lt;=Quesería!$J$70:$J$89)*(Quesería!$H$70:$H$89&gt;0)*Quesería!$F$70:$F$89*(1+Quesería!$I$70:$I$89)/(Quesería!$J$70:$J$89+(Quesería!$J$70:$J$89=0)))+SUMPRODUCT((Quesería!$C$70:$C$89=0)*(Quesería!$J$70:$J$89=0)*(B$47=0)*(Quesería!$H$70:$H$89&gt;0)*Quesería!$F$70:$F$89*(1+Quesería!$I$70:$I$89)))*$B$137+((SUMPRODUCT((Quesería!$C$70:$C$89=1)*(Quesería!$J$70:$J$89&gt;0)*(B$47&gt;=2)*(B$47&lt;=Quesería!$J$70:$J$89+1)*(Quesería!$H$70:$H$89&gt;0)*Quesería!$F$70:$F$89*(1+Quesería!$I$70:$I$89)/(Quesería!$J$70:$J$89+(Quesería!$J$70:$J$89=0)))+SUMPRODUCT((Quesería!$C$70:$C$89=1)*(Quesería!$J$70:$J$89=0)*(B$47=1)*(Quesería!$H$70:$H$89&gt;0)*Quesería!$F$70:$F$89*(1+Quesería!$I$70:$I$89)))-(-$D$26)*IF(AND(B$47&gt;=2,B$47&lt;=Quesería!$J$86+1),Quesería!$D$86*(1+Quesería!$I$86)/Quesería!$J$86,0))*$C$137*$D$21,IF(AND(B$47&gt;=1,B$47&lt;=Quesería!$B$30),Quesería!$F$92/Quesería!$B$30,0)*$B$137+IF(AND(B$47&gt;=2,B$47&lt;=Quesería!$B$30+1),(Quesería!$F$93-(-$D$26)*Quesería!$D$86*(1+Quesería!$I$86))/Quesería!$B$30,0)*$C$137*$D$21)*$D$11+IF(AND(B$47&gt;=6,B$47&lt;=10),$G141*$G137/5,0)+IF(AND(B$47&gt;=7,B$47&lt;=11),$H141*$H137/5,0))*B139</f>
        <v>145.980915430742</v>
      </c>
      <c r="C149" s="29" t="n">
        <f aca="false">(IF($D$19=1,(SUMPRODUCT((Quesería!$C$70:$C$89=0)*(Quesería!$J$70:$J$89&gt;0)*(C$47&gt;=1)*(C$47&lt;=Quesería!$J$70:$J$89)*(Quesería!$H$70:$H$89&gt;0)*Quesería!$F$70:$F$89*(1+Quesería!$I$70:$I$89)/(Quesería!$J$70:$J$89+(Quesería!$J$70:$J$89=0)))+SUMPRODUCT((Quesería!$C$70:$C$89=0)*(Quesería!$J$70:$J$89=0)*(C$47=0)*(Quesería!$H$70:$H$89&gt;0)*Quesería!$F$70:$F$89*(1+Quesería!$I$70:$I$89)))*$B$137+((SUMPRODUCT((Quesería!$C$70:$C$89=1)*(Quesería!$J$70:$J$89&gt;0)*(C$47&gt;=2)*(C$47&lt;=Quesería!$J$70:$J$89+1)*(Quesería!$H$70:$H$89&gt;0)*Quesería!$F$70:$F$89*(1+Quesería!$I$70:$I$89)/(Quesería!$J$70:$J$89+(Quesería!$J$70:$J$89=0)))+SUMPRODUCT((Quesería!$C$70:$C$89=1)*(Quesería!$J$70:$J$89=0)*(C$47=1)*(Quesería!$H$70:$H$89&gt;0)*Quesería!$F$70:$F$89*(1+Quesería!$I$70:$I$89)))-(-$D$26)*IF(AND(C$47&gt;=2,C$47&lt;=Quesería!$J$86+1),Quesería!$D$86*(1+Quesería!$I$86)/Quesería!$J$86,0))*$C$137*$D$21,IF(AND(C$47&gt;=1,C$47&lt;=Quesería!$B$30),Quesería!$F$92/Quesería!$B$30,0)*$B$137+IF(AND(C$47&gt;=2,C$47&lt;=Quesería!$B$30+1),(Quesería!$F$93-(-$D$26)*Quesería!$D$86*(1+Quesería!$I$86))/Quesería!$B$30,0)*$C$137*$D$21)*$D$11+IF(AND(C$47&gt;=6,C$47&lt;=10),$G141*$G137/5,0)+IF(AND(C$47&gt;=7,C$47&lt;=11),$H141*$H137/5,0))*C139</f>
        <v>82.2633269524265</v>
      </c>
      <c r="D149" s="29" t="n">
        <f aca="false">(IF($D$19=1,(SUMPRODUCT((Quesería!$C$70:$C$89=0)*(Quesería!$J$70:$J$89&gt;0)*(D$47&gt;=1)*(D$47&lt;=Quesería!$J$70:$J$89)*(Quesería!$H$70:$H$89&gt;0)*Quesería!$F$70:$F$89*(1+Quesería!$I$70:$I$89)/(Quesería!$J$70:$J$89+(Quesería!$J$70:$J$89=0)))+SUMPRODUCT((Quesería!$C$70:$C$89=0)*(Quesería!$J$70:$J$89=0)*(D$47=0)*(Quesería!$H$70:$H$89&gt;0)*Quesería!$F$70:$F$89*(1+Quesería!$I$70:$I$89)))*$B$137+((SUMPRODUCT((Quesería!$C$70:$C$89=1)*(Quesería!$J$70:$J$89&gt;0)*(D$47&gt;=2)*(D$47&lt;=Quesería!$J$70:$J$89+1)*(Quesería!$H$70:$H$89&gt;0)*Quesería!$F$70:$F$89*(1+Quesería!$I$70:$I$89)/(Quesería!$J$70:$J$89+(Quesería!$J$70:$J$89=0)))+SUMPRODUCT((Quesería!$C$70:$C$89=1)*(Quesería!$J$70:$J$89=0)*(D$47=1)*(Quesería!$H$70:$H$89&gt;0)*Quesería!$F$70:$F$89*(1+Quesería!$I$70:$I$89)))-(-$D$26)*IF(AND(D$47&gt;=2,D$47&lt;=Quesería!$J$86+1),Quesería!$D$86*(1+Quesería!$I$86)/Quesería!$J$86,0))*$C$137*$D$21,IF(AND(D$47&gt;=1,D$47&lt;=Quesería!$B$30),Quesería!$F$92/Quesería!$B$30,0)*$B$137+IF(AND(D$47&gt;=2,D$47&lt;=Quesería!$B$30+1),(Quesería!$F$93-(-$D$26)*Quesería!$D$86*(1+Quesería!$I$86))/Quesería!$B$30,0)*$C$137*$D$21)*$D$11+IF(AND(D$47&gt;=6,D$47&lt;=10),$G141*$G137/5,0)+IF(AND(D$47&gt;=7,D$47&lt;=11),$H141*$H137/5,0))*D139</f>
        <v>78.7208870358149</v>
      </c>
      <c r="E149" s="29" t="n">
        <f aca="false">(IF($D$19=1,(SUMPRODUCT((Quesería!$C$70:$C$89=0)*(Quesería!$J$70:$J$89&gt;0)*(E$47&gt;=1)*(E$47&lt;=Quesería!$J$70:$J$89)*(Quesería!$H$70:$H$89&gt;0)*Quesería!$F$70:$F$89*(1+Quesería!$I$70:$I$89)/(Quesería!$J$70:$J$89+(Quesería!$J$70:$J$89=0)))+SUMPRODUCT((Quesería!$C$70:$C$89=0)*(Quesería!$J$70:$J$89=0)*(E$47=0)*(Quesería!$H$70:$H$89&gt;0)*Quesería!$F$70:$F$89*(1+Quesería!$I$70:$I$89)))*$B$137+((SUMPRODUCT((Quesería!$C$70:$C$89=1)*(Quesería!$J$70:$J$89&gt;0)*(E$47&gt;=2)*(E$47&lt;=Quesería!$J$70:$J$89+1)*(Quesería!$H$70:$H$89&gt;0)*Quesería!$F$70:$F$89*(1+Quesería!$I$70:$I$89)/(Quesería!$J$70:$J$89+(Quesería!$J$70:$J$89=0)))+SUMPRODUCT((Quesería!$C$70:$C$89=1)*(Quesería!$J$70:$J$89=0)*(E$47=1)*(Quesería!$H$70:$H$89&gt;0)*Quesería!$F$70:$F$89*(1+Quesería!$I$70:$I$89)))-(-$D$26)*IF(AND(E$47&gt;=2,E$47&lt;=Quesería!$J$86+1),Quesería!$D$86*(1+Quesería!$I$86)/Quesería!$J$86,0))*$C$137*$D$21,IF(AND(E$47&gt;=1,E$47&lt;=Quesería!$B$30),Quesería!$F$92/Quesería!$B$30,0)*$B$137+IF(AND(E$47&gt;=2,E$47&lt;=Quesería!$B$30+1),(Quesería!$F$93-(-$D$26)*Quesería!$D$86*(1+Quesería!$I$86))/Quesería!$B$30,0)*$C$137*$D$21)*$D$11+IF(AND(E$47&gt;=6,E$47&lt;=10),$G141*$G137/5,0)+IF(AND(E$47&gt;=7,E$47&lt;=11),$H141*$H137/5,0))*E139</f>
        <v>75.6931606113605</v>
      </c>
      <c r="F149" s="29" t="n">
        <f aca="false">(IF($D$19=1,(SUMPRODUCT((Quesería!$C$70:$C$89=0)*(Quesería!$J$70:$J$89&gt;0)*(F$47&gt;=1)*(F$47&lt;=Quesería!$J$70:$J$89)*(Quesería!$H$70:$H$89&gt;0)*Quesería!$F$70:$F$89*(1+Quesería!$I$70:$I$89)/(Quesería!$J$70:$J$89+(Quesería!$J$70:$J$89=0)))+SUMPRODUCT((Quesería!$C$70:$C$89=0)*(Quesería!$J$70:$J$89=0)*(F$47=0)*(Quesería!$H$70:$H$89&gt;0)*Quesería!$F$70:$F$89*(1+Quesería!$I$70:$I$89)))*$B$137+((SUMPRODUCT((Quesería!$C$70:$C$89=1)*(Quesería!$J$70:$J$89&gt;0)*(F$47&gt;=2)*(F$47&lt;=Quesería!$J$70:$J$89+1)*(Quesería!$H$70:$H$89&gt;0)*Quesería!$F$70:$F$89*(1+Quesería!$I$70:$I$89)/(Quesería!$J$70:$J$89+(Quesería!$J$70:$J$89=0)))+SUMPRODUCT((Quesería!$C$70:$C$89=1)*(Quesería!$J$70:$J$89=0)*(F$47=1)*(Quesería!$H$70:$H$89&gt;0)*Quesería!$F$70:$F$89*(1+Quesería!$I$70:$I$89)))-(-$D$26)*IF(AND(F$47&gt;=2,F$47&lt;=Quesería!$J$86+1),Quesería!$D$86*(1+Quesería!$I$86)/Quesería!$J$86,0))*$C$137*$D$21,IF(AND(F$47&gt;=1,F$47&lt;=Quesería!$B$30),Quesería!$F$92/Quesería!$B$30,0)*$B$137+IF(AND(F$47&gt;=2,F$47&lt;=Quesería!$B$30+1),(Quesería!$F$93-(-$D$26)*Quesería!$D$86*(1+Quesería!$I$86))/Quesería!$B$30,0)*$C$137*$D$21)*$D$11+IF(AND(F$47&gt;=6,F$47&lt;=10),$G141*$G137/5,0)+IF(AND(F$47&gt;=7,F$47&lt;=11),$H141*$H137/5,0))*F139</f>
        <v>72.7818852032312</v>
      </c>
      <c r="G149" s="29" t="n">
        <f aca="false">(IF($D$19=1,(SUMPRODUCT((Quesería!$C$70:$C$89=0)*(Quesería!$J$70:$J$89&gt;0)*(G$47&gt;=1)*(G$47&lt;=Quesería!$J$70:$J$89)*(Quesería!$H$70:$H$89&gt;0)*Quesería!$F$70:$F$89*(1+Quesería!$I$70:$I$89)/(Quesería!$J$70:$J$89+(Quesería!$J$70:$J$89=0)))+SUMPRODUCT((Quesería!$C$70:$C$89=0)*(Quesería!$J$70:$J$89=0)*(G$47=0)*(Quesería!$H$70:$H$89&gt;0)*Quesería!$F$70:$F$89*(1+Quesería!$I$70:$I$89)))*$B$137+((SUMPRODUCT((Quesería!$C$70:$C$89=1)*(Quesería!$J$70:$J$89&gt;0)*(G$47&gt;=2)*(G$47&lt;=Quesería!$J$70:$J$89+1)*(Quesería!$H$70:$H$89&gt;0)*Quesería!$F$70:$F$89*(1+Quesería!$I$70:$I$89)/(Quesería!$J$70:$J$89+(Quesería!$J$70:$J$89=0)))+SUMPRODUCT((Quesería!$C$70:$C$89=1)*(Quesería!$J$70:$J$89=0)*(G$47=1)*(Quesería!$H$70:$H$89&gt;0)*Quesería!$F$70:$F$89*(1+Quesería!$I$70:$I$89)))-(-$D$26)*IF(AND(G$47&gt;=2,G$47&lt;=Quesería!$J$86+1),Quesería!$D$86*(1+Quesería!$I$86)/Quesería!$J$86,0))*$C$137*$D$21,IF(AND(G$47&gt;=1,G$47&lt;=Quesería!$B$30),Quesería!$F$92/Quesería!$B$30,0)*$B$137+IF(AND(G$47&gt;=2,G$47&lt;=Quesería!$B$30+1),(Quesería!$F$93-(-$D$26)*Quesería!$D$86*(1+Quesería!$I$86))/Quesería!$B$30,0)*$C$137*$D$21)*$D$11+IF(AND(G$47&gt;=6,G$47&lt;=10),$G141*$G137/5,0)+IF(AND(G$47&gt;=7,G$47&lt;=11),$H141*$H137/5,0))*G139</f>
        <v>69.9825819261839</v>
      </c>
      <c r="H149" s="29" t="n">
        <f aca="false">(IF($D$19=1,(SUMPRODUCT((Quesería!$C$70:$C$89=0)*(Quesería!$J$70:$J$89&gt;0)*(H$47&gt;=1)*(H$47&lt;=Quesería!$J$70:$J$89)*(Quesería!$H$70:$H$89&gt;0)*Quesería!$F$70:$F$89*(1+Quesería!$I$70:$I$89)/(Quesería!$J$70:$J$89+(Quesería!$J$70:$J$89=0)))+SUMPRODUCT((Quesería!$C$70:$C$89=0)*(Quesería!$J$70:$J$89=0)*(H$47=0)*(Quesería!$H$70:$H$89&gt;0)*Quesería!$F$70:$F$89*(1+Quesería!$I$70:$I$89)))*$B$137+((SUMPRODUCT((Quesería!$C$70:$C$89=1)*(Quesería!$J$70:$J$89&gt;0)*(H$47&gt;=2)*(H$47&lt;=Quesería!$J$70:$J$89+1)*(Quesería!$H$70:$H$89&gt;0)*Quesería!$F$70:$F$89*(1+Quesería!$I$70:$I$89)/(Quesería!$J$70:$J$89+(Quesería!$J$70:$J$89=0)))+SUMPRODUCT((Quesería!$C$70:$C$89=1)*(Quesería!$J$70:$J$89=0)*(H$47=1)*(Quesería!$H$70:$H$89&gt;0)*Quesería!$F$70:$F$89*(1+Quesería!$I$70:$I$89)))-(-$D$26)*IF(AND(H$47&gt;=2,H$47&lt;=Quesería!$J$86+1),Quesería!$D$86*(1+Quesería!$I$86)/Quesería!$J$86,0))*$C$137*$D$21,IF(AND(H$47&gt;=1,H$47&lt;=Quesería!$B$30),Quesería!$F$92/Quesería!$B$30,0)*$B$137+IF(AND(H$47&gt;=2,H$47&lt;=Quesería!$B$30+1),(Quesería!$F$93-(-$D$26)*Quesería!$D$86*(1+Quesería!$I$86))/Quesería!$B$30,0)*$C$137*$D$21)*$D$11+IF(AND(H$47&gt;=6,H$47&lt;=10),$G141*$G137/5,0)+IF(AND(H$47&gt;=7,H$47&lt;=11),$H141*$H137/5,0))*H139</f>
        <v>60.2723225558906</v>
      </c>
      <c r="I149" s="29" t="n">
        <f aca="false">(IF($D$19=1,(SUMPRODUCT((Quesería!$C$70:$C$89=0)*(Quesería!$J$70:$J$89&gt;0)*(I$47&gt;=1)*(I$47&lt;=Quesería!$J$70:$J$89)*(Quesería!$H$70:$H$89&gt;0)*Quesería!$F$70:$F$89*(1+Quesería!$I$70:$I$89)/(Quesería!$J$70:$J$89+(Quesería!$J$70:$J$89=0)))+SUMPRODUCT((Quesería!$C$70:$C$89=0)*(Quesería!$J$70:$J$89=0)*(I$47=0)*(Quesería!$H$70:$H$89&gt;0)*Quesería!$F$70:$F$89*(1+Quesería!$I$70:$I$89)))*$B$137+((SUMPRODUCT((Quesería!$C$70:$C$89=1)*(Quesería!$J$70:$J$89&gt;0)*(I$47&gt;=2)*(I$47&lt;=Quesería!$J$70:$J$89+1)*(Quesería!$H$70:$H$89&gt;0)*Quesería!$F$70:$F$89*(1+Quesería!$I$70:$I$89)/(Quesería!$J$70:$J$89+(Quesería!$J$70:$J$89=0)))+SUMPRODUCT((Quesería!$C$70:$C$89=1)*(Quesería!$J$70:$J$89=0)*(I$47=1)*(Quesería!$H$70:$H$89&gt;0)*Quesería!$F$70:$F$89*(1+Quesería!$I$70:$I$89)))-(-$D$26)*IF(AND(I$47&gt;=2,I$47&lt;=Quesería!$J$86+1),Quesería!$D$86*(1+Quesería!$I$86)/Quesería!$J$86,0))*$C$137*$D$21,IF(AND(I$47&gt;=1,I$47&lt;=Quesería!$B$30),Quesería!$F$92/Quesería!$B$30,0)*$B$137+IF(AND(I$47&gt;=2,I$47&lt;=Quesería!$B$30+1),(Quesería!$F$93-(-$D$26)*Quesería!$D$86*(1+Quesería!$I$86))/Quesería!$B$30,0)*$C$137*$D$21)*$D$11+IF(AND(I$47&gt;=6,I$47&lt;=10),$G141*$G137/5,0)+IF(AND(I$47&gt;=7,I$47&lt;=11),$H141*$H137/5,0))*I139</f>
        <v>66.875147786617</v>
      </c>
      <c r="J149" s="29" t="n">
        <f aca="false">(IF($D$19=1,(SUMPRODUCT((Quesería!$C$70:$C$89=0)*(Quesería!$J$70:$J$89&gt;0)*(J$47&gt;=1)*(J$47&lt;=Quesería!$J$70:$J$89)*(Quesería!$H$70:$H$89&gt;0)*Quesería!$F$70:$F$89*(1+Quesería!$I$70:$I$89)/(Quesería!$J$70:$J$89+(Quesería!$J$70:$J$89=0)))+SUMPRODUCT((Quesería!$C$70:$C$89=0)*(Quesería!$J$70:$J$89=0)*(J$47=0)*(Quesería!$H$70:$H$89&gt;0)*Quesería!$F$70:$F$89*(1+Quesería!$I$70:$I$89)))*$B$137+((SUMPRODUCT((Quesería!$C$70:$C$89=1)*(Quesería!$J$70:$J$89&gt;0)*(J$47&gt;=2)*(J$47&lt;=Quesería!$J$70:$J$89+1)*(Quesería!$H$70:$H$89&gt;0)*Quesería!$F$70:$F$89*(1+Quesería!$I$70:$I$89)/(Quesería!$J$70:$J$89+(Quesería!$J$70:$J$89=0)))+SUMPRODUCT((Quesería!$C$70:$C$89=1)*(Quesería!$J$70:$J$89=0)*(J$47=1)*(Quesería!$H$70:$H$89&gt;0)*Quesería!$F$70:$F$89*(1+Quesería!$I$70:$I$89)))-(-$D$26)*IF(AND(J$47&gt;=2,J$47&lt;=Quesería!$J$86+1),Quesería!$D$86*(1+Quesería!$I$86)/Quesería!$J$86,0))*$C$137*$D$21,IF(AND(J$47&gt;=1,J$47&lt;=Quesería!$B$30),Quesería!$F$92/Quesería!$B$30,0)*$B$137+IF(AND(J$47&gt;=2,J$47&lt;=Quesería!$B$30+1),(Quesería!$F$93-(-$D$26)*Quesería!$D$86*(1+Quesería!$I$86))/Quesería!$B$30,0)*$C$137*$D$21)*$D$11+IF(AND(J$47&gt;=6,J$47&lt;=10),$G141*$G137/5,0)+IF(AND(J$47&gt;=7,J$47&lt;=11),$H141*$H137/5,0))*J139</f>
        <v>64.3030267179009</v>
      </c>
      <c r="K149" s="29" t="n">
        <f aca="false">(IF($D$19=1,(SUMPRODUCT((Quesería!$C$70:$C$89=0)*(Quesería!$J$70:$J$89&gt;0)*(K$47&gt;=1)*(K$47&lt;=Quesería!$J$70:$J$89)*(Quesería!$H$70:$H$89&gt;0)*Quesería!$F$70:$F$89*(1+Quesería!$I$70:$I$89)/(Quesería!$J$70:$J$89+(Quesería!$J$70:$J$89=0)))+SUMPRODUCT((Quesería!$C$70:$C$89=0)*(Quesería!$J$70:$J$89=0)*(K$47=0)*(Quesería!$H$70:$H$89&gt;0)*Quesería!$F$70:$F$89*(1+Quesería!$I$70:$I$89)))*$B$137+((SUMPRODUCT((Quesería!$C$70:$C$89=1)*(Quesería!$J$70:$J$89&gt;0)*(K$47&gt;=2)*(K$47&lt;=Quesería!$J$70:$J$89+1)*(Quesería!$H$70:$H$89&gt;0)*Quesería!$F$70:$F$89*(1+Quesería!$I$70:$I$89)/(Quesería!$J$70:$J$89+(Quesería!$J$70:$J$89=0)))+SUMPRODUCT((Quesería!$C$70:$C$89=1)*(Quesería!$J$70:$J$89=0)*(K$47=1)*(Quesería!$H$70:$H$89&gt;0)*Quesería!$F$70:$F$89*(1+Quesería!$I$70:$I$89)))-(-$D$26)*IF(AND(K$47&gt;=2,K$47&lt;=Quesería!$J$86+1),Quesería!$D$86*(1+Quesería!$I$86)/Quesería!$J$86,0))*$C$137*$D$21,IF(AND(K$47&gt;=1,K$47&lt;=Quesería!$B$30),Quesería!$F$92/Quesería!$B$30,0)*$B$137+IF(AND(K$47&gt;=2,K$47&lt;=Quesería!$B$30+1),(Quesería!$F$93-(-$D$26)*Quesería!$D$86*(1+Quesería!$I$86))/Quesería!$B$30,0)*$C$137*$D$21)*$D$11+IF(AND(K$47&gt;=6,K$47&lt;=10),$G141*$G137/5,0)+IF(AND(K$47&gt;=7,K$47&lt;=11),$H141*$H137/5,0))*K139</f>
        <v>61.829833382597</v>
      </c>
      <c r="L149" s="29" t="n">
        <f aca="false">(IF($D$19=1,(SUMPRODUCT((Quesería!$C$70:$C$89=0)*(Quesería!$J$70:$J$89&gt;0)*(L$47&gt;=1)*(L$47&lt;=Quesería!$J$70:$J$89)*(Quesería!$H$70:$H$89&gt;0)*Quesería!$F$70:$F$89*(1+Quesería!$I$70:$I$89)/(Quesería!$J$70:$J$89+(Quesería!$J$70:$J$89=0)))+SUMPRODUCT((Quesería!$C$70:$C$89=0)*(Quesería!$J$70:$J$89=0)*(L$47=0)*(Quesería!$H$70:$H$89&gt;0)*Quesería!$F$70:$F$89*(1+Quesería!$I$70:$I$89)))*$B$137+((SUMPRODUCT((Quesería!$C$70:$C$89=1)*(Quesería!$J$70:$J$89&gt;0)*(L$47&gt;=2)*(L$47&lt;=Quesería!$J$70:$J$89+1)*(Quesería!$H$70:$H$89&gt;0)*Quesería!$F$70:$F$89*(1+Quesería!$I$70:$I$89)/(Quesería!$J$70:$J$89+(Quesería!$J$70:$J$89=0)))+SUMPRODUCT((Quesería!$C$70:$C$89=1)*(Quesería!$J$70:$J$89=0)*(L$47=1)*(Quesería!$H$70:$H$89&gt;0)*Quesería!$F$70:$F$89*(1+Quesería!$I$70:$I$89)))-(-$D$26)*IF(AND(L$47&gt;=2,L$47&lt;=Quesería!$J$86+1),Quesería!$D$86*(1+Quesería!$I$86)/Quesería!$J$86,0))*$C$137*$D$21,IF(AND(L$47&gt;=1,L$47&lt;=Quesería!$B$30),Quesería!$F$92/Quesería!$B$30,0)*$B$137+IF(AND(L$47&gt;=2,L$47&lt;=Quesería!$B$30+1),(Quesería!$F$93-(-$D$26)*Quesería!$D$86*(1+Quesería!$I$86))/Quesería!$B$30,0)*$C$137*$D$21)*$D$11+IF(AND(L$47&gt;=6,L$47&lt;=10),$G141*$G137/5,0)+IF(AND(L$47&gt;=7,L$47&lt;=11),$H141*$H137/5,0))*L139</f>
        <v>59.4517628678818</v>
      </c>
    </row>
    <row r="150" customFormat="false" ht="15" hidden="true" customHeight="false" outlineLevel="1" collapsed="false">
      <c r="A150" s="9" t="s">
        <v>417</v>
      </c>
      <c r="B150" s="58" t="n">
        <f aca="false">IF(B$47=1,MIN($D$7*$D$26*Quesería!$B$56*Quesería!$D$86*$D$11*$D$21,Quesería!$B$57*Quesería!$B$58),0)</f>
        <v>0</v>
      </c>
      <c r="C150" s="58" t="n">
        <f aca="false">IF(C$47=1,MIN($D$7*$D$26*Quesería!$B$56*Quesería!$D$86*$D$11*$D$21,Quesería!$B$57*Quesería!$B$58),0)</f>
        <v>0</v>
      </c>
      <c r="D150" s="58" t="n">
        <f aca="false">IF(D$47=1,MIN($D$7*$D$26*Quesería!$B$56*Quesería!$D$86*$D$11*$D$21,Quesería!$B$57*Quesería!$B$58),0)</f>
        <v>0</v>
      </c>
      <c r="E150" s="58" t="n">
        <f aca="false">IF(E$47=1,MIN($D$7*$D$26*Quesería!$B$56*Quesería!$D$86*$D$11*$D$21,Quesería!$B$57*Quesería!$B$58),0)</f>
        <v>0</v>
      </c>
      <c r="F150" s="58" t="n">
        <f aca="false">IF(F$47=1,MIN($D$7*$D$26*Quesería!$B$56*Quesería!$D$86*$D$11*$D$21,Quesería!$B$57*Quesería!$B$58),0)</f>
        <v>0</v>
      </c>
      <c r="G150" s="58" t="n">
        <f aca="false">IF(G$47=1,MIN($D$7*$D$26*Quesería!$B$56*Quesería!$D$86*$D$11*$D$21,Quesería!$B$57*Quesería!$B$58),0)</f>
        <v>0</v>
      </c>
      <c r="H150" s="58" t="n">
        <f aca="false">IF(H$47=1,MIN($D$7*$D$26*Quesería!$B$56*Quesería!$D$86*$D$11*$D$21,Quesería!$B$57*Quesería!$B$58),0)</f>
        <v>0</v>
      </c>
      <c r="I150" s="58" t="n">
        <f aca="false">IF(I$47=1,MIN($D$7*$D$26*Quesería!$B$56*Quesería!$D$86*$D$11*$D$21,Quesería!$B$57*Quesería!$B$58),0)</f>
        <v>0</v>
      </c>
      <c r="J150" s="58" t="n">
        <f aca="false">IF(J$47=1,MIN($D$7*$D$26*Quesería!$B$56*Quesería!$D$86*$D$11*$D$21,Quesería!$B$57*Quesería!$B$58),0)</f>
        <v>0</v>
      </c>
      <c r="K150" s="58" t="n">
        <f aca="false">IF(K$47=1,MIN($D$7*$D$26*Quesería!$B$56*Quesería!$D$86*$D$11*$D$21,Quesería!$B$57*Quesería!$B$58),0)</f>
        <v>0</v>
      </c>
      <c r="L150" s="58" t="n">
        <f aca="false">IF(L$47=1,MIN($D$7*$D$26*Quesería!$B$56*Quesería!$D$86*$D$11*$D$21,Quesería!$B$57*Quesería!$B$58),0)</f>
        <v>0</v>
      </c>
    </row>
    <row r="151" customFormat="false" ht="15" hidden="true" customHeight="false" outlineLevel="1" collapsed="false">
      <c r="A151" s="9" t="s">
        <v>418</v>
      </c>
      <c r="B151" s="58" t="n">
        <v>0</v>
      </c>
      <c r="C151" s="58" t="n">
        <f aca="false">$D$20*Quesería!$B$60*Quesería!$F$98*$D$11*$B$137/C137/2</f>
        <v>0</v>
      </c>
      <c r="D151" s="58" t="n">
        <f aca="false">$D$20*Quesería!$B$60*Quesería!$F$98*$D$11*$B$137/D137/2</f>
        <v>0</v>
      </c>
      <c r="E151" s="58" t="n">
        <v>0</v>
      </c>
      <c r="F151" s="58" t="n">
        <v>0</v>
      </c>
      <c r="G151" s="58" t="n">
        <v>0</v>
      </c>
      <c r="H151" s="58" t="n">
        <v>0</v>
      </c>
      <c r="I151" s="58" t="n">
        <v>0</v>
      </c>
      <c r="J151" s="58" t="n">
        <v>0</v>
      </c>
      <c r="K151" s="58" t="n">
        <v>0</v>
      </c>
      <c r="L151" s="58" t="n">
        <v>0</v>
      </c>
    </row>
    <row r="152" customFormat="false" ht="15" hidden="true" customHeight="false" outlineLevel="1" collapsed="false">
      <c r="A152" s="9" t="s">
        <v>419</v>
      </c>
      <c r="B152" s="58" t="n">
        <f aca="false">0</f>
        <v>0</v>
      </c>
      <c r="C152" s="58" t="n">
        <f aca="false">B142*B137/C137</f>
        <v>142.014925295407</v>
      </c>
      <c r="D152" s="58" t="n">
        <f aca="false">C142*C137/D137</f>
        <v>0</v>
      </c>
      <c r="E152" s="58" t="n">
        <f aca="false">D142*D137/E137</f>
        <v>0</v>
      </c>
      <c r="F152" s="58" t="n">
        <f aca="false">E142*E137/F137</f>
        <v>0</v>
      </c>
      <c r="G152" s="58" t="n">
        <f aca="false">F142*F137/G137</f>
        <v>0</v>
      </c>
      <c r="H152" s="58" t="n">
        <f aca="false">G142*G137/H137</f>
        <v>5.01768392412113</v>
      </c>
      <c r="I152" s="58" t="n">
        <f aca="false">H142*H137/I137</f>
        <v>8.47494190873221</v>
      </c>
      <c r="J152" s="58" t="n">
        <f aca="false">I142*I137/J137</f>
        <v>0</v>
      </c>
      <c r="K152" s="58" t="n">
        <f aca="false">J142*J137/K137</f>
        <v>0</v>
      </c>
      <c r="L152" s="58" t="n">
        <f aca="false">K142*K137/L137</f>
        <v>0</v>
      </c>
    </row>
    <row r="153" customFormat="false" ht="15" hidden="true" customHeight="false" outlineLevel="1" collapsed="false">
      <c r="A153" s="6" t="s">
        <v>295</v>
      </c>
      <c r="B153" s="29" t="n">
        <f aca="false">$D$17*(B145-B146-B147-0.5*B148-B149)-B150-B151-B152</f>
        <v>-24.4887123309474</v>
      </c>
      <c r="C153" s="29" t="n">
        <f aca="false">$D$17*(C145-C146-C147-0.5*C148-C149)-C150-C151-C152</f>
        <v>-144.462404998131</v>
      </c>
      <c r="D153" s="29" t="n">
        <f aca="false">$D$17*(D145-D146-D147-0.5*D148-D149)-D150-D151-D152</f>
        <v>12.5106783092252</v>
      </c>
      <c r="E153" s="29" t="n">
        <f aca="false">$D$17*(E145-E146-E147-0.5*E148-E149)-E150-E151-E152</f>
        <v>13.5863399761091</v>
      </c>
      <c r="F153" s="29" t="n">
        <f aca="false">$D$17*(F145-F146-F147-0.5*F148-F149)-F150-F151-F152</f>
        <v>14.6213235743709</v>
      </c>
      <c r="G153" s="29" t="n">
        <f aca="false">$D$17*(G145-G146-G147-0.5*G148-G149)-G150-G151-G152</f>
        <v>15.5943185867961</v>
      </c>
      <c r="H153" s="29" t="n">
        <f aca="false">$D$17*(H145-H146-H147-0.5*H148-H149)-H150-H151-H152</f>
        <v>13.9756597799561</v>
      </c>
      <c r="I153" s="29" t="n">
        <f aca="false">$D$17*(I145-I146-I147-0.5*I148-I149)-I150-I151-I152</f>
        <v>8.26233409959088</v>
      </c>
      <c r="J153" s="29" t="n">
        <f aca="false">$D$17*(J145-J146-J147-0.5*J148-J149)-J150-J151-J152</f>
        <v>17.653878745508</v>
      </c>
      <c r="K153" s="29" t="n">
        <f aca="false">$D$17*(K145-K146-K147-0.5*K148-K149)-K150-K151-K152</f>
        <v>18.5359385778143</v>
      </c>
      <c r="L153" s="29" t="n">
        <f aca="false">$D$17*(L145-L146-L147-0.5*L148-L149)-L150-L151-L152</f>
        <v>19.3847876337393</v>
      </c>
    </row>
    <row r="154" customFormat="false" ht="15" hidden="true" customHeight="false" outlineLevel="1" collapsed="false">
      <c r="A154" s="9" t="s">
        <v>420</v>
      </c>
      <c r="B154" s="58" t="n">
        <f aca="false">(IF(B$47&gt;=1,Quesería!$G$124*IF(B$47=1,Quesería!$B$20,1),Quesería!$G$124*Quesería!$B$20*Quesería!$B$21/12*$D$23)+IF(B$47&gt;=2,(Quesería!$G$125-(1-$D$24)*Quesería!$G$117-(-$D$26*$D$27)*'Beneficios y costos'!$D$167)*$D$21*IF(B$47=2,Quesería!$B$20,1),0))*$D$10</f>
        <v>77.4042870161869</v>
      </c>
      <c r="C154" s="58" t="n">
        <f aca="false">(IF(C$47&gt;=1,Quesería!$G$124*IF(C$47=1,Quesería!$B$20,1),Quesería!$G$124*Quesería!$B$20*Quesería!$B$21/12*$D$23)+IF(C$47&gt;=2,(Quesería!$G$125-(1-$D$24)*Quesería!$G$117-(-$D$26*$D$27)*'Beneficios y costos'!$D$167)*$D$21*IF(C$47=2,Quesería!$B$20,1),0))*$D$10</f>
        <v>116.10643052428</v>
      </c>
      <c r="D154" s="58" t="n">
        <f aca="false">(IF(D$47&gt;=1,Quesería!$G$124*IF(D$47=1,Quesería!$B$20,1),Quesería!$G$124*Quesería!$B$20*Quesería!$B$21/12*$D$23)+IF(D$47&gt;=2,(Quesería!$G$125-(1-$D$24)*Quesería!$G$117-(-$D$26*$D$27)*'Beneficios y costos'!$D$167)*$D$21*IF(D$47=2,Quesería!$B$20,1),0))*$D$10</f>
        <v>154.808574032374</v>
      </c>
      <c r="E154" s="58" t="n">
        <f aca="false">(IF(E$47&gt;=1,Quesería!$G$124*IF(E$47=1,Quesería!$B$20,1),Quesería!$G$124*Quesería!$B$20*Quesería!$B$21/12*$D$23)+IF(E$47&gt;=2,(Quesería!$G$125-(1-$D$24)*Quesería!$G$117-(-$D$26*$D$27)*'Beneficios y costos'!$D$167)*$D$21*IF(E$47=2,Quesería!$B$20,1),0))*$D$10</f>
        <v>154.808574032374</v>
      </c>
      <c r="F154" s="58" t="n">
        <f aca="false">(IF(F$47&gt;=1,Quesería!$G$124*IF(F$47=1,Quesería!$B$20,1),Quesería!$G$124*Quesería!$B$20*Quesería!$B$21/12*$D$23)+IF(F$47&gt;=2,(Quesería!$G$125-(1-$D$24)*Quesería!$G$117-(-$D$26*$D$27)*'Beneficios y costos'!$D$167)*$D$21*IF(F$47=2,Quesería!$B$20,1),0))*$D$10</f>
        <v>154.808574032374</v>
      </c>
      <c r="G154" s="58" t="n">
        <f aca="false">(IF(G$47&gt;=1,Quesería!$G$124*IF(G$47=1,Quesería!$B$20,1),Quesería!$G$124*Quesería!$B$20*Quesería!$B$21/12*$D$23)+IF(G$47&gt;=2,(Quesería!$G$125-(1-$D$24)*Quesería!$G$117-(-$D$26*$D$27)*'Beneficios y costos'!$D$167)*$D$21*IF(G$47=2,Quesería!$B$20,1),0))*$D$10</f>
        <v>154.808574032374</v>
      </c>
      <c r="H154" s="58" t="n">
        <f aca="false">(IF(H$47&gt;=1,Quesería!$G$124*IF(H$47=1,Quesería!$B$20,1),Quesería!$G$124*Quesería!$B$20*Quesería!$B$21/12*$D$23)+IF(H$47&gt;=2,(Quesería!$G$125-(1-$D$24)*Quesería!$G$117-(-$D$26*$D$27)*'Beneficios y costos'!$D$167)*$D$21*IF(H$47=2,Quesería!$B$20,1),0))*$D$10</f>
        <v>154.808574032374</v>
      </c>
      <c r="I154" s="58" t="n">
        <f aca="false">(IF(I$47&gt;=1,Quesería!$G$124*IF(I$47=1,Quesería!$B$20,1),Quesería!$G$124*Quesería!$B$20*Quesería!$B$21/12*$D$23)+IF(I$47&gt;=2,(Quesería!$G$125-(1-$D$24)*Quesería!$G$117-(-$D$26*$D$27)*'Beneficios y costos'!$D$167)*$D$21*IF(I$47=2,Quesería!$B$20,1),0))*$D$10</f>
        <v>154.808574032374</v>
      </c>
      <c r="J154" s="58" t="n">
        <f aca="false">(IF(J$47&gt;=1,Quesería!$G$124*IF(J$47=1,Quesería!$B$20,1),Quesería!$G$124*Quesería!$B$20*Quesería!$B$21/12*$D$23)+IF(J$47&gt;=2,(Quesería!$G$125-(1-$D$24)*Quesería!$G$117-(-$D$26*$D$27)*'Beneficios y costos'!$D$167)*$D$21*IF(J$47=2,Quesería!$B$20,1),0))*$D$10</f>
        <v>154.808574032374</v>
      </c>
      <c r="K154" s="58" t="n">
        <f aca="false">(IF(K$47&gt;=1,Quesería!$G$124*IF(K$47=1,Quesería!$B$20,1),Quesería!$G$124*Quesería!$B$20*Quesería!$B$21/12*$D$23)+IF(K$47&gt;=2,(Quesería!$G$125-(1-$D$24)*Quesería!$G$117-(-$D$26*$D$27)*'Beneficios y costos'!$D$167)*$D$21*IF(K$47=2,Quesería!$B$20,1),0))*$D$10</f>
        <v>154.808574032374</v>
      </c>
      <c r="L154" s="58" t="n">
        <f aca="false">(IF(L$47&gt;=1,Quesería!$G$124*IF(L$47=1,Quesería!$B$20,1),Quesería!$G$124*Quesería!$B$20*Quesería!$B$21/12*$D$23)+IF(L$47&gt;=2,(Quesería!$G$125-(1-$D$24)*Quesería!$G$117-(-$D$26*$D$27)*'Beneficios y costos'!$D$167)*$D$21*IF(L$47=2,Quesería!$B$20,1),0))*$D$10</f>
        <v>154.808574032374</v>
      </c>
    </row>
    <row r="155" customFormat="false" ht="15" hidden="true" customHeight="false" outlineLevel="1" collapsed="false">
      <c r="A155" s="6" t="s">
        <v>421</v>
      </c>
      <c r="B155" s="29" t="n">
        <f aca="false">(B154*(Quesería!$B$38+Quesería!$B$40*Quesería!$B$39)/365-B146*Quesería!$B$42/365+IF(B$47&gt;=2,($D$25*'Beneficios y costos'!$B$147+(1-$D$25)*'Beneficios y costos'!$B$148)*$D$24*$D$21*$D$10*IF(B$47=2,Quesería!$B$20,1),0))</f>
        <v>7.23146900616979</v>
      </c>
      <c r="C155" s="29" t="n">
        <f aca="false">(C154*(Quesería!$B$38+Quesería!$B$40*Quesería!$B$39)/365-C146*Quesería!$B$42/365+IF(C$47&gt;=2,($D$25*'Beneficios y costos'!$B$147+(1-$D$25)*'Beneficios y costos'!$B$148)*$D$24*$D$21*$D$10*IF(C$47=2,Quesería!$B$20,1),0))-(B154*(Quesería!$B$38+Quesería!$B$40*Quesería!$B$39)/365-B146*Quesería!$B$42/365+IF(B$47&gt;=2,($D$25*'Beneficios y costos'!$B$147+(1-$D$25)*'Beneficios y costos'!$B$148)*$D$24*$D$21*$D$10*IF(B$47=2,Quesería!$B$20,1),0))*B137/C137</f>
        <v>1.42287846600884</v>
      </c>
      <c r="D155" s="29" t="n">
        <f aca="false">(D154*(Quesería!$B$38+Quesería!$B$40*Quesería!$B$39)/365-D146*Quesería!$B$42/365+IF(D$47&gt;=2,($D$25*'Beneficios y costos'!$B$147+(1-$D$25)*'Beneficios y costos'!$B$148)*$D$24*$D$21*$D$10*IF(D$47=2,Quesería!$B$20,1),0))-(C154*(Quesería!$B$38+Quesería!$B$40*Quesería!$B$39)/365-C146*Quesería!$B$42/365+IF(C$47&gt;=2,($D$25*'Beneficios y costos'!$B$147+(1-$D$25)*'Beneficios y costos'!$B$148)*$D$24*$D$21*$D$10*IF(C$47=2,Quesería!$B$20,1),0))*C137/D137</f>
        <v>3.97358104015171</v>
      </c>
      <c r="E155" s="29" t="n">
        <f aca="false">(E154*(Quesería!$B$38+Quesería!$B$40*Quesería!$B$39)/365-E146*Quesería!$B$42/365+IF(E$47&gt;=2,($D$25*'Beneficios y costos'!$B$147+(1-$D$25)*'Beneficios y costos'!$B$148)*$D$24*$D$21*$D$10*IF(E$47=2,Quesería!$B$20,1),0))-(D154*(Quesería!$B$38+Quesería!$B$40*Quesería!$B$39)/365-D146*Quesería!$B$42/365+IF(D$47&gt;=2,($D$25*'Beneficios y costos'!$B$147+(1-$D$25)*'Beneficios y costos'!$B$148)*$D$24*$D$21*$D$10*IF(D$47=2,Quesería!$B$20,1),0))*D137/E137</f>
        <v>0.458681781088581</v>
      </c>
      <c r="F155" s="29" t="n">
        <f aca="false">(F154*(Quesería!$B$38+Quesería!$B$40*Quesería!$B$39)/365-F146*Quesería!$B$42/365+IF(F$47&gt;=2,($D$25*'Beneficios y costos'!$B$147+(1-$D$25)*'Beneficios y costos'!$B$148)*$D$24*$D$21*$D$10*IF(F$47=2,Quesería!$B$20,1),0))-(E154*(Quesería!$B$38+Quesería!$B$40*Quesería!$B$39)/365-E146*Quesería!$B$42/365+IF(E$47&gt;=2,($D$25*'Beneficios y costos'!$B$147+(1-$D$25)*'Beneficios y costos'!$B$148)*$D$24*$D$21*$D$10*IF(E$47=2,Quesería!$B$20,1),0))*E137/F137</f>
        <v>0.458681781088579</v>
      </c>
      <c r="G155" s="29" t="n">
        <f aca="false">(G154*(Quesería!$B$38+Quesería!$B$40*Quesería!$B$39)/365-G146*Quesería!$B$42/365+IF(G$47&gt;=2,($D$25*'Beneficios y costos'!$B$147+(1-$D$25)*'Beneficios y costos'!$B$148)*$D$24*$D$21*$D$10*IF(G$47=2,Quesería!$B$20,1),0))-(F154*(Quesería!$B$38+Quesería!$B$40*Quesería!$B$39)/365-F146*Quesería!$B$42/365+IF(F$47&gt;=2,($D$25*'Beneficios y costos'!$B$147+(1-$D$25)*'Beneficios y costos'!$B$148)*$D$24*$D$21*$D$10*IF(F$47=2,Quesería!$B$20,1),0))*F137/G137</f>
        <v>0.458681781088581</v>
      </c>
      <c r="H155" s="29" t="n">
        <f aca="false">(H154*(Quesería!$B$38+Quesería!$B$40*Quesería!$B$39)/365-H146*Quesería!$B$42/365+IF(H$47&gt;=2,($D$25*'Beneficios y costos'!$B$147+(1-$D$25)*'Beneficios y costos'!$B$148)*$D$24*$D$21*$D$10*IF(H$47=2,Quesería!$B$20,1),0))-(G154*(Quesería!$B$38+Quesería!$B$40*Quesería!$B$39)/365-G146*Quesería!$B$42/365+IF(G$47&gt;=2,($D$25*'Beneficios y costos'!$B$147+(1-$D$25)*'Beneficios y costos'!$B$148)*$D$24*$D$21*$D$10*IF(G$47=2,Quesería!$B$20,1),0))*G137/H137</f>
        <v>0.458681781088581</v>
      </c>
      <c r="I155" s="29" t="n">
        <f aca="false">(I154*(Quesería!$B$38+Quesería!$B$40*Quesería!$B$39)/365-I146*Quesería!$B$42/365+IF(I$47&gt;=2,($D$25*'Beneficios y costos'!$B$147+(1-$D$25)*'Beneficios y costos'!$B$148)*$D$24*$D$21*$D$10*IF(I$47=2,Quesería!$B$20,1),0))-(H154*(Quesería!$B$38+Quesería!$B$40*Quesería!$B$39)/365-H146*Quesería!$B$42/365+IF(H$47&gt;=2,($D$25*'Beneficios y costos'!$B$147+(1-$D$25)*'Beneficios y costos'!$B$148)*$D$24*$D$21*$D$10*IF(H$47=2,Quesería!$B$20,1),0))*H137/I137</f>
        <v>0.458681781088579</v>
      </c>
      <c r="J155" s="29" t="n">
        <f aca="false">(J154*(Quesería!$B$38+Quesería!$B$40*Quesería!$B$39)/365-J146*Quesería!$B$42/365+IF(J$47&gt;=2,($D$25*'Beneficios y costos'!$B$147+(1-$D$25)*'Beneficios y costos'!$B$148)*$D$24*$D$21*$D$10*IF(J$47=2,Quesería!$B$20,1),0))-(I154*(Quesería!$B$38+Quesería!$B$40*Quesería!$B$39)/365-I146*Quesería!$B$42/365+IF(I$47&gt;=2,($D$25*'Beneficios y costos'!$B$147+(1-$D$25)*'Beneficios y costos'!$B$148)*$D$24*$D$21*$D$10*IF(I$47=2,Quesería!$B$20,1),0))*I137/J137</f>
        <v>0.458681781088579</v>
      </c>
      <c r="K155" s="29" t="n">
        <f aca="false">(K154*(Quesería!$B$38+Quesería!$B$40*Quesería!$B$39)/365-K146*Quesería!$B$42/365+IF(K$47&gt;=2,($D$25*'Beneficios y costos'!$B$147+(1-$D$25)*'Beneficios y costos'!$B$148)*$D$24*$D$21*$D$10*IF(K$47=2,Quesería!$B$20,1),0))-(J154*(Quesería!$B$38+Quesería!$B$40*Quesería!$B$39)/365-J146*Quesería!$B$42/365+IF(J$47&gt;=2,($D$25*'Beneficios y costos'!$B$147+(1-$D$25)*'Beneficios y costos'!$B$148)*$D$24*$D$21*$D$10*IF(J$47=2,Quesería!$B$20,1),0))*J137/K137</f>
        <v>0.458681781088579</v>
      </c>
      <c r="L155" s="29" t="n">
        <f aca="false">-(K154*(Quesería!$B$38+Quesería!$B$40*Quesería!$B$39)/365-K146*Quesería!$B$42/365+IF(K$47&gt;=2,($D$25*'Beneficios y costos'!$B$147+(1-$D$25)*'Beneficios y costos'!$B$148)*$D$24*$D$21*$D$10*IF(K$47=2,Quesería!$B$20,1),0))*K137/L137</f>
        <v>-11.4670445272145</v>
      </c>
    </row>
    <row r="156" customFormat="false" ht="15" hidden="true" customHeight="false" outlineLevel="1" collapsed="false">
      <c r="A156" s="6" t="s">
        <v>422</v>
      </c>
      <c r="B156" s="29" t="n">
        <v>0</v>
      </c>
      <c r="C156" s="29" t="n">
        <v>0</v>
      </c>
      <c r="D156" s="29" t="n">
        <v>0</v>
      </c>
      <c r="E156" s="29" t="n">
        <v>0</v>
      </c>
      <c r="F156" s="29" t="n">
        <v>0</v>
      </c>
      <c r="G156" s="29" t="n">
        <v>0</v>
      </c>
      <c r="H156" s="29" t="n">
        <v>0</v>
      </c>
      <c r="I156" s="29" t="n">
        <v>0</v>
      </c>
      <c r="J156" s="29" t="n">
        <v>0</v>
      </c>
      <c r="K156" s="29" t="n">
        <v>0</v>
      </c>
      <c r="L156" s="29" t="n">
        <f aca="false">$D$8*Quesería!$B$36*(Quesería!$F$94+(Quesería!$F$95-(-$D$26)*Quesería!$D$86)*$D$21)*$D$11*(1-$D$17)</f>
        <v>0</v>
      </c>
    </row>
    <row r="157" customFormat="false" ht="15" hidden="true" customHeight="false" outlineLevel="1" collapsed="false">
      <c r="A157" s="5" t="s">
        <v>147</v>
      </c>
      <c r="B157" s="59" t="n">
        <f aca="false">B145-B146-B147-B148-B153-B140-B141-B142-B155+B156</f>
        <v>-988.805333575311</v>
      </c>
      <c r="C157" s="59" t="n">
        <f aca="false">C145-C146-C147-C148-C153-C140-C141-C142-C155+C156</f>
        <v>218.225865036456</v>
      </c>
      <c r="D157" s="59" t="n">
        <f aca="false">D145-D146-D147-D148-D153-D140-D141-D142-D155+D156</f>
        <v>97.8972335582007</v>
      </c>
      <c r="E157" s="59" t="n">
        <f aca="false">E145-E146-E147-E148-E153-E140-E141-E142-E155+E156</f>
        <v>100.382063774165</v>
      </c>
      <c r="F157" s="59" t="n">
        <f aca="false">F145-F146-F147-F148-F153-F140-F141-F142-F155+F156</f>
        <v>99.3929007628079</v>
      </c>
      <c r="G157" s="59" t="n">
        <f aca="false">G145-G146-G147-G148-G153-G140-G141-G142-G155+G156</f>
        <v>65.6516124560622</v>
      </c>
      <c r="H157" s="59" t="n">
        <f aca="false">H145-H146-H147-H148-H153-H140-H141-H142-H155+H156</f>
        <v>44.7069865081286</v>
      </c>
      <c r="I157" s="59" t="n">
        <f aca="false">I145-I146-I147-I148-I153-I140-I141-I142-I155+I156</f>
        <v>105.890731203694</v>
      </c>
      <c r="J157" s="59" t="n">
        <f aca="false">J145-J146-J147-J148-J153-J140-J141-J142-J155+J156</f>
        <v>96.5459304524465</v>
      </c>
      <c r="K157" s="59" t="n">
        <f aca="false">K145-K146-K147-K148-K153-K140-K141-K142-K155+K156</f>
        <v>95.7108482342829</v>
      </c>
      <c r="L157" s="59" t="n">
        <f aca="false">L145-L146-L147-L148-L153-L140-L141-L142-L155+L156</f>
        <v>106.834937988874</v>
      </c>
    </row>
    <row r="158" customFormat="false" ht="15" hidden="true" customHeight="false" outlineLevel="1" collapsed="false">
      <c r="A158" s="9" t="s">
        <v>423</v>
      </c>
      <c r="B158" s="58" t="n">
        <f aca="false">B157*B137</f>
        <v>-1048.13365358983</v>
      </c>
      <c r="C158" s="58" t="n">
        <f aca="false">C157*C137</f>
        <v>242.885387785576</v>
      </c>
      <c r="D158" s="58" t="n">
        <f aca="false">D157*D137</f>
        <v>113.86280389304</v>
      </c>
      <c r="E158" s="58" t="n">
        <f aca="false">E157*E137</f>
        <v>121.422987550566</v>
      </c>
      <c r="F158" s="58" t="n">
        <f aca="false">F157*F137</f>
        <v>125.035547169581</v>
      </c>
      <c r="G158" s="58" t="n">
        <f aca="false">G157*G137</f>
        <v>85.8928216394699</v>
      </c>
      <c r="H158" s="58" t="n">
        <f aca="false">H157*H137</f>
        <v>60.8303351205709</v>
      </c>
      <c r="I158" s="58" t="n">
        <f aca="false">I157*I137</f>
        <v>149.842875468163</v>
      </c>
      <c r="J158" s="58" t="n">
        <f aca="false">J157*J137</f>
        <v>142.084094198499</v>
      </c>
      <c r="K158" s="58" t="n">
        <f aca="false">K157*K137</f>
        <v>146.489330799475</v>
      </c>
      <c r="L158" s="58" t="n">
        <f aca="false">L157*L137</f>
        <v>170.055808877926</v>
      </c>
    </row>
    <row r="159" customFormat="false" ht="15" hidden="true" customHeight="false" outlineLevel="1" collapsed="false">
      <c r="A159" s="6" t="s">
        <v>424</v>
      </c>
      <c r="B159" s="29" t="n">
        <f aca="false">B157</f>
        <v>-988.805333575311</v>
      </c>
      <c r="C159" s="29" t="n">
        <f aca="false">B159+C157</f>
        <v>-770.579468538855</v>
      </c>
      <c r="D159" s="29" t="n">
        <f aca="false">C159+D157</f>
        <v>-672.682234980654</v>
      </c>
      <c r="E159" s="29" t="n">
        <f aca="false">D159+E157</f>
        <v>-572.300171206489</v>
      </c>
      <c r="F159" s="29" t="n">
        <f aca="false">E159+F157</f>
        <v>-472.907270443681</v>
      </c>
      <c r="G159" s="29" t="n">
        <f aca="false">F159+G157</f>
        <v>-407.255657987619</v>
      </c>
      <c r="H159" s="29" t="n">
        <f aca="false">G159+H157</f>
        <v>-362.54867147949</v>
      </c>
      <c r="I159" s="29" t="n">
        <f aca="false">H159+I157</f>
        <v>-256.657940275796</v>
      </c>
      <c r="J159" s="29" t="n">
        <f aca="false">I159+J157</f>
        <v>-160.112009823349</v>
      </c>
      <c r="K159" s="29" t="n">
        <f aca="false">J159+K157</f>
        <v>-64.4011615890665</v>
      </c>
      <c r="L159" s="29" t="n">
        <f aca="false">K159+L157</f>
        <v>42.4337763998078</v>
      </c>
    </row>
    <row r="160" customFormat="false" ht="15" hidden="true" customHeight="false" outlineLevel="1" collapsed="false">
      <c r="A160" s="9" t="s">
        <v>425</v>
      </c>
      <c r="B160" s="60" t="n">
        <v>0</v>
      </c>
      <c r="C160" s="60" t="n">
        <f aca="false">IF(AND(B159&lt;0,C159&gt;=0),B$47+(-B159)/C157,0)</f>
        <v>0</v>
      </c>
      <c r="D160" s="60" t="n">
        <f aca="false">IF(AND(C159&lt;0,D159&gt;=0),C$47+(-C159)/D157,0)</f>
        <v>0</v>
      </c>
      <c r="E160" s="60" t="n">
        <f aca="false">IF(AND(D159&lt;0,E159&gt;=0),D$47+(-D159)/E157,0)</f>
        <v>0</v>
      </c>
      <c r="F160" s="60" t="n">
        <f aca="false">IF(AND(E159&lt;0,F159&gt;=0),E$47+(-E159)/F157,0)</f>
        <v>0</v>
      </c>
      <c r="G160" s="60" t="n">
        <f aca="false">IF(AND(F159&lt;0,G159&gt;=0),F$47+(-F159)/G157,0)</f>
        <v>0</v>
      </c>
      <c r="H160" s="60" t="n">
        <f aca="false">IF(AND(G159&lt;0,H159&gt;=0),G$47+(-G159)/H157,0)</f>
        <v>0</v>
      </c>
      <c r="I160" s="60" t="n">
        <f aca="false">IF(AND(H159&lt;0,I159&gt;=0),H$47+(-H159)/I157,0)</f>
        <v>0</v>
      </c>
      <c r="J160" s="60" t="n">
        <f aca="false">IF(AND(I159&lt;0,J159&gt;=0),I$47+(-I159)/J157,0)</f>
        <v>0</v>
      </c>
      <c r="K160" s="60" t="n">
        <f aca="false">IF(AND(J159&lt;0,K159&gt;=0),J$47+(-J159)/K157,0)</f>
        <v>0</v>
      </c>
      <c r="L160" s="60" t="n">
        <f aca="false">IF(AND(K159&lt;0,L159&gt;=0),K$47+(-K159)/L157,0)</f>
        <v>9.60280993092141</v>
      </c>
    </row>
    <row r="161" customFormat="false" ht="15" hidden="true" customHeight="false" outlineLevel="1" collapsed="false">
      <c r="A161" s="9" t="s">
        <v>426</v>
      </c>
      <c r="B161" s="57" t="n">
        <f aca="false">(B137/$B$137)/(1+$D$29)^B$47</f>
        <v>1</v>
      </c>
      <c r="C161" s="57" t="n">
        <f aca="false">(C137/$B$137)/(1+$D$29)^C$47</f>
        <v>0.907458487517462</v>
      </c>
      <c r="D161" s="57" t="n">
        <f aca="false">(D137/$B$137)/(1+$D$29)^D$47</f>
        <v>0.819559568917159</v>
      </c>
      <c r="E161" s="57" t="n">
        <f aca="false">(E137/$B$137)/(1+$D$29)^E$47</f>
        <v>0.73663327458441</v>
      </c>
      <c r="F161" s="57" t="n">
        <f aca="false">(F137/$B$137)/(1+$D$29)^F$47</f>
        <v>0.6620977922836</v>
      </c>
      <c r="G161" s="57" t="n">
        <f aca="false">(G137/$B$137)/(1+$D$29)^G$47</f>
        <v>0.595104106306</v>
      </c>
      <c r="H161" s="57" t="n">
        <f aca="false">(H137/$B$137)/(1+$D$29)^H$47</f>
        <v>0.534889107726503</v>
      </c>
      <c r="I161" s="57" t="n">
        <f aca="false">(I137/$B$137)/(1+$D$29)^I$47</f>
        <v>0.480766902013848</v>
      </c>
      <c r="J161" s="57" t="n">
        <f aca="false">(J137/$B$137)/(1+$D$29)^J$47</f>
        <v>0.432120996171371</v>
      </c>
      <c r="K161" s="57" t="n">
        <f aca="false">(K137/$B$137)/(1+$D$29)^K$47</f>
        <v>0.388397276413924</v>
      </c>
      <c r="L161" s="57" t="n">
        <f aca="false">(L137/$B$137)/(1+$D$29)^L$47</f>
        <v>0.349097696391334</v>
      </c>
    </row>
    <row r="162" customFormat="false" ht="15" hidden="true" customHeight="false" outlineLevel="1" collapsed="false">
      <c r="A162" s="9" t="s">
        <v>427</v>
      </c>
      <c r="B162" s="58" t="n">
        <f aca="false">B157*B161</f>
        <v>-988.805333575311</v>
      </c>
      <c r="C162" s="58" t="n">
        <f aca="false">C157*C161</f>
        <v>198.030913423172</v>
      </c>
      <c r="D162" s="58" t="n">
        <f aca="false">D157*D161</f>
        <v>80.2326145331414</v>
      </c>
      <c r="E162" s="58" t="n">
        <f aca="false">E157*E161</f>
        <v>73.9447683475044</v>
      </c>
      <c r="F162" s="58" t="n">
        <f aca="false">F157*F161</f>
        <v>65.807820163718</v>
      </c>
      <c r="G162" s="58" t="n">
        <f aca="false">G157*G161</f>
        <v>39.0695441582127</v>
      </c>
      <c r="H162" s="58" t="n">
        <f aca="false">H157*H161</f>
        <v>23.9132801224737</v>
      </c>
      <c r="I162" s="58" t="n">
        <f aca="false">I157*I161</f>
        <v>50.9087587927811</v>
      </c>
      <c r="J162" s="58" t="n">
        <f aca="false">J157*J161</f>
        <v>41.7195236434031</v>
      </c>
      <c r="K162" s="58" t="n">
        <f aca="false">K157*K161</f>
        <v>37.1738327774619</v>
      </c>
      <c r="L162" s="58" t="n">
        <f aca="false">L157*L161</f>
        <v>37.295830746027</v>
      </c>
    </row>
    <row r="163" customFormat="false" ht="15" hidden="true" customHeight="false" outlineLevel="1" collapsed="false">
      <c r="A163" s="9" t="s">
        <v>428</v>
      </c>
      <c r="B163" s="58" t="n">
        <f aca="false">B162</f>
        <v>-988.805333575311</v>
      </c>
      <c r="C163" s="58" t="n">
        <f aca="false">B163+C162</f>
        <v>-790.774420152138</v>
      </c>
      <c r="D163" s="58" t="n">
        <f aca="false">C163+D162</f>
        <v>-710.541805618997</v>
      </c>
      <c r="E163" s="58" t="n">
        <f aca="false">D163+E162</f>
        <v>-636.597037271493</v>
      </c>
      <c r="F163" s="58" t="n">
        <f aca="false">E163+F162</f>
        <v>-570.789217107774</v>
      </c>
      <c r="G163" s="58" t="n">
        <f aca="false">F163+G162</f>
        <v>-531.719672949562</v>
      </c>
      <c r="H163" s="58" t="n">
        <f aca="false">G163+H162</f>
        <v>-507.806392827088</v>
      </c>
      <c r="I163" s="58" t="n">
        <f aca="false">H163+I162</f>
        <v>-456.897634034307</v>
      </c>
      <c r="J163" s="58" t="n">
        <f aca="false">I163+J162</f>
        <v>-415.178110390904</v>
      </c>
      <c r="K163" s="58" t="n">
        <f aca="false">J163+K162</f>
        <v>-378.004277613442</v>
      </c>
      <c r="L163" s="58" t="n">
        <f aca="false">K163+L162</f>
        <v>-340.708446867415</v>
      </c>
    </row>
    <row r="164" customFormat="false" ht="15" hidden="true" customHeight="false" outlineLevel="1" collapsed="false">
      <c r="A164" s="9" t="s">
        <v>429</v>
      </c>
      <c r="B164" s="60" t="n">
        <v>0</v>
      </c>
      <c r="C164" s="60" t="n">
        <f aca="false">IF(AND(B163&lt;0,C163&gt;=0),B$47+(-B163)/C162,0)</f>
        <v>0</v>
      </c>
      <c r="D164" s="60" t="n">
        <f aca="false">IF(AND(C163&lt;0,D163&gt;=0),C$47+(-C163)/D162,0)</f>
        <v>0</v>
      </c>
      <c r="E164" s="60" t="n">
        <f aca="false">IF(AND(D163&lt;0,E163&gt;=0),D$47+(-D163)/E162,0)</f>
        <v>0</v>
      </c>
      <c r="F164" s="60" t="n">
        <f aca="false">IF(AND(E163&lt;0,F163&gt;=0),E$47+(-E163)/F162,0)</f>
        <v>0</v>
      </c>
      <c r="G164" s="60" t="n">
        <f aca="false">IF(AND(F163&lt;0,G163&gt;=0),F$47+(-F163)/G162,0)</f>
        <v>0</v>
      </c>
      <c r="H164" s="60" t="n">
        <f aca="false">IF(AND(G163&lt;0,H163&gt;=0),G$47+(-G163)/H162,0)</f>
        <v>0</v>
      </c>
      <c r="I164" s="60" t="n">
        <f aca="false">IF(AND(H163&lt;0,I163&gt;=0),H$47+(-H163)/I162,0)</f>
        <v>0</v>
      </c>
      <c r="J164" s="60" t="n">
        <f aca="false">IF(AND(I163&lt;0,J163&gt;=0),I$47+(-I163)/J162,0)</f>
        <v>0</v>
      </c>
      <c r="K164" s="60" t="n">
        <f aca="false">IF(AND(J163&lt;0,K163&gt;=0),J$47+(-J163)/K162,0)</f>
        <v>0</v>
      </c>
      <c r="L164" s="60" t="n">
        <f aca="false">IF(AND(K163&lt;0,L163&gt;=0),K$47+(-K163)/L162,0)</f>
        <v>0</v>
      </c>
    </row>
    <row r="165" customFormat="false" ht="15" hidden="true" customHeight="false" outlineLevel="1" collapsed="false">
      <c r="A165" s="9" t="s">
        <v>430</v>
      </c>
      <c r="B165" s="58" t="n">
        <f aca="false">IF(B$47&lt;0,0,(Quesería!$B$44*$B$140*$B$137)*(1-MAX(0,MIN(B$47-0-Quesería!$B$47,(Quesería!$B$46-Quesería!$B$47)))/(Quesería!$B$46-Quesería!$B$47))*IF(B$47&gt;=2,1-Quesería!$B$48,1))+IF(B$47&lt;1,0,(Quesería!$B$44*$C$140*$C$137)*(1-MAX(0,MIN(B$47-1-Quesería!$B$47,(Quesería!$B$46-Quesería!$B$47)))/(Quesería!$B$46-Quesería!$B$47))*IF(B$47&gt;=2,1-Quesería!$B$48,1))</f>
        <v>641.321364968425</v>
      </c>
      <c r="C165" s="58" t="n">
        <f aca="false">IF(C$47&lt;0,0,(Quesería!$B$44*$B$140*$B$137)*(1-MAX(0,MIN(C$47-0-Quesería!$B$47,(Quesería!$B$46-Quesería!$B$47)))/(Quesería!$B$46-Quesería!$B$47))*IF(C$47&gt;=2,1-Quesería!$B$48,1))+IF(C$47&lt;1,0,(Quesería!$B$44*$C$140*$C$137)*(1-MAX(0,MIN(C$47-1-Quesería!$B$47,(Quesería!$B$46-Quesería!$B$47)))/(Quesería!$B$46-Quesería!$B$47))*IF(C$47&gt;=2,1-Quesería!$B$48,1))</f>
        <v>641.321364968425</v>
      </c>
      <c r="D165" s="58" t="n">
        <f aca="false">IF(D$47&lt;0,0,(Quesería!$B$44*$B$140*$B$137)*(1-MAX(0,MIN(D$47-0-Quesería!$B$47,(Quesería!$B$46-Quesería!$B$47)))/(Quesería!$B$46-Quesería!$B$47))*IF(D$47&gt;=2,1-Quesería!$B$48,1))+IF(D$47&lt;1,0,(Quesería!$B$44*$C$140*$C$137)*(1-MAX(0,MIN(D$47-1-Quesería!$B$47,(Quesería!$B$46-Quesería!$B$47)))/(Quesería!$B$46-Quesería!$B$47))*IF(D$47&gt;=2,1-Quesería!$B$48,1))</f>
        <v>534.434470807021</v>
      </c>
      <c r="E165" s="58" t="n">
        <f aca="false">IF(E$47&lt;0,0,(Quesería!$B$44*$B$140*$B$137)*(1-MAX(0,MIN(E$47-0-Quesería!$B$47,(Quesería!$B$46-Quesería!$B$47)))/(Quesería!$B$46-Quesería!$B$47))*IF(E$47&gt;=2,1-Quesería!$B$48,1))+IF(E$47&lt;1,0,(Quesería!$B$44*$C$140*$C$137)*(1-MAX(0,MIN(E$47-1-Quesería!$B$47,(Quesería!$B$46-Quesería!$B$47)))/(Quesería!$B$46-Quesería!$B$47))*IF(E$47&gt;=2,1-Quesería!$B$48,1))</f>
        <v>427.547576645617</v>
      </c>
      <c r="F165" s="58" t="n">
        <f aca="false">IF(F$47&lt;0,0,(Quesería!$B$44*$B$140*$B$137)*(1-MAX(0,MIN(F$47-0-Quesería!$B$47,(Quesería!$B$46-Quesería!$B$47)))/(Quesería!$B$46-Quesería!$B$47))*IF(F$47&gt;=2,1-Quesería!$B$48,1))+IF(F$47&lt;1,0,(Quesería!$B$44*$C$140*$C$137)*(1-MAX(0,MIN(F$47-1-Quesería!$B$47,(Quesería!$B$46-Quesería!$B$47)))/(Quesería!$B$46-Quesería!$B$47))*IF(F$47&gt;=2,1-Quesería!$B$48,1))</f>
        <v>320.660682484213</v>
      </c>
      <c r="G165" s="58" t="n">
        <f aca="false">IF(G$47&lt;0,0,(Quesería!$B$44*$B$140*$B$137)*(1-MAX(0,MIN(G$47-0-Quesería!$B$47,(Quesería!$B$46-Quesería!$B$47)))/(Quesería!$B$46-Quesería!$B$47))*IF(G$47&gt;=2,1-Quesería!$B$48,1))+IF(G$47&lt;1,0,(Quesería!$B$44*$C$140*$C$137)*(1-MAX(0,MIN(G$47-1-Quesería!$B$47,(Quesería!$B$46-Quesería!$B$47)))/(Quesería!$B$46-Quesería!$B$47))*IF(G$47&gt;=2,1-Quesería!$B$48,1))</f>
        <v>213.773788322808</v>
      </c>
      <c r="H165" s="58" t="n">
        <f aca="false">IF(H$47&lt;0,0,(Quesería!$B$44*$B$140*$B$137)*(1-MAX(0,MIN(H$47-0-Quesería!$B$47,(Quesería!$B$46-Quesería!$B$47)))/(Quesería!$B$46-Quesería!$B$47))*IF(H$47&gt;=2,1-Quesería!$B$48,1))+IF(H$47&lt;1,0,(Quesería!$B$44*$C$140*$C$137)*(1-MAX(0,MIN(H$47-1-Quesería!$B$47,(Quesería!$B$46-Quesería!$B$47)))/(Quesería!$B$46-Quesería!$B$47))*IF(H$47&gt;=2,1-Quesería!$B$48,1))</f>
        <v>106.886894161404</v>
      </c>
      <c r="I165" s="58" t="n">
        <f aca="false">IF(I$47&lt;0,0,(Quesería!$B$44*$B$140*$B$137)*(1-MAX(0,MIN(I$47-0-Quesería!$B$47,(Quesería!$B$46-Quesería!$B$47)))/(Quesería!$B$46-Quesería!$B$47))*IF(I$47&gt;=2,1-Quesería!$B$48,1))+IF(I$47&lt;1,0,(Quesería!$B$44*$C$140*$C$137)*(1-MAX(0,MIN(I$47-1-Quesería!$B$47,(Quesería!$B$46-Quesería!$B$47)))/(Quesería!$B$46-Quesería!$B$47))*IF(I$47&gt;=2,1-Quesería!$B$48,1))</f>
        <v>0</v>
      </c>
      <c r="J165" s="58" t="n">
        <f aca="false">IF(J$47&lt;0,0,(Quesería!$B$44*$B$140*$B$137)*(1-MAX(0,MIN(J$47-0-Quesería!$B$47,(Quesería!$B$46-Quesería!$B$47)))/(Quesería!$B$46-Quesería!$B$47))*IF(J$47&gt;=2,1-Quesería!$B$48,1))+IF(J$47&lt;1,0,(Quesería!$B$44*$C$140*$C$137)*(1-MAX(0,MIN(J$47-1-Quesería!$B$47,(Quesería!$B$46-Quesería!$B$47)))/(Quesería!$B$46-Quesería!$B$47))*IF(J$47&gt;=2,1-Quesería!$B$48,1))</f>
        <v>0</v>
      </c>
      <c r="K165" s="58" t="n">
        <f aca="false">IF(K$47&lt;0,0,(Quesería!$B$44*$B$140*$B$137)*(1-MAX(0,MIN(K$47-0-Quesería!$B$47,(Quesería!$B$46-Quesería!$B$47)))/(Quesería!$B$46-Quesería!$B$47))*IF(K$47&gt;=2,1-Quesería!$B$48,1))+IF(K$47&lt;1,0,(Quesería!$B$44*$C$140*$C$137)*(1-MAX(0,MIN(K$47-1-Quesería!$B$47,(Quesería!$B$46-Quesería!$B$47)))/(Quesería!$B$46-Quesería!$B$47))*IF(K$47&gt;=2,1-Quesería!$B$48,1))</f>
        <v>0</v>
      </c>
      <c r="L165" s="58" t="n">
        <f aca="false">IF(L$47&lt;0,0,(Quesería!$B$44*$B$140*$B$137)*(1-MAX(0,MIN(L$47-0-Quesería!$B$47,(Quesería!$B$46-Quesería!$B$47)))/(Quesería!$B$46-Quesería!$B$47))*IF(L$47&gt;=2,1-Quesería!$B$48,1))+IF(L$47&lt;1,0,(Quesería!$B$44*$C$140*$C$137)*(1-MAX(0,MIN(L$47-1-Quesería!$B$47,(Quesería!$B$46-Quesería!$B$47)))/(Quesería!$B$46-Quesería!$B$47))*IF(L$47&gt;=2,1-Quesería!$B$48,1))</f>
        <v>0</v>
      </c>
    </row>
    <row r="166" customFormat="false" ht="15" hidden="true" customHeight="false" outlineLevel="1" collapsed="false">
      <c r="A166" s="6" t="s">
        <v>431</v>
      </c>
      <c r="B166" s="29" t="n">
        <f aca="false">Quesería!$B$44*B140</f>
        <v>605.02015563059</v>
      </c>
      <c r="C166" s="29" t="n">
        <f aca="false">Quesería!$B$44*C140</f>
        <v>0</v>
      </c>
      <c r="D166" s="29" t="n">
        <f aca="false">Quesería!$B$44*D140</f>
        <v>0</v>
      </c>
      <c r="E166" s="29" t="n">
        <f aca="false">Quesería!$B$44*E140</f>
        <v>0</v>
      </c>
      <c r="F166" s="29" t="n">
        <f aca="false">Quesería!$B$44*F140</f>
        <v>0</v>
      </c>
      <c r="G166" s="29" t="n">
        <f aca="false">Quesería!$B$44*G140</f>
        <v>0</v>
      </c>
      <c r="H166" s="29" t="n">
        <f aca="false">Quesería!$B$44*H140</f>
        <v>0</v>
      </c>
      <c r="I166" s="29" t="n">
        <f aca="false">Quesería!$B$44*I140</f>
        <v>0</v>
      </c>
      <c r="J166" s="29" t="n">
        <f aca="false">Quesería!$B$44*J140</f>
        <v>0</v>
      </c>
      <c r="K166" s="29" t="n">
        <f aca="false">Quesería!$B$44*K140</f>
        <v>0</v>
      </c>
      <c r="L166" s="29" t="n">
        <f aca="false">Quesería!$B$44*L140</f>
        <v>0</v>
      </c>
    </row>
    <row r="167" customFormat="false" ht="15" hidden="true" customHeight="false" outlineLevel="1" collapsed="false">
      <c r="A167" s="6" t="s">
        <v>432</v>
      </c>
      <c r="B167" s="29" t="n">
        <f aca="false">(IF(AND(B$47&gt;0,B$47&lt;=0+Quesería!$B$46),($D$14+$D$28)*(Quesería!$B$44*$B$140*$B$137)*(1-MAX(0,MIN((B$47-1)-0-Quesería!$B$47,(Quesería!$B$46-Quesería!$B$47)))/(Quesería!$B$46-Quesería!$B$47))*IF(B$47&gt;2,1-Quesería!$B$48,1),0)+IF(AND(B$47&gt;1,B$47&lt;=1+Quesería!$B$46),($D$14+$D$28)*(Quesería!$B$44*$C$140*$C$137)*(1-MAX(0,MIN((B$47-1)-1-Quesería!$B$47,(Quesería!$B$46-Quesería!$B$47)))/(Quesería!$B$46-Quesería!$B$47))*IF(B$47&gt;2,1-Quesería!$B$48,1),0))*B139</f>
        <v>0</v>
      </c>
      <c r="C167" s="29" t="n">
        <f aca="false">(IF(AND(C$47&gt;0,C$47&lt;=0+Quesería!$B$46),($D$14+$D$28)*(Quesería!$B$44*$B$140*$B$137)*(1-MAX(0,MIN((C$47-1)-0-Quesería!$B$47,(Quesería!$B$46-Quesería!$B$47)))/(Quesería!$B$46-Quesería!$B$47))*IF(C$47&gt;2,1-Quesería!$B$48,1),0)+IF(AND(C$47&gt;1,C$47&lt;=1+Quesería!$B$46),($D$14+$D$28)*(Quesería!$B$44*$C$140*$C$137)*(1-MAX(0,MIN((C$47-1)-1-Quesería!$B$47,(Quesería!$B$46-Quesería!$B$47)))/(Quesería!$B$46-Quesería!$B$47))*IF(C$47&gt;2,1-Quesería!$B$48,1),0))*C139</f>
        <v>81.2455637561078</v>
      </c>
      <c r="D167" s="29" t="n">
        <f aca="false">(IF(AND(D$47&gt;0,D$47&lt;=0+Quesería!$B$46),($D$14+$D$28)*(Quesería!$B$44*$B$140*$B$137)*(1-MAX(0,MIN((D$47-1)-0-Quesería!$B$47,(Quesería!$B$46-Quesería!$B$47)))/(Quesería!$B$46-Quesería!$B$47))*IF(D$47&gt;2,1-Quesería!$B$48,1),0)+IF(AND(D$47&gt;1,D$47&lt;=1+Quesería!$B$46),($D$14+$D$28)*(Quesería!$B$44*$C$140*$C$137)*(1-MAX(0,MIN((D$47-1)-1-Quesería!$B$47,(Quesería!$B$46-Quesería!$B$47)))/(Quesería!$B$46-Quesería!$B$47))*IF(D$47&gt;2,1-Quesería!$B$48,1),0))*D139</f>
        <v>77.7469509627826</v>
      </c>
      <c r="E167" s="29" t="n">
        <f aca="false">(IF(AND(E$47&gt;0,E$47&lt;=0+Quesería!$B$46),($D$14+$D$28)*(Quesería!$B$44*$B$140*$B$137)*(1-MAX(0,MIN((E$47-1)-0-Quesería!$B$47,(Quesería!$B$46-Quesería!$B$47)))/(Quesería!$B$46-Quesería!$B$47))*IF(E$47&gt;2,1-Quesería!$B$48,1),0)+IF(AND(E$47&gt;1,E$47&lt;=1+Quesería!$B$46),($D$14+$D$28)*(Quesería!$B$44*$C$140*$C$137)*(1-MAX(0,MIN((E$47-1)-1-Quesería!$B$47,(Quesería!$B$46-Quesería!$B$47)))/(Quesería!$B$46-Quesería!$B$47))*IF(E$47&gt;2,1-Quesería!$B$48,1),0))*E139</f>
        <v>62.2972363483835</v>
      </c>
      <c r="F167" s="29" t="n">
        <f aca="false">(IF(AND(F$47&gt;0,F$47&lt;=0+Quesería!$B$46),($D$14+$D$28)*(Quesería!$B$44*$B$140*$B$137)*(1-MAX(0,MIN((F$47-1)-0-Quesería!$B$47,(Quesería!$B$46-Quesería!$B$47)))/(Quesería!$B$46-Quesería!$B$47))*IF(F$47&gt;2,1-Quesería!$B$48,1),0)+IF(AND(F$47&gt;1,F$47&lt;=1+Quesería!$B$46),($D$14+$D$28)*(Quesería!$B$44*$C$140*$C$137)*(1-MAX(0,MIN((F$47-1)-1-Quesería!$B$47,(Quesería!$B$46-Quesería!$B$47)))/(Quesería!$B$46-Quesería!$B$47))*IF(F$47&gt;2,1-Quesería!$B$48,1),0))*F139</f>
        <v>47.920951037218</v>
      </c>
      <c r="G167" s="29" t="n">
        <f aca="false">(IF(AND(G$47&gt;0,G$47&lt;=0+Quesería!$B$46),($D$14+$D$28)*(Quesería!$B$44*$B$140*$B$137)*(1-MAX(0,MIN((G$47-1)-0-Quesería!$B$47,(Quesería!$B$46-Quesería!$B$47)))/(Quesería!$B$46-Quesería!$B$47))*IF(G$47&gt;2,1-Quesería!$B$48,1),0)+IF(AND(G$47&gt;1,G$47&lt;=1+Quesería!$B$46),($D$14+$D$28)*(Quesería!$B$44*$C$140*$C$137)*(1-MAX(0,MIN((G$47-1)-1-Quesería!$B$47,(Quesería!$B$46-Quesería!$B$47)))/(Quesería!$B$46-Quesería!$B$47))*IF(G$47&gt;2,1-Quesería!$B$48,1),0))*G139</f>
        <v>34.5583781518399</v>
      </c>
      <c r="H167" s="29" t="n">
        <f aca="false">(IF(AND(H$47&gt;0,H$47&lt;=0+Quesería!$B$46),($D$14+$D$28)*(Quesería!$B$44*$B$140*$B$137)*(1-MAX(0,MIN((H$47-1)-0-Quesería!$B$47,(Quesería!$B$46-Quesería!$B$47)))/(Quesería!$B$46-Quesería!$B$47))*IF(H$47&gt;2,1-Quesería!$B$48,1),0)+IF(AND(H$47&gt;1,H$47&lt;=1+Quesería!$B$46),($D$14+$D$28)*(Quesería!$B$44*$C$140*$C$137)*(1-MAX(0,MIN((H$47-1)-1-Quesería!$B$47,(Quesería!$B$46-Quesería!$B$47)))/(Quesería!$B$46-Quesería!$B$47))*IF(H$47&gt;2,1-Quesería!$B$48,1),0))*H139</f>
        <v>22.1528065075897</v>
      </c>
      <c r="I167" s="29" t="n">
        <f aca="false">(IF(AND(I$47&gt;0,I$47&lt;=0+Quesería!$B$46),($D$14+$D$28)*(Quesería!$B$44*$B$140*$B$137)*(1-MAX(0,MIN((I$47-1)-0-Quesería!$B$47,(Quesería!$B$46-Quesería!$B$47)))/(Quesería!$B$46-Quesería!$B$47))*IF(I$47&gt;2,1-Quesería!$B$48,1),0)+IF(AND(I$47&gt;1,I$47&lt;=1+Quesería!$B$46),($D$14+$D$28)*(Quesería!$B$44*$C$140*$C$137)*(1-MAX(0,MIN((I$47-1)-1-Quesería!$B$47,(Quesería!$B$46-Quesería!$B$47)))/(Quesería!$B$46-Quesería!$B$47))*IF(I$47&gt;2,1-Quesería!$B$48,1),0))*I139</f>
        <v>10.6503877440335</v>
      </c>
      <c r="J167" s="29" t="n">
        <f aca="false">(IF(AND(J$47&gt;0,J$47&lt;=0+Quesería!$B$46),($D$14+$D$28)*(Quesería!$B$44*$B$140*$B$137)*(1-MAX(0,MIN((J$47-1)-0-Quesería!$B$47,(Quesería!$B$46-Quesería!$B$47)))/(Quesería!$B$46-Quesería!$B$47))*IF(J$47&gt;2,1-Quesería!$B$48,1),0)+IF(AND(J$47&gt;1,J$47&lt;=1+Quesería!$B$46),($D$14+$D$28)*(Quesería!$B$44*$C$140*$C$137)*(1-MAX(0,MIN((J$47-1)-1-Quesería!$B$47,(Quesería!$B$46-Quesería!$B$47)))/(Quesería!$B$46-Quesería!$B$47))*IF(J$47&gt;2,1-Quesería!$B$48,1),0))*J139</f>
        <v>0</v>
      </c>
      <c r="K167" s="29" t="n">
        <f aca="false">(IF(AND(K$47&gt;0,K$47&lt;=0+Quesería!$B$46),($D$14+$D$28)*(Quesería!$B$44*$B$140*$B$137)*(1-MAX(0,MIN((K$47-1)-0-Quesería!$B$47,(Quesería!$B$46-Quesería!$B$47)))/(Quesería!$B$46-Quesería!$B$47))*IF(K$47&gt;2,1-Quesería!$B$48,1),0)+IF(AND(K$47&gt;1,K$47&lt;=1+Quesería!$B$46),($D$14+$D$28)*(Quesería!$B$44*$C$140*$C$137)*(1-MAX(0,MIN((K$47-1)-1-Quesería!$B$47,(Quesería!$B$46-Quesería!$B$47)))/(Quesería!$B$46-Quesería!$B$47))*IF(K$47&gt;2,1-Quesería!$B$48,1),0))*K139</f>
        <v>0</v>
      </c>
      <c r="L167" s="29" t="n">
        <f aca="false">(IF(AND(L$47&gt;0,L$47&lt;=0+Quesería!$B$46),($D$14+$D$28)*(Quesería!$B$44*$B$140*$B$137)*(1-MAX(0,MIN((L$47-1)-0-Quesería!$B$47,(Quesería!$B$46-Quesería!$B$47)))/(Quesería!$B$46-Quesería!$B$47))*IF(L$47&gt;2,1-Quesería!$B$48,1),0)+IF(AND(L$47&gt;1,L$47&lt;=1+Quesería!$B$46),($D$14+$D$28)*(Quesería!$B$44*$C$140*$C$137)*(1-MAX(0,MIN((L$47-1)-1-Quesería!$B$47,(Quesería!$B$46-Quesería!$B$47)))/(Quesería!$B$46-Quesería!$B$47))*IF(L$47&gt;2,1-Quesería!$B$48,1),0))*L139</f>
        <v>0</v>
      </c>
    </row>
    <row r="168" customFormat="false" ht="15" hidden="true" customHeight="false" outlineLevel="1" collapsed="false">
      <c r="A168" s="6" t="s">
        <v>433</v>
      </c>
      <c r="B168" s="29" t="n">
        <f aca="false">((IF(AND(B$47&gt;0+Quesería!$B$47,B$47&lt;=0+Quesería!$B$46),(Quesería!$B$44*$B$140*$B$137)/(Quesería!$B$46-Quesería!$B$47),0)*IF(B$47&gt;2,1-Quesería!$B$48,1)+IF(B$47=2,Quesería!$B$48*(Quesería!$B$44*$B$140*$B$137)*(1-MAX(0,MIN(2-0-Quesería!$B$47,(Quesería!$B$46-Quesería!$B$47)))/(Quesería!$B$46-Quesería!$B$47)),0))+(IF(AND(B$47&gt;1+Quesería!$B$47,B$47&lt;=1+Quesería!$B$46),(Quesería!$B$44*$C$140*$C$137)/(Quesería!$B$46-Quesería!$B$47),0)*IF(B$47&gt;2,1-Quesería!$B$48,1)+IF(B$47=2,Quesería!$B$48*(Quesería!$B$44*$C$140*$C$137)*(1-MAX(0,MIN(2-1-Quesería!$B$47,(Quesería!$B$46-Quesería!$B$47)))/(Quesería!$B$46-Quesería!$B$47)),0)))*B139</f>
        <v>0</v>
      </c>
      <c r="C168" s="29" t="n">
        <f aca="false">((IF(AND(C$47&gt;0+Quesería!$B$47,C$47&lt;=0+Quesería!$B$46),(Quesería!$B$44*$B$140*$B$137)/(Quesería!$B$46-Quesería!$B$47),0)*IF(C$47&gt;2,1-Quesería!$B$48,1)+IF(C$47=2,Quesería!$B$48*(Quesería!$B$44*$B$140*$B$137)*(1-MAX(0,MIN(2-0-Quesería!$B$47,(Quesería!$B$46-Quesería!$B$47)))/(Quesería!$B$46-Quesería!$B$47)),0))+(IF(AND(C$47&gt;1+Quesería!$B$47,C$47&lt;=1+Quesería!$B$46),(Quesería!$B$44*$C$140*$C$137)/(Quesería!$B$46-Quesería!$B$47),0)*IF(C$47&gt;2,1-Quesería!$B$48,1)+IF(C$47=2,Quesería!$B$48*(Quesería!$B$44*$C$140*$C$137)*(1-MAX(0,MIN(2-1-Quesería!$B$47,(Quesería!$B$46-Quesería!$B$47)))/(Quesería!$B$46-Quesería!$B$47)),0)))*C139</f>
        <v>0</v>
      </c>
      <c r="D168" s="29" t="n">
        <f aca="false">((IF(AND(D$47&gt;0+Quesería!$B$47,D$47&lt;=0+Quesería!$B$46),(Quesería!$B$44*$B$140*$B$137)/(Quesería!$B$46-Quesería!$B$47),0)*IF(D$47&gt;2,1-Quesería!$B$48,1)+IF(D$47=2,Quesería!$B$48*(Quesería!$B$44*$B$140*$B$137)*(1-MAX(0,MIN(2-0-Quesería!$B$47,(Quesería!$B$46-Quesería!$B$47)))/(Quesería!$B$46-Quesería!$B$47)),0))+(IF(AND(D$47&gt;1+Quesería!$B$47,D$47&lt;=1+Quesería!$B$46),(Quesería!$B$44*$C$140*$C$137)/(Quesería!$B$46-Quesería!$B$47),0)*IF(D$47&gt;2,1-Quesería!$B$48,1)+IF(D$47=2,Quesería!$B$48*(Quesería!$B$44*$C$140*$C$137)*(1-MAX(0,MIN(2-1-Quesería!$B$47,(Quesería!$B$46-Quesería!$B$47)))/(Quesería!$B$46-Quesería!$B$47)),0)))*D139</f>
        <v>91.8994692231472</v>
      </c>
      <c r="E168" s="29" t="n">
        <f aca="false">((IF(AND(E$47&gt;0+Quesería!$B$47,E$47&lt;=0+Quesería!$B$46),(Quesería!$B$44*$B$140*$B$137)/(Quesería!$B$46-Quesería!$B$47),0)*IF(E$47&gt;2,1-Quesería!$B$48,1)+IF(E$47=2,Quesería!$B$48*(Quesería!$B$44*$B$140*$B$137)*(1-MAX(0,MIN(2-0-Quesería!$B$47,(Quesería!$B$46-Quesería!$B$47)))/(Quesería!$B$46-Quesería!$B$47)),0))+(IF(AND(E$47&gt;1+Quesería!$B$47,E$47&lt;=1+Quesería!$B$46),(Quesería!$B$44*$C$140*$C$137)/(Quesería!$B$46-Quesería!$B$47),0)*IF(E$47&gt;2,1-Quesería!$B$48,1)+IF(E$47=2,Quesería!$B$48*(Quesería!$B$44*$C$140*$C$137)*(1-MAX(0,MIN(2-1-Quesería!$B$47,(Quesería!$B$46-Quesería!$B$47)))/(Quesería!$B$46-Quesería!$B$47)),0)))*E139</f>
        <v>88.3648742530262</v>
      </c>
      <c r="F168" s="29" t="n">
        <f aca="false">((IF(AND(F$47&gt;0+Quesería!$B$47,F$47&lt;=0+Quesería!$B$46),(Quesería!$B$44*$B$140*$B$137)/(Quesería!$B$46-Quesería!$B$47),0)*IF(F$47&gt;2,1-Quesería!$B$48,1)+IF(F$47=2,Quesería!$B$48*(Quesería!$B$44*$B$140*$B$137)*(1-MAX(0,MIN(2-0-Quesería!$B$47,(Quesería!$B$46-Quesería!$B$47)))/(Quesería!$B$46-Quesería!$B$47)),0))+(IF(AND(F$47&gt;1+Quesería!$B$47,F$47&lt;=1+Quesería!$B$46),(Quesería!$B$44*$C$140*$C$137)/(Quesería!$B$46-Quesería!$B$47),0)*IF(F$47&gt;2,1-Quesería!$B$48,1)+IF(F$47=2,Quesería!$B$48*(Quesería!$B$44*$C$140*$C$137)*(1-MAX(0,MIN(2-1-Quesería!$B$47,(Quesería!$B$46-Quesería!$B$47)))/(Quesería!$B$46-Quesería!$B$47)),0)))*F139</f>
        <v>84.9662252432944</v>
      </c>
      <c r="G168" s="29" t="n">
        <f aca="false">((IF(AND(G$47&gt;0+Quesería!$B$47,G$47&lt;=0+Quesería!$B$46),(Quesería!$B$44*$B$140*$B$137)/(Quesería!$B$46-Quesería!$B$47),0)*IF(G$47&gt;2,1-Quesería!$B$48,1)+IF(G$47=2,Quesería!$B$48*(Quesería!$B$44*$B$140*$B$137)*(1-MAX(0,MIN(2-0-Quesería!$B$47,(Quesería!$B$46-Quesería!$B$47)))/(Quesería!$B$46-Quesería!$B$47)),0))+(IF(AND(G$47&gt;1+Quesería!$B$47,G$47&lt;=1+Quesería!$B$46),(Quesería!$B$44*$C$140*$C$137)/(Quesería!$B$46-Quesería!$B$47),0)*IF(G$47&gt;2,1-Quesería!$B$48,1)+IF(G$47=2,Quesería!$B$48*(Quesería!$B$44*$C$140*$C$137)*(1-MAX(0,MIN(2-1-Quesería!$B$47,(Quesería!$B$46-Quesería!$B$47)))/(Quesería!$B$46-Quesería!$B$47)),0)))*G139</f>
        <v>81.6982935031677</v>
      </c>
      <c r="H168" s="29" t="n">
        <f aca="false">((IF(AND(H$47&gt;0+Quesería!$B$47,H$47&lt;=0+Quesería!$B$46),(Quesería!$B$44*$B$140*$B$137)/(Quesería!$B$46-Quesería!$B$47),0)*IF(H$47&gt;2,1-Quesería!$B$48,1)+IF(H$47=2,Quesería!$B$48*(Quesería!$B$44*$B$140*$B$137)*(1-MAX(0,MIN(2-0-Quesería!$B$47,(Quesería!$B$46-Quesería!$B$47)))/(Quesería!$B$46-Quesería!$B$47)),0))+(IF(AND(H$47&gt;1+Quesería!$B$47,H$47&lt;=1+Quesería!$B$46),(Quesería!$B$44*$C$140*$C$137)/(Quesería!$B$46-Quesería!$B$47),0)*IF(H$47&gt;2,1-Quesería!$B$48,1)+IF(H$47=2,Quesería!$B$48*(Quesería!$B$44*$C$140*$C$137)*(1-MAX(0,MIN(2-1-Quesería!$B$47,(Quesería!$B$46-Quesería!$B$47)))/(Quesería!$B$46-Quesería!$B$47)),0)))*H139</f>
        <v>78.5560514453536</v>
      </c>
      <c r="I168" s="29" t="n">
        <f aca="false">((IF(AND(I$47&gt;0+Quesería!$B$47,I$47&lt;=0+Quesería!$B$46),(Quesería!$B$44*$B$140*$B$137)/(Quesería!$B$46-Quesería!$B$47),0)*IF(I$47&gt;2,1-Quesería!$B$48,1)+IF(I$47=2,Quesería!$B$48*(Quesería!$B$44*$B$140*$B$137)*(1-MAX(0,MIN(2-0-Quesería!$B$47,(Quesería!$B$46-Quesería!$B$47)))/(Quesería!$B$46-Quesería!$B$47)),0))+(IF(AND(I$47&gt;1+Quesería!$B$47,I$47&lt;=1+Quesería!$B$46),(Quesería!$B$44*$C$140*$C$137)/(Quesería!$B$46-Quesería!$B$47),0)*IF(I$47&gt;2,1-Quesería!$B$48,1)+IF(I$47=2,Quesería!$B$48*(Quesería!$B$44*$C$140*$C$137)*(1-MAX(0,MIN(2-1-Quesería!$B$47,(Quesería!$B$46-Quesería!$B$47)))/(Quesería!$B$46-Quesería!$B$47)),0)))*I139</f>
        <v>75.5346648513015</v>
      </c>
      <c r="J168" s="29" t="n">
        <f aca="false">((IF(AND(J$47&gt;0+Quesería!$B$47,J$47&lt;=0+Quesería!$B$46),(Quesería!$B$44*$B$140*$B$137)/(Quesería!$B$46-Quesería!$B$47),0)*IF(J$47&gt;2,1-Quesería!$B$48,1)+IF(J$47=2,Quesería!$B$48*(Quesería!$B$44*$B$140*$B$137)*(1-MAX(0,MIN(2-0-Quesería!$B$47,(Quesería!$B$46-Quesería!$B$47)))/(Quesería!$B$46-Quesería!$B$47)),0))+(IF(AND(J$47&gt;1+Quesería!$B$47,J$47&lt;=1+Quesería!$B$46),(Quesería!$B$44*$C$140*$C$137)/(Quesería!$B$46-Quesería!$B$47),0)*IF(J$47&gt;2,1-Quesería!$B$48,1)+IF(J$47=2,Quesería!$B$48*(Quesería!$B$44*$C$140*$C$137)*(1-MAX(0,MIN(2-1-Quesería!$B$47,(Quesería!$B$46-Quesería!$B$47)))/(Quesería!$B$46-Quesería!$B$47)),0)))*J139</f>
        <v>0</v>
      </c>
      <c r="K168" s="29" t="n">
        <f aca="false">((IF(AND(K$47&gt;0+Quesería!$B$47,K$47&lt;=0+Quesería!$B$46),(Quesería!$B$44*$B$140*$B$137)/(Quesería!$B$46-Quesería!$B$47),0)*IF(K$47&gt;2,1-Quesería!$B$48,1)+IF(K$47=2,Quesería!$B$48*(Quesería!$B$44*$B$140*$B$137)*(1-MAX(0,MIN(2-0-Quesería!$B$47,(Quesería!$B$46-Quesería!$B$47)))/(Quesería!$B$46-Quesería!$B$47)),0))+(IF(AND(K$47&gt;1+Quesería!$B$47,K$47&lt;=1+Quesería!$B$46),(Quesería!$B$44*$C$140*$C$137)/(Quesería!$B$46-Quesería!$B$47),0)*IF(K$47&gt;2,1-Quesería!$B$48,1)+IF(K$47=2,Quesería!$B$48*(Quesería!$B$44*$C$140*$C$137)*(1-MAX(0,MIN(2-1-Quesería!$B$47,(Quesería!$B$46-Quesería!$B$47)))/(Quesería!$B$46-Quesería!$B$47)),0)))*K139</f>
        <v>0</v>
      </c>
      <c r="L168" s="29" t="n">
        <f aca="false">((IF(AND(L$47&gt;0+Quesería!$B$47,L$47&lt;=0+Quesería!$B$46),(Quesería!$B$44*$B$140*$B$137)/(Quesería!$B$46-Quesería!$B$47),0)*IF(L$47&gt;2,1-Quesería!$B$48,1)+IF(L$47=2,Quesería!$B$48*(Quesería!$B$44*$B$140*$B$137)*(1-MAX(0,MIN(2-0-Quesería!$B$47,(Quesería!$B$46-Quesería!$B$47)))/(Quesería!$B$46-Quesería!$B$47)),0))+(IF(AND(L$47&gt;1+Quesería!$B$47,L$47&lt;=1+Quesería!$B$46),(Quesería!$B$44*$C$140*$C$137)/(Quesería!$B$46-Quesería!$B$47),0)*IF(L$47&gt;2,1-Quesería!$B$48,1)+IF(L$47=2,Quesería!$B$48*(Quesería!$B$44*$C$140*$C$137)*(1-MAX(0,MIN(2-1-Quesería!$B$47,(Quesería!$B$46-Quesería!$B$47)))/(Quesería!$B$46-Quesería!$B$47)),0)))*L139</f>
        <v>0</v>
      </c>
    </row>
    <row r="169" customFormat="false" ht="15" hidden="true" customHeight="false" outlineLevel="1" collapsed="false">
      <c r="A169" s="6" t="s">
        <v>434</v>
      </c>
      <c r="B169" s="29" t="n">
        <f aca="false">$D$13*Quesería!$B$51*(1+0.19)*B165*B139+(1-$D$13)*IF(B$47=0,Quesería!$B$50,0)</f>
        <v>14.327482305488</v>
      </c>
      <c r="C169" s="29" t="n">
        <f aca="false">$D$13*Quesería!$B$51*(1+0.19)*C165*C139+(1-$D$13)*IF(C$47=0,Quesería!$B$50,0)</f>
        <v>13.6452212433219</v>
      </c>
      <c r="D169" s="29" t="n">
        <f aca="false">$D$13*Quesería!$B$51*(1+0.19)*D165*D139+(1-$D$13)*IF(D$47=0,Quesería!$B$50,0)</f>
        <v>10.8813566533668</v>
      </c>
      <c r="E169" s="29" t="n">
        <f aca="false">$D$13*Quesería!$B$51*(1+0.19)*E165*E139+(1-$D$13)*IF(E$47=0,Quesería!$B$50,0)</f>
        <v>8.37027434874366</v>
      </c>
      <c r="F169" s="29" t="n">
        <f aca="false">$D$13*Quesería!$B$51*(1+0.19)*F165*F139+(1-$D$13)*IF(F$47=0,Quesería!$B$50,0)</f>
        <v>6.03625553995937</v>
      </c>
      <c r="G169" s="29" t="n">
        <f aca="false">$D$13*Quesería!$B$51*(1+0.19)*G165*G139+(1-$D$13)*IF(G$47=0,Quesería!$B$50,0)</f>
        <v>3.86939457689703</v>
      </c>
      <c r="H169" s="29" t="n">
        <f aca="false">$D$13*Quesería!$B$51*(1+0.19)*H165*H139+(1-$D$13)*IF(H$47=0,Quesería!$B$50,0)</f>
        <v>1.86028585427742</v>
      </c>
      <c r="I169" s="29" t="n">
        <f aca="false">$D$13*Quesería!$B$51*(1+0.19)*I165*I139+(1-$D$13)*IF(I$47=0,Quesería!$B$50,0)</f>
        <v>0</v>
      </c>
      <c r="J169" s="29" t="n">
        <f aca="false">$D$13*Quesería!$B$51*(1+0.19)*J165*J139+(1-$D$13)*IF(J$47=0,Quesería!$B$50,0)</f>
        <v>0</v>
      </c>
      <c r="K169" s="29" t="n">
        <f aca="false">$D$13*Quesería!$B$51*(1+0.19)*K165*K139+(1-$D$13)*IF(K$47=0,Quesería!$B$50,0)</f>
        <v>0</v>
      </c>
      <c r="L169" s="29" t="n">
        <f aca="false">$D$13*Quesería!$B$51*(1+0.19)*L165*L139+(1-$D$13)*IF(L$47=0,Quesería!$B$50,0)</f>
        <v>0</v>
      </c>
    </row>
    <row r="170" customFormat="false" ht="15" hidden="true" customHeight="false" outlineLevel="1" collapsed="false">
      <c r="A170" s="6" t="s">
        <v>435</v>
      </c>
      <c r="B170" s="29" t="n">
        <f aca="false">Quesería!$B$52*(B167+B168+B169)</f>
        <v>0.057309929221952</v>
      </c>
      <c r="C170" s="29" t="n">
        <f aca="false">Quesería!$B$52*(C167+C168+C169)</f>
        <v>0.379563139997719</v>
      </c>
      <c r="D170" s="29" t="n">
        <f aca="false">Quesería!$B$52*(D167+D168+D169)</f>
        <v>0.722111107357186</v>
      </c>
      <c r="E170" s="29" t="n">
        <f aca="false">Quesería!$B$52*(E167+E168+E169)</f>
        <v>0.636129539800613</v>
      </c>
      <c r="F170" s="29" t="n">
        <f aca="false">Quesería!$B$52*(F167+F168+F169)</f>
        <v>0.555693727281887</v>
      </c>
      <c r="G170" s="29" t="n">
        <f aca="false">Quesería!$B$52*(G167+G168+G169)</f>
        <v>0.480504264927619</v>
      </c>
      <c r="H170" s="29" t="n">
        <f aca="false">Quesería!$B$52*(H167+H168+H169)</f>
        <v>0.410276575228883</v>
      </c>
      <c r="I170" s="29" t="n">
        <f aca="false">Quesería!$B$52*(I167+I168+I169)</f>
        <v>0.34474021038134</v>
      </c>
      <c r="J170" s="29" t="n">
        <f aca="false">Quesería!$B$52*(J167+J168+J169)</f>
        <v>0</v>
      </c>
      <c r="K170" s="29" t="n">
        <f aca="false">Quesería!$B$52*(K167+K168+K169)</f>
        <v>0</v>
      </c>
      <c r="L170" s="29" t="n">
        <f aca="false">Quesería!$B$52*(L167+L168+L169)</f>
        <v>0</v>
      </c>
    </row>
    <row r="171" customFormat="false" ht="15" hidden="true" customHeight="false" outlineLevel="1" collapsed="false">
      <c r="A171" s="6" t="s">
        <v>436</v>
      </c>
      <c r="B171" s="29" t="n">
        <f aca="false">$D$17*(B167+B169+0.5*B170)</f>
        <v>5.02464804453464</v>
      </c>
      <c r="C171" s="29" t="n">
        <f aca="false">$D$17*(C167+C169+0.5*C170)</f>
        <v>33.2781982993</v>
      </c>
      <c r="D171" s="29" t="n">
        <f aca="false">$D$17*(D167+D169+0.5*D170)</f>
        <v>31.1462771094398</v>
      </c>
      <c r="E171" s="29" t="n">
        <f aca="false">$D$17*(E167+E169+0.5*E170)</f>
        <v>24.8449514134596</v>
      </c>
      <c r="F171" s="29" t="n">
        <f aca="false">$D$17*(F167+F169+0.5*F170)</f>
        <v>18.9822687042864</v>
      </c>
      <c r="G171" s="29" t="n">
        <f aca="false">$D$17*(G167+G169+0.5*G170)</f>
        <v>13.5338087014203</v>
      </c>
      <c r="H171" s="29" t="n">
        <f aca="false">$D$17*(H167+H169+0.5*H170)</f>
        <v>8.47638072731855</v>
      </c>
      <c r="I171" s="29" t="n">
        <f aca="false">$D$17*(I167+I169+0.5*I170)</f>
        <v>3.78796524722846</v>
      </c>
      <c r="J171" s="29" t="n">
        <f aca="false">$D$17*(J167+J169+0.5*J170)</f>
        <v>0</v>
      </c>
      <c r="K171" s="29" t="n">
        <f aca="false">$D$17*(K167+K169+0.5*K170)</f>
        <v>0</v>
      </c>
      <c r="L171" s="29" t="n">
        <f aca="false">$D$17*(L167+L169+0.5*L170)</f>
        <v>0</v>
      </c>
    </row>
    <row r="172" customFormat="false" ht="15" hidden="true" customHeight="false" outlineLevel="1" collapsed="false">
      <c r="A172" s="5" t="s">
        <v>437</v>
      </c>
      <c r="B172" s="59" t="n">
        <f aca="false">B157+B166-B167-B168-B169-B170+B171</f>
        <v>-393.145322134896</v>
      </c>
      <c r="C172" s="59" t="n">
        <f aca="false">C157+C166-C167-C168-C169-C170+C171</f>
        <v>156.233715196329</v>
      </c>
      <c r="D172" s="59" t="n">
        <f aca="false">D157+D166-D167-D168-D169-D170+D171</f>
        <v>-52.2063772790132</v>
      </c>
      <c r="E172" s="59" t="n">
        <f aca="false">E157+E166-E167-E168-E169-E170+E171</f>
        <v>-34.441499302329</v>
      </c>
      <c r="F172" s="59" t="n">
        <f aca="false">F157+F166-F167-F168-F169-F170+F171</f>
        <v>-21.1039560806594</v>
      </c>
      <c r="G172" s="59" t="n">
        <f aca="false">G157+G166-G167-G168-G169-G170+G171</f>
        <v>-41.4211493393498</v>
      </c>
      <c r="H172" s="59" t="n">
        <f aca="false">H157+H166-H167-H168-H169-H170+H171</f>
        <v>-49.7960531470024</v>
      </c>
      <c r="I172" s="59" t="n">
        <f aca="false">I157+I166-I167-I168-I169-I170+I171</f>
        <v>23.1489036452063</v>
      </c>
      <c r="J172" s="59" t="n">
        <f aca="false">J157+J166-J167-J168-J169-J170+J171</f>
        <v>96.5459304524465</v>
      </c>
      <c r="K172" s="59" t="n">
        <f aca="false">K157+K166-K167-K168-K169-K170+K171</f>
        <v>95.7108482342829</v>
      </c>
      <c r="L172" s="59" t="n">
        <f aca="false">L157+L166-L167-L168-L169-L170+L171</f>
        <v>106.834937988874</v>
      </c>
    </row>
    <row r="173" customFormat="false" ht="15" hidden="true" customHeight="false" outlineLevel="1" collapsed="false">
      <c r="A173" s="9" t="s">
        <v>438</v>
      </c>
      <c r="B173" s="58" t="n">
        <f aca="false">B172*B137</f>
        <v>-416.73404146299</v>
      </c>
      <c r="C173" s="58" t="n">
        <f aca="false">C172*C137</f>
        <v>173.888125013514</v>
      </c>
      <c r="D173" s="58" t="n">
        <f aca="false">D172*D137</f>
        <v>-60.7204543175611</v>
      </c>
      <c r="E173" s="58" t="n">
        <f aca="false">E172*E137</f>
        <v>-41.6607268646913</v>
      </c>
      <c r="F173" s="58" t="n">
        <f aca="false">F172*F137</f>
        <v>-26.5486234503326</v>
      </c>
      <c r="G173" s="58" t="n">
        <f aca="false">G172*G137</f>
        <v>-54.1918051851003</v>
      </c>
      <c r="H173" s="58" t="n">
        <f aca="false">H172*H137</f>
        <v>-67.7547479086556</v>
      </c>
      <c r="I173" s="58" t="n">
        <f aca="false">I172*I137</f>
        <v>32.7573362342797</v>
      </c>
      <c r="J173" s="58" t="n">
        <f aca="false">J172*J137</f>
        <v>142.084094198499</v>
      </c>
      <c r="K173" s="58" t="n">
        <f aca="false">K172*K137</f>
        <v>146.489330799475</v>
      </c>
      <c r="L173" s="58" t="n">
        <f aca="false">L172*L137</f>
        <v>170.055808877926</v>
      </c>
    </row>
    <row r="174" customFormat="false" ht="15" hidden="true" customHeight="false" outlineLevel="1" collapsed="false">
      <c r="A174" s="9" t="s">
        <v>439</v>
      </c>
      <c r="B174" s="57" t="n">
        <f aca="false">(B137/$B$137)/(1+Quesería!$B$11+$D$28)^B$47</f>
        <v>1</v>
      </c>
      <c r="C174" s="57" t="n">
        <f aca="false">(C137/$B$137)/(1+Quesería!$B$11+$D$28)^C$47</f>
        <v>0.84</v>
      </c>
      <c r="D174" s="57" t="n">
        <f aca="false">(D137/$B$137)/(1+Quesería!$B$11+$D$28)^D$47</f>
        <v>0.70224</v>
      </c>
      <c r="E174" s="57" t="n">
        <f aca="false">(E137/$B$137)/(1+Quesería!$B$11+$D$28)^E$47</f>
        <v>0.58426368</v>
      </c>
      <c r="F174" s="57" t="n">
        <f aca="false">(F137/$B$137)/(1+Quesería!$B$11+$D$28)^F$47</f>
        <v>0.48610738176</v>
      </c>
      <c r="G174" s="57" t="n">
        <f aca="false">(G137/$B$137)/(1+Quesería!$B$11+$D$28)^G$47</f>
        <v>0.40444134162432</v>
      </c>
      <c r="H174" s="57" t="n">
        <f aca="false">(H137/$B$137)/(1+Quesería!$B$11+$D$28)^H$47</f>
        <v>0.336495196231434</v>
      </c>
      <c r="I174" s="57" t="n">
        <f aca="false">(I137/$B$137)/(1+Quesería!$B$11+$D$28)^I$47</f>
        <v>0.279964003264553</v>
      </c>
      <c r="J174" s="57" t="n">
        <f aca="false">(J137/$B$137)/(1+Quesería!$B$11+$D$28)^J$47</f>
        <v>0.232930050716108</v>
      </c>
      <c r="K174" s="57" t="n">
        <f aca="false">(K137/$B$137)/(1+Quesería!$B$11+$D$28)^K$47</f>
        <v>0.193797802195802</v>
      </c>
      <c r="L174" s="57" t="n">
        <f aca="false">(L137/$B$137)/(1+Quesería!$B$11+$D$28)^L$47</f>
        <v>0.161239771426907</v>
      </c>
    </row>
    <row r="175" customFormat="false" ht="15" hidden="true" customHeight="false" outlineLevel="1" collapsed="false">
      <c r="A175" s="9" t="s">
        <v>440</v>
      </c>
      <c r="B175" s="58" t="n">
        <f aca="false">B157+B140+B142+B171</f>
        <v>96.1352254610782</v>
      </c>
      <c r="C175" s="58" t="n">
        <f aca="false">C157+C140+C142+C171</f>
        <v>251.504063335756</v>
      </c>
      <c r="D175" s="58" t="n">
        <f aca="false">D157+D140+D142+D171</f>
        <v>129.043510667641</v>
      </c>
      <c r="E175" s="58" t="n">
        <f aca="false">E157+E140+E142+E171</f>
        <v>125.227015187625</v>
      </c>
      <c r="F175" s="58" t="n">
        <f aca="false">F157+F140+F142+F171</f>
        <v>118.375169467094</v>
      </c>
      <c r="G175" s="58" t="n">
        <f aca="false">G157+G140+G142+G171</f>
        <v>84.4038124385684</v>
      </c>
      <c r="H175" s="58" t="n">
        <f aca="false">H157+H140+H142+H171</f>
        <v>61.9973068205286</v>
      </c>
      <c r="I175" s="58" t="n">
        <f aca="false">I157+I140+I142+I171</f>
        <v>109.678696450923</v>
      </c>
      <c r="J175" s="58" t="n">
        <f aca="false">J157+J140+J142+J171</f>
        <v>96.5459304524465</v>
      </c>
      <c r="K175" s="58" t="n">
        <f aca="false">K157+K140+K142+K171</f>
        <v>95.7108482342829</v>
      </c>
      <c r="L175" s="58" t="n">
        <f aca="false">L157+L140+L142+L171</f>
        <v>106.834937988874</v>
      </c>
    </row>
    <row r="176" customFormat="false" ht="15" hidden="true" customHeight="false" outlineLevel="1" collapsed="false">
      <c r="A176" s="5" t="s">
        <v>149</v>
      </c>
      <c r="B176" s="12" t="str">
        <f aca="false">IF(AND(B$47&gt;=1,(B167+B168+B169)&gt;0.001),B175/(B167+B168+B169),"")</f>
        <v/>
      </c>
      <c r="C176" s="12" t="n">
        <f aca="false">IF(AND(C$47&gt;=1,(C167+C168+C169)&gt;0.001),C175/(C167+C168+C169),"")</f>
        <v>2.6504582435193</v>
      </c>
      <c r="D176" s="12" t="n">
        <f aca="false">IF(AND(D$47&gt;=1,(D167+D168+D169)&gt;0.001),D175/(D167+D168+D169),"")</f>
        <v>0.714812495489341</v>
      </c>
      <c r="E176" s="12" t="n">
        <f aca="false">IF(AND(E$47&gt;=1,(E167+E168+E169)&gt;0.001),E175/(E167+E168+E169),"")</f>
        <v>0.787430907402135</v>
      </c>
      <c r="F176" s="12" t="n">
        <f aca="false">IF(AND(F$47&gt;=1,(F167+F168+F169)&gt;0.001),F175/(F167+F168+F169),"")</f>
        <v>0.852089297794402</v>
      </c>
      <c r="G176" s="12" t="n">
        <f aca="false">IF(AND(G$47&gt;=1,(G167+G168+G169)&gt;0.001),G175/(G167+G168+G169),"")</f>
        <v>0.702626957546632</v>
      </c>
      <c r="H176" s="12" t="n">
        <f aca="false">IF(AND(H$47&gt;=1,(H167+H168+H169)&gt;0.001),H175/(H167+H168+H169),"")</f>
        <v>0.604444031794327</v>
      </c>
      <c r="I176" s="12" t="n">
        <f aca="false">IF(AND(I$47&gt;=1,(I167+I168+I169)&gt;0.001),I175/(I167+I168+I169),"")</f>
        <v>1.27259534162957</v>
      </c>
      <c r="J176" s="12" t="str">
        <f aca="false">IF(AND(J$47&gt;=1,(J167+J168+J169)&gt;0.001),J175/(J167+J168+J169),"")</f>
        <v/>
      </c>
      <c r="K176" s="12" t="str">
        <f aca="false">IF(AND(K$47&gt;=1,(K167+K168+K169)&gt;0.001),K175/(K167+K168+K169),"")</f>
        <v/>
      </c>
      <c r="L176" s="12" t="str">
        <f aca="false">IF(AND(L$47&gt;=1,(L167+L168+L169)&gt;0.001),L175/(L167+L168+L169),"")</f>
        <v/>
      </c>
    </row>
    <row r="178" customFormat="false" ht="15" hidden="false" customHeight="false" outlineLevel="0" collapsed="false">
      <c r="A178" s="43" t="s">
        <v>1243</v>
      </c>
      <c r="B178" s="44"/>
      <c r="C178" s="44"/>
      <c r="D178" s="44"/>
      <c r="E178" s="44"/>
      <c r="F178" s="44"/>
      <c r="G178" s="44"/>
      <c r="H178" s="44"/>
      <c r="I178" s="44"/>
      <c r="J178" s="44"/>
      <c r="K178" s="44"/>
      <c r="L178" s="44"/>
    </row>
    <row r="179" customFormat="false" ht="15" hidden="true" customHeight="false" outlineLevel="1" collapsed="false">
      <c r="A179" s="9" t="s">
        <v>406</v>
      </c>
      <c r="B179" s="56" t="n">
        <f aca="false">CHOOSE($E$15,Entorno!B$7,Entorno!B$8,Entorno!B$9)</f>
        <v>0.06</v>
      </c>
      <c r="C179" s="56" t="n">
        <f aca="false">CHOOSE($E$15,Entorno!C$7,Entorno!C$8,Entorno!C$9)</f>
        <v>0.05</v>
      </c>
      <c r="D179" s="56" t="n">
        <f aca="false">CHOOSE($E$15,Entorno!D$7,Entorno!D$8,Entorno!D$9)</f>
        <v>0.045</v>
      </c>
      <c r="E179" s="56" t="n">
        <f aca="false">CHOOSE($E$15,Entorno!E$7,Entorno!E$8,Entorno!E$9)</f>
        <v>0.04</v>
      </c>
      <c r="F179" s="56" t="n">
        <f aca="false">CHOOSE($E$15,Entorno!F$7,Entorno!F$8,Entorno!F$9)</f>
        <v>0.04</v>
      </c>
      <c r="G179" s="56" t="n">
        <f aca="false">CHOOSE($E$15,Entorno!G$7,Entorno!G$8,Entorno!G$9)</f>
        <v>0.04</v>
      </c>
      <c r="H179" s="56" t="n">
        <f aca="false">CHOOSE($E$15,Entorno!H$7,Entorno!H$8,Entorno!H$9)</f>
        <v>0.04</v>
      </c>
      <c r="I179" s="56" t="n">
        <f aca="false">CHOOSE($E$15,Entorno!I$7,Entorno!I$8,Entorno!I$9)</f>
        <v>0.04</v>
      </c>
      <c r="J179" s="56" t="n">
        <f aca="false">CHOOSE($E$15,Entorno!J$7,Entorno!J$8,Entorno!J$9)</f>
        <v>0.04</v>
      </c>
      <c r="K179" s="56" t="n">
        <f aca="false">CHOOSE($E$15,Entorno!K$7,Entorno!K$8,Entorno!K$9)</f>
        <v>0.04</v>
      </c>
      <c r="L179" s="56" t="n">
        <f aca="false">CHOOSE($E$15,Entorno!L$7,Entorno!L$8,Entorno!L$9)</f>
        <v>0.04</v>
      </c>
    </row>
    <row r="180" customFormat="false" ht="15" hidden="true" customHeight="false" outlineLevel="1" collapsed="false">
      <c r="A180" s="9" t="s">
        <v>407</v>
      </c>
      <c r="B180" s="57" t="n">
        <f aca="false">1+B179</f>
        <v>1.06</v>
      </c>
      <c r="C180" s="57" t="n">
        <f aca="false">B180*(1+C179)</f>
        <v>1.113</v>
      </c>
      <c r="D180" s="57" t="n">
        <f aca="false">C180*(1+D179)</f>
        <v>1.163085</v>
      </c>
      <c r="E180" s="57" t="n">
        <f aca="false">D180*(1+E179)</f>
        <v>1.2096084</v>
      </c>
      <c r="F180" s="57" t="n">
        <f aca="false">E180*(1+F179)</f>
        <v>1.257992736</v>
      </c>
      <c r="G180" s="57" t="n">
        <f aca="false">F180*(1+G179)</f>
        <v>1.30831244544</v>
      </c>
      <c r="H180" s="57" t="n">
        <f aca="false">G180*(1+H179)</f>
        <v>1.3606449432576</v>
      </c>
      <c r="I180" s="57" t="n">
        <f aca="false">H180*(1+I179)</f>
        <v>1.4150707409879</v>
      </c>
      <c r="J180" s="57" t="n">
        <f aca="false">I180*(1+J179)</f>
        <v>1.47167357062742</v>
      </c>
      <c r="K180" s="57" t="n">
        <f aca="false">J180*(1+K179)</f>
        <v>1.53054051345252</v>
      </c>
      <c r="L180" s="57" t="n">
        <f aca="false">K180*(1+L179)</f>
        <v>1.59176213399062</v>
      </c>
    </row>
    <row r="181" customFormat="false" ht="15" hidden="true" customHeight="false" outlineLevel="1" collapsed="false">
      <c r="A181" s="9" t="s">
        <v>408</v>
      </c>
      <c r="B181" s="57" t="n">
        <f aca="false">(1+$E$16)/(1+B179)</f>
        <v>1.02358490566038</v>
      </c>
      <c r="C181" s="57" t="n">
        <f aca="false">B181*(1+Entorno!$B$13)</f>
        <v>1.02870283018868</v>
      </c>
      <c r="D181" s="57" t="n">
        <f aca="false">C181*(1+Entorno!$B$13)</f>
        <v>1.03384634433962</v>
      </c>
      <c r="E181" s="57" t="n">
        <f aca="false">D181*(1+Entorno!$B$13)</f>
        <v>1.03901557606132</v>
      </c>
      <c r="F181" s="57" t="n">
        <f aca="false">E181*(1+Entorno!$B$13)</f>
        <v>1.04421065394163</v>
      </c>
      <c r="G181" s="57" t="n">
        <f aca="false">F181*(1+Entorno!$B$13)</f>
        <v>1.04943170721133</v>
      </c>
      <c r="H181" s="57" t="n">
        <f aca="false">G181*(1+Entorno!$B$13)</f>
        <v>1.05467886574739</v>
      </c>
      <c r="I181" s="57" t="n">
        <f aca="false">H181*(1+Entorno!$B$13)</f>
        <v>1.05995226007613</v>
      </c>
      <c r="J181" s="57" t="n">
        <f aca="false">I181*(1+Entorno!$B$13)</f>
        <v>1.06525202137651</v>
      </c>
      <c r="K181" s="57" t="n">
        <f aca="false">J181*(1+Entorno!$B$13)</f>
        <v>1.07057828148339</v>
      </c>
      <c r="L181" s="57" t="n">
        <f aca="false">K181*(1+Entorno!$B$13)</f>
        <v>1.07593117289081</v>
      </c>
    </row>
    <row r="182" customFormat="false" ht="15" hidden="true" customHeight="false" outlineLevel="1" collapsed="false">
      <c r="A182" s="9" t="s">
        <v>409</v>
      </c>
      <c r="B182" s="57" t="n">
        <f aca="false">1/B180</f>
        <v>0.943396226415094</v>
      </c>
      <c r="C182" s="57" t="n">
        <f aca="false">1/C180</f>
        <v>0.898472596585804</v>
      </c>
      <c r="D182" s="57" t="n">
        <f aca="false">1/D180</f>
        <v>0.859782389077324</v>
      </c>
      <c r="E182" s="57" t="n">
        <f aca="false">1/E180</f>
        <v>0.826713835651273</v>
      </c>
      <c r="F182" s="57" t="n">
        <f aca="false">1/F180</f>
        <v>0.794917149664686</v>
      </c>
      <c r="G182" s="57" t="n">
        <f aca="false">1/G180</f>
        <v>0.764343413139121</v>
      </c>
      <c r="H182" s="57" t="n">
        <f aca="false">1/H180</f>
        <v>0.734945589556847</v>
      </c>
      <c r="I182" s="57" t="n">
        <f aca="false">1/I180</f>
        <v>0.706678451496968</v>
      </c>
      <c r="J182" s="57" t="n">
        <f aca="false">1/J180</f>
        <v>0.679498511054777</v>
      </c>
      <c r="K182" s="57" t="n">
        <f aca="false">1/K180</f>
        <v>0.653363952937286</v>
      </c>
      <c r="L182" s="57" t="n">
        <f aca="false">1/L180</f>
        <v>0.628234570132006</v>
      </c>
    </row>
    <row r="183" customFormat="false" ht="15" hidden="true" customHeight="false" outlineLevel="1" collapsed="false">
      <c r="A183" s="6" t="s">
        <v>323</v>
      </c>
      <c r="B183" s="29" t="n">
        <f aca="false">IF(B$47=0,Quesería!$F$92,IF(B$47=1,(Quesería!$F$93-(-$E$26)*Quesería!$D$86*(1+Quesería!$I$86))*$E$21,0))*$E$11</f>
        <v>930.800239431677</v>
      </c>
      <c r="C183" s="29" t="n">
        <f aca="false">IF(C$47=0,Quesería!$F$92,IF(C$47=1,(Quesería!$F$93-(-$E$26)*Quesería!$D$86*(1+Quesería!$I$86))*$E$21,0))*$E$11</f>
        <v>658.469066674498</v>
      </c>
      <c r="D183" s="29" t="n">
        <f aca="false">IF(D$47=0,Quesería!$F$92,IF(D$47=1,(Quesería!$F$93-(-$E$26)*Quesería!$D$86*(1+Quesería!$I$86))*$E$21,0))*$E$11</f>
        <v>0</v>
      </c>
      <c r="E183" s="29" t="n">
        <f aca="false">IF(E$47=0,Quesería!$F$92,IF(E$47=1,(Quesería!$F$93-(-$E$26)*Quesería!$D$86*(1+Quesería!$I$86))*$E$21,0))*$E$11</f>
        <v>0</v>
      </c>
      <c r="F183" s="29" t="n">
        <f aca="false">IF(F$47=0,Quesería!$F$92,IF(F$47=1,(Quesería!$F$93-(-$E$26)*Quesería!$D$86*(1+Quesería!$I$86))*$E$21,0))*$E$11</f>
        <v>0</v>
      </c>
      <c r="G183" s="29" t="n">
        <f aca="false">IF(G$47=0,Quesería!$F$92,IF(G$47=1,(Quesería!$F$93-(-$E$26)*Quesería!$D$86*(1+Quesería!$I$86))*$E$21,0))*$E$11</f>
        <v>0</v>
      </c>
      <c r="H183" s="29" t="n">
        <f aca="false">IF(H$47=0,Quesería!$F$92,IF(H$47=1,(Quesería!$F$93-(-$E$26)*Quesería!$D$86*(1+Quesería!$I$86))*$E$21,0))*$E$11</f>
        <v>0</v>
      </c>
      <c r="I183" s="29" t="n">
        <f aca="false">IF(I$47=0,Quesería!$F$92,IF(I$47=1,(Quesería!$F$93-(-$E$26)*Quesería!$D$86*(1+Quesería!$I$86))*$E$21,0))*$E$11</f>
        <v>0</v>
      </c>
      <c r="J183" s="29" t="n">
        <f aca="false">IF(J$47=0,Quesería!$F$92,IF(J$47=1,(Quesería!$F$93-(-$E$26)*Quesería!$D$86*(1+Quesería!$I$86))*$E$21,0))*$E$11</f>
        <v>0</v>
      </c>
      <c r="K183" s="29" t="n">
        <f aca="false">IF(K$47=0,Quesería!$F$92,IF(K$47=1,(Quesería!$F$93-(-$E$26)*Quesería!$D$86*(1+Quesería!$I$86))*$E$21,0))*$E$11</f>
        <v>0</v>
      </c>
      <c r="L183" s="29" t="n">
        <f aca="false">IF(L$47=0,Quesería!$F$92,IF(L$47=1,(Quesería!$F$93-(-$E$26)*Quesería!$D$86*(1+Quesería!$I$86))*$E$21,0))*$E$11</f>
        <v>0</v>
      </c>
    </row>
    <row r="184" customFormat="false" ht="15" hidden="true" customHeight="false" outlineLevel="1" collapsed="false">
      <c r="A184" s="6" t="s">
        <v>410</v>
      </c>
      <c r="B184" s="29" t="n">
        <f aca="false">IF(B$47=5,Quesería!$F$99,IF(B$47=6,Quesería!$F$100,0))*$E$11</f>
        <v>0</v>
      </c>
      <c r="C184" s="29" t="n">
        <f aca="false">IF(C$47=5,Quesería!$F$99,IF(C$47=6,Quesería!$F$100,0))*$E$11</f>
        <v>0</v>
      </c>
      <c r="D184" s="29" t="n">
        <f aca="false">IF(D$47=5,Quesería!$F$99,IF(D$47=6,Quesería!$F$100,0))*$E$11</f>
        <v>0</v>
      </c>
      <c r="E184" s="29" t="n">
        <f aca="false">IF(E$47=5,Quesería!$F$99,IF(E$47=6,Quesería!$F$100,0))*$E$11</f>
        <v>0</v>
      </c>
      <c r="F184" s="29" t="n">
        <f aca="false">IF(F$47=5,Quesería!$F$99,IF(F$47=6,Quesería!$F$100,0))*$E$11</f>
        <v>0</v>
      </c>
      <c r="G184" s="29" t="n">
        <f aca="false">IF(G$47=5,Quesería!$F$99,IF(G$47=6,Quesería!$F$100,0))*$E$11</f>
        <v>27.4652172688735</v>
      </c>
      <c r="H184" s="29" t="n">
        <f aca="false">IF(H$47=5,Quesería!$F$99,IF(H$47=6,Quesería!$F$100,0))*$E$11</f>
        <v>46.3891557109552</v>
      </c>
      <c r="I184" s="29" t="n">
        <f aca="false">IF(I$47=5,Quesería!$F$99,IF(I$47=6,Quesería!$F$100,0))*$E$11</f>
        <v>0</v>
      </c>
      <c r="J184" s="29" t="n">
        <f aca="false">IF(J$47=5,Quesería!$F$99,IF(J$47=6,Quesería!$F$100,0))*$E$11</f>
        <v>0</v>
      </c>
      <c r="K184" s="29" t="n">
        <f aca="false">IF(K$47=5,Quesería!$F$99,IF(K$47=6,Quesería!$F$100,0))*$E$11</f>
        <v>0</v>
      </c>
      <c r="L184" s="29" t="n">
        <f aca="false">IF(L$47=5,Quesería!$F$99,IF(L$47=6,Quesería!$F$100,0))*$E$11</f>
        <v>0</v>
      </c>
    </row>
    <row r="185" customFormat="false" ht="15" hidden="true" customHeight="false" outlineLevel="1" collapsed="false">
      <c r="A185" s="6" t="s">
        <v>411</v>
      </c>
      <c r="B185" s="29" t="n">
        <f aca="false">Quesería!$B$55*(IF(B$47=0,SUMPRODUCT((Quesería!$C$70:$C$89=0)*(Quesería!$H$70:$H$89&gt;0)*(Quesería!$J$70:$J$89&gt;0)*Quesería!$F$70:$F$89*(1+Quesería!$I$70:$I$89)),IF(B$47=1,(SUMPRODUCT((Quesería!$C$70:$C$89=1)*(Quesería!$H$70:$H$89&gt;0)*(Quesería!$J$70:$J$89&gt;0)*Quesería!$F$70:$F$89*(1+Quesería!$I$70:$I$89))-(-$E$26)*Quesería!$D$86*(1+Quesería!$I$86))*$E$21,0))*$E$11+B184)</f>
        <v>149.115671560178</v>
      </c>
      <c r="C185" s="29" t="n">
        <f aca="false">Quesería!$B$55*(IF(C$47=0,SUMPRODUCT((Quesería!$C$70:$C$89=0)*(Quesería!$H$70:$H$89&gt;0)*(Quesería!$J$70:$J$89&gt;0)*Quesería!$F$70:$F$89*(1+Quesería!$I$70:$I$89)),IF(C$47=1,(SUMPRODUCT((Quesería!$C$70:$C$89=1)*(Quesería!$H$70:$H$89&gt;0)*(Quesería!$J$70:$J$89&gt;0)*Quesería!$F$70:$F$89*(1+Quesería!$I$70:$I$89))-(-$E$26)*Quesería!$D$86*(1+Quesería!$I$86))*$E$21,0))*$E$11+C184)</f>
        <v>125.109122668155</v>
      </c>
      <c r="D185" s="29" t="n">
        <f aca="false">Quesería!$B$55*(IF(D$47=0,SUMPRODUCT((Quesería!$C$70:$C$89=0)*(Quesería!$H$70:$H$89&gt;0)*(Quesería!$J$70:$J$89&gt;0)*Quesería!$F$70:$F$89*(1+Quesería!$I$70:$I$89)),IF(D$47=1,(SUMPRODUCT((Quesería!$C$70:$C$89=1)*(Quesería!$H$70:$H$89&gt;0)*(Quesería!$J$70:$J$89&gt;0)*Quesería!$F$70:$F$89*(1+Quesería!$I$70:$I$89))-(-$E$26)*Quesería!$D$86*(1+Quesería!$I$86))*$E$21,0))*$E$11+D184)</f>
        <v>0</v>
      </c>
      <c r="E185" s="29" t="n">
        <f aca="false">Quesería!$B$55*(IF(E$47=0,SUMPRODUCT((Quesería!$C$70:$C$89=0)*(Quesería!$H$70:$H$89&gt;0)*(Quesería!$J$70:$J$89&gt;0)*Quesería!$F$70:$F$89*(1+Quesería!$I$70:$I$89)),IF(E$47=1,(SUMPRODUCT((Quesería!$C$70:$C$89=1)*(Quesería!$H$70:$H$89&gt;0)*(Quesería!$J$70:$J$89&gt;0)*Quesería!$F$70:$F$89*(1+Quesería!$I$70:$I$89))-(-$E$26)*Quesería!$D$86*(1+Quesería!$I$86))*$E$21,0))*$E$11+E184)</f>
        <v>0</v>
      </c>
      <c r="F185" s="29" t="n">
        <f aca="false">Quesería!$B$55*(IF(F$47=0,SUMPRODUCT((Quesería!$C$70:$C$89=0)*(Quesería!$H$70:$H$89&gt;0)*(Quesería!$J$70:$J$89&gt;0)*Quesería!$F$70:$F$89*(1+Quesería!$I$70:$I$89)),IF(F$47=1,(SUMPRODUCT((Quesería!$C$70:$C$89=1)*(Quesería!$H$70:$H$89&gt;0)*(Quesería!$J$70:$J$89&gt;0)*Quesería!$F$70:$F$89*(1+Quesería!$I$70:$I$89))-(-$E$26)*Quesería!$D$86*(1+Quesería!$I$86))*$E$21,0))*$E$11+F184)</f>
        <v>0</v>
      </c>
      <c r="G185" s="29" t="n">
        <f aca="false">Quesería!$B$55*(IF(G$47=0,SUMPRODUCT((Quesería!$C$70:$C$89=0)*(Quesería!$H$70:$H$89&gt;0)*(Quesería!$J$70:$J$89&gt;0)*Quesería!$F$70:$F$89*(1+Quesería!$I$70:$I$89)),IF(G$47=1,(SUMPRODUCT((Quesería!$C$70:$C$89=1)*(Quesería!$H$70:$H$89&gt;0)*(Quesería!$J$70:$J$89&gt;0)*Quesería!$F$70:$F$89*(1+Quesería!$I$70:$I$89))-(-$E$26)*Quesería!$D$86*(1+Quesería!$I$86))*$E$21,0))*$E$11+G184)</f>
        <v>5.21839128108597</v>
      </c>
      <c r="H185" s="29" t="n">
        <f aca="false">Quesería!$B$55*(IF(H$47=0,SUMPRODUCT((Quesería!$C$70:$C$89=0)*(Quesería!$H$70:$H$89&gt;0)*(Quesería!$J$70:$J$89&gt;0)*Quesería!$F$70:$F$89*(1+Quesería!$I$70:$I$89)),IF(H$47=1,(SUMPRODUCT((Quesería!$C$70:$C$89=1)*(Quesería!$H$70:$H$89&gt;0)*(Quesería!$J$70:$J$89&gt;0)*Quesería!$F$70:$F$89*(1+Quesería!$I$70:$I$89))-(-$E$26)*Quesería!$D$86*(1+Quesería!$I$86))*$E$21,0))*$E$11+H184)</f>
        <v>8.8139395850815</v>
      </c>
      <c r="I185" s="29" t="n">
        <f aca="false">Quesería!$B$55*(IF(I$47=0,SUMPRODUCT((Quesería!$C$70:$C$89=0)*(Quesería!$H$70:$H$89&gt;0)*(Quesería!$J$70:$J$89&gt;0)*Quesería!$F$70:$F$89*(1+Quesería!$I$70:$I$89)),IF(I$47=1,(SUMPRODUCT((Quesería!$C$70:$C$89=1)*(Quesería!$H$70:$H$89&gt;0)*(Quesería!$J$70:$J$89&gt;0)*Quesería!$F$70:$F$89*(1+Quesería!$I$70:$I$89))-(-$E$26)*Quesería!$D$86*(1+Quesería!$I$86))*$E$21,0))*$E$11+I184)</f>
        <v>0</v>
      </c>
      <c r="J185" s="29" t="n">
        <f aca="false">Quesería!$B$55*(IF(J$47=0,SUMPRODUCT((Quesería!$C$70:$C$89=0)*(Quesería!$H$70:$H$89&gt;0)*(Quesería!$J$70:$J$89&gt;0)*Quesería!$F$70:$F$89*(1+Quesería!$I$70:$I$89)),IF(J$47=1,(SUMPRODUCT((Quesería!$C$70:$C$89=1)*(Quesería!$H$70:$H$89&gt;0)*(Quesería!$J$70:$J$89&gt;0)*Quesería!$F$70:$F$89*(1+Quesería!$I$70:$I$89))-(-$E$26)*Quesería!$D$86*(1+Quesería!$I$86))*$E$21,0))*$E$11+J184)</f>
        <v>0</v>
      </c>
      <c r="K185" s="29" t="n">
        <f aca="false">Quesería!$B$55*(IF(K$47=0,SUMPRODUCT((Quesería!$C$70:$C$89=0)*(Quesería!$H$70:$H$89&gt;0)*(Quesería!$J$70:$J$89&gt;0)*Quesería!$F$70:$F$89*(1+Quesería!$I$70:$I$89)),IF(K$47=1,(SUMPRODUCT((Quesería!$C$70:$C$89=1)*(Quesería!$H$70:$H$89&gt;0)*(Quesería!$J$70:$J$89&gt;0)*Quesería!$F$70:$F$89*(1+Quesería!$I$70:$I$89))-(-$E$26)*Quesería!$D$86*(1+Quesería!$I$86))*$E$21,0))*$E$11+K184)</f>
        <v>0</v>
      </c>
      <c r="L185" s="29" t="n">
        <f aca="false">Quesería!$B$55*(IF(L$47=0,SUMPRODUCT((Quesería!$C$70:$C$89=0)*(Quesería!$H$70:$H$89&gt;0)*(Quesería!$J$70:$J$89&gt;0)*Quesería!$F$70:$F$89*(1+Quesería!$I$70:$I$89)),IF(L$47=1,(SUMPRODUCT((Quesería!$C$70:$C$89=1)*(Quesería!$H$70:$H$89&gt;0)*(Quesería!$J$70:$J$89&gt;0)*Quesería!$F$70:$F$89*(1+Quesería!$I$70:$I$89))-(-$E$26)*Quesería!$D$86*(1+Quesería!$I$86))*$E$21,0))*$E$11+L184)</f>
        <v>0</v>
      </c>
    </row>
    <row r="186" customFormat="false" ht="15" hidden="true" customHeight="false" outlineLevel="1" collapsed="false">
      <c r="A186" s="6" t="s">
        <v>386</v>
      </c>
      <c r="B186" s="29" t="n">
        <f aca="false">IF(B$47=0,($E$22*Quesería!$J$126+(1-$E$22)*Quesería!$E$122)*Quesería!$B$20*Quesería!$B$21/12*$E$23,(($E$22*Quesería!$J$126+(1-$E$22)*Quesería!$E$122)+($E$22*Quesería!$J$104+(1-$E$22)*Quesería!$E$104)*(B181-1))*IF(B$47=1,Quesería!$B$20,1))*$E$10</f>
        <v>0</v>
      </c>
      <c r="C186" s="29" t="n">
        <f aca="false">IF(C$47=0,($E$22*Quesería!$J$126+(1-$E$22)*Quesería!$E$122)*Quesería!$B$20*Quesería!$B$21/12*$E$23,(($E$22*Quesería!$J$126+(1-$E$22)*Quesería!$E$122)+($E$22*Quesería!$J$104+(1-$E$22)*Quesería!$E$104)*(C181-1))*IF(C$47=1,Quesería!$B$20,1))*$E$10</f>
        <v>181.328317354069</v>
      </c>
      <c r="D186" s="29" t="n">
        <f aca="false">IF(D$47=0,($E$22*Quesería!$J$126+(1-$E$22)*Quesería!$E$122)*Quesería!$B$20*Quesería!$B$21/12*$E$23,(($E$22*Quesería!$J$126+(1-$E$22)*Quesería!$E$122)+($E$22*Quesería!$J$104+(1-$E$22)*Quesería!$E$104)*(D181-1))*IF(D$47=1,Quesería!$B$20,1))*$E$10</f>
        <v>241.83157753184</v>
      </c>
      <c r="E186" s="29" t="n">
        <f aca="false">IF(E$47=0,($E$22*Quesería!$J$126+(1-$E$22)*Quesería!$E$122)*Quesería!$B$20*Quesería!$B$21/12*$E$23,(($E$22*Quesería!$J$126+(1-$E$22)*Quesería!$E$122)+($E$22*Quesería!$J$104+(1-$E$22)*Quesería!$E$104)*(E181-1))*IF(E$47=1,Quesería!$B$20,1))*$E$10</f>
        <v>241.892367696887</v>
      </c>
      <c r="F186" s="29" t="n">
        <f aca="false">IF(F$47=0,($E$22*Quesería!$J$126+(1-$E$22)*Quesería!$E$122)*Quesería!$B$20*Quesería!$B$21/12*$E$23,(($E$22*Quesería!$J$126+(1-$E$22)*Quesería!$E$122)+($E$22*Quesería!$J$104+(1-$E$22)*Quesería!$E$104)*(F181-1))*IF(F$47=1,Quesería!$B$20,1))*$E$10</f>
        <v>241.95346181276</v>
      </c>
      <c r="G186" s="29" t="n">
        <f aca="false">IF(G$47=0,($E$22*Quesería!$J$126+(1-$E$22)*Quesería!$E$122)*Quesería!$B$20*Quesería!$B$21/12*$E$23,(($E$22*Quesería!$J$126+(1-$E$22)*Quesería!$E$122)+($E$22*Quesería!$J$104+(1-$E$22)*Quesería!$E$104)*(G181-1))*IF(G$47=1,Quesería!$B$20,1))*$E$10</f>
        <v>242.014861399211</v>
      </c>
      <c r="H186" s="29" t="n">
        <f aca="false">IF(H$47=0,($E$22*Quesería!$J$126+(1-$E$22)*Quesería!$E$122)*Quesería!$B$20*Quesería!$B$21/12*$E$23,(($E$22*Quesería!$J$126+(1-$E$22)*Quesería!$E$122)+($E$22*Quesería!$J$104+(1-$E$22)*Quesería!$E$104)*(H181-1))*IF(H$47=1,Quesería!$B$20,1))*$E$10</f>
        <v>242.076567983595</v>
      </c>
      <c r="I186" s="29" t="n">
        <f aca="false">IF(I$47=0,($E$22*Quesería!$J$126+(1-$E$22)*Quesería!$E$122)*Quesería!$B$20*Quesería!$B$21/12*$E$23,(($E$22*Quesería!$J$126+(1-$E$22)*Quesería!$E$122)+($E$22*Quesería!$J$104+(1-$E$22)*Quesería!$E$104)*(I181-1))*IF(I$47=1,Quesería!$B$20,1))*$E$10</f>
        <v>242.138583100901</v>
      </c>
      <c r="J186" s="29" t="n">
        <f aca="false">IF(J$47=0,($E$22*Quesería!$J$126+(1-$E$22)*Quesería!$E$122)*Quesería!$B$20*Quesería!$B$21/12*$E$23,(($E$22*Quesería!$J$126+(1-$E$22)*Quesería!$E$122)+($E$22*Quesería!$J$104+(1-$E$22)*Quesería!$E$104)*(J181-1))*IF(J$47=1,Quesería!$B$20,1))*$E$10</f>
        <v>242.200908293794</v>
      </c>
      <c r="K186" s="29" t="n">
        <f aca="false">IF(K$47=0,($E$22*Quesería!$J$126+(1-$E$22)*Quesería!$E$122)*Quesería!$B$20*Quesería!$B$21/12*$E$23,(($E$22*Quesería!$J$126+(1-$E$22)*Quesería!$E$122)+($E$22*Quesería!$J$104+(1-$E$22)*Quesería!$E$104)*(K181-1))*IF(K$47=1,Quesería!$B$20,1))*$E$10</f>
        <v>242.263545112651</v>
      </c>
      <c r="L186" s="29" t="n">
        <f aca="false">IF(L$47=0,($E$22*Quesería!$J$126+(1-$E$22)*Quesería!$E$122)*Quesería!$B$20*Quesería!$B$21/12*$E$23,(($E$22*Quesería!$J$126+(1-$E$22)*Quesería!$E$122)+($E$22*Quesería!$J$104+(1-$E$22)*Quesería!$E$104)*(L181-1))*IF(L$47=1,Quesería!$B$20,1))*$E$10</f>
        <v>242.326495115602</v>
      </c>
    </row>
    <row r="187" customFormat="false" ht="15" hidden="true" customHeight="false" outlineLevel="1" collapsed="false">
      <c r="A187" s="6" t="s">
        <v>387</v>
      </c>
      <c r="B187" s="29" t="n">
        <f aca="false">IF(B$47&lt;=1,0,((($E$22*Quesería!$J$127+(1-$E$22)*Quesería!$E$123)-($E$22*Quesería!$J$113+(1-$E$22)*Quesería!$E$113)+$E$6*($E$22*Quesería!$J$113+(1-$E$22)*Quesería!$E$113)-(1-$E$9)*(($E$22*Quesería!$J$119+(1-$E$22)*Quesería!$E$119)+($E$22*Quesería!$J$118+(1-$E$22)*Quesería!$E$118))-(1-$E$24)*($E$22*Quesería!$J$117+(1-$E$22)*Quesería!$E$117)+$E$24*(1-$E$25)*'Beneficios y costos'!$B$144-(-$E$26*$E$27)*'Beneficios y costos'!$C$167)+($E$6*($E$22*Quesería!$J$113+(1-$E$22)*Quesería!$E$113)+$E$9*($E$22*Quesería!$J$119+(1-$E$22)*Quesería!$E$119))*(B181-1))*IF(B$47=2,Quesería!$B$20,1)+IF(B$47=2,Quesería!$B$24*$E$9*($E$22*Quesería!$J$119+(1-$E$22)*Quesería!$E$119)*B181,0))*$E$10*$E$21</f>
        <v>0</v>
      </c>
      <c r="C187" s="29" t="n">
        <f aca="false">IF(C$47&lt;=1,0,((($E$22*Quesería!$J$127+(1-$E$22)*Quesería!$E$123)-($E$22*Quesería!$J$113+(1-$E$22)*Quesería!$E$113)+$E$6*($E$22*Quesería!$J$113+(1-$E$22)*Quesería!$E$113)-(1-$E$9)*(($E$22*Quesería!$J$119+(1-$E$22)*Quesería!$E$119)+($E$22*Quesería!$J$118+(1-$E$22)*Quesería!$E$118))-(1-$E$24)*($E$22*Quesería!$J$117+(1-$E$22)*Quesería!$E$117)+$E$24*(1-$E$25)*'Beneficios y costos'!$B$144-(-$E$26*$E$27)*'Beneficios y costos'!$C$167)+($E$6*($E$22*Quesería!$J$113+(1-$E$22)*Quesería!$E$113)+$E$9*($E$22*Quesería!$J$119+(1-$E$22)*Quesería!$E$119))*(C181-1))*IF(C$47=2,Quesería!$B$20,1)+IF(C$47=2,Quesería!$B$24*$E$9*($E$22*Quesería!$J$119+(1-$E$22)*Quesería!$E$119)*C181,0))*$E$10*$E$21</f>
        <v>0</v>
      </c>
      <c r="D187" s="29" t="n">
        <f aca="false">IF(D$47&lt;=1,0,((($E$22*Quesería!$J$127+(1-$E$22)*Quesería!$E$123)-($E$22*Quesería!$J$113+(1-$E$22)*Quesería!$E$113)+$E$6*($E$22*Quesería!$J$113+(1-$E$22)*Quesería!$E$113)-(1-$E$9)*(($E$22*Quesería!$J$119+(1-$E$22)*Quesería!$E$119)+($E$22*Quesería!$J$118+(1-$E$22)*Quesería!$E$118))-(1-$E$24)*($E$22*Quesería!$J$117+(1-$E$22)*Quesería!$E$117)+$E$24*(1-$E$25)*'Beneficios y costos'!$B$144-(-$E$26*$E$27)*'Beneficios y costos'!$C$167)+($E$6*($E$22*Quesería!$J$113+(1-$E$22)*Quesería!$E$113)+$E$9*($E$22*Quesería!$J$119+(1-$E$22)*Quesería!$E$119))*(D181-1))*IF(D$47=2,Quesería!$B$20,1)+IF(D$47=2,Quesería!$B$24*$E$9*($E$22*Quesería!$J$119+(1-$E$22)*Quesería!$E$119)*D181,0))*$E$10*$E$21</f>
        <v>257.351493734688</v>
      </c>
      <c r="E187" s="29" t="n">
        <f aca="false">IF(E$47&lt;=1,0,((($E$22*Quesería!$J$127+(1-$E$22)*Quesería!$E$123)-($E$22*Quesería!$J$113+(1-$E$22)*Quesería!$E$113)+$E$6*($E$22*Quesería!$J$113+(1-$E$22)*Quesería!$E$113)-(1-$E$9)*(($E$22*Quesería!$J$119+(1-$E$22)*Quesería!$E$119)+($E$22*Quesería!$J$118+(1-$E$22)*Quesería!$E$118))-(1-$E$24)*($E$22*Quesería!$J$117+(1-$E$22)*Quesería!$E$117)+$E$24*(1-$E$25)*'Beneficios y costos'!$B$144-(-$E$26*$E$27)*'Beneficios y costos'!$C$167)+($E$6*($E$22*Quesería!$J$113+(1-$E$22)*Quesería!$E$113)+$E$9*($E$22*Quesería!$J$119+(1-$E$22)*Quesería!$E$119))*(E181-1))*IF(E$47=2,Quesería!$B$20,1)+IF(E$47=2,Quesería!$B$24*$E$9*($E$22*Quesería!$J$119+(1-$E$22)*Quesería!$E$119)*E181,0))*$E$10*$E$21</f>
        <v>328.494820128122</v>
      </c>
      <c r="F187" s="29" t="n">
        <f aca="false">IF(F$47&lt;=1,0,((($E$22*Quesería!$J$127+(1-$E$22)*Quesería!$E$123)-($E$22*Quesería!$J$113+(1-$E$22)*Quesería!$E$113)+$E$6*($E$22*Quesería!$J$113+(1-$E$22)*Quesería!$E$113)-(1-$E$9)*(($E$22*Quesería!$J$119+(1-$E$22)*Quesería!$E$119)+($E$22*Quesería!$J$118+(1-$E$22)*Quesería!$E$118))-(1-$E$24)*($E$22*Quesería!$J$117+(1-$E$22)*Quesería!$E$117)+$E$24*(1-$E$25)*'Beneficios y costos'!$B$144-(-$E$26*$E$27)*'Beneficios y costos'!$C$167)+($E$6*($E$22*Quesería!$J$113+(1-$E$22)*Quesería!$E$113)+$E$9*($E$22*Quesería!$J$119+(1-$E$22)*Quesería!$E$119))*(F181-1))*IF(F$47=2,Quesería!$B$20,1)+IF(F$47=2,Quesería!$B$24*$E$9*($E$22*Quesería!$J$119+(1-$E$22)*Quesería!$E$119)*F181,0))*$E$10*$E$21</f>
        <v>328.742937047686</v>
      </c>
      <c r="G187" s="29" t="n">
        <f aca="false">IF(G$47&lt;=1,0,((($E$22*Quesería!$J$127+(1-$E$22)*Quesería!$E$123)-($E$22*Quesería!$J$113+(1-$E$22)*Quesería!$E$113)+$E$6*($E$22*Quesería!$J$113+(1-$E$22)*Quesería!$E$113)-(1-$E$9)*(($E$22*Quesería!$J$119+(1-$E$22)*Quesería!$E$119)+($E$22*Quesería!$J$118+(1-$E$22)*Quesería!$E$118))-(1-$E$24)*($E$22*Quesería!$J$117+(1-$E$22)*Quesería!$E$117)+$E$24*(1-$E$25)*'Beneficios y costos'!$B$144-(-$E$26*$E$27)*'Beneficios y costos'!$C$167)+($E$6*($E$22*Quesería!$J$113+(1-$E$22)*Quesería!$E$113)+$E$9*($E$22*Quesería!$J$119+(1-$E$22)*Quesería!$E$119))*(G181-1))*IF(G$47=2,Quesería!$B$20,1)+IF(G$47=2,Quesería!$B$24*$E$9*($E$22*Quesería!$J$119+(1-$E$22)*Quesería!$E$119)*G181,0))*$E$10*$E$21</f>
        <v>328.992294551847</v>
      </c>
      <c r="H187" s="29" t="n">
        <f aca="false">IF(H$47&lt;=1,0,((($E$22*Quesería!$J$127+(1-$E$22)*Quesería!$E$123)-($E$22*Quesería!$J$113+(1-$E$22)*Quesería!$E$113)+$E$6*($E$22*Quesería!$J$113+(1-$E$22)*Quesería!$E$113)-(1-$E$9)*(($E$22*Quesería!$J$119+(1-$E$22)*Quesería!$E$119)+($E$22*Quesería!$J$118+(1-$E$22)*Quesería!$E$118))-(1-$E$24)*($E$22*Quesería!$J$117+(1-$E$22)*Quesería!$E$117)+$E$24*(1-$E$25)*'Beneficios y costos'!$B$144-(-$E$26*$E$27)*'Beneficios y costos'!$C$167)+($E$6*($E$22*Quesería!$J$113+(1-$E$22)*Quesería!$E$113)+$E$9*($E$22*Quesería!$J$119+(1-$E$22)*Quesería!$E$119))*(H181-1))*IF(H$47=2,Quesería!$B$20,1)+IF(H$47=2,Quesería!$B$24*$E$9*($E$22*Quesería!$J$119+(1-$E$22)*Quesería!$E$119)*H181,0))*$E$10*$E$21</f>
        <v>329.242898843529</v>
      </c>
      <c r="I187" s="29" t="n">
        <f aca="false">IF(I$47&lt;=1,0,((($E$22*Quesería!$J$127+(1-$E$22)*Quesería!$E$123)-($E$22*Quesería!$J$113+(1-$E$22)*Quesería!$E$113)+$E$6*($E$22*Quesería!$J$113+(1-$E$22)*Quesería!$E$113)-(1-$E$9)*(($E$22*Quesería!$J$119+(1-$E$22)*Quesería!$E$119)+($E$22*Quesería!$J$118+(1-$E$22)*Quesería!$E$118))-(1-$E$24)*($E$22*Quesería!$J$117+(1-$E$22)*Quesería!$E$117)+$E$24*(1-$E$25)*'Beneficios y costos'!$B$144-(-$E$26*$E$27)*'Beneficios y costos'!$C$167)+($E$6*($E$22*Quesería!$J$113+(1-$E$22)*Quesería!$E$113)+$E$9*($E$22*Quesería!$J$119+(1-$E$22)*Quesería!$E$119))*(I181-1))*IF(I$47=2,Quesería!$B$20,1)+IF(I$47=2,Quesería!$B$24*$E$9*($E$22*Quesería!$J$119+(1-$E$22)*Quesería!$E$119)*I181,0))*$E$10*$E$21</f>
        <v>329.49475615667</v>
      </c>
      <c r="J187" s="29" t="n">
        <f aca="false">IF(J$47&lt;=1,0,((($E$22*Quesería!$J$127+(1-$E$22)*Quesería!$E$123)-($E$22*Quesería!$J$113+(1-$E$22)*Quesería!$E$113)+$E$6*($E$22*Quesería!$J$113+(1-$E$22)*Quesería!$E$113)-(1-$E$9)*(($E$22*Quesería!$J$119+(1-$E$22)*Quesería!$E$119)+($E$22*Quesería!$J$118+(1-$E$22)*Quesería!$E$118))-(1-$E$24)*($E$22*Quesería!$J$117+(1-$E$22)*Quesería!$E$117)+$E$24*(1-$E$25)*'Beneficios y costos'!$B$144-(-$E$26*$E$27)*'Beneficios y costos'!$C$167)+($E$6*($E$22*Quesería!$J$113+(1-$E$22)*Quesería!$E$113)+$E$9*($E$22*Quesería!$J$119+(1-$E$22)*Quesería!$E$119))*(J181-1))*IF(J$47=2,Quesería!$B$20,1)+IF(J$47=2,Quesería!$B$24*$E$9*($E$22*Quesería!$J$119+(1-$E$22)*Quesería!$E$119)*J181,0))*$E$10*$E$21</f>
        <v>329.747872756376</v>
      </c>
      <c r="K187" s="29" t="n">
        <f aca="false">IF(K$47&lt;=1,0,((($E$22*Quesería!$J$127+(1-$E$22)*Quesería!$E$123)-($E$22*Quesería!$J$113+(1-$E$22)*Quesería!$E$113)+$E$6*($E$22*Quesería!$J$113+(1-$E$22)*Quesería!$E$113)-(1-$E$9)*(($E$22*Quesería!$J$119+(1-$E$22)*Quesería!$E$119)+($E$22*Quesería!$J$118+(1-$E$22)*Quesería!$E$118))-(1-$E$24)*($E$22*Quesería!$J$117+(1-$E$22)*Quesería!$E$117)+$E$24*(1-$E$25)*'Beneficios y costos'!$B$144-(-$E$26*$E$27)*'Beneficios y costos'!$C$167)+($E$6*($E$22*Quesería!$J$113+(1-$E$22)*Quesería!$E$113)+$E$9*($E$22*Quesería!$J$119+(1-$E$22)*Quesería!$E$119))*(K181-1))*IF(K$47=2,Quesería!$B$20,1)+IF(K$47=2,Quesería!$B$24*$E$9*($E$22*Quesería!$J$119+(1-$E$22)*Quesería!$E$119)*K181,0))*$E$10*$E$21</f>
        <v>330.00225493908</v>
      </c>
      <c r="L187" s="29" t="n">
        <f aca="false">IF(L$47&lt;=1,0,((($E$22*Quesería!$J$127+(1-$E$22)*Quesería!$E$123)-($E$22*Quesería!$J$113+(1-$E$22)*Quesería!$E$113)+$E$6*($E$22*Quesería!$J$113+(1-$E$22)*Quesería!$E$113)-(1-$E$9)*(($E$22*Quesería!$J$119+(1-$E$22)*Quesería!$E$119)+($E$22*Quesería!$J$118+(1-$E$22)*Quesería!$E$118))-(1-$E$24)*($E$22*Quesería!$J$117+(1-$E$22)*Quesería!$E$117)+$E$24*(1-$E$25)*'Beneficios y costos'!$B$144-(-$E$26*$E$27)*'Beneficios y costos'!$C$167)+($E$6*($E$22*Quesería!$J$113+(1-$E$22)*Quesería!$E$113)+$E$9*($E$22*Quesería!$J$119+(1-$E$22)*Quesería!$E$119))*(L181-1))*IF(L$47=2,Quesería!$B$20,1)+IF(L$47=2,Quesería!$B$24*$E$9*($E$22*Quesería!$J$119+(1-$E$22)*Quesería!$E$119)*L181,0))*$E$10*$E$21</f>
        <v>330.257909032699</v>
      </c>
    </row>
    <row r="188" customFormat="false" ht="15" hidden="true" customHeight="false" outlineLevel="1" collapsed="false">
      <c r="A188" s="5" t="s">
        <v>412</v>
      </c>
      <c r="B188" s="10" t="n">
        <f aca="false">B186+B187</f>
        <v>0</v>
      </c>
      <c r="C188" s="10" t="n">
        <f aca="false">C186+C187</f>
        <v>181.328317354069</v>
      </c>
      <c r="D188" s="10" t="n">
        <f aca="false">D186+D187</f>
        <v>499.183071266528</v>
      </c>
      <c r="E188" s="10" t="n">
        <f aca="false">E186+E187</f>
        <v>570.38718782501</v>
      </c>
      <c r="F188" s="10" t="n">
        <f aca="false">F186+F187</f>
        <v>570.696398860445</v>
      </c>
      <c r="G188" s="10" t="n">
        <f aca="false">G186+G187</f>
        <v>571.007155951058</v>
      </c>
      <c r="H188" s="10" t="n">
        <f aca="false">H186+H187</f>
        <v>571.319466827124</v>
      </c>
      <c r="I188" s="10" t="n">
        <f aca="false">I186+I187</f>
        <v>571.633339257571</v>
      </c>
      <c r="J188" s="10" t="n">
        <f aca="false">J186+J187</f>
        <v>571.94878105017</v>
      </c>
      <c r="K188" s="10" t="n">
        <f aca="false">K186+K187</f>
        <v>572.265800051731</v>
      </c>
      <c r="L188" s="10" t="n">
        <f aca="false">L186+L187</f>
        <v>572.584404148301</v>
      </c>
    </row>
    <row r="189" customFormat="false" ht="15" hidden="true" customHeight="false" outlineLevel="1" collapsed="false">
      <c r="A189" s="6" t="s">
        <v>413</v>
      </c>
      <c r="B189" s="29" t="n">
        <f aca="false">(IF(B$47&gt;=1,(Quesería!$B$31+Quesería!$B$33)*Quesería!$F$94*$E$11+Quesería!$B$32+'Beneficios y costos'!$B$249,0)+IF(B$47&gt;=2,((Quesería!$B$31+Quesería!$B$33)*(Quesería!$F$95-(-$E$26)*Quesería!$D$86)*$E$11+'Beneficios y costos'!$C$249-(-$E$26)*'Beneficios y costos'!$H$235)*$E$21,0))*$E$12</f>
        <v>0</v>
      </c>
      <c r="C189" s="29" t="n">
        <f aca="false">(IF(C$47&gt;=1,(Quesería!$B$31+Quesería!$B$33)*Quesería!$F$94*$E$11+Quesería!$B$32+'Beneficios y costos'!$B$249,0)+IF(C$47&gt;=2,((Quesería!$B$31+Quesería!$B$33)*(Quesería!$F$95-(-$E$26)*Quesería!$D$86)*$E$11+'Beneficios y costos'!$C$249-(-$E$26)*'Beneficios y costos'!$H$235)*$E$21,0))*$E$12</f>
        <v>42.0946487260605</v>
      </c>
      <c r="D189" s="29" t="n">
        <f aca="false">(IF(D$47&gt;=1,(Quesería!$B$31+Quesería!$B$33)*Quesería!$F$94*$E$11+Quesería!$B$32+'Beneficios y costos'!$B$249,0)+IF(D$47&gt;=2,((Quesería!$B$31+Quesería!$B$33)*(Quesería!$F$95-(-$E$26)*Quesería!$D$86)*$E$11+'Beneficios y costos'!$C$249-(-$E$26)*'Beneficios y costos'!$H$235)*$E$21,0))*$E$12</f>
        <v>76.4964821173776</v>
      </c>
      <c r="E189" s="29" t="n">
        <f aca="false">(IF(E$47&gt;=1,(Quesería!$B$31+Quesería!$B$33)*Quesería!$F$94*$E$11+Quesería!$B$32+'Beneficios y costos'!$B$249,0)+IF(E$47&gt;=2,((Quesería!$B$31+Quesería!$B$33)*(Quesería!$F$95-(-$E$26)*Quesería!$D$86)*$E$11+'Beneficios y costos'!$C$249-(-$E$26)*'Beneficios y costos'!$H$235)*$E$21,0))*$E$12</f>
        <v>76.4964821173776</v>
      </c>
      <c r="F189" s="29" t="n">
        <f aca="false">(IF(F$47&gt;=1,(Quesería!$B$31+Quesería!$B$33)*Quesería!$F$94*$E$11+Quesería!$B$32+'Beneficios y costos'!$B$249,0)+IF(F$47&gt;=2,((Quesería!$B$31+Quesería!$B$33)*(Quesería!$F$95-(-$E$26)*Quesería!$D$86)*$E$11+'Beneficios y costos'!$C$249-(-$E$26)*'Beneficios y costos'!$H$235)*$E$21,0))*$E$12</f>
        <v>76.4964821173776</v>
      </c>
      <c r="G189" s="29" t="n">
        <f aca="false">(IF(G$47&gt;=1,(Quesería!$B$31+Quesería!$B$33)*Quesería!$F$94*$E$11+Quesería!$B$32+'Beneficios y costos'!$B$249,0)+IF(G$47&gt;=2,((Quesería!$B$31+Quesería!$B$33)*(Quesería!$F$95-(-$E$26)*Quesería!$D$86)*$E$11+'Beneficios y costos'!$C$249-(-$E$26)*'Beneficios y costos'!$H$235)*$E$21,0))*$E$12</f>
        <v>76.4964821173776</v>
      </c>
      <c r="H189" s="29" t="n">
        <f aca="false">(IF(H$47&gt;=1,(Quesería!$B$31+Quesería!$B$33)*Quesería!$F$94*$E$11+Quesería!$B$32+'Beneficios y costos'!$B$249,0)+IF(H$47&gt;=2,((Quesería!$B$31+Quesería!$B$33)*(Quesería!$F$95-(-$E$26)*Quesería!$D$86)*$E$11+'Beneficios y costos'!$C$249-(-$E$26)*'Beneficios y costos'!$H$235)*$E$21,0))*$E$12</f>
        <v>76.4964821173776</v>
      </c>
      <c r="I189" s="29" t="n">
        <f aca="false">(IF(I$47&gt;=1,(Quesería!$B$31+Quesería!$B$33)*Quesería!$F$94*$E$11+Quesería!$B$32+'Beneficios y costos'!$B$249,0)+IF(I$47&gt;=2,((Quesería!$B$31+Quesería!$B$33)*(Quesería!$F$95-(-$E$26)*Quesería!$D$86)*$E$11+'Beneficios y costos'!$C$249-(-$E$26)*'Beneficios y costos'!$H$235)*$E$21,0))*$E$12</f>
        <v>76.4964821173776</v>
      </c>
      <c r="J189" s="29" t="n">
        <f aca="false">(IF(J$47&gt;=1,(Quesería!$B$31+Quesería!$B$33)*Quesería!$F$94*$E$11+Quesería!$B$32+'Beneficios y costos'!$B$249,0)+IF(J$47&gt;=2,((Quesería!$B$31+Quesería!$B$33)*(Quesería!$F$95-(-$E$26)*Quesería!$D$86)*$E$11+'Beneficios y costos'!$C$249-(-$E$26)*'Beneficios y costos'!$H$235)*$E$21,0))*$E$12</f>
        <v>76.4964821173776</v>
      </c>
      <c r="K189" s="29" t="n">
        <f aca="false">(IF(K$47&gt;=1,(Quesería!$B$31+Quesería!$B$33)*Quesería!$F$94*$E$11+Quesería!$B$32+'Beneficios y costos'!$B$249,0)+IF(K$47&gt;=2,((Quesería!$B$31+Quesería!$B$33)*(Quesería!$F$95-(-$E$26)*Quesería!$D$86)*$E$11+'Beneficios y costos'!$C$249-(-$E$26)*'Beneficios y costos'!$H$235)*$E$21,0))*$E$12</f>
        <v>76.4964821173776</v>
      </c>
      <c r="L189" s="29" t="n">
        <f aca="false">(IF(L$47&gt;=1,(Quesería!$B$31+Quesería!$B$33)*Quesería!$F$94*$E$11+Quesería!$B$32+'Beneficios y costos'!$B$249,0)+IF(L$47&gt;=2,((Quesería!$B$31+Quesería!$B$33)*(Quesería!$F$95-(-$E$26)*Quesería!$D$86)*$E$11+'Beneficios y costos'!$C$249-(-$E$26)*'Beneficios y costos'!$H$235)*$E$21,0))*$E$12</f>
        <v>76.4964821173776</v>
      </c>
    </row>
    <row r="190" customFormat="false" ht="15" hidden="true" customHeight="false" outlineLevel="1" collapsed="false">
      <c r="A190" s="6" t="s">
        <v>414</v>
      </c>
      <c r="B190" s="29" t="n">
        <f aca="false">IF(B$47=1,2*Quesería!$B$22*Quesería!$B$23/12*B181,0)*$E$21</f>
        <v>0</v>
      </c>
      <c r="C190" s="29" t="n">
        <f aca="false">IF(C$47=1,2*Quesería!$B$22*Quesería!$B$23/12*C181,0)*$E$21</f>
        <v>18.5166509433962</v>
      </c>
      <c r="D190" s="29" t="n">
        <f aca="false">IF(D$47=1,2*Quesería!$B$22*Quesería!$B$23/12*D181,0)*$E$21</f>
        <v>0</v>
      </c>
      <c r="E190" s="29" t="n">
        <f aca="false">IF(E$47=1,2*Quesería!$B$22*Quesería!$B$23/12*E181,0)*$E$21</f>
        <v>0</v>
      </c>
      <c r="F190" s="29" t="n">
        <f aca="false">IF(F$47=1,2*Quesería!$B$22*Quesería!$B$23/12*F181,0)*$E$21</f>
        <v>0</v>
      </c>
      <c r="G190" s="29" t="n">
        <f aca="false">IF(G$47=1,2*Quesería!$B$22*Quesería!$B$23/12*G181,0)*$E$21</f>
        <v>0</v>
      </c>
      <c r="H190" s="29" t="n">
        <f aca="false">IF(H$47=1,2*Quesería!$B$22*Quesería!$B$23/12*H181,0)*$E$21</f>
        <v>0</v>
      </c>
      <c r="I190" s="29" t="n">
        <f aca="false">IF(I$47=1,2*Quesería!$B$22*Quesería!$B$23/12*I181,0)*$E$21</f>
        <v>0</v>
      </c>
      <c r="J190" s="29" t="n">
        <f aca="false">IF(J$47=1,2*Quesería!$B$22*Quesería!$B$23/12*J181,0)*$E$21</f>
        <v>0</v>
      </c>
      <c r="K190" s="29" t="n">
        <f aca="false">IF(K$47=1,2*Quesería!$B$22*Quesería!$B$23/12*K181,0)*$E$21</f>
        <v>0</v>
      </c>
      <c r="L190" s="29" t="n">
        <f aca="false">IF(L$47=1,2*Quesería!$B$22*Quesería!$B$23/12*L181,0)*$E$21</f>
        <v>0</v>
      </c>
    </row>
    <row r="191" customFormat="false" ht="15" hidden="true" customHeight="false" outlineLevel="1" collapsed="false">
      <c r="A191" s="6" t="s">
        <v>415</v>
      </c>
      <c r="B191" s="29" t="n">
        <f aca="false">Quesería!$B$52*(B183+B184+B185+B189+B190)</f>
        <v>4.31966364396742</v>
      </c>
      <c r="C191" s="29" t="n">
        <f aca="false">Quesería!$B$52*(C183+C184+C185+C189+C190)</f>
        <v>3.37675795604844</v>
      </c>
      <c r="D191" s="29" t="n">
        <f aca="false">Quesería!$B$52*(D183+D184+D185+D189+D190)</f>
        <v>0.305985928469511</v>
      </c>
      <c r="E191" s="29" t="n">
        <f aca="false">Quesería!$B$52*(E183+E184+E185+E189+E190)</f>
        <v>0.305985928469511</v>
      </c>
      <c r="F191" s="29" t="n">
        <f aca="false">Quesería!$B$52*(F183+F184+F185+F189+F190)</f>
        <v>0.305985928469511</v>
      </c>
      <c r="G191" s="29" t="n">
        <f aca="false">Quesería!$B$52*(G183+G184+G185+G189+G190)</f>
        <v>0.436720362669349</v>
      </c>
      <c r="H191" s="29" t="n">
        <f aca="false">Quesería!$B$52*(H183+H184+H185+H189+H190)</f>
        <v>0.526798309653658</v>
      </c>
      <c r="I191" s="29" t="n">
        <f aca="false">Quesería!$B$52*(I183+I184+I185+I189+I190)</f>
        <v>0.305985928469511</v>
      </c>
      <c r="J191" s="29" t="n">
        <f aca="false">Quesería!$B$52*(J183+J184+J185+J189+J190)</f>
        <v>0.305985928469511</v>
      </c>
      <c r="K191" s="29" t="n">
        <f aca="false">Quesería!$B$52*(K183+K184+K185+K189+K190)</f>
        <v>0.305985928469511</v>
      </c>
      <c r="L191" s="29" t="n">
        <f aca="false">Quesería!$B$52*(L183+L184+L185+L189+L190)</f>
        <v>0.305985928469511</v>
      </c>
    </row>
    <row r="192" customFormat="false" ht="15" hidden="true" customHeight="false" outlineLevel="1" collapsed="false">
      <c r="A192" s="6" t="s">
        <v>416</v>
      </c>
      <c r="B192" s="29" t="n">
        <f aca="false">(IF($E$19=1,(SUMPRODUCT((Quesería!$C$70:$C$89=0)*(Quesería!$J$70:$J$89&gt;0)*(B$47&gt;=1)*(B$47&lt;=Quesería!$J$70:$J$89)*(Quesería!$H$70:$H$89&gt;0)*Quesería!$F$70:$F$89*(1+Quesería!$I$70:$I$89)/(Quesería!$J$70:$J$89+(Quesería!$J$70:$J$89=0)))+SUMPRODUCT((Quesería!$C$70:$C$89=0)*(Quesería!$J$70:$J$89=0)*(B$47=0)*(Quesería!$H$70:$H$89&gt;0)*Quesería!$F$70:$F$89*(1+Quesería!$I$70:$I$89)))*$B$180+((SUMPRODUCT((Quesería!$C$70:$C$89=1)*(Quesería!$J$70:$J$89&gt;0)*(B$47&gt;=2)*(B$47&lt;=Quesería!$J$70:$J$89+1)*(Quesería!$H$70:$H$89&gt;0)*Quesería!$F$70:$F$89*(1+Quesería!$I$70:$I$89)/(Quesería!$J$70:$J$89+(Quesería!$J$70:$J$89=0)))+SUMPRODUCT((Quesería!$C$70:$C$89=1)*(Quesería!$J$70:$J$89=0)*(B$47=1)*(Quesería!$H$70:$H$89&gt;0)*Quesería!$F$70:$F$89*(1+Quesería!$I$70:$I$89)))-(-$E$26)*IF(AND(B$47&gt;=2,B$47&lt;=Quesería!$J$86+1),Quesería!$D$86*(1+Quesería!$I$86)/Quesería!$J$86,0))*$C$180*$E$21,IF(AND(B$47&gt;=1,B$47&lt;=Quesería!$B$30),Quesería!$F$92/Quesería!$B$30,0)*$B$180+IF(AND(B$47&gt;=2,B$47&lt;=Quesería!$B$30+1),(Quesería!$F$93-(-$E$26)*Quesería!$D$86*(1+Quesería!$I$86))/Quesería!$B$30,0)*$C$180*$E$21)*$E$11+IF(AND(B$47&gt;=6,B$47&lt;=10),$G184*$G180/5,0)+IF(AND(B$47&gt;=7,B$47&lt;=11),$H184*$H180/5,0))*B182</f>
        <v>145.980915430742</v>
      </c>
      <c r="C192" s="29" t="n">
        <f aca="false">(IF($E$19=1,(SUMPRODUCT((Quesería!$C$70:$C$89=0)*(Quesería!$J$70:$J$89&gt;0)*(C$47&gt;=1)*(C$47&lt;=Quesería!$J$70:$J$89)*(Quesería!$H$70:$H$89&gt;0)*Quesería!$F$70:$F$89*(1+Quesería!$I$70:$I$89)/(Quesería!$J$70:$J$89+(Quesería!$J$70:$J$89=0)))+SUMPRODUCT((Quesería!$C$70:$C$89=0)*(Quesería!$J$70:$J$89=0)*(C$47=0)*(Quesería!$H$70:$H$89&gt;0)*Quesería!$F$70:$F$89*(1+Quesería!$I$70:$I$89)))*$B$180+((SUMPRODUCT((Quesería!$C$70:$C$89=1)*(Quesería!$J$70:$J$89&gt;0)*(C$47&gt;=2)*(C$47&lt;=Quesería!$J$70:$J$89+1)*(Quesería!$H$70:$H$89&gt;0)*Quesería!$F$70:$F$89*(1+Quesería!$I$70:$I$89)/(Quesería!$J$70:$J$89+(Quesería!$J$70:$J$89=0)))+SUMPRODUCT((Quesería!$C$70:$C$89=1)*(Quesería!$J$70:$J$89=0)*(C$47=1)*(Quesería!$H$70:$H$89&gt;0)*Quesería!$F$70:$F$89*(1+Quesería!$I$70:$I$89)))-(-$E$26)*IF(AND(C$47&gt;=2,C$47&lt;=Quesería!$J$86+1),Quesería!$D$86*(1+Quesería!$I$86)/Quesería!$J$86,0))*$C$180*$E$21,IF(AND(C$47&gt;=1,C$47&lt;=Quesería!$B$30),Quesería!$F$92/Quesería!$B$30,0)*$B$180+IF(AND(C$47&gt;=2,C$47&lt;=Quesería!$B$30+1),(Quesería!$F$93-(-$E$26)*Quesería!$D$86*(1+Quesería!$I$86))/Quesería!$B$30,0)*$C$180*$E$21)*$E$11+IF(AND(C$47&gt;=6,C$47&lt;=10),$G184*$G180/5,0)+IF(AND(C$47&gt;=7,C$47&lt;=11),$H184*$H180/5,0))*C182</f>
        <v>82.2633269524265</v>
      </c>
      <c r="D192" s="29" t="n">
        <f aca="false">(IF($E$19=1,(SUMPRODUCT((Quesería!$C$70:$C$89=0)*(Quesería!$J$70:$J$89&gt;0)*(D$47&gt;=1)*(D$47&lt;=Quesería!$J$70:$J$89)*(Quesería!$H$70:$H$89&gt;0)*Quesería!$F$70:$F$89*(1+Quesería!$I$70:$I$89)/(Quesería!$J$70:$J$89+(Quesería!$J$70:$J$89=0)))+SUMPRODUCT((Quesería!$C$70:$C$89=0)*(Quesería!$J$70:$J$89=0)*(D$47=0)*(Quesería!$H$70:$H$89&gt;0)*Quesería!$F$70:$F$89*(1+Quesería!$I$70:$I$89)))*$B$180+((SUMPRODUCT((Quesería!$C$70:$C$89=1)*(Quesería!$J$70:$J$89&gt;0)*(D$47&gt;=2)*(D$47&lt;=Quesería!$J$70:$J$89+1)*(Quesería!$H$70:$H$89&gt;0)*Quesería!$F$70:$F$89*(1+Quesería!$I$70:$I$89)/(Quesería!$J$70:$J$89+(Quesería!$J$70:$J$89=0)))+SUMPRODUCT((Quesería!$C$70:$C$89=1)*(Quesería!$J$70:$J$89=0)*(D$47=1)*(Quesería!$H$70:$H$89&gt;0)*Quesería!$F$70:$F$89*(1+Quesería!$I$70:$I$89)))-(-$E$26)*IF(AND(D$47&gt;=2,D$47&lt;=Quesería!$J$86+1),Quesería!$D$86*(1+Quesería!$I$86)/Quesería!$J$86,0))*$C$180*$E$21,IF(AND(D$47&gt;=1,D$47&lt;=Quesería!$B$30),Quesería!$F$92/Quesería!$B$30,0)*$B$180+IF(AND(D$47&gt;=2,D$47&lt;=Quesería!$B$30+1),(Quesería!$F$93-(-$E$26)*Quesería!$D$86*(1+Quesería!$I$86))/Quesería!$B$30,0)*$C$180*$E$21)*$E$11+IF(AND(D$47&gt;=6,D$47&lt;=10),$G184*$G180/5,0)+IF(AND(D$47&gt;=7,D$47&lt;=11),$H184*$H180/5,0))*D182</f>
        <v>141.732280975958</v>
      </c>
      <c r="E192" s="29" t="n">
        <f aca="false">(IF($E$19=1,(SUMPRODUCT((Quesería!$C$70:$C$89=0)*(Quesería!$J$70:$J$89&gt;0)*(E$47&gt;=1)*(E$47&lt;=Quesería!$J$70:$J$89)*(Quesería!$H$70:$H$89&gt;0)*Quesería!$F$70:$F$89*(1+Quesería!$I$70:$I$89)/(Quesería!$J$70:$J$89+(Quesería!$J$70:$J$89=0)))+SUMPRODUCT((Quesería!$C$70:$C$89=0)*(Quesería!$J$70:$J$89=0)*(E$47=0)*(Quesería!$H$70:$H$89&gt;0)*Quesería!$F$70:$F$89*(1+Quesería!$I$70:$I$89)))*$B$180+((SUMPRODUCT((Quesería!$C$70:$C$89=1)*(Quesería!$J$70:$J$89&gt;0)*(E$47&gt;=2)*(E$47&lt;=Quesería!$J$70:$J$89+1)*(Quesería!$H$70:$H$89&gt;0)*Quesería!$F$70:$F$89*(1+Quesería!$I$70:$I$89)/(Quesería!$J$70:$J$89+(Quesería!$J$70:$J$89=0)))+SUMPRODUCT((Quesería!$C$70:$C$89=1)*(Quesería!$J$70:$J$89=0)*(E$47=1)*(Quesería!$H$70:$H$89&gt;0)*Quesería!$F$70:$F$89*(1+Quesería!$I$70:$I$89)))-(-$E$26)*IF(AND(E$47&gt;=2,E$47&lt;=Quesería!$J$86+1),Quesería!$D$86*(1+Quesería!$I$86)/Quesería!$J$86,0))*$C$180*$E$21,IF(AND(E$47&gt;=1,E$47&lt;=Quesería!$B$30),Quesería!$F$92/Quesería!$B$30,0)*$B$180+IF(AND(E$47&gt;=2,E$47&lt;=Quesería!$B$30+1),(Quesería!$F$93-(-$E$26)*Quesería!$D$86*(1+Quesería!$I$86))/Quesería!$B$30,0)*$C$180*$E$21)*$E$11+IF(AND(E$47&gt;=6,E$47&lt;=10),$G184*$G180/5,0)+IF(AND(E$47&gt;=7,E$47&lt;=11),$H184*$H180/5,0))*E182</f>
        <v>136.28103939996</v>
      </c>
      <c r="F192" s="29" t="n">
        <f aca="false">(IF($E$19=1,(SUMPRODUCT((Quesería!$C$70:$C$89=0)*(Quesería!$J$70:$J$89&gt;0)*(F$47&gt;=1)*(F$47&lt;=Quesería!$J$70:$J$89)*(Quesería!$H$70:$H$89&gt;0)*Quesería!$F$70:$F$89*(1+Quesería!$I$70:$I$89)/(Quesería!$J$70:$J$89+(Quesería!$J$70:$J$89=0)))+SUMPRODUCT((Quesería!$C$70:$C$89=0)*(Quesería!$J$70:$J$89=0)*(F$47=0)*(Quesería!$H$70:$H$89&gt;0)*Quesería!$F$70:$F$89*(1+Quesería!$I$70:$I$89)))*$B$180+((SUMPRODUCT((Quesería!$C$70:$C$89=1)*(Quesería!$J$70:$J$89&gt;0)*(F$47&gt;=2)*(F$47&lt;=Quesería!$J$70:$J$89+1)*(Quesería!$H$70:$H$89&gt;0)*Quesería!$F$70:$F$89*(1+Quesería!$I$70:$I$89)/(Quesería!$J$70:$J$89+(Quesería!$J$70:$J$89=0)))+SUMPRODUCT((Quesería!$C$70:$C$89=1)*(Quesería!$J$70:$J$89=0)*(F$47=1)*(Quesería!$H$70:$H$89&gt;0)*Quesería!$F$70:$F$89*(1+Quesería!$I$70:$I$89)))-(-$E$26)*IF(AND(F$47&gt;=2,F$47&lt;=Quesería!$J$86+1),Quesería!$D$86*(1+Quesería!$I$86)/Quesería!$J$86,0))*$C$180*$E$21,IF(AND(F$47&gt;=1,F$47&lt;=Quesería!$B$30),Quesería!$F$92/Quesería!$B$30,0)*$B$180+IF(AND(F$47&gt;=2,F$47&lt;=Quesería!$B$30+1),(Quesería!$F$93-(-$E$26)*Quesería!$D$86*(1+Quesería!$I$86))/Quesería!$B$30,0)*$C$180*$E$21)*$E$11+IF(AND(F$47&gt;=6,F$47&lt;=10),$G184*$G180/5,0)+IF(AND(F$47&gt;=7,F$47&lt;=11),$H184*$H180/5,0))*F182</f>
        <v>131.0394609615</v>
      </c>
      <c r="G192" s="29" t="n">
        <f aca="false">(IF($E$19=1,(SUMPRODUCT((Quesería!$C$70:$C$89=0)*(Quesería!$J$70:$J$89&gt;0)*(G$47&gt;=1)*(G$47&lt;=Quesería!$J$70:$J$89)*(Quesería!$H$70:$H$89&gt;0)*Quesería!$F$70:$F$89*(1+Quesería!$I$70:$I$89)/(Quesería!$J$70:$J$89+(Quesería!$J$70:$J$89=0)))+SUMPRODUCT((Quesería!$C$70:$C$89=0)*(Quesería!$J$70:$J$89=0)*(G$47=0)*(Quesería!$H$70:$H$89&gt;0)*Quesería!$F$70:$F$89*(1+Quesería!$I$70:$I$89)))*$B$180+((SUMPRODUCT((Quesería!$C$70:$C$89=1)*(Quesería!$J$70:$J$89&gt;0)*(G$47&gt;=2)*(G$47&lt;=Quesería!$J$70:$J$89+1)*(Quesería!$H$70:$H$89&gt;0)*Quesería!$F$70:$F$89*(1+Quesería!$I$70:$I$89)/(Quesería!$J$70:$J$89+(Quesería!$J$70:$J$89=0)))+SUMPRODUCT((Quesería!$C$70:$C$89=1)*(Quesería!$J$70:$J$89=0)*(G$47=1)*(Quesería!$H$70:$H$89&gt;0)*Quesería!$F$70:$F$89*(1+Quesería!$I$70:$I$89)))-(-$E$26)*IF(AND(G$47&gt;=2,G$47&lt;=Quesería!$J$86+1),Quesería!$D$86*(1+Quesería!$I$86)/Quesería!$J$86,0))*$C$180*$E$21,IF(AND(G$47&gt;=1,G$47&lt;=Quesería!$B$30),Quesería!$F$92/Quesería!$B$30,0)*$B$180+IF(AND(G$47&gt;=2,G$47&lt;=Quesería!$B$30+1),(Quesería!$F$93-(-$E$26)*Quesería!$D$86*(1+Quesería!$I$86))/Quesería!$B$30,0)*$C$180*$E$21)*$E$11+IF(AND(G$47&gt;=6,G$47&lt;=10),$G184*$G180/5,0)+IF(AND(G$47&gt;=7,G$47&lt;=11),$H184*$H180/5,0))*G182</f>
        <v>125.99948169375</v>
      </c>
      <c r="H192" s="29" t="n">
        <f aca="false">(IF($E$19=1,(SUMPRODUCT((Quesería!$C$70:$C$89=0)*(Quesería!$J$70:$J$89&gt;0)*(H$47&gt;=1)*(H$47&lt;=Quesería!$J$70:$J$89)*(Quesería!$H$70:$H$89&gt;0)*Quesería!$F$70:$F$89*(1+Quesería!$I$70:$I$89)/(Quesería!$J$70:$J$89+(Quesería!$J$70:$J$89=0)))+SUMPRODUCT((Quesería!$C$70:$C$89=0)*(Quesería!$J$70:$J$89=0)*(H$47=0)*(Quesería!$H$70:$H$89&gt;0)*Quesería!$F$70:$F$89*(1+Quesería!$I$70:$I$89)))*$B$180+((SUMPRODUCT((Quesería!$C$70:$C$89=1)*(Quesería!$J$70:$J$89&gt;0)*(H$47&gt;=2)*(H$47&lt;=Quesería!$J$70:$J$89+1)*(Quesería!$H$70:$H$89&gt;0)*Quesería!$F$70:$F$89*(1+Quesería!$I$70:$I$89)/(Quesería!$J$70:$J$89+(Quesería!$J$70:$J$89=0)))+SUMPRODUCT((Quesería!$C$70:$C$89=1)*(Quesería!$J$70:$J$89=0)*(H$47=1)*(Quesería!$H$70:$H$89&gt;0)*Quesería!$F$70:$F$89*(1+Quesería!$I$70:$I$89)))-(-$E$26)*IF(AND(H$47&gt;=2,H$47&lt;=Quesería!$J$86+1),Quesería!$D$86*(1+Quesería!$I$86)/Quesería!$J$86,0))*$C$180*$E$21,IF(AND(H$47&gt;=1,H$47&lt;=Quesería!$B$30),Quesería!$F$92/Quesería!$B$30,0)*$B$180+IF(AND(H$47&gt;=2,H$47&lt;=Quesería!$B$30+1),(Quesería!$F$93-(-$E$26)*Quesería!$D$86*(1+Quesería!$I$86))/Quesería!$B$30,0)*$C$180*$E$21)*$E$11+IF(AND(H$47&gt;=6,H$47&lt;=10),$G184*$G180/5,0)+IF(AND(H$47&gt;=7,H$47&lt;=11),$H184*$H180/5,0))*H182</f>
        <v>114.13472617855</v>
      </c>
      <c r="I192" s="29" t="n">
        <f aca="false">(IF($E$19=1,(SUMPRODUCT((Quesería!$C$70:$C$89=0)*(Quesería!$J$70:$J$89&gt;0)*(I$47&gt;=1)*(I$47&lt;=Quesería!$J$70:$J$89)*(Quesería!$H$70:$H$89&gt;0)*Quesería!$F$70:$F$89*(1+Quesería!$I$70:$I$89)/(Quesería!$J$70:$J$89+(Quesería!$J$70:$J$89=0)))+SUMPRODUCT((Quesería!$C$70:$C$89=0)*(Quesería!$J$70:$J$89=0)*(I$47=0)*(Quesería!$H$70:$H$89&gt;0)*Quesería!$F$70:$F$89*(1+Quesería!$I$70:$I$89)))*$B$180+((SUMPRODUCT((Quesería!$C$70:$C$89=1)*(Quesería!$J$70:$J$89&gt;0)*(I$47&gt;=2)*(I$47&lt;=Quesería!$J$70:$J$89+1)*(Quesería!$H$70:$H$89&gt;0)*Quesería!$F$70:$F$89*(1+Quesería!$I$70:$I$89)/(Quesería!$J$70:$J$89+(Quesería!$J$70:$J$89=0)))+SUMPRODUCT((Quesería!$C$70:$C$89=1)*(Quesería!$J$70:$J$89=0)*(I$47=1)*(Quesería!$H$70:$H$89&gt;0)*Quesería!$F$70:$F$89*(1+Quesería!$I$70:$I$89)))-(-$E$26)*IF(AND(I$47&gt;=2,I$47&lt;=Quesería!$J$86+1),Quesería!$D$86*(1+Quesería!$I$86)/Quesería!$J$86,0))*$C$180*$E$21,IF(AND(I$47&gt;=1,I$47&lt;=Quesería!$B$30),Quesería!$F$92/Quesería!$B$30,0)*$B$180+IF(AND(I$47&gt;=2,I$47&lt;=Quesería!$B$30+1),(Quesería!$F$93-(-$E$26)*Quesería!$D$86*(1+Quesería!$I$86))/Quesería!$B$30,0)*$C$180*$E$21)*$E$11+IF(AND(I$47&gt;=6,I$47&lt;=10),$G184*$G180/5,0)+IF(AND(I$47&gt;=7,I$47&lt;=11),$H184*$H180/5,0))*I182</f>
        <v>118.665920500713</v>
      </c>
      <c r="J192" s="29" t="n">
        <f aca="false">(IF($E$19=1,(SUMPRODUCT((Quesería!$C$70:$C$89=0)*(Quesería!$J$70:$J$89&gt;0)*(J$47&gt;=1)*(J$47&lt;=Quesería!$J$70:$J$89)*(Quesería!$H$70:$H$89&gt;0)*Quesería!$F$70:$F$89*(1+Quesería!$I$70:$I$89)/(Quesería!$J$70:$J$89+(Quesería!$J$70:$J$89=0)))+SUMPRODUCT((Quesería!$C$70:$C$89=0)*(Quesería!$J$70:$J$89=0)*(J$47=0)*(Quesería!$H$70:$H$89&gt;0)*Quesería!$F$70:$F$89*(1+Quesería!$I$70:$I$89)))*$B$180+((SUMPRODUCT((Quesería!$C$70:$C$89=1)*(Quesería!$J$70:$J$89&gt;0)*(J$47&gt;=2)*(J$47&lt;=Quesería!$J$70:$J$89+1)*(Quesería!$H$70:$H$89&gt;0)*Quesería!$F$70:$F$89*(1+Quesería!$I$70:$I$89)/(Quesería!$J$70:$J$89+(Quesería!$J$70:$J$89=0)))+SUMPRODUCT((Quesería!$C$70:$C$89=1)*(Quesería!$J$70:$J$89=0)*(J$47=1)*(Quesería!$H$70:$H$89&gt;0)*Quesería!$F$70:$F$89*(1+Quesería!$I$70:$I$89)))-(-$E$26)*IF(AND(J$47&gt;=2,J$47&lt;=Quesería!$J$86+1),Quesería!$D$86*(1+Quesería!$I$86)/Quesería!$J$86,0))*$C$180*$E$21,IF(AND(J$47&gt;=1,J$47&lt;=Quesería!$B$30),Quesería!$F$92/Quesería!$B$30,0)*$B$180+IF(AND(J$47&gt;=2,J$47&lt;=Quesería!$B$30+1),(Quesería!$F$93-(-$E$26)*Quesería!$D$86*(1+Quesería!$I$86))/Quesería!$B$30,0)*$C$180*$E$21)*$E$11+IF(AND(J$47&gt;=6,J$47&lt;=10),$G184*$G180/5,0)+IF(AND(J$47&gt;=7,J$47&lt;=11),$H184*$H180/5,0))*J182</f>
        <v>114.101846635301</v>
      </c>
      <c r="K192" s="29" t="n">
        <f aca="false">(IF($E$19=1,(SUMPRODUCT((Quesería!$C$70:$C$89=0)*(Quesería!$J$70:$J$89&gt;0)*(K$47&gt;=1)*(K$47&lt;=Quesería!$J$70:$J$89)*(Quesería!$H$70:$H$89&gt;0)*Quesería!$F$70:$F$89*(1+Quesería!$I$70:$I$89)/(Quesería!$J$70:$J$89+(Quesería!$J$70:$J$89=0)))+SUMPRODUCT((Quesería!$C$70:$C$89=0)*(Quesería!$J$70:$J$89=0)*(K$47=0)*(Quesería!$H$70:$H$89&gt;0)*Quesería!$F$70:$F$89*(1+Quesería!$I$70:$I$89)))*$B$180+((SUMPRODUCT((Quesería!$C$70:$C$89=1)*(Quesería!$J$70:$J$89&gt;0)*(K$47&gt;=2)*(K$47&lt;=Quesería!$J$70:$J$89+1)*(Quesería!$H$70:$H$89&gt;0)*Quesería!$F$70:$F$89*(1+Quesería!$I$70:$I$89)/(Quesería!$J$70:$J$89+(Quesería!$J$70:$J$89=0)))+SUMPRODUCT((Quesería!$C$70:$C$89=1)*(Quesería!$J$70:$J$89=0)*(K$47=1)*(Quesería!$H$70:$H$89&gt;0)*Quesería!$F$70:$F$89*(1+Quesería!$I$70:$I$89)))-(-$E$26)*IF(AND(K$47&gt;=2,K$47&lt;=Quesería!$J$86+1),Quesería!$D$86*(1+Quesería!$I$86)/Quesería!$J$86,0))*$C$180*$E$21,IF(AND(K$47&gt;=1,K$47&lt;=Quesería!$B$30),Quesería!$F$92/Quesería!$B$30,0)*$B$180+IF(AND(K$47&gt;=2,K$47&lt;=Quesería!$B$30+1),(Quesería!$F$93-(-$E$26)*Quesería!$D$86*(1+Quesería!$I$86))/Quesería!$B$30,0)*$C$180*$E$21)*$E$11+IF(AND(K$47&gt;=6,K$47&lt;=10),$G184*$G180/5,0)+IF(AND(K$47&gt;=7,K$47&lt;=11),$H184*$H180/5,0))*K182</f>
        <v>109.713314072405</v>
      </c>
      <c r="L192" s="29" t="n">
        <f aca="false">(IF($E$19=1,(SUMPRODUCT((Quesería!$C$70:$C$89=0)*(Quesería!$J$70:$J$89&gt;0)*(L$47&gt;=1)*(L$47&lt;=Quesería!$J$70:$J$89)*(Quesería!$H$70:$H$89&gt;0)*Quesería!$F$70:$F$89*(1+Quesería!$I$70:$I$89)/(Quesería!$J$70:$J$89+(Quesería!$J$70:$J$89=0)))+SUMPRODUCT((Quesería!$C$70:$C$89=0)*(Quesería!$J$70:$J$89=0)*(L$47=0)*(Quesería!$H$70:$H$89&gt;0)*Quesería!$F$70:$F$89*(1+Quesería!$I$70:$I$89)))*$B$180+((SUMPRODUCT((Quesería!$C$70:$C$89=1)*(Quesería!$J$70:$J$89&gt;0)*(L$47&gt;=2)*(L$47&lt;=Quesería!$J$70:$J$89+1)*(Quesería!$H$70:$H$89&gt;0)*Quesería!$F$70:$F$89*(1+Quesería!$I$70:$I$89)/(Quesería!$J$70:$J$89+(Quesería!$J$70:$J$89=0)))+SUMPRODUCT((Quesería!$C$70:$C$89=1)*(Quesería!$J$70:$J$89=0)*(L$47=1)*(Quesería!$H$70:$H$89&gt;0)*Quesería!$F$70:$F$89*(1+Quesería!$I$70:$I$89)))-(-$E$26)*IF(AND(L$47&gt;=2,L$47&lt;=Quesería!$J$86+1),Quesería!$D$86*(1+Quesería!$I$86)/Quesería!$J$86,0))*$C$180*$E$21,IF(AND(L$47&gt;=1,L$47&lt;=Quesería!$B$30),Quesería!$F$92/Quesería!$B$30,0)*$B$180+IF(AND(L$47&gt;=2,L$47&lt;=Quesería!$B$30+1),(Quesería!$F$93-(-$E$26)*Quesería!$D$86*(1+Quesería!$I$86))/Quesería!$B$30,0)*$C$180*$E$21)*$E$11+IF(AND(L$47&gt;=6,L$47&lt;=10),$G184*$G180/5,0)+IF(AND(L$47&gt;=7,L$47&lt;=11),$H184*$H180/5,0))*L182</f>
        <v>105.493571223466</v>
      </c>
    </row>
    <row r="193" customFormat="false" ht="15" hidden="true" customHeight="false" outlineLevel="1" collapsed="false">
      <c r="A193" s="9" t="s">
        <v>417</v>
      </c>
      <c r="B193" s="58" t="n">
        <f aca="false">IF(B$47=1,MIN($E$7*$E$26*Quesería!$B$56*Quesería!$D$86*$E$11*$E$21,Quesería!$B$57*Quesería!$B$58),0)</f>
        <v>0</v>
      </c>
      <c r="C193" s="58" t="n">
        <f aca="false">IF(C$47=1,MIN($E$7*$E$26*Quesería!$B$56*Quesería!$D$86*$E$11*$E$21,Quesería!$B$57*Quesería!$B$58),0)</f>
        <v>0</v>
      </c>
      <c r="D193" s="58" t="n">
        <f aca="false">IF(D$47=1,MIN($E$7*$E$26*Quesería!$B$56*Quesería!$D$86*$E$11*$E$21,Quesería!$B$57*Quesería!$B$58),0)</f>
        <v>0</v>
      </c>
      <c r="E193" s="58" t="n">
        <f aca="false">IF(E$47=1,MIN($E$7*$E$26*Quesería!$B$56*Quesería!$D$86*$E$11*$E$21,Quesería!$B$57*Quesería!$B$58),0)</f>
        <v>0</v>
      </c>
      <c r="F193" s="58" t="n">
        <f aca="false">IF(F$47=1,MIN($E$7*$E$26*Quesería!$B$56*Quesería!$D$86*$E$11*$E$21,Quesería!$B$57*Quesería!$B$58),0)</f>
        <v>0</v>
      </c>
      <c r="G193" s="58" t="n">
        <f aca="false">IF(G$47=1,MIN($E$7*$E$26*Quesería!$B$56*Quesería!$D$86*$E$11*$E$21,Quesería!$B$57*Quesería!$B$58),0)</f>
        <v>0</v>
      </c>
      <c r="H193" s="58" t="n">
        <f aca="false">IF(H$47=1,MIN($E$7*$E$26*Quesería!$B$56*Quesería!$D$86*$E$11*$E$21,Quesería!$B$57*Quesería!$B$58),0)</f>
        <v>0</v>
      </c>
      <c r="I193" s="58" t="n">
        <f aca="false">IF(I$47=1,MIN($E$7*$E$26*Quesería!$B$56*Quesería!$D$86*$E$11*$E$21,Quesería!$B$57*Quesería!$B$58),0)</f>
        <v>0</v>
      </c>
      <c r="J193" s="58" t="n">
        <f aca="false">IF(J$47=1,MIN($E$7*$E$26*Quesería!$B$56*Quesería!$D$86*$E$11*$E$21,Quesería!$B$57*Quesería!$B$58),0)</f>
        <v>0</v>
      </c>
      <c r="K193" s="58" t="n">
        <f aca="false">IF(K$47=1,MIN($E$7*$E$26*Quesería!$B$56*Quesería!$D$86*$E$11*$E$21,Quesería!$B$57*Quesería!$B$58),0)</f>
        <v>0</v>
      </c>
      <c r="L193" s="58" t="n">
        <f aca="false">IF(L$47=1,MIN($E$7*$E$26*Quesería!$B$56*Quesería!$D$86*$E$11*$E$21,Quesería!$B$57*Quesería!$B$58),0)</f>
        <v>0</v>
      </c>
    </row>
    <row r="194" customFormat="false" ht="15" hidden="true" customHeight="false" outlineLevel="1" collapsed="false">
      <c r="A194" s="9" t="s">
        <v>418</v>
      </c>
      <c r="B194" s="58" t="n">
        <v>0</v>
      </c>
      <c r="C194" s="58" t="n">
        <f aca="false">$E$20*Quesería!$B$60*Quesería!$F$98*$E$11*$B$180/C180/2</f>
        <v>138.12868344741</v>
      </c>
      <c r="D194" s="58" t="n">
        <f aca="false">$E$20*Quesería!$B$60*Quesería!$F$98*$E$11*$B$180/D180/2</f>
        <v>132.18055832288</v>
      </c>
      <c r="E194" s="58" t="n">
        <v>0</v>
      </c>
      <c r="F194" s="58" t="n">
        <v>0</v>
      </c>
      <c r="G194" s="58" t="n">
        <v>0</v>
      </c>
      <c r="H194" s="58" t="n">
        <v>0</v>
      </c>
      <c r="I194" s="58" t="n">
        <v>0</v>
      </c>
      <c r="J194" s="58" t="n">
        <v>0</v>
      </c>
      <c r="K194" s="58" t="n">
        <v>0</v>
      </c>
      <c r="L194" s="58" t="n">
        <v>0</v>
      </c>
    </row>
    <row r="195" customFormat="false" ht="15" hidden="true" customHeight="false" outlineLevel="1" collapsed="false">
      <c r="A195" s="9" t="s">
        <v>419</v>
      </c>
      <c r="B195" s="58" t="n">
        <f aca="false">0</f>
        <v>0</v>
      </c>
      <c r="C195" s="58" t="n">
        <f aca="false">B185*B180/C180</f>
        <v>142.014925295407</v>
      </c>
      <c r="D195" s="58" t="n">
        <f aca="false">C185*C180/D180</f>
        <v>119.721648486272</v>
      </c>
      <c r="E195" s="58" t="n">
        <f aca="false">D185*D180/E180</f>
        <v>0</v>
      </c>
      <c r="F195" s="58" t="n">
        <f aca="false">E185*E180/F180</f>
        <v>0</v>
      </c>
      <c r="G195" s="58" t="n">
        <f aca="false">F185*F180/G180</f>
        <v>0</v>
      </c>
      <c r="H195" s="58" t="n">
        <f aca="false">G185*G180/H180</f>
        <v>5.01768392412113</v>
      </c>
      <c r="I195" s="58" t="n">
        <f aca="false">H185*H180/I180</f>
        <v>8.47494190873221</v>
      </c>
      <c r="J195" s="58" t="n">
        <f aca="false">I185*I180/J180</f>
        <v>0</v>
      </c>
      <c r="K195" s="58" t="n">
        <f aca="false">J185*J180/K180</f>
        <v>0</v>
      </c>
      <c r="L195" s="58" t="n">
        <f aca="false">K185*K180/L180</f>
        <v>0</v>
      </c>
    </row>
    <row r="196" customFormat="false" ht="15" hidden="true" customHeight="false" outlineLevel="1" collapsed="false">
      <c r="A196" s="6" t="s">
        <v>295</v>
      </c>
      <c r="B196" s="29" t="n">
        <f aca="false">$E$17*(B188-B189-B190-0.5*B191-B192)-B193-B194-B195</f>
        <v>-51.8492615384541</v>
      </c>
      <c r="C196" s="29" t="n">
        <f aca="false">$E$17*(C188-C189-C190-0.5*C191-C192)-C193-C194-C195</f>
        <v>-267.27574962886</v>
      </c>
      <c r="D196" s="29" t="n">
        <f aca="false">$E$17*(D188-D189-D190-0.5*D191-D192)-D193-D194-D195</f>
        <v>-153.621746486017</v>
      </c>
      <c r="E196" s="29" t="n">
        <f aca="false">$E$17*(E188-E189-E190-0.5*E191-E192)-E193-E194-E195</f>
        <v>125.109835670203</v>
      </c>
      <c r="F196" s="29" t="n">
        <f aca="false">$E$17*(F188-F189-F190-0.5*F191-F192)-F193-F194-F195</f>
        <v>127.052611986067</v>
      </c>
      <c r="G196" s="29" t="n">
        <f aca="false">$E$17*(G188-G189-G190-0.5*G191-G192)-G193-G194-G195</f>
        <v>128.902491185509</v>
      </c>
      <c r="H196" s="29" t="n">
        <f aca="false">$E$17*(H188-H189-H190-0.5*H191-H192)-H193-H194-H195</f>
        <v>128.131016857608</v>
      </c>
      <c r="I196" s="29" t="n">
        <f aca="false">$E$17*(I188-I189-I190-0.5*I191-I192)-I193-I194-I195</f>
        <v>123.236338377604</v>
      </c>
      <c r="J196" s="29" t="n">
        <f aca="false">$E$17*(J188-J189-J190-0.5*J191-J192)-J193-J194-J195</f>
        <v>133.41911076664</v>
      </c>
      <c r="K196" s="29" t="n">
        <f aca="false">$E$17*(K188-K189-K190-0.5*K191-K192)-K193-K194-K195</f>
        <v>135.0660538142</v>
      </c>
      <c r="L196" s="29" t="n">
        <f aca="false">$E$17*(L188-L189-L190-0.5*L191-L192)-L193-L194-L195</f>
        <v>136.654475245128</v>
      </c>
    </row>
    <row r="197" customFormat="false" ht="15" hidden="true" customHeight="false" outlineLevel="1" collapsed="false">
      <c r="A197" s="9" t="s">
        <v>420</v>
      </c>
      <c r="B197" s="58" t="n">
        <f aca="false">(IF(B$47&gt;=1,Quesería!$G$124*IF(B$47=1,Quesería!$B$20,1),Quesería!$G$124*Quesería!$B$20*Quesería!$B$21/12*$E$23)+IF(B$47&gt;=2,(Quesería!$G$125-(1-$E$24)*Quesería!$G$117-(-$E$26*$E$27)*'Beneficios y costos'!$D$167)*$E$21*IF(B$47=2,Quesería!$B$20,1),0))*$E$10</f>
        <v>0</v>
      </c>
      <c r="C197" s="58" t="n">
        <f aca="false">(IF(C$47&gt;=1,Quesería!$G$124*IF(C$47=1,Quesería!$B$20,1),Quesería!$G$124*Quesería!$B$20*Quesería!$B$21/12*$E$23)+IF(C$47&gt;=2,(Quesería!$G$125-(1-$E$24)*Quesería!$G$117-(-$E$26*$E$27)*'Beneficios y costos'!$D$167)*$E$21*IF(C$47=2,Quesería!$B$20,1),0))*$E$10</f>
        <v>116.10643052428</v>
      </c>
      <c r="D197" s="58" t="n">
        <f aca="false">(IF(D$47&gt;=1,Quesería!$G$124*IF(D$47=1,Quesería!$B$20,1),Quesería!$G$124*Quesería!$B$20*Quesería!$B$21/12*$E$23)+IF(D$47&gt;=2,(Quesería!$G$125-(1-$E$24)*Quesería!$G$117-(-$E$26*$E$27)*'Beneficios y costos'!$D$167)*$E$21*IF(D$47=2,Quesería!$B$20,1),0))*$E$10</f>
        <v>2023.78917421887</v>
      </c>
      <c r="E197" s="58" t="n">
        <f aca="false">(IF(E$47&gt;=1,Quesería!$G$124*IF(E$47=1,Quesería!$B$20,1),Quesería!$G$124*Quesería!$B$20*Quesería!$B$21/12*$E$23)+IF(E$47&gt;=2,(Quesería!$G$125-(1-$E$24)*Quesería!$G$117-(-$E$26*$E$27)*'Beneficios y costos'!$D$167)*$E$21*IF(E$47=2,Quesería!$B$20,1),0))*$E$10</f>
        <v>2646.78270761437</v>
      </c>
      <c r="F197" s="58" t="n">
        <f aca="false">(IF(F$47&gt;=1,Quesería!$G$124*IF(F$47=1,Quesería!$B$20,1),Quesería!$G$124*Quesería!$B$20*Quesería!$B$21/12*$E$23)+IF(F$47&gt;=2,(Quesería!$G$125-(1-$E$24)*Quesería!$G$117-(-$E$26*$E$27)*'Beneficios y costos'!$D$167)*$E$21*IF(F$47=2,Quesería!$B$20,1),0))*$E$10</f>
        <v>2646.78270761437</v>
      </c>
      <c r="G197" s="58" t="n">
        <f aca="false">(IF(G$47&gt;=1,Quesería!$G$124*IF(G$47=1,Quesería!$B$20,1),Quesería!$G$124*Quesería!$B$20*Quesería!$B$21/12*$E$23)+IF(G$47&gt;=2,(Quesería!$G$125-(1-$E$24)*Quesería!$G$117-(-$E$26*$E$27)*'Beneficios y costos'!$D$167)*$E$21*IF(G$47=2,Quesería!$B$20,1),0))*$E$10</f>
        <v>2646.78270761437</v>
      </c>
      <c r="H197" s="58" t="n">
        <f aca="false">(IF(H$47&gt;=1,Quesería!$G$124*IF(H$47=1,Quesería!$B$20,1),Quesería!$G$124*Quesería!$B$20*Quesería!$B$21/12*$E$23)+IF(H$47&gt;=2,(Quesería!$G$125-(1-$E$24)*Quesería!$G$117-(-$E$26*$E$27)*'Beneficios y costos'!$D$167)*$E$21*IF(H$47=2,Quesería!$B$20,1),0))*$E$10</f>
        <v>2646.78270761437</v>
      </c>
      <c r="I197" s="58" t="n">
        <f aca="false">(IF(I$47&gt;=1,Quesería!$G$124*IF(I$47=1,Quesería!$B$20,1),Quesería!$G$124*Quesería!$B$20*Quesería!$B$21/12*$E$23)+IF(I$47&gt;=2,(Quesería!$G$125-(1-$E$24)*Quesería!$G$117-(-$E$26*$E$27)*'Beneficios y costos'!$D$167)*$E$21*IF(I$47=2,Quesería!$B$20,1),0))*$E$10</f>
        <v>2646.78270761437</v>
      </c>
      <c r="J197" s="58" t="n">
        <f aca="false">(IF(J$47&gt;=1,Quesería!$G$124*IF(J$47=1,Quesería!$B$20,1),Quesería!$G$124*Quesería!$B$20*Quesería!$B$21/12*$E$23)+IF(J$47&gt;=2,(Quesería!$G$125-(1-$E$24)*Quesería!$G$117-(-$E$26*$E$27)*'Beneficios y costos'!$D$167)*$E$21*IF(J$47=2,Quesería!$B$20,1),0))*$E$10</f>
        <v>2646.78270761437</v>
      </c>
      <c r="K197" s="58" t="n">
        <f aca="false">(IF(K$47&gt;=1,Quesería!$G$124*IF(K$47=1,Quesería!$B$20,1),Quesería!$G$124*Quesería!$B$20*Quesería!$B$21/12*$E$23)+IF(K$47&gt;=2,(Quesería!$G$125-(1-$E$24)*Quesería!$G$117-(-$E$26*$E$27)*'Beneficios y costos'!$D$167)*$E$21*IF(K$47=2,Quesería!$B$20,1),0))*$E$10</f>
        <v>2646.78270761437</v>
      </c>
      <c r="L197" s="58" t="n">
        <f aca="false">(IF(L$47&gt;=1,Quesería!$G$124*IF(L$47=1,Quesería!$B$20,1),Quesería!$G$124*Quesería!$B$20*Quesería!$B$21/12*$E$23)+IF(L$47&gt;=2,(Quesería!$G$125-(1-$E$24)*Quesería!$G$117-(-$E$26*$E$27)*'Beneficios y costos'!$D$167)*$E$21*IF(L$47=2,Quesería!$B$20,1),0))*$E$10</f>
        <v>2646.78270761437</v>
      </c>
    </row>
    <row r="198" customFormat="false" ht="15" hidden="true" customHeight="false" outlineLevel="1" collapsed="false">
      <c r="A198" s="6" t="s">
        <v>421</v>
      </c>
      <c r="B198" s="29" t="n">
        <f aca="false">(B197*(Quesería!$B$38+Quesería!$B$40*Quesería!$B$39)/365-B189*Quesería!$B$42/365+IF(B$47&gt;=2,($E$25*'Beneficios y costos'!$B$147+(1-$E$25)*'Beneficios y costos'!$B$148)*$E$24*$E$21*$E$10*IF(B$47=2,Quesería!$B$20,1),0))</f>
        <v>0</v>
      </c>
      <c r="C198" s="29" t="n">
        <f aca="false">(C197*(Quesería!$B$38+Quesería!$B$40*Quesería!$B$39)/365-C189*Quesería!$B$42/365+IF(C$47&gt;=2,($E$25*'Beneficios y costos'!$B$147+(1-$E$25)*'Beneficios y costos'!$B$148)*$E$24*$E$21*$E$10*IF(C$47=2,Quesería!$B$20,1),0))-(B197*(Quesería!$B$38+Quesería!$B$40*Quesería!$B$39)/365-B189*Quesería!$B$42/365+IF(B$47&gt;=2,($E$25*'Beneficios y costos'!$B$147+(1-$E$25)*'Beneficios y costos'!$B$148)*$E$24*$E$21*$E$10*IF(B$47=2,Quesería!$B$20,1),0))*B180/C180</f>
        <v>8.30999180521817</v>
      </c>
      <c r="D198" s="29" t="n">
        <f aca="false">(D197*(Quesería!$B$38+Quesería!$B$40*Quesería!$B$39)/365-D189*Quesería!$B$42/365+IF(D$47&gt;=2,($E$25*'Beneficios y costos'!$B$147+(1-$E$25)*'Beneficios y costos'!$B$148)*$E$24*$E$21*$E$10*IF(D$47=2,Quesería!$B$20,1),0))-(C197*(Quesería!$B$38+Quesería!$B$40*Quesería!$B$39)/365-C189*Quesería!$B$42/365+IF(C$47&gt;=2,($E$25*'Beneficios y costos'!$B$147+(1-$E$25)*'Beneficios y costos'!$B$148)*$E$24*$E$21*$E$10*IF(C$47=2,Quesería!$B$20,1),0))*C180/D180</f>
        <v>121.067969072345</v>
      </c>
      <c r="E198" s="29" t="n">
        <f aca="false">(E197*(Quesería!$B$38+Quesería!$B$40*Quesería!$B$39)/365-E189*Quesería!$B$42/365+IF(E$47&gt;=2,($E$25*'Beneficios y costos'!$B$147+(1-$E$25)*'Beneficios y costos'!$B$148)*$E$24*$E$21*$E$10*IF(E$47=2,Quesería!$B$20,1),0))-(D197*(Quesería!$B$38+Quesería!$B$40*Quesería!$B$39)/365-D189*Quesería!$B$42/365+IF(D$47&gt;=2,($E$25*'Beneficios y costos'!$B$147+(1-$E$25)*'Beneficios y costos'!$B$148)*$E$24*$E$21*$E$10*IF(D$47=2,Quesería!$B$20,1),0))*D180/E180</f>
        <v>44.6849531551876</v>
      </c>
      <c r="F198" s="29" t="n">
        <f aca="false">(F197*(Quesería!$B$38+Quesería!$B$40*Quesería!$B$39)/365-F189*Quesería!$B$42/365+IF(F$47&gt;=2,($E$25*'Beneficios y costos'!$B$147+(1-$E$25)*'Beneficios y costos'!$B$148)*$E$24*$E$21*$E$10*IF(F$47=2,Quesería!$B$20,1),0))-(E197*(Quesería!$B$38+Quesería!$B$40*Quesería!$B$39)/365-E189*Quesería!$B$42/365+IF(E$47&gt;=2,($E$25*'Beneficios y costos'!$B$147+(1-$E$25)*'Beneficios y costos'!$B$148)*$E$24*$E$21*$E$10*IF(E$47=2,Quesería!$B$20,1),0))*E180/F180</f>
        <v>6.49010597714096</v>
      </c>
      <c r="G198" s="29" t="n">
        <f aca="false">(G197*(Quesería!$B$38+Quesería!$B$40*Quesería!$B$39)/365-G189*Quesería!$B$42/365+IF(G$47&gt;=2,($E$25*'Beneficios y costos'!$B$147+(1-$E$25)*'Beneficios y costos'!$B$148)*$E$24*$E$21*$E$10*IF(G$47=2,Quesería!$B$20,1),0))-(F197*(Quesería!$B$38+Quesería!$B$40*Quesería!$B$39)/365-F189*Quesería!$B$42/365+IF(F$47&gt;=2,($E$25*'Beneficios y costos'!$B$147+(1-$E$25)*'Beneficios y costos'!$B$148)*$E$24*$E$21*$E$10*IF(F$47=2,Quesería!$B$20,1),0))*F180/G180</f>
        <v>6.49010597714096</v>
      </c>
      <c r="H198" s="29" t="n">
        <f aca="false">(H197*(Quesería!$B$38+Quesería!$B$40*Quesería!$B$39)/365-H189*Quesería!$B$42/365+IF(H$47&gt;=2,($E$25*'Beneficios y costos'!$B$147+(1-$E$25)*'Beneficios y costos'!$B$148)*$E$24*$E$21*$E$10*IF(H$47=2,Quesería!$B$20,1),0))-(G197*(Quesería!$B$38+Quesería!$B$40*Quesería!$B$39)/365-G189*Quesería!$B$42/365+IF(G$47&gt;=2,($E$25*'Beneficios y costos'!$B$147+(1-$E$25)*'Beneficios y costos'!$B$148)*$E$24*$E$21*$E$10*IF(G$47=2,Quesería!$B$20,1),0))*G180/H180</f>
        <v>6.49010597714096</v>
      </c>
      <c r="I198" s="29" t="n">
        <f aca="false">(I197*(Quesería!$B$38+Quesería!$B$40*Quesería!$B$39)/365-I189*Quesería!$B$42/365+IF(I$47&gt;=2,($E$25*'Beneficios y costos'!$B$147+(1-$E$25)*'Beneficios y costos'!$B$148)*$E$24*$E$21*$E$10*IF(I$47=2,Quesería!$B$20,1),0))-(H197*(Quesería!$B$38+Quesería!$B$40*Quesería!$B$39)/365-H189*Quesería!$B$42/365+IF(H$47&gt;=2,($E$25*'Beneficios y costos'!$B$147+(1-$E$25)*'Beneficios y costos'!$B$148)*$E$24*$E$21*$E$10*IF(H$47=2,Quesería!$B$20,1),0))*H180/I180</f>
        <v>6.49010597714096</v>
      </c>
      <c r="J198" s="29" t="n">
        <f aca="false">(J197*(Quesería!$B$38+Quesería!$B$40*Quesería!$B$39)/365-J189*Quesería!$B$42/365+IF(J$47&gt;=2,($E$25*'Beneficios y costos'!$B$147+(1-$E$25)*'Beneficios y costos'!$B$148)*$E$24*$E$21*$E$10*IF(J$47=2,Quesería!$B$20,1),0))-(I197*(Quesería!$B$38+Quesería!$B$40*Quesería!$B$39)/365-I189*Quesería!$B$42/365+IF(I$47&gt;=2,($E$25*'Beneficios y costos'!$B$147+(1-$E$25)*'Beneficios y costos'!$B$148)*$E$24*$E$21*$E$10*IF(I$47=2,Quesería!$B$20,1),0))*I180/J180</f>
        <v>6.49010597714096</v>
      </c>
      <c r="K198" s="29" t="n">
        <f aca="false">(K197*(Quesería!$B$38+Quesería!$B$40*Quesería!$B$39)/365-K189*Quesería!$B$42/365+IF(K$47&gt;=2,($E$25*'Beneficios y costos'!$B$147+(1-$E$25)*'Beneficios y costos'!$B$148)*$E$24*$E$21*$E$10*IF(K$47=2,Quesería!$B$20,1),0))-(J197*(Quesería!$B$38+Quesería!$B$40*Quesería!$B$39)/365-J189*Quesería!$B$42/365+IF(J$47&gt;=2,($E$25*'Beneficios y costos'!$B$147+(1-$E$25)*'Beneficios y costos'!$B$148)*$E$24*$E$21*$E$10*IF(J$47=2,Quesería!$B$20,1),0))*J180/K180</f>
        <v>6.49010597714099</v>
      </c>
      <c r="L198" s="29" t="n">
        <f aca="false">-(K197*(Quesería!$B$38+Quesería!$B$40*Quesería!$B$39)/365-K189*Quesería!$B$42/365+IF(K$47&gt;=2,($E$25*'Beneficios y costos'!$B$147+(1-$E$25)*'Beneficios y costos'!$B$148)*$E$24*$E$21*$E$10*IF(K$47=2,Quesería!$B$20,1),0))*K180/L180</f>
        <v>-162.252649428524</v>
      </c>
    </row>
    <row r="199" customFormat="false" ht="15" hidden="true" customHeight="false" outlineLevel="1" collapsed="false">
      <c r="A199" s="6" t="s">
        <v>422</v>
      </c>
      <c r="B199" s="29" t="n">
        <v>0</v>
      </c>
      <c r="C199" s="29" t="n">
        <v>0</v>
      </c>
      <c r="D199" s="29" t="n">
        <v>0</v>
      </c>
      <c r="E199" s="29" t="n">
        <v>0</v>
      </c>
      <c r="F199" s="29" t="n">
        <v>0</v>
      </c>
      <c r="G199" s="29" t="n">
        <v>0</v>
      </c>
      <c r="H199" s="29" t="n">
        <v>0</v>
      </c>
      <c r="I199" s="29" t="n">
        <v>0</v>
      </c>
      <c r="J199" s="29" t="n">
        <v>0</v>
      </c>
      <c r="K199" s="29" t="n">
        <v>0</v>
      </c>
      <c r="L199" s="29" t="n">
        <f aca="false">$E$8*Quesería!$B$36*(Quesería!$F$94+(Quesería!$F$95-(-$E$26)*Quesería!$D$86)*$E$21)*$E$11*(1-$E$17)</f>
        <v>61.9237725584542</v>
      </c>
    </row>
    <row r="200" customFormat="false" ht="15" hidden="true" customHeight="false" outlineLevel="1" collapsed="false">
      <c r="A200" s="5" t="s">
        <v>147</v>
      </c>
      <c r="B200" s="59" t="n">
        <f aca="false">B188-B189-B190-B191-B196-B183-B184-B185-B198+B199</f>
        <v>-1032.38631309737</v>
      </c>
      <c r="C200" s="59" t="n">
        <f aca="false">C188-C189-C190-C191-C196-C183-C184-C185-C198+C199</f>
        <v>-407.272171790448</v>
      </c>
      <c r="D200" s="59" t="n">
        <f aca="false">D188-D189-D190-D191-D196-D183-D184-D185-D198+D199</f>
        <v>454.934380634354</v>
      </c>
      <c r="E200" s="59" t="n">
        <f aca="false">E188-E189-E190-E191-E196-E183-E184-E185-E198+E199</f>
        <v>323.789930953772</v>
      </c>
      <c r="F200" s="59" t="n">
        <f aca="false">F188-F189-F190-F191-F196-F183-F184-F185-F198+F199</f>
        <v>360.351212851391</v>
      </c>
      <c r="G200" s="59" t="n">
        <f aca="false">G188-G189-G190-G191-G196-G183-G184-G185-G198+G199</f>
        <v>325.997747758402</v>
      </c>
      <c r="H200" s="59" t="n">
        <f aca="false">H188-H189-H190-H191-H196-H183-H184-H185-H198+H199</f>
        <v>304.471968269307</v>
      </c>
      <c r="I200" s="59" t="n">
        <f aca="false">I188-I189-I190-I191-I196-I183-I184-I185-I198+I199</f>
        <v>365.104426856979</v>
      </c>
      <c r="J200" s="59" t="n">
        <f aca="false">J188-J189-J190-J191-J196-J183-J184-J185-J198+J199</f>
        <v>355.237096260542</v>
      </c>
      <c r="K200" s="59" t="n">
        <f aca="false">K188-K189-K190-K191-K196-K183-K184-K185-K198+K199</f>
        <v>353.907172214543</v>
      </c>
      <c r="L200" s="59" t="n">
        <f aca="false">L188-L189-L190-L191-L196-L183-L184-L185-L198+L199</f>
        <v>583.303882844304</v>
      </c>
    </row>
    <row r="201" customFormat="false" ht="15" hidden="true" customHeight="false" outlineLevel="1" collapsed="false">
      <c r="A201" s="9" t="s">
        <v>423</v>
      </c>
      <c r="B201" s="58" t="n">
        <f aca="false">B200*B180</f>
        <v>-1094.32949188321</v>
      </c>
      <c r="C201" s="58" t="n">
        <f aca="false">C200*C180</f>
        <v>-453.293927202768</v>
      </c>
      <c r="D201" s="58" t="n">
        <f aca="false">D200*D180</f>
        <v>529.127354100107</v>
      </c>
      <c r="E201" s="58" t="n">
        <f aca="false">E200*E180</f>
        <v>391.659020317102</v>
      </c>
      <c r="F201" s="58" t="n">
        <f aca="false">F200*F180</f>
        <v>453.319208175839</v>
      </c>
      <c r="G201" s="58" t="n">
        <f aca="false">G200*G180</f>
        <v>426.506910577728</v>
      </c>
      <c r="H201" s="58" t="n">
        <f aca="false">H200*H180</f>
        <v>414.278243989321</v>
      </c>
      <c r="I201" s="58" t="n">
        <f aca="false">I200*I180</f>
        <v>516.648591850469</v>
      </c>
      <c r="J201" s="58" t="n">
        <f aca="false">J200*J180</f>
        <v>522.793045873068</v>
      </c>
      <c r="K201" s="58" t="n">
        <f aca="false">K200*K180</f>
        <v>541.669265075775</v>
      </c>
      <c r="L201" s="58" t="n">
        <f aca="false">L200*L180</f>
        <v>928.481033321263</v>
      </c>
    </row>
    <row r="202" customFormat="false" ht="15" hidden="true" customHeight="false" outlineLevel="1" collapsed="false">
      <c r="A202" s="6" t="s">
        <v>424</v>
      </c>
      <c r="B202" s="29" t="n">
        <f aca="false">B200</f>
        <v>-1032.38631309737</v>
      </c>
      <c r="C202" s="29" t="n">
        <f aca="false">B202+C200</f>
        <v>-1439.65848488782</v>
      </c>
      <c r="D202" s="29" t="n">
        <f aca="false">C202+D200</f>
        <v>-984.724104253462</v>
      </c>
      <c r="E202" s="29" t="n">
        <f aca="false">D202+E200</f>
        <v>-660.93417329969</v>
      </c>
      <c r="F202" s="29" t="n">
        <f aca="false">E202+F200</f>
        <v>-300.582960448299</v>
      </c>
      <c r="G202" s="29" t="n">
        <f aca="false">F202+G200</f>
        <v>25.4147873101028</v>
      </c>
      <c r="H202" s="29" t="n">
        <f aca="false">G202+H200</f>
        <v>329.88675557941</v>
      </c>
      <c r="I202" s="29" t="n">
        <f aca="false">H202+I200</f>
        <v>694.991182436389</v>
      </c>
      <c r="J202" s="29" t="n">
        <f aca="false">I202+J200</f>
        <v>1050.22827869693</v>
      </c>
      <c r="K202" s="29" t="n">
        <f aca="false">J202+K200</f>
        <v>1404.13545091147</v>
      </c>
      <c r="L202" s="29" t="n">
        <f aca="false">K202+L200</f>
        <v>1987.43933375578</v>
      </c>
    </row>
    <row r="203" customFormat="false" ht="15" hidden="true" customHeight="false" outlineLevel="1" collapsed="false">
      <c r="A203" s="9" t="s">
        <v>425</v>
      </c>
      <c r="B203" s="60" t="n">
        <v>0</v>
      </c>
      <c r="C203" s="60" t="n">
        <f aca="false">IF(AND(B202&lt;0,C202&gt;=0),B$47+(-B202)/C200,0)</f>
        <v>0</v>
      </c>
      <c r="D203" s="60" t="n">
        <f aca="false">IF(AND(C202&lt;0,D202&gt;=0),C$47+(-C202)/D200,0)</f>
        <v>0</v>
      </c>
      <c r="E203" s="60" t="n">
        <f aca="false">IF(AND(D202&lt;0,E202&gt;=0),D$47+(-D202)/E200,0)</f>
        <v>0</v>
      </c>
      <c r="F203" s="60" t="n">
        <f aca="false">IF(AND(E202&lt;0,F202&gt;=0),E$47+(-E202)/F200,0)</f>
        <v>0</v>
      </c>
      <c r="G203" s="60" t="n">
        <f aca="false">IF(AND(F202&lt;0,G202&gt;=0),F$47+(-F202)/G200,0)</f>
        <v>4.92203999112001</v>
      </c>
      <c r="H203" s="60" t="n">
        <f aca="false">IF(AND(G202&lt;0,H202&gt;=0),G$47+(-G202)/H200,0)</f>
        <v>0</v>
      </c>
      <c r="I203" s="60" t="n">
        <f aca="false">IF(AND(H202&lt;0,I202&gt;=0),H$47+(-H202)/I200,0)</f>
        <v>0</v>
      </c>
      <c r="J203" s="60" t="n">
        <f aca="false">IF(AND(I202&lt;0,J202&gt;=0),I$47+(-I202)/J200,0)</f>
        <v>0</v>
      </c>
      <c r="K203" s="60" t="n">
        <f aca="false">IF(AND(J202&lt;0,K202&gt;=0),J$47+(-J202)/K200,0)</f>
        <v>0</v>
      </c>
      <c r="L203" s="60" t="n">
        <f aca="false">IF(AND(K202&lt;0,L202&gt;=0),K$47+(-K202)/L200,0)</f>
        <v>0</v>
      </c>
    </row>
    <row r="204" customFormat="false" ht="15" hidden="true" customHeight="false" outlineLevel="1" collapsed="false">
      <c r="A204" s="9" t="s">
        <v>426</v>
      </c>
      <c r="B204" s="57" t="n">
        <f aca="false">(B180/$B$180)/(1+$E$29)^B$47</f>
        <v>1</v>
      </c>
      <c r="C204" s="57" t="n">
        <f aca="false">(C180/$B$180)/(1+$E$29)^C$47</f>
        <v>0.915373701313561</v>
      </c>
      <c r="D204" s="57" t="n">
        <f aca="false">(D180/$B$180)/(1+$E$29)^D$47</f>
        <v>0.833918970137172</v>
      </c>
      <c r="E204" s="57" t="n">
        <f aca="false">(E180/$B$180)/(1+$E$29)^E$47</f>
        <v>0.756077518153961</v>
      </c>
      <c r="F204" s="57" t="n">
        <f aca="false">(F180/$B$180)/(1+$E$29)^F$47</f>
        <v>0.685502109831871</v>
      </c>
      <c r="G204" s="57" t="n">
        <f aca="false">(G180/$B$180)/(1+$E$29)^G$47</f>
        <v>0.621514502549008</v>
      </c>
      <c r="H204" s="57" t="n">
        <f aca="false">(H180/$B$180)/(1+$E$29)^H$47</f>
        <v>0.563499763660072</v>
      </c>
      <c r="I204" s="57" t="n">
        <f aca="false">(I180/$B$180)/(1+$E$29)^I$47</f>
        <v>0.510900360880829</v>
      </c>
      <c r="J204" s="57" t="n">
        <f aca="false">(J180/$B$180)/(1+$E$29)^J$47</f>
        <v>0.463210804300567</v>
      </c>
      <c r="K204" s="57" t="n">
        <f aca="false">(K180/$B$180)/(1+$E$29)^K$47</f>
        <v>0.419972788531318</v>
      </c>
      <c r="L204" s="57" t="n">
        <f aca="false">(L180/$B$180)/(1+$E$29)^L$47</f>
        <v>0.380770788308996</v>
      </c>
    </row>
    <row r="205" customFormat="false" ht="15" hidden="true" customHeight="false" outlineLevel="1" collapsed="false">
      <c r="A205" s="9" t="s">
        <v>427</v>
      </c>
      <c r="B205" s="58" t="n">
        <f aca="false">B200*B204</f>
        <v>-1032.38631309737</v>
      </c>
      <c r="C205" s="58" t="n">
        <f aca="false">C200*C204</f>
        <v>-372.806235333835</v>
      </c>
      <c r="D205" s="58" t="n">
        <f aca="false">D200*D204</f>
        <v>379.378410178592</v>
      </c>
      <c r="E205" s="58" t="n">
        <f aca="false">E200*E204</f>
        <v>244.81028739877</v>
      </c>
      <c r="F205" s="58" t="n">
        <f aca="false">F200*F204</f>
        <v>247.021516690102</v>
      </c>
      <c r="G205" s="58" t="n">
        <f aca="false">G200*G204</f>
        <v>202.61232803016</v>
      </c>
      <c r="H205" s="58" t="n">
        <f aca="false">H200*H204</f>
        <v>171.569882160872</v>
      </c>
      <c r="I205" s="58" t="n">
        <f aca="false">I200*I204</f>
        <v>186.531983440419</v>
      </c>
      <c r="J205" s="58" t="n">
        <f aca="false">J200*J204</f>
        <v>164.549661076244</v>
      </c>
      <c r="K205" s="58" t="n">
        <f aca="false">K200*K204</f>
        <v>148.631381996175</v>
      </c>
      <c r="L205" s="58" t="n">
        <f aca="false">L200*L204</f>
        <v>222.105079294324</v>
      </c>
    </row>
    <row r="206" customFormat="false" ht="15" hidden="true" customHeight="false" outlineLevel="1" collapsed="false">
      <c r="A206" s="9" t="s">
        <v>428</v>
      </c>
      <c r="B206" s="58" t="n">
        <f aca="false">B205</f>
        <v>-1032.38631309737</v>
      </c>
      <c r="C206" s="58" t="n">
        <f aca="false">B206+C205</f>
        <v>-1405.1925484312</v>
      </c>
      <c r="D206" s="58" t="n">
        <f aca="false">C206+D205</f>
        <v>-1025.81413825261</v>
      </c>
      <c r="E206" s="58" t="n">
        <f aca="false">D206+E205</f>
        <v>-781.00385085384</v>
      </c>
      <c r="F206" s="58" t="n">
        <f aca="false">E206+F205</f>
        <v>-533.982334163738</v>
      </c>
      <c r="G206" s="58" t="n">
        <f aca="false">F206+G205</f>
        <v>-331.370006133577</v>
      </c>
      <c r="H206" s="58" t="n">
        <f aca="false">G206+H205</f>
        <v>-159.800123972706</v>
      </c>
      <c r="I206" s="58" t="n">
        <f aca="false">H206+I205</f>
        <v>26.7318594677131</v>
      </c>
      <c r="J206" s="58" t="n">
        <f aca="false">I206+J205</f>
        <v>191.281520543957</v>
      </c>
      <c r="K206" s="58" t="n">
        <f aca="false">J206+K205</f>
        <v>339.912902540132</v>
      </c>
      <c r="L206" s="58" t="n">
        <f aca="false">K206+L205</f>
        <v>562.017981834455</v>
      </c>
    </row>
    <row r="207" customFormat="false" ht="15" hidden="true" customHeight="false" outlineLevel="1" collapsed="false">
      <c r="A207" s="9" t="s">
        <v>429</v>
      </c>
      <c r="B207" s="60" t="n">
        <v>0</v>
      </c>
      <c r="C207" s="60" t="n">
        <f aca="false">IF(AND(B206&lt;0,C206&gt;=0),B$47+(-B206)/C205,0)</f>
        <v>0</v>
      </c>
      <c r="D207" s="60" t="n">
        <f aca="false">IF(AND(C206&lt;0,D206&gt;=0),C$47+(-C206)/D205,0)</f>
        <v>0</v>
      </c>
      <c r="E207" s="60" t="n">
        <f aca="false">IF(AND(D206&lt;0,E206&gt;=0),D$47+(-D206)/E205,0)</f>
        <v>0</v>
      </c>
      <c r="F207" s="60" t="n">
        <f aca="false">IF(AND(E206&lt;0,F206&gt;=0),E$47+(-E206)/F205,0)</f>
        <v>0</v>
      </c>
      <c r="G207" s="60" t="n">
        <f aca="false">IF(AND(F206&lt;0,G206&gt;=0),F$47+(-F206)/G205,0)</f>
        <v>0</v>
      </c>
      <c r="H207" s="60" t="n">
        <f aca="false">IF(AND(G206&lt;0,H206&gt;=0),G$47+(-G206)/H205,0)</f>
        <v>0</v>
      </c>
      <c r="I207" s="60" t="n">
        <f aca="false">IF(AND(H206&lt;0,I206&gt;=0),H$47+(-H206)/I205,0)</f>
        <v>6.85669020950366</v>
      </c>
      <c r="J207" s="60" t="n">
        <f aca="false">IF(AND(I206&lt;0,J206&gt;=0),I$47+(-I206)/J205,0)</f>
        <v>0</v>
      </c>
      <c r="K207" s="60" t="n">
        <f aca="false">IF(AND(J206&lt;0,K206&gt;=0),J$47+(-J206)/K205,0)</f>
        <v>0</v>
      </c>
      <c r="L207" s="60" t="n">
        <f aca="false">IF(AND(K206&lt;0,L206&gt;=0),K$47+(-K206)/L205,0)</f>
        <v>0</v>
      </c>
    </row>
    <row r="208" customFormat="false" ht="15" hidden="true" customHeight="false" outlineLevel="1" collapsed="false">
      <c r="A208" s="9" t="s">
        <v>430</v>
      </c>
      <c r="B208" s="58" t="n">
        <f aca="false">IF(B$47&lt;0,0,(Quesería!$B$44*$B$183*$B$180)*(1-MAX(0,MIN(B$47-0-Quesería!$B$47,(Quesería!$B$46-Quesería!$B$47)))/(Quesería!$B$46-Quesería!$B$47))*IF(B$47&gt;=2,1-Quesería!$B$48,1))+IF(B$47&lt;1,0,(Quesería!$B$44*$C$183*$C$180)*(1-MAX(0,MIN(B$47-1-Quesería!$B$47,(Quesería!$B$46-Quesería!$B$47)))/(Quesería!$B$46-Quesería!$B$47))*IF(B$47&gt;=2,1-Quesería!$B$48,1))</f>
        <v>641.321364968425</v>
      </c>
      <c r="C208" s="58" t="n">
        <f aca="false">IF(C$47&lt;0,0,(Quesería!$B$44*$B$183*$B$180)*(1-MAX(0,MIN(C$47-0-Quesería!$B$47,(Quesería!$B$46-Quesería!$B$47)))/(Quesería!$B$46-Quesería!$B$47))*IF(C$47&gt;=2,1-Quesería!$B$48,1))+IF(C$47&lt;1,0,(Quesería!$B$44*$C$183*$C$180)*(1-MAX(0,MIN(C$47-1-Quesería!$B$47,(Quesería!$B$46-Quesería!$B$47)))/(Quesería!$B$46-Quesería!$B$47))*IF(C$47&gt;=2,1-Quesería!$B$48,1))</f>
        <v>1117.69081125409</v>
      </c>
      <c r="D208" s="58" t="n">
        <f aca="false">IF(D$47&lt;0,0,(Quesería!$B$44*$B$183*$B$180)*(1-MAX(0,MIN(D$47-0-Quesería!$B$47,(Quesería!$B$46-Quesería!$B$47)))/(Quesería!$B$46-Quesería!$B$47))*IF(D$47&gt;=2,1-Quesería!$B$48,1))+IF(D$47&lt;1,0,(Quesería!$B$44*$C$183*$C$180)*(1-MAX(0,MIN(D$47-1-Quesería!$B$47,(Quesería!$B$46-Quesería!$B$47)))/(Quesería!$B$46-Quesería!$B$47))*IF(D$47&gt;=2,1-Quesería!$B$48,1))</f>
        <v>1010.80391709269</v>
      </c>
      <c r="E208" s="58" t="n">
        <f aca="false">IF(E$47&lt;0,0,(Quesería!$B$44*$B$183*$B$180)*(1-MAX(0,MIN(E$47-0-Quesería!$B$47,(Quesería!$B$46-Quesería!$B$47)))/(Quesería!$B$46-Quesería!$B$47))*IF(E$47&gt;=2,1-Quesería!$B$48,1))+IF(E$47&lt;1,0,(Quesería!$B$44*$C$183*$C$180)*(1-MAX(0,MIN(E$47-1-Quesería!$B$47,(Quesería!$B$46-Quesería!$B$47)))/(Quesería!$B$46-Quesería!$B$47))*IF(E$47&gt;=2,1-Quesería!$B$48,1))</f>
        <v>824.522115217005</v>
      </c>
      <c r="F208" s="58" t="n">
        <f aca="false">IF(F$47&lt;0,0,(Quesería!$B$44*$B$183*$B$180)*(1-MAX(0,MIN(F$47-0-Quesería!$B$47,(Quesería!$B$46-Quesería!$B$47)))/(Quesería!$B$46-Quesería!$B$47))*IF(F$47&gt;=2,1-Quesería!$B$48,1))+IF(F$47&lt;1,0,(Quesería!$B$44*$C$183*$C$180)*(1-MAX(0,MIN(F$47-1-Quesería!$B$47,(Quesería!$B$46-Quesería!$B$47)))/(Quesería!$B$46-Quesería!$B$47))*IF(F$47&gt;=2,1-Quesería!$B$48,1))</f>
        <v>638.240313341323</v>
      </c>
      <c r="G208" s="58" t="n">
        <f aca="false">IF(G$47&lt;0,0,(Quesería!$B$44*$B$183*$B$180)*(1-MAX(0,MIN(G$47-0-Quesería!$B$47,(Quesería!$B$46-Quesería!$B$47)))/(Quesería!$B$46-Quesería!$B$47))*IF(G$47&gt;=2,1-Quesería!$B$48,1))+IF(G$47&lt;1,0,(Quesería!$B$44*$C$183*$C$180)*(1-MAX(0,MIN(G$47-1-Quesería!$B$47,(Quesería!$B$46-Quesería!$B$47)))/(Quesería!$B$46-Quesería!$B$47))*IF(G$47&gt;=2,1-Quesería!$B$48,1))</f>
        <v>451.958511465641</v>
      </c>
      <c r="H208" s="58" t="n">
        <f aca="false">IF(H$47&lt;0,0,(Quesería!$B$44*$B$183*$B$180)*(1-MAX(0,MIN(H$47-0-Quesería!$B$47,(Quesería!$B$46-Quesería!$B$47)))/(Quesería!$B$46-Quesería!$B$47))*IF(H$47&gt;=2,1-Quesería!$B$48,1))+IF(H$47&lt;1,0,(Quesería!$B$44*$C$183*$C$180)*(1-MAX(0,MIN(H$47-1-Quesería!$B$47,(Quesería!$B$46-Quesería!$B$47)))/(Quesería!$B$46-Quesería!$B$47))*IF(H$47&gt;=2,1-Quesería!$B$48,1))</f>
        <v>265.67670958996</v>
      </c>
      <c r="I208" s="58" t="n">
        <f aca="false">IF(I$47&lt;0,0,(Quesería!$B$44*$B$183*$B$180)*(1-MAX(0,MIN(I$47-0-Quesería!$B$47,(Quesería!$B$46-Quesería!$B$47)))/(Quesería!$B$46-Quesería!$B$47))*IF(I$47&gt;=2,1-Quesería!$B$48,1))+IF(I$47&lt;1,0,(Quesería!$B$44*$C$183*$C$180)*(1-MAX(0,MIN(I$47-1-Quesería!$B$47,(Quesería!$B$46-Quesería!$B$47)))/(Quesería!$B$46-Quesería!$B$47))*IF(I$47&gt;=2,1-Quesería!$B$48,1))</f>
        <v>79.3949077142776</v>
      </c>
      <c r="J208" s="58" t="n">
        <f aca="false">IF(J$47&lt;0,0,(Quesería!$B$44*$B$183*$B$180)*(1-MAX(0,MIN(J$47-0-Quesería!$B$47,(Quesería!$B$46-Quesería!$B$47)))/(Quesería!$B$46-Quesería!$B$47))*IF(J$47&gt;=2,1-Quesería!$B$48,1))+IF(J$47&lt;1,0,(Quesería!$B$44*$C$183*$C$180)*(1-MAX(0,MIN(J$47-1-Quesería!$B$47,(Quesería!$B$46-Quesería!$B$47)))/(Quesería!$B$46-Quesería!$B$47))*IF(J$47&gt;=2,1-Quesería!$B$48,1))</f>
        <v>0</v>
      </c>
      <c r="K208" s="58" t="n">
        <f aca="false">IF(K$47&lt;0,0,(Quesería!$B$44*$B$183*$B$180)*(1-MAX(0,MIN(K$47-0-Quesería!$B$47,(Quesería!$B$46-Quesería!$B$47)))/(Quesería!$B$46-Quesería!$B$47))*IF(K$47&gt;=2,1-Quesería!$B$48,1))+IF(K$47&lt;1,0,(Quesería!$B$44*$C$183*$C$180)*(1-MAX(0,MIN(K$47-1-Quesería!$B$47,(Quesería!$B$46-Quesería!$B$47)))/(Quesería!$B$46-Quesería!$B$47))*IF(K$47&gt;=2,1-Quesería!$B$48,1))</f>
        <v>0</v>
      </c>
      <c r="L208" s="58" t="n">
        <f aca="false">IF(L$47&lt;0,0,(Quesería!$B$44*$B$183*$B$180)*(1-MAX(0,MIN(L$47-0-Quesería!$B$47,(Quesería!$B$46-Quesería!$B$47)))/(Quesería!$B$46-Quesería!$B$47))*IF(L$47&gt;=2,1-Quesería!$B$48,1))+IF(L$47&lt;1,0,(Quesería!$B$44*$C$183*$C$180)*(1-MAX(0,MIN(L$47-1-Quesería!$B$47,(Quesería!$B$46-Quesería!$B$47)))/(Quesería!$B$46-Quesería!$B$47))*IF(L$47&gt;=2,1-Quesería!$B$48,1))</f>
        <v>0</v>
      </c>
    </row>
    <row r="209" customFormat="false" ht="15" hidden="true" customHeight="false" outlineLevel="1" collapsed="false">
      <c r="A209" s="6" t="s">
        <v>431</v>
      </c>
      <c r="B209" s="29" t="n">
        <f aca="false">Quesería!$B$44*B183</f>
        <v>605.02015563059</v>
      </c>
      <c r="C209" s="29" t="n">
        <f aca="false">Quesería!$B$44*C183</f>
        <v>428.004893338424</v>
      </c>
      <c r="D209" s="29" t="n">
        <f aca="false">Quesería!$B$44*D183</f>
        <v>0</v>
      </c>
      <c r="E209" s="29" t="n">
        <f aca="false">Quesería!$B$44*E183</f>
        <v>0</v>
      </c>
      <c r="F209" s="29" t="n">
        <f aca="false">Quesería!$B$44*F183</f>
        <v>0</v>
      </c>
      <c r="G209" s="29" t="n">
        <f aca="false">Quesería!$B$44*G183</f>
        <v>0</v>
      </c>
      <c r="H209" s="29" t="n">
        <f aca="false">Quesería!$B$44*H183</f>
        <v>0</v>
      </c>
      <c r="I209" s="29" t="n">
        <f aca="false">Quesería!$B$44*I183</f>
        <v>0</v>
      </c>
      <c r="J209" s="29" t="n">
        <f aca="false">Quesería!$B$44*J183</f>
        <v>0</v>
      </c>
      <c r="K209" s="29" t="n">
        <f aca="false">Quesería!$B$44*K183</f>
        <v>0</v>
      </c>
      <c r="L209" s="29" t="n">
        <f aca="false">Quesería!$B$44*L183</f>
        <v>0</v>
      </c>
    </row>
    <row r="210" customFormat="false" ht="15" hidden="true" customHeight="false" outlineLevel="1" collapsed="false">
      <c r="A210" s="6" t="s">
        <v>432</v>
      </c>
      <c r="B210" s="29" t="n">
        <f aca="false">(IF(AND(B$47&gt;0,B$47&lt;=0+Quesería!$B$46),($E$14+$E$28)*(Quesería!$B$44*$B$183*$B$180)*(1-MAX(0,MIN((B$47-1)-0-Quesería!$B$47,(Quesería!$B$46-Quesería!$B$47)))/(Quesería!$B$46-Quesería!$B$47))*IF(B$47&gt;2,1-Quesería!$B$48,1),0)+IF(AND(B$47&gt;1,B$47&lt;=1+Quesería!$B$46),($E$14+$E$28)*(Quesería!$B$44*$C$183*$C$180)*(1-MAX(0,MIN((B$47-1)-1-Quesería!$B$47,(Quesería!$B$46-Quesería!$B$47)))/(Quesería!$B$46-Quesería!$B$47))*IF(B$47&gt;2,1-Quesería!$B$48,1),0))*B182</f>
        <v>0</v>
      </c>
      <c r="C210" s="29" t="n">
        <f aca="false">(IF(AND(C$47&gt;0,C$47&lt;=0+Quesería!$B$46),($E$14+$E$28)*(Quesería!$B$44*$B$183*$B$180)*(1-MAX(0,MIN((C$47-1)-0-Quesería!$B$47,(Quesería!$B$46-Quesería!$B$47)))/(Quesería!$B$46-Quesería!$B$47))*IF(C$47&gt;2,1-Quesería!$B$48,1),0)+IF(AND(C$47&gt;1,C$47&lt;=1+Quesería!$B$46),($E$14+$E$28)*(Quesería!$B$44*$C$183*$C$180)*(1-MAX(0,MIN((C$47-1)-1-Quesería!$B$47,(Quesería!$B$46-Quesería!$B$47)))/(Quesería!$B$46-Quesería!$B$47))*IF(C$47&gt;2,1-Quesería!$B$48,1),0))*C182</f>
        <v>81.2455637561078</v>
      </c>
      <c r="D210" s="29" t="n">
        <f aca="false">(IF(AND(D$47&gt;0,D$47&lt;=0+Quesería!$B$46),($E$14+$E$28)*(Quesería!$B$44*$B$183*$B$180)*(1-MAX(0,MIN((D$47-1)-0-Quesería!$B$47,(Quesería!$B$46-Quesería!$B$47)))/(Quesería!$B$46-Quesería!$B$47))*IF(D$47&gt;2,1-Quesería!$B$48,1),0)+IF(AND(D$47&gt;1,D$47&lt;=1+Quesería!$B$46),($E$14+$E$28)*(Quesería!$B$44*$C$183*$C$180)*(1-MAX(0,MIN((D$47-1)-1-Quesería!$B$47,(Quesería!$B$46-Quesería!$B$47)))/(Quesería!$B$46-Quesería!$B$47))*IF(D$47&gt;2,1-Quesería!$B$48,1),0))*D182</f>
        <v>135.496893508924</v>
      </c>
      <c r="E210" s="29" t="n">
        <f aca="false">(IF(AND(E$47&gt;0,E$47&lt;=0+Quesería!$B$46),($E$14+$E$28)*(Quesería!$B$44*$B$183*$B$180)*(1-MAX(0,MIN((E$47-1)-0-Quesería!$B$47,(Quesería!$B$46-Quesería!$B$47)))/(Quesería!$B$46-Quesería!$B$47))*IF(E$47&gt;2,1-Quesería!$B$48,1),0)+IF(AND(E$47&gt;1,E$47&lt;=1+Quesería!$B$46),($E$14+$E$28)*(Quesería!$B$44*$C$183*$C$180)*(1-MAX(0,MIN((E$47-1)-1-Quesería!$B$47,(Quesería!$B$46-Quesería!$B$47)))/(Quesería!$B$46-Quesería!$B$47))*IF(E$47&gt;2,1-Quesería!$B$48,1),0))*E182</f>
        <v>117.826027258135</v>
      </c>
      <c r="F210" s="29" t="n">
        <f aca="false">(IF(AND(F$47&gt;0,F$47&lt;=0+Quesería!$B$46),($E$14+$E$28)*(Quesería!$B$44*$B$183*$B$180)*(1-MAX(0,MIN((F$47-1)-0-Quesería!$B$47,(Quesería!$B$46-Quesería!$B$47)))/(Quesería!$B$46-Quesería!$B$47))*IF(F$47&gt;2,1-Quesería!$B$48,1),0)+IF(AND(F$47&gt;1,F$47&lt;=1+Quesería!$B$46),($E$14+$E$28)*(Quesería!$B$44*$C$183*$C$180)*(1-MAX(0,MIN((F$47-1)-1-Quesería!$B$47,(Quesería!$B$46-Quesería!$B$47)))/(Quesería!$B$46-Quesería!$B$47))*IF(F$47&gt;2,1-Quesería!$B$48,1),0))*F182</f>
        <v>92.4151745225957</v>
      </c>
      <c r="G210" s="29" t="n">
        <f aca="false">(IF(AND(G$47&gt;0,G$47&lt;=0+Quesería!$B$46),($E$14+$E$28)*(Quesería!$B$44*$B$183*$B$180)*(1-MAX(0,MIN((G$47-1)-0-Quesería!$B$47,(Quesería!$B$46-Quesería!$B$47)))/(Quesería!$B$46-Quesería!$B$47))*IF(G$47&gt;2,1-Quesería!$B$48,1),0)+IF(AND(G$47&gt;1,G$47&lt;=1+Quesería!$B$46),($E$14+$E$28)*(Quesería!$B$44*$C$183*$C$180)*(1-MAX(0,MIN((G$47-1)-1-Quesería!$B$47,(Quesería!$B$46-Quesería!$B$47)))/(Quesería!$B$46-Quesería!$B$47))*IF(G$47&gt;2,1-Quesería!$B$48,1),0))*G182</f>
        <v>68.7847039098228</v>
      </c>
      <c r="H210" s="29" t="n">
        <f aca="false">(IF(AND(H$47&gt;0,H$47&lt;=0+Quesería!$B$46),($E$14+$E$28)*(Quesería!$B$44*$B$183*$B$180)*(1-MAX(0,MIN((H$47-1)-0-Quesería!$B$47,(Quesería!$B$46-Quesería!$B$47)))/(Quesería!$B$46-Quesería!$B$47))*IF(H$47&gt;2,1-Quesería!$B$48,1),0)+IF(AND(H$47&gt;1,H$47&lt;=1+Quesería!$B$46),($E$14+$E$28)*(Quesería!$B$44*$C$183*$C$180)*(1-MAX(0,MIN((H$47-1)-1-Quesería!$B$47,(Quesería!$B$46-Quesería!$B$47)))/(Quesería!$B$46-Quesería!$B$47))*IF(H$47&gt;2,1-Quesería!$B$48,1),0))*H182</f>
        <v>46.8352529676735</v>
      </c>
      <c r="I210" s="29" t="n">
        <f aca="false">(IF(AND(I$47&gt;0,I$47&lt;=0+Quesería!$B$46),($E$14+$E$28)*(Quesería!$B$44*$B$183*$B$180)*(1-MAX(0,MIN((I$47-1)-0-Quesería!$B$47,(Quesería!$B$46-Quesería!$B$47)))/(Quesería!$B$46-Quesería!$B$47))*IF(I$47&gt;2,1-Quesería!$B$48,1),0)+IF(AND(I$47&gt;1,I$47&lt;=1+Quesería!$B$46),($E$14+$E$28)*(Quesería!$B$44*$C$183*$C$180)*(1-MAX(0,MIN((I$47-1)-1-Quesería!$B$47,(Quesería!$B$46-Quesería!$B$47)))/(Quesería!$B$46-Quesería!$B$47))*IF(I$47&gt;2,1-Quesería!$B$48,1),0))*I182</f>
        <v>26.4724688081898</v>
      </c>
      <c r="J210" s="29" t="n">
        <f aca="false">(IF(AND(J$47&gt;0,J$47&lt;=0+Quesería!$B$46),($E$14+$E$28)*(Quesería!$B$44*$B$183*$B$180)*(1-MAX(0,MIN((J$47-1)-0-Quesería!$B$47,(Quesería!$B$46-Quesería!$B$47)))/(Quesería!$B$46-Quesería!$B$47))*IF(J$47&gt;2,1-Quesería!$B$48,1),0)+IF(AND(J$47&gt;1,J$47&lt;=1+Quesería!$B$46),($E$14+$E$28)*(Quesería!$B$44*$C$183*$C$180)*(1-MAX(0,MIN((J$47-1)-1-Quesería!$B$47,(Quesería!$B$46-Quesería!$B$47)))/(Quesería!$B$46-Quesería!$B$47))*IF(J$47&gt;2,1-Quesería!$B$48,1),0))*J182</f>
        <v>7.60676974238282</v>
      </c>
      <c r="K210" s="29" t="n">
        <f aca="false">(IF(AND(K$47&gt;0,K$47&lt;=0+Quesería!$B$46),($E$14+$E$28)*(Quesería!$B$44*$B$183*$B$180)*(1-MAX(0,MIN((K$47-1)-0-Quesería!$B$47,(Quesería!$B$46-Quesería!$B$47)))/(Quesería!$B$46-Quesería!$B$47))*IF(K$47&gt;2,1-Quesería!$B$48,1),0)+IF(AND(K$47&gt;1,K$47&lt;=1+Quesería!$B$46),($E$14+$E$28)*(Quesería!$B$44*$C$183*$C$180)*(1-MAX(0,MIN((K$47-1)-1-Quesería!$B$47,(Quesería!$B$46-Quesería!$B$47)))/(Quesería!$B$46-Quesería!$B$47))*IF(K$47&gt;2,1-Quesería!$B$48,1),0))*K182</f>
        <v>0</v>
      </c>
      <c r="L210" s="29" t="n">
        <f aca="false">(IF(AND(L$47&gt;0,L$47&lt;=0+Quesería!$B$46),($E$14+$E$28)*(Quesería!$B$44*$B$183*$B$180)*(1-MAX(0,MIN((L$47-1)-0-Quesería!$B$47,(Quesería!$B$46-Quesería!$B$47)))/(Quesería!$B$46-Quesería!$B$47))*IF(L$47&gt;2,1-Quesería!$B$48,1),0)+IF(AND(L$47&gt;1,L$47&lt;=1+Quesería!$B$46),($E$14+$E$28)*(Quesería!$B$44*$C$183*$C$180)*(1-MAX(0,MIN((L$47-1)-1-Quesería!$B$47,(Quesería!$B$46-Quesería!$B$47)))/(Quesería!$B$46-Quesería!$B$47))*IF(L$47&gt;2,1-Quesería!$B$48,1),0))*L182</f>
        <v>0</v>
      </c>
    </row>
    <row r="211" customFormat="false" ht="15" hidden="true" customHeight="false" outlineLevel="1" collapsed="false">
      <c r="A211" s="6" t="s">
        <v>433</v>
      </c>
      <c r="B211" s="29" t="n">
        <f aca="false">((IF(AND(B$47&gt;0+Quesería!$B$47,B$47&lt;=0+Quesería!$B$46),(Quesería!$B$44*$B$183*$B$180)/(Quesería!$B$46-Quesería!$B$47),0)*IF(B$47&gt;2,1-Quesería!$B$48,1)+IF(B$47=2,Quesería!$B$48*(Quesería!$B$44*$B$183*$B$180)*(1-MAX(0,MIN(2-0-Quesería!$B$47,(Quesería!$B$46-Quesería!$B$47)))/(Quesería!$B$46-Quesería!$B$47)),0))+(IF(AND(B$47&gt;1+Quesería!$B$47,B$47&lt;=1+Quesería!$B$46),(Quesería!$B$44*$C$183*$C$180)/(Quesería!$B$46-Quesería!$B$47),0)*IF(B$47&gt;2,1-Quesería!$B$48,1)+IF(B$47=2,Quesería!$B$48*(Quesería!$B$44*$C$183*$C$180)*(1-MAX(0,MIN(2-1-Quesería!$B$47,(Quesería!$B$46-Quesería!$B$47)))/(Quesería!$B$46-Quesería!$B$47)),0)))*B182</f>
        <v>0</v>
      </c>
      <c r="C211" s="29" t="n">
        <f aca="false">((IF(AND(C$47&gt;0+Quesería!$B$47,C$47&lt;=0+Quesería!$B$46),(Quesería!$B$44*$B$183*$B$180)/(Quesería!$B$46-Quesería!$B$47),0)*IF(C$47&gt;2,1-Quesería!$B$48,1)+IF(C$47=2,Quesería!$B$48*(Quesería!$B$44*$B$183*$B$180)*(1-MAX(0,MIN(2-0-Quesería!$B$47,(Quesería!$B$46-Quesería!$B$47)))/(Quesería!$B$46-Quesería!$B$47)),0))+(IF(AND(C$47&gt;1+Quesería!$B$47,C$47&lt;=1+Quesería!$B$46),(Quesería!$B$44*$C$183*$C$180)/(Quesería!$B$46-Quesería!$B$47),0)*IF(C$47&gt;2,1-Quesería!$B$48,1)+IF(C$47=2,Quesería!$B$48*(Quesería!$B$44*$C$183*$C$180)*(1-MAX(0,MIN(2-1-Quesería!$B$47,(Quesería!$B$46-Quesería!$B$47)))/(Quesería!$B$46-Quesería!$B$47)),0)))*C182</f>
        <v>0</v>
      </c>
      <c r="D211" s="29" t="n">
        <f aca="false">((IF(AND(D$47&gt;0+Quesería!$B$47,D$47&lt;=0+Quesería!$B$46),(Quesería!$B$44*$B$183*$B$180)/(Quesería!$B$46-Quesería!$B$47),0)*IF(D$47&gt;2,1-Quesería!$B$48,1)+IF(D$47=2,Quesería!$B$48*(Quesería!$B$44*$B$183*$B$180)*(1-MAX(0,MIN(2-0-Quesería!$B$47,(Quesería!$B$46-Quesería!$B$47)))/(Quesería!$B$46-Quesería!$B$47)),0))+(IF(AND(D$47&gt;1+Quesería!$B$47,D$47&lt;=1+Quesería!$B$46),(Quesería!$B$44*$C$183*$C$180)/(Quesería!$B$46-Quesería!$B$47),0)*IF(D$47&gt;2,1-Quesería!$B$48,1)+IF(D$47=2,Quesería!$B$48*(Quesería!$B$44*$C$183*$C$180)*(1-MAX(0,MIN(2-1-Quesería!$B$47,(Quesería!$B$46-Quesería!$B$47)))/(Quesería!$B$46-Quesería!$B$47)),0)))*D182</f>
        <v>91.8994692231472</v>
      </c>
      <c r="E211" s="29" t="n">
        <f aca="false">((IF(AND(E$47&gt;0+Quesería!$B$47,E$47&lt;=0+Quesería!$B$46),(Quesería!$B$44*$B$183*$B$180)/(Quesería!$B$46-Quesería!$B$47),0)*IF(E$47&gt;2,1-Quesería!$B$48,1)+IF(E$47=2,Quesería!$B$48*(Quesería!$B$44*$B$183*$B$180)*(1-MAX(0,MIN(2-0-Quesería!$B$47,(Quesería!$B$46-Quesería!$B$47)))/(Quesería!$B$46-Quesería!$B$47)),0))+(IF(AND(E$47&gt;1+Quesería!$B$47,E$47&lt;=1+Quesería!$B$46),(Quesería!$B$44*$C$183*$C$180)/(Quesería!$B$46-Quesería!$B$47),0)*IF(E$47&gt;2,1-Quesería!$B$48,1)+IF(E$47=2,Quesería!$B$48*(Quesería!$B$44*$C$183*$C$180)*(1-MAX(0,MIN(2-1-Quesería!$B$47,(Quesería!$B$46-Quesería!$B$47)))/(Quesería!$B$46-Quesería!$B$47)),0)))*E182</f>
        <v>154.001742940676</v>
      </c>
      <c r="F211" s="29" t="n">
        <f aca="false">((IF(AND(F$47&gt;0+Quesería!$B$47,F$47&lt;=0+Quesería!$B$46),(Quesería!$B$44*$B$183*$B$180)/(Quesería!$B$46-Quesería!$B$47),0)*IF(F$47&gt;2,1-Quesería!$B$48,1)+IF(F$47=2,Quesería!$B$48*(Quesería!$B$44*$B$183*$B$180)*(1-MAX(0,MIN(2-0-Quesería!$B$47,(Quesería!$B$46-Quesería!$B$47)))/(Quesería!$B$46-Quesería!$B$47)),0))+(IF(AND(F$47&gt;1+Quesería!$B$47,F$47&lt;=1+Quesería!$B$46),(Quesería!$B$44*$C$183*$C$180)/(Quesería!$B$46-Quesería!$B$47),0)*IF(F$47&gt;2,1-Quesería!$B$48,1)+IF(F$47=2,Quesería!$B$48*(Quesería!$B$44*$C$183*$C$180)*(1-MAX(0,MIN(2-1-Quesería!$B$47,(Quesería!$B$46-Quesería!$B$47)))/(Quesería!$B$46-Quesería!$B$47)),0)))*F182</f>
        <v>148.078598981419</v>
      </c>
      <c r="G211" s="29" t="n">
        <f aca="false">((IF(AND(G$47&gt;0+Quesería!$B$47,G$47&lt;=0+Quesería!$B$46),(Quesería!$B$44*$B$183*$B$180)/(Quesería!$B$46-Quesería!$B$47),0)*IF(G$47&gt;2,1-Quesería!$B$48,1)+IF(G$47=2,Quesería!$B$48*(Quesería!$B$44*$B$183*$B$180)*(1-MAX(0,MIN(2-0-Quesería!$B$47,(Quesería!$B$46-Quesería!$B$47)))/(Quesería!$B$46-Quesería!$B$47)),0))+(IF(AND(G$47&gt;1+Quesería!$B$47,G$47&lt;=1+Quesería!$B$46),(Quesería!$B$44*$C$183*$C$180)/(Quesería!$B$46-Quesería!$B$47),0)*IF(G$47&gt;2,1-Quesería!$B$48,1)+IF(G$47=2,Quesería!$B$48*(Quesería!$B$44*$C$183*$C$180)*(1-MAX(0,MIN(2-1-Quesería!$B$47,(Quesería!$B$46-Quesería!$B$47)))/(Quesería!$B$46-Quesería!$B$47)),0)))*G182</f>
        <v>142.383268251364</v>
      </c>
      <c r="H211" s="29" t="n">
        <f aca="false">((IF(AND(H$47&gt;0+Quesería!$B$47,H$47&lt;=0+Quesería!$B$46),(Quesería!$B$44*$B$183*$B$180)/(Quesería!$B$46-Quesería!$B$47),0)*IF(H$47&gt;2,1-Quesería!$B$48,1)+IF(H$47=2,Quesería!$B$48*(Quesería!$B$44*$B$183*$B$180)*(1-MAX(0,MIN(2-0-Quesería!$B$47,(Quesería!$B$46-Quesería!$B$47)))/(Quesería!$B$46-Quesería!$B$47)),0))+(IF(AND(H$47&gt;1+Quesería!$B$47,H$47&lt;=1+Quesería!$B$46),(Quesería!$B$44*$C$183*$C$180)/(Quesería!$B$46-Quesería!$B$47),0)*IF(H$47&gt;2,1-Quesería!$B$48,1)+IF(H$47=2,Quesería!$B$48*(Quesería!$B$44*$C$183*$C$180)*(1-MAX(0,MIN(2-1-Quesería!$B$47,(Quesería!$B$46-Quesería!$B$47)))/(Quesería!$B$46-Quesería!$B$47)),0)))*H182</f>
        <v>136.906988703235</v>
      </c>
      <c r="I211" s="29" t="n">
        <f aca="false">((IF(AND(I$47&gt;0+Quesería!$B$47,I$47&lt;=0+Quesería!$B$46),(Quesería!$B$44*$B$183*$B$180)/(Quesería!$B$46-Quesería!$B$47),0)*IF(I$47&gt;2,1-Quesería!$B$48,1)+IF(I$47=2,Quesería!$B$48*(Quesería!$B$44*$B$183*$B$180)*(1-MAX(0,MIN(2-0-Quesería!$B$47,(Quesería!$B$46-Quesería!$B$47)))/(Quesería!$B$46-Quesería!$B$47)),0))+(IF(AND(I$47&gt;1+Quesería!$B$47,I$47&lt;=1+Quesería!$B$46),(Quesería!$B$44*$C$183*$C$180)/(Quesería!$B$46-Quesería!$B$47),0)*IF(I$47&gt;2,1-Quesería!$B$48,1)+IF(I$47=2,Quesería!$B$48*(Quesería!$B$44*$C$183*$C$180)*(1-MAX(0,MIN(2-1-Quesería!$B$47,(Quesería!$B$46-Quesería!$B$47)))/(Quesería!$B$46-Quesería!$B$47)),0)))*I182</f>
        <v>131.641335291572</v>
      </c>
      <c r="J211" s="29" t="n">
        <f aca="false">((IF(AND(J$47&gt;0+Quesería!$B$47,J$47&lt;=0+Quesería!$B$46),(Quesería!$B$44*$B$183*$B$180)/(Quesería!$B$46-Quesería!$B$47),0)*IF(J$47&gt;2,1-Quesería!$B$48,1)+IF(J$47=2,Quesería!$B$48*(Quesería!$B$44*$B$183*$B$180)*(1-MAX(0,MIN(2-0-Quesería!$B$47,(Quesería!$B$46-Quesería!$B$47)))/(Quesería!$B$46-Quesería!$B$47)),0))+(IF(AND(J$47&gt;1+Quesería!$B$47,J$47&lt;=1+Quesería!$B$46),(Quesería!$B$44*$C$183*$C$180)/(Quesería!$B$46-Quesería!$B$47),0)*IF(J$47&gt;2,1-Quesería!$B$48,1)+IF(J$47=2,Quesería!$B$48*(Quesería!$B$44*$C$183*$C$180)*(1-MAX(0,MIN(2-1-Quesería!$B$47,(Quesería!$B$46-Quesería!$B$47)))/(Quesería!$B$46-Quesería!$B$47)),0)))*J182</f>
        <v>53.9487215771831</v>
      </c>
      <c r="K211" s="29" t="n">
        <f aca="false">((IF(AND(K$47&gt;0+Quesería!$B$47,K$47&lt;=0+Quesería!$B$46),(Quesería!$B$44*$B$183*$B$180)/(Quesería!$B$46-Quesería!$B$47),0)*IF(K$47&gt;2,1-Quesería!$B$48,1)+IF(K$47=2,Quesería!$B$48*(Quesería!$B$44*$B$183*$B$180)*(1-MAX(0,MIN(2-0-Quesería!$B$47,(Quesería!$B$46-Quesería!$B$47)))/(Quesería!$B$46-Quesería!$B$47)),0))+(IF(AND(K$47&gt;1+Quesería!$B$47,K$47&lt;=1+Quesería!$B$46),(Quesería!$B$44*$C$183*$C$180)/(Quesería!$B$46-Quesería!$B$47),0)*IF(K$47&gt;2,1-Quesería!$B$48,1)+IF(K$47=2,Quesería!$B$48*(Quesería!$B$44*$C$183*$C$180)*(1-MAX(0,MIN(2-1-Quesería!$B$47,(Quesería!$B$46-Quesería!$B$47)))/(Quesería!$B$46-Quesería!$B$47)),0)))*K182</f>
        <v>0</v>
      </c>
      <c r="L211" s="29" t="n">
        <f aca="false">((IF(AND(L$47&gt;0+Quesería!$B$47,L$47&lt;=0+Quesería!$B$46),(Quesería!$B$44*$B$183*$B$180)/(Quesería!$B$46-Quesería!$B$47),0)*IF(L$47&gt;2,1-Quesería!$B$48,1)+IF(L$47=2,Quesería!$B$48*(Quesería!$B$44*$B$183*$B$180)*(1-MAX(0,MIN(2-0-Quesería!$B$47,(Quesería!$B$46-Quesería!$B$47)))/(Quesería!$B$46-Quesería!$B$47)),0))+(IF(AND(L$47&gt;1+Quesería!$B$47,L$47&lt;=1+Quesería!$B$46),(Quesería!$B$44*$C$183*$C$180)/(Quesería!$B$46-Quesería!$B$47),0)*IF(L$47&gt;2,1-Quesería!$B$48,1)+IF(L$47=2,Quesería!$B$48*(Quesería!$B$44*$C$183*$C$180)*(1-MAX(0,MIN(2-1-Quesería!$B$47,(Quesería!$B$46-Quesería!$B$47)))/(Quesería!$B$46-Quesería!$B$47)),0)))*L182</f>
        <v>0</v>
      </c>
    </row>
    <row r="212" customFormat="false" ht="15" hidden="true" customHeight="false" outlineLevel="1" collapsed="false">
      <c r="A212" s="6" t="s">
        <v>434</v>
      </c>
      <c r="B212" s="29" t="n">
        <f aca="false">$E$13*Quesería!$B$51*(1+0.19)*B208*B182+(1-$E$13)*IF(B$47=0,Quesería!$B$50,0)</f>
        <v>4</v>
      </c>
      <c r="C212" s="29" t="n">
        <f aca="false">$E$13*Quesería!$B$51*(1+0.19)*C208*C182+(1-$E$13)*IF(C$47=0,Quesería!$B$50,0)</f>
        <v>0</v>
      </c>
      <c r="D212" s="29" t="n">
        <f aca="false">$E$13*Quesería!$B$51*(1+0.19)*D208*D182+(1-$E$13)*IF(D$47=0,Quesería!$B$50,0)</f>
        <v>0</v>
      </c>
      <c r="E212" s="29" t="n">
        <f aca="false">$E$13*Quesería!$B$51*(1+0.19)*E208*E182+(1-$E$13)*IF(E$47=0,Quesería!$B$50,0)</f>
        <v>0</v>
      </c>
      <c r="F212" s="29" t="n">
        <f aca="false">$E$13*Quesería!$B$51*(1+0.19)*F208*F182+(1-$E$13)*IF(F$47=0,Quesería!$B$50,0)</f>
        <v>0</v>
      </c>
      <c r="G212" s="29" t="n">
        <f aca="false">$E$13*Quesería!$B$51*(1+0.19)*G208*G182+(1-$E$13)*IF(G$47=0,Quesería!$B$50,0)</f>
        <v>0</v>
      </c>
      <c r="H212" s="29" t="n">
        <f aca="false">$E$13*Quesería!$B$51*(1+0.19)*H208*H182+(1-$E$13)*IF(H$47=0,Quesería!$B$50,0)</f>
        <v>0</v>
      </c>
      <c r="I212" s="29" t="n">
        <f aca="false">$E$13*Quesería!$B$51*(1+0.19)*I208*I182+(1-$E$13)*IF(I$47=0,Quesería!$B$50,0)</f>
        <v>0</v>
      </c>
      <c r="J212" s="29" t="n">
        <f aca="false">$E$13*Quesería!$B$51*(1+0.19)*J208*J182+(1-$E$13)*IF(J$47=0,Quesería!$B$50,0)</f>
        <v>0</v>
      </c>
      <c r="K212" s="29" t="n">
        <f aca="false">$E$13*Quesería!$B$51*(1+0.19)*K208*K182+(1-$E$13)*IF(K$47=0,Quesería!$B$50,0)</f>
        <v>0</v>
      </c>
      <c r="L212" s="29" t="n">
        <f aca="false">$E$13*Quesería!$B$51*(1+0.19)*L208*L182+(1-$E$13)*IF(L$47=0,Quesería!$B$50,0)</f>
        <v>0</v>
      </c>
    </row>
    <row r="213" customFormat="false" ht="15" hidden="true" customHeight="false" outlineLevel="1" collapsed="false">
      <c r="A213" s="6" t="s">
        <v>435</v>
      </c>
      <c r="B213" s="29" t="n">
        <f aca="false">Quesería!$B$52*(B210+B211+B212)</f>
        <v>0.016</v>
      </c>
      <c r="C213" s="29" t="n">
        <f aca="false">Quesería!$B$52*(C210+C211+C212)</f>
        <v>0.324982255024431</v>
      </c>
      <c r="D213" s="29" t="n">
        <f aca="false">Quesería!$B$52*(D210+D211+D212)</f>
        <v>0.909585450928285</v>
      </c>
      <c r="E213" s="29" t="n">
        <f aca="false">Quesería!$B$52*(E210+E211+E212)</f>
        <v>1.08731108079524</v>
      </c>
      <c r="F213" s="29" t="n">
        <f aca="false">Quesería!$B$52*(F210+F211+F212)</f>
        <v>0.961975094016058</v>
      </c>
      <c r="G213" s="29" t="n">
        <f aca="false">Quesería!$B$52*(G210+G211+G212)</f>
        <v>0.844671888644748</v>
      </c>
      <c r="H213" s="29" t="n">
        <f aca="false">Quesería!$B$52*(H210+H211+H212)</f>
        <v>0.734968966683633</v>
      </c>
      <c r="I213" s="29" t="n">
        <f aca="false">Quesería!$B$52*(I210+I211+I212)</f>
        <v>0.632455216399047</v>
      </c>
      <c r="J213" s="29" t="n">
        <f aca="false">Quesería!$B$52*(J210+J211+J212)</f>
        <v>0.246221965278264</v>
      </c>
      <c r="K213" s="29" t="n">
        <f aca="false">Quesería!$B$52*(K210+K211+K212)</f>
        <v>0</v>
      </c>
      <c r="L213" s="29" t="n">
        <f aca="false">Quesería!$B$52*(L210+L211+L212)</f>
        <v>0</v>
      </c>
    </row>
    <row r="214" customFormat="false" ht="15" hidden="true" customHeight="false" outlineLevel="1" collapsed="false">
      <c r="A214" s="6" t="s">
        <v>436</v>
      </c>
      <c r="B214" s="29" t="n">
        <f aca="false">$E$17*(B210+B212+0.5*B213)</f>
        <v>1.4028</v>
      </c>
      <c r="C214" s="29" t="n">
        <f aca="false">$E$17*(C210+C212+0.5*C213)</f>
        <v>28.492819209267</v>
      </c>
      <c r="D214" s="29" t="n">
        <f aca="false">$E$17*(D210+D212+0.5*D213)</f>
        <v>47.5830901820358</v>
      </c>
      <c r="E214" s="29" t="n">
        <f aca="false">$E$17*(E210+E212+0.5*E213)</f>
        <v>41.4293889794864</v>
      </c>
      <c r="F214" s="29" t="n">
        <f aca="false">$E$17*(F210+F212+0.5*F213)</f>
        <v>32.5136567243613</v>
      </c>
      <c r="G214" s="29" t="n">
        <f aca="false">$E$17*(G210+G212+0.5*G213)</f>
        <v>24.2224639489508</v>
      </c>
      <c r="H214" s="29" t="n">
        <f aca="false">$E$17*(H210+H212+0.5*H213)</f>
        <v>16.5209581078554</v>
      </c>
      <c r="I214" s="29" t="n">
        <f aca="false">$E$17*(I210+I212+0.5*I213)</f>
        <v>9.37604374573625</v>
      </c>
      <c r="J214" s="29" t="n">
        <f aca="false">$E$17*(J210+J212+0.5*J213)</f>
        <v>2.70545825375768</v>
      </c>
      <c r="K214" s="29" t="n">
        <f aca="false">$E$17*(K210+K212+0.5*K213)</f>
        <v>0</v>
      </c>
      <c r="L214" s="29" t="n">
        <f aca="false">$E$17*(L210+L212+0.5*L213)</f>
        <v>0</v>
      </c>
    </row>
    <row r="215" customFormat="false" ht="15" hidden="true" customHeight="false" outlineLevel="1" collapsed="false">
      <c r="A215" s="5" t="s">
        <v>437</v>
      </c>
      <c r="B215" s="59" t="n">
        <f aca="false">B200+B209-B210-B211-B212-B213+B214</f>
        <v>-429.979357466778</v>
      </c>
      <c r="C215" s="59" t="n">
        <f aca="false">C200+C209-C210-C211-C212-C213+C214</f>
        <v>-32.3450052538887</v>
      </c>
      <c r="D215" s="59" t="n">
        <f aca="false">D200+D209-D210-D211-D212-D213+D214</f>
        <v>274.21152263339</v>
      </c>
      <c r="E215" s="59" t="n">
        <f aca="false">E200+E209-E210-E211-E212-E213+E214</f>
        <v>92.3042386536525</v>
      </c>
      <c r="F215" s="59" t="n">
        <f aca="false">F200+F209-F210-F211-F212-F213+F214</f>
        <v>151.409120977721</v>
      </c>
      <c r="G215" s="59" t="n">
        <f aca="false">G200+G209-G210-G211-G212-G213+G214</f>
        <v>138.207567657521</v>
      </c>
      <c r="H215" s="59" t="n">
        <f aca="false">H200+H209-H210-H211-H212-H213+H214</f>
        <v>136.515715739571</v>
      </c>
      <c r="I215" s="59" t="n">
        <f aca="false">I200+I209-I210-I211-I212-I213+I214</f>
        <v>215.734211286554</v>
      </c>
      <c r="J215" s="59" t="n">
        <f aca="false">J200+J209-J210-J211-J212-J213+J214</f>
        <v>296.140841229455</v>
      </c>
      <c r="K215" s="59" t="n">
        <f aca="false">K200+K209-K210-K211-K212-K213+K214</f>
        <v>353.907172214543</v>
      </c>
      <c r="L215" s="59" t="n">
        <f aca="false">L200+L209-L210-L211-L212-L213+L214</f>
        <v>583.303882844304</v>
      </c>
    </row>
    <row r="216" customFormat="false" ht="15" hidden="true" customHeight="false" outlineLevel="1" collapsed="false">
      <c r="A216" s="9" t="s">
        <v>438</v>
      </c>
      <c r="B216" s="58" t="n">
        <f aca="false">B215*B180</f>
        <v>-455.778118914784</v>
      </c>
      <c r="C216" s="58" t="n">
        <f aca="false">C215*C180</f>
        <v>-35.9999908475781</v>
      </c>
      <c r="D216" s="58" t="n">
        <f aca="false">D215*D180</f>
        <v>318.931308802056</v>
      </c>
      <c r="E216" s="58" t="n">
        <f aca="false">E215*E180</f>
        <v>111.651982431063</v>
      </c>
      <c r="F216" s="58" t="n">
        <f aca="false">F215*F180</f>
        <v>190.471574354119</v>
      </c>
      <c r="G216" s="58" t="n">
        <f aca="false">G215*G180</f>
        <v>180.818680820326</v>
      </c>
      <c r="H216" s="58" t="n">
        <f aca="false">H215*H180</f>
        <v>185.749418296239</v>
      </c>
      <c r="I216" s="58" t="n">
        <f aca="false">I215*I180</f>
        <v>305.279170221706</v>
      </c>
      <c r="J216" s="58" t="n">
        <f aca="false">J215*J180</f>
        <v>435.82264922076</v>
      </c>
      <c r="K216" s="58" t="n">
        <f aca="false">K215*K180</f>
        <v>541.669265075775</v>
      </c>
      <c r="L216" s="58" t="n">
        <f aca="false">L215*L180</f>
        <v>928.481033321263</v>
      </c>
    </row>
    <row r="217" customFormat="false" ht="15" hidden="true" customHeight="false" outlineLevel="1" collapsed="false">
      <c r="A217" s="9" t="s">
        <v>439</v>
      </c>
      <c r="B217" s="57" t="n">
        <f aca="false">(B180/$B$180)/(1+Quesería!$B$11+$E$28)^B$47</f>
        <v>1</v>
      </c>
      <c r="C217" s="57" t="n">
        <f aca="false">(C180/$B$180)/(1+Quesería!$B$11+$E$28)^C$47</f>
        <v>0.84</v>
      </c>
      <c r="D217" s="57" t="n">
        <f aca="false">(D180/$B$180)/(1+Quesería!$B$11+$E$28)^D$47</f>
        <v>0.70224</v>
      </c>
      <c r="E217" s="57" t="n">
        <f aca="false">(E180/$B$180)/(1+Quesería!$B$11+$E$28)^E$47</f>
        <v>0.58426368</v>
      </c>
      <c r="F217" s="57" t="n">
        <f aca="false">(F180/$B$180)/(1+Quesería!$B$11+$E$28)^F$47</f>
        <v>0.48610738176</v>
      </c>
      <c r="G217" s="57" t="n">
        <f aca="false">(G180/$B$180)/(1+Quesería!$B$11+$E$28)^G$47</f>
        <v>0.40444134162432</v>
      </c>
      <c r="H217" s="57" t="n">
        <f aca="false">(H180/$B$180)/(1+Quesería!$B$11+$E$28)^H$47</f>
        <v>0.336495196231434</v>
      </c>
      <c r="I217" s="57" t="n">
        <f aca="false">(I180/$B$180)/(1+Quesería!$B$11+$E$28)^I$47</f>
        <v>0.279964003264553</v>
      </c>
      <c r="J217" s="57" t="n">
        <f aca="false">(J180/$B$180)/(1+Quesería!$B$11+$E$28)^J$47</f>
        <v>0.232930050716108</v>
      </c>
      <c r="K217" s="57" t="n">
        <f aca="false">(K180/$B$180)/(1+Quesería!$B$11+$E$28)^K$47</f>
        <v>0.193797802195802</v>
      </c>
      <c r="L217" s="57" t="n">
        <f aca="false">(L180/$B$180)/(1+Quesería!$B$11+$E$28)^L$47</f>
        <v>0.161239771426907</v>
      </c>
    </row>
    <row r="218" customFormat="false" ht="15" hidden="true" customHeight="false" outlineLevel="1" collapsed="false">
      <c r="A218" s="9" t="s">
        <v>440</v>
      </c>
      <c r="B218" s="58" t="n">
        <f aca="false">B200+B183+B185+B214</f>
        <v>48.9323978944868</v>
      </c>
      <c r="C218" s="58" t="n">
        <f aca="false">C200+C183+C185+C214</f>
        <v>404.798836761473</v>
      </c>
      <c r="D218" s="58" t="n">
        <f aca="false">D200+D183+D185+D214</f>
        <v>502.517470816389</v>
      </c>
      <c r="E218" s="58" t="n">
        <f aca="false">E200+E183+E185+E214</f>
        <v>365.219319933258</v>
      </c>
      <c r="F218" s="58" t="n">
        <f aca="false">F200+F183+F185+F214</f>
        <v>392.864869575752</v>
      </c>
      <c r="G218" s="58" t="n">
        <f aca="false">G200+G183+G185+G214</f>
        <v>355.438602988439</v>
      </c>
      <c r="H218" s="58" t="n">
        <f aca="false">H200+H183+H185+H214</f>
        <v>329.806865962244</v>
      </c>
      <c r="I218" s="58" t="n">
        <f aca="false">I200+I183+I185+I214</f>
        <v>374.480470602715</v>
      </c>
      <c r="J218" s="58" t="n">
        <f aca="false">J200+J183+J185+J214</f>
        <v>357.942554514299</v>
      </c>
      <c r="K218" s="58" t="n">
        <f aca="false">K200+K183+K185+K214</f>
        <v>353.907172214543</v>
      </c>
      <c r="L218" s="58" t="n">
        <f aca="false">L200+L183+L185+L214</f>
        <v>583.303882844304</v>
      </c>
    </row>
    <row r="219" customFormat="false" ht="15" hidden="true" customHeight="false" outlineLevel="1" collapsed="false">
      <c r="A219" s="5" t="s">
        <v>149</v>
      </c>
      <c r="B219" s="12" t="str">
        <f aca="false">IF(AND(B$47&gt;=1,(B210+B211+B212)&gt;0.001),B218/(B210+B211+B212),"")</f>
        <v/>
      </c>
      <c r="C219" s="12" t="n">
        <f aca="false">IF(AND(C$47&gt;=1,(C210+C211+C212)&gt;0.001),C218/(C210+C211+C212),"")</f>
        <v>4.98241156866908</v>
      </c>
      <c r="D219" s="12" t="n">
        <f aca="false">IF(AND(D$47&gt;=1,(D210+D211+D212)&gt;0.001),D218/(D210+D211+D212),"")</f>
        <v>2.20987470854351</v>
      </c>
      <c r="E219" s="12" t="n">
        <f aca="false">IF(AND(E$47&gt;=1,(E210+E211+E212)&gt;0.001),E218/(E210+E211+E212),"")</f>
        <v>1.34356883281698</v>
      </c>
      <c r="F219" s="12" t="n">
        <f aca="false">IF(AND(F$47&gt;=1,(F210+F211+F212)&gt;0.001),F218/(F210+F211+F212),"")</f>
        <v>1.63357605418085</v>
      </c>
      <c r="G219" s="12" t="n">
        <f aca="false">IF(AND(G$47&gt;=1,(G210+G211+G212)&gt;0.001),G218/(G210+G211+G212),"")</f>
        <v>1.68320318346917</v>
      </c>
      <c r="H219" s="12" t="n">
        <f aca="false">IF(AND(H$47&gt;=1,(H210+H211+H212)&gt;0.001),H218/(H210+H211+H212),"")</f>
        <v>1.79494308419805</v>
      </c>
      <c r="I219" s="12" t="n">
        <f aca="false">IF(AND(I$47&gt;=1,(I210+I211+I212)&gt;0.001),I218/(I210+I211+I212),"")</f>
        <v>2.36842363470325</v>
      </c>
      <c r="J219" s="12" t="n">
        <f aca="false">IF(AND(J$47&gt;=1,(J210+J211+J212)&gt;0.001),J218/(J210+J211+J212),"")</f>
        <v>5.81495731479158</v>
      </c>
      <c r="K219" s="12" t="str">
        <f aca="false">IF(AND(K$47&gt;=1,(K210+K211+K212)&gt;0.001),K218/(K210+K211+K212),"")</f>
        <v/>
      </c>
      <c r="L219" s="12" t="str">
        <f aca="false">IF(AND(L$47&gt;=1,(L210+L211+L212)&gt;0.001),L218/(L210+L211+L212),"")</f>
        <v/>
      </c>
    </row>
    <row r="221" customFormat="false" ht="15" hidden="false" customHeight="false" outlineLevel="0" collapsed="false">
      <c r="A221" s="43" t="s">
        <v>169</v>
      </c>
      <c r="B221" s="44"/>
      <c r="C221" s="44"/>
      <c r="D221" s="44"/>
      <c r="E221" s="44"/>
      <c r="F221" s="44"/>
      <c r="G221" s="44"/>
      <c r="H221" s="44"/>
      <c r="I221" s="44"/>
      <c r="J221" s="44"/>
      <c r="K221" s="44"/>
      <c r="L221" s="44"/>
    </row>
    <row r="222" customFormat="false" ht="15" hidden="true" customHeight="false" outlineLevel="1" collapsed="false">
      <c r="A222" s="9" t="s">
        <v>406</v>
      </c>
      <c r="B222" s="56" t="n">
        <f aca="false">CHOOSE($F$15,Entorno!B$7,Entorno!B$8,Entorno!B$9)</f>
        <v>0.06</v>
      </c>
      <c r="C222" s="56" t="n">
        <f aca="false">CHOOSE($F$15,Entorno!C$7,Entorno!C$8,Entorno!C$9)</f>
        <v>0.05</v>
      </c>
      <c r="D222" s="56" t="n">
        <f aca="false">CHOOSE($F$15,Entorno!D$7,Entorno!D$8,Entorno!D$9)</f>
        <v>0.045</v>
      </c>
      <c r="E222" s="56" t="n">
        <f aca="false">CHOOSE($F$15,Entorno!E$7,Entorno!E$8,Entorno!E$9)</f>
        <v>0.04</v>
      </c>
      <c r="F222" s="56" t="n">
        <f aca="false">CHOOSE($F$15,Entorno!F$7,Entorno!F$8,Entorno!F$9)</f>
        <v>0.04</v>
      </c>
      <c r="G222" s="56" t="n">
        <f aca="false">CHOOSE($F$15,Entorno!G$7,Entorno!G$8,Entorno!G$9)</f>
        <v>0.04</v>
      </c>
      <c r="H222" s="56" t="n">
        <f aca="false">CHOOSE($F$15,Entorno!H$7,Entorno!H$8,Entorno!H$9)</f>
        <v>0.04</v>
      </c>
      <c r="I222" s="56" t="n">
        <f aca="false">CHOOSE($F$15,Entorno!I$7,Entorno!I$8,Entorno!I$9)</f>
        <v>0.04</v>
      </c>
      <c r="J222" s="56" t="n">
        <f aca="false">CHOOSE($F$15,Entorno!J$7,Entorno!J$8,Entorno!J$9)</f>
        <v>0.04</v>
      </c>
      <c r="K222" s="56" t="n">
        <f aca="false">CHOOSE($F$15,Entorno!K$7,Entorno!K$8,Entorno!K$9)</f>
        <v>0.04</v>
      </c>
      <c r="L222" s="56" t="n">
        <f aca="false">CHOOSE($F$15,Entorno!L$7,Entorno!L$8,Entorno!L$9)</f>
        <v>0.04</v>
      </c>
    </row>
    <row r="223" customFormat="false" ht="15" hidden="true" customHeight="false" outlineLevel="1" collapsed="false">
      <c r="A223" s="9" t="s">
        <v>407</v>
      </c>
      <c r="B223" s="57" t="n">
        <f aca="false">1+B222</f>
        <v>1.06</v>
      </c>
      <c r="C223" s="57" t="n">
        <f aca="false">B223*(1+C222)</f>
        <v>1.113</v>
      </c>
      <c r="D223" s="57" t="n">
        <f aca="false">C223*(1+D222)</f>
        <v>1.163085</v>
      </c>
      <c r="E223" s="57" t="n">
        <f aca="false">D223*(1+E222)</f>
        <v>1.2096084</v>
      </c>
      <c r="F223" s="57" t="n">
        <f aca="false">E223*(1+F222)</f>
        <v>1.257992736</v>
      </c>
      <c r="G223" s="57" t="n">
        <f aca="false">F223*(1+G222)</f>
        <v>1.30831244544</v>
      </c>
      <c r="H223" s="57" t="n">
        <f aca="false">G223*(1+H222)</f>
        <v>1.3606449432576</v>
      </c>
      <c r="I223" s="57" t="n">
        <f aca="false">H223*(1+I222)</f>
        <v>1.4150707409879</v>
      </c>
      <c r="J223" s="57" t="n">
        <f aca="false">I223*(1+J222)</f>
        <v>1.47167357062742</v>
      </c>
      <c r="K223" s="57" t="n">
        <f aca="false">J223*(1+K222)</f>
        <v>1.53054051345252</v>
      </c>
      <c r="L223" s="57" t="n">
        <f aca="false">K223*(1+L222)</f>
        <v>1.59176213399062</v>
      </c>
    </row>
    <row r="224" customFormat="false" ht="15" hidden="true" customHeight="false" outlineLevel="1" collapsed="false">
      <c r="A224" s="9" t="s">
        <v>408</v>
      </c>
      <c r="B224" s="57" t="n">
        <f aca="false">(1+$F$16)/(1+B222)</f>
        <v>1.02358490566038</v>
      </c>
      <c r="C224" s="57" t="n">
        <f aca="false">B224*(1+Entorno!$B$13)</f>
        <v>1.02870283018868</v>
      </c>
      <c r="D224" s="57" t="n">
        <f aca="false">C224*(1+Entorno!$B$13)</f>
        <v>1.03384634433962</v>
      </c>
      <c r="E224" s="57" t="n">
        <f aca="false">D224*(1+Entorno!$B$13)</f>
        <v>1.03901557606132</v>
      </c>
      <c r="F224" s="57" t="n">
        <f aca="false">E224*(1+Entorno!$B$13)</f>
        <v>1.04421065394163</v>
      </c>
      <c r="G224" s="57" t="n">
        <f aca="false">F224*(1+Entorno!$B$13)</f>
        <v>1.04943170721133</v>
      </c>
      <c r="H224" s="57" t="n">
        <f aca="false">G224*(1+Entorno!$B$13)</f>
        <v>1.05467886574739</v>
      </c>
      <c r="I224" s="57" t="n">
        <f aca="false">H224*(1+Entorno!$B$13)</f>
        <v>1.05995226007613</v>
      </c>
      <c r="J224" s="57" t="n">
        <f aca="false">I224*(1+Entorno!$B$13)</f>
        <v>1.06525202137651</v>
      </c>
      <c r="K224" s="57" t="n">
        <f aca="false">J224*(1+Entorno!$B$13)</f>
        <v>1.07057828148339</v>
      </c>
      <c r="L224" s="57" t="n">
        <f aca="false">K224*(1+Entorno!$B$13)</f>
        <v>1.07593117289081</v>
      </c>
    </row>
    <row r="225" customFormat="false" ht="15" hidden="true" customHeight="false" outlineLevel="1" collapsed="false">
      <c r="A225" s="9" t="s">
        <v>409</v>
      </c>
      <c r="B225" s="57" t="n">
        <f aca="false">1/B223</f>
        <v>0.943396226415094</v>
      </c>
      <c r="C225" s="57" t="n">
        <f aca="false">1/C223</f>
        <v>0.898472596585804</v>
      </c>
      <c r="D225" s="57" t="n">
        <f aca="false">1/D223</f>
        <v>0.859782389077324</v>
      </c>
      <c r="E225" s="57" t="n">
        <f aca="false">1/E223</f>
        <v>0.826713835651273</v>
      </c>
      <c r="F225" s="57" t="n">
        <f aca="false">1/F223</f>
        <v>0.794917149664686</v>
      </c>
      <c r="G225" s="57" t="n">
        <f aca="false">1/G223</f>
        <v>0.764343413139121</v>
      </c>
      <c r="H225" s="57" t="n">
        <f aca="false">1/H223</f>
        <v>0.734945589556847</v>
      </c>
      <c r="I225" s="57" t="n">
        <f aca="false">1/I223</f>
        <v>0.706678451496968</v>
      </c>
      <c r="J225" s="57" t="n">
        <f aca="false">1/J223</f>
        <v>0.679498511054777</v>
      </c>
      <c r="K225" s="57" t="n">
        <f aca="false">1/K223</f>
        <v>0.653363952937286</v>
      </c>
      <c r="L225" s="57" t="n">
        <f aca="false">1/L223</f>
        <v>0.628234570132006</v>
      </c>
    </row>
    <row r="226" customFormat="false" ht="15" hidden="true" customHeight="false" outlineLevel="1" collapsed="false">
      <c r="A226" s="6" t="s">
        <v>323</v>
      </c>
      <c r="B226" s="29" t="n">
        <f aca="false">IF(B$47=0,Quesería!$F$92,IF(B$47=1,(Quesería!$F$93-(-$F$26)*Quesería!$D$86*(1+Quesería!$I$86))*$F$21,0))*$F$11</f>
        <v>930.800239431677</v>
      </c>
      <c r="C226" s="29" t="n">
        <f aca="false">IF(C$47=0,Quesería!$F$92,IF(C$47=1,(Quesería!$F$93-(-$F$26)*Quesería!$D$86*(1+Quesería!$I$86))*$F$21,0))*$F$11</f>
        <v>658.469066674498</v>
      </c>
      <c r="D226" s="29" t="n">
        <f aca="false">IF(D$47=0,Quesería!$F$92,IF(D$47=1,(Quesería!$F$93-(-$F$26)*Quesería!$D$86*(1+Quesería!$I$86))*$F$21,0))*$F$11</f>
        <v>0</v>
      </c>
      <c r="E226" s="29" t="n">
        <f aca="false">IF(E$47=0,Quesería!$F$92,IF(E$47=1,(Quesería!$F$93-(-$F$26)*Quesería!$D$86*(1+Quesería!$I$86))*$F$21,0))*$F$11</f>
        <v>0</v>
      </c>
      <c r="F226" s="29" t="n">
        <f aca="false">IF(F$47=0,Quesería!$F$92,IF(F$47=1,(Quesería!$F$93-(-$F$26)*Quesería!$D$86*(1+Quesería!$I$86))*$F$21,0))*$F$11</f>
        <v>0</v>
      </c>
      <c r="G226" s="29" t="n">
        <f aca="false">IF(G$47=0,Quesería!$F$92,IF(G$47=1,(Quesería!$F$93-(-$F$26)*Quesería!$D$86*(1+Quesería!$I$86))*$F$21,0))*$F$11</f>
        <v>0</v>
      </c>
      <c r="H226" s="29" t="n">
        <f aca="false">IF(H$47=0,Quesería!$F$92,IF(H$47=1,(Quesería!$F$93-(-$F$26)*Quesería!$D$86*(1+Quesería!$I$86))*$F$21,0))*$F$11</f>
        <v>0</v>
      </c>
      <c r="I226" s="29" t="n">
        <f aca="false">IF(I$47=0,Quesería!$F$92,IF(I$47=1,(Quesería!$F$93-(-$F$26)*Quesería!$D$86*(1+Quesería!$I$86))*$F$21,0))*$F$11</f>
        <v>0</v>
      </c>
      <c r="J226" s="29" t="n">
        <f aca="false">IF(J$47=0,Quesería!$F$92,IF(J$47=1,(Quesería!$F$93-(-$F$26)*Quesería!$D$86*(1+Quesería!$I$86))*$F$21,0))*$F$11</f>
        <v>0</v>
      </c>
      <c r="K226" s="29" t="n">
        <f aca="false">IF(K$47=0,Quesería!$F$92,IF(K$47=1,(Quesería!$F$93-(-$F$26)*Quesería!$D$86*(1+Quesería!$I$86))*$F$21,0))*$F$11</f>
        <v>0</v>
      </c>
      <c r="L226" s="29" t="n">
        <f aca="false">IF(L$47=0,Quesería!$F$92,IF(L$47=1,(Quesería!$F$93-(-$F$26)*Quesería!$D$86*(1+Quesería!$I$86))*$F$21,0))*$F$11</f>
        <v>0</v>
      </c>
    </row>
    <row r="227" customFormat="false" ht="15" hidden="true" customHeight="false" outlineLevel="1" collapsed="false">
      <c r="A227" s="6" t="s">
        <v>410</v>
      </c>
      <c r="B227" s="29" t="n">
        <f aca="false">IF(B$47=5,Quesería!$F$99,IF(B$47=6,Quesería!$F$100,0))*$F$11</f>
        <v>0</v>
      </c>
      <c r="C227" s="29" t="n">
        <f aca="false">IF(C$47=5,Quesería!$F$99,IF(C$47=6,Quesería!$F$100,0))*$F$11</f>
        <v>0</v>
      </c>
      <c r="D227" s="29" t="n">
        <f aca="false">IF(D$47=5,Quesería!$F$99,IF(D$47=6,Quesería!$F$100,0))*$F$11</f>
        <v>0</v>
      </c>
      <c r="E227" s="29" t="n">
        <f aca="false">IF(E$47=5,Quesería!$F$99,IF(E$47=6,Quesería!$F$100,0))*$F$11</f>
        <v>0</v>
      </c>
      <c r="F227" s="29" t="n">
        <f aca="false">IF(F$47=5,Quesería!$F$99,IF(F$47=6,Quesería!$F$100,0))*$F$11</f>
        <v>0</v>
      </c>
      <c r="G227" s="29" t="n">
        <f aca="false">IF(G$47=5,Quesería!$F$99,IF(G$47=6,Quesería!$F$100,0))*$F$11</f>
        <v>27.4652172688735</v>
      </c>
      <c r="H227" s="29" t="n">
        <f aca="false">IF(H$47=5,Quesería!$F$99,IF(H$47=6,Quesería!$F$100,0))*$F$11</f>
        <v>46.3891557109552</v>
      </c>
      <c r="I227" s="29" t="n">
        <f aca="false">IF(I$47=5,Quesería!$F$99,IF(I$47=6,Quesería!$F$100,0))*$F$11</f>
        <v>0</v>
      </c>
      <c r="J227" s="29" t="n">
        <f aca="false">IF(J$47=5,Quesería!$F$99,IF(J$47=6,Quesería!$F$100,0))*$F$11</f>
        <v>0</v>
      </c>
      <c r="K227" s="29" t="n">
        <f aca="false">IF(K$47=5,Quesería!$F$99,IF(K$47=6,Quesería!$F$100,0))*$F$11</f>
        <v>0</v>
      </c>
      <c r="L227" s="29" t="n">
        <f aca="false">IF(L$47=5,Quesería!$F$99,IF(L$47=6,Quesería!$F$100,0))*$F$11</f>
        <v>0</v>
      </c>
    </row>
    <row r="228" customFormat="false" ht="15" hidden="true" customHeight="false" outlineLevel="1" collapsed="false">
      <c r="A228" s="6" t="s">
        <v>411</v>
      </c>
      <c r="B228" s="29" t="n">
        <f aca="false">Quesería!$B$55*(IF(B$47=0,SUMPRODUCT((Quesería!$C$70:$C$89=0)*(Quesería!$H$70:$H$89&gt;0)*(Quesería!$J$70:$J$89&gt;0)*Quesería!$F$70:$F$89*(1+Quesería!$I$70:$I$89)),IF(B$47=1,(SUMPRODUCT((Quesería!$C$70:$C$89=1)*(Quesería!$H$70:$H$89&gt;0)*(Quesería!$J$70:$J$89&gt;0)*Quesería!$F$70:$F$89*(1+Quesería!$I$70:$I$89))-(-$F$26)*Quesería!$D$86*(1+Quesería!$I$86))*$F$21,0))*$F$11+B227)</f>
        <v>149.115671560178</v>
      </c>
      <c r="C228" s="29" t="n">
        <f aca="false">Quesería!$B$55*(IF(C$47=0,SUMPRODUCT((Quesería!$C$70:$C$89=0)*(Quesería!$H$70:$H$89&gt;0)*(Quesería!$J$70:$J$89&gt;0)*Quesería!$F$70:$F$89*(1+Quesería!$I$70:$I$89)),IF(C$47=1,(SUMPRODUCT((Quesería!$C$70:$C$89=1)*(Quesería!$H$70:$H$89&gt;0)*(Quesería!$J$70:$J$89&gt;0)*Quesería!$F$70:$F$89*(1+Quesería!$I$70:$I$89))-(-$F$26)*Quesería!$D$86*(1+Quesería!$I$86))*$F$21,0))*$F$11+C227)</f>
        <v>125.109122668155</v>
      </c>
      <c r="D228" s="29" t="n">
        <f aca="false">Quesería!$B$55*(IF(D$47=0,SUMPRODUCT((Quesería!$C$70:$C$89=0)*(Quesería!$H$70:$H$89&gt;0)*(Quesería!$J$70:$J$89&gt;0)*Quesería!$F$70:$F$89*(1+Quesería!$I$70:$I$89)),IF(D$47=1,(SUMPRODUCT((Quesería!$C$70:$C$89=1)*(Quesería!$H$70:$H$89&gt;0)*(Quesería!$J$70:$J$89&gt;0)*Quesería!$F$70:$F$89*(1+Quesería!$I$70:$I$89))-(-$F$26)*Quesería!$D$86*(1+Quesería!$I$86))*$F$21,0))*$F$11+D227)</f>
        <v>0</v>
      </c>
      <c r="E228" s="29" t="n">
        <f aca="false">Quesería!$B$55*(IF(E$47=0,SUMPRODUCT((Quesería!$C$70:$C$89=0)*(Quesería!$H$70:$H$89&gt;0)*(Quesería!$J$70:$J$89&gt;0)*Quesería!$F$70:$F$89*(1+Quesería!$I$70:$I$89)),IF(E$47=1,(SUMPRODUCT((Quesería!$C$70:$C$89=1)*(Quesería!$H$70:$H$89&gt;0)*(Quesería!$J$70:$J$89&gt;0)*Quesería!$F$70:$F$89*(1+Quesería!$I$70:$I$89))-(-$F$26)*Quesería!$D$86*(1+Quesería!$I$86))*$F$21,0))*$F$11+E227)</f>
        <v>0</v>
      </c>
      <c r="F228" s="29" t="n">
        <f aca="false">Quesería!$B$55*(IF(F$47=0,SUMPRODUCT((Quesería!$C$70:$C$89=0)*(Quesería!$H$70:$H$89&gt;0)*(Quesería!$J$70:$J$89&gt;0)*Quesería!$F$70:$F$89*(1+Quesería!$I$70:$I$89)),IF(F$47=1,(SUMPRODUCT((Quesería!$C$70:$C$89=1)*(Quesería!$H$70:$H$89&gt;0)*(Quesería!$J$70:$J$89&gt;0)*Quesería!$F$70:$F$89*(1+Quesería!$I$70:$I$89))-(-$F$26)*Quesería!$D$86*(1+Quesería!$I$86))*$F$21,0))*$F$11+F227)</f>
        <v>0</v>
      </c>
      <c r="G228" s="29" t="n">
        <f aca="false">Quesería!$B$55*(IF(G$47=0,SUMPRODUCT((Quesería!$C$70:$C$89=0)*(Quesería!$H$70:$H$89&gt;0)*(Quesería!$J$70:$J$89&gt;0)*Quesería!$F$70:$F$89*(1+Quesería!$I$70:$I$89)),IF(G$47=1,(SUMPRODUCT((Quesería!$C$70:$C$89=1)*(Quesería!$H$70:$H$89&gt;0)*(Quesería!$J$70:$J$89&gt;0)*Quesería!$F$70:$F$89*(1+Quesería!$I$70:$I$89))-(-$F$26)*Quesería!$D$86*(1+Quesería!$I$86))*$F$21,0))*$F$11+G227)</f>
        <v>5.21839128108597</v>
      </c>
      <c r="H228" s="29" t="n">
        <f aca="false">Quesería!$B$55*(IF(H$47=0,SUMPRODUCT((Quesería!$C$70:$C$89=0)*(Quesería!$H$70:$H$89&gt;0)*(Quesería!$J$70:$J$89&gt;0)*Quesería!$F$70:$F$89*(1+Quesería!$I$70:$I$89)),IF(H$47=1,(SUMPRODUCT((Quesería!$C$70:$C$89=1)*(Quesería!$H$70:$H$89&gt;0)*(Quesería!$J$70:$J$89&gt;0)*Quesería!$F$70:$F$89*(1+Quesería!$I$70:$I$89))-(-$F$26)*Quesería!$D$86*(1+Quesería!$I$86))*$F$21,0))*$F$11+H227)</f>
        <v>8.8139395850815</v>
      </c>
      <c r="I228" s="29" t="n">
        <f aca="false">Quesería!$B$55*(IF(I$47=0,SUMPRODUCT((Quesería!$C$70:$C$89=0)*(Quesería!$H$70:$H$89&gt;0)*(Quesería!$J$70:$J$89&gt;0)*Quesería!$F$70:$F$89*(1+Quesería!$I$70:$I$89)),IF(I$47=1,(SUMPRODUCT((Quesería!$C$70:$C$89=1)*(Quesería!$H$70:$H$89&gt;0)*(Quesería!$J$70:$J$89&gt;0)*Quesería!$F$70:$F$89*(1+Quesería!$I$70:$I$89))-(-$F$26)*Quesería!$D$86*(1+Quesería!$I$86))*$F$21,0))*$F$11+I227)</f>
        <v>0</v>
      </c>
      <c r="J228" s="29" t="n">
        <f aca="false">Quesería!$B$55*(IF(J$47=0,SUMPRODUCT((Quesería!$C$70:$C$89=0)*(Quesería!$H$70:$H$89&gt;0)*(Quesería!$J$70:$J$89&gt;0)*Quesería!$F$70:$F$89*(1+Quesería!$I$70:$I$89)),IF(J$47=1,(SUMPRODUCT((Quesería!$C$70:$C$89=1)*(Quesería!$H$70:$H$89&gt;0)*(Quesería!$J$70:$J$89&gt;0)*Quesería!$F$70:$F$89*(1+Quesería!$I$70:$I$89))-(-$F$26)*Quesería!$D$86*(1+Quesería!$I$86))*$F$21,0))*$F$11+J227)</f>
        <v>0</v>
      </c>
      <c r="K228" s="29" t="n">
        <f aca="false">Quesería!$B$55*(IF(K$47=0,SUMPRODUCT((Quesería!$C$70:$C$89=0)*(Quesería!$H$70:$H$89&gt;0)*(Quesería!$J$70:$J$89&gt;0)*Quesería!$F$70:$F$89*(1+Quesería!$I$70:$I$89)),IF(K$47=1,(SUMPRODUCT((Quesería!$C$70:$C$89=1)*(Quesería!$H$70:$H$89&gt;0)*(Quesería!$J$70:$J$89&gt;0)*Quesería!$F$70:$F$89*(1+Quesería!$I$70:$I$89))-(-$F$26)*Quesería!$D$86*(1+Quesería!$I$86))*$F$21,0))*$F$11+K227)</f>
        <v>0</v>
      </c>
      <c r="L228" s="29" t="n">
        <f aca="false">Quesería!$B$55*(IF(L$47=0,SUMPRODUCT((Quesería!$C$70:$C$89=0)*(Quesería!$H$70:$H$89&gt;0)*(Quesería!$J$70:$J$89&gt;0)*Quesería!$F$70:$F$89*(1+Quesería!$I$70:$I$89)),IF(L$47=1,(SUMPRODUCT((Quesería!$C$70:$C$89=1)*(Quesería!$H$70:$H$89&gt;0)*(Quesería!$J$70:$J$89&gt;0)*Quesería!$F$70:$F$89*(1+Quesería!$I$70:$I$89))-(-$F$26)*Quesería!$D$86*(1+Quesería!$I$86))*$F$21,0))*$F$11+L227)</f>
        <v>0</v>
      </c>
    </row>
    <row r="229" customFormat="false" ht="15" hidden="true" customHeight="false" outlineLevel="1" collapsed="false">
      <c r="A229" s="6" t="s">
        <v>386</v>
      </c>
      <c r="B229" s="29" t="n">
        <f aca="false">IF(B$47=0,($F$22*Quesería!$J$126+(1-$F$22)*Quesería!$E$122)*Quesería!$B$20*Quesería!$B$21/12*$F$23,(($F$22*Quesería!$J$126+(1-$F$22)*Quesería!$E$122)+($F$22*Quesería!$J$104+(1-$F$22)*Quesería!$E$104)*(B224-1))*IF(B$47=1,Quesería!$B$20,1))*$F$10</f>
        <v>120.716772261203</v>
      </c>
      <c r="C229" s="29" t="n">
        <f aca="false">IF(C$47=0,($F$22*Quesería!$J$126+(1-$F$22)*Quesería!$E$122)*Quesería!$B$20*Quesería!$B$21/12*$F$23,(($F$22*Quesería!$J$126+(1-$F$22)*Quesería!$E$122)+($F$22*Quesería!$J$104+(1-$F$22)*Quesería!$E$104)*(C224-1))*IF(C$47=1,Quesería!$B$20,1))*$F$10</f>
        <v>181.328317354069</v>
      </c>
      <c r="D229" s="29" t="n">
        <f aca="false">IF(D$47=0,($F$22*Quesería!$J$126+(1-$F$22)*Quesería!$E$122)*Quesería!$B$20*Quesería!$B$21/12*$F$23,(($F$22*Quesería!$J$126+(1-$F$22)*Quesería!$E$122)+($F$22*Quesería!$J$104+(1-$F$22)*Quesería!$E$104)*(D224-1))*IF(D$47=1,Quesería!$B$20,1))*$F$10</f>
        <v>241.83157753184</v>
      </c>
      <c r="E229" s="29" t="n">
        <f aca="false">IF(E$47=0,($F$22*Quesería!$J$126+(1-$F$22)*Quesería!$E$122)*Quesería!$B$20*Quesería!$B$21/12*$F$23,(($F$22*Quesería!$J$126+(1-$F$22)*Quesería!$E$122)+($F$22*Quesería!$J$104+(1-$F$22)*Quesería!$E$104)*(E224-1))*IF(E$47=1,Quesería!$B$20,1))*$F$10</f>
        <v>241.892367696887</v>
      </c>
      <c r="F229" s="29" t="n">
        <f aca="false">IF(F$47=0,($F$22*Quesería!$J$126+(1-$F$22)*Quesería!$E$122)*Quesería!$B$20*Quesería!$B$21/12*$F$23,(($F$22*Quesería!$J$126+(1-$F$22)*Quesería!$E$122)+($F$22*Quesería!$J$104+(1-$F$22)*Quesería!$E$104)*(F224-1))*IF(F$47=1,Quesería!$B$20,1))*$F$10</f>
        <v>241.95346181276</v>
      </c>
      <c r="G229" s="29" t="n">
        <f aca="false">IF(G$47=0,($F$22*Quesería!$J$126+(1-$F$22)*Quesería!$E$122)*Quesería!$B$20*Quesería!$B$21/12*$F$23,(($F$22*Quesería!$J$126+(1-$F$22)*Quesería!$E$122)+($F$22*Quesería!$J$104+(1-$F$22)*Quesería!$E$104)*(G224-1))*IF(G$47=1,Quesería!$B$20,1))*$F$10</f>
        <v>242.014861399211</v>
      </c>
      <c r="H229" s="29" t="n">
        <f aca="false">IF(H$47=0,($F$22*Quesería!$J$126+(1-$F$22)*Quesería!$E$122)*Quesería!$B$20*Quesería!$B$21/12*$F$23,(($F$22*Quesería!$J$126+(1-$F$22)*Quesería!$E$122)+($F$22*Quesería!$J$104+(1-$F$22)*Quesería!$E$104)*(H224-1))*IF(H$47=1,Quesería!$B$20,1))*$F$10</f>
        <v>242.076567983595</v>
      </c>
      <c r="I229" s="29" t="n">
        <f aca="false">IF(I$47=0,($F$22*Quesería!$J$126+(1-$F$22)*Quesería!$E$122)*Quesería!$B$20*Quesería!$B$21/12*$F$23,(($F$22*Quesería!$J$126+(1-$F$22)*Quesería!$E$122)+($F$22*Quesería!$J$104+(1-$F$22)*Quesería!$E$104)*(I224-1))*IF(I$47=1,Quesería!$B$20,1))*$F$10</f>
        <v>242.138583100901</v>
      </c>
      <c r="J229" s="29" t="n">
        <f aca="false">IF(J$47=0,($F$22*Quesería!$J$126+(1-$F$22)*Quesería!$E$122)*Quesería!$B$20*Quesería!$B$21/12*$F$23,(($F$22*Quesería!$J$126+(1-$F$22)*Quesería!$E$122)+($F$22*Quesería!$J$104+(1-$F$22)*Quesería!$E$104)*(J224-1))*IF(J$47=1,Quesería!$B$20,1))*$F$10</f>
        <v>242.200908293794</v>
      </c>
      <c r="K229" s="29" t="n">
        <f aca="false">IF(K$47=0,($F$22*Quesería!$J$126+(1-$F$22)*Quesería!$E$122)*Quesería!$B$20*Quesería!$B$21/12*$F$23,(($F$22*Quesería!$J$126+(1-$F$22)*Quesería!$E$122)+($F$22*Quesería!$J$104+(1-$F$22)*Quesería!$E$104)*(K224-1))*IF(K$47=1,Quesería!$B$20,1))*$F$10</f>
        <v>242.263545112651</v>
      </c>
      <c r="L229" s="29" t="n">
        <f aca="false">IF(L$47=0,($F$22*Quesería!$J$126+(1-$F$22)*Quesería!$E$122)*Quesería!$B$20*Quesería!$B$21/12*$F$23,(($F$22*Quesería!$J$126+(1-$F$22)*Quesería!$E$122)+($F$22*Quesería!$J$104+(1-$F$22)*Quesería!$E$104)*(L224-1))*IF(L$47=1,Quesería!$B$20,1))*$F$10</f>
        <v>242.326495115602</v>
      </c>
    </row>
    <row r="230" customFormat="false" ht="15" hidden="true" customHeight="false" outlineLevel="1" collapsed="false">
      <c r="A230" s="6" t="s">
        <v>387</v>
      </c>
      <c r="B230" s="29" t="n">
        <f aca="false">IF(B$47&lt;=1,0,((($F$22*Quesería!$J$127+(1-$F$22)*Quesería!$E$123)-($F$22*Quesería!$J$113+(1-$F$22)*Quesería!$E$113)+$F$6*($F$22*Quesería!$J$113+(1-$F$22)*Quesería!$E$113)-(1-$F$9)*(($F$22*Quesería!$J$119+(1-$F$22)*Quesería!$E$119)+($F$22*Quesería!$J$118+(1-$F$22)*Quesería!$E$118))-(1-$F$24)*($F$22*Quesería!$J$117+(1-$F$22)*Quesería!$E$117)+$F$24*(1-$F$25)*'Beneficios y costos'!$B$144-(-$F$26*$F$27)*'Beneficios y costos'!$C$167)+($F$6*($F$22*Quesería!$J$113+(1-$F$22)*Quesería!$E$113)+$F$9*($F$22*Quesería!$J$119+(1-$F$22)*Quesería!$E$119))*(B224-1))*IF(B$47=2,Quesería!$B$20,1)+IF(B$47=2,Quesería!$B$24*$F$9*($F$22*Quesería!$J$119+(1-$F$22)*Quesería!$E$119)*B224,0))*$F$10*$F$21</f>
        <v>0</v>
      </c>
      <c r="C230" s="29" t="n">
        <f aca="false">IF(C$47&lt;=1,0,((($F$22*Quesería!$J$127+(1-$F$22)*Quesería!$E$123)-($F$22*Quesería!$J$113+(1-$F$22)*Quesería!$E$113)+$F$6*($F$22*Quesería!$J$113+(1-$F$22)*Quesería!$E$113)-(1-$F$9)*(($F$22*Quesería!$J$119+(1-$F$22)*Quesería!$E$119)+($F$22*Quesería!$J$118+(1-$F$22)*Quesería!$E$118))-(1-$F$24)*($F$22*Quesería!$J$117+(1-$F$22)*Quesería!$E$117)+$F$24*(1-$F$25)*'Beneficios y costos'!$B$144-(-$F$26*$F$27)*'Beneficios y costos'!$C$167)+($F$6*($F$22*Quesería!$J$113+(1-$F$22)*Quesería!$E$113)+$F$9*($F$22*Quesería!$J$119+(1-$F$22)*Quesería!$E$119))*(C224-1))*IF(C$47=2,Quesería!$B$20,1)+IF(C$47=2,Quesería!$B$24*$F$9*($F$22*Quesería!$J$119+(1-$F$22)*Quesería!$E$119)*C224,0))*$F$10*$F$21</f>
        <v>0</v>
      </c>
      <c r="D230" s="29" t="n">
        <f aca="false">IF(D$47&lt;=1,0,((($F$22*Quesería!$J$127+(1-$F$22)*Quesería!$E$123)-($F$22*Quesería!$J$113+(1-$F$22)*Quesería!$E$113)+$F$6*($F$22*Quesería!$J$113+(1-$F$22)*Quesería!$E$113)-(1-$F$9)*(($F$22*Quesería!$J$119+(1-$F$22)*Quesería!$E$119)+($F$22*Quesería!$J$118+(1-$F$22)*Quesería!$E$118))-(1-$F$24)*($F$22*Quesería!$J$117+(1-$F$22)*Quesería!$E$117)+$F$24*(1-$F$25)*'Beneficios y costos'!$B$144-(-$F$26*$F$27)*'Beneficios y costos'!$C$167)+($F$6*($F$22*Quesería!$J$113+(1-$F$22)*Quesería!$E$113)+$F$9*($F$22*Quesería!$J$119+(1-$F$22)*Quesería!$E$119))*(D224-1))*IF(D$47=2,Quesería!$B$20,1)+IF(D$47=2,Quesería!$B$24*$F$9*($F$22*Quesería!$J$119+(1-$F$22)*Quesería!$E$119)*D224,0))*$F$10*$F$21</f>
        <v>167.440941918651</v>
      </c>
      <c r="E230" s="29" t="n">
        <f aca="false">IF(E$47&lt;=1,0,((($F$22*Quesería!$J$127+(1-$F$22)*Quesería!$E$123)-($F$22*Quesería!$J$113+(1-$F$22)*Quesería!$E$113)+$F$6*($F$22*Quesería!$J$113+(1-$F$22)*Quesería!$E$113)-(1-$F$9)*(($F$22*Quesería!$J$119+(1-$F$22)*Quesería!$E$119)+($F$22*Quesería!$J$118+(1-$F$22)*Quesería!$E$118))-(1-$F$24)*($F$22*Quesería!$J$117+(1-$F$22)*Quesería!$E$117)+$F$24*(1-$F$25)*'Beneficios y costos'!$B$144-(-$F$26*$F$27)*'Beneficios y costos'!$C$167)+($F$6*($F$22*Quesería!$J$113+(1-$F$22)*Quesería!$E$113)+$F$9*($F$22*Quesería!$J$119+(1-$F$22)*Quesería!$E$119))*(E224-1))*IF(E$47=2,Quesería!$B$20,1)+IF(E$47=2,Quesería!$B$24*$F$9*($F$22*Quesería!$J$119+(1-$F$22)*Quesería!$E$119)*E224,0))*$F$10*$F$21</f>
        <v>223.315379389915</v>
      </c>
      <c r="F230" s="29" t="n">
        <f aca="false">IF(F$47&lt;=1,0,((($F$22*Quesería!$J$127+(1-$F$22)*Quesería!$E$123)-($F$22*Quesería!$J$113+(1-$F$22)*Quesería!$E$113)+$F$6*($F$22*Quesería!$J$113+(1-$F$22)*Quesería!$E$113)-(1-$F$9)*(($F$22*Quesería!$J$119+(1-$F$22)*Quesería!$E$119)+($F$22*Quesería!$J$118+(1-$F$22)*Quesería!$E$118))-(1-$F$24)*($F$22*Quesería!$J$117+(1-$F$22)*Quesería!$E$117)+$F$24*(1-$F$25)*'Beneficios y costos'!$B$144-(-$F$26*$F$27)*'Beneficios y costos'!$C$167)+($F$6*($F$22*Quesería!$J$113+(1-$F$22)*Quesería!$E$113)+$F$9*($F$22*Quesería!$J$119+(1-$F$22)*Quesería!$E$119))*(F224-1))*IF(F$47=2,Quesería!$B$20,1)+IF(F$47=2,Quesería!$B$24*$F$9*($F$22*Quesería!$J$119+(1-$F$22)*Quesería!$E$119)*F224,0))*$F$10*$F$21</f>
        <v>223.376473505787</v>
      </c>
      <c r="G230" s="29" t="n">
        <f aca="false">IF(G$47&lt;=1,0,((($F$22*Quesería!$J$127+(1-$F$22)*Quesería!$E$123)-($F$22*Quesería!$J$113+(1-$F$22)*Quesería!$E$113)+$F$6*($F$22*Quesería!$J$113+(1-$F$22)*Quesería!$E$113)-(1-$F$9)*(($F$22*Quesería!$J$119+(1-$F$22)*Quesería!$E$119)+($F$22*Quesería!$J$118+(1-$F$22)*Quesería!$E$118))-(1-$F$24)*($F$22*Quesería!$J$117+(1-$F$22)*Quesería!$E$117)+$F$24*(1-$F$25)*'Beneficios y costos'!$B$144-(-$F$26*$F$27)*'Beneficios y costos'!$C$167)+($F$6*($F$22*Quesería!$J$113+(1-$F$22)*Quesería!$E$113)+$F$9*($F$22*Quesería!$J$119+(1-$F$22)*Quesería!$E$119))*(G224-1))*IF(G$47=2,Quesería!$B$20,1)+IF(G$47=2,Quesería!$B$24*$F$9*($F$22*Quesería!$J$119+(1-$F$22)*Quesería!$E$119)*G224,0))*$F$10*$F$21</f>
        <v>223.437873092239</v>
      </c>
      <c r="H230" s="29" t="n">
        <f aca="false">IF(H$47&lt;=1,0,((($F$22*Quesería!$J$127+(1-$F$22)*Quesería!$E$123)-($F$22*Quesería!$J$113+(1-$F$22)*Quesería!$E$113)+$F$6*($F$22*Quesería!$J$113+(1-$F$22)*Quesería!$E$113)-(1-$F$9)*(($F$22*Quesería!$J$119+(1-$F$22)*Quesería!$E$119)+($F$22*Quesería!$J$118+(1-$F$22)*Quesería!$E$118))-(1-$F$24)*($F$22*Quesería!$J$117+(1-$F$22)*Quesería!$E$117)+$F$24*(1-$F$25)*'Beneficios y costos'!$B$144-(-$F$26*$F$27)*'Beneficios y costos'!$C$167)+($F$6*($F$22*Quesería!$J$113+(1-$F$22)*Quesería!$E$113)+$F$9*($F$22*Quesería!$J$119+(1-$F$22)*Quesería!$E$119))*(H224-1))*IF(H$47=2,Quesería!$B$20,1)+IF(H$47=2,Quesería!$B$24*$F$9*($F$22*Quesería!$J$119+(1-$F$22)*Quesería!$E$119)*H224,0))*$F$10*$F$21</f>
        <v>223.499579676623</v>
      </c>
      <c r="I230" s="29" t="n">
        <f aca="false">IF(I$47&lt;=1,0,((($F$22*Quesería!$J$127+(1-$F$22)*Quesería!$E$123)-($F$22*Quesería!$J$113+(1-$F$22)*Quesería!$E$113)+$F$6*($F$22*Quesería!$J$113+(1-$F$22)*Quesería!$E$113)-(1-$F$9)*(($F$22*Quesería!$J$119+(1-$F$22)*Quesería!$E$119)+($F$22*Quesería!$J$118+(1-$F$22)*Quesería!$E$118))-(1-$F$24)*($F$22*Quesería!$J$117+(1-$F$22)*Quesería!$E$117)+$F$24*(1-$F$25)*'Beneficios y costos'!$B$144-(-$F$26*$F$27)*'Beneficios y costos'!$C$167)+($F$6*($F$22*Quesería!$J$113+(1-$F$22)*Quesería!$E$113)+$F$9*($F$22*Quesería!$J$119+(1-$F$22)*Quesería!$E$119))*(I224-1))*IF(I$47=2,Quesería!$B$20,1)+IF(I$47=2,Quesería!$B$24*$F$9*($F$22*Quesería!$J$119+(1-$F$22)*Quesería!$E$119)*I224,0))*$F$10*$F$21</f>
        <v>223.561594793929</v>
      </c>
      <c r="J230" s="29" t="n">
        <f aca="false">IF(J$47&lt;=1,0,((($F$22*Quesería!$J$127+(1-$F$22)*Quesería!$E$123)-($F$22*Quesería!$J$113+(1-$F$22)*Quesería!$E$113)+$F$6*($F$22*Quesería!$J$113+(1-$F$22)*Quesería!$E$113)-(1-$F$9)*(($F$22*Quesería!$J$119+(1-$F$22)*Quesería!$E$119)+($F$22*Quesería!$J$118+(1-$F$22)*Quesería!$E$118))-(1-$F$24)*($F$22*Quesería!$J$117+(1-$F$22)*Quesería!$E$117)+$F$24*(1-$F$25)*'Beneficios y costos'!$B$144-(-$F$26*$F$27)*'Beneficios y costos'!$C$167)+($F$6*($F$22*Quesería!$J$113+(1-$F$22)*Quesería!$E$113)+$F$9*($F$22*Quesería!$J$119+(1-$F$22)*Quesería!$E$119))*(J224-1))*IF(J$47=2,Quesería!$B$20,1)+IF(J$47=2,Quesería!$B$24*$F$9*($F$22*Quesería!$J$119+(1-$F$22)*Quesería!$E$119)*J224,0))*$F$10*$F$21</f>
        <v>223.623919986821</v>
      </c>
      <c r="K230" s="29" t="n">
        <f aca="false">IF(K$47&lt;=1,0,((($F$22*Quesería!$J$127+(1-$F$22)*Quesería!$E$123)-($F$22*Quesería!$J$113+(1-$F$22)*Quesería!$E$113)+$F$6*($F$22*Quesería!$J$113+(1-$F$22)*Quesería!$E$113)-(1-$F$9)*(($F$22*Quesería!$J$119+(1-$F$22)*Quesería!$E$119)+($F$22*Quesería!$J$118+(1-$F$22)*Quesería!$E$118))-(1-$F$24)*($F$22*Quesería!$J$117+(1-$F$22)*Quesería!$E$117)+$F$24*(1-$F$25)*'Beneficios y costos'!$B$144-(-$F$26*$F$27)*'Beneficios y costos'!$C$167)+($F$6*($F$22*Quesería!$J$113+(1-$F$22)*Quesería!$E$113)+$F$9*($F$22*Quesería!$J$119+(1-$F$22)*Quesería!$E$119))*(K224-1))*IF(K$47=2,Quesería!$B$20,1)+IF(K$47=2,Quesería!$B$24*$F$9*($F$22*Quesería!$J$119+(1-$F$22)*Quesería!$E$119)*K224,0))*$F$10*$F$21</f>
        <v>223.686556805678</v>
      </c>
      <c r="L230" s="29" t="n">
        <f aca="false">IF(L$47&lt;=1,0,((($F$22*Quesería!$J$127+(1-$F$22)*Quesería!$E$123)-($F$22*Quesería!$J$113+(1-$F$22)*Quesería!$E$113)+$F$6*($F$22*Quesería!$J$113+(1-$F$22)*Quesería!$E$113)-(1-$F$9)*(($F$22*Quesería!$J$119+(1-$F$22)*Quesería!$E$119)+($F$22*Quesería!$J$118+(1-$F$22)*Quesería!$E$118))-(1-$F$24)*($F$22*Quesería!$J$117+(1-$F$22)*Quesería!$E$117)+$F$24*(1-$F$25)*'Beneficios y costos'!$B$144-(-$F$26*$F$27)*'Beneficios y costos'!$C$167)+($F$6*($F$22*Quesería!$J$113+(1-$F$22)*Quesería!$E$113)+$F$9*($F$22*Quesería!$J$119+(1-$F$22)*Quesería!$E$119))*(L224-1))*IF(L$47=2,Quesería!$B$20,1)+IF(L$47=2,Quesería!$B$24*$F$9*($F$22*Quesería!$J$119+(1-$F$22)*Quesería!$E$119)*L224,0))*$F$10*$F$21</f>
        <v>223.74950680863</v>
      </c>
    </row>
    <row r="231" customFormat="false" ht="15" hidden="true" customHeight="false" outlineLevel="1" collapsed="false">
      <c r="A231" s="5" t="s">
        <v>412</v>
      </c>
      <c r="B231" s="10" t="n">
        <f aca="false">B229+B230</f>
        <v>120.716772261203</v>
      </c>
      <c r="C231" s="10" t="n">
        <f aca="false">C229+C230</f>
        <v>181.328317354069</v>
      </c>
      <c r="D231" s="10" t="n">
        <f aca="false">D229+D230</f>
        <v>409.272519450491</v>
      </c>
      <c r="E231" s="10" t="n">
        <f aca="false">E229+E230</f>
        <v>465.207747086802</v>
      </c>
      <c r="F231" s="10" t="n">
        <f aca="false">F229+F230</f>
        <v>465.329935318547</v>
      </c>
      <c r="G231" s="10" t="n">
        <f aca="false">G229+G230</f>
        <v>465.45273449145</v>
      </c>
      <c r="H231" s="10" t="n">
        <f aca="false">H229+H230</f>
        <v>465.576147660218</v>
      </c>
      <c r="I231" s="10" t="n">
        <f aca="false">I229+I230</f>
        <v>465.70017789483</v>
      </c>
      <c r="J231" s="10" t="n">
        <f aca="false">J229+J230</f>
        <v>465.824828280615</v>
      </c>
      <c r="K231" s="10" t="n">
        <f aca="false">K229+K230</f>
        <v>465.950101918329</v>
      </c>
      <c r="L231" s="10" t="n">
        <f aca="false">L229+L230</f>
        <v>466.076001924232</v>
      </c>
    </row>
    <row r="232" customFormat="false" ht="15" hidden="true" customHeight="false" outlineLevel="1" collapsed="false">
      <c r="A232" s="6" t="s">
        <v>413</v>
      </c>
      <c r="B232" s="29" t="n">
        <f aca="false">(IF(B$47&gt;=1,(Quesería!$B$31+Quesería!$B$33)*Quesería!$F$94*$F$11+Quesería!$B$32+'Beneficios y costos'!$B$249,0)+IF(B$47&gt;=2,((Quesería!$B$31+Quesería!$B$33)*(Quesería!$F$95-(-$F$26)*Quesería!$D$86)*$F$11+'Beneficios y costos'!$C$249-(-$F$26)*'Beneficios y costos'!$H$235)*$F$21,0))*$F$12</f>
        <v>0</v>
      </c>
      <c r="C232" s="29" t="n">
        <f aca="false">(IF(C$47&gt;=1,(Quesería!$B$31+Quesería!$B$33)*Quesería!$F$94*$F$11+Quesería!$B$32+'Beneficios y costos'!$B$249,0)+IF(C$47&gt;=2,((Quesería!$B$31+Quesería!$B$33)*(Quesería!$F$95-(-$F$26)*Quesería!$D$86)*$F$11+'Beneficios y costos'!$C$249-(-$F$26)*'Beneficios y costos'!$H$235)*$F$21,0))*$F$12</f>
        <v>42.0946487260605</v>
      </c>
      <c r="D232" s="29" t="n">
        <f aca="false">(IF(D$47&gt;=1,(Quesería!$B$31+Quesería!$B$33)*Quesería!$F$94*$F$11+Quesería!$B$32+'Beneficios y costos'!$B$249,0)+IF(D$47&gt;=2,((Quesería!$B$31+Quesería!$B$33)*(Quesería!$F$95-(-$F$26)*Quesería!$D$86)*$F$11+'Beneficios y costos'!$C$249-(-$F$26)*'Beneficios y costos'!$H$235)*$F$21,0))*$F$12</f>
        <v>76.4964821173776</v>
      </c>
      <c r="E232" s="29" t="n">
        <f aca="false">(IF(E$47&gt;=1,(Quesería!$B$31+Quesería!$B$33)*Quesería!$F$94*$F$11+Quesería!$B$32+'Beneficios y costos'!$B$249,0)+IF(E$47&gt;=2,((Quesería!$B$31+Quesería!$B$33)*(Quesería!$F$95-(-$F$26)*Quesería!$D$86)*$F$11+'Beneficios y costos'!$C$249-(-$F$26)*'Beneficios y costos'!$H$235)*$F$21,0))*$F$12</f>
        <v>76.4964821173776</v>
      </c>
      <c r="F232" s="29" t="n">
        <f aca="false">(IF(F$47&gt;=1,(Quesería!$B$31+Quesería!$B$33)*Quesería!$F$94*$F$11+Quesería!$B$32+'Beneficios y costos'!$B$249,0)+IF(F$47&gt;=2,((Quesería!$B$31+Quesería!$B$33)*(Quesería!$F$95-(-$F$26)*Quesería!$D$86)*$F$11+'Beneficios y costos'!$C$249-(-$F$26)*'Beneficios y costos'!$H$235)*$F$21,0))*$F$12</f>
        <v>76.4964821173776</v>
      </c>
      <c r="G232" s="29" t="n">
        <f aca="false">(IF(G$47&gt;=1,(Quesería!$B$31+Quesería!$B$33)*Quesería!$F$94*$F$11+Quesería!$B$32+'Beneficios y costos'!$B$249,0)+IF(G$47&gt;=2,((Quesería!$B$31+Quesería!$B$33)*(Quesería!$F$95-(-$F$26)*Quesería!$D$86)*$F$11+'Beneficios y costos'!$C$249-(-$F$26)*'Beneficios y costos'!$H$235)*$F$21,0))*$F$12</f>
        <v>76.4964821173776</v>
      </c>
      <c r="H232" s="29" t="n">
        <f aca="false">(IF(H$47&gt;=1,(Quesería!$B$31+Quesería!$B$33)*Quesería!$F$94*$F$11+Quesería!$B$32+'Beneficios y costos'!$B$249,0)+IF(H$47&gt;=2,((Quesería!$B$31+Quesería!$B$33)*(Quesería!$F$95-(-$F$26)*Quesería!$D$86)*$F$11+'Beneficios y costos'!$C$249-(-$F$26)*'Beneficios y costos'!$H$235)*$F$21,0))*$F$12</f>
        <v>76.4964821173776</v>
      </c>
      <c r="I232" s="29" t="n">
        <f aca="false">(IF(I$47&gt;=1,(Quesería!$B$31+Quesería!$B$33)*Quesería!$F$94*$F$11+Quesería!$B$32+'Beneficios y costos'!$B$249,0)+IF(I$47&gt;=2,((Quesería!$B$31+Quesería!$B$33)*(Quesería!$F$95-(-$F$26)*Quesería!$D$86)*$F$11+'Beneficios y costos'!$C$249-(-$F$26)*'Beneficios y costos'!$H$235)*$F$21,0))*$F$12</f>
        <v>76.4964821173776</v>
      </c>
      <c r="J232" s="29" t="n">
        <f aca="false">(IF(J$47&gt;=1,(Quesería!$B$31+Quesería!$B$33)*Quesería!$F$94*$F$11+Quesería!$B$32+'Beneficios y costos'!$B$249,0)+IF(J$47&gt;=2,((Quesería!$B$31+Quesería!$B$33)*(Quesería!$F$95-(-$F$26)*Quesería!$D$86)*$F$11+'Beneficios y costos'!$C$249-(-$F$26)*'Beneficios y costos'!$H$235)*$F$21,0))*$F$12</f>
        <v>76.4964821173776</v>
      </c>
      <c r="K232" s="29" t="n">
        <f aca="false">(IF(K$47&gt;=1,(Quesería!$B$31+Quesería!$B$33)*Quesería!$F$94*$F$11+Quesería!$B$32+'Beneficios y costos'!$B$249,0)+IF(K$47&gt;=2,((Quesería!$B$31+Quesería!$B$33)*(Quesería!$F$95-(-$F$26)*Quesería!$D$86)*$F$11+'Beneficios y costos'!$C$249-(-$F$26)*'Beneficios y costos'!$H$235)*$F$21,0))*$F$12</f>
        <v>76.4964821173776</v>
      </c>
      <c r="L232" s="29" t="n">
        <f aca="false">(IF(L$47&gt;=1,(Quesería!$B$31+Quesería!$B$33)*Quesería!$F$94*$F$11+Quesería!$B$32+'Beneficios y costos'!$B$249,0)+IF(L$47&gt;=2,((Quesería!$B$31+Quesería!$B$33)*(Quesería!$F$95-(-$F$26)*Quesería!$D$86)*$F$11+'Beneficios y costos'!$C$249-(-$F$26)*'Beneficios y costos'!$H$235)*$F$21,0))*$F$12</f>
        <v>76.4964821173776</v>
      </c>
    </row>
    <row r="233" customFormat="false" ht="15" hidden="true" customHeight="false" outlineLevel="1" collapsed="false">
      <c r="A233" s="6" t="s">
        <v>414</v>
      </c>
      <c r="B233" s="29" t="n">
        <f aca="false">IF(B$47=1,2*Quesería!$B$22*Quesería!$B$23/12*B224,0)*$F$21</f>
        <v>0</v>
      </c>
      <c r="C233" s="29" t="n">
        <f aca="false">IF(C$47=1,2*Quesería!$B$22*Quesería!$B$23/12*C224,0)*$F$21</f>
        <v>18.5166509433962</v>
      </c>
      <c r="D233" s="29" t="n">
        <f aca="false">IF(D$47=1,2*Quesería!$B$22*Quesería!$B$23/12*D224,0)*$F$21</f>
        <v>0</v>
      </c>
      <c r="E233" s="29" t="n">
        <f aca="false">IF(E$47=1,2*Quesería!$B$22*Quesería!$B$23/12*E224,0)*$F$21</f>
        <v>0</v>
      </c>
      <c r="F233" s="29" t="n">
        <f aca="false">IF(F$47=1,2*Quesería!$B$22*Quesería!$B$23/12*F224,0)*$F$21</f>
        <v>0</v>
      </c>
      <c r="G233" s="29" t="n">
        <f aca="false">IF(G$47=1,2*Quesería!$B$22*Quesería!$B$23/12*G224,0)*$F$21</f>
        <v>0</v>
      </c>
      <c r="H233" s="29" t="n">
        <f aca="false">IF(H$47=1,2*Quesería!$B$22*Quesería!$B$23/12*H224,0)*$F$21</f>
        <v>0</v>
      </c>
      <c r="I233" s="29" t="n">
        <f aca="false">IF(I$47=1,2*Quesería!$B$22*Quesería!$B$23/12*I224,0)*$F$21</f>
        <v>0</v>
      </c>
      <c r="J233" s="29" t="n">
        <f aca="false">IF(J$47=1,2*Quesería!$B$22*Quesería!$B$23/12*J224,0)*$F$21</f>
        <v>0</v>
      </c>
      <c r="K233" s="29" t="n">
        <f aca="false">IF(K$47=1,2*Quesería!$B$22*Quesería!$B$23/12*K224,0)*$F$21</f>
        <v>0</v>
      </c>
      <c r="L233" s="29" t="n">
        <f aca="false">IF(L$47=1,2*Quesería!$B$22*Quesería!$B$23/12*L224,0)*$F$21</f>
        <v>0</v>
      </c>
    </row>
    <row r="234" customFormat="false" ht="15" hidden="true" customHeight="false" outlineLevel="1" collapsed="false">
      <c r="A234" s="6" t="s">
        <v>415</v>
      </c>
      <c r="B234" s="29" t="n">
        <f aca="false">Quesería!$B$52*(B226+B227+B228+B232+B233)</f>
        <v>4.31966364396742</v>
      </c>
      <c r="C234" s="29" t="n">
        <f aca="false">Quesería!$B$52*(C226+C227+C228+C232+C233)</f>
        <v>3.37675795604844</v>
      </c>
      <c r="D234" s="29" t="n">
        <f aca="false">Quesería!$B$52*(D226+D227+D228+D232+D233)</f>
        <v>0.305985928469511</v>
      </c>
      <c r="E234" s="29" t="n">
        <f aca="false">Quesería!$B$52*(E226+E227+E228+E232+E233)</f>
        <v>0.305985928469511</v>
      </c>
      <c r="F234" s="29" t="n">
        <f aca="false">Quesería!$B$52*(F226+F227+F228+F232+F233)</f>
        <v>0.305985928469511</v>
      </c>
      <c r="G234" s="29" t="n">
        <f aca="false">Quesería!$B$52*(G226+G227+G228+G232+G233)</f>
        <v>0.436720362669349</v>
      </c>
      <c r="H234" s="29" t="n">
        <f aca="false">Quesería!$B$52*(H226+H227+H228+H232+H233)</f>
        <v>0.526798309653658</v>
      </c>
      <c r="I234" s="29" t="n">
        <f aca="false">Quesería!$B$52*(I226+I227+I228+I232+I233)</f>
        <v>0.305985928469511</v>
      </c>
      <c r="J234" s="29" t="n">
        <f aca="false">Quesería!$B$52*(J226+J227+J228+J232+J233)</f>
        <v>0.305985928469511</v>
      </c>
      <c r="K234" s="29" t="n">
        <f aca="false">Quesería!$B$52*(K226+K227+K228+K232+K233)</f>
        <v>0.305985928469511</v>
      </c>
      <c r="L234" s="29" t="n">
        <f aca="false">Quesería!$B$52*(L226+L227+L228+L232+L233)</f>
        <v>0.305985928469511</v>
      </c>
    </row>
    <row r="235" customFormat="false" ht="15" hidden="true" customHeight="false" outlineLevel="1" collapsed="false">
      <c r="A235" s="6" t="s">
        <v>416</v>
      </c>
      <c r="B235" s="29" t="n">
        <f aca="false">(IF($F$19=1,(SUMPRODUCT((Quesería!$C$70:$C$89=0)*(Quesería!$J$70:$J$89&gt;0)*(B$47&gt;=1)*(B$47&lt;=Quesería!$J$70:$J$89)*(Quesería!$H$70:$H$89&gt;0)*Quesería!$F$70:$F$89*(1+Quesería!$I$70:$I$89)/(Quesería!$J$70:$J$89+(Quesería!$J$70:$J$89=0)))+SUMPRODUCT((Quesería!$C$70:$C$89=0)*(Quesería!$J$70:$J$89=0)*(B$47=0)*(Quesería!$H$70:$H$89&gt;0)*Quesería!$F$70:$F$89*(1+Quesería!$I$70:$I$89)))*$B$223+((SUMPRODUCT((Quesería!$C$70:$C$89=1)*(Quesería!$J$70:$J$89&gt;0)*(B$47&gt;=2)*(B$47&lt;=Quesería!$J$70:$J$89+1)*(Quesería!$H$70:$H$89&gt;0)*Quesería!$F$70:$F$89*(1+Quesería!$I$70:$I$89)/(Quesería!$J$70:$J$89+(Quesería!$J$70:$J$89=0)))+SUMPRODUCT((Quesería!$C$70:$C$89=1)*(Quesería!$J$70:$J$89=0)*(B$47=1)*(Quesería!$H$70:$H$89&gt;0)*Quesería!$F$70:$F$89*(1+Quesería!$I$70:$I$89)))-(-$F$26)*IF(AND(B$47&gt;=2,B$47&lt;=Quesería!$J$86+1),Quesería!$D$86*(1+Quesería!$I$86)/Quesería!$J$86,0))*$C$223*$F$21,IF(AND(B$47&gt;=1,B$47&lt;=Quesería!$B$30),Quesería!$F$92/Quesería!$B$30,0)*$B$223+IF(AND(B$47&gt;=2,B$47&lt;=Quesería!$B$30+1),(Quesería!$F$93-(-$F$26)*Quesería!$D$86*(1+Quesería!$I$86))/Quesería!$B$30,0)*$C$223*$F$21)*$F$11+IF(AND(B$47&gt;=6,B$47&lt;=10),$G227*$G223/5,0)+IF(AND(B$47&gt;=7,B$47&lt;=11),$H227*$H223/5,0))*B225</f>
        <v>145.980915430742</v>
      </c>
      <c r="C235" s="29" t="n">
        <f aca="false">(IF($F$19=1,(SUMPRODUCT((Quesería!$C$70:$C$89=0)*(Quesería!$J$70:$J$89&gt;0)*(C$47&gt;=1)*(C$47&lt;=Quesería!$J$70:$J$89)*(Quesería!$H$70:$H$89&gt;0)*Quesería!$F$70:$F$89*(1+Quesería!$I$70:$I$89)/(Quesería!$J$70:$J$89+(Quesería!$J$70:$J$89=0)))+SUMPRODUCT((Quesería!$C$70:$C$89=0)*(Quesería!$J$70:$J$89=0)*(C$47=0)*(Quesería!$H$70:$H$89&gt;0)*Quesería!$F$70:$F$89*(1+Quesería!$I$70:$I$89)))*$B$223+((SUMPRODUCT((Quesería!$C$70:$C$89=1)*(Quesería!$J$70:$J$89&gt;0)*(C$47&gt;=2)*(C$47&lt;=Quesería!$J$70:$J$89+1)*(Quesería!$H$70:$H$89&gt;0)*Quesería!$F$70:$F$89*(1+Quesería!$I$70:$I$89)/(Quesería!$J$70:$J$89+(Quesería!$J$70:$J$89=0)))+SUMPRODUCT((Quesería!$C$70:$C$89=1)*(Quesería!$J$70:$J$89=0)*(C$47=1)*(Quesería!$H$70:$H$89&gt;0)*Quesería!$F$70:$F$89*(1+Quesería!$I$70:$I$89)))-(-$F$26)*IF(AND(C$47&gt;=2,C$47&lt;=Quesería!$J$86+1),Quesería!$D$86*(1+Quesería!$I$86)/Quesería!$J$86,0))*$C$223*$F$21,IF(AND(C$47&gt;=1,C$47&lt;=Quesería!$B$30),Quesería!$F$92/Quesería!$B$30,0)*$B$223+IF(AND(C$47&gt;=2,C$47&lt;=Quesería!$B$30+1),(Quesería!$F$93-(-$F$26)*Quesería!$D$86*(1+Quesería!$I$86))/Quesería!$B$30,0)*$C$223*$F$21)*$F$11+IF(AND(C$47&gt;=6,C$47&lt;=10),$G227*$G223/5,0)+IF(AND(C$47&gt;=7,C$47&lt;=11),$H227*$H223/5,0))*C225</f>
        <v>82.2633269524265</v>
      </c>
      <c r="D235" s="29" t="n">
        <f aca="false">(IF($F$19=1,(SUMPRODUCT((Quesería!$C$70:$C$89=0)*(Quesería!$J$70:$J$89&gt;0)*(D$47&gt;=1)*(D$47&lt;=Quesería!$J$70:$J$89)*(Quesería!$H$70:$H$89&gt;0)*Quesería!$F$70:$F$89*(1+Quesería!$I$70:$I$89)/(Quesería!$J$70:$J$89+(Quesería!$J$70:$J$89=0)))+SUMPRODUCT((Quesería!$C$70:$C$89=0)*(Quesería!$J$70:$J$89=0)*(D$47=0)*(Quesería!$H$70:$H$89&gt;0)*Quesería!$F$70:$F$89*(1+Quesería!$I$70:$I$89)))*$B$223+((SUMPRODUCT((Quesería!$C$70:$C$89=1)*(Quesería!$J$70:$J$89&gt;0)*(D$47&gt;=2)*(D$47&lt;=Quesería!$J$70:$J$89+1)*(Quesería!$H$70:$H$89&gt;0)*Quesería!$F$70:$F$89*(1+Quesería!$I$70:$I$89)/(Quesería!$J$70:$J$89+(Quesería!$J$70:$J$89=0)))+SUMPRODUCT((Quesería!$C$70:$C$89=1)*(Quesería!$J$70:$J$89=0)*(D$47=1)*(Quesería!$H$70:$H$89&gt;0)*Quesería!$F$70:$F$89*(1+Quesería!$I$70:$I$89)))-(-$F$26)*IF(AND(D$47&gt;=2,D$47&lt;=Quesería!$J$86+1),Quesería!$D$86*(1+Quesería!$I$86)/Quesería!$J$86,0))*$C$223*$F$21,IF(AND(D$47&gt;=1,D$47&lt;=Quesería!$B$30),Quesería!$F$92/Quesería!$B$30,0)*$B$223+IF(AND(D$47&gt;=2,D$47&lt;=Quesería!$B$30+1),(Quesería!$F$93-(-$F$26)*Quesería!$D$86*(1+Quesería!$I$86))/Quesería!$B$30,0)*$C$223*$F$21)*$F$11+IF(AND(D$47&gt;=6,D$47&lt;=10),$G227*$G223/5,0)+IF(AND(D$47&gt;=7,D$47&lt;=11),$H227*$H223/5,0))*D225</f>
        <v>141.732280975958</v>
      </c>
      <c r="E235" s="29" t="n">
        <f aca="false">(IF($F$19=1,(SUMPRODUCT((Quesería!$C$70:$C$89=0)*(Quesería!$J$70:$J$89&gt;0)*(E$47&gt;=1)*(E$47&lt;=Quesería!$J$70:$J$89)*(Quesería!$H$70:$H$89&gt;0)*Quesería!$F$70:$F$89*(1+Quesería!$I$70:$I$89)/(Quesería!$J$70:$J$89+(Quesería!$J$70:$J$89=0)))+SUMPRODUCT((Quesería!$C$70:$C$89=0)*(Quesería!$J$70:$J$89=0)*(E$47=0)*(Quesería!$H$70:$H$89&gt;0)*Quesería!$F$70:$F$89*(1+Quesería!$I$70:$I$89)))*$B$223+((SUMPRODUCT((Quesería!$C$70:$C$89=1)*(Quesería!$J$70:$J$89&gt;0)*(E$47&gt;=2)*(E$47&lt;=Quesería!$J$70:$J$89+1)*(Quesería!$H$70:$H$89&gt;0)*Quesería!$F$70:$F$89*(1+Quesería!$I$70:$I$89)/(Quesería!$J$70:$J$89+(Quesería!$J$70:$J$89=0)))+SUMPRODUCT((Quesería!$C$70:$C$89=1)*(Quesería!$J$70:$J$89=0)*(E$47=1)*(Quesería!$H$70:$H$89&gt;0)*Quesería!$F$70:$F$89*(1+Quesería!$I$70:$I$89)))-(-$F$26)*IF(AND(E$47&gt;=2,E$47&lt;=Quesería!$J$86+1),Quesería!$D$86*(1+Quesería!$I$86)/Quesería!$J$86,0))*$C$223*$F$21,IF(AND(E$47&gt;=1,E$47&lt;=Quesería!$B$30),Quesería!$F$92/Quesería!$B$30,0)*$B$223+IF(AND(E$47&gt;=2,E$47&lt;=Quesería!$B$30+1),(Quesería!$F$93-(-$F$26)*Quesería!$D$86*(1+Quesería!$I$86))/Quesería!$B$30,0)*$C$223*$F$21)*$F$11+IF(AND(E$47&gt;=6,E$47&lt;=10),$G227*$G223/5,0)+IF(AND(E$47&gt;=7,E$47&lt;=11),$H227*$H223/5,0))*E225</f>
        <v>136.28103939996</v>
      </c>
      <c r="F235" s="29" t="n">
        <f aca="false">(IF($F$19=1,(SUMPRODUCT((Quesería!$C$70:$C$89=0)*(Quesería!$J$70:$J$89&gt;0)*(F$47&gt;=1)*(F$47&lt;=Quesería!$J$70:$J$89)*(Quesería!$H$70:$H$89&gt;0)*Quesería!$F$70:$F$89*(1+Quesería!$I$70:$I$89)/(Quesería!$J$70:$J$89+(Quesería!$J$70:$J$89=0)))+SUMPRODUCT((Quesería!$C$70:$C$89=0)*(Quesería!$J$70:$J$89=0)*(F$47=0)*(Quesería!$H$70:$H$89&gt;0)*Quesería!$F$70:$F$89*(1+Quesería!$I$70:$I$89)))*$B$223+((SUMPRODUCT((Quesería!$C$70:$C$89=1)*(Quesería!$J$70:$J$89&gt;0)*(F$47&gt;=2)*(F$47&lt;=Quesería!$J$70:$J$89+1)*(Quesería!$H$70:$H$89&gt;0)*Quesería!$F$70:$F$89*(1+Quesería!$I$70:$I$89)/(Quesería!$J$70:$J$89+(Quesería!$J$70:$J$89=0)))+SUMPRODUCT((Quesería!$C$70:$C$89=1)*(Quesería!$J$70:$J$89=0)*(F$47=1)*(Quesería!$H$70:$H$89&gt;0)*Quesería!$F$70:$F$89*(1+Quesería!$I$70:$I$89)))-(-$F$26)*IF(AND(F$47&gt;=2,F$47&lt;=Quesería!$J$86+1),Quesería!$D$86*(1+Quesería!$I$86)/Quesería!$J$86,0))*$C$223*$F$21,IF(AND(F$47&gt;=1,F$47&lt;=Quesería!$B$30),Quesería!$F$92/Quesería!$B$30,0)*$B$223+IF(AND(F$47&gt;=2,F$47&lt;=Quesería!$B$30+1),(Quesería!$F$93-(-$F$26)*Quesería!$D$86*(1+Quesería!$I$86))/Quesería!$B$30,0)*$C$223*$F$21)*$F$11+IF(AND(F$47&gt;=6,F$47&lt;=10),$G227*$G223/5,0)+IF(AND(F$47&gt;=7,F$47&lt;=11),$H227*$H223/5,0))*F225</f>
        <v>131.0394609615</v>
      </c>
      <c r="G235" s="29" t="n">
        <f aca="false">(IF($F$19=1,(SUMPRODUCT((Quesería!$C$70:$C$89=0)*(Quesería!$J$70:$J$89&gt;0)*(G$47&gt;=1)*(G$47&lt;=Quesería!$J$70:$J$89)*(Quesería!$H$70:$H$89&gt;0)*Quesería!$F$70:$F$89*(1+Quesería!$I$70:$I$89)/(Quesería!$J$70:$J$89+(Quesería!$J$70:$J$89=0)))+SUMPRODUCT((Quesería!$C$70:$C$89=0)*(Quesería!$J$70:$J$89=0)*(G$47=0)*(Quesería!$H$70:$H$89&gt;0)*Quesería!$F$70:$F$89*(1+Quesería!$I$70:$I$89)))*$B$223+((SUMPRODUCT((Quesería!$C$70:$C$89=1)*(Quesería!$J$70:$J$89&gt;0)*(G$47&gt;=2)*(G$47&lt;=Quesería!$J$70:$J$89+1)*(Quesería!$H$70:$H$89&gt;0)*Quesería!$F$70:$F$89*(1+Quesería!$I$70:$I$89)/(Quesería!$J$70:$J$89+(Quesería!$J$70:$J$89=0)))+SUMPRODUCT((Quesería!$C$70:$C$89=1)*(Quesería!$J$70:$J$89=0)*(G$47=1)*(Quesería!$H$70:$H$89&gt;0)*Quesería!$F$70:$F$89*(1+Quesería!$I$70:$I$89)))-(-$F$26)*IF(AND(G$47&gt;=2,G$47&lt;=Quesería!$J$86+1),Quesería!$D$86*(1+Quesería!$I$86)/Quesería!$J$86,0))*$C$223*$F$21,IF(AND(G$47&gt;=1,G$47&lt;=Quesería!$B$30),Quesería!$F$92/Quesería!$B$30,0)*$B$223+IF(AND(G$47&gt;=2,G$47&lt;=Quesería!$B$30+1),(Quesería!$F$93-(-$F$26)*Quesería!$D$86*(1+Quesería!$I$86))/Quesería!$B$30,0)*$C$223*$F$21)*$F$11+IF(AND(G$47&gt;=6,G$47&lt;=10),$G227*$G223/5,0)+IF(AND(G$47&gt;=7,G$47&lt;=11),$H227*$H223/5,0))*G225</f>
        <v>125.99948169375</v>
      </c>
      <c r="H235" s="29" t="n">
        <f aca="false">(IF($F$19=1,(SUMPRODUCT((Quesería!$C$70:$C$89=0)*(Quesería!$J$70:$J$89&gt;0)*(H$47&gt;=1)*(H$47&lt;=Quesería!$J$70:$J$89)*(Quesería!$H$70:$H$89&gt;0)*Quesería!$F$70:$F$89*(1+Quesería!$I$70:$I$89)/(Quesería!$J$70:$J$89+(Quesería!$J$70:$J$89=0)))+SUMPRODUCT((Quesería!$C$70:$C$89=0)*(Quesería!$J$70:$J$89=0)*(H$47=0)*(Quesería!$H$70:$H$89&gt;0)*Quesería!$F$70:$F$89*(1+Quesería!$I$70:$I$89)))*$B$223+((SUMPRODUCT((Quesería!$C$70:$C$89=1)*(Quesería!$J$70:$J$89&gt;0)*(H$47&gt;=2)*(H$47&lt;=Quesería!$J$70:$J$89+1)*(Quesería!$H$70:$H$89&gt;0)*Quesería!$F$70:$F$89*(1+Quesería!$I$70:$I$89)/(Quesería!$J$70:$J$89+(Quesería!$J$70:$J$89=0)))+SUMPRODUCT((Quesería!$C$70:$C$89=1)*(Quesería!$J$70:$J$89=0)*(H$47=1)*(Quesería!$H$70:$H$89&gt;0)*Quesería!$F$70:$F$89*(1+Quesería!$I$70:$I$89)))-(-$F$26)*IF(AND(H$47&gt;=2,H$47&lt;=Quesería!$J$86+1),Quesería!$D$86*(1+Quesería!$I$86)/Quesería!$J$86,0))*$C$223*$F$21,IF(AND(H$47&gt;=1,H$47&lt;=Quesería!$B$30),Quesería!$F$92/Quesería!$B$30,0)*$B$223+IF(AND(H$47&gt;=2,H$47&lt;=Quesería!$B$30+1),(Quesería!$F$93-(-$F$26)*Quesería!$D$86*(1+Quesería!$I$86))/Quesería!$B$30,0)*$C$223*$F$21)*$F$11+IF(AND(H$47&gt;=6,H$47&lt;=10),$G227*$G223/5,0)+IF(AND(H$47&gt;=7,H$47&lt;=11),$H227*$H223/5,0))*H225</f>
        <v>114.13472617855</v>
      </c>
      <c r="I235" s="29" t="n">
        <f aca="false">(IF($F$19=1,(SUMPRODUCT((Quesería!$C$70:$C$89=0)*(Quesería!$J$70:$J$89&gt;0)*(I$47&gt;=1)*(I$47&lt;=Quesería!$J$70:$J$89)*(Quesería!$H$70:$H$89&gt;0)*Quesería!$F$70:$F$89*(1+Quesería!$I$70:$I$89)/(Quesería!$J$70:$J$89+(Quesería!$J$70:$J$89=0)))+SUMPRODUCT((Quesería!$C$70:$C$89=0)*(Quesería!$J$70:$J$89=0)*(I$47=0)*(Quesería!$H$70:$H$89&gt;0)*Quesería!$F$70:$F$89*(1+Quesería!$I$70:$I$89)))*$B$223+((SUMPRODUCT((Quesería!$C$70:$C$89=1)*(Quesería!$J$70:$J$89&gt;0)*(I$47&gt;=2)*(I$47&lt;=Quesería!$J$70:$J$89+1)*(Quesería!$H$70:$H$89&gt;0)*Quesería!$F$70:$F$89*(1+Quesería!$I$70:$I$89)/(Quesería!$J$70:$J$89+(Quesería!$J$70:$J$89=0)))+SUMPRODUCT((Quesería!$C$70:$C$89=1)*(Quesería!$J$70:$J$89=0)*(I$47=1)*(Quesería!$H$70:$H$89&gt;0)*Quesería!$F$70:$F$89*(1+Quesería!$I$70:$I$89)))-(-$F$26)*IF(AND(I$47&gt;=2,I$47&lt;=Quesería!$J$86+1),Quesería!$D$86*(1+Quesería!$I$86)/Quesería!$J$86,0))*$C$223*$F$21,IF(AND(I$47&gt;=1,I$47&lt;=Quesería!$B$30),Quesería!$F$92/Quesería!$B$30,0)*$B$223+IF(AND(I$47&gt;=2,I$47&lt;=Quesería!$B$30+1),(Quesería!$F$93-(-$F$26)*Quesería!$D$86*(1+Quesería!$I$86))/Quesería!$B$30,0)*$C$223*$F$21)*$F$11+IF(AND(I$47&gt;=6,I$47&lt;=10),$G227*$G223/5,0)+IF(AND(I$47&gt;=7,I$47&lt;=11),$H227*$H223/5,0))*I225</f>
        <v>118.665920500713</v>
      </c>
      <c r="J235" s="29" t="n">
        <f aca="false">(IF($F$19=1,(SUMPRODUCT((Quesería!$C$70:$C$89=0)*(Quesería!$J$70:$J$89&gt;0)*(J$47&gt;=1)*(J$47&lt;=Quesería!$J$70:$J$89)*(Quesería!$H$70:$H$89&gt;0)*Quesería!$F$70:$F$89*(1+Quesería!$I$70:$I$89)/(Quesería!$J$70:$J$89+(Quesería!$J$70:$J$89=0)))+SUMPRODUCT((Quesería!$C$70:$C$89=0)*(Quesería!$J$70:$J$89=0)*(J$47=0)*(Quesería!$H$70:$H$89&gt;0)*Quesería!$F$70:$F$89*(1+Quesería!$I$70:$I$89)))*$B$223+((SUMPRODUCT((Quesería!$C$70:$C$89=1)*(Quesería!$J$70:$J$89&gt;0)*(J$47&gt;=2)*(J$47&lt;=Quesería!$J$70:$J$89+1)*(Quesería!$H$70:$H$89&gt;0)*Quesería!$F$70:$F$89*(1+Quesería!$I$70:$I$89)/(Quesería!$J$70:$J$89+(Quesería!$J$70:$J$89=0)))+SUMPRODUCT((Quesería!$C$70:$C$89=1)*(Quesería!$J$70:$J$89=0)*(J$47=1)*(Quesería!$H$70:$H$89&gt;0)*Quesería!$F$70:$F$89*(1+Quesería!$I$70:$I$89)))-(-$F$26)*IF(AND(J$47&gt;=2,J$47&lt;=Quesería!$J$86+1),Quesería!$D$86*(1+Quesería!$I$86)/Quesería!$J$86,0))*$C$223*$F$21,IF(AND(J$47&gt;=1,J$47&lt;=Quesería!$B$30),Quesería!$F$92/Quesería!$B$30,0)*$B$223+IF(AND(J$47&gt;=2,J$47&lt;=Quesería!$B$30+1),(Quesería!$F$93-(-$F$26)*Quesería!$D$86*(1+Quesería!$I$86))/Quesería!$B$30,0)*$C$223*$F$21)*$F$11+IF(AND(J$47&gt;=6,J$47&lt;=10),$G227*$G223/5,0)+IF(AND(J$47&gt;=7,J$47&lt;=11),$H227*$H223/5,0))*J225</f>
        <v>114.101846635301</v>
      </c>
      <c r="K235" s="29" t="n">
        <f aca="false">(IF($F$19=1,(SUMPRODUCT((Quesería!$C$70:$C$89=0)*(Quesería!$J$70:$J$89&gt;0)*(K$47&gt;=1)*(K$47&lt;=Quesería!$J$70:$J$89)*(Quesería!$H$70:$H$89&gt;0)*Quesería!$F$70:$F$89*(1+Quesería!$I$70:$I$89)/(Quesería!$J$70:$J$89+(Quesería!$J$70:$J$89=0)))+SUMPRODUCT((Quesería!$C$70:$C$89=0)*(Quesería!$J$70:$J$89=0)*(K$47=0)*(Quesería!$H$70:$H$89&gt;0)*Quesería!$F$70:$F$89*(1+Quesería!$I$70:$I$89)))*$B$223+((SUMPRODUCT((Quesería!$C$70:$C$89=1)*(Quesería!$J$70:$J$89&gt;0)*(K$47&gt;=2)*(K$47&lt;=Quesería!$J$70:$J$89+1)*(Quesería!$H$70:$H$89&gt;0)*Quesería!$F$70:$F$89*(1+Quesería!$I$70:$I$89)/(Quesería!$J$70:$J$89+(Quesería!$J$70:$J$89=0)))+SUMPRODUCT((Quesería!$C$70:$C$89=1)*(Quesería!$J$70:$J$89=0)*(K$47=1)*(Quesería!$H$70:$H$89&gt;0)*Quesería!$F$70:$F$89*(1+Quesería!$I$70:$I$89)))-(-$F$26)*IF(AND(K$47&gt;=2,K$47&lt;=Quesería!$J$86+1),Quesería!$D$86*(1+Quesería!$I$86)/Quesería!$J$86,0))*$C$223*$F$21,IF(AND(K$47&gt;=1,K$47&lt;=Quesería!$B$30),Quesería!$F$92/Quesería!$B$30,0)*$B$223+IF(AND(K$47&gt;=2,K$47&lt;=Quesería!$B$30+1),(Quesería!$F$93-(-$F$26)*Quesería!$D$86*(1+Quesería!$I$86))/Quesería!$B$30,0)*$C$223*$F$21)*$F$11+IF(AND(K$47&gt;=6,K$47&lt;=10),$G227*$G223/5,0)+IF(AND(K$47&gt;=7,K$47&lt;=11),$H227*$H223/5,0))*K225</f>
        <v>109.713314072405</v>
      </c>
      <c r="L235" s="29" t="n">
        <f aca="false">(IF($F$19=1,(SUMPRODUCT((Quesería!$C$70:$C$89=0)*(Quesería!$J$70:$J$89&gt;0)*(L$47&gt;=1)*(L$47&lt;=Quesería!$J$70:$J$89)*(Quesería!$H$70:$H$89&gt;0)*Quesería!$F$70:$F$89*(1+Quesería!$I$70:$I$89)/(Quesería!$J$70:$J$89+(Quesería!$J$70:$J$89=0)))+SUMPRODUCT((Quesería!$C$70:$C$89=0)*(Quesería!$J$70:$J$89=0)*(L$47=0)*(Quesería!$H$70:$H$89&gt;0)*Quesería!$F$70:$F$89*(1+Quesería!$I$70:$I$89)))*$B$223+((SUMPRODUCT((Quesería!$C$70:$C$89=1)*(Quesería!$J$70:$J$89&gt;0)*(L$47&gt;=2)*(L$47&lt;=Quesería!$J$70:$J$89+1)*(Quesería!$H$70:$H$89&gt;0)*Quesería!$F$70:$F$89*(1+Quesería!$I$70:$I$89)/(Quesería!$J$70:$J$89+(Quesería!$J$70:$J$89=0)))+SUMPRODUCT((Quesería!$C$70:$C$89=1)*(Quesería!$J$70:$J$89=0)*(L$47=1)*(Quesería!$H$70:$H$89&gt;0)*Quesería!$F$70:$F$89*(1+Quesería!$I$70:$I$89)))-(-$F$26)*IF(AND(L$47&gt;=2,L$47&lt;=Quesería!$J$86+1),Quesería!$D$86*(1+Quesería!$I$86)/Quesería!$J$86,0))*$C$223*$F$21,IF(AND(L$47&gt;=1,L$47&lt;=Quesería!$B$30),Quesería!$F$92/Quesería!$B$30,0)*$B$223+IF(AND(L$47&gt;=2,L$47&lt;=Quesería!$B$30+1),(Quesería!$F$93-(-$F$26)*Quesería!$D$86*(1+Quesería!$I$86))/Quesería!$B$30,0)*$C$223*$F$21)*$F$11+IF(AND(L$47&gt;=6,L$47&lt;=10),$G227*$G223/5,0)+IF(AND(L$47&gt;=7,L$47&lt;=11),$H227*$H223/5,0))*L225</f>
        <v>105.493571223466</v>
      </c>
    </row>
    <row r="236" customFormat="false" ht="15" hidden="true" customHeight="false" outlineLevel="1" collapsed="false">
      <c r="A236" s="9" t="s">
        <v>417</v>
      </c>
      <c r="B236" s="58" t="n">
        <f aca="false">IF(B$47=1,MIN($F$7*$F$26*Quesería!$B$56*Quesería!$D$86*$F$11*$F$21,Quesería!$B$57*Quesería!$B$58),0)</f>
        <v>0</v>
      </c>
      <c r="C236" s="58" t="n">
        <f aca="false">IF(C$47=1,MIN($F$7*$F$26*Quesería!$B$56*Quesería!$D$86*$F$11*$F$21,Quesería!$B$57*Quesería!$B$58),0)</f>
        <v>0</v>
      </c>
      <c r="D236" s="58" t="n">
        <f aca="false">IF(D$47=1,MIN($F$7*$F$26*Quesería!$B$56*Quesería!$D$86*$F$11*$F$21,Quesería!$B$57*Quesería!$B$58),0)</f>
        <v>0</v>
      </c>
      <c r="E236" s="58" t="n">
        <f aca="false">IF(E$47=1,MIN($F$7*$F$26*Quesería!$B$56*Quesería!$D$86*$F$11*$F$21,Quesería!$B$57*Quesería!$B$58),0)</f>
        <v>0</v>
      </c>
      <c r="F236" s="58" t="n">
        <f aca="false">IF(F$47=1,MIN($F$7*$F$26*Quesería!$B$56*Quesería!$D$86*$F$11*$F$21,Quesería!$B$57*Quesería!$B$58),0)</f>
        <v>0</v>
      </c>
      <c r="G236" s="58" t="n">
        <f aca="false">IF(G$47=1,MIN($F$7*$F$26*Quesería!$B$56*Quesería!$D$86*$F$11*$F$21,Quesería!$B$57*Quesería!$B$58),0)</f>
        <v>0</v>
      </c>
      <c r="H236" s="58" t="n">
        <f aca="false">IF(H$47=1,MIN($F$7*$F$26*Quesería!$B$56*Quesería!$D$86*$F$11*$F$21,Quesería!$B$57*Quesería!$B$58),0)</f>
        <v>0</v>
      </c>
      <c r="I236" s="58" t="n">
        <f aca="false">IF(I$47=1,MIN($F$7*$F$26*Quesería!$B$56*Quesería!$D$86*$F$11*$F$21,Quesería!$B$57*Quesería!$B$58),0)</f>
        <v>0</v>
      </c>
      <c r="J236" s="58" t="n">
        <f aca="false">IF(J$47=1,MIN($F$7*$F$26*Quesería!$B$56*Quesería!$D$86*$F$11*$F$21,Quesería!$B$57*Quesería!$B$58),0)</f>
        <v>0</v>
      </c>
      <c r="K236" s="58" t="n">
        <f aca="false">IF(K$47=1,MIN($F$7*$F$26*Quesería!$B$56*Quesería!$D$86*$F$11*$F$21,Quesería!$B$57*Quesería!$B$58),0)</f>
        <v>0</v>
      </c>
      <c r="L236" s="58" t="n">
        <f aca="false">IF(L$47=1,MIN($F$7*$F$26*Quesería!$B$56*Quesería!$D$86*$F$11*$F$21,Quesería!$B$57*Quesería!$B$58),0)</f>
        <v>0</v>
      </c>
    </row>
    <row r="237" customFormat="false" ht="15" hidden="true" customHeight="false" outlineLevel="1" collapsed="false">
      <c r="A237" s="9" t="s">
        <v>418</v>
      </c>
      <c r="B237" s="58" t="n">
        <v>0</v>
      </c>
      <c r="C237" s="58" t="n">
        <f aca="false">$F$20*Quesería!$B$60*Quesería!$F$98*$F$11*$B$223/C223/2</f>
        <v>138.12868344741</v>
      </c>
      <c r="D237" s="58" t="n">
        <f aca="false">$F$20*Quesería!$B$60*Quesería!$F$98*$F$11*$B$223/D223/2</f>
        <v>132.18055832288</v>
      </c>
      <c r="E237" s="58" t="n">
        <v>0</v>
      </c>
      <c r="F237" s="58" t="n">
        <v>0</v>
      </c>
      <c r="G237" s="58" t="n">
        <v>0</v>
      </c>
      <c r="H237" s="58" t="n">
        <v>0</v>
      </c>
      <c r="I237" s="58" t="n">
        <v>0</v>
      </c>
      <c r="J237" s="58" t="n">
        <v>0</v>
      </c>
      <c r="K237" s="58" t="n">
        <v>0</v>
      </c>
      <c r="L237" s="58" t="n">
        <v>0</v>
      </c>
    </row>
    <row r="238" customFormat="false" ht="15" hidden="true" customHeight="false" outlineLevel="1" collapsed="false">
      <c r="A238" s="9" t="s">
        <v>419</v>
      </c>
      <c r="B238" s="58" t="n">
        <f aca="false">0</f>
        <v>0</v>
      </c>
      <c r="C238" s="58" t="n">
        <f aca="false">B228*B223/C223</f>
        <v>142.014925295407</v>
      </c>
      <c r="D238" s="58" t="n">
        <f aca="false">C228*C223/D223</f>
        <v>119.721648486272</v>
      </c>
      <c r="E238" s="58" t="n">
        <f aca="false">D228*D223/E223</f>
        <v>0</v>
      </c>
      <c r="F238" s="58" t="n">
        <f aca="false">E228*E223/F223</f>
        <v>0</v>
      </c>
      <c r="G238" s="58" t="n">
        <f aca="false">F228*F223/G223</f>
        <v>0</v>
      </c>
      <c r="H238" s="58" t="n">
        <f aca="false">G228*G223/H223</f>
        <v>5.01768392412113</v>
      </c>
      <c r="I238" s="58" t="n">
        <f aca="false">H228*H223/I223</f>
        <v>8.47494190873221</v>
      </c>
      <c r="J238" s="58" t="n">
        <f aca="false">I228*I223/J223</f>
        <v>0</v>
      </c>
      <c r="K238" s="58" t="n">
        <f aca="false">J228*J223/K223</f>
        <v>0</v>
      </c>
      <c r="L238" s="58" t="n">
        <f aca="false">K228*K223/L223</f>
        <v>0</v>
      </c>
    </row>
    <row r="239" customFormat="false" ht="15" hidden="true" customHeight="false" outlineLevel="1" collapsed="false">
      <c r="A239" s="6" t="s">
        <v>295</v>
      </c>
      <c r="B239" s="29" t="n">
        <f aca="false">$F$17*(B231-B232-B233-0.5*B234-B235)-B236-B237-B238</f>
        <v>-9.59839124703308</v>
      </c>
      <c r="C239" s="29" t="n">
        <f aca="false">$F$17*(C231-C232-C233-0.5*C234-C235)-C236-C237-C238</f>
        <v>-267.27574962886</v>
      </c>
      <c r="D239" s="29" t="n">
        <f aca="false">$F$17*(D231-D232-D233-0.5*D234-D235)-D236-D237-D238</f>
        <v>-185.09043962163</v>
      </c>
      <c r="E239" s="29" t="n">
        <f aca="false">$F$17*(E231-E232-E233-0.5*E234-E235)-E236-E237-E238</f>
        <v>88.2970314118304</v>
      </c>
      <c r="F239" s="29" t="n">
        <f aca="false">$F$17*(F231-F232-F233-0.5*F234-F235)-F236-F237-F238</f>
        <v>90.1743497464021</v>
      </c>
      <c r="G239" s="29" t="n">
        <f aca="false">$F$17*(G231-G232-G233-0.5*G234-G235)-G236-G237-G238</f>
        <v>91.9584436746458</v>
      </c>
      <c r="H239" s="29" t="n">
        <f aca="false">$F$17*(H231-H232-H233-0.5*H234-H235)-H236-H237-H238</f>
        <v>91.1208551491911</v>
      </c>
      <c r="I239" s="29" t="n">
        <f aca="false">$F$17*(I231-I232-I233-0.5*I234-I235)-I236-I237-I238</f>
        <v>86.1597319006446</v>
      </c>
      <c r="J239" s="29" t="n">
        <f aca="false">$F$17*(J231-J232-J233-0.5*J234-J235)-J236-J237-J238</f>
        <v>96.2757272972957</v>
      </c>
      <c r="K239" s="29" t="n">
        <f aca="false">$F$17*(K231-K232-K233-0.5*K234-K235)-K236-K237-K238</f>
        <v>97.8555594675093</v>
      </c>
      <c r="L239" s="29" t="n">
        <f aca="false">$F$17*(L231-L232-L233-0.5*L234-L235)-L236-L237-L238</f>
        <v>99.3765344667036</v>
      </c>
    </row>
    <row r="240" customFormat="false" ht="15" hidden="true" customHeight="false" outlineLevel="1" collapsed="false">
      <c r="A240" s="9" t="s">
        <v>420</v>
      </c>
      <c r="B240" s="58" t="n">
        <f aca="false">(IF(B$47&gt;=1,Quesería!$G$124*IF(B$47=1,Quesería!$B$20,1),Quesería!$G$124*Quesería!$B$20*Quesería!$B$21/12*$F$23)+IF(B$47&gt;=2,(Quesería!$G$125-(1-$F$24)*Quesería!$G$117-(-$F$26*$F$27)*'Beneficios y costos'!$D$167)*$F$21*IF(B$47=2,Quesería!$B$20,1),0))*$F$10</f>
        <v>77.4042870161869</v>
      </c>
      <c r="C240" s="58" t="n">
        <f aca="false">(IF(C$47&gt;=1,Quesería!$G$124*IF(C$47=1,Quesería!$B$20,1),Quesería!$G$124*Quesería!$B$20*Quesería!$B$21/12*$F$23)+IF(C$47&gt;=2,(Quesería!$G$125-(1-$F$24)*Quesería!$G$117-(-$F$26*$F$27)*'Beneficios y costos'!$D$167)*$F$21*IF(C$47=2,Quesería!$B$20,1),0))*$F$10</f>
        <v>116.10643052428</v>
      </c>
      <c r="D240" s="58" t="n">
        <f aca="false">(IF(D$47&gt;=1,Quesería!$G$124*IF(D$47=1,Quesería!$B$20,1),Quesería!$G$124*Quesería!$B$20*Quesería!$B$21/12*$F$23)+IF(D$47&gt;=2,(Quesería!$G$125-(1-$F$24)*Quesería!$G$117-(-$F$26*$F$27)*'Beneficios y costos'!$D$167)*$F$21*IF(D$47=2,Quesería!$B$20,1),0))*$F$10</f>
        <v>2023.78917421887</v>
      </c>
      <c r="E240" s="58" t="n">
        <f aca="false">(IF(E$47&gt;=1,Quesería!$G$124*IF(E$47=1,Quesería!$B$20,1),Quesería!$G$124*Quesería!$B$20*Quesería!$B$21/12*$F$23)+IF(E$47&gt;=2,(Quesería!$G$125-(1-$F$24)*Quesería!$G$117-(-$F$26*$F$27)*'Beneficios y costos'!$D$167)*$F$21*IF(E$47=2,Quesería!$B$20,1),0))*$F$10</f>
        <v>2646.78270761437</v>
      </c>
      <c r="F240" s="58" t="n">
        <f aca="false">(IF(F$47&gt;=1,Quesería!$G$124*IF(F$47=1,Quesería!$B$20,1),Quesería!$G$124*Quesería!$B$20*Quesería!$B$21/12*$F$23)+IF(F$47&gt;=2,(Quesería!$G$125-(1-$F$24)*Quesería!$G$117-(-$F$26*$F$27)*'Beneficios y costos'!$D$167)*$F$21*IF(F$47=2,Quesería!$B$20,1),0))*$F$10</f>
        <v>2646.78270761437</v>
      </c>
      <c r="G240" s="58" t="n">
        <f aca="false">(IF(G$47&gt;=1,Quesería!$G$124*IF(G$47=1,Quesería!$B$20,1),Quesería!$G$124*Quesería!$B$20*Quesería!$B$21/12*$F$23)+IF(G$47&gt;=2,(Quesería!$G$125-(1-$F$24)*Quesería!$G$117-(-$F$26*$F$27)*'Beneficios y costos'!$D$167)*$F$21*IF(G$47=2,Quesería!$B$20,1),0))*$F$10</f>
        <v>2646.78270761437</v>
      </c>
      <c r="H240" s="58" t="n">
        <f aca="false">(IF(H$47&gt;=1,Quesería!$G$124*IF(H$47=1,Quesería!$B$20,1),Quesería!$G$124*Quesería!$B$20*Quesería!$B$21/12*$F$23)+IF(H$47&gt;=2,(Quesería!$G$125-(1-$F$24)*Quesería!$G$117-(-$F$26*$F$27)*'Beneficios y costos'!$D$167)*$F$21*IF(H$47=2,Quesería!$B$20,1),0))*$F$10</f>
        <v>2646.78270761437</v>
      </c>
      <c r="I240" s="58" t="n">
        <f aca="false">(IF(I$47&gt;=1,Quesería!$G$124*IF(I$47=1,Quesería!$B$20,1),Quesería!$G$124*Quesería!$B$20*Quesería!$B$21/12*$F$23)+IF(I$47&gt;=2,(Quesería!$G$125-(1-$F$24)*Quesería!$G$117-(-$F$26*$F$27)*'Beneficios y costos'!$D$167)*$F$21*IF(I$47=2,Quesería!$B$20,1),0))*$F$10</f>
        <v>2646.78270761437</v>
      </c>
      <c r="J240" s="58" t="n">
        <f aca="false">(IF(J$47&gt;=1,Quesería!$G$124*IF(J$47=1,Quesería!$B$20,1),Quesería!$G$124*Quesería!$B$20*Quesería!$B$21/12*$F$23)+IF(J$47&gt;=2,(Quesería!$G$125-(1-$F$24)*Quesería!$G$117-(-$F$26*$F$27)*'Beneficios y costos'!$D$167)*$F$21*IF(J$47=2,Quesería!$B$20,1),0))*$F$10</f>
        <v>2646.78270761437</v>
      </c>
      <c r="K240" s="58" t="n">
        <f aca="false">(IF(K$47&gt;=1,Quesería!$G$124*IF(K$47=1,Quesería!$B$20,1),Quesería!$G$124*Quesería!$B$20*Quesería!$B$21/12*$F$23)+IF(K$47&gt;=2,(Quesería!$G$125-(1-$F$24)*Quesería!$G$117-(-$F$26*$F$27)*'Beneficios y costos'!$D$167)*$F$21*IF(K$47=2,Quesería!$B$20,1),0))*$F$10</f>
        <v>2646.78270761437</v>
      </c>
      <c r="L240" s="58" t="n">
        <f aca="false">(IF(L$47&gt;=1,Quesería!$G$124*IF(L$47=1,Quesería!$B$20,1),Quesería!$G$124*Quesería!$B$20*Quesería!$B$21/12*$F$23)+IF(L$47&gt;=2,(Quesería!$G$125-(1-$F$24)*Quesería!$G$117-(-$F$26*$F$27)*'Beneficios y costos'!$D$167)*$F$21*IF(L$47=2,Quesería!$B$20,1),0))*$F$10</f>
        <v>2646.78270761437</v>
      </c>
    </row>
    <row r="241" customFormat="false" ht="15" hidden="true" customHeight="false" outlineLevel="1" collapsed="false">
      <c r="A241" s="6" t="s">
        <v>421</v>
      </c>
      <c r="B241" s="29" t="n">
        <f aca="false">(B240*(Quesería!$B$38+Quesería!$B$40*Quesería!$B$39)/365-B232*Quesería!$B$42/365+IF(B$47&gt;=2,($F$25*'Beneficios y costos'!$B$147+(1-$F$25)*'Beneficios y costos'!$B$148)*$F$24*$F$21*$F$10*IF(B$47=2,Quesería!$B$20,1),0))</f>
        <v>7.23146900616979</v>
      </c>
      <c r="C241" s="29" t="n">
        <f aca="false">(C240*(Quesería!$B$38+Quesería!$B$40*Quesería!$B$39)/365-C232*Quesería!$B$42/365+IF(C$47&gt;=2,($F$25*'Beneficios y costos'!$B$147+(1-$F$25)*'Beneficios y costos'!$B$148)*$F$24*$F$21*$F$10*IF(C$47=2,Quesería!$B$20,1),0))-(B240*(Quesería!$B$38+Quesería!$B$40*Quesería!$B$39)/365-B232*Quesería!$B$42/365+IF(B$47&gt;=2,($F$25*'Beneficios y costos'!$B$147+(1-$F$25)*'Beneficios y costos'!$B$148)*$F$24*$F$21*$F$10*IF(B$47=2,Quesería!$B$20,1),0))*B223/C223</f>
        <v>1.42287846600884</v>
      </c>
      <c r="D241" s="29" t="n">
        <f aca="false">(D240*(Quesería!$B$38+Quesería!$B$40*Quesería!$B$39)/365-D232*Quesería!$B$42/365+IF(D$47&gt;=2,($F$25*'Beneficios y costos'!$B$147+(1-$F$25)*'Beneficios y costos'!$B$148)*$F$24*$F$21*$F$10*IF(D$47=2,Quesería!$B$20,1),0))-(C240*(Quesería!$B$38+Quesería!$B$40*Quesería!$B$39)/365-C232*Quesería!$B$42/365+IF(C$47&gt;=2,($F$25*'Beneficios y costos'!$B$147+(1-$F$25)*'Beneficios y costos'!$B$148)*$F$24*$F$21*$F$10*IF(C$47=2,Quesería!$B$20,1),0))*C223/D223</f>
        <v>121.067969072345</v>
      </c>
      <c r="E241" s="29" t="n">
        <f aca="false">(E240*(Quesería!$B$38+Quesería!$B$40*Quesería!$B$39)/365-E232*Quesería!$B$42/365+IF(E$47&gt;=2,($F$25*'Beneficios y costos'!$B$147+(1-$F$25)*'Beneficios y costos'!$B$148)*$F$24*$F$21*$F$10*IF(E$47=2,Quesería!$B$20,1),0))-(D240*(Quesería!$B$38+Quesería!$B$40*Quesería!$B$39)/365-D232*Quesería!$B$42/365+IF(D$47&gt;=2,($F$25*'Beneficios y costos'!$B$147+(1-$F$25)*'Beneficios y costos'!$B$148)*$F$24*$F$21*$F$10*IF(D$47=2,Quesería!$B$20,1),0))*D223/E223</f>
        <v>44.6849531551876</v>
      </c>
      <c r="F241" s="29" t="n">
        <f aca="false">(F240*(Quesería!$B$38+Quesería!$B$40*Quesería!$B$39)/365-F232*Quesería!$B$42/365+IF(F$47&gt;=2,($F$25*'Beneficios y costos'!$B$147+(1-$F$25)*'Beneficios y costos'!$B$148)*$F$24*$F$21*$F$10*IF(F$47=2,Quesería!$B$20,1),0))-(E240*(Quesería!$B$38+Quesería!$B$40*Quesería!$B$39)/365-E232*Quesería!$B$42/365+IF(E$47&gt;=2,($F$25*'Beneficios y costos'!$B$147+(1-$F$25)*'Beneficios y costos'!$B$148)*$F$24*$F$21*$F$10*IF(E$47=2,Quesería!$B$20,1),0))*E223/F223</f>
        <v>6.49010597714096</v>
      </c>
      <c r="G241" s="29" t="n">
        <f aca="false">(G240*(Quesería!$B$38+Quesería!$B$40*Quesería!$B$39)/365-G232*Quesería!$B$42/365+IF(G$47&gt;=2,($F$25*'Beneficios y costos'!$B$147+(1-$F$25)*'Beneficios y costos'!$B$148)*$F$24*$F$21*$F$10*IF(G$47=2,Quesería!$B$20,1),0))-(F240*(Quesería!$B$38+Quesería!$B$40*Quesería!$B$39)/365-F232*Quesería!$B$42/365+IF(F$47&gt;=2,($F$25*'Beneficios y costos'!$B$147+(1-$F$25)*'Beneficios y costos'!$B$148)*$F$24*$F$21*$F$10*IF(F$47=2,Quesería!$B$20,1),0))*F223/G223</f>
        <v>6.49010597714096</v>
      </c>
      <c r="H241" s="29" t="n">
        <f aca="false">(H240*(Quesería!$B$38+Quesería!$B$40*Quesería!$B$39)/365-H232*Quesería!$B$42/365+IF(H$47&gt;=2,($F$25*'Beneficios y costos'!$B$147+(1-$F$25)*'Beneficios y costos'!$B$148)*$F$24*$F$21*$F$10*IF(H$47=2,Quesería!$B$20,1),0))-(G240*(Quesería!$B$38+Quesería!$B$40*Quesería!$B$39)/365-G232*Quesería!$B$42/365+IF(G$47&gt;=2,($F$25*'Beneficios y costos'!$B$147+(1-$F$25)*'Beneficios y costos'!$B$148)*$F$24*$F$21*$F$10*IF(G$47=2,Quesería!$B$20,1),0))*G223/H223</f>
        <v>6.49010597714096</v>
      </c>
      <c r="I241" s="29" t="n">
        <f aca="false">(I240*(Quesería!$B$38+Quesería!$B$40*Quesería!$B$39)/365-I232*Quesería!$B$42/365+IF(I$47&gt;=2,($F$25*'Beneficios y costos'!$B$147+(1-$F$25)*'Beneficios y costos'!$B$148)*$F$24*$F$21*$F$10*IF(I$47=2,Quesería!$B$20,1),0))-(H240*(Quesería!$B$38+Quesería!$B$40*Quesería!$B$39)/365-H232*Quesería!$B$42/365+IF(H$47&gt;=2,($F$25*'Beneficios y costos'!$B$147+(1-$F$25)*'Beneficios y costos'!$B$148)*$F$24*$F$21*$F$10*IF(H$47=2,Quesería!$B$20,1),0))*H223/I223</f>
        <v>6.49010597714096</v>
      </c>
      <c r="J241" s="29" t="n">
        <f aca="false">(J240*(Quesería!$B$38+Quesería!$B$40*Quesería!$B$39)/365-J232*Quesería!$B$42/365+IF(J$47&gt;=2,($F$25*'Beneficios y costos'!$B$147+(1-$F$25)*'Beneficios y costos'!$B$148)*$F$24*$F$21*$F$10*IF(J$47=2,Quesería!$B$20,1),0))-(I240*(Quesería!$B$38+Quesería!$B$40*Quesería!$B$39)/365-I232*Quesería!$B$42/365+IF(I$47&gt;=2,($F$25*'Beneficios y costos'!$B$147+(1-$F$25)*'Beneficios y costos'!$B$148)*$F$24*$F$21*$F$10*IF(I$47=2,Quesería!$B$20,1),0))*I223/J223</f>
        <v>6.49010597714096</v>
      </c>
      <c r="K241" s="29" t="n">
        <f aca="false">(K240*(Quesería!$B$38+Quesería!$B$40*Quesería!$B$39)/365-K232*Quesería!$B$42/365+IF(K$47&gt;=2,($F$25*'Beneficios y costos'!$B$147+(1-$F$25)*'Beneficios y costos'!$B$148)*$F$24*$F$21*$F$10*IF(K$47=2,Quesería!$B$20,1),0))-(J240*(Quesería!$B$38+Quesería!$B$40*Quesería!$B$39)/365-J232*Quesería!$B$42/365+IF(J$47&gt;=2,($F$25*'Beneficios y costos'!$B$147+(1-$F$25)*'Beneficios y costos'!$B$148)*$F$24*$F$21*$F$10*IF(J$47=2,Quesería!$B$20,1),0))*J223/K223</f>
        <v>6.49010597714099</v>
      </c>
      <c r="L241" s="29" t="n">
        <f aca="false">-(K240*(Quesería!$B$38+Quesería!$B$40*Quesería!$B$39)/365-K232*Quesería!$B$42/365+IF(K$47&gt;=2,($F$25*'Beneficios y costos'!$B$147+(1-$F$25)*'Beneficios y costos'!$B$148)*$F$24*$F$21*$F$10*IF(K$47=2,Quesería!$B$20,1),0))*K223/L223</f>
        <v>-162.252649428524</v>
      </c>
    </row>
    <row r="242" customFormat="false" ht="15" hidden="true" customHeight="false" outlineLevel="1" collapsed="false">
      <c r="A242" s="6" t="s">
        <v>422</v>
      </c>
      <c r="B242" s="29" t="n">
        <v>0</v>
      </c>
      <c r="C242" s="29" t="n">
        <v>0</v>
      </c>
      <c r="D242" s="29" t="n">
        <v>0</v>
      </c>
      <c r="E242" s="29" t="n">
        <v>0</v>
      </c>
      <c r="F242" s="29" t="n">
        <v>0</v>
      </c>
      <c r="G242" s="29" t="n">
        <v>0</v>
      </c>
      <c r="H242" s="29" t="n">
        <v>0</v>
      </c>
      <c r="I242" s="29" t="n">
        <v>0</v>
      </c>
      <c r="J242" s="29" t="n">
        <v>0</v>
      </c>
      <c r="K242" s="29" t="n">
        <v>0</v>
      </c>
      <c r="L242" s="29" t="n">
        <f aca="false">$F$8*Quesería!$B$36*(Quesería!$F$94+(Quesería!$F$95-(-$F$26)*Quesería!$D$86)*$F$21)*$F$11*(1-$F$17)</f>
        <v>61.9237725584542</v>
      </c>
    </row>
    <row r="243" customFormat="false" ht="15" hidden="true" customHeight="false" outlineLevel="1" collapsed="false">
      <c r="A243" s="5" t="s">
        <v>147</v>
      </c>
      <c r="B243" s="59" t="n">
        <f aca="false">B231-B232-B233-B234-B239-B226-B227-B228-B241+B242</f>
        <v>-961.151880133756</v>
      </c>
      <c r="C243" s="59" t="n">
        <f aca="false">C231-C232-C233-C234-C239-C226-C227-C228-C241+C242</f>
        <v>-400.385058451238</v>
      </c>
      <c r="D243" s="59" t="n">
        <f aca="false">D231-D232-D233-D234-D239-D226-D227-D228-D241+D242</f>
        <v>396.492521953929</v>
      </c>
      <c r="E243" s="59" t="n">
        <f aca="false">E231-E232-E233-E234-E239-E226-E227-E228-E241+E242</f>
        <v>255.423294473937</v>
      </c>
      <c r="F243" s="59" t="n">
        <f aca="false">F231-F232-F233-F234-F239-F226-F227-F228-F241+F242</f>
        <v>291.863011549157</v>
      </c>
      <c r="G243" s="59" t="n">
        <f aca="false">G231-G232-G233-G234-G239-G226-G227-G228-G241+G242</f>
        <v>257.387373809657</v>
      </c>
      <c r="H243" s="59" t="n">
        <f aca="false">H231-H232-H233-H234-H239-H226-H227-H228-H241+H242</f>
        <v>235.738810810818</v>
      </c>
      <c r="I243" s="59" t="n">
        <f aca="false">I231-I232-I233-I234-I239-I226-I227-I228-I241+I242</f>
        <v>296.247871971198</v>
      </c>
      <c r="J243" s="59" t="n">
        <f aca="false">J231-J232-J233-J234-J239-J226-J227-J228-J241+J242</f>
        <v>286.256526960331</v>
      </c>
      <c r="K243" s="59" t="n">
        <f aca="false">K231-K232-K233-K234-K239-K226-K227-K228-K241+K242</f>
        <v>284.801968427832</v>
      </c>
      <c r="L243" s="59" t="n">
        <f aca="false">L231-L232-L233-L234-L239-L226-L227-L228-L241+L242</f>
        <v>514.073421398659</v>
      </c>
    </row>
    <row r="244" customFormat="false" ht="15" hidden="true" customHeight="false" outlineLevel="1" collapsed="false">
      <c r="A244" s="9" t="s">
        <v>423</v>
      </c>
      <c r="B244" s="58" t="n">
        <f aca="false">B243*B223</f>
        <v>-1018.82099294178</v>
      </c>
      <c r="C244" s="58" t="n">
        <f aca="false">C243*C223</f>
        <v>-445.628570056228</v>
      </c>
      <c r="D244" s="58" t="n">
        <f aca="false">D243*D223</f>
        <v>461.154504896786</v>
      </c>
      <c r="E244" s="58" t="n">
        <f aca="false">E243*E223</f>
        <v>308.962162551348</v>
      </c>
      <c r="F244" s="58" t="n">
        <f aca="false">F243*F223</f>
        <v>367.161548435923</v>
      </c>
      <c r="G244" s="58" t="n">
        <f aca="false">G243*G223</f>
        <v>336.743104454292</v>
      </c>
      <c r="H244" s="58" t="n">
        <f aca="false">H243*H223</f>
        <v>320.7568208593</v>
      </c>
      <c r="I244" s="58" t="n">
        <f aca="false">I243*I223</f>
        <v>419.211695706372</v>
      </c>
      <c r="J244" s="58" t="n">
        <f aca="false">J243*J223</f>
        <v>421.276165147115</v>
      </c>
      <c r="K244" s="58" t="n">
        <f aca="false">K243*K223</f>
        <v>435.900950989821</v>
      </c>
      <c r="L244" s="58" t="n">
        <f aca="false">L243*L223</f>
        <v>818.282606273388</v>
      </c>
    </row>
    <row r="245" customFormat="false" ht="15" hidden="true" customHeight="false" outlineLevel="1" collapsed="false">
      <c r="A245" s="6" t="s">
        <v>424</v>
      </c>
      <c r="B245" s="29" t="n">
        <f aca="false">B243</f>
        <v>-961.151880133756</v>
      </c>
      <c r="C245" s="29" t="n">
        <f aca="false">B245+C243</f>
        <v>-1361.53693858499</v>
      </c>
      <c r="D245" s="29" t="n">
        <f aca="false">C245+D243</f>
        <v>-965.044416631065</v>
      </c>
      <c r="E245" s="29" t="n">
        <f aca="false">D245+E243</f>
        <v>-709.621122157128</v>
      </c>
      <c r="F245" s="29" t="n">
        <f aca="false">E245+F243</f>
        <v>-417.758110607972</v>
      </c>
      <c r="G245" s="29" t="n">
        <f aca="false">F245+G243</f>
        <v>-160.370736798315</v>
      </c>
      <c r="H245" s="29" t="n">
        <f aca="false">G245+H243</f>
        <v>75.3680740125037</v>
      </c>
      <c r="I245" s="29" t="n">
        <f aca="false">H245+I243</f>
        <v>371.615945983701</v>
      </c>
      <c r="J245" s="29" t="n">
        <f aca="false">I245+J243</f>
        <v>657.872472944033</v>
      </c>
      <c r="K245" s="29" t="n">
        <f aca="false">J245+K243</f>
        <v>942.674441371864</v>
      </c>
      <c r="L245" s="29" t="n">
        <f aca="false">K245+L243</f>
        <v>1456.74786277052</v>
      </c>
    </row>
    <row r="246" customFormat="false" ht="15" hidden="true" customHeight="false" outlineLevel="1" collapsed="false">
      <c r="A246" s="9" t="s">
        <v>425</v>
      </c>
      <c r="B246" s="60" t="n">
        <v>0</v>
      </c>
      <c r="C246" s="60" t="n">
        <f aca="false">IF(AND(B245&lt;0,C245&gt;=0),B$47+(-B245)/C243,0)</f>
        <v>0</v>
      </c>
      <c r="D246" s="60" t="n">
        <f aca="false">IF(AND(C245&lt;0,D245&gt;=0),C$47+(-C245)/D243,0)</f>
        <v>0</v>
      </c>
      <c r="E246" s="60" t="n">
        <f aca="false">IF(AND(D245&lt;0,E245&gt;=0),D$47+(-D245)/E243,0)</f>
        <v>0</v>
      </c>
      <c r="F246" s="60" t="n">
        <f aca="false">IF(AND(E245&lt;0,F245&gt;=0),E$47+(-E245)/F243,0)</f>
        <v>0</v>
      </c>
      <c r="G246" s="60" t="n">
        <f aca="false">IF(AND(F245&lt;0,G245&gt;=0),F$47+(-F245)/G243,0)</f>
        <v>0</v>
      </c>
      <c r="H246" s="60" t="n">
        <f aca="false">IF(AND(G245&lt;0,H245&gt;=0),G$47+(-G245)/H243,0)</f>
        <v>5.68028992021604</v>
      </c>
      <c r="I246" s="60" t="n">
        <f aca="false">IF(AND(H245&lt;0,I245&gt;=0),H$47+(-H245)/I243,0)</f>
        <v>0</v>
      </c>
      <c r="J246" s="60" t="n">
        <f aca="false">IF(AND(I245&lt;0,J245&gt;=0),I$47+(-I245)/J243,0)</f>
        <v>0</v>
      </c>
      <c r="K246" s="60" t="n">
        <f aca="false">IF(AND(J245&lt;0,K245&gt;=0),J$47+(-J245)/K243,0)</f>
        <v>0</v>
      </c>
      <c r="L246" s="60" t="n">
        <f aca="false">IF(AND(K245&lt;0,L245&gt;=0),K$47+(-K245)/L243,0)</f>
        <v>0</v>
      </c>
    </row>
    <row r="247" customFormat="false" ht="15" hidden="true" customHeight="false" outlineLevel="1" collapsed="false">
      <c r="A247" s="9" t="s">
        <v>426</v>
      </c>
      <c r="B247" s="57" t="n">
        <f aca="false">(B223/$B$223)/(1+$F$29)^B$47</f>
        <v>1</v>
      </c>
      <c r="C247" s="57" t="n">
        <f aca="false">(C223/$B$223)/(1+$F$29)^C$47</f>
        <v>0.915373701313561</v>
      </c>
      <c r="D247" s="57" t="n">
        <f aca="false">(D223/$B$223)/(1+$F$29)^D$47</f>
        <v>0.833918970137172</v>
      </c>
      <c r="E247" s="57" t="n">
        <f aca="false">(E223/$B$223)/(1+$F$29)^E$47</f>
        <v>0.756077518153961</v>
      </c>
      <c r="F247" s="57" t="n">
        <f aca="false">(F223/$B$223)/(1+$F$29)^F$47</f>
        <v>0.685502109831871</v>
      </c>
      <c r="G247" s="57" t="n">
        <f aca="false">(G223/$B$223)/(1+$F$29)^G$47</f>
        <v>0.621514502549008</v>
      </c>
      <c r="H247" s="57" t="n">
        <f aca="false">(H223/$B$223)/(1+$F$29)^H$47</f>
        <v>0.563499763660072</v>
      </c>
      <c r="I247" s="57" t="n">
        <f aca="false">(I223/$B$223)/(1+$F$29)^I$47</f>
        <v>0.510900360880829</v>
      </c>
      <c r="J247" s="57" t="n">
        <f aca="false">(J223/$B$223)/(1+$F$29)^J$47</f>
        <v>0.463210804300567</v>
      </c>
      <c r="K247" s="57" t="n">
        <f aca="false">(K223/$B$223)/(1+$F$29)^K$47</f>
        <v>0.419972788531318</v>
      </c>
      <c r="L247" s="57" t="n">
        <f aca="false">(L223/$B$223)/(1+$F$29)^L$47</f>
        <v>0.380770788308996</v>
      </c>
    </row>
    <row r="248" customFormat="false" ht="15" hidden="true" customHeight="false" outlineLevel="1" collapsed="false">
      <c r="A248" s="9" t="s">
        <v>427</v>
      </c>
      <c r="B248" s="58" t="n">
        <f aca="false">B243*B247</f>
        <v>-961.151880133756</v>
      </c>
      <c r="C248" s="58" t="n">
        <f aca="false">C243*C247</f>
        <v>-366.501952905157</v>
      </c>
      <c r="D248" s="58" t="n">
        <f aca="false">D243*D247</f>
        <v>330.642635574911</v>
      </c>
      <c r="E248" s="58" t="n">
        <f aca="false">E243*E247</f>
        <v>193.119810564562</v>
      </c>
      <c r="F248" s="58" t="n">
        <f aca="false">F243*F247</f>
        <v>200.072710198831</v>
      </c>
      <c r="G248" s="58" t="n">
        <f aca="false">G243*G247</f>
        <v>159.969985595704</v>
      </c>
      <c r="H248" s="58" t="n">
        <f aca="false">H243*H247</f>
        <v>132.838764177403</v>
      </c>
      <c r="I248" s="58" t="n">
        <f aca="false">I243*I247</f>
        <v>151.353144700263</v>
      </c>
      <c r="J248" s="58" t="n">
        <f aca="false">J243*J247</f>
        <v>132.597116089582</v>
      </c>
      <c r="K248" s="58" t="n">
        <f aca="false">K243*K247</f>
        <v>119.609076859845</v>
      </c>
      <c r="L248" s="58" t="n">
        <f aca="false">L243*L247</f>
        <v>195.74414191467</v>
      </c>
    </row>
    <row r="249" customFormat="false" ht="15" hidden="true" customHeight="false" outlineLevel="1" collapsed="false">
      <c r="A249" s="9" t="s">
        <v>428</v>
      </c>
      <c r="B249" s="58" t="n">
        <f aca="false">B248</f>
        <v>-961.151880133756</v>
      </c>
      <c r="C249" s="58" t="n">
        <f aca="false">B249+C248</f>
        <v>-1327.65383303891</v>
      </c>
      <c r="D249" s="58" t="n">
        <f aca="false">C249+D248</f>
        <v>-997.011197464002</v>
      </c>
      <c r="E249" s="58" t="n">
        <f aca="false">D249+E248</f>
        <v>-803.891386899439</v>
      </c>
      <c r="F249" s="58" t="n">
        <f aca="false">E249+F248</f>
        <v>-603.818676700608</v>
      </c>
      <c r="G249" s="58" t="n">
        <f aca="false">F249+G248</f>
        <v>-443.848691104904</v>
      </c>
      <c r="H249" s="58" t="n">
        <f aca="false">G249+H248</f>
        <v>-311.009926927501</v>
      </c>
      <c r="I249" s="58" t="n">
        <f aca="false">H249+I248</f>
        <v>-159.656782227239</v>
      </c>
      <c r="J249" s="58" t="n">
        <f aca="false">I249+J248</f>
        <v>-27.0596661376568</v>
      </c>
      <c r="K249" s="58" t="n">
        <f aca="false">J249+K248</f>
        <v>92.549410722188</v>
      </c>
      <c r="L249" s="58" t="n">
        <f aca="false">K249+L248</f>
        <v>288.293552636858</v>
      </c>
    </row>
    <row r="250" customFormat="false" ht="15" hidden="true" customHeight="false" outlineLevel="1" collapsed="false">
      <c r="A250" s="9" t="s">
        <v>429</v>
      </c>
      <c r="B250" s="60" t="n">
        <v>0</v>
      </c>
      <c r="C250" s="60" t="n">
        <f aca="false">IF(AND(B249&lt;0,C249&gt;=0),B$47+(-B249)/C248,0)</f>
        <v>0</v>
      </c>
      <c r="D250" s="60" t="n">
        <f aca="false">IF(AND(C249&lt;0,D249&gt;=0),C$47+(-C249)/D248,0)</f>
        <v>0</v>
      </c>
      <c r="E250" s="60" t="n">
        <f aca="false">IF(AND(D249&lt;0,E249&gt;=0),D$47+(-D249)/E248,0)</f>
        <v>0</v>
      </c>
      <c r="F250" s="60" t="n">
        <f aca="false">IF(AND(E249&lt;0,F249&gt;=0),E$47+(-E249)/F248,0)</f>
        <v>0</v>
      </c>
      <c r="G250" s="60" t="n">
        <f aca="false">IF(AND(F249&lt;0,G249&gt;=0),F$47+(-F249)/G248,0)</f>
        <v>0</v>
      </c>
      <c r="H250" s="60" t="n">
        <f aca="false">IF(AND(G249&lt;0,H249&gt;=0),G$47+(-G249)/H248,0)</f>
        <v>0</v>
      </c>
      <c r="I250" s="60" t="n">
        <f aca="false">IF(AND(H249&lt;0,I249&gt;=0),H$47+(-H249)/I248,0)</f>
        <v>0</v>
      </c>
      <c r="J250" s="60" t="n">
        <f aca="false">IF(AND(I249&lt;0,J249&gt;=0),I$47+(-I249)/J248,0)</f>
        <v>0</v>
      </c>
      <c r="K250" s="60" t="n">
        <f aca="false">IF(AND(J249&lt;0,K249&gt;=0),J$47+(-J249)/K248,0)</f>
        <v>8.22623421940932</v>
      </c>
      <c r="L250" s="60" t="n">
        <f aca="false">IF(AND(K249&lt;0,L249&gt;=0),K$47+(-K249)/L248,0)</f>
        <v>0</v>
      </c>
    </row>
    <row r="251" customFormat="false" ht="15" hidden="true" customHeight="false" outlineLevel="1" collapsed="false">
      <c r="A251" s="9" t="s">
        <v>430</v>
      </c>
      <c r="B251" s="58" t="n">
        <f aca="false">IF(B$47&lt;0,0,(Quesería!$B$44*$B$226*$B$223)*(1-MAX(0,MIN(B$47-0-Quesería!$B$47,(Quesería!$B$46-Quesería!$B$47)))/(Quesería!$B$46-Quesería!$B$47))*IF(B$47&gt;=2,1-Quesería!$B$48,1))+IF(B$47&lt;1,0,(Quesería!$B$44*$C$226*$C$223)*(1-MAX(0,MIN(B$47-1-Quesería!$B$47,(Quesería!$B$46-Quesería!$B$47)))/(Quesería!$B$46-Quesería!$B$47))*IF(B$47&gt;=2,1-Quesería!$B$48,1))</f>
        <v>641.321364968425</v>
      </c>
      <c r="C251" s="58" t="n">
        <f aca="false">IF(C$47&lt;0,0,(Quesería!$B$44*$B$226*$B$223)*(1-MAX(0,MIN(C$47-0-Quesería!$B$47,(Quesería!$B$46-Quesería!$B$47)))/(Quesería!$B$46-Quesería!$B$47))*IF(C$47&gt;=2,1-Quesería!$B$48,1))+IF(C$47&lt;1,0,(Quesería!$B$44*$C$226*$C$223)*(1-MAX(0,MIN(C$47-1-Quesería!$B$47,(Quesería!$B$46-Quesería!$B$47)))/(Quesería!$B$46-Quesería!$B$47))*IF(C$47&gt;=2,1-Quesería!$B$48,1))</f>
        <v>1117.69081125409</v>
      </c>
      <c r="D251" s="58" t="n">
        <f aca="false">IF(D$47&lt;0,0,(Quesería!$B$44*$B$226*$B$223)*(1-MAX(0,MIN(D$47-0-Quesería!$B$47,(Quesería!$B$46-Quesería!$B$47)))/(Quesería!$B$46-Quesería!$B$47))*IF(D$47&gt;=2,1-Quesería!$B$48,1))+IF(D$47&lt;1,0,(Quesería!$B$44*$C$226*$C$223)*(1-MAX(0,MIN(D$47-1-Quesería!$B$47,(Quesería!$B$46-Quesería!$B$47)))/(Quesería!$B$46-Quesería!$B$47))*IF(D$47&gt;=2,1-Quesería!$B$48,1))</f>
        <v>1010.80391709269</v>
      </c>
      <c r="E251" s="58" t="n">
        <f aca="false">IF(E$47&lt;0,0,(Quesería!$B$44*$B$226*$B$223)*(1-MAX(0,MIN(E$47-0-Quesería!$B$47,(Quesería!$B$46-Quesería!$B$47)))/(Quesería!$B$46-Quesería!$B$47))*IF(E$47&gt;=2,1-Quesería!$B$48,1))+IF(E$47&lt;1,0,(Quesería!$B$44*$C$226*$C$223)*(1-MAX(0,MIN(E$47-1-Quesería!$B$47,(Quesería!$B$46-Quesería!$B$47)))/(Quesería!$B$46-Quesería!$B$47))*IF(E$47&gt;=2,1-Quesería!$B$48,1))</f>
        <v>824.522115217005</v>
      </c>
      <c r="F251" s="58" t="n">
        <f aca="false">IF(F$47&lt;0,0,(Quesería!$B$44*$B$226*$B$223)*(1-MAX(0,MIN(F$47-0-Quesería!$B$47,(Quesería!$B$46-Quesería!$B$47)))/(Quesería!$B$46-Quesería!$B$47))*IF(F$47&gt;=2,1-Quesería!$B$48,1))+IF(F$47&lt;1,0,(Quesería!$B$44*$C$226*$C$223)*(1-MAX(0,MIN(F$47-1-Quesería!$B$47,(Quesería!$B$46-Quesería!$B$47)))/(Quesería!$B$46-Quesería!$B$47))*IF(F$47&gt;=2,1-Quesería!$B$48,1))</f>
        <v>638.240313341323</v>
      </c>
      <c r="G251" s="58" t="n">
        <f aca="false">IF(G$47&lt;0,0,(Quesería!$B$44*$B$226*$B$223)*(1-MAX(0,MIN(G$47-0-Quesería!$B$47,(Quesería!$B$46-Quesería!$B$47)))/(Quesería!$B$46-Quesería!$B$47))*IF(G$47&gt;=2,1-Quesería!$B$48,1))+IF(G$47&lt;1,0,(Quesería!$B$44*$C$226*$C$223)*(1-MAX(0,MIN(G$47-1-Quesería!$B$47,(Quesería!$B$46-Quesería!$B$47)))/(Quesería!$B$46-Quesería!$B$47))*IF(G$47&gt;=2,1-Quesería!$B$48,1))</f>
        <v>451.958511465641</v>
      </c>
      <c r="H251" s="58" t="n">
        <f aca="false">IF(H$47&lt;0,0,(Quesería!$B$44*$B$226*$B$223)*(1-MAX(0,MIN(H$47-0-Quesería!$B$47,(Quesería!$B$46-Quesería!$B$47)))/(Quesería!$B$46-Quesería!$B$47))*IF(H$47&gt;=2,1-Quesería!$B$48,1))+IF(H$47&lt;1,0,(Quesería!$B$44*$C$226*$C$223)*(1-MAX(0,MIN(H$47-1-Quesería!$B$47,(Quesería!$B$46-Quesería!$B$47)))/(Quesería!$B$46-Quesería!$B$47))*IF(H$47&gt;=2,1-Quesería!$B$48,1))</f>
        <v>265.67670958996</v>
      </c>
      <c r="I251" s="58" t="n">
        <f aca="false">IF(I$47&lt;0,0,(Quesería!$B$44*$B$226*$B$223)*(1-MAX(0,MIN(I$47-0-Quesería!$B$47,(Quesería!$B$46-Quesería!$B$47)))/(Quesería!$B$46-Quesería!$B$47))*IF(I$47&gt;=2,1-Quesería!$B$48,1))+IF(I$47&lt;1,0,(Quesería!$B$44*$C$226*$C$223)*(1-MAX(0,MIN(I$47-1-Quesería!$B$47,(Quesería!$B$46-Quesería!$B$47)))/(Quesería!$B$46-Quesería!$B$47))*IF(I$47&gt;=2,1-Quesería!$B$48,1))</f>
        <v>79.3949077142776</v>
      </c>
      <c r="J251" s="58" t="n">
        <f aca="false">IF(J$47&lt;0,0,(Quesería!$B$44*$B$226*$B$223)*(1-MAX(0,MIN(J$47-0-Quesería!$B$47,(Quesería!$B$46-Quesería!$B$47)))/(Quesería!$B$46-Quesería!$B$47))*IF(J$47&gt;=2,1-Quesería!$B$48,1))+IF(J$47&lt;1,0,(Quesería!$B$44*$C$226*$C$223)*(1-MAX(0,MIN(J$47-1-Quesería!$B$47,(Quesería!$B$46-Quesería!$B$47)))/(Quesería!$B$46-Quesería!$B$47))*IF(J$47&gt;=2,1-Quesería!$B$48,1))</f>
        <v>0</v>
      </c>
      <c r="K251" s="58" t="n">
        <f aca="false">IF(K$47&lt;0,0,(Quesería!$B$44*$B$226*$B$223)*(1-MAX(0,MIN(K$47-0-Quesería!$B$47,(Quesería!$B$46-Quesería!$B$47)))/(Quesería!$B$46-Quesería!$B$47))*IF(K$47&gt;=2,1-Quesería!$B$48,1))+IF(K$47&lt;1,0,(Quesería!$B$44*$C$226*$C$223)*(1-MAX(0,MIN(K$47-1-Quesería!$B$47,(Quesería!$B$46-Quesería!$B$47)))/(Quesería!$B$46-Quesería!$B$47))*IF(K$47&gt;=2,1-Quesería!$B$48,1))</f>
        <v>0</v>
      </c>
      <c r="L251" s="58" t="n">
        <f aca="false">IF(L$47&lt;0,0,(Quesería!$B$44*$B$226*$B$223)*(1-MAX(0,MIN(L$47-0-Quesería!$B$47,(Quesería!$B$46-Quesería!$B$47)))/(Quesería!$B$46-Quesería!$B$47))*IF(L$47&gt;=2,1-Quesería!$B$48,1))+IF(L$47&lt;1,0,(Quesería!$B$44*$C$226*$C$223)*(1-MAX(0,MIN(L$47-1-Quesería!$B$47,(Quesería!$B$46-Quesería!$B$47)))/(Quesería!$B$46-Quesería!$B$47))*IF(L$47&gt;=2,1-Quesería!$B$48,1))</f>
        <v>0</v>
      </c>
    </row>
    <row r="252" customFormat="false" ht="15" hidden="true" customHeight="false" outlineLevel="1" collapsed="false">
      <c r="A252" s="6" t="s">
        <v>431</v>
      </c>
      <c r="B252" s="29" t="n">
        <f aca="false">Quesería!$B$44*B226</f>
        <v>605.02015563059</v>
      </c>
      <c r="C252" s="29" t="n">
        <f aca="false">Quesería!$B$44*C226</f>
        <v>428.004893338424</v>
      </c>
      <c r="D252" s="29" t="n">
        <f aca="false">Quesería!$B$44*D226</f>
        <v>0</v>
      </c>
      <c r="E252" s="29" t="n">
        <f aca="false">Quesería!$B$44*E226</f>
        <v>0</v>
      </c>
      <c r="F252" s="29" t="n">
        <f aca="false">Quesería!$B$44*F226</f>
        <v>0</v>
      </c>
      <c r="G252" s="29" t="n">
        <f aca="false">Quesería!$B$44*G226</f>
        <v>0</v>
      </c>
      <c r="H252" s="29" t="n">
        <f aca="false">Quesería!$B$44*H226</f>
        <v>0</v>
      </c>
      <c r="I252" s="29" t="n">
        <f aca="false">Quesería!$B$44*I226</f>
        <v>0</v>
      </c>
      <c r="J252" s="29" t="n">
        <f aca="false">Quesería!$B$44*J226</f>
        <v>0</v>
      </c>
      <c r="K252" s="29" t="n">
        <f aca="false">Quesería!$B$44*K226</f>
        <v>0</v>
      </c>
      <c r="L252" s="29" t="n">
        <f aca="false">Quesería!$B$44*L226</f>
        <v>0</v>
      </c>
    </row>
    <row r="253" customFormat="false" ht="15" hidden="true" customHeight="false" outlineLevel="1" collapsed="false">
      <c r="A253" s="6" t="s">
        <v>432</v>
      </c>
      <c r="B253" s="29" t="n">
        <f aca="false">(IF(AND(B$47&gt;0,B$47&lt;=0+Quesería!$B$46),($F$14+$F$28)*(Quesería!$B$44*$B$226*$B$223)*(1-MAX(0,MIN((B$47-1)-0-Quesería!$B$47,(Quesería!$B$46-Quesería!$B$47)))/(Quesería!$B$46-Quesería!$B$47))*IF(B$47&gt;2,1-Quesería!$B$48,1),0)+IF(AND(B$47&gt;1,B$47&lt;=1+Quesería!$B$46),($F$14+$F$28)*(Quesería!$B$44*$C$226*$C$223)*(1-MAX(0,MIN((B$47-1)-1-Quesería!$B$47,(Quesería!$B$46-Quesería!$B$47)))/(Quesería!$B$46-Quesería!$B$47))*IF(B$47&gt;2,1-Quesería!$B$48,1),0))*B225</f>
        <v>0</v>
      </c>
      <c r="C253" s="29" t="n">
        <f aca="false">(IF(AND(C$47&gt;0,C$47&lt;=0+Quesería!$B$46),($F$14+$F$28)*(Quesería!$B$44*$B$226*$B$223)*(1-MAX(0,MIN((C$47-1)-0-Quesería!$B$47,(Quesería!$B$46-Quesería!$B$47)))/(Quesería!$B$46-Quesería!$B$47))*IF(C$47&gt;2,1-Quesería!$B$48,1),0)+IF(AND(C$47&gt;1,C$47&lt;=1+Quesería!$B$46),($F$14+$F$28)*(Quesería!$B$44*$C$226*$C$223)*(1-MAX(0,MIN((C$47-1)-1-Quesería!$B$47,(Quesería!$B$46-Quesería!$B$47)))/(Quesería!$B$46-Quesería!$B$47))*IF(C$47&gt;2,1-Quesería!$B$48,1),0))*C225</f>
        <v>81.2455637561078</v>
      </c>
      <c r="D253" s="29" t="n">
        <f aca="false">(IF(AND(D$47&gt;0,D$47&lt;=0+Quesería!$B$46),($F$14+$F$28)*(Quesería!$B$44*$B$226*$B$223)*(1-MAX(0,MIN((D$47-1)-0-Quesería!$B$47,(Quesería!$B$46-Quesería!$B$47)))/(Quesería!$B$46-Quesería!$B$47))*IF(D$47&gt;2,1-Quesería!$B$48,1),0)+IF(AND(D$47&gt;1,D$47&lt;=1+Quesería!$B$46),($F$14+$F$28)*(Quesería!$B$44*$C$226*$C$223)*(1-MAX(0,MIN((D$47-1)-1-Quesería!$B$47,(Quesería!$B$46-Quesería!$B$47)))/(Quesería!$B$46-Quesería!$B$47))*IF(D$47&gt;2,1-Quesería!$B$48,1),0))*D225</f>
        <v>135.496893508924</v>
      </c>
      <c r="E253" s="29" t="n">
        <f aca="false">(IF(AND(E$47&gt;0,E$47&lt;=0+Quesería!$B$46),($F$14+$F$28)*(Quesería!$B$44*$B$226*$B$223)*(1-MAX(0,MIN((E$47-1)-0-Quesería!$B$47,(Quesería!$B$46-Quesería!$B$47)))/(Quesería!$B$46-Quesería!$B$47))*IF(E$47&gt;2,1-Quesería!$B$48,1),0)+IF(AND(E$47&gt;1,E$47&lt;=1+Quesería!$B$46),($F$14+$F$28)*(Quesería!$B$44*$C$226*$C$223)*(1-MAX(0,MIN((E$47-1)-1-Quesería!$B$47,(Quesería!$B$46-Quesería!$B$47)))/(Quesería!$B$46-Quesería!$B$47))*IF(E$47&gt;2,1-Quesería!$B$48,1),0))*E225</f>
        <v>117.826027258135</v>
      </c>
      <c r="F253" s="29" t="n">
        <f aca="false">(IF(AND(F$47&gt;0,F$47&lt;=0+Quesería!$B$46),($F$14+$F$28)*(Quesería!$B$44*$B$226*$B$223)*(1-MAX(0,MIN((F$47-1)-0-Quesería!$B$47,(Quesería!$B$46-Quesería!$B$47)))/(Quesería!$B$46-Quesería!$B$47))*IF(F$47&gt;2,1-Quesería!$B$48,1),0)+IF(AND(F$47&gt;1,F$47&lt;=1+Quesería!$B$46),($F$14+$F$28)*(Quesería!$B$44*$C$226*$C$223)*(1-MAX(0,MIN((F$47-1)-1-Quesería!$B$47,(Quesería!$B$46-Quesería!$B$47)))/(Quesería!$B$46-Quesería!$B$47))*IF(F$47&gt;2,1-Quesería!$B$48,1),0))*F225</f>
        <v>92.4151745225957</v>
      </c>
      <c r="G253" s="29" t="n">
        <f aca="false">(IF(AND(G$47&gt;0,G$47&lt;=0+Quesería!$B$46),($F$14+$F$28)*(Quesería!$B$44*$B$226*$B$223)*(1-MAX(0,MIN((G$47-1)-0-Quesería!$B$47,(Quesería!$B$46-Quesería!$B$47)))/(Quesería!$B$46-Quesería!$B$47))*IF(G$47&gt;2,1-Quesería!$B$48,1),0)+IF(AND(G$47&gt;1,G$47&lt;=1+Quesería!$B$46),($F$14+$F$28)*(Quesería!$B$44*$C$226*$C$223)*(1-MAX(0,MIN((G$47-1)-1-Quesería!$B$47,(Quesería!$B$46-Quesería!$B$47)))/(Quesería!$B$46-Quesería!$B$47))*IF(G$47&gt;2,1-Quesería!$B$48,1),0))*G225</f>
        <v>68.7847039098228</v>
      </c>
      <c r="H253" s="29" t="n">
        <f aca="false">(IF(AND(H$47&gt;0,H$47&lt;=0+Quesería!$B$46),($F$14+$F$28)*(Quesería!$B$44*$B$226*$B$223)*(1-MAX(0,MIN((H$47-1)-0-Quesería!$B$47,(Quesería!$B$46-Quesería!$B$47)))/(Quesería!$B$46-Quesería!$B$47))*IF(H$47&gt;2,1-Quesería!$B$48,1),0)+IF(AND(H$47&gt;1,H$47&lt;=1+Quesería!$B$46),($F$14+$F$28)*(Quesería!$B$44*$C$226*$C$223)*(1-MAX(0,MIN((H$47-1)-1-Quesería!$B$47,(Quesería!$B$46-Quesería!$B$47)))/(Quesería!$B$46-Quesería!$B$47))*IF(H$47&gt;2,1-Quesería!$B$48,1),0))*H225</f>
        <v>46.8352529676735</v>
      </c>
      <c r="I253" s="29" t="n">
        <f aca="false">(IF(AND(I$47&gt;0,I$47&lt;=0+Quesería!$B$46),($F$14+$F$28)*(Quesería!$B$44*$B$226*$B$223)*(1-MAX(0,MIN((I$47-1)-0-Quesería!$B$47,(Quesería!$B$46-Quesería!$B$47)))/(Quesería!$B$46-Quesería!$B$47))*IF(I$47&gt;2,1-Quesería!$B$48,1),0)+IF(AND(I$47&gt;1,I$47&lt;=1+Quesería!$B$46),($F$14+$F$28)*(Quesería!$B$44*$C$226*$C$223)*(1-MAX(0,MIN((I$47-1)-1-Quesería!$B$47,(Quesería!$B$46-Quesería!$B$47)))/(Quesería!$B$46-Quesería!$B$47))*IF(I$47&gt;2,1-Quesería!$B$48,1),0))*I225</f>
        <v>26.4724688081898</v>
      </c>
      <c r="J253" s="29" t="n">
        <f aca="false">(IF(AND(J$47&gt;0,J$47&lt;=0+Quesería!$B$46),($F$14+$F$28)*(Quesería!$B$44*$B$226*$B$223)*(1-MAX(0,MIN((J$47-1)-0-Quesería!$B$47,(Quesería!$B$46-Quesería!$B$47)))/(Quesería!$B$46-Quesería!$B$47))*IF(J$47&gt;2,1-Quesería!$B$48,1),0)+IF(AND(J$47&gt;1,J$47&lt;=1+Quesería!$B$46),($F$14+$F$28)*(Quesería!$B$44*$C$226*$C$223)*(1-MAX(0,MIN((J$47-1)-1-Quesería!$B$47,(Quesería!$B$46-Quesería!$B$47)))/(Quesería!$B$46-Quesería!$B$47))*IF(J$47&gt;2,1-Quesería!$B$48,1),0))*J225</f>
        <v>7.60676974238282</v>
      </c>
      <c r="K253" s="29" t="n">
        <f aca="false">(IF(AND(K$47&gt;0,K$47&lt;=0+Quesería!$B$46),($F$14+$F$28)*(Quesería!$B$44*$B$226*$B$223)*(1-MAX(0,MIN((K$47-1)-0-Quesería!$B$47,(Quesería!$B$46-Quesería!$B$47)))/(Quesería!$B$46-Quesería!$B$47))*IF(K$47&gt;2,1-Quesería!$B$48,1),0)+IF(AND(K$47&gt;1,K$47&lt;=1+Quesería!$B$46),($F$14+$F$28)*(Quesería!$B$44*$C$226*$C$223)*(1-MAX(0,MIN((K$47-1)-1-Quesería!$B$47,(Quesería!$B$46-Quesería!$B$47)))/(Quesería!$B$46-Quesería!$B$47))*IF(K$47&gt;2,1-Quesería!$B$48,1),0))*K225</f>
        <v>0</v>
      </c>
      <c r="L253" s="29" t="n">
        <f aca="false">(IF(AND(L$47&gt;0,L$47&lt;=0+Quesería!$B$46),($F$14+$F$28)*(Quesería!$B$44*$B$226*$B$223)*(1-MAX(0,MIN((L$47-1)-0-Quesería!$B$47,(Quesería!$B$46-Quesería!$B$47)))/(Quesería!$B$46-Quesería!$B$47))*IF(L$47&gt;2,1-Quesería!$B$48,1),0)+IF(AND(L$47&gt;1,L$47&lt;=1+Quesería!$B$46),($F$14+$F$28)*(Quesería!$B$44*$C$226*$C$223)*(1-MAX(0,MIN((L$47-1)-1-Quesería!$B$47,(Quesería!$B$46-Quesería!$B$47)))/(Quesería!$B$46-Quesería!$B$47))*IF(L$47&gt;2,1-Quesería!$B$48,1),0))*L225</f>
        <v>0</v>
      </c>
    </row>
    <row r="254" customFormat="false" ht="15" hidden="true" customHeight="false" outlineLevel="1" collapsed="false">
      <c r="A254" s="6" t="s">
        <v>433</v>
      </c>
      <c r="B254" s="29" t="n">
        <f aca="false">((IF(AND(B$47&gt;0+Quesería!$B$47,B$47&lt;=0+Quesería!$B$46),(Quesería!$B$44*$B$226*$B$223)/(Quesería!$B$46-Quesería!$B$47),0)*IF(B$47&gt;2,1-Quesería!$B$48,1)+IF(B$47=2,Quesería!$B$48*(Quesería!$B$44*$B$226*$B$223)*(1-MAX(0,MIN(2-0-Quesería!$B$47,(Quesería!$B$46-Quesería!$B$47)))/(Quesería!$B$46-Quesería!$B$47)),0))+(IF(AND(B$47&gt;1+Quesería!$B$47,B$47&lt;=1+Quesería!$B$46),(Quesería!$B$44*$C$226*$C$223)/(Quesería!$B$46-Quesería!$B$47),0)*IF(B$47&gt;2,1-Quesería!$B$48,1)+IF(B$47=2,Quesería!$B$48*(Quesería!$B$44*$C$226*$C$223)*(1-MAX(0,MIN(2-1-Quesería!$B$47,(Quesería!$B$46-Quesería!$B$47)))/(Quesería!$B$46-Quesería!$B$47)),0)))*B225</f>
        <v>0</v>
      </c>
      <c r="C254" s="29" t="n">
        <f aca="false">((IF(AND(C$47&gt;0+Quesería!$B$47,C$47&lt;=0+Quesería!$B$46),(Quesería!$B$44*$B$226*$B$223)/(Quesería!$B$46-Quesería!$B$47),0)*IF(C$47&gt;2,1-Quesería!$B$48,1)+IF(C$47=2,Quesería!$B$48*(Quesería!$B$44*$B$226*$B$223)*(1-MAX(0,MIN(2-0-Quesería!$B$47,(Quesería!$B$46-Quesería!$B$47)))/(Quesería!$B$46-Quesería!$B$47)),0))+(IF(AND(C$47&gt;1+Quesería!$B$47,C$47&lt;=1+Quesería!$B$46),(Quesería!$B$44*$C$226*$C$223)/(Quesería!$B$46-Quesería!$B$47),0)*IF(C$47&gt;2,1-Quesería!$B$48,1)+IF(C$47=2,Quesería!$B$48*(Quesería!$B$44*$C$226*$C$223)*(1-MAX(0,MIN(2-1-Quesería!$B$47,(Quesería!$B$46-Quesería!$B$47)))/(Quesería!$B$46-Quesería!$B$47)),0)))*C225</f>
        <v>0</v>
      </c>
      <c r="D254" s="29" t="n">
        <f aca="false">((IF(AND(D$47&gt;0+Quesería!$B$47,D$47&lt;=0+Quesería!$B$46),(Quesería!$B$44*$B$226*$B$223)/(Quesería!$B$46-Quesería!$B$47),0)*IF(D$47&gt;2,1-Quesería!$B$48,1)+IF(D$47=2,Quesería!$B$48*(Quesería!$B$44*$B$226*$B$223)*(1-MAX(0,MIN(2-0-Quesería!$B$47,(Quesería!$B$46-Quesería!$B$47)))/(Quesería!$B$46-Quesería!$B$47)),0))+(IF(AND(D$47&gt;1+Quesería!$B$47,D$47&lt;=1+Quesería!$B$46),(Quesería!$B$44*$C$226*$C$223)/(Quesería!$B$46-Quesería!$B$47),0)*IF(D$47&gt;2,1-Quesería!$B$48,1)+IF(D$47=2,Quesería!$B$48*(Quesería!$B$44*$C$226*$C$223)*(1-MAX(0,MIN(2-1-Quesería!$B$47,(Quesería!$B$46-Quesería!$B$47)))/(Quesería!$B$46-Quesería!$B$47)),0)))*D225</f>
        <v>91.8994692231472</v>
      </c>
      <c r="E254" s="29" t="n">
        <f aca="false">((IF(AND(E$47&gt;0+Quesería!$B$47,E$47&lt;=0+Quesería!$B$46),(Quesería!$B$44*$B$226*$B$223)/(Quesería!$B$46-Quesería!$B$47),0)*IF(E$47&gt;2,1-Quesería!$B$48,1)+IF(E$47=2,Quesería!$B$48*(Quesería!$B$44*$B$226*$B$223)*(1-MAX(0,MIN(2-0-Quesería!$B$47,(Quesería!$B$46-Quesería!$B$47)))/(Quesería!$B$46-Quesería!$B$47)),0))+(IF(AND(E$47&gt;1+Quesería!$B$47,E$47&lt;=1+Quesería!$B$46),(Quesería!$B$44*$C$226*$C$223)/(Quesería!$B$46-Quesería!$B$47),0)*IF(E$47&gt;2,1-Quesería!$B$48,1)+IF(E$47=2,Quesería!$B$48*(Quesería!$B$44*$C$226*$C$223)*(1-MAX(0,MIN(2-1-Quesería!$B$47,(Quesería!$B$46-Quesería!$B$47)))/(Quesería!$B$46-Quesería!$B$47)),0)))*E225</f>
        <v>154.001742940676</v>
      </c>
      <c r="F254" s="29" t="n">
        <f aca="false">((IF(AND(F$47&gt;0+Quesería!$B$47,F$47&lt;=0+Quesería!$B$46),(Quesería!$B$44*$B$226*$B$223)/(Quesería!$B$46-Quesería!$B$47),0)*IF(F$47&gt;2,1-Quesería!$B$48,1)+IF(F$47=2,Quesería!$B$48*(Quesería!$B$44*$B$226*$B$223)*(1-MAX(0,MIN(2-0-Quesería!$B$47,(Quesería!$B$46-Quesería!$B$47)))/(Quesería!$B$46-Quesería!$B$47)),0))+(IF(AND(F$47&gt;1+Quesería!$B$47,F$47&lt;=1+Quesería!$B$46),(Quesería!$B$44*$C$226*$C$223)/(Quesería!$B$46-Quesería!$B$47),0)*IF(F$47&gt;2,1-Quesería!$B$48,1)+IF(F$47=2,Quesería!$B$48*(Quesería!$B$44*$C$226*$C$223)*(1-MAX(0,MIN(2-1-Quesería!$B$47,(Quesería!$B$46-Quesería!$B$47)))/(Quesería!$B$46-Quesería!$B$47)),0)))*F225</f>
        <v>148.078598981419</v>
      </c>
      <c r="G254" s="29" t="n">
        <f aca="false">((IF(AND(G$47&gt;0+Quesería!$B$47,G$47&lt;=0+Quesería!$B$46),(Quesería!$B$44*$B$226*$B$223)/(Quesería!$B$46-Quesería!$B$47),0)*IF(G$47&gt;2,1-Quesería!$B$48,1)+IF(G$47=2,Quesería!$B$48*(Quesería!$B$44*$B$226*$B$223)*(1-MAX(0,MIN(2-0-Quesería!$B$47,(Quesería!$B$46-Quesería!$B$47)))/(Quesería!$B$46-Quesería!$B$47)),0))+(IF(AND(G$47&gt;1+Quesería!$B$47,G$47&lt;=1+Quesería!$B$46),(Quesería!$B$44*$C$226*$C$223)/(Quesería!$B$46-Quesería!$B$47),0)*IF(G$47&gt;2,1-Quesería!$B$48,1)+IF(G$47=2,Quesería!$B$48*(Quesería!$B$44*$C$226*$C$223)*(1-MAX(0,MIN(2-1-Quesería!$B$47,(Quesería!$B$46-Quesería!$B$47)))/(Quesería!$B$46-Quesería!$B$47)),0)))*G225</f>
        <v>142.383268251364</v>
      </c>
      <c r="H254" s="29" t="n">
        <f aca="false">((IF(AND(H$47&gt;0+Quesería!$B$47,H$47&lt;=0+Quesería!$B$46),(Quesería!$B$44*$B$226*$B$223)/(Quesería!$B$46-Quesería!$B$47),0)*IF(H$47&gt;2,1-Quesería!$B$48,1)+IF(H$47=2,Quesería!$B$48*(Quesería!$B$44*$B$226*$B$223)*(1-MAX(0,MIN(2-0-Quesería!$B$47,(Quesería!$B$46-Quesería!$B$47)))/(Quesería!$B$46-Quesería!$B$47)),0))+(IF(AND(H$47&gt;1+Quesería!$B$47,H$47&lt;=1+Quesería!$B$46),(Quesería!$B$44*$C$226*$C$223)/(Quesería!$B$46-Quesería!$B$47),0)*IF(H$47&gt;2,1-Quesería!$B$48,1)+IF(H$47=2,Quesería!$B$48*(Quesería!$B$44*$C$226*$C$223)*(1-MAX(0,MIN(2-1-Quesería!$B$47,(Quesería!$B$46-Quesería!$B$47)))/(Quesería!$B$46-Quesería!$B$47)),0)))*H225</f>
        <v>136.906988703235</v>
      </c>
      <c r="I254" s="29" t="n">
        <f aca="false">((IF(AND(I$47&gt;0+Quesería!$B$47,I$47&lt;=0+Quesería!$B$46),(Quesería!$B$44*$B$226*$B$223)/(Quesería!$B$46-Quesería!$B$47),0)*IF(I$47&gt;2,1-Quesería!$B$48,1)+IF(I$47=2,Quesería!$B$48*(Quesería!$B$44*$B$226*$B$223)*(1-MAX(0,MIN(2-0-Quesería!$B$47,(Quesería!$B$46-Quesería!$B$47)))/(Quesería!$B$46-Quesería!$B$47)),0))+(IF(AND(I$47&gt;1+Quesería!$B$47,I$47&lt;=1+Quesería!$B$46),(Quesería!$B$44*$C$226*$C$223)/(Quesería!$B$46-Quesería!$B$47),0)*IF(I$47&gt;2,1-Quesería!$B$48,1)+IF(I$47=2,Quesería!$B$48*(Quesería!$B$44*$C$226*$C$223)*(1-MAX(0,MIN(2-1-Quesería!$B$47,(Quesería!$B$46-Quesería!$B$47)))/(Quesería!$B$46-Quesería!$B$47)),0)))*I225</f>
        <v>131.641335291572</v>
      </c>
      <c r="J254" s="29" t="n">
        <f aca="false">((IF(AND(J$47&gt;0+Quesería!$B$47,J$47&lt;=0+Quesería!$B$46),(Quesería!$B$44*$B$226*$B$223)/(Quesería!$B$46-Quesería!$B$47),0)*IF(J$47&gt;2,1-Quesería!$B$48,1)+IF(J$47=2,Quesería!$B$48*(Quesería!$B$44*$B$226*$B$223)*(1-MAX(0,MIN(2-0-Quesería!$B$47,(Quesería!$B$46-Quesería!$B$47)))/(Quesería!$B$46-Quesería!$B$47)),0))+(IF(AND(J$47&gt;1+Quesería!$B$47,J$47&lt;=1+Quesería!$B$46),(Quesería!$B$44*$C$226*$C$223)/(Quesería!$B$46-Quesería!$B$47),0)*IF(J$47&gt;2,1-Quesería!$B$48,1)+IF(J$47=2,Quesería!$B$48*(Quesería!$B$44*$C$226*$C$223)*(1-MAX(0,MIN(2-1-Quesería!$B$47,(Quesería!$B$46-Quesería!$B$47)))/(Quesería!$B$46-Quesería!$B$47)),0)))*J225</f>
        <v>53.9487215771831</v>
      </c>
      <c r="K254" s="29" t="n">
        <f aca="false">((IF(AND(K$47&gt;0+Quesería!$B$47,K$47&lt;=0+Quesería!$B$46),(Quesería!$B$44*$B$226*$B$223)/(Quesería!$B$46-Quesería!$B$47),0)*IF(K$47&gt;2,1-Quesería!$B$48,1)+IF(K$47=2,Quesería!$B$48*(Quesería!$B$44*$B$226*$B$223)*(1-MAX(0,MIN(2-0-Quesería!$B$47,(Quesería!$B$46-Quesería!$B$47)))/(Quesería!$B$46-Quesería!$B$47)),0))+(IF(AND(K$47&gt;1+Quesería!$B$47,K$47&lt;=1+Quesería!$B$46),(Quesería!$B$44*$C$226*$C$223)/(Quesería!$B$46-Quesería!$B$47),0)*IF(K$47&gt;2,1-Quesería!$B$48,1)+IF(K$47=2,Quesería!$B$48*(Quesería!$B$44*$C$226*$C$223)*(1-MAX(0,MIN(2-1-Quesería!$B$47,(Quesería!$B$46-Quesería!$B$47)))/(Quesería!$B$46-Quesería!$B$47)),0)))*K225</f>
        <v>0</v>
      </c>
      <c r="L254" s="29" t="n">
        <f aca="false">((IF(AND(L$47&gt;0+Quesería!$B$47,L$47&lt;=0+Quesería!$B$46),(Quesería!$B$44*$B$226*$B$223)/(Quesería!$B$46-Quesería!$B$47),0)*IF(L$47&gt;2,1-Quesería!$B$48,1)+IF(L$47=2,Quesería!$B$48*(Quesería!$B$44*$B$226*$B$223)*(1-MAX(0,MIN(2-0-Quesería!$B$47,(Quesería!$B$46-Quesería!$B$47)))/(Quesería!$B$46-Quesería!$B$47)),0))+(IF(AND(L$47&gt;1+Quesería!$B$47,L$47&lt;=1+Quesería!$B$46),(Quesería!$B$44*$C$226*$C$223)/(Quesería!$B$46-Quesería!$B$47),0)*IF(L$47&gt;2,1-Quesería!$B$48,1)+IF(L$47=2,Quesería!$B$48*(Quesería!$B$44*$C$226*$C$223)*(1-MAX(0,MIN(2-1-Quesería!$B$47,(Quesería!$B$46-Quesería!$B$47)))/(Quesería!$B$46-Quesería!$B$47)),0)))*L225</f>
        <v>0</v>
      </c>
    </row>
    <row r="255" customFormat="false" ht="15" hidden="true" customHeight="false" outlineLevel="1" collapsed="false">
      <c r="A255" s="6" t="s">
        <v>434</v>
      </c>
      <c r="B255" s="29" t="n">
        <f aca="false">$F$13*Quesería!$B$51*(1+0.19)*B251*B225+(1-$F$13)*IF(B$47=0,Quesería!$B$50,0)</f>
        <v>4</v>
      </c>
      <c r="C255" s="29" t="n">
        <f aca="false">$F$13*Quesería!$B$51*(1+0.19)*C251*C225+(1-$F$13)*IF(C$47=0,Quesería!$B$50,0)</f>
        <v>0</v>
      </c>
      <c r="D255" s="29" t="n">
        <f aca="false">$F$13*Quesería!$B$51*(1+0.19)*D251*D225+(1-$F$13)*IF(D$47=0,Quesería!$B$50,0)</f>
        <v>0</v>
      </c>
      <c r="E255" s="29" t="n">
        <f aca="false">$F$13*Quesería!$B$51*(1+0.19)*E251*E225+(1-$F$13)*IF(E$47=0,Quesería!$B$50,0)</f>
        <v>0</v>
      </c>
      <c r="F255" s="29" t="n">
        <f aca="false">$F$13*Quesería!$B$51*(1+0.19)*F251*F225+(1-$F$13)*IF(F$47=0,Quesería!$B$50,0)</f>
        <v>0</v>
      </c>
      <c r="G255" s="29" t="n">
        <f aca="false">$F$13*Quesería!$B$51*(1+0.19)*G251*G225+(1-$F$13)*IF(G$47=0,Quesería!$B$50,0)</f>
        <v>0</v>
      </c>
      <c r="H255" s="29" t="n">
        <f aca="false">$F$13*Quesería!$B$51*(1+0.19)*H251*H225+(1-$F$13)*IF(H$47=0,Quesería!$B$50,0)</f>
        <v>0</v>
      </c>
      <c r="I255" s="29" t="n">
        <f aca="false">$F$13*Quesería!$B$51*(1+0.19)*I251*I225+(1-$F$13)*IF(I$47=0,Quesería!$B$50,0)</f>
        <v>0</v>
      </c>
      <c r="J255" s="29" t="n">
        <f aca="false">$F$13*Quesería!$B$51*(1+0.19)*J251*J225+(1-$F$13)*IF(J$47=0,Quesería!$B$50,0)</f>
        <v>0</v>
      </c>
      <c r="K255" s="29" t="n">
        <f aca="false">$F$13*Quesería!$B$51*(1+0.19)*K251*K225+(1-$F$13)*IF(K$47=0,Quesería!$B$50,0)</f>
        <v>0</v>
      </c>
      <c r="L255" s="29" t="n">
        <f aca="false">$F$13*Quesería!$B$51*(1+0.19)*L251*L225+(1-$F$13)*IF(L$47=0,Quesería!$B$50,0)</f>
        <v>0</v>
      </c>
    </row>
    <row r="256" customFormat="false" ht="15" hidden="true" customHeight="false" outlineLevel="1" collapsed="false">
      <c r="A256" s="6" t="s">
        <v>435</v>
      </c>
      <c r="B256" s="29" t="n">
        <f aca="false">Quesería!$B$52*(B253+B254+B255)</f>
        <v>0.016</v>
      </c>
      <c r="C256" s="29" t="n">
        <f aca="false">Quesería!$B$52*(C253+C254+C255)</f>
        <v>0.324982255024431</v>
      </c>
      <c r="D256" s="29" t="n">
        <f aca="false">Quesería!$B$52*(D253+D254+D255)</f>
        <v>0.909585450928285</v>
      </c>
      <c r="E256" s="29" t="n">
        <f aca="false">Quesería!$B$52*(E253+E254+E255)</f>
        <v>1.08731108079524</v>
      </c>
      <c r="F256" s="29" t="n">
        <f aca="false">Quesería!$B$52*(F253+F254+F255)</f>
        <v>0.961975094016058</v>
      </c>
      <c r="G256" s="29" t="n">
        <f aca="false">Quesería!$B$52*(G253+G254+G255)</f>
        <v>0.844671888644748</v>
      </c>
      <c r="H256" s="29" t="n">
        <f aca="false">Quesería!$B$52*(H253+H254+H255)</f>
        <v>0.734968966683633</v>
      </c>
      <c r="I256" s="29" t="n">
        <f aca="false">Quesería!$B$52*(I253+I254+I255)</f>
        <v>0.632455216399047</v>
      </c>
      <c r="J256" s="29" t="n">
        <f aca="false">Quesería!$B$52*(J253+J254+J255)</f>
        <v>0.246221965278264</v>
      </c>
      <c r="K256" s="29" t="n">
        <f aca="false">Quesería!$B$52*(K253+K254+K255)</f>
        <v>0</v>
      </c>
      <c r="L256" s="29" t="n">
        <f aca="false">Quesería!$B$52*(L253+L254+L255)</f>
        <v>0</v>
      </c>
    </row>
    <row r="257" customFormat="false" ht="15" hidden="true" customHeight="false" outlineLevel="1" collapsed="false">
      <c r="A257" s="6" t="s">
        <v>436</v>
      </c>
      <c r="B257" s="29" t="n">
        <f aca="false">$F$17*(B253+B255+0.5*B256)</f>
        <v>1.4028</v>
      </c>
      <c r="C257" s="29" t="n">
        <f aca="false">$F$17*(C253+C255+0.5*C256)</f>
        <v>28.492819209267</v>
      </c>
      <c r="D257" s="29" t="n">
        <f aca="false">$F$17*(D253+D255+0.5*D256)</f>
        <v>47.5830901820358</v>
      </c>
      <c r="E257" s="29" t="n">
        <f aca="false">$F$17*(E253+E255+0.5*E256)</f>
        <v>41.4293889794864</v>
      </c>
      <c r="F257" s="29" t="n">
        <f aca="false">$F$17*(F253+F255+0.5*F256)</f>
        <v>32.5136567243613</v>
      </c>
      <c r="G257" s="29" t="n">
        <f aca="false">$F$17*(G253+G255+0.5*G256)</f>
        <v>24.2224639489508</v>
      </c>
      <c r="H257" s="29" t="n">
        <f aca="false">$F$17*(H253+H255+0.5*H256)</f>
        <v>16.5209581078554</v>
      </c>
      <c r="I257" s="29" t="n">
        <f aca="false">$F$17*(I253+I255+0.5*I256)</f>
        <v>9.37604374573625</v>
      </c>
      <c r="J257" s="29" t="n">
        <f aca="false">$F$17*(J253+J255+0.5*J256)</f>
        <v>2.70545825375768</v>
      </c>
      <c r="K257" s="29" t="n">
        <f aca="false">$F$17*(K253+K255+0.5*K256)</f>
        <v>0</v>
      </c>
      <c r="L257" s="29" t="n">
        <f aca="false">$F$17*(L253+L255+0.5*L256)</f>
        <v>0</v>
      </c>
    </row>
    <row r="258" customFormat="false" ht="15" hidden="true" customHeight="false" outlineLevel="1" collapsed="false">
      <c r="A258" s="5" t="s">
        <v>437</v>
      </c>
      <c r="B258" s="59" t="n">
        <f aca="false">B243+B252-B253-B254-B255-B256+B257</f>
        <v>-358.744924503166</v>
      </c>
      <c r="C258" s="59" t="n">
        <f aca="false">C243+C252-C253-C254-C255-C256+C257</f>
        <v>-25.4578919146794</v>
      </c>
      <c r="D258" s="59" t="n">
        <f aca="false">D243+D252-D253-D254-D255-D256+D257</f>
        <v>215.769663952965</v>
      </c>
      <c r="E258" s="59" t="n">
        <f aca="false">E243+E252-E253-E254-E255-E256+E257</f>
        <v>23.9376021738175</v>
      </c>
      <c r="F258" s="59" t="n">
        <f aca="false">F243+F252-F253-F254-F255-F256+F257</f>
        <v>82.9209196754873</v>
      </c>
      <c r="G258" s="59" t="n">
        <f aca="false">G243+G252-G253-G254-G255-G256+G257</f>
        <v>69.597193708776</v>
      </c>
      <c r="H258" s="59" t="n">
        <f aca="false">H243+H252-H253-H254-H255-H256+H257</f>
        <v>67.7825582810817</v>
      </c>
      <c r="I258" s="59" t="n">
        <f aca="false">I243+I252-I253-I254-I255-I256+I257</f>
        <v>146.877656400773</v>
      </c>
      <c r="J258" s="59" t="n">
        <f aca="false">J243+J252-J253-J254-J255-J256+J257</f>
        <v>227.160271929245</v>
      </c>
      <c r="K258" s="59" t="n">
        <f aca="false">K243+K252-K253-K254-K255-K256+K257</f>
        <v>284.801968427832</v>
      </c>
      <c r="L258" s="59" t="n">
        <f aca="false">L243+L252-L253-L254-L255-L256+L257</f>
        <v>514.073421398659</v>
      </c>
    </row>
    <row r="259" customFormat="false" ht="15" hidden="true" customHeight="false" outlineLevel="1" collapsed="false">
      <c r="A259" s="9" t="s">
        <v>438</v>
      </c>
      <c r="B259" s="58" t="n">
        <f aca="false">B258*B223</f>
        <v>-380.269619973356</v>
      </c>
      <c r="C259" s="58" t="n">
        <f aca="false">C258*C223</f>
        <v>-28.3346337010382</v>
      </c>
      <c r="D259" s="58" t="n">
        <f aca="false">D258*D223</f>
        <v>250.958459598735</v>
      </c>
      <c r="E259" s="58" t="n">
        <f aca="false">E258*E223</f>
        <v>28.9551246653079</v>
      </c>
      <c r="F259" s="58" t="n">
        <f aca="false">F258*F223</f>
        <v>104.313914614203</v>
      </c>
      <c r="G259" s="58" t="n">
        <f aca="false">G258*G223</f>
        <v>91.0548746968902</v>
      </c>
      <c r="H259" s="58" t="n">
        <f aca="false">H258*H223</f>
        <v>92.2279951662173</v>
      </c>
      <c r="I259" s="58" t="n">
        <f aca="false">I258*I223</f>
        <v>207.842274077609</v>
      </c>
      <c r="J259" s="58" t="n">
        <f aca="false">J258*J223</f>
        <v>334.305768494808</v>
      </c>
      <c r="K259" s="58" t="n">
        <f aca="false">K258*K223</f>
        <v>435.900950989821</v>
      </c>
      <c r="L259" s="58" t="n">
        <f aca="false">L258*L223</f>
        <v>818.282606273388</v>
      </c>
    </row>
    <row r="260" customFormat="false" ht="15" hidden="true" customHeight="false" outlineLevel="1" collapsed="false">
      <c r="A260" s="9" t="s">
        <v>439</v>
      </c>
      <c r="B260" s="57" t="n">
        <f aca="false">(B223/$B$223)/(1+Quesería!$B$11+$F$28)^B$47</f>
        <v>1</v>
      </c>
      <c r="C260" s="57" t="n">
        <f aca="false">(C223/$B$223)/(1+Quesería!$B$11+$F$28)^C$47</f>
        <v>0.84</v>
      </c>
      <c r="D260" s="57" t="n">
        <f aca="false">(D223/$B$223)/(1+Quesería!$B$11+$F$28)^D$47</f>
        <v>0.70224</v>
      </c>
      <c r="E260" s="57" t="n">
        <f aca="false">(E223/$B$223)/(1+Quesería!$B$11+$F$28)^E$47</f>
        <v>0.58426368</v>
      </c>
      <c r="F260" s="57" t="n">
        <f aca="false">(F223/$B$223)/(1+Quesería!$B$11+$F$28)^F$47</f>
        <v>0.48610738176</v>
      </c>
      <c r="G260" s="57" t="n">
        <f aca="false">(G223/$B$223)/(1+Quesería!$B$11+$F$28)^G$47</f>
        <v>0.40444134162432</v>
      </c>
      <c r="H260" s="57" t="n">
        <f aca="false">(H223/$B$223)/(1+Quesería!$B$11+$F$28)^H$47</f>
        <v>0.336495196231434</v>
      </c>
      <c r="I260" s="57" t="n">
        <f aca="false">(I223/$B$223)/(1+Quesería!$B$11+$F$28)^I$47</f>
        <v>0.279964003264553</v>
      </c>
      <c r="J260" s="57" t="n">
        <f aca="false">(J223/$B$223)/(1+Quesería!$B$11+$F$28)^J$47</f>
        <v>0.232930050716108</v>
      </c>
      <c r="K260" s="57" t="n">
        <f aca="false">(K223/$B$223)/(1+Quesería!$B$11+$F$28)^K$47</f>
        <v>0.193797802195802</v>
      </c>
      <c r="L260" s="57" t="n">
        <f aca="false">(L223/$B$223)/(1+Quesería!$B$11+$F$28)^L$47</f>
        <v>0.161239771426907</v>
      </c>
    </row>
    <row r="261" customFormat="false" ht="15" hidden="true" customHeight="false" outlineLevel="1" collapsed="false">
      <c r="A261" s="9" t="s">
        <v>440</v>
      </c>
      <c r="B261" s="58" t="n">
        <f aca="false">B243+B226+B228+B257</f>
        <v>120.166830858099</v>
      </c>
      <c r="C261" s="58" t="n">
        <f aca="false">C243+C226+C228+C257</f>
        <v>411.685950100682</v>
      </c>
      <c r="D261" s="58" t="n">
        <f aca="false">D243+D226+D228+D257</f>
        <v>444.075612135965</v>
      </c>
      <c r="E261" s="58" t="n">
        <f aca="false">E243+E226+E228+E257</f>
        <v>296.852683453423</v>
      </c>
      <c r="F261" s="58" t="n">
        <f aca="false">F243+F226+F228+F257</f>
        <v>324.376668273518</v>
      </c>
      <c r="G261" s="58" t="n">
        <f aca="false">G243+G226+G228+G257</f>
        <v>286.828229039694</v>
      </c>
      <c r="H261" s="58" t="n">
        <f aca="false">H243+H226+H228+H257</f>
        <v>261.073708503755</v>
      </c>
      <c r="I261" s="58" t="n">
        <f aca="false">I243+I226+I228+I257</f>
        <v>305.623915716934</v>
      </c>
      <c r="J261" s="58" t="n">
        <f aca="false">J243+J226+J228+J257</f>
        <v>288.961985214089</v>
      </c>
      <c r="K261" s="58" t="n">
        <f aca="false">K243+K226+K228+K257</f>
        <v>284.801968427832</v>
      </c>
      <c r="L261" s="58" t="n">
        <f aca="false">L243+L226+L228+L257</f>
        <v>514.073421398659</v>
      </c>
    </row>
    <row r="262" customFormat="false" ht="15" hidden="true" customHeight="false" outlineLevel="1" collapsed="false">
      <c r="A262" s="5" t="s">
        <v>149</v>
      </c>
      <c r="B262" s="12" t="str">
        <f aca="false">IF(AND(B$47&gt;=1,(B253+B254+B255)&gt;0.001),B261/(B253+B254+B255),"")</f>
        <v/>
      </c>
      <c r="C262" s="12" t="n">
        <f aca="false">IF(AND(C$47&gt;=1,(C253+C254+C255)&gt;0.001),C261/(C253+C254+C255),"")</f>
        <v>5.06718066892277</v>
      </c>
      <c r="D262" s="12" t="n">
        <f aca="false">IF(AND(D$47&gt;=1,(D253+D254+D255)&gt;0.001),D261/(D253+D254+D255),"")</f>
        <v>1.9528703397037</v>
      </c>
      <c r="E262" s="12" t="n">
        <f aca="false">IF(AND(E$47&gt;=1,(E253+E254+E255)&gt;0.001),E261/(E253+E254+E255),"")</f>
        <v>1.09206165078833</v>
      </c>
      <c r="F262" s="12" t="n">
        <f aca="false">IF(AND(F$47&gt;=1,(F253+F254+F255)&gt;0.001),F261/(F253+F254+F255),"")</f>
        <v>1.34879445545439</v>
      </c>
      <c r="G262" s="12" t="n">
        <f aca="false">IF(AND(G$47&gt;=1,(G253+G254+G255)&gt;0.001),G261/(G253+G254+G255),"")</f>
        <v>1.35829418687013</v>
      </c>
      <c r="H262" s="12" t="n">
        <f aca="false">IF(AND(H$47&gt;=1,(H253+H254+H255)&gt;0.001),H261/(H253+H254+H255),"")</f>
        <v>1.42086929020574</v>
      </c>
      <c r="I262" s="12" t="n">
        <f aca="false">IF(AND(I$47&gt;=1,(I253+I254+I255)&gt;0.001),I261/(I253+I254+I255),"")</f>
        <v>1.93293632682508</v>
      </c>
      <c r="J262" s="12" t="n">
        <f aca="false">IF(AND(J$47&gt;=1,(J253+J254+J255)&gt;0.001),J261/(J253+J254+J255),"")</f>
        <v>4.69433317839898</v>
      </c>
      <c r="K262" s="12" t="str">
        <f aca="false">IF(AND(K$47&gt;=1,(K253+K254+K255)&gt;0.001),K261/(K253+K254+K255),"")</f>
        <v/>
      </c>
      <c r="L262" s="12" t="str">
        <f aca="false">IF(AND(L$47&gt;=1,(L253+L254+L255)&gt;0.001),L261/(L253+L254+L255),"")</f>
        <v/>
      </c>
    </row>
    <row r="264" customFormat="false" ht="15" hidden="false" customHeight="false" outlineLevel="0" collapsed="false">
      <c r="A264" s="43" t="s">
        <v>170</v>
      </c>
      <c r="B264" s="44"/>
      <c r="C264" s="44"/>
      <c r="D264" s="44"/>
      <c r="E264" s="44"/>
      <c r="F264" s="44"/>
      <c r="G264" s="44"/>
      <c r="H264" s="44"/>
      <c r="I264" s="44"/>
      <c r="J264" s="44"/>
      <c r="K264" s="44"/>
      <c r="L264" s="44"/>
    </row>
    <row r="265" customFormat="false" ht="15" hidden="true" customHeight="false" outlineLevel="1" collapsed="false">
      <c r="A265" s="9" t="s">
        <v>406</v>
      </c>
      <c r="B265" s="56" t="n">
        <f aca="false">CHOOSE($G$15,Entorno!B$7,Entorno!B$8,Entorno!B$9)</f>
        <v>0.06</v>
      </c>
      <c r="C265" s="56" t="n">
        <f aca="false">CHOOSE($G$15,Entorno!C$7,Entorno!C$8,Entorno!C$9)</f>
        <v>0.05</v>
      </c>
      <c r="D265" s="56" t="n">
        <f aca="false">CHOOSE($G$15,Entorno!D$7,Entorno!D$8,Entorno!D$9)</f>
        <v>0.045</v>
      </c>
      <c r="E265" s="56" t="n">
        <f aca="false">CHOOSE($G$15,Entorno!E$7,Entorno!E$8,Entorno!E$9)</f>
        <v>0.04</v>
      </c>
      <c r="F265" s="56" t="n">
        <f aca="false">CHOOSE($G$15,Entorno!F$7,Entorno!F$8,Entorno!F$9)</f>
        <v>0.04</v>
      </c>
      <c r="G265" s="56" t="n">
        <f aca="false">CHOOSE($G$15,Entorno!G$7,Entorno!G$8,Entorno!G$9)</f>
        <v>0.04</v>
      </c>
      <c r="H265" s="56" t="n">
        <f aca="false">CHOOSE($G$15,Entorno!H$7,Entorno!H$8,Entorno!H$9)</f>
        <v>0.04</v>
      </c>
      <c r="I265" s="56" t="n">
        <f aca="false">CHOOSE($G$15,Entorno!I$7,Entorno!I$8,Entorno!I$9)</f>
        <v>0.04</v>
      </c>
      <c r="J265" s="56" t="n">
        <f aca="false">CHOOSE($G$15,Entorno!J$7,Entorno!J$8,Entorno!J$9)</f>
        <v>0.04</v>
      </c>
      <c r="K265" s="56" t="n">
        <f aca="false">CHOOSE($G$15,Entorno!K$7,Entorno!K$8,Entorno!K$9)</f>
        <v>0.04</v>
      </c>
      <c r="L265" s="56" t="n">
        <f aca="false">CHOOSE($G$15,Entorno!L$7,Entorno!L$8,Entorno!L$9)</f>
        <v>0.04</v>
      </c>
    </row>
    <row r="266" customFormat="false" ht="15" hidden="true" customHeight="false" outlineLevel="1" collapsed="false">
      <c r="A266" s="9" t="s">
        <v>407</v>
      </c>
      <c r="B266" s="57" t="n">
        <f aca="false">1+B265</f>
        <v>1.06</v>
      </c>
      <c r="C266" s="57" t="n">
        <f aca="false">B266*(1+C265)</f>
        <v>1.113</v>
      </c>
      <c r="D266" s="57" t="n">
        <f aca="false">C266*(1+D265)</f>
        <v>1.163085</v>
      </c>
      <c r="E266" s="57" t="n">
        <f aca="false">D266*(1+E265)</f>
        <v>1.2096084</v>
      </c>
      <c r="F266" s="57" t="n">
        <f aca="false">E266*(1+F265)</f>
        <v>1.257992736</v>
      </c>
      <c r="G266" s="57" t="n">
        <f aca="false">F266*(1+G265)</f>
        <v>1.30831244544</v>
      </c>
      <c r="H266" s="57" t="n">
        <f aca="false">G266*(1+H265)</f>
        <v>1.3606449432576</v>
      </c>
      <c r="I266" s="57" t="n">
        <f aca="false">H266*(1+I265)</f>
        <v>1.4150707409879</v>
      </c>
      <c r="J266" s="57" t="n">
        <f aca="false">I266*(1+J265)</f>
        <v>1.47167357062742</v>
      </c>
      <c r="K266" s="57" t="n">
        <f aca="false">J266*(1+K265)</f>
        <v>1.53054051345252</v>
      </c>
      <c r="L266" s="57" t="n">
        <f aca="false">K266*(1+L265)</f>
        <v>1.59176213399062</v>
      </c>
    </row>
    <row r="267" customFormat="false" ht="15" hidden="true" customHeight="false" outlineLevel="1" collapsed="false">
      <c r="A267" s="9" t="s">
        <v>408</v>
      </c>
      <c r="B267" s="57" t="n">
        <f aca="false">(1+$G$16)/(1+B265)</f>
        <v>1.02358490566038</v>
      </c>
      <c r="C267" s="57" t="n">
        <f aca="false">B267*(1+Entorno!$B$13)</f>
        <v>1.02870283018868</v>
      </c>
      <c r="D267" s="57" t="n">
        <f aca="false">C267*(1+Entorno!$B$13)</f>
        <v>1.03384634433962</v>
      </c>
      <c r="E267" s="57" t="n">
        <f aca="false">D267*(1+Entorno!$B$13)</f>
        <v>1.03901557606132</v>
      </c>
      <c r="F267" s="57" t="n">
        <f aca="false">E267*(1+Entorno!$B$13)</f>
        <v>1.04421065394163</v>
      </c>
      <c r="G267" s="57" t="n">
        <f aca="false">F267*(1+Entorno!$B$13)</f>
        <v>1.04943170721133</v>
      </c>
      <c r="H267" s="57" t="n">
        <f aca="false">G267*(1+Entorno!$B$13)</f>
        <v>1.05467886574739</v>
      </c>
      <c r="I267" s="57" t="n">
        <f aca="false">H267*(1+Entorno!$B$13)</f>
        <v>1.05995226007613</v>
      </c>
      <c r="J267" s="57" t="n">
        <f aca="false">I267*(1+Entorno!$B$13)</f>
        <v>1.06525202137651</v>
      </c>
      <c r="K267" s="57" t="n">
        <f aca="false">J267*(1+Entorno!$B$13)</f>
        <v>1.07057828148339</v>
      </c>
      <c r="L267" s="57" t="n">
        <f aca="false">K267*(1+Entorno!$B$13)</f>
        <v>1.07593117289081</v>
      </c>
    </row>
    <row r="268" customFormat="false" ht="15" hidden="true" customHeight="false" outlineLevel="1" collapsed="false">
      <c r="A268" s="9" t="s">
        <v>409</v>
      </c>
      <c r="B268" s="57" t="n">
        <f aca="false">1/B266</f>
        <v>0.943396226415094</v>
      </c>
      <c r="C268" s="57" t="n">
        <f aca="false">1/C266</f>
        <v>0.898472596585804</v>
      </c>
      <c r="D268" s="57" t="n">
        <f aca="false">1/D266</f>
        <v>0.859782389077324</v>
      </c>
      <c r="E268" s="57" t="n">
        <f aca="false">1/E266</f>
        <v>0.826713835651273</v>
      </c>
      <c r="F268" s="57" t="n">
        <f aca="false">1/F266</f>
        <v>0.794917149664686</v>
      </c>
      <c r="G268" s="57" t="n">
        <f aca="false">1/G266</f>
        <v>0.764343413139121</v>
      </c>
      <c r="H268" s="57" t="n">
        <f aca="false">1/H266</f>
        <v>0.734945589556847</v>
      </c>
      <c r="I268" s="57" t="n">
        <f aca="false">1/I266</f>
        <v>0.706678451496968</v>
      </c>
      <c r="J268" s="57" t="n">
        <f aca="false">1/J266</f>
        <v>0.679498511054777</v>
      </c>
      <c r="K268" s="57" t="n">
        <f aca="false">1/K266</f>
        <v>0.653363952937286</v>
      </c>
      <c r="L268" s="57" t="n">
        <f aca="false">1/L266</f>
        <v>0.628234570132006</v>
      </c>
    </row>
    <row r="269" customFormat="false" ht="15" hidden="true" customHeight="false" outlineLevel="1" collapsed="false">
      <c r="A269" s="6" t="s">
        <v>323</v>
      </c>
      <c r="B269" s="29" t="n">
        <f aca="false">IF(B$47=0,Quesería!$F$92,IF(B$47=1,(Quesería!$F$93-(-$G$26)*Quesería!$D$86*(1+Quesería!$I$86))*$G$21,0))*$G$11</f>
        <v>930.800239431677</v>
      </c>
      <c r="C269" s="29" t="n">
        <f aca="false">IF(C$47=0,Quesería!$F$92,IF(C$47=1,(Quesería!$F$93-(-$G$26)*Quesería!$D$86*(1+Quesería!$I$86))*$G$21,0))*$G$11</f>
        <v>658.469066674498</v>
      </c>
      <c r="D269" s="29" t="n">
        <f aca="false">IF(D$47=0,Quesería!$F$92,IF(D$47=1,(Quesería!$F$93-(-$G$26)*Quesería!$D$86*(1+Quesería!$I$86))*$G$21,0))*$G$11</f>
        <v>0</v>
      </c>
      <c r="E269" s="29" t="n">
        <f aca="false">IF(E$47=0,Quesería!$F$92,IF(E$47=1,(Quesería!$F$93-(-$G$26)*Quesería!$D$86*(1+Quesería!$I$86))*$G$21,0))*$G$11</f>
        <v>0</v>
      </c>
      <c r="F269" s="29" t="n">
        <f aca="false">IF(F$47=0,Quesería!$F$92,IF(F$47=1,(Quesería!$F$93-(-$G$26)*Quesería!$D$86*(1+Quesería!$I$86))*$G$21,0))*$G$11</f>
        <v>0</v>
      </c>
      <c r="G269" s="29" t="n">
        <f aca="false">IF(G$47=0,Quesería!$F$92,IF(G$47=1,(Quesería!$F$93-(-$G$26)*Quesería!$D$86*(1+Quesería!$I$86))*$G$21,0))*$G$11</f>
        <v>0</v>
      </c>
      <c r="H269" s="29" t="n">
        <f aca="false">IF(H$47=0,Quesería!$F$92,IF(H$47=1,(Quesería!$F$93-(-$G$26)*Quesería!$D$86*(1+Quesería!$I$86))*$G$21,0))*$G$11</f>
        <v>0</v>
      </c>
      <c r="I269" s="29" t="n">
        <f aca="false">IF(I$47=0,Quesería!$F$92,IF(I$47=1,(Quesería!$F$93-(-$G$26)*Quesería!$D$86*(1+Quesería!$I$86))*$G$21,0))*$G$11</f>
        <v>0</v>
      </c>
      <c r="J269" s="29" t="n">
        <f aca="false">IF(J$47=0,Quesería!$F$92,IF(J$47=1,(Quesería!$F$93-(-$G$26)*Quesería!$D$86*(1+Quesería!$I$86))*$G$21,0))*$G$11</f>
        <v>0</v>
      </c>
      <c r="K269" s="29" t="n">
        <f aca="false">IF(K$47=0,Quesería!$F$92,IF(K$47=1,(Quesería!$F$93-(-$G$26)*Quesería!$D$86*(1+Quesería!$I$86))*$G$21,0))*$G$11</f>
        <v>0</v>
      </c>
      <c r="L269" s="29" t="n">
        <f aca="false">IF(L$47=0,Quesería!$F$92,IF(L$47=1,(Quesería!$F$93-(-$G$26)*Quesería!$D$86*(1+Quesería!$I$86))*$G$21,0))*$G$11</f>
        <v>0</v>
      </c>
    </row>
    <row r="270" customFormat="false" ht="15" hidden="true" customHeight="false" outlineLevel="1" collapsed="false">
      <c r="A270" s="6" t="s">
        <v>410</v>
      </c>
      <c r="B270" s="29" t="n">
        <f aca="false">IF(B$47=5,Quesería!$F$99,IF(B$47=6,Quesería!$F$100,0))*$G$11</f>
        <v>0</v>
      </c>
      <c r="C270" s="29" t="n">
        <f aca="false">IF(C$47=5,Quesería!$F$99,IF(C$47=6,Quesería!$F$100,0))*$G$11</f>
        <v>0</v>
      </c>
      <c r="D270" s="29" t="n">
        <f aca="false">IF(D$47=5,Quesería!$F$99,IF(D$47=6,Quesería!$F$100,0))*$G$11</f>
        <v>0</v>
      </c>
      <c r="E270" s="29" t="n">
        <f aca="false">IF(E$47=5,Quesería!$F$99,IF(E$47=6,Quesería!$F$100,0))*$G$11</f>
        <v>0</v>
      </c>
      <c r="F270" s="29" t="n">
        <f aca="false">IF(F$47=5,Quesería!$F$99,IF(F$47=6,Quesería!$F$100,0))*$G$11</f>
        <v>0</v>
      </c>
      <c r="G270" s="29" t="n">
        <f aca="false">IF(G$47=5,Quesería!$F$99,IF(G$47=6,Quesería!$F$100,0))*$G$11</f>
        <v>27.4652172688735</v>
      </c>
      <c r="H270" s="29" t="n">
        <f aca="false">IF(H$47=5,Quesería!$F$99,IF(H$47=6,Quesería!$F$100,0))*$G$11</f>
        <v>46.3891557109552</v>
      </c>
      <c r="I270" s="29" t="n">
        <f aca="false">IF(I$47=5,Quesería!$F$99,IF(I$47=6,Quesería!$F$100,0))*$G$11</f>
        <v>0</v>
      </c>
      <c r="J270" s="29" t="n">
        <f aca="false">IF(J$47=5,Quesería!$F$99,IF(J$47=6,Quesería!$F$100,0))*$G$11</f>
        <v>0</v>
      </c>
      <c r="K270" s="29" t="n">
        <f aca="false">IF(K$47=5,Quesería!$F$99,IF(K$47=6,Quesería!$F$100,0))*$G$11</f>
        <v>0</v>
      </c>
      <c r="L270" s="29" t="n">
        <f aca="false">IF(L$47=5,Quesería!$F$99,IF(L$47=6,Quesería!$F$100,0))*$G$11</f>
        <v>0</v>
      </c>
    </row>
    <row r="271" customFormat="false" ht="15" hidden="true" customHeight="false" outlineLevel="1" collapsed="false">
      <c r="A271" s="6" t="s">
        <v>411</v>
      </c>
      <c r="B271" s="29" t="n">
        <f aca="false">Quesería!$B$55*(IF(B$47=0,SUMPRODUCT((Quesería!$C$70:$C$89=0)*(Quesería!$H$70:$H$89&gt;0)*(Quesería!$J$70:$J$89&gt;0)*Quesería!$F$70:$F$89*(1+Quesería!$I$70:$I$89)),IF(B$47=1,(SUMPRODUCT((Quesería!$C$70:$C$89=1)*(Quesería!$H$70:$H$89&gt;0)*(Quesería!$J$70:$J$89&gt;0)*Quesería!$F$70:$F$89*(1+Quesería!$I$70:$I$89))-(-$G$26)*Quesería!$D$86*(1+Quesería!$I$86))*$G$21,0))*$G$11+B270)</f>
        <v>149.115671560178</v>
      </c>
      <c r="C271" s="29" t="n">
        <f aca="false">Quesería!$B$55*(IF(C$47=0,SUMPRODUCT((Quesería!$C$70:$C$89=0)*(Quesería!$H$70:$H$89&gt;0)*(Quesería!$J$70:$J$89&gt;0)*Quesería!$F$70:$F$89*(1+Quesería!$I$70:$I$89)),IF(C$47=1,(SUMPRODUCT((Quesería!$C$70:$C$89=1)*(Quesería!$H$70:$H$89&gt;0)*(Quesería!$J$70:$J$89&gt;0)*Quesería!$F$70:$F$89*(1+Quesería!$I$70:$I$89))-(-$G$26)*Quesería!$D$86*(1+Quesería!$I$86))*$G$21,0))*$G$11+C270)</f>
        <v>125.109122668155</v>
      </c>
      <c r="D271" s="29" t="n">
        <f aca="false">Quesería!$B$55*(IF(D$47=0,SUMPRODUCT((Quesería!$C$70:$C$89=0)*(Quesería!$H$70:$H$89&gt;0)*(Quesería!$J$70:$J$89&gt;0)*Quesería!$F$70:$F$89*(1+Quesería!$I$70:$I$89)),IF(D$47=1,(SUMPRODUCT((Quesería!$C$70:$C$89=1)*(Quesería!$H$70:$H$89&gt;0)*(Quesería!$J$70:$J$89&gt;0)*Quesería!$F$70:$F$89*(1+Quesería!$I$70:$I$89))-(-$G$26)*Quesería!$D$86*(1+Quesería!$I$86))*$G$21,0))*$G$11+D270)</f>
        <v>0</v>
      </c>
      <c r="E271" s="29" t="n">
        <f aca="false">Quesería!$B$55*(IF(E$47=0,SUMPRODUCT((Quesería!$C$70:$C$89=0)*(Quesería!$H$70:$H$89&gt;0)*(Quesería!$J$70:$J$89&gt;0)*Quesería!$F$70:$F$89*(1+Quesería!$I$70:$I$89)),IF(E$47=1,(SUMPRODUCT((Quesería!$C$70:$C$89=1)*(Quesería!$H$70:$H$89&gt;0)*(Quesería!$J$70:$J$89&gt;0)*Quesería!$F$70:$F$89*(1+Quesería!$I$70:$I$89))-(-$G$26)*Quesería!$D$86*(1+Quesería!$I$86))*$G$21,0))*$G$11+E270)</f>
        <v>0</v>
      </c>
      <c r="F271" s="29" t="n">
        <f aca="false">Quesería!$B$55*(IF(F$47=0,SUMPRODUCT((Quesería!$C$70:$C$89=0)*(Quesería!$H$70:$H$89&gt;0)*(Quesería!$J$70:$J$89&gt;0)*Quesería!$F$70:$F$89*(1+Quesería!$I$70:$I$89)),IF(F$47=1,(SUMPRODUCT((Quesería!$C$70:$C$89=1)*(Quesería!$H$70:$H$89&gt;0)*(Quesería!$J$70:$J$89&gt;0)*Quesería!$F$70:$F$89*(1+Quesería!$I$70:$I$89))-(-$G$26)*Quesería!$D$86*(1+Quesería!$I$86))*$G$21,0))*$G$11+F270)</f>
        <v>0</v>
      </c>
      <c r="G271" s="29" t="n">
        <f aca="false">Quesería!$B$55*(IF(G$47=0,SUMPRODUCT((Quesería!$C$70:$C$89=0)*(Quesería!$H$70:$H$89&gt;0)*(Quesería!$J$70:$J$89&gt;0)*Quesería!$F$70:$F$89*(1+Quesería!$I$70:$I$89)),IF(G$47=1,(SUMPRODUCT((Quesería!$C$70:$C$89=1)*(Quesería!$H$70:$H$89&gt;0)*(Quesería!$J$70:$J$89&gt;0)*Quesería!$F$70:$F$89*(1+Quesería!$I$70:$I$89))-(-$G$26)*Quesería!$D$86*(1+Quesería!$I$86))*$G$21,0))*$G$11+G270)</f>
        <v>5.21839128108597</v>
      </c>
      <c r="H271" s="29" t="n">
        <f aca="false">Quesería!$B$55*(IF(H$47=0,SUMPRODUCT((Quesería!$C$70:$C$89=0)*(Quesería!$H$70:$H$89&gt;0)*(Quesería!$J$70:$J$89&gt;0)*Quesería!$F$70:$F$89*(1+Quesería!$I$70:$I$89)),IF(H$47=1,(SUMPRODUCT((Quesería!$C$70:$C$89=1)*(Quesería!$H$70:$H$89&gt;0)*(Quesería!$J$70:$J$89&gt;0)*Quesería!$F$70:$F$89*(1+Quesería!$I$70:$I$89))-(-$G$26)*Quesería!$D$86*(1+Quesería!$I$86))*$G$21,0))*$G$11+H270)</f>
        <v>8.8139395850815</v>
      </c>
      <c r="I271" s="29" t="n">
        <f aca="false">Quesería!$B$55*(IF(I$47=0,SUMPRODUCT((Quesería!$C$70:$C$89=0)*(Quesería!$H$70:$H$89&gt;0)*(Quesería!$J$70:$J$89&gt;0)*Quesería!$F$70:$F$89*(1+Quesería!$I$70:$I$89)),IF(I$47=1,(SUMPRODUCT((Quesería!$C$70:$C$89=1)*(Quesería!$H$70:$H$89&gt;0)*(Quesería!$J$70:$J$89&gt;0)*Quesería!$F$70:$F$89*(1+Quesería!$I$70:$I$89))-(-$G$26)*Quesería!$D$86*(1+Quesería!$I$86))*$G$21,0))*$G$11+I270)</f>
        <v>0</v>
      </c>
      <c r="J271" s="29" t="n">
        <f aca="false">Quesería!$B$55*(IF(J$47=0,SUMPRODUCT((Quesería!$C$70:$C$89=0)*(Quesería!$H$70:$H$89&gt;0)*(Quesería!$J$70:$J$89&gt;0)*Quesería!$F$70:$F$89*(1+Quesería!$I$70:$I$89)),IF(J$47=1,(SUMPRODUCT((Quesería!$C$70:$C$89=1)*(Quesería!$H$70:$H$89&gt;0)*(Quesería!$J$70:$J$89&gt;0)*Quesería!$F$70:$F$89*(1+Quesería!$I$70:$I$89))-(-$G$26)*Quesería!$D$86*(1+Quesería!$I$86))*$G$21,0))*$G$11+J270)</f>
        <v>0</v>
      </c>
      <c r="K271" s="29" t="n">
        <f aca="false">Quesería!$B$55*(IF(K$47=0,SUMPRODUCT((Quesería!$C$70:$C$89=0)*(Quesería!$H$70:$H$89&gt;0)*(Quesería!$J$70:$J$89&gt;0)*Quesería!$F$70:$F$89*(1+Quesería!$I$70:$I$89)),IF(K$47=1,(SUMPRODUCT((Quesería!$C$70:$C$89=1)*(Quesería!$H$70:$H$89&gt;0)*(Quesería!$J$70:$J$89&gt;0)*Quesería!$F$70:$F$89*(1+Quesería!$I$70:$I$89))-(-$G$26)*Quesería!$D$86*(1+Quesería!$I$86))*$G$21,0))*$G$11+K270)</f>
        <v>0</v>
      </c>
      <c r="L271" s="29" t="n">
        <f aca="false">Quesería!$B$55*(IF(L$47=0,SUMPRODUCT((Quesería!$C$70:$C$89=0)*(Quesería!$H$70:$H$89&gt;0)*(Quesería!$J$70:$J$89&gt;0)*Quesería!$F$70:$F$89*(1+Quesería!$I$70:$I$89)),IF(L$47=1,(SUMPRODUCT((Quesería!$C$70:$C$89=1)*(Quesería!$H$70:$H$89&gt;0)*(Quesería!$J$70:$J$89&gt;0)*Quesería!$F$70:$F$89*(1+Quesería!$I$70:$I$89))-(-$G$26)*Quesería!$D$86*(1+Quesería!$I$86))*$G$21,0))*$G$11+L270)</f>
        <v>0</v>
      </c>
    </row>
    <row r="272" customFormat="false" ht="15" hidden="true" customHeight="false" outlineLevel="1" collapsed="false">
      <c r="A272" s="6" t="s">
        <v>386</v>
      </c>
      <c r="B272" s="29" t="n">
        <f aca="false">IF(B$47=0,($G$22*Quesería!$J$126+(1-$G$22)*Quesería!$E$122)*Quesería!$B$20*Quesería!$B$21/12*$G$23,(($G$22*Quesería!$J$126+(1-$G$22)*Quesería!$E$122)+($G$22*Quesería!$J$104+(1-$G$22)*Quesería!$E$104)*(B267-1))*IF(B$47=1,Quesería!$B$20,1))*$G$10</f>
        <v>96.5734178089624</v>
      </c>
      <c r="C272" s="29" t="n">
        <f aca="false">IF(C$47=0,($G$22*Quesería!$J$126+(1-$G$22)*Quesería!$E$122)*Quesería!$B$20*Quesería!$B$21/12*$G$23,(($G$22*Quesería!$J$126+(1-$G$22)*Quesería!$E$122)+($G$22*Quesería!$J$104+(1-$G$22)*Quesería!$E$104)*(C267-1))*IF(C$47=1,Quesería!$B$20,1))*$G$10</f>
        <v>145.062653883255</v>
      </c>
      <c r="D272" s="29" t="n">
        <f aca="false">IF(D$47=0,($G$22*Quesería!$J$126+(1-$G$22)*Quesería!$E$122)*Quesería!$B$20*Quesería!$B$21/12*$G$23,(($G$22*Quesería!$J$126+(1-$G$22)*Quesería!$E$122)+($G$22*Quesería!$J$104+(1-$G$22)*Quesería!$E$104)*(D267-1))*IF(D$47=1,Quesería!$B$20,1))*$G$10</f>
        <v>193.465262025472</v>
      </c>
      <c r="E272" s="29" t="n">
        <f aca="false">IF(E$47=0,($G$22*Quesería!$J$126+(1-$G$22)*Quesería!$E$122)*Quesería!$B$20*Quesería!$B$21/12*$G$23,(($G$22*Quesería!$J$126+(1-$G$22)*Quesería!$E$122)+($G$22*Quesería!$J$104+(1-$G$22)*Quesería!$E$104)*(E267-1))*IF(E$47=1,Quesería!$B$20,1))*$G$10</f>
        <v>193.51389415751</v>
      </c>
      <c r="F272" s="29" t="n">
        <f aca="false">IF(F$47=0,($G$22*Quesería!$J$126+(1-$G$22)*Quesería!$E$122)*Quesería!$B$20*Quesería!$B$21/12*$G$23,(($G$22*Quesería!$J$126+(1-$G$22)*Quesería!$E$122)+($G$22*Quesería!$J$104+(1-$G$22)*Quesería!$E$104)*(F267-1))*IF(F$47=1,Quesería!$B$20,1))*$G$10</f>
        <v>193.562769450208</v>
      </c>
      <c r="G272" s="29" t="n">
        <f aca="false">IF(G$47=0,($G$22*Quesería!$J$126+(1-$G$22)*Quesería!$E$122)*Quesería!$B$20*Quesería!$B$21/12*$G$23,(($G$22*Quesería!$J$126+(1-$G$22)*Quesería!$E$122)+($G$22*Quesería!$J$104+(1-$G$22)*Quesería!$E$104)*(G267-1))*IF(G$47=1,Quesería!$B$20,1))*$G$10</f>
        <v>193.611889119369</v>
      </c>
      <c r="H272" s="29" t="n">
        <f aca="false">IF(H$47=0,($G$22*Quesería!$J$126+(1-$G$22)*Quesería!$E$122)*Quesería!$B$20*Quesería!$B$21/12*$G$23,(($G$22*Quesería!$J$126+(1-$G$22)*Quesería!$E$122)+($G$22*Quesería!$J$104+(1-$G$22)*Quesería!$E$104)*(H267-1))*IF(H$47=1,Quesería!$B$20,1))*$G$10</f>
        <v>193.661254386876</v>
      </c>
      <c r="I272" s="29" t="n">
        <f aca="false">IF(I$47=0,($G$22*Quesería!$J$126+(1-$G$22)*Quesería!$E$122)*Quesería!$B$20*Quesería!$B$21/12*$G$23,(($G$22*Quesería!$J$126+(1-$G$22)*Quesería!$E$122)+($G$22*Quesería!$J$104+(1-$G$22)*Quesería!$E$104)*(I267-1))*IF(I$47=1,Quesería!$B$20,1))*$G$10</f>
        <v>193.710866480721</v>
      </c>
      <c r="J272" s="29" t="n">
        <f aca="false">IF(J$47=0,($G$22*Quesería!$J$126+(1-$G$22)*Quesería!$E$122)*Quesería!$B$20*Quesería!$B$21/12*$G$23,(($G$22*Quesería!$J$126+(1-$G$22)*Quesería!$E$122)+($G$22*Quesería!$J$104+(1-$G$22)*Quesería!$E$104)*(J267-1))*IF(J$47=1,Quesería!$B$20,1))*$G$10</f>
        <v>193.760726635035</v>
      </c>
      <c r="K272" s="29" t="n">
        <f aca="false">IF(K$47=0,($G$22*Quesería!$J$126+(1-$G$22)*Quesería!$E$122)*Quesería!$B$20*Quesería!$B$21/12*$G$23,(($G$22*Quesería!$J$126+(1-$G$22)*Quesería!$E$122)+($G$22*Quesería!$J$104+(1-$G$22)*Quesería!$E$104)*(K267-1))*IF(K$47=1,Quesería!$B$20,1))*$G$10</f>
        <v>193.810836090121</v>
      </c>
      <c r="L272" s="29" t="n">
        <f aca="false">IF(L$47=0,($G$22*Quesería!$J$126+(1-$G$22)*Quesería!$E$122)*Quesería!$B$20*Quesería!$B$21/12*$G$23,(($G$22*Quesería!$J$126+(1-$G$22)*Quesería!$E$122)+($G$22*Quesería!$J$104+(1-$G$22)*Quesería!$E$104)*(L267-1))*IF(L$47=1,Quesería!$B$20,1))*$G$10</f>
        <v>193.861196092482</v>
      </c>
    </row>
    <row r="273" customFormat="false" ht="15" hidden="true" customHeight="false" outlineLevel="1" collapsed="false">
      <c r="A273" s="6" t="s">
        <v>387</v>
      </c>
      <c r="B273" s="29" t="n">
        <f aca="false">IF(B$47&lt;=1,0,((($G$22*Quesería!$J$127+(1-$G$22)*Quesería!$E$123)-($G$22*Quesería!$J$113+(1-$G$22)*Quesería!$E$113)+$G$6*($G$22*Quesería!$J$113+(1-$G$22)*Quesería!$E$113)-(1-$G$9)*(($G$22*Quesería!$J$119+(1-$G$22)*Quesería!$E$119)+($G$22*Quesería!$J$118+(1-$G$22)*Quesería!$E$118))-(1-$G$24)*($G$22*Quesería!$J$117+(1-$G$22)*Quesería!$E$117)+$G$24*(1-$G$25)*'Beneficios y costos'!$B$144-(-$G$26*$G$27)*'Beneficios y costos'!$C$167)+($G$6*($G$22*Quesería!$J$113+(1-$G$22)*Quesería!$E$113)+$G$9*($G$22*Quesería!$J$119+(1-$G$22)*Quesería!$E$119))*(B267-1))*IF(B$47=2,Quesería!$B$20,1)+IF(B$47=2,Quesería!$B$24*$G$9*($G$22*Quesería!$J$119+(1-$G$22)*Quesería!$E$119)*B267,0))*$G$10*$G$21</f>
        <v>0</v>
      </c>
      <c r="C273" s="29" t="n">
        <f aca="false">IF(C$47&lt;=1,0,((($G$22*Quesería!$J$127+(1-$G$22)*Quesería!$E$123)-($G$22*Quesería!$J$113+(1-$G$22)*Quesería!$E$113)+$G$6*($G$22*Quesería!$J$113+(1-$G$22)*Quesería!$E$113)-(1-$G$9)*(($G$22*Quesería!$J$119+(1-$G$22)*Quesería!$E$119)+($G$22*Quesería!$J$118+(1-$G$22)*Quesería!$E$118))-(1-$G$24)*($G$22*Quesería!$J$117+(1-$G$22)*Quesería!$E$117)+$G$24*(1-$G$25)*'Beneficios y costos'!$B$144-(-$G$26*$G$27)*'Beneficios y costos'!$C$167)+($G$6*($G$22*Quesería!$J$113+(1-$G$22)*Quesería!$E$113)+$G$9*($G$22*Quesería!$J$119+(1-$G$22)*Quesería!$E$119))*(C267-1))*IF(C$47=2,Quesería!$B$20,1)+IF(C$47=2,Quesería!$B$24*$G$9*($G$22*Quesería!$J$119+(1-$G$22)*Quesería!$E$119)*C267,0))*$G$10*$G$21</f>
        <v>0</v>
      </c>
      <c r="D273" s="29" t="n">
        <f aca="false">IF(D$47&lt;=1,0,((($G$22*Quesería!$J$127+(1-$G$22)*Quesería!$E$123)-($G$22*Quesería!$J$113+(1-$G$22)*Quesería!$E$113)+$G$6*($G$22*Quesería!$J$113+(1-$G$22)*Quesería!$E$113)-(1-$G$9)*(($G$22*Quesería!$J$119+(1-$G$22)*Quesería!$E$119)+($G$22*Quesería!$J$118+(1-$G$22)*Quesería!$E$118))-(1-$G$24)*($G$22*Quesería!$J$117+(1-$G$22)*Quesería!$E$117)+$G$24*(1-$G$25)*'Beneficios y costos'!$B$144-(-$G$26*$G$27)*'Beneficios y costos'!$C$167)+($G$6*($G$22*Quesería!$J$113+(1-$G$22)*Quesería!$E$113)+$G$9*($G$22*Quesería!$J$119+(1-$G$22)*Quesería!$E$119))*(D267-1))*IF(D$47=2,Quesería!$B$20,1)+IF(D$47=2,Quesería!$B$24*$G$9*($G$22*Quesería!$J$119+(1-$G$22)*Quesería!$E$119)*D267,0))*$G$10*$G$21</f>
        <v>205.881194987751</v>
      </c>
      <c r="E273" s="29" t="n">
        <f aca="false">IF(E$47&lt;=1,0,((($G$22*Quesería!$J$127+(1-$G$22)*Quesería!$E$123)-($G$22*Quesería!$J$113+(1-$G$22)*Quesería!$E$113)+$G$6*($G$22*Quesería!$J$113+(1-$G$22)*Quesería!$E$113)-(1-$G$9)*(($G$22*Quesería!$J$119+(1-$G$22)*Quesería!$E$119)+($G$22*Quesería!$J$118+(1-$G$22)*Quesería!$E$118))-(1-$G$24)*($G$22*Quesería!$J$117+(1-$G$22)*Quesería!$E$117)+$G$24*(1-$G$25)*'Beneficios y costos'!$B$144-(-$G$26*$G$27)*'Beneficios y costos'!$C$167)+($G$6*($G$22*Quesería!$J$113+(1-$G$22)*Quesería!$E$113)+$G$9*($G$22*Quesería!$J$119+(1-$G$22)*Quesería!$E$119))*(E267-1))*IF(E$47=2,Quesería!$B$20,1)+IF(E$47=2,Quesería!$B$24*$G$9*($G$22*Quesería!$J$119+(1-$G$22)*Quesería!$E$119)*E267,0))*$G$10*$G$21</f>
        <v>262.795856102498</v>
      </c>
      <c r="F273" s="29" t="n">
        <f aca="false">IF(F$47&lt;=1,0,((($G$22*Quesería!$J$127+(1-$G$22)*Quesería!$E$123)-($G$22*Quesería!$J$113+(1-$G$22)*Quesería!$E$113)+$G$6*($G$22*Quesería!$J$113+(1-$G$22)*Quesería!$E$113)-(1-$G$9)*(($G$22*Quesería!$J$119+(1-$G$22)*Quesería!$E$119)+($G$22*Quesería!$J$118+(1-$G$22)*Quesería!$E$118))-(1-$G$24)*($G$22*Quesería!$J$117+(1-$G$22)*Quesería!$E$117)+$G$24*(1-$G$25)*'Beneficios y costos'!$B$144-(-$G$26*$G$27)*'Beneficios y costos'!$C$167)+($G$6*($G$22*Quesería!$J$113+(1-$G$22)*Quesería!$E$113)+$G$9*($G$22*Quesería!$J$119+(1-$G$22)*Quesería!$E$119))*(F267-1))*IF(F$47=2,Quesería!$B$20,1)+IF(F$47=2,Quesería!$B$24*$G$9*($G$22*Quesería!$J$119+(1-$G$22)*Quesería!$E$119)*F267,0))*$G$10*$G$21</f>
        <v>262.994349638149</v>
      </c>
      <c r="G273" s="29" t="n">
        <f aca="false">IF(G$47&lt;=1,0,((($G$22*Quesería!$J$127+(1-$G$22)*Quesería!$E$123)-($G$22*Quesería!$J$113+(1-$G$22)*Quesería!$E$113)+$G$6*($G$22*Quesería!$J$113+(1-$G$22)*Quesería!$E$113)-(1-$G$9)*(($G$22*Quesería!$J$119+(1-$G$22)*Quesería!$E$119)+($G$22*Quesería!$J$118+(1-$G$22)*Quesería!$E$118))-(1-$G$24)*($G$22*Quesería!$J$117+(1-$G$22)*Quesería!$E$117)+$G$24*(1-$G$25)*'Beneficios y costos'!$B$144-(-$G$26*$G$27)*'Beneficios y costos'!$C$167)+($G$6*($G$22*Quesería!$J$113+(1-$G$22)*Quesería!$E$113)+$G$9*($G$22*Quesería!$J$119+(1-$G$22)*Quesería!$E$119))*(G267-1))*IF(G$47=2,Quesería!$B$20,1)+IF(G$47=2,Quesería!$B$24*$G$9*($G$22*Quesería!$J$119+(1-$G$22)*Quesería!$E$119)*G267,0))*$G$10*$G$21</f>
        <v>263.193835641478</v>
      </c>
      <c r="H273" s="29" t="n">
        <f aca="false">IF(H$47&lt;=1,0,((($G$22*Quesería!$J$127+(1-$G$22)*Quesería!$E$123)-($G$22*Quesería!$J$113+(1-$G$22)*Quesería!$E$113)+$G$6*($G$22*Quesería!$J$113+(1-$G$22)*Quesería!$E$113)-(1-$G$9)*(($G$22*Quesería!$J$119+(1-$G$22)*Quesería!$E$119)+($G$22*Quesería!$J$118+(1-$G$22)*Quesería!$E$118))-(1-$G$24)*($G$22*Quesería!$J$117+(1-$G$22)*Quesería!$E$117)+$G$24*(1-$G$25)*'Beneficios y costos'!$B$144-(-$G$26*$G$27)*'Beneficios y costos'!$C$167)+($G$6*($G$22*Quesería!$J$113+(1-$G$22)*Quesería!$E$113)+$G$9*($G$22*Quesería!$J$119+(1-$G$22)*Quesería!$E$119))*(H267-1))*IF(H$47=2,Quesería!$B$20,1)+IF(H$47=2,Quesería!$B$24*$G$9*($G$22*Quesería!$J$119+(1-$G$22)*Quesería!$E$119)*H267,0))*$G$10*$G$21</f>
        <v>263.394319074823</v>
      </c>
      <c r="I273" s="29" t="n">
        <f aca="false">IF(I$47&lt;=1,0,((($G$22*Quesería!$J$127+(1-$G$22)*Quesería!$E$123)-($G$22*Quesería!$J$113+(1-$G$22)*Quesería!$E$113)+$G$6*($G$22*Quesería!$J$113+(1-$G$22)*Quesería!$E$113)-(1-$G$9)*(($G$22*Quesería!$J$119+(1-$G$22)*Quesería!$E$119)+($G$22*Quesería!$J$118+(1-$G$22)*Quesería!$E$118))-(1-$G$24)*($G$22*Quesería!$J$117+(1-$G$22)*Quesería!$E$117)+$G$24*(1-$G$25)*'Beneficios y costos'!$B$144-(-$G$26*$G$27)*'Beneficios y costos'!$C$167)+($G$6*($G$22*Quesería!$J$113+(1-$G$22)*Quesería!$E$113)+$G$9*($G$22*Quesería!$J$119+(1-$G$22)*Quesería!$E$119))*(I267-1))*IF(I$47=2,Quesería!$B$20,1)+IF(I$47=2,Quesería!$B$24*$G$9*($G$22*Quesería!$J$119+(1-$G$22)*Quesería!$E$119)*I267,0))*$G$10*$G$21</f>
        <v>263.595804925336</v>
      </c>
      <c r="J273" s="29" t="n">
        <f aca="false">IF(J$47&lt;=1,0,((($G$22*Quesería!$J$127+(1-$G$22)*Quesería!$E$123)-($G$22*Quesería!$J$113+(1-$G$22)*Quesería!$E$113)+$G$6*($G$22*Quesería!$J$113+(1-$G$22)*Quesería!$E$113)-(1-$G$9)*(($G$22*Quesería!$J$119+(1-$G$22)*Quesería!$E$119)+($G$22*Quesería!$J$118+(1-$G$22)*Quesería!$E$118))-(1-$G$24)*($G$22*Quesería!$J$117+(1-$G$22)*Quesería!$E$117)+$G$24*(1-$G$25)*'Beneficios y costos'!$B$144-(-$G$26*$G$27)*'Beneficios y costos'!$C$167)+($G$6*($G$22*Quesería!$J$113+(1-$G$22)*Quesería!$E$113)+$G$9*($G$22*Quesería!$J$119+(1-$G$22)*Quesería!$E$119))*(J267-1))*IF(J$47=2,Quesería!$B$20,1)+IF(J$47=2,Quesería!$B$24*$G$9*($G$22*Quesería!$J$119+(1-$G$22)*Quesería!$E$119)*J267,0))*$G$10*$G$21</f>
        <v>263.798298205101</v>
      </c>
      <c r="K273" s="29" t="n">
        <f aca="false">IF(K$47&lt;=1,0,((($G$22*Quesería!$J$127+(1-$G$22)*Quesería!$E$123)-($G$22*Quesería!$J$113+(1-$G$22)*Quesería!$E$113)+$G$6*($G$22*Quesería!$J$113+(1-$G$22)*Quesería!$E$113)-(1-$G$9)*(($G$22*Quesería!$J$119+(1-$G$22)*Quesería!$E$119)+($G$22*Quesería!$J$118+(1-$G$22)*Quesería!$E$118))-(1-$G$24)*($G$22*Quesería!$J$117+(1-$G$22)*Quesería!$E$117)+$G$24*(1-$G$25)*'Beneficios y costos'!$B$144-(-$G$26*$G$27)*'Beneficios y costos'!$C$167)+($G$6*($G$22*Quesería!$J$113+(1-$G$22)*Quesería!$E$113)+$G$9*($G$22*Quesería!$J$119+(1-$G$22)*Quesería!$E$119))*(K267-1))*IF(K$47=2,Quesería!$B$20,1)+IF(K$47=2,Quesería!$B$24*$G$9*($G$22*Quesería!$J$119+(1-$G$22)*Quesería!$E$119)*K267,0))*$G$10*$G$21</f>
        <v>264.001803951264</v>
      </c>
      <c r="L273" s="29" t="n">
        <f aca="false">IF(L$47&lt;=1,0,((($G$22*Quesería!$J$127+(1-$G$22)*Quesería!$E$123)-($G$22*Quesería!$J$113+(1-$G$22)*Quesería!$E$113)+$G$6*($G$22*Quesería!$J$113+(1-$G$22)*Quesería!$E$113)-(1-$G$9)*(($G$22*Quesería!$J$119+(1-$G$22)*Quesería!$E$119)+($G$22*Quesería!$J$118+(1-$G$22)*Quesería!$E$118))-(1-$G$24)*($G$22*Quesería!$J$117+(1-$G$22)*Quesería!$E$117)+$G$24*(1-$G$25)*'Beneficios y costos'!$B$144-(-$G$26*$G$27)*'Beneficios y costos'!$C$167)+($G$6*($G$22*Quesería!$J$113+(1-$G$22)*Quesería!$E$113)+$G$9*($G$22*Quesería!$J$119+(1-$G$22)*Quesería!$E$119))*(L267-1))*IF(L$47=2,Quesería!$B$20,1)+IF(L$47=2,Quesería!$B$24*$G$9*($G$22*Quesería!$J$119+(1-$G$22)*Quesería!$E$119)*L267,0))*$G$10*$G$21</f>
        <v>264.206327226159</v>
      </c>
    </row>
    <row r="274" customFormat="false" ht="15" hidden="true" customHeight="false" outlineLevel="1" collapsed="false">
      <c r="A274" s="5" t="s">
        <v>412</v>
      </c>
      <c r="B274" s="10" t="n">
        <f aca="false">B272+B273</f>
        <v>96.5734178089624</v>
      </c>
      <c r="C274" s="10" t="n">
        <f aca="false">C272+C273</f>
        <v>145.062653883255</v>
      </c>
      <c r="D274" s="10" t="n">
        <f aca="false">D272+D273</f>
        <v>399.346457013223</v>
      </c>
      <c r="E274" s="10" t="n">
        <f aca="false">E272+E273</f>
        <v>456.309750260008</v>
      </c>
      <c r="F274" s="10" t="n">
        <f aca="false">F272+F273</f>
        <v>456.557119088356</v>
      </c>
      <c r="G274" s="10" t="n">
        <f aca="false">G272+G273</f>
        <v>456.805724760847</v>
      </c>
      <c r="H274" s="10" t="n">
        <f aca="false">H272+H273</f>
        <v>457.0555734617</v>
      </c>
      <c r="I274" s="10" t="n">
        <f aca="false">I272+I273</f>
        <v>457.306671406057</v>
      </c>
      <c r="J274" s="10" t="n">
        <f aca="false">J272+J273</f>
        <v>457.559024840136</v>
      </c>
      <c r="K274" s="10" t="n">
        <f aca="false">K272+K273</f>
        <v>457.812640041385</v>
      </c>
      <c r="L274" s="10" t="n">
        <f aca="false">L272+L273</f>
        <v>458.067523318641</v>
      </c>
    </row>
    <row r="275" customFormat="false" ht="15" hidden="true" customHeight="false" outlineLevel="1" collapsed="false">
      <c r="A275" s="6" t="s">
        <v>413</v>
      </c>
      <c r="B275" s="29" t="n">
        <f aca="false">(IF(B$47&gt;=1,(Quesería!$B$31+Quesería!$B$33)*Quesería!$F$94*$G$11+Quesería!$B$32+'Beneficios y costos'!$B$249,0)+IF(B$47&gt;=2,((Quesería!$B$31+Quesería!$B$33)*(Quesería!$F$95-(-$G$26)*Quesería!$D$86)*$G$11+'Beneficios y costos'!$C$249-(-$G$26)*'Beneficios y costos'!$H$235)*$G$21,0))*$G$12</f>
        <v>0</v>
      </c>
      <c r="C275" s="29" t="n">
        <f aca="false">(IF(C$47&gt;=1,(Quesería!$B$31+Quesería!$B$33)*Quesería!$F$94*$G$11+Quesería!$B$32+'Beneficios y costos'!$B$249,0)+IF(C$47&gt;=2,((Quesería!$B$31+Quesería!$B$33)*(Quesería!$F$95-(-$G$26)*Quesería!$D$86)*$G$11+'Beneficios y costos'!$C$249-(-$G$26)*'Beneficios y costos'!$H$235)*$G$21,0))*$G$12</f>
        <v>42.0946487260605</v>
      </c>
      <c r="D275" s="29" t="n">
        <f aca="false">(IF(D$47&gt;=1,(Quesería!$B$31+Quesería!$B$33)*Quesería!$F$94*$G$11+Quesería!$B$32+'Beneficios y costos'!$B$249,0)+IF(D$47&gt;=2,((Quesería!$B$31+Quesería!$B$33)*(Quesería!$F$95-(-$G$26)*Quesería!$D$86)*$G$11+'Beneficios y costos'!$C$249-(-$G$26)*'Beneficios y costos'!$H$235)*$G$21,0))*$G$12</f>
        <v>76.4964821173776</v>
      </c>
      <c r="E275" s="29" t="n">
        <f aca="false">(IF(E$47&gt;=1,(Quesería!$B$31+Quesería!$B$33)*Quesería!$F$94*$G$11+Quesería!$B$32+'Beneficios y costos'!$B$249,0)+IF(E$47&gt;=2,((Quesería!$B$31+Quesería!$B$33)*(Quesería!$F$95-(-$G$26)*Quesería!$D$86)*$G$11+'Beneficios y costos'!$C$249-(-$G$26)*'Beneficios y costos'!$H$235)*$G$21,0))*$G$12</f>
        <v>76.4964821173776</v>
      </c>
      <c r="F275" s="29" t="n">
        <f aca="false">(IF(F$47&gt;=1,(Quesería!$B$31+Quesería!$B$33)*Quesería!$F$94*$G$11+Quesería!$B$32+'Beneficios y costos'!$B$249,0)+IF(F$47&gt;=2,((Quesería!$B$31+Quesería!$B$33)*(Quesería!$F$95-(-$G$26)*Quesería!$D$86)*$G$11+'Beneficios y costos'!$C$249-(-$G$26)*'Beneficios y costos'!$H$235)*$G$21,0))*$G$12</f>
        <v>76.4964821173776</v>
      </c>
      <c r="G275" s="29" t="n">
        <f aca="false">(IF(G$47&gt;=1,(Quesería!$B$31+Quesería!$B$33)*Quesería!$F$94*$G$11+Quesería!$B$32+'Beneficios y costos'!$B$249,0)+IF(G$47&gt;=2,((Quesería!$B$31+Quesería!$B$33)*(Quesería!$F$95-(-$G$26)*Quesería!$D$86)*$G$11+'Beneficios y costos'!$C$249-(-$G$26)*'Beneficios y costos'!$H$235)*$G$21,0))*$G$12</f>
        <v>76.4964821173776</v>
      </c>
      <c r="H275" s="29" t="n">
        <f aca="false">(IF(H$47&gt;=1,(Quesería!$B$31+Quesería!$B$33)*Quesería!$F$94*$G$11+Quesería!$B$32+'Beneficios y costos'!$B$249,0)+IF(H$47&gt;=2,((Quesería!$B$31+Quesería!$B$33)*(Quesería!$F$95-(-$G$26)*Quesería!$D$86)*$G$11+'Beneficios y costos'!$C$249-(-$G$26)*'Beneficios y costos'!$H$235)*$G$21,0))*$G$12</f>
        <v>76.4964821173776</v>
      </c>
      <c r="I275" s="29" t="n">
        <f aca="false">(IF(I$47&gt;=1,(Quesería!$B$31+Quesería!$B$33)*Quesería!$F$94*$G$11+Quesería!$B$32+'Beneficios y costos'!$B$249,0)+IF(I$47&gt;=2,((Quesería!$B$31+Quesería!$B$33)*(Quesería!$F$95-(-$G$26)*Quesería!$D$86)*$G$11+'Beneficios y costos'!$C$249-(-$G$26)*'Beneficios y costos'!$H$235)*$G$21,0))*$G$12</f>
        <v>76.4964821173776</v>
      </c>
      <c r="J275" s="29" t="n">
        <f aca="false">(IF(J$47&gt;=1,(Quesería!$B$31+Quesería!$B$33)*Quesería!$F$94*$G$11+Quesería!$B$32+'Beneficios y costos'!$B$249,0)+IF(J$47&gt;=2,((Quesería!$B$31+Quesería!$B$33)*(Quesería!$F$95-(-$G$26)*Quesería!$D$86)*$G$11+'Beneficios y costos'!$C$249-(-$G$26)*'Beneficios y costos'!$H$235)*$G$21,0))*$G$12</f>
        <v>76.4964821173776</v>
      </c>
      <c r="K275" s="29" t="n">
        <f aca="false">(IF(K$47&gt;=1,(Quesería!$B$31+Quesería!$B$33)*Quesería!$F$94*$G$11+Quesería!$B$32+'Beneficios y costos'!$B$249,0)+IF(K$47&gt;=2,((Quesería!$B$31+Quesería!$B$33)*(Quesería!$F$95-(-$G$26)*Quesería!$D$86)*$G$11+'Beneficios y costos'!$C$249-(-$G$26)*'Beneficios y costos'!$H$235)*$G$21,0))*$G$12</f>
        <v>76.4964821173776</v>
      </c>
      <c r="L275" s="29" t="n">
        <f aca="false">(IF(L$47&gt;=1,(Quesería!$B$31+Quesería!$B$33)*Quesería!$F$94*$G$11+Quesería!$B$32+'Beneficios y costos'!$B$249,0)+IF(L$47&gt;=2,((Quesería!$B$31+Quesería!$B$33)*(Quesería!$F$95-(-$G$26)*Quesería!$D$86)*$G$11+'Beneficios y costos'!$C$249-(-$G$26)*'Beneficios y costos'!$H$235)*$G$21,0))*$G$12</f>
        <v>76.4964821173776</v>
      </c>
    </row>
    <row r="276" customFormat="false" ht="15" hidden="true" customHeight="false" outlineLevel="1" collapsed="false">
      <c r="A276" s="6" t="s">
        <v>414</v>
      </c>
      <c r="B276" s="29" t="n">
        <f aca="false">IF(B$47=1,2*Quesería!$B$22*Quesería!$B$23/12*B267,0)*$G$21</f>
        <v>0</v>
      </c>
      <c r="C276" s="29" t="n">
        <f aca="false">IF(C$47=1,2*Quesería!$B$22*Quesería!$B$23/12*C267,0)*$G$21</f>
        <v>18.5166509433962</v>
      </c>
      <c r="D276" s="29" t="n">
        <f aca="false">IF(D$47=1,2*Quesería!$B$22*Quesería!$B$23/12*D267,0)*$G$21</f>
        <v>0</v>
      </c>
      <c r="E276" s="29" t="n">
        <f aca="false">IF(E$47=1,2*Quesería!$B$22*Quesería!$B$23/12*E267,0)*$G$21</f>
        <v>0</v>
      </c>
      <c r="F276" s="29" t="n">
        <f aca="false">IF(F$47=1,2*Quesería!$B$22*Quesería!$B$23/12*F267,0)*$G$21</f>
        <v>0</v>
      </c>
      <c r="G276" s="29" t="n">
        <f aca="false">IF(G$47=1,2*Quesería!$B$22*Quesería!$B$23/12*G267,0)*$G$21</f>
        <v>0</v>
      </c>
      <c r="H276" s="29" t="n">
        <f aca="false">IF(H$47=1,2*Quesería!$B$22*Quesería!$B$23/12*H267,0)*$G$21</f>
        <v>0</v>
      </c>
      <c r="I276" s="29" t="n">
        <f aca="false">IF(I$47=1,2*Quesería!$B$22*Quesería!$B$23/12*I267,0)*$G$21</f>
        <v>0</v>
      </c>
      <c r="J276" s="29" t="n">
        <f aca="false">IF(J$47=1,2*Quesería!$B$22*Quesería!$B$23/12*J267,0)*$G$21</f>
        <v>0</v>
      </c>
      <c r="K276" s="29" t="n">
        <f aca="false">IF(K$47=1,2*Quesería!$B$22*Quesería!$B$23/12*K267,0)*$G$21</f>
        <v>0</v>
      </c>
      <c r="L276" s="29" t="n">
        <f aca="false">IF(L$47=1,2*Quesería!$B$22*Quesería!$B$23/12*L267,0)*$G$21</f>
        <v>0</v>
      </c>
    </row>
    <row r="277" customFormat="false" ht="15" hidden="true" customHeight="false" outlineLevel="1" collapsed="false">
      <c r="A277" s="6" t="s">
        <v>415</v>
      </c>
      <c r="B277" s="29" t="n">
        <f aca="false">Quesería!$B$52*(B269+B270+B271+B275+B276)</f>
        <v>4.31966364396742</v>
      </c>
      <c r="C277" s="29" t="n">
        <f aca="false">Quesería!$B$52*(C269+C270+C271+C275+C276)</f>
        <v>3.37675795604844</v>
      </c>
      <c r="D277" s="29" t="n">
        <f aca="false">Quesería!$B$52*(D269+D270+D271+D275+D276)</f>
        <v>0.305985928469511</v>
      </c>
      <c r="E277" s="29" t="n">
        <f aca="false">Quesería!$B$52*(E269+E270+E271+E275+E276)</f>
        <v>0.305985928469511</v>
      </c>
      <c r="F277" s="29" t="n">
        <f aca="false">Quesería!$B$52*(F269+F270+F271+F275+F276)</f>
        <v>0.305985928469511</v>
      </c>
      <c r="G277" s="29" t="n">
        <f aca="false">Quesería!$B$52*(G269+G270+G271+G275+G276)</f>
        <v>0.436720362669349</v>
      </c>
      <c r="H277" s="29" t="n">
        <f aca="false">Quesería!$B$52*(H269+H270+H271+H275+H276)</f>
        <v>0.526798309653658</v>
      </c>
      <c r="I277" s="29" t="n">
        <f aca="false">Quesería!$B$52*(I269+I270+I271+I275+I276)</f>
        <v>0.305985928469511</v>
      </c>
      <c r="J277" s="29" t="n">
        <f aca="false">Quesería!$B$52*(J269+J270+J271+J275+J276)</f>
        <v>0.305985928469511</v>
      </c>
      <c r="K277" s="29" t="n">
        <f aca="false">Quesería!$B$52*(K269+K270+K271+K275+K276)</f>
        <v>0.305985928469511</v>
      </c>
      <c r="L277" s="29" t="n">
        <f aca="false">Quesería!$B$52*(L269+L270+L271+L275+L276)</f>
        <v>0.305985928469511</v>
      </c>
    </row>
    <row r="278" customFormat="false" ht="15" hidden="true" customHeight="false" outlineLevel="1" collapsed="false">
      <c r="A278" s="6" t="s">
        <v>416</v>
      </c>
      <c r="B278" s="29" t="n">
        <f aca="false">(IF($G$19=1,(SUMPRODUCT((Quesería!$C$70:$C$89=0)*(Quesería!$J$70:$J$89&gt;0)*(B$47&gt;=1)*(B$47&lt;=Quesería!$J$70:$J$89)*(Quesería!$H$70:$H$89&gt;0)*Quesería!$F$70:$F$89*(1+Quesería!$I$70:$I$89)/(Quesería!$J$70:$J$89+(Quesería!$J$70:$J$89=0)))+SUMPRODUCT((Quesería!$C$70:$C$89=0)*(Quesería!$J$70:$J$89=0)*(B$47=0)*(Quesería!$H$70:$H$89&gt;0)*Quesería!$F$70:$F$89*(1+Quesería!$I$70:$I$89)))*$B$266+((SUMPRODUCT((Quesería!$C$70:$C$89=1)*(Quesería!$J$70:$J$89&gt;0)*(B$47&gt;=2)*(B$47&lt;=Quesería!$J$70:$J$89+1)*(Quesería!$H$70:$H$89&gt;0)*Quesería!$F$70:$F$89*(1+Quesería!$I$70:$I$89)/(Quesería!$J$70:$J$89+(Quesería!$J$70:$J$89=0)))+SUMPRODUCT((Quesería!$C$70:$C$89=1)*(Quesería!$J$70:$J$89=0)*(B$47=1)*(Quesería!$H$70:$H$89&gt;0)*Quesería!$F$70:$F$89*(1+Quesería!$I$70:$I$89)))-(-$G$26)*IF(AND(B$47&gt;=2,B$47&lt;=Quesería!$J$86+1),Quesería!$D$86*(1+Quesería!$I$86)/Quesería!$J$86,0))*$C$266*$G$21,IF(AND(B$47&gt;=1,B$47&lt;=Quesería!$B$30),Quesería!$F$92/Quesería!$B$30,0)*$B$266+IF(AND(B$47&gt;=2,B$47&lt;=Quesería!$B$30+1),(Quesería!$F$93-(-$G$26)*Quesería!$D$86*(1+Quesería!$I$86))/Quesería!$B$30,0)*$C$266*$G$21)*$G$11+IF(AND(B$47&gt;=6,B$47&lt;=10),$G270*$G266/5,0)+IF(AND(B$47&gt;=7,B$47&lt;=11),$H270*$H266/5,0))*B268</f>
        <v>145.980915430742</v>
      </c>
      <c r="C278" s="29" t="n">
        <f aca="false">(IF($G$19=1,(SUMPRODUCT((Quesería!$C$70:$C$89=0)*(Quesería!$J$70:$J$89&gt;0)*(C$47&gt;=1)*(C$47&lt;=Quesería!$J$70:$J$89)*(Quesería!$H$70:$H$89&gt;0)*Quesería!$F$70:$F$89*(1+Quesería!$I$70:$I$89)/(Quesería!$J$70:$J$89+(Quesería!$J$70:$J$89=0)))+SUMPRODUCT((Quesería!$C$70:$C$89=0)*(Quesería!$J$70:$J$89=0)*(C$47=0)*(Quesería!$H$70:$H$89&gt;0)*Quesería!$F$70:$F$89*(1+Quesería!$I$70:$I$89)))*$B$266+((SUMPRODUCT((Quesería!$C$70:$C$89=1)*(Quesería!$J$70:$J$89&gt;0)*(C$47&gt;=2)*(C$47&lt;=Quesería!$J$70:$J$89+1)*(Quesería!$H$70:$H$89&gt;0)*Quesería!$F$70:$F$89*(1+Quesería!$I$70:$I$89)/(Quesería!$J$70:$J$89+(Quesería!$J$70:$J$89=0)))+SUMPRODUCT((Quesería!$C$70:$C$89=1)*(Quesería!$J$70:$J$89=0)*(C$47=1)*(Quesería!$H$70:$H$89&gt;0)*Quesería!$F$70:$F$89*(1+Quesería!$I$70:$I$89)))-(-$G$26)*IF(AND(C$47&gt;=2,C$47&lt;=Quesería!$J$86+1),Quesería!$D$86*(1+Quesería!$I$86)/Quesería!$J$86,0))*$C$266*$G$21,IF(AND(C$47&gt;=1,C$47&lt;=Quesería!$B$30),Quesería!$F$92/Quesería!$B$30,0)*$B$266+IF(AND(C$47&gt;=2,C$47&lt;=Quesería!$B$30+1),(Quesería!$F$93-(-$G$26)*Quesería!$D$86*(1+Quesería!$I$86))/Quesería!$B$30,0)*$C$266*$G$21)*$G$11+IF(AND(C$47&gt;=6,C$47&lt;=10),$G270*$G266/5,0)+IF(AND(C$47&gt;=7,C$47&lt;=11),$H270*$H266/5,0))*C268</f>
        <v>82.2633269524265</v>
      </c>
      <c r="D278" s="29" t="n">
        <f aca="false">(IF($G$19=1,(SUMPRODUCT((Quesería!$C$70:$C$89=0)*(Quesería!$J$70:$J$89&gt;0)*(D$47&gt;=1)*(D$47&lt;=Quesería!$J$70:$J$89)*(Quesería!$H$70:$H$89&gt;0)*Quesería!$F$70:$F$89*(1+Quesería!$I$70:$I$89)/(Quesería!$J$70:$J$89+(Quesería!$J$70:$J$89=0)))+SUMPRODUCT((Quesería!$C$70:$C$89=0)*(Quesería!$J$70:$J$89=0)*(D$47=0)*(Quesería!$H$70:$H$89&gt;0)*Quesería!$F$70:$F$89*(1+Quesería!$I$70:$I$89)))*$B$266+((SUMPRODUCT((Quesería!$C$70:$C$89=1)*(Quesería!$J$70:$J$89&gt;0)*(D$47&gt;=2)*(D$47&lt;=Quesería!$J$70:$J$89+1)*(Quesería!$H$70:$H$89&gt;0)*Quesería!$F$70:$F$89*(1+Quesería!$I$70:$I$89)/(Quesería!$J$70:$J$89+(Quesería!$J$70:$J$89=0)))+SUMPRODUCT((Quesería!$C$70:$C$89=1)*(Quesería!$J$70:$J$89=0)*(D$47=1)*(Quesería!$H$70:$H$89&gt;0)*Quesería!$F$70:$F$89*(1+Quesería!$I$70:$I$89)))-(-$G$26)*IF(AND(D$47&gt;=2,D$47&lt;=Quesería!$J$86+1),Quesería!$D$86*(1+Quesería!$I$86)/Quesería!$J$86,0))*$C$266*$G$21,IF(AND(D$47&gt;=1,D$47&lt;=Quesería!$B$30),Quesería!$F$92/Quesería!$B$30,0)*$B$266+IF(AND(D$47&gt;=2,D$47&lt;=Quesería!$B$30+1),(Quesería!$F$93-(-$G$26)*Quesería!$D$86*(1+Quesería!$I$86))/Quesería!$B$30,0)*$C$266*$G$21)*$G$11+IF(AND(D$47&gt;=6,D$47&lt;=10),$G270*$G266/5,0)+IF(AND(D$47&gt;=7,D$47&lt;=11),$H270*$H266/5,0))*D268</f>
        <v>141.732280975958</v>
      </c>
      <c r="E278" s="29" t="n">
        <f aca="false">(IF($G$19=1,(SUMPRODUCT((Quesería!$C$70:$C$89=0)*(Quesería!$J$70:$J$89&gt;0)*(E$47&gt;=1)*(E$47&lt;=Quesería!$J$70:$J$89)*(Quesería!$H$70:$H$89&gt;0)*Quesería!$F$70:$F$89*(1+Quesería!$I$70:$I$89)/(Quesería!$J$70:$J$89+(Quesería!$J$70:$J$89=0)))+SUMPRODUCT((Quesería!$C$70:$C$89=0)*(Quesería!$J$70:$J$89=0)*(E$47=0)*(Quesería!$H$70:$H$89&gt;0)*Quesería!$F$70:$F$89*(1+Quesería!$I$70:$I$89)))*$B$266+((SUMPRODUCT((Quesería!$C$70:$C$89=1)*(Quesería!$J$70:$J$89&gt;0)*(E$47&gt;=2)*(E$47&lt;=Quesería!$J$70:$J$89+1)*(Quesería!$H$70:$H$89&gt;0)*Quesería!$F$70:$F$89*(1+Quesería!$I$70:$I$89)/(Quesería!$J$70:$J$89+(Quesería!$J$70:$J$89=0)))+SUMPRODUCT((Quesería!$C$70:$C$89=1)*(Quesería!$J$70:$J$89=0)*(E$47=1)*(Quesería!$H$70:$H$89&gt;0)*Quesería!$F$70:$F$89*(1+Quesería!$I$70:$I$89)))-(-$G$26)*IF(AND(E$47&gt;=2,E$47&lt;=Quesería!$J$86+1),Quesería!$D$86*(1+Quesería!$I$86)/Quesería!$J$86,0))*$C$266*$G$21,IF(AND(E$47&gt;=1,E$47&lt;=Quesería!$B$30),Quesería!$F$92/Quesería!$B$30,0)*$B$266+IF(AND(E$47&gt;=2,E$47&lt;=Quesería!$B$30+1),(Quesería!$F$93-(-$G$26)*Quesería!$D$86*(1+Quesería!$I$86))/Quesería!$B$30,0)*$C$266*$G$21)*$G$11+IF(AND(E$47&gt;=6,E$47&lt;=10),$G270*$G266/5,0)+IF(AND(E$47&gt;=7,E$47&lt;=11),$H270*$H266/5,0))*E268</f>
        <v>136.28103939996</v>
      </c>
      <c r="F278" s="29" t="n">
        <f aca="false">(IF($G$19=1,(SUMPRODUCT((Quesería!$C$70:$C$89=0)*(Quesería!$J$70:$J$89&gt;0)*(F$47&gt;=1)*(F$47&lt;=Quesería!$J$70:$J$89)*(Quesería!$H$70:$H$89&gt;0)*Quesería!$F$70:$F$89*(1+Quesería!$I$70:$I$89)/(Quesería!$J$70:$J$89+(Quesería!$J$70:$J$89=0)))+SUMPRODUCT((Quesería!$C$70:$C$89=0)*(Quesería!$J$70:$J$89=0)*(F$47=0)*(Quesería!$H$70:$H$89&gt;0)*Quesería!$F$70:$F$89*(1+Quesería!$I$70:$I$89)))*$B$266+((SUMPRODUCT((Quesería!$C$70:$C$89=1)*(Quesería!$J$70:$J$89&gt;0)*(F$47&gt;=2)*(F$47&lt;=Quesería!$J$70:$J$89+1)*(Quesería!$H$70:$H$89&gt;0)*Quesería!$F$70:$F$89*(1+Quesería!$I$70:$I$89)/(Quesería!$J$70:$J$89+(Quesería!$J$70:$J$89=0)))+SUMPRODUCT((Quesería!$C$70:$C$89=1)*(Quesería!$J$70:$J$89=0)*(F$47=1)*(Quesería!$H$70:$H$89&gt;0)*Quesería!$F$70:$F$89*(1+Quesería!$I$70:$I$89)))-(-$G$26)*IF(AND(F$47&gt;=2,F$47&lt;=Quesería!$J$86+1),Quesería!$D$86*(1+Quesería!$I$86)/Quesería!$J$86,0))*$C$266*$G$21,IF(AND(F$47&gt;=1,F$47&lt;=Quesería!$B$30),Quesería!$F$92/Quesería!$B$30,0)*$B$266+IF(AND(F$47&gt;=2,F$47&lt;=Quesería!$B$30+1),(Quesería!$F$93-(-$G$26)*Quesería!$D$86*(1+Quesería!$I$86))/Quesería!$B$30,0)*$C$266*$G$21)*$G$11+IF(AND(F$47&gt;=6,F$47&lt;=10),$G270*$G266/5,0)+IF(AND(F$47&gt;=7,F$47&lt;=11),$H270*$H266/5,0))*F268</f>
        <v>131.0394609615</v>
      </c>
      <c r="G278" s="29" t="n">
        <f aca="false">(IF($G$19=1,(SUMPRODUCT((Quesería!$C$70:$C$89=0)*(Quesería!$J$70:$J$89&gt;0)*(G$47&gt;=1)*(G$47&lt;=Quesería!$J$70:$J$89)*(Quesería!$H$70:$H$89&gt;0)*Quesería!$F$70:$F$89*(1+Quesería!$I$70:$I$89)/(Quesería!$J$70:$J$89+(Quesería!$J$70:$J$89=0)))+SUMPRODUCT((Quesería!$C$70:$C$89=0)*(Quesería!$J$70:$J$89=0)*(G$47=0)*(Quesería!$H$70:$H$89&gt;0)*Quesería!$F$70:$F$89*(1+Quesería!$I$70:$I$89)))*$B$266+((SUMPRODUCT((Quesería!$C$70:$C$89=1)*(Quesería!$J$70:$J$89&gt;0)*(G$47&gt;=2)*(G$47&lt;=Quesería!$J$70:$J$89+1)*(Quesería!$H$70:$H$89&gt;0)*Quesería!$F$70:$F$89*(1+Quesería!$I$70:$I$89)/(Quesería!$J$70:$J$89+(Quesería!$J$70:$J$89=0)))+SUMPRODUCT((Quesería!$C$70:$C$89=1)*(Quesería!$J$70:$J$89=0)*(G$47=1)*(Quesería!$H$70:$H$89&gt;0)*Quesería!$F$70:$F$89*(1+Quesería!$I$70:$I$89)))-(-$G$26)*IF(AND(G$47&gt;=2,G$47&lt;=Quesería!$J$86+1),Quesería!$D$86*(1+Quesería!$I$86)/Quesería!$J$86,0))*$C$266*$G$21,IF(AND(G$47&gt;=1,G$47&lt;=Quesería!$B$30),Quesería!$F$92/Quesería!$B$30,0)*$B$266+IF(AND(G$47&gt;=2,G$47&lt;=Quesería!$B$30+1),(Quesería!$F$93-(-$G$26)*Quesería!$D$86*(1+Quesería!$I$86))/Quesería!$B$30,0)*$C$266*$G$21)*$G$11+IF(AND(G$47&gt;=6,G$47&lt;=10),$G270*$G266/5,0)+IF(AND(G$47&gt;=7,G$47&lt;=11),$H270*$H266/5,0))*G268</f>
        <v>125.99948169375</v>
      </c>
      <c r="H278" s="29" t="n">
        <f aca="false">(IF($G$19=1,(SUMPRODUCT((Quesería!$C$70:$C$89=0)*(Quesería!$J$70:$J$89&gt;0)*(H$47&gt;=1)*(H$47&lt;=Quesería!$J$70:$J$89)*(Quesería!$H$70:$H$89&gt;0)*Quesería!$F$70:$F$89*(1+Quesería!$I$70:$I$89)/(Quesería!$J$70:$J$89+(Quesería!$J$70:$J$89=0)))+SUMPRODUCT((Quesería!$C$70:$C$89=0)*(Quesería!$J$70:$J$89=0)*(H$47=0)*(Quesería!$H$70:$H$89&gt;0)*Quesería!$F$70:$F$89*(1+Quesería!$I$70:$I$89)))*$B$266+((SUMPRODUCT((Quesería!$C$70:$C$89=1)*(Quesería!$J$70:$J$89&gt;0)*(H$47&gt;=2)*(H$47&lt;=Quesería!$J$70:$J$89+1)*(Quesería!$H$70:$H$89&gt;0)*Quesería!$F$70:$F$89*(1+Quesería!$I$70:$I$89)/(Quesería!$J$70:$J$89+(Quesería!$J$70:$J$89=0)))+SUMPRODUCT((Quesería!$C$70:$C$89=1)*(Quesería!$J$70:$J$89=0)*(H$47=1)*(Quesería!$H$70:$H$89&gt;0)*Quesería!$F$70:$F$89*(1+Quesería!$I$70:$I$89)))-(-$G$26)*IF(AND(H$47&gt;=2,H$47&lt;=Quesería!$J$86+1),Quesería!$D$86*(1+Quesería!$I$86)/Quesería!$J$86,0))*$C$266*$G$21,IF(AND(H$47&gt;=1,H$47&lt;=Quesería!$B$30),Quesería!$F$92/Quesería!$B$30,0)*$B$266+IF(AND(H$47&gt;=2,H$47&lt;=Quesería!$B$30+1),(Quesería!$F$93-(-$G$26)*Quesería!$D$86*(1+Quesería!$I$86))/Quesería!$B$30,0)*$C$266*$G$21)*$G$11+IF(AND(H$47&gt;=6,H$47&lt;=10),$G270*$G266/5,0)+IF(AND(H$47&gt;=7,H$47&lt;=11),$H270*$H266/5,0))*H268</f>
        <v>114.13472617855</v>
      </c>
      <c r="I278" s="29" t="n">
        <f aca="false">(IF($G$19=1,(SUMPRODUCT((Quesería!$C$70:$C$89=0)*(Quesería!$J$70:$J$89&gt;0)*(I$47&gt;=1)*(I$47&lt;=Quesería!$J$70:$J$89)*(Quesería!$H$70:$H$89&gt;0)*Quesería!$F$70:$F$89*(1+Quesería!$I$70:$I$89)/(Quesería!$J$70:$J$89+(Quesería!$J$70:$J$89=0)))+SUMPRODUCT((Quesería!$C$70:$C$89=0)*(Quesería!$J$70:$J$89=0)*(I$47=0)*(Quesería!$H$70:$H$89&gt;0)*Quesería!$F$70:$F$89*(1+Quesería!$I$70:$I$89)))*$B$266+((SUMPRODUCT((Quesería!$C$70:$C$89=1)*(Quesería!$J$70:$J$89&gt;0)*(I$47&gt;=2)*(I$47&lt;=Quesería!$J$70:$J$89+1)*(Quesería!$H$70:$H$89&gt;0)*Quesería!$F$70:$F$89*(1+Quesería!$I$70:$I$89)/(Quesería!$J$70:$J$89+(Quesería!$J$70:$J$89=0)))+SUMPRODUCT((Quesería!$C$70:$C$89=1)*(Quesería!$J$70:$J$89=0)*(I$47=1)*(Quesería!$H$70:$H$89&gt;0)*Quesería!$F$70:$F$89*(1+Quesería!$I$70:$I$89)))-(-$G$26)*IF(AND(I$47&gt;=2,I$47&lt;=Quesería!$J$86+1),Quesería!$D$86*(1+Quesería!$I$86)/Quesería!$J$86,0))*$C$266*$G$21,IF(AND(I$47&gt;=1,I$47&lt;=Quesería!$B$30),Quesería!$F$92/Quesería!$B$30,0)*$B$266+IF(AND(I$47&gt;=2,I$47&lt;=Quesería!$B$30+1),(Quesería!$F$93-(-$G$26)*Quesería!$D$86*(1+Quesería!$I$86))/Quesería!$B$30,0)*$C$266*$G$21)*$G$11+IF(AND(I$47&gt;=6,I$47&lt;=10),$G270*$G266/5,0)+IF(AND(I$47&gt;=7,I$47&lt;=11),$H270*$H266/5,0))*I268</f>
        <v>118.665920500713</v>
      </c>
      <c r="J278" s="29" t="n">
        <f aca="false">(IF($G$19=1,(SUMPRODUCT((Quesería!$C$70:$C$89=0)*(Quesería!$J$70:$J$89&gt;0)*(J$47&gt;=1)*(J$47&lt;=Quesería!$J$70:$J$89)*(Quesería!$H$70:$H$89&gt;0)*Quesería!$F$70:$F$89*(1+Quesería!$I$70:$I$89)/(Quesería!$J$70:$J$89+(Quesería!$J$70:$J$89=0)))+SUMPRODUCT((Quesería!$C$70:$C$89=0)*(Quesería!$J$70:$J$89=0)*(J$47=0)*(Quesería!$H$70:$H$89&gt;0)*Quesería!$F$70:$F$89*(1+Quesería!$I$70:$I$89)))*$B$266+((SUMPRODUCT((Quesería!$C$70:$C$89=1)*(Quesería!$J$70:$J$89&gt;0)*(J$47&gt;=2)*(J$47&lt;=Quesería!$J$70:$J$89+1)*(Quesería!$H$70:$H$89&gt;0)*Quesería!$F$70:$F$89*(1+Quesería!$I$70:$I$89)/(Quesería!$J$70:$J$89+(Quesería!$J$70:$J$89=0)))+SUMPRODUCT((Quesería!$C$70:$C$89=1)*(Quesería!$J$70:$J$89=0)*(J$47=1)*(Quesería!$H$70:$H$89&gt;0)*Quesería!$F$70:$F$89*(1+Quesería!$I$70:$I$89)))-(-$G$26)*IF(AND(J$47&gt;=2,J$47&lt;=Quesería!$J$86+1),Quesería!$D$86*(1+Quesería!$I$86)/Quesería!$J$86,0))*$C$266*$G$21,IF(AND(J$47&gt;=1,J$47&lt;=Quesería!$B$30),Quesería!$F$92/Quesería!$B$30,0)*$B$266+IF(AND(J$47&gt;=2,J$47&lt;=Quesería!$B$30+1),(Quesería!$F$93-(-$G$26)*Quesería!$D$86*(1+Quesería!$I$86))/Quesería!$B$30,0)*$C$266*$G$21)*$G$11+IF(AND(J$47&gt;=6,J$47&lt;=10),$G270*$G266/5,0)+IF(AND(J$47&gt;=7,J$47&lt;=11),$H270*$H266/5,0))*J268</f>
        <v>114.101846635301</v>
      </c>
      <c r="K278" s="29" t="n">
        <f aca="false">(IF($G$19=1,(SUMPRODUCT((Quesería!$C$70:$C$89=0)*(Quesería!$J$70:$J$89&gt;0)*(K$47&gt;=1)*(K$47&lt;=Quesería!$J$70:$J$89)*(Quesería!$H$70:$H$89&gt;0)*Quesería!$F$70:$F$89*(1+Quesería!$I$70:$I$89)/(Quesería!$J$70:$J$89+(Quesería!$J$70:$J$89=0)))+SUMPRODUCT((Quesería!$C$70:$C$89=0)*(Quesería!$J$70:$J$89=0)*(K$47=0)*(Quesería!$H$70:$H$89&gt;0)*Quesería!$F$70:$F$89*(1+Quesería!$I$70:$I$89)))*$B$266+((SUMPRODUCT((Quesería!$C$70:$C$89=1)*(Quesería!$J$70:$J$89&gt;0)*(K$47&gt;=2)*(K$47&lt;=Quesería!$J$70:$J$89+1)*(Quesería!$H$70:$H$89&gt;0)*Quesería!$F$70:$F$89*(1+Quesería!$I$70:$I$89)/(Quesería!$J$70:$J$89+(Quesería!$J$70:$J$89=0)))+SUMPRODUCT((Quesería!$C$70:$C$89=1)*(Quesería!$J$70:$J$89=0)*(K$47=1)*(Quesería!$H$70:$H$89&gt;0)*Quesería!$F$70:$F$89*(1+Quesería!$I$70:$I$89)))-(-$G$26)*IF(AND(K$47&gt;=2,K$47&lt;=Quesería!$J$86+1),Quesería!$D$86*(1+Quesería!$I$86)/Quesería!$J$86,0))*$C$266*$G$21,IF(AND(K$47&gt;=1,K$47&lt;=Quesería!$B$30),Quesería!$F$92/Quesería!$B$30,0)*$B$266+IF(AND(K$47&gt;=2,K$47&lt;=Quesería!$B$30+1),(Quesería!$F$93-(-$G$26)*Quesería!$D$86*(1+Quesería!$I$86))/Quesería!$B$30,0)*$C$266*$G$21)*$G$11+IF(AND(K$47&gt;=6,K$47&lt;=10),$G270*$G266/5,0)+IF(AND(K$47&gt;=7,K$47&lt;=11),$H270*$H266/5,0))*K268</f>
        <v>109.713314072405</v>
      </c>
      <c r="L278" s="29" t="n">
        <f aca="false">(IF($G$19=1,(SUMPRODUCT((Quesería!$C$70:$C$89=0)*(Quesería!$J$70:$J$89&gt;0)*(L$47&gt;=1)*(L$47&lt;=Quesería!$J$70:$J$89)*(Quesería!$H$70:$H$89&gt;0)*Quesería!$F$70:$F$89*(1+Quesería!$I$70:$I$89)/(Quesería!$J$70:$J$89+(Quesería!$J$70:$J$89=0)))+SUMPRODUCT((Quesería!$C$70:$C$89=0)*(Quesería!$J$70:$J$89=0)*(L$47=0)*(Quesería!$H$70:$H$89&gt;0)*Quesería!$F$70:$F$89*(1+Quesería!$I$70:$I$89)))*$B$266+((SUMPRODUCT((Quesería!$C$70:$C$89=1)*(Quesería!$J$70:$J$89&gt;0)*(L$47&gt;=2)*(L$47&lt;=Quesería!$J$70:$J$89+1)*(Quesería!$H$70:$H$89&gt;0)*Quesería!$F$70:$F$89*(1+Quesería!$I$70:$I$89)/(Quesería!$J$70:$J$89+(Quesería!$J$70:$J$89=0)))+SUMPRODUCT((Quesería!$C$70:$C$89=1)*(Quesería!$J$70:$J$89=0)*(L$47=1)*(Quesería!$H$70:$H$89&gt;0)*Quesería!$F$70:$F$89*(1+Quesería!$I$70:$I$89)))-(-$G$26)*IF(AND(L$47&gt;=2,L$47&lt;=Quesería!$J$86+1),Quesería!$D$86*(1+Quesería!$I$86)/Quesería!$J$86,0))*$C$266*$G$21,IF(AND(L$47&gt;=1,L$47&lt;=Quesería!$B$30),Quesería!$F$92/Quesería!$B$30,0)*$B$266+IF(AND(L$47&gt;=2,L$47&lt;=Quesería!$B$30+1),(Quesería!$F$93-(-$G$26)*Quesería!$D$86*(1+Quesería!$I$86))/Quesería!$B$30,0)*$C$266*$G$21)*$G$11+IF(AND(L$47&gt;=6,L$47&lt;=10),$G270*$G266/5,0)+IF(AND(L$47&gt;=7,L$47&lt;=11),$H270*$H266/5,0))*L268</f>
        <v>105.493571223466</v>
      </c>
    </row>
    <row r="279" customFormat="false" ht="15" hidden="true" customHeight="false" outlineLevel="1" collapsed="false">
      <c r="A279" s="9" t="s">
        <v>417</v>
      </c>
      <c r="B279" s="58" t="n">
        <f aca="false">IF(B$47=1,MIN($G$7*$G$26*Quesería!$B$56*Quesería!$D$86*$G$11*$G$21,Quesería!$B$57*Quesería!$B$58),0)</f>
        <v>0</v>
      </c>
      <c r="C279" s="58" t="n">
        <f aca="false">IF(C$47=1,MIN($G$7*$G$26*Quesería!$B$56*Quesería!$D$86*$G$11*$G$21,Quesería!$B$57*Quesería!$B$58),0)</f>
        <v>0</v>
      </c>
      <c r="D279" s="58" t="n">
        <f aca="false">IF(D$47=1,MIN($G$7*$G$26*Quesería!$B$56*Quesería!$D$86*$G$11*$G$21,Quesería!$B$57*Quesería!$B$58),0)</f>
        <v>0</v>
      </c>
      <c r="E279" s="58" t="n">
        <f aca="false">IF(E$47=1,MIN($G$7*$G$26*Quesería!$B$56*Quesería!$D$86*$G$11*$G$21,Quesería!$B$57*Quesería!$B$58),0)</f>
        <v>0</v>
      </c>
      <c r="F279" s="58" t="n">
        <f aca="false">IF(F$47=1,MIN($G$7*$G$26*Quesería!$B$56*Quesería!$D$86*$G$11*$G$21,Quesería!$B$57*Quesería!$B$58),0)</f>
        <v>0</v>
      </c>
      <c r="G279" s="58" t="n">
        <f aca="false">IF(G$47=1,MIN($G$7*$G$26*Quesería!$B$56*Quesería!$D$86*$G$11*$G$21,Quesería!$B$57*Quesería!$B$58),0)</f>
        <v>0</v>
      </c>
      <c r="H279" s="58" t="n">
        <f aca="false">IF(H$47=1,MIN($G$7*$G$26*Quesería!$B$56*Quesería!$D$86*$G$11*$G$21,Quesería!$B$57*Quesería!$B$58),0)</f>
        <v>0</v>
      </c>
      <c r="I279" s="58" t="n">
        <f aca="false">IF(I$47=1,MIN($G$7*$G$26*Quesería!$B$56*Quesería!$D$86*$G$11*$G$21,Quesería!$B$57*Quesería!$B$58),0)</f>
        <v>0</v>
      </c>
      <c r="J279" s="58" t="n">
        <f aca="false">IF(J$47=1,MIN($G$7*$G$26*Quesería!$B$56*Quesería!$D$86*$G$11*$G$21,Quesería!$B$57*Quesería!$B$58),0)</f>
        <v>0</v>
      </c>
      <c r="K279" s="58" t="n">
        <f aca="false">IF(K$47=1,MIN($G$7*$G$26*Quesería!$B$56*Quesería!$D$86*$G$11*$G$21,Quesería!$B$57*Quesería!$B$58),0)</f>
        <v>0</v>
      </c>
      <c r="L279" s="58" t="n">
        <f aca="false">IF(L$47=1,MIN($G$7*$G$26*Quesería!$B$56*Quesería!$D$86*$G$11*$G$21,Quesería!$B$57*Quesería!$B$58),0)</f>
        <v>0</v>
      </c>
    </row>
    <row r="280" customFormat="false" ht="15" hidden="true" customHeight="false" outlineLevel="1" collapsed="false">
      <c r="A280" s="9" t="s">
        <v>418</v>
      </c>
      <c r="B280" s="58" t="n">
        <v>0</v>
      </c>
      <c r="C280" s="58" t="n">
        <f aca="false">$G$20*Quesería!$B$60*Quesería!$F$98*$G$11*$B$266/C266/2</f>
        <v>138.12868344741</v>
      </c>
      <c r="D280" s="58" t="n">
        <f aca="false">$G$20*Quesería!$B$60*Quesería!$F$98*$G$11*$B$266/D266/2</f>
        <v>132.18055832288</v>
      </c>
      <c r="E280" s="58" t="n">
        <v>0</v>
      </c>
      <c r="F280" s="58" t="n">
        <v>0</v>
      </c>
      <c r="G280" s="58" t="n">
        <v>0</v>
      </c>
      <c r="H280" s="58" t="n">
        <v>0</v>
      </c>
      <c r="I280" s="58" t="n">
        <v>0</v>
      </c>
      <c r="J280" s="58" t="n">
        <v>0</v>
      </c>
      <c r="K280" s="58" t="n">
        <v>0</v>
      </c>
      <c r="L280" s="58" t="n">
        <v>0</v>
      </c>
    </row>
    <row r="281" customFormat="false" ht="15" hidden="true" customHeight="false" outlineLevel="1" collapsed="false">
      <c r="A281" s="9" t="s">
        <v>419</v>
      </c>
      <c r="B281" s="58" t="n">
        <f aca="false">0</f>
        <v>0</v>
      </c>
      <c r="C281" s="58" t="n">
        <f aca="false">B271*B266/C266</f>
        <v>142.014925295407</v>
      </c>
      <c r="D281" s="58" t="n">
        <f aca="false">C271*C266/D266</f>
        <v>119.721648486272</v>
      </c>
      <c r="E281" s="58" t="n">
        <f aca="false">D271*D266/E266</f>
        <v>0</v>
      </c>
      <c r="F281" s="58" t="n">
        <f aca="false">E271*E266/F266</f>
        <v>0</v>
      </c>
      <c r="G281" s="58" t="n">
        <f aca="false">F271*F266/G266</f>
        <v>0</v>
      </c>
      <c r="H281" s="58" t="n">
        <f aca="false">G271*G266/H266</f>
        <v>5.01768392412113</v>
      </c>
      <c r="I281" s="58" t="n">
        <f aca="false">H271*H266/I266</f>
        <v>8.47494190873221</v>
      </c>
      <c r="J281" s="58" t="n">
        <f aca="false">I271*I266/J266</f>
        <v>0</v>
      </c>
      <c r="K281" s="58" t="n">
        <f aca="false">J271*J266/K266</f>
        <v>0</v>
      </c>
      <c r="L281" s="58" t="n">
        <f aca="false">K271*K266/L266</f>
        <v>0</v>
      </c>
    </row>
    <row r="282" customFormat="false" ht="15" hidden="true" customHeight="false" outlineLevel="1" collapsed="false">
      <c r="A282" s="6" t="s">
        <v>295</v>
      </c>
      <c r="B282" s="29" t="n">
        <f aca="false">$G$17*(B274-B275-B276-0.5*B277-B278)-B279-B280-B281</f>
        <v>-18.0485653053173</v>
      </c>
      <c r="C282" s="29" t="n">
        <f aca="false">$G$17*(C274-C275-C276-0.5*C277-C278)-C279-C280-C281</f>
        <v>-279.968731843645</v>
      </c>
      <c r="D282" s="29" t="n">
        <f aca="false">$G$17*(D274-D275-D276-0.5*D277-D278)-D279-D280-D281</f>
        <v>-188.564561474674</v>
      </c>
      <c r="E282" s="29" t="n">
        <f aca="false">$G$17*(E274-E275-E276-0.5*E277-E278)-E279-E280-E281</f>
        <v>85.1827325224524</v>
      </c>
      <c r="F282" s="29" t="n">
        <f aca="false">$G$17*(F274-F275-F276-0.5*F277-F278)-F279-F280-F281</f>
        <v>87.1038640658354</v>
      </c>
      <c r="G282" s="29" t="n">
        <f aca="false">$G$17*(G274-G275-G276-0.5*G277-G278)-G279-G280-G281</f>
        <v>88.9319902689346</v>
      </c>
      <c r="H282" s="29" t="n">
        <f aca="false">$G$17*(H274-H275-H276-0.5*H277-H278)-H279-H280-H281</f>
        <v>88.1386541797096</v>
      </c>
      <c r="I282" s="29" t="n">
        <f aca="false">$G$17*(I274-I275-I276-0.5*I277-I278)-I279-I280-I281</f>
        <v>83.2220046295739</v>
      </c>
      <c r="J282" s="29" t="n">
        <f aca="false">$G$17*(J274-J275-J276-0.5*J277-J278)-J279-J280-J281</f>
        <v>93.3826960931279</v>
      </c>
      <c r="K282" s="29" t="n">
        <f aca="false">$G$17*(K274-K275-K276-0.5*K277-K278)-K279-K280-K281</f>
        <v>95.0074478105788</v>
      </c>
      <c r="L282" s="29" t="n">
        <f aca="false">$G$17*(L274-L275-L276-0.5*L277-L278)-L279-L280-L281</f>
        <v>96.5735669547468</v>
      </c>
    </row>
    <row r="283" customFormat="false" ht="15" hidden="true" customHeight="false" outlineLevel="1" collapsed="false">
      <c r="A283" s="9" t="s">
        <v>420</v>
      </c>
      <c r="B283" s="58" t="n">
        <f aca="false">(IF(B$47&gt;=1,Quesería!$G$124*IF(B$47=1,Quesería!$B$20,1),Quesería!$G$124*Quesería!$B$20*Quesería!$B$21/12*$G$23)+IF(B$47&gt;=2,(Quesería!$G$125-(1-$G$24)*Quesería!$G$117-(-$G$26*$G$27)*'Beneficios y costos'!$D$167)*$G$21*IF(B$47=2,Quesería!$B$20,1),0))*$G$10</f>
        <v>61.9234296129496</v>
      </c>
      <c r="C283" s="58" t="n">
        <f aca="false">(IF(C$47&gt;=1,Quesería!$G$124*IF(C$47=1,Quesería!$B$20,1),Quesería!$G$124*Quesería!$B$20*Quesería!$B$21/12*$G$23)+IF(C$47&gt;=2,(Quesería!$G$125-(1-$G$24)*Quesería!$G$117-(-$G$26*$G$27)*'Beneficios y costos'!$D$167)*$G$21*IF(C$47=2,Quesería!$B$20,1),0))*$G$10</f>
        <v>92.8851444194243</v>
      </c>
      <c r="D283" s="58" t="n">
        <f aca="false">(IF(D$47&gt;=1,Quesería!$G$124*IF(D$47=1,Quesería!$B$20,1),Quesería!$G$124*Quesería!$B$20*Quesería!$B$21/12*$G$23)+IF(D$47&gt;=2,(Quesería!$G$125-(1-$G$24)*Quesería!$G$117-(-$G$26*$G$27)*'Beneficios y costos'!$D$167)*$G$21*IF(D$47=2,Quesería!$B$20,1),0))*$G$10</f>
        <v>1619.0313393751</v>
      </c>
      <c r="E283" s="58" t="n">
        <f aca="false">(IF(E$47&gt;=1,Quesería!$G$124*IF(E$47=1,Quesería!$B$20,1),Quesería!$G$124*Quesería!$B$20*Quesería!$B$21/12*$G$23)+IF(E$47&gt;=2,(Quesería!$G$125-(1-$G$24)*Quesería!$G$117-(-$G$26*$G$27)*'Beneficios y costos'!$D$167)*$G$21*IF(E$47=2,Quesería!$B$20,1),0))*$G$10</f>
        <v>2117.42616609149</v>
      </c>
      <c r="F283" s="58" t="n">
        <f aca="false">(IF(F$47&gt;=1,Quesería!$G$124*IF(F$47=1,Quesería!$B$20,1),Quesería!$G$124*Quesería!$B$20*Quesería!$B$21/12*$G$23)+IF(F$47&gt;=2,(Quesería!$G$125-(1-$G$24)*Quesería!$G$117-(-$G$26*$G$27)*'Beneficios y costos'!$D$167)*$G$21*IF(F$47=2,Quesería!$B$20,1),0))*$G$10</f>
        <v>2117.42616609149</v>
      </c>
      <c r="G283" s="58" t="n">
        <f aca="false">(IF(G$47&gt;=1,Quesería!$G$124*IF(G$47=1,Quesería!$B$20,1),Quesería!$G$124*Quesería!$B$20*Quesería!$B$21/12*$G$23)+IF(G$47&gt;=2,(Quesería!$G$125-(1-$G$24)*Quesería!$G$117-(-$G$26*$G$27)*'Beneficios y costos'!$D$167)*$G$21*IF(G$47=2,Quesería!$B$20,1),0))*$G$10</f>
        <v>2117.42616609149</v>
      </c>
      <c r="H283" s="58" t="n">
        <f aca="false">(IF(H$47&gt;=1,Quesería!$G$124*IF(H$47=1,Quesería!$B$20,1),Quesería!$G$124*Quesería!$B$20*Quesería!$B$21/12*$G$23)+IF(H$47&gt;=2,(Quesería!$G$125-(1-$G$24)*Quesería!$G$117-(-$G$26*$G$27)*'Beneficios y costos'!$D$167)*$G$21*IF(H$47=2,Quesería!$B$20,1),0))*$G$10</f>
        <v>2117.42616609149</v>
      </c>
      <c r="I283" s="58" t="n">
        <f aca="false">(IF(I$47&gt;=1,Quesería!$G$124*IF(I$47=1,Quesería!$B$20,1),Quesería!$G$124*Quesería!$B$20*Quesería!$B$21/12*$G$23)+IF(I$47&gt;=2,(Quesería!$G$125-(1-$G$24)*Quesería!$G$117-(-$G$26*$G$27)*'Beneficios y costos'!$D$167)*$G$21*IF(I$47=2,Quesería!$B$20,1),0))*$G$10</f>
        <v>2117.42616609149</v>
      </c>
      <c r="J283" s="58" t="n">
        <f aca="false">(IF(J$47&gt;=1,Quesería!$G$124*IF(J$47=1,Quesería!$B$20,1),Quesería!$G$124*Quesería!$B$20*Quesería!$B$21/12*$G$23)+IF(J$47&gt;=2,(Quesería!$G$125-(1-$G$24)*Quesería!$G$117-(-$G$26*$G$27)*'Beneficios y costos'!$D$167)*$G$21*IF(J$47=2,Quesería!$B$20,1),0))*$G$10</f>
        <v>2117.42616609149</v>
      </c>
      <c r="K283" s="58" t="n">
        <f aca="false">(IF(K$47&gt;=1,Quesería!$G$124*IF(K$47=1,Quesería!$B$20,1),Quesería!$G$124*Quesería!$B$20*Quesería!$B$21/12*$G$23)+IF(K$47&gt;=2,(Quesería!$G$125-(1-$G$24)*Quesería!$G$117-(-$G$26*$G$27)*'Beneficios y costos'!$D$167)*$G$21*IF(K$47=2,Quesería!$B$20,1),0))*$G$10</f>
        <v>2117.42616609149</v>
      </c>
      <c r="L283" s="58" t="n">
        <f aca="false">(IF(L$47&gt;=1,Quesería!$G$124*IF(L$47=1,Quesería!$B$20,1),Quesería!$G$124*Quesería!$B$20*Quesería!$B$21/12*$G$23)+IF(L$47&gt;=2,(Quesería!$G$125-(1-$G$24)*Quesería!$G$117-(-$G$26*$G$27)*'Beneficios y costos'!$D$167)*$G$21*IF(L$47=2,Quesería!$B$20,1),0))*$G$10</f>
        <v>2117.42616609149</v>
      </c>
    </row>
    <row r="284" customFormat="false" ht="15" hidden="true" customHeight="false" outlineLevel="1" collapsed="false">
      <c r="A284" s="6" t="s">
        <v>421</v>
      </c>
      <c r="B284" s="29" t="n">
        <f aca="false">(B283*(Quesería!$B$38+Quesería!$B$40*Quesería!$B$39)/365-B275*Quesería!$B$42/365+IF(B$47&gt;=2,($G$25*'Beneficios y costos'!$B$147+(1-$G$25)*'Beneficios y costos'!$B$148)*$G$24*$G$21*$G$10*IF(B$47=2,Quesería!$B$20,1),0))</f>
        <v>5.78517520493583</v>
      </c>
      <c r="C284" s="29" t="n">
        <f aca="false">(C283*(Quesería!$B$38+Quesería!$B$40*Quesería!$B$39)/365-C275*Quesería!$B$42/365+IF(C$47&gt;=2,($G$25*'Beneficios y costos'!$B$147+(1-$G$25)*'Beneficios y costos'!$B$148)*$G$24*$G$21*$G$10*IF(C$47=2,Quesería!$B$20,1),0))-(B283*(Quesería!$B$38+Quesería!$B$40*Quesería!$B$39)/365-B275*Quesería!$B$42/365+IF(B$47&gt;=2,($G$25*'Beneficios y costos'!$B$147+(1-$G$25)*'Beneficios y costos'!$B$148)*$G$24*$G$21*$G$10*IF(B$47=2,Quesería!$B$20,1),0))*B266/C266</f>
        <v>0.630860431999771</v>
      </c>
      <c r="D284" s="29" t="n">
        <f aca="false">(D283*(Quesería!$B$38+Quesería!$B$40*Quesería!$B$39)/365-D275*Quesería!$B$42/365+IF(D$47&gt;=2,($G$25*'Beneficios y costos'!$B$147+(1-$G$25)*'Beneficios y costos'!$B$148)*$G$24*$G$21*$G$10*IF(D$47=2,Quesería!$B$20,1),0))-(C283*(Quesería!$B$38+Quesería!$B$40*Quesería!$B$39)/365-C275*Quesería!$B$42/365+IF(C$47&gt;=2,($G$25*'Beneficios y costos'!$B$147+(1-$G$25)*'Beneficios y costos'!$B$148)*$G$24*$G$21*$G$10*IF(C$47=2,Quesería!$B$20,1),0))*C266/D266</f>
        <v>96.4178166411596</v>
      </c>
      <c r="E284" s="29" t="n">
        <f aca="false">(E283*(Quesería!$B$38+Quesería!$B$40*Quesería!$B$39)/365-E275*Quesería!$B$42/365+IF(E$47&gt;=2,($G$25*'Beneficios y costos'!$B$147+(1-$G$25)*'Beneficios y costos'!$B$148)*$G$24*$G$21*$G$10*IF(E$47=2,Quesería!$B$20,1),0))-(D283*(Quesería!$B$38+Quesería!$B$40*Quesería!$B$39)/365-D275*Quesería!$B$42/365+IF(D$47&gt;=2,($G$25*'Beneficios y costos'!$B$147+(1-$G$25)*'Beneficios y costos'!$B$148)*$G$24*$G$21*$G$10*IF(D$47=2,Quesería!$B$20,1),0))*D266/E266</f>
        <v>35.7124952405551</v>
      </c>
      <c r="F284" s="29" t="n">
        <f aca="false">(F283*(Quesería!$B$38+Quesería!$B$40*Quesería!$B$39)/365-F275*Quesería!$B$42/365+IF(F$47&gt;=2,($G$25*'Beneficios y costos'!$B$147+(1-$G$25)*'Beneficios y costos'!$B$148)*$G$24*$G$21*$G$10*IF(F$47=2,Quesería!$B$20,1),0))-(E283*(Quesería!$B$38+Quesería!$B$40*Quesería!$B$39)/365-E275*Quesería!$B$42/365+IF(E$47&gt;=2,($G$25*'Beneficios y costos'!$B$147+(1-$G$25)*'Beneficios y costos'!$B$148)*$G$24*$G$21*$G$10*IF(E$47=2,Quesería!$B$20,1),0))*E266/F266</f>
        <v>5.15661749811778</v>
      </c>
      <c r="G284" s="29" t="n">
        <f aca="false">(G283*(Quesería!$B$38+Quesería!$B$40*Quesería!$B$39)/365-G275*Quesería!$B$42/365+IF(G$47&gt;=2,($G$25*'Beneficios y costos'!$B$147+(1-$G$25)*'Beneficios y costos'!$B$148)*$G$24*$G$21*$G$10*IF(G$47=2,Quesería!$B$20,1),0))-(F283*(Quesería!$B$38+Quesería!$B$40*Quesería!$B$39)/365-F275*Quesería!$B$42/365+IF(F$47&gt;=2,($G$25*'Beneficios y costos'!$B$147+(1-$G$25)*'Beneficios y costos'!$B$148)*$G$24*$G$21*$G$10*IF(F$47=2,Quesería!$B$20,1),0))*F266/G266</f>
        <v>5.15661749811778</v>
      </c>
      <c r="H284" s="29" t="n">
        <f aca="false">(H283*(Quesería!$B$38+Quesería!$B$40*Quesería!$B$39)/365-H275*Quesería!$B$42/365+IF(H$47&gt;=2,($G$25*'Beneficios y costos'!$B$147+(1-$G$25)*'Beneficios y costos'!$B$148)*$G$24*$G$21*$G$10*IF(H$47=2,Quesería!$B$20,1),0))-(G283*(Quesería!$B$38+Quesería!$B$40*Quesería!$B$39)/365-G275*Quesería!$B$42/365+IF(G$47&gt;=2,($G$25*'Beneficios y costos'!$B$147+(1-$G$25)*'Beneficios y costos'!$B$148)*$G$24*$G$21*$G$10*IF(G$47=2,Quesería!$B$20,1),0))*G266/H266</f>
        <v>5.15661749811778</v>
      </c>
      <c r="I284" s="29" t="n">
        <f aca="false">(I283*(Quesería!$B$38+Quesería!$B$40*Quesería!$B$39)/365-I275*Quesería!$B$42/365+IF(I$47&gt;=2,($G$25*'Beneficios y costos'!$B$147+(1-$G$25)*'Beneficios y costos'!$B$148)*$G$24*$G$21*$G$10*IF(I$47=2,Quesería!$B$20,1),0))-(H283*(Quesería!$B$38+Quesería!$B$40*Quesería!$B$39)/365-H275*Quesería!$B$42/365+IF(H$47&gt;=2,($G$25*'Beneficios y costos'!$B$147+(1-$G$25)*'Beneficios y costos'!$B$148)*$G$24*$G$21*$G$10*IF(H$47=2,Quesería!$B$20,1),0))*H266/I266</f>
        <v>5.15661749811778</v>
      </c>
      <c r="J284" s="29" t="n">
        <f aca="false">(J283*(Quesería!$B$38+Quesería!$B$40*Quesería!$B$39)/365-J275*Quesería!$B$42/365+IF(J$47&gt;=2,($G$25*'Beneficios y costos'!$B$147+(1-$G$25)*'Beneficios y costos'!$B$148)*$G$24*$G$21*$G$10*IF(J$47=2,Quesería!$B$20,1),0))-(I283*(Quesería!$B$38+Quesería!$B$40*Quesería!$B$39)/365-I275*Quesería!$B$42/365+IF(I$47&gt;=2,($G$25*'Beneficios y costos'!$B$147+(1-$G$25)*'Beneficios y costos'!$B$148)*$G$24*$G$21*$G$10*IF(I$47=2,Quesería!$B$20,1),0))*I266/J266</f>
        <v>5.15661749811778</v>
      </c>
      <c r="K284" s="29" t="n">
        <f aca="false">(K283*(Quesería!$B$38+Quesería!$B$40*Quesería!$B$39)/365-K275*Quesería!$B$42/365+IF(K$47&gt;=2,($G$25*'Beneficios y costos'!$B$147+(1-$G$25)*'Beneficios y costos'!$B$148)*$G$24*$G$21*$G$10*IF(K$47=2,Quesería!$B$20,1),0))-(J283*(Quesería!$B$38+Quesería!$B$40*Quesería!$B$39)/365-J275*Quesería!$B$42/365+IF(J$47&gt;=2,($G$25*'Beneficios y costos'!$B$147+(1-$G$25)*'Beneficios y costos'!$B$148)*$G$24*$G$21*$G$10*IF(J$47=2,Quesería!$B$20,1),0))*J266/K266</f>
        <v>5.15661749811778</v>
      </c>
      <c r="L284" s="29" t="n">
        <f aca="false">-(K283*(Quesería!$B$38+Quesería!$B$40*Quesería!$B$39)/365-K275*Quesería!$B$42/365+IF(K$47&gt;=2,($G$25*'Beneficios y costos'!$B$147+(1-$G$25)*'Beneficios y costos'!$B$148)*$G$24*$G$21*$G$10*IF(K$47=2,Quesería!$B$20,1),0))*K266/L266</f>
        <v>-128.915437452944</v>
      </c>
    </row>
    <row r="285" customFormat="false" ht="15" hidden="true" customHeight="false" outlineLevel="1" collapsed="false">
      <c r="A285" s="6" t="s">
        <v>422</v>
      </c>
      <c r="B285" s="29" t="n">
        <v>0</v>
      </c>
      <c r="C285" s="29" t="n">
        <v>0</v>
      </c>
      <c r="D285" s="29" t="n">
        <v>0</v>
      </c>
      <c r="E285" s="29" t="n">
        <v>0</v>
      </c>
      <c r="F285" s="29" t="n">
        <v>0</v>
      </c>
      <c r="G285" s="29" t="n">
        <v>0</v>
      </c>
      <c r="H285" s="29" t="n">
        <v>0</v>
      </c>
      <c r="I285" s="29" t="n">
        <v>0</v>
      </c>
      <c r="J285" s="29" t="n">
        <v>0</v>
      </c>
      <c r="K285" s="29" t="n">
        <v>0</v>
      </c>
      <c r="L285" s="29" t="n">
        <f aca="false">$G$8*Quesería!$B$36*(Quesería!$F$94+(Quesería!$F$95-(-$G$26)*Quesería!$D$86)*$G$21)*$G$11*(1-$G$17)</f>
        <v>61.9237725584542</v>
      </c>
    </row>
    <row r="286" customFormat="false" ht="15" hidden="true" customHeight="false" outlineLevel="1" collapsed="false">
      <c r="A286" s="5" t="s">
        <v>147</v>
      </c>
      <c r="B286" s="59" t="n">
        <f aca="false">B274-B275-B276-B277-B282-B269-B270-B271-B284+B285</f>
        <v>-975.398766726478</v>
      </c>
      <c r="C286" s="59" t="n">
        <f aca="false">C274-C275-C276-C277-C282-C269-C270-C271-C284+C285</f>
        <v>-423.165721673258</v>
      </c>
      <c r="D286" s="59" t="n">
        <f aca="false">D274-D275-D276-D277-D282-D269-D270-D271-D284+D285</f>
        <v>414.69073380089</v>
      </c>
      <c r="E286" s="59" t="n">
        <f aca="false">E274-E275-E276-E277-E282-E269-E270-E271-E284+E285</f>
        <v>258.612054451153</v>
      </c>
      <c r="F286" s="59" t="n">
        <f aca="false">F274-F275-F276-F277-F282-F269-F270-F271-F284+F285</f>
        <v>287.494169478556</v>
      </c>
      <c r="G286" s="59" t="n">
        <f aca="false">G274-G275-G276-G277-G282-G269-G270-G271-G284+G285</f>
        <v>253.100305963788</v>
      </c>
      <c r="H286" s="59" t="n">
        <f aca="false">H274-H275-H276-H277-H282-H269-H270-H271-H284+H285</f>
        <v>231.533926060804</v>
      </c>
      <c r="I286" s="59" t="n">
        <f aca="false">I274-I275-I276-I277-I282-I269-I270-I271-I284+I285</f>
        <v>292.125581232518</v>
      </c>
      <c r="J286" s="59" t="n">
        <f aca="false">J274-J275-J276-J277-J282-J269-J270-J271-J284+J285</f>
        <v>282.217243203043</v>
      </c>
      <c r="K286" s="59" t="n">
        <f aca="false">K274-K275-K276-K277-K282-K269-K270-K271-K284+K285</f>
        <v>280.846106686841</v>
      </c>
      <c r="L286" s="59" t="n">
        <f aca="false">L274-L275-L276-L277-L282-L269-L270-L271-L284+L285</f>
        <v>475.530698329445</v>
      </c>
    </row>
    <row r="287" customFormat="false" ht="15" hidden="true" customHeight="false" outlineLevel="1" collapsed="false">
      <c r="A287" s="9" t="s">
        <v>423</v>
      </c>
      <c r="B287" s="58" t="n">
        <f aca="false">B286*B266</f>
        <v>-1033.92269273007</v>
      </c>
      <c r="C287" s="58" t="n">
        <f aca="false">C286*C266</f>
        <v>-470.983448222336</v>
      </c>
      <c r="D287" s="58" t="n">
        <f aca="false">D286*D266</f>
        <v>482.320572122808</v>
      </c>
      <c r="E287" s="58" t="n">
        <f aca="false">E286*E266</f>
        <v>312.819313405372</v>
      </c>
      <c r="F287" s="58" t="n">
        <f aca="false">F286*F266</f>
        <v>361.665576846376</v>
      </c>
      <c r="G287" s="58" t="n">
        <f aca="false">G286*G266</f>
        <v>331.134280237096</v>
      </c>
      <c r="H287" s="58" t="n">
        <f aca="false">H286*H266</f>
        <v>315.035465687212</v>
      </c>
      <c r="I287" s="58" t="n">
        <f aca="false">I286*I266</f>
        <v>413.378362696221</v>
      </c>
      <c r="J287" s="58" t="n">
        <f aca="false">J286*J266</f>
        <v>415.331657997249</v>
      </c>
      <c r="K287" s="58" t="n">
        <f aca="false">K286*K266</f>
        <v>429.846344329619</v>
      </c>
      <c r="L287" s="58" t="n">
        <f aca="false">L286*L266</f>
        <v>756.931759150927</v>
      </c>
    </row>
    <row r="288" customFormat="false" ht="15" hidden="true" customHeight="false" outlineLevel="1" collapsed="false">
      <c r="A288" s="6" t="s">
        <v>424</v>
      </c>
      <c r="B288" s="29" t="n">
        <f aca="false">B286</f>
        <v>-975.398766726478</v>
      </c>
      <c r="C288" s="29" t="n">
        <f aca="false">B288+C286</f>
        <v>-1398.56448839974</v>
      </c>
      <c r="D288" s="29" t="n">
        <f aca="false">C288+D286</f>
        <v>-983.873754598846</v>
      </c>
      <c r="E288" s="29" t="n">
        <f aca="false">D288+E286</f>
        <v>-725.261700147693</v>
      </c>
      <c r="F288" s="29" t="n">
        <f aca="false">E288+F286</f>
        <v>-437.767530669137</v>
      </c>
      <c r="G288" s="29" t="n">
        <f aca="false">F288+G286</f>
        <v>-184.667224705349</v>
      </c>
      <c r="H288" s="29" t="n">
        <f aca="false">G288+H286</f>
        <v>46.8667013554551</v>
      </c>
      <c r="I288" s="29" t="n">
        <f aca="false">H288+I286</f>
        <v>338.992282587973</v>
      </c>
      <c r="J288" s="29" t="n">
        <f aca="false">I288+J286</f>
        <v>621.209525791016</v>
      </c>
      <c r="K288" s="29" t="n">
        <f aca="false">J288+K286</f>
        <v>902.055632477857</v>
      </c>
      <c r="L288" s="29" t="n">
        <f aca="false">K288+L286</f>
        <v>1377.5863308073</v>
      </c>
    </row>
    <row r="289" customFormat="false" ht="15" hidden="true" customHeight="false" outlineLevel="1" collapsed="false">
      <c r="A289" s="9" t="s">
        <v>425</v>
      </c>
      <c r="B289" s="60" t="n">
        <v>0</v>
      </c>
      <c r="C289" s="60" t="n">
        <f aca="false">IF(AND(B288&lt;0,C288&gt;=0),B$47+(-B288)/C286,0)</f>
        <v>0</v>
      </c>
      <c r="D289" s="60" t="n">
        <f aca="false">IF(AND(C288&lt;0,D288&gt;=0),C$47+(-C288)/D286,0)</f>
        <v>0</v>
      </c>
      <c r="E289" s="60" t="n">
        <f aca="false">IF(AND(D288&lt;0,E288&gt;=0),D$47+(-D288)/E286,0)</f>
        <v>0</v>
      </c>
      <c r="F289" s="60" t="n">
        <f aca="false">IF(AND(E288&lt;0,F288&gt;=0),E$47+(-E288)/F286,0)</f>
        <v>0</v>
      </c>
      <c r="G289" s="60" t="n">
        <f aca="false">IF(AND(F288&lt;0,G288&gt;=0),F$47+(-F288)/G286,0)</f>
        <v>0</v>
      </c>
      <c r="H289" s="60" t="n">
        <f aca="false">IF(AND(G288&lt;0,H288&gt;=0),G$47+(-G288)/H286,0)</f>
        <v>5.79758171015013</v>
      </c>
      <c r="I289" s="60" t="n">
        <f aca="false">IF(AND(H288&lt;0,I288&gt;=0),H$47+(-H288)/I286,0)</f>
        <v>0</v>
      </c>
      <c r="J289" s="60" t="n">
        <f aca="false">IF(AND(I288&lt;0,J288&gt;=0),I$47+(-I288)/J286,0)</f>
        <v>0</v>
      </c>
      <c r="K289" s="60" t="n">
        <f aca="false">IF(AND(J288&lt;0,K288&gt;=0),J$47+(-J288)/K286,0)</f>
        <v>0</v>
      </c>
      <c r="L289" s="60" t="n">
        <f aca="false">IF(AND(K288&lt;0,L288&gt;=0),K$47+(-K288)/L286,0)</f>
        <v>0</v>
      </c>
    </row>
    <row r="290" customFormat="false" ht="15" hidden="true" customHeight="false" outlineLevel="1" collapsed="false">
      <c r="A290" s="9" t="s">
        <v>426</v>
      </c>
      <c r="B290" s="57" t="n">
        <f aca="false">(B266/$B$266)/(1+$G$29)^B$47</f>
        <v>1</v>
      </c>
      <c r="C290" s="57" t="n">
        <f aca="false">(C266/$B$266)/(1+$G$29)^C$47</f>
        <v>0.915373701313561</v>
      </c>
      <c r="D290" s="57" t="n">
        <f aca="false">(D266/$B$266)/(1+$G$29)^D$47</f>
        <v>0.833918970137172</v>
      </c>
      <c r="E290" s="57" t="n">
        <f aca="false">(E266/$B$266)/(1+$G$29)^E$47</f>
        <v>0.756077518153961</v>
      </c>
      <c r="F290" s="57" t="n">
        <f aca="false">(F266/$B$266)/(1+$G$29)^F$47</f>
        <v>0.685502109831871</v>
      </c>
      <c r="G290" s="57" t="n">
        <f aca="false">(G266/$B$266)/(1+$G$29)^G$47</f>
        <v>0.621514502549008</v>
      </c>
      <c r="H290" s="57" t="n">
        <f aca="false">(H266/$B$266)/(1+$G$29)^H$47</f>
        <v>0.563499763660072</v>
      </c>
      <c r="I290" s="57" t="n">
        <f aca="false">(I266/$B$266)/(1+$G$29)^I$47</f>
        <v>0.510900360880829</v>
      </c>
      <c r="J290" s="57" t="n">
        <f aca="false">(J266/$B$266)/(1+$G$29)^J$47</f>
        <v>0.463210804300567</v>
      </c>
      <c r="K290" s="57" t="n">
        <f aca="false">(K266/$B$266)/(1+$G$29)^K$47</f>
        <v>0.419972788531318</v>
      </c>
      <c r="L290" s="57" t="n">
        <f aca="false">(L266/$B$266)/(1+$G$29)^L$47</f>
        <v>0.380770788308996</v>
      </c>
    </row>
    <row r="291" customFormat="false" ht="15" hidden="true" customHeight="false" outlineLevel="1" collapsed="false">
      <c r="A291" s="9" t="s">
        <v>427</v>
      </c>
      <c r="B291" s="58" t="n">
        <f aca="false">B286*B290</f>
        <v>-975.398766726478</v>
      </c>
      <c r="C291" s="58" t="n">
        <f aca="false">C286*C290</f>
        <v>-387.354772917075</v>
      </c>
      <c r="D291" s="58" t="n">
        <f aca="false">D286*D290</f>
        <v>345.818469656667</v>
      </c>
      <c r="E291" s="58" t="n">
        <f aca="false">E286*E290</f>
        <v>195.530760294125</v>
      </c>
      <c r="F291" s="58" t="n">
        <f aca="false">F286*F290</f>
        <v>197.077859741912</v>
      </c>
      <c r="G291" s="58" t="n">
        <f aca="false">G286*G290</f>
        <v>157.305510756085</v>
      </c>
      <c r="H291" s="58" t="n">
        <f aca="false">H286*H290</f>
        <v>130.469312614552</v>
      </c>
      <c r="I291" s="58" t="n">
        <f aca="false">I286*I290</f>
        <v>149.247064874215</v>
      </c>
      <c r="J291" s="58" t="n">
        <f aca="false">J286*J290</f>
        <v>130.72607621157</v>
      </c>
      <c r="K291" s="58" t="n">
        <f aca="false">K286*K290</f>
        <v>117.947722573437</v>
      </c>
      <c r="L291" s="58" t="n">
        <f aca="false">L286*L290</f>
        <v>181.06819886803</v>
      </c>
    </row>
    <row r="292" customFormat="false" ht="15" hidden="true" customHeight="false" outlineLevel="1" collapsed="false">
      <c r="A292" s="9" t="s">
        <v>428</v>
      </c>
      <c r="B292" s="58" t="n">
        <f aca="false">B291</f>
        <v>-975.398766726478</v>
      </c>
      <c r="C292" s="58" t="n">
        <f aca="false">B292+C291</f>
        <v>-1362.75353964355</v>
      </c>
      <c r="D292" s="58" t="n">
        <f aca="false">C292+D291</f>
        <v>-1016.93506998689</v>
      </c>
      <c r="E292" s="58" t="n">
        <f aca="false">D292+E291</f>
        <v>-821.404309692761</v>
      </c>
      <c r="F292" s="58" t="n">
        <f aca="false">E292+F291</f>
        <v>-624.326449950849</v>
      </c>
      <c r="G292" s="58" t="n">
        <f aca="false">F292+G291</f>
        <v>-467.020939194764</v>
      </c>
      <c r="H292" s="58" t="n">
        <f aca="false">G292+H291</f>
        <v>-336.551626580212</v>
      </c>
      <c r="I292" s="58" t="n">
        <f aca="false">H292+I291</f>
        <v>-187.304561705997</v>
      </c>
      <c r="J292" s="58" t="n">
        <f aca="false">I292+J291</f>
        <v>-56.5784854944266</v>
      </c>
      <c r="K292" s="58" t="n">
        <f aca="false">J292+K291</f>
        <v>61.36923707901</v>
      </c>
      <c r="L292" s="58" t="n">
        <f aca="false">K292+L291</f>
        <v>242.43743594704</v>
      </c>
    </row>
    <row r="293" customFormat="false" ht="15" hidden="true" customHeight="false" outlineLevel="1" collapsed="false">
      <c r="A293" s="9" t="s">
        <v>429</v>
      </c>
      <c r="B293" s="60" t="n">
        <v>0</v>
      </c>
      <c r="C293" s="60" t="n">
        <f aca="false">IF(AND(B292&lt;0,C292&gt;=0),B$47+(-B292)/C291,0)</f>
        <v>0</v>
      </c>
      <c r="D293" s="60" t="n">
        <f aca="false">IF(AND(C292&lt;0,D292&gt;=0),C$47+(-C292)/D291,0)</f>
        <v>0</v>
      </c>
      <c r="E293" s="60" t="n">
        <f aca="false">IF(AND(D292&lt;0,E292&gt;=0),D$47+(-D292)/E291,0)</f>
        <v>0</v>
      </c>
      <c r="F293" s="60" t="n">
        <f aca="false">IF(AND(E292&lt;0,F292&gt;=0),E$47+(-E292)/F291,0)</f>
        <v>0</v>
      </c>
      <c r="G293" s="60" t="n">
        <f aca="false">IF(AND(F292&lt;0,G292&gt;=0),F$47+(-F292)/G291,0)</f>
        <v>0</v>
      </c>
      <c r="H293" s="60" t="n">
        <f aca="false">IF(AND(G292&lt;0,H292&gt;=0),G$47+(-G292)/H291,0)</f>
        <v>0</v>
      </c>
      <c r="I293" s="60" t="n">
        <f aca="false">IF(AND(H292&lt;0,I292&gt;=0),H$47+(-H292)/I291,0)</f>
        <v>0</v>
      </c>
      <c r="J293" s="60" t="n">
        <f aca="false">IF(AND(I292&lt;0,J292&gt;=0),I$47+(-I292)/J291,0)</f>
        <v>0</v>
      </c>
      <c r="K293" s="60" t="n">
        <f aca="false">IF(AND(J292&lt;0,K292&gt;=0),J$47+(-J292)/K291,0)</f>
        <v>8.47969120776537</v>
      </c>
      <c r="L293" s="60" t="n">
        <f aca="false">IF(AND(K292&lt;0,L292&gt;=0),K$47+(-K292)/L291,0)</f>
        <v>0</v>
      </c>
    </row>
    <row r="294" customFormat="false" ht="15" hidden="true" customHeight="false" outlineLevel="1" collapsed="false">
      <c r="A294" s="9" t="s">
        <v>430</v>
      </c>
      <c r="B294" s="58" t="n">
        <f aca="false">IF(B$47&lt;0,0,(Quesería!$B$44*$B$269*$B$266)*(1-MAX(0,MIN(B$47-0-Quesería!$B$47,(Quesería!$B$46-Quesería!$B$47)))/(Quesería!$B$46-Quesería!$B$47))*IF(B$47&gt;=2,1-Quesería!$B$48,1))+IF(B$47&lt;1,0,(Quesería!$B$44*$C$269*$C$266)*(1-MAX(0,MIN(B$47-1-Quesería!$B$47,(Quesería!$B$46-Quesería!$B$47)))/(Quesería!$B$46-Quesería!$B$47))*IF(B$47&gt;=2,1-Quesería!$B$48,1))</f>
        <v>641.321364968425</v>
      </c>
      <c r="C294" s="58" t="n">
        <f aca="false">IF(C$47&lt;0,0,(Quesería!$B$44*$B$269*$B$266)*(1-MAX(0,MIN(C$47-0-Quesería!$B$47,(Quesería!$B$46-Quesería!$B$47)))/(Quesería!$B$46-Quesería!$B$47))*IF(C$47&gt;=2,1-Quesería!$B$48,1))+IF(C$47&lt;1,0,(Quesería!$B$44*$C$269*$C$266)*(1-MAX(0,MIN(C$47-1-Quesería!$B$47,(Quesería!$B$46-Quesería!$B$47)))/(Quesería!$B$46-Quesería!$B$47))*IF(C$47&gt;=2,1-Quesería!$B$48,1))</f>
        <v>1117.69081125409</v>
      </c>
      <c r="D294" s="58" t="n">
        <f aca="false">IF(D$47&lt;0,0,(Quesería!$B$44*$B$269*$B$266)*(1-MAX(0,MIN(D$47-0-Quesería!$B$47,(Quesería!$B$46-Quesería!$B$47)))/(Quesería!$B$46-Quesería!$B$47))*IF(D$47&gt;=2,1-Quesería!$B$48,1))+IF(D$47&lt;1,0,(Quesería!$B$44*$C$269*$C$266)*(1-MAX(0,MIN(D$47-1-Quesería!$B$47,(Quesería!$B$46-Quesería!$B$47)))/(Quesería!$B$46-Quesería!$B$47))*IF(D$47&gt;=2,1-Quesería!$B$48,1))</f>
        <v>1010.80391709269</v>
      </c>
      <c r="E294" s="58" t="n">
        <f aca="false">IF(E$47&lt;0,0,(Quesería!$B$44*$B$269*$B$266)*(1-MAX(0,MIN(E$47-0-Quesería!$B$47,(Quesería!$B$46-Quesería!$B$47)))/(Quesería!$B$46-Quesería!$B$47))*IF(E$47&gt;=2,1-Quesería!$B$48,1))+IF(E$47&lt;1,0,(Quesería!$B$44*$C$269*$C$266)*(1-MAX(0,MIN(E$47-1-Quesería!$B$47,(Quesería!$B$46-Quesería!$B$47)))/(Quesería!$B$46-Quesería!$B$47))*IF(E$47&gt;=2,1-Quesería!$B$48,1))</f>
        <v>824.522115217005</v>
      </c>
      <c r="F294" s="58" t="n">
        <f aca="false">IF(F$47&lt;0,0,(Quesería!$B$44*$B$269*$B$266)*(1-MAX(0,MIN(F$47-0-Quesería!$B$47,(Quesería!$B$46-Quesería!$B$47)))/(Quesería!$B$46-Quesería!$B$47))*IF(F$47&gt;=2,1-Quesería!$B$48,1))+IF(F$47&lt;1,0,(Quesería!$B$44*$C$269*$C$266)*(1-MAX(0,MIN(F$47-1-Quesería!$B$47,(Quesería!$B$46-Quesería!$B$47)))/(Quesería!$B$46-Quesería!$B$47))*IF(F$47&gt;=2,1-Quesería!$B$48,1))</f>
        <v>638.240313341323</v>
      </c>
      <c r="G294" s="58" t="n">
        <f aca="false">IF(G$47&lt;0,0,(Quesería!$B$44*$B$269*$B$266)*(1-MAX(0,MIN(G$47-0-Quesería!$B$47,(Quesería!$B$46-Quesería!$B$47)))/(Quesería!$B$46-Quesería!$B$47))*IF(G$47&gt;=2,1-Quesería!$B$48,1))+IF(G$47&lt;1,0,(Quesería!$B$44*$C$269*$C$266)*(1-MAX(0,MIN(G$47-1-Quesería!$B$47,(Quesería!$B$46-Quesería!$B$47)))/(Quesería!$B$46-Quesería!$B$47))*IF(G$47&gt;=2,1-Quesería!$B$48,1))</f>
        <v>451.958511465641</v>
      </c>
      <c r="H294" s="58" t="n">
        <f aca="false">IF(H$47&lt;0,0,(Quesería!$B$44*$B$269*$B$266)*(1-MAX(0,MIN(H$47-0-Quesería!$B$47,(Quesería!$B$46-Quesería!$B$47)))/(Quesería!$B$46-Quesería!$B$47))*IF(H$47&gt;=2,1-Quesería!$B$48,1))+IF(H$47&lt;1,0,(Quesería!$B$44*$C$269*$C$266)*(1-MAX(0,MIN(H$47-1-Quesería!$B$47,(Quesería!$B$46-Quesería!$B$47)))/(Quesería!$B$46-Quesería!$B$47))*IF(H$47&gt;=2,1-Quesería!$B$48,1))</f>
        <v>265.67670958996</v>
      </c>
      <c r="I294" s="58" t="n">
        <f aca="false">IF(I$47&lt;0,0,(Quesería!$B$44*$B$269*$B$266)*(1-MAX(0,MIN(I$47-0-Quesería!$B$47,(Quesería!$B$46-Quesería!$B$47)))/(Quesería!$B$46-Quesería!$B$47))*IF(I$47&gt;=2,1-Quesería!$B$48,1))+IF(I$47&lt;1,0,(Quesería!$B$44*$C$269*$C$266)*(1-MAX(0,MIN(I$47-1-Quesería!$B$47,(Quesería!$B$46-Quesería!$B$47)))/(Quesería!$B$46-Quesería!$B$47))*IF(I$47&gt;=2,1-Quesería!$B$48,1))</f>
        <v>79.3949077142776</v>
      </c>
      <c r="J294" s="58" t="n">
        <f aca="false">IF(J$47&lt;0,0,(Quesería!$B$44*$B$269*$B$266)*(1-MAX(0,MIN(J$47-0-Quesería!$B$47,(Quesería!$B$46-Quesería!$B$47)))/(Quesería!$B$46-Quesería!$B$47))*IF(J$47&gt;=2,1-Quesería!$B$48,1))+IF(J$47&lt;1,0,(Quesería!$B$44*$C$269*$C$266)*(1-MAX(0,MIN(J$47-1-Quesería!$B$47,(Quesería!$B$46-Quesería!$B$47)))/(Quesería!$B$46-Quesería!$B$47))*IF(J$47&gt;=2,1-Quesería!$B$48,1))</f>
        <v>0</v>
      </c>
      <c r="K294" s="58" t="n">
        <f aca="false">IF(K$47&lt;0,0,(Quesería!$B$44*$B$269*$B$266)*(1-MAX(0,MIN(K$47-0-Quesería!$B$47,(Quesería!$B$46-Quesería!$B$47)))/(Quesería!$B$46-Quesería!$B$47))*IF(K$47&gt;=2,1-Quesería!$B$48,1))+IF(K$47&lt;1,0,(Quesería!$B$44*$C$269*$C$266)*(1-MAX(0,MIN(K$47-1-Quesería!$B$47,(Quesería!$B$46-Quesería!$B$47)))/(Quesería!$B$46-Quesería!$B$47))*IF(K$47&gt;=2,1-Quesería!$B$48,1))</f>
        <v>0</v>
      </c>
      <c r="L294" s="58" t="n">
        <f aca="false">IF(L$47&lt;0,0,(Quesería!$B$44*$B$269*$B$266)*(1-MAX(0,MIN(L$47-0-Quesería!$B$47,(Quesería!$B$46-Quesería!$B$47)))/(Quesería!$B$46-Quesería!$B$47))*IF(L$47&gt;=2,1-Quesería!$B$48,1))+IF(L$47&lt;1,0,(Quesería!$B$44*$C$269*$C$266)*(1-MAX(0,MIN(L$47-1-Quesería!$B$47,(Quesería!$B$46-Quesería!$B$47)))/(Quesería!$B$46-Quesería!$B$47))*IF(L$47&gt;=2,1-Quesería!$B$48,1))</f>
        <v>0</v>
      </c>
    </row>
    <row r="295" customFormat="false" ht="15" hidden="true" customHeight="false" outlineLevel="1" collapsed="false">
      <c r="A295" s="6" t="s">
        <v>431</v>
      </c>
      <c r="B295" s="29" t="n">
        <f aca="false">Quesería!$B$44*B269</f>
        <v>605.02015563059</v>
      </c>
      <c r="C295" s="29" t="n">
        <f aca="false">Quesería!$B$44*C269</f>
        <v>428.004893338424</v>
      </c>
      <c r="D295" s="29" t="n">
        <f aca="false">Quesería!$B$44*D269</f>
        <v>0</v>
      </c>
      <c r="E295" s="29" t="n">
        <f aca="false">Quesería!$B$44*E269</f>
        <v>0</v>
      </c>
      <c r="F295" s="29" t="n">
        <f aca="false">Quesería!$B$44*F269</f>
        <v>0</v>
      </c>
      <c r="G295" s="29" t="n">
        <f aca="false">Quesería!$B$44*G269</f>
        <v>0</v>
      </c>
      <c r="H295" s="29" t="n">
        <f aca="false">Quesería!$B$44*H269</f>
        <v>0</v>
      </c>
      <c r="I295" s="29" t="n">
        <f aca="false">Quesería!$B$44*I269</f>
        <v>0</v>
      </c>
      <c r="J295" s="29" t="n">
        <f aca="false">Quesería!$B$44*J269</f>
        <v>0</v>
      </c>
      <c r="K295" s="29" t="n">
        <f aca="false">Quesería!$B$44*K269</f>
        <v>0</v>
      </c>
      <c r="L295" s="29" t="n">
        <f aca="false">Quesería!$B$44*L269</f>
        <v>0</v>
      </c>
    </row>
    <row r="296" customFormat="false" ht="15" hidden="true" customHeight="false" outlineLevel="1" collapsed="false">
      <c r="A296" s="6" t="s">
        <v>432</v>
      </c>
      <c r="B296" s="29" t="n">
        <f aca="false">(IF(AND(B$47&gt;0,B$47&lt;=0+Quesería!$B$46),($G$14+$G$28)*(Quesería!$B$44*$B$269*$B$266)*(1-MAX(0,MIN((B$47-1)-0-Quesería!$B$47,(Quesería!$B$46-Quesería!$B$47)))/(Quesería!$B$46-Quesería!$B$47))*IF(B$47&gt;2,1-Quesería!$B$48,1),0)+IF(AND(B$47&gt;1,B$47&lt;=1+Quesería!$B$46),($G$14+$G$28)*(Quesería!$B$44*$C$269*$C$266)*(1-MAX(0,MIN((B$47-1)-1-Quesería!$B$47,(Quesería!$B$46-Quesería!$B$47)))/(Quesería!$B$46-Quesería!$B$47))*IF(B$47&gt;2,1-Quesería!$B$48,1),0))*B268</f>
        <v>0</v>
      </c>
      <c r="C296" s="29" t="n">
        <f aca="false">(IF(AND(C$47&gt;0,C$47&lt;=0+Quesería!$B$46),($G$14+$G$28)*(Quesería!$B$44*$B$269*$B$266)*(1-MAX(0,MIN((C$47-1)-0-Quesería!$B$47,(Quesería!$B$46-Quesería!$B$47)))/(Quesería!$B$46-Quesería!$B$47))*IF(C$47&gt;2,1-Quesería!$B$48,1),0)+IF(AND(C$47&gt;1,C$47&lt;=1+Quesería!$B$46),($G$14+$G$28)*(Quesería!$B$44*$C$269*$C$266)*(1-MAX(0,MIN((C$47-1)-1-Quesería!$B$47,(Quesería!$B$46-Quesería!$B$47)))/(Quesería!$B$46-Quesería!$B$47))*IF(C$47&gt;2,1-Quesería!$B$48,1),0))*C268</f>
        <v>81.2455637561078</v>
      </c>
      <c r="D296" s="29" t="n">
        <f aca="false">(IF(AND(D$47&gt;0,D$47&lt;=0+Quesería!$B$46),($G$14+$G$28)*(Quesería!$B$44*$B$269*$B$266)*(1-MAX(0,MIN((D$47-1)-0-Quesería!$B$47,(Quesería!$B$46-Quesería!$B$47)))/(Quesería!$B$46-Quesería!$B$47))*IF(D$47&gt;2,1-Quesería!$B$48,1),0)+IF(AND(D$47&gt;1,D$47&lt;=1+Quesería!$B$46),($G$14+$G$28)*(Quesería!$B$44*$C$269*$C$266)*(1-MAX(0,MIN((D$47-1)-1-Quesería!$B$47,(Quesería!$B$46-Quesería!$B$47)))/(Quesería!$B$46-Quesería!$B$47))*IF(D$47&gt;2,1-Quesería!$B$48,1),0))*D268</f>
        <v>135.496893508924</v>
      </c>
      <c r="E296" s="29" t="n">
        <f aca="false">(IF(AND(E$47&gt;0,E$47&lt;=0+Quesería!$B$46),($G$14+$G$28)*(Quesería!$B$44*$B$269*$B$266)*(1-MAX(0,MIN((E$47-1)-0-Quesería!$B$47,(Quesería!$B$46-Quesería!$B$47)))/(Quesería!$B$46-Quesería!$B$47))*IF(E$47&gt;2,1-Quesería!$B$48,1),0)+IF(AND(E$47&gt;1,E$47&lt;=1+Quesería!$B$46),($G$14+$G$28)*(Quesería!$B$44*$C$269*$C$266)*(1-MAX(0,MIN((E$47-1)-1-Quesería!$B$47,(Quesería!$B$46-Quesería!$B$47)))/(Quesería!$B$46-Quesería!$B$47))*IF(E$47&gt;2,1-Quesería!$B$48,1),0))*E268</f>
        <v>117.826027258135</v>
      </c>
      <c r="F296" s="29" t="n">
        <f aca="false">(IF(AND(F$47&gt;0,F$47&lt;=0+Quesería!$B$46),($G$14+$G$28)*(Quesería!$B$44*$B$269*$B$266)*(1-MAX(0,MIN((F$47-1)-0-Quesería!$B$47,(Quesería!$B$46-Quesería!$B$47)))/(Quesería!$B$46-Quesería!$B$47))*IF(F$47&gt;2,1-Quesería!$B$48,1),0)+IF(AND(F$47&gt;1,F$47&lt;=1+Quesería!$B$46),($G$14+$G$28)*(Quesería!$B$44*$C$269*$C$266)*(1-MAX(0,MIN((F$47-1)-1-Quesería!$B$47,(Quesería!$B$46-Quesería!$B$47)))/(Quesería!$B$46-Quesería!$B$47))*IF(F$47&gt;2,1-Quesería!$B$48,1),0))*F268</f>
        <v>92.4151745225957</v>
      </c>
      <c r="G296" s="29" t="n">
        <f aca="false">(IF(AND(G$47&gt;0,G$47&lt;=0+Quesería!$B$46),($G$14+$G$28)*(Quesería!$B$44*$B$269*$B$266)*(1-MAX(0,MIN((G$47-1)-0-Quesería!$B$47,(Quesería!$B$46-Quesería!$B$47)))/(Quesería!$B$46-Quesería!$B$47))*IF(G$47&gt;2,1-Quesería!$B$48,1),0)+IF(AND(G$47&gt;1,G$47&lt;=1+Quesería!$B$46),($G$14+$G$28)*(Quesería!$B$44*$C$269*$C$266)*(1-MAX(0,MIN((G$47-1)-1-Quesería!$B$47,(Quesería!$B$46-Quesería!$B$47)))/(Quesería!$B$46-Quesería!$B$47))*IF(G$47&gt;2,1-Quesería!$B$48,1),0))*G268</f>
        <v>68.7847039098228</v>
      </c>
      <c r="H296" s="29" t="n">
        <f aca="false">(IF(AND(H$47&gt;0,H$47&lt;=0+Quesería!$B$46),($G$14+$G$28)*(Quesería!$B$44*$B$269*$B$266)*(1-MAX(0,MIN((H$47-1)-0-Quesería!$B$47,(Quesería!$B$46-Quesería!$B$47)))/(Quesería!$B$46-Quesería!$B$47))*IF(H$47&gt;2,1-Quesería!$B$48,1),0)+IF(AND(H$47&gt;1,H$47&lt;=1+Quesería!$B$46),($G$14+$G$28)*(Quesería!$B$44*$C$269*$C$266)*(1-MAX(0,MIN((H$47-1)-1-Quesería!$B$47,(Quesería!$B$46-Quesería!$B$47)))/(Quesería!$B$46-Quesería!$B$47))*IF(H$47&gt;2,1-Quesería!$B$48,1),0))*H268</f>
        <v>46.8352529676735</v>
      </c>
      <c r="I296" s="29" t="n">
        <f aca="false">(IF(AND(I$47&gt;0,I$47&lt;=0+Quesería!$B$46),($G$14+$G$28)*(Quesería!$B$44*$B$269*$B$266)*(1-MAX(0,MIN((I$47-1)-0-Quesería!$B$47,(Quesería!$B$46-Quesería!$B$47)))/(Quesería!$B$46-Quesería!$B$47))*IF(I$47&gt;2,1-Quesería!$B$48,1),0)+IF(AND(I$47&gt;1,I$47&lt;=1+Quesería!$B$46),($G$14+$G$28)*(Quesería!$B$44*$C$269*$C$266)*(1-MAX(0,MIN((I$47-1)-1-Quesería!$B$47,(Quesería!$B$46-Quesería!$B$47)))/(Quesería!$B$46-Quesería!$B$47))*IF(I$47&gt;2,1-Quesería!$B$48,1),0))*I268</f>
        <v>26.4724688081898</v>
      </c>
      <c r="J296" s="29" t="n">
        <f aca="false">(IF(AND(J$47&gt;0,J$47&lt;=0+Quesería!$B$46),($G$14+$G$28)*(Quesería!$B$44*$B$269*$B$266)*(1-MAX(0,MIN((J$47-1)-0-Quesería!$B$47,(Quesería!$B$46-Quesería!$B$47)))/(Quesería!$B$46-Quesería!$B$47))*IF(J$47&gt;2,1-Quesería!$B$48,1),0)+IF(AND(J$47&gt;1,J$47&lt;=1+Quesería!$B$46),($G$14+$G$28)*(Quesería!$B$44*$C$269*$C$266)*(1-MAX(0,MIN((J$47-1)-1-Quesería!$B$47,(Quesería!$B$46-Quesería!$B$47)))/(Quesería!$B$46-Quesería!$B$47))*IF(J$47&gt;2,1-Quesería!$B$48,1),0))*J268</f>
        <v>7.60676974238282</v>
      </c>
      <c r="K296" s="29" t="n">
        <f aca="false">(IF(AND(K$47&gt;0,K$47&lt;=0+Quesería!$B$46),($G$14+$G$28)*(Quesería!$B$44*$B$269*$B$266)*(1-MAX(0,MIN((K$47-1)-0-Quesería!$B$47,(Quesería!$B$46-Quesería!$B$47)))/(Quesería!$B$46-Quesería!$B$47))*IF(K$47&gt;2,1-Quesería!$B$48,1),0)+IF(AND(K$47&gt;1,K$47&lt;=1+Quesería!$B$46),($G$14+$G$28)*(Quesería!$B$44*$C$269*$C$266)*(1-MAX(0,MIN((K$47-1)-1-Quesería!$B$47,(Quesería!$B$46-Quesería!$B$47)))/(Quesería!$B$46-Quesería!$B$47))*IF(K$47&gt;2,1-Quesería!$B$48,1),0))*K268</f>
        <v>0</v>
      </c>
      <c r="L296" s="29" t="n">
        <f aca="false">(IF(AND(L$47&gt;0,L$47&lt;=0+Quesería!$B$46),($G$14+$G$28)*(Quesería!$B$44*$B$269*$B$266)*(1-MAX(0,MIN((L$47-1)-0-Quesería!$B$47,(Quesería!$B$46-Quesería!$B$47)))/(Quesería!$B$46-Quesería!$B$47))*IF(L$47&gt;2,1-Quesería!$B$48,1),0)+IF(AND(L$47&gt;1,L$47&lt;=1+Quesería!$B$46),($G$14+$G$28)*(Quesería!$B$44*$C$269*$C$266)*(1-MAX(0,MIN((L$47-1)-1-Quesería!$B$47,(Quesería!$B$46-Quesería!$B$47)))/(Quesería!$B$46-Quesería!$B$47))*IF(L$47&gt;2,1-Quesería!$B$48,1),0))*L268</f>
        <v>0</v>
      </c>
    </row>
    <row r="297" customFormat="false" ht="15" hidden="true" customHeight="false" outlineLevel="1" collapsed="false">
      <c r="A297" s="6" t="s">
        <v>433</v>
      </c>
      <c r="B297" s="29" t="n">
        <f aca="false">((IF(AND(B$47&gt;0+Quesería!$B$47,B$47&lt;=0+Quesería!$B$46),(Quesería!$B$44*$B$269*$B$266)/(Quesería!$B$46-Quesería!$B$47),0)*IF(B$47&gt;2,1-Quesería!$B$48,1)+IF(B$47=2,Quesería!$B$48*(Quesería!$B$44*$B$269*$B$266)*(1-MAX(0,MIN(2-0-Quesería!$B$47,(Quesería!$B$46-Quesería!$B$47)))/(Quesería!$B$46-Quesería!$B$47)),0))+(IF(AND(B$47&gt;1+Quesería!$B$47,B$47&lt;=1+Quesería!$B$46),(Quesería!$B$44*$C$269*$C$266)/(Quesería!$B$46-Quesería!$B$47),0)*IF(B$47&gt;2,1-Quesería!$B$48,1)+IF(B$47=2,Quesería!$B$48*(Quesería!$B$44*$C$269*$C$266)*(1-MAX(0,MIN(2-1-Quesería!$B$47,(Quesería!$B$46-Quesería!$B$47)))/(Quesería!$B$46-Quesería!$B$47)),0)))*B268</f>
        <v>0</v>
      </c>
      <c r="C297" s="29" t="n">
        <f aca="false">((IF(AND(C$47&gt;0+Quesería!$B$47,C$47&lt;=0+Quesería!$B$46),(Quesería!$B$44*$B$269*$B$266)/(Quesería!$B$46-Quesería!$B$47),0)*IF(C$47&gt;2,1-Quesería!$B$48,1)+IF(C$47=2,Quesería!$B$48*(Quesería!$B$44*$B$269*$B$266)*(1-MAX(0,MIN(2-0-Quesería!$B$47,(Quesería!$B$46-Quesería!$B$47)))/(Quesería!$B$46-Quesería!$B$47)),0))+(IF(AND(C$47&gt;1+Quesería!$B$47,C$47&lt;=1+Quesería!$B$46),(Quesería!$B$44*$C$269*$C$266)/(Quesería!$B$46-Quesería!$B$47),0)*IF(C$47&gt;2,1-Quesería!$B$48,1)+IF(C$47=2,Quesería!$B$48*(Quesería!$B$44*$C$269*$C$266)*(1-MAX(0,MIN(2-1-Quesería!$B$47,(Quesería!$B$46-Quesería!$B$47)))/(Quesería!$B$46-Quesería!$B$47)),0)))*C268</f>
        <v>0</v>
      </c>
      <c r="D297" s="29" t="n">
        <f aca="false">((IF(AND(D$47&gt;0+Quesería!$B$47,D$47&lt;=0+Quesería!$B$46),(Quesería!$B$44*$B$269*$B$266)/(Quesería!$B$46-Quesería!$B$47),0)*IF(D$47&gt;2,1-Quesería!$B$48,1)+IF(D$47=2,Quesería!$B$48*(Quesería!$B$44*$B$269*$B$266)*(1-MAX(0,MIN(2-0-Quesería!$B$47,(Quesería!$B$46-Quesería!$B$47)))/(Quesería!$B$46-Quesería!$B$47)),0))+(IF(AND(D$47&gt;1+Quesería!$B$47,D$47&lt;=1+Quesería!$B$46),(Quesería!$B$44*$C$269*$C$266)/(Quesería!$B$46-Quesería!$B$47),0)*IF(D$47&gt;2,1-Quesería!$B$48,1)+IF(D$47=2,Quesería!$B$48*(Quesería!$B$44*$C$269*$C$266)*(1-MAX(0,MIN(2-1-Quesería!$B$47,(Quesería!$B$46-Quesería!$B$47)))/(Quesería!$B$46-Quesería!$B$47)),0)))*D268</f>
        <v>91.8994692231472</v>
      </c>
      <c r="E297" s="29" t="n">
        <f aca="false">((IF(AND(E$47&gt;0+Quesería!$B$47,E$47&lt;=0+Quesería!$B$46),(Quesería!$B$44*$B$269*$B$266)/(Quesería!$B$46-Quesería!$B$47),0)*IF(E$47&gt;2,1-Quesería!$B$48,1)+IF(E$47=2,Quesería!$B$48*(Quesería!$B$44*$B$269*$B$266)*(1-MAX(0,MIN(2-0-Quesería!$B$47,(Quesería!$B$46-Quesería!$B$47)))/(Quesería!$B$46-Quesería!$B$47)),0))+(IF(AND(E$47&gt;1+Quesería!$B$47,E$47&lt;=1+Quesería!$B$46),(Quesería!$B$44*$C$269*$C$266)/(Quesería!$B$46-Quesería!$B$47),0)*IF(E$47&gt;2,1-Quesería!$B$48,1)+IF(E$47=2,Quesería!$B$48*(Quesería!$B$44*$C$269*$C$266)*(1-MAX(0,MIN(2-1-Quesería!$B$47,(Quesería!$B$46-Quesería!$B$47)))/(Quesería!$B$46-Quesería!$B$47)),0)))*E268</f>
        <v>154.001742940676</v>
      </c>
      <c r="F297" s="29" t="n">
        <f aca="false">((IF(AND(F$47&gt;0+Quesería!$B$47,F$47&lt;=0+Quesería!$B$46),(Quesería!$B$44*$B$269*$B$266)/(Quesería!$B$46-Quesería!$B$47),0)*IF(F$47&gt;2,1-Quesería!$B$48,1)+IF(F$47=2,Quesería!$B$48*(Quesería!$B$44*$B$269*$B$266)*(1-MAX(0,MIN(2-0-Quesería!$B$47,(Quesería!$B$46-Quesería!$B$47)))/(Quesería!$B$46-Quesería!$B$47)),0))+(IF(AND(F$47&gt;1+Quesería!$B$47,F$47&lt;=1+Quesería!$B$46),(Quesería!$B$44*$C$269*$C$266)/(Quesería!$B$46-Quesería!$B$47),0)*IF(F$47&gt;2,1-Quesería!$B$48,1)+IF(F$47=2,Quesería!$B$48*(Quesería!$B$44*$C$269*$C$266)*(1-MAX(0,MIN(2-1-Quesería!$B$47,(Quesería!$B$46-Quesería!$B$47)))/(Quesería!$B$46-Quesería!$B$47)),0)))*F268</f>
        <v>148.078598981419</v>
      </c>
      <c r="G297" s="29" t="n">
        <f aca="false">((IF(AND(G$47&gt;0+Quesería!$B$47,G$47&lt;=0+Quesería!$B$46),(Quesería!$B$44*$B$269*$B$266)/(Quesería!$B$46-Quesería!$B$47),0)*IF(G$47&gt;2,1-Quesería!$B$48,1)+IF(G$47=2,Quesería!$B$48*(Quesería!$B$44*$B$269*$B$266)*(1-MAX(0,MIN(2-0-Quesería!$B$47,(Quesería!$B$46-Quesería!$B$47)))/(Quesería!$B$46-Quesería!$B$47)),0))+(IF(AND(G$47&gt;1+Quesería!$B$47,G$47&lt;=1+Quesería!$B$46),(Quesería!$B$44*$C$269*$C$266)/(Quesería!$B$46-Quesería!$B$47),0)*IF(G$47&gt;2,1-Quesería!$B$48,1)+IF(G$47=2,Quesería!$B$48*(Quesería!$B$44*$C$269*$C$266)*(1-MAX(0,MIN(2-1-Quesería!$B$47,(Quesería!$B$46-Quesería!$B$47)))/(Quesería!$B$46-Quesería!$B$47)),0)))*G268</f>
        <v>142.383268251364</v>
      </c>
      <c r="H297" s="29" t="n">
        <f aca="false">((IF(AND(H$47&gt;0+Quesería!$B$47,H$47&lt;=0+Quesería!$B$46),(Quesería!$B$44*$B$269*$B$266)/(Quesería!$B$46-Quesería!$B$47),0)*IF(H$47&gt;2,1-Quesería!$B$48,1)+IF(H$47=2,Quesería!$B$48*(Quesería!$B$44*$B$269*$B$266)*(1-MAX(0,MIN(2-0-Quesería!$B$47,(Quesería!$B$46-Quesería!$B$47)))/(Quesería!$B$46-Quesería!$B$47)),0))+(IF(AND(H$47&gt;1+Quesería!$B$47,H$47&lt;=1+Quesería!$B$46),(Quesería!$B$44*$C$269*$C$266)/(Quesería!$B$46-Quesería!$B$47),0)*IF(H$47&gt;2,1-Quesería!$B$48,1)+IF(H$47=2,Quesería!$B$48*(Quesería!$B$44*$C$269*$C$266)*(1-MAX(0,MIN(2-1-Quesería!$B$47,(Quesería!$B$46-Quesería!$B$47)))/(Quesería!$B$46-Quesería!$B$47)),0)))*H268</f>
        <v>136.906988703235</v>
      </c>
      <c r="I297" s="29" t="n">
        <f aca="false">((IF(AND(I$47&gt;0+Quesería!$B$47,I$47&lt;=0+Quesería!$B$46),(Quesería!$B$44*$B$269*$B$266)/(Quesería!$B$46-Quesería!$B$47),0)*IF(I$47&gt;2,1-Quesería!$B$48,1)+IF(I$47=2,Quesería!$B$48*(Quesería!$B$44*$B$269*$B$266)*(1-MAX(0,MIN(2-0-Quesería!$B$47,(Quesería!$B$46-Quesería!$B$47)))/(Quesería!$B$46-Quesería!$B$47)),0))+(IF(AND(I$47&gt;1+Quesería!$B$47,I$47&lt;=1+Quesería!$B$46),(Quesería!$B$44*$C$269*$C$266)/(Quesería!$B$46-Quesería!$B$47),0)*IF(I$47&gt;2,1-Quesería!$B$48,1)+IF(I$47=2,Quesería!$B$48*(Quesería!$B$44*$C$269*$C$266)*(1-MAX(0,MIN(2-1-Quesería!$B$47,(Quesería!$B$46-Quesería!$B$47)))/(Quesería!$B$46-Quesería!$B$47)),0)))*I268</f>
        <v>131.641335291572</v>
      </c>
      <c r="J297" s="29" t="n">
        <f aca="false">((IF(AND(J$47&gt;0+Quesería!$B$47,J$47&lt;=0+Quesería!$B$46),(Quesería!$B$44*$B$269*$B$266)/(Quesería!$B$46-Quesería!$B$47),0)*IF(J$47&gt;2,1-Quesería!$B$48,1)+IF(J$47=2,Quesería!$B$48*(Quesería!$B$44*$B$269*$B$266)*(1-MAX(0,MIN(2-0-Quesería!$B$47,(Quesería!$B$46-Quesería!$B$47)))/(Quesería!$B$46-Quesería!$B$47)),0))+(IF(AND(J$47&gt;1+Quesería!$B$47,J$47&lt;=1+Quesería!$B$46),(Quesería!$B$44*$C$269*$C$266)/(Quesería!$B$46-Quesería!$B$47),0)*IF(J$47&gt;2,1-Quesería!$B$48,1)+IF(J$47=2,Quesería!$B$48*(Quesería!$B$44*$C$269*$C$266)*(1-MAX(0,MIN(2-1-Quesería!$B$47,(Quesería!$B$46-Quesería!$B$47)))/(Quesería!$B$46-Quesería!$B$47)),0)))*J268</f>
        <v>53.9487215771831</v>
      </c>
      <c r="K297" s="29" t="n">
        <f aca="false">((IF(AND(K$47&gt;0+Quesería!$B$47,K$47&lt;=0+Quesería!$B$46),(Quesería!$B$44*$B$269*$B$266)/(Quesería!$B$46-Quesería!$B$47),0)*IF(K$47&gt;2,1-Quesería!$B$48,1)+IF(K$47=2,Quesería!$B$48*(Quesería!$B$44*$B$269*$B$266)*(1-MAX(0,MIN(2-0-Quesería!$B$47,(Quesería!$B$46-Quesería!$B$47)))/(Quesería!$B$46-Quesería!$B$47)),0))+(IF(AND(K$47&gt;1+Quesería!$B$47,K$47&lt;=1+Quesería!$B$46),(Quesería!$B$44*$C$269*$C$266)/(Quesería!$B$46-Quesería!$B$47),0)*IF(K$47&gt;2,1-Quesería!$B$48,1)+IF(K$47=2,Quesería!$B$48*(Quesería!$B$44*$C$269*$C$266)*(1-MAX(0,MIN(2-1-Quesería!$B$47,(Quesería!$B$46-Quesería!$B$47)))/(Quesería!$B$46-Quesería!$B$47)),0)))*K268</f>
        <v>0</v>
      </c>
      <c r="L297" s="29" t="n">
        <f aca="false">((IF(AND(L$47&gt;0+Quesería!$B$47,L$47&lt;=0+Quesería!$B$46),(Quesería!$B$44*$B$269*$B$266)/(Quesería!$B$46-Quesería!$B$47),0)*IF(L$47&gt;2,1-Quesería!$B$48,1)+IF(L$47=2,Quesería!$B$48*(Quesería!$B$44*$B$269*$B$266)*(1-MAX(0,MIN(2-0-Quesería!$B$47,(Quesería!$B$46-Quesería!$B$47)))/(Quesería!$B$46-Quesería!$B$47)),0))+(IF(AND(L$47&gt;1+Quesería!$B$47,L$47&lt;=1+Quesería!$B$46),(Quesería!$B$44*$C$269*$C$266)/(Quesería!$B$46-Quesería!$B$47),0)*IF(L$47&gt;2,1-Quesería!$B$48,1)+IF(L$47=2,Quesería!$B$48*(Quesería!$B$44*$C$269*$C$266)*(1-MAX(0,MIN(2-1-Quesería!$B$47,(Quesería!$B$46-Quesería!$B$47)))/(Quesería!$B$46-Quesería!$B$47)),0)))*L268</f>
        <v>0</v>
      </c>
    </row>
    <row r="298" customFormat="false" ht="15" hidden="true" customHeight="false" outlineLevel="1" collapsed="false">
      <c r="A298" s="6" t="s">
        <v>434</v>
      </c>
      <c r="B298" s="29" t="n">
        <f aca="false">$G$13*Quesería!$B$51*(1+0.19)*B294*B268+(1-$G$13)*IF(B$47=0,Quesería!$B$50,0)</f>
        <v>4</v>
      </c>
      <c r="C298" s="29" t="n">
        <f aca="false">$G$13*Quesería!$B$51*(1+0.19)*C294*C268+(1-$G$13)*IF(C$47=0,Quesería!$B$50,0)</f>
        <v>0</v>
      </c>
      <c r="D298" s="29" t="n">
        <f aca="false">$G$13*Quesería!$B$51*(1+0.19)*D294*D268+(1-$G$13)*IF(D$47=0,Quesería!$B$50,0)</f>
        <v>0</v>
      </c>
      <c r="E298" s="29" t="n">
        <f aca="false">$G$13*Quesería!$B$51*(1+0.19)*E294*E268+(1-$G$13)*IF(E$47=0,Quesería!$B$50,0)</f>
        <v>0</v>
      </c>
      <c r="F298" s="29" t="n">
        <f aca="false">$G$13*Quesería!$B$51*(1+0.19)*F294*F268+(1-$G$13)*IF(F$47=0,Quesería!$B$50,0)</f>
        <v>0</v>
      </c>
      <c r="G298" s="29" t="n">
        <f aca="false">$G$13*Quesería!$B$51*(1+0.19)*G294*G268+(1-$G$13)*IF(G$47=0,Quesería!$B$50,0)</f>
        <v>0</v>
      </c>
      <c r="H298" s="29" t="n">
        <f aca="false">$G$13*Quesería!$B$51*(1+0.19)*H294*H268+(1-$G$13)*IF(H$47=0,Quesería!$B$50,0)</f>
        <v>0</v>
      </c>
      <c r="I298" s="29" t="n">
        <f aca="false">$G$13*Quesería!$B$51*(1+0.19)*I294*I268+(1-$G$13)*IF(I$47=0,Quesería!$B$50,0)</f>
        <v>0</v>
      </c>
      <c r="J298" s="29" t="n">
        <f aca="false">$G$13*Quesería!$B$51*(1+0.19)*J294*J268+(1-$G$13)*IF(J$47=0,Quesería!$B$50,0)</f>
        <v>0</v>
      </c>
      <c r="K298" s="29" t="n">
        <f aca="false">$G$13*Quesería!$B$51*(1+0.19)*K294*K268+(1-$G$13)*IF(K$47=0,Quesería!$B$50,0)</f>
        <v>0</v>
      </c>
      <c r="L298" s="29" t="n">
        <f aca="false">$G$13*Quesería!$B$51*(1+0.19)*L294*L268+(1-$G$13)*IF(L$47=0,Quesería!$B$50,0)</f>
        <v>0</v>
      </c>
    </row>
    <row r="299" customFormat="false" ht="15" hidden="true" customHeight="false" outlineLevel="1" collapsed="false">
      <c r="A299" s="6" t="s">
        <v>435</v>
      </c>
      <c r="B299" s="29" t="n">
        <f aca="false">Quesería!$B$52*(B296+B297+B298)</f>
        <v>0.016</v>
      </c>
      <c r="C299" s="29" t="n">
        <f aca="false">Quesería!$B$52*(C296+C297+C298)</f>
        <v>0.324982255024431</v>
      </c>
      <c r="D299" s="29" t="n">
        <f aca="false">Quesería!$B$52*(D296+D297+D298)</f>
        <v>0.909585450928285</v>
      </c>
      <c r="E299" s="29" t="n">
        <f aca="false">Quesería!$B$52*(E296+E297+E298)</f>
        <v>1.08731108079524</v>
      </c>
      <c r="F299" s="29" t="n">
        <f aca="false">Quesería!$B$52*(F296+F297+F298)</f>
        <v>0.961975094016058</v>
      </c>
      <c r="G299" s="29" t="n">
        <f aca="false">Quesería!$B$52*(G296+G297+G298)</f>
        <v>0.844671888644748</v>
      </c>
      <c r="H299" s="29" t="n">
        <f aca="false">Quesería!$B$52*(H296+H297+H298)</f>
        <v>0.734968966683633</v>
      </c>
      <c r="I299" s="29" t="n">
        <f aca="false">Quesería!$B$52*(I296+I297+I298)</f>
        <v>0.632455216399047</v>
      </c>
      <c r="J299" s="29" t="n">
        <f aca="false">Quesería!$B$52*(J296+J297+J298)</f>
        <v>0.246221965278264</v>
      </c>
      <c r="K299" s="29" t="n">
        <f aca="false">Quesería!$B$52*(K296+K297+K298)</f>
        <v>0</v>
      </c>
      <c r="L299" s="29" t="n">
        <f aca="false">Quesería!$B$52*(L296+L297+L298)</f>
        <v>0</v>
      </c>
    </row>
    <row r="300" customFormat="false" ht="15" hidden="true" customHeight="false" outlineLevel="1" collapsed="false">
      <c r="A300" s="6" t="s">
        <v>436</v>
      </c>
      <c r="B300" s="29" t="n">
        <f aca="false">$G$17*(B296+B298+0.5*B299)</f>
        <v>1.4028</v>
      </c>
      <c r="C300" s="29" t="n">
        <f aca="false">$G$17*(C296+C298+0.5*C299)</f>
        <v>28.492819209267</v>
      </c>
      <c r="D300" s="29" t="n">
        <f aca="false">$G$17*(D296+D298+0.5*D299)</f>
        <v>47.5830901820358</v>
      </c>
      <c r="E300" s="29" t="n">
        <f aca="false">$G$17*(E296+E298+0.5*E299)</f>
        <v>41.4293889794864</v>
      </c>
      <c r="F300" s="29" t="n">
        <f aca="false">$G$17*(F296+F298+0.5*F299)</f>
        <v>32.5136567243613</v>
      </c>
      <c r="G300" s="29" t="n">
        <f aca="false">$G$17*(G296+G298+0.5*G299)</f>
        <v>24.2224639489508</v>
      </c>
      <c r="H300" s="29" t="n">
        <f aca="false">$G$17*(H296+H298+0.5*H299)</f>
        <v>16.5209581078554</v>
      </c>
      <c r="I300" s="29" t="n">
        <f aca="false">$G$17*(I296+I298+0.5*I299)</f>
        <v>9.37604374573625</v>
      </c>
      <c r="J300" s="29" t="n">
        <f aca="false">$G$17*(J296+J298+0.5*J299)</f>
        <v>2.70545825375768</v>
      </c>
      <c r="K300" s="29" t="n">
        <f aca="false">$G$17*(K296+K298+0.5*K299)</f>
        <v>0</v>
      </c>
      <c r="L300" s="29" t="n">
        <f aca="false">$G$17*(L296+L298+0.5*L299)</f>
        <v>0</v>
      </c>
    </row>
    <row r="301" customFormat="false" ht="15" hidden="true" customHeight="false" outlineLevel="1" collapsed="false">
      <c r="A301" s="5" t="s">
        <v>437</v>
      </c>
      <c r="B301" s="59" t="n">
        <f aca="false">B286+B295-B296-B297-B298-B299+B300</f>
        <v>-372.991811095888</v>
      </c>
      <c r="C301" s="59" t="n">
        <f aca="false">C286+C295-C296-C297-C298-C299+C300</f>
        <v>-48.2385551366993</v>
      </c>
      <c r="D301" s="59" t="n">
        <f aca="false">D286+D295-D296-D297-D298-D299+D300</f>
        <v>233.967875799927</v>
      </c>
      <c r="E301" s="59" t="n">
        <f aca="false">E286+E295-E296-E297-E298-E299+E300</f>
        <v>27.1263621510338</v>
      </c>
      <c r="F301" s="59" t="n">
        <f aca="false">F286+F295-F296-F297-F298-F299+F300</f>
        <v>78.5520776048866</v>
      </c>
      <c r="G301" s="59" t="n">
        <f aca="false">G286+G295-G296-G297-G298-G299+G300</f>
        <v>65.3101258629069</v>
      </c>
      <c r="H301" s="59" t="n">
        <f aca="false">H286+H295-H296-H297-H298-H299+H300</f>
        <v>63.5776735310676</v>
      </c>
      <c r="I301" s="59" t="n">
        <f aca="false">I286+I295-I296-I297-I298-I299+I300</f>
        <v>142.755365662093</v>
      </c>
      <c r="J301" s="59" t="n">
        <f aca="false">J286+J295-J296-J297-J298-J299+J300</f>
        <v>223.120988171956</v>
      </c>
      <c r="K301" s="59" t="n">
        <f aca="false">K286+K295-K296-K297-K298-K299+K300</f>
        <v>280.846106686841</v>
      </c>
      <c r="L301" s="59" t="n">
        <f aca="false">L286+L295-L296-L297-L298-L299+L300</f>
        <v>475.530698329445</v>
      </c>
    </row>
    <row r="302" customFormat="false" ht="15" hidden="true" customHeight="false" outlineLevel="1" collapsed="false">
      <c r="A302" s="9" t="s">
        <v>438</v>
      </c>
      <c r="B302" s="58" t="n">
        <f aca="false">B301*B266</f>
        <v>-395.371319761641</v>
      </c>
      <c r="C302" s="58" t="n">
        <f aca="false">C301*C266</f>
        <v>-53.6895118671463</v>
      </c>
      <c r="D302" s="58" t="n">
        <f aca="false">D301*D266</f>
        <v>272.124526824758</v>
      </c>
      <c r="E302" s="58" t="n">
        <f aca="false">E301*E266</f>
        <v>32.8122755193325</v>
      </c>
      <c r="F302" s="58" t="n">
        <f aca="false">F301*F266</f>
        <v>98.8179430246556</v>
      </c>
      <c r="G302" s="58" t="n">
        <f aca="false">G301*G266</f>
        <v>85.4460504796939</v>
      </c>
      <c r="H302" s="58" t="n">
        <f aca="false">H301*H266</f>
        <v>86.5066399941297</v>
      </c>
      <c r="I302" s="58" t="n">
        <f aca="false">I301*I266</f>
        <v>202.008941067458</v>
      </c>
      <c r="J302" s="58" t="n">
        <f aca="false">J301*J266</f>
        <v>328.361261344941</v>
      </c>
      <c r="K302" s="58" t="n">
        <f aca="false">K301*K266</f>
        <v>429.846344329619</v>
      </c>
      <c r="L302" s="58" t="n">
        <f aca="false">L301*L266</f>
        <v>756.931759150927</v>
      </c>
    </row>
    <row r="303" customFormat="false" ht="15" hidden="true" customHeight="false" outlineLevel="1" collapsed="false">
      <c r="A303" s="9" t="s">
        <v>439</v>
      </c>
      <c r="B303" s="57" t="n">
        <f aca="false">(B266/$B$266)/(1+Quesería!$B$11+$G$28)^B$47</f>
        <v>1</v>
      </c>
      <c r="C303" s="57" t="n">
        <f aca="false">(C266/$B$266)/(1+Quesería!$B$11+$G$28)^C$47</f>
        <v>0.84</v>
      </c>
      <c r="D303" s="57" t="n">
        <f aca="false">(D266/$B$266)/(1+Quesería!$B$11+$G$28)^D$47</f>
        <v>0.70224</v>
      </c>
      <c r="E303" s="57" t="n">
        <f aca="false">(E266/$B$266)/(1+Quesería!$B$11+$G$28)^E$47</f>
        <v>0.58426368</v>
      </c>
      <c r="F303" s="57" t="n">
        <f aca="false">(F266/$B$266)/(1+Quesería!$B$11+$G$28)^F$47</f>
        <v>0.48610738176</v>
      </c>
      <c r="G303" s="57" t="n">
        <f aca="false">(G266/$B$266)/(1+Quesería!$B$11+$G$28)^G$47</f>
        <v>0.40444134162432</v>
      </c>
      <c r="H303" s="57" t="n">
        <f aca="false">(H266/$B$266)/(1+Quesería!$B$11+$G$28)^H$47</f>
        <v>0.336495196231434</v>
      </c>
      <c r="I303" s="57" t="n">
        <f aca="false">(I266/$B$266)/(1+Quesería!$B$11+$G$28)^I$47</f>
        <v>0.279964003264553</v>
      </c>
      <c r="J303" s="57" t="n">
        <f aca="false">(J266/$B$266)/(1+Quesería!$B$11+$G$28)^J$47</f>
        <v>0.232930050716108</v>
      </c>
      <c r="K303" s="57" t="n">
        <f aca="false">(K266/$B$266)/(1+Quesería!$B$11+$G$28)^K$47</f>
        <v>0.193797802195802</v>
      </c>
      <c r="L303" s="57" t="n">
        <f aca="false">(L266/$B$266)/(1+Quesería!$B$11+$G$28)^L$47</f>
        <v>0.161239771426907</v>
      </c>
    </row>
    <row r="304" customFormat="false" ht="15" hidden="true" customHeight="false" outlineLevel="1" collapsed="false">
      <c r="A304" s="9" t="s">
        <v>440</v>
      </c>
      <c r="B304" s="58" t="n">
        <f aca="false">B286+B269+B271+B300</f>
        <v>105.919944265376</v>
      </c>
      <c r="C304" s="58" t="n">
        <f aca="false">C286+C269+C271+C300</f>
        <v>388.905286878662</v>
      </c>
      <c r="D304" s="58" t="n">
        <f aca="false">D286+D269+D271+D300</f>
        <v>462.273823982926</v>
      </c>
      <c r="E304" s="58" t="n">
        <f aca="false">E286+E269+E271+E300</f>
        <v>300.041443430639</v>
      </c>
      <c r="F304" s="58" t="n">
        <f aca="false">F286+F269+F271+F300</f>
        <v>320.007826202917</v>
      </c>
      <c r="G304" s="58" t="n">
        <f aca="false">G286+G269+G271+G300</f>
        <v>282.541161193825</v>
      </c>
      <c r="H304" s="58" t="n">
        <f aca="false">H286+H269+H271+H300</f>
        <v>256.868823753741</v>
      </c>
      <c r="I304" s="58" t="n">
        <f aca="false">I286+I269+I271+I300</f>
        <v>301.501624978254</v>
      </c>
      <c r="J304" s="58" t="n">
        <f aca="false">J286+J269+J271+J300</f>
        <v>284.922701456801</v>
      </c>
      <c r="K304" s="58" t="n">
        <f aca="false">K286+K269+K271+K300</f>
        <v>280.846106686841</v>
      </c>
      <c r="L304" s="58" t="n">
        <f aca="false">L286+L269+L271+L300</f>
        <v>475.530698329445</v>
      </c>
    </row>
    <row r="305" customFormat="false" ht="15" hidden="true" customHeight="false" outlineLevel="1" collapsed="false">
      <c r="A305" s="5" t="s">
        <v>149</v>
      </c>
      <c r="B305" s="12" t="str">
        <f aca="false">IF(AND(B$47&gt;=1,(B296+B297+B298)&gt;0.001),B304/(B296+B297+B298),"")</f>
        <v/>
      </c>
      <c r="C305" s="12" t="n">
        <f aca="false">IF(AND(C$47&gt;=1,(C296+C297+C298)&gt;0.001),C304/(C296+C297+C298),"")</f>
        <v>4.78678796600049</v>
      </c>
      <c r="D305" s="12" t="n">
        <f aca="false">IF(AND(D$47&gt;=1,(D296+D297+D298)&gt;0.001),D304/(D296+D297+D298),"")</f>
        <v>2.03289893659204</v>
      </c>
      <c r="E305" s="12" t="n">
        <f aca="false">IF(AND(E$47&gt;=1,(E296+E297+E298)&gt;0.001),E304/(E296+E297+E298),"")</f>
        <v>1.10379246098069</v>
      </c>
      <c r="F305" s="12" t="n">
        <f aca="false">IF(AND(F$47&gt;=1,(F296+F297+F298)&gt;0.001),F304/(F296+F297+F298),"")</f>
        <v>1.33062832164166</v>
      </c>
      <c r="G305" s="12" t="n">
        <f aca="false">IF(AND(G$47&gt;=1,(G296+G297+G298)&gt;0.001),G304/(G296+G297+G298),"")</f>
        <v>1.3379924914852</v>
      </c>
      <c r="H305" s="12" t="n">
        <f aca="false">IF(AND(H$47&gt;=1,(H296+H297+H298)&gt;0.001),H304/(H296+H297+H298),"")</f>
        <v>1.397984597433</v>
      </c>
      <c r="I305" s="12" t="n">
        <f aca="false">IF(AND(I$47&gt;=1,(I296+I297+I298)&gt;0.001),I304/(I296+I297+I298),"")</f>
        <v>1.90686465799041</v>
      </c>
      <c r="J305" s="12" t="n">
        <f aca="false">IF(AND(J$47&gt;=1,(J296+J297+J298)&gt;0.001),J304/(J296+J297+J298),"")</f>
        <v>4.6287129766802</v>
      </c>
      <c r="K305" s="12" t="str">
        <f aca="false">IF(AND(K$47&gt;=1,(K296+K297+K298)&gt;0.001),K304/(K296+K297+K298),"")</f>
        <v/>
      </c>
      <c r="L305" s="12" t="str">
        <f aca="false">IF(AND(L$47&gt;=1,(L296+L297+L298)&gt;0.001),L304/(L296+L297+L298),"")</f>
        <v/>
      </c>
    </row>
    <row r="307" customFormat="false" ht="15" hidden="false" customHeight="false" outlineLevel="0" collapsed="false">
      <c r="A307" s="43" t="s">
        <v>1244</v>
      </c>
      <c r="B307" s="44"/>
      <c r="C307" s="44"/>
      <c r="D307" s="44"/>
      <c r="E307" s="44"/>
      <c r="F307" s="44"/>
      <c r="G307" s="44"/>
      <c r="H307" s="44"/>
      <c r="I307" s="44"/>
      <c r="J307" s="44"/>
      <c r="K307" s="44"/>
      <c r="L307" s="44"/>
    </row>
    <row r="308" customFormat="false" ht="15" hidden="true" customHeight="false" outlineLevel="1" collapsed="false">
      <c r="A308" s="9" t="s">
        <v>406</v>
      </c>
      <c r="B308" s="56" t="n">
        <f aca="false">CHOOSE($H$15,Entorno!B$7,Entorno!B$8,Entorno!B$9)</f>
        <v>0.06</v>
      </c>
      <c r="C308" s="56" t="n">
        <f aca="false">CHOOSE($H$15,Entorno!C$7,Entorno!C$8,Entorno!C$9)</f>
        <v>0.05</v>
      </c>
      <c r="D308" s="56" t="n">
        <f aca="false">CHOOSE($H$15,Entorno!D$7,Entorno!D$8,Entorno!D$9)</f>
        <v>0.045</v>
      </c>
      <c r="E308" s="56" t="n">
        <f aca="false">CHOOSE($H$15,Entorno!E$7,Entorno!E$8,Entorno!E$9)</f>
        <v>0.04</v>
      </c>
      <c r="F308" s="56" t="n">
        <f aca="false">CHOOSE($H$15,Entorno!F$7,Entorno!F$8,Entorno!F$9)</f>
        <v>0.04</v>
      </c>
      <c r="G308" s="56" t="n">
        <f aca="false">CHOOSE($H$15,Entorno!G$7,Entorno!G$8,Entorno!G$9)</f>
        <v>0.04</v>
      </c>
      <c r="H308" s="56" t="n">
        <f aca="false">CHOOSE($H$15,Entorno!H$7,Entorno!H$8,Entorno!H$9)</f>
        <v>0.04</v>
      </c>
      <c r="I308" s="56" t="n">
        <f aca="false">CHOOSE($H$15,Entorno!I$7,Entorno!I$8,Entorno!I$9)</f>
        <v>0.04</v>
      </c>
      <c r="J308" s="56" t="n">
        <f aca="false">CHOOSE($H$15,Entorno!J$7,Entorno!J$8,Entorno!J$9)</f>
        <v>0.04</v>
      </c>
      <c r="K308" s="56" t="n">
        <f aca="false">CHOOSE($H$15,Entorno!K$7,Entorno!K$8,Entorno!K$9)</f>
        <v>0.04</v>
      </c>
      <c r="L308" s="56" t="n">
        <f aca="false">CHOOSE($H$15,Entorno!L$7,Entorno!L$8,Entorno!L$9)</f>
        <v>0.04</v>
      </c>
    </row>
    <row r="309" customFormat="false" ht="15" hidden="true" customHeight="false" outlineLevel="1" collapsed="false">
      <c r="A309" s="9" t="s">
        <v>407</v>
      </c>
      <c r="B309" s="57" t="n">
        <f aca="false">1+B308</f>
        <v>1.06</v>
      </c>
      <c r="C309" s="57" t="n">
        <f aca="false">B309*(1+C308)</f>
        <v>1.113</v>
      </c>
      <c r="D309" s="57" t="n">
        <f aca="false">C309*(1+D308)</f>
        <v>1.163085</v>
      </c>
      <c r="E309" s="57" t="n">
        <f aca="false">D309*(1+E308)</f>
        <v>1.2096084</v>
      </c>
      <c r="F309" s="57" t="n">
        <f aca="false">E309*(1+F308)</f>
        <v>1.257992736</v>
      </c>
      <c r="G309" s="57" t="n">
        <f aca="false">F309*(1+G308)</f>
        <v>1.30831244544</v>
      </c>
      <c r="H309" s="57" t="n">
        <f aca="false">G309*(1+H308)</f>
        <v>1.3606449432576</v>
      </c>
      <c r="I309" s="57" t="n">
        <f aca="false">H309*(1+I308)</f>
        <v>1.4150707409879</v>
      </c>
      <c r="J309" s="57" t="n">
        <f aca="false">I309*(1+J308)</f>
        <v>1.47167357062742</v>
      </c>
      <c r="K309" s="57" t="n">
        <f aca="false">J309*(1+K308)</f>
        <v>1.53054051345252</v>
      </c>
      <c r="L309" s="57" t="n">
        <f aca="false">K309*(1+L308)</f>
        <v>1.59176213399062</v>
      </c>
    </row>
    <row r="310" customFormat="false" ht="15" hidden="true" customHeight="false" outlineLevel="1" collapsed="false">
      <c r="A310" s="9" t="s">
        <v>408</v>
      </c>
      <c r="B310" s="57" t="n">
        <f aca="false">(1+$H$16)/(1+B308)</f>
        <v>1.02358490566038</v>
      </c>
      <c r="C310" s="57" t="n">
        <f aca="false">B310*(1+Entorno!$B$13)</f>
        <v>1.02870283018868</v>
      </c>
      <c r="D310" s="57" t="n">
        <f aca="false">C310*(1+Entorno!$B$13)</f>
        <v>1.03384634433962</v>
      </c>
      <c r="E310" s="57" t="n">
        <f aca="false">D310*(1+Entorno!$B$13)</f>
        <v>1.03901557606132</v>
      </c>
      <c r="F310" s="57" t="n">
        <f aca="false">E310*(1+Entorno!$B$13)</f>
        <v>1.04421065394163</v>
      </c>
      <c r="G310" s="57" t="n">
        <f aca="false">F310*(1+Entorno!$B$13)</f>
        <v>1.04943170721133</v>
      </c>
      <c r="H310" s="57" t="n">
        <f aca="false">G310*(1+Entorno!$B$13)</f>
        <v>1.05467886574739</v>
      </c>
      <c r="I310" s="57" t="n">
        <f aca="false">H310*(1+Entorno!$B$13)</f>
        <v>1.05995226007613</v>
      </c>
      <c r="J310" s="57" t="n">
        <f aca="false">I310*(1+Entorno!$B$13)</f>
        <v>1.06525202137651</v>
      </c>
      <c r="K310" s="57" t="n">
        <f aca="false">J310*(1+Entorno!$B$13)</f>
        <v>1.07057828148339</v>
      </c>
      <c r="L310" s="57" t="n">
        <f aca="false">K310*(1+Entorno!$B$13)</f>
        <v>1.07593117289081</v>
      </c>
    </row>
    <row r="311" customFormat="false" ht="15" hidden="true" customHeight="false" outlineLevel="1" collapsed="false">
      <c r="A311" s="9" t="s">
        <v>409</v>
      </c>
      <c r="B311" s="57" t="n">
        <f aca="false">1/B309</f>
        <v>0.943396226415094</v>
      </c>
      <c r="C311" s="57" t="n">
        <f aca="false">1/C309</f>
        <v>0.898472596585804</v>
      </c>
      <c r="D311" s="57" t="n">
        <f aca="false">1/D309</f>
        <v>0.859782389077324</v>
      </c>
      <c r="E311" s="57" t="n">
        <f aca="false">1/E309</f>
        <v>0.826713835651273</v>
      </c>
      <c r="F311" s="57" t="n">
        <f aca="false">1/F309</f>
        <v>0.794917149664686</v>
      </c>
      <c r="G311" s="57" t="n">
        <f aca="false">1/G309</f>
        <v>0.764343413139121</v>
      </c>
      <c r="H311" s="57" t="n">
        <f aca="false">1/H309</f>
        <v>0.734945589556847</v>
      </c>
      <c r="I311" s="57" t="n">
        <f aca="false">1/I309</f>
        <v>0.706678451496968</v>
      </c>
      <c r="J311" s="57" t="n">
        <f aca="false">1/J309</f>
        <v>0.679498511054777</v>
      </c>
      <c r="K311" s="57" t="n">
        <f aca="false">1/K309</f>
        <v>0.653363952937286</v>
      </c>
      <c r="L311" s="57" t="n">
        <f aca="false">1/L309</f>
        <v>0.628234570132006</v>
      </c>
    </row>
    <row r="312" customFormat="false" ht="15" hidden="true" customHeight="false" outlineLevel="1" collapsed="false">
      <c r="A312" s="6" t="s">
        <v>323</v>
      </c>
      <c r="B312" s="29" t="n">
        <f aca="false">IF(B$47=0,Quesería!$F$92,IF(B$47=1,(Quesería!$F$93-(-$H$26)*Quesería!$D$86*(1+Quesería!$I$86))*$H$21,0))*$H$11</f>
        <v>930.800239431677</v>
      </c>
      <c r="C312" s="29" t="n">
        <f aca="false">IF(C$47=0,Quesería!$F$92,IF(C$47=1,(Quesería!$F$93-(-$H$26)*Quesería!$D$86*(1+Quesería!$I$86))*$H$21,0))*$H$11</f>
        <v>658.469066674498</v>
      </c>
      <c r="D312" s="29" t="n">
        <f aca="false">IF(D$47=0,Quesería!$F$92,IF(D$47=1,(Quesería!$F$93-(-$H$26)*Quesería!$D$86*(1+Quesería!$I$86))*$H$21,0))*$H$11</f>
        <v>0</v>
      </c>
      <c r="E312" s="29" t="n">
        <f aca="false">IF(E$47=0,Quesería!$F$92,IF(E$47=1,(Quesería!$F$93-(-$H$26)*Quesería!$D$86*(1+Quesería!$I$86))*$H$21,0))*$H$11</f>
        <v>0</v>
      </c>
      <c r="F312" s="29" t="n">
        <f aca="false">IF(F$47=0,Quesería!$F$92,IF(F$47=1,(Quesería!$F$93-(-$H$26)*Quesería!$D$86*(1+Quesería!$I$86))*$H$21,0))*$H$11</f>
        <v>0</v>
      </c>
      <c r="G312" s="29" t="n">
        <f aca="false">IF(G$47=0,Quesería!$F$92,IF(G$47=1,(Quesería!$F$93-(-$H$26)*Quesería!$D$86*(1+Quesería!$I$86))*$H$21,0))*$H$11</f>
        <v>0</v>
      </c>
      <c r="H312" s="29" t="n">
        <f aca="false">IF(H$47=0,Quesería!$F$92,IF(H$47=1,(Quesería!$F$93-(-$H$26)*Quesería!$D$86*(1+Quesería!$I$86))*$H$21,0))*$H$11</f>
        <v>0</v>
      </c>
      <c r="I312" s="29" t="n">
        <f aca="false">IF(I$47=0,Quesería!$F$92,IF(I$47=1,(Quesería!$F$93-(-$H$26)*Quesería!$D$86*(1+Quesería!$I$86))*$H$21,0))*$H$11</f>
        <v>0</v>
      </c>
      <c r="J312" s="29" t="n">
        <f aca="false">IF(J$47=0,Quesería!$F$92,IF(J$47=1,(Quesería!$F$93-(-$H$26)*Quesería!$D$86*(1+Quesería!$I$86))*$H$21,0))*$H$11</f>
        <v>0</v>
      </c>
      <c r="K312" s="29" t="n">
        <f aca="false">IF(K$47=0,Quesería!$F$92,IF(K$47=1,(Quesería!$F$93-(-$H$26)*Quesería!$D$86*(1+Quesería!$I$86))*$H$21,0))*$H$11</f>
        <v>0</v>
      </c>
      <c r="L312" s="29" t="n">
        <f aca="false">IF(L$47=0,Quesería!$F$92,IF(L$47=1,(Quesería!$F$93-(-$H$26)*Quesería!$D$86*(1+Quesería!$I$86))*$H$21,0))*$H$11</f>
        <v>0</v>
      </c>
    </row>
    <row r="313" customFormat="false" ht="15" hidden="true" customHeight="false" outlineLevel="1" collapsed="false">
      <c r="A313" s="6" t="s">
        <v>410</v>
      </c>
      <c r="B313" s="29" t="n">
        <f aca="false">IF(B$47=5,Quesería!$F$99,IF(B$47=6,Quesería!$F$100,0))*$H$11</f>
        <v>0</v>
      </c>
      <c r="C313" s="29" t="n">
        <f aca="false">IF(C$47=5,Quesería!$F$99,IF(C$47=6,Quesería!$F$100,0))*$H$11</f>
        <v>0</v>
      </c>
      <c r="D313" s="29" t="n">
        <f aca="false">IF(D$47=5,Quesería!$F$99,IF(D$47=6,Quesería!$F$100,0))*$H$11</f>
        <v>0</v>
      </c>
      <c r="E313" s="29" t="n">
        <f aca="false">IF(E$47=5,Quesería!$F$99,IF(E$47=6,Quesería!$F$100,0))*$H$11</f>
        <v>0</v>
      </c>
      <c r="F313" s="29" t="n">
        <f aca="false">IF(F$47=5,Quesería!$F$99,IF(F$47=6,Quesería!$F$100,0))*$H$11</f>
        <v>0</v>
      </c>
      <c r="G313" s="29" t="n">
        <f aca="false">IF(G$47=5,Quesería!$F$99,IF(G$47=6,Quesería!$F$100,0))*$H$11</f>
        <v>27.4652172688735</v>
      </c>
      <c r="H313" s="29" t="n">
        <f aca="false">IF(H$47=5,Quesería!$F$99,IF(H$47=6,Quesería!$F$100,0))*$H$11</f>
        <v>46.3891557109552</v>
      </c>
      <c r="I313" s="29" t="n">
        <f aca="false">IF(I$47=5,Quesería!$F$99,IF(I$47=6,Quesería!$F$100,0))*$H$11</f>
        <v>0</v>
      </c>
      <c r="J313" s="29" t="n">
        <f aca="false">IF(J$47=5,Quesería!$F$99,IF(J$47=6,Quesería!$F$100,0))*$H$11</f>
        <v>0</v>
      </c>
      <c r="K313" s="29" t="n">
        <f aca="false">IF(K$47=5,Quesería!$F$99,IF(K$47=6,Quesería!$F$100,0))*$H$11</f>
        <v>0</v>
      </c>
      <c r="L313" s="29" t="n">
        <f aca="false">IF(L$47=5,Quesería!$F$99,IF(L$47=6,Quesería!$F$100,0))*$H$11</f>
        <v>0</v>
      </c>
    </row>
    <row r="314" customFormat="false" ht="15" hidden="true" customHeight="false" outlineLevel="1" collapsed="false">
      <c r="A314" s="6" t="s">
        <v>411</v>
      </c>
      <c r="B314" s="29" t="n">
        <f aca="false">Quesería!$B$55*(IF(B$47=0,SUMPRODUCT((Quesería!$C$70:$C$89=0)*(Quesería!$H$70:$H$89&gt;0)*(Quesería!$J$70:$J$89&gt;0)*Quesería!$F$70:$F$89*(1+Quesería!$I$70:$I$89)),IF(B$47=1,(SUMPRODUCT((Quesería!$C$70:$C$89=1)*(Quesería!$H$70:$H$89&gt;0)*(Quesería!$J$70:$J$89&gt;0)*Quesería!$F$70:$F$89*(1+Quesería!$I$70:$I$89))-(-$H$26)*Quesería!$D$86*(1+Quesería!$I$86))*$H$21,0))*$H$11+B313)</f>
        <v>149.115671560178</v>
      </c>
      <c r="C314" s="29" t="n">
        <f aca="false">Quesería!$B$55*(IF(C$47=0,SUMPRODUCT((Quesería!$C$70:$C$89=0)*(Quesería!$H$70:$H$89&gt;0)*(Quesería!$J$70:$J$89&gt;0)*Quesería!$F$70:$F$89*(1+Quesería!$I$70:$I$89)),IF(C$47=1,(SUMPRODUCT((Quesería!$C$70:$C$89=1)*(Quesería!$H$70:$H$89&gt;0)*(Quesería!$J$70:$J$89&gt;0)*Quesería!$F$70:$F$89*(1+Quesería!$I$70:$I$89))-(-$H$26)*Quesería!$D$86*(1+Quesería!$I$86))*$H$21,0))*$H$11+C313)</f>
        <v>125.109122668155</v>
      </c>
      <c r="D314" s="29" t="n">
        <f aca="false">Quesería!$B$55*(IF(D$47=0,SUMPRODUCT((Quesería!$C$70:$C$89=0)*(Quesería!$H$70:$H$89&gt;0)*(Quesería!$J$70:$J$89&gt;0)*Quesería!$F$70:$F$89*(1+Quesería!$I$70:$I$89)),IF(D$47=1,(SUMPRODUCT((Quesería!$C$70:$C$89=1)*(Quesería!$H$70:$H$89&gt;0)*(Quesería!$J$70:$J$89&gt;0)*Quesería!$F$70:$F$89*(1+Quesería!$I$70:$I$89))-(-$H$26)*Quesería!$D$86*(1+Quesería!$I$86))*$H$21,0))*$H$11+D313)</f>
        <v>0</v>
      </c>
      <c r="E314" s="29" t="n">
        <f aca="false">Quesería!$B$55*(IF(E$47=0,SUMPRODUCT((Quesería!$C$70:$C$89=0)*(Quesería!$H$70:$H$89&gt;0)*(Quesería!$J$70:$J$89&gt;0)*Quesería!$F$70:$F$89*(1+Quesería!$I$70:$I$89)),IF(E$47=1,(SUMPRODUCT((Quesería!$C$70:$C$89=1)*(Quesería!$H$70:$H$89&gt;0)*(Quesería!$J$70:$J$89&gt;0)*Quesería!$F$70:$F$89*(1+Quesería!$I$70:$I$89))-(-$H$26)*Quesería!$D$86*(1+Quesería!$I$86))*$H$21,0))*$H$11+E313)</f>
        <v>0</v>
      </c>
      <c r="F314" s="29" t="n">
        <f aca="false">Quesería!$B$55*(IF(F$47=0,SUMPRODUCT((Quesería!$C$70:$C$89=0)*(Quesería!$H$70:$H$89&gt;0)*(Quesería!$J$70:$J$89&gt;0)*Quesería!$F$70:$F$89*(1+Quesería!$I$70:$I$89)),IF(F$47=1,(SUMPRODUCT((Quesería!$C$70:$C$89=1)*(Quesería!$H$70:$H$89&gt;0)*(Quesería!$J$70:$J$89&gt;0)*Quesería!$F$70:$F$89*(1+Quesería!$I$70:$I$89))-(-$H$26)*Quesería!$D$86*(1+Quesería!$I$86))*$H$21,0))*$H$11+F313)</f>
        <v>0</v>
      </c>
      <c r="G314" s="29" t="n">
        <f aca="false">Quesería!$B$55*(IF(G$47=0,SUMPRODUCT((Quesería!$C$70:$C$89=0)*(Quesería!$H$70:$H$89&gt;0)*(Quesería!$J$70:$J$89&gt;0)*Quesería!$F$70:$F$89*(1+Quesería!$I$70:$I$89)),IF(G$47=1,(SUMPRODUCT((Quesería!$C$70:$C$89=1)*(Quesería!$H$70:$H$89&gt;0)*(Quesería!$J$70:$J$89&gt;0)*Quesería!$F$70:$F$89*(1+Quesería!$I$70:$I$89))-(-$H$26)*Quesería!$D$86*(1+Quesería!$I$86))*$H$21,0))*$H$11+G313)</f>
        <v>5.21839128108597</v>
      </c>
      <c r="H314" s="29" t="n">
        <f aca="false">Quesería!$B$55*(IF(H$47=0,SUMPRODUCT((Quesería!$C$70:$C$89=0)*(Quesería!$H$70:$H$89&gt;0)*(Quesería!$J$70:$J$89&gt;0)*Quesería!$F$70:$F$89*(1+Quesería!$I$70:$I$89)),IF(H$47=1,(SUMPRODUCT((Quesería!$C$70:$C$89=1)*(Quesería!$H$70:$H$89&gt;0)*(Quesería!$J$70:$J$89&gt;0)*Quesería!$F$70:$F$89*(1+Quesería!$I$70:$I$89))-(-$H$26)*Quesería!$D$86*(1+Quesería!$I$86))*$H$21,0))*$H$11+H313)</f>
        <v>8.8139395850815</v>
      </c>
      <c r="I314" s="29" t="n">
        <f aca="false">Quesería!$B$55*(IF(I$47=0,SUMPRODUCT((Quesería!$C$70:$C$89=0)*(Quesería!$H$70:$H$89&gt;0)*(Quesería!$J$70:$J$89&gt;0)*Quesería!$F$70:$F$89*(1+Quesería!$I$70:$I$89)),IF(I$47=1,(SUMPRODUCT((Quesería!$C$70:$C$89=1)*(Quesería!$H$70:$H$89&gt;0)*(Quesería!$J$70:$J$89&gt;0)*Quesería!$F$70:$F$89*(1+Quesería!$I$70:$I$89))-(-$H$26)*Quesería!$D$86*(1+Quesería!$I$86))*$H$21,0))*$H$11+I313)</f>
        <v>0</v>
      </c>
      <c r="J314" s="29" t="n">
        <f aca="false">Quesería!$B$55*(IF(J$47=0,SUMPRODUCT((Quesería!$C$70:$C$89=0)*(Quesería!$H$70:$H$89&gt;0)*(Quesería!$J$70:$J$89&gt;0)*Quesería!$F$70:$F$89*(1+Quesería!$I$70:$I$89)),IF(J$47=1,(SUMPRODUCT((Quesería!$C$70:$C$89=1)*(Quesería!$H$70:$H$89&gt;0)*(Quesería!$J$70:$J$89&gt;0)*Quesería!$F$70:$F$89*(1+Quesería!$I$70:$I$89))-(-$H$26)*Quesería!$D$86*(1+Quesería!$I$86))*$H$21,0))*$H$11+J313)</f>
        <v>0</v>
      </c>
      <c r="K314" s="29" t="n">
        <f aca="false">Quesería!$B$55*(IF(K$47=0,SUMPRODUCT((Quesería!$C$70:$C$89=0)*(Quesería!$H$70:$H$89&gt;0)*(Quesería!$J$70:$J$89&gt;0)*Quesería!$F$70:$F$89*(1+Quesería!$I$70:$I$89)),IF(K$47=1,(SUMPRODUCT((Quesería!$C$70:$C$89=1)*(Quesería!$H$70:$H$89&gt;0)*(Quesería!$J$70:$J$89&gt;0)*Quesería!$F$70:$F$89*(1+Quesería!$I$70:$I$89))-(-$H$26)*Quesería!$D$86*(1+Quesería!$I$86))*$H$21,0))*$H$11+K313)</f>
        <v>0</v>
      </c>
      <c r="L314" s="29" t="n">
        <f aca="false">Quesería!$B$55*(IF(L$47=0,SUMPRODUCT((Quesería!$C$70:$C$89=0)*(Quesería!$H$70:$H$89&gt;0)*(Quesería!$J$70:$J$89&gt;0)*Quesería!$F$70:$F$89*(1+Quesería!$I$70:$I$89)),IF(L$47=1,(SUMPRODUCT((Quesería!$C$70:$C$89=1)*(Quesería!$H$70:$H$89&gt;0)*(Quesería!$J$70:$J$89&gt;0)*Quesería!$F$70:$F$89*(1+Quesería!$I$70:$I$89))-(-$H$26)*Quesería!$D$86*(1+Quesería!$I$86))*$H$21,0))*$H$11+L313)</f>
        <v>0</v>
      </c>
    </row>
    <row r="315" customFormat="false" ht="15" hidden="true" customHeight="false" outlineLevel="1" collapsed="false">
      <c r="A315" s="6" t="s">
        <v>386</v>
      </c>
      <c r="B315" s="29" t="n">
        <f aca="false">IF(B$47=0,($H$22*Quesería!$J$126+(1-$H$22)*Quesería!$E$122)*Quesería!$B$20*Quesería!$B$21/12*$H$23,(($H$22*Quesería!$J$126+(1-$H$22)*Quesería!$E$122)+($H$22*Quesería!$J$104+(1-$H$22)*Quesería!$E$104)*(B310-1))*IF(B$47=1,Quesería!$B$20,1))*$H$10</f>
        <v>144.860126713444</v>
      </c>
      <c r="C315" s="29" t="n">
        <f aca="false">IF(C$47=0,($H$22*Quesería!$J$126+(1-$H$22)*Quesería!$E$122)*Quesería!$B$20*Quesería!$B$21/12*$H$23,(($H$22*Quesería!$J$126+(1-$H$22)*Quesería!$E$122)+($H$22*Quesería!$J$104+(1-$H$22)*Quesería!$E$104)*(C310-1))*IF(C$47=1,Quesería!$B$20,1))*$H$10</f>
        <v>217.593980824882</v>
      </c>
      <c r="D315" s="29" t="n">
        <f aca="false">IF(D$47=0,($H$22*Quesería!$J$126+(1-$H$22)*Quesería!$E$122)*Quesería!$B$20*Quesería!$B$21/12*$H$23,(($H$22*Quesería!$J$126+(1-$H$22)*Quesería!$E$122)+($H$22*Quesería!$J$104+(1-$H$22)*Quesería!$E$104)*(D310-1))*IF(D$47=1,Quesería!$B$20,1))*$H$10</f>
        <v>290.197893038208</v>
      </c>
      <c r="E315" s="29" t="n">
        <f aca="false">IF(E$47=0,($H$22*Quesería!$J$126+(1-$H$22)*Quesería!$E$122)*Quesería!$B$20*Quesería!$B$21/12*$H$23,(($H$22*Quesería!$J$126+(1-$H$22)*Quesería!$E$122)+($H$22*Quesería!$J$104+(1-$H$22)*Quesería!$E$104)*(E310-1))*IF(E$47=1,Quesería!$B$20,1))*$H$10</f>
        <v>290.270841236265</v>
      </c>
      <c r="F315" s="29" t="n">
        <f aca="false">IF(F$47=0,($H$22*Quesería!$J$126+(1-$H$22)*Quesería!$E$122)*Quesería!$B$20*Quesería!$B$21/12*$H$23,(($H$22*Quesería!$J$126+(1-$H$22)*Quesería!$E$122)+($H$22*Quesería!$J$104+(1-$H$22)*Quesería!$E$104)*(F310-1))*IF(F$47=1,Quesería!$B$20,1))*$H$10</f>
        <v>290.344154175311</v>
      </c>
      <c r="G315" s="29" t="n">
        <f aca="false">IF(G$47=0,($H$22*Quesería!$J$126+(1-$H$22)*Quesería!$E$122)*Quesería!$B$20*Quesería!$B$21/12*$H$23,(($H$22*Quesería!$J$126+(1-$H$22)*Quesería!$E$122)+($H$22*Quesería!$J$104+(1-$H$22)*Quesería!$E$104)*(G310-1))*IF(G$47=1,Quesería!$B$20,1))*$H$10</f>
        <v>290.417833679054</v>
      </c>
      <c r="H315" s="29" t="n">
        <f aca="false">IF(H$47=0,($H$22*Quesería!$J$126+(1-$H$22)*Quesería!$E$122)*Quesería!$B$20*Quesería!$B$21/12*$H$23,(($H$22*Quesería!$J$126+(1-$H$22)*Quesería!$E$122)+($H$22*Quesería!$J$104+(1-$H$22)*Quesería!$E$104)*(H310-1))*IF(H$47=1,Quesería!$B$20,1))*$H$10</f>
        <v>290.491881580314</v>
      </c>
      <c r="I315" s="29" t="n">
        <f aca="false">IF(I$47=0,($H$22*Quesería!$J$126+(1-$H$22)*Quesería!$E$122)*Quesería!$B$20*Quesería!$B$21/12*$H$23,(($H$22*Quesería!$J$126+(1-$H$22)*Quesería!$E$122)+($H$22*Quesería!$J$104+(1-$H$22)*Quesería!$E$104)*(I310-1))*IF(I$47=1,Quesería!$B$20,1))*$H$10</f>
        <v>290.566299721082</v>
      </c>
      <c r="J315" s="29" t="n">
        <f aca="false">IF(J$47=0,($H$22*Quesería!$J$126+(1-$H$22)*Quesería!$E$122)*Quesería!$B$20*Quesería!$B$21/12*$H$23,(($H$22*Quesería!$J$126+(1-$H$22)*Quesería!$E$122)+($H$22*Quesería!$J$104+(1-$H$22)*Quesería!$E$104)*(J310-1))*IF(J$47=1,Quesería!$B$20,1))*$H$10</f>
        <v>290.641089952553</v>
      </c>
      <c r="K315" s="29" t="n">
        <f aca="false">IF(K$47=0,($H$22*Quesería!$J$126+(1-$H$22)*Quesería!$E$122)*Quesería!$B$20*Quesería!$B$21/12*$H$23,(($H$22*Quesería!$J$126+(1-$H$22)*Quesería!$E$122)+($H$22*Quesería!$J$104+(1-$H$22)*Quesería!$E$104)*(K310-1))*IF(K$47=1,Quesería!$B$20,1))*$H$10</f>
        <v>290.716254135181</v>
      </c>
      <c r="L315" s="29" t="n">
        <f aca="false">IF(L$47=0,($H$22*Quesería!$J$126+(1-$H$22)*Quesería!$E$122)*Quesería!$B$20*Quesería!$B$21/12*$H$23,(($H$22*Quesería!$J$126+(1-$H$22)*Quesería!$E$122)+($H$22*Quesería!$J$104+(1-$H$22)*Quesería!$E$104)*(L310-1))*IF(L$47=1,Quesería!$B$20,1))*$H$10</f>
        <v>290.791794138722</v>
      </c>
    </row>
    <row r="316" customFormat="false" ht="15" hidden="true" customHeight="false" outlineLevel="1" collapsed="false">
      <c r="A316" s="6" t="s">
        <v>387</v>
      </c>
      <c r="B316" s="29" t="n">
        <f aca="false">IF(B$47&lt;=1,0,((($H$22*Quesería!$J$127+(1-$H$22)*Quesería!$E$123)-($H$22*Quesería!$J$113+(1-$H$22)*Quesería!$E$113)+$H$6*($H$22*Quesería!$J$113+(1-$H$22)*Quesería!$E$113)-(1-$H$9)*(($H$22*Quesería!$J$119+(1-$H$22)*Quesería!$E$119)+($H$22*Quesería!$J$118+(1-$H$22)*Quesería!$E$118))-(1-$H$24)*($H$22*Quesería!$J$117+(1-$H$22)*Quesería!$E$117)+$H$24*(1-$H$25)*'Beneficios y costos'!$B$144-(-$H$26*$H$27)*'Beneficios y costos'!$C$167)+($H$6*($H$22*Quesería!$J$113+(1-$H$22)*Quesería!$E$113)+$H$9*($H$22*Quesería!$J$119+(1-$H$22)*Quesería!$E$119))*(B310-1))*IF(B$47=2,Quesería!$B$20,1)+IF(B$47=2,Quesería!$B$24*$H$9*($H$22*Quesería!$J$119+(1-$H$22)*Quesería!$E$119)*B310,0))*$H$10*$H$21</f>
        <v>0</v>
      </c>
      <c r="C316" s="29" t="n">
        <f aca="false">IF(C$47&lt;=1,0,((($H$22*Quesería!$J$127+(1-$H$22)*Quesería!$E$123)-($H$22*Quesería!$J$113+(1-$H$22)*Quesería!$E$113)+$H$6*($H$22*Quesería!$J$113+(1-$H$22)*Quesería!$E$113)-(1-$H$9)*(($H$22*Quesería!$J$119+(1-$H$22)*Quesería!$E$119)+($H$22*Quesería!$J$118+(1-$H$22)*Quesería!$E$118))-(1-$H$24)*($H$22*Quesería!$J$117+(1-$H$22)*Quesería!$E$117)+$H$24*(1-$H$25)*'Beneficios y costos'!$B$144-(-$H$26*$H$27)*'Beneficios y costos'!$C$167)+($H$6*($H$22*Quesería!$J$113+(1-$H$22)*Quesería!$E$113)+$H$9*($H$22*Quesería!$J$119+(1-$H$22)*Quesería!$E$119))*(C310-1))*IF(C$47=2,Quesería!$B$20,1)+IF(C$47=2,Quesería!$B$24*$H$9*($H$22*Quesería!$J$119+(1-$H$22)*Quesería!$E$119)*C310,0))*$H$10*$H$21</f>
        <v>0</v>
      </c>
      <c r="D316" s="29" t="n">
        <f aca="false">IF(D$47&lt;=1,0,((($H$22*Quesería!$J$127+(1-$H$22)*Quesería!$E$123)-($H$22*Quesería!$J$113+(1-$H$22)*Quesería!$E$113)+$H$6*($H$22*Quesería!$J$113+(1-$H$22)*Quesería!$E$113)-(1-$H$9)*(($H$22*Quesería!$J$119+(1-$H$22)*Quesería!$E$119)+($H$22*Quesería!$J$118+(1-$H$22)*Quesería!$E$118))-(1-$H$24)*($H$22*Quesería!$J$117+(1-$H$22)*Quesería!$E$117)+$H$24*(1-$H$25)*'Beneficios y costos'!$B$144-(-$H$26*$H$27)*'Beneficios y costos'!$C$167)+($H$6*($H$22*Quesería!$J$113+(1-$H$22)*Quesería!$E$113)+$H$9*($H$22*Quesería!$J$119+(1-$H$22)*Quesería!$E$119))*(D310-1))*IF(D$47=2,Quesería!$B$20,1)+IF(D$47=2,Quesería!$B$24*$H$9*($H$22*Quesería!$J$119+(1-$H$22)*Quesería!$E$119)*D310,0))*$H$10*$H$21</f>
        <v>308.821792481626</v>
      </c>
      <c r="E316" s="29" t="n">
        <f aca="false">IF(E$47&lt;=1,0,((($H$22*Quesería!$J$127+(1-$H$22)*Quesería!$E$123)-($H$22*Quesería!$J$113+(1-$H$22)*Quesería!$E$113)+$H$6*($H$22*Quesería!$J$113+(1-$H$22)*Quesería!$E$113)-(1-$H$9)*(($H$22*Quesería!$J$119+(1-$H$22)*Quesería!$E$119)+($H$22*Quesería!$J$118+(1-$H$22)*Quesería!$E$118))-(1-$H$24)*($H$22*Quesería!$J$117+(1-$H$22)*Quesería!$E$117)+$H$24*(1-$H$25)*'Beneficios y costos'!$B$144-(-$H$26*$H$27)*'Beneficios y costos'!$C$167)+($H$6*($H$22*Quesería!$J$113+(1-$H$22)*Quesería!$E$113)+$H$9*($H$22*Quesería!$J$119+(1-$H$22)*Quesería!$E$119))*(E310-1))*IF(E$47=2,Quesería!$B$20,1)+IF(E$47=2,Quesería!$B$24*$H$9*($H$22*Quesería!$J$119+(1-$H$22)*Quesería!$E$119)*E310,0))*$H$10*$H$21</f>
        <v>394.193784153747</v>
      </c>
      <c r="F316" s="29" t="n">
        <f aca="false">IF(F$47&lt;=1,0,((($H$22*Quesería!$J$127+(1-$H$22)*Quesería!$E$123)-($H$22*Quesería!$J$113+(1-$H$22)*Quesería!$E$113)+$H$6*($H$22*Quesería!$J$113+(1-$H$22)*Quesería!$E$113)-(1-$H$9)*(($H$22*Quesería!$J$119+(1-$H$22)*Quesería!$E$119)+($H$22*Quesería!$J$118+(1-$H$22)*Quesería!$E$118))-(1-$H$24)*($H$22*Quesería!$J$117+(1-$H$22)*Quesería!$E$117)+$H$24*(1-$H$25)*'Beneficios y costos'!$B$144-(-$H$26*$H$27)*'Beneficios y costos'!$C$167)+($H$6*($H$22*Quesería!$J$113+(1-$H$22)*Quesería!$E$113)+$H$9*($H$22*Quesería!$J$119+(1-$H$22)*Quesería!$E$119))*(F310-1))*IF(F$47=2,Quesería!$B$20,1)+IF(F$47=2,Quesería!$B$24*$H$9*($H$22*Quesería!$J$119+(1-$H$22)*Quesería!$E$119)*F310,0))*$H$10*$H$21</f>
        <v>394.491524457223</v>
      </c>
      <c r="G316" s="29" t="n">
        <f aca="false">IF(G$47&lt;=1,0,((($H$22*Quesería!$J$127+(1-$H$22)*Quesería!$E$123)-($H$22*Quesería!$J$113+(1-$H$22)*Quesería!$E$113)+$H$6*($H$22*Quesería!$J$113+(1-$H$22)*Quesería!$E$113)-(1-$H$9)*(($H$22*Quesería!$J$119+(1-$H$22)*Quesería!$E$119)+($H$22*Quesería!$J$118+(1-$H$22)*Quesería!$E$118))-(1-$H$24)*($H$22*Quesería!$J$117+(1-$H$22)*Quesería!$E$117)+$H$24*(1-$H$25)*'Beneficios y costos'!$B$144-(-$H$26*$H$27)*'Beneficios y costos'!$C$167)+($H$6*($H$22*Quesería!$J$113+(1-$H$22)*Quesería!$E$113)+$H$9*($H$22*Quesería!$J$119+(1-$H$22)*Quesería!$E$119))*(G310-1))*IF(G$47=2,Quesería!$B$20,1)+IF(G$47=2,Quesería!$B$24*$H$9*($H$22*Quesería!$J$119+(1-$H$22)*Quesería!$E$119)*G310,0))*$H$10*$H$21</f>
        <v>394.790753462216</v>
      </c>
      <c r="H316" s="29" t="n">
        <f aca="false">IF(H$47&lt;=1,0,((($H$22*Quesería!$J$127+(1-$H$22)*Quesería!$E$123)-($H$22*Quesería!$J$113+(1-$H$22)*Quesería!$E$113)+$H$6*($H$22*Quesería!$J$113+(1-$H$22)*Quesería!$E$113)-(1-$H$9)*(($H$22*Quesería!$J$119+(1-$H$22)*Quesería!$E$119)+($H$22*Quesería!$J$118+(1-$H$22)*Quesería!$E$118))-(1-$H$24)*($H$22*Quesería!$J$117+(1-$H$22)*Quesería!$E$117)+$H$24*(1-$H$25)*'Beneficios y costos'!$B$144-(-$H$26*$H$27)*'Beneficios y costos'!$C$167)+($H$6*($H$22*Quesería!$J$113+(1-$H$22)*Quesería!$E$113)+$H$9*($H$22*Quesería!$J$119+(1-$H$22)*Quesería!$E$119))*(H310-1))*IF(H$47=2,Quesería!$B$20,1)+IF(H$47=2,Quesería!$B$24*$H$9*($H$22*Quesería!$J$119+(1-$H$22)*Quesería!$E$119)*H310,0))*$H$10*$H$21</f>
        <v>395.091478612235</v>
      </c>
      <c r="I316" s="29" t="n">
        <f aca="false">IF(I$47&lt;=1,0,((($H$22*Quesería!$J$127+(1-$H$22)*Quesería!$E$123)-($H$22*Quesería!$J$113+(1-$H$22)*Quesería!$E$113)+$H$6*($H$22*Quesería!$J$113+(1-$H$22)*Quesería!$E$113)-(1-$H$9)*(($H$22*Quesería!$J$119+(1-$H$22)*Quesería!$E$119)+($H$22*Quesería!$J$118+(1-$H$22)*Quesería!$E$118))-(1-$H$24)*($H$22*Quesería!$J$117+(1-$H$22)*Quesería!$E$117)+$H$24*(1-$H$25)*'Beneficios y costos'!$B$144-(-$H$26*$H$27)*'Beneficios y costos'!$C$167)+($H$6*($H$22*Quesería!$J$113+(1-$H$22)*Quesería!$E$113)+$H$9*($H$22*Quesería!$J$119+(1-$H$22)*Quesería!$E$119))*(I310-1))*IF(I$47=2,Quesería!$B$20,1)+IF(I$47=2,Quesería!$B$24*$H$9*($H$22*Quesería!$J$119+(1-$H$22)*Quesería!$E$119)*I310,0))*$H$10*$H$21</f>
        <v>395.393707388003</v>
      </c>
      <c r="J316" s="29" t="n">
        <f aca="false">IF(J$47&lt;=1,0,((($H$22*Quesería!$J$127+(1-$H$22)*Quesería!$E$123)-($H$22*Quesería!$J$113+(1-$H$22)*Quesería!$E$113)+$H$6*($H$22*Quesería!$J$113+(1-$H$22)*Quesería!$E$113)-(1-$H$9)*(($H$22*Quesería!$J$119+(1-$H$22)*Quesería!$E$119)+($H$22*Quesería!$J$118+(1-$H$22)*Quesería!$E$118))-(1-$H$24)*($H$22*Quesería!$J$117+(1-$H$22)*Quesería!$E$117)+$H$24*(1-$H$25)*'Beneficios y costos'!$B$144-(-$H$26*$H$27)*'Beneficios y costos'!$C$167)+($H$6*($H$22*Quesería!$J$113+(1-$H$22)*Quesería!$E$113)+$H$9*($H$22*Quesería!$J$119+(1-$H$22)*Quesería!$E$119))*(J310-1))*IF(J$47=2,Quesería!$B$20,1)+IF(J$47=2,Quesería!$B$24*$H$9*($H$22*Quesería!$J$119+(1-$H$22)*Quesería!$E$119)*J310,0))*$H$10*$H$21</f>
        <v>395.697447307651</v>
      </c>
      <c r="K316" s="29" t="n">
        <f aca="false">IF(K$47&lt;=1,0,((($H$22*Quesería!$J$127+(1-$H$22)*Quesería!$E$123)-($H$22*Quesería!$J$113+(1-$H$22)*Quesería!$E$113)+$H$6*($H$22*Quesería!$J$113+(1-$H$22)*Quesería!$E$113)-(1-$H$9)*(($H$22*Quesería!$J$119+(1-$H$22)*Quesería!$E$119)+($H$22*Quesería!$J$118+(1-$H$22)*Quesería!$E$118))-(1-$H$24)*($H$22*Quesería!$J$117+(1-$H$22)*Quesería!$E$117)+$H$24*(1-$H$25)*'Beneficios y costos'!$B$144-(-$H$26*$H$27)*'Beneficios y costos'!$C$167)+($H$6*($H$22*Quesería!$J$113+(1-$H$22)*Quesería!$E$113)+$H$9*($H$22*Quesería!$J$119+(1-$H$22)*Quesería!$E$119))*(K310-1))*IF(K$47=2,Quesería!$B$20,1)+IF(K$47=2,Quesería!$B$24*$H$9*($H$22*Quesería!$J$119+(1-$H$22)*Quesería!$E$119)*K310,0))*$H$10*$H$21</f>
        <v>396.002705926897</v>
      </c>
      <c r="L316" s="29" t="n">
        <f aca="false">IF(L$47&lt;=1,0,((($H$22*Quesería!$J$127+(1-$H$22)*Quesería!$E$123)-($H$22*Quesería!$J$113+(1-$H$22)*Quesería!$E$113)+$H$6*($H$22*Quesería!$J$113+(1-$H$22)*Quesería!$E$113)-(1-$H$9)*(($H$22*Quesería!$J$119+(1-$H$22)*Quesería!$E$119)+($H$22*Quesería!$J$118+(1-$H$22)*Quesería!$E$118))-(1-$H$24)*($H$22*Quesería!$J$117+(1-$H$22)*Quesería!$E$117)+$H$24*(1-$H$25)*'Beneficios y costos'!$B$144-(-$H$26*$H$27)*'Beneficios y costos'!$C$167)+($H$6*($H$22*Quesería!$J$113+(1-$H$22)*Quesería!$E$113)+$H$9*($H$22*Quesería!$J$119+(1-$H$22)*Quesería!$E$119))*(L310-1))*IF(L$47=2,Quesería!$B$20,1)+IF(L$47=2,Quesería!$B$24*$H$9*($H$22*Quesería!$J$119+(1-$H$22)*Quesería!$E$119)*L310,0))*$H$10*$H$21</f>
        <v>396.309490839238</v>
      </c>
    </row>
    <row r="317" customFormat="false" ht="15" hidden="true" customHeight="false" outlineLevel="1" collapsed="false">
      <c r="A317" s="5" t="s">
        <v>412</v>
      </c>
      <c r="B317" s="10" t="n">
        <f aca="false">B315+B316</f>
        <v>144.860126713444</v>
      </c>
      <c r="C317" s="10" t="n">
        <f aca="false">C315+C316</f>
        <v>217.593980824882</v>
      </c>
      <c r="D317" s="10" t="n">
        <f aca="false">D315+D316</f>
        <v>599.019685519834</v>
      </c>
      <c r="E317" s="10" t="n">
        <f aca="false">E315+E316</f>
        <v>684.464625390011</v>
      </c>
      <c r="F317" s="10" t="n">
        <f aca="false">F315+F316</f>
        <v>684.835678632534</v>
      </c>
      <c r="G317" s="10" t="n">
        <f aca="false">G315+G316</f>
        <v>685.20858714127</v>
      </c>
      <c r="H317" s="10" t="n">
        <f aca="false">H315+H316</f>
        <v>685.583360192549</v>
      </c>
      <c r="I317" s="10" t="n">
        <f aca="false">I315+I316</f>
        <v>685.960007109085</v>
      </c>
      <c r="J317" s="10" t="n">
        <f aca="false">J315+J316</f>
        <v>686.338537260203</v>
      </c>
      <c r="K317" s="10" t="n">
        <f aca="false">K315+K316</f>
        <v>686.718960062077</v>
      </c>
      <c r="L317" s="10" t="n">
        <f aca="false">L315+L316</f>
        <v>687.101284977961</v>
      </c>
    </row>
    <row r="318" customFormat="false" ht="15" hidden="true" customHeight="false" outlineLevel="1" collapsed="false">
      <c r="A318" s="6" t="s">
        <v>413</v>
      </c>
      <c r="B318" s="29" t="n">
        <f aca="false">(IF(B$47&gt;=1,(Quesería!$B$31+Quesería!$B$33)*Quesería!$F$94*$H$11+Quesería!$B$32+'Beneficios y costos'!$B$249,0)+IF(B$47&gt;=2,((Quesería!$B$31+Quesería!$B$33)*(Quesería!$F$95-(-$H$26)*Quesería!$D$86)*$H$11+'Beneficios y costos'!$C$249-(-$H$26)*'Beneficios y costos'!$H$235)*$H$21,0))*$H$12</f>
        <v>0</v>
      </c>
      <c r="C318" s="29" t="n">
        <f aca="false">(IF(C$47&gt;=1,(Quesería!$B$31+Quesería!$B$33)*Quesería!$F$94*$H$11+Quesería!$B$32+'Beneficios y costos'!$B$249,0)+IF(C$47&gt;=2,((Quesería!$B$31+Quesería!$B$33)*(Quesería!$F$95-(-$H$26)*Quesería!$D$86)*$H$11+'Beneficios y costos'!$C$249-(-$H$26)*'Beneficios y costos'!$H$235)*$H$21,0))*$H$12</f>
        <v>42.0946487260605</v>
      </c>
      <c r="D318" s="29" t="n">
        <f aca="false">(IF(D$47&gt;=1,(Quesería!$B$31+Quesería!$B$33)*Quesería!$F$94*$H$11+Quesería!$B$32+'Beneficios y costos'!$B$249,0)+IF(D$47&gt;=2,((Quesería!$B$31+Quesería!$B$33)*(Quesería!$F$95-(-$H$26)*Quesería!$D$86)*$H$11+'Beneficios y costos'!$C$249-(-$H$26)*'Beneficios y costos'!$H$235)*$H$21,0))*$H$12</f>
        <v>76.4964821173776</v>
      </c>
      <c r="E318" s="29" t="n">
        <f aca="false">(IF(E$47&gt;=1,(Quesería!$B$31+Quesería!$B$33)*Quesería!$F$94*$H$11+Quesería!$B$32+'Beneficios y costos'!$B$249,0)+IF(E$47&gt;=2,((Quesería!$B$31+Quesería!$B$33)*(Quesería!$F$95-(-$H$26)*Quesería!$D$86)*$H$11+'Beneficios y costos'!$C$249-(-$H$26)*'Beneficios y costos'!$H$235)*$H$21,0))*$H$12</f>
        <v>76.4964821173776</v>
      </c>
      <c r="F318" s="29" t="n">
        <f aca="false">(IF(F$47&gt;=1,(Quesería!$B$31+Quesería!$B$33)*Quesería!$F$94*$H$11+Quesería!$B$32+'Beneficios y costos'!$B$249,0)+IF(F$47&gt;=2,((Quesería!$B$31+Quesería!$B$33)*(Quesería!$F$95-(-$H$26)*Quesería!$D$86)*$H$11+'Beneficios y costos'!$C$249-(-$H$26)*'Beneficios y costos'!$H$235)*$H$21,0))*$H$12</f>
        <v>76.4964821173776</v>
      </c>
      <c r="G318" s="29" t="n">
        <f aca="false">(IF(G$47&gt;=1,(Quesería!$B$31+Quesería!$B$33)*Quesería!$F$94*$H$11+Quesería!$B$32+'Beneficios y costos'!$B$249,0)+IF(G$47&gt;=2,((Quesería!$B$31+Quesería!$B$33)*(Quesería!$F$95-(-$H$26)*Quesería!$D$86)*$H$11+'Beneficios y costos'!$C$249-(-$H$26)*'Beneficios y costos'!$H$235)*$H$21,0))*$H$12</f>
        <v>76.4964821173776</v>
      </c>
      <c r="H318" s="29" t="n">
        <f aca="false">(IF(H$47&gt;=1,(Quesería!$B$31+Quesería!$B$33)*Quesería!$F$94*$H$11+Quesería!$B$32+'Beneficios y costos'!$B$249,0)+IF(H$47&gt;=2,((Quesería!$B$31+Quesería!$B$33)*(Quesería!$F$95-(-$H$26)*Quesería!$D$86)*$H$11+'Beneficios y costos'!$C$249-(-$H$26)*'Beneficios y costos'!$H$235)*$H$21,0))*$H$12</f>
        <v>76.4964821173776</v>
      </c>
      <c r="I318" s="29" t="n">
        <f aca="false">(IF(I$47&gt;=1,(Quesería!$B$31+Quesería!$B$33)*Quesería!$F$94*$H$11+Quesería!$B$32+'Beneficios y costos'!$B$249,0)+IF(I$47&gt;=2,((Quesería!$B$31+Quesería!$B$33)*(Quesería!$F$95-(-$H$26)*Quesería!$D$86)*$H$11+'Beneficios y costos'!$C$249-(-$H$26)*'Beneficios y costos'!$H$235)*$H$21,0))*$H$12</f>
        <v>76.4964821173776</v>
      </c>
      <c r="J318" s="29" t="n">
        <f aca="false">(IF(J$47&gt;=1,(Quesería!$B$31+Quesería!$B$33)*Quesería!$F$94*$H$11+Quesería!$B$32+'Beneficios y costos'!$B$249,0)+IF(J$47&gt;=2,((Quesería!$B$31+Quesería!$B$33)*(Quesería!$F$95-(-$H$26)*Quesería!$D$86)*$H$11+'Beneficios y costos'!$C$249-(-$H$26)*'Beneficios y costos'!$H$235)*$H$21,0))*$H$12</f>
        <v>76.4964821173776</v>
      </c>
      <c r="K318" s="29" t="n">
        <f aca="false">(IF(K$47&gt;=1,(Quesería!$B$31+Quesería!$B$33)*Quesería!$F$94*$H$11+Quesería!$B$32+'Beneficios y costos'!$B$249,0)+IF(K$47&gt;=2,((Quesería!$B$31+Quesería!$B$33)*(Quesería!$F$95-(-$H$26)*Quesería!$D$86)*$H$11+'Beneficios y costos'!$C$249-(-$H$26)*'Beneficios y costos'!$H$235)*$H$21,0))*$H$12</f>
        <v>76.4964821173776</v>
      </c>
      <c r="L318" s="29" t="n">
        <f aca="false">(IF(L$47&gt;=1,(Quesería!$B$31+Quesería!$B$33)*Quesería!$F$94*$H$11+Quesería!$B$32+'Beneficios y costos'!$B$249,0)+IF(L$47&gt;=2,((Quesería!$B$31+Quesería!$B$33)*(Quesería!$F$95-(-$H$26)*Quesería!$D$86)*$H$11+'Beneficios y costos'!$C$249-(-$H$26)*'Beneficios y costos'!$H$235)*$H$21,0))*$H$12</f>
        <v>76.4964821173776</v>
      </c>
    </row>
    <row r="319" customFormat="false" ht="15" hidden="true" customHeight="false" outlineLevel="1" collapsed="false">
      <c r="A319" s="6" t="s">
        <v>414</v>
      </c>
      <c r="B319" s="29" t="n">
        <f aca="false">IF(B$47=1,2*Quesería!$B$22*Quesería!$B$23/12*B310,0)*$H$21</f>
        <v>0</v>
      </c>
      <c r="C319" s="29" t="n">
        <f aca="false">IF(C$47=1,2*Quesería!$B$22*Quesería!$B$23/12*C310,0)*$H$21</f>
        <v>18.5166509433962</v>
      </c>
      <c r="D319" s="29" t="n">
        <f aca="false">IF(D$47=1,2*Quesería!$B$22*Quesería!$B$23/12*D310,0)*$H$21</f>
        <v>0</v>
      </c>
      <c r="E319" s="29" t="n">
        <f aca="false">IF(E$47=1,2*Quesería!$B$22*Quesería!$B$23/12*E310,0)*$H$21</f>
        <v>0</v>
      </c>
      <c r="F319" s="29" t="n">
        <f aca="false">IF(F$47=1,2*Quesería!$B$22*Quesería!$B$23/12*F310,0)*$H$21</f>
        <v>0</v>
      </c>
      <c r="G319" s="29" t="n">
        <f aca="false">IF(G$47=1,2*Quesería!$B$22*Quesería!$B$23/12*G310,0)*$H$21</f>
        <v>0</v>
      </c>
      <c r="H319" s="29" t="n">
        <f aca="false">IF(H$47=1,2*Quesería!$B$22*Quesería!$B$23/12*H310,0)*$H$21</f>
        <v>0</v>
      </c>
      <c r="I319" s="29" t="n">
        <f aca="false">IF(I$47=1,2*Quesería!$B$22*Quesería!$B$23/12*I310,0)*$H$21</f>
        <v>0</v>
      </c>
      <c r="J319" s="29" t="n">
        <f aca="false">IF(J$47=1,2*Quesería!$B$22*Quesería!$B$23/12*J310,0)*$H$21</f>
        <v>0</v>
      </c>
      <c r="K319" s="29" t="n">
        <f aca="false">IF(K$47=1,2*Quesería!$B$22*Quesería!$B$23/12*K310,0)*$H$21</f>
        <v>0</v>
      </c>
      <c r="L319" s="29" t="n">
        <f aca="false">IF(L$47=1,2*Quesería!$B$22*Quesería!$B$23/12*L310,0)*$H$21</f>
        <v>0</v>
      </c>
    </row>
    <row r="320" customFormat="false" ht="15" hidden="true" customHeight="false" outlineLevel="1" collapsed="false">
      <c r="A320" s="6" t="s">
        <v>415</v>
      </c>
      <c r="B320" s="29" t="n">
        <f aca="false">Quesería!$B$52*(B312+B313+B314+B318+B319)</f>
        <v>4.31966364396742</v>
      </c>
      <c r="C320" s="29" t="n">
        <f aca="false">Quesería!$B$52*(C312+C313+C314+C318+C319)</f>
        <v>3.37675795604844</v>
      </c>
      <c r="D320" s="29" t="n">
        <f aca="false">Quesería!$B$52*(D312+D313+D314+D318+D319)</f>
        <v>0.305985928469511</v>
      </c>
      <c r="E320" s="29" t="n">
        <f aca="false">Quesería!$B$52*(E312+E313+E314+E318+E319)</f>
        <v>0.305985928469511</v>
      </c>
      <c r="F320" s="29" t="n">
        <f aca="false">Quesería!$B$52*(F312+F313+F314+F318+F319)</f>
        <v>0.305985928469511</v>
      </c>
      <c r="G320" s="29" t="n">
        <f aca="false">Quesería!$B$52*(G312+G313+G314+G318+G319)</f>
        <v>0.436720362669349</v>
      </c>
      <c r="H320" s="29" t="n">
        <f aca="false">Quesería!$B$52*(H312+H313+H314+H318+H319)</f>
        <v>0.526798309653658</v>
      </c>
      <c r="I320" s="29" t="n">
        <f aca="false">Quesería!$B$52*(I312+I313+I314+I318+I319)</f>
        <v>0.305985928469511</v>
      </c>
      <c r="J320" s="29" t="n">
        <f aca="false">Quesería!$B$52*(J312+J313+J314+J318+J319)</f>
        <v>0.305985928469511</v>
      </c>
      <c r="K320" s="29" t="n">
        <f aca="false">Quesería!$B$52*(K312+K313+K314+K318+K319)</f>
        <v>0.305985928469511</v>
      </c>
      <c r="L320" s="29" t="n">
        <f aca="false">Quesería!$B$52*(L312+L313+L314+L318+L319)</f>
        <v>0.305985928469511</v>
      </c>
    </row>
    <row r="321" customFormat="false" ht="15" hidden="true" customHeight="false" outlineLevel="1" collapsed="false">
      <c r="A321" s="6" t="s">
        <v>416</v>
      </c>
      <c r="B321" s="29" t="n">
        <f aca="false">(IF($H$19=1,(SUMPRODUCT((Quesería!$C$70:$C$89=0)*(Quesería!$J$70:$J$89&gt;0)*(B$47&gt;=1)*(B$47&lt;=Quesería!$J$70:$J$89)*(Quesería!$H$70:$H$89&gt;0)*Quesería!$F$70:$F$89*(1+Quesería!$I$70:$I$89)/(Quesería!$J$70:$J$89+(Quesería!$J$70:$J$89=0)))+SUMPRODUCT((Quesería!$C$70:$C$89=0)*(Quesería!$J$70:$J$89=0)*(B$47=0)*(Quesería!$H$70:$H$89&gt;0)*Quesería!$F$70:$F$89*(1+Quesería!$I$70:$I$89)))*$B$309+((SUMPRODUCT((Quesería!$C$70:$C$89=1)*(Quesería!$J$70:$J$89&gt;0)*(B$47&gt;=2)*(B$47&lt;=Quesería!$J$70:$J$89+1)*(Quesería!$H$70:$H$89&gt;0)*Quesería!$F$70:$F$89*(1+Quesería!$I$70:$I$89)/(Quesería!$J$70:$J$89+(Quesería!$J$70:$J$89=0)))+SUMPRODUCT((Quesería!$C$70:$C$89=1)*(Quesería!$J$70:$J$89=0)*(B$47=1)*(Quesería!$H$70:$H$89&gt;0)*Quesería!$F$70:$F$89*(1+Quesería!$I$70:$I$89)))-(-$H$26)*IF(AND(B$47&gt;=2,B$47&lt;=Quesería!$J$86+1),Quesería!$D$86*(1+Quesería!$I$86)/Quesería!$J$86,0))*$C$309*$H$21,IF(AND(B$47&gt;=1,B$47&lt;=Quesería!$B$30),Quesería!$F$92/Quesería!$B$30,0)*$B$309+IF(AND(B$47&gt;=2,B$47&lt;=Quesería!$B$30+1),(Quesería!$F$93-(-$H$26)*Quesería!$D$86*(1+Quesería!$I$86))/Quesería!$B$30,0)*$C$309*$H$21)*$H$11+IF(AND(B$47&gt;=6,B$47&lt;=10),$G313*$G309/5,0)+IF(AND(B$47&gt;=7,B$47&lt;=11),$H313*$H309/5,0))*B311</f>
        <v>145.980915430742</v>
      </c>
      <c r="C321" s="29" t="n">
        <f aca="false">(IF($H$19=1,(SUMPRODUCT((Quesería!$C$70:$C$89=0)*(Quesería!$J$70:$J$89&gt;0)*(C$47&gt;=1)*(C$47&lt;=Quesería!$J$70:$J$89)*(Quesería!$H$70:$H$89&gt;0)*Quesería!$F$70:$F$89*(1+Quesería!$I$70:$I$89)/(Quesería!$J$70:$J$89+(Quesería!$J$70:$J$89=0)))+SUMPRODUCT((Quesería!$C$70:$C$89=0)*(Quesería!$J$70:$J$89=0)*(C$47=0)*(Quesería!$H$70:$H$89&gt;0)*Quesería!$F$70:$F$89*(1+Quesería!$I$70:$I$89)))*$B$309+((SUMPRODUCT((Quesería!$C$70:$C$89=1)*(Quesería!$J$70:$J$89&gt;0)*(C$47&gt;=2)*(C$47&lt;=Quesería!$J$70:$J$89+1)*(Quesería!$H$70:$H$89&gt;0)*Quesería!$F$70:$F$89*(1+Quesería!$I$70:$I$89)/(Quesería!$J$70:$J$89+(Quesería!$J$70:$J$89=0)))+SUMPRODUCT((Quesería!$C$70:$C$89=1)*(Quesería!$J$70:$J$89=0)*(C$47=1)*(Quesería!$H$70:$H$89&gt;0)*Quesería!$F$70:$F$89*(1+Quesería!$I$70:$I$89)))-(-$H$26)*IF(AND(C$47&gt;=2,C$47&lt;=Quesería!$J$86+1),Quesería!$D$86*(1+Quesería!$I$86)/Quesería!$J$86,0))*$C$309*$H$21,IF(AND(C$47&gt;=1,C$47&lt;=Quesería!$B$30),Quesería!$F$92/Quesería!$B$30,0)*$B$309+IF(AND(C$47&gt;=2,C$47&lt;=Quesería!$B$30+1),(Quesería!$F$93-(-$H$26)*Quesería!$D$86*(1+Quesería!$I$86))/Quesería!$B$30,0)*$C$309*$H$21)*$H$11+IF(AND(C$47&gt;=6,C$47&lt;=10),$G313*$G309/5,0)+IF(AND(C$47&gt;=7,C$47&lt;=11),$H313*$H309/5,0))*C311</f>
        <v>82.2633269524265</v>
      </c>
      <c r="D321" s="29" t="n">
        <f aca="false">(IF($H$19=1,(SUMPRODUCT((Quesería!$C$70:$C$89=0)*(Quesería!$J$70:$J$89&gt;0)*(D$47&gt;=1)*(D$47&lt;=Quesería!$J$70:$J$89)*(Quesería!$H$70:$H$89&gt;0)*Quesería!$F$70:$F$89*(1+Quesería!$I$70:$I$89)/(Quesería!$J$70:$J$89+(Quesería!$J$70:$J$89=0)))+SUMPRODUCT((Quesería!$C$70:$C$89=0)*(Quesería!$J$70:$J$89=0)*(D$47=0)*(Quesería!$H$70:$H$89&gt;0)*Quesería!$F$70:$F$89*(1+Quesería!$I$70:$I$89)))*$B$309+((SUMPRODUCT((Quesería!$C$70:$C$89=1)*(Quesería!$J$70:$J$89&gt;0)*(D$47&gt;=2)*(D$47&lt;=Quesería!$J$70:$J$89+1)*(Quesería!$H$70:$H$89&gt;0)*Quesería!$F$70:$F$89*(1+Quesería!$I$70:$I$89)/(Quesería!$J$70:$J$89+(Quesería!$J$70:$J$89=0)))+SUMPRODUCT((Quesería!$C$70:$C$89=1)*(Quesería!$J$70:$J$89=0)*(D$47=1)*(Quesería!$H$70:$H$89&gt;0)*Quesería!$F$70:$F$89*(1+Quesería!$I$70:$I$89)))-(-$H$26)*IF(AND(D$47&gt;=2,D$47&lt;=Quesería!$J$86+1),Quesería!$D$86*(1+Quesería!$I$86)/Quesería!$J$86,0))*$C$309*$H$21,IF(AND(D$47&gt;=1,D$47&lt;=Quesería!$B$30),Quesería!$F$92/Quesería!$B$30,0)*$B$309+IF(AND(D$47&gt;=2,D$47&lt;=Quesería!$B$30+1),(Quesería!$F$93-(-$H$26)*Quesería!$D$86*(1+Quesería!$I$86))/Quesería!$B$30,0)*$C$309*$H$21)*$H$11+IF(AND(D$47&gt;=6,D$47&lt;=10),$G313*$G309/5,0)+IF(AND(D$47&gt;=7,D$47&lt;=11),$H313*$H309/5,0))*D311</f>
        <v>141.732280975958</v>
      </c>
      <c r="E321" s="29" t="n">
        <f aca="false">(IF($H$19=1,(SUMPRODUCT((Quesería!$C$70:$C$89=0)*(Quesería!$J$70:$J$89&gt;0)*(E$47&gt;=1)*(E$47&lt;=Quesería!$J$70:$J$89)*(Quesería!$H$70:$H$89&gt;0)*Quesería!$F$70:$F$89*(1+Quesería!$I$70:$I$89)/(Quesería!$J$70:$J$89+(Quesería!$J$70:$J$89=0)))+SUMPRODUCT((Quesería!$C$70:$C$89=0)*(Quesería!$J$70:$J$89=0)*(E$47=0)*(Quesería!$H$70:$H$89&gt;0)*Quesería!$F$70:$F$89*(1+Quesería!$I$70:$I$89)))*$B$309+((SUMPRODUCT((Quesería!$C$70:$C$89=1)*(Quesería!$J$70:$J$89&gt;0)*(E$47&gt;=2)*(E$47&lt;=Quesería!$J$70:$J$89+1)*(Quesería!$H$70:$H$89&gt;0)*Quesería!$F$70:$F$89*(1+Quesería!$I$70:$I$89)/(Quesería!$J$70:$J$89+(Quesería!$J$70:$J$89=0)))+SUMPRODUCT((Quesería!$C$70:$C$89=1)*(Quesería!$J$70:$J$89=0)*(E$47=1)*(Quesería!$H$70:$H$89&gt;0)*Quesería!$F$70:$F$89*(1+Quesería!$I$70:$I$89)))-(-$H$26)*IF(AND(E$47&gt;=2,E$47&lt;=Quesería!$J$86+1),Quesería!$D$86*(1+Quesería!$I$86)/Quesería!$J$86,0))*$C$309*$H$21,IF(AND(E$47&gt;=1,E$47&lt;=Quesería!$B$30),Quesería!$F$92/Quesería!$B$30,0)*$B$309+IF(AND(E$47&gt;=2,E$47&lt;=Quesería!$B$30+1),(Quesería!$F$93-(-$H$26)*Quesería!$D$86*(1+Quesería!$I$86))/Quesería!$B$30,0)*$C$309*$H$21)*$H$11+IF(AND(E$47&gt;=6,E$47&lt;=10),$G313*$G309/5,0)+IF(AND(E$47&gt;=7,E$47&lt;=11),$H313*$H309/5,0))*E311</f>
        <v>136.28103939996</v>
      </c>
      <c r="F321" s="29" t="n">
        <f aca="false">(IF($H$19=1,(SUMPRODUCT((Quesería!$C$70:$C$89=0)*(Quesería!$J$70:$J$89&gt;0)*(F$47&gt;=1)*(F$47&lt;=Quesería!$J$70:$J$89)*(Quesería!$H$70:$H$89&gt;0)*Quesería!$F$70:$F$89*(1+Quesería!$I$70:$I$89)/(Quesería!$J$70:$J$89+(Quesería!$J$70:$J$89=0)))+SUMPRODUCT((Quesería!$C$70:$C$89=0)*(Quesería!$J$70:$J$89=0)*(F$47=0)*(Quesería!$H$70:$H$89&gt;0)*Quesería!$F$70:$F$89*(1+Quesería!$I$70:$I$89)))*$B$309+((SUMPRODUCT((Quesería!$C$70:$C$89=1)*(Quesería!$J$70:$J$89&gt;0)*(F$47&gt;=2)*(F$47&lt;=Quesería!$J$70:$J$89+1)*(Quesería!$H$70:$H$89&gt;0)*Quesería!$F$70:$F$89*(1+Quesería!$I$70:$I$89)/(Quesería!$J$70:$J$89+(Quesería!$J$70:$J$89=0)))+SUMPRODUCT((Quesería!$C$70:$C$89=1)*(Quesería!$J$70:$J$89=0)*(F$47=1)*(Quesería!$H$70:$H$89&gt;0)*Quesería!$F$70:$F$89*(1+Quesería!$I$70:$I$89)))-(-$H$26)*IF(AND(F$47&gt;=2,F$47&lt;=Quesería!$J$86+1),Quesería!$D$86*(1+Quesería!$I$86)/Quesería!$J$86,0))*$C$309*$H$21,IF(AND(F$47&gt;=1,F$47&lt;=Quesería!$B$30),Quesería!$F$92/Quesería!$B$30,0)*$B$309+IF(AND(F$47&gt;=2,F$47&lt;=Quesería!$B$30+1),(Quesería!$F$93-(-$H$26)*Quesería!$D$86*(1+Quesería!$I$86))/Quesería!$B$30,0)*$C$309*$H$21)*$H$11+IF(AND(F$47&gt;=6,F$47&lt;=10),$G313*$G309/5,0)+IF(AND(F$47&gt;=7,F$47&lt;=11),$H313*$H309/5,0))*F311</f>
        <v>131.0394609615</v>
      </c>
      <c r="G321" s="29" t="n">
        <f aca="false">(IF($H$19=1,(SUMPRODUCT((Quesería!$C$70:$C$89=0)*(Quesería!$J$70:$J$89&gt;0)*(G$47&gt;=1)*(G$47&lt;=Quesería!$J$70:$J$89)*(Quesería!$H$70:$H$89&gt;0)*Quesería!$F$70:$F$89*(1+Quesería!$I$70:$I$89)/(Quesería!$J$70:$J$89+(Quesería!$J$70:$J$89=0)))+SUMPRODUCT((Quesería!$C$70:$C$89=0)*(Quesería!$J$70:$J$89=0)*(G$47=0)*(Quesería!$H$70:$H$89&gt;0)*Quesería!$F$70:$F$89*(1+Quesería!$I$70:$I$89)))*$B$309+((SUMPRODUCT((Quesería!$C$70:$C$89=1)*(Quesería!$J$70:$J$89&gt;0)*(G$47&gt;=2)*(G$47&lt;=Quesería!$J$70:$J$89+1)*(Quesería!$H$70:$H$89&gt;0)*Quesería!$F$70:$F$89*(1+Quesería!$I$70:$I$89)/(Quesería!$J$70:$J$89+(Quesería!$J$70:$J$89=0)))+SUMPRODUCT((Quesería!$C$70:$C$89=1)*(Quesería!$J$70:$J$89=0)*(G$47=1)*(Quesería!$H$70:$H$89&gt;0)*Quesería!$F$70:$F$89*(1+Quesería!$I$70:$I$89)))-(-$H$26)*IF(AND(G$47&gt;=2,G$47&lt;=Quesería!$J$86+1),Quesería!$D$86*(1+Quesería!$I$86)/Quesería!$J$86,0))*$C$309*$H$21,IF(AND(G$47&gt;=1,G$47&lt;=Quesería!$B$30),Quesería!$F$92/Quesería!$B$30,0)*$B$309+IF(AND(G$47&gt;=2,G$47&lt;=Quesería!$B$30+1),(Quesería!$F$93-(-$H$26)*Quesería!$D$86*(1+Quesería!$I$86))/Quesería!$B$30,0)*$C$309*$H$21)*$H$11+IF(AND(G$47&gt;=6,G$47&lt;=10),$G313*$G309/5,0)+IF(AND(G$47&gt;=7,G$47&lt;=11),$H313*$H309/5,0))*G311</f>
        <v>125.99948169375</v>
      </c>
      <c r="H321" s="29" t="n">
        <f aca="false">(IF($H$19=1,(SUMPRODUCT((Quesería!$C$70:$C$89=0)*(Quesería!$J$70:$J$89&gt;0)*(H$47&gt;=1)*(H$47&lt;=Quesería!$J$70:$J$89)*(Quesería!$H$70:$H$89&gt;0)*Quesería!$F$70:$F$89*(1+Quesería!$I$70:$I$89)/(Quesería!$J$70:$J$89+(Quesería!$J$70:$J$89=0)))+SUMPRODUCT((Quesería!$C$70:$C$89=0)*(Quesería!$J$70:$J$89=0)*(H$47=0)*(Quesería!$H$70:$H$89&gt;0)*Quesería!$F$70:$F$89*(1+Quesería!$I$70:$I$89)))*$B$309+((SUMPRODUCT((Quesería!$C$70:$C$89=1)*(Quesería!$J$70:$J$89&gt;0)*(H$47&gt;=2)*(H$47&lt;=Quesería!$J$70:$J$89+1)*(Quesería!$H$70:$H$89&gt;0)*Quesería!$F$70:$F$89*(1+Quesería!$I$70:$I$89)/(Quesería!$J$70:$J$89+(Quesería!$J$70:$J$89=0)))+SUMPRODUCT((Quesería!$C$70:$C$89=1)*(Quesería!$J$70:$J$89=0)*(H$47=1)*(Quesería!$H$70:$H$89&gt;0)*Quesería!$F$70:$F$89*(1+Quesería!$I$70:$I$89)))-(-$H$26)*IF(AND(H$47&gt;=2,H$47&lt;=Quesería!$J$86+1),Quesería!$D$86*(1+Quesería!$I$86)/Quesería!$J$86,0))*$C$309*$H$21,IF(AND(H$47&gt;=1,H$47&lt;=Quesería!$B$30),Quesería!$F$92/Quesería!$B$30,0)*$B$309+IF(AND(H$47&gt;=2,H$47&lt;=Quesería!$B$30+1),(Quesería!$F$93-(-$H$26)*Quesería!$D$86*(1+Quesería!$I$86))/Quesería!$B$30,0)*$C$309*$H$21)*$H$11+IF(AND(H$47&gt;=6,H$47&lt;=10),$G313*$G309/5,0)+IF(AND(H$47&gt;=7,H$47&lt;=11),$H313*$H309/5,0))*H311</f>
        <v>114.13472617855</v>
      </c>
      <c r="I321" s="29" t="n">
        <f aca="false">(IF($H$19=1,(SUMPRODUCT((Quesería!$C$70:$C$89=0)*(Quesería!$J$70:$J$89&gt;0)*(I$47&gt;=1)*(I$47&lt;=Quesería!$J$70:$J$89)*(Quesería!$H$70:$H$89&gt;0)*Quesería!$F$70:$F$89*(1+Quesería!$I$70:$I$89)/(Quesería!$J$70:$J$89+(Quesería!$J$70:$J$89=0)))+SUMPRODUCT((Quesería!$C$70:$C$89=0)*(Quesería!$J$70:$J$89=0)*(I$47=0)*(Quesería!$H$70:$H$89&gt;0)*Quesería!$F$70:$F$89*(1+Quesería!$I$70:$I$89)))*$B$309+((SUMPRODUCT((Quesería!$C$70:$C$89=1)*(Quesería!$J$70:$J$89&gt;0)*(I$47&gt;=2)*(I$47&lt;=Quesería!$J$70:$J$89+1)*(Quesería!$H$70:$H$89&gt;0)*Quesería!$F$70:$F$89*(1+Quesería!$I$70:$I$89)/(Quesería!$J$70:$J$89+(Quesería!$J$70:$J$89=0)))+SUMPRODUCT((Quesería!$C$70:$C$89=1)*(Quesería!$J$70:$J$89=0)*(I$47=1)*(Quesería!$H$70:$H$89&gt;0)*Quesería!$F$70:$F$89*(1+Quesería!$I$70:$I$89)))-(-$H$26)*IF(AND(I$47&gt;=2,I$47&lt;=Quesería!$J$86+1),Quesería!$D$86*(1+Quesería!$I$86)/Quesería!$J$86,0))*$C$309*$H$21,IF(AND(I$47&gt;=1,I$47&lt;=Quesería!$B$30),Quesería!$F$92/Quesería!$B$30,0)*$B$309+IF(AND(I$47&gt;=2,I$47&lt;=Quesería!$B$30+1),(Quesería!$F$93-(-$H$26)*Quesería!$D$86*(1+Quesería!$I$86))/Quesería!$B$30,0)*$C$309*$H$21)*$H$11+IF(AND(I$47&gt;=6,I$47&lt;=10),$G313*$G309/5,0)+IF(AND(I$47&gt;=7,I$47&lt;=11),$H313*$H309/5,0))*I311</f>
        <v>118.665920500713</v>
      </c>
      <c r="J321" s="29" t="n">
        <f aca="false">(IF($H$19=1,(SUMPRODUCT((Quesería!$C$70:$C$89=0)*(Quesería!$J$70:$J$89&gt;0)*(J$47&gt;=1)*(J$47&lt;=Quesería!$J$70:$J$89)*(Quesería!$H$70:$H$89&gt;0)*Quesería!$F$70:$F$89*(1+Quesería!$I$70:$I$89)/(Quesería!$J$70:$J$89+(Quesería!$J$70:$J$89=0)))+SUMPRODUCT((Quesería!$C$70:$C$89=0)*(Quesería!$J$70:$J$89=0)*(J$47=0)*(Quesería!$H$70:$H$89&gt;0)*Quesería!$F$70:$F$89*(1+Quesería!$I$70:$I$89)))*$B$309+((SUMPRODUCT((Quesería!$C$70:$C$89=1)*(Quesería!$J$70:$J$89&gt;0)*(J$47&gt;=2)*(J$47&lt;=Quesería!$J$70:$J$89+1)*(Quesería!$H$70:$H$89&gt;0)*Quesería!$F$70:$F$89*(1+Quesería!$I$70:$I$89)/(Quesería!$J$70:$J$89+(Quesería!$J$70:$J$89=0)))+SUMPRODUCT((Quesería!$C$70:$C$89=1)*(Quesería!$J$70:$J$89=0)*(J$47=1)*(Quesería!$H$70:$H$89&gt;0)*Quesería!$F$70:$F$89*(1+Quesería!$I$70:$I$89)))-(-$H$26)*IF(AND(J$47&gt;=2,J$47&lt;=Quesería!$J$86+1),Quesería!$D$86*(1+Quesería!$I$86)/Quesería!$J$86,0))*$C$309*$H$21,IF(AND(J$47&gt;=1,J$47&lt;=Quesería!$B$30),Quesería!$F$92/Quesería!$B$30,0)*$B$309+IF(AND(J$47&gt;=2,J$47&lt;=Quesería!$B$30+1),(Quesería!$F$93-(-$H$26)*Quesería!$D$86*(1+Quesería!$I$86))/Quesería!$B$30,0)*$C$309*$H$21)*$H$11+IF(AND(J$47&gt;=6,J$47&lt;=10),$G313*$G309/5,0)+IF(AND(J$47&gt;=7,J$47&lt;=11),$H313*$H309/5,0))*J311</f>
        <v>114.101846635301</v>
      </c>
      <c r="K321" s="29" t="n">
        <f aca="false">(IF($H$19=1,(SUMPRODUCT((Quesería!$C$70:$C$89=0)*(Quesería!$J$70:$J$89&gt;0)*(K$47&gt;=1)*(K$47&lt;=Quesería!$J$70:$J$89)*(Quesería!$H$70:$H$89&gt;0)*Quesería!$F$70:$F$89*(1+Quesería!$I$70:$I$89)/(Quesería!$J$70:$J$89+(Quesería!$J$70:$J$89=0)))+SUMPRODUCT((Quesería!$C$70:$C$89=0)*(Quesería!$J$70:$J$89=0)*(K$47=0)*(Quesería!$H$70:$H$89&gt;0)*Quesería!$F$70:$F$89*(1+Quesería!$I$70:$I$89)))*$B$309+((SUMPRODUCT((Quesería!$C$70:$C$89=1)*(Quesería!$J$70:$J$89&gt;0)*(K$47&gt;=2)*(K$47&lt;=Quesería!$J$70:$J$89+1)*(Quesería!$H$70:$H$89&gt;0)*Quesería!$F$70:$F$89*(1+Quesería!$I$70:$I$89)/(Quesería!$J$70:$J$89+(Quesería!$J$70:$J$89=0)))+SUMPRODUCT((Quesería!$C$70:$C$89=1)*(Quesería!$J$70:$J$89=0)*(K$47=1)*(Quesería!$H$70:$H$89&gt;0)*Quesería!$F$70:$F$89*(1+Quesería!$I$70:$I$89)))-(-$H$26)*IF(AND(K$47&gt;=2,K$47&lt;=Quesería!$J$86+1),Quesería!$D$86*(1+Quesería!$I$86)/Quesería!$J$86,0))*$C$309*$H$21,IF(AND(K$47&gt;=1,K$47&lt;=Quesería!$B$30),Quesería!$F$92/Quesería!$B$30,0)*$B$309+IF(AND(K$47&gt;=2,K$47&lt;=Quesería!$B$30+1),(Quesería!$F$93-(-$H$26)*Quesería!$D$86*(1+Quesería!$I$86))/Quesería!$B$30,0)*$C$309*$H$21)*$H$11+IF(AND(K$47&gt;=6,K$47&lt;=10),$G313*$G309/5,0)+IF(AND(K$47&gt;=7,K$47&lt;=11),$H313*$H309/5,0))*K311</f>
        <v>109.713314072405</v>
      </c>
      <c r="L321" s="29" t="n">
        <f aca="false">(IF($H$19=1,(SUMPRODUCT((Quesería!$C$70:$C$89=0)*(Quesería!$J$70:$J$89&gt;0)*(L$47&gt;=1)*(L$47&lt;=Quesería!$J$70:$J$89)*(Quesería!$H$70:$H$89&gt;0)*Quesería!$F$70:$F$89*(1+Quesería!$I$70:$I$89)/(Quesería!$J$70:$J$89+(Quesería!$J$70:$J$89=0)))+SUMPRODUCT((Quesería!$C$70:$C$89=0)*(Quesería!$J$70:$J$89=0)*(L$47=0)*(Quesería!$H$70:$H$89&gt;0)*Quesería!$F$70:$F$89*(1+Quesería!$I$70:$I$89)))*$B$309+((SUMPRODUCT((Quesería!$C$70:$C$89=1)*(Quesería!$J$70:$J$89&gt;0)*(L$47&gt;=2)*(L$47&lt;=Quesería!$J$70:$J$89+1)*(Quesería!$H$70:$H$89&gt;0)*Quesería!$F$70:$F$89*(1+Quesería!$I$70:$I$89)/(Quesería!$J$70:$J$89+(Quesería!$J$70:$J$89=0)))+SUMPRODUCT((Quesería!$C$70:$C$89=1)*(Quesería!$J$70:$J$89=0)*(L$47=1)*(Quesería!$H$70:$H$89&gt;0)*Quesería!$F$70:$F$89*(1+Quesería!$I$70:$I$89)))-(-$H$26)*IF(AND(L$47&gt;=2,L$47&lt;=Quesería!$J$86+1),Quesería!$D$86*(1+Quesería!$I$86)/Quesería!$J$86,0))*$C$309*$H$21,IF(AND(L$47&gt;=1,L$47&lt;=Quesería!$B$30),Quesería!$F$92/Quesería!$B$30,0)*$B$309+IF(AND(L$47&gt;=2,L$47&lt;=Quesería!$B$30+1),(Quesería!$F$93-(-$H$26)*Quesería!$D$86*(1+Quesería!$I$86))/Quesería!$B$30,0)*$C$309*$H$21)*$H$11+IF(AND(L$47&gt;=6,L$47&lt;=10),$G313*$G309/5,0)+IF(AND(L$47&gt;=7,L$47&lt;=11),$H313*$H309/5,0))*L311</f>
        <v>105.493571223466</v>
      </c>
    </row>
    <row r="322" customFormat="false" ht="15" hidden="true" customHeight="false" outlineLevel="1" collapsed="false">
      <c r="A322" s="9" t="s">
        <v>417</v>
      </c>
      <c r="B322" s="58" t="n">
        <f aca="false">IF(B$47=1,MIN($H$7*$H$26*Quesería!$B$56*Quesería!$D$86*$H$11*$H$21,Quesería!$B$57*Quesería!$B$58),0)</f>
        <v>0</v>
      </c>
      <c r="C322" s="58" t="n">
        <f aca="false">IF(C$47=1,MIN($H$7*$H$26*Quesería!$B$56*Quesería!$D$86*$H$11*$H$21,Quesería!$B$57*Quesería!$B$58),0)</f>
        <v>0</v>
      </c>
      <c r="D322" s="58" t="n">
        <f aca="false">IF(D$47=1,MIN($H$7*$H$26*Quesería!$B$56*Quesería!$D$86*$H$11*$H$21,Quesería!$B$57*Quesería!$B$58),0)</f>
        <v>0</v>
      </c>
      <c r="E322" s="58" t="n">
        <f aca="false">IF(E$47=1,MIN($H$7*$H$26*Quesería!$B$56*Quesería!$D$86*$H$11*$H$21,Quesería!$B$57*Quesería!$B$58),0)</f>
        <v>0</v>
      </c>
      <c r="F322" s="58" t="n">
        <f aca="false">IF(F$47=1,MIN($H$7*$H$26*Quesería!$B$56*Quesería!$D$86*$H$11*$H$21,Quesería!$B$57*Quesería!$B$58),0)</f>
        <v>0</v>
      </c>
      <c r="G322" s="58" t="n">
        <f aca="false">IF(G$47=1,MIN($H$7*$H$26*Quesería!$B$56*Quesería!$D$86*$H$11*$H$21,Quesería!$B$57*Quesería!$B$58),0)</f>
        <v>0</v>
      </c>
      <c r="H322" s="58" t="n">
        <f aca="false">IF(H$47=1,MIN($H$7*$H$26*Quesería!$B$56*Quesería!$D$86*$H$11*$H$21,Quesería!$B$57*Quesería!$B$58),0)</f>
        <v>0</v>
      </c>
      <c r="I322" s="58" t="n">
        <f aca="false">IF(I$47=1,MIN($H$7*$H$26*Quesería!$B$56*Quesería!$D$86*$H$11*$H$21,Quesería!$B$57*Quesería!$B$58),0)</f>
        <v>0</v>
      </c>
      <c r="J322" s="58" t="n">
        <f aca="false">IF(J$47=1,MIN($H$7*$H$26*Quesería!$B$56*Quesería!$D$86*$H$11*$H$21,Quesería!$B$57*Quesería!$B$58),0)</f>
        <v>0</v>
      </c>
      <c r="K322" s="58" t="n">
        <f aca="false">IF(K$47=1,MIN($H$7*$H$26*Quesería!$B$56*Quesería!$D$86*$H$11*$H$21,Quesería!$B$57*Quesería!$B$58),0)</f>
        <v>0</v>
      </c>
      <c r="L322" s="58" t="n">
        <f aca="false">IF(L$47=1,MIN($H$7*$H$26*Quesería!$B$56*Quesería!$D$86*$H$11*$H$21,Quesería!$B$57*Quesería!$B$58),0)</f>
        <v>0</v>
      </c>
    </row>
    <row r="323" customFormat="false" ht="15" hidden="true" customHeight="false" outlineLevel="1" collapsed="false">
      <c r="A323" s="9" t="s">
        <v>418</v>
      </c>
      <c r="B323" s="58" t="n">
        <v>0</v>
      </c>
      <c r="C323" s="58" t="n">
        <f aca="false">$H$20*Quesería!$B$60*Quesería!$F$98*$H$11*$B$309/C309/2</f>
        <v>138.12868344741</v>
      </c>
      <c r="D323" s="58" t="n">
        <f aca="false">$H$20*Quesería!$B$60*Quesería!$F$98*$H$11*$B$309/D309/2</f>
        <v>132.18055832288</v>
      </c>
      <c r="E323" s="58" t="n">
        <v>0</v>
      </c>
      <c r="F323" s="58" t="n">
        <v>0</v>
      </c>
      <c r="G323" s="58" t="n">
        <v>0</v>
      </c>
      <c r="H323" s="58" t="n">
        <v>0</v>
      </c>
      <c r="I323" s="58" t="n">
        <v>0</v>
      </c>
      <c r="J323" s="58" t="n">
        <v>0</v>
      </c>
      <c r="K323" s="58" t="n">
        <v>0</v>
      </c>
      <c r="L323" s="58" t="n">
        <v>0</v>
      </c>
    </row>
    <row r="324" customFormat="false" ht="15" hidden="true" customHeight="false" outlineLevel="1" collapsed="false">
      <c r="A324" s="9" t="s">
        <v>419</v>
      </c>
      <c r="B324" s="58" t="n">
        <f aca="false">0</f>
        <v>0</v>
      </c>
      <c r="C324" s="58" t="n">
        <f aca="false">B314*B309/C309</f>
        <v>142.014925295407</v>
      </c>
      <c r="D324" s="58" t="n">
        <f aca="false">C314*C309/D309</f>
        <v>119.721648486272</v>
      </c>
      <c r="E324" s="58" t="n">
        <f aca="false">D314*D309/E309</f>
        <v>0</v>
      </c>
      <c r="F324" s="58" t="n">
        <f aca="false">E314*E309/F309</f>
        <v>0</v>
      </c>
      <c r="G324" s="58" t="n">
        <f aca="false">F314*F309/G309</f>
        <v>0</v>
      </c>
      <c r="H324" s="58" t="n">
        <f aca="false">G314*G309/H309</f>
        <v>5.01768392412113</v>
      </c>
      <c r="I324" s="58" t="n">
        <f aca="false">H314*H309/I309</f>
        <v>8.47494190873221</v>
      </c>
      <c r="J324" s="58" t="n">
        <f aca="false">I314*I309/J309</f>
        <v>0</v>
      </c>
      <c r="K324" s="58" t="n">
        <f aca="false">J314*J309/K309</f>
        <v>0</v>
      </c>
      <c r="L324" s="58" t="n">
        <f aca="false">K314*K309/L309</f>
        <v>0</v>
      </c>
    </row>
    <row r="325" customFormat="false" ht="15" hidden="true" customHeight="false" outlineLevel="1" collapsed="false">
      <c r="A325" s="6" t="s">
        <v>295</v>
      </c>
      <c r="B325" s="29" t="n">
        <f aca="false">$H$17*(B317-B318-B319-0.5*B320-B321)-B322-B323-B324</f>
        <v>-1.14821718874887</v>
      </c>
      <c r="C325" s="29" t="n">
        <f aca="false">$H$17*(C317-C318-C319-0.5*C320-C321)-C322-C323-C324</f>
        <v>-254.582767414075</v>
      </c>
      <c r="D325" s="29" t="n">
        <f aca="false">$H$17*(D317-D318-D319-0.5*D320-D321)-D322-D323-D324</f>
        <v>-118.67893149736</v>
      </c>
      <c r="E325" s="29" t="n">
        <f aca="false">$H$17*(E317-E318-E319-0.5*E320-E321)-E322-E323-E324</f>
        <v>165.036938817954</v>
      </c>
      <c r="F325" s="29" t="n">
        <f aca="false">$H$17*(F317-F318-F319-0.5*F320-F321)-F322-F323-F324</f>
        <v>167.001359906298</v>
      </c>
      <c r="G325" s="29" t="n">
        <f aca="false">$H$17*(G317-G318-G319-0.5*G320-G321)-G322-G323-G324</f>
        <v>168.872992102083</v>
      </c>
      <c r="H325" s="29" t="n">
        <f aca="false">$H$17*(H317-H318-H319-0.5*H320-H321)-H322-H323-H324</f>
        <v>168.123379535507</v>
      </c>
      <c r="I325" s="29" t="n">
        <f aca="false">$H$17*(I317-I318-I319-0.5*I320-I321)-I322-I323-I324</f>
        <v>163.250672125634</v>
      </c>
      <c r="J325" s="29" t="n">
        <f aca="false">$H$17*(J317-J318-J319-0.5*J320-J321)-J322-J323-J324</f>
        <v>173.455525440152</v>
      </c>
      <c r="K325" s="29" t="n">
        <f aca="false">$H$17*(K317-K318-K319-0.5*K320-K321)-K322-K323-K324</f>
        <v>175.124659817821</v>
      </c>
      <c r="L325" s="29" t="n">
        <f aca="false">$H$17*(L317-L318-L319-0.5*L320-L321)-L322-L323-L324</f>
        <v>176.735383535509</v>
      </c>
    </row>
    <row r="326" customFormat="false" ht="15" hidden="true" customHeight="false" outlineLevel="1" collapsed="false">
      <c r="A326" s="9" t="s">
        <v>420</v>
      </c>
      <c r="B326" s="58" t="n">
        <f aca="false">(IF(B$47&gt;=1,Quesería!$G$124*IF(B$47=1,Quesería!$B$20,1),Quesería!$G$124*Quesería!$B$20*Quesería!$B$21/12*$H$23)+IF(B$47&gt;=2,(Quesería!$G$125-(1-$H$24)*Quesería!$G$117-(-$H$26*$H$27)*'Beneficios y costos'!$D$167)*$H$21*IF(B$47=2,Quesería!$B$20,1),0))*$H$10</f>
        <v>92.8851444194243</v>
      </c>
      <c r="C326" s="58" t="n">
        <f aca="false">(IF(C$47&gt;=1,Quesería!$G$124*IF(C$47=1,Quesería!$B$20,1),Quesería!$G$124*Quesería!$B$20*Quesería!$B$21/12*$H$23)+IF(C$47&gt;=2,(Quesería!$G$125-(1-$H$24)*Quesería!$G$117-(-$H$26*$H$27)*'Beneficios y costos'!$D$167)*$H$21*IF(C$47=2,Quesería!$B$20,1),0))*$H$10</f>
        <v>139.327716629136</v>
      </c>
      <c r="D326" s="58" t="n">
        <f aca="false">(IF(D$47&gt;=1,Quesería!$G$124*IF(D$47=1,Quesería!$B$20,1),Quesería!$G$124*Quesería!$B$20*Quesería!$B$21/12*$H$23)+IF(D$47&gt;=2,(Quesería!$G$125-(1-$H$24)*Quesería!$G$117-(-$H$26*$H$27)*'Beneficios y costos'!$D$167)*$H$21*IF(D$47=2,Quesería!$B$20,1),0))*$H$10</f>
        <v>2428.54700906264</v>
      </c>
      <c r="E326" s="58" t="n">
        <f aca="false">(IF(E$47&gt;=1,Quesería!$G$124*IF(E$47=1,Quesería!$B$20,1),Quesería!$G$124*Quesería!$B$20*Quesería!$B$21/12*$H$23)+IF(E$47&gt;=2,(Quesería!$G$125-(1-$H$24)*Quesería!$G$117-(-$H$26*$H$27)*'Beneficios y costos'!$D$167)*$H$21*IF(E$47=2,Quesería!$B$20,1),0))*$H$10</f>
        <v>3176.13924913724</v>
      </c>
      <c r="F326" s="58" t="n">
        <f aca="false">(IF(F$47&gt;=1,Quesería!$G$124*IF(F$47=1,Quesería!$B$20,1),Quesería!$G$124*Quesería!$B$20*Quesería!$B$21/12*$H$23)+IF(F$47&gt;=2,(Quesería!$G$125-(1-$H$24)*Quesería!$G$117-(-$H$26*$H$27)*'Beneficios y costos'!$D$167)*$H$21*IF(F$47=2,Quesería!$B$20,1),0))*$H$10</f>
        <v>3176.13924913724</v>
      </c>
      <c r="G326" s="58" t="n">
        <f aca="false">(IF(G$47&gt;=1,Quesería!$G$124*IF(G$47=1,Quesería!$B$20,1),Quesería!$G$124*Quesería!$B$20*Quesería!$B$21/12*$H$23)+IF(G$47&gt;=2,(Quesería!$G$125-(1-$H$24)*Quesería!$G$117-(-$H$26*$H$27)*'Beneficios y costos'!$D$167)*$H$21*IF(G$47=2,Quesería!$B$20,1),0))*$H$10</f>
        <v>3176.13924913724</v>
      </c>
      <c r="H326" s="58" t="n">
        <f aca="false">(IF(H$47&gt;=1,Quesería!$G$124*IF(H$47=1,Quesería!$B$20,1),Quesería!$G$124*Quesería!$B$20*Quesería!$B$21/12*$H$23)+IF(H$47&gt;=2,(Quesería!$G$125-(1-$H$24)*Quesería!$G$117-(-$H$26*$H$27)*'Beneficios y costos'!$D$167)*$H$21*IF(H$47=2,Quesería!$B$20,1),0))*$H$10</f>
        <v>3176.13924913724</v>
      </c>
      <c r="I326" s="58" t="n">
        <f aca="false">(IF(I$47&gt;=1,Quesería!$G$124*IF(I$47=1,Quesería!$B$20,1),Quesería!$G$124*Quesería!$B$20*Quesería!$B$21/12*$H$23)+IF(I$47&gt;=2,(Quesería!$G$125-(1-$H$24)*Quesería!$G$117-(-$H$26*$H$27)*'Beneficios y costos'!$D$167)*$H$21*IF(I$47=2,Quesería!$B$20,1),0))*$H$10</f>
        <v>3176.13924913724</v>
      </c>
      <c r="J326" s="58" t="n">
        <f aca="false">(IF(J$47&gt;=1,Quesería!$G$124*IF(J$47=1,Quesería!$B$20,1),Quesería!$G$124*Quesería!$B$20*Quesería!$B$21/12*$H$23)+IF(J$47&gt;=2,(Quesería!$G$125-(1-$H$24)*Quesería!$G$117-(-$H$26*$H$27)*'Beneficios y costos'!$D$167)*$H$21*IF(J$47=2,Quesería!$B$20,1),0))*$H$10</f>
        <v>3176.13924913724</v>
      </c>
      <c r="K326" s="58" t="n">
        <f aca="false">(IF(K$47&gt;=1,Quesería!$G$124*IF(K$47=1,Quesería!$B$20,1),Quesería!$G$124*Quesería!$B$20*Quesería!$B$21/12*$H$23)+IF(K$47&gt;=2,(Quesería!$G$125-(1-$H$24)*Quesería!$G$117-(-$H$26*$H$27)*'Beneficios y costos'!$D$167)*$H$21*IF(K$47=2,Quesería!$B$20,1),0))*$H$10</f>
        <v>3176.13924913724</v>
      </c>
      <c r="L326" s="58" t="n">
        <f aca="false">(IF(L$47&gt;=1,Quesería!$G$124*IF(L$47=1,Quesería!$B$20,1),Quesería!$G$124*Quesería!$B$20*Quesería!$B$21/12*$H$23)+IF(L$47&gt;=2,(Quesería!$G$125-(1-$H$24)*Quesería!$G$117-(-$H$26*$H$27)*'Beneficios y costos'!$D$167)*$H$21*IF(L$47=2,Quesería!$B$20,1),0))*$H$10</f>
        <v>3176.13924913724</v>
      </c>
    </row>
    <row r="327" customFormat="false" ht="15" hidden="true" customHeight="false" outlineLevel="1" collapsed="false">
      <c r="A327" s="6" t="s">
        <v>421</v>
      </c>
      <c r="B327" s="29" t="n">
        <f aca="false">(B326*(Quesería!$B$38+Quesería!$B$40*Quesería!$B$39)/365-B318*Quesería!$B$42/365+IF(B$47&gt;=2,($H$25*'Beneficios y costos'!$B$147+(1-$H$25)*'Beneficios y costos'!$B$148)*$H$24*$H$21*$H$10*IF(B$47=2,Quesería!$B$20,1),0))</f>
        <v>8.67776280740375</v>
      </c>
      <c r="C327" s="29" t="n">
        <f aca="false">(C326*(Quesería!$B$38+Quesería!$B$40*Quesería!$B$39)/365-C318*Quesería!$B$42/365+IF(C$47&gt;=2,($H$25*'Beneficios y costos'!$B$147+(1-$H$25)*'Beneficios y costos'!$B$148)*$H$24*$H$21*$H$10*IF(C$47=2,Quesería!$B$20,1),0))-(B326*(Quesería!$B$38+Quesería!$B$40*Quesería!$B$39)/365-B318*Quesería!$B$42/365+IF(B$47&gt;=2,($H$25*'Beneficios y costos'!$B$147+(1-$H$25)*'Beneficios y costos'!$B$148)*$H$24*$H$21*$H$10*IF(B$47=2,Quesería!$B$20,1),0))*B309/C309</f>
        <v>2.21489650001792</v>
      </c>
      <c r="D327" s="29" t="n">
        <f aca="false">(D326*(Quesería!$B$38+Quesería!$B$40*Quesería!$B$39)/365-D318*Quesería!$B$42/365+IF(D$47&gt;=2,($H$25*'Beneficios y costos'!$B$147+(1-$H$25)*'Beneficios y costos'!$B$148)*$H$24*$H$21*$H$10*IF(D$47=2,Quesería!$B$20,1),0))-(C326*(Quesería!$B$38+Quesería!$B$40*Quesería!$B$39)/365-C318*Quesería!$B$42/365+IF(C$47&gt;=2,($H$25*'Beneficios y costos'!$B$147+(1-$H$25)*'Beneficios y costos'!$B$148)*$H$24*$H$21*$H$10*IF(C$47=2,Quesería!$B$20,1),0))*C309/D309</f>
        <v>145.71812150353</v>
      </c>
      <c r="E327" s="29" t="n">
        <f aca="false">(E326*(Quesería!$B$38+Quesería!$B$40*Quesería!$B$39)/365-E318*Quesería!$B$42/365+IF(E$47&gt;=2,($H$25*'Beneficios y costos'!$B$147+(1-$H$25)*'Beneficios y costos'!$B$148)*$H$24*$H$21*$H$10*IF(E$47=2,Quesería!$B$20,1),0))-(D326*(Quesería!$B$38+Quesería!$B$40*Quesería!$B$39)/365-D318*Quesería!$B$42/365+IF(D$47&gt;=2,($H$25*'Beneficios y costos'!$B$147+(1-$H$25)*'Beneficios y costos'!$B$148)*$H$24*$H$21*$H$10*IF(D$47=2,Quesería!$B$20,1),0))*D309/E309</f>
        <v>53.6574110698202</v>
      </c>
      <c r="F327" s="29" t="n">
        <f aca="false">(F326*(Quesería!$B$38+Quesería!$B$40*Quesería!$B$39)/365-F318*Quesería!$B$42/365+IF(F$47&gt;=2,($H$25*'Beneficios y costos'!$B$147+(1-$H$25)*'Beneficios y costos'!$B$148)*$H$24*$H$21*$H$10*IF(F$47=2,Quesería!$B$20,1),0))-(E326*(Quesería!$B$38+Quesería!$B$40*Quesería!$B$39)/365-E318*Quesería!$B$42/365+IF(E$47&gt;=2,($H$25*'Beneficios y costos'!$B$147+(1-$H$25)*'Beneficios y costos'!$B$148)*$H$24*$H$21*$H$10*IF(E$47=2,Quesería!$B$20,1),0))*E309/F309</f>
        <v>7.82359445616413</v>
      </c>
      <c r="G327" s="29" t="n">
        <f aca="false">(G326*(Quesería!$B$38+Quesería!$B$40*Quesería!$B$39)/365-G318*Quesería!$B$42/365+IF(G$47&gt;=2,($H$25*'Beneficios y costos'!$B$147+(1-$H$25)*'Beneficios y costos'!$B$148)*$H$24*$H$21*$H$10*IF(G$47=2,Quesería!$B$20,1),0))-(F326*(Quesería!$B$38+Quesería!$B$40*Quesería!$B$39)/365-F318*Quesería!$B$42/365+IF(F$47&gt;=2,($H$25*'Beneficios y costos'!$B$147+(1-$H$25)*'Beneficios y costos'!$B$148)*$H$24*$H$21*$H$10*IF(F$47=2,Quesería!$B$20,1),0))*F309/G309</f>
        <v>7.82359445616416</v>
      </c>
      <c r="H327" s="29" t="n">
        <f aca="false">(H326*(Quesería!$B$38+Quesería!$B$40*Quesería!$B$39)/365-H318*Quesería!$B$42/365+IF(H$47&gt;=2,($H$25*'Beneficios y costos'!$B$147+(1-$H$25)*'Beneficios y costos'!$B$148)*$H$24*$H$21*$H$10*IF(H$47=2,Quesería!$B$20,1),0))-(G326*(Quesería!$B$38+Quesería!$B$40*Quesería!$B$39)/365-G318*Quesería!$B$42/365+IF(G$47&gt;=2,($H$25*'Beneficios y costos'!$B$147+(1-$H$25)*'Beneficios y costos'!$B$148)*$H$24*$H$21*$H$10*IF(G$47=2,Quesería!$B$20,1),0))*G309/H309</f>
        <v>7.82359445616416</v>
      </c>
      <c r="I327" s="29" t="n">
        <f aca="false">(I326*(Quesería!$B$38+Quesería!$B$40*Quesería!$B$39)/365-I318*Quesería!$B$42/365+IF(I$47&gt;=2,($H$25*'Beneficios y costos'!$B$147+(1-$H$25)*'Beneficios y costos'!$B$148)*$H$24*$H$21*$H$10*IF(I$47=2,Quesería!$B$20,1),0))-(H326*(Quesería!$B$38+Quesería!$B$40*Quesería!$B$39)/365-H318*Quesería!$B$42/365+IF(H$47&gt;=2,($H$25*'Beneficios y costos'!$B$147+(1-$H$25)*'Beneficios y costos'!$B$148)*$H$24*$H$21*$H$10*IF(H$47=2,Quesería!$B$20,1),0))*H309/I309</f>
        <v>7.82359445616413</v>
      </c>
      <c r="J327" s="29" t="n">
        <f aca="false">(J326*(Quesería!$B$38+Quesería!$B$40*Quesería!$B$39)/365-J318*Quesería!$B$42/365+IF(J$47&gt;=2,($H$25*'Beneficios y costos'!$B$147+(1-$H$25)*'Beneficios y costos'!$B$148)*$H$24*$H$21*$H$10*IF(J$47=2,Quesería!$B$20,1),0))-(I326*(Quesería!$B$38+Quesería!$B$40*Quesería!$B$39)/365-I318*Quesería!$B$42/365+IF(I$47&gt;=2,($H$25*'Beneficios y costos'!$B$147+(1-$H$25)*'Beneficios y costos'!$B$148)*$H$24*$H$21*$H$10*IF(I$47=2,Quesería!$B$20,1),0))*I309/J309</f>
        <v>7.82359445616416</v>
      </c>
      <c r="K327" s="29" t="n">
        <f aca="false">(K326*(Quesería!$B$38+Quesería!$B$40*Quesería!$B$39)/365-K318*Quesería!$B$42/365+IF(K$47&gt;=2,($H$25*'Beneficios y costos'!$B$147+(1-$H$25)*'Beneficios y costos'!$B$148)*$H$24*$H$21*$H$10*IF(K$47=2,Quesería!$B$20,1),0))-(J326*(Quesería!$B$38+Quesería!$B$40*Quesería!$B$39)/365-J318*Quesería!$B$42/365+IF(J$47&gt;=2,($H$25*'Beneficios y costos'!$B$147+(1-$H$25)*'Beneficios y costos'!$B$148)*$H$24*$H$21*$H$10*IF(J$47=2,Quesería!$B$20,1),0))*J309/K309</f>
        <v>7.82359445616413</v>
      </c>
      <c r="L327" s="29" t="n">
        <f aca="false">-(K326*(Quesería!$B$38+Quesería!$B$40*Quesería!$B$39)/365-K318*Quesería!$B$42/365+IF(K$47&gt;=2,($H$25*'Beneficios y costos'!$B$147+(1-$H$25)*'Beneficios y costos'!$B$148)*$H$24*$H$21*$H$10*IF(K$47=2,Quesería!$B$20,1),0))*K309/L309</f>
        <v>-195.589861404103</v>
      </c>
    </row>
    <row r="328" customFormat="false" ht="15" hidden="true" customHeight="false" outlineLevel="1" collapsed="false">
      <c r="A328" s="6" t="s">
        <v>422</v>
      </c>
      <c r="B328" s="29" t="n">
        <v>0</v>
      </c>
      <c r="C328" s="29" t="n">
        <v>0</v>
      </c>
      <c r="D328" s="29" t="n">
        <v>0</v>
      </c>
      <c r="E328" s="29" t="n">
        <v>0</v>
      </c>
      <c r="F328" s="29" t="n">
        <v>0</v>
      </c>
      <c r="G328" s="29" t="n">
        <v>0</v>
      </c>
      <c r="H328" s="29" t="n">
        <v>0</v>
      </c>
      <c r="I328" s="29" t="n">
        <v>0</v>
      </c>
      <c r="J328" s="29" t="n">
        <v>0</v>
      </c>
      <c r="K328" s="29" t="n">
        <v>0</v>
      </c>
      <c r="L328" s="29" t="n">
        <f aca="false">$H$8*Quesería!$B$36*(Quesería!$F$94+(Quesería!$F$95-(-$H$26)*Quesería!$D$86)*$H$21)*$H$11*(1-$H$17)</f>
        <v>61.9237725584542</v>
      </c>
    </row>
    <row r="329" customFormat="false" ht="15" hidden="true" customHeight="false" outlineLevel="1" collapsed="false">
      <c r="A329" s="5" t="s">
        <v>147</v>
      </c>
      <c r="B329" s="59" t="n">
        <f aca="false">B317-B318-B319-B320-B325-B312-B313-B314-B327+B328</f>
        <v>-946.904993541033</v>
      </c>
      <c r="C329" s="59" t="n">
        <f aca="false">C317-C318-C319-C320-C325-C312-C313-C314-C327+C328</f>
        <v>-377.604395229218</v>
      </c>
      <c r="D329" s="59" t="n">
        <f aca="false">D317-D318-D319-D320-D325-D312-D313-D314-D327+D328</f>
        <v>495.178027467817</v>
      </c>
      <c r="E329" s="59" t="n">
        <f aca="false">E317-E318-E319-E320-E325-E312-E313-E314-E327+E328</f>
        <v>388.967807456391</v>
      </c>
      <c r="F329" s="59" t="n">
        <f aca="false">F317-F318-F319-F320-F325-F312-F313-F314-F327+F328</f>
        <v>433.208256224225</v>
      </c>
      <c r="G329" s="59" t="n">
        <f aca="false">G317-G318-G319-G320-G325-G312-G313-G314-G327+G328</f>
        <v>398.895189553017</v>
      </c>
      <c r="H329" s="59" t="n">
        <f aca="false">H317-H318-H319-H320-H325-H312-H313-H314-H327+H328</f>
        <v>377.41001047781</v>
      </c>
      <c r="I329" s="59" t="n">
        <f aca="false">I317-I318-I319-I320-I325-I312-I313-I314-I327+I328</f>
        <v>438.08327248144</v>
      </c>
      <c r="J329" s="59" t="n">
        <f aca="false">J317-J318-J319-J320-J325-J312-J313-J314-J327+J328</f>
        <v>428.256949318041</v>
      </c>
      <c r="K329" s="59" t="n">
        <f aca="false">K317-K318-K319-K320-K325-K312-K313-K314-K327+K328</f>
        <v>426.968237742245</v>
      </c>
      <c r="L329" s="59" t="n">
        <f aca="false">L317-L318-L319-L320-L325-L312-L313-L314-L327+L328</f>
        <v>691.077067359163</v>
      </c>
    </row>
    <row r="330" customFormat="false" ht="15" hidden="true" customHeight="false" outlineLevel="1" collapsed="false">
      <c r="A330" s="9" t="s">
        <v>423</v>
      </c>
      <c r="B330" s="58" t="n">
        <f aca="false">B329*B309</f>
        <v>-1003.7192931535</v>
      </c>
      <c r="C330" s="58" t="n">
        <f aca="false">C329*C309</f>
        <v>-420.27369189012</v>
      </c>
      <c r="D330" s="58" t="n">
        <f aca="false">D329*D309</f>
        <v>575.934136077406</v>
      </c>
      <c r="E330" s="58" t="n">
        <f aca="false">E329*E309</f>
        <v>470.498727228833</v>
      </c>
      <c r="F330" s="58" t="n">
        <f aca="false">F329*F309</f>
        <v>544.972839505303</v>
      </c>
      <c r="G330" s="58" t="n">
        <f aca="false">G329*G309</f>
        <v>521.87954091836</v>
      </c>
      <c r="H330" s="58" t="n">
        <f aca="false">H329*H309</f>
        <v>513.52102229143</v>
      </c>
      <c r="I330" s="58" t="n">
        <f aca="false">I329*I309</f>
        <v>619.918821004717</v>
      </c>
      <c r="J330" s="58" t="n">
        <f aca="false">J329*J309</f>
        <v>630.254433748887</v>
      </c>
      <c r="K330" s="58" t="n">
        <f aca="false">K329*K309</f>
        <v>653.492185821932</v>
      </c>
      <c r="L330" s="58" t="n">
        <f aca="false">L329*L309</f>
        <v>1100.0303074916</v>
      </c>
    </row>
    <row r="331" customFormat="false" ht="15" hidden="true" customHeight="false" outlineLevel="1" collapsed="false">
      <c r="A331" s="6" t="s">
        <v>424</v>
      </c>
      <c r="B331" s="29" t="n">
        <f aca="false">B329</f>
        <v>-946.904993541033</v>
      </c>
      <c r="C331" s="29" t="n">
        <f aca="false">B331+C329</f>
        <v>-1324.50938877025</v>
      </c>
      <c r="D331" s="29" t="n">
        <f aca="false">C331+D329</f>
        <v>-829.331361302435</v>
      </c>
      <c r="E331" s="29" t="n">
        <f aca="false">D331+E329</f>
        <v>-440.363553846044</v>
      </c>
      <c r="F331" s="29" t="n">
        <f aca="false">E331+F329</f>
        <v>-7.15529762181853</v>
      </c>
      <c r="G331" s="29" t="n">
        <f aca="false">F331+G329</f>
        <v>391.739891931198</v>
      </c>
      <c r="H331" s="29" t="n">
        <f aca="false">G331+H329</f>
        <v>769.149902409008</v>
      </c>
      <c r="I331" s="29" t="n">
        <f aca="false">H331+I329</f>
        <v>1207.23317489045</v>
      </c>
      <c r="J331" s="29" t="n">
        <f aca="false">I331+J329</f>
        <v>1635.49012420849</v>
      </c>
      <c r="K331" s="29" t="n">
        <f aca="false">J331+K329</f>
        <v>2062.45836195073</v>
      </c>
      <c r="L331" s="29" t="n">
        <f aca="false">K331+L329</f>
        <v>2753.5354293099</v>
      </c>
    </row>
    <row r="332" customFormat="false" ht="15" hidden="true" customHeight="false" outlineLevel="1" collapsed="false">
      <c r="A332" s="9" t="s">
        <v>425</v>
      </c>
      <c r="B332" s="60" t="n">
        <v>0</v>
      </c>
      <c r="C332" s="60" t="n">
        <f aca="false">IF(AND(B331&lt;0,C331&gt;=0),B$47+(-B331)/C329,0)</f>
        <v>0</v>
      </c>
      <c r="D332" s="60" t="n">
        <f aca="false">IF(AND(C331&lt;0,D331&gt;=0),C$47+(-C331)/D329,0)</f>
        <v>0</v>
      </c>
      <c r="E332" s="60" t="n">
        <f aca="false">IF(AND(D331&lt;0,E331&gt;=0),D$47+(-D331)/E329,0)</f>
        <v>0</v>
      </c>
      <c r="F332" s="60" t="n">
        <f aca="false">IF(AND(E331&lt;0,F331&gt;=0),E$47+(-E331)/F329,0)</f>
        <v>0</v>
      </c>
      <c r="G332" s="60" t="n">
        <f aca="false">IF(AND(F331&lt;0,G331&gt;=0),F$47+(-F331)/G329,0)</f>
        <v>4.01793778869541</v>
      </c>
      <c r="H332" s="60" t="n">
        <f aca="false">IF(AND(G331&lt;0,H331&gt;=0),G$47+(-G331)/H329,0)</f>
        <v>0</v>
      </c>
      <c r="I332" s="60" t="n">
        <f aca="false">IF(AND(H331&lt;0,I331&gt;=0),H$47+(-H331)/I329,0)</f>
        <v>0</v>
      </c>
      <c r="J332" s="60" t="n">
        <f aca="false">IF(AND(I331&lt;0,J331&gt;=0),I$47+(-I331)/J329,0)</f>
        <v>0</v>
      </c>
      <c r="K332" s="60" t="n">
        <f aca="false">IF(AND(J331&lt;0,K331&gt;=0),J$47+(-J331)/K329,0)</f>
        <v>0</v>
      </c>
      <c r="L332" s="60" t="n">
        <f aca="false">IF(AND(K331&lt;0,L331&gt;=0),K$47+(-K331)/L329,0)</f>
        <v>0</v>
      </c>
    </row>
    <row r="333" customFormat="false" ht="15" hidden="true" customHeight="false" outlineLevel="1" collapsed="false">
      <c r="A333" s="9" t="s">
        <v>426</v>
      </c>
      <c r="B333" s="57" t="n">
        <f aca="false">(B309/$B$309)/(1+$H$29)^B$47</f>
        <v>1</v>
      </c>
      <c r="C333" s="57" t="n">
        <f aca="false">(C309/$B$309)/(1+$H$29)^C$47</f>
        <v>0.915373701313561</v>
      </c>
      <c r="D333" s="57" t="n">
        <f aca="false">(D309/$B$309)/(1+$H$29)^D$47</f>
        <v>0.833918970137172</v>
      </c>
      <c r="E333" s="57" t="n">
        <f aca="false">(E309/$B$309)/(1+$H$29)^E$47</f>
        <v>0.756077518153961</v>
      </c>
      <c r="F333" s="57" t="n">
        <f aca="false">(F309/$B$309)/(1+$H$29)^F$47</f>
        <v>0.685502109831871</v>
      </c>
      <c r="G333" s="57" t="n">
        <f aca="false">(G309/$B$309)/(1+$H$29)^G$47</f>
        <v>0.621514502549008</v>
      </c>
      <c r="H333" s="57" t="n">
        <f aca="false">(H309/$B$309)/(1+$H$29)^H$47</f>
        <v>0.563499763660072</v>
      </c>
      <c r="I333" s="57" t="n">
        <f aca="false">(I309/$B$309)/(1+$H$29)^I$47</f>
        <v>0.510900360880829</v>
      </c>
      <c r="J333" s="57" t="n">
        <f aca="false">(J309/$B$309)/(1+$H$29)^J$47</f>
        <v>0.463210804300567</v>
      </c>
      <c r="K333" s="57" t="n">
        <f aca="false">(K309/$B$309)/(1+$H$29)^K$47</f>
        <v>0.419972788531318</v>
      </c>
      <c r="L333" s="57" t="n">
        <f aca="false">(L309/$B$309)/(1+$H$29)^L$47</f>
        <v>0.380770788308996</v>
      </c>
    </row>
    <row r="334" customFormat="false" ht="15" hidden="true" customHeight="false" outlineLevel="1" collapsed="false">
      <c r="A334" s="9" t="s">
        <v>427</v>
      </c>
      <c r="B334" s="58" t="n">
        <f aca="false">B329*B333</f>
        <v>-946.904993541033</v>
      </c>
      <c r="C334" s="58" t="n">
        <f aca="false">C329*C333</f>
        <v>-345.649132893238</v>
      </c>
      <c r="D334" s="58" t="n">
        <f aca="false">D329*D333</f>
        <v>412.938350700518</v>
      </c>
      <c r="E334" s="58" t="n">
        <f aca="false">E329*E333</f>
        <v>294.089814503416</v>
      </c>
      <c r="F334" s="58" t="n">
        <f aca="false">F329*F333</f>
        <v>296.965173638293</v>
      </c>
      <c r="G334" s="58" t="n">
        <f aca="false">G329*G333</f>
        <v>247.919145304235</v>
      </c>
      <c r="H334" s="58" t="n">
        <f aca="false">H329*H333</f>
        <v>212.670451707191</v>
      </c>
      <c r="I334" s="58" t="n">
        <f aca="false">I329*I333</f>
        <v>223.816902006622</v>
      </c>
      <c r="J334" s="58" t="n">
        <f aca="false">J329*J333</f>
        <v>198.373245940917</v>
      </c>
      <c r="K334" s="58" t="n">
        <f aca="false">K329*K333</f>
        <v>179.315041418913</v>
      </c>
      <c r="L334" s="58" t="n">
        <f aca="false">L329*L333</f>
        <v>263.141959720617</v>
      </c>
    </row>
    <row r="335" customFormat="false" ht="15" hidden="true" customHeight="false" outlineLevel="1" collapsed="false">
      <c r="A335" s="9" t="s">
        <v>428</v>
      </c>
      <c r="B335" s="58" t="n">
        <f aca="false">B334</f>
        <v>-946.904993541033</v>
      </c>
      <c r="C335" s="58" t="n">
        <f aca="false">B335+C334</f>
        <v>-1292.55412643427</v>
      </c>
      <c r="D335" s="58" t="n">
        <f aca="false">C335+D334</f>
        <v>-879.615775733753</v>
      </c>
      <c r="E335" s="58" t="n">
        <f aca="false">D335+E334</f>
        <v>-585.525961230338</v>
      </c>
      <c r="F335" s="58" t="n">
        <f aca="false">E335+F334</f>
        <v>-288.560787592045</v>
      </c>
      <c r="G335" s="58" t="n">
        <f aca="false">F335+G334</f>
        <v>-40.6416422878098</v>
      </c>
      <c r="H335" s="58" t="n">
        <f aca="false">G335+H334</f>
        <v>172.028809419381</v>
      </c>
      <c r="I335" s="58" t="n">
        <f aca="false">H335+I334</f>
        <v>395.845711426004</v>
      </c>
      <c r="J335" s="58" t="n">
        <f aca="false">I335+J334</f>
        <v>594.218957366921</v>
      </c>
      <c r="K335" s="58" t="n">
        <f aca="false">J335+K334</f>
        <v>773.533998785834</v>
      </c>
      <c r="L335" s="58" t="n">
        <f aca="false">K335+L334</f>
        <v>1036.67595850645</v>
      </c>
    </row>
    <row r="336" customFormat="false" ht="15" hidden="true" customHeight="false" outlineLevel="1" collapsed="false">
      <c r="A336" s="9" t="s">
        <v>429</v>
      </c>
      <c r="B336" s="60" t="n">
        <v>0</v>
      </c>
      <c r="C336" s="60" t="n">
        <f aca="false">IF(AND(B335&lt;0,C335&gt;=0),B$47+(-B335)/C334,0)</f>
        <v>0</v>
      </c>
      <c r="D336" s="60" t="n">
        <f aca="false">IF(AND(C335&lt;0,D335&gt;=0),C$47+(-C335)/D334,0)</f>
        <v>0</v>
      </c>
      <c r="E336" s="60" t="n">
        <f aca="false">IF(AND(D335&lt;0,E335&gt;=0),D$47+(-D335)/E334,0)</f>
        <v>0</v>
      </c>
      <c r="F336" s="60" t="n">
        <f aca="false">IF(AND(E335&lt;0,F335&gt;=0),E$47+(-E335)/F334,0)</f>
        <v>0</v>
      </c>
      <c r="G336" s="60" t="n">
        <f aca="false">IF(AND(F335&lt;0,G335&gt;=0),F$47+(-F335)/G334,0)</f>
        <v>0</v>
      </c>
      <c r="H336" s="60" t="n">
        <f aca="false">IF(AND(G335&lt;0,H335&gt;=0),G$47+(-G335)/H334,0)</f>
        <v>5.19110149981609</v>
      </c>
      <c r="I336" s="60" t="n">
        <f aca="false">IF(AND(H335&lt;0,I335&gt;=0),H$47+(-H335)/I334,0)</f>
        <v>0</v>
      </c>
      <c r="J336" s="60" t="n">
        <f aca="false">IF(AND(I335&lt;0,J335&gt;=0),I$47+(-I335)/J334,0)</f>
        <v>0</v>
      </c>
      <c r="K336" s="60" t="n">
        <f aca="false">IF(AND(J335&lt;0,K335&gt;=0),J$47+(-J335)/K334,0)</f>
        <v>0</v>
      </c>
      <c r="L336" s="60" t="n">
        <f aca="false">IF(AND(K335&lt;0,L335&gt;=0),K$47+(-K335)/L334,0)</f>
        <v>0</v>
      </c>
    </row>
    <row r="337" customFormat="false" ht="15" hidden="true" customHeight="false" outlineLevel="1" collapsed="false">
      <c r="A337" s="9" t="s">
        <v>430</v>
      </c>
      <c r="B337" s="58" t="n">
        <f aca="false">IF(B$47&lt;0,0,(Quesería!$B$44*$B$312*$B$309)*(1-MAX(0,MIN(B$47-0-Quesería!$B$47,(Quesería!$B$46-Quesería!$B$47)))/(Quesería!$B$46-Quesería!$B$47))*IF(B$47&gt;=2,1-Quesería!$B$48,1))+IF(B$47&lt;1,0,(Quesería!$B$44*$C$312*$C$309)*(1-MAX(0,MIN(B$47-1-Quesería!$B$47,(Quesería!$B$46-Quesería!$B$47)))/(Quesería!$B$46-Quesería!$B$47))*IF(B$47&gt;=2,1-Quesería!$B$48,1))</f>
        <v>641.321364968425</v>
      </c>
      <c r="C337" s="58" t="n">
        <f aca="false">IF(C$47&lt;0,0,(Quesería!$B$44*$B$312*$B$309)*(1-MAX(0,MIN(C$47-0-Quesería!$B$47,(Quesería!$B$46-Quesería!$B$47)))/(Quesería!$B$46-Quesería!$B$47))*IF(C$47&gt;=2,1-Quesería!$B$48,1))+IF(C$47&lt;1,0,(Quesería!$B$44*$C$312*$C$309)*(1-MAX(0,MIN(C$47-1-Quesería!$B$47,(Quesería!$B$46-Quesería!$B$47)))/(Quesería!$B$46-Quesería!$B$47))*IF(C$47&gt;=2,1-Quesería!$B$48,1))</f>
        <v>1117.69081125409</v>
      </c>
      <c r="D337" s="58" t="n">
        <f aca="false">IF(D$47&lt;0,0,(Quesería!$B$44*$B$312*$B$309)*(1-MAX(0,MIN(D$47-0-Quesería!$B$47,(Quesería!$B$46-Quesería!$B$47)))/(Quesería!$B$46-Quesería!$B$47))*IF(D$47&gt;=2,1-Quesería!$B$48,1))+IF(D$47&lt;1,0,(Quesería!$B$44*$C$312*$C$309)*(1-MAX(0,MIN(D$47-1-Quesería!$B$47,(Quesería!$B$46-Quesería!$B$47)))/(Quesería!$B$46-Quesería!$B$47))*IF(D$47&gt;=2,1-Quesería!$B$48,1))</f>
        <v>1010.80391709269</v>
      </c>
      <c r="E337" s="58" t="n">
        <f aca="false">IF(E$47&lt;0,0,(Quesería!$B$44*$B$312*$B$309)*(1-MAX(0,MIN(E$47-0-Quesería!$B$47,(Quesería!$B$46-Quesería!$B$47)))/(Quesería!$B$46-Quesería!$B$47))*IF(E$47&gt;=2,1-Quesería!$B$48,1))+IF(E$47&lt;1,0,(Quesería!$B$44*$C$312*$C$309)*(1-MAX(0,MIN(E$47-1-Quesería!$B$47,(Quesería!$B$46-Quesería!$B$47)))/(Quesería!$B$46-Quesería!$B$47))*IF(E$47&gt;=2,1-Quesería!$B$48,1))</f>
        <v>824.522115217005</v>
      </c>
      <c r="F337" s="58" t="n">
        <f aca="false">IF(F$47&lt;0,0,(Quesería!$B$44*$B$312*$B$309)*(1-MAX(0,MIN(F$47-0-Quesería!$B$47,(Quesería!$B$46-Quesería!$B$47)))/(Quesería!$B$46-Quesería!$B$47))*IF(F$47&gt;=2,1-Quesería!$B$48,1))+IF(F$47&lt;1,0,(Quesería!$B$44*$C$312*$C$309)*(1-MAX(0,MIN(F$47-1-Quesería!$B$47,(Quesería!$B$46-Quesería!$B$47)))/(Quesería!$B$46-Quesería!$B$47))*IF(F$47&gt;=2,1-Quesería!$B$48,1))</f>
        <v>638.240313341323</v>
      </c>
      <c r="G337" s="58" t="n">
        <f aca="false">IF(G$47&lt;0,0,(Quesería!$B$44*$B$312*$B$309)*(1-MAX(0,MIN(G$47-0-Quesería!$B$47,(Quesería!$B$46-Quesería!$B$47)))/(Quesería!$B$46-Quesería!$B$47))*IF(G$47&gt;=2,1-Quesería!$B$48,1))+IF(G$47&lt;1,0,(Quesería!$B$44*$C$312*$C$309)*(1-MAX(0,MIN(G$47-1-Quesería!$B$47,(Quesería!$B$46-Quesería!$B$47)))/(Quesería!$B$46-Quesería!$B$47))*IF(G$47&gt;=2,1-Quesería!$B$48,1))</f>
        <v>451.958511465641</v>
      </c>
      <c r="H337" s="58" t="n">
        <f aca="false">IF(H$47&lt;0,0,(Quesería!$B$44*$B$312*$B$309)*(1-MAX(0,MIN(H$47-0-Quesería!$B$47,(Quesería!$B$46-Quesería!$B$47)))/(Quesería!$B$46-Quesería!$B$47))*IF(H$47&gt;=2,1-Quesería!$B$48,1))+IF(H$47&lt;1,0,(Quesería!$B$44*$C$312*$C$309)*(1-MAX(0,MIN(H$47-1-Quesería!$B$47,(Quesería!$B$46-Quesería!$B$47)))/(Quesería!$B$46-Quesería!$B$47))*IF(H$47&gt;=2,1-Quesería!$B$48,1))</f>
        <v>265.67670958996</v>
      </c>
      <c r="I337" s="58" t="n">
        <f aca="false">IF(I$47&lt;0,0,(Quesería!$B$44*$B$312*$B$309)*(1-MAX(0,MIN(I$47-0-Quesería!$B$47,(Quesería!$B$46-Quesería!$B$47)))/(Quesería!$B$46-Quesería!$B$47))*IF(I$47&gt;=2,1-Quesería!$B$48,1))+IF(I$47&lt;1,0,(Quesería!$B$44*$C$312*$C$309)*(1-MAX(0,MIN(I$47-1-Quesería!$B$47,(Quesería!$B$46-Quesería!$B$47)))/(Quesería!$B$46-Quesería!$B$47))*IF(I$47&gt;=2,1-Quesería!$B$48,1))</f>
        <v>79.3949077142776</v>
      </c>
      <c r="J337" s="58" t="n">
        <f aca="false">IF(J$47&lt;0,0,(Quesería!$B$44*$B$312*$B$309)*(1-MAX(0,MIN(J$47-0-Quesería!$B$47,(Quesería!$B$46-Quesería!$B$47)))/(Quesería!$B$46-Quesería!$B$47))*IF(J$47&gt;=2,1-Quesería!$B$48,1))+IF(J$47&lt;1,0,(Quesería!$B$44*$C$312*$C$309)*(1-MAX(0,MIN(J$47-1-Quesería!$B$47,(Quesería!$B$46-Quesería!$B$47)))/(Quesería!$B$46-Quesería!$B$47))*IF(J$47&gt;=2,1-Quesería!$B$48,1))</f>
        <v>0</v>
      </c>
      <c r="K337" s="58" t="n">
        <f aca="false">IF(K$47&lt;0,0,(Quesería!$B$44*$B$312*$B$309)*(1-MAX(0,MIN(K$47-0-Quesería!$B$47,(Quesería!$B$46-Quesería!$B$47)))/(Quesería!$B$46-Quesería!$B$47))*IF(K$47&gt;=2,1-Quesería!$B$48,1))+IF(K$47&lt;1,0,(Quesería!$B$44*$C$312*$C$309)*(1-MAX(0,MIN(K$47-1-Quesería!$B$47,(Quesería!$B$46-Quesería!$B$47)))/(Quesería!$B$46-Quesería!$B$47))*IF(K$47&gt;=2,1-Quesería!$B$48,1))</f>
        <v>0</v>
      </c>
      <c r="L337" s="58" t="n">
        <f aca="false">IF(L$47&lt;0,0,(Quesería!$B$44*$B$312*$B$309)*(1-MAX(0,MIN(L$47-0-Quesería!$B$47,(Quesería!$B$46-Quesería!$B$47)))/(Quesería!$B$46-Quesería!$B$47))*IF(L$47&gt;=2,1-Quesería!$B$48,1))+IF(L$47&lt;1,0,(Quesería!$B$44*$C$312*$C$309)*(1-MAX(0,MIN(L$47-1-Quesería!$B$47,(Quesería!$B$46-Quesería!$B$47)))/(Quesería!$B$46-Quesería!$B$47))*IF(L$47&gt;=2,1-Quesería!$B$48,1))</f>
        <v>0</v>
      </c>
    </row>
    <row r="338" customFormat="false" ht="15" hidden="true" customHeight="false" outlineLevel="1" collapsed="false">
      <c r="A338" s="6" t="s">
        <v>431</v>
      </c>
      <c r="B338" s="29" t="n">
        <f aca="false">Quesería!$B$44*B312</f>
        <v>605.02015563059</v>
      </c>
      <c r="C338" s="29" t="n">
        <f aca="false">Quesería!$B$44*C312</f>
        <v>428.004893338424</v>
      </c>
      <c r="D338" s="29" t="n">
        <f aca="false">Quesería!$B$44*D312</f>
        <v>0</v>
      </c>
      <c r="E338" s="29" t="n">
        <f aca="false">Quesería!$B$44*E312</f>
        <v>0</v>
      </c>
      <c r="F338" s="29" t="n">
        <f aca="false">Quesería!$B$44*F312</f>
        <v>0</v>
      </c>
      <c r="G338" s="29" t="n">
        <f aca="false">Quesería!$B$44*G312</f>
        <v>0</v>
      </c>
      <c r="H338" s="29" t="n">
        <f aca="false">Quesería!$B$44*H312</f>
        <v>0</v>
      </c>
      <c r="I338" s="29" t="n">
        <f aca="false">Quesería!$B$44*I312</f>
        <v>0</v>
      </c>
      <c r="J338" s="29" t="n">
        <f aca="false">Quesería!$B$44*J312</f>
        <v>0</v>
      </c>
      <c r="K338" s="29" t="n">
        <f aca="false">Quesería!$B$44*K312</f>
        <v>0</v>
      </c>
      <c r="L338" s="29" t="n">
        <f aca="false">Quesería!$B$44*L312</f>
        <v>0</v>
      </c>
    </row>
    <row r="339" customFormat="false" ht="15" hidden="true" customHeight="false" outlineLevel="1" collapsed="false">
      <c r="A339" s="6" t="s">
        <v>432</v>
      </c>
      <c r="B339" s="29" t="n">
        <f aca="false">(IF(AND(B$47&gt;0,B$47&lt;=0+Quesería!$B$46),($H$14+$H$28)*(Quesería!$B$44*$B$312*$B$309)*(1-MAX(0,MIN((B$47-1)-0-Quesería!$B$47,(Quesería!$B$46-Quesería!$B$47)))/(Quesería!$B$46-Quesería!$B$47))*IF(B$47&gt;2,1-Quesería!$B$48,1),0)+IF(AND(B$47&gt;1,B$47&lt;=1+Quesería!$B$46),($H$14+$H$28)*(Quesería!$B$44*$C$312*$C$309)*(1-MAX(0,MIN((B$47-1)-1-Quesería!$B$47,(Quesería!$B$46-Quesería!$B$47)))/(Quesería!$B$46-Quesería!$B$47))*IF(B$47&gt;2,1-Quesería!$B$48,1),0))*B311</f>
        <v>0</v>
      </c>
      <c r="C339" s="29" t="n">
        <f aca="false">(IF(AND(C$47&gt;0,C$47&lt;=0+Quesería!$B$46),($H$14+$H$28)*(Quesería!$B$44*$B$312*$B$309)*(1-MAX(0,MIN((C$47-1)-0-Quesería!$B$47,(Quesería!$B$46-Quesería!$B$47)))/(Quesería!$B$46-Quesería!$B$47))*IF(C$47&gt;2,1-Quesería!$B$48,1),0)+IF(AND(C$47&gt;1,C$47&lt;=1+Quesería!$B$46),($H$14+$H$28)*(Quesería!$B$44*$C$312*$C$309)*(1-MAX(0,MIN((C$47-1)-1-Quesería!$B$47,(Quesería!$B$46-Quesería!$B$47)))/(Quesería!$B$46-Quesería!$B$47))*IF(C$47&gt;2,1-Quesería!$B$48,1),0))*C311</f>
        <v>81.2455637561078</v>
      </c>
      <c r="D339" s="29" t="n">
        <f aca="false">(IF(AND(D$47&gt;0,D$47&lt;=0+Quesería!$B$46),($H$14+$H$28)*(Quesería!$B$44*$B$312*$B$309)*(1-MAX(0,MIN((D$47-1)-0-Quesería!$B$47,(Quesería!$B$46-Quesería!$B$47)))/(Quesería!$B$46-Quesería!$B$47))*IF(D$47&gt;2,1-Quesería!$B$48,1),0)+IF(AND(D$47&gt;1,D$47&lt;=1+Quesería!$B$46),($H$14+$H$28)*(Quesería!$B$44*$C$312*$C$309)*(1-MAX(0,MIN((D$47-1)-1-Quesería!$B$47,(Quesería!$B$46-Quesería!$B$47)))/(Quesería!$B$46-Quesería!$B$47))*IF(D$47&gt;2,1-Quesería!$B$48,1),0))*D311</f>
        <v>135.496893508924</v>
      </c>
      <c r="E339" s="29" t="n">
        <f aca="false">(IF(AND(E$47&gt;0,E$47&lt;=0+Quesería!$B$46),($H$14+$H$28)*(Quesería!$B$44*$B$312*$B$309)*(1-MAX(0,MIN((E$47-1)-0-Quesería!$B$47,(Quesería!$B$46-Quesería!$B$47)))/(Quesería!$B$46-Quesería!$B$47))*IF(E$47&gt;2,1-Quesería!$B$48,1),0)+IF(AND(E$47&gt;1,E$47&lt;=1+Quesería!$B$46),($H$14+$H$28)*(Quesería!$B$44*$C$312*$C$309)*(1-MAX(0,MIN((E$47-1)-1-Quesería!$B$47,(Quesería!$B$46-Quesería!$B$47)))/(Quesería!$B$46-Quesería!$B$47))*IF(E$47&gt;2,1-Quesería!$B$48,1),0))*E311</f>
        <v>117.826027258135</v>
      </c>
      <c r="F339" s="29" t="n">
        <f aca="false">(IF(AND(F$47&gt;0,F$47&lt;=0+Quesería!$B$46),($H$14+$H$28)*(Quesería!$B$44*$B$312*$B$309)*(1-MAX(0,MIN((F$47-1)-0-Quesería!$B$47,(Quesería!$B$46-Quesería!$B$47)))/(Quesería!$B$46-Quesería!$B$47))*IF(F$47&gt;2,1-Quesería!$B$48,1),0)+IF(AND(F$47&gt;1,F$47&lt;=1+Quesería!$B$46),($H$14+$H$28)*(Quesería!$B$44*$C$312*$C$309)*(1-MAX(0,MIN((F$47-1)-1-Quesería!$B$47,(Quesería!$B$46-Quesería!$B$47)))/(Quesería!$B$46-Quesería!$B$47))*IF(F$47&gt;2,1-Quesería!$B$48,1),0))*F311</f>
        <v>92.4151745225957</v>
      </c>
      <c r="G339" s="29" t="n">
        <f aca="false">(IF(AND(G$47&gt;0,G$47&lt;=0+Quesería!$B$46),($H$14+$H$28)*(Quesería!$B$44*$B$312*$B$309)*(1-MAX(0,MIN((G$47-1)-0-Quesería!$B$47,(Quesería!$B$46-Quesería!$B$47)))/(Quesería!$B$46-Quesería!$B$47))*IF(G$47&gt;2,1-Quesería!$B$48,1),0)+IF(AND(G$47&gt;1,G$47&lt;=1+Quesería!$B$46),($H$14+$H$28)*(Quesería!$B$44*$C$312*$C$309)*(1-MAX(0,MIN((G$47-1)-1-Quesería!$B$47,(Quesería!$B$46-Quesería!$B$47)))/(Quesería!$B$46-Quesería!$B$47))*IF(G$47&gt;2,1-Quesería!$B$48,1),0))*G311</f>
        <v>68.7847039098228</v>
      </c>
      <c r="H339" s="29" t="n">
        <f aca="false">(IF(AND(H$47&gt;0,H$47&lt;=0+Quesería!$B$46),($H$14+$H$28)*(Quesería!$B$44*$B$312*$B$309)*(1-MAX(0,MIN((H$47-1)-0-Quesería!$B$47,(Quesería!$B$46-Quesería!$B$47)))/(Quesería!$B$46-Quesería!$B$47))*IF(H$47&gt;2,1-Quesería!$B$48,1),0)+IF(AND(H$47&gt;1,H$47&lt;=1+Quesería!$B$46),($H$14+$H$28)*(Quesería!$B$44*$C$312*$C$309)*(1-MAX(0,MIN((H$47-1)-1-Quesería!$B$47,(Quesería!$B$46-Quesería!$B$47)))/(Quesería!$B$46-Quesería!$B$47))*IF(H$47&gt;2,1-Quesería!$B$48,1),0))*H311</f>
        <v>46.8352529676735</v>
      </c>
      <c r="I339" s="29" t="n">
        <f aca="false">(IF(AND(I$47&gt;0,I$47&lt;=0+Quesería!$B$46),($H$14+$H$28)*(Quesería!$B$44*$B$312*$B$309)*(1-MAX(0,MIN((I$47-1)-0-Quesería!$B$47,(Quesería!$B$46-Quesería!$B$47)))/(Quesería!$B$46-Quesería!$B$47))*IF(I$47&gt;2,1-Quesería!$B$48,1),0)+IF(AND(I$47&gt;1,I$47&lt;=1+Quesería!$B$46),($H$14+$H$28)*(Quesería!$B$44*$C$312*$C$309)*(1-MAX(0,MIN((I$47-1)-1-Quesería!$B$47,(Quesería!$B$46-Quesería!$B$47)))/(Quesería!$B$46-Quesería!$B$47))*IF(I$47&gt;2,1-Quesería!$B$48,1),0))*I311</f>
        <v>26.4724688081898</v>
      </c>
      <c r="J339" s="29" t="n">
        <f aca="false">(IF(AND(J$47&gt;0,J$47&lt;=0+Quesería!$B$46),($H$14+$H$28)*(Quesería!$B$44*$B$312*$B$309)*(1-MAX(0,MIN((J$47-1)-0-Quesería!$B$47,(Quesería!$B$46-Quesería!$B$47)))/(Quesería!$B$46-Quesería!$B$47))*IF(J$47&gt;2,1-Quesería!$B$48,1),0)+IF(AND(J$47&gt;1,J$47&lt;=1+Quesería!$B$46),($H$14+$H$28)*(Quesería!$B$44*$C$312*$C$309)*(1-MAX(0,MIN((J$47-1)-1-Quesería!$B$47,(Quesería!$B$46-Quesería!$B$47)))/(Quesería!$B$46-Quesería!$B$47))*IF(J$47&gt;2,1-Quesería!$B$48,1),0))*J311</f>
        <v>7.60676974238282</v>
      </c>
      <c r="K339" s="29" t="n">
        <f aca="false">(IF(AND(K$47&gt;0,K$47&lt;=0+Quesería!$B$46),($H$14+$H$28)*(Quesería!$B$44*$B$312*$B$309)*(1-MAX(0,MIN((K$47-1)-0-Quesería!$B$47,(Quesería!$B$46-Quesería!$B$47)))/(Quesería!$B$46-Quesería!$B$47))*IF(K$47&gt;2,1-Quesería!$B$48,1),0)+IF(AND(K$47&gt;1,K$47&lt;=1+Quesería!$B$46),($H$14+$H$28)*(Quesería!$B$44*$C$312*$C$309)*(1-MAX(0,MIN((K$47-1)-1-Quesería!$B$47,(Quesería!$B$46-Quesería!$B$47)))/(Quesería!$B$46-Quesería!$B$47))*IF(K$47&gt;2,1-Quesería!$B$48,1),0))*K311</f>
        <v>0</v>
      </c>
      <c r="L339" s="29" t="n">
        <f aca="false">(IF(AND(L$47&gt;0,L$47&lt;=0+Quesería!$B$46),($H$14+$H$28)*(Quesería!$B$44*$B$312*$B$309)*(1-MAX(0,MIN((L$47-1)-0-Quesería!$B$47,(Quesería!$B$46-Quesería!$B$47)))/(Quesería!$B$46-Quesería!$B$47))*IF(L$47&gt;2,1-Quesería!$B$48,1),0)+IF(AND(L$47&gt;1,L$47&lt;=1+Quesería!$B$46),($H$14+$H$28)*(Quesería!$B$44*$C$312*$C$309)*(1-MAX(0,MIN((L$47-1)-1-Quesería!$B$47,(Quesería!$B$46-Quesería!$B$47)))/(Quesería!$B$46-Quesería!$B$47))*IF(L$47&gt;2,1-Quesería!$B$48,1),0))*L311</f>
        <v>0</v>
      </c>
    </row>
    <row r="340" customFormat="false" ht="15" hidden="true" customHeight="false" outlineLevel="1" collapsed="false">
      <c r="A340" s="6" t="s">
        <v>433</v>
      </c>
      <c r="B340" s="29" t="n">
        <f aca="false">((IF(AND(B$47&gt;0+Quesería!$B$47,B$47&lt;=0+Quesería!$B$46),(Quesería!$B$44*$B$312*$B$309)/(Quesería!$B$46-Quesería!$B$47),0)*IF(B$47&gt;2,1-Quesería!$B$48,1)+IF(B$47=2,Quesería!$B$48*(Quesería!$B$44*$B$312*$B$309)*(1-MAX(0,MIN(2-0-Quesería!$B$47,(Quesería!$B$46-Quesería!$B$47)))/(Quesería!$B$46-Quesería!$B$47)),0))+(IF(AND(B$47&gt;1+Quesería!$B$47,B$47&lt;=1+Quesería!$B$46),(Quesería!$B$44*$C$312*$C$309)/(Quesería!$B$46-Quesería!$B$47),0)*IF(B$47&gt;2,1-Quesería!$B$48,1)+IF(B$47=2,Quesería!$B$48*(Quesería!$B$44*$C$312*$C$309)*(1-MAX(0,MIN(2-1-Quesería!$B$47,(Quesería!$B$46-Quesería!$B$47)))/(Quesería!$B$46-Quesería!$B$47)),0)))*B311</f>
        <v>0</v>
      </c>
      <c r="C340" s="29" t="n">
        <f aca="false">((IF(AND(C$47&gt;0+Quesería!$B$47,C$47&lt;=0+Quesería!$B$46),(Quesería!$B$44*$B$312*$B$309)/(Quesería!$B$46-Quesería!$B$47),0)*IF(C$47&gt;2,1-Quesería!$B$48,1)+IF(C$47=2,Quesería!$B$48*(Quesería!$B$44*$B$312*$B$309)*(1-MAX(0,MIN(2-0-Quesería!$B$47,(Quesería!$B$46-Quesería!$B$47)))/(Quesería!$B$46-Quesería!$B$47)),0))+(IF(AND(C$47&gt;1+Quesería!$B$47,C$47&lt;=1+Quesería!$B$46),(Quesería!$B$44*$C$312*$C$309)/(Quesería!$B$46-Quesería!$B$47),0)*IF(C$47&gt;2,1-Quesería!$B$48,1)+IF(C$47=2,Quesería!$B$48*(Quesería!$B$44*$C$312*$C$309)*(1-MAX(0,MIN(2-1-Quesería!$B$47,(Quesería!$B$46-Quesería!$B$47)))/(Quesería!$B$46-Quesería!$B$47)),0)))*C311</f>
        <v>0</v>
      </c>
      <c r="D340" s="29" t="n">
        <f aca="false">((IF(AND(D$47&gt;0+Quesería!$B$47,D$47&lt;=0+Quesería!$B$46),(Quesería!$B$44*$B$312*$B$309)/(Quesería!$B$46-Quesería!$B$47),0)*IF(D$47&gt;2,1-Quesería!$B$48,1)+IF(D$47=2,Quesería!$B$48*(Quesería!$B$44*$B$312*$B$309)*(1-MAX(0,MIN(2-0-Quesería!$B$47,(Quesería!$B$46-Quesería!$B$47)))/(Quesería!$B$46-Quesería!$B$47)),0))+(IF(AND(D$47&gt;1+Quesería!$B$47,D$47&lt;=1+Quesería!$B$46),(Quesería!$B$44*$C$312*$C$309)/(Quesería!$B$46-Quesería!$B$47),0)*IF(D$47&gt;2,1-Quesería!$B$48,1)+IF(D$47=2,Quesería!$B$48*(Quesería!$B$44*$C$312*$C$309)*(1-MAX(0,MIN(2-1-Quesería!$B$47,(Quesería!$B$46-Quesería!$B$47)))/(Quesería!$B$46-Quesería!$B$47)),0)))*D311</f>
        <v>91.8994692231472</v>
      </c>
      <c r="E340" s="29" t="n">
        <f aca="false">((IF(AND(E$47&gt;0+Quesería!$B$47,E$47&lt;=0+Quesería!$B$46),(Quesería!$B$44*$B$312*$B$309)/(Quesería!$B$46-Quesería!$B$47),0)*IF(E$47&gt;2,1-Quesería!$B$48,1)+IF(E$47=2,Quesería!$B$48*(Quesería!$B$44*$B$312*$B$309)*(1-MAX(0,MIN(2-0-Quesería!$B$47,(Quesería!$B$46-Quesería!$B$47)))/(Quesería!$B$46-Quesería!$B$47)),0))+(IF(AND(E$47&gt;1+Quesería!$B$47,E$47&lt;=1+Quesería!$B$46),(Quesería!$B$44*$C$312*$C$309)/(Quesería!$B$46-Quesería!$B$47),0)*IF(E$47&gt;2,1-Quesería!$B$48,1)+IF(E$47=2,Quesería!$B$48*(Quesería!$B$44*$C$312*$C$309)*(1-MAX(0,MIN(2-1-Quesería!$B$47,(Quesería!$B$46-Quesería!$B$47)))/(Quesería!$B$46-Quesería!$B$47)),0)))*E311</f>
        <v>154.001742940676</v>
      </c>
      <c r="F340" s="29" t="n">
        <f aca="false">((IF(AND(F$47&gt;0+Quesería!$B$47,F$47&lt;=0+Quesería!$B$46),(Quesería!$B$44*$B$312*$B$309)/(Quesería!$B$46-Quesería!$B$47),0)*IF(F$47&gt;2,1-Quesería!$B$48,1)+IF(F$47=2,Quesería!$B$48*(Quesería!$B$44*$B$312*$B$309)*(1-MAX(0,MIN(2-0-Quesería!$B$47,(Quesería!$B$46-Quesería!$B$47)))/(Quesería!$B$46-Quesería!$B$47)),0))+(IF(AND(F$47&gt;1+Quesería!$B$47,F$47&lt;=1+Quesería!$B$46),(Quesería!$B$44*$C$312*$C$309)/(Quesería!$B$46-Quesería!$B$47),0)*IF(F$47&gt;2,1-Quesería!$B$48,1)+IF(F$47=2,Quesería!$B$48*(Quesería!$B$44*$C$312*$C$309)*(1-MAX(0,MIN(2-1-Quesería!$B$47,(Quesería!$B$46-Quesería!$B$47)))/(Quesería!$B$46-Quesería!$B$47)),0)))*F311</f>
        <v>148.078598981419</v>
      </c>
      <c r="G340" s="29" t="n">
        <f aca="false">((IF(AND(G$47&gt;0+Quesería!$B$47,G$47&lt;=0+Quesería!$B$46),(Quesería!$B$44*$B$312*$B$309)/(Quesería!$B$46-Quesería!$B$47),0)*IF(G$47&gt;2,1-Quesería!$B$48,1)+IF(G$47=2,Quesería!$B$48*(Quesería!$B$44*$B$312*$B$309)*(1-MAX(0,MIN(2-0-Quesería!$B$47,(Quesería!$B$46-Quesería!$B$47)))/(Quesería!$B$46-Quesería!$B$47)),0))+(IF(AND(G$47&gt;1+Quesería!$B$47,G$47&lt;=1+Quesería!$B$46),(Quesería!$B$44*$C$312*$C$309)/(Quesería!$B$46-Quesería!$B$47),0)*IF(G$47&gt;2,1-Quesería!$B$48,1)+IF(G$47=2,Quesería!$B$48*(Quesería!$B$44*$C$312*$C$309)*(1-MAX(0,MIN(2-1-Quesería!$B$47,(Quesería!$B$46-Quesería!$B$47)))/(Quesería!$B$46-Quesería!$B$47)),0)))*G311</f>
        <v>142.383268251364</v>
      </c>
      <c r="H340" s="29" t="n">
        <f aca="false">((IF(AND(H$47&gt;0+Quesería!$B$47,H$47&lt;=0+Quesería!$B$46),(Quesería!$B$44*$B$312*$B$309)/(Quesería!$B$46-Quesería!$B$47),0)*IF(H$47&gt;2,1-Quesería!$B$48,1)+IF(H$47=2,Quesería!$B$48*(Quesería!$B$44*$B$312*$B$309)*(1-MAX(0,MIN(2-0-Quesería!$B$47,(Quesería!$B$46-Quesería!$B$47)))/(Quesería!$B$46-Quesería!$B$47)),0))+(IF(AND(H$47&gt;1+Quesería!$B$47,H$47&lt;=1+Quesería!$B$46),(Quesería!$B$44*$C$312*$C$309)/(Quesería!$B$46-Quesería!$B$47),0)*IF(H$47&gt;2,1-Quesería!$B$48,1)+IF(H$47=2,Quesería!$B$48*(Quesería!$B$44*$C$312*$C$309)*(1-MAX(0,MIN(2-1-Quesería!$B$47,(Quesería!$B$46-Quesería!$B$47)))/(Quesería!$B$46-Quesería!$B$47)),0)))*H311</f>
        <v>136.906988703235</v>
      </c>
      <c r="I340" s="29" t="n">
        <f aca="false">((IF(AND(I$47&gt;0+Quesería!$B$47,I$47&lt;=0+Quesería!$B$46),(Quesería!$B$44*$B$312*$B$309)/(Quesería!$B$46-Quesería!$B$47),0)*IF(I$47&gt;2,1-Quesería!$B$48,1)+IF(I$47=2,Quesería!$B$48*(Quesería!$B$44*$B$312*$B$309)*(1-MAX(0,MIN(2-0-Quesería!$B$47,(Quesería!$B$46-Quesería!$B$47)))/(Quesería!$B$46-Quesería!$B$47)),0))+(IF(AND(I$47&gt;1+Quesería!$B$47,I$47&lt;=1+Quesería!$B$46),(Quesería!$B$44*$C$312*$C$309)/(Quesería!$B$46-Quesería!$B$47),0)*IF(I$47&gt;2,1-Quesería!$B$48,1)+IF(I$47=2,Quesería!$B$48*(Quesería!$B$44*$C$312*$C$309)*(1-MAX(0,MIN(2-1-Quesería!$B$47,(Quesería!$B$46-Quesería!$B$47)))/(Quesería!$B$46-Quesería!$B$47)),0)))*I311</f>
        <v>131.641335291572</v>
      </c>
      <c r="J340" s="29" t="n">
        <f aca="false">((IF(AND(J$47&gt;0+Quesería!$B$47,J$47&lt;=0+Quesería!$B$46),(Quesería!$B$44*$B$312*$B$309)/(Quesería!$B$46-Quesería!$B$47),0)*IF(J$47&gt;2,1-Quesería!$B$48,1)+IF(J$47=2,Quesería!$B$48*(Quesería!$B$44*$B$312*$B$309)*(1-MAX(0,MIN(2-0-Quesería!$B$47,(Quesería!$B$46-Quesería!$B$47)))/(Quesería!$B$46-Quesería!$B$47)),0))+(IF(AND(J$47&gt;1+Quesería!$B$47,J$47&lt;=1+Quesería!$B$46),(Quesería!$B$44*$C$312*$C$309)/(Quesería!$B$46-Quesería!$B$47),0)*IF(J$47&gt;2,1-Quesería!$B$48,1)+IF(J$47=2,Quesería!$B$48*(Quesería!$B$44*$C$312*$C$309)*(1-MAX(0,MIN(2-1-Quesería!$B$47,(Quesería!$B$46-Quesería!$B$47)))/(Quesería!$B$46-Quesería!$B$47)),0)))*J311</f>
        <v>53.9487215771831</v>
      </c>
      <c r="K340" s="29" t="n">
        <f aca="false">((IF(AND(K$47&gt;0+Quesería!$B$47,K$47&lt;=0+Quesería!$B$46),(Quesería!$B$44*$B$312*$B$309)/(Quesería!$B$46-Quesería!$B$47),0)*IF(K$47&gt;2,1-Quesería!$B$48,1)+IF(K$47=2,Quesería!$B$48*(Quesería!$B$44*$B$312*$B$309)*(1-MAX(0,MIN(2-0-Quesería!$B$47,(Quesería!$B$46-Quesería!$B$47)))/(Quesería!$B$46-Quesería!$B$47)),0))+(IF(AND(K$47&gt;1+Quesería!$B$47,K$47&lt;=1+Quesería!$B$46),(Quesería!$B$44*$C$312*$C$309)/(Quesería!$B$46-Quesería!$B$47),0)*IF(K$47&gt;2,1-Quesería!$B$48,1)+IF(K$47=2,Quesería!$B$48*(Quesería!$B$44*$C$312*$C$309)*(1-MAX(0,MIN(2-1-Quesería!$B$47,(Quesería!$B$46-Quesería!$B$47)))/(Quesería!$B$46-Quesería!$B$47)),0)))*K311</f>
        <v>0</v>
      </c>
      <c r="L340" s="29" t="n">
        <f aca="false">((IF(AND(L$47&gt;0+Quesería!$B$47,L$47&lt;=0+Quesería!$B$46),(Quesería!$B$44*$B$312*$B$309)/(Quesería!$B$46-Quesería!$B$47),0)*IF(L$47&gt;2,1-Quesería!$B$48,1)+IF(L$47=2,Quesería!$B$48*(Quesería!$B$44*$B$312*$B$309)*(1-MAX(0,MIN(2-0-Quesería!$B$47,(Quesería!$B$46-Quesería!$B$47)))/(Quesería!$B$46-Quesería!$B$47)),0))+(IF(AND(L$47&gt;1+Quesería!$B$47,L$47&lt;=1+Quesería!$B$46),(Quesería!$B$44*$C$312*$C$309)/(Quesería!$B$46-Quesería!$B$47),0)*IF(L$47&gt;2,1-Quesería!$B$48,1)+IF(L$47=2,Quesería!$B$48*(Quesería!$B$44*$C$312*$C$309)*(1-MAX(0,MIN(2-1-Quesería!$B$47,(Quesería!$B$46-Quesería!$B$47)))/(Quesería!$B$46-Quesería!$B$47)),0)))*L311</f>
        <v>0</v>
      </c>
    </row>
    <row r="341" customFormat="false" ht="15" hidden="true" customHeight="false" outlineLevel="1" collapsed="false">
      <c r="A341" s="6" t="s">
        <v>434</v>
      </c>
      <c r="B341" s="29" t="n">
        <f aca="false">$H$13*Quesería!$B$51*(1+0.19)*B337*B311+(1-$H$13)*IF(B$47=0,Quesería!$B$50,0)</f>
        <v>4</v>
      </c>
      <c r="C341" s="29" t="n">
        <f aca="false">$H$13*Quesería!$B$51*(1+0.19)*C337*C311+(1-$H$13)*IF(C$47=0,Quesería!$B$50,0)</f>
        <v>0</v>
      </c>
      <c r="D341" s="29" t="n">
        <f aca="false">$H$13*Quesería!$B$51*(1+0.19)*D337*D311+(1-$H$13)*IF(D$47=0,Quesería!$B$50,0)</f>
        <v>0</v>
      </c>
      <c r="E341" s="29" t="n">
        <f aca="false">$H$13*Quesería!$B$51*(1+0.19)*E337*E311+(1-$H$13)*IF(E$47=0,Quesería!$B$50,0)</f>
        <v>0</v>
      </c>
      <c r="F341" s="29" t="n">
        <f aca="false">$H$13*Quesería!$B$51*(1+0.19)*F337*F311+(1-$H$13)*IF(F$47=0,Quesería!$B$50,0)</f>
        <v>0</v>
      </c>
      <c r="G341" s="29" t="n">
        <f aca="false">$H$13*Quesería!$B$51*(1+0.19)*G337*G311+(1-$H$13)*IF(G$47=0,Quesería!$B$50,0)</f>
        <v>0</v>
      </c>
      <c r="H341" s="29" t="n">
        <f aca="false">$H$13*Quesería!$B$51*(1+0.19)*H337*H311+(1-$H$13)*IF(H$47=0,Quesería!$B$50,0)</f>
        <v>0</v>
      </c>
      <c r="I341" s="29" t="n">
        <f aca="false">$H$13*Quesería!$B$51*(1+0.19)*I337*I311+(1-$H$13)*IF(I$47=0,Quesería!$B$50,0)</f>
        <v>0</v>
      </c>
      <c r="J341" s="29" t="n">
        <f aca="false">$H$13*Quesería!$B$51*(1+0.19)*J337*J311+(1-$H$13)*IF(J$47=0,Quesería!$B$50,0)</f>
        <v>0</v>
      </c>
      <c r="K341" s="29" t="n">
        <f aca="false">$H$13*Quesería!$B$51*(1+0.19)*K337*K311+(1-$H$13)*IF(K$47=0,Quesería!$B$50,0)</f>
        <v>0</v>
      </c>
      <c r="L341" s="29" t="n">
        <f aca="false">$H$13*Quesería!$B$51*(1+0.19)*L337*L311+(1-$H$13)*IF(L$47=0,Quesería!$B$50,0)</f>
        <v>0</v>
      </c>
    </row>
    <row r="342" customFormat="false" ht="15" hidden="true" customHeight="false" outlineLevel="1" collapsed="false">
      <c r="A342" s="6" t="s">
        <v>435</v>
      </c>
      <c r="B342" s="29" t="n">
        <f aca="false">Quesería!$B$52*(B339+B340+B341)</f>
        <v>0.016</v>
      </c>
      <c r="C342" s="29" t="n">
        <f aca="false">Quesería!$B$52*(C339+C340+C341)</f>
        <v>0.324982255024431</v>
      </c>
      <c r="D342" s="29" t="n">
        <f aca="false">Quesería!$B$52*(D339+D340+D341)</f>
        <v>0.909585450928285</v>
      </c>
      <c r="E342" s="29" t="n">
        <f aca="false">Quesería!$B$52*(E339+E340+E341)</f>
        <v>1.08731108079524</v>
      </c>
      <c r="F342" s="29" t="n">
        <f aca="false">Quesería!$B$52*(F339+F340+F341)</f>
        <v>0.961975094016058</v>
      </c>
      <c r="G342" s="29" t="n">
        <f aca="false">Quesería!$B$52*(G339+G340+G341)</f>
        <v>0.844671888644748</v>
      </c>
      <c r="H342" s="29" t="n">
        <f aca="false">Quesería!$B$52*(H339+H340+H341)</f>
        <v>0.734968966683633</v>
      </c>
      <c r="I342" s="29" t="n">
        <f aca="false">Quesería!$B$52*(I339+I340+I341)</f>
        <v>0.632455216399047</v>
      </c>
      <c r="J342" s="29" t="n">
        <f aca="false">Quesería!$B$52*(J339+J340+J341)</f>
        <v>0.246221965278264</v>
      </c>
      <c r="K342" s="29" t="n">
        <f aca="false">Quesería!$B$52*(K339+K340+K341)</f>
        <v>0</v>
      </c>
      <c r="L342" s="29" t="n">
        <f aca="false">Quesería!$B$52*(L339+L340+L341)</f>
        <v>0</v>
      </c>
    </row>
    <row r="343" customFormat="false" ht="15" hidden="true" customHeight="false" outlineLevel="1" collapsed="false">
      <c r="A343" s="6" t="s">
        <v>436</v>
      </c>
      <c r="B343" s="29" t="n">
        <f aca="false">$H$17*(B339+B341+0.5*B342)</f>
        <v>1.4028</v>
      </c>
      <c r="C343" s="29" t="n">
        <f aca="false">$H$17*(C339+C341+0.5*C342)</f>
        <v>28.492819209267</v>
      </c>
      <c r="D343" s="29" t="n">
        <f aca="false">$H$17*(D339+D341+0.5*D342)</f>
        <v>47.5830901820358</v>
      </c>
      <c r="E343" s="29" t="n">
        <f aca="false">$H$17*(E339+E341+0.5*E342)</f>
        <v>41.4293889794864</v>
      </c>
      <c r="F343" s="29" t="n">
        <f aca="false">$H$17*(F339+F341+0.5*F342)</f>
        <v>32.5136567243613</v>
      </c>
      <c r="G343" s="29" t="n">
        <f aca="false">$H$17*(G339+G341+0.5*G342)</f>
        <v>24.2224639489508</v>
      </c>
      <c r="H343" s="29" t="n">
        <f aca="false">$H$17*(H339+H341+0.5*H342)</f>
        <v>16.5209581078554</v>
      </c>
      <c r="I343" s="29" t="n">
        <f aca="false">$H$17*(I339+I341+0.5*I342)</f>
        <v>9.37604374573625</v>
      </c>
      <c r="J343" s="29" t="n">
        <f aca="false">$H$17*(J339+J341+0.5*J342)</f>
        <v>2.70545825375768</v>
      </c>
      <c r="K343" s="29" t="n">
        <f aca="false">$H$17*(K339+K341+0.5*K342)</f>
        <v>0</v>
      </c>
      <c r="L343" s="29" t="n">
        <f aca="false">$H$17*(L339+L341+0.5*L342)</f>
        <v>0</v>
      </c>
    </row>
    <row r="344" customFormat="false" ht="15" hidden="true" customHeight="false" outlineLevel="1" collapsed="false">
      <c r="A344" s="5" t="s">
        <v>437</v>
      </c>
      <c r="B344" s="59" t="n">
        <f aca="false">B329+B338-B339-B340-B341-B342+B343</f>
        <v>-344.498037910443</v>
      </c>
      <c r="C344" s="59" t="n">
        <f aca="false">C329+C338-C339-C340-C341-C342+C343</f>
        <v>-2.67722869265953</v>
      </c>
      <c r="D344" s="59" t="n">
        <f aca="false">D329+D338-D339-D340-D341-D342+D343</f>
        <v>314.455169466853</v>
      </c>
      <c r="E344" s="59" t="n">
        <f aca="false">E329+E338-E339-E340-E341-E342+E343</f>
        <v>157.482115156271</v>
      </c>
      <c r="F344" s="59" t="n">
        <f aca="false">F329+F338-F339-F340-F341-F342+F343</f>
        <v>224.266164350556</v>
      </c>
      <c r="G344" s="59" t="n">
        <f aca="false">G329+G338-G339-G340-G341-G342+G343</f>
        <v>211.105009452136</v>
      </c>
      <c r="H344" s="59" t="n">
        <f aca="false">H329+H338-H339-H340-H341-H342+H343</f>
        <v>209.453757948074</v>
      </c>
      <c r="I344" s="59" t="n">
        <f aca="false">I329+I338-I339-I340-I341-I342+I343</f>
        <v>288.713056911016</v>
      </c>
      <c r="J344" s="59" t="n">
        <f aca="false">J329+J338-J339-J340-J341-J342+J343</f>
        <v>369.160694286954</v>
      </c>
      <c r="K344" s="59" t="n">
        <f aca="false">K329+K338-K339-K340-K341-K342+K343</f>
        <v>426.968237742245</v>
      </c>
      <c r="L344" s="59" t="n">
        <f aca="false">L329+L338-L339-L340-L341-L342+L343</f>
        <v>691.077067359163</v>
      </c>
    </row>
    <row r="345" customFormat="false" ht="15" hidden="true" customHeight="false" outlineLevel="1" collapsed="false">
      <c r="A345" s="9" t="s">
        <v>438</v>
      </c>
      <c r="B345" s="58" t="n">
        <f aca="false">B344*B309</f>
        <v>-365.16792018507</v>
      </c>
      <c r="C345" s="58" t="n">
        <f aca="false">C344*C309</f>
        <v>-2.97975553493006</v>
      </c>
      <c r="D345" s="58" t="n">
        <f aca="false">D344*D309</f>
        <v>365.738090779355</v>
      </c>
      <c r="E345" s="58" t="n">
        <f aca="false">E344*E309</f>
        <v>190.491689342793</v>
      </c>
      <c r="F345" s="58" t="n">
        <f aca="false">F344*F309</f>
        <v>282.125205683582</v>
      </c>
      <c r="G345" s="58" t="n">
        <f aca="false">G344*G309</f>
        <v>276.191311160958</v>
      </c>
      <c r="H345" s="58" t="n">
        <f aca="false">H344*H309</f>
        <v>284.992196598348</v>
      </c>
      <c r="I345" s="58" t="n">
        <f aca="false">I344*I309</f>
        <v>408.549399375954</v>
      </c>
      <c r="J345" s="58" t="n">
        <f aca="false">J344*J309</f>
        <v>543.284037096579</v>
      </c>
      <c r="K345" s="58" t="n">
        <f aca="false">K344*K309</f>
        <v>653.492185821932</v>
      </c>
      <c r="L345" s="58" t="n">
        <f aca="false">L344*L309</f>
        <v>1100.0303074916</v>
      </c>
    </row>
    <row r="346" customFormat="false" ht="15" hidden="true" customHeight="false" outlineLevel="1" collapsed="false">
      <c r="A346" s="9" t="s">
        <v>439</v>
      </c>
      <c r="B346" s="57" t="n">
        <f aca="false">(B309/$B$309)/(1+Quesería!$B$11+$H$28)^B$47</f>
        <v>1</v>
      </c>
      <c r="C346" s="57" t="n">
        <f aca="false">(C309/$B$309)/(1+Quesería!$B$11+$H$28)^C$47</f>
        <v>0.84</v>
      </c>
      <c r="D346" s="57" t="n">
        <f aca="false">(D309/$B$309)/(1+Quesería!$B$11+$H$28)^D$47</f>
        <v>0.70224</v>
      </c>
      <c r="E346" s="57" t="n">
        <f aca="false">(E309/$B$309)/(1+Quesería!$B$11+$H$28)^E$47</f>
        <v>0.58426368</v>
      </c>
      <c r="F346" s="57" t="n">
        <f aca="false">(F309/$B$309)/(1+Quesería!$B$11+$H$28)^F$47</f>
        <v>0.48610738176</v>
      </c>
      <c r="G346" s="57" t="n">
        <f aca="false">(G309/$B$309)/(1+Quesería!$B$11+$H$28)^G$47</f>
        <v>0.40444134162432</v>
      </c>
      <c r="H346" s="57" t="n">
        <f aca="false">(H309/$B$309)/(1+Quesería!$B$11+$H$28)^H$47</f>
        <v>0.336495196231434</v>
      </c>
      <c r="I346" s="57" t="n">
        <f aca="false">(I309/$B$309)/(1+Quesería!$B$11+$H$28)^I$47</f>
        <v>0.279964003264553</v>
      </c>
      <c r="J346" s="57" t="n">
        <f aca="false">(J309/$B$309)/(1+Quesería!$B$11+$H$28)^J$47</f>
        <v>0.232930050716108</v>
      </c>
      <c r="K346" s="57" t="n">
        <f aca="false">(K309/$B$309)/(1+Quesería!$B$11+$H$28)^K$47</f>
        <v>0.193797802195802</v>
      </c>
      <c r="L346" s="57" t="n">
        <f aca="false">(L309/$B$309)/(1+Quesería!$B$11+$H$28)^L$47</f>
        <v>0.161239771426907</v>
      </c>
    </row>
    <row r="347" customFormat="false" ht="15" hidden="true" customHeight="false" outlineLevel="1" collapsed="false">
      <c r="A347" s="9" t="s">
        <v>440</v>
      </c>
      <c r="B347" s="58" t="n">
        <f aca="false">B329+B312+B314+B343</f>
        <v>134.413717450821</v>
      </c>
      <c r="C347" s="58" t="n">
        <f aca="false">C329+C312+C314+C343</f>
        <v>434.466613322702</v>
      </c>
      <c r="D347" s="58" t="n">
        <f aca="false">D329+D312+D314+D343</f>
        <v>542.761117649853</v>
      </c>
      <c r="E347" s="58" t="n">
        <f aca="false">E329+E312+E314+E343</f>
        <v>430.397196435877</v>
      </c>
      <c r="F347" s="58" t="n">
        <f aca="false">F329+F312+F314+F343</f>
        <v>465.721912948587</v>
      </c>
      <c r="G347" s="58" t="n">
        <f aca="false">G329+G312+G314+G343</f>
        <v>428.336044783053</v>
      </c>
      <c r="H347" s="58" t="n">
        <f aca="false">H329+H312+H314+H343</f>
        <v>402.744908170747</v>
      </c>
      <c r="I347" s="58" t="n">
        <f aca="false">I329+I312+I314+I343</f>
        <v>447.459316227176</v>
      </c>
      <c r="J347" s="58" t="n">
        <f aca="false">J329+J312+J314+J343</f>
        <v>430.962407571798</v>
      </c>
      <c r="K347" s="58" t="n">
        <f aca="false">K329+K312+K314+K343</f>
        <v>426.968237742245</v>
      </c>
      <c r="L347" s="58" t="n">
        <f aca="false">L329+L312+L314+L343</f>
        <v>691.077067359163</v>
      </c>
    </row>
    <row r="348" customFormat="false" ht="15" hidden="true" customHeight="false" outlineLevel="1" collapsed="false">
      <c r="A348" s="5" t="s">
        <v>149</v>
      </c>
      <c r="B348" s="12" t="str">
        <f aca="false">IF(AND(B$47&gt;=1,(B339+B340+B341)&gt;0.001),B347/(B339+B340+B341),"")</f>
        <v/>
      </c>
      <c r="C348" s="12" t="n">
        <f aca="false">IF(AND(C$47&gt;=1,(C339+C340+C341)&gt;0.001),C347/(C339+C340+C341),"")</f>
        <v>5.34757337184506</v>
      </c>
      <c r="D348" s="12" t="n">
        <f aca="false">IF(AND(D$47&gt;=1,(D339+D340+D341)&gt;0.001),D347/(D339+D340+D341),"")</f>
        <v>2.38685048049497</v>
      </c>
      <c r="E348" s="12" t="n">
        <f aca="false">IF(AND(E$47&gt;=1,(E339+E340+E341)&gt;0.001),E347/(E339+E340+E341),"")</f>
        <v>1.58334520465327</v>
      </c>
      <c r="F348" s="12" t="n">
        <f aca="false">IF(AND(F$47&gt;=1,(F339+F340+F341)&gt;0.001),F347/(F339+F340+F341),"")</f>
        <v>1.93652378672004</v>
      </c>
      <c r="G348" s="12" t="n">
        <f aca="false">IF(AND(G$47&gt;=1,(G339+G340+G341)&gt;0.001),G347/(G339+G340+G341),"")</f>
        <v>2.02841387545314</v>
      </c>
      <c r="H348" s="12" t="n">
        <f aca="false">IF(AND(H$47&gt;=1,(H339+H340+H341)&gt;0.001),H347/(H339+H340+H341),"")</f>
        <v>2.19190157096311</v>
      </c>
      <c r="I348" s="12" t="n">
        <f aca="false">IF(AND(I$47&gt;=1,(I339+I340+I341)&gt;0.001),I347/(I339+I340+I341),"")</f>
        <v>2.82998261141609</v>
      </c>
      <c r="J348" s="12" t="n">
        <f aca="false">IF(AND(J$47&gt;=1,(J339+J340+J341)&gt;0.001),J347/(J339+J340+J341),"")</f>
        <v>7.00120165290295</v>
      </c>
      <c r="K348" s="12" t="str">
        <f aca="false">IF(AND(K$47&gt;=1,(K339+K340+K341)&gt;0.001),K347/(K339+K340+K341),"")</f>
        <v/>
      </c>
      <c r="L348" s="12" t="str">
        <f aca="false">IF(AND(L$47&gt;=1,(L339+L340+L341)&gt;0.001),L347/(L339+L340+L341),"")</f>
        <v/>
      </c>
    </row>
    <row r="350" customFormat="false" ht="15" hidden="false" customHeight="false" outlineLevel="0" collapsed="false">
      <c r="A350" s="43" t="s">
        <v>171</v>
      </c>
      <c r="B350" s="44"/>
      <c r="C350" s="44"/>
      <c r="D350" s="44"/>
      <c r="E350" s="44"/>
      <c r="F350" s="44"/>
      <c r="G350" s="44"/>
      <c r="H350" s="44"/>
      <c r="I350" s="44"/>
      <c r="J350" s="44"/>
      <c r="K350" s="44"/>
      <c r="L350" s="44"/>
    </row>
    <row r="351" customFormat="false" ht="15" hidden="true" customHeight="false" outlineLevel="1" collapsed="false">
      <c r="A351" s="9" t="s">
        <v>406</v>
      </c>
      <c r="B351" s="56" t="n">
        <f aca="false">CHOOSE($I$15,Entorno!B$7,Entorno!B$8,Entorno!B$9)</f>
        <v>0.06</v>
      </c>
      <c r="C351" s="56" t="n">
        <f aca="false">CHOOSE($I$15,Entorno!C$7,Entorno!C$8,Entorno!C$9)</f>
        <v>0.05</v>
      </c>
      <c r="D351" s="56" t="n">
        <f aca="false">CHOOSE($I$15,Entorno!D$7,Entorno!D$8,Entorno!D$9)</f>
        <v>0.045</v>
      </c>
      <c r="E351" s="56" t="n">
        <f aca="false">CHOOSE($I$15,Entorno!E$7,Entorno!E$8,Entorno!E$9)</f>
        <v>0.04</v>
      </c>
      <c r="F351" s="56" t="n">
        <f aca="false">CHOOSE($I$15,Entorno!F$7,Entorno!F$8,Entorno!F$9)</f>
        <v>0.04</v>
      </c>
      <c r="G351" s="56" t="n">
        <f aca="false">CHOOSE($I$15,Entorno!G$7,Entorno!G$8,Entorno!G$9)</f>
        <v>0.04</v>
      </c>
      <c r="H351" s="56" t="n">
        <f aca="false">CHOOSE($I$15,Entorno!H$7,Entorno!H$8,Entorno!H$9)</f>
        <v>0.04</v>
      </c>
      <c r="I351" s="56" t="n">
        <f aca="false">CHOOSE($I$15,Entorno!I$7,Entorno!I$8,Entorno!I$9)</f>
        <v>0.04</v>
      </c>
      <c r="J351" s="56" t="n">
        <f aca="false">CHOOSE($I$15,Entorno!J$7,Entorno!J$8,Entorno!J$9)</f>
        <v>0.04</v>
      </c>
      <c r="K351" s="56" t="n">
        <f aca="false">CHOOSE($I$15,Entorno!K$7,Entorno!K$8,Entorno!K$9)</f>
        <v>0.04</v>
      </c>
      <c r="L351" s="56" t="n">
        <f aca="false">CHOOSE($I$15,Entorno!L$7,Entorno!L$8,Entorno!L$9)</f>
        <v>0.04</v>
      </c>
    </row>
    <row r="352" customFormat="false" ht="15" hidden="true" customHeight="false" outlineLevel="1" collapsed="false">
      <c r="A352" s="9" t="s">
        <v>407</v>
      </c>
      <c r="B352" s="57" t="n">
        <f aca="false">1+B351</f>
        <v>1.06</v>
      </c>
      <c r="C352" s="57" t="n">
        <f aca="false">B352*(1+C351)</f>
        <v>1.113</v>
      </c>
      <c r="D352" s="57" t="n">
        <f aca="false">C352*(1+D351)</f>
        <v>1.163085</v>
      </c>
      <c r="E352" s="57" t="n">
        <f aca="false">D352*(1+E351)</f>
        <v>1.2096084</v>
      </c>
      <c r="F352" s="57" t="n">
        <f aca="false">E352*(1+F351)</f>
        <v>1.257992736</v>
      </c>
      <c r="G352" s="57" t="n">
        <f aca="false">F352*(1+G351)</f>
        <v>1.30831244544</v>
      </c>
      <c r="H352" s="57" t="n">
        <f aca="false">G352*(1+H351)</f>
        <v>1.3606449432576</v>
      </c>
      <c r="I352" s="57" t="n">
        <f aca="false">H352*(1+I351)</f>
        <v>1.4150707409879</v>
      </c>
      <c r="J352" s="57" t="n">
        <f aca="false">I352*(1+J351)</f>
        <v>1.47167357062742</v>
      </c>
      <c r="K352" s="57" t="n">
        <f aca="false">J352*(1+K351)</f>
        <v>1.53054051345252</v>
      </c>
      <c r="L352" s="57" t="n">
        <f aca="false">K352*(1+L351)</f>
        <v>1.59176213399062</v>
      </c>
    </row>
    <row r="353" customFormat="false" ht="15" hidden="true" customHeight="false" outlineLevel="1" collapsed="false">
      <c r="A353" s="9" t="s">
        <v>408</v>
      </c>
      <c r="B353" s="57" t="n">
        <f aca="false">(1+$I$16)/(1+B351)</f>
        <v>1.02358490566038</v>
      </c>
      <c r="C353" s="57" t="n">
        <f aca="false">B353*(1+Entorno!$B$13)</f>
        <v>1.02870283018868</v>
      </c>
      <c r="D353" s="57" t="n">
        <f aca="false">C353*(1+Entorno!$B$13)</f>
        <v>1.03384634433962</v>
      </c>
      <c r="E353" s="57" t="n">
        <f aca="false">D353*(1+Entorno!$B$13)</f>
        <v>1.03901557606132</v>
      </c>
      <c r="F353" s="57" t="n">
        <f aca="false">E353*(1+Entorno!$B$13)</f>
        <v>1.04421065394163</v>
      </c>
      <c r="G353" s="57" t="n">
        <f aca="false">F353*(1+Entorno!$B$13)</f>
        <v>1.04943170721133</v>
      </c>
      <c r="H353" s="57" t="n">
        <f aca="false">G353*(1+Entorno!$B$13)</f>
        <v>1.05467886574739</v>
      </c>
      <c r="I353" s="57" t="n">
        <f aca="false">H353*(1+Entorno!$B$13)</f>
        <v>1.05995226007613</v>
      </c>
      <c r="J353" s="57" t="n">
        <f aca="false">I353*(1+Entorno!$B$13)</f>
        <v>1.06525202137651</v>
      </c>
      <c r="K353" s="57" t="n">
        <f aca="false">J353*(1+Entorno!$B$13)</f>
        <v>1.07057828148339</v>
      </c>
      <c r="L353" s="57" t="n">
        <f aca="false">K353*(1+Entorno!$B$13)</f>
        <v>1.07593117289081</v>
      </c>
    </row>
    <row r="354" customFormat="false" ht="15" hidden="true" customHeight="false" outlineLevel="1" collapsed="false">
      <c r="A354" s="9" t="s">
        <v>409</v>
      </c>
      <c r="B354" s="57" t="n">
        <f aca="false">1/B352</f>
        <v>0.943396226415094</v>
      </c>
      <c r="C354" s="57" t="n">
        <f aca="false">1/C352</f>
        <v>0.898472596585804</v>
      </c>
      <c r="D354" s="57" t="n">
        <f aca="false">1/D352</f>
        <v>0.859782389077324</v>
      </c>
      <c r="E354" s="57" t="n">
        <f aca="false">1/E352</f>
        <v>0.826713835651273</v>
      </c>
      <c r="F354" s="57" t="n">
        <f aca="false">1/F352</f>
        <v>0.794917149664686</v>
      </c>
      <c r="G354" s="57" t="n">
        <f aca="false">1/G352</f>
        <v>0.764343413139121</v>
      </c>
      <c r="H354" s="57" t="n">
        <f aca="false">1/H352</f>
        <v>0.734945589556847</v>
      </c>
      <c r="I354" s="57" t="n">
        <f aca="false">1/I352</f>
        <v>0.706678451496968</v>
      </c>
      <c r="J354" s="57" t="n">
        <f aca="false">1/J352</f>
        <v>0.679498511054777</v>
      </c>
      <c r="K354" s="57" t="n">
        <f aca="false">1/K352</f>
        <v>0.653363952937286</v>
      </c>
      <c r="L354" s="57" t="n">
        <f aca="false">1/L352</f>
        <v>0.628234570132006</v>
      </c>
    </row>
    <row r="355" customFormat="false" ht="15" hidden="true" customHeight="false" outlineLevel="1" collapsed="false">
      <c r="A355" s="6" t="s">
        <v>323</v>
      </c>
      <c r="B355" s="29" t="n">
        <f aca="false">IF(B$47=0,Quesería!$F$92,IF(B$47=1,(Quesería!$F$93-(-$I$26)*Quesería!$D$86*(1+Quesería!$I$86))*$I$21,0))*$I$11</f>
        <v>1116.96028731801</v>
      </c>
      <c r="C355" s="29" t="n">
        <f aca="false">IF(C$47=0,Quesería!$F$92,IF(C$47=1,(Quesería!$F$93-(-$I$26)*Quesería!$D$86*(1+Quesería!$I$86))*$I$21,0))*$I$11</f>
        <v>790.162880009398</v>
      </c>
      <c r="D355" s="29" t="n">
        <f aca="false">IF(D$47=0,Quesería!$F$92,IF(D$47=1,(Quesería!$F$93-(-$I$26)*Quesería!$D$86*(1+Quesería!$I$86))*$I$21,0))*$I$11</f>
        <v>0</v>
      </c>
      <c r="E355" s="29" t="n">
        <f aca="false">IF(E$47=0,Quesería!$F$92,IF(E$47=1,(Quesería!$F$93-(-$I$26)*Quesería!$D$86*(1+Quesería!$I$86))*$I$21,0))*$I$11</f>
        <v>0</v>
      </c>
      <c r="F355" s="29" t="n">
        <f aca="false">IF(F$47=0,Quesería!$F$92,IF(F$47=1,(Quesería!$F$93-(-$I$26)*Quesería!$D$86*(1+Quesería!$I$86))*$I$21,0))*$I$11</f>
        <v>0</v>
      </c>
      <c r="G355" s="29" t="n">
        <f aca="false">IF(G$47=0,Quesería!$F$92,IF(G$47=1,(Quesería!$F$93-(-$I$26)*Quesería!$D$86*(1+Quesería!$I$86))*$I$21,0))*$I$11</f>
        <v>0</v>
      </c>
      <c r="H355" s="29" t="n">
        <f aca="false">IF(H$47=0,Quesería!$F$92,IF(H$47=1,(Quesería!$F$93-(-$I$26)*Quesería!$D$86*(1+Quesería!$I$86))*$I$21,0))*$I$11</f>
        <v>0</v>
      </c>
      <c r="I355" s="29" t="n">
        <f aca="false">IF(I$47=0,Quesería!$F$92,IF(I$47=1,(Quesería!$F$93-(-$I$26)*Quesería!$D$86*(1+Quesería!$I$86))*$I$21,0))*$I$11</f>
        <v>0</v>
      </c>
      <c r="J355" s="29" t="n">
        <f aca="false">IF(J$47=0,Quesería!$F$92,IF(J$47=1,(Quesería!$F$93-(-$I$26)*Quesería!$D$86*(1+Quesería!$I$86))*$I$21,0))*$I$11</f>
        <v>0</v>
      </c>
      <c r="K355" s="29" t="n">
        <f aca="false">IF(K$47=0,Quesería!$F$92,IF(K$47=1,(Quesería!$F$93-(-$I$26)*Quesería!$D$86*(1+Quesería!$I$86))*$I$21,0))*$I$11</f>
        <v>0</v>
      </c>
      <c r="L355" s="29" t="n">
        <f aca="false">IF(L$47=0,Quesería!$F$92,IF(L$47=1,(Quesería!$F$93-(-$I$26)*Quesería!$D$86*(1+Quesería!$I$86))*$I$21,0))*$I$11</f>
        <v>0</v>
      </c>
    </row>
    <row r="356" customFormat="false" ht="15" hidden="true" customHeight="false" outlineLevel="1" collapsed="false">
      <c r="A356" s="6" t="s">
        <v>410</v>
      </c>
      <c r="B356" s="29" t="n">
        <f aca="false">IF(B$47=5,Quesería!$F$99,IF(B$47=6,Quesería!$F$100,0))*$I$11</f>
        <v>0</v>
      </c>
      <c r="C356" s="29" t="n">
        <f aca="false">IF(C$47=5,Quesería!$F$99,IF(C$47=6,Quesería!$F$100,0))*$I$11</f>
        <v>0</v>
      </c>
      <c r="D356" s="29" t="n">
        <f aca="false">IF(D$47=5,Quesería!$F$99,IF(D$47=6,Quesería!$F$100,0))*$I$11</f>
        <v>0</v>
      </c>
      <c r="E356" s="29" t="n">
        <f aca="false">IF(E$47=5,Quesería!$F$99,IF(E$47=6,Quesería!$F$100,0))*$I$11</f>
        <v>0</v>
      </c>
      <c r="F356" s="29" t="n">
        <f aca="false">IF(F$47=5,Quesería!$F$99,IF(F$47=6,Quesería!$F$100,0))*$I$11</f>
        <v>0</v>
      </c>
      <c r="G356" s="29" t="n">
        <f aca="false">IF(G$47=5,Quesería!$F$99,IF(G$47=6,Quesería!$F$100,0))*$I$11</f>
        <v>32.9582607226482</v>
      </c>
      <c r="H356" s="29" t="n">
        <f aca="false">IF(H$47=5,Quesería!$F$99,IF(H$47=6,Quesería!$F$100,0))*$I$11</f>
        <v>55.6669868531463</v>
      </c>
      <c r="I356" s="29" t="n">
        <f aca="false">IF(I$47=5,Quesería!$F$99,IF(I$47=6,Quesería!$F$100,0))*$I$11</f>
        <v>0</v>
      </c>
      <c r="J356" s="29" t="n">
        <f aca="false">IF(J$47=5,Quesería!$F$99,IF(J$47=6,Quesería!$F$100,0))*$I$11</f>
        <v>0</v>
      </c>
      <c r="K356" s="29" t="n">
        <f aca="false">IF(K$47=5,Quesería!$F$99,IF(K$47=6,Quesería!$F$100,0))*$I$11</f>
        <v>0</v>
      </c>
      <c r="L356" s="29" t="n">
        <f aca="false">IF(L$47=5,Quesería!$F$99,IF(L$47=6,Quesería!$F$100,0))*$I$11</f>
        <v>0</v>
      </c>
    </row>
    <row r="357" customFormat="false" ht="15" hidden="true" customHeight="false" outlineLevel="1" collapsed="false">
      <c r="A357" s="6" t="s">
        <v>411</v>
      </c>
      <c r="B357" s="29" t="n">
        <f aca="false">Quesería!$B$55*(IF(B$47=0,SUMPRODUCT((Quesería!$C$70:$C$89=0)*(Quesería!$H$70:$H$89&gt;0)*(Quesería!$J$70:$J$89&gt;0)*Quesería!$F$70:$F$89*(1+Quesería!$I$70:$I$89)),IF(B$47=1,(SUMPRODUCT((Quesería!$C$70:$C$89=1)*(Quesería!$H$70:$H$89&gt;0)*(Quesería!$J$70:$J$89&gt;0)*Quesería!$F$70:$F$89*(1+Quesería!$I$70:$I$89))-(-$I$26)*Quesería!$D$86*(1+Quesería!$I$86))*$I$21,0))*$I$11+B356)</f>
        <v>178.938805872213</v>
      </c>
      <c r="C357" s="29" t="n">
        <f aca="false">Quesería!$B$55*(IF(C$47=0,SUMPRODUCT((Quesería!$C$70:$C$89=0)*(Quesería!$H$70:$H$89&gt;0)*(Quesería!$J$70:$J$89&gt;0)*Quesería!$F$70:$F$89*(1+Quesería!$I$70:$I$89)),IF(C$47=1,(SUMPRODUCT((Quesería!$C$70:$C$89=1)*(Quesería!$H$70:$H$89&gt;0)*(Quesería!$J$70:$J$89&gt;0)*Quesería!$F$70:$F$89*(1+Quesería!$I$70:$I$89))-(-$I$26)*Quesería!$D$86*(1+Quesería!$I$86))*$I$21,0))*$I$11+C356)</f>
        <v>150.130947201786</v>
      </c>
      <c r="D357" s="29" t="n">
        <f aca="false">Quesería!$B$55*(IF(D$47=0,SUMPRODUCT((Quesería!$C$70:$C$89=0)*(Quesería!$H$70:$H$89&gt;0)*(Quesería!$J$70:$J$89&gt;0)*Quesería!$F$70:$F$89*(1+Quesería!$I$70:$I$89)),IF(D$47=1,(SUMPRODUCT((Quesería!$C$70:$C$89=1)*(Quesería!$H$70:$H$89&gt;0)*(Quesería!$J$70:$J$89&gt;0)*Quesería!$F$70:$F$89*(1+Quesería!$I$70:$I$89))-(-$I$26)*Quesería!$D$86*(1+Quesería!$I$86))*$I$21,0))*$I$11+D356)</f>
        <v>0</v>
      </c>
      <c r="E357" s="29" t="n">
        <f aca="false">Quesería!$B$55*(IF(E$47=0,SUMPRODUCT((Quesería!$C$70:$C$89=0)*(Quesería!$H$70:$H$89&gt;0)*(Quesería!$J$70:$J$89&gt;0)*Quesería!$F$70:$F$89*(1+Quesería!$I$70:$I$89)),IF(E$47=1,(SUMPRODUCT((Quesería!$C$70:$C$89=1)*(Quesería!$H$70:$H$89&gt;0)*(Quesería!$J$70:$J$89&gt;0)*Quesería!$F$70:$F$89*(1+Quesería!$I$70:$I$89))-(-$I$26)*Quesería!$D$86*(1+Quesería!$I$86))*$I$21,0))*$I$11+E356)</f>
        <v>0</v>
      </c>
      <c r="F357" s="29" t="n">
        <f aca="false">Quesería!$B$55*(IF(F$47=0,SUMPRODUCT((Quesería!$C$70:$C$89=0)*(Quesería!$H$70:$H$89&gt;0)*(Quesería!$J$70:$J$89&gt;0)*Quesería!$F$70:$F$89*(1+Quesería!$I$70:$I$89)),IF(F$47=1,(SUMPRODUCT((Quesería!$C$70:$C$89=1)*(Quesería!$H$70:$H$89&gt;0)*(Quesería!$J$70:$J$89&gt;0)*Quesería!$F$70:$F$89*(1+Quesería!$I$70:$I$89))-(-$I$26)*Quesería!$D$86*(1+Quesería!$I$86))*$I$21,0))*$I$11+F356)</f>
        <v>0</v>
      </c>
      <c r="G357" s="29" t="n">
        <f aca="false">Quesería!$B$55*(IF(G$47=0,SUMPRODUCT((Quesería!$C$70:$C$89=0)*(Quesería!$H$70:$H$89&gt;0)*(Quesería!$J$70:$J$89&gt;0)*Quesería!$F$70:$F$89*(1+Quesería!$I$70:$I$89)),IF(G$47=1,(SUMPRODUCT((Quesería!$C$70:$C$89=1)*(Quesería!$H$70:$H$89&gt;0)*(Quesería!$J$70:$J$89&gt;0)*Quesería!$F$70:$F$89*(1+Quesería!$I$70:$I$89))-(-$I$26)*Quesería!$D$86*(1+Quesería!$I$86))*$I$21,0))*$I$11+G356)</f>
        <v>6.26206953730317</v>
      </c>
      <c r="H357" s="29" t="n">
        <f aca="false">Quesería!$B$55*(IF(H$47=0,SUMPRODUCT((Quesería!$C$70:$C$89=0)*(Quesería!$H$70:$H$89&gt;0)*(Quesería!$J$70:$J$89&gt;0)*Quesería!$F$70:$F$89*(1+Quesería!$I$70:$I$89)),IF(H$47=1,(SUMPRODUCT((Quesería!$C$70:$C$89=1)*(Quesería!$H$70:$H$89&gt;0)*(Quesería!$J$70:$J$89&gt;0)*Quesería!$F$70:$F$89*(1+Quesería!$I$70:$I$89))-(-$I$26)*Quesería!$D$86*(1+Quesería!$I$86))*$I$21,0))*$I$11+H356)</f>
        <v>10.5767275020978</v>
      </c>
      <c r="I357" s="29" t="n">
        <f aca="false">Quesería!$B$55*(IF(I$47=0,SUMPRODUCT((Quesería!$C$70:$C$89=0)*(Quesería!$H$70:$H$89&gt;0)*(Quesería!$J$70:$J$89&gt;0)*Quesería!$F$70:$F$89*(1+Quesería!$I$70:$I$89)),IF(I$47=1,(SUMPRODUCT((Quesería!$C$70:$C$89=1)*(Quesería!$H$70:$H$89&gt;0)*(Quesería!$J$70:$J$89&gt;0)*Quesería!$F$70:$F$89*(1+Quesería!$I$70:$I$89))-(-$I$26)*Quesería!$D$86*(1+Quesería!$I$86))*$I$21,0))*$I$11+I356)</f>
        <v>0</v>
      </c>
      <c r="J357" s="29" t="n">
        <f aca="false">Quesería!$B$55*(IF(J$47=0,SUMPRODUCT((Quesería!$C$70:$C$89=0)*(Quesería!$H$70:$H$89&gt;0)*(Quesería!$J$70:$J$89&gt;0)*Quesería!$F$70:$F$89*(1+Quesería!$I$70:$I$89)),IF(J$47=1,(SUMPRODUCT((Quesería!$C$70:$C$89=1)*(Quesería!$H$70:$H$89&gt;0)*(Quesería!$J$70:$J$89&gt;0)*Quesería!$F$70:$F$89*(1+Quesería!$I$70:$I$89))-(-$I$26)*Quesería!$D$86*(1+Quesería!$I$86))*$I$21,0))*$I$11+J356)</f>
        <v>0</v>
      </c>
      <c r="K357" s="29" t="n">
        <f aca="false">Quesería!$B$55*(IF(K$47=0,SUMPRODUCT((Quesería!$C$70:$C$89=0)*(Quesería!$H$70:$H$89&gt;0)*(Quesería!$J$70:$J$89&gt;0)*Quesería!$F$70:$F$89*(1+Quesería!$I$70:$I$89)),IF(K$47=1,(SUMPRODUCT((Quesería!$C$70:$C$89=1)*(Quesería!$H$70:$H$89&gt;0)*(Quesería!$J$70:$J$89&gt;0)*Quesería!$F$70:$F$89*(1+Quesería!$I$70:$I$89))-(-$I$26)*Quesería!$D$86*(1+Quesería!$I$86))*$I$21,0))*$I$11+K356)</f>
        <v>0</v>
      </c>
      <c r="L357" s="29" t="n">
        <f aca="false">Quesería!$B$55*(IF(L$47=0,SUMPRODUCT((Quesería!$C$70:$C$89=0)*(Quesería!$H$70:$H$89&gt;0)*(Quesería!$J$70:$J$89&gt;0)*Quesería!$F$70:$F$89*(1+Quesería!$I$70:$I$89)),IF(L$47=1,(SUMPRODUCT((Quesería!$C$70:$C$89=1)*(Quesería!$H$70:$H$89&gt;0)*(Quesería!$J$70:$J$89&gt;0)*Quesería!$F$70:$F$89*(1+Quesería!$I$70:$I$89))-(-$I$26)*Quesería!$D$86*(1+Quesería!$I$86))*$I$21,0))*$I$11+L356)</f>
        <v>0</v>
      </c>
    </row>
    <row r="358" customFormat="false" ht="15" hidden="true" customHeight="false" outlineLevel="1" collapsed="false">
      <c r="A358" s="6" t="s">
        <v>386</v>
      </c>
      <c r="B358" s="29" t="n">
        <f aca="false">IF(B$47=0,($I$22*Quesería!$J$126+(1-$I$22)*Quesería!$E$122)*Quesería!$B$20*Quesería!$B$21/12*$I$23,(($I$22*Quesería!$J$126+(1-$I$22)*Quesería!$E$122)+($I$22*Quesería!$J$104+(1-$I$22)*Quesería!$E$104)*(B353-1))*IF(B$47=1,Quesería!$B$20,1))*$I$10</f>
        <v>120.716772261203</v>
      </c>
      <c r="C358" s="29" t="n">
        <f aca="false">IF(C$47=0,($I$22*Quesería!$J$126+(1-$I$22)*Quesería!$E$122)*Quesería!$B$20*Quesería!$B$21/12*$I$23,(($I$22*Quesería!$J$126+(1-$I$22)*Quesería!$E$122)+($I$22*Quesería!$J$104+(1-$I$22)*Quesería!$E$104)*(C353-1))*IF(C$47=1,Quesería!$B$20,1))*$I$10</f>
        <v>181.328317354069</v>
      </c>
      <c r="D358" s="29" t="n">
        <f aca="false">IF(D$47=0,($I$22*Quesería!$J$126+(1-$I$22)*Quesería!$E$122)*Quesería!$B$20*Quesería!$B$21/12*$I$23,(($I$22*Quesería!$J$126+(1-$I$22)*Quesería!$E$122)+($I$22*Quesería!$J$104+(1-$I$22)*Quesería!$E$104)*(D353-1))*IF(D$47=1,Quesería!$B$20,1))*$I$10</f>
        <v>241.83157753184</v>
      </c>
      <c r="E358" s="29" t="n">
        <f aca="false">IF(E$47=0,($I$22*Quesería!$J$126+(1-$I$22)*Quesería!$E$122)*Quesería!$B$20*Quesería!$B$21/12*$I$23,(($I$22*Quesería!$J$126+(1-$I$22)*Quesería!$E$122)+($I$22*Quesería!$J$104+(1-$I$22)*Quesería!$E$104)*(E353-1))*IF(E$47=1,Quesería!$B$20,1))*$I$10</f>
        <v>241.892367696887</v>
      </c>
      <c r="F358" s="29" t="n">
        <f aca="false">IF(F$47=0,($I$22*Quesería!$J$126+(1-$I$22)*Quesería!$E$122)*Quesería!$B$20*Quesería!$B$21/12*$I$23,(($I$22*Quesería!$J$126+(1-$I$22)*Quesería!$E$122)+($I$22*Quesería!$J$104+(1-$I$22)*Quesería!$E$104)*(F353-1))*IF(F$47=1,Quesería!$B$20,1))*$I$10</f>
        <v>241.95346181276</v>
      </c>
      <c r="G358" s="29" t="n">
        <f aca="false">IF(G$47=0,($I$22*Quesería!$J$126+(1-$I$22)*Quesería!$E$122)*Quesería!$B$20*Quesería!$B$21/12*$I$23,(($I$22*Quesería!$J$126+(1-$I$22)*Quesería!$E$122)+($I$22*Quesería!$J$104+(1-$I$22)*Quesería!$E$104)*(G353-1))*IF(G$47=1,Quesería!$B$20,1))*$I$10</f>
        <v>242.014861399211</v>
      </c>
      <c r="H358" s="29" t="n">
        <f aca="false">IF(H$47=0,($I$22*Quesería!$J$126+(1-$I$22)*Quesería!$E$122)*Quesería!$B$20*Quesería!$B$21/12*$I$23,(($I$22*Quesería!$J$126+(1-$I$22)*Quesería!$E$122)+($I$22*Quesería!$J$104+(1-$I$22)*Quesería!$E$104)*(H353-1))*IF(H$47=1,Quesería!$B$20,1))*$I$10</f>
        <v>242.076567983595</v>
      </c>
      <c r="I358" s="29" t="n">
        <f aca="false">IF(I$47=0,($I$22*Quesería!$J$126+(1-$I$22)*Quesería!$E$122)*Quesería!$B$20*Quesería!$B$21/12*$I$23,(($I$22*Quesería!$J$126+(1-$I$22)*Quesería!$E$122)+($I$22*Quesería!$J$104+(1-$I$22)*Quesería!$E$104)*(I353-1))*IF(I$47=1,Quesería!$B$20,1))*$I$10</f>
        <v>242.138583100901</v>
      </c>
      <c r="J358" s="29" t="n">
        <f aca="false">IF(J$47=0,($I$22*Quesería!$J$126+(1-$I$22)*Quesería!$E$122)*Quesería!$B$20*Quesería!$B$21/12*$I$23,(($I$22*Quesería!$J$126+(1-$I$22)*Quesería!$E$122)+($I$22*Quesería!$J$104+(1-$I$22)*Quesería!$E$104)*(J353-1))*IF(J$47=1,Quesería!$B$20,1))*$I$10</f>
        <v>242.200908293794</v>
      </c>
      <c r="K358" s="29" t="n">
        <f aca="false">IF(K$47=0,($I$22*Quesería!$J$126+(1-$I$22)*Quesería!$E$122)*Quesería!$B$20*Quesería!$B$21/12*$I$23,(($I$22*Quesería!$J$126+(1-$I$22)*Quesería!$E$122)+($I$22*Quesería!$J$104+(1-$I$22)*Quesería!$E$104)*(K353-1))*IF(K$47=1,Quesería!$B$20,1))*$I$10</f>
        <v>242.263545112651</v>
      </c>
      <c r="L358" s="29" t="n">
        <f aca="false">IF(L$47=0,($I$22*Quesería!$J$126+(1-$I$22)*Quesería!$E$122)*Quesería!$B$20*Quesería!$B$21/12*$I$23,(($I$22*Quesería!$J$126+(1-$I$22)*Quesería!$E$122)+($I$22*Quesería!$J$104+(1-$I$22)*Quesería!$E$104)*(L353-1))*IF(L$47=1,Quesería!$B$20,1))*$I$10</f>
        <v>242.326495115602</v>
      </c>
    </row>
    <row r="359" customFormat="false" ht="15" hidden="true" customHeight="false" outlineLevel="1" collapsed="false">
      <c r="A359" s="6" t="s">
        <v>387</v>
      </c>
      <c r="B359" s="29" t="n">
        <f aca="false">IF(B$47&lt;=1,0,((($I$22*Quesería!$J$127+(1-$I$22)*Quesería!$E$123)-($I$22*Quesería!$J$113+(1-$I$22)*Quesería!$E$113)+$I$6*($I$22*Quesería!$J$113+(1-$I$22)*Quesería!$E$113)-(1-$I$9)*(($I$22*Quesería!$J$119+(1-$I$22)*Quesería!$E$119)+($I$22*Quesería!$J$118+(1-$I$22)*Quesería!$E$118))-(1-$I$24)*($I$22*Quesería!$J$117+(1-$I$22)*Quesería!$E$117)+$I$24*(1-$I$25)*'Beneficios y costos'!$B$144-(-$I$26*$I$27)*'Beneficios y costos'!$C$167)+($I$6*($I$22*Quesería!$J$113+(1-$I$22)*Quesería!$E$113)+$I$9*($I$22*Quesería!$J$119+(1-$I$22)*Quesería!$E$119))*(B353-1))*IF(B$47=2,Quesería!$B$20,1)+IF(B$47=2,Quesería!$B$24*$I$9*($I$22*Quesería!$J$119+(1-$I$22)*Quesería!$E$119)*B353,0))*$I$10*$I$21</f>
        <v>0</v>
      </c>
      <c r="C359" s="29" t="n">
        <f aca="false">IF(C$47&lt;=1,0,((($I$22*Quesería!$J$127+(1-$I$22)*Quesería!$E$123)-($I$22*Quesería!$J$113+(1-$I$22)*Quesería!$E$113)+$I$6*($I$22*Quesería!$J$113+(1-$I$22)*Quesería!$E$113)-(1-$I$9)*(($I$22*Quesería!$J$119+(1-$I$22)*Quesería!$E$119)+($I$22*Quesería!$J$118+(1-$I$22)*Quesería!$E$118))-(1-$I$24)*($I$22*Quesería!$J$117+(1-$I$22)*Quesería!$E$117)+$I$24*(1-$I$25)*'Beneficios y costos'!$B$144-(-$I$26*$I$27)*'Beneficios y costos'!$C$167)+($I$6*($I$22*Quesería!$J$113+(1-$I$22)*Quesería!$E$113)+$I$9*($I$22*Quesería!$J$119+(1-$I$22)*Quesería!$E$119))*(C353-1))*IF(C$47=2,Quesería!$B$20,1)+IF(C$47=2,Quesería!$B$24*$I$9*($I$22*Quesería!$J$119+(1-$I$22)*Quesería!$E$119)*C353,0))*$I$10*$I$21</f>
        <v>0</v>
      </c>
      <c r="D359" s="29" t="n">
        <f aca="false">IF(D$47&lt;=1,0,((($I$22*Quesería!$J$127+(1-$I$22)*Quesería!$E$123)-($I$22*Quesería!$J$113+(1-$I$22)*Quesería!$E$113)+$I$6*($I$22*Quesería!$J$113+(1-$I$22)*Quesería!$E$113)-(1-$I$9)*(($I$22*Quesería!$J$119+(1-$I$22)*Quesería!$E$119)+($I$22*Quesería!$J$118+(1-$I$22)*Quesería!$E$118))-(1-$I$24)*($I$22*Quesería!$J$117+(1-$I$22)*Quesería!$E$117)+$I$24*(1-$I$25)*'Beneficios y costos'!$B$144-(-$I$26*$I$27)*'Beneficios y costos'!$C$167)+($I$6*($I$22*Quesería!$J$113+(1-$I$22)*Quesería!$E$113)+$I$9*($I$22*Quesería!$J$119+(1-$I$22)*Quesería!$E$119))*(D353-1))*IF(D$47=2,Quesería!$B$20,1)+IF(D$47=2,Quesería!$B$24*$I$9*($I$22*Quesería!$J$119+(1-$I$22)*Quesería!$E$119)*D353,0))*$I$10*$I$21</f>
        <v>257.351493734688</v>
      </c>
      <c r="E359" s="29" t="n">
        <f aca="false">IF(E$47&lt;=1,0,((($I$22*Quesería!$J$127+(1-$I$22)*Quesería!$E$123)-($I$22*Quesería!$J$113+(1-$I$22)*Quesería!$E$113)+$I$6*($I$22*Quesería!$J$113+(1-$I$22)*Quesería!$E$113)-(1-$I$9)*(($I$22*Quesería!$J$119+(1-$I$22)*Quesería!$E$119)+($I$22*Quesería!$J$118+(1-$I$22)*Quesería!$E$118))-(1-$I$24)*($I$22*Quesería!$J$117+(1-$I$22)*Quesería!$E$117)+$I$24*(1-$I$25)*'Beneficios y costos'!$B$144-(-$I$26*$I$27)*'Beneficios y costos'!$C$167)+($I$6*($I$22*Quesería!$J$113+(1-$I$22)*Quesería!$E$113)+$I$9*($I$22*Quesería!$J$119+(1-$I$22)*Quesería!$E$119))*(E353-1))*IF(E$47=2,Quesería!$B$20,1)+IF(E$47=2,Quesería!$B$24*$I$9*($I$22*Quesería!$J$119+(1-$I$22)*Quesería!$E$119)*E353,0))*$I$10*$I$21</f>
        <v>328.494820128122</v>
      </c>
      <c r="F359" s="29" t="n">
        <f aca="false">IF(F$47&lt;=1,0,((($I$22*Quesería!$J$127+(1-$I$22)*Quesería!$E$123)-($I$22*Quesería!$J$113+(1-$I$22)*Quesería!$E$113)+$I$6*($I$22*Quesería!$J$113+(1-$I$22)*Quesería!$E$113)-(1-$I$9)*(($I$22*Quesería!$J$119+(1-$I$22)*Quesería!$E$119)+($I$22*Quesería!$J$118+(1-$I$22)*Quesería!$E$118))-(1-$I$24)*($I$22*Quesería!$J$117+(1-$I$22)*Quesería!$E$117)+$I$24*(1-$I$25)*'Beneficios y costos'!$B$144-(-$I$26*$I$27)*'Beneficios y costos'!$C$167)+($I$6*($I$22*Quesería!$J$113+(1-$I$22)*Quesería!$E$113)+$I$9*($I$22*Quesería!$J$119+(1-$I$22)*Quesería!$E$119))*(F353-1))*IF(F$47=2,Quesería!$B$20,1)+IF(F$47=2,Quesería!$B$24*$I$9*($I$22*Quesería!$J$119+(1-$I$22)*Quesería!$E$119)*F353,0))*$I$10*$I$21</f>
        <v>328.742937047686</v>
      </c>
      <c r="G359" s="29" t="n">
        <f aca="false">IF(G$47&lt;=1,0,((($I$22*Quesería!$J$127+(1-$I$22)*Quesería!$E$123)-($I$22*Quesería!$J$113+(1-$I$22)*Quesería!$E$113)+$I$6*($I$22*Quesería!$J$113+(1-$I$22)*Quesería!$E$113)-(1-$I$9)*(($I$22*Quesería!$J$119+(1-$I$22)*Quesería!$E$119)+($I$22*Quesería!$J$118+(1-$I$22)*Quesería!$E$118))-(1-$I$24)*($I$22*Quesería!$J$117+(1-$I$22)*Quesería!$E$117)+$I$24*(1-$I$25)*'Beneficios y costos'!$B$144-(-$I$26*$I$27)*'Beneficios y costos'!$C$167)+($I$6*($I$22*Quesería!$J$113+(1-$I$22)*Quesería!$E$113)+$I$9*($I$22*Quesería!$J$119+(1-$I$22)*Quesería!$E$119))*(G353-1))*IF(G$47=2,Quesería!$B$20,1)+IF(G$47=2,Quesería!$B$24*$I$9*($I$22*Quesería!$J$119+(1-$I$22)*Quesería!$E$119)*G353,0))*$I$10*$I$21</f>
        <v>328.992294551847</v>
      </c>
      <c r="H359" s="29" t="n">
        <f aca="false">IF(H$47&lt;=1,0,((($I$22*Quesería!$J$127+(1-$I$22)*Quesería!$E$123)-($I$22*Quesería!$J$113+(1-$I$22)*Quesería!$E$113)+$I$6*($I$22*Quesería!$J$113+(1-$I$22)*Quesería!$E$113)-(1-$I$9)*(($I$22*Quesería!$J$119+(1-$I$22)*Quesería!$E$119)+($I$22*Quesería!$J$118+(1-$I$22)*Quesería!$E$118))-(1-$I$24)*($I$22*Quesería!$J$117+(1-$I$22)*Quesería!$E$117)+$I$24*(1-$I$25)*'Beneficios y costos'!$B$144-(-$I$26*$I$27)*'Beneficios y costos'!$C$167)+($I$6*($I$22*Quesería!$J$113+(1-$I$22)*Quesería!$E$113)+$I$9*($I$22*Quesería!$J$119+(1-$I$22)*Quesería!$E$119))*(H353-1))*IF(H$47=2,Quesería!$B$20,1)+IF(H$47=2,Quesería!$B$24*$I$9*($I$22*Quesería!$J$119+(1-$I$22)*Quesería!$E$119)*H353,0))*$I$10*$I$21</f>
        <v>329.242898843529</v>
      </c>
      <c r="I359" s="29" t="n">
        <f aca="false">IF(I$47&lt;=1,0,((($I$22*Quesería!$J$127+(1-$I$22)*Quesería!$E$123)-($I$22*Quesería!$J$113+(1-$I$22)*Quesería!$E$113)+$I$6*($I$22*Quesería!$J$113+(1-$I$22)*Quesería!$E$113)-(1-$I$9)*(($I$22*Quesería!$J$119+(1-$I$22)*Quesería!$E$119)+($I$22*Quesería!$J$118+(1-$I$22)*Quesería!$E$118))-(1-$I$24)*($I$22*Quesería!$J$117+(1-$I$22)*Quesería!$E$117)+$I$24*(1-$I$25)*'Beneficios y costos'!$B$144-(-$I$26*$I$27)*'Beneficios y costos'!$C$167)+($I$6*($I$22*Quesería!$J$113+(1-$I$22)*Quesería!$E$113)+$I$9*($I$22*Quesería!$J$119+(1-$I$22)*Quesería!$E$119))*(I353-1))*IF(I$47=2,Quesería!$B$20,1)+IF(I$47=2,Quesería!$B$24*$I$9*($I$22*Quesería!$J$119+(1-$I$22)*Quesería!$E$119)*I353,0))*$I$10*$I$21</f>
        <v>329.49475615667</v>
      </c>
      <c r="J359" s="29" t="n">
        <f aca="false">IF(J$47&lt;=1,0,((($I$22*Quesería!$J$127+(1-$I$22)*Quesería!$E$123)-($I$22*Quesería!$J$113+(1-$I$22)*Quesería!$E$113)+$I$6*($I$22*Quesería!$J$113+(1-$I$22)*Quesería!$E$113)-(1-$I$9)*(($I$22*Quesería!$J$119+(1-$I$22)*Quesería!$E$119)+($I$22*Quesería!$J$118+(1-$I$22)*Quesería!$E$118))-(1-$I$24)*($I$22*Quesería!$J$117+(1-$I$22)*Quesería!$E$117)+$I$24*(1-$I$25)*'Beneficios y costos'!$B$144-(-$I$26*$I$27)*'Beneficios y costos'!$C$167)+($I$6*($I$22*Quesería!$J$113+(1-$I$22)*Quesería!$E$113)+$I$9*($I$22*Quesería!$J$119+(1-$I$22)*Quesería!$E$119))*(J353-1))*IF(J$47=2,Quesería!$B$20,1)+IF(J$47=2,Quesería!$B$24*$I$9*($I$22*Quesería!$J$119+(1-$I$22)*Quesería!$E$119)*J353,0))*$I$10*$I$21</f>
        <v>329.747872756376</v>
      </c>
      <c r="K359" s="29" t="n">
        <f aca="false">IF(K$47&lt;=1,0,((($I$22*Quesería!$J$127+(1-$I$22)*Quesería!$E$123)-($I$22*Quesería!$J$113+(1-$I$22)*Quesería!$E$113)+$I$6*($I$22*Quesería!$J$113+(1-$I$22)*Quesería!$E$113)-(1-$I$9)*(($I$22*Quesería!$J$119+(1-$I$22)*Quesería!$E$119)+($I$22*Quesería!$J$118+(1-$I$22)*Quesería!$E$118))-(1-$I$24)*($I$22*Quesería!$J$117+(1-$I$22)*Quesería!$E$117)+$I$24*(1-$I$25)*'Beneficios y costos'!$B$144-(-$I$26*$I$27)*'Beneficios y costos'!$C$167)+($I$6*($I$22*Quesería!$J$113+(1-$I$22)*Quesería!$E$113)+$I$9*($I$22*Quesería!$J$119+(1-$I$22)*Quesería!$E$119))*(K353-1))*IF(K$47=2,Quesería!$B$20,1)+IF(K$47=2,Quesería!$B$24*$I$9*($I$22*Quesería!$J$119+(1-$I$22)*Quesería!$E$119)*K353,0))*$I$10*$I$21</f>
        <v>330.00225493908</v>
      </c>
      <c r="L359" s="29" t="n">
        <f aca="false">IF(L$47&lt;=1,0,((($I$22*Quesería!$J$127+(1-$I$22)*Quesería!$E$123)-($I$22*Quesería!$J$113+(1-$I$22)*Quesería!$E$113)+$I$6*($I$22*Quesería!$J$113+(1-$I$22)*Quesería!$E$113)-(1-$I$9)*(($I$22*Quesería!$J$119+(1-$I$22)*Quesería!$E$119)+($I$22*Quesería!$J$118+(1-$I$22)*Quesería!$E$118))-(1-$I$24)*($I$22*Quesería!$J$117+(1-$I$22)*Quesería!$E$117)+$I$24*(1-$I$25)*'Beneficios y costos'!$B$144-(-$I$26*$I$27)*'Beneficios y costos'!$C$167)+($I$6*($I$22*Quesería!$J$113+(1-$I$22)*Quesería!$E$113)+$I$9*($I$22*Quesería!$J$119+(1-$I$22)*Quesería!$E$119))*(L353-1))*IF(L$47=2,Quesería!$B$20,1)+IF(L$47=2,Quesería!$B$24*$I$9*($I$22*Quesería!$J$119+(1-$I$22)*Quesería!$E$119)*L353,0))*$I$10*$I$21</f>
        <v>330.257909032699</v>
      </c>
    </row>
    <row r="360" customFormat="false" ht="15" hidden="true" customHeight="false" outlineLevel="1" collapsed="false">
      <c r="A360" s="5" t="s">
        <v>412</v>
      </c>
      <c r="B360" s="10" t="n">
        <f aca="false">B358+B359</f>
        <v>120.716772261203</v>
      </c>
      <c r="C360" s="10" t="n">
        <f aca="false">C358+C359</f>
        <v>181.328317354069</v>
      </c>
      <c r="D360" s="10" t="n">
        <f aca="false">D358+D359</f>
        <v>499.183071266528</v>
      </c>
      <c r="E360" s="10" t="n">
        <f aca="false">E358+E359</f>
        <v>570.38718782501</v>
      </c>
      <c r="F360" s="10" t="n">
        <f aca="false">F358+F359</f>
        <v>570.696398860445</v>
      </c>
      <c r="G360" s="10" t="n">
        <f aca="false">G358+G359</f>
        <v>571.007155951058</v>
      </c>
      <c r="H360" s="10" t="n">
        <f aca="false">H358+H359</f>
        <v>571.319466827124</v>
      </c>
      <c r="I360" s="10" t="n">
        <f aca="false">I358+I359</f>
        <v>571.633339257571</v>
      </c>
      <c r="J360" s="10" t="n">
        <f aca="false">J358+J359</f>
        <v>571.94878105017</v>
      </c>
      <c r="K360" s="10" t="n">
        <f aca="false">K358+K359</f>
        <v>572.265800051731</v>
      </c>
      <c r="L360" s="10" t="n">
        <f aca="false">L358+L359</f>
        <v>572.584404148301</v>
      </c>
    </row>
    <row r="361" customFormat="false" ht="15" hidden="true" customHeight="false" outlineLevel="1" collapsed="false">
      <c r="A361" s="6" t="s">
        <v>413</v>
      </c>
      <c r="B361" s="29" t="n">
        <f aca="false">(IF(B$47&gt;=1,(Quesería!$B$31+Quesería!$B$33)*Quesería!$F$94*$I$11+Quesería!$B$32+'Beneficios y costos'!$B$249,0)+IF(B$47&gt;=2,((Quesería!$B$31+Quesería!$B$33)*(Quesería!$F$95-(-$I$26)*Quesería!$D$86)*$I$11+'Beneficios y costos'!$C$249-(-$I$26)*'Beneficios y costos'!$H$235)*$I$21,0))*$I$12</f>
        <v>0</v>
      </c>
      <c r="C361" s="29" t="n">
        <f aca="false">(IF(C$47&gt;=1,(Quesería!$B$31+Quesería!$B$33)*Quesería!$F$94*$I$11+Quesería!$B$32+'Beneficios y costos'!$B$249,0)+IF(C$47&gt;=2,((Quesería!$B$31+Quesería!$B$33)*(Quesería!$F$95-(-$I$26)*Quesería!$D$86)*$I$11+'Beneficios y costos'!$C$249-(-$I$26)*'Beneficios y costos'!$H$235)*$I$21,0))*$I$12</f>
        <v>45.1099438472725</v>
      </c>
      <c r="D361" s="29" t="n">
        <f aca="false">(IF(D$47&gt;=1,(Quesería!$B$31+Quesería!$B$33)*Quesería!$F$94*$I$11+Quesería!$B$32+'Beneficios y costos'!$B$249,0)+IF(D$47&gt;=2,((Quesería!$B$31+Quesería!$B$33)*(Quesería!$F$95-(-$I$26)*Quesería!$D$86)*$I$11+'Beneficios y costos'!$C$249-(-$I$26)*'Beneficios y costos'!$H$235)*$I$21,0))*$I$12</f>
        <v>82.6888593732231</v>
      </c>
      <c r="E361" s="29" t="n">
        <f aca="false">(IF(E$47&gt;=1,(Quesería!$B$31+Quesería!$B$33)*Quesería!$F$94*$I$11+Quesería!$B$32+'Beneficios y costos'!$B$249,0)+IF(E$47&gt;=2,((Quesería!$B$31+Quesería!$B$33)*(Quesería!$F$95-(-$I$26)*Quesería!$D$86)*$I$11+'Beneficios y costos'!$C$249-(-$I$26)*'Beneficios y costos'!$H$235)*$I$21,0))*$I$12</f>
        <v>82.6888593732231</v>
      </c>
      <c r="F361" s="29" t="n">
        <f aca="false">(IF(F$47&gt;=1,(Quesería!$B$31+Quesería!$B$33)*Quesería!$F$94*$I$11+Quesería!$B$32+'Beneficios y costos'!$B$249,0)+IF(F$47&gt;=2,((Quesería!$B$31+Quesería!$B$33)*(Quesería!$F$95-(-$I$26)*Quesería!$D$86)*$I$11+'Beneficios y costos'!$C$249-(-$I$26)*'Beneficios y costos'!$H$235)*$I$21,0))*$I$12</f>
        <v>82.6888593732231</v>
      </c>
      <c r="G361" s="29" t="n">
        <f aca="false">(IF(G$47&gt;=1,(Quesería!$B$31+Quesería!$B$33)*Quesería!$F$94*$I$11+Quesería!$B$32+'Beneficios y costos'!$B$249,0)+IF(G$47&gt;=2,((Quesería!$B$31+Quesería!$B$33)*(Quesería!$F$95-(-$I$26)*Quesería!$D$86)*$I$11+'Beneficios y costos'!$C$249-(-$I$26)*'Beneficios y costos'!$H$235)*$I$21,0))*$I$12</f>
        <v>82.6888593732231</v>
      </c>
      <c r="H361" s="29" t="n">
        <f aca="false">(IF(H$47&gt;=1,(Quesería!$B$31+Quesería!$B$33)*Quesería!$F$94*$I$11+Quesería!$B$32+'Beneficios y costos'!$B$249,0)+IF(H$47&gt;=2,((Quesería!$B$31+Quesería!$B$33)*(Quesería!$F$95-(-$I$26)*Quesería!$D$86)*$I$11+'Beneficios y costos'!$C$249-(-$I$26)*'Beneficios y costos'!$H$235)*$I$21,0))*$I$12</f>
        <v>82.6888593732231</v>
      </c>
      <c r="I361" s="29" t="n">
        <f aca="false">(IF(I$47&gt;=1,(Quesería!$B$31+Quesería!$B$33)*Quesería!$F$94*$I$11+Quesería!$B$32+'Beneficios y costos'!$B$249,0)+IF(I$47&gt;=2,((Quesería!$B$31+Quesería!$B$33)*(Quesería!$F$95-(-$I$26)*Quesería!$D$86)*$I$11+'Beneficios y costos'!$C$249-(-$I$26)*'Beneficios y costos'!$H$235)*$I$21,0))*$I$12</f>
        <v>82.6888593732231</v>
      </c>
      <c r="J361" s="29" t="n">
        <f aca="false">(IF(J$47&gt;=1,(Quesería!$B$31+Quesería!$B$33)*Quesería!$F$94*$I$11+Quesería!$B$32+'Beneficios y costos'!$B$249,0)+IF(J$47&gt;=2,((Quesería!$B$31+Quesería!$B$33)*(Quesería!$F$95-(-$I$26)*Quesería!$D$86)*$I$11+'Beneficios y costos'!$C$249-(-$I$26)*'Beneficios y costos'!$H$235)*$I$21,0))*$I$12</f>
        <v>82.6888593732231</v>
      </c>
      <c r="K361" s="29" t="n">
        <f aca="false">(IF(K$47&gt;=1,(Quesería!$B$31+Quesería!$B$33)*Quesería!$F$94*$I$11+Quesería!$B$32+'Beneficios y costos'!$B$249,0)+IF(K$47&gt;=2,((Quesería!$B$31+Quesería!$B$33)*(Quesería!$F$95-(-$I$26)*Quesería!$D$86)*$I$11+'Beneficios y costos'!$C$249-(-$I$26)*'Beneficios y costos'!$H$235)*$I$21,0))*$I$12</f>
        <v>82.6888593732231</v>
      </c>
      <c r="L361" s="29" t="n">
        <f aca="false">(IF(L$47&gt;=1,(Quesería!$B$31+Quesería!$B$33)*Quesería!$F$94*$I$11+Quesería!$B$32+'Beneficios y costos'!$B$249,0)+IF(L$47&gt;=2,((Quesería!$B$31+Quesería!$B$33)*(Quesería!$F$95-(-$I$26)*Quesería!$D$86)*$I$11+'Beneficios y costos'!$C$249-(-$I$26)*'Beneficios y costos'!$H$235)*$I$21,0))*$I$12</f>
        <v>82.6888593732231</v>
      </c>
    </row>
    <row r="362" customFormat="false" ht="15" hidden="true" customHeight="false" outlineLevel="1" collapsed="false">
      <c r="A362" s="6" t="s">
        <v>414</v>
      </c>
      <c r="B362" s="29" t="n">
        <f aca="false">IF(B$47=1,2*Quesería!$B$22*Quesería!$B$23/12*B353,0)*$I$21</f>
        <v>0</v>
      </c>
      <c r="C362" s="29" t="n">
        <f aca="false">IF(C$47=1,2*Quesería!$B$22*Quesería!$B$23/12*C353,0)*$I$21</f>
        <v>18.5166509433962</v>
      </c>
      <c r="D362" s="29" t="n">
        <f aca="false">IF(D$47=1,2*Quesería!$B$22*Quesería!$B$23/12*D353,0)*$I$21</f>
        <v>0</v>
      </c>
      <c r="E362" s="29" t="n">
        <f aca="false">IF(E$47=1,2*Quesería!$B$22*Quesería!$B$23/12*E353,0)*$I$21</f>
        <v>0</v>
      </c>
      <c r="F362" s="29" t="n">
        <f aca="false">IF(F$47=1,2*Quesería!$B$22*Quesería!$B$23/12*F353,0)*$I$21</f>
        <v>0</v>
      </c>
      <c r="G362" s="29" t="n">
        <f aca="false">IF(G$47=1,2*Quesería!$B$22*Quesería!$B$23/12*G353,0)*$I$21</f>
        <v>0</v>
      </c>
      <c r="H362" s="29" t="n">
        <f aca="false">IF(H$47=1,2*Quesería!$B$22*Quesería!$B$23/12*H353,0)*$I$21</f>
        <v>0</v>
      </c>
      <c r="I362" s="29" t="n">
        <f aca="false">IF(I$47=1,2*Quesería!$B$22*Quesería!$B$23/12*I353,0)*$I$21</f>
        <v>0</v>
      </c>
      <c r="J362" s="29" t="n">
        <f aca="false">IF(J$47=1,2*Quesería!$B$22*Quesería!$B$23/12*J353,0)*$I$21</f>
        <v>0</v>
      </c>
      <c r="K362" s="29" t="n">
        <f aca="false">IF(K$47=1,2*Quesería!$B$22*Quesería!$B$23/12*K353,0)*$I$21</f>
        <v>0</v>
      </c>
      <c r="L362" s="29" t="n">
        <f aca="false">IF(L$47=1,2*Quesería!$B$22*Quesería!$B$23/12*L353,0)*$I$21</f>
        <v>0</v>
      </c>
    </row>
    <row r="363" customFormat="false" ht="15" hidden="true" customHeight="false" outlineLevel="1" collapsed="false">
      <c r="A363" s="6" t="s">
        <v>415</v>
      </c>
      <c r="B363" s="29" t="n">
        <f aca="false">Quesería!$B$52*(B355+B356+B357+B361+B362)</f>
        <v>5.1835963727609</v>
      </c>
      <c r="C363" s="29" t="n">
        <f aca="false">Quesería!$B$52*(C355+C356+C357+C361+C362)</f>
        <v>4.01568168800741</v>
      </c>
      <c r="D363" s="29" t="n">
        <f aca="false">Quesería!$B$52*(D355+D356+D357+D361+D362)</f>
        <v>0.330755437492892</v>
      </c>
      <c r="E363" s="29" t="n">
        <f aca="false">Quesería!$B$52*(E355+E356+E357+E361+E362)</f>
        <v>0.330755437492892</v>
      </c>
      <c r="F363" s="29" t="n">
        <f aca="false">Quesería!$B$52*(F355+F356+F357+F361+F362)</f>
        <v>0.330755437492892</v>
      </c>
      <c r="G363" s="29" t="n">
        <f aca="false">Quesería!$B$52*(G355+G356+G357+G361+G362)</f>
        <v>0.487636758532698</v>
      </c>
      <c r="H363" s="29" t="n">
        <f aca="false">Quesería!$B$52*(H355+H356+H357+H361+H362)</f>
        <v>0.595730294913869</v>
      </c>
      <c r="I363" s="29" t="n">
        <f aca="false">Quesería!$B$52*(I355+I356+I357+I361+I362)</f>
        <v>0.330755437492892</v>
      </c>
      <c r="J363" s="29" t="n">
        <f aca="false">Quesería!$B$52*(J355+J356+J357+J361+J362)</f>
        <v>0.330755437492892</v>
      </c>
      <c r="K363" s="29" t="n">
        <f aca="false">Quesería!$B$52*(K355+K356+K357+K361+K362)</f>
        <v>0.330755437492892</v>
      </c>
      <c r="L363" s="29" t="n">
        <f aca="false">Quesería!$B$52*(L355+L356+L357+L361+L362)</f>
        <v>0.330755437492892</v>
      </c>
    </row>
    <row r="364" customFormat="false" ht="15" hidden="true" customHeight="false" outlineLevel="1" collapsed="false">
      <c r="A364" s="6" t="s">
        <v>416</v>
      </c>
      <c r="B364" s="29" t="n">
        <f aca="false">(IF($I$19=1,(SUMPRODUCT((Quesería!$C$70:$C$89=0)*(Quesería!$J$70:$J$89&gt;0)*(B$47&gt;=1)*(B$47&lt;=Quesería!$J$70:$J$89)*(Quesería!$H$70:$H$89&gt;0)*Quesería!$F$70:$F$89*(1+Quesería!$I$70:$I$89)/(Quesería!$J$70:$J$89+(Quesería!$J$70:$J$89=0)))+SUMPRODUCT((Quesería!$C$70:$C$89=0)*(Quesería!$J$70:$J$89=0)*(B$47=0)*(Quesería!$H$70:$H$89&gt;0)*Quesería!$F$70:$F$89*(1+Quesería!$I$70:$I$89)))*$B$352+((SUMPRODUCT((Quesería!$C$70:$C$89=1)*(Quesería!$J$70:$J$89&gt;0)*(B$47&gt;=2)*(B$47&lt;=Quesería!$J$70:$J$89+1)*(Quesería!$H$70:$H$89&gt;0)*Quesería!$F$70:$F$89*(1+Quesería!$I$70:$I$89)/(Quesería!$J$70:$J$89+(Quesería!$J$70:$J$89=0)))+SUMPRODUCT((Quesería!$C$70:$C$89=1)*(Quesería!$J$70:$J$89=0)*(B$47=1)*(Quesería!$H$70:$H$89&gt;0)*Quesería!$F$70:$F$89*(1+Quesería!$I$70:$I$89)))-(-$I$26)*IF(AND(B$47&gt;=2,B$47&lt;=Quesería!$J$86+1),Quesería!$D$86*(1+Quesería!$I$86)/Quesería!$J$86,0))*$C$352*$I$21,IF(AND(B$47&gt;=1,B$47&lt;=Quesería!$B$30),Quesería!$F$92/Quesería!$B$30,0)*$B$352+IF(AND(B$47&gt;=2,B$47&lt;=Quesería!$B$30+1),(Quesería!$F$93-(-$I$26)*Quesería!$D$86*(1+Quesería!$I$86))/Quesería!$B$30,0)*$C$352*$I$21)*$I$11+IF(AND(B$47&gt;=6,B$47&lt;=10),$G356*$G352/5,0)+IF(AND(B$47&gt;=7,B$47&lt;=11),$H356*$H352/5,0))*B354</f>
        <v>175.177098516891</v>
      </c>
      <c r="C364" s="29" t="n">
        <f aca="false">(IF($I$19=1,(SUMPRODUCT((Quesería!$C$70:$C$89=0)*(Quesería!$J$70:$J$89&gt;0)*(C$47&gt;=1)*(C$47&lt;=Quesería!$J$70:$J$89)*(Quesería!$H$70:$H$89&gt;0)*Quesería!$F$70:$F$89*(1+Quesería!$I$70:$I$89)/(Quesería!$J$70:$J$89+(Quesería!$J$70:$J$89=0)))+SUMPRODUCT((Quesería!$C$70:$C$89=0)*(Quesería!$J$70:$J$89=0)*(C$47=0)*(Quesería!$H$70:$H$89&gt;0)*Quesería!$F$70:$F$89*(1+Quesería!$I$70:$I$89)))*$B$352+((SUMPRODUCT((Quesería!$C$70:$C$89=1)*(Quesería!$J$70:$J$89&gt;0)*(C$47&gt;=2)*(C$47&lt;=Quesería!$J$70:$J$89+1)*(Quesería!$H$70:$H$89&gt;0)*Quesería!$F$70:$F$89*(1+Quesería!$I$70:$I$89)/(Quesería!$J$70:$J$89+(Quesería!$J$70:$J$89=0)))+SUMPRODUCT((Quesería!$C$70:$C$89=1)*(Quesería!$J$70:$J$89=0)*(C$47=1)*(Quesería!$H$70:$H$89&gt;0)*Quesería!$F$70:$F$89*(1+Quesería!$I$70:$I$89)))-(-$I$26)*IF(AND(C$47&gt;=2,C$47&lt;=Quesería!$J$86+1),Quesería!$D$86*(1+Quesería!$I$86)/Quesería!$J$86,0))*$C$352*$I$21,IF(AND(C$47&gt;=1,C$47&lt;=Quesería!$B$30),Quesería!$F$92/Quesería!$B$30,0)*$B$352+IF(AND(C$47&gt;=2,C$47&lt;=Quesería!$B$30+1),(Quesería!$F$93-(-$I$26)*Quesería!$D$86*(1+Quesería!$I$86))/Quesería!$B$30,0)*$C$352*$I$21)*$I$11+IF(AND(C$47&gt;=6,C$47&lt;=10),$G356*$G352/5,0)+IF(AND(C$47&gt;=7,C$47&lt;=11),$H356*$H352/5,0))*C354</f>
        <v>98.7159923429119</v>
      </c>
      <c r="D364" s="29" t="n">
        <f aca="false">(IF($I$19=1,(SUMPRODUCT((Quesería!$C$70:$C$89=0)*(Quesería!$J$70:$J$89&gt;0)*(D$47&gt;=1)*(D$47&lt;=Quesería!$J$70:$J$89)*(Quesería!$H$70:$H$89&gt;0)*Quesería!$F$70:$F$89*(1+Quesería!$I$70:$I$89)/(Quesería!$J$70:$J$89+(Quesería!$J$70:$J$89=0)))+SUMPRODUCT((Quesería!$C$70:$C$89=0)*(Quesería!$J$70:$J$89=0)*(D$47=0)*(Quesería!$H$70:$H$89&gt;0)*Quesería!$F$70:$F$89*(1+Quesería!$I$70:$I$89)))*$B$352+((SUMPRODUCT((Quesería!$C$70:$C$89=1)*(Quesería!$J$70:$J$89&gt;0)*(D$47&gt;=2)*(D$47&lt;=Quesería!$J$70:$J$89+1)*(Quesería!$H$70:$H$89&gt;0)*Quesería!$F$70:$F$89*(1+Quesería!$I$70:$I$89)/(Quesería!$J$70:$J$89+(Quesería!$J$70:$J$89=0)))+SUMPRODUCT((Quesería!$C$70:$C$89=1)*(Quesería!$J$70:$J$89=0)*(D$47=1)*(Quesería!$H$70:$H$89&gt;0)*Quesería!$F$70:$F$89*(1+Quesería!$I$70:$I$89)))-(-$I$26)*IF(AND(D$47&gt;=2,D$47&lt;=Quesería!$J$86+1),Quesería!$D$86*(1+Quesería!$I$86)/Quesería!$J$86,0))*$C$352*$I$21,IF(AND(D$47&gt;=1,D$47&lt;=Quesería!$B$30),Quesería!$F$92/Quesería!$B$30,0)*$B$352+IF(AND(D$47&gt;=2,D$47&lt;=Quesería!$B$30+1),(Quesería!$F$93-(-$I$26)*Quesería!$D$86*(1+Quesería!$I$86))/Quesería!$B$30,0)*$C$352*$I$21)*$I$11+IF(AND(D$47&gt;=6,D$47&lt;=10),$G356*$G352/5,0)+IF(AND(D$47&gt;=7,D$47&lt;=11),$H356*$H352/5,0))*D354</f>
        <v>170.07873717115</v>
      </c>
      <c r="E364" s="29" t="n">
        <f aca="false">(IF($I$19=1,(SUMPRODUCT((Quesería!$C$70:$C$89=0)*(Quesería!$J$70:$J$89&gt;0)*(E$47&gt;=1)*(E$47&lt;=Quesería!$J$70:$J$89)*(Quesería!$H$70:$H$89&gt;0)*Quesería!$F$70:$F$89*(1+Quesería!$I$70:$I$89)/(Quesería!$J$70:$J$89+(Quesería!$J$70:$J$89=0)))+SUMPRODUCT((Quesería!$C$70:$C$89=0)*(Quesería!$J$70:$J$89=0)*(E$47=0)*(Quesería!$H$70:$H$89&gt;0)*Quesería!$F$70:$F$89*(1+Quesería!$I$70:$I$89)))*$B$352+((SUMPRODUCT((Quesería!$C$70:$C$89=1)*(Quesería!$J$70:$J$89&gt;0)*(E$47&gt;=2)*(E$47&lt;=Quesería!$J$70:$J$89+1)*(Quesería!$H$70:$H$89&gt;0)*Quesería!$F$70:$F$89*(1+Quesería!$I$70:$I$89)/(Quesería!$J$70:$J$89+(Quesería!$J$70:$J$89=0)))+SUMPRODUCT((Quesería!$C$70:$C$89=1)*(Quesería!$J$70:$J$89=0)*(E$47=1)*(Quesería!$H$70:$H$89&gt;0)*Quesería!$F$70:$F$89*(1+Quesería!$I$70:$I$89)))-(-$I$26)*IF(AND(E$47&gt;=2,E$47&lt;=Quesería!$J$86+1),Quesería!$D$86*(1+Quesería!$I$86)/Quesería!$J$86,0))*$C$352*$I$21,IF(AND(E$47&gt;=1,E$47&lt;=Quesería!$B$30),Quesería!$F$92/Quesería!$B$30,0)*$B$352+IF(AND(E$47&gt;=2,E$47&lt;=Quesería!$B$30+1),(Quesería!$F$93-(-$I$26)*Quesería!$D$86*(1+Quesería!$I$86))/Quesería!$B$30,0)*$C$352*$I$21)*$I$11+IF(AND(E$47&gt;=6,E$47&lt;=10),$G356*$G352/5,0)+IF(AND(E$47&gt;=7,E$47&lt;=11),$H356*$H352/5,0))*E354</f>
        <v>163.537247279952</v>
      </c>
      <c r="F364" s="29" t="n">
        <f aca="false">(IF($I$19=1,(SUMPRODUCT((Quesería!$C$70:$C$89=0)*(Quesería!$J$70:$J$89&gt;0)*(F$47&gt;=1)*(F$47&lt;=Quesería!$J$70:$J$89)*(Quesería!$H$70:$H$89&gt;0)*Quesería!$F$70:$F$89*(1+Quesería!$I$70:$I$89)/(Quesería!$J$70:$J$89+(Quesería!$J$70:$J$89=0)))+SUMPRODUCT((Quesería!$C$70:$C$89=0)*(Quesería!$J$70:$J$89=0)*(F$47=0)*(Quesería!$H$70:$H$89&gt;0)*Quesería!$F$70:$F$89*(1+Quesería!$I$70:$I$89)))*$B$352+((SUMPRODUCT((Quesería!$C$70:$C$89=1)*(Quesería!$J$70:$J$89&gt;0)*(F$47&gt;=2)*(F$47&lt;=Quesería!$J$70:$J$89+1)*(Quesería!$H$70:$H$89&gt;0)*Quesería!$F$70:$F$89*(1+Quesería!$I$70:$I$89)/(Quesería!$J$70:$J$89+(Quesería!$J$70:$J$89=0)))+SUMPRODUCT((Quesería!$C$70:$C$89=1)*(Quesería!$J$70:$J$89=0)*(F$47=1)*(Quesería!$H$70:$H$89&gt;0)*Quesería!$F$70:$F$89*(1+Quesería!$I$70:$I$89)))-(-$I$26)*IF(AND(F$47&gt;=2,F$47&lt;=Quesería!$J$86+1),Quesería!$D$86*(1+Quesería!$I$86)/Quesería!$J$86,0))*$C$352*$I$21,IF(AND(F$47&gt;=1,F$47&lt;=Quesería!$B$30),Quesería!$F$92/Quesería!$B$30,0)*$B$352+IF(AND(F$47&gt;=2,F$47&lt;=Quesería!$B$30+1),(Quesería!$F$93-(-$I$26)*Quesería!$D$86*(1+Quesería!$I$86))/Quesería!$B$30,0)*$C$352*$I$21)*$I$11+IF(AND(F$47&gt;=6,F$47&lt;=10),$G356*$G352/5,0)+IF(AND(F$47&gt;=7,F$47&lt;=11),$H356*$H352/5,0))*F354</f>
        <v>157.2473531538</v>
      </c>
      <c r="G364" s="29" t="n">
        <f aca="false">(IF($I$19=1,(SUMPRODUCT((Quesería!$C$70:$C$89=0)*(Quesería!$J$70:$J$89&gt;0)*(G$47&gt;=1)*(G$47&lt;=Quesería!$J$70:$J$89)*(Quesería!$H$70:$H$89&gt;0)*Quesería!$F$70:$F$89*(1+Quesería!$I$70:$I$89)/(Quesería!$J$70:$J$89+(Quesería!$J$70:$J$89=0)))+SUMPRODUCT((Quesería!$C$70:$C$89=0)*(Quesería!$J$70:$J$89=0)*(G$47=0)*(Quesería!$H$70:$H$89&gt;0)*Quesería!$F$70:$F$89*(1+Quesería!$I$70:$I$89)))*$B$352+((SUMPRODUCT((Quesería!$C$70:$C$89=1)*(Quesería!$J$70:$J$89&gt;0)*(G$47&gt;=2)*(G$47&lt;=Quesería!$J$70:$J$89+1)*(Quesería!$H$70:$H$89&gt;0)*Quesería!$F$70:$F$89*(1+Quesería!$I$70:$I$89)/(Quesería!$J$70:$J$89+(Quesería!$J$70:$J$89=0)))+SUMPRODUCT((Quesería!$C$70:$C$89=1)*(Quesería!$J$70:$J$89=0)*(G$47=1)*(Quesería!$H$70:$H$89&gt;0)*Quesería!$F$70:$F$89*(1+Quesería!$I$70:$I$89)))-(-$I$26)*IF(AND(G$47&gt;=2,G$47&lt;=Quesería!$J$86+1),Quesería!$D$86*(1+Quesería!$I$86)/Quesería!$J$86,0))*$C$352*$I$21,IF(AND(G$47&gt;=1,G$47&lt;=Quesería!$B$30),Quesería!$F$92/Quesería!$B$30,0)*$B$352+IF(AND(G$47&gt;=2,G$47&lt;=Quesería!$B$30+1),(Quesería!$F$93-(-$I$26)*Quesería!$D$86*(1+Quesería!$I$86))/Quesería!$B$30,0)*$C$352*$I$21)*$I$11+IF(AND(G$47&gt;=6,G$47&lt;=10),$G356*$G352/5,0)+IF(AND(G$47&gt;=7,G$47&lt;=11),$H356*$H352/5,0))*G354</f>
        <v>151.1993780325</v>
      </c>
      <c r="H364" s="29" t="n">
        <f aca="false">(IF($I$19=1,(SUMPRODUCT((Quesería!$C$70:$C$89=0)*(Quesería!$J$70:$J$89&gt;0)*(H$47&gt;=1)*(H$47&lt;=Quesería!$J$70:$J$89)*(Quesería!$H$70:$H$89&gt;0)*Quesería!$F$70:$F$89*(1+Quesería!$I$70:$I$89)/(Quesería!$J$70:$J$89+(Quesería!$J$70:$J$89=0)))+SUMPRODUCT((Quesería!$C$70:$C$89=0)*(Quesería!$J$70:$J$89=0)*(H$47=0)*(Quesería!$H$70:$H$89&gt;0)*Quesería!$F$70:$F$89*(1+Quesería!$I$70:$I$89)))*$B$352+((SUMPRODUCT((Quesería!$C$70:$C$89=1)*(Quesería!$J$70:$J$89&gt;0)*(H$47&gt;=2)*(H$47&lt;=Quesería!$J$70:$J$89+1)*(Quesería!$H$70:$H$89&gt;0)*Quesería!$F$70:$F$89*(1+Quesería!$I$70:$I$89)/(Quesería!$J$70:$J$89+(Quesería!$J$70:$J$89=0)))+SUMPRODUCT((Quesería!$C$70:$C$89=1)*(Quesería!$J$70:$J$89=0)*(H$47=1)*(Quesería!$H$70:$H$89&gt;0)*Quesería!$F$70:$F$89*(1+Quesería!$I$70:$I$89)))-(-$I$26)*IF(AND(H$47&gt;=2,H$47&lt;=Quesería!$J$86+1),Quesería!$D$86*(1+Quesería!$I$86)/Quesería!$J$86,0))*$C$352*$I$21,IF(AND(H$47&gt;=1,H$47&lt;=Quesería!$B$30),Quesería!$F$92/Quesería!$B$30,0)*$B$352+IF(AND(H$47&gt;=2,H$47&lt;=Quesería!$B$30+1),(Quesería!$F$93-(-$I$26)*Quesería!$D$86*(1+Quesería!$I$86))/Quesería!$B$30,0)*$C$352*$I$21)*$I$11+IF(AND(H$47&gt;=6,H$47&lt;=10),$G356*$G352/5,0)+IF(AND(H$47&gt;=7,H$47&lt;=11),$H356*$H352/5,0))*H354</f>
        <v>136.96167141426</v>
      </c>
      <c r="I364" s="29" t="n">
        <f aca="false">(IF($I$19=1,(SUMPRODUCT((Quesería!$C$70:$C$89=0)*(Quesería!$J$70:$J$89&gt;0)*(I$47&gt;=1)*(I$47&lt;=Quesería!$J$70:$J$89)*(Quesería!$H$70:$H$89&gt;0)*Quesería!$F$70:$F$89*(1+Quesería!$I$70:$I$89)/(Quesería!$J$70:$J$89+(Quesería!$J$70:$J$89=0)))+SUMPRODUCT((Quesería!$C$70:$C$89=0)*(Quesería!$J$70:$J$89=0)*(I$47=0)*(Quesería!$H$70:$H$89&gt;0)*Quesería!$F$70:$F$89*(1+Quesería!$I$70:$I$89)))*$B$352+((SUMPRODUCT((Quesería!$C$70:$C$89=1)*(Quesería!$J$70:$J$89&gt;0)*(I$47&gt;=2)*(I$47&lt;=Quesería!$J$70:$J$89+1)*(Quesería!$H$70:$H$89&gt;0)*Quesería!$F$70:$F$89*(1+Quesería!$I$70:$I$89)/(Quesería!$J$70:$J$89+(Quesería!$J$70:$J$89=0)))+SUMPRODUCT((Quesería!$C$70:$C$89=1)*(Quesería!$J$70:$J$89=0)*(I$47=1)*(Quesería!$H$70:$H$89&gt;0)*Quesería!$F$70:$F$89*(1+Quesería!$I$70:$I$89)))-(-$I$26)*IF(AND(I$47&gt;=2,I$47&lt;=Quesería!$J$86+1),Quesería!$D$86*(1+Quesería!$I$86)/Quesería!$J$86,0))*$C$352*$I$21,IF(AND(I$47&gt;=1,I$47&lt;=Quesería!$B$30),Quesería!$F$92/Quesería!$B$30,0)*$B$352+IF(AND(I$47&gt;=2,I$47&lt;=Quesería!$B$30+1),(Quesería!$F$93-(-$I$26)*Quesería!$D$86*(1+Quesería!$I$86))/Quesería!$B$30,0)*$C$352*$I$21)*$I$11+IF(AND(I$47&gt;=6,I$47&lt;=10),$G356*$G352/5,0)+IF(AND(I$47&gt;=7,I$47&lt;=11),$H356*$H352/5,0))*I354</f>
        <v>142.399104600855</v>
      </c>
      <c r="J364" s="29" t="n">
        <f aca="false">(IF($I$19=1,(SUMPRODUCT((Quesería!$C$70:$C$89=0)*(Quesería!$J$70:$J$89&gt;0)*(J$47&gt;=1)*(J$47&lt;=Quesería!$J$70:$J$89)*(Quesería!$H$70:$H$89&gt;0)*Quesería!$F$70:$F$89*(1+Quesería!$I$70:$I$89)/(Quesería!$J$70:$J$89+(Quesería!$J$70:$J$89=0)))+SUMPRODUCT((Quesería!$C$70:$C$89=0)*(Quesería!$J$70:$J$89=0)*(J$47=0)*(Quesería!$H$70:$H$89&gt;0)*Quesería!$F$70:$F$89*(1+Quesería!$I$70:$I$89)))*$B$352+((SUMPRODUCT((Quesería!$C$70:$C$89=1)*(Quesería!$J$70:$J$89&gt;0)*(J$47&gt;=2)*(J$47&lt;=Quesería!$J$70:$J$89+1)*(Quesería!$H$70:$H$89&gt;0)*Quesería!$F$70:$F$89*(1+Quesería!$I$70:$I$89)/(Quesería!$J$70:$J$89+(Quesería!$J$70:$J$89=0)))+SUMPRODUCT((Quesería!$C$70:$C$89=1)*(Quesería!$J$70:$J$89=0)*(J$47=1)*(Quesería!$H$70:$H$89&gt;0)*Quesería!$F$70:$F$89*(1+Quesería!$I$70:$I$89)))-(-$I$26)*IF(AND(J$47&gt;=2,J$47&lt;=Quesería!$J$86+1),Quesería!$D$86*(1+Quesería!$I$86)/Quesería!$J$86,0))*$C$352*$I$21,IF(AND(J$47&gt;=1,J$47&lt;=Quesería!$B$30),Quesería!$F$92/Quesería!$B$30,0)*$B$352+IF(AND(J$47&gt;=2,J$47&lt;=Quesería!$B$30+1),(Quesería!$F$93-(-$I$26)*Quesería!$D$86*(1+Quesería!$I$86))/Quesería!$B$30,0)*$C$352*$I$21)*$I$11+IF(AND(J$47&gt;=6,J$47&lt;=10),$G356*$G352/5,0)+IF(AND(J$47&gt;=7,J$47&lt;=11),$H356*$H352/5,0))*J354</f>
        <v>136.922215962361</v>
      </c>
      <c r="K364" s="29" t="n">
        <f aca="false">(IF($I$19=1,(SUMPRODUCT((Quesería!$C$70:$C$89=0)*(Quesería!$J$70:$J$89&gt;0)*(K$47&gt;=1)*(K$47&lt;=Quesería!$J$70:$J$89)*(Quesería!$H$70:$H$89&gt;0)*Quesería!$F$70:$F$89*(1+Quesería!$I$70:$I$89)/(Quesería!$J$70:$J$89+(Quesería!$J$70:$J$89=0)))+SUMPRODUCT((Quesería!$C$70:$C$89=0)*(Quesería!$J$70:$J$89=0)*(K$47=0)*(Quesería!$H$70:$H$89&gt;0)*Quesería!$F$70:$F$89*(1+Quesería!$I$70:$I$89)))*$B$352+((SUMPRODUCT((Quesería!$C$70:$C$89=1)*(Quesería!$J$70:$J$89&gt;0)*(K$47&gt;=2)*(K$47&lt;=Quesería!$J$70:$J$89+1)*(Quesería!$H$70:$H$89&gt;0)*Quesería!$F$70:$F$89*(1+Quesería!$I$70:$I$89)/(Quesería!$J$70:$J$89+(Quesería!$J$70:$J$89=0)))+SUMPRODUCT((Quesería!$C$70:$C$89=1)*(Quesería!$J$70:$J$89=0)*(K$47=1)*(Quesería!$H$70:$H$89&gt;0)*Quesería!$F$70:$F$89*(1+Quesería!$I$70:$I$89)))-(-$I$26)*IF(AND(K$47&gt;=2,K$47&lt;=Quesería!$J$86+1),Quesería!$D$86*(1+Quesería!$I$86)/Quesería!$J$86,0))*$C$352*$I$21,IF(AND(K$47&gt;=1,K$47&lt;=Quesería!$B$30),Quesería!$F$92/Quesería!$B$30,0)*$B$352+IF(AND(K$47&gt;=2,K$47&lt;=Quesería!$B$30+1),(Quesería!$F$93-(-$I$26)*Quesería!$D$86*(1+Quesería!$I$86))/Quesería!$B$30,0)*$C$352*$I$21)*$I$11+IF(AND(K$47&gt;=6,K$47&lt;=10),$G356*$G352/5,0)+IF(AND(K$47&gt;=7,K$47&lt;=11),$H356*$H352/5,0))*K354</f>
        <v>131.655976886885</v>
      </c>
      <c r="L364" s="29" t="n">
        <f aca="false">(IF($I$19=1,(SUMPRODUCT((Quesería!$C$70:$C$89=0)*(Quesería!$J$70:$J$89&gt;0)*(L$47&gt;=1)*(L$47&lt;=Quesería!$J$70:$J$89)*(Quesería!$H$70:$H$89&gt;0)*Quesería!$F$70:$F$89*(1+Quesería!$I$70:$I$89)/(Quesería!$J$70:$J$89+(Quesería!$J$70:$J$89=0)))+SUMPRODUCT((Quesería!$C$70:$C$89=0)*(Quesería!$J$70:$J$89=0)*(L$47=0)*(Quesería!$H$70:$H$89&gt;0)*Quesería!$F$70:$F$89*(1+Quesería!$I$70:$I$89)))*$B$352+((SUMPRODUCT((Quesería!$C$70:$C$89=1)*(Quesería!$J$70:$J$89&gt;0)*(L$47&gt;=2)*(L$47&lt;=Quesería!$J$70:$J$89+1)*(Quesería!$H$70:$H$89&gt;0)*Quesería!$F$70:$F$89*(1+Quesería!$I$70:$I$89)/(Quesería!$J$70:$J$89+(Quesería!$J$70:$J$89=0)))+SUMPRODUCT((Quesería!$C$70:$C$89=1)*(Quesería!$J$70:$J$89=0)*(L$47=1)*(Quesería!$H$70:$H$89&gt;0)*Quesería!$F$70:$F$89*(1+Quesería!$I$70:$I$89)))-(-$I$26)*IF(AND(L$47&gt;=2,L$47&lt;=Quesería!$J$86+1),Quesería!$D$86*(1+Quesería!$I$86)/Quesería!$J$86,0))*$C$352*$I$21,IF(AND(L$47&gt;=1,L$47&lt;=Quesería!$B$30),Quesería!$F$92/Quesería!$B$30,0)*$B$352+IF(AND(L$47&gt;=2,L$47&lt;=Quesería!$B$30+1),(Quesería!$F$93-(-$I$26)*Quesería!$D$86*(1+Quesería!$I$86))/Quesería!$B$30,0)*$C$352*$I$21)*$I$11+IF(AND(L$47&gt;=6,L$47&lt;=10),$G356*$G352/5,0)+IF(AND(L$47&gt;=7,L$47&lt;=11),$H356*$H352/5,0))*L354</f>
        <v>126.592285468159</v>
      </c>
    </row>
    <row r="365" customFormat="false" ht="15" hidden="true" customHeight="false" outlineLevel="1" collapsed="false">
      <c r="A365" s="9" t="s">
        <v>417</v>
      </c>
      <c r="B365" s="58" t="n">
        <f aca="false">IF(B$47=1,MIN($I$7*$I$26*Quesería!$B$56*Quesería!$D$86*$I$11*$I$21,Quesería!$B$57*Quesería!$B$58),0)</f>
        <v>0</v>
      </c>
      <c r="C365" s="58" t="n">
        <f aca="false">IF(C$47=1,MIN($I$7*$I$26*Quesería!$B$56*Quesería!$D$86*$I$11*$I$21,Quesería!$B$57*Quesería!$B$58),0)</f>
        <v>0</v>
      </c>
      <c r="D365" s="58" t="n">
        <f aca="false">IF(D$47=1,MIN($I$7*$I$26*Quesería!$B$56*Quesería!$D$86*$I$11*$I$21,Quesería!$B$57*Quesería!$B$58),0)</f>
        <v>0</v>
      </c>
      <c r="E365" s="58" t="n">
        <f aca="false">IF(E$47=1,MIN($I$7*$I$26*Quesería!$B$56*Quesería!$D$86*$I$11*$I$21,Quesería!$B$57*Quesería!$B$58),0)</f>
        <v>0</v>
      </c>
      <c r="F365" s="58" t="n">
        <f aca="false">IF(F$47=1,MIN($I$7*$I$26*Quesería!$B$56*Quesería!$D$86*$I$11*$I$21,Quesería!$B$57*Quesería!$B$58),0)</f>
        <v>0</v>
      </c>
      <c r="G365" s="58" t="n">
        <f aca="false">IF(G$47=1,MIN($I$7*$I$26*Quesería!$B$56*Quesería!$D$86*$I$11*$I$21,Quesería!$B$57*Quesería!$B$58),0)</f>
        <v>0</v>
      </c>
      <c r="H365" s="58" t="n">
        <f aca="false">IF(H$47=1,MIN($I$7*$I$26*Quesería!$B$56*Quesería!$D$86*$I$11*$I$21,Quesería!$B$57*Quesería!$B$58),0)</f>
        <v>0</v>
      </c>
      <c r="I365" s="58" t="n">
        <f aca="false">IF(I$47=1,MIN($I$7*$I$26*Quesería!$B$56*Quesería!$D$86*$I$11*$I$21,Quesería!$B$57*Quesería!$B$58),0)</f>
        <v>0</v>
      </c>
      <c r="J365" s="58" t="n">
        <f aca="false">IF(J$47=1,MIN($I$7*$I$26*Quesería!$B$56*Quesería!$D$86*$I$11*$I$21,Quesería!$B$57*Quesería!$B$58),0)</f>
        <v>0</v>
      </c>
      <c r="K365" s="58" t="n">
        <f aca="false">IF(K$47=1,MIN($I$7*$I$26*Quesería!$B$56*Quesería!$D$86*$I$11*$I$21,Quesería!$B$57*Quesería!$B$58),0)</f>
        <v>0</v>
      </c>
      <c r="L365" s="58" t="n">
        <f aca="false">IF(L$47=1,MIN($I$7*$I$26*Quesería!$B$56*Quesería!$D$86*$I$11*$I$21,Quesería!$B$57*Quesería!$B$58),0)</f>
        <v>0</v>
      </c>
    </row>
    <row r="366" customFormat="false" ht="15" hidden="true" customHeight="false" outlineLevel="1" collapsed="false">
      <c r="A366" s="9" t="s">
        <v>418</v>
      </c>
      <c r="B366" s="58" t="n">
        <v>0</v>
      </c>
      <c r="C366" s="58" t="n">
        <f aca="false">$I$20*Quesería!$B$60*Quesería!$F$98*$I$11*$B$352/C352/2</f>
        <v>165.754420136891</v>
      </c>
      <c r="D366" s="58" t="n">
        <f aca="false">$I$20*Quesería!$B$60*Quesería!$F$98*$I$11*$B$352/D352/2</f>
        <v>158.616669987456</v>
      </c>
      <c r="E366" s="58" t="n">
        <v>0</v>
      </c>
      <c r="F366" s="58" t="n">
        <v>0</v>
      </c>
      <c r="G366" s="58" t="n">
        <v>0</v>
      </c>
      <c r="H366" s="58" t="n">
        <v>0</v>
      </c>
      <c r="I366" s="58" t="n">
        <v>0</v>
      </c>
      <c r="J366" s="58" t="n">
        <v>0</v>
      </c>
      <c r="K366" s="58" t="n">
        <v>0</v>
      </c>
      <c r="L366" s="58" t="n">
        <v>0</v>
      </c>
    </row>
    <row r="367" customFormat="false" ht="15" hidden="true" customHeight="false" outlineLevel="1" collapsed="false">
      <c r="A367" s="9" t="s">
        <v>419</v>
      </c>
      <c r="B367" s="58" t="n">
        <f aca="false">0</f>
        <v>0</v>
      </c>
      <c r="C367" s="58" t="n">
        <f aca="false">B357*B352/C352</f>
        <v>170.417910354489</v>
      </c>
      <c r="D367" s="58" t="n">
        <f aca="false">C357*C352/D352</f>
        <v>143.665978183527</v>
      </c>
      <c r="E367" s="58" t="n">
        <f aca="false">D357*D352/E352</f>
        <v>0</v>
      </c>
      <c r="F367" s="58" t="n">
        <f aca="false">E357*E352/F352</f>
        <v>0</v>
      </c>
      <c r="G367" s="58" t="n">
        <f aca="false">F357*F352/G352</f>
        <v>0</v>
      </c>
      <c r="H367" s="58" t="n">
        <f aca="false">G357*G352/H352</f>
        <v>6.02122070894535</v>
      </c>
      <c r="I367" s="58" t="n">
        <f aca="false">H357*H352/I352</f>
        <v>10.1699302904787</v>
      </c>
      <c r="J367" s="58" t="n">
        <f aca="false">I357*I352/J352</f>
        <v>0</v>
      </c>
      <c r="K367" s="58" t="n">
        <f aca="false">J357*J352/K352</f>
        <v>0</v>
      </c>
      <c r="L367" s="58" t="n">
        <f aca="false">K357*K352/L352</f>
        <v>0</v>
      </c>
    </row>
    <row r="368" customFormat="false" ht="15" hidden="true" customHeight="false" outlineLevel="1" collapsed="false">
      <c r="A368" s="6" t="s">
        <v>295</v>
      </c>
      <c r="B368" s="29" t="n">
        <f aca="false">$I$17*(B360-B361-B362-0.5*B363-B364)-B365-B366-B367</f>
        <v>-19.9682435547239</v>
      </c>
      <c r="C368" s="29" t="n">
        <f aca="false">$I$17*(C360-C361-C362-0.5*C363-C364)-C365-C366-C367</f>
        <v>-330.23006920961</v>
      </c>
      <c r="D368" s="29" t="n">
        <f aca="false">$I$17*(D360-D361-D362-0.5*D363-D364)-D365-D366-D367</f>
        <v>-216.09511421979</v>
      </c>
      <c r="E368" s="29" t="n">
        <f aca="false">$I$17*(E360-E361-E362-0.5*E363-E364)-E365-E366-E367</f>
        <v>113.398496208581</v>
      </c>
      <c r="F368" s="29" t="n">
        <f aca="false">$I$17*(F360-F361-F362-0.5*F363-F364)-F365-F366-F367</f>
        <v>115.708183015137</v>
      </c>
      <c r="G368" s="29" t="n">
        <f aca="false">$I$17*(G360-G361-G362-0.5*G363-G364)-G365-G366-G367</f>
        <v>117.906285058124</v>
      </c>
      <c r="H368" s="29" t="n">
        <f aca="false">$I$17*(H360-H361-H362-0.5*H363-H364)-H365-H366-H367</f>
        <v>116.958654103319</v>
      </c>
      <c r="I368" s="29" t="n">
        <f aca="false">$I$17*(I360-I361-I362-0.5*I363-I364)-I365-I366-I367</f>
        <v>111.063068857182</v>
      </c>
      <c r="J368" s="29" t="n">
        <f aca="false">$I$17*(J360-J361-J362-0.5*J363-J364)-J365-J366-J367</f>
        <v>123.260314798544</v>
      </c>
      <c r="K368" s="29" t="n">
        <f aca="false">$I$17*(K360-K361-K362-0.5*K363-K364)-K365-K366-K367</f>
        <v>125.214455125507</v>
      </c>
      <c r="L368" s="29" t="n">
        <f aca="false">$I$17*(L360-L361-L362-0.5*L363-L364)-L365-L366-L367</f>
        <v>127.09825855586</v>
      </c>
    </row>
    <row r="369" customFormat="false" ht="15" hidden="true" customHeight="false" outlineLevel="1" collapsed="false">
      <c r="A369" s="9" t="s">
        <v>420</v>
      </c>
      <c r="B369" s="58" t="n">
        <f aca="false">(IF(B$47&gt;=1,Quesería!$G$124*IF(B$47=1,Quesería!$B$20,1),Quesería!$G$124*Quesería!$B$20*Quesería!$B$21/12*$I$23)+IF(B$47&gt;=2,(Quesería!$G$125-(1-$I$24)*Quesería!$G$117-(-$I$26*$I$27)*'Beneficios y costos'!$D$167)*$I$21*IF(B$47=2,Quesería!$B$20,1),0))*$I$10</f>
        <v>77.4042870161869</v>
      </c>
      <c r="C369" s="58" t="n">
        <f aca="false">(IF(C$47&gt;=1,Quesería!$G$124*IF(C$47=1,Quesería!$B$20,1),Quesería!$G$124*Quesería!$B$20*Quesería!$B$21/12*$I$23)+IF(C$47&gt;=2,(Quesería!$G$125-(1-$I$24)*Quesería!$G$117-(-$I$26*$I$27)*'Beneficios y costos'!$D$167)*$I$21*IF(C$47=2,Quesería!$B$20,1),0))*$I$10</f>
        <v>116.10643052428</v>
      </c>
      <c r="D369" s="58" t="n">
        <f aca="false">(IF(D$47&gt;=1,Quesería!$G$124*IF(D$47=1,Quesería!$B$20,1),Quesería!$G$124*Quesería!$B$20*Quesería!$B$21/12*$I$23)+IF(D$47&gt;=2,(Quesería!$G$125-(1-$I$24)*Quesería!$G$117-(-$I$26*$I$27)*'Beneficios y costos'!$D$167)*$I$21*IF(D$47=2,Quesería!$B$20,1),0))*$I$10</f>
        <v>2023.78917421887</v>
      </c>
      <c r="E369" s="58" t="n">
        <f aca="false">(IF(E$47&gt;=1,Quesería!$G$124*IF(E$47=1,Quesería!$B$20,1),Quesería!$G$124*Quesería!$B$20*Quesería!$B$21/12*$I$23)+IF(E$47&gt;=2,(Quesería!$G$125-(1-$I$24)*Quesería!$G$117-(-$I$26*$I$27)*'Beneficios y costos'!$D$167)*$I$21*IF(E$47=2,Quesería!$B$20,1),0))*$I$10</f>
        <v>2646.78270761437</v>
      </c>
      <c r="F369" s="58" t="n">
        <f aca="false">(IF(F$47&gt;=1,Quesería!$G$124*IF(F$47=1,Quesería!$B$20,1),Quesería!$G$124*Quesería!$B$20*Quesería!$B$21/12*$I$23)+IF(F$47&gt;=2,(Quesería!$G$125-(1-$I$24)*Quesería!$G$117-(-$I$26*$I$27)*'Beneficios y costos'!$D$167)*$I$21*IF(F$47=2,Quesería!$B$20,1),0))*$I$10</f>
        <v>2646.78270761437</v>
      </c>
      <c r="G369" s="58" t="n">
        <f aca="false">(IF(G$47&gt;=1,Quesería!$G$124*IF(G$47=1,Quesería!$B$20,1),Quesería!$G$124*Quesería!$B$20*Quesería!$B$21/12*$I$23)+IF(G$47&gt;=2,(Quesería!$G$125-(1-$I$24)*Quesería!$G$117-(-$I$26*$I$27)*'Beneficios y costos'!$D$167)*$I$21*IF(G$47=2,Quesería!$B$20,1),0))*$I$10</f>
        <v>2646.78270761437</v>
      </c>
      <c r="H369" s="58" t="n">
        <f aca="false">(IF(H$47&gt;=1,Quesería!$G$124*IF(H$47=1,Quesería!$B$20,1),Quesería!$G$124*Quesería!$B$20*Quesería!$B$21/12*$I$23)+IF(H$47&gt;=2,(Quesería!$G$125-(1-$I$24)*Quesería!$G$117-(-$I$26*$I$27)*'Beneficios y costos'!$D$167)*$I$21*IF(H$47=2,Quesería!$B$20,1),0))*$I$10</f>
        <v>2646.78270761437</v>
      </c>
      <c r="I369" s="58" t="n">
        <f aca="false">(IF(I$47&gt;=1,Quesería!$G$124*IF(I$47=1,Quesería!$B$20,1),Quesería!$G$124*Quesería!$B$20*Quesería!$B$21/12*$I$23)+IF(I$47&gt;=2,(Quesería!$G$125-(1-$I$24)*Quesería!$G$117-(-$I$26*$I$27)*'Beneficios y costos'!$D$167)*$I$21*IF(I$47=2,Quesería!$B$20,1),0))*$I$10</f>
        <v>2646.78270761437</v>
      </c>
      <c r="J369" s="58" t="n">
        <f aca="false">(IF(J$47&gt;=1,Quesería!$G$124*IF(J$47=1,Quesería!$B$20,1),Quesería!$G$124*Quesería!$B$20*Quesería!$B$21/12*$I$23)+IF(J$47&gt;=2,(Quesería!$G$125-(1-$I$24)*Quesería!$G$117-(-$I$26*$I$27)*'Beneficios y costos'!$D$167)*$I$21*IF(J$47=2,Quesería!$B$20,1),0))*$I$10</f>
        <v>2646.78270761437</v>
      </c>
      <c r="K369" s="58" t="n">
        <f aca="false">(IF(K$47&gt;=1,Quesería!$G$124*IF(K$47=1,Quesería!$B$20,1),Quesería!$G$124*Quesería!$B$20*Quesería!$B$21/12*$I$23)+IF(K$47&gt;=2,(Quesería!$G$125-(1-$I$24)*Quesería!$G$117-(-$I$26*$I$27)*'Beneficios y costos'!$D$167)*$I$21*IF(K$47=2,Quesería!$B$20,1),0))*$I$10</f>
        <v>2646.78270761437</v>
      </c>
      <c r="L369" s="58" t="n">
        <f aca="false">(IF(L$47&gt;=1,Quesería!$G$124*IF(L$47=1,Quesería!$B$20,1),Quesería!$G$124*Quesería!$B$20*Quesería!$B$21/12*$I$23)+IF(L$47&gt;=2,(Quesería!$G$125-(1-$I$24)*Quesería!$G$117-(-$I$26*$I$27)*'Beneficios y costos'!$D$167)*$I$21*IF(L$47=2,Quesería!$B$20,1),0))*$I$10</f>
        <v>2646.78270761437</v>
      </c>
    </row>
    <row r="370" customFormat="false" ht="15" hidden="true" customHeight="false" outlineLevel="1" collapsed="false">
      <c r="A370" s="6" t="s">
        <v>421</v>
      </c>
      <c r="B370" s="29" t="n">
        <f aca="false">(B369*(Quesería!$B$38+Quesería!$B$40*Quesería!$B$39)/365-B361*Quesería!$B$42/365+IF(B$47&gt;=2,($I$25*'Beneficios y costos'!$B$147+(1-$I$25)*'Beneficios y costos'!$B$148)*$I$24*$I$21*$I$10*IF(B$47=2,Quesería!$B$20,1),0))</f>
        <v>7.23146900616979</v>
      </c>
      <c r="C370" s="29" t="n">
        <f aca="false">(C369*(Quesería!$B$38+Quesería!$B$40*Quesería!$B$39)/365-C361*Quesería!$B$42/365+IF(C$47&gt;=2,($I$25*'Beneficios y costos'!$B$147+(1-$I$25)*'Beneficios y costos'!$B$148)*$I$24*$I$21*$I$10*IF(C$47=2,Quesería!$B$20,1),0))-(B369*(Quesería!$B$38+Quesería!$B$40*Quesería!$B$39)/365-B361*Quesería!$B$42/365+IF(B$47&gt;=2,($I$25*'Beneficios y costos'!$B$147+(1-$I$25)*'Beneficios y costos'!$B$148)*$I$24*$I$21*$I$10*IF(B$47=2,Quesería!$B$20,1),0))*B352/C352</f>
        <v>1.24113465048373</v>
      </c>
      <c r="D370" s="29" t="n">
        <f aca="false">(D369*(Quesería!$B$38+Quesería!$B$40*Quesería!$B$39)/365-D361*Quesería!$B$42/365+IF(D$47&gt;=2,($I$25*'Beneficios y costos'!$B$147+(1-$I$25)*'Beneficios y costos'!$B$148)*$I$24*$I$21*$I$10*IF(D$47=2,Quesería!$B$20,1),0))-(C369*(Quesería!$B$38+Quesería!$B$40*Quesería!$B$39)/365-C361*Quesería!$B$42/365+IF(C$47&gt;=2,($I$25*'Beneficios y costos'!$B$147+(1-$I$25)*'Beneficios y costos'!$B$148)*$I$24*$I$21*$I$10*IF(C$47=2,Quesería!$B$20,1),0))*C352/D352</f>
        <v>120.868647422099</v>
      </c>
      <c r="E370" s="29" t="n">
        <f aca="false">(E369*(Quesería!$B$38+Quesería!$B$40*Quesería!$B$39)/365-E361*Quesería!$B$42/365+IF(E$47&gt;=2,($I$25*'Beneficios y costos'!$B$147+(1-$I$25)*'Beneficios y costos'!$B$148)*$I$24*$I$21*$I$10*IF(E$47=2,Quesería!$B$20,1),0))-(D369*(Quesería!$B$38+Quesería!$B$40*Quesería!$B$39)/365-D361*Quesería!$B$42/365+IF(D$47&gt;=2,($I$25*'Beneficios y costos'!$B$147+(1-$I$25)*'Beneficios y costos'!$B$148)*$I$24*$I$21*$I$10*IF(D$47=2,Quesería!$B$20,1),0))*D352/E352</f>
        <v>44.6705978022236</v>
      </c>
      <c r="F370" s="29" t="n">
        <f aca="false">(F369*(Quesería!$B$38+Quesería!$B$40*Quesería!$B$39)/365-F361*Quesería!$B$42/365+IF(F$47&gt;=2,($I$25*'Beneficios y costos'!$B$147+(1-$I$25)*'Beneficios y costos'!$B$148)*$I$24*$I$21*$I$10*IF(F$47=2,Quesería!$B$20,1),0))-(E369*(Quesería!$B$38+Quesería!$B$40*Quesería!$B$39)/365-E361*Quesería!$B$42/365+IF(E$47&gt;=2,($I$25*'Beneficios y costos'!$B$147+(1-$I$25)*'Beneficios y costos'!$B$148)*$I$24*$I$21*$I$10*IF(E$47=2,Quesería!$B$20,1),0))*E352/F352</f>
        <v>6.47575062417693</v>
      </c>
      <c r="G370" s="29" t="n">
        <f aca="false">(G369*(Quesería!$B$38+Quesería!$B$40*Quesería!$B$39)/365-G361*Quesería!$B$42/365+IF(G$47&gt;=2,($I$25*'Beneficios y costos'!$B$147+(1-$I$25)*'Beneficios y costos'!$B$148)*$I$24*$I$21*$I$10*IF(G$47=2,Quesería!$B$20,1),0))-(F369*(Quesería!$B$38+Quesería!$B$40*Quesería!$B$39)/365-F361*Quesería!$B$42/365+IF(F$47&gt;=2,($I$25*'Beneficios y costos'!$B$147+(1-$I$25)*'Beneficios y costos'!$B$148)*$I$24*$I$21*$I$10*IF(F$47=2,Quesería!$B$20,1),0))*F352/G352</f>
        <v>6.47575062417693</v>
      </c>
      <c r="H370" s="29" t="n">
        <f aca="false">(H369*(Quesería!$B$38+Quesería!$B$40*Quesería!$B$39)/365-H361*Quesería!$B$42/365+IF(H$47&gt;=2,($I$25*'Beneficios y costos'!$B$147+(1-$I$25)*'Beneficios y costos'!$B$148)*$I$24*$I$21*$I$10*IF(H$47=2,Quesería!$B$20,1),0))-(G369*(Quesería!$B$38+Quesería!$B$40*Quesería!$B$39)/365-G361*Quesería!$B$42/365+IF(G$47&gt;=2,($I$25*'Beneficios y costos'!$B$147+(1-$I$25)*'Beneficios y costos'!$B$148)*$I$24*$I$21*$I$10*IF(G$47=2,Quesería!$B$20,1),0))*G352/H352</f>
        <v>6.47575062417693</v>
      </c>
      <c r="I370" s="29" t="n">
        <f aca="false">(I369*(Quesería!$B$38+Quesería!$B$40*Quesería!$B$39)/365-I361*Quesería!$B$42/365+IF(I$47&gt;=2,($I$25*'Beneficios y costos'!$B$147+(1-$I$25)*'Beneficios y costos'!$B$148)*$I$24*$I$21*$I$10*IF(I$47=2,Quesería!$B$20,1),0))-(H369*(Quesería!$B$38+Quesería!$B$40*Quesería!$B$39)/365-H361*Quesería!$B$42/365+IF(H$47&gt;=2,($I$25*'Beneficios y costos'!$B$147+(1-$I$25)*'Beneficios y costos'!$B$148)*$I$24*$I$21*$I$10*IF(H$47=2,Quesería!$B$20,1),0))*H352/I352</f>
        <v>6.47575062417693</v>
      </c>
      <c r="J370" s="29" t="n">
        <f aca="false">(J369*(Quesería!$B$38+Quesería!$B$40*Quesería!$B$39)/365-J361*Quesería!$B$42/365+IF(J$47&gt;=2,($I$25*'Beneficios y costos'!$B$147+(1-$I$25)*'Beneficios y costos'!$B$148)*$I$24*$I$21*$I$10*IF(J$47=2,Quesería!$B$20,1),0))-(I369*(Quesería!$B$38+Quesería!$B$40*Quesería!$B$39)/365-I361*Quesería!$B$42/365+IF(I$47&gt;=2,($I$25*'Beneficios y costos'!$B$147+(1-$I$25)*'Beneficios y costos'!$B$148)*$I$24*$I$21*$I$10*IF(I$47=2,Quesería!$B$20,1),0))*I352/J352</f>
        <v>6.47575062417693</v>
      </c>
      <c r="K370" s="29" t="n">
        <f aca="false">(K369*(Quesería!$B$38+Quesería!$B$40*Quesería!$B$39)/365-K361*Quesería!$B$42/365+IF(K$47&gt;=2,($I$25*'Beneficios y costos'!$B$147+(1-$I$25)*'Beneficios y costos'!$B$148)*$I$24*$I$21*$I$10*IF(K$47=2,Quesería!$B$20,1),0))-(J369*(Quesería!$B$38+Quesería!$B$40*Quesería!$B$39)/365-J361*Quesería!$B$42/365+IF(J$47&gt;=2,($I$25*'Beneficios y costos'!$B$147+(1-$I$25)*'Beneficios y costos'!$B$148)*$I$24*$I$21*$I$10*IF(J$47=2,Quesería!$B$20,1),0))*J352/K352</f>
        <v>6.47575062417695</v>
      </c>
      <c r="L370" s="29" t="n">
        <f aca="false">-(K369*(Quesería!$B$38+Quesería!$B$40*Quesería!$B$39)/365-K361*Quesería!$B$42/365+IF(K$47&gt;=2,($I$25*'Beneficios y costos'!$B$147+(1-$I$25)*'Beneficios y costos'!$B$148)*$I$24*$I$21*$I$10*IF(K$47=2,Quesería!$B$20,1),0))*K352/L352</f>
        <v>-161.893765604423</v>
      </c>
    </row>
    <row r="371" customFormat="false" ht="15" hidden="true" customHeight="false" outlineLevel="1" collapsed="false">
      <c r="A371" s="6" t="s">
        <v>422</v>
      </c>
      <c r="B371" s="29" t="n">
        <v>0</v>
      </c>
      <c r="C371" s="29" t="n">
        <v>0</v>
      </c>
      <c r="D371" s="29" t="n">
        <v>0</v>
      </c>
      <c r="E371" s="29" t="n">
        <v>0</v>
      </c>
      <c r="F371" s="29" t="n">
        <v>0</v>
      </c>
      <c r="G371" s="29" t="n">
        <v>0</v>
      </c>
      <c r="H371" s="29" t="n">
        <v>0</v>
      </c>
      <c r="I371" s="29" t="n">
        <v>0</v>
      </c>
      <c r="J371" s="29" t="n">
        <v>0</v>
      </c>
      <c r="K371" s="29" t="n">
        <v>0</v>
      </c>
      <c r="L371" s="29" t="n">
        <f aca="false">$I$8*Quesería!$B$36*(Quesería!$F$94+(Quesería!$F$95-(-$I$26)*Quesería!$D$86)*$I$21)*$I$11*(1-$I$17)</f>
        <v>74.3085270701451</v>
      </c>
    </row>
    <row r="372" customFormat="false" ht="15" hidden="true" customHeight="false" outlineLevel="1" collapsed="false">
      <c r="A372" s="5" t="s">
        <v>147</v>
      </c>
      <c r="B372" s="59" t="n">
        <f aca="false">B360-B361-B362-B363-B368-B355-B356-B357-B370+B371</f>
        <v>-1167.62914275323</v>
      </c>
      <c r="C372" s="59" t="n">
        <f aca="false">C360-C361-C362-C363-C368-C355-C356-C357-C370+C371</f>
        <v>-497.618851776665</v>
      </c>
      <c r="D372" s="59" t="n">
        <f aca="false">D360-D361-D362-D363-D368-D355-D356-D357-D370+D371</f>
        <v>511.389923253504</v>
      </c>
      <c r="E372" s="59" t="n">
        <f aca="false">E360-E361-E362-E363-E368-E355-E356-E357-E370+E371</f>
        <v>329.298479003489</v>
      </c>
      <c r="F372" s="59" t="n">
        <f aca="false">F360-F361-F362-F363-F368-F355-F356-F357-F370+F371</f>
        <v>365.492850410416</v>
      </c>
      <c r="G372" s="59" t="n">
        <f aca="false">G360-G361-G362-G363-G368-G355-G356-G357-G370+G371</f>
        <v>324.22829387705</v>
      </c>
      <c r="H372" s="59" t="n">
        <f aca="false">H360-H361-H362-H363-H368-H355-H356-H357-H370+H371</f>
        <v>298.356758076247</v>
      </c>
      <c r="I372" s="59" t="n">
        <f aca="false">I360-I361-I362-I363-I368-I355-I356-I357-I370+I371</f>
        <v>371.074904965496</v>
      </c>
      <c r="J372" s="59" t="n">
        <f aca="false">J360-J361-J362-J363-J368-J355-J356-J357-J370+J371</f>
        <v>359.193100816733</v>
      </c>
      <c r="K372" s="59" t="n">
        <f aca="false">K360-K361-K362-K363-K368-K355-K356-K357-K370+K371</f>
        <v>357.555979491332</v>
      </c>
      <c r="L372" s="59" t="n">
        <f aca="false">L360-L361-L362-L363-L368-L355-L356-L357-L370+L371</f>
        <v>598.668823456293</v>
      </c>
    </row>
    <row r="373" customFormat="false" ht="15" hidden="true" customHeight="false" outlineLevel="1" collapsed="false">
      <c r="A373" s="9" t="s">
        <v>423</v>
      </c>
      <c r="B373" s="58" t="n">
        <f aca="false">B372*B352</f>
        <v>-1237.68689131842</v>
      </c>
      <c r="C373" s="58" t="n">
        <f aca="false">C372*C352</f>
        <v>-553.849782027428</v>
      </c>
      <c r="D373" s="58" t="n">
        <f aca="false">D372*D352</f>
        <v>594.789948887301</v>
      </c>
      <c r="E373" s="58" t="n">
        <f aca="false">E372*E352</f>
        <v>398.322206309844</v>
      </c>
      <c r="F373" s="58" t="n">
        <f aca="false">F372*F352</f>
        <v>459.787350876238</v>
      </c>
      <c r="G373" s="58" t="n">
        <f aca="false">G372*G352</f>
        <v>424.191912043123</v>
      </c>
      <c r="H373" s="58" t="n">
        <f aca="false">H372*H352</f>
        <v>405.957614163177</v>
      </c>
      <c r="I373" s="58" t="n">
        <f aca="false">I372*I352</f>
        <v>525.09724073154</v>
      </c>
      <c r="J373" s="58" t="n">
        <f aca="false">J372*J352</f>
        <v>528.614993223696</v>
      </c>
      <c r="K373" s="58" t="n">
        <f aca="false">K372*K352</f>
        <v>547.253912438681</v>
      </c>
      <c r="L373" s="58" t="n">
        <f aca="false">L372*L352</f>
        <v>952.938363978441</v>
      </c>
    </row>
    <row r="374" customFormat="false" ht="15" hidden="true" customHeight="false" outlineLevel="1" collapsed="false">
      <c r="A374" s="6" t="s">
        <v>424</v>
      </c>
      <c r="B374" s="29" t="n">
        <f aca="false">B372</f>
        <v>-1167.62914275323</v>
      </c>
      <c r="C374" s="29" t="n">
        <f aca="false">B374+C372</f>
        <v>-1665.24799452989</v>
      </c>
      <c r="D374" s="29" t="n">
        <f aca="false">C374+D372</f>
        <v>-1153.85807127639</v>
      </c>
      <c r="E374" s="29" t="n">
        <f aca="false">D374+E372</f>
        <v>-824.559592272901</v>
      </c>
      <c r="F374" s="29" t="n">
        <f aca="false">E374+F372</f>
        <v>-459.066741862485</v>
      </c>
      <c r="G374" s="29" t="n">
        <f aca="false">F374+G372</f>
        <v>-134.838447985435</v>
      </c>
      <c r="H374" s="29" t="n">
        <f aca="false">G374+H372</f>
        <v>163.518310090812</v>
      </c>
      <c r="I374" s="29" t="n">
        <f aca="false">H374+I372</f>
        <v>534.593215056308</v>
      </c>
      <c r="J374" s="29" t="n">
        <f aca="false">I374+J372</f>
        <v>893.786315873041</v>
      </c>
      <c r="K374" s="29" t="n">
        <f aca="false">J374+K372</f>
        <v>1251.34229536437</v>
      </c>
      <c r="L374" s="29" t="n">
        <f aca="false">K374+L372</f>
        <v>1850.01111882067</v>
      </c>
    </row>
    <row r="375" customFormat="false" ht="15" hidden="true" customHeight="false" outlineLevel="1" collapsed="false">
      <c r="A375" s="9" t="s">
        <v>425</v>
      </c>
      <c r="B375" s="60" t="n">
        <v>0</v>
      </c>
      <c r="C375" s="60" t="n">
        <f aca="false">IF(AND(B374&lt;0,C374&gt;=0),B$47+(-B374)/C372,0)</f>
        <v>0</v>
      </c>
      <c r="D375" s="60" t="n">
        <f aca="false">IF(AND(C374&lt;0,D374&gt;=0),C$47+(-C374)/D372,0)</f>
        <v>0</v>
      </c>
      <c r="E375" s="60" t="n">
        <f aca="false">IF(AND(D374&lt;0,E374&gt;=0),D$47+(-D374)/E372,0)</f>
        <v>0</v>
      </c>
      <c r="F375" s="60" t="n">
        <f aca="false">IF(AND(E374&lt;0,F374&gt;=0),E$47+(-E374)/F372,0)</f>
        <v>0</v>
      </c>
      <c r="G375" s="60" t="n">
        <f aca="false">IF(AND(F374&lt;0,G374&gt;=0),F$47+(-F374)/G372,0)</f>
        <v>0</v>
      </c>
      <c r="H375" s="60" t="n">
        <f aca="false">IF(AND(G374&lt;0,H374&gt;=0),G$47+(-G374)/H372,0)</f>
        <v>5.4519369658487</v>
      </c>
      <c r="I375" s="60" t="n">
        <f aca="false">IF(AND(H374&lt;0,I374&gt;=0),H$47+(-H374)/I372,0)</f>
        <v>0</v>
      </c>
      <c r="J375" s="60" t="n">
        <f aca="false">IF(AND(I374&lt;0,J374&gt;=0),I$47+(-I374)/J372,0)</f>
        <v>0</v>
      </c>
      <c r="K375" s="60" t="n">
        <f aca="false">IF(AND(J374&lt;0,K374&gt;=0),J$47+(-J374)/K372,0)</f>
        <v>0</v>
      </c>
      <c r="L375" s="60" t="n">
        <f aca="false">IF(AND(K374&lt;0,L374&gt;=0),K$47+(-K374)/L372,0)</f>
        <v>0</v>
      </c>
    </row>
    <row r="376" customFormat="false" ht="15" hidden="true" customHeight="false" outlineLevel="1" collapsed="false">
      <c r="A376" s="9" t="s">
        <v>426</v>
      </c>
      <c r="B376" s="57" t="n">
        <f aca="false">(B352/$B$352)/(1+$I$29)^B$47</f>
        <v>1</v>
      </c>
      <c r="C376" s="57" t="n">
        <f aca="false">(C352/$B$352)/(1+$I$29)^C$47</f>
        <v>0.915373701313561</v>
      </c>
      <c r="D376" s="57" t="n">
        <f aca="false">(D352/$B$352)/(1+$I$29)^D$47</f>
        <v>0.833918970137172</v>
      </c>
      <c r="E376" s="57" t="n">
        <f aca="false">(E352/$B$352)/(1+$I$29)^E$47</f>
        <v>0.756077518153961</v>
      </c>
      <c r="F376" s="57" t="n">
        <f aca="false">(F352/$B$352)/(1+$I$29)^F$47</f>
        <v>0.685502109831871</v>
      </c>
      <c r="G376" s="57" t="n">
        <f aca="false">(G352/$B$352)/(1+$I$29)^G$47</f>
        <v>0.621514502549008</v>
      </c>
      <c r="H376" s="57" t="n">
        <f aca="false">(H352/$B$352)/(1+$I$29)^H$47</f>
        <v>0.563499763660072</v>
      </c>
      <c r="I376" s="57" t="n">
        <f aca="false">(I352/$B$352)/(1+$I$29)^I$47</f>
        <v>0.510900360880829</v>
      </c>
      <c r="J376" s="57" t="n">
        <f aca="false">(J352/$B$352)/(1+$I$29)^J$47</f>
        <v>0.463210804300567</v>
      </c>
      <c r="K376" s="57" t="n">
        <f aca="false">(K352/$B$352)/(1+$I$29)^K$47</f>
        <v>0.419972788531318</v>
      </c>
      <c r="L376" s="57" t="n">
        <f aca="false">(L352/$B$352)/(1+$I$29)^L$47</f>
        <v>0.380770788308996</v>
      </c>
    </row>
    <row r="377" customFormat="false" ht="15" hidden="true" customHeight="false" outlineLevel="1" collapsed="false">
      <c r="A377" s="9" t="s">
        <v>427</v>
      </c>
      <c r="B377" s="58" t="n">
        <f aca="false">B372*B376</f>
        <v>-1167.62914275323</v>
      </c>
      <c r="C377" s="58" t="n">
        <f aca="false">C372*C376</f>
        <v>-455.50721019421</v>
      </c>
      <c r="D377" s="58" t="n">
        <f aca="false">D372*D376</f>
        <v>426.457758138089</v>
      </c>
      <c r="E377" s="58" t="n">
        <f aca="false">E372*E376</f>
        <v>248.975176736832</v>
      </c>
      <c r="F377" s="58" t="n">
        <f aca="false">F372*F376</f>
        <v>250.546120084805</v>
      </c>
      <c r="G377" s="58" t="n">
        <f aca="false">G372*G376</f>
        <v>201.512586781308</v>
      </c>
      <c r="H377" s="58" t="n">
        <f aca="false">H372*H376</f>
        <v>168.123962662351</v>
      </c>
      <c r="I377" s="58" t="n">
        <f aca="false">I372*I376</f>
        <v>189.582302860691</v>
      </c>
      <c r="J377" s="58" t="n">
        <f aca="false">J372*J376</f>
        <v>166.382125128534</v>
      </c>
      <c r="K377" s="58" t="n">
        <f aca="false">K372*K376</f>
        <v>150.163781763021</v>
      </c>
      <c r="L377" s="58" t="n">
        <f aca="false">L372*L376</f>
        <v>227.955599843472</v>
      </c>
    </row>
    <row r="378" customFormat="false" ht="15" hidden="true" customHeight="false" outlineLevel="1" collapsed="false">
      <c r="A378" s="9" t="s">
        <v>428</v>
      </c>
      <c r="B378" s="58" t="n">
        <f aca="false">B377</f>
        <v>-1167.62914275323</v>
      </c>
      <c r="C378" s="58" t="n">
        <f aca="false">B378+C377</f>
        <v>-1623.13635294744</v>
      </c>
      <c r="D378" s="58" t="n">
        <f aca="false">C378+D377</f>
        <v>-1196.67859480935</v>
      </c>
      <c r="E378" s="58" t="n">
        <f aca="false">D378+E377</f>
        <v>-947.703418072518</v>
      </c>
      <c r="F378" s="58" t="n">
        <f aca="false">E378+F377</f>
        <v>-697.157297987713</v>
      </c>
      <c r="G378" s="58" t="n">
        <f aca="false">F378+G377</f>
        <v>-495.644711206405</v>
      </c>
      <c r="H378" s="58" t="n">
        <f aca="false">G378+H377</f>
        <v>-327.520748544054</v>
      </c>
      <c r="I378" s="58" t="n">
        <f aca="false">H378+I377</f>
        <v>-137.938445683363</v>
      </c>
      <c r="J378" s="58" t="n">
        <f aca="false">I378+J377</f>
        <v>28.4436794451708</v>
      </c>
      <c r="K378" s="58" t="n">
        <f aca="false">J378+K377</f>
        <v>178.607461208192</v>
      </c>
      <c r="L378" s="58" t="n">
        <f aca="false">K378+L377</f>
        <v>406.563061051664</v>
      </c>
    </row>
    <row r="379" customFormat="false" ht="15" hidden="true" customHeight="false" outlineLevel="1" collapsed="false">
      <c r="A379" s="9" t="s">
        <v>429</v>
      </c>
      <c r="B379" s="60" t="n">
        <v>0</v>
      </c>
      <c r="C379" s="60" t="n">
        <f aca="false">IF(AND(B378&lt;0,C378&gt;=0),B$47+(-B378)/C377,0)</f>
        <v>0</v>
      </c>
      <c r="D379" s="60" t="n">
        <f aca="false">IF(AND(C378&lt;0,D378&gt;=0),C$47+(-C378)/D377,0)</f>
        <v>0</v>
      </c>
      <c r="E379" s="60" t="n">
        <f aca="false">IF(AND(D378&lt;0,E378&gt;=0),D$47+(-D378)/E377,0)</f>
        <v>0</v>
      </c>
      <c r="F379" s="60" t="n">
        <f aca="false">IF(AND(E378&lt;0,F378&gt;=0),E$47+(-E378)/F377,0)</f>
        <v>0</v>
      </c>
      <c r="G379" s="60" t="n">
        <f aca="false">IF(AND(F378&lt;0,G378&gt;=0),F$47+(-F378)/G377,0)</f>
        <v>0</v>
      </c>
      <c r="H379" s="60" t="n">
        <f aca="false">IF(AND(G378&lt;0,H378&gt;=0),G$47+(-G378)/H377,0)</f>
        <v>0</v>
      </c>
      <c r="I379" s="60" t="n">
        <f aca="false">IF(AND(H378&lt;0,I378&gt;=0),H$47+(-H378)/I377,0)</f>
        <v>0</v>
      </c>
      <c r="J379" s="60" t="n">
        <f aca="false">IF(AND(I378&lt;0,J378&gt;=0),I$47+(-I378)/J377,0)</f>
        <v>7.82904606235076</v>
      </c>
      <c r="K379" s="60" t="n">
        <f aca="false">IF(AND(J378&lt;0,K378&gt;=0),J$47+(-J378)/K377,0)</f>
        <v>0</v>
      </c>
      <c r="L379" s="60" t="n">
        <f aca="false">IF(AND(K378&lt;0,L378&gt;=0),K$47+(-K378)/L377,0)</f>
        <v>0</v>
      </c>
    </row>
    <row r="380" customFormat="false" ht="15" hidden="true" customHeight="false" outlineLevel="1" collapsed="false">
      <c r="A380" s="9" t="s">
        <v>430</v>
      </c>
      <c r="B380" s="58" t="n">
        <f aca="false">IF(B$47&lt;0,0,(Quesería!$B$44*$B$355*$B$352)*(1-MAX(0,MIN(B$47-0-Quesería!$B$47,(Quesería!$B$46-Quesería!$B$47)))/(Quesería!$B$46-Quesería!$B$47))*IF(B$47&gt;=2,1-Quesería!$B$48,1))+IF(B$47&lt;1,0,(Quesería!$B$44*$C$355*$C$352)*(1-MAX(0,MIN(B$47-1-Quesería!$B$47,(Quesería!$B$46-Quesería!$B$47)))/(Quesería!$B$46-Quesería!$B$47))*IF(B$47&gt;=2,1-Quesería!$B$48,1))</f>
        <v>769.585637962111</v>
      </c>
      <c r="C380" s="58" t="n">
        <f aca="false">IF(C$47&lt;0,0,(Quesería!$B$44*$B$355*$B$352)*(1-MAX(0,MIN(C$47-0-Quesería!$B$47,(Quesería!$B$46-Quesería!$B$47)))/(Quesería!$B$46-Quesería!$B$47))*IF(C$47&gt;=2,1-Quesería!$B$48,1))+IF(C$47&lt;1,0,(Quesería!$B$44*$C$355*$C$352)*(1-MAX(0,MIN(C$47-1-Quesería!$B$47,(Quesería!$B$46-Quesería!$B$47)))/(Quesería!$B$46-Quesería!$B$47))*IF(C$47&gt;=2,1-Quesería!$B$48,1))</f>
        <v>1341.22897350491</v>
      </c>
      <c r="D380" s="58" t="n">
        <f aca="false">IF(D$47&lt;0,0,(Quesería!$B$44*$B$355*$B$352)*(1-MAX(0,MIN(D$47-0-Quesería!$B$47,(Quesería!$B$46-Quesería!$B$47)))/(Quesería!$B$46-Quesería!$B$47))*IF(D$47&gt;=2,1-Quesería!$B$48,1))+IF(D$47&lt;1,0,(Quesería!$B$44*$C$355*$C$352)*(1-MAX(0,MIN(D$47-1-Quesería!$B$47,(Quesería!$B$46-Quesería!$B$47)))/(Quesería!$B$46-Quesería!$B$47))*IF(D$47&gt;=2,1-Quesería!$B$48,1))</f>
        <v>1212.96470051122</v>
      </c>
      <c r="E380" s="58" t="n">
        <f aca="false">IF(E$47&lt;0,0,(Quesería!$B$44*$B$355*$B$352)*(1-MAX(0,MIN(E$47-0-Quesería!$B$47,(Quesería!$B$46-Quesería!$B$47)))/(Quesería!$B$46-Quesería!$B$47))*IF(E$47&gt;=2,1-Quesería!$B$48,1))+IF(E$47&lt;1,0,(Quesería!$B$44*$C$355*$C$352)*(1-MAX(0,MIN(E$47-1-Quesería!$B$47,(Quesería!$B$46-Quesería!$B$47)))/(Quesería!$B$46-Quesería!$B$47))*IF(E$47&gt;=2,1-Quesería!$B$48,1))</f>
        <v>989.426538260407</v>
      </c>
      <c r="F380" s="58" t="n">
        <f aca="false">IF(F$47&lt;0,0,(Quesería!$B$44*$B$355*$B$352)*(1-MAX(0,MIN(F$47-0-Quesería!$B$47,(Quesería!$B$46-Quesería!$B$47)))/(Quesería!$B$46-Quesería!$B$47))*IF(F$47&gt;=2,1-Quesería!$B$48,1))+IF(F$47&lt;1,0,(Quesería!$B$44*$C$355*$C$352)*(1-MAX(0,MIN(F$47-1-Quesería!$B$47,(Quesería!$B$46-Quesería!$B$47)))/(Quesería!$B$46-Quesería!$B$47))*IF(F$47&gt;=2,1-Quesería!$B$48,1))</f>
        <v>765.888376009588</v>
      </c>
      <c r="G380" s="58" t="n">
        <f aca="false">IF(G$47&lt;0,0,(Quesería!$B$44*$B$355*$B$352)*(1-MAX(0,MIN(G$47-0-Quesería!$B$47,(Quesería!$B$46-Quesería!$B$47)))/(Quesería!$B$46-Quesería!$B$47))*IF(G$47&gt;=2,1-Quesería!$B$48,1))+IF(G$47&lt;1,0,(Quesería!$B$44*$C$355*$C$352)*(1-MAX(0,MIN(G$47-1-Quesería!$B$47,(Quesería!$B$46-Quesería!$B$47)))/(Quesería!$B$46-Quesería!$B$47))*IF(G$47&gt;=2,1-Quesería!$B$48,1))</f>
        <v>542.35021375877</v>
      </c>
      <c r="H380" s="58" t="n">
        <f aca="false">IF(H$47&lt;0,0,(Quesería!$B$44*$B$355*$B$352)*(1-MAX(0,MIN(H$47-0-Quesería!$B$47,(Quesería!$B$46-Quesería!$B$47)))/(Quesería!$B$46-Quesería!$B$47))*IF(H$47&gt;=2,1-Quesería!$B$48,1))+IF(H$47&lt;1,0,(Quesería!$B$44*$C$355*$C$352)*(1-MAX(0,MIN(H$47-1-Quesería!$B$47,(Quesería!$B$46-Quesería!$B$47)))/(Quesería!$B$46-Quesería!$B$47))*IF(H$47&gt;=2,1-Quesería!$B$48,1))</f>
        <v>318.812051507952</v>
      </c>
      <c r="I380" s="58" t="n">
        <f aca="false">IF(I$47&lt;0,0,(Quesería!$B$44*$B$355*$B$352)*(1-MAX(0,MIN(I$47-0-Quesería!$B$47,(Quesería!$B$46-Quesería!$B$47)))/(Quesería!$B$46-Quesería!$B$47))*IF(I$47&gt;=2,1-Quesería!$B$48,1))+IF(I$47&lt;1,0,(Quesería!$B$44*$C$355*$C$352)*(1-MAX(0,MIN(I$47-1-Quesería!$B$47,(Quesería!$B$46-Quesería!$B$47)))/(Quesería!$B$46-Quesería!$B$47))*IF(I$47&gt;=2,1-Quesería!$B$48,1))</f>
        <v>95.2738892571332</v>
      </c>
      <c r="J380" s="58" t="n">
        <f aca="false">IF(J$47&lt;0,0,(Quesería!$B$44*$B$355*$B$352)*(1-MAX(0,MIN(J$47-0-Quesería!$B$47,(Quesería!$B$46-Quesería!$B$47)))/(Quesería!$B$46-Quesería!$B$47))*IF(J$47&gt;=2,1-Quesería!$B$48,1))+IF(J$47&lt;1,0,(Quesería!$B$44*$C$355*$C$352)*(1-MAX(0,MIN(J$47-1-Quesería!$B$47,(Quesería!$B$46-Quesería!$B$47)))/(Quesería!$B$46-Quesería!$B$47))*IF(J$47&gt;=2,1-Quesería!$B$48,1))</f>
        <v>0</v>
      </c>
      <c r="K380" s="58" t="n">
        <f aca="false">IF(K$47&lt;0,0,(Quesería!$B$44*$B$355*$B$352)*(1-MAX(0,MIN(K$47-0-Quesería!$B$47,(Quesería!$B$46-Quesería!$B$47)))/(Quesería!$B$46-Quesería!$B$47))*IF(K$47&gt;=2,1-Quesería!$B$48,1))+IF(K$47&lt;1,0,(Quesería!$B$44*$C$355*$C$352)*(1-MAX(0,MIN(K$47-1-Quesería!$B$47,(Quesería!$B$46-Quesería!$B$47)))/(Quesería!$B$46-Quesería!$B$47))*IF(K$47&gt;=2,1-Quesería!$B$48,1))</f>
        <v>0</v>
      </c>
      <c r="L380" s="58" t="n">
        <f aca="false">IF(L$47&lt;0,0,(Quesería!$B$44*$B$355*$B$352)*(1-MAX(0,MIN(L$47-0-Quesería!$B$47,(Quesería!$B$46-Quesería!$B$47)))/(Quesería!$B$46-Quesería!$B$47))*IF(L$47&gt;=2,1-Quesería!$B$48,1))+IF(L$47&lt;1,0,(Quesería!$B$44*$C$355*$C$352)*(1-MAX(0,MIN(L$47-1-Quesería!$B$47,(Quesería!$B$46-Quesería!$B$47)))/(Quesería!$B$46-Quesería!$B$47))*IF(L$47&gt;=2,1-Quesería!$B$48,1))</f>
        <v>0</v>
      </c>
    </row>
    <row r="381" customFormat="false" ht="15" hidden="true" customHeight="false" outlineLevel="1" collapsed="false">
      <c r="A381" s="6" t="s">
        <v>431</v>
      </c>
      <c r="B381" s="29" t="n">
        <f aca="false">Quesería!$B$44*B355</f>
        <v>726.024186756708</v>
      </c>
      <c r="C381" s="29" t="n">
        <f aca="false">Quesería!$B$44*C355</f>
        <v>513.605872006109</v>
      </c>
      <c r="D381" s="29" t="n">
        <f aca="false">Quesería!$B$44*D355</f>
        <v>0</v>
      </c>
      <c r="E381" s="29" t="n">
        <f aca="false">Quesería!$B$44*E355</f>
        <v>0</v>
      </c>
      <c r="F381" s="29" t="n">
        <f aca="false">Quesería!$B$44*F355</f>
        <v>0</v>
      </c>
      <c r="G381" s="29" t="n">
        <f aca="false">Quesería!$B$44*G355</f>
        <v>0</v>
      </c>
      <c r="H381" s="29" t="n">
        <f aca="false">Quesería!$B$44*H355</f>
        <v>0</v>
      </c>
      <c r="I381" s="29" t="n">
        <f aca="false">Quesería!$B$44*I355</f>
        <v>0</v>
      </c>
      <c r="J381" s="29" t="n">
        <f aca="false">Quesería!$B$44*J355</f>
        <v>0</v>
      </c>
      <c r="K381" s="29" t="n">
        <f aca="false">Quesería!$B$44*K355</f>
        <v>0</v>
      </c>
      <c r="L381" s="29" t="n">
        <f aca="false">Quesería!$B$44*L355</f>
        <v>0</v>
      </c>
    </row>
    <row r="382" customFormat="false" ht="15" hidden="true" customHeight="false" outlineLevel="1" collapsed="false">
      <c r="A382" s="6" t="s">
        <v>432</v>
      </c>
      <c r="B382" s="29" t="n">
        <f aca="false">(IF(AND(B$47&gt;0,B$47&lt;=0+Quesería!$B$46),($I$14+$I$28)*(Quesería!$B$44*$B$355*$B$352)*(1-MAX(0,MIN((B$47-1)-0-Quesería!$B$47,(Quesería!$B$46-Quesería!$B$47)))/(Quesería!$B$46-Quesería!$B$47))*IF(B$47&gt;2,1-Quesería!$B$48,1),0)+IF(AND(B$47&gt;1,B$47&lt;=1+Quesería!$B$46),($I$14+$I$28)*(Quesería!$B$44*$C$355*$C$352)*(1-MAX(0,MIN((B$47-1)-1-Quesería!$B$47,(Quesería!$B$46-Quesería!$B$47)))/(Quesería!$B$46-Quesería!$B$47))*IF(B$47&gt;2,1-Quesería!$B$48,1),0))*B354</f>
        <v>0</v>
      </c>
      <c r="C382" s="29" t="n">
        <f aca="false">(IF(AND(C$47&gt;0,C$47&lt;=0+Quesería!$B$46),($I$14+$I$28)*(Quesería!$B$44*$B$355*$B$352)*(1-MAX(0,MIN((C$47-1)-0-Quesería!$B$47,(Quesería!$B$46-Quesería!$B$47)))/(Quesería!$B$46-Quesería!$B$47))*IF(C$47&gt;2,1-Quesería!$B$48,1),0)+IF(AND(C$47&gt;1,C$47&lt;=1+Quesería!$B$46),($I$14+$I$28)*(Quesería!$B$44*$C$355*$C$352)*(1-MAX(0,MIN((C$47-1)-1-Quesería!$B$47,(Quesería!$B$46-Quesería!$B$47)))/(Quesería!$B$46-Quesería!$B$47))*IF(C$47&gt;2,1-Quesería!$B$48,1),0))*C354</f>
        <v>97.4946765073293</v>
      </c>
      <c r="D382" s="29" t="n">
        <f aca="false">(IF(AND(D$47&gt;0,D$47&lt;=0+Quesería!$B$46),($I$14+$I$28)*(Quesería!$B$44*$B$355*$B$352)*(1-MAX(0,MIN((D$47-1)-0-Quesería!$B$47,(Quesería!$B$46-Quesería!$B$47)))/(Quesería!$B$46-Quesería!$B$47))*IF(D$47&gt;2,1-Quesería!$B$48,1),0)+IF(AND(D$47&gt;1,D$47&lt;=1+Quesería!$B$46),($I$14+$I$28)*(Quesería!$B$44*$C$355*$C$352)*(1-MAX(0,MIN((D$47-1)-1-Quesería!$B$47,(Quesería!$B$46-Quesería!$B$47)))/(Quesería!$B$46-Quesería!$B$47))*IF(D$47&gt;2,1-Quesería!$B$48,1),0))*D354</f>
        <v>162.596272210709</v>
      </c>
      <c r="E382" s="29" t="n">
        <f aca="false">(IF(AND(E$47&gt;0,E$47&lt;=0+Quesería!$B$46),($I$14+$I$28)*(Quesería!$B$44*$B$355*$B$352)*(1-MAX(0,MIN((E$47-1)-0-Quesería!$B$47,(Quesería!$B$46-Quesería!$B$47)))/(Quesería!$B$46-Quesería!$B$47))*IF(E$47&gt;2,1-Quesería!$B$48,1),0)+IF(AND(E$47&gt;1,E$47&lt;=1+Quesería!$B$46),($I$14+$I$28)*(Quesería!$B$44*$C$355*$C$352)*(1-MAX(0,MIN((E$47-1)-1-Quesería!$B$47,(Quesería!$B$46-Quesería!$B$47)))/(Quesería!$B$46-Quesería!$B$47))*IF(E$47&gt;2,1-Quesería!$B$48,1),0))*E354</f>
        <v>141.391232709762</v>
      </c>
      <c r="F382" s="29" t="n">
        <f aca="false">(IF(AND(F$47&gt;0,F$47&lt;=0+Quesería!$B$46),($I$14+$I$28)*(Quesería!$B$44*$B$355*$B$352)*(1-MAX(0,MIN((F$47-1)-0-Quesería!$B$47,(Quesería!$B$46-Quesería!$B$47)))/(Quesería!$B$46-Quesería!$B$47))*IF(F$47&gt;2,1-Quesería!$B$48,1),0)+IF(AND(F$47&gt;1,F$47&lt;=1+Quesería!$B$46),($I$14+$I$28)*(Quesería!$B$44*$C$355*$C$352)*(1-MAX(0,MIN((F$47-1)-1-Quesería!$B$47,(Quesería!$B$46-Quesería!$B$47)))/(Quesería!$B$46-Quesería!$B$47))*IF(F$47&gt;2,1-Quesería!$B$48,1),0))*F354</f>
        <v>110.898209427115</v>
      </c>
      <c r="G382" s="29" t="n">
        <f aca="false">(IF(AND(G$47&gt;0,G$47&lt;=0+Quesería!$B$46),($I$14+$I$28)*(Quesería!$B$44*$B$355*$B$352)*(1-MAX(0,MIN((G$47-1)-0-Quesería!$B$47,(Quesería!$B$46-Quesería!$B$47)))/(Quesería!$B$46-Quesería!$B$47))*IF(G$47&gt;2,1-Quesería!$B$48,1),0)+IF(AND(G$47&gt;1,G$47&lt;=1+Quesería!$B$46),($I$14+$I$28)*(Quesería!$B$44*$C$355*$C$352)*(1-MAX(0,MIN((G$47-1)-1-Quesería!$B$47,(Quesería!$B$46-Quesería!$B$47)))/(Quesería!$B$46-Quesería!$B$47))*IF(G$47&gt;2,1-Quesería!$B$48,1),0))*G354</f>
        <v>82.5416446917873</v>
      </c>
      <c r="H382" s="29" t="n">
        <f aca="false">(IF(AND(H$47&gt;0,H$47&lt;=0+Quesería!$B$46),($I$14+$I$28)*(Quesería!$B$44*$B$355*$B$352)*(1-MAX(0,MIN((H$47-1)-0-Quesería!$B$47,(Quesería!$B$46-Quesería!$B$47)))/(Quesería!$B$46-Quesería!$B$47))*IF(H$47&gt;2,1-Quesería!$B$48,1),0)+IF(AND(H$47&gt;1,H$47&lt;=1+Quesería!$B$46),($I$14+$I$28)*(Quesería!$B$44*$C$355*$C$352)*(1-MAX(0,MIN((H$47-1)-1-Quesería!$B$47,(Quesería!$B$46-Quesería!$B$47)))/(Quesería!$B$46-Quesería!$B$47))*IF(H$47&gt;2,1-Quesería!$B$48,1),0))*H354</f>
        <v>56.2023035612082</v>
      </c>
      <c r="I382" s="29" t="n">
        <f aca="false">(IF(AND(I$47&gt;0,I$47&lt;=0+Quesería!$B$46),($I$14+$I$28)*(Quesería!$B$44*$B$355*$B$352)*(1-MAX(0,MIN((I$47-1)-0-Quesería!$B$47,(Quesería!$B$46-Quesería!$B$47)))/(Quesería!$B$46-Quesería!$B$47))*IF(I$47&gt;2,1-Quesería!$B$48,1),0)+IF(AND(I$47&gt;1,I$47&lt;=1+Quesería!$B$46),($I$14+$I$28)*(Quesería!$B$44*$C$355*$C$352)*(1-MAX(0,MIN((I$47-1)-1-Quesería!$B$47,(Quesería!$B$46-Quesería!$B$47)))/(Quesería!$B$46-Quesería!$B$47))*IF(I$47&gt;2,1-Quesería!$B$48,1),0))*I354</f>
        <v>31.7669625698277</v>
      </c>
      <c r="J382" s="29" t="n">
        <f aca="false">(IF(AND(J$47&gt;0,J$47&lt;=0+Quesería!$B$46),($I$14+$I$28)*(Quesería!$B$44*$B$355*$B$352)*(1-MAX(0,MIN((J$47-1)-0-Quesería!$B$47,(Quesería!$B$46-Quesería!$B$47)))/(Quesería!$B$46-Quesería!$B$47))*IF(J$47&gt;2,1-Quesería!$B$48,1),0)+IF(AND(J$47&gt;1,J$47&lt;=1+Quesería!$B$46),($I$14+$I$28)*(Quesería!$B$44*$C$355*$C$352)*(1-MAX(0,MIN((J$47-1)-1-Quesería!$B$47,(Quesería!$B$46-Quesería!$B$47)))/(Quesería!$B$46-Quesería!$B$47))*IF(J$47&gt;2,1-Quesería!$B$48,1),0))*J354</f>
        <v>9.12812369085938</v>
      </c>
      <c r="K382" s="29" t="n">
        <f aca="false">(IF(AND(K$47&gt;0,K$47&lt;=0+Quesería!$B$46),($I$14+$I$28)*(Quesería!$B$44*$B$355*$B$352)*(1-MAX(0,MIN((K$47-1)-0-Quesería!$B$47,(Quesería!$B$46-Quesería!$B$47)))/(Quesería!$B$46-Quesería!$B$47))*IF(K$47&gt;2,1-Quesería!$B$48,1),0)+IF(AND(K$47&gt;1,K$47&lt;=1+Quesería!$B$46),($I$14+$I$28)*(Quesería!$B$44*$C$355*$C$352)*(1-MAX(0,MIN((K$47-1)-1-Quesería!$B$47,(Quesería!$B$46-Quesería!$B$47)))/(Quesería!$B$46-Quesería!$B$47))*IF(K$47&gt;2,1-Quesería!$B$48,1),0))*K354</f>
        <v>0</v>
      </c>
      <c r="L382" s="29" t="n">
        <f aca="false">(IF(AND(L$47&gt;0,L$47&lt;=0+Quesería!$B$46),($I$14+$I$28)*(Quesería!$B$44*$B$355*$B$352)*(1-MAX(0,MIN((L$47-1)-0-Quesería!$B$47,(Quesería!$B$46-Quesería!$B$47)))/(Quesería!$B$46-Quesería!$B$47))*IF(L$47&gt;2,1-Quesería!$B$48,1),0)+IF(AND(L$47&gt;1,L$47&lt;=1+Quesería!$B$46),($I$14+$I$28)*(Quesería!$B$44*$C$355*$C$352)*(1-MAX(0,MIN((L$47-1)-1-Quesería!$B$47,(Quesería!$B$46-Quesería!$B$47)))/(Quesería!$B$46-Quesería!$B$47))*IF(L$47&gt;2,1-Quesería!$B$48,1),0))*L354</f>
        <v>0</v>
      </c>
    </row>
    <row r="383" customFormat="false" ht="15" hidden="true" customHeight="false" outlineLevel="1" collapsed="false">
      <c r="A383" s="6" t="s">
        <v>433</v>
      </c>
      <c r="B383" s="29" t="n">
        <f aca="false">((IF(AND(B$47&gt;0+Quesería!$B$47,B$47&lt;=0+Quesería!$B$46),(Quesería!$B$44*$B$355*$B$352)/(Quesería!$B$46-Quesería!$B$47),0)*IF(B$47&gt;2,1-Quesería!$B$48,1)+IF(B$47=2,Quesería!$B$48*(Quesería!$B$44*$B$355*$B$352)*(1-MAX(0,MIN(2-0-Quesería!$B$47,(Quesería!$B$46-Quesería!$B$47)))/(Quesería!$B$46-Quesería!$B$47)),0))+(IF(AND(B$47&gt;1+Quesería!$B$47,B$47&lt;=1+Quesería!$B$46),(Quesería!$B$44*$C$355*$C$352)/(Quesería!$B$46-Quesería!$B$47),0)*IF(B$47&gt;2,1-Quesería!$B$48,1)+IF(B$47=2,Quesería!$B$48*(Quesería!$B$44*$C$355*$C$352)*(1-MAX(0,MIN(2-1-Quesería!$B$47,(Quesería!$B$46-Quesería!$B$47)))/(Quesería!$B$46-Quesería!$B$47)),0)))*B354</f>
        <v>0</v>
      </c>
      <c r="C383" s="29" t="n">
        <f aca="false">((IF(AND(C$47&gt;0+Quesería!$B$47,C$47&lt;=0+Quesería!$B$46),(Quesería!$B$44*$B$355*$B$352)/(Quesería!$B$46-Quesería!$B$47),0)*IF(C$47&gt;2,1-Quesería!$B$48,1)+IF(C$47=2,Quesería!$B$48*(Quesería!$B$44*$B$355*$B$352)*(1-MAX(0,MIN(2-0-Quesería!$B$47,(Quesería!$B$46-Quesería!$B$47)))/(Quesería!$B$46-Quesería!$B$47)),0))+(IF(AND(C$47&gt;1+Quesería!$B$47,C$47&lt;=1+Quesería!$B$46),(Quesería!$B$44*$C$355*$C$352)/(Quesería!$B$46-Quesería!$B$47),0)*IF(C$47&gt;2,1-Quesería!$B$48,1)+IF(C$47=2,Quesería!$B$48*(Quesería!$B$44*$C$355*$C$352)*(1-MAX(0,MIN(2-1-Quesería!$B$47,(Quesería!$B$46-Quesería!$B$47)))/(Quesería!$B$46-Quesería!$B$47)),0)))*C354</f>
        <v>0</v>
      </c>
      <c r="D383" s="29" t="n">
        <f aca="false">((IF(AND(D$47&gt;0+Quesería!$B$47,D$47&lt;=0+Quesería!$B$46),(Quesería!$B$44*$B$355*$B$352)/(Quesería!$B$46-Quesería!$B$47),0)*IF(D$47&gt;2,1-Quesería!$B$48,1)+IF(D$47=2,Quesería!$B$48*(Quesería!$B$44*$B$355*$B$352)*(1-MAX(0,MIN(2-0-Quesería!$B$47,(Quesería!$B$46-Quesería!$B$47)))/(Quesería!$B$46-Quesería!$B$47)),0))+(IF(AND(D$47&gt;1+Quesería!$B$47,D$47&lt;=1+Quesería!$B$46),(Quesería!$B$44*$C$355*$C$352)/(Quesería!$B$46-Quesería!$B$47),0)*IF(D$47&gt;2,1-Quesería!$B$48,1)+IF(D$47=2,Quesería!$B$48*(Quesería!$B$44*$C$355*$C$352)*(1-MAX(0,MIN(2-1-Quesería!$B$47,(Quesería!$B$46-Quesería!$B$47)))/(Quesería!$B$46-Quesería!$B$47)),0)))*D354</f>
        <v>110.279363067777</v>
      </c>
      <c r="E383" s="29" t="n">
        <f aca="false">((IF(AND(E$47&gt;0+Quesería!$B$47,E$47&lt;=0+Quesería!$B$46),(Quesería!$B$44*$B$355*$B$352)/(Quesería!$B$46-Quesería!$B$47),0)*IF(E$47&gt;2,1-Quesería!$B$48,1)+IF(E$47=2,Quesería!$B$48*(Quesería!$B$44*$B$355*$B$352)*(1-MAX(0,MIN(2-0-Quesería!$B$47,(Quesería!$B$46-Quesería!$B$47)))/(Quesería!$B$46-Quesería!$B$47)),0))+(IF(AND(E$47&gt;1+Quesería!$B$47,E$47&lt;=1+Quesería!$B$46),(Quesería!$B$44*$C$355*$C$352)/(Quesería!$B$46-Quesería!$B$47),0)*IF(E$47&gt;2,1-Quesería!$B$48,1)+IF(E$47=2,Quesería!$B$48*(Quesería!$B$44*$C$355*$C$352)*(1-MAX(0,MIN(2-1-Quesería!$B$47,(Quesería!$B$46-Quesería!$B$47)))/(Quesería!$B$46-Quesería!$B$47)),0)))*E354</f>
        <v>184.802091528811</v>
      </c>
      <c r="F383" s="29" t="n">
        <f aca="false">((IF(AND(F$47&gt;0+Quesería!$B$47,F$47&lt;=0+Quesería!$B$46),(Quesería!$B$44*$B$355*$B$352)/(Quesería!$B$46-Quesería!$B$47),0)*IF(F$47&gt;2,1-Quesería!$B$48,1)+IF(F$47=2,Quesería!$B$48*(Quesería!$B$44*$B$355*$B$352)*(1-MAX(0,MIN(2-0-Quesería!$B$47,(Quesería!$B$46-Quesería!$B$47)))/(Quesería!$B$46-Quesería!$B$47)),0))+(IF(AND(F$47&gt;1+Quesería!$B$47,F$47&lt;=1+Quesería!$B$46),(Quesería!$B$44*$C$355*$C$352)/(Quesería!$B$46-Quesería!$B$47),0)*IF(F$47&gt;2,1-Quesería!$B$48,1)+IF(F$47=2,Quesería!$B$48*(Quesería!$B$44*$C$355*$C$352)*(1-MAX(0,MIN(2-1-Quesería!$B$47,(Quesería!$B$46-Quesería!$B$47)))/(Quesería!$B$46-Quesería!$B$47)),0)))*F354</f>
        <v>177.694318777703</v>
      </c>
      <c r="G383" s="29" t="n">
        <f aca="false">((IF(AND(G$47&gt;0+Quesería!$B$47,G$47&lt;=0+Quesería!$B$46),(Quesería!$B$44*$B$355*$B$352)/(Quesería!$B$46-Quesería!$B$47),0)*IF(G$47&gt;2,1-Quesería!$B$48,1)+IF(G$47=2,Quesería!$B$48*(Quesería!$B$44*$B$355*$B$352)*(1-MAX(0,MIN(2-0-Quesería!$B$47,(Quesería!$B$46-Quesería!$B$47)))/(Quesería!$B$46-Quesería!$B$47)),0))+(IF(AND(G$47&gt;1+Quesería!$B$47,G$47&lt;=1+Quesería!$B$46),(Quesería!$B$44*$C$355*$C$352)/(Quesería!$B$46-Quesería!$B$47),0)*IF(G$47&gt;2,1-Quesería!$B$48,1)+IF(G$47=2,Quesería!$B$48*(Quesería!$B$44*$C$355*$C$352)*(1-MAX(0,MIN(2-1-Quesería!$B$47,(Quesería!$B$46-Quesería!$B$47)))/(Quesería!$B$46-Quesería!$B$47)),0)))*G354</f>
        <v>170.859921901637</v>
      </c>
      <c r="H383" s="29" t="n">
        <f aca="false">((IF(AND(H$47&gt;0+Quesería!$B$47,H$47&lt;=0+Quesería!$B$46),(Quesería!$B$44*$B$355*$B$352)/(Quesería!$B$46-Quesería!$B$47),0)*IF(H$47&gt;2,1-Quesería!$B$48,1)+IF(H$47=2,Quesería!$B$48*(Quesería!$B$44*$B$355*$B$352)*(1-MAX(0,MIN(2-0-Quesería!$B$47,(Quesería!$B$46-Quesería!$B$47)))/(Quesería!$B$46-Quesería!$B$47)),0))+(IF(AND(H$47&gt;1+Quesería!$B$47,H$47&lt;=1+Quesería!$B$46),(Quesería!$B$44*$C$355*$C$352)/(Quesería!$B$46-Quesería!$B$47),0)*IF(H$47&gt;2,1-Quesería!$B$48,1)+IF(H$47=2,Quesería!$B$48*(Quesería!$B$44*$C$355*$C$352)*(1-MAX(0,MIN(2-1-Quesería!$B$47,(Quesería!$B$46-Quesería!$B$47)))/(Quesería!$B$46-Quesería!$B$47)),0)))*H354</f>
        <v>164.288386443882</v>
      </c>
      <c r="I383" s="29" t="n">
        <f aca="false">((IF(AND(I$47&gt;0+Quesería!$B$47,I$47&lt;=0+Quesería!$B$46),(Quesería!$B$44*$B$355*$B$352)/(Quesería!$B$46-Quesería!$B$47),0)*IF(I$47&gt;2,1-Quesería!$B$48,1)+IF(I$47=2,Quesería!$B$48*(Quesería!$B$44*$B$355*$B$352)*(1-MAX(0,MIN(2-0-Quesería!$B$47,(Quesería!$B$46-Quesería!$B$47)))/(Quesería!$B$46-Quesería!$B$47)),0))+(IF(AND(I$47&gt;1+Quesería!$B$47,I$47&lt;=1+Quesería!$B$46),(Quesería!$B$44*$C$355*$C$352)/(Quesería!$B$46-Quesería!$B$47),0)*IF(I$47&gt;2,1-Quesería!$B$48,1)+IF(I$47=2,Quesería!$B$48*(Quesería!$B$44*$C$355*$C$352)*(1-MAX(0,MIN(2-1-Quesería!$B$47,(Quesería!$B$46-Quesería!$B$47)))/(Quesería!$B$46-Quesería!$B$47)),0)))*I354</f>
        <v>157.969602349886</v>
      </c>
      <c r="J383" s="29" t="n">
        <f aca="false">((IF(AND(J$47&gt;0+Quesería!$B$47,J$47&lt;=0+Quesería!$B$46),(Quesería!$B$44*$B$355*$B$352)/(Quesería!$B$46-Quesería!$B$47),0)*IF(J$47&gt;2,1-Quesería!$B$48,1)+IF(J$47=2,Quesería!$B$48*(Quesería!$B$44*$B$355*$B$352)*(1-MAX(0,MIN(2-0-Quesería!$B$47,(Quesería!$B$46-Quesería!$B$47)))/(Quesería!$B$46-Quesería!$B$47)),0))+(IF(AND(J$47&gt;1+Quesería!$B$47,J$47&lt;=1+Quesería!$B$46),(Quesería!$B$44*$C$355*$C$352)/(Quesería!$B$46-Quesería!$B$47),0)*IF(J$47&gt;2,1-Quesería!$B$48,1)+IF(J$47=2,Quesería!$B$48*(Quesería!$B$44*$C$355*$C$352)*(1-MAX(0,MIN(2-1-Quesería!$B$47,(Quesería!$B$46-Quesería!$B$47)))/(Quesería!$B$46-Quesería!$B$47)),0)))*J354</f>
        <v>64.7384658926198</v>
      </c>
      <c r="K383" s="29" t="n">
        <f aca="false">((IF(AND(K$47&gt;0+Quesería!$B$47,K$47&lt;=0+Quesería!$B$46),(Quesería!$B$44*$B$355*$B$352)/(Quesería!$B$46-Quesería!$B$47),0)*IF(K$47&gt;2,1-Quesería!$B$48,1)+IF(K$47=2,Quesería!$B$48*(Quesería!$B$44*$B$355*$B$352)*(1-MAX(0,MIN(2-0-Quesería!$B$47,(Quesería!$B$46-Quesería!$B$47)))/(Quesería!$B$46-Quesería!$B$47)),0))+(IF(AND(K$47&gt;1+Quesería!$B$47,K$47&lt;=1+Quesería!$B$46),(Quesería!$B$44*$C$355*$C$352)/(Quesería!$B$46-Quesería!$B$47),0)*IF(K$47&gt;2,1-Quesería!$B$48,1)+IF(K$47=2,Quesería!$B$48*(Quesería!$B$44*$C$355*$C$352)*(1-MAX(0,MIN(2-1-Quesería!$B$47,(Quesería!$B$46-Quesería!$B$47)))/(Quesería!$B$46-Quesería!$B$47)),0)))*K354</f>
        <v>0</v>
      </c>
      <c r="L383" s="29" t="n">
        <f aca="false">((IF(AND(L$47&gt;0+Quesería!$B$47,L$47&lt;=0+Quesería!$B$46),(Quesería!$B$44*$B$355*$B$352)/(Quesería!$B$46-Quesería!$B$47),0)*IF(L$47&gt;2,1-Quesería!$B$48,1)+IF(L$47=2,Quesería!$B$48*(Quesería!$B$44*$B$355*$B$352)*(1-MAX(0,MIN(2-0-Quesería!$B$47,(Quesería!$B$46-Quesería!$B$47)))/(Quesería!$B$46-Quesería!$B$47)),0))+(IF(AND(L$47&gt;1+Quesería!$B$47,L$47&lt;=1+Quesería!$B$46),(Quesería!$B$44*$C$355*$C$352)/(Quesería!$B$46-Quesería!$B$47),0)*IF(L$47&gt;2,1-Quesería!$B$48,1)+IF(L$47=2,Quesería!$B$48*(Quesería!$B$44*$C$355*$C$352)*(1-MAX(0,MIN(2-1-Quesería!$B$47,(Quesería!$B$46-Quesería!$B$47)))/(Quesería!$B$46-Quesería!$B$47)),0)))*L354</f>
        <v>0</v>
      </c>
    </row>
    <row r="384" customFormat="false" ht="15" hidden="true" customHeight="false" outlineLevel="1" collapsed="false">
      <c r="A384" s="6" t="s">
        <v>434</v>
      </c>
      <c r="B384" s="29" t="n">
        <f aca="false">$I$13*Quesería!$B$51*(1+0.19)*B380*B354+(1-$I$13)*IF(B$47=0,Quesería!$B$50,0)</f>
        <v>4</v>
      </c>
      <c r="C384" s="29" t="n">
        <f aca="false">$I$13*Quesería!$B$51*(1+0.19)*C380*C354+(1-$I$13)*IF(C$47=0,Quesería!$B$50,0)</f>
        <v>0</v>
      </c>
      <c r="D384" s="29" t="n">
        <f aca="false">$I$13*Quesería!$B$51*(1+0.19)*D380*D354+(1-$I$13)*IF(D$47=0,Quesería!$B$50,0)</f>
        <v>0</v>
      </c>
      <c r="E384" s="29" t="n">
        <f aca="false">$I$13*Quesería!$B$51*(1+0.19)*E380*E354+(1-$I$13)*IF(E$47=0,Quesería!$B$50,0)</f>
        <v>0</v>
      </c>
      <c r="F384" s="29" t="n">
        <f aca="false">$I$13*Quesería!$B$51*(1+0.19)*F380*F354+(1-$I$13)*IF(F$47=0,Quesería!$B$50,0)</f>
        <v>0</v>
      </c>
      <c r="G384" s="29" t="n">
        <f aca="false">$I$13*Quesería!$B$51*(1+0.19)*G380*G354+(1-$I$13)*IF(G$47=0,Quesería!$B$50,0)</f>
        <v>0</v>
      </c>
      <c r="H384" s="29" t="n">
        <f aca="false">$I$13*Quesería!$B$51*(1+0.19)*H380*H354+(1-$I$13)*IF(H$47=0,Quesería!$B$50,0)</f>
        <v>0</v>
      </c>
      <c r="I384" s="29" t="n">
        <f aca="false">$I$13*Quesería!$B$51*(1+0.19)*I380*I354+(1-$I$13)*IF(I$47=0,Quesería!$B$50,0)</f>
        <v>0</v>
      </c>
      <c r="J384" s="29" t="n">
        <f aca="false">$I$13*Quesería!$B$51*(1+0.19)*J380*J354+(1-$I$13)*IF(J$47=0,Quesería!$B$50,0)</f>
        <v>0</v>
      </c>
      <c r="K384" s="29" t="n">
        <f aca="false">$I$13*Quesería!$B$51*(1+0.19)*K380*K354+(1-$I$13)*IF(K$47=0,Quesería!$B$50,0)</f>
        <v>0</v>
      </c>
      <c r="L384" s="29" t="n">
        <f aca="false">$I$13*Quesería!$B$51*(1+0.19)*L380*L354+(1-$I$13)*IF(L$47=0,Quesería!$B$50,0)</f>
        <v>0</v>
      </c>
    </row>
    <row r="385" customFormat="false" ht="15" hidden="true" customHeight="false" outlineLevel="1" collapsed="false">
      <c r="A385" s="6" t="s">
        <v>435</v>
      </c>
      <c r="B385" s="29" t="n">
        <f aca="false">Quesería!$B$52*(B382+B383+B384)</f>
        <v>0.016</v>
      </c>
      <c r="C385" s="29" t="n">
        <f aca="false">Quesería!$B$52*(C382+C383+C384)</f>
        <v>0.389978706029317</v>
      </c>
      <c r="D385" s="29" t="n">
        <f aca="false">Quesería!$B$52*(D382+D383+D384)</f>
        <v>1.09150254111394</v>
      </c>
      <c r="E385" s="29" t="n">
        <f aca="false">Quesería!$B$52*(E382+E383+E384)</f>
        <v>1.30477329695429</v>
      </c>
      <c r="F385" s="29" t="n">
        <f aca="false">Quesería!$B$52*(F382+F383+F384)</f>
        <v>1.15437011281927</v>
      </c>
      <c r="G385" s="29" t="n">
        <f aca="false">Quesería!$B$52*(G382+G383+G384)</f>
        <v>1.0136062663737</v>
      </c>
      <c r="H385" s="29" t="n">
        <f aca="false">Quesería!$B$52*(H382+H383+H384)</f>
        <v>0.88196276002036</v>
      </c>
      <c r="I385" s="29" t="n">
        <f aca="false">Quesería!$B$52*(I382+I383+I384)</f>
        <v>0.758946259678856</v>
      </c>
      <c r="J385" s="29" t="n">
        <f aca="false">Quesería!$B$52*(J382+J383+J384)</f>
        <v>0.295466358333917</v>
      </c>
      <c r="K385" s="29" t="n">
        <f aca="false">Quesería!$B$52*(K382+K383+K384)</f>
        <v>0</v>
      </c>
      <c r="L385" s="29" t="n">
        <f aca="false">Quesería!$B$52*(L382+L383+L384)</f>
        <v>0</v>
      </c>
    </row>
    <row r="386" customFormat="false" ht="15" hidden="true" customHeight="false" outlineLevel="1" collapsed="false">
      <c r="A386" s="6" t="s">
        <v>436</v>
      </c>
      <c r="B386" s="29" t="n">
        <f aca="false">$I$17*(B382+B384+0.5*B385)</f>
        <v>1.4028</v>
      </c>
      <c r="C386" s="29" t="n">
        <f aca="false">$I$17*(C382+C384+0.5*C385)</f>
        <v>34.1913830511204</v>
      </c>
      <c r="D386" s="29" t="n">
        <f aca="false">$I$17*(D382+D384+0.5*D385)</f>
        <v>57.099708218443</v>
      </c>
      <c r="E386" s="29" t="n">
        <f aca="false">$I$17*(E382+E384+0.5*E385)</f>
        <v>49.7152667753836</v>
      </c>
      <c r="F386" s="29" t="n">
        <f aca="false">$I$17*(F382+F384+0.5*F385)</f>
        <v>39.0163880692336</v>
      </c>
      <c r="G386" s="29" t="n">
        <f aca="false">$I$17*(G382+G384+0.5*G385)</f>
        <v>29.066956738741</v>
      </c>
      <c r="H386" s="29" t="n">
        <f aca="false">$I$17*(H382+H384+0.5*H385)</f>
        <v>19.8251497294264</v>
      </c>
      <c r="I386" s="29" t="n">
        <f aca="false">$I$17*(I382+I384+0.5*I385)</f>
        <v>11.2512524948835</v>
      </c>
      <c r="J386" s="29" t="n">
        <f aca="false">$I$17*(J382+J384+0.5*J385)</f>
        <v>3.24654990450922</v>
      </c>
      <c r="K386" s="29" t="n">
        <f aca="false">$I$17*(K382+K384+0.5*K385)</f>
        <v>0</v>
      </c>
      <c r="L386" s="29" t="n">
        <f aca="false">$I$17*(L382+L384+0.5*L385)</f>
        <v>0</v>
      </c>
    </row>
    <row r="387" customFormat="false" ht="15" hidden="true" customHeight="false" outlineLevel="1" collapsed="false">
      <c r="A387" s="5" t="s">
        <v>437</v>
      </c>
      <c r="B387" s="59" t="n">
        <f aca="false">B372+B381-B382-B383-B384-B385+B386</f>
        <v>-444.218155996521</v>
      </c>
      <c r="C387" s="59" t="n">
        <f aca="false">C372+C381-C382-C383-C384-C385+C386</f>
        <v>-47.706251932794</v>
      </c>
      <c r="D387" s="59" t="n">
        <f aca="false">D372+D381-D382-D383-D384-D385+D386</f>
        <v>294.522493652347</v>
      </c>
      <c r="E387" s="59" t="n">
        <f aca="false">E372+E381-E382-E383-E384-E385+E386</f>
        <v>51.515648243346</v>
      </c>
      <c r="F387" s="59" t="n">
        <f aca="false">F372+F381-F382-F383-F384-F385+F386</f>
        <v>114.762340162013</v>
      </c>
      <c r="G387" s="59" t="n">
        <f aca="false">G372+G381-G382-G383-G384-G385+G386</f>
        <v>98.8800777559929</v>
      </c>
      <c r="H387" s="59" t="n">
        <f aca="false">H372+H381-H382-H383-H384-H385+H386</f>
        <v>96.8092550405635</v>
      </c>
      <c r="I387" s="59" t="n">
        <f aca="false">I372+I381-I382-I383-I384-I385+I386</f>
        <v>191.830646280986</v>
      </c>
      <c r="J387" s="59" t="n">
        <f aca="false">J372+J381-J382-J383-J384-J385+J386</f>
        <v>288.277594779429</v>
      </c>
      <c r="K387" s="59" t="n">
        <f aca="false">K372+K381-K382-K383-K384-K385+K386</f>
        <v>357.555979491332</v>
      </c>
      <c r="L387" s="59" t="n">
        <f aca="false">L372+L381-L382-L383-L384-L385+L386</f>
        <v>598.668823456293</v>
      </c>
    </row>
    <row r="388" customFormat="false" ht="15" hidden="true" customHeight="false" outlineLevel="1" collapsed="false">
      <c r="A388" s="9" t="s">
        <v>438</v>
      </c>
      <c r="B388" s="58" t="n">
        <f aca="false">B387*B352</f>
        <v>-470.871245356313</v>
      </c>
      <c r="C388" s="58" t="n">
        <f aca="false">C387*C352</f>
        <v>-53.0970584011998</v>
      </c>
      <c r="D388" s="58" t="n">
        <f aca="false">D387*D352</f>
        <v>342.55469452964</v>
      </c>
      <c r="E388" s="58" t="n">
        <f aca="false">E387*E352</f>
        <v>62.3137608465965</v>
      </c>
      <c r="F388" s="58" t="n">
        <f aca="false">F387*F352</f>
        <v>144.370190290173</v>
      </c>
      <c r="G388" s="58" t="n">
        <f aca="false">G387*G352</f>
        <v>129.36603633424</v>
      </c>
      <c r="H388" s="58" t="n">
        <f aca="false">H387*H352</f>
        <v>131.723023331478</v>
      </c>
      <c r="I388" s="58" t="n">
        <f aca="false">I387*I352</f>
        <v>271.453934777024</v>
      </c>
      <c r="J388" s="58" t="n">
        <f aca="false">J387*J352</f>
        <v>424.250517240927</v>
      </c>
      <c r="K388" s="58" t="n">
        <f aca="false">K387*K352</f>
        <v>547.253912438681</v>
      </c>
      <c r="L388" s="58" t="n">
        <f aca="false">L387*L352</f>
        <v>952.938363978441</v>
      </c>
    </row>
    <row r="389" customFormat="false" ht="15" hidden="true" customHeight="false" outlineLevel="1" collapsed="false">
      <c r="A389" s="9" t="s">
        <v>439</v>
      </c>
      <c r="B389" s="57" t="n">
        <f aca="false">(B352/$B$352)/(1+Quesería!$B$11+$I$28)^B$47</f>
        <v>1</v>
      </c>
      <c r="C389" s="57" t="n">
        <f aca="false">(C352/$B$352)/(1+Quesería!$B$11+$I$28)^C$47</f>
        <v>0.84</v>
      </c>
      <c r="D389" s="57" t="n">
        <f aca="false">(D352/$B$352)/(1+Quesería!$B$11+$I$28)^D$47</f>
        <v>0.70224</v>
      </c>
      <c r="E389" s="57" t="n">
        <f aca="false">(E352/$B$352)/(1+Quesería!$B$11+$I$28)^E$47</f>
        <v>0.58426368</v>
      </c>
      <c r="F389" s="57" t="n">
        <f aca="false">(F352/$B$352)/(1+Quesería!$B$11+$I$28)^F$47</f>
        <v>0.48610738176</v>
      </c>
      <c r="G389" s="57" t="n">
        <f aca="false">(G352/$B$352)/(1+Quesería!$B$11+$I$28)^G$47</f>
        <v>0.40444134162432</v>
      </c>
      <c r="H389" s="57" t="n">
        <f aca="false">(H352/$B$352)/(1+Quesería!$B$11+$I$28)^H$47</f>
        <v>0.336495196231434</v>
      </c>
      <c r="I389" s="57" t="n">
        <f aca="false">(I352/$B$352)/(1+Quesería!$B$11+$I$28)^I$47</f>
        <v>0.279964003264553</v>
      </c>
      <c r="J389" s="57" t="n">
        <f aca="false">(J352/$B$352)/(1+Quesería!$B$11+$I$28)^J$47</f>
        <v>0.232930050716108</v>
      </c>
      <c r="K389" s="57" t="n">
        <f aca="false">(K352/$B$352)/(1+Quesería!$B$11+$I$28)^K$47</f>
        <v>0.193797802195802</v>
      </c>
      <c r="L389" s="57" t="n">
        <f aca="false">(L352/$B$352)/(1+Quesería!$B$11+$I$28)^L$47</f>
        <v>0.161239771426907</v>
      </c>
    </row>
    <row r="390" customFormat="false" ht="15" hidden="true" customHeight="false" outlineLevel="1" collapsed="false">
      <c r="A390" s="9" t="s">
        <v>440</v>
      </c>
      <c r="B390" s="58" t="n">
        <f aca="false">B372+B355+B357+B386</f>
        <v>129.672750436996</v>
      </c>
      <c r="C390" s="58" t="n">
        <f aca="false">C372+C355+C357+C386</f>
        <v>476.86635848564</v>
      </c>
      <c r="D390" s="58" t="n">
        <f aca="false">D372+D355+D357+D386</f>
        <v>568.489631471947</v>
      </c>
      <c r="E390" s="58" t="n">
        <f aca="false">E372+E355+E357+E386</f>
        <v>379.013745778873</v>
      </c>
      <c r="F390" s="58" t="n">
        <f aca="false">F372+F355+F357+F386</f>
        <v>404.509238479649</v>
      </c>
      <c r="G390" s="58" t="n">
        <f aca="false">G372+G355+G357+G386</f>
        <v>359.557320153094</v>
      </c>
      <c r="H390" s="58" t="n">
        <f aca="false">H372+H355+H357+H386</f>
        <v>328.758635307772</v>
      </c>
      <c r="I390" s="58" t="n">
        <f aca="false">I372+I355+I357+I386</f>
        <v>382.326157460379</v>
      </c>
      <c r="J390" s="58" t="n">
        <f aca="false">J372+J355+J357+J386</f>
        <v>362.439650721242</v>
      </c>
      <c r="K390" s="58" t="n">
        <f aca="false">K372+K355+K357+K386</f>
        <v>357.555979491332</v>
      </c>
      <c r="L390" s="58" t="n">
        <f aca="false">L372+L355+L357+L386</f>
        <v>598.668823456293</v>
      </c>
    </row>
    <row r="391" customFormat="false" ht="15" hidden="true" customHeight="false" outlineLevel="1" collapsed="false">
      <c r="A391" s="5" t="s">
        <v>149</v>
      </c>
      <c r="B391" s="12" t="str">
        <f aca="false">IF(AND(B$47&gt;=1,(B382+B383+B384)&gt;0.001),B390/(B382+B383+B384),"")</f>
        <v/>
      </c>
      <c r="C391" s="12" t="n">
        <f aca="false">IF(AND(C$47&gt;=1,(C382+C383+C384)&gt;0.001),C390/(C382+C383+C384),"")</f>
        <v>4.89120406948363</v>
      </c>
      <c r="D391" s="12" t="n">
        <f aca="false">IF(AND(D$47&gt;=1,(D382+D383+D384)&gt;0.001),D390/(D382+D383+D384),"")</f>
        <v>2.08332865956233</v>
      </c>
      <c r="E391" s="12" t="n">
        <f aca="false">IF(AND(E$47&gt;=1,(E382+E383+E384)&gt;0.001),E390/(E382+E383+E384),"")</f>
        <v>1.16192980547225</v>
      </c>
      <c r="F391" s="12" t="n">
        <f aca="false">IF(AND(F$47&gt;=1,(F382+F383+F384)&gt;0.001),F390/(F382+F383+F384),"")</f>
        <v>1.40166220170664</v>
      </c>
      <c r="G391" s="12" t="n">
        <f aca="false">IF(AND(G$47&gt;=1,(G382+G383+G384)&gt;0.001),G390/(G382+G383+G384),"")</f>
        <v>1.41892303582319</v>
      </c>
      <c r="H391" s="12" t="n">
        <f aca="false">IF(AND(H$47&gt;=1,(H382+H383+H384)&gt;0.001),H390/(H382+H383+H384),"")</f>
        <v>1.49103182225146</v>
      </c>
      <c r="I391" s="12" t="n">
        <f aca="false">IF(AND(I$47&gt;=1,(I382+I383+I384)&gt;0.001),I390/(I382+I383+I384),"")</f>
        <v>2.01503678335358</v>
      </c>
      <c r="J391" s="12" t="n">
        <f aca="false">IF(AND(J$47&gt;=1,(J382+J383+J384)&gt;0.001),J390/(J382+J383+J384),"")</f>
        <v>4.9066790921982</v>
      </c>
      <c r="K391" s="12" t="str">
        <f aca="false">IF(AND(K$47&gt;=1,(K382+K383+K384)&gt;0.001),K390/(K382+K383+K384),"")</f>
        <v/>
      </c>
      <c r="L391" s="12" t="str">
        <f aca="false">IF(AND(L$47&gt;=1,(L382+L383+L384)&gt;0.001),L390/(L382+L383+L384),"")</f>
        <v/>
      </c>
    </row>
    <row r="393" customFormat="false" ht="15" hidden="false" customHeight="false" outlineLevel="0" collapsed="false">
      <c r="A393" s="43" t="s">
        <v>1245</v>
      </c>
      <c r="B393" s="44"/>
      <c r="C393" s="44"/>
      <c r="D393" s="44"/>
      <c r="E393" s="44"/>
      <c r="F393" s="44"/>
      <c r="G393" s="44"/>
      <c r="H393" s="44"/>
      <c r="I393" s="44"/>
      <c r="J393" s="44"/>
      <c r="K393" s="44"/>
      <c r="L393" s="44"/>
    </row>
    <row r="394" customFormat="false" ht="15" hidden="true" customHeight="false" outlineLevel="1" collapsed="false">
      <c r="A394" s="9" t="s">
        <v>406</v>
      </c>
      <c r="B394" s="56" t="n">
        <f aca="false">CHOOSE($J$15,Entorno!B$7,Entorno!B$8,Entorno!B$9)</f>
        <v>0.06</v>
      </c>
      <c r="C394" s="56" t="n">
        <f aca="false">CHOOSE($J$15,Entorno!C$7,Entorno!C$8,Entorno!C$9)</f>
        <v>0.05</v>
      </c>
      <c r="D394" s="56" t="n">
        <f aca="false">CHOOSE($J$15,Entorno!D$7,Entorno!D$8,Entorno!D$9)</f>
        <v>0.045</v>
      </c>
      <c r="E394" s="56" t="n">
        <f aca="false">CHOOSE($J$15,Entorno!E$7,Entorno!E$8,Entorno!E$9)</f>
        <v>0.04</v>
      </c>
      <c r="F394" s="56" t="n">
        <f aca="false">CHOOSE($J$15,Entorno!F$7,Entorno!F$8,Entorno!F$9)</f>
        <v>0.04</v>
      </c>
      <c r="G394" s="56" t="n">
        <f aca="false">CHOOSE($J$15,Entorno!G$7,Entorno!G$8,Entorno!G$9)</f>
        <v>0.04</v>
      </c>
      <c r="H394" s="56" t="n">
        <f aca="false">CHOOSE($J$15,Entorno!H$7,Entorno!H$8,Entorno!H$9)</f>
        <v>0.04</v>
      </c>
      <c r="I394" s="56" t="n">
        <f aca="false">CHOOSE($J$15,Entorno!I$7,Entorno!I$8,Entorno!I$9)</f>
        <v>0.04</v>
      </c>
      <c r="J394" s="56" t="n">
        <f aca="false">CHOOSE($J$15,Entorno!J$7,Entorno!J$8,Entorno!J$9)</f>
        <v>0.04</v>
      </c>
      <c r="K394" s="56" t="n">
        <f aca="false">CHOOSE($J$15,Entorno!K$7,Entorno!K$8,Entorno!K$9)</f>
        <v>0.04</v>
      </c>
      <c r="L394" s="56" t="n">
        <f aca="false">CHOOSE($J$15,Entorno!L$7,Entorno!L$8,Entorno!L$9)</f>
        <v>0.04</v>
      </c>
    </row>
    <row r="395" customFormat="false" ht="15" hidden="true" customHeight="false" outlineLevel="1" collapsed="false">
      <c r="A395" s="9" t="s">
        <v>407</v>
      </c>
      <c r="B395" s="57" t="n">
        <f aca="false">1+B394</f>
        <v>1.06</v>
      </c>
      <c r="C395" s="57" t="n">
        <f aca="false">B395*(1+C394)</f>
        <v>1.113</v>
      </c>
      <c r="D395" s="57" t="n">
        <f aca="false">C395*(1+D394)</f>
        <v>1.163085</v>
      </c>
      <c r="E395" s="57" t="n">
        <f aca="false">D395*(1+E394)</f>
        <v>1.2096084</v>
      </c>
      <c r="F395" s="57" t="n">
        <f aca="false">E395*(1+F394)</f>
        <v>1.257992736</v>
      </c>
      <c r="G395" s="57" t="n">
        <f aca="false">F395*(1+G394)</f>
        <v>1.30831244544</v>
      </c>
      <c r="H395" s="57" t="n">
        <f aca="false">G395*(1+H394)</f>
        <v>1.3606449432576</v>
      </c>
      <c r="I395" s="57" t="n">
        <f aca="false">H395*(1+I394)</f>
        <v>1.4150707409879</v>
      </c>
      <c r="J395" s="57" t="n">
        <f aca="false">I395*(1+J394)</f>
        <v>1.47167357062742</v>
      </c>
      <c r="K395" s="57" t="n">
        <f aca="false">J395*(1+K394)</f>
        <v>1.53054051345252</v>
      </c>
      <c r="L395" s="57" t="n">
        <f aca="false">K395*(1+L394)</f>
        <v>1.59176213399062</v>
      </c>
    </row>
    <row r="396" customFormat="false" ht="15" hidden="true" customHeight="false" outlineLevel="1" collapsed="false">
      <c r="A396" s="9" t="s">
        <v>408</v>
      </c>
      <c r="B396" s="57" t="n">
        <f aca="false">(1+$J$16)/(1+B394)</f>
        <v>1.02358490566038</v>
      </c>
      <c r="C396" s="57" t="n">
        <f aca="false">B396*(1+Entorno!$B$13)</f>
        <v>1.02870283018868</v>
      </c>
      <c r="D396" s="57" t="n">
        <f aca="false">C396*(1+Entorno!$B$13)</f>
        <v>1.03384634433962</v>
      </c>
      <c r="E396" s="57" t="n">
        <f aca="false">D396*(1+Entorno!$B$13)</f>
        <v>1.03901557606132</v>
      </c>
      <c r="F396" s="57" t="n">
        <f aca="false">E396*(1+Entorno!$B$13)</f>
        <v>1.04421065394163</v>
      </c>
      <c r="G396" s="57" t="n">
        <f aca="false">F396*(1+Entorno!$B$13)</f>
        <v>1.04943170721133</v>
      </c>
      <c r="H396" s="57" t="n">
        <f aca="false">G396*(1+Entorno!$B$13)</f>
        <v>1.05467886574739</v>
      </c>
      <c r="I396" s="57" t="n">
        <f aca="false">H396*(1+Entorno!$B$13)</f>
        <v>1.05995226007613</v>
      </c>
      <c r="J396" s="57" t="n">
        <f aca="false">I396*(1+Entorno!$B$13)</f>
        <v>1.06525202137651</v>
      </c>
      <c r="K396" s="57" t="n">
        <f aca="false">J396*(1+Entorno!$B$13)</f>
        <v>1.07057828148339</v>
      </c>
      <c r="L396" s="57" t="n">
        <f aca="false">K396*(1+Entorno!$B$13)</f>
        <v>1.07593117289081</v>
      </c>
    </row>
    <row r="397" customFormat="false" ht="15" hidden="true" customHeight="false" outlineLevel="1" collapsed="false">
      <c r="A397" s="9" t="s">
        <v>409</v>
      </c>
      <c r="B397" s="57" t="n">
        <f aca="false">1/B395</f>
        <v>0.943396226415094</v>
      </c>
      <c r="C397" s="57" t="n">
        <f aca="false">1/C395</f>
        <v>0.898472596585804</v>
      </c>
      <c r="D397" s="57" t="n">
        <f aca="false">1/D395</f>
        <v>0.859782389077324</v>
      </c>
      <c r="E397" s="57" t="n">
        <f aca="false">1/E395</f>
        <v>0.826713835651273</v>
      </c>
      <c r="F397" s="57" t="n">
        <f aca="false">1/F395</f>
        <v>0.794917149664686</v>
      </c>
      <c r="G397" s="57" t="n">
        <f aca="false">1/G395</f>
        <v>0.764343413139121</v>
      </c>
      <c r="H397" s="57" t="n">
        <f aca="false">1/H395</f>
        <v>0.734945589556847</v>
      </c>
      <c r="I397" s="57" t="n">
        <f aca="false">1/I395</f>
        <v>0.706678451496968</v>
      </c>
      <c r="J397" s="57" t="n">
        <f aca="false">1/J395</f>
        <v>0.679498511054777</v>
      </c>
      <c r="K397" s="57" t="n">
        <f aca="false">1/K395</f>
        <v>0.653363952937286</v>
      </c>
      <c r="L397" s="57" t="n">
        <f aca="false">1/L395</f>
        <v>0.628234570132006</v>
      </c>
    </row>
    <row r="398" customFormat="false" ht="15" hidden="true" customHeight="false" outlineLevel="1" collapsed="false">
      <c r="A398" s="6" t="s">
        <v>323</v>
      </c>
      <c r="B398" s="29" t="n">
        <f aca="false">IF(B$47=0,Quesería!$F$92,IF(B$47=1,(Quesería!$F$93-(-$J$26)*Quesería!$D$86*(1+Quesería!$I$86))*$J$21,0))*$J$11</f>
        <v>744.640191545342</v>
      </c>
      <c r="C398" s="29" t="n">
        <f aca="false">IF(C$47=0,Quesería!$F$92,IF(C$47=1,(Quesería!$F$93-(-$J$26)*Quesería!$D$86*(1+Quesería!$I$86))*$J$21,0))*$J$11</f>
        <v>526.775253339599</v>
      </c>
      <c r="D398" s="29" t="n">
        <f aca="false">IF(D$47=0,Quesería!$F$92,IF(D$47=1,(Quesería!$F$93-(-$J$26)*Quesería!$D$86*(1+Quesería!$I$86))*$J$21,0))*$J$11</f>
        <v>0</v>
      </c>
      <c r="E398" s="29" t="n">
        <f aca="false">IF(E$47=0,Quesería!$F$92,IF(E$47=1,(Quesería!$F$93-(-$J$26)*Quesería!$D$86*(1+Quesería!$I$86))*$J$21,0))*$J$11</f>
        <v>0</v>
      </c>
      <c r="F398" s="29" t="n">
        <f aca="false">IF(F$47=0,Quesería!$F$92,IF(F$47=1,(Quesería!$F$93-(-$J$26)*Quesería!$D$86*(1+Quesería!$I$86))*$J$21,0))*$J$11</f>
        <v>0</v>
      </c>
      <c r="G398" s="29" t="n">
        <f aca="false">IF(G$47=0,Quesería!$F$92,IF(G$47=1,(Quesería!$F$93-(-$J$26)*Quesería!$D$86*(1+Quesería!$I$86))*$J$21,0))*$J$11</f>
        <v>0</v>
      </c>
      <c r="H398" s="29" t="n">
        <f aca="false">IF(H$47=0,Quesería!$F$92,IF(H$47=1,(Quesería!$F$93-(-$J$26)*Quesería!$D$86*(1+Quesería!$I$86))*$J$21,0))*$J$11</f>
        <v>0</v>
      </c>
      <c r="I398" s="29" t="n">
        <f aca="false">IF(I$47=0,Quesería!$F$92,IF(I$47=1,(Quesería!$F$93-(-$J$26)*Quesería!$D$86*(1+Quesería!$I$86))*$J$21,0))*$J$11</f>
        <v>0</v>
      </c>
      <c r="J398" s="29" t="n">
        <f aca="false">IF(J$47=0,Quesería!$F$92,IF(J$47=1,(Quesería!$F$93-(-$J$26)*Quesería!$D$86*(1+Quesería!$I$86))*$J$21,0))*$J$11</f>
        <v>0</v>
      </c>
      <c r="K398" s="29" t="n">
        <f aca="false">IF(K$47=0,Quesería!$F$92,IF(K$47=1,(Quesería!$F$93-(-$J$26)*Quesería!$D$86*(1+Quesería!$I$86))*$J$21,0))*$J$11</f>
        <v>0</v>
      </c>
      <c r="L398" s="29" t="n">
        <f aca="false">IF(L$47=0,Quesería!$F$92,IF(L$47=1,(Quesería!$F$93-(-$J$26)*Quesería!$D$86*(1+Quesería!$I$86))*$J$21,0))*$J$11</f>
        <v>0</v>
      </c>
    </row>
    <row r="399" customFormat="false" ht="15" hidden="true" customHeight="false" outlineLevel="1" collapsed="false">
      <c r="A399" s="6" t="s">
        <v>410</v>
      </c>
      <c r="B399" s="29" t="n">
        <f aca="false">IF(B$47=5,Quesería!$F$99,IF(B$47=6,Quesería!$F$100,0))*$J$11</f>
        <v>0</v>
      </c>
      <c r="C399" s="29" t="n">
        <f aca="false">IF(C$47=5,Quesería!$F$99,IF(C$47=6,Quesería!$F$100,0))*$J$11</f>
        <v>0</v>
      </c>
      <c r="D399" s="29" t="n">
        <f aca="false">IF(D$47=5,Quesería!$F$99,IF(D$47=6,Quesería!$F$100,0))*$J$11</f>
        <v>0</v>
      </c>
      <c r="E399" s="29" t="n">
        <f aca="false">IF(E$47=5,Quesería!$F$99,IF(E$47=6,Quesería!$F$100,0))*$J$11</f>
        <v>0</v>
      </c>
      <c r="F399" s="29" t="n">
        <f aca="false">IF(F$47=5,Quesería!$F$99,IF(F$47=6,Quesería!$F$100,0))*$J$11</f>
        <v>0</v>
      </c>
      <c r="G399" s="29" t="n">
        <f aca="false">IF(G$47=5,Quesería!$F$99,IF(G$47=6,Quesería!$F$100,0))*$J$11</f>
        <v>21.9721738150988</v>
      </c>
      <c r="H399" s="29" t="n">
        <f aca="false">IF(H$47=5,Quesería!$F$99,IF(H$47=6,Quesería!$F$100,0))*$J$11</f>
        <v>37.1113245687642</v>
      </c>
      <c r="I399" s="29" t="n">
        <f aca="false">IF(I$47=5,Quesería!$F$99,IF(I$47=6,Quesería!$F$100,0))*$J$11</f>
        <v>0</v>
      </c>
      <c r="J399" s="29" t="n">
        <f aca="false">IF(J$47=5,Quesería!$F$99,IF(J$47=6,Quesería!$F$100,0))*$J$11</f>
        <v>0</v>
      </c>
      <c r="K399" s="29" t="n">
        <f aca="false">IF(K$47=5,Quesería!$F$99,IF(K$47=6,Quesería!$F$100,0))*$J$11</f>
        <v>0</v>
      </c>
      <c r="L399" s="29" t="n">
        <f aca="false">IF(L$47=5,Quesería!$F$99,IF(L$47=6,Quesería!$F$100,0))*$J$11</f>
        <v>0</v>
      </c>
    </row>
    <row r="400" customFormat="false" ht="15" hidden="true" customHeight="false" outlineLevel="1" collapsed="false">
      <c r="A400" s="6" t="s">
        <v>411</v>
      </c>
      <c r="B400" s="29" t="n">
        <f aca="false">Quesería!$B$55*(IF(B$47=0,SUMPRODUCT((Quesería!$C$70:$C$89=0)*(Quesería!$H$70:$H$89&gt;0)*(Quesería!$J$70:$J$89&gt;0)*Quesería!$F$70:$F$89*(1+Quesería!$I$70:$I$89)),IF(B$47=1,(SUMPRODUCT((Quesería!$C$70:$C$89=1)*(Quesería!$H$70:$H$89&gt;0)*(Quesería!$J$70:$J$89&gt;0)*Quesería!$F$70:$F$89*(1+Quesería!$I$70:$I$89))-(-$J$26)*Quesería!$D$86*(1+Quesería!$I$86))*$J$21,0))*$J$11+B399)</f>
        <v>119.292537248142</v>
      </c>
      <c r="C400" s="29" t="n">
        <f aca="false">Quesería!$B$55*(IF(C$47=0,SUMPRODUCT((Quesería!$C$70:$C$89=0)*(Quesería!$H$70:$H$89&gt;0)*(Quesería!$J$70:$J$89&gt;0)*Quesería!$F$70:$F$89*(1+Quesería!$I$70:$I$89)),IF(C$47=1,(SUMPRODUCT((Quesería!$C$70:$C$89=1)*(Quesería!$H$70:$H$89&gt;0)*(Quesería!$J$70:$J$89&gt;0)*Quesería!$F$70:$F$89*(1+Quesería!$I$70:$I$89))-(-$J$26)*Quesería!$D$86*(1+Quesería!$I$86))*$J$21,0))*$J$11+C399)</f>
        <v>100.087298134524</v>
      </c>
      <c r="D400" s="29" t="n">
        <f aca="false">Quesería!$B$55*(IF(D$47=0,SUMPRODUCT((Quesería!$C$70:$C$89=0)*(Quesería!$H$70:$H$89&gt;0)*(Quesería!$J$70:$J$89&gt;0)*Quesería!$F$70:$F$89*(1+Quesería!$I$70:$I$89)),IF(D$47=1,(SUMPRODUCT((Quesería!$C$70:$C$89=1)*(Quesería!$H$70:$H$89&gt;0)*(Quesería!$J$70:$J$89&gt;0)*Quesería!$F$70:$F$89*(1+Quesería!$I$70:$I$89))-(-$J$26)*Quesería!$D$86*(1+Quesería!$I$86))*$J$21,0))*$J$11+D399)</f>
        <v>0</v>
      </c>
      <c r="E400" s="29" t="n">
        <f aca="false">Quesería!$B$55*(IF(E$47=0,SUMPRODUCT((Quesería!$C$70:$C$89=0)*(Quesería!$H$70:$H$89&gt;0)*(Quesería!$J$70:$J$89&gt;0)*Quesería!$F$70:$F$89*(1+Quesería!$I$70:$I$89)),IF(E$47=1,(SUMPRODUCT((Quesería!$C$70:$C$89=1)*(Quesería!$H$70:$H$89&gt;0)*(Quesería!$J$70:$J$89&gt;0)*Quesería!$F$70:$F$89*(1+Quesería!$I$70:$I$89))-(-$J$26)*Quesería!$D$86*(1+Quesería!$I$86))*$J$21,0))*$J$11+E399)</f>
        <v>0</v>
      </c>
      <c r="F400" s="29" t="n">
        <f aca="false">Quesería!$B$55*(IF(F$47=0,SUMPRODUCT((Quesería!$C$70:$C$89=0)*(Quesería!$H$70:$H$89&gt;0)*(Quesería!$J$70:$J$89&gt;0)*Quesería!$F$70:$F$89*(1+Quesería!$I$70:$I$89)),IF(F$47=1,(SUMPRODUCT((Quesería!$C$70:$C$89=1)*(Quesería!$H$70:$H$89&gt;0)*(Quesería!$J$70:$J$89&gt;0)*Quesería!$F$70:$F$89*(1+Quesería!$I$70:$I$89))-(-$J$26)*Quesería!$D$86*(1+Quesería!$I$86))*$J$21,0))*$J$11+F399)</f>
        <v>0</v>
      </c>
      <c r="G400" s="29" t="n">
        <f aca="false">Quesería!$B$55*(IF(G$47=0,SUMPRODUCT((Quesería!$C$70:$C$89=0)*(Quesería!$H$70:$H$89&gt;0)*(Quesería!$J$70:$J$89&gt;0)*Quesería!$F$70:$F$89*(1+Quesería!$I$70:$I$89)),IF(G$47=1,(SUMPRODUCT((Quesería!$C$70:$C$89=1)*(Quesería!$H$70:$H$89&gt;0)*(Quesería!$J$70:$J$89&gt;0)*Quesería!$F$70:$F$89*(1+Quesería!$I$70:$I$89))-(-$J$26)*Quesería!$D$86*(1+Quesería!$I$86))*$J$21,0))*$J$11+G399)</f>
        <v>4.17471302486878</v>
      </c>
      <c r="H400" s="29" t="n">
        <f aca="false">Quesería!$B$55*(IF(H$47=0,SUMPRODUCT((Quesería!$C$70:$C$89=0)*(Quesería!$H$70:$H$89&gt;0)*(Quesería!$J$70:$J$89&gt;0)*Quesería!$F$70:$F$89*(1+Quesería!$I$70:$I$89)),IF(H$47=1,(SUMPRODUCT((Quesería!$C$70:$C$89=1)*(Quesería!$H$70:$H$89&gt;0)*(Quesería!$J$70:$J$89&gt;0)*Quesería!$F$70:$F$89*(1+Quesería!$I$70:$I$89))-(-$J$26)*Quesería!$D$86*(1+Quesería!$I$86))*$J$21,0))*$J$11+H399)</f>
        <v>7.0511516680652</v>
      </c>
      <c r="I400" s="29" t="n">
        <f aca="false">Quesería!$B$55*(IF(I$47=0,SUMPRODUCT((Quesería!$C$70:$C$89=0)*(Quesería!$H$70:$H$89&gt;0)*(Quesería!$J$70:$J$89&gt;0)*Quesería!$F$70:$F$89*(1+Quesería!$I$70:$I$89)),IF(I$47=1,(SUMPRODUCT((Quesería!$C$70:$C$89=1)*(Quesería!$H$70:$H$89&gt;0)*(Quesería!$J$70:$J$89&gt;0)*Quesería!$F$70:$F$89*(1+Quesería!$I$70:$I$89))-(-$J$26)*Quesería!$D$86*(1+Quesería!$I$86))*$J$21,0))*$J$11+I399)</f>
        <v>0</v>
      </c>
      <c r="J400" s="29" t="n">
        <f aca="false">Quesería!$B$55*(IF(J$47=0,SUMPRODUCT((Quesería!$C$70:$C$89=0)*(Quesería!$H$70:$H$89&gt;0)*(Quesería!$J$70:$J$89&gt;0)*Quesería!$F$70:$F$89*(1+Quesería!$I$70:$I$89)),IF(J$47=1,(SUMPRODUCT((Quesería!$C$70:$C$89=1)*(Quesería!$H$70:$H$89&gt;0)*(Quesería!$J$70:$J$89&gt;0)*Quesería!$F$70:$F$89*(1+Quesería!$I$70:$I$89))-(-$J$26)*Quesería!$D$86*(1+Quesería!$I$86))*$J$21,0))*$J$11+J399)</f>
        <v>0</v>
      </c>
      <c r="K400" s="29" t="n">
        <f aca="false">Quesería!$B$55*(IF(K$47=0,SUMPRODUCT((Quesería!$C$70:$C$89=0)*(Quesería!$H$70:$H$89&gt;0)*(Quesería!$J$70:$J$89&gt;0)*Quesería!$F$70:$F$89*(1+Quesería!$I$70:$I$89)),IF(K$47=1,(SUMPRODUCT((Quesería!$C$70:$C$89=1)*(Quesería!$H$70:$H$89&gt;0)*(Quesería!$J$70:$J$89&gt;0)*Quesería!$F$70:$F$89*(1+Quesería!$I$70:$I$89))-(-$J$26)*Quesería!$D$86*(1+Quesería!$I$86))*$J$21,0))*$J$11+K399)</f>
        <v>0</v>
      </c>
      <c r="L400" s="29" t="n">
        <f aca="false">Quesería!$B$55*(IF(L$47=0,SUMPRODUCT((Quesería!$C$70:$C$89=0)*(Quesería!$H$70:$H$89&gt;0)*(Quesería!$J$70:$J$89&gt;0)*Quesería!$F$70:$F$89*(1+Quesería!$I$70:$I$89)),IF(L$47=1,(SUMPRODUCT((Quesería!$C$70:$C$89=1)*(Quesería!$H$70:$H$89&gt;0)*(Quesería!$J$70:$J$89&gt;0)*Quesería!$F$70:$F$89*(1+Quesería!$I$70:$I$89))-(-$J$26)*Quesería!$D$86*(1+Quesería!$I$86))*$J$21,0))*$J$11+L399)</f>
        <v>0</v>
      </c>
    </row>
    <row r="401" customFormat="false" ht="15" hidden="true" customHeight="false" outlineLevel="1" collapsed="false">
      <c r="A401" s="6" t="s">
        <v>386</v>
      </c>
      <c r="B401" s="29" t="n">
        <f aca="false">IF(B$47=0,($J$22*Quesería!$J$126+(1-$J$22)*Quesería!$E$122)*Quesería!$B$20*Quesería!$B$21/12*$J$23,(($J$22*Quesería!$J$126+(1-$J$22)*Quesería!$E$122)+($J$22*Quesería!$J$104+(1-$J$22)*Quesería!$E$104)*(B396-1))*IF(B$47=1,Quesería!$B$20,1))*$J$10</f>
        <v>120.716772261203</v>
      </c>
      <c r="C401" s="29" t="n">
        <f aca="false">IF(C$47=0,($J$22*Quesería!$J$126+(1-$J$22)*Quesería!$E$122)*Quesería!$B$20*Quesería!$B$21/12*$J$23,(($J$22*Quesería!$J$126+(1-$J$22)*Quesería!$E$122)+($J$22*Quesería!$J$104+(1-$J$22)*Quesería!$E$104)*(C396-1))*IF(C$47=1,Quesería!$B$20,1))*$J$10</f>
        <v>181.328317354069</v>
      </c>
      <c r="D401" s="29" t="n">
        <f aca="false">IF(D$47=0,($J$22*Quesería!$J$126+(1-$J$22)*Quesería!$E$122)*Quesería!$B$20*Quesería!$B$21/12*$J$23,(($J$22*Quesería!$J$126+(1-$J$22)*Quesería!$E$122)+($J$22*Quesería!$J$104+(1-$J$22)*Quesería!$E$104)*(D396-1))*IF(D$47=1,Quesería!$B$20,1))*$J$10</f>
        <v>241.83157753184</v>
      </c>
      <c r="E401" s="29" t="n">
        <f aca="false">IF(E$47=0,($J$22*Quesería!$J$126+(1-$J$22)*Quesería!$E$122)*Quesería!$B$20*Quesería!$B$21/12*$J$23,(($J$22*Quesería!$J$126+(1-$J$22)*Quesería!$E$122)+($J$22*Quesería!$J$104+(1-$J$22)*Quesería!$E$104)*(E396-1))*IF(E$47=1,Quesería!$B$20,1))*$J$10</f>
        <v>241.892367696887</v>
      </c>
      <c r="F401" s="29" t="n">
        <f aca="false">IF(F$47=0,($J$22*Quesería!$J$126+(1-$J$22)*Quesería!$E$122)*Quesería!$B$20*Quesería!$B$21/12*$J$23,(($J$22*Quesería!$J$126+(1-$J$22)*Quesería!$E$122)+($J$22*Quesería!$J$104+(1-$J$22)*Quesería!$E$104)*(F396-1))*IF(F$47=1,Quesería!$B$20,1))*$J$10</f>
        <v>241.95346181276</v>
      </c>
      <c r="G401" s="29" t="n">
        <f aca="false">IF(G$47=0,($J$22*Quesería!$J$126+(1-$J$22)*Quesería!$E$122)*Quesería!$B$20*Quesería!$B$21/12*$J$23,(($J$22*Quesería!$J$126+(1-$J$22)*Quesería!$E$122)+($J$22*Quesería!$J$104+(1-$J$22)*Quesería!$E$104)*(G396-1))*IF(G$47=1,Quesería!$B$20,1))*$J$10</f>
        <v>242.014861399211</v>
      </c>
      <c r="H401" s="29" t="n">
        <f aca="false">IF(H$47=0,($J$22*Quesería!$J$126+(1-$J$22)*Quesería!$E$122)*Quesería!$B$20*Quesería!$B$21/12*$J$23,(($J$22*Quesería!$J$126+(1-$J$22)*Quesería!$E$122)+($J$22*Quesería!$J$104+(1-$J$22)*Quesería!$E$104)*(H396-1))*IF(H$47=1,Quesería!$B$20,1))*$J$10</f>
        <v>242.076567983595</v>
      </c>
      <c r="I401" s="29" t="n">
        <f aca="false">IF(I$47=0,($J$22*Quesería!$J$126+(1-$J$22)*Quesería!$E$122)*Quesería!$B$20*Quesería!$B$21/12*$J$23,(($J$22*Quesería!$J$126+(1-$J$22)*Quesería!$E$122)+($J$22*Quesería!$J$104+(1-$J$22)*Quesería!$E$104)*(I396-1))*IF(I$47=1,Quesería!$B$20,1))*$J$10</f>
        <v>242.138583100901</v>
      </c>
      <c r="J401" s="29" t="n">
        <f aca="false">IF(J$47=0,($J$22*Quesería!$J$126+(1-$J$22)*Quesería!$E$122)*Quesería!$B$20*Quesería!$B$21/12*$J$23,(($J$22*Quesería!$J$126+(1-$J$22)*Quesería!$E$122)+($J$22*Quesería!$J$104+(1-$J$22)*Quesería!$E$104)*(J396-1))*IF(J$47=1,Quesería!$B$20,1))*$J$10</f>
        <v>242.200908293794</v>
      </c>
      <c r="K401" s="29" t="n">
        <f aca="false">IF(K$47=0,($J$22*Quesería!$J$126+(1-$J$22)*Quesería!$E$122)*Quesería!$B$20*Quesería!$B$21/12*$J$23,(($J$22*Quesería!$J$126+(1-$J$22)*Quesería!$E$122)+($J$22*Quesería!$J$104+(1-$J$22)*Quesería!$E$104)*(K396-1))*IF(K$47=1,Quesería!$B$20,1))*$J$10</f>
        <v>242.263545112651</v>
      </c>
      <c r="L401" s="29" t="n">
        <f aca="false">IF(L$47=0,($J$22*Quesería!$J$126+(1-$J$22)*Quesería!$E$122)*Quesería!$B$20*Quesería!$B$21/12*$J$23,(($J$22*Quesería!$J$126+(1-$J$22)*Quesería!$E$122)+($J$22*Quesería!$J$104+(1-$J$22)*Quesería!$E$104)*(L396-1))*IF(L$47=1,Quesería!$B$20,1))*$J$10</f>
        <v>242.326495115602</v>
      </c>
    </row>
    <row r="402" customFormat="false" ht="15" hidden="true" customHeight="false" outlineLevel="1" collapsed="false">
      <c r="A402" s="6" t="s">
        <v>387</v>
      </c>
      <c r="B402" s="29" t="n">
        <f aca="false">IF(B$47&lt;=1,0,((($J$22*Quesería!$J$127+(1-$J$22)*Quesería!$E$123)-($J$22*Quesería!$J$113+(1-$J$22)*Quesería!$E$113)+$J$6*($J$22*Quesería!$J$113+(1-$J$22)*Quesería!$E$113)-(1-$J$9)*(($J$22*Quesería!$J$119+(1-$J$22)*Quesería!$E$119)+($J$22*Quesería!$J$118+(1-$J$22)*Quesería!$E$118))-(1-$J$24)*($J$22*Quesería!$J$117+(1-$J$22)*Quesería!$E$117)+$J$24*(1-$J$25)*'Beneficios y costos'!$B$144-(-$J$26*$J$27)*'Beneficios y costos'!$C$167)+($J$6*($J$22*Quesería!$J$113+(1-$J$22)*Quesería!$E$113)+$J$9*($J$22*Quesería!$J$119+(1-$J$22)*Quesería!$E$119))*(B396-1))*IF(B$47=2,Quesería!$B$20,1)+IF(B$47=2,Quesería!$B$24*$J$9*($J$22*Quesería!$J$119+(1-$J$22)*Quesería!$E$119)*B396,0))*$J$10*$J$21</f>
        <v>0</v>
      </c>
      <c r="C402" s="29" t="n">
        <f aca="false">IF(C$47&lt;=1,0,((($J$22*Quesería!$J$127+(1-$J$22)*Quesería!$E$123)-($J$22*Quesería!$J$113+(1-$J$22)*Quesería!$E$113)+$J$6*($J$22*Quesería!$J$113+(1-$J$22)*Quesería!$E$113)-(1-$J$9)*(($J$22*Quesería!$J$119+(1-$J$22)*Quesería!$E$119)+($J$22*Quesería!$J$118+(1-$J$22)*Quesería!$E$118))-(1-$J$24)*($J$22*Quesería!$J$117+(1-$J$22)*Quesería!$E$117)+$J$24*(1-$J$25)*'Beneficios y costos'!$B$144-(-$J$26*$J$27)*'Beneficios y costos'!$C$167)+($J$6*($J$22*Quesería!$J$113+(1-$J$22)*Quesería!$E$113)+$J$9*($J$22*Quesería!$J$119+(1-$J$22)*Quesería!$E$119))*(C396-1))*IF(C$47=2,Quesería!$B$20,1)+IF(C$47=2,Quesería!$B$24*$J$9*($J$22*Quesería!$J$119+(1-$J$22)*Quesería!$E$119)*C396,0))*$J$10*$J$21</f>
        <v>0</v>
      </c>
      <c r="D402" s="29" t="n">
        <f aca="false">IF(D$47&lt;=1,0,((($J$22*Quesería!$J$127+(1-$J$22)*Quesería!$E$123)-($J$22*Quesería!$J$113+(1-$J$22)*Quesería!$E$113)+$J$6*($J$22*Quesería!$J$113+(1-$J$22)*Quesería!$E$113)-(1-$J$9)*(($J$22*Quesería!$J$119+(1-$J$22)*Quesería!$E$119)+($J$22*Quesería!$J$118+(1-$J$22)*Quesería!$E$118))-(1-$J$24)*($J$22*Quesería!$J$117+(1-$J$22)*Quesería!$E$117)+$J$24*(1-$J$25)*'Beneficios y costos'!$B$144-(-$J$26*$J$27)*'Beneficios y costos'!$C$167)+($J$6*($J$22*Quesería!$J$113+(1-$J$22)*Quesería!$E$113)+$J$9*($J$22*Quesería!$J$119+(1-$J$22)*Quesería!$E$119))*(D396-1))*IF(D$47=2,Quesería!$B$20,1)+IF(D$47=2,Quesería!$B$24*$J$9*($J$22*Quesería!$J$119+(1-$J$22)*Quesería!$E$119)*D396,0))*$J$10*$J$21</f>
        <v>257.351493734688</v>
      </c>
      <c r="E402" s="29" t="n">
        <f aca="false">IF(E$47&lt;=1,0,((($J$22*Quesería!$J$127+(1-$J$22)*Quesería!$E$123)-($J$22*Quesería!$J$113+(1-$J$22)*Quesería!$E$113)+$J$6*($J$22*Quesería!$J$113+(1-$J$22)*Quesería!$E$113)-(1-$J$9)*(($J$22*Quesería!$J$119+(1-$J$22)*Quesería!$E$119)+($J$22*Quesería!$J$118+(1-$J$22)*Quesería!$E$118))-(1-$J$24)*($J$22*Quesería!$J$117+(1-$J$22)*Quesería!$E$117)+$J$24*(1-$J$25)*'Beneficios y costos'!$B$144-(-$J$26*$J$27)*'Beneficios y costos'!$C$167)+($J$6*($J$22*Quesería!$J$113+(1-$J$22)*Quesería!$E$113)+$J$9*($J$22*Quesería!$J$119+(1-$J$22)*Quesería!$E$119))*(E396-1))*IF(E$47=2,Quesería!$B$20,1)+IF(E$47=2,Quesería!$B$24*$J$9*($J$22*Quesería!$J$119+(1-$J$22)*Quesería!$E$119)*E396,0))*$J$10*$J$21</f>
        <v>328.494820128122</v>
      </c>
      <c r="F402" s="29" t="n">
        <f aca="false">IF(F$47&lt;=1,0,((($J$22*Quesería!$J$127+(1-$J$22)*Quesería!$E$123)-($J$22*Quesería!$J$113+(1-$J$22)*Quesería!$E$113)+$J$6*($J$22*Quesería!$J$113+(1-$J$22)*Quesería!$E$113)-(1-$J$9)*(($J$22*Quesería!$J$119+(1-$J$22)*Quesería!$E$119)+($J$22*Quesería!$J$118+(1-$J$22)*Quesería!$E$118))-(1-$J$24)*($J$22*Quesería!$J$117+(1-$J$22)*Quesería!$E$117)+$J$24*(1-$J$25)*'Beneficios y costos'!$B$144-(-$J$26*$J$27)*'Beneficios y costos'!$C$167)+($J$6*($J$22*Quesería!$J$113+(1-$J$22)*Quesería!$E$113)+$J$9*($J$22*Quesería!$J$119+(1-$J$22)*Quesería!$E$119))*(F396-1))*IF(F$47=2,Quesería!$B$20,1)+IF(F$47=2,Quesería!$B$24*$J$9*($J$22*Quesería!$J$119+(1-$J$22)*Quesería!$E$119)*F396,0))*$J$10*$J$21</f>
        <v>328.742937047686</v>
      </c>
      <c r="G402" s="29" t="n">
        <f aca="false">IF(G$47&lt;=1,0,((($J$22*Quesería!$J$127+(1-$J$22)*Quesería!$E$123)-($J$22*Quesería!$J$113+(1-$J$22)*Quesería!$E$113)+$J$6*($J$22*Quesería!$J$113+(1-$J$22)*Quesería!$E$113)-(1-$J$9)*(($J$22*Quesería!$J$119+(1-$J$22)*Quesería!$E$119)+($J$22*Quesería!$J$118+(1-$J$22)*Quesería!$E$118))-(1-$J$24)*($J$22*Quesería!$J$117+(1-$J$22)*Quesería!$E$117)+$J$24*(1-$J$25)*'Beneficios y costos'!$B$144-(-$J$26*$J$27)*'Beneficios y costos'!$C$167)+($J$6*($J$22*Quesería!$J$113+(1-$J$22)*Quesería!$E$113)+$J$9*($J$22*Quesería!$J$119+(1-$J$22)*Quesería!$E$119))*(G396-1))*IF(G$47=2,Quesería!$B$20,1)+IF(G$47=2,Quesería!$B$24*$J$9*($J$22*Quesería!$J$119+(1-$J$22)*Quesería!$E$119)*G396,0))*$J$10*$J$21</f>
        <v>328.992294551847</v>
      </c>
      <c r="H402" s="29" t="n">
        <f aca="false">IF(H$47&lt;=1,0,((($J$22*Quesería!$J$127+(1-$J$22)*Quesería!$E$123)-($J$22*Quesería!$J$113+(1-$J$22)*Quesería!$E$113)+$J$6*($J$22*Quesería!$J$113+(1-$J$22)*Quesería!$E$113)-(1-$J$9)*(($J$22*Quesería!$J$119+(1-$J$22)*Quesería!$E$119)+($J$22*Quesería!$J$118+(1-$J$22)*Quesería!$E$118))-(1-$J$24)*($J$22*Quesería!$J$117+(1-$J$22)*Quesería!$E$117)+$J$24*(1-$J$25)*'Beneficios y costos'!$B$144-(-$J$26*$J$27)*'Beneficios y costos'!$C$167)+($J$6*($J$22*Quesería!$J$113+(1-$J$22)*Quesería!$E$113)+$J$9*($J$22*Quesería!$J$119+(1-$J$22)*Quesería!$E$119))*(H396-1))*IF(H$47=2,Quesería!$B$20,1)+IF(H$47=2,Quesería!$B$24*$J$9*($J$22*Quesería!$J$119+(1-$J$22)*Quesería!$E$119)*H396,0))*$J$10*$J$21</f>
        <v>329.242898843529</v>
      </c>
      <c r="I402" s="29" t="n">
        <f aca="false">IF(I$47&lt;=1,0,((($J$22*Quesería!$J$127+(1-$J$22)*Quesería!$E$123)-($J$22*Quesería!$J$113+(1-$J$22)*Quesería!$E$113)+$J$6*($J$22*Quesería!$J$113+(1-$J$22)*Quesería!$E$113)-(1-$J$9)*(($J$22*Quesería!$J$119+(1-$J$22)*Quesería!$E$119)+($J$22*Quesería!$J$118+(1-$J$22)*Quesería!$E$118))-(1-$J$24)*($J$22*Quesería!$J$117+(1-$J$22)*Quesería!$E$117)+$J$24*(1-$J$25)*'Beneficios y costos'!$B$144-(-$J$26*$J$27)*'Beneficios y costos'!$C$167)+($J$6*($J$22*Quesería!$J$113+(1-$J$22)*Quesería!$E$113)+$J$9*($J$22*Quesería!$J$119+(1-$J$22)*Quesería!$E$119))*(I396-1))*IF(I$47=2,Quesería!$B$20,1)+IF(I$47=2,Quesería!$B$24*$J$9*($J$22*Quesería!$J$119+(1-$J$22)*Quesería!$E$119)*I396,0))*$J$10*$J$21</f>
        <v>329.49475615667</v>
      </c>
      <c r="J402" s="29" t="n">
        <f aca="false">IF(J$47&lt;=1,0,((($J$22*Quesería!$J$127+(1-$J$22)*Quesería!$E$123)-($J$22*Quesería!$J$113+(1-$J$22)*Quesería!$E$113)+$J$6*($J$22*Quesería!$J$113+(1-$J$22)*Quesería!$E$113)-(1-$J$9)*(($J$22*Quesería!$J$119+(1-$J$22)*Quesería!$E$119)+($J$22*Quesería!$J$118+(1-$J$22)*Quesería!$E$118))-(1-$J$24)*($J$22*Quesería!$J$117+(1-$J$22)*Quesería!$E$117)+$J$24*(1-$J$25)*'Beneficios y costos'!$B$144-(-$J$26*$J$27)*'Beneficios y costos'!$C$167)+($J$6*($J$22*Quesería!$J$113+(1-$J$22)*Quesería!$E$113)+$J$9*($J$22*Quesería!$J$119+(1-$J$22)*Quesería!$E$119))*(J396-1))*IF(J$47=2,Quesería!$B$20,1)+IF(J$47=2,Quesería!$B$24*$J$9*($J$22*Quesería!$J$119+(1-$J$22)*Quesería!$E$119)*J396,0))*$J$10*$J$21</f>
        <v>329.747872756376</v>
      </c>
      <c r="K402" s="29" t="n">
        <f aca="false">IF(K$47&lt;=1,0,((($J$22*Quesería!$J$127+(1-$J$22)*Quesería!$E$123)-($J$22*Quesería!$J$113+(1-$J$22)*Quesería!$E$113)+$J$6*($J$22*Quesería!$J$113+(1-$J$22)*Quesería!$E$113)-(1-$J$9)*(($J$22*Quesería!$J$119+(1-$J$22)*Quesería!$E$119)+($J$22*Quesería!$J$118+(1-$J$22)*Quesería!$E$118))-(1-$J$24)*($J$22*Quesería!$J$117+(1-$J$22)*Quesería!$E$117)+$J$24*(1-$J$25)*'Beneficios y costos'!$B$144-(-$J$26*$J$27)*'Beneficios y costos'!$C$167)+($J$6*($J$22*Quesería!$J$113+(1-$J$22)*Quesería!$E$113)+$J$9*($J$22*Quesería!$J$119+(1-$J$22)*Quesería!$E$119))*(K396-1))*IF(K$47=2,Quesería!$B$20,1)+IF(K$47=2,Quesería!$B$24*$J$9*($J$22*Quesería!$J$119+(1-$J$22)*Quesería!$E$119)*K396,0))*$J$10*$J$21</f>
        <v>330.00225493908</v>
      </c>
      <c r="L402" s="29" t="n">
        <f aca="false">IF(L$47&lt;=1,0,((($J$22*Quesería!$J$127+(1-$J$22)*Quesería!$E$123)-($J$22*Quesería!$J$113+(1-$J$22)*Quesería!$E$113)+$J$6*($J$22*Quesería!$J$113+(1-$J$22)*Quesería!$E$113)-(1-$J$9)*(($J$22*Quesería!$J$119+(1-$J$22)*Quesería!$E$119)+($J$22*Quesería!$J$118+(1-$J$22)*Quesería!$E$118))-(1-$J$24)*($J$22*Quesería!$J$117+(1-$J$22)*Quesería!$E$117)+$J$24*(1-$J$25)*'Beneficios y costos'!$B$144-(-$J$26*$J$27)*'Beneficios y costos'!$C$167)+($J$6*($J$22*Quesería!$J$113+(1-$J$22)*Quesería!$E$113)+$J$9*($J$22*Quesería!$J$119+(1-$J$22)*Quesería!$E$119))*(L396-1))*IF(L$47=2,Quesería!$B$20,1)+IF(L$47=2,Quesería!$B$24*$J$9*($J$22*Quesería!$J$119+(1-$J$22)*Quesería!$E$119)*L396,0))*$J$10*$J$21</f>
        <v>330.257909032699</v>
      </c>
    </row>
    <row r="403" customFormat="false" ht="15" hidden="true" customHeight="false" outlineLevel="1" collapsed="false">
      <c r="A403" s="5" t="s">
        <v>412</v>
      </c>
      <c r="B403" s="10" t="n">
        <f aca="false">B401+B402</f>
        <v>120.716772261203</v>
      </c>
      <c r="C403" s="10" t="n">
        <f aca="false">C401+C402</f>
        <v>181.328317354069</v>
      </c>
      <c r="D403" s="10" t="n">
        <f aca="false">D401+D402</f>
        <v>499.183071266528</v>
      </c>
      <c r="E403" s="10" t="n">
        <f aca="false">E401+E402</f>
        <v>570.38718782501</v>
      </c>
      <c r="F403" s="10" t="n">
        <f aca="false">F401+F402</f>
        <v>570.696398860445</v>
      </c>
      <c r="G403" s="10" t="n">
        <f aca="false">G401+G402</f>
        <v>571.007155951058</v>
      </c>
      <c r="H403" s="10" t="n">
        <f aca="false">H401+H402</f>
        <v>571.319466827124</v>
      </c>
      <c r="I403" s="10" t="n">
        <f aca="false">I401+I402</f>
        <v>571.633339257571</v>
      </c>
      <c r="J403" s="10" t="n">
        <f aca="false">J401+J402</f>
        <v>571.94878105017</v>
      </c>
      <c r="K403" s="10" t="n">
        <f aca="false">K401+K402</f>
        <v>572.265800051731</v>
      </c>
      <c r="L403" s="10" t="n">
        <f aca="false">L401+L402</f>
        <v>572.584404148301</v>
      </c>
    </row>
    <row r="404" customFormat="false" ht="15" hidden="true" customHeight="false" outlineLevel="1" collapsed="false">
      <c r="A404" s="6" t="s">
        <v>413</v>
      </c>
      <c r="B404" s="29" t="n">
        <f aca="false">(IF(B$47&gt;=1,(Quesería!$B$31+Quesería!$B$33)*Quesería!$F$94*$J$11+Quesería!$B$32+'Beneficios y costos'!$B$249,0)+IF(B$47&gt;=2,((Quesería!$B$31+Quesería!$B$33)*(Quesería!$F$95-(-$J$26)*Quesería!$D$86)*$J$11+'Beneficios y costos'!$C$249-(-$J$26)*'Beneficios y costos'!$H$235)*$J$21,0))*$J$12</f>
        <v>0</v>
      </c>
      <c r="C404" s="29" t="n">
        <f aca="false">(IF(C$47&gt;=1,(Quesería!$B$31+Quesería!$B$33)*Quesería!$F$94*$J$11+Quesería!$B$32+'Beneficios y costos'!$B$249,0)+IF(C$47&gt;=2,((Quesería!$B$31+Quesería!$B$33)*(Quesería!$F$95-(-$J$26)*Quesería!$D$86)*$J$11+'Beneficios y costos'!$C$249-(-$J$26)*'Beneficios y costos'!$H$235)*$J$21,0))*$J$12</f>
        <v>39.0793536048484</v>
      </c>
      <c r="D404" s="29" t="n">
        <f aca="false">(IF(D$47&gt;=1,(Quesería!$B$31+Quesería!$B$33)*Quesería!$F$94*$J$11+Quesería!$B$32+'Beneficios y costos'!$B$249,0)+IF(D$47&gt;=2,((Quesería!$B$31+Quesería!$B$33)*(Quesería!$F$95-(-$J$26)*Quesería!$D$86)*$J$11+'Beneficios y costos'!$C$249-(-$J$26)*'Beneficios y costos'!$H$235)*$J$21,0))*$J$12</f>
        <v>70.3041048615322</v>
      </c>
      <c r="E404" s="29" t="n">
        <f aca="false">(IF(E$47&gt;=1,(Quesería!$B$31+Quesería!$B$33)*Quesería!$F$94*$J$11+Quesería!$B$32+'Beneficios y costos'!$B$249,0)+IF(E$47&gt;=2,((Quesería!$B$31+Quesería!$B$33)*(Quesería!$F$95-(-$J$26)*Quesería!$D$86)*$J$11+'Beneficios y costos'!$C$249-(-$J$26)*'Beneficios y costos'!$H$235)*$J$21,0))*$J$12</f>
        <v>70.3041048615322</v>
      </c>
      <c r="F404" s="29" t="n">
        <f aca="false">(IF(F$47&gt;=1,(Quesería!$B$31+Quesería!$B$33)*Quesería!$F$94*$J$11+Quesería!$B$32+'Beneficios y costos'!$B$249,0)+IF(F$47&gt;=2,((Quesería!$B$31+Quesería!$B$33)*(Quesería!$F$95-(-$J$26)*Quesería!$D$86)*$J$11+'Beneficios y costos'!$C$249-(-$J$26)*'Beneficios y costos'!$H$235)*$J$21,0))*$J$12</f>
        <v>70.3041048615322</v>
      </c>
      <c r="G404" s="29" t="n">
        <f aca="false">(IF(G$47&gt;=1,(Quesería!$B$31+Quesería!$B$33)*Quesería!$F$94*$J$11+Quesería!$B$32+'Beneficios y costos'!$B$249,0)+IF(G$47&gt;=2,((Quesería!$B$31+Quesería!$B$33)*(Quesería!$F$95-(-$J$26)*Quesería!$D$86)*$J$11+'Beneficios y costos'!$C$249-(-$J$26)*'Beneficios y costos'!$H$235)*$J$21,0))*$J$12</f>
        <v>70.3041048615322</v>
      </c>
      <c r="H404" s="29" t="n">
        <f aca="false">(IF(H$47&gt;=1,(Quesería!$B$31+Quesería!$B$33)*Quesería!$F$94*$J$11+Quesería!$B$32+'Beneficios y costos'!$B$249,0)+IF(H$47&gt;=2,((Quesería!$B$31+Quesería!$B$33)*(Quesería!$F$95-(-$J$26)*Quesería!$D$86)*$J$11+'Beneficios y costos'!$C$249-(-$J$26)*'Beneficios y costos'!$H$235)*$J$21,0))*$J$12</f>
        <v>70.3041048615322</v>
      </c>
      <c r="I404" s="29" t="n">
        <f aca="false">(IF(I$47&gt;=1,(Quesería!$B$31+Quesería!$B$33)*Quesería!$F$94*$J$11+Quesería!$B$32+'Beneficios y costos'!$B$249,0)+IF(I$47&gt;=2,((Quesería!$B$31+Quesería!$B$33)*(Quesería!$F$95-(-$J$26)*Quesería!$D$86)*$J$11+'Beneficios y costos'!$C$249-(-$J$26)*'Beneficios y costos'!$H$235)*$J$21,0))*$J$12</f>
        <v>70.3041048615322</v>
      </c>
      <c r="J404" s="29" t="n">
        <f aca="false">(IF(J$47&gt;=1,(Quesería!$B$31+Quesería!$B$33)*Quesería!$F$94*$J$11+Quesería!$B$32+'Beneficios y costos'!$B$249,0)+IF(J$47&gt;=2,((Quesería!$B$31+Quesería!$B$33)*(Quesería!$F$95-(-$J$26)*Quesería!$D$86)*$J$11+'Beneficios y costos'!$C$249-(-$J$26)*'Beneficios y costos'!$H$235)*$J$21,0))*$J$12</f>
        <v>70.3041048615322</v>
      </c>
      <c r="K404" s="29" t="n">
        <f aca="false">(IF(K$47&gt;=1,(Quesería!$B$31+Quesería!$B$33)*Quesería!$F$94*$J$11+Quesería!$B$32+'Beneficios y costos'!$B$249,0)+IF(K$47&gt;=2,((Quesería!$B$31+Quesería!$B$33)*(Quesería!$F$95-(-$J$26)*Quesería!$D$86)*$J$11+'Beneficios y costos'!$C$249-(-$J$26)*'Beneficios y costos'!$H$235)*$J$21,0))*$J$12</f>
        <v>70.3041048615322</v>
      </c>
      <c r="L404" s="29" t="n">
        <f aca="false">(IF(L$47&gt;=1,(Quesería!$B$31+Quesería!$B$33)*Quesería!$F$94*$J$11+Quesería!$B$32+'Beneficios y costos'!$B$249,0)+IF(L$47&gt;=2,((Quesería!$B$31+Quesería!$B$33)*(Quesería!$F$95-(-$J$26)*Quesería!$D$86)*$J$11+'Beneficios y costos'!$C$249-(-$J$26)*'Beneficios y costos'!$H$235)*$J$21,0))*$J$12</f>
        <v>70.3041048615322</v>
      </c>
    </row>
    <row r="405" customFormat="false" ht="15" hidden="true" customHeight="false" outlineLevel="1" collapsed="false">
      <c r="A405" s="6" t="s">
        <v>414</v>
      </c>
      <c r="B405" s="29" t="n">
        <f aca="false">IF(B$47=1,2*Quesería!$B$22*Quesería!$B$23/12*B396,0)*$J$21</f>
        <v>0</v>
      </c>
      <c r="C405" s="29" t="n">
        <f aca="false">IF(C$47=1,2*Quesería!$B$22*Quesería!$B$23/12*C396,0)*$J$21</f>
        <v>18.5166509433962</v>
      </c>
      <c r="D405" s="29" t="n">
        <f aca="false">IF(D$47=1,2*Quesería!$B$22*Quesería!$B$23/12*D396,0)*$J$21</f>
        <v>0</v>
      </c>
      <c r="E405" s="29" t="n">
        <f aca="false">IF(E$47=1,2*Quesería!$B$22*Quesería!$B$23/12*E396,0)*$J$21</f>
        <v>0</v>
      </c>
      <c r="F405" s="29" t="n">
        <f aca="false">IF(F$47=1,2*Quesería!$B$22*Quesería!$B$23/12*F396,0)*$J$21</f>
        <v>0</v>
      </c>
      <c r="G405" s="29" t="n">
        <f aca="false">IF(G$47=1,2*Quesería!$B$22*Quesería!$B$23/12*G396,0)*$J$21</f>
        <v>0</v>
      </c>
      <c r="H405" s="29" t="n">
        <f aca="false">IF(H$47=1,2*Quesería!$B$22*Quesería!$B$23/12*H396,0)*$J$21</f>
        <v>0</v>
      </c>
      <c r="I405" s="29" t="n">
        <f aca="false">IF(I$47=1,2*Quesería!$B$22*Quesería!$B$23/12*I396,0)*$J$21</f>
        <v>0</v>
      </c>
      <c r="J405" s="29" t="n">
        <f aca="false">IF(J$47=1,2*Quesería!$B$22*Quesería!$B$23/12*J396,0)*$J$21</f>
        <v>0</v>
      </c>
      <c r="K405" s="29" t="n">
        <f aca="false">IF(K$47=1,2*Quesería!$B$22*Quesería!$B$23/12*K396,0)*$J$21</f>
        <v>0</v>
      </c>
      <c r="L405" s="29" t="n">
        <f aca="false">IF(L$47=1,2*Quesería!$B$22*Quesería!$B$23/12*L396,0)*$J$21</f>
        <v>0</v>
      </c>
    </row>
    <row r="406" customFormat="false" ht="15" hidden="true" customHeight="false" outlineLevel="1" collapsed="false">
      <c r="A406" s="6" t="s">
        <v>415</v>
      </c>
      <c r="B406" s="29" t="n">
        <f aca="false">Quesería!$B$52*(B398+B399+B400+B404+B405)</f>
        <v>3.45573091517393</v>
      </c>
      <c r="C406" s="29" t="n">
        <f aca="false">Quesería!$B$52*(C398+C399+C400+C404+C405)</f>
        <v>2.73783422408947</v>
      </c>
      <c r="D406" s="29" t="n">
        <f aca="false">Quesería!$B$52*(D398+D399+D400+D404+D405)</f>
        <v>0.281216419446129</v>
      </c>
      <c r="E406" s="29" t="n">
        <f aca="false">Quesería!$B$52*(E398+E399+E400+E404+E405)</f>
        <v>0.281216419446129</v>
      </c>
      <c r="F406" s="29" t="n">
        <f aca="false">Quesería!$B$52*(F398+F399+F400+F404+F405)</f>
        <v>0.281216419446129</v>
      </c>
      <c r="G406" s="29" t="n">
        <f aca="false">Quesería!$B$52*(G398+G399+G400+G404+G405)</f>
        <v>0.385803966805999</v>
      </c>
      <c r="H406" s="29" t="n">
        <f aca="false">Quesería!$B$52*(H398+H399+H400+H404+H405)</f>
        <v>0.457866324393447</v>
      </c>
      <c r="I406" s="29" t="n">
        <f aca="false">Quesería!$B$52*(I398+I399+I400+I404+I405)</f>
        <v>0.281216419446129</v>
      </c>
      <c r="J406" s="29" t="n">
        <f aca="false">Quesería!$B$52*(J398+J399+J400+J404+J405)</f>
        <v>0.281216419446129</v>
      </c>
      <c r="K406" s="29" t="n">
        <f aca="false">Quesería!$B$52*(K398+K399+K400+K404+K405)</f>
        <v>0.281216419446129</v>
      </c>
      <c r="L406" s="29" t="n">
        <f aca="false">Quesería!$B$52*(L398+L399+L400+L404+L405)</f>
        <v>0.281216419446129</v>
      </c>
    </row>
    <row r="407" customFormat="false" ht="15" hidden="true" customHeight="false" outlineLevel="1" collapsed="false">
      <c r="A407" s="6" t="s">
        <v>416</v>
      </c>
      <c r="B407" s="29" t="n">
        <f aca="false">(IF($J$19=1,(SUMPRODUCT((Quesería!$C$70:$C$89=0)*(Quesería!$J$70:$J$89&gt;0)*(B$47&gt;=1)*(B$47&lt;=Quesería!$J$70:$J$89)*(Quesería!$H$70:$H$89&gt;0)*Quesería!$F$70:$F$89*(1+Quesería!$I$70:$I$89)/(Quesería!$J$70:$J$89+(Quesería!$J$70:$J$89=0)))+SUMPRODUCT((Quesería!$C$70:$C$89=0)*(Quesería!$J$70:$J$89=0)*(B$47=0)*(Quesería!$H$70:$H$89&gt;0)*Quesería!$F$70:$F$89*(1+Quesería!$I$70:$I$89)))*$B$395+((SUMPRODUCT((Quesería!$C$70:$C$89=1)*(Quesería!$J$70:$J$89&gt;0)*(B$47&gt;=2)*(B$47&lt;=Quesería!$J$70:$J$89+1)*(Quesería!$H$70:$H$89&gt;0)*Quesería!$F$70:$F$89*(1+Quesería!$I$70:$I$89)/(Quesería!$J$70:$J$89+(Quesería!$J$70:$J$89=0)))+SUMPRODUCT((Quesería!$C$70:$C$89=1)*(Quesería!$J$70:$J$89=0)*(B$47=1)*(Quesería!$H$70:$H$89&gt;0)*Quesería!$F$70:$F$89*(1+Quesería!$I$70:$I$89)))-(-$J$26)*IF(AND(B$47&gt;=2,B$47&lt;=Quesería!$J$86+1),Quesería!$D$86*(1+Quesería!$I$86)/Quesería!$J$86,0))*$C$395*$J$21,IF(AND(B$47&gt;=1,B$47&lt;=Quesería!$B$30),Quesería!$F$92/Quesería!$B$30,0)*$B$395+IF(AND(B$47&gt;=2,B$47&lt;=Quesería!$B$30+1),(Quesería!$F$93-(-$J$26)*Quesería!$D$86*(1+Quesería!$I$86))/Quesería!$B$30,0)*$C$395*$J$21)*$J$11+IF(AND(B$47&gt;=6,B$47&lt;=10),$G399*$G395/5,0)+IF(AND(B$47&gt;=7,B$47&lt;=11),$H399*$H395/5,0))*B397</f>
        <v>116.784732344594</v>
      </c>
      <c r="C407" s="29" t="n">
        <f aca="false">(IF($J$19=1,(SUMPRODUCT((Quesería!$C$70:$C$89=0)*(Quesería!$J$70:$J$89&gt;0)*(C$47&gt;=1)*(C$47&lt;=Quesería!$J$70:$J$89)*(Quesería!$H$70:$H$89&gt;0)*Quesería!$F$70:$F$89*(1+Quesería!$I$70:$I$89)/(Quesería!$J$70:$J$89+(Quesería!$J$70:$J$89=0)))+SUMPRODUCT((Quesería!$C$70:$C$89=0)*(Quesería!$J$70:$J$89=0)*(C$47=0)*(Quesería!$H$70:$H$89&gt;0)*Quesería!$F$70:$F$89*(1+Quesería!$I$70:$I$89)))*$B$395+((SUMPRODUCT((Quesería!$C$70:$C$89=1)*(Quesería!$J$70:$J$89&gt;0)*(C$47&gt;=2)*(C$47&lt;=Quesería!$J$70:$J$89+1)*(Quesería!$H$70:$H$89&gt;0)*Quesería!$F$70:$F$89*(1+Quesería!$I$70:$I$89)/(Quesería!$J$70:$J$89+(Quesería!$J$70:$J$89=0)))+SUMPRODUCT((Quesería!$C$70:$C$89=1)*(Quesería!$J$70:$J$89=0)*(C$47=1)*(Quesería!$H$70:$H$89&gt;0)*Quesería!$F$70:$F$89*(1+Quesería!$I$70:$I$89)))-(-$J$26)*IF(AND(C$47&gt;=2,C$47&lt;=Quesería!$J$86+1),Quesería!$D$86*(1+Quesería!$I$86)/Quesería!$J$86,0))*$C$395*$J$21,IF(AND(C$47&gt;=1,C$47&lt;=Quesería!$B$30),Quesería!$F$92/Quesería!$B$30,0)*$B$395+IF(AND(C$47&gt;=2,C$47&lt;=Quesería!$B$30+1),(Quesería!$F$93-(-$J$26)*Quesería!$D$86*(1+Quesería!$I$86))/Quesería!$B$30,0)*$C$395*$J$21)*$J$11+IF(AND(C$47&gt;=6,C$47&lt;=10),$G399*$G395/5,0)+IF(AND(C$47&gt;=7,C$47&lt;=11),$H399*$H395/5,0))*C397</f>
        <v>65.8106615619412</v>
      </c>
      <c r="D407" s="29" t="n">
        <f aca="false">(IF($J$19=1,(SUMPRODUCT((Quesería!$C$70:$C$89=0)*(Quesería!$J$70:$J$89&gt;0)*(D$47&gt;=1)*(D$47&lt;=Quesería!$J$70:$J$89)*(Quesería!$H$70:$H$89&gt;0)*Quesería!$F$70:$F$89*(1+Quesería!$I$70:$I$89)/(Quesería!$J$70:$J$89+(Quesería!$J$70:$J$89=0)))+SUMPRODUCT((Quesería!$C$70:$C$89=0)*(Quesería!$J$70:$J$89=0)*(D$47=0)*(Quesería!$H$70:$H$89&gt;0)*Quesería!$F$70:$F$89*(1+Quesería!$I$70:$I$89)))*$B$395+((SUMPRODUCT((Quesería!$C$70:$C$89=1)*(Quesería!$J$70:$J$89&gt;0)*(D$47&gt;=2)*(D$47&lt;=Quesería!$J$70:$J$89+1)*(Quesería!$H$70:$H$89&gt;0)*Quesería!$F$70:$F$89*(1+Quesería!$I$70:$I$89)/(Quesería!$J$70:$J$89+(Quesería!$J$70:$J$89=0)))+SUMPRODUCT((Quesería!$C$70:$C$89=1)*(Quesería!$J$70:$J$89=0)*(D$47=1)*(Quesería!$H$70:$H$89&gt;0)*Quesería!$F$70:$F$89*(1+Quesería!$I$70:$I$89)))-(-$J$26)*IF(AND(D$47&gt;=2,D$47&lt;=Quesería!$J$86+1),Quesería!$D$86*(1+Quesería!$I$86)/Quesería!$J$86,0))*$C$395*$J$21,IF(AND(D$47&gt;=1,D$47&lt;=Quesería!$B$30),Quesería!$F$92/Quesería!$B$30,0)*$B$395+IF(AND(D$47&gt;=2,D$47&lt;=Quesería!$B$30+1),(Quesería!$F$93-(-$J$26)*Quesería!$D$86*(1+Quesería!$I$86))/Quesería!$B$30,0)*$C$395*$J$21)*$J$11+IF(AND(D$47&gt;=6,D$47&lt;=10),$G399*$G395/5,0)+IF(AND(D$47&gt;=7,D$47&lt;=11),$H399*$H395/5,0))*D397</f>
        <v>113.385824780767</v>
      </c>
      <c r="E407" s="29" t="n">
        <f aca="false">(IF($J$19=1,(SUMPRODUCT((Quesería!$C$70:$C$89=0)*(Quesería!$J$70:$J$89&gt;0)*(E$47&gt;=1)*(E$47&lt;=Quesería!$J$70:$J$89)*(Quesería!$H$70:$H$89&gt;0)*Quesería!$F$70:$F$89*(1+Quesería!$I$70:$I$89)/(Quesería!$J$70:$J$89+(Quesería!$J$70:$J$89=0)))+SUMPRODUCT((Quesería!$C$70:$C$89=0)*(Quesería!$J$70:$J$89=0)*(E$47=0)*(Quesería!$H$70:$H$89&gt;0)*Quesería!$F$70:$F$89*(1+Quesería!$I$70:$I$89)))*$B$395+((SUMPRODUCT((Quesería!$C$70:$C$89=1)*(Quesería!$J$70:$J$89&gt;0)*(E$47&gt;=2)*(E$47&lt;=Quesería!$J$70:$J$89+1)*(Quesería!$H$70:$H$89&gt;0)*Quesería!$F$70:$F$89*(1+Quesería!$I$70:$I$89)/(Quesería!$J$70:$J$89+(Quesería!$J$70:$J$89=0)))+SUMPRODUCT((Quesería!$C$70:$C$89=1)*(Quesería!$J$70:$J$89=0)*(E$47=1)*(Quesería!$H$70:$H$89&gt;0)*Quesería!$F$70:$F$89*(1+Quesería!$I$70:$I$89)))-(-$J$26)*IF(AND(E$47&gt;=2,E$47&lt;=Quesería!$J$86+1),Quesería!$D$86*(1+Quesería!$I$86)/Quesería!$J$86,0))*$C$395*$J$21,IF(AND(E$47&gt;=1,E$47&lt;=Quesería!$B$30),Quesería!$F$92/Quesería!$B$30,0)*$B$395+IF(AND(E$47&gt;=2,E$47&lt;=Quesería!$B$30+1),(Quesería!$F$93-(-$J$26)*Quesería!$D$86*(1+Quesería!$I$86))/Quesería!$B$30,0)*$C$395*$J$21)*$J$11+IF(AND(E$47&gt;=6,E$47&lt;=10),$G399*$G395/5,0)+IF(AND(E$47&gt;=7,E$47&lt;=11),$H399*$H395/5,0))*E397</f>
        <v>109.024831519968</v>
      </c>
      <c r="F407" s="29" t="n">
        <f aca="false">(IF($J$19=1,(SUMPRODUCT((Quesería!$C$70:$C$89=0)*(Quesería!$J$70:$J$89&gt;0)*(F$47&gt;=1)*(F$47&lt;=Quesería!$J$70:$J$89)*(Quesería!$H$70:$H$89&gt;0)*Quesería!$F$70:$F$89*(1+Quesería!$I$70:$I$89)/(Quesería!$J$70:$J$89+(Quesería!$J$70:$J$89=0)))+SUMPRODUCT((Quesería!$C$70:$C$89=0)*(Quesería!$J$70:$J$89=0)*(F$47=0)*(Quesería!$H$70:$H$89&gt;0)*Quesería!$F$70:$F$89*(1+Quesería!$I$70:$I$89)))*$B$395+((SUMPRODUCT((Quesería!$C$70:$C$89=1)*(Quesería!$J$70:$J$89&gt;0)*(F$47&gt;=2)*(F$47&lt;=Quesería!$J$70:$J$89+1)*(Quesería!$H$70:$H$89&gt;0)*Quesería!$F$70:$F$89*(1+Quesería!$I$70:$I$89)/(Quesería!$J$70:$J$89+(Quesería!$J$70:$J$89=0)))+SUMPRODUCT((Quesería!$C$70:$C$89=1)*(Quesería!$J$70:$J$89=0)*(F$47=1)*(Quesería!$H$70:$H$89&gt;0)*Quesería!$F$70:$F$89*(1+Quesería!$I$70:$I$89)))-(-$J$26)*IF(AND(F$47&gt;=2,F$47&lt;=Quesería!$J$86+1),Quesería!$D$86*(1+Quesería!$I$86)/Quesería!$J$86,0))*$C$395*$J$21,IF(AND(F$47&gt;=1,F$47&lt;=Quesería!$B$30),Quesería!$F$92/Quesería!$B$30,0)*$B$395+IF(AND(F$47&gt;=2,F$47&lt;=Quesería!$B$30+1),(Quesería!$F$93-(-$J$26)*Quesería!$D$86*(1+Quesería!$I$86))/Quesería!$B$30,0)*$C$395*$J$21)*$J$11+IF(AND(F$47&gt;=6,F$47&lt;=10),$G399*$G395/5,0)+IF(AND(F$47&gt;=7,F$47&lt;=11),$H399*$H395/5,0))*F397</f>
        <v>104.8315687692</v>
      </c>
      <c r="G407" s="29" t="n">
        <f aca="false">(IF($J$19=1,(SUMPRODUCT((Quesería!$C$70:$C$89=0)*(Quesería!$J$70:$J$89&gt;0)*(G$47&gt;=1)*(G$47&lt;=Quesería!$J$70:$J$89)*(Quesería!$H$70:$H$89&gt;0)*Quesería!$F$70:$F$89*(1+Quesería!$I$70:$I$89)/(Quesería!$J$70:$J$89+(Quesería!$J$70:$J$89=0)))+SUMPRODUCT((Quesería!$C$70:$C$89=0)*(Quesería!$J$70:$J$89=0)*(G$47=0)*(Quesería!$H$70:$H$89&gt;0)*Quesería!$F$70:$F$89*(1+Quesería!$I$70:$I$89)))*$B$395+((SUMPRODUCT((Quesería!$C$70:$C$89=1)*(Quesería!$J$70:$J$89&gt;0)*(G$47&gt;=2)*(G$47&lt;=Quesería!$J$70:$J$89+1)*(Quesería!$H$70:$H$89&gt;0)*Quesería!$F$70:$F$89*(1+Quesería!$I$70:$I$89)/(Quesería!$J$70:$J$89+(Quesería!$J$70:$J$89=0)))+SUMPRODUCT((Quesería!$C$70:$C$89=1)*(Quesería!$J$70:$J$89=0)*(G$47=1)*(Quesería!$H$70:$H$89&gt;0)*Quesería!$F$70:$F$89*(1+Quesería!$I$70:$I$89)))-(-$J$26)*IF(AND(G$47&gt;=2,G$47&lt;=Quesería!$J$86+1),Quesería!$D$86*(1+Quesería!$I$86)/Quesería!$J$86,0))*$C$395*$J$21,IF(AND(G$47&gt;=1,G$47&lt;=Quesería!$B$30),Quesería!$F$92/Quesería!$B$30,0)*$B$395+IF(AND(G$47&gt;=2,G$47&lt;=Quesería!$B$30+1),(Quesería!$F$93-(-$J$26)*Quesería!$D$86*(1+Quesería!$I$86))/Quesería!$B$30,0)*$C$395*$J$21)*$J$11+IF(AND(G$47&gt;=6,G$47&lt;=10),$G399*$G395/5,0)+IF(AND(G$47&gt;=7,G$47&lt;=11),$H399*$H395/5,0))*G397</f>
        <v>100.799585355</v>
      </c>
      <c r="H407" s="29" t="n">
        <f aca="false">(IF($J$19=1,(SUMPRODUCT((Quesería!$C$70:$C$89=0)*(Quesería!$J$70:$J$89&gt;0)*(H$47&gt;=1)*(H$47&lt;=Quesería!$J$70:$J$89)*(Quesería!$H$70:$H$89&gt;0)*Quesería!$F$70:$F$89*(1+Quesería!$I$70:$I$89)/(Quesería!$J$70:$J$89+(Quesería!$J$70:$J$89=0)))+SUMPRODUCT((Quesería!$C$70:$C$89=0)*(Quesería!$J$70:$J$89=0)*(H$47=0)*(Quesería!$H$70:$H$89&gt;0)*Quesería!$F$70:$F$89*(1+Quesería!$I$70:$I$89)))*$B$395+((SUMPRODUCT((Quesería!$C$70:$C$89=1)*(Quesería!$J$70:$J$89&gt;0)*(H$47&gt;=2)*(H$47&lt;=Quesería!$J$70:$J$89+1)*(Quesería!$H$70:$H$89&gt;0)*Quesería!$F$70:$F$89*(1+Quesería!$I$70:$I$89)/(Quesería!$J$70:$J$89+(Quesería!$J$70:$J$89=0)))+SUMPRODUCT((Quesería!$C$70:$C$89=1)*(Quesería!$J$70:$J$89=0)*(H$47=1)*(Quesería!$H$70:$H$89&gt;0)*Quesería!$F$70:$F$89*(1+Quesería!$I$70:$I$89)))-(-$J$26)*IF(AND(H$47&gt;=2,H$47&lt;=Quesería!$J$86+1),Quesería!$D$86*(1+Quesería!$I$86)/Quesería!$J$86,0))*$C$395*$J$21,IF(AND(H$47&gt;=1,H$47&lt;=Quesería!$B$30),Quesería!$F$92/Quesería!$B$30,0)*$B$395+IF(AND(H$47&gt;=2,H$47&lt;=Quesería!$B$30+1),(Quesería!$F$93-(-$J$26)*Quesería!$D$86*(1+Quesería!$I$86))/Quesería!$B$30,0)*$C$395*$J$21)*$J$11+IF(AND(H$47&gt;=6,H$47&lt;=10),$G399*$G395/5,0)+IF(AND(H$47&gt;=7,H$47&lt;=11),$H399*$H395/5,0))*H397</f>
        <v>91.3077809428402</v>
      </c>
      <c r="I407" s="29" t="n">
        <f aca="false">(IF($J$19=1,(SUMPRODUCT((Quesería!$C$70:$C$89=0)*(Quesería!$J$70:$J$89&gt;0)*(I$47&gt;=1)*(I$47&lt;=Quesería!$J$70:$J$89)*(Quesería!$H$70:$H$89&gt;0)*Quesería!$F$70:$F$89*(1+Quesería!$I$70:$I$89)/(Quesería!$J$70:$J$89+(Quesería!$J$70:$J$89=0)))+SUMPRODUCT((Quesería!$C$70:$C$89=0)*(Quesería!$J$70:$J$89=0)*(I$47=0)*(Quesería!$H$70:$H$89&gt;0)*Quesería!$F$70:$F$89*(1+Quesería!$I$70:$I$89)))*$B$395+((SUMPRODUCT((Quesería!$C$70:$C$89=1)*(Quesería!$J$70:$J$89&gt;0)*(I$47&gt;=2)*(I$47&lt;=Quesería!$J$70:$J$89+1)*(Quesería!$H$70:$H$89&gt;0)*Quesería!$F$70:$F$89*(1+Quesería!$I$70:$I$89)/(Quesería!$J$70:$J$89+(Quesería!$J$70:$J$89=0)))+SUMPRODUCT((Quesería!$C$70:$C$89=1)*(Quesería!$J$70:$J$89=0)*(I$47=1)*(Quesería!$H$70:$H$89&gt;0)*Quesería!$F$70:$F$89*(1+Quesería!$I$70:$I$89)))-(-$J$26)*IF(AND(I$47&gt;=2,I$47&lt;=Quesería!$J$86+1),Quesería!$D$86*(1+Quesería!$I$86)/Quesería!$J$86,0))*$C$395*$J$21,IF(AND(I$47&gt;=1,I$47&lt;=Quesería!$B$30),Quesería!$F$92/Quesería!$B$30,0)*$B$395+IF(AND(I$47&gt;=2,I$47&lt;=Quesería!$B$30+1),(Quesería!$F$93-(-$J$26)*Quesería!$D$86*(1+Quesería!$I$86))/Quesería!$B$30,0)*$C$395*$J$21)*$J$11+IF(AND(I$47&gt;=6,I$47&lt;=10),$G399*$G395/5,0)+IF(AND(I$47&gt;=7,I$47&lt;=11),$H399*$H395/5,0))*I397</f>
        <v>94.9327364005702</v>
      </c>
      <c r="J407" s="29" t="n">
        <f aca="false">(IF($J$19=1,(SUMPRODUCT((Quesería!$C$70:$C$89=0)*(Quesería!$J$70:$J$89&gt;0)*(J$47&gt;=1)*(J$47&lt;=Quesería!$J$70:$J$89)*(Quesería!$H$70:$H$89&gt;0)*Quesería!$F$70:$F$89*(1+Quesería!$I$70:$I$89)/(Quesería!$J$70:$J$89+(Quesería!$J$70:$J$89=0)))+SUMPRODUCT((Quesería!$C$70:$C$89=0)*(Quesería!$J$70:$J$89=0)*(J$47=0)*(Quesería!$H$70:$H$89&gt;0)*Quesería!$F$70:$F$89*(1+Quesería!$I$70:$I$89)))*$B$395+((SUMPRODUCT((Quesería!$C$70:$C$89=1)*(Quesería!$J$70:$J$89&gt;0)*(J$47&gt;=2)*(J$47&lt;=Quesería!$J$70:$J$89+1)*(Quesería!$H$70:$H$89&gt;0)*Quesería!$F$70:$F$89*(1+Quesería!$I$70:$I$89)/(Quesería!$J$70:$J$89+(Quesería!$J$70:$J$89=0)))+SUMPRODUCT((Quesería!$C$70:$C$89=1)*(Quesería!$J$70:$J$89=0)*(J$47=1)*(Quesería!$H$70:$H$89&gt;0)*Quesería!$F$70:$F$89*(1+Quesería!$I$70:$I$89)))-(-$J$26)*IF(AND(J$47&gt;=2,J$47&lt;=Quesería!$J$86+1),Quesería!$D$86*(1+Quesería!$I$86)/Quesería!$J$86,0))*$C$395*$J$21,IF(AND(J$47&gt;=1,J$47&lt;=Quesería!$B$30),Quesería!$F$92/Quesería!$B$30,0)*$B$395+IF(AND(J$47&gt;=2,J$47&lt;=Quesería!$B$30+1),(Quesería!$F$93-(-$J$26)*Quesería!$D$86*(1+Quesería!$I$86))/Quesería!$B$30,0)*$C$395*$J$21)*$J$11+IF(AND(J$47&gt;=6,J$47&lt;=10),$G399*$G395/5,0)+IF(AND(J$47&gt;=7,J$47&lt;=11),$H399*$H395/5,0))*J397</f>
        <v>91.2814773082406</v>
      </c>
      <c r="K407" s="29" t="n">
        <f aca="false">(IF($J$19=1,(SUMPRODUCT((Quesería!$C$70:$C$89=0)*(Quesería!$J$70:$J$89&gt;0)*(K$47&gt;=1)*(K$47&lt;=Quesería!$J$70:$J$89)*(Quesería!$H$70:$H$89&gt;0)*Quesería!$F$70:$F$89*(1+Quesería!$I$70:$I$89)/(Quesería!$J$70:$J$89+(Quesería!$J$70:$J$89=0)))+SUMPRODUCT((Quesería!$C$70:$C$89=0)*(Quesería!$J$70:$J$89=0)*(K$47=0)*(Quesería!$H$70:$H$89&gt;0)*Quesería!$F$70:$F$89*(1+Quesería!$I$70:$I$89)))*$B$395+((SUMPRODUCT((Quesería!$C$70:$C$89=1)*(Quesería!$J$70:$J$89&gt;0)*(K$47&gt;=2)*(K$47&lt;=Quesería!$J$70:$J$89+1)*(Quesería!$H$70:$H$89&gt;0)*Quesería!$F$70:$F$89*(1+Quesería!$I$70:$I$89)/(Quesería!$J$70:$J$89+(Quesería!$J$70:$J$89=0)))+SUMPRODUCT((Quesería!$C$70:$C$89=1)*(Quesería!$J$70:$J$89=0)*(K$47=1)*(Quesería!$H$70:$H$89&gt;0)*Quesería!$F$70:$F$89*(1+Quesería!$I$70:$I$89)))-(-$J$26)*IF(AND(K$47&gt;=2,K$47&lt;=Quesería!$J$86+1),Quesería!$D$86*(1+Quesería!$I$86)/Quesería!$J$86,0))*$C$395*$J$21,IF(AND(K$47&gt;=1,K$47&lt;=Quesería!$B$30),Quesería!$F$92/Quesería!$B$30,0)*$B$395+IF(AND(K$47&gt;=2,K$47&lt;=Quesería!$B$30+1),(Quesería!$F$93-(-$J$26)*Quesería!$D$86*(1+Quesería!$I$86))/Quesería!$B$30,0)*$C$395*$J$21)*$J$11+IF(AND(K$47&gt;=6,K$47&lt;=10),$G399*$G395/5,0)+IF(AND(K$47&gt;=7,K$47&lt;=11),$H399*$H395/5,0))*K397</f>
        <v>87.7706512579236</v>
      </c>
      <c r="L407" s="29" t="n">
        <f aca="false">(IF($J$19=1,(SUMPRODUCT((Quesería!$C$70:$C$89=0)*(Quesería!$J$70:$J$89&gt;0)*(L$47&gt;=1)*(L$47&lt;=Quesería!$J$70:$J$89)*(Quesería!$H$70:$H$89&gt;0)*Quesería!$F$70:$F$89*(1+Quesería!$I$70:$I$89)/(Quesería!$J$70:$J$89+(Quesería!$J$70:$J$89=0)))+SUMPRODUCT((Quesería!$C$70:$C$89=0)*(Quesería!$J$70:$J$89=0)*(L$47=0)*(Quesería!$H$70:$H$89&gt;0)*Quesería!$F$70:$F$89*(1+Quesería!$I$70:$I$89)))*$B$395+((SUMPRODUCT((Quesería!$C$70:$C$89=1)*(Quesería!$J$70:$J$89&gt;0)*(L$47&gt;=2)*(L$47&lt;=Quesería!$J$70:$J$89+1)*(Quesería!$H$70:$H$89&gt;0)*Quesería!$F$70:$F$89*(1+Quesería!$I$70:$I$89)/(Quesería!$J$70:$J$89+(Quesería!$J$70:$J$89=0)))+SUMPRODUCT((Quesería!$C$70:$C$89=1)*(Quesería!$J$70:$J$89=0)*(L$47=1)*(Quesería!$H$70:$H$89&gt;0)*Quesería!$F$70:$F$89*(1+Quesería!$I$70:$I$89)))-(-$J$26)*IF(AND(L$47&gt;=2,L$47&lt;=Quesería!$J$86+1),Quesería!$D$86*(1+Quesería!$I$86)/Quesería!$J$86,0))*$C$395*$J$21,IF(AND(L$47&gt;=1,L$47&lt;=Quesería!$B$30),Quesería!$F$92/Quesería!$B$30,0)*$B$395+IF(AND(L$47&gt;=2,L$47&lt;=Quesería!$B$30+1),(Quesería!$F$93-(-$J$26)*Quesería!$D$86*(1+Quesería!$I$86))/Quesería!$B$30,0)*$C$395*$J$21)*$J$11+IF(AND(L$47&gt;=6,L$47&lt;=10),$G399*$G395/5,0)+IF(AND(L$47&gt;=7,L$47&lt;=11),$H399*$H395/5,0))*L397</f>
        <v>84.3948569787727</v>
      </c>
    </row>
    <row r="408" customFormat="false" ht="15" hidden="true" customHeight="false" outlineLevel="1" collapsed="false">
      <c r="A408" s="9" t="s">
        <v>417</v>
      </c>
      <c r="B408" s="58" t="n">
        <f aca="false">IF(B$47=1,MIN($J$7*$J$26*Quesería!$B$56*Quesería!$D$86*$J$11*$J$21,Quesería!$B$57*Quesería!$B$58),0)</f>
        <v>0</v>
      </c>
      <c r="C408" s="58" t="n">
        <f aca="false">IF(C$47=1,MIN($J$7*$J$26*Quesería!$B$56*Quesería!$D$86*$J$11*$J$21,Quesería!$B$57*Quesería!$B$58),0)</f>
        <v>0</v>
      </c>
      <c r="D408" s="58" t="n">
        <f aca="false">IF(D$47=1,MIN($J$7*$J$26*Quesería!$B$56*Quesería!$D$86*$J$11*$J$21,Quesería!$B$57*Quesería!$B$58),0)</f>
        <v>0</v>
      </c>
      <c r="E408" s="58" t="n">
        <f aca="false">IF(E$47=1,MIN($J$7*$J$26*Quesería!$B$56*Quesería!$D$86*$J$11*$J$21,Quesería!$B$57*Quesería!$B$58),0)</f>
        <v>0</v>
      </c>
      <c r="F408" s="58" t="n">
        <f aca="false">IF(F$47=1,MIN($J$7*$J$26*Quesería!$B$56*Quesería!$D$86*$J$11*$J$21,Quesería!$B$57*Quesería!$B$58),0)</f>
        <v>0</v>
      </c>
      <c r="G408" s="58" t="n">
        <f aca="false">IF(G$47=1,MIN($J$7*$J$26*Quesería!$B$56*Quesería!$D$86*$J$11*$J$21,Quesería!$B$57*Quesería!$B$58),0)</f>
        <v>0</v>
      </c>
      <c r="H408" s="58" t="n">
        <f aca="false">IF(H$47=1,MIN($J$7*$J$26*Quesería!$B$56*Quesería!$D$86*$J$11*$J$21,Quesería!$B$57*Quesería!$B$58),0)</f>
        <v>0</v>
      </c>
      <c r="I408" s="58" t="n">
        <f aca="false">IF(I$47=1,MIN($J$7*$J$26*Quesería!$B$56*Quesería!$D$86*$J$11*$J$21,Quesería!$B$57*Quesería!$B$58),0)</f>
        <v>0</v>
      </c>
      <c r="J408" s="58" t="n">
        <f aca="false">IF(J$47=1,MIN($J$7*$J$26*Quesería!$B$56*Quesería!$D$86*$J$11*$J$21,Quesería!$B$57*Quesería!$B$58),0)</f>
        <v>0</v>
      </c>
      <c r="K408" s="58" t="n">
        <f aca="false">IF(K$47=1,MIN($J$7*$J$26*Quesería!$B$56*Quesería!$D$86*$J$11*$J$21,Quesería!$B$57*Quesería!$B$58),0)</f>
        <v>0</v>
      </c>
      <c r="L408" s="58" t="n">
        <f aca="false">IF(L$47=1,MIN($J$7*$J$26*Quesería!$B$56*Quesería!$D$86*$J$11*$J$21,Quesería!$B$57*Quesería!$B$58),0)</f>
        <v>0</v>
      </c>
    </row>
    <row r="409" customFormat="false" ht="15" hidden="true" customHeight="false" outlineLevel="1" collapsed="false">
      <c r="A409" s="9" t="s">
        <v>418</v>
      </c>
      <c r="B409" s="58" t="n">
        <v>0</v>
      </c>
      <c r="C409" s="58" t="n">
        <f aca="false">$J$20*Quesería!$B$60*Quesería!$F$98*$J$11*$B$395/C395/2</f>
        <v>110.502946757928</v>
      </c>
      <c r="D409" s="58" t="n">
        <f aca="false">$J$20*Quesería!$B$60*Quesería!$F$98*$J$11*$B$395/D395/2</f>
        <v>105.744446658304</v>
      </c>
      <c r="E409" s="58" t="n">
        <v>0</v>
      </c>
      <c r="F409" s="58" t="n">
        <v>0</v>
      </c>
      <c r="G409" s="58" t="n">
        <v>0</v>
      </c>
      <c r="H409" s="58" t="n">
        <v>0</v>
      </c>
      <c r="I409" s="58" t="n">
        <v>0</v>
      </c>
      <c r="J409" s="58" t="n">
        <v>0</v>
      </c>
      <c r="K409" s="58" t="n">
        <v>0</v>
      </c>
      <c r="L409" s="58" t="n">
        <v>0</v>
      </c>
    </row>
    <row r="410" customFormat="false" ht="15" hidden="true" customHeight="false" outlineLevel="1" collapsed="false">
      <c r="A410" s="9" t="s">
        <v>419</v>
      </c>
      <c r="B410" s="58" t="n">
        <f aca="false">0</f>
        <v>0</v>
      </c>
      <c r="C410" s="58" t="n">
        <f aca="false">B400*B395/C395</f>
        <v>113.611940236326</v>
      </c>
      <c r="D410" s="58" t="n">
        <f aca="false">C400*C395/D395</f>
        <v>95.7773187890179</v>
      </c>
      <c r="E410" s="58" t="n">
        <f aca="false">D400*D395/E395</f>
        <v>0</v>
      </c>
      <c r="F410" s="58" t="n">
        <f aca="false">E400*E395/F395</f>
        <v>0</v>
      </c>
      <c r="G410" s="58" t="n">
        <f aca="false">F400*F395/G395</f>
        <v>0</v>
      </c>
      <c r="H410" s="58" t="n">
        <f aca="false">G400*G395/H395</f>
        <v>4.0141471392969</v>
      </c>
      <c r="I410" s="58" t="n">
        <f aca="false">H400*H395/I395</f>
        <v>6.77995352698577</v>
      </c>
      <c r="J410" s="58" t="n">
        <f aca="false">I400*I395/J395</f>
        <v>0</v>
      </c>
      <c r="K410" s="58" t="n">
        <f aca="false">J400*J395/K395</f>
        <v>0</v>
      </c>
      <c r="L410" s="58" t="n">
        <f aca="false">K400*K395/L395</f>
        <v>0</v>
      </c>
    </row>
    <row r="411" customFormat="false" ht="15" hidden="true" customHeight="false" outlineLevel="1" collapsed="false">
      <c r="A411" s="6" t="s">
        <v>295</v>
      </c>
      <c r="B411" s="29" t="n">
        <f aca="false">$J$17*(B403-B404-B405-0.5*B406-B407)-B408-B409-B410</f>
        <v>0.77146106065774</v>
      </c>
      <c r="C411" s="29" t="n">
        <f aca="false">$J$17*(C403-C404-C405-0.5*C406-C407)-C408-C409-C410</f>
        <v>-204.32143004811</v>
      </c>
      <c r="D411" s="29" t="n">
        <f aca="false">$J$17*(D403-D404-D405-0.5*D406-D407)-D408-D409-D410</f>
        <v>-91.1483787522446</v>
      </c>
      <c r="E411" s="29" t="n">
        <f aca="false">$J$17*(E403-E404-E405-0.5*E406-E407)-E408-E409-E410</f>
        <v>136.821175131825</v>
      </c>
      <c r="F411" s="29" t="n">
        <f aca="false">$J$17*(F403-F404-F405-0.5*F406-F407)-F408-F409-F410</f>
        <v>138.397040956997</v>
      </c>
      <c r="G411" s="29" t="n">
        <f aca="false">$J$17*(G403-G404-G405-0.5*G406-G407)-G408-G409-G410</f>
        <v>139.898697312893</v>
      </c>
      <c r="H411" s="29" t="n">
        <f aca="false">$J$17*(H403-H404-H405-0.5*H406-H407)-H408-H409-H410</f>
        <v>139.303379611897</v>
      </c>
      <c r="I411" s="29" t="n">
        <f aca="false">$J$17*(I403-I404-I405-0.5*I406-I407)-I408-I409-I410</f>
        <v>135.409607898025</v>
      </c>
      <c r="J411" s="29" t="n">
        <f aca="false">$J$17*(J403-J404-J405-0.5*J406-J407)-J408-J409-J410</f>
        <v>143.577906734736</v>
      </c>
      <c r="K411" s="29" t="n">
        <f aca="false">$J$17*(K403-K404-K405-0.5*K406-K407)-K408-K409-K410</f>
        <v>144.917652502893</v>
      </c>
      <c r="L411" s="29" t="n">
        <f aca="false">$J$17*(L403-L404-L405-0.5*L406-L407)-L408-L409-L410</f>
        <v>146.210691934395</v>
      </c>
    </row>
    <row r="412" customFormat="false" ht="15" hidden="true" customHeight="false" outlineLevel="1" collapsed="false">
      <c r="A412" s="9" t="s">
        <v>420</v>
      </c>
      <c r="B412" s="58" t="n">
        <f aca="false">(IF(B$47&gt;=1,Quesería!$G$124*IF(B$47=1,Quesería!$B$20,1),Quesería!$G$124*Quesería!$B$20*Quesería!$B$21/12*$J$23)+IF(B$47&gt;=2,(Quesería!$G$125-(1-$J$24)*Quesería!$G$117-(-$J$26*$J$27)*'Beneficios y costos'!$D$167)*$J$21*IF(B$47=2,Quesería!$B$20,1),0))*$J$10</f>
        <v>77.4042870161869</v>
      </c>
      <c r="C412" s="58" t="n">
        <f aca="false">(IF(C$47&gt;=1,Quesería!$G$124*IF(C$47=1,Quesería!$B$20,1),Quesería!$G$124*Quesería!$B$20*Quesería!$B$21/12*$J$23)+IF(C$47&gt;=2,(Quesería!$G$125-(1-$J$24)*Quesería!$G$117-(-$J$26*$J$27)*'Beneficios y costos'!$D$167)*$J$21*IF(C$47=2,Quesería!$B$20,1),0))*$J$10</f>
        <v>116.10643052428</v>
      </c>
      <c r="D412" s="58" t="n">
        <f aca="false">(IF(D$47&gt;=1,Quesería!$G$124*IF(D$47=1,Quesería!$B$20,1),Quesería!$G$124*Quesería!$B$20*Quesería!$B$21/12*$J$23)+IF(D$47&gt;=2,(Quesería!$G$125-(1-$J$24)*Quesería!$G$117-(-$J$26*$J$27)*'Beneficios y costos'!$D$167)*$J$21*IF(D$47=2,Quesería!$B$20,1),0))*$J$10</f>
        <v>2023.78917421887</v>
      </c>
      <c r="E412" s="58" t="n">
        <f aca="false">(IF(E$47&gt;=1,Quesería!$G$124*IF(E$47=1,Quesería!$B$20,1),Quesería!$G$124*Quesería!$B$20*Quesería!$B$21/12*$J$23)+IF(E$47&gt;=2,(Quesería!$G$125-(1-$J$24)*Quesería!$G$117-(-$J$26*$J$27)*'Beneficios y costos'!$D$167)*$J$21*IF(E$47=2,Quesería!$B$20,1),0))*$J$10</f>
        <v>2646.78270761437</v>
      </c>
      <c r="F412" s="58" t="n">
        <f aca="false">(IF(F$47&gt;=1,Quesería!$G$124*IF(F$47=1,Quesería!$B$20,1),Quesería!$G$124*Quesería!$B$20*Quesería!$B$21/12*$J$23)+IF(F$47&gt;=2,(Quesería!$G$125-(1-$J$24)*Quesería!$G$117-(-$J$26*$J$27)*'Beneficios y costos'!$D$167)*$J$21*IF(F$47=2,Quesería!$B$20,1),0))*$J$10</f>
        <v>2646.78270761437</v>
      </c>
      <c r="G412" s="58" t="n">
        <f aca="false">(IF(G$47&gt;=1,Quesería!$G$124*IF(G$47=1,Quesería!$B$20,1),Quesería!$G$124*Quesería!$B$20*Quesería!$B$21/12*$J$23)+IF(G$47&gt;=2,(Quesería!$G$125-(1-$J$24)*Quesería!$G$117-(-$J$26*$J$27)*'Beneficios y costos'!$D$167)*$J$21*IF(G$47=2,Quesería!$B$20,1),0))*$J$10</f>
        <v>2646.78270761437</v>
      </c>
      <c r="H412" s="58" t="n">
        <f aca="false">(IF(H$47&gt;=1,Quesería!$G$124*IF(H$47=1,Quesería!$B$20,1),Quesería!$G$124*Quesería!$B$20*Quesería!$B$21/12*$J$23)+IF(H$47&gt;=2,(Quesería!$G$125-(1-$J$24)*Quesería!$G$117-(-$J$26*$J$27)*'Beneficios y costos'!$D$167)*$J$21*IF(H$47=2,Quesería!$B$20,1),0))*$J$10</f>
        <v>2646.78270761437</v>
      </c>
      <c r="I412" s="58" t="n">
        <f aca="false">(IF(I$47&gt;=1,Quesería!$G$124*IF(I$47=1,Quesería!$B$20,1),Quesería!$G$124*Quesería!$B$20*Quesería!$B$21/12*$J$23)+IF(I$47&gt;=2,(Quesería!$G$125-(1-$J$24)*Quesería!$G$117-(-$J$26*$J$27)*'Beneficios y costos'!$D$167)*$J$21*IF(I$47=2,Quesería!$B$20,1),0))*$J$10</f>
        <v>2646.78270761437</v>
      </c>
      <c r="J412" s="58" t="n">
        <f aca="false">(IF(J$47&gt;=1,Quesería!$G$124*IF(J$47=1,Quesería!$B$20,1),Quesería!$G$124*Quesería!$B$20*Quesería!$B$21/12*$J$23)+IF(J$47&gt;=2,(Quesería!$G$125-(1-$J$24)*Quesería!$G$117-(-$J$26*$J$27)*'Beneficios y costos'!$D$167)*$J$21*IF(J$47=2,Quesería!$B$20,1),0))*$J$10</f>
        <v>2646.78270761437</v>
      </c>
      <c r="K412" s="58" t="n">
        <f aca="false">(IF(K$47&gt;=1,Quesería!$G$124*IF(K$47=1,Quesería!$B$20,1),Quesería!$G$124*Quesería!$B$20*Quesería!$B$21/12*$J$23)+IF(K$47&gt;=2,(Quesería!$G$125-(1-$J$24)*Quesería!$G$117-(-$J$26*$J$27)*'Beneficios y costos'!$D$167)*$J$21*IF(K$47=2,Quesería!$B$20,1),0))*$J$10</f>
        <v>2646.78270761437</v>
      </c>
      <c r="L412" s="58" t="n">
        <f aca="false">(IF(L$47&gt;=1,Quesería!$G$124*IF(L$47=1,Quesería!$B$20,1),Quesería!$G$124*Quesería!$B$20*Quesería!$B$21/12*$J$23)+IF(L$47&gt;=2,(Quesería!$G$125-(1-$J$24)*Quesería!$G$117-(-$J$26*$J$27)*'Beneficios y costos'!$D$167)*$J$21*IF(L$47=2,Quesería!$B$20,1),0))*$J$10</f>
        <v>2646.78270761437</v>
      </c>
    </row>
    <row r="413" customFormat="false" ht="15" hidden="true" customHeight="false" outlineLevel="1" collapsed="false">
      <c r="A413" s="6" t="s">
        <v>421</v>
      </c>
      <c r="B413" s="29" t="n">
        <f aca="false">(B412*(Quesería!$B$38+Quesería!$B$40*Quesería!$B$39)/365-B404*Quesería!$B$42/365+IF(B$47&gt;=2,($J$25*'Beneficios y costos'!$B$147+(1-$J$25)*'Beneficios y costos'!$B$148)*$J$24*$J$21*$J$10*IF(B$47=2,Quesería!$B$20,1),0))</f>
        <v>7.23146900616979</v>
      </c>
      <c r="C413" s="29" t="n">
        <f aca="false">(C412*(Quesería!$B$38+Quesería!$B$40*Quesería!$B$39)/365-C404*Quesería!$B$42/365+IF(C$47&gt;=2,($J$25*'Beneficios y costos'!$B$147+(1-$J$25)*'Beneficios y costos'!$B$148)*$J$24*$J$21*$J$10*IF(C$47=2,Quesería!$B$20,1),0))-(B412*(Quesería!$B$38+Quesería!$B$40*Quesería!$B$39)/365-B404*Quesería!$B$42/365+IF(B$47&gt;=2,($J$25*'Beneficios y costos'!$B$147+(1-$J$25)*'Beneficios y costos'!$B$148)*$J$24*$J$21*$J$10*IF(B$47=2,Quesería!$B$20,1),0))*B395/C395</f>
        <v>1.60462228153396</v>
      </c>
      <c r="D413" s="29" t="n">
        <f aca="false">(D412*(Quesería!$B$38+Quesería!$B$40*Quesería!$B$39)/365-D404*Quesería!$B$42/365+IF(D$47&gt;=2,($J$25*'Beneficios y costos'!$B$147+(1-$J$25)*'Beneficios y costos'!$B$148)*$J$24*$J$21*$J$10*IF(D$47=2,Quesería!$B$20,1),0))-(C412*(Quesería!$B$38+Quesería!$B$40*Quesería!$B$39)/365-C404*Quesería!$B$42/365+IF(C$47&gt;=2,($J$25*'Beneficios y costos'!$B$147+(1-$J$25)*'Beneficios y costos'!$B$148)*$J$24*$J$21*$J$10*IF(C$47=2,Quesería!$B$20,1),0))*C395/D395</f>
        <v>121.267290722591</v>
      </c>
      <c r="E413" s="29" t="n">
        <f aca="false">(E412*(Quesería!$B$38+Quesería!$B$40*Quesería!$B$39)/365-E404*Quesería!$B$42/365+IF(E$47&gt;=2,($J$25*'Beneficios y costos'!$B$147+(1-$J$25)*'Beneficios y costos'!$B$148)*$J$24*$J$21*$J$10*IF(E$47=2,Quesería!$B$20,1),0))-(D412*(Quesería!$B$38+Quesería!$B$40*Quesería!$B$39)/365-D404*Quesería!$B$42/365+IF(D$47&gt;=2,($J$25*'Beneficios y costos'!$B$147+(1-$J$25)*'Beneficios y costos'!$B$148)*$J$24*$J$21*$J$10*IF(D$47=2,Quesería!$B$20,1),0))*D395/E395</f>
        <v>44.6993085081516</v>
      </c>
      <c r="F413" s="29" t="n">
        <f aca="false">(F412*(Quesería!$B$38+Quesería!$B$40*Quesería!$B$39)/365-F404*Quesería!$B$42/365+IF(F$47&gt;=2,($J$25*'Beneficios y costos'!$B$147+(1-$J$25)*'Beneficios y costos'!$B$148)*$J$24*$J$21*$J$10*IF(F$47=2,Quesería!$B$20,1),0))-(E412*(Quesería!$B$38+Quesería!$B$40*Quesería!$B$39)/365-E404*Quesería!$B$42/365+IF(E$47&gt;=2,($J$25*'Beneficios y costos'!$B$147+(1-$J$25)*'Beneficios y costos'!$B$148)*$J$24*$J$21*$J$10*IF(E$47=2,Quesería!$B$20,1),0))*E395/F395</f>
        <v>6.50446133010496</v>
      </c>
      <c r="G413" s="29" t="n">
        <f aca="false">(G412*(Quesería!$B$38+Quesería!$B$40*Quesería!$B$39)/365-G404*Quesería!$B$42/365+IF(G$47&gt;=2,($J$25*'Beneficios y costos'!$B$147+(1-$J$25)*'Beneficios y costos'!$B$148)*$J$24*$J$21*$J$10*IF(G$47=2,Quesería!$B$20,1),0))-(F412*(Quesería!$B$38+Quesería!$B$40*Quesería!$B$39)/365-F404*Quesería!$B$42/365+IF(F$47&gt;=2,($J$25*'Beneficios y costos'!$B$147+(1-$J$25)*'Beneficios y costos'!$B$148)*$J$24*$J$21*$J$10*IF(F$47=2,Quesería!$B$20,1),0))*F395/G395</f>
        <v>6.50446133010499</v>
      </c>
      <c r="H413" s="29" t="n">
        <f aca="false">(H412*(Quesería!$B$38+Quesería!$B$40*Quesería!$B$39)/365-H404*Quesería!$B$42/365+IF(H$47&gt;=2,($J$25*'Beneficios y costos'!$B$147+(1-$J$25)*'Beneficios y costos'!$B$148)*$J$24*$J$21*$J$10*IF(H$47=2,Quesería!$B$20,1),0))-(G412*(Quesería!$B$38+Quesería!$B$40*Quesería!$B$39)/365-G404*Quesería!$B$42/365+IF(G$47&gt;=2,($J$25*'Beneficios y costos'!$B$147+(1-$J$25)*'Beneficios y costos'!$B$148)*$J$24*$J$21*$J$10*IF(G$47=2,Quesería!$B$20,1),0))*G395/H395</f>
        <v>6.50446133010499</v>
      </c>
      <c r="I413" s="29" t="n">
        <f aca="false">(I412*(Quesería!$B$38+Quesería!$B$40*Quesería!$B$39)/365-I404*Quesería!$B$42/365+IF(I$47&gt;=2,($J$25*'Beneficios y costos'!$B$147+(1-$J$25)*'Beneficios y costos'!$B$148)*$J$24*$J$21*$J$10*IF(I$47=2,Quesería!$B$20,1),0))-(H412*(Quesería!$B$38+Quesería!$B$40*Quesería!$B$39)/365-H404*Quesería!$B$42/365+IF(H$47&gt;=2,($J$25*'Beneficios y costos'!$B$147+(1-$J$25)*'Beneficios y costos'!$B$148)*$J$24*$J$21*$J$10*IF(H$47=2,Quesería!$B$20,1),0))*H395/I395</f>
        <v>6.50446133010499</v>
      </c>
      <c r="J413" s="29" t="n">
        <f aca="false">(J412*(Quesería!$B$38+Quesería!$B$40*Quesería!$B$39)/365-J404*Quesería!$B$42/365+IF(J$47&gt;=2,($J$25*'Beneficios y costos'!$B$147+(1-$J$25)*'Beneficios y costos'!$B$148)*$J$24*$J$21*$J$10*IF(J$47=2,Quesería!$B$20,1),0))-(I412*(Quesería!$B$38+Quesería!$B$40*Quesería!$B$39)/365-I404*Quesería!$B$42/365+IF(I$47&gt;=2,($J$25*'Beneficios y costos'!$B$147+(1-$J$25)*'Beneficios y costos'!$B$148)*$J$24*$J$21*$J$10*IF(I$47=2,Quesería!$B$20,1),0))*I395/J395</f>
        <v>6.50446133010499</v>
      </c>
      <c r="K413" s="29" t="n">
        <f aca="false">(K412*(Quesería!$B$38+Quesería!$B$40*Quesería!$B$39)/365-K404*Quesería!$B$42/365+IF(K$47&gt;=2,($J$25*'Beneficios y costos'!$B$147+(1-$J$25)*'Beneficios y costos'!$B$148)*$J$24*$J$21*$J$10*IF(K$47=2,Quesería!$B$20,1),0))-(J412*(Quesería!$B$38+Quesería!$B$40*Quesería!$B$39)/365-J404*Quesería!$B$42/365+IF(J$47&gt;=2,($J$25*'Beneficios y costos'!$B$147+(1-$J$25)*'Beneficios y costos'!$B$148)*$J$24*$J$21*$J$10*IF(J$47=2,Quesería!$B$20,1),0))*J395/K395</f>
        <v>6.50446133010499</v>
      </c>
      <c r="L413" s="29" t="n">
        <f aca="false">-(K412*(Quesería!$B$38+Quesería!$B$40*Quesería!$B$39)/365-K404*Quesería!$B$42/365+IF(K$47&gt;=2,($J$25*'Beneficios y costos'!$B$147+(1-$J$25)*'Beneficios y costos'!$B$148)*$J$24*$J$21*$J$10*IF(K$47=2,Quesería!$B$20,1),0))*K395/L395</f>
        <v>-162.611533252624</v>
      </c>
    </row>
    <row r="414" customFormat="false" ht="15" hidden="true" customHeight="false" outlineLevel="1" collapsed="false">
      <c r="A414" s="6" t="s">
        <v>422</v>
      </c>
      <c r="B414" s="29" t="n">
        <v>0</v>
      </c>
      <c r="C414" s="29" t="n">
        <v>0</v>
      </c>
      <c r="D414" s="29" t="n">
        <v>0</v>
      </c>
      <c r="E414" s="29" t="n">
        <v>0</v>
      </c>
      <c r="F414" s="29" t="n">
        <v>0</v>
      </c>
      <c r="G414" s="29" t="n">
        <v>0</v>
      </c>
      <c r="H414" s="29" t="n">
        <v>0</v>
      </c>
      <c r="I414" s="29" t="n">
        <v>0</v>
      </c>
      <c r="J414" s="29" t="n">
        <v>0</v>
      </c>
      <c r="K414" s="29" t="n">
        <v>0</v>
      </c>
      <c r="L414" s="29" t="n">
        <f aca="false">$J$8*Quesería!$B$36*(Quesería!$F$94+(Quesería!$F$95-(-$J$26)*Quesería!$D$86)*$J$21)*$J$11*(1-$J$17)</f>
        <v>49.5390180467634</v>
      </c>
    </row>
    <row r="415" customFormat="false" ht="15" hidden="true" customHeight="false" outlineLevel="1" collapsed="false">
      <c r="A415" s="5" t="s">
        <v>147</v>
      </c>
      <c r="B415" s="59" t="n">
        <f aca="false">B403-B404-B405-B406-B411-B398-B399-B400-B413+B414</f>
        <v>-754.674617514282</v>
      </c>
      <c r="C415" s="59" t="n">
        <f aca="false">C403-C404-C405-C406-C411-C398-C399-C400-C413+C414</f>
        <v>-303.151265125812</v>
      </c>
      <c r="D415" s="59" t="n">
        <f aca="false">D403-D404-D405-D406-D411-D398-D399-D400-D413+D414</f>
        <v>398.478838015203</v>
      </c>
      <c r="E415" s="59" t="n">
        <f aca="false">E403-E404-E405-E406-E411-E398-E399-E400-E413+E414</f>
        <v>318.281382904054</v>
      </c>
      <c r="F415" s="59" t="n">
        <f aca="false">F403-F404-F405-F406-F411-F398-F399-F400-F413+F414</f>
        <v>355.209575292365</v>
      </c>
      <c r="G415" s="59" t="n">
        <f aca="false">G403-G404-G405-G406-G411-G398-G399-G400-G413+G414</f>
        <v>327.767201639754</v>
      </c>
      <c r="H415" s="59" t="n">
        <f aca="false">H403-H404-H405-H406-H411-H398-H399-H400-H413+H414</f>
        <v>310.587178462367</v>
      </c>
      <c r="I415" s="59" t="n">
        <f aca="false">I403-I404-I405-I406-I411-I398-I399-I400-I413+I414</f>
        <v>359.133948748462</v>
      </c>
      <c r="J415" s="59" t="n">
        <f aca="false">J403-J404-J405-J406-J411-J398-J399-J400-J413+J414</f>
        <v>351.28109170435</v>
      </c>
      <c r="K415" s="59" t="n">
        <f aca="false">K403-K404-K405-K406-K411-K398-K399-K400-K413+K414</f>
        <v>350.258364937755</v>
      </c>
      <c r="L415" s="59" t="n">
        <f aca="false">L403-L404-L405-L406-L411-L398-L399-L400-L413+L414</f>
        <v>567.938942232315</v>
      </c>
    </row>
    <row r="416" customFormat="false" ht="15" hidden="true" customHeight="false" outlineLevel="1" collapsed="false">
      <c r="A416" s="9" t="s">
        <v>423</v>
      </c>
      <c r="B416" s="58" t="n">
        <f aca="false">B415*B395</f>
        <v>-799.955094565139</v>
      </c>
      <c r="C416" s="58" t="n">
        <f aca="false">C415*C395</f>
        <v>-337.407358085029</v>
      </c>
      <c r="D416" s="58" t="n">
        <f aca="false">D415*D395</f>
        <v>463.464759312913</v>
      </c>
      <c r="E416" s="58" t="n">
        <f aca="false">E415*E395</f>
        <v>384.995834324361</v>
      </c>
      <c r="F416" s="58" t="n">
        <f aca="false">F415*F395</f>
        <v>446.851065475441</v>
      </c>
      <c r="G416" s="58" t="n">
        <f aca="false">G415*G395</f>
        <v>428.821909112333</v>
      </c>
      <c r="H416" s="58" t="n">
        <f aca="false">H415*H395</f>
        <v>422.598873815466</v>
      </c>
      <c r="I416" s="58" t="n">
        <f aca="false">I415*I395</f>
        <v>508.199942969399</v>
      </c>
      <c r="J416" s="58" t="n">
        <f aca="false">J415*J395</f>
        <v>516.97109852244</v>
      </c>
      <c r="K416" s="58" t="n">
        <f aca="false">K415*K395</f>
        <v>536.08461771287</v>
      </c>
      <c r="L416" s="58" t="n">
        <f aca="false">L415*L395</f>
        <v>904.023702664084</v>
      </c>
    </row>
    <row r="417" customFormat="false" ht="15" hidden="true" customHeight="false" outlineLevel="1" collapsed="false">
      <c r="A417" s="6" t="s">
        <v>424</v>
      </c>
      <c r="B417" s="29" t="n">
        <f aca="false">B415</f>
        <v>-754.674617514282</v>
      </c>
      <c r="C417" s="29" t="n">
        <f aca="false">B417+C415</f>
        <v>-1057.82588264009</v>
      </c>
      <c r="D417" s="29" t="n">
        <f aca="false">C417+D415</f>
        <v>-659.347044624891</v>
      </c>
      <c r="E417" s="29" t="n">
        <f aca="false">D417+E415</f>
        <v>-341.065661720836</v>
      </c>
      <c r="F417" s="29" t="n">
        <f aca="false">E417+F415</f>
        <v>14.1439135715293</v>
      </c>
      <c r="G417" s="29" t="n">
        <f aca="false">F417+G415</f>
        <v>341.911115211284</v>
      </c>
      <c r="H417" s="29" t="n">
        <f aca="false">G417+H415</f>
        <v>652.498293673651</v>
      </c>
      <c r="I417" s="29" t="n">
        <f aca="false">H417+I415</f>
        <v>1011.63224242211</v>
      </c>
      <c r="J417" s="29" t="n">
        <f aca="false">I417+J415</f>
        <v>1362.91333412646</v>
      </c>
      <c r="K417" s="29" t="n">
        <f aca="false">J417+K415</f>
        <v>1713.17169906422</v>
      </c>
      <c r="L417" s="29" t="n">
        <f aca="false">K417+L415</f>
        <v>2281.11064129653</v>
      </c>
    </row>
    <row r="418" customFormat="false" ht="15" hidden="true" customHeight="false" outlineLevel="1" collapsed="false">
      <c r="A418" s="9" t="s">
        <v>425</v>
      </c>
      <c r="B418" s="60" t="n">
        <v>0</v>
      </c>
      <c r="C418" s="60" t="n">
        <f aca="false">IF(AND(B417&lt;0,C417&gt;=0),B$47+(-B417)/C415,0)</f>
        <v>0</v>
      </c>
      <c r="D418" s="60" t="n">
        <f aca="false">IF(AND(C417&lt;0,D417&gt;=0),C$47+(-C417)/D415,0)</f>
        <v>0</v>
      </c>
      <c r="E418" s="60" t="n">
        <f aca="false">IF(AND(D417&lt;0,E417&gt;=0),D$47+(-D417)/E415,0)</f>
        <v>0</v>
      </c>
      <c r="F418" s="60" t="n">
        <f aca="false">IF(AND(E417&lt;0,F417&gt;=0),E$47+(-E417)/F415,0)</f>
        <v>3.96018149690957</v>
      </c>
      <c r="G418" s="60" t="n">
        <f aca="false">IF(AND(F417&lt;0,G417&gt;=0),F$47+(-F417)/G415,0)</f>
        <v>0</v>
      </c>
      <c r="H418" s="60" t="n">
        <f aca="false">IF(AND(G417&lt;0,H417&gt;=0),G$47+(-G417)/H415,0)</f>
        <v>0</v>
      </c>
      <c r="I418" s="60" t="n">
        <f aca="false">IF(AND(H417&lt;0,I417&gt;=0),H$47+(-H417)/I415,0)</f>
        <v>0</v>
      </c>
      <c r="J418" s="60" t="n">
        <f aca="false">IF(AND(I417&lt;0,J417&gt;=0),I$47+(-I417)/J415,0)</f>
        <v>0</v>
      </c>
      <c r="K418" s="60" t="n">
        <f aca="false">IF(AND(J417&lt;0,K417&gt;=0),J$47+(-J417)/K415,0)</f>
        <v>0</v>
      </c>
      <c r="L418" s="60" t="n">
        <f aca="false">IF(AND(K417&lt;0,L417&gt;=0),K$47+(-K417)/L415,0)</f>
        <v>0</v>
      </c>
    </row>
    <row r="419" customFormat="false" ht="15" hidden="true" customHeight="false" outlineLevel="1" collapsed="false">
      <c r="A419" s="9" t="s">
        <v>426</v>
      </c>
      <c r="B419" s="57" t="n">
        <f aca="false">(B395/$B$395)/(1+$J$29)^B$47</f>
        <v>1</v>
      </c>
      <c r="C419" s="57" t="n">
        <f aca="false">(C395/$B$395)/(1+$J$29)^C$47</f>
        <v>0.915373701313561</v>
      </c>
      <c r="D419" s="57" t="n">
        <f aca="false">(D395/$B$395)/(1+$J$29)^D$47</f>
        <v>0.833918970137172</v>
      </c>
      <c r="E419" s="57" t="n">
        <f aca="false">(E395/$B$395)/(1+$J$29)^E$47</f>
        <v>0.756077518153961</v>
      </c>
      <c r="F419" s="57" t="n">
        <f aca="false">(F395/$B$395)/(1+$J$29)^F$47</f>
        <v>0.685502109831871</v>
      </c>
      <c r="G419" s="57" t="n">
        <f aca="false">(G395/$B$395)/(1+$J$29)^G$47</f>
        <v>0.621514502549008</v>
      </c>
      <c r="H419" s="57" t="n">
        <f aca="false">(H395/$B$395)/(1+$J$29)^H$47</f>
        <v>0.563499763660072</v>
      </c>
      <c r="I419" s="57" t="n">
        <f aca="false">(I395/$B$395)/(1+$J$29)^I$47</f>
        <v>0.510900360880829</v>
      </c>
      <c r="J419" s="57" t="n">
        <f aca="false">(J395/$B$395)/(1+$J$29)^J$47</f>
        <v>0.463210804300567</v>
      </c>
      <c r="K419" s="57" t="n">
        <f aca="false">(K395/$B$395)/(1+$J$29)^K$47</f>
        <v>0.419972788531318</v>
      </c>
      <c r="L419" s="57" t="n">
        <f aca="false">(L395/$B$395)/(1+$J$29)^L$47</f>
        <v>0.380770788308996</v>
      </c>
    </row>
    <row r="420" customFormat="false" ht="15" hidden="true" customHeight="false" outlineLevel="1" collapsed="false">
      <c r="A420" s="9" t="s">
        <v>427</v>
      </c>
      <c r="B420" s="58" t="n">
        <f aca="false">B415*B419</f>
        <v>-754.674617514282</v>
      </c>
      <c r="C420" s="58" t="n">
        <f aca="false">C415*C419</f>
        <v>-277.496695616103</v>
      </c>
      <c r="D420" s="58" t="n">
        <f aca="false">D415*D419</f>
        <v>332.299062219096</v>
      </c>
      <c r="E420" s="58" t="n">
        <f aca="false">E415*E419</f>
        <v>240.645398060708</v>
      </c>
      <c r="F420" s="58" t="n">
        <f aca="false">F415*F419</f>
        <v>243.4969132954</v>
      </c>
      <c r="G420" s="58" t="n">
        <f aca="false">G415*G419</f>
        <v>203.712069279012</v>
      </c>
      <c r="H420" s="58" t="n">
        <f aca="false">H415*H419</f>
        <v>175.015801659392</v>
      </c>
      <c r="I420" s="58" t="n">
        <f aca="false">I415*I419</f>
        <v>183.481664020147</v>
      </c>
      <c r="J420" s="58" t="n">
        <f aca="false">J415*J419</f>
        <v>162.717197023953</v>
      </c>
      <c r="K420" s="58" t="n">
        <f aca="false">K415*K419</f>
        <v>147.098982229329</v>
      </c>
      <c r="L420" s="58" t="n">
        <f aca="false">L415*L419</f>
        <v>216.254558745176</v>
      </c>
    </row>
    <row r="421" customFormat="false" ht="15" hidden="true" customHeight="false" outlineLevel="1" collapsed="false">
      <c r="A421" s="9" t="s">
        <v>428</v>
      </c>
      <c r="B421" s="58" t="n">
        <f aca="false">B420</f>
        <v>-754.674617514282</v>
      </c>
      <c r="C421" s="58" t="n">
        <f aca="false">B421+C420</f>
        <v>-1032.17131313039</v>
      </c>
      <c r="D421" s="58" t="n">
        <f aca="false">C421+D420</f>
        <v>-699.87225091129</v>
      </c>
      <c r="E421" s="58" t="n">
        <f aca="false">D421+E420</f>
        <v>-459.226852850582</v>
      </c>
      <c r="F421" s="58" t="n">
        <f aca="false">E421+F420</f>
        <v>-215.729939555182</v>
      </c>
      <c r="G421" s="58" t="n">
        <f aca="false">F421+G420</f>
        <v>-12.01787027617</v>
      </c>
      <c r="H421" s="58" t="n">
        <f aca="false">G421+H420</f>
        <v>162.997931383222</v>
      </c>
      <c r="I421" s="58" t="n">
        <f aca="false">H421+I420</f>
        <v>346.479595403369</v>
      </c>
      <c r="J421" s="58" t="n">
        <f aca="false">I421+J420</f>
        <v>509.196792427323</v>
      </c>
      <c r="K421" s="58" t="n">
        <f aca="false">J421+K420</f>
        <v>656.295774656651</v>
      </c>
      <c r="L421" s="58" t="n">
        <f aca="false">K421+L420</f>
        <v>872.550333401827</v>
      </c>
    </row>
    <row r="422" customFormat="false" ht="15" hidden="true" customHeight="false" outlineLevel="1" collapsed="false">
      <c r="A422" s="9" t="s">
        <v>429</v>
      </c>
      <c r="B422" s="60" t="n">
        <v>0</v>
      </c>
      <c r="C422" s="60" t="n">
        <f aca="false">IF(AND(B421&lt;0,C421&gt;=0),B$47+(-B421)/C420,0)</f>
        <v>0</v>
      </c>
      <c r="D422" s="60" t="n">
        <f aca="false">IF(AND(C421&lt;0,D421&gt;=0),C$47+(-C421)/D420,0)</f>
        <v>0</v>
      </c>
      <c r="E422" s="60" t="n">
        <f aca="false">IF(AND(D421&lt;0,E421&gt;=0),D$47+(-D421)/E420,0)</f>
        <v>0</v>
      </c>
      <c r="F422" s="60" t="n">
        <f aca="false">IF(AND(E421&lt;0,F421&gt;=0),E$47+(-E421)/F420,0)</f>
        <v>0</v>
      </c>
      <c r="G422" s="60" t="n">
        <f aca="false">IF(AND(F421&lt;0,G421&gt;=0),F$47+(-F421)/G420,0)</f>
        <v>0</v>
      </c>
      <c r="H422" s="60" t="n">
        <f aca="false">IF(AND(G421&lt;0,H421&gt;=0),G$47+(-G421)/H420,0)</f>
        <v>5.06866734410393</v>
      </c>
      <c r="I422" s="60" t="n">
        <f aca="false">IF(AND(H421&lt;0,I421&gt;=0),H$47+(-H421)/I420,0)</f>
        <v>0</v>
      </c>
      <c r="J422" s="60" t="n">
        <f aca="false">IF(AND(I421&lt;0,J421&gt;=0),I$47+(-I421)/J420,0)</f>
        <v>0</v>
      </c>
      <c r="K422" s="60" t="n">
        <f aca="false">IF(AND(J421&lt;0,K421&gt;=0),J$47+(-J421)/K420,0)</f>
        <v>0</v>
      </c>
      <c r="L422" s="60" t="n">
        <f aca="false">IF(AND(K421&lt;0,L421&gt;=0),K$47+(-K421)/L420,0)</f>
        <v>0</v>
      </c>
    </row>
    <row r="423" customFormat="false" ht="15" hidden="true" customHeight="false" outlineLevel="1" collapsed="false">
      <c r="A423" s="9" t="s">
        <v>430</v>
      </c>
      <c r="B423" s="58" t="n">
        <f aca="false">IF(B$47&lt;0,0,(Quesería!$B$44*$B$398*$B$395)*(1-MAX(0,MIN(B$47-0-Quesería!$B$47,(Quesería!$B$46-Quesería!$B$47)))/(Quesería!$B$46-Quesería!$B$47))*IF(B$47&gt;=2,1-Quesería!$B$48,1))+IF(B$47&lt;1,0,(Quesería!$B$44*$C$398*$C$395)*(1-MAX(0,MIN(B$47-1-Quesería!$B$47,(Quesería!$B$46-Quesería!$B$47)))/(Quesería!$B$46-Quesería!$B$47))*IF(B$47&gt;=2,1-Quesería!$B$48,1))</f>
        <v>513.05709197474</v>
      </c>
      <c r="C423" s="58" t="n">
        <f aca="false">IF(C$47&lt;0,0,(Quesería!$B$44*$B$398*$B$395)*(1-MAX(0,MIN(C$47-0-Quesería!$B$47,(Quesería!$B$46-Quesería!$B$47)))/(Quesería!$B$46-Quesería!$B$47))*IF(C$47&gt;=2,1-Quesería!$B$48,1))+IF(C$47&lt;1,0,(Quesería!$B$44*$C$398*$C$395)*(1-MAX(0,MIN(C$47-1-Quesería!$B$47,(Quesería!$B$46-Quesería!$B$47)))/(Quesería!$B$46-Quesería!$B$47))*IF(C$47&gt;=2,1-Quesería!$B$48,1))</f>
        <v>894.152649003273</v>
      </c>
      <c r="D423" s="58" t="n">
        <f aca="false">IF(D$47&lt;0,0,(Quesería!$B$44*$B$398*$B$395)*(1-MAX(0,MIN(D$47-0-Quesería!$B$47,(Quesería!$B$46-Quesería!$B$47)))/(Quesería!$B$46-Quesería!$B$47))*IF(D$47&gt;=2,1-Quesería!$B$48,1))+IF(D$47&lt;1,0,(Quesería!$B$44*$C$398*$C$395)*(1-MAX(0,MIN(D$47-1-Quesería!$B$47,(Quesería!$B$46-Quesería!$B$47)))/(Quesería!$B$46-Quesería!$B$47))*IF(D$47&gt;=2,1-Quesería!$B$48,1))</f>
        <v>808.64313367415</v>
      </c>
      <c r="E423" s="58" t="n">
        <f aca="false">IF(E$47&lt;0,0,(Quesería!$B$44*$B$398*$B$395)*(1-MAX(0,MIN(E$47-0-Quesería!$B$47,(Quesería!$B$46-Quesería!$B$47)))/(Quesería!$B$46-Quesería!$B$47))*IF(E$47&gt;=2,1-Quesería!$B$48,1))+IF(E$47&lt;1,0,(Quesería!$B$44*$C$398*$C$395)*(1-MAX(0,MIN(E$47-1-Quesería!$B$47,(Quesería!$B$46-Quesería!$B$47)))/(Quesería!$B$46-Quesería!$B$47))*IF(E$47&gt;=2,1-Quesería!$B$48,1))</f>
        <v>659.617692173604</v>
      </c>
      <c r="F423" s="58" t="n">
        <f aca="false">IF(F$47&lt;0,0,(Quesería!$B$44*$B$398*$B$395)*(1-MAX(0,MIN(F$47-0-Quesería!$B$47,(Quesería!$B$46-Quesería!$B$47)))/(Quesería!$B$46-Quesería!$B$47))*IF(F$47&gt;=2,1-Quesería!$B$48,1))+IF(F$47&lt;1,0,(Quesería!$B$44*$C$398*$C$395)*(1-MAX(0,MIN(F$47-1-Quesería!$B$47,(Quesería!$B$46-Quesería!$B$47)))/(Quesería!$B$46-Quesería!$B$47))*IF(F$47&gt;=2,1-Quesería!$B$48,1))</f>
        <v>510.592250673059</v>
      </c>
      <c r="G423" s="58" t="n">
        <f aca="false">IF(G$47&lt;0,0,(Quesería!$B$44*$B$398*$B$395)*(1-MAX(0,MIN(G$47-0-Quesería!$B$47,(Quesería!$B$46-Quesería!$B$47)))/(Quesería!$B$46-Quesería!$B$47))*IF(G$47&gt;=2,1-Quesería!$B$48,1))+IF(G$47&lt;1,0,(Quesería!$B$44*$C$398*$C$395)*(1-MAX(0,MIN(G$47-1-Quesería!$B$47,(Quesería!$B$46-Quesería!$B$47)))/(Quesería!$B$46-Quesería!$B$47))*IF(G$47&gt;=2,1-Quesería!$B$48,1))</f>
        <v>361.566809172513</v>
      </c>
      <c r="H423" s="58" t="n">
        <f aca="false">IF(H$47&lt;0,0,(Quesería!$B$44*$B$398*$B$395)*(1-MAX(0,MIN(H$47-0-Quesería!$B$47,(Quesería!$B$46-Quesería!$B$47)))/(Quesería!$B$46-Quesería!$B$47))*IF(H$47&gt;=2,1-Quesería!$B$48,1))+IF(H$47&lt;1,0,(Quesería!$B$44*$C$398*$C$395)*(1-MAX(0,MIN(H$47-1-Quesería!$B$47,(Quesería!$B$46-Quesería!$B$47)))/(Quesería!$B$46-Quesería!$B$47))*IF(H$47&gt;=2,1-Quesería!$B$48,1))</f>
        <v>212.541367671968</v>
      </c>
      <c r="I423" s="58" t="n">
        <f aca="false">IF(I$47&lt;0,0,(Quesería!$B$44*$B$398*$B$395)*(1-MAX(0,MIN(I$47-0-Quesería!$B$47,(Quesería!$B$46-Quesería!$B$47)))/(Quesería!$B$46-Quesería!$B$47))*IF(I$47&gt;=2,1-Quesería!$B$48,1))+IF(I$47&lt;1,0,(Quesería!$B$44*$C$398*$C$395)*(1-MAX(0,MIN(I$47-1-Quesería!$B$47,(Quesería!$B$46-Quesería!$B$47)))/(Quesería!$B$46-Quesería!$B$47))*IF(I$47&gt;=2,1-Quesería!$B$48,1))</f>
        <v>63.5159261714221</v>
      </c>
      <c r="J423" s="58" t="n">
        <f aca="false">IF(J$47&lt;0,0,(Quesería!$B$44*$B$398*$B$395)*(1-MAX(0,MIN(J$47-0-Quesería!$B$47,(Quesería!$B$46-Quesería!$B$47)))/(Quesería!$B$46-Quesería!$B$47))*IF(J$47&gt;=2,1-Quesería!$B$48,1))+IF(J$47&lt;1,0,(Quesería!$B$44*$C$398*$C$395)*(1-MAX(0,MIN(J$47-1-Quesería!$B$47,(Quesería!$B$46-Quesería!$B$47)))/(Quesería!$B$46-Quesería!$B$47))*IF(J$47&gt;=2,1-Quesería!$B$48,1))</f>
        <v>0</v>
      </c>
      <c r="K423" s="58" t="n">
        <f aca="false">IF(K$47&lt;0,0,(Quesería!$B$44*$B$398*$B$395)*(1-MAX(0,MIN(K$47-0-Quesería!$B$47,(Quesería!$B$46-Quesería!$B$47)))/(Quesería!$B$46-Quesería!$B$47))*IF(K$47&gt;=2,1-Quesería!$B$48,1))+IF(K$47&lt;1,0,(Quesería!$B$44*$C$398*$C$395)*(1-MAX(0,MIN(K$47-1-Quesería!$B$47,(Quesería!$B$46-Quesería!$B$47)))/(Quesería!$B$46-Quesería!$B$47))*IF(K$47&gt;=2,1-Quesería!$B$48,1))</f>
        <v>0</v>
      </c>
      <c r="L423" s="58" t="n">
        <f aca="false">IF(L$47&lt;0,0,(Quesería!$B$44*$B$398*$B$395)*(1-MAX(0,MIN(L$47-0-Quesería!$B$47,(Quesería!$B$46-Quesería!$B$47)))/(Quesería!$B$46-Quesería!$B$47))*IF(L$47&gt;=2,1-Quesería!$B$48,1))+IF(L$47&lt;1,0,(Quesería!$B$44*$C$398*$C$395)*(1-MAX(0,MIN(L$47-1-Quesería!$B$47,(Quesería!$B$46-Quesería!$B$47)))/(Quesería!$B$46-Quesería!$B$47))*IF(L$47&gt;=2,1-Quesería!$B$48,1))</f>
        <v>0</v>
      </c>
    </row>
    <row r="424" customFormat="false" ht="15" hidden="true" customHeight="false" outlineLevel="1" collapsed="false">
      <c r="A424" s="6" t="s">
        <v>431</v>
      </c>
      <c r="B424" s="29" t="n">
        <f aca="false">Quesería!$B$44*B398</f>
        <v>484.016124504472</v>
      </c>
      <c r="C424" s="29" t="n">
        <f aca="false">Quesería!$B$44*C398</f>
        <v>342.403914670739</v>
      </c>
      <c r="D424" s="29" t="n">
        <f aca="false">Quesería!$B$44*D398</f>
        <v>0</v>
      </c>
      <c r="E424" s="29" t="n">
        <f aca="false">Quesería!$B$44*E398</f>
        <v>0</v>
      </c>
      <c r="F424" s="29" t="n">
        <f aca="false">Quesería!$B$44*F398</f>
        <v>0</v>
      </c>
      <c r="G424" s="29" t="n">
        <f aca="false">Quesería!$B$44*G398</f>
        <v>0</v>
      </c>
      <c r="H424" s="29" t="n">
        <f aca="false">Quesería!$B$44*H398</f>
        <v>0</v>
      </c>
      <c r="I424" s="29" t="n">
        <f aca="false">Quesería!$B$44*I398</f>
        <v>0</v>
      </c>
      <c r="J424" s="29" t="n">
        <f aca="false">Quesería!$B$44*J398</f>
        <v>0</v>
      </c>
      <c r="K424" s="29" t="n">
        <f aca="false">Quesería!$B$44*K398</f>
        <v>0</v>
      </c>
      <c r="L424" s="29" t="n">
        <f aca="false">Quesería!$B$44*L398</f>
        <v>0</v>
      </c>
    </row>
    <row r="425" customFormat="false" ht="15" hidden="true" customHeight="false" outlineLevel="1" collapsed="false">
      <c r="A425" s="6" t="s">
        <v>432</v>
      </c>
      <c r="B425" s="29" t="n">
        <f aca="false">(IF(AND(B$47&gt;0,B$47&lt;=0+Quesería!$B$46),($J$14+$J$28)*(Quesería!$B$44*$B$398*$B$395)*(1-MAX(0,MIN((B$47-1)-0-Quesería!$B$47,(Quesería!$B$46-Quesería!$B$47)))/(Quesería!$B$46-Quesería!$B$47))*IF(B$47&gt;2,1-Quesería!$B$48,1),0)+IF(AND(B$47&gt;1,B$47&lt;=1+Quesería!$B$46),($J$14+$J$28)*(Quesería!$B$44*$C$398*$C$395)*(1-MAX(0,MIN((B$47-1)-1-Quesería!$B$47,(Quesería!$B$46-Quesería!$B$47)))/(Quesería!$B$46-Quesería!$B$47))*IF(B$47&gt;2,1-Quesería!$B$48,1),0))*B397</f>
        <v>0</v>
      </c>
      <c r="C425" s="29" t="n">
        <f aca="false">(IF(AND(C$47&gt;0,C$47&lt;=0+Quesería!$B$46),($J$14+$J$28)*(Quesería!$B$44*$B$398*$B$395)*(1-MAX(0,MIN((C$47-1)-0-Quesería!$B$47,(Quesería!$B$46-Quesería!$B$47)))/(Quesería!$B$46-Quesería!$B$47))*IF(C$47&gt;2,1-Quesería!$B$48,1),0)+IF(AND(C$47&gt;1,C$47&lt;=1+Quesería!$B$46),($J$14+$J$28)*(Quesería!$B$44*$C$398*$C$395)*(1-MAX(0,MIN((C$47-1)-1-Quesería!$B$47,(Quesería!$B$46-Quesería!$B$47)))/(Quesería!$B$46-Quesería!$B$47))*IF(C$47&gt;2,1-Quesería!$B$48,1),0))*C397</f>
        <v>64.9964510048862</v>
      </c>
      <c r="D425" s="29" t="n">
        <f aca="false">(IF(AND(D$47&gt;0,D$47&lt;=0+Quesería!$B$46),($J$14+$J$28)*(Quesería!$B$44*$B$398*$B$395)*(1-MAX(0,MIN((D$47-1)-0-Quesería!$B$47,(Quesería!$B$46-Quesería!$B$47)))/(Quesería!$B$46-Quesería!$B$47))*IF(D$47&gt;2,1-Quesería!$B$48,1),0)+IF(AND(D$47&gt;1,D$47&lt;=1+Quesería!$B$46),($J$14+$J$28)*(Quesería!$B$44*$C$398*$C$395)*(1-MAX(0,MIN((D$47-1)-1-Quesería!$B$47,(Quesería!$B$46-Quesería!$B$47)))/(Quesería!$B$46-Quesería!$B$47))*IF(D$47&gt;2,1-Quesería!$B$48,1),0))*D397</f>
        <v>108.397514807139</v>
      </c>
      <c r="E425" s="29" t="n">
        <f aca="false">(IF(AND(E$47&gt;0,E$47&lt;=0+Quesería!$B$46),($J$14+$J$28)*(Quesería!$B$44*$B$398*$B$395)*(1-MAX(0,MIN((E$47-1)-0-Quesería!$B$47,(Quesería!$B$46-Quesería!$B$47)))/(Quesería!$B$46-Quesería!$B$47))*IF(E$47&gt;2,1-Quesería!$B$48,1),0)+IF(AND(E$47&gt;1,E$47&lt;=1+Quesería!$B$46),($J$14+$J$28)*(Quesería!$B$44*$C$398*$C$395)*(1-MAX(0,MIN((E$47-1)-1-Quesería!$B$47,(Quesería!$B$46-Quesería!$B$47)))/(Quesería!$B$46-Quesería!$B$47))*IF(E$47&gt;2,1-Quesería!$B$48,1),0))*E397</f>
        <v>94.2608218065079</v>
      </c>
      <c r="F425" s="29" t="n">
        <f aca="false">(IF(AND(F$47&gt;0,F$47&lt;=0+Quesería!$B$46),($J$14+$J$28)*(Quesería!$B$44*$B$398*$B$395)*(1-MAX(0,MIN((F$47-1)-0-Quesería!$B$47,(Quesería!$B$46-Quesería!$B$47)))/(Quesería!$B$46-Quesería!$B$47))*IF(F$47&gt;2,1-Quesería!$B$48,1),0)+IF(AND(F$47&gt;1,F$47&lt;=1+Quesería!$B$46),($J$14+$J$28)*(Quesería!$B$44*$C$398*$C$395)*(1-MAX(0,MIN((F$47-1)-1-Quesería!$B$47,(Quesería!$B$46-Quesería!$B$47)))/(Quesería!$B$46-Quesería!$B$47))*IF(F$47&gt;2,1-Quesería!$B$48,1),0))*F397</f>
        <v>73.9321396180766</v>
      </c>
      <c r="G425" s="29" t="n">
        <f aca="false">(IF(AND(G$47&gt;0,G$47&lt;=0+Quesería!$B$46),($J$14+$J$28)*(Quesería!$B$44*$B$398*$B$395)*(1-MAX(0,MIN((G$47-1)-0-Quesería!$B$47,(Quesería!$B$46-Quesería!$B$47)))/(Quesería!$B$46-Quesería!$B$47))*IF(G$47&gt;2,1-Quesería!$B$48,1),0)+IF(AND(G$47&gt;1,G$47&lt;=1+Quesería!$B$46),($J$14+$J$28)*(Quesería!$B$44*$C$398*$C$395)*(1-MAX(0,MIN((G$47-1)-1-Quesería!$B$47,(Quesería!$B$46-Quesería!$B$47)))/(Quesería!$B$46-Quesería!$B$47))*IF(G$47&gt;2,1-Quesería!$B$48,1),0))*G397</f>
        <v>55.0277631278582</v>
      </c>
      <c r="H425" s="29" t="n">
        <f aca="false">(IF(AND(H$47&gt;0,H$47&lt;=0+Quesería!$B$46),($J$14+$J$28)*(Quesería!$B$44*$B$398*$B$395)*(1-MAX(0,MIN((H$47-1)-0-Quesería!$B$47,(Quesería!$B$46-Quesería!$B$47)))/(Quesería!$B$46-Quesería!$B$47))*IF(H$47&gt;2,1-Quesería!$B$48,1),0)+IF(AND(H$47&gt;1,H$47&lt;=1+Quesería!$B$46),($J$14+$J$28)*(Quesería!$B$44*$C$398*$C$395)*(1-MAX(0,MIN((H$47-1)-1-Quesería!$B$47,(Quesería!$B$46-Quesería!$B$47)))/(Quesería!$B$46-Quesería!$B$47))*IF(H$47&gt;2,1-Quesería!$B$48,1),0))*H397</f>
        <v>37.4682023741388</v>
      </c>
      <c r="I425" s="29" t="n">
        <f aca="false">(IF(AND(I$47&gt;0,I$47&lt;=0+Quesería!$B$46),($J$14+$J$28)*(Quesería!$B$44*$B$398*$B$395)*(1-MAX(0,MIN((I$47-1)-0-Quesería!$B$47,(Quesería!$B$46-Quesería!$B$47)))/(Quesería!$B$46-Quesería!$B$47))*IF(I$47&gt;2,1-Quesería!$B$48,1),0)+IF(AND(I$47&gt;1,I$47&lt;=1+Quesería!$B$46),($J$14+$J$28)*(Quesería!$B$44*$C$398*$C$395)*(1-MAX(0,MIN((I$47-1)-1-Quesería!$B$47,(Quesería!$B$46-Quesería!$B$47)))/(Quesería!$B$46-Quesería!$B$47))*IF(I$47&gt;2,1-Quesería!$B$48,1),0))*I397</f>
        <v>21.1779750465518</v>
      </c>
      <c r="J425" s="29" t="n">
        <f aca="false">(IF(AND(J$47&gt;0,J$47&lt;=0+Quesería!$B$46),($J$14+$J$28)*(Quesería!$B$44*$B$398*$B$395)*(1-MAX(0,MIN((J$47-1)-0-Quesería!$B$47,(Quesería!$B$46-Quesería!$B$47)))/(Quesería!$B$46-Quesería!$B$47))*IF(J$47&gt;2,1-Quesería!$B$48,1),0)+IF(AND(J$47&gt;1,J$47&lt;=1+Quesería!$B$46),($J$14+$J$28)*(Quesería!$B$44*$C$398*$C$395)*(1-MAX(0,MIN((J$47-1)-1-Quesería!$B$47,(Quesería!$B$46-Quesería!$B$47)))/(Quesería!$B$46-Quesería!$B$47))*IF(J$47&gt;2,1-Quesería!$B$48,1),0))*J397</f>
        <v>6.08541579390626</v>
      </c>
      <c r="K425" s="29" t="n">
        <f aca="false">(IF(AND(K$47&gt;0,K$47&lt;=0+Quesería!$B$46),($J$14+$J$28)*(Quesería!$B$44*$B$398*$B$395)*(1-MAX(0,MIN((K$47-1)-0-Quesería!$B$47,(Quesería!$B$46-Quesería!$B$47)))/(Quesería!$B$46-Quesería!$B$47))*IF(K$47&gt;2,1-Quesería!$B$48,1),0)+IF(AND(K$47&gt;1,K$47&lt;=1+Quesería!$B$46),($J$14+$J$28)*(Quesería!$B$44*$C$398*$C$395)*(1-MAX(0,MIN((K$47-1)-1-Quesería!$B$47,(Quesería!$B$46-Quesería!$B$47)))/(Quesería!$B$46-Quesería!$B$47))*IF(K$47&gt;2,1-Quesería!$B$48,1),0))*K397</f>
        <v>0</v>
      </c>
      <c r="L425" s="29" t="n">
        <f aca="false">(IF(AND(L$47&gt;0,L$47&lt;=0+Quesería!$B$46),($J$14+$J$28)*(Quesería!$B$44*$B$398*$B$395)*(1-MAX(0,MIN((L$47-1)-0-Quesería!$B$47,(Quesería!$B$46-Quesería!$B$47)))/(Quesería!$B$46-Quesería!$B$47))*IF(L$47&gt;2,1-Quesería!$B$48,1),0)+IF(AND(L$47&gt;1,L$47&lt;=1+Quesería!$B$46),($J$14+$J$28)*(Quesería!$B$44*$C$398*$C$395)*(1-MAX(0,MIN((L$47-1)-1-Quesería!$B$47,(Quesería!$B$46-Quesería!$B$47)))/(Quesería!$B$46-Quesería!$B$47))*IF(L$47&gt;2,1-Quesería!$B$48,1),0))*L397</f>
        <v>0</v>
      </c>
    </row>
    <row r="426" customFormat="false" ht="15" hidden="true" customHeight="false" outlineLevel="1" collapsed="false">
      <c r="A426" s="6" t="s">
        <v>433</v>
      </c>
      <c r="B426" s="29" t="n">
        <f aca="false">((IF(AND(B$47&gt;0+Quesería!$B$47,B$47&lt;=0+Quesería!$B$46),(Quesería!$B$44*$B$398*$B$395)/(Quesería!$B$46-Quesería!$B$47),0)*IF(B$47&gt;2,1-Quesería!$B$48,1)+IF(B$47=2,Quesería!$B$48*(Quesería!$B$44*$B$398*$B$395)*(1-MAX(0,MIN(2-0-Quesería!$B$47,(Quesería!$B$46-Quesería!$B$47)))/(Quesería!$B$46-Quesería!$B$47)),0))+(IF(AND(B$47&gt;1+Quesería!$B$47,B$47&lt;=1+Quesería!$B$46),(Quesería!$B$44*$C$398*$C$395)/(Quesería!$B$46-Quesería!$B$47),0)*IF(B$47&gt;2,1-Quesería!$B$48,1)+IF(B$47=2,Quesería!$B$48*(Quesería!$B$44*$C$398*$C$395)*(1-MAX(0,MIN(2-1-Quesería!$B$47,(Quesería!$B$46-Quesería!$B$47)))/(Quesería!$B$46-Quesería!$B$47)),0)))*B397</f>
        <v>0</v>
      </c>
      <c r="C426" s="29" t="n">
        <f aca="false">((IF(AND(C$47&gt;0+Quesería!$B$47,C$47&lt;=0+Quesería!$B$46),(Quesería!$B$44*$B$398*$B$395)/(Quesería!$B$46-Quesería!$B$47),0)*IF(C$47&gt;2,1-Quesería!$B$48,1)+IF(C$47=2,Quesería!$B$48*(Quesería!$B$44*$B$398*$B$395)*(1-MAX(0,MIN(2-0-Quesería!$B$47,(Quesería!$B$46-Quesería!$B$47)))/(Quesería!$B$46-Quesería!$B$47)),0))+(IF(AND(C$47&gt;1+Quesería!$B$47,C$47&lt;=1+Quesería!$B$46),(Quesería!$B$44*$C$398*$C$395)/(Quesería!$B$46-Quesería!$B$47),0)*IF(C$47&gt;2,1-Quesería!$B$48,1)+IF(C$47=2,Quesería!$B$48*(Quesería!$B$44*$C$398*$C$395)*(1-MAX(0,MIN(2-1-Quesería!$B$47,(Quesería!$B$46-Quesería!$B$47)))/(Quesería!$B$46-Quesería!$B$47)),0)))*C397</f>
        <v>0</v>
      </c>
      <c r="D426" s="29" t="n">
        <f aca="false">((IF(AND(D$47&gt;0+Quesería!$B$47,D$47&lt;=0+Quesería!$B$46),(Quesería!$B$44*$B$398*$B$395)/(Quesería!$B$46-Quesería!$B$47),0)*IF(D$47&gt;2,1-Quesería!$B$48,1)+IF(D$47=2,Quesería!$B$48*(Quesería!$B$44*$B$398*$B$395)*(1-MAX(0,MIN(2-0-Quesería!$B$47,(Quesería!$B$46-Quesería!$B$47)))/(Quesería!$B$46-Quesería!$B$47)),0))+(IF(AND(D$47&gt;1+Quesería!$B$47,D$47&lt;=1+Quesería!$B$46),(Quesería!$B$44*$C$398*$C$395)/(Quesería!$B$46-Quesería!$B$47),0)*IF(D$47&gt;2,1-Quesería!$B$48,1)+IF(D$47=2,Quesería!$B$48*(Quesería!$B$44*$C$398*$C$395)*(1-MAX(0,MIN(2-1-Quesería!$B$47,(Quesería!$B$46-Quesería!$B$47)))/(Quesería!$B$46-Quesería!$B$47)),0)))*D397</f>
        <v>73.5195753785178</v>
      </c>
      <c r="E426" s="29" t="n">
        <f aca="false">((IF(AND(E$47&gt;0+Quesería!$B$47,E$47&lt;=0+Quesería!$B$46),(Quesería!$B$44*$B$398*$B$395)/(Quesería!$B$46-Quesería!$B$47),0)*IF(E$47&gt;2,1-Quesería!$B$48,1)+IF(E$47=2,Quesería!$B$48*(Quesería!$B$44*$B$398*$B$395)*(1-MAX(0,MIN(2-0-Quesería!$B$47,(Quesería!$B$46-Quesería!$B$47)))/(Quesería!$B$46-Quesería!$B$47)),0))+(IF(AND(E$47&gt;1+Quesería!$B$47,E$47&lt;=1+Quesería!$B$46),(Quesería!$B$44*$C$398*$C$395)/(Quesería!$B$46-Quesería!$B$47),0)*IF(E$47&gt;2,1-Quesería!$B$48,1)+IF(E$47=2,Quesería!$B$48*(Quesería!$B$44*$C$398*$C$395)*(1-MAX(0,MIN(2-1-Quesería!$B$47,(Quesería!$B$46-Quesería!$B$47)))/(Quesería!$B$46-Quesería!$B$47)),0)))*E397</f>
        <v>123.20139435254</v>
      </c>
      <c r="F426" s="29" t="n">
        <f aca="false">((IF(AND(F$47&gt;0+Quesería!$B$47,F$47&lt;=0+Quesería!$B$46),(Quesería!$B$44*$B$398*$B$395)/(Quesería!$B$46-Quesería!$B$47),0)*IF(F$47&gt;2,1-Quesería!$B$48,1)+IF(F$47=2,Quesería!$B$48*(Quesería!$B$44*$B$398*$B$395)*(1-MAX(0,MIN(2-0-Quesería!$B$47,(Quesería!$B$46-Quesería!$B$47)))/(Quesería!$B$46-Quesería!$B$47)),0))+(IF(AND(F$47&gt;1+Quesería!$B$47,F$47&lt;=1+Quesería!$B$46),(Quesería!$B$44*$C$398*$C$395)/(Quesería!$B$46-Quesería!$B$47),0)*IF(F$47&gt;2,1-Quesería!$B$48,1)+IF(F$47=2,Quesería!$B$48*(Quesería!$B$44*$C$398*$C$395)*(1-MAX(0,MIN(2-1-Quesería!$B$47,(Quesería!$B$46-Quesería!$B$47)))/(Quesería!$B$46-Quesería!$B$47)),0)))*F397</f>
        <v>118.462879185135</v>
      </c>
      <c r="G426" s="29" t="n">
        <f aca="false">((IF(AND(G$47&gt;0+Quesería!$B$47,G$47&lt;=0+Quesería!$B$46),(Quesería!$B$44*$B$398*$B$395)/(Quesería!$B$46-Quesería!$B$47),0)*IF(G$47&gt;2,1-Quesería!$B$48,1)+IF(G$47=2,Quesería!$B$48*(Quesería!$B$44*$B$398*$B$395)*(1-MAX(0,MIN(2-0-Quesería!$B$47,(Quesería!$B$46-Quesería!$B$47)))/(Quesería!$B$46-Quesería!$B$47)),0))+(IF(AND(G$47&gt;1+Quesería!$B$47,G$47&lt;=1+Quesería!$B$46),(Quesería!$B$44*$C$398*$C$395)/(Quesería!$B$46-Quesería!$B$47),0)*IF(G$47&gt;2,1-Quesería!$B$48,1)+IF(G$47=2,Quesería!$B$48*(Quesería!$B$44*$C$398*$C$395)*(1-MAX(0,MIN(2-1-Quesería!$B$47,(Quesería!$B$46-Quesería!$B$47)))/(Quesería!$B$46-Quesería!$B$47)),0)))*G397</f>
        <v>113.906614601091</v>
      </c>
      <c r="H426" s="29" t="n">
        <f aca="false">((IF(AND(H$47&gt;0+Quesería!$B$47,H$47&lt;=0+Quesería!$B$46),(Quesería!$B$44*$B$398*$B$395)/(Quesería!$B$46-Quesería!$B$47),0)*IF(H$47&gt;2,1-Quesería!$B$48,1)+IF(H$47=2,Quesería!$B$48*(Quesería!$B$44*$B$398*$B$395)*(1-MAX(0,MIN(2-0-Quesería!$B$47,(Quesería!$B$46-Quesería!$B$47)))/(Quesería!$B$46-Quesería!$B$47)),0))+(IF(AND(H$47&gt;1+Quesería!$B$47,H$47&lt;=1+Quesería!$B$46),(Quesería!$B$44*$C$398*$C$395)/(Quesería!$B$46-Quesería!$B$47),0)*IF(H$47&gt;2,1-Quesería!$B$48,1)+IF(H$47=2,Quesería!$B$48*(Quesería!$B$44*$C$398*$C$395)*(1-MAX(0,MIN(2-1-Quesería!$B$47,(Quesería!$B$46-Quesería!$B$47)))/(Quesería!$B$46-Quesería!$B$47)),0)))*H397</f>
        <v>109.525590962588</v>
      </c>
      <c r="I426" s="29" t="n">
        <f aca="false">((IF(AND(I$47&gt;0+Quesería!$B$47,I$47&lt;=0+Quesería!$B$46),(Quesería!$B$44*$B$398*$B$395)/(Quesería!$B$46-Quesería!$B$47),0)*IF(I$47&gt;2,1-Quesería!$B$48,1)+IF(I$47=2,Quesería!$B$48*(Quesería!$B$44*$B$398*$B$395)*(1-MAX(0,MIN(2-0-Quesería!$B$47,(Quesería!$B$46-Quesería!$B$47)))/(Quesería!$B$46-Quesería!$B$47)),0))+(IF(AND(I$47&gt;1+Quesería!$B$47,I$47&lt;=1+Quesería!$B$46),(Quesería!$B$44*$C$398*$C$395)/(Quesería!$B$46-Quesería!$B$47),0)*IF(I$47&gt;2,1-Quesería!$B$48,1)+IF(I$47=2,Quesería!$B$48*(Quesería!$B$44*$C$398*$C$395)*(1-MAX(0,MIN(2-1-Quesería!$B$47,(Quesería!$B$46-Quesería!$B$47)))/(Quesería!$B$46-Quesería!$B$47)),0)))*I397</f>
        <v>105.313068233258</v>
      </c>
      <c r="J426" s="29" t="n">
        <f aca="false">((IF(AND(J$47&gt;0+Quesería!$B$47,J$47&lt;=0+Quesería!$B$46),(Quesería!$B$44*$B$398*$B$395)/(Quesería!$B$46-Quesería!$B$47),0)*IF(J$47&gt;2,1-Quesería!$B$48,1)+IF(J$47=2,Quesería!$B$48*(Quesería!$B$44*$B$398*$B$395)*(1-MAX(0,MIN(2-0-Quesería!$B$47,(Quesería!$B$46-Quesería!$B$47)))/(Quesería!$B$46-Quesería!$B$47)),0))+(IF(AND(J$47&gt;1+Quesería!$B$47,J$47&lt;=1+Quesería!$B$46),(Quesería!$B$44*$C$398*$C$395)/(Quesería!$B$46-Quesería!$B$47),0)*IF(J$47&gt;2,1-Quesería!$B$48,1)+IF(J$47=2,Quesería!$B$48*(Quesería!$B$44*$C$398*$C$395)*(1-MAX(0,MIN(2-1-Quesería!$B$47,(Quesería!$B$46-Quesería!$B$47)))/(Quesería!$B$46-Quesería!$B$47)),0)))*J397</f>
        <v>43.1589772617465</v>
      </c>
      <c r="K426" s="29" t="n">
        <f aca="false">((IF(AND(K$47&gt;0+Quesería!$B$47,K$47&lt;=0+Quesería!$B$46),(Quesería!$B$44*$B$398*$B$395)/(Quesería!$B$46-Quesería!$B$47),0)*IF(K$47&gt;2,1-Quesería!$B$48,1)+IF(K$47=2,Quesería!$B$48*(Quesería!$B$44*$B$398*$B$395)*(1-MAX(0,MIN(2-0-Quesería!$B$47,(Quesería!$B$46-Quesería!$B$47)))/(Quesería!$B$46-Quesería!$B$47)),0))+(IF(AND(K$47&gt;1+Quesería!$B$47,K$47&lt;=1+Quesería!$B$46),(Quesería!$B$44*$C$398*$C$395)/(Quesería!$B$46-Quesería!$B$47),0)*IF(K$47&gt;2,1-Quesería!$B$48,1)+IF(K$47=2,Quesería!$B$48*(Quesería!$B$44*$C$398*$C$395)*(1-MAX(0,MIN(2-1-Quesería!$B$47,(Quesería!$B$46-Quesería!$B$47)))/(Quesería!$B$46-Quesería!$B$47)),0)))*K397</f>
        <v>0</v>
      </c>
      <c r="L426" s="29" t="n">
        <f aca="false">((IF(AND(L$47&gt;0+Quesería!$B$47,L$47&lt;=0+Quesería!$B$46),(Quesería!$B$44*$B$398*$B$395)/(Quesería!$B$46-Quesería!$B$47),0)*IF(L$47&gt;2,1-Quesería!$B$48,1)+IF(L$47=2,Quesería!$B$48*(Quesería!$B$44*$B$398*$B$395)*(1-MAX(0,MIN(2-0-Quesería!$B$47,(Quesería!$B$46-Quesería!$B$47)))/(Quesería!$B$46-Quesería!$B$47)),0))+(IF(AND(L$47&gt;1+Quesería!$B$47,L$47&lt;=1+Quesería!$B$46),(Quesería!$B$44*$C$398*$C$395)/(Quesería!$B$46-Quesería!$B$47),0)*IF(L$47&gt;2,1-Quesería!$B$48,1)+IF(L$47=2,Quesería!$B$48*(Quesería!$B$44*$C$398*$C$395)*(1-MAX(0,MIN(2-1-Quesería!$B$47,(Quesería!$B$46-Quesería!$B$47)))/(Quesería!$B$46-Quesería!$B$47)),0)))*L397</f>
        <v>0</v>
      </c>
    </row>
    <row r="427" customFormat="false" ht="15" hidden="true" customHeight="false" outlineLevel="1" collapsed="false">
      <c r="A427" s="6" t="s">
        <v>434</v>
      </c>
      <c r="B427" s="29" t="n">
        <f aca="false">$J$13*Quesería!$B$51*(1+0.19)*B423*B397+(1-$J$13)*IF(B$47=0,Quesería!$B$50,0)</f>
        <v>4</v>
      </c>
      <c r="C427" s="29" t="n">
        <f aca="false">$J$13*Quesería!$B$51*(1+0.19)*C423*C397+(1-$J$13)*IF(C$47=0,Quesería!$B$50,0)</f>
        <v>0</v>
      </c>
      <c r="D427" s="29" t="n">
        <f aca="false">$J$13*Quesería!$B$51*(1+0.19)*D423*D397+(1-$J$13)*IF(D$47=0,Quesería!$B$50,0)</f>
        <v>0</v>
      </c>
      <c r="E427" s="29" t="n">
        <f aca="false">$J$13*Quesería!$B$51*(1+0.19)*E423*E397+(1-$J$13)*IF(E$47=0,Quesería!$B$50,0)</f>
        <v>0</v>
      </c>
      <c r="F427" s="29" t="n">
        <f aca="false">$J$13*Quesería!$B$51*(1+0.19)*F423*F397+(1-$J$13)*IF(F$47=0,Quesería!$B$50,0)</f>
        <v>0</v>
      </c>
      <c r="G427" s="29" t="n">
        <f aca="false">$J$13*Quesería!$B$51*(1+0.19)*G423*G397+(1-$J$13)*IF(G$47=0,Quesería!$B$50,0)</f>
        <v>0</v>
      </c>
      <c r="H427" s="29" t="n">
        <f aca="false">$J$13*Quesería!$B$51*(1+0.19)*H423*H397+(1-$J$13)*IF(H$47=0,Quesería!$B$50,0)</f>
        <v>0</v>
      </c>
      <c r="I427" s="29" t="n">
        <f aca="false">$J$13*Quesería!$B$51*(1+0.19)*I423*I397+(1-$J$13)*IF(I$47=0,Quesería!$B$50,0)</f>
        <v>0</v>
      </c>
      <c r="J427" s="29" t="n">
        <f aca="false">$J$13*Quesería!$B$51*(1+0.19)*J423*J397+(1-$J$13)*IF(J$47=0,Quesería!$B$50,0)</f>
        <v>0</v>
      </c>
      <c r="K427" s="29" t="n">
        <f aca="false">$J$13*Quesería!$B$51*(1+0.19)*K423*K397+(1-$J$13)*IF(K$47=0,Quesería!$B$50,0)</f>
        <v>0</v>
      </c>
      <c r="L427" s="29" t="n">
        <f aca="false">$J$13*Quesería!$B$51*(1+0.19)*L423*L397+(1-$J$13)*IF(L$47=0,Quesería!$B$50,0)</f>
        <v>0</v>
      </c>
    </row>
    <row r="428" customFormat="false" ht="15" hidden="true" customHeight="false" outlineLevel="1" collapsed="false">
      <c r="A428" s="6" t="s">
        <v>435</v>
      </c>
      <c r="B428" s="29" t="n">
        <f aca="false">Quesería!$B$52*(B425+B426+B427)</f>
        <v>0.016</v>
      </c>
      <c r="C428" s="29" t="n">
        <f aca="false">Quesería!$B$52*(C425+C426+C427)</f>
        <v>0.259985804019545</v>
      </c>
      <c r="D428" s="29" t="n">
        <f aca="false">Quesería!$B$52*(D425+D426+D427)</f>
        <v>0.727668360742628</v>
      </c>
      <c r="E428" s="29" t="n">
        <f aca="false">Quesería!$B$52*(E425+E426+E427)</f>
        <v>0.869848864636193</v>
      </c>
      <c r="F428" s="29" t="n">
        <f aca="false">Quesería!$B$52*(F425+F426+F427)</f>
        <v>0.769580075212847</v>
      </c>
      <c r="G428" s="29" t="n">
        <f aca="false">Quesería!$B$52*(G425+G426+G427)</f>
        <v>0.675737510915799</v>
      </c>
      <c r="H428" s="29" t="n">
        <f aca="false">Quesería!$B$52*(H425+H426+H427)</f>
        <v>0.587975173346907</v>
      </c>
      <c r="I428" s="29" t="n">
        <f aca="false">Quesería!$B$52*(I425+I426+I427)</f>
        <v>0.505964173119238</v>
      </c>
      <c r="J428" s="29" t="n">
        <f aca="false">Quesería!$B$52*(J425+J426+J427)</f>
        <v>0.196977572222611</v>
      </c>
      <c r="K428" s="29" t="n">
        <f aca="false">Quesería!$B$52*(K425+K426+K427)</f>
        <v>0</v>
      </c>
      <c r="L428" s="29" t="n">
        <f aca="false">Quesería!$B$52*(L425+L426+L427)</f>
        <v>0</v>
      </c>
    </row>
    <row r="429" customFormat="false" ht="15" hidden="true" customHeight="false" outlineLevel="1" collapsed="false">
      <c r="A429" s="6" t="s">
        <v>436</v>
      </c>
      <c r="B429" s="29" t="n">
        <f aca="false">$J$17*(B425+B427+0.5*B428)</f>
        <v>1.4028</v>
      </c>
      <c r="C429" s="29" t="n">
        <f aca="false">$J$17*(C425+C427+0.5*C428)</f>
        <v>22.7942553674136</v>
      </c>
      <c r="D429" s="29" t="n">
        <f aca="false">$J$17*(D425+D427+0.5*D428)</f>
        <v>38.0664721456287</v>
      </c>
      <c r="E429" s="29" t="n">
        <f aca="false">$J$17*(E425+E427+0.5*E428)</f>
        <v>33.1435111835891</v>
      </c>
      <c r="F429" s="29" t="n">
        <f aca="false">$J$17*(F425+F427+0.5*F428)</f>
        <v>26.0109253794891</v>
      </c>
      <c r="G429" s="29" t="n">
        <f aca="false">$J$17*(G425+G427+0.5*G428)</f>
        <v>19.3779711591606</v>
      </c>
      <c r="H429" s="29" t="n">
        <f aca="false">$J$17*(H425+H427+0.5*H428)</f>
        <v>13.2167664862843</v>
      </c>
      <c r="I429" s="29" t="n">
        <f aca="false">$J$17*(I425+I427+0.5*I428)</f>
        <v>7.500834996589</v>
      </c>
      <c r="J429" s="29" t="n">
        <f aca="false">$J$17*(J425+J427+0.5*J428)</f>
        <v>2.16436660300615</v>
      </c>
      <c r="K429" s="29" t="n">
        <f aca="false">$J$17*(K425+K427+0.5*K428)</f>
        <v>0</v>
      </c>
      <c r="L429" s="29" t="n">
        <f aca="false">$J$17*(L425+L427+0.5*L428)</f>
        <v>0</v>
      </c>
    </row>
    <row r="430" customFormat="false" ht="15" hidden="true" customHeight="false" outlineLevel="1" collapsed="false">
      <c r="A430" s="5" t="s">
        <v>437</v>
      </c>
      <c r="B430" s="59" t="n">
        <f aca="false">B415+B424-B425-B426-B427-B428+B429</f>
        <v>-273.27169300981</v>
      </c>
      <c r="C430" s="59" t="n">
        <f aca="false">C415+C424-C425-C426-C427-C428+C429</f>
        <v>-3.20953189656481</v>
      </c>
      <c r="D430" s="59" t="n">
        <f aca="false">D415+D424-D425-D426-D427-D428+D429</f>
        <v>253.900551614432</v>
      </c>
      <c r="E430" s="59" t="n">
        <f aca="false">E415+E424-E425-E426-E427-E428+E429</f>
        <v>133.092829063959</v>
      </c>
      <c r="F430" s="59" t="n">
        <f aca="false">F415+F424-F425-F426-F427-F428+F429</f>
        <v>188.05590179343</v>
      </c>
      <c r="G430" s="59" t="n">
        <f aca="false">G415+G424-G425-G426-G427-G428+G429</f>
        <v>177.53505755905</v>
      </c>
      <c r="H430" s="59" t="n">
        <f aca="false">H415+H424-H425-H426-H427-H428+H429</f>
        <v>176.222176438578</v>
      </c>
      <c r="I430" s="59" t="n">
        <f aca="false">I415+I424-I425-I426-I427-I428+I429</f>
        <v>239.637776292123</v>
      </c>
      <c r="J430" s="59" t="n">
        <f aca="false">J415+J424-J425-J426-J427-J428+J429</f>
        <v>304.004087679481</v>
      </c>
      <c r="K430" s="59" t="n">
        <f aca="false">K415+K424-K425-K426-K427-K428+K429</f>
        <v>350.258364937755</v>
      </c>
      <c r="L430" s="59" t="n">
        <f aca="false">L415+L424-L425-L426-L427-L428+L429</f>
        <v>567.938942232315</v>
      </c>
    </row>
    <row r="431" customFormat="false" ht="15" hidden="true" customHeight="false" outlineLevel="1" collapsed="false">
      <c r="A431" s="9" t="s">
        <v>438</v>
      </c>
      <c r="B431" s="58" t="n">
        <f aca="false">B430*B395</f>
        <v>-289.667994590399</v>
      </c>
      <c r="C431" s="58" t="n">
        <f aca="false">C430*C395</f>
        <v>-3.57220900087664</v>
      </c>
      <c r="D431" s="58" t="n">
        <f aca="false">D430*D395</f>
        <v>295.307923074472</v>
      </c>
      <c r="E431" s="58" t="n">
        <f aca="false">E430*E395</f>
        <v>160.990204015529</v>
      </c>
      <c r="F431" s="58" t="n">
        <f aca="false">F430*F395</f>
        <v>236.572958418064</v>
      </c>
      <c r="G431" s="58" t="n">
        <f aca="false">G430*G395</f>
        <v>232.271325306411</v>
      </c>
      <c r="H431" s="58" t="n">
        <f aca="false">H430*H395</f>
        <v>239.775813260999</v>
      </c>
      <c r="I431" s="58" t="n">
        <f aca="false">I430*I395</f>
        <v>339.104405666388</v>
      </c>
      <c r="J431" s="58" t="n">
        <f aca="false">J430*J395</f>
        <v>447.394781200594</v>
      </c>
      <c r="K431" s="58" t="n">
        <f aca="false">K430*K395</f>
        <v>536.08461771287</v>
      </c>
      <c r="L431" s="58" t="n">
        <f aca="false">L430*L395</f>
        <v>904.023702664084</v>
      </c>
    </row>
    <row r="432" customFormat="false" ht="15" hidden="true" customHeight="false" outlineLevel="1" collapsed="false">
      <c r="A432" s="9" t="s">
        <v>439</v>
      </c>
      <c r="B432" s="57" t="n">
        <f aca="false">(B395/$B$395)/(1+Quesería!$B$11+$J$28)^B$47</f>
        <v>1</v>
      </c>
      <c r="C432" s="57" t="n">
        <f aca="false">(C395/$B$395)/(1+Quesería!$B$11+$J$28)^C$47</f>
        <v>0.84</v>
      </c>
      <c r="D432" s="57" t="n">
        <f aca="false">(D395/$B$395)/(1+Quesería!$B$11+$J$28)^D$47</f>
        <v>0.70224</v>
      </c>
      <c r="E432" s="57" t="n">
        <f aca="false">(E395/$B$395)/(1+Quesería!$B$11+$J$28)^E$47</f>
        <v>0.58426368</v>
      </c>
      <c r="F432" s="57" t="n">
        <f aca="false">(F395/$B$395)/(1+Quesería!$B$11+$J$28)^F$47</f>
        <v>0.48610738176</v>
      </c>
      <c r="G432" s="57" t="n">
        <f aca="false">(G395/$B$395)/(1+Quesería!$B$11+$J$28)^G$47</f>
        <v>0.40444134162432</v>
      </c>
      <c r="H432" s="57" t="n">
        <f aca="false">(H395/$B$395)/(1+Quesería!$B$11+$J$28)^H$47</f>
        <v>0.336495196231434</v>
      </c>
      <c r="I432" s="57" t="n">
        <f aca="false">(I395/$B$395)/(1+Quesería!$B$11+$J$28)^I$47</f>
        <v>0.279964003264553</v>
      </c>
      <c r="J432" s="57" t="n">
        <f aca="false">(J395/$B$395)/(1+Quesería!$B$11+$J$28)^J$47</f>
        <v>0.232930050716108</v>
      </c>
      <c r="K432" s="57" t="n">
        <f aca="false">(K395/$B$395)/(1+Quesería!$B$11+$J$28)^K$47</f>
        <v>0.193797802195802</v>
      </c>
      <c r="L432" s="57" t="n">
        <f aca="false">(L395/$B$395)/(1+Quesería!$B$11+$J$28)^L$47</f>
        <v>0.161239771426907</v>
      </c>
    </row>
    <row r="433" customFormat="false" ht="15" hidden="true" customHeight="false" outlineLevel="1" collapsed="false">
      <c r="A433" s="9" t="s">
        <v>440</v>
      </c>
      <c r="B433" s="58" t="n">
        <f aca="false">B415+B398+B400+B429</f>
        <v>110.660911279201</v>
      </c>
      <c r="C433" s="58" t="n">
        <f aca="false">C415+C398+C400+C429</f>
        <v>346.505541715724</v>
      </c>
      <c r="D433" s="58" t="n">
        <f aca="false">D415+D398+D400+D429</f>
        <v>436.545310160832</v>
      </c>
      <c r="E433" s="58" t="n">
        <f aca="false">E415+E398+E400+E429</f>
        <v>351.424894087643</v>
      </c>
      <c r="F433" s="58" t="n">
        <f aca="false">F415+F398+F400+F429</f>
        <v>381.220500671855</v>
      </c>
      <c r="G433" s="58" t="n">
        <f aca="false">G415+G398+G400+G429</f>
        <v>351.319885823784</v>
      </c>
      <c r="H433" s="58" t="n">
        <f aca="false">H415+H398+H400+H429</f>
        <v>330.855096616716</v>
      </c>
      <c r="I433" s="58" t="n">
        <f aca="false">I415+I398+I400+I429</f>
        <v>366.634783745051</v>
      </c>
      <c r="J433" s="58" t="n">
        <f aca="false">J415+J398+J400+J429</f>
        <v>353.445458307357</v>
      </c>
      <c r="K433" s="58" t="n">
        <f aca="false">K415+K398+K400+K429</f>
        <v>350.258364937755</v>
      </c>
      <c r="L433" s="58" t="n">
        <f aca="false">L415+L398+L400+L429</f>
        <v>567.938942232315</v>
      </c>
    </row>
    <row r="434" customFormat="false" ht="15" hidden="true" customHeight="false" outlineLevel="1" collapsed="false">
      <c r="A434" s="5" t="s">
        <v>149</v>
      </c>
      <c r="B434" s="12" t="str">
        <f aca="false">IF(AND(B$47&gt;=1,(B425+B426+B427)&gt;0.001),B433/(B425+B426+B427),"")</f>
        <v/>
      </c>
      <c r="C434" s="12" t="n">
        <f aca="false">IF(AND(C$47&gt;=1,(C425+C426+C427)&gt;0.001),C433/(C425+C426+C427),"")</f>
        <v>5.33114556808148</v>
      </c>
      <c r="D434" s="12" t="n">
        <f aca="false">IF(AND(D$47&gt;=1,(D425+D426+D427)&gt;0.001),D433/(D425+D426+D427),"")</f>
        <v>2.39969378201527</v>
      </c>
      <c r="E434" s="12" t="n">
        <f aca="false">IF(AND(E$47&gt;=1,(E425+E426+E427)&gt;0.001),E433/(E425+E426+E427),"")</f>
        <v>1.61602737383407</v>
      </c>
      <c r="F434" s="12" t="n">
        <f aca="false">IF(AND(F$47&gt;=1,(F425+F426+F427)&gt;0.001),F433/(F425+F426+F427),"")</f>
        <v>1.98144683289218</v>
      </c>
      <c r="G434" s="12" t="n">
        <f aca="false">IF(AND(G$47&gt;=1,(G425+G426+G427)&gt;0.001),G433/(G425+G426+G427),"")</f>
        <v>2.07962340493814</v>
      </c>
      <c r="H434" s="12" t="n">
        <f aca="false">IF(AND(H$47&gt;=1,(H425+H426+H427)&gt;0.001),H433/(H425+H426+H427),"")</f>
        <v>2.25080997711794</v>
      </c>
      <c r="I434" s="12" t="n">
        <f aca="false">IF(AND(I$47&gt;=1,(I425+I426+I427)&gt;0.001),I433/(I425+I426+I427),"")</f>
        <v>2.89850391172775</v>
      </c>
      <c r="J434" s="12" t="n">
        <f aca="false">IF(AND(J$47&gt;=1,(J425+J426+J427)&gt;0.001),J433/(J425+J426+J427),"")</f>
        <v>7.17737464868164</v>
      </c>
      <c r="K434" s="12" t="str">
        <f aca="false">IF(AND(K$47&gt;=1,(K425+K426+K427)&gt;0.001),K433/(K425+K426+K427),"")</f>
        <v/>
      </c>
      <c r="L434" s="12" t="str">
        <f aca="false">IF(AND(L$47&gt;=1,(L425+L426+L427)&gt;0.001),L433/(L425+L426+L427),"")</f>
        <v/>
      </c>
    </row>
    <row r="436" customFormat="false" ht="15" hidden="false" customHeight="false" outlineLevel="0" collapsed="false">
      <c r="A436" s="43" t="s">
        <v>1246</v>
      </c>
      <c r="B436" s="44"/>
      <c r="C436" s="44"/>
      <c r="D436" s="44"/>
      <c r="E436" s="44"/>
      <c r="F436" s="44"/>
      <c r="G436" s="44"/>
      <c r="H436" s="44"/>
      <c r="I436" s="44"/>
      <c r="J436" s="44"/>
      <c r="K436" s="44"/>
      <c r="L436" s="44"/>
    </row>
    <row r="437" customFormat="false" ht="15" hidden="true" customHeight="false" outlineLevel="1" collapsed="false">
      <c r="A437" s="9" t="s">
        <v>406</v>
      </c>
      <c r="B437" s="56" t="n">
        <f aca="false">CHOOSE($K$15,Entorno!B$7,Entorno!B$8,Entorno!B$9)</f>
        <v>0.06</v>
      </c>
      <c r="C437" s="56" t="n">
        <f aca="false">CHOOSE($K$15,Entorno!C$7,Entorno!C$8,Entorno!C$9)</f>
        <v>0.05</v>
      </c>
      <c r="D437" s="56" t="n">
        <f aca="false">CHOOSE($K$15,Entorno!D$7,Entorno!D$8,Entorno!D$9)</f>
        <v>0.045</v>
      </c>
      <c r="E437" s="56" t="n">
        <f aca="false">CHOOSE($K$15,Entorno!E$7,Entorno!E$8,Entorno!E$9)</f>
        <v>0.04</v>
      </c>
      <c r="F437" s="56" t="n">
        <f aca="false">CHOOSE($K$15,Entorno!F$7,Entorno!F$8,Entorno!F$9)</f>
        <v>0.04</v>
      </c>
      <c r="G437" s="56" t="n">
        <f aca="false">CHOOSE($K$15,Entorno!G$7,Entorno!G$8,Entorno!G$9)</f>
        <v>0.04</v>
      </c>
      <c r="H437" s="56" t="n">
        <f aca="false">CHOOSE($K$15,Entorno!H$7,Entorno!H$8,Entorno!H$9)</f>
        <v>0.04</v>
      </c>
      <c r="I437" s="56" t="n">
        <f aca="false">CHOOSE($K$15,Entorno!I$7,Entorno!I$8,Entorno!I$9)</f>
        <v>0.04</v>
      </c>
      <c r="J437" s="56" t="n">
        <f aca="false">CHOOSE($K$15,Entorno!J$7,Entorno!J$8,Entorno!J$9)</f>
        <v>0.04</v>
      </c>
      <c r="K437" s="56" t="n">
        <f aca="false">CHOOSE($K$15,Entorno!K$7,Entorno!K$8,Entorno!K$9)</f>
        <v>0.04</v>
      </c>
      <c r="L437" s="56" t="n">
        <f aca="false">CHOOSE($K$15,Entorno!L$7,Entorno!L$8,Entorno!L$9)</f>
        <v>0.04</v>
      </c>
    </row>
    <row r="438" customFormat="false" ht="15" hidden="true" customHeight="false" outlineLevel="1" collapsed="false">
      <c r="A438" s="9" t="s">
        <v>407</v>
      </c>
      <c r="B438" s="57" t="n">
        <f aca="false">1+B437</f>
        <v>1.06</v>
      </c>
      <c r="C438" s="57" t="n">
        <f aca="false">B438*(1+C437)</f>
        <v>1.113</v>
      </c>
      <c r="D438" s="57" t="n">
        <f aca="false">C438*(1+D437)</f>
        <v>1.163085</v>
      </c>
      <c r="E438" s="57" t="n">
        <f aca="false">D438*(1+E437)</f>
        <v>1.2096084</v>
      </c>
      <c r="F438" s="57" t="n">
        <f aca="false">E438*(1+F437)</f>
        <v>1.257992736</v>
      </c>
      <c r="G438" s="57" t="n">
        <f aca="false">F438*(1+G437)</f>
        <v>1.30831244544</v>
      </c>
      <c r="H438" s="57" t="n">
        <f aca="false">G438*(1+H437)</f>
        <v>1.3606449432576</v>
      </c>
      <c r="I438" s="57" t="n">
        <f aca="false">H438*(1+I437)</f>
        <v>1.4150707409879</v>
      </c>
      <c r="J438" s="57" t="n">
        <f aca="false">I438*(1+J437)</f>
        <v>1.47167357062742</v>
      </c>
      <c r="K438" s="57" t="n">
        <f aca="false">J438*(1+K437)</f>
        <v>1.53054051345252</v>
      </c>
      <c r="L438" s="57" t="n">
        <f aca="false">K438*(1+L437)</f>
        <v>1.59176213399062</v>
      </c>
    </row>
    <row r="439" customFormat="false" ht="15" hidden="true" customHeight="false" outlineLevel="1" collapsed="false">
      <c r="A439" s="9" t="s">
        <v>408</v>
      </c>
      <c r="B439" s="57" t="n">
        <f aca="false">(1+$K$16)/(1+B437)</f>
        <v>1.02358490566038</v>
      </c>
      <c r="C439" s="57" t="n">
        <f aca="false">B439*(1+Entorno!$B$13)</f>
        <v>1.02870283018868</v>
      </c>
      <c r="D439" s="57" t="n">
        <f aca="false">C439*(1+Entorno!$B$13)</f>
        <v>1.03384634433962</v>
      </c>
      <c r="E439" s="57" t="n">
        <f aca="false">D439*(1+Entorno!$B$13)</f>
        <v>1.03901557606132</v>
      </c>
      <c r="F439" s="57" t="n">
        <f aca="false">E439*(1+Entorno!$B$13)</f>
        <v>1.04421065394163</v>
      </c>
      <c r="G439" s="57" t="n">
        <f aca="false">F439*(1+Entorno!$B$13)</f>
        <v>1.04943170721133</v>
      </c>
      <c r="H439" s="57" t="n">
        <f aca="false">G439*(1+Entorno!$B$13)</f>
        <v>1.05467886574739</v>
      </c>
      <c r="I439" s="57" t="n">
        <f aca="false">H439*(1+Entorno!$B$13)</f>
        <v>1.05995226007613</v>
      </c>
      <c r="J439" s="57" t="n">
        <f aca="false">I439*(1+Entorno!$B$13)</f>
        <v>1.06525202137651</v>
      </c>
      <c r="K439" s="57" t="n">
        <f aca="false">J439*(1+Entorno!$B$13)</f>
        <v>1.07057828148339</v>
      </c>
      <c r="L439" s="57" t="n">
        <f aca="false">K439*(1+Entorno!$B$13)</f>
        <v>1.07593117289081</v>
      </c>
    </row>
    <row r="440" customFormat="false" ht="15" hidden="true" customHeight="false" outlineLevel="1" collapsed="false">
      <c r="A440" s="9" t="s">
        <v>409</v>
      </c>
      <c r="B440" s="57" t="n">
        <f aca="false">1/B438</f>
        <v>0.943396226415094</v>
      </c>
      <c r="C440" s="57" t="n">
        <f aca="false">1/C438</f>
        <v>0.898472596585804</v>
      </c>
      <c r="D440" s="57" t="n">
        <f aca="false">1/D438</f>
        <v>0.859782389077324</v>
      </c>
      <c r="E440" s="57" t="n">
        <f aca="false">1/E438</f>
        <v>0.826713835651273</v>
      </c>
      <c r="F440" s="57" t="n">
        <f aca="false">1/F438</f>
        <v>0.794917149664686</v>
      </c>
      <c r="G440" s="57" t="n">
        <f aca="false">1/G438</f>
        <v>0.764343413139121</v>
      </c>
      <c r="H440" s="57" t="n">
        <f aca="false">1/H438</f>
        <v>0.734945589556847</v>
      </c>
      <c r="I440" s="57" t="n">
        <f aca="false">1/I438</f>
        <v>0.706678451496968</v>
      </c>
      <c r="J440" s="57" t="n">
        <f aca="false">1/J438</f>
        <v>0.679498511054777</v>
      </c>
      <c r="K440" s="57" t="n">
        <f aca="false">1/K438</f>
        <v>0.653363952937286</v>
      </c>
      <c r="L440" s="57" t="n">
        <f aca="false">1/L438</f>
        <v>0.628234570132006</v>
      </c>
    </row>
    <row r="441" customFormat="false" ht="15" hidden="true" customHeight="false" outlineLevel="1" collapsed="false">
      <c r="A441" s="6" t="s">
        <v>323</v>
      </c>
      <c r="B441" s="29" t="n">
        <f aca="false">IF(B$47=0,Quesería!$F$92,IF(B$47=1,(Quesería!$F$93-(-$K$26)*Quesería!$D$86*(1+Quesería!$I$86))*$K$21,0))*$K$11</f>
        <v>930.800239431677</v>
      </c>
      <c r="C441" s="29" t="n">
        <f aca="false">IF(C$47=0,Quesería!$F$92,IF(C$47=1,(Quesería!$F$93-(-$K$26)*Quesería!$D$86*(1+Quesería!$I$86))*$K$21,0))*$K$11</f>
        <v>658.469066674498</v>
      </c>
      <c r="D441" s="29" t="n">
        <f aca="false">IF(D$47=0,Quesería!$F$92,IF(D$47=1,(Quesería!$F$93-(-$K$26)*Quesería!$D$86*(1+Quesería!$I$86))*$K$21,0))*$K$11</f>
        <v>0</v>
      </c>
      <c r="E441" s="29" t="n">
        <f aca="false">IF(E$47=0,Quesería!$F$92,IF(E$47=1,(Quesería!$F$93-(-$K$26)*Quesería!$D$86*(1+Quesería!$I$86))*$K$21,0))*$K$11</f>
        <v>0</v>
      </c>
      <c r="F441" s="29" t="n">
        <f aca="false">IF(F$47=0,Quesería!$F$92,IF(F$47=1,(Quesería!$F$93-(-$K$26)*Quesería!$D$86*(1+Quesería!$I$86))*$K$21,0))*$K$11</f>
        <v>0</v>
      </c>
      <c r="G441" s="29" t="n">
        <f aca="false">IF(G$47=0,Quesería!$F$92,IF(G$47=1,(Quesería!$F$93-(-$K$26)*Quesería!$D$86*(1+Quesería!$I$86))*$K$21,0))*$K$11</f>
        <v>0</v>
      </c>
      <c r="H441" s="29" t="n">
        <f aca="false">IF(H$47=0,Quesería!$F$92,IF(H$47=1,(Quesería!$F$93-(-$K$26)*Quesería!$D$86*(1+Quesería!$I$86))*$K$21,0))*$K$11</f>
        <v>0</v>
      </c>
      <c r="I441" s="29" t="n">
        <f aca="false">IF(I$47=0,Quesería!$F$92,IF(I$47=1,(Quesería!$F$93-(-$K$26)*Quesería!$D$86*(1+Quesería!$I$86))*$K$21,0))*$K$11</f>
        <v>0</v>
      </c>
      <c r="J441" s="29" t="n">
        <f aca="false">IF(J$47=0,Quesería!$F$92,IF(J$47=1,(Quesería!$F$93-(-$K$26)*Quesería!$D$86*(1+Quesería!$I$86))*$K$21,0))*$K$11</f>
        <v>0</v>
      </c>
      <c r="K441" s="29" t="n">
        <f aca="false">IF(K$47=0,Quesería!$F$92,IF(K$47=1,(Quesería!$F$93-(-$K$26)*Quesería!$D$86*(1+Quesería!$I$86))*$K$21,0))*$K$11</f>
        <v>0</v>
      </c>
      <c r="L441" s="29" t="n">
        <f aca="false">IF(L$47=0,Quesería!$F$92,IF(L$47=1,(Quesería!$F$93-(-$K$26)*Quesería!$D$86*(1+Quesería!$I$86))*$K$21,0))*$K$11</f>
        <v>0</v>
      </c>
    </row>
    <row r="442" customFormat="false" ht="15" hidden="true" customHeight="false" outlineLevel="1" collapsed="false">
      <c r="A442" s="6" t="s">
        <v>410</v>
      </c>
      <c r="B442" s="29" t="n">
        <f aca="false">IF(B$47=5,Quesería!$F$99,IF(B$47=6,Quesería!$F$100,0))*$K$11</f>
        <v>0</v>
      </c>
      <c r="C442" s="29" t="n">
        <f aca="false">IF(C$47=5,Quesería!$F$99,IF(C$47=6,Quesería!$F$100,0))*$K$11</f>
        <v>0</v>
      </c>
      <c r="D442" s="29" t="n">
        <f aca="false">IF(D$47=5,Quesería!$F$99,IF(D$47=6,Quesería!$F$100,0))*$K$11</f>
        <v>0</v>
      </c>
      <c r="E442" s="29" t="n">
        <f aca="false">IF(E$47=5,Quesería!$F$99,IF(E$47=6,Quesería!$F$100,0))*$K$11</f>
        <v>0</v>
      </c>
      <c r="F442" s="29" t="n">
        <f aca="false">IF(F$47=5,Quesería!$F$99,IF(F$47=6,Quesería!$F$100,0))*$K$11</f>
        <v>0</v>
      </c>
      <c r="G442" s="29" t="n">
        <f aca="false">IF(G$47=5,Quesería!$F$99,IF(G$47=6,Quesería!$F$100,0))*$K$11</f>
        <v>27.4652172688735</v>
      </c>
      <c r="H442" s="29" t="n">
        <f aca="false">IF(H$47=5,Quesería!$F$99,IF(H$47=6,Quesería!$F$100,0))*$K$11</f>
        <v>46.3891557109552</v>
      </c>
      <c r="I442" s="29" t="n">
        <f aca="false">IF(I$47=5,Quesería!$F$99,IF(I$47=6,Quesería!$F$100,0))*$K$11</f>
        <v>0</v>
      </c>
      <c r="J442" s="29" t="n">
        <f aca="false">IF(J$47=5,Quesería!$F$99,IF(J$47=6,Quesería!$F$100,0))*$K$11</f>
        <v>0</v>
      </c>
      <c r="K442" s="29" t="n">
        <f aca="false">IF(K$47=5,Quesería!$F$99,IF(K$47=6,Quesería!$F$100,0))*$K$11</f>
        <v>0</v>
      </c>
      <c r="L442" s="29" t="n">
        <f aca="false">IF(L$47=5,Quesería!$F$99,IF(L$47=6,Quesería!$F$100,0))*$K$11</f>
        <v>0</v>
      </c>
    </row>
    <row r="443" customFormat="false" ht="15" hidden="true" customHeight="false" outlineLevel="1" collapsed="false">
      <c r="A443" s="6" t="s">
        <v>411</v>
      </c>
      <c r="B443" s="29" t="n">
        <f aca="false">Quesería!$B$55*(IF(B$47=0,SUMPRODUCT((Quesería!$C$70:$C$89=0)*(Quesería!$H$70:$H$89&gt;0)*(Quesería!$J$70:$J$89&gt;0)*Quesería!$F$70:$F$89*(1+Quesería!$I$70:$I$89)),IF(B$47=1,(SUMPRODUCT((Quesería!$C$70:$C$89=1)*(Quesería!$H$70:$H$89&gt;0)*(Quesería!$J$70:$J$89&gt;0)*Quesería!$F$70:$F$89*(1+Quesería!$I$70:$I$89))-(-$K$26)*Quesería!$D$86*(1+Quesería!$I$86))*$K$21,0))*$K$11+B442)</f>
        <v>149.115671560178</v>
      </c>
      <c r="C443" s="29" t="n">
        <f aca="false">Quesería!$B$55*(IF(C$47=0,SUMPRODUCT((Quesería!$C$70:$C$89=0)*(Quesería!$H$70:$H$89&gt;0)*(Quesería!$J$70:$J$89&gt;0)*Quesería!$F$70:$F$89*(1+Quesería!$I$70:$I$89)),IF(C$47=1,(SUMPRODUCT((Quesería!$C$70:$C$89=1)*(Quesería!$H$70:$H$89&gt;0)*(Quesería!$J$70:$J$89&gt;0)*Quesería!$F$70:$F$89*(1+Quesería!$I$70:$I$89))-(-$K$26)*Quesería!$D$86*(1+Quesería!$I$86))*$K$21,0))*$K$11+C442)</f>
        <v>125.109122668155</v>
      </c>
      <c r="D443" s="29" t="n">
        <f aca="false">Quesería!$B$55*(IF(D$47=0,SUMPRODUCT((Quesería!$C$70:$C$89=0)*(Quesería!$H$70:$H$89&gt;0)*(Quesería!$J$70:$J$89&gt;0)*Quesería!$F$70:$F$89*(1+Quesería!$I$70:$I$89)),IF(D$47=1,(SUMPRODUCT((Quesería!$C$70:$C$89=1)*(Quesería!$H$70:$H$89&gt;0)*(Quesería!$J$70:$J$89&gt;0)*Quesería!$F$70:$F$89*(1+Quesería!$I$70:$I$89))-(-$K$26)*Quesería!$D$86*(1+Quesería!$I$86))*$K$21,0))*$K$11+D442)</f>
        <v>0</v>
      </c>
      <c r="E443" s="29" t="n">
        <f aca="false">Quesería!$B$55*(IF(E$47=0,SUMPRODUCT((Quesería!$C$70:$C$89=0)*(Quesería!$H$70:$H$89&gt;0)*(Quesería!$J$70:$J$89&gt;0)*Quesería!$F$70:$F$89*(1+Quesería!$I$70:$I$89)),IF(E$47=1,(SUMPRODUCT((Quesería!$C$70:$C$89=1)*(Quesería!$H$70:$H$89&gt;0)*(Quesería!$J$70:$J$89&gt;0)*Quesería!$F$70:$F$89*(1+Quesería!$I$70:$I$89))-(-$K$26)*Quesería!$D$86*(1+Quesería!$I$86))*$K$21,0))*$K$11+E442)</f>
        <v>0</v>
      </c>
      <c r="F443" s="29" t="n">
        <f aca="false">Quesería!$B$55*(IF(F$47=0,SUMPRODUCT((Quesería!$C$70:$C$89=0)*(Quesería!$H$70:$H$89&gt;0)*(Quesería!$J$70:$J$89&gt;0)*Quesería!$F$70:$F$89*(1+Quesería!$I$70:$I$89)),IF(F$47=1,(SUMPRODUCT((Quesería!$C$70:$C$89=1)*(Quesería!$H$70:$H$89&gt;0)*(Quesería!$J$70:$J$89&gt;0)*Quesería!$F$70:$F$89*(1+Quesería!$I$70:$I$89))-(-$K$26)*Quesería!$D$86*(1+Quesería!$I$86))*$K$21,0))*$K$11+F442)</f>
        <v>0</v>
      </c>
      <c r="G443" s="29" t="n">
        <f aca="false">Quesería!$B$55*(IF(G$47=0,SUMPRODUCT((Quesería!$C$70:$C$89=0)*(Quesería!$H$70:$H$89&gt;0)*(Quesería!$J$70:$J$89&gt;0)*Quesería!$F$70:$F$89*(1+Quesería!$I$70:$I$89)),IF(G$47=1,(SUMPRODUCT((Quesería!$C$70:$C$89=1)*(Quesería!$H$70:$H$89&gt;0)*(Quesería!$J$70:$J$89&gt;0)*Quesería!$F$70:$F$89*(1+Quesería!$I$70:$I$89))-(-$K$26)*Quesería!$D$86*(1+Quesería!$I$86))*$K$21,0))*$K$11+G442)</f>
        <v>5.21839128108597</v>
      </c>
      <c r="H443" s="29" t="n">
        <f aca="false">Quesería!$B$55*(IF(H$47=0,SUMPRODUCT((Quesería!$C$70:$C$89=0)*(Quesería!$H$70:$H$89&gt;0)*(Quesería!$J$70:$J$89&gt;0)*Quesería!$F$70:$F$89*(1+Quesería!$I$70:$I$89)),IF(H$47=1,(SUMPRODUCT((Quesería!$C$70:$C$89=1)*(Quesería!$H$70:$H$89&gt;0)*(Quesería!$J$70:$J$89&gt;0)*Quesería!$F$70:$F$89*(1+Quesería!$I$70:$I$89))-(-$K$26)*Quesería!$D$86*(1+Quesería!$I$86))*$K$21,0))*$K$11+H442)</f>
        <v>8.8139395850815</v>
      </c>
      <c r="I443" s="29" t="n">
        <f aca="false">Quesería!$B$55*(IF(I$47=0,SUMPRODUCT((Quesería!$C$70:$C$89=0)*(Quesería!$H$70:$H$89&gt;0)*(Quesería!$J$70:$J$89&gt;0)*Quesería!$F$70:$F$89*(1+Quesería!$I$70:$I$89)),IF(I$47=1,(SUMPRODUCT((Quesería!$C$70:$C$89=1)*(Quesería!$H$70:$H$89&gt;0)*(Quesería!$J$70:$J$89&gt;0)*Quesería!$F$70:$F$89*(1+Quesería!$I$70:$I$89))-(-$K$26)*Quesería!$D$86*(1+Quesería!$I$86))*$K$21,0))*$K$11+I442)</f>
        <v>0</v>
      </c>
      <c r="J443" s="29" t="n">
        <f aca="false">Quesería!$B$55*(IF(J$47=0,SUMPRODUCT((Quesería!$C$70:$C$89=0)*(Quesería!$H$70:$H$89&gt;0)*(Quesería!$J$70:$J$89&gt;0)*Quesería!$F$70:$F$89*(1+Quesería!$I$70:$I$89)),IF(J$47=1,(SUMPRODUCT((Quesería!$C$70:$C$89=1)*(Quesería!$H$70:$H$89&gt;0)*(Quesería!$J$70:$J$89&gt;0)*Quesería!$F$70:$F$89*(1+Quesería!$I$70:$I$89))-(-$K$26)*Quesería!$D$86*(1+Quesería!$I$86))*$K$21,0))*$K$11+J442)</f>
        <v>0</v>
      </c>
      <c r="K443" s="29" t="n">
        <f aca="false">Quesería!$B$55*(IF(K$47=0,SUMPRODUCT((Quesería!$C$70:$C$89=0)*(Quesería!$H$70:$H$89&gt;0)*(Quesería!$J$70:$J$89&gt;0)*Quesería!$F$70:$F$89*(1+Quesería!$I$70:$I$89)),IF(K$47=1,(SUMPRODUCT((Quesería!$C$70:$C$89=1)*(Quesería!$H$70:$H$89&gt;0)*(Quesería!$J$70:$J$89&gt;0)*Quesería!$F$70:$F$89*(1+Quesería!$I$70:$I$89))-(-$K$26)*Quesería!$D$86*(1+Quesería!$I$86))*$K$21,0))*$K$11+K442)</f>
        <v>0</v>
      </c>
      <c r="L443" s="29" t="n">
        <f aca="false">Quesería!$B$55*(IF(L$47=0,SUMPRODUCT((Quesería!$C$70:$C$89=0)*(Quesería!$H$70:$H$89&gt;0)*(Quesería!$J$70:$J$89&gt;0)*Quesería!$F$70:$F$89*(1+Quesería!$I$70:$I$89)),IF(L$47=1,(SUMPRODUCT((Quesería!$C$70:$C$89=1)*(Quesería!$H$70:$H$89&gt;0)*(Quesería!$J$70:$J$89&gt;0)*Quesería!$F$70:$F$89*(1+Quesería!$I$70:$I$89))-(-$K$26)*Quesería!$D$86*(1+Quesería!$I$86))*$K$21,0))*$K$11+L442)</f>
        <v>0</v>
      </c>
    </row>
    <row r="444" customFormat="false" ht="15" hidden="true" customHeight="false" outlineLevel="1" collapsed="false">
      <c r="A444" s="6" t="s">
        <v>386</v>
      </c>
      <c r="B444" s="29" t="n">
        <f aca="false">IF(B$47=0,($K$22*Quesería!$J$126+(1-$K$22)*Quesería!$E$122)*Quesería!$B$20*Quesería!$B$21/12*$K$23,(($K$22*Quesería!$J$126+(1-$K$22)*Quesería!$E$122)+($K$22*Quesería!$J$104+(1-$K$22)*Quesería!$E$104)*(B439-1))*IF(B$47=1,Quesería!$B$20,1))*$K$10</f>
        <v>120.716772261203</v>
      </c>
      <c r="C444" s="29" t="n">
        <f aca="false">IF(C$47=0,($K$22*Quesería!$J$126+(1-$K$22)*Quesería!$E$122)*Quesería!$B$20*Quesería!$B$21/12*$K$23,(($K$22*Quesería!$J$126+(1-$K$22)*Quesería!$E$122)+($K$22*Quesería!$J$104+(1-$K$22)*Quesería!$E$104)*(C439-1))*IF(C$47=1,Quesería!$B$20,1))*$K$10</f>
        <v>181.328317354069</v>
      </c>
      <c r="D444" s="29" t="n">
        <f aca="false">IF(D$47=0,($K$22*Quesería!$J$126+(1-$K$22)*Quesería!$E$122)*Quesería!$B$20*Quesería!$B$21/12*$K$23,(($K$22*Quesería!$J$126+(1-$K$22)*Quesería!$E$122)+($K$22*Quesería!$J$104+(1-$K$22)*Quesería!$E$104)*(D439-1))*IF(D$47=1,Quesería!$B$20,1))*$K$10</f>
        <v>241.83157753184</v>
      </c>
      <c r="E444" s="29" t="n">
        <f aca="false">IF(E$47=0,($K$22*Quesería!$J$126+(1-$K$22)*Quesería!$E$122)*Quesería!$B$20*Quesería!$B$21/12*$K$23,(($K$22*Quesería!$J$126+(1-$K$22)*Quesería!$E$122)+($K$22*Quesería!$J$104+(1-$K$22)*Quesería!$E$104)*(E439-1))*IF(E$47=1,Quesería!$B$20,1))*$K$10</f>
        <v>241.892367696887</v>
      </c>
      <c r="F444" s="29" t="n">
        <f aca="false">IF(F$47=0,($K$22*Quesería!$J$126+(1-$K$22)*Quesería!$E$122)*Quesería!$B$20*Quesería!$B$21/12*$K$23,(($K$22*Quesería!$J$126+(1-$K$22)*Quesería!$E$122)+($K$22*Quesería!$J$104+(1-$K$22)*Quesería!$E$104)*(F439-1))*IF(F$47=1,Quesería!$B$20,1))*$K$10</f>
        <v>241.95346181276</v>
      </c>
      <c r="G444" s="29" t="n">
        <f aca="false">IF(G$47=0,($K$22*Quesería!$J$126+(1-$K$22)*Quesería!$E$122)*Quesería!$B$20*Quesería!$B$21/12*$K$23,(($K$22*Quesería!$J$126+(1-$K$22)*Quesería!$E$122)+($K$22*Quesería!$J$104+(1-$K$22)*Quesería!$E$104)*(G439-1))*IF(G$47=1,Quesería!$B$20,1))*$K$10</f>
        <v>242.014861399211</v>
      </c>
      <c r="H444" s="29" t="n">
        <f aca="false">IF(H$47=0,($K$22*Quesería!$J$126+(1-$K$22)*Quesería!$E$122)*Quesería!$B$20*Quesería!$B$21/12*$K$23,(($K$22*Quesería!$J$126+(1-$K$22)*Quesería!$E$122)+($K$22*Quesería!$J$104+(1-$K$22)*Quesería!$E$104)*(H439-1))*IF(H$47=1,Quesería!$B$20,1))*$K$10</f>
        <v>242.076567983595</v>
      </c>
      <c r="I444" s="29" t="n">
        <f aca="false">IF(I$47=0,($K$22*Quesería!$J$126+(1-$K$22)*Quesería!$E$122)*Quesería!$B$20*Quesería!$B$21/12*$K$23,(($K$22*Quesería!$J$126+(1-$K$22)*Quesería!$E$122)+($K$22*Quesería!$J$104+(1-$K$22)*Quesería!$E$104)*(I439-1))*IF(I$47=1,Quesería!$B$20,1))*$K$10</f>
        <v>242.138583100901</v>
      </c>
      <c r="J444" s="29" t="n">
        <f aca="false">IF(J$47=0,($K$22*Quesería!$J$126+(1-$K$22)*Quesería!$E$122)*Quesería!$B$20*Quesería!$B$21/12*$K$23,(($K$22*Quesería!$J$126+(1-$K$22)*Quesería!$E$122)+($K$22*Quesería!$J$104+(1-$K$22)*Quesería!$E$104)*(J439-1))*IF(J$47=1,Quesería!$B$20,1))*$K$10</f>
        <v>242.200908293794</v>
      </c>
      <c r="K444" s="29" t="n">
        <f aca="false">IF(K$47=0,($K$22*Quesería!$J$126+(1-$K$22)*Quesería!$E$122)*Quesería!$B$20*Quesería!$B$21/12*$K$23,(($K$22*Quesería!$J$126+(1-$K$22)*Quesería!$E$122)+($K$22*Quesería!$J$104+(1-$K$22)*Quesería!$E$104)*(K439-1))*IF(K$47=1,Quesería!$B$20,1))*$K$10</f>
        <v>242.263545112651</v>
      </c>
      <c r="L444" s="29" t="n">
        <f aca="false">IF(L$47=0,($K$22*Quesería!$J$126+(1-$K$22)*Quesería!$E$122)*Quesería!$B$20*Quesería!$B$21/12*$K$23,(($K$22*Quesería!$J$126+(1-$K$22)*Quesería!$E$122)+($K$22*Quesería!$J$104+(1-$K$22)*Quesería!$E$104)*(L439-1))*IF(L$47=1,Quesería!$B$20,1))*$K$10</f>
        <v>242.326495115602</v>
      </c>
    </row>
    <row r="445" customFormat="false" ht="15" hidden="true" customHeight="false" outlineLevel="1" collapsed="false">
      <c r="A445" s="6" t="s">
        <v>387</v>
      </c>
      <c r="B445" s="29" t="n">
        <f aca="false">IF(B$47&lt;=1,0,((($K$22*Quesería!$J$127+(1-$K$22)*Quesería!$E$123)-($K$22*Quesería!$J$113+(1-$K$22)*Quesería!$E$113)+$K$6*($K$22*Quesería!$J$113+(1-$K$22)*Quesería!$E$113)-(1-$K$9)*(($K$22*Quesería!$J$119+(1-$K$22)*Quesería!$E$119)+($K$22*Quesería!$J$118+(1-$K$22)*Quesería!$E$118))-(1-$K$24)*($K$22*Quesería!$J$117+(1-$K$22)*Quesería!$E$117)+$K$24*(1-$K$25)*'Beneficios y costos'!$B$144-(-$K$26*$K$27)*'Beneficios y costos'!$C$167)+($K$6*($K$22*Quesería!$J$113+(1-$K$22)*Quesería!$E$113)+$K$9*($K$22*Quesería!$J$119+(1-$K$22)*Quesería!$E$119))*(B439-1))*IF(B$47=2,Quesería!$B$20,1)+IF(B$47=2,Quesería!$B$24*$K$9*($K$22*Quesería!$J$119+(1-$K$22)*Quesería!$E$119)*B439,0))*$K$10*$K$21</f>
        <v>0</v>
      </c>
      <c r="C445" s="29" t="n">
        <f aca="false">IF(C$47&lt;=1,0,((($K$22*Quesería!$J$127+(1-$K$22)*Quesería!$E$123)-($K$22*Quesería!$J$113+(1-$K$22)*Quesería!$E$113)+$K$6*($K$22*Quesería!$J$113+(1-$K$22)*Quesería!$E$113)-(1-$K$9)*(($K$22*Quesería!$J$119+(1-$K$22)*Quesería!$E$119)+($K$22*Quesería!$J$118+(1-$K$22)*Quesería!$E$118))-(1-$K$24)*($K$22*Quesería!$J$117+(1-$K$22)*Quesería!$E$117)+$K$24*(1-$K$25)*'Beneficios y costos'!$B$144-(-$K$26*$K$27)*'Beneficios y costos'!$C$167)+($K$6*($K$22*Quesería!$J$113+(1-$K$22)*Quesería!$E$113)+$K$9*($K$22*Quesería!$J$119+(1-$K$22)*Quesería!$E$119))*(C439-1))*IF(C$47=2,Quesería!$B$20,1)+IF(C$47=2,Quesería!$B$24*$K$9*($K$22*Quesería!$J$119+(1-$K$22)*Quesería!$E$119)*C439,0))*$K$10*$K$21</f>
        <v>0</v>
      </c>
      <c r="D445" s="29" t="n">
        <f aca="false">IF(D$47&lt;=1,0,((($K$22*Quesería!$J$127+(1-$K$22)*Quesería!$E$123)-($K$22*Quesería!$J$113+(1-$K$22)*Quesería!$E$113)+$K$6*($K$22*Quesería!$J$113+(1-$K$22)*Quesería!$E$113)-(1-$K$9)*(($K$22*Quesería!$J$119+(1-$K$22)*Quesería!$E$119)+($K$22*Quesería!$J$118+(1-$K$22)*Quesería!$E$118))-(1-$K$24)*($K$22*Quesería!$J$117+(1-$K$22)*Quesería!$E$117)+$K$24*(1-$K$25)*'Beneficios y costos'!$B$144-(-$K$26*$K$27)*'Beneficios y costos'!$C$167)+($K$6*($K$22*Quesería!$J$113+(1-$K$22)*Quesería!$E$113)+$K$9*($K$22*Quesería!$J$119+(1-$K$22)*Quesería!$E$119))*(D439-1))*IF(D$47=2,Quesería!$B$20,1)+IF(D$47=2,Quesería!$B$24*$K$9*($K$22*Quesería!$J$119+(1-$K$22)*Quesería!$E$119)*D439,0))*$K$10*$K$21</f>
        <v>257.351493734688</v>
      </c>
      <c r="E445" s="29" t="n">
        <f aca="false">IF(E$47&lt;=1,0,((($K$22*Quesería!$J$127+(1-$K$22)*Quesería!$E$123)-($K$22*Quesería!$J$113+(1-$K$22)*Quesería!$E$113)+$K$6*($K$22*Quesería!$J$113+(1-$K$22)*Quesería!$E$113)-(1-$K$9)*(($K$22*Quesería!$J$119+(1-$K$22)*Quesería!$E$119)+($K$22*Quesería!$J$118+(1-$K$22)*Quesería!$E$118))-(1-$K$24)*($K$22*Quesería!$J$117+(1-$K$22)*Quesería!$E$117)+$K$24*(1-$K$25)*'Beneficios y costos'!$B$144-(-$K$26*$K$27)*'Beneficios y costos'!$C$167)+($K$6*($K$22*Quesería!$J$113+(1-$K$22)*Quesería!$E$113)+$K$9*($K$22*Quesería!$J$119+(1-$K$22)*Quesería!$E$119))*(E439-1))*IF(E$47=2,Quesería!$B$20,1)+IF(E$47=2,Quesería!$B$24*$K$9*($K$22*Quesería!$J$119+(1-$K$22)*Quesería!$E$119)*E439,0))*$K$10*$K$21</f>
        <v>328.494820128122</v>
      </c>
      <c r="F445" s="29" t="n">
        <f aca="false">IF(F$47&lt;=1,0,((($K$22*Quesería!$J$127+(1-$K$22)*Quesería!$E$123)-($K$22*Quesería!$J$113+(1-$K$22)*Quesería!$E$113)+$K$6*($K$22*Quesería!$J$113+(1-$K$22)*Quesería!$E$113)-(1-$K$9)*(($K$22*Quesería!$J$119+(1-$K$22)*Quesería!$E$119)+($K$22*Quesería!$J$118+(1-$K$22)*Quesería!$E$118))-(1-$K$24)*($K$22*Quesería!$J$117+(1-$K$22)*Quesería!$E$117)+$K$24*(1-$K$25)*'Beneficios y costos'!$B$144-(-$K$26*$K$27)*'Beneficios y costos'!$C$167)+($K$6*($K$22*Quesería!$J$113+(1-$K$22)*Quesería!$E$113)+$K$9*($K$22*Quesería!$J$119+(1-$K$22)*Quesería!$E$119))*(F439-1))*IF(F$47=2,Quesería!$B$20,1)+IF(F$47=2,Quesería!$B$24*$K$9*($K$22*Quesería!$J$119+(1-$K$22)*Quesería!$E$119)*F439,0))*$K$10*$K$21</f>
        <v>328.742937047686</v>
      </c>
      <c r="G445" s="29" t="n">
        <f aca="false">IF(G$47&lt;=1,0,((($K$22*Quesería!$J$127+(1-$K$22)*Quesería!$E$123)-($K$22*Quesería!$J$113+(1-$K$22)*Quesería!$E$113)+$K$6*($K$22*Quesería!$J$113+(1-$K$22)*Quesería!$E$113)-(1-$K$9)*(($K$22*Quesería!$J$119+(1-$K$22)*Quesería!$E$119)+($K$22*Quesería!$J$118+(1-$K$22)*Quesería!$E$118))-(1-$K$24)*($K$22*Quesería!$J$117+(1-$K$22)*Quesería!$E$117)+$K$24*(1-$K$25)*'Beneficios y costos'!$B$144-(-$K$26*$K$27)*'Beneficios y costos'!$C$167)+($K$6*($K$22*Quesería!$J$113+(1-$K$22)*Quesería!$E$113)+$K$9*($K$22*Quesería!$J$119+(1-$K$22)*Quesería!$E$119))*(G439-1))*IF(G$47=2,Quesería!$B$20,1)+IF(G$47=2,Quesería!$B$24*$K$9*($K$22*Quesería!$J$119+(1-$K$22)*Quesería!$E$119)*G439,0))*$K$10*$K$21</f>
        <v>328.992294551847</v>
      </c>
      <c r="H445" s="29" t="n">
        <f aca="false">IF(H$47&lt;=1,0,((($K$22*Quesería!$J$127+(1-$K$22)*Quesería!$E$123)-($K$22*Quesería!$J$113+(1-$K$22)*Quesería!$E$113)+$K$6*($K$22*Quesería!$J$113+(1-$K$22)*Quesería!$E$113)-(1-$K$9)*(($K$22*Quesería!$J$119+(1-$K$22)*Quesería!$E$119)+($K$22*Quesería!$J$118+(1-$K$22)*Quesería!$E$118))-(1-$K$24)*($K$22*Quesería!$J$117+(1-$K$22)*Quesería!$E$117)+$K$24*(1-$K$25)*'Beneficios y costos'!$B$144-(-$K$26*$K$27)*'Beneficios y costos'!$C$167)+($K$6*($K$22*Quesería!$J$113+(1-$K$22)*Quesería!$E$113)+$K$9*($K$22*Quesería!$J$119+(1-$K$22)*Quesería!$E$119))*(H439-1))*IF(H$47=2,Quesería!$B$20,1)+IF(H$47=2,Quesería!$B$24*$K$9*($K$22*Quesería!$J$119+(1-$K$22)*Quesería!$E$119)*H439,0))*$K$10*$K$21</f>
        <v>329.242898843529</v>
      </c>
      <c r="I445" s="29" t="n">
        <f aca="false">IF(I$47&lt;=1,0,((($K$22*Quesería!$J$127+(1-$K$22)*Quesería!$E$123)-($K$22*Quesería!$J$113+(1-$K$22)*Quesería!$E$113)+$K$6*($K$22*Quesería!$J$113+(1-$K$22)*Quesería!$E$113)-(1-$K$9)*(($K$22*Quesería!$J$119+(1-$K$22)*Quesería!$E$119)+($K$22*Quesería!$J$118+(1-$K$22)*Quesería!$E$118))-(1-$K$24)*($K$22*Quesería!$J$117+(1-$K$22)*Quesería!$E$117)+$K$24*(1-$K$25)*'Beneficios y costos'!$B$144-(-$K$26*$K$27)*'Beneficios y costos'!$C$167)+($K$6*($K$22*Quesería!$J$113+(1-$K$22)*Quesería!$E$113)+$K$9*($K$22*Quesería!$J$119+(1-$K$22)*Quesería!$E$119))*(I439-1))*IF(I$47=2,Quesería!$B$20,1)+IF(I$47=2,Quesería!$B$24*$K$9*($K$22*Quesería!$J$119+(1-$K$22)*Quesería!$E$119)*I439,0))*$K$10*$K$21</f>
        <v>329.49475615667</v>
      </c>
      <c r="J445" s="29" t="n">
        <f aca="false">IF(J$47&lt;=1,0,((($K$22*Quesería!$J$127+(1-$K$22)*Quesería!$E$123)-($K$22*Quesería!$J$113+(1-$K$22)*Quesería!$E$113)+$K$6*($K$22*Quesería!$J$113+(1-$K$22)*Quesería!$E$113)-(1-$K$9)*(($K$22*Quesería!$J$119+(1-$K$22)*Quesería!$E$119)+($K$22*Quesería!$J$118+(1-$K$22)*Quesería!$E$118))-(1-$K$24)*($K$22*Quesería!$J$117+(1-$K$22)*Quesería!$E$117)+$K$24*(1-$K$25)*'Beneficios y costos'!$B$144-(-$K$26*$K$27)*'Beneficios y costos'!$C$167)+($K$6*($K$22*Quesería!$J$113+(1-$K$22)*Quesería!$E$113)+$K$9*($K$22*Quesería!$J$119+(1-$K$22)*Quesería!$E$119))*(J439-1))*IF(J$47=2,Quesería!$B$20,1)+IF(J$47=2,Quesería!$B$24*$K$9*($K$22*Quesería!$J$119+(1-$K$22)*Quesería!$E$119)*J439,0))*$K$10*$K$21</f>
        <v>329.747872756376</v>
      </c>
      <c r="K445" s="29" t="n">
        <f aca="false">IF(K$47&lt;=1,0,((($K$22*Quesería!$J$127+(1-$K$22)*Quesería!$E$123)-($K$22*Quesería!$J$113+(1-$K$22)*Quesería!$E$113)+$K$6*($K$22*Quesería!$J$113+(1-$K$22)*Quesería!$E$113)-(1-$K$9)*(($K$22*Quesería!$J$119+(1-$K$22)*Quesería!$E$119)+($K$22*Quesería!$J$118+(1-$K$22)*Quesería!$E$118))-(1-$K$24)*($K$22*Quesería!$J$117+(1-$K$22)*Quesería!$E$117)+$K$24*(1-$K$25)*'Beneficios y costos'!$B$144-(-$K$26*$K$27)*'Beneficios y costos'!$C$167)+($K$6*($K$22*Quesería!$J$113+(1-$K$22)*Quesería!$E$113)+$K$9*($K$22*Quesería!$J$119+(1-$K$22)*Quesería!$E$119))*(K439-1))*IF(K$47=2,Quesería!$B$20,1)+IF(K$47=2,Quesería!$B$24*$K$9*($K$22*Quesería!$J$119+(1-$K$22)*Quesería!$E$119)*K439,0))*$K$10*$K$21</f>
        <v>330.00225493908</v>
      </c>
      <c r="L445" s="29" t="n">
        <f aca="false">IF(L$47&lt;=1,0,((($K$22*Quesería!$J$127+(1-$K$22)*Quesería!$E$123)-($K$22*Quesería!$J$113+(1-$K$22)*Quesería!$E$113)+$K$6*($K$22*Quesería!$J$113+(1-$K$22)*Quesería!$E$113)-(1-$K$9)*(($K$22*Quesería!$J$119+(1-$K$22)*Quesería!$E$119)+($K$22*Quesería!$J$118+(1-$K$22)*Quesería!$E$118))-(1-$K$24)*($K$22*Quesería!$J$117+(1-$K$22)*Quesería!$E$117)+$K$24*(1-$K$25)*'Beneficios y costos'!$B$144-(-$K$26*$K$27)*'Beneficios y costos'!$C$167)+($K$6*($K$22*Quesería!$J$113+(1-$K$22)*Quesería!$E$113)+$K$9*($K$22*Quesería!$J$119+(1-$K$22)*Quesería!$E$119))*(L439-1))*IF(L$47=2,Quesería!$B$20,1)+IF(L$47=2,Quesería!$B$24*$K$9*($K$22*Quesería!$J$119+(1-$K$22)*Quesería!$E$119)*L439,0))*$K$10*$K$21</f>
        <v>330.257909032699</v>
      </c>
    </row>
    <row r="446" customFormat="false" ht="15" hidden="true" customHeight="false" outlineLevel="1" collapsed="false">
      <c r="A446" s="5" t="s">
        <v>412</v>
      </c>
      <c r="B446" s="10" t="n">
        <f aca="false">B444+B445</f>
        <v>120.716772261203</v>
      </c>
      <c r="C446" s="10" t="n">
        <f aca="false">C444+C445</f>
        <v>181.328317354069</v>
      </c>
      <c r="D446" s="10" t="n">
        <f aca="false">D444+D445</f>
        <v>499.183071266528</v>
      </c>
      <c r="E446" s="10" t="n">
        <f aca="false">E444+E445</f>
        <v>570.38718782501</v>
      </c>
      <c r="F446" s="10" t="n">
        <f aca="false">F444+F445</f>
        <v>570.696398860445</v>
      </c>
      <c r="G446" s="10" t="n">
        <f aca="false">G444+G445</f>
        <v>571.007155951058</v>
      </c>
      <c r="H446" s="10" t="n">
        <f aca="false">H444+H445</f>
        <v>571.319466827124</v>
      </c>
      <c r="I446" s="10" t="n">
        <f aca="false">I444+I445</f>
        <v>571.633339257571</v>
      </c>
      <c r="J446" s="10" t="n">
        <f aca="false">J444+J445</f>
        <v>571.94878105017</v>
      </c>
      <c r="K446" s="10" t="n">
        <f aca="false">K444+K445</f>
        <v>572.265800051731</v>
      </c>
      <c r="L446" s="10" t="n">
        <f aca="false">L444+L445</f>
        <v>572.584404148301</v>
      </c>
    </row>
    <row r="447" customFormat="false" ht="15" hidden="true" customHeight="false" outlineLevel="1" collapsed="false">
      <c r="A447" s="6" t="s">
        <v>413</v>
      </c>
      <c r="B447" s="29" t="n">
        <f aca="false">(IF(B$47&gt;=1,(Quesería!$B$31+Quesería!$B$33)*Quesería!$F$94*$K$11+Quesería!$B$32+'Beneficios y costos'!$B$249,0)+IF(B$47&gt;=2,((Quesería!$B$31+Quesería!$B$33)*(Quesería!$F$95-(-$K$26)*Quesería!$D$86)*$K$11+'Beneficios y costos'!$C$249-(-$K$26)*'Beneficios y costos'!$H$235)*$K$21,0))*$K$12</f>
        <v>0</v>
      </c>
      <c r="C447" s="29" t="n">
        <f aca="false">(IF(C$47&gt;=1,(Quesería!$B$31+Quesería!$B$33)*Quesería!$F$94*$K$11+Quesería!$B$32+'Beneficios y costos'!$B$249,0)+IF(C$47&gt;=2,((Quesería!$B$31+Quesería!$B$33)*(Quesería!$F$95-(-$K$26)*Quesería!$D$86)*$K$11+'Beneficios y costos'!$C$249-(-$K$26)*'Beneficios y costos'!$H$235)*$K$21,0))*$K$12</f>
        <v>54.7230433438786</v>
      </c>
      <c r="D447" s="29" t="n">
        <f aca="false">(IF(D$47&gt;=1,(Quesería!$B$31+Quesería!$B$33)*Quesería!$F$94*$K$11+Quesería!$B$32+'Beneficios y costos'!$B$249,0)+IF(D$47&gt;=2,((Quesería!$B$31+Quesería!$B$33)*(Quesería!$F$95-(-$K$26)*Quesería!$D$86)*$K$11+'Beneficios y costos'!$C$249-(-$K$26)*'Beneficios y costos'!$H$235)*$K$21,0))*$K$12</f>
        <v>99.4454267525909</v>
      </c>
      <c r="E447" s="29" t="n">
        <f aca="false">(IF(E$47&gt;=1,(Quesería!$B$31+Quesería!$B$33)*Quesería!$F$94*$K$11+Quesería!$B$32+'Beneficios y costos'!$B$249,0)+IF(E$47&gt;=2,((Quesería!$B$31+Quesería!$B$33)*(Quesería!$F$95-(-$K$26)*Quesería!$D$86)*$K$11+'Beneficios y costos'!$C$249-(-$K$26)*'Beneficios y costos'!$H$235)*$K$21,0))*$K$12</f>
        <v>99.4454267525909</v>
      </c>
      <c r="F447" s="29" t="n">
        <f aca="false">(IF(F$47&gt;=1,(Quesería!$B$31+Quesería!$B$33)*Quesería!$F$94*$K$11+Quesería!$B$32+'Beneficios y costos'!$B$249,0)+IF(F$47&gt;=2,((Quesería!$B$31+Quesería!$B$33)*(Quesería!$F$95-(-$K$26)*Quesería!$D$86)*$K$11+'Beneficios y costos'!$C$249-(-$K$26)*'Beneficios y costos'!$H$235)*$K$21,0))*$K$12</f>
        <v>99.4454267525909</v>
      </c>
      <c r="G447" s="29" t="n">
        <f aca="false">(IF(G$47&gt;=1,(Quesería!$B$31+Quesería!$B$33)*Quesería!$F$94*$K$11+Quesería!$B$32+'Beneficios y costos'!$B$249,0)+IF(G$47&gt;=2,((Quesería!$B$31+Quesería!$B$33)*(Quesería!$F$95-(-$K$26)*Quesería!$D$86)*$K$11+'Beneficios y costos'!$C$249-(-$K$26)*'Beneficios y costos'!$H$235)*$K$21,0))*$K$12</f>
        <v>99.4454267525909</v>
      </c>
      <c r="H447" s="29" t="n">
        <f aca="false">(IF(H$47&gt;=1,(Quesería!$B$31+Quesería!$B$33)*Quesería!$F$94*$K$11+Quesería!$B$32+'Beneficios y costos'!$B$249,0)+IF(H$47&gt;=2,((Quesería!$B$31+Quesería!$B$33)*(Quesería!$F$95-(-$K$26)*Quesería!$D$86)*$K$11+'Beneficios y costos'!$C$249-(-$K$26)*'Beneficios y costos'!$H$235)*$K$21,0))*$K$12</f>
        <v>99.4454267525909</v>
      </c>
      <c r="I447" s="29" t="n">
        <f aca="false">(IF(I$47&gt;=1,(Quesería!$B$31+Quesería!$B$33)*Quesería!$F$94*$K$11+Quesería!$B$32+'Beneficios y costos'!$B$249,0)+IF(I$47&gt;=2,((Quesería!$B$31+Quesería!$B$33)*(Quesería!$F$95-(-$K$26)*Quesería!$D$86)*$K$11+'Beneficios y costos'!$C$249-(-$K$26)*'Beneficios y costos'!$H$235)*$K$21,0))*$K$12</f>
        <v>99.4454267525909</v>
      </c>
      <c r="J447" s="29" t="n">
        <f aca="false">(IF(J$47&gt;=1,(Quesería!$B$31+Quesería!$B$33)*Quesería!$F$94*$K$11+Quesería!$B$32+'Beneficios y costos'!$B$249,0)+IF(J$47&gt;=2,((Quesería!$B$31+Quesería!$B$33)*(Quesería!$F$95-(-$K$26)*Quesería!$D$86)*$K$11+'Beneficios y costos'!$C$249-(-$K$26)*'Beneficios y costos'!$H$235)*$K$21,0))*$K$12</f>
        <v>99.4454267525909</v>
      </c>
      <c r="K447" s="29" t="n">
        <f aca="false">(IF(K$47&gt;=1,(Quesería!$B$31+Quesería!$B$33)*Quesería!$F$94*$K$11+Quesería!$B$32+'Beneficios y costos'!$B$249,0)+IF(K$47&gt;=2,((Quesería!$B$31+Quesería!$B$33)*(Quesería!$F$95-(-$K$26)*Quesería!$D$86)*$K$11+'Beneficios y costos'!$C$249-(-$K$26)*'Beneficios y costos'!$H$235)*$K$21,0))*$K$12</f>
        <v>99.4454267525909</v>
      </c>
      <c r="L447" s="29" t="n">
        <f aca="false">(IF(L$47&gt;=1,(Quesería!$B$31+Quesería!$B$33)*Quesería!$F$94*$K$11+Quesería!$B$32+'Beneficios y costos'!$B$249,0)+IF(L$47&gt;=2,((Quesería!$B$31+Quesería!$B$33)*(Quesería!$F$95-(-$K$26)*Quesería!$D$86)*$K$11+'Beneficios y costos'!$C$249-(-$K$26)*'Beneficios y costos'!$H$235)*$K$21,0))*$K$12</f>
        <v>99.4454267525909</v>
      </c>
    </row>
    <row r="448" customFormat="false" ht="15" hidden="true" customHeight="false" outlineLevel="1" collapsed="false">
      <c r="A448" s="6" t="s">
        <v>414</v>
      </c>
      <c r="B448" s="29" t="n">
        <f aca="false">IF(B$47=1,2*Quesería!$B$22*Quesería!$B$23/12*B439,0)*$K$21</f>
        <v>0</v>
      </c>
      <c r="C448" s="29" t="n">
        <f aca="false">IF(C$47=1,2*Quesería!$B$22*Quesería!$B$23/12*C439,0)*$K$21</f>
        <v>18.5166509433962</v>
      </c>
      <c r="D448" s="29" t="n">
        <f aca="false">IF(D$47=1,2*Quesería!$B$22*Quesería!$B$23/12*D439,0)*$K$21</f>
        <v>0</v>
      </c>
      <c r="E448" s="29" t="n">
        <f aca="false">IF(E$47=1,2*Quesería!$B$22*Quesería!$B$23/12*E439,0)*$K$21</f>
        <v>0</v>
      </c>
      <c r="F448" s="29" t="n">
        <f aca="false">IF(F$47=1,2*Quesería!$B$22*Quesería!$B$23/12*F439,0)*$K$21</f>
        <v>0</v>
      </c>
      <c r="G448" s="29" t="n">
        <f aca="false">IF(G$47=1,2*Quesería!$B$22*Quesería!$B$23/12*G439,0)*$K$21</f>
        <v>0</v>
      </c>
      <c r="H448" s="29" t="n">
        <f aca="false">IF(H$47=1,2*Quesería!$B$22*Quesería!$B$23/12*H439,0)*$K$21</f>
        <v>0</v>
      </c>
      <c r="I448" s="29" t="n">
        <f aca="false">IF(I$47=1,2*Quesería!$B$22*Quesería!$B$23/12*I439,0)*$K$21</f>
        <v>0</v>
      </c>
      <c r="J448" s="29" t="n">
        <f aca="false">IF(J$47=1,2*Quesería!$B$22*Quesería!$B$23/12*J439,0)*$K$21</f>
        <v>0</v>
      </c>
      <c r="K448" s="29" t="n">
        <f aca="false">IF(K$47=1,2*Quesería!$B$22*Quesería!$B$23/12*K439,0)*$K$21</f>
        <v>0</v>
      </c>
      <c r="L448" s="29" t="n">
        <f aca="false">IF(L$47=1,2*Quesería!$B$22*Quesería!$B$23/12*L439,0)*$K$21</f>
        <v>0</v>
      </c>
    </row>
    <row r="449" customFormat="false" ht="15" hidden="true" customHeight="false" outlineLevel="1" collapsed="false">
      <c r="A449" s="6" t="s">
        <v>415</v>
      </c>
      <c r="B449" s="29" t="n">
        <f aca="false">Quesería!$B$52*(B441+B442+B443+B447+B448)</f>
        <v>4.31966364396742</v>
      </c>
      <c r="C449" s="29" t="n">
        <f aca="false">Quesería!$B$52*(C441+C442+C443+C447+C448)</f>
        <v>3.42727153451971</v>
      </c>
      <c r="D449" s="29" t="n">
        <f aca="false">Quesería!$B$52*(D441+D442+D443+D447+D448)</f>
        <v>0.397781707010364</v>
      </c>
      <c r="E449" s="29" t="n">
        <f aca="false">Quesería!$B$52*(E441+E442+E443+E447+E448)</f>
        <v>0.397781707010364</v>
      </c>
      <c r="F449" s="29" t="n">
        <f aca="false">Quesería!$B$52*(F441+F442+F443+F447+F448)</f>
        <v>0.397781707010364</v>
      </c>
      <c r="G449" s="29" t="n">
        <f aca="false">Quesería!$B$52*(G441+G442+G443+G447+G448)</f>
        <v>0.528516141210202</v>
      </c>
      <c r="H449" s="29" t="n">
        <f aca="false">Quesería!$B$52*(H441+H442+H443+H447+H448)</f>
        <v>0.618594088194511</v>
      </c>
      <c r="I449" s="29" t="n">
        <f aca="false">Quesería!$B$52*(I441+I442+I443+I447+I448)</f>
        <v>0.397781707010364</v>
      </c>
      <c r="J449" s="29" t="n">
        <f aca="false">Quesería!$B$52*(J441+J442+J443+J447+J448)</f>
        <v>0.397781707010364</v>
      </c>
      <c r="K449" s="29" t="n">
        <f aca="false">Quesería!$B$52*(K441+K442+K443+K447+K448)</f>
        <v>0.397781707010364</v>
      </c>
      <c r="L449" s="29" t="n">
        <f aca="false">Quesería!$B$52*(L441+L442+L443+L447+L448)</f>
        <v>0.397781707010364</v>
      </c>
    </row>
    <row r="450" customFormat="false" ht="15" hidden="true" customHeight="false" outlineLevel="1" collapsed="false">
      <c r="A450" s="6" t="s">
        <v>416</v>
      </c>
      <c r="B450" s="29" t="n">
        <f aca="false">(IF($K$19=1,(SUMPRODUCT((Quesería!$C$70:$C$89=0)*(Quesería!$J$70:$J$89&gt;0)*(B$47&gt;=1)*(B$47&lt;=Quesería!$J$70:$J$89)*(Quesería!$H$70:$H$89&gt;0)*Quesería!$F$70:$F$89*(1+Quesería!$I$70:$I$89)/(Quesería!$J$70:$J$89+(Quesería!$J$70:$J$89=0)))+SUMPRODUCT((Quesería!$C$70:$C$89=0)*(Quesería!$J$70:$J$89=0)*(B$47=0)*(Quesería!$H$70:$H$89&gt;0)*Quesería!$F$70:$F$89*(1+Quesería!$I$70:$I$89)))*$B$438+((SUMPRODUCT((Quesería!$C$70:$C$89=1)*(Quesería!$J$70:$J$89&gt;0)*(B$47&gt;=2)*(B$47&lt;=Quesería!$J$70:$J$89+1)*(Quesería!$H$70:$H$89&gt;0)*Quesería!$F$70:$F$89*(1+Quesería!$I$70:$I$89)/(Quesería!$J$70:$J$89+(Quesería!$J$70:$J$89=0)))+SUMPRODUCT((Quesería!$C$70:$C$89=1)*(Quesería!$J$70:$J$89=0)*(B$47=1)*(Quesería!$H$70:$H$89&gt;0)*Quesería!$F$70:$F$89*(1+Quesería!$I$70:$I$89)))-(-$K$26)*IF(AND(B$47&gt;=2,B$47&lt;=Quesería!$J$86+1),Quesería!$D$86*(1+Quesería!$I$86)/Quesería!$J$86,0))*$C$438*$K$21,IF(AND(B$47&gt;=1,B$47&lt;=Quesería!$B$30),Quesería!$F$92/Quesería!$B$30,0)*$B$438+IF(AND(B$47&gt;=2,B$47&lt;=Quesería!$B$30+1),(Quesería!$F$93-(-$K$26)*Quesería!$D$86*(1+Quesería!$I$86))/Quesería!$B$30,0)*$C$438*$K$21)*$K$11+IF(AND(B$47&gt;=6,B$47&lt;=10),$G442*$G438/5,0)+IF(AND(B$47&gt;=7,B$47&lt;=11),$H442*$H438/5,0))*B440</f>
        <v>145.980915430742</v>
      </c>
      <c r="C450" s="29" t="n">
        <f aca="false">(IF($K$19=1,(SUMPRODUCT((Quesería!$C$70:$C$89=0)*(Quesería!$J$70:$J$89&gt;0)*(C$47&gt;=1)*(C$47&lt;=Quesería!$J$70:$J$89)*(Quesería!$H$70:$H$89&gt;0)*Quesería!$F$70:$F$89*(1+Quesería!$I$70:$I$89)/(Quesería!$J$70:$J$89+(Quesería!$J$70:$J$89=0)))+SUMPRODUCT((Quesería!$C$70:$C$89=0)*(Quesería!$J$70:$J$89=0)*(C$47=0)*(Quesería!$H$70:$H$89&gt;0)*Quesería!$F$70:$F$89*(1+Quesería!$I$70:$I$89)))*$B$438+((SUMPRODUCT((Quesería!$C$70:$C$89=1)*(Quesería!$J$70:$J$89&gt;0)*(C$47&gt;=2)*(C$47&lt;=Quesería!$J$70:$J$89+1)*(Quesería!$H$70:$H$89&gt;0)*Quesería!$F$70:$F$89*(1+Quesería!$I$70:$I$89)/(Quesería!$J$70:$J$89+(Quesería!$J$70:$J$89=0)))+SUMPRODUCT((Quesería!$C$70:$C$89=1)*(Quesería!$J$70:$J$89=0)*(C$47=1)*(Quesería!$H$70:$H$89&gt;0)*Quesería!$F$70:$F$89*(1+Quesería!$I$70:$I$89)))-(-$K$26)*IF(AND(C$47&gt;=2,C$47&lt;=Quesería!$J$86+1),Quesería!$D$86*(1+Quesería!$I$86)/Quesería!$J$86,0))*$C$438*$K$21,IF(AND(C$47&gt;=1,C$47&lt;=Quesería!$B$30),Quesería!$F$92/Quesería!$B$30,0)*$B$438+IF(AND(C$47&gt;=2,C$47&lt;=Quesería!$B$30+1),(Quesería!$F$93-(-$K$26)*Quesería!$D$86*(1+Quesería!$I$86))/Quesería!$B$30,0)*$C$438*$K$21)*$K$11+IF(AND(C$47&gt;=6,C$47&lt;=10),$G442*$G438/5,0)+IF(AND(C$47&gt;=7,C$47&lt;=11),$H442*$H438/5,0))*C440</f>
        <v>82.2633269524265</v>
      </c>
      <c r="D450" s="29" t="n">
        <f aca="false">(IF($K$19=1,(SUMPRODUCT((Quesería!$C$70:$C$89=0)*(Quesería!$J$70:$J$89&gt;0)*(D$47&gt;=1)*(D$47&lt;=Quesería!$J$70:$J$89)*(Quesería!$H$70:$H$89&gt;0)*Quesería!$F$70:$F$89*(1+Quesería!$I$70:$I$89)/(Quesería!$J$70:$J$89+(Quesería!$J$70:$J$89=0)))+SUMPRODUCT((Quesería!$C$70:$C$89=0)*(Quesería!$J$70:$J$89=0)*(D$47=0)*(Quesería!$H$70:$H$89&gt;0)*Quesería!$F$70:$F$89*(1+Quesería!$I$70:$I$89)))*$B$438+((SUMPRODUCT((Quesería!$C$70:$C$89=1)*(Quesería!$J$70:$J$89&gt;0)*(D$47&gt;=2)*(D$47&lt;=Quesería!$J$70:$J$89+1)*(Quesería!$H$70:$H$89&gt;0)*Quesería!$F$70:$F$89*(1+Quesería!$I$70:$I$89)/(Quesería!$J$70:$J$89+(Quesería!$J$70:$J$89=0)))+SUMPRODUCT((Quesería!$C$70:$C$89=1)*(Quesería!$J$70:$J$89=0)*(D$47=1)*(Quesería!$H$70:$H$89&gt;0)*Quesería!$F$70:$F$89*(1+Quesería!$I$70:$I$89)))-(-$K$26)*IF(AND(D$47&gt;=2,D$47&lt;=Quesería!$J$86+1),Quesería!$D$86*(1+Quesería!$I$86)/Quesería!$J$86,0))*$C$438*$K$21,IF(AND(D$47&gt;=1,D$47&lt;=Quesería!$B$30),Quesería!$F$92/Quesería!$B$30,0)*$B$438+IF(AND(D$47&gt;=2,D$47&lt;=Quesería!$B$30+1),(Quesería!$F$93-(-$K$26)*Quesería!$D$86*(1+Quesería!$I$86))/Quesería!$B$30,0)*$C$438*$K$21)*$K$11+IF(AND(D$47&gt;=6,D$47&lt;=10),$G442*$G438/5,0)+IF(AND(D$47&gt;=7,D$47&lt;=11),$H442*$H438/5,0))*D440</f>
        <v>141.732280975958</v>
      </c>
      <c r="E450" s="29" t="n">
        <f aca="false">(IF($K$19=1,(SUMPRODUCT((Quesería!$C$70:$C$89=0)*(Quesería!$J$70:$J$89&gt;0)*(E$47&gt;=1)*(E$47&lt;=Quesería!$J$70:$J$89)*(Quesería!$H$70:$H$89&gt;0)*Quesería!$F$70:$F$89*(1+Quesería!$I$70:$I$89)/(Quesería!$J$70:$J$89+(Quesería!$J$70:$J$89=0)))+SUMPRODUCT((Quesería!$C$70:$C$89=0)*(Quesería!$J$70:$J$89=0)*(E$47=0)*(Quesería!$H$70:$H$89&gt;0)*Quesería!$F$70:$F$89*(1+Quesería!$I$70:$I$89)))*$B$438+((SUMPRODUCT((Quesería!$C$70:$C$89=1)*(Quesería!$J$70:$J$89&gt;0)*(E$47&gt;=2)*(E$47&lt;=Quesería!$J$70:$J$89+1)*(Quesería!$H$70:$H$89&gt;0)*Quesería!$F$70:$F$89*(1+Quesería!$I$70:$I$89)/(Quesería!$J$70:$J$89+(Quesería!$J$70:$J$89=0)))+SUMPRODUCT((Quesería!$C$70:$C$89=1)*(Quesería!$J$70:$J$89=0)*(E$47=1)*(Quesería!$H$70:$H$89&gt;0)*Quesería!$F$70:$F$89*(1+Quesería!$I$70:$I$89)))-(-$K$26)*IF(AND(E$47&gt;=2,E$47&lt;=Quesería!$J$86+1),Quesería!$D$86*(1+Quesería!$I$86)/Quesería!$J$86,0))*$C$438*$K$21,IF(AND(E$47&gt;=1,E$47&lt;=Quesería!$B$30),Quesería!$F$92/Quesería!$B$30,0)*$B$438+IF(AND(E$47&gt;=2,E$47&lt;=Quesería!$B$30+1),(Quesería!$F$93-(-$K$26)*Quesería!$D$86*(1+Quesería!$I$86))/Quesería!$B$30,0)*$C$438*$K$21)*$K$11+IF(AND(E$47&gt;=6,E$47&lt;=10),$G442*$G438/5,0)+IF(AND(E$47&gt;=7,E$47&lt;=11),$H442*$H438/5,0))*E440</f>
        <v>136.28103939996</v>
      </c>
      <c r="F450" s="29" t="n">
        <f aca="false">(IF($K$19=1,(SUMPRODUCT((Quesería!$C$70:$C$89=0)*(Quesería!$J$70:$J$89&gt;0)*(F$47&gt;=1)*(F$47&lt;=Quesería!$J$70:$J$89)*(Quesería!$H$70:$H$89&gt;0)*Quesería!$F$70:$F$89*(1+Quesería!$I$70:$I$89)/(Quesería!$J$70:$J$89+(Quesería!$J$70:$J$89=0)))+SUMPRODUCT((Quesería!$C$70:$C$89=0)*(Quesería!$J$70:$J$89=0)*(F$47=0)*(Quesería!$H$70:$H$89&gt;0)*Quesería!$F$70:$F$89*(1+Quesería!$I$70:$I$89)))*$B$438+((SUMPRODUCT((Quesería!$C$70:$C$89=1)*(Quesería!$J$70:$J$89&gt;0)*(F$47&gt;=2)*(F$47&lt;=Quesería!$J$70:$J$89+1)*(Quesería!$H$70:$H$89&gt;0)*Quesería!$F$70:$F$89*(1+Quesería!$I$70:$I$89)/(Quesería!$J$70:$J$89+(Quesería!$J$70:$J$89=0)))+SUMPRODUCT((Quesería!$C$70:$C$89=1)*(Quesería!$J$70:$J$89=0)*(F$47=1)*(Quesería!$H$70:$H$89&gt;0)*Quesería!$F$70:$F$89*(1+Quesería!$I$70:$I$89)))-(-$K$26)*IF(AND(F$47&gt;=2,F$47&lt;=Quesería!$J$86+1),Quesería!$D$86*(1+Quesería!$I$86)/Quesería!$J$86,0))*$C$438*$K$21,IF(AND(F$47&gt;=1,F$47&lt;=Quesería!$B$30),Quesería!$F$92/Quesería!$B$30,0)*$B$438+IF(AND(F$47&gt;=2,F$47&lt;=Quesería!$B$30+1),(Quesería!$F$93-(-$K$26)*Quesería!$D$86*(1+Quesería!$I$86))/Quesería!$B$30,0)*$C$438*$K$21)*$K$11+IF(AND(F$47&gt;=6,F$47&lt;=10),$G442*$G438/5,0)+IF(AND(F$47&gt;=7,F$47&lt;=11),$H442*$H438/5,0))*F440</f>
        <v>131.0394609615</v>
      </c>
      <c r="G450" s="29" t="n">
        <f aca="false">(IF($K$19=1,(SUMPRODUCT((Quesería!$C$70:$C$89=0)*(Quesería!$J$70:$J$89&gt;0)*(G$47&gt;=1)*(G$47&lt;=Quesería!$J$70:$J$89)*(Quesería!$H$70:$H$89&gt;0)*Quesería!$F$70:$F$89*(1+Quesería!$I$70:$I$89)/(Quesería!$J$70:$J$89+(Quesería!$J$70:$J$89=0)))+SUMPRODUCT((Quesería!$C$70:$C$89=0)*(Quesería!$J$70:$J$89=0)*(G$47=0)*(Quesería!$H$70:$H$89&gt;0)*Quesería!$F$70:$F$89*(1+Quesería!$I$70:$I$89)))*$B$438+((SUMPRODUCT((Quesería!$C$70:$C$89=1)*(Quesería!$J$70:$J$89&gt;0)*(G$47&gt;=2)*(G$47&lt;=Quesería!$J$70:$J$89+1)*(Quesería!$H$70:$H$89&gt;0)*Quesería!$F$70:$F$89*(1+Quesería!$I$70:$I$89)/(Quesería!$J$70:$J$89+(Quesería!$J$70:$J$89=0)))+SUMPRODUCT((Quesería!$C$70:$C$89=1)*(Quesería!$J$70:$J$89=0)*(G$47=1)*(Quesería!$H$70:$H$89&gt;0)*Quesería!$F$70:$F$89*(1+Quesería!$I$70:$I$89)))-(-$K$26)*IF(AND(G$47&gt;=2,G$47&lt;=Quesería!$J$86+1),Quesería!$D$86*(1+Quesería!$I$86)/Quesería!$J$86,0))*$C$438*$K$21,IF(AND(G$47&gt;=1,G$47&lt;=Quesería!$B$30),Quesería!$F$92/Quesería!$B$30,0)*$B$438+IF(AND(G$47&gt;=2,G$47&lt;=Quesería!$B$30+1),(Quesería!$F$93-(-$K$26)*Quesería!$D$86*(1+Quesería!$I$86))/Quesería!$B$30,0)*$C$438*$K$21)*$K$11+IF(AND(G$47&gt;=6,G$47&lt;=10),$G442*$G438/5,0)+IF(AND(G$47&gt;=7,G$47&lt;=11),$H442*$H438/5,0))*G440</f>
        <v>125.99948169375</v>
      </c>
      <c r="H450" s="29" t="n">
        <f aca="false">(IF($K$19=1,(SUMPRODUCT((Quesería!$C$70:$C$89=0)*(Quesería!$J$70:$J$89&gt;0)*(H$47&gt;=1)*(H$47&lt;=Quesería!$J$70:$J$89)*(Quesería!$H$70:$H$89&gt;0)*Quesería!$F$70:$F$89*(1+Quesería!$I$70:$I$89)/(Quesería!$J$70:$J$89+(Quesería!$J$70:$J$89=0)))+SUMPRODUCT((Quesería!$C$70:$C$89=0)*(Quesería!$J$70:$J$89=0)*(H$47=0)*(Quesería!$H$70:$H$89&gt;0)*Quesería!$F$70:$F$89*(1+Quesería!$I$70:$I$89)))*$B$438+((SUMPRODUCT((Quesería!$C$70:$C$89=1)*(Quesería!$J$70:$J$89&gt;0)*(H$47&gt;=2)*(H$47&lt;=Quesería!$J$70:$J$89+1)*(Quesería!$H$70:$H$89&gt;0)*Quesería!$F$70:$F$89*(1+Quesería!$I$70:$I$89)/(Quesería!$J$70:$J$89+(Quesería!$J$70:$J$89=0)))+SUMPRODUCT((Quesería!$C$70:$C$89=1)*(Quesería!$J$70:$J$89=0)*(H$47=1)*(Quesería!$H$70:$H$89&gt;0)*Quesería!$F$70:$F$89*(1+Quesería!$I$70:$I$89)))-(-$K$26)*IF(AND(H$47&gt;=2,H$47&lt;=Quesería!$J$86+1),Quesería!$D$86*(1+Quesería!$I$86)/Quesería!$J$86,0))*$C$438*$K$21,IF(AND(H$47&gt;=1,H$47&lt;=Quesería!$B$30),Quesería!$F$92/Quesería!$B$30,0)*$B$438+IF(AND(H$47&gt;=2,H$47&lt;=Quesería!$B$30+1),(Quesería!$F$93-(-$K$26)*Quesería!$D$86*(1+Quesería!$I$86))/Quesería!$B$30,0)*$C$438*$K$21)*$K$11+IF(AND(H$47&gt;=6,H$47&lt;=10),$G442*$G438/5,0)+IF(AND(H$47&gt;=7,H$47&lt;=11),$H442*$H438/5,0))*H440</f>
        <v>114.13472617855</v>
      </c>
      <c r="I450" s="29" t="n">
        <f aca="false">(IF($K$19=1,(SUMPRODUCT((Quesería!$C$70:$C$89=0)*(Quesería!$J$70:$J$89&gt;0)*(I$47&gt;=1)*(I$47&lt;=Quesería!$J$70:$J$89)*(Quesería!$H$70:$H$89&gt;0)*Quesería!$F$70:$F$89*(1+Quesería!$I$70:$I$89)/(Quesería!$J$70:$J$89+(Quesería!$J$70:$J$89=0)))+SUMPRODUCT((Quesería!$C$70:$C$89=0)*(Quesería!$J$70:$J$89=0)*(I$47=0)*(Quesería!$H$70:$H$89&gt;0)*Quesería!$F$70:$F$89*(1+Quesería!$I$70:$I$89)))*$B$438+((SUMPRODUCT((Quesería!$C$70:$C$89=1)*(Quesería!$J$70:$J$89&gt;0)*(I$47&gt;=2)*(I$47&lt;=Quesería!$J$70:$J$89+1)*(Quesería!$H$70:$H$89&gt;0)*Quesería!$F$70:$F$89*(1+Quesería!$I$70:$I$89)/(Quesería!$J$70:$J$89+(Quesería!$J$70:$J$89=0)))+SUMPRODUCT((Quesería!$C$70:$C$89=1)*(Quesería!$J$70:$J$89=0)*(I$47=1)*(Quesería!$H$70:$H$89&gt;0)*Quesería!$F$70:$F$89*(1+Quesería!$I$70:$I$89)))-(-$K$26)*IF(AND(I$47&gt;=2,I$47&lt;=Quesería!$J$86+1),Quesería!$D$86*(1+Quesería!$I$86)/Quesería!$J$86,0))*$C$438*$K$21,IF(AND(I$47&gt;=1,I$47&lt;=Quesería!$B$30),Quesería!$F$92/Quesería!$B$30,0)*$B$438+IF(AND(I$47&gt;=2,I$47&lt;=Quesería!$B$30+1),(Quesería!$F$93-(-$K$26)*Quesería!$D$86*(1+Quesería!$I$86))/Quesería!$B$30,0)*$C$438*$K$21)*$K$11+IF(AND(I$47&gt;=6,I$47&lt;=10),$G442*$G438/5,0)+IF(AND(I$47&gt;=7,I$47&lt;=11),$H442*$H438/5,0))*I440</f>
        <v>118.665920500713</v>
      </c>
      <c r="J450" s="29" t="n">
        <f aca="false">(IF($K$19=1,(SUMPRODUCT((Quesería!$C$70:$C$89=0)*(Quesería!$J$70:$J$89&gt;0)*(J$47&gt;=1)*(J$47&lt;=Quesería!$J$70:$J$89)*(Quesería!$H$70:$H$89&gt;0)*Quesería!$F$70:$F$89*(1+Quesería!$I$70:$I$89)/(Quesería!$J$70:$J$89+(Quesería!$J$70:$J$89=0)))+SUMPRODUCT((Quesería!$C$70:$C$89=0)*(Quesería!$J$70:$J$89=0)*(J$47=0)*(Quesería!$H$70:$H$89&gt;0)*Quesería!$F$70:$F$89*(1+Quesería!$I$70:$I$89)))*$B$438+((SUMPRODUCT((Quesería!$C$70:$C$89=1)*(Quesería!$J$70:$J$89&gt;0)*(J$47&gt;=2)*(J$47&lt;=Quesería!$J$70:$J$89+1)*(Quesería!$H$70:$H$89&gt;0)*Quesería!$F$70:$F$89*(1+Quesería!$I$70:$I$89)/(Quesería!$J$70:$J$89+(Quesería!$J$70:$J$89=0)))+SUMPRODUCT((Quesería!$C$70:$C$89=1)*(Quesería!$J$70:$J$89=0)*(J$47=1)*(Quesería!$H$70:$H$89&gt;0)*Quesería!$F$70:$F$89*(1+Quesería!$I$70:$I$89)))-(-$K$26)*IF(AND(J$47&gt;=2,J$47&lt;=Quesería!$J$86+1),Quesería!$D$86*(1+Quesería!$I$86)/Quesería!$J$86,0))*$C$438*$K$21,IF(AND(J$47&gt;=1,J$47&lt;=Quesería!$B$30),Quesería!$F$92/Quesería!$B$30,0)*$B$438+IF(AND(J$47&gt;=2,J$47&lt;=Quesería!$B$30+1),(Quesería!$F$93-(-$K$26)*Quesería!$D$86*(1+Quesería!$I$86))/Quesería!$B$30,0)*$C$438*$K$21)*$K$11+IF(AND(J$47&gt;=6,J$47&lt;=10),$G442*$G438/5,0)+IF(AND(J$47&gt;=7,J$47&lt;=11),$H442*$H438/5,0))*J440</f>
        <v>114.101846635301</v>
      </c>
      <c r="K450" s="29" t="n">
        <f aca="false">(IF($K$19=1,(SUMPRODUCT((Quesería!$C$70:$C$89=0)*(Quesería!$J$70:$J$89&gt;0)*(K$47&gt;=1)*(K$47&lt;=Quesería!$J$70:$J$89)*(Quesería!$H$70:$H$89&gt;0)*Quesería!$F$70:$F$89*(1+Quesería!$I$70:$I$89)/(Quesería!$J$70:$J$89+(Quesería!$J$70:$J$89=0)))+SUMPRODUCT((Quesería!$C$70:$C$89=0)*(Quesería!$J$70:$J$89=0)*(K$47=0)*(Quesería!$H$70:$H$89&gt;0)*Quesería!$F$70:$F$89*(1+Quesería!$I$70:$I$89)))*$B$438+((SUMPRODUCT((Quesería!$C$70:$C$89=1)*(Quesería!$J$70:$J$89&gt;0)*(K$47&gt;=2)*(K$47&lt;=Quesería!$J$70:$J$89+1)*(Quesería!$H$70:$H$89&gt;0)*Quesería!$F$70:$F$89*(1+Quesería!$I$70:$I$89)/(Quesería!$J$70:$J$89+(Quesería!$J$70:$J$89=0)))+SUMPRODUCT((Quesería!$C$70:$C$89=1)*(Quesería!$J$70:$J$89=0)*(K$47=1)*(Quesería!$H$70:$H$89&gt;0)*Quesería!$F$70:$F$89*(1+Quesería!$I$70:$I$89)))-(-$K$26)*IF(AND(K$47&gt;=2,K$47&lt;=Quesería!$J$86+1),Quesería!$D$86*(1+Quesería!$I$86)/Quesería!$J$86,0))*$C$438*$K$21,IF(AND(K$47&gt;=1,K$47&lt;=Quesería!$B$30),Quesería!$F$92/Quesería!$B$30,0)*$B$438+IF(AND(K$47&gt;=2,K$47&lt;=Quesería!$B$30+1),(Quesería!$F$93-(-$K$26)*Quesería!$D$86*(1+Quesería!$I$86))/Quesería!$B$30,0)*$C$438*$K$21)*$K$11+IF(AND(K$47&gt;=6,K$47&lt;=10),$G442*$G438/5,0)+IF(AND(K$47&gt;=7,K$47&lt;=11),$H442*$H438/5,0))*K440</f>
        <v>109.713314072405</v>
      </c>
      <c r="L450" s="29" t="n">
        <f aca="false">(IF($K$19=1,(SUMPRODUCT((Quesería!$C$70:$C$89=0)*(Quesería!$J$70:$J$89&gt;0)*(L$47&gt;=1)*(L$47&lt;=Quesería!$J$70:$J$89)*(Quesería!$H$70:$H$89&gt;0)*Quesería!$F$70:$F$89*(1+Quesería!$I$70:$I$89)/(Quesería!$J$70:$J$89+(Quesería!$J$70:$J$89=0)))+SUMPRODUCT((Quesería!$C$70:$C$89=0)*(Quesería!$J$70:$J$89=0)*(L$47=0)*(Quesería!$H$70:$H$89&gt;0)*Quesería!$F$70:$F$89*(1+Quesería!$I$70:$I$89)))*$B$438+((SUMPRODUCT((Quesería!$C$70:$C$89=1)*(Quesería!$J$70:$J$89&gt;0)*(L$47&gt;=2)*(L$47&lt;=Quesería!$J$70:$J$89+1)*(Quesería!$H$70:$H$89&gt;0)*Quesería!$F$70:$F$89*(1+Quesería!$I$70:$I$89)/(Quesería!$J$70:$J$89+(Quesería!$J$70:$J$89=0)))+SUMPRODUCT((Quesería!$C$70:$C$89=1)*(Quesería!$J$70:$J$89=0)*(L$47=1)*(Quesería!$H$70:$H$89&gt;0)*Quesería!$F$70:$F$89*(1+Quesería!$I$70:$I$89)))-(-$K$26)*IF(AND(L$47&gt;=2,L$47&lt;=Quesería!$J$86+1),Quesería!$D$86*(1+Quesería!$I$86)/Quesería!$J$86,0))*$C$438*$K$21,IF(AND(L$47&gt;=1,L$47&lt;=Quesería!$B$30),Quesería!$F$92/Quesería!$B$30,0)*$B$438+IF(AND(L$47&gt;=2,L$47&lt;=Quesería!$B$30+1),(Quesería!$F$93-(-$K$26)*Quesería!$D$86*(1+Quesería!$I$86))/Quesería!$B$30,0)*$C$438*$K$21)*$K$11+IF(AND(L$47&gt;=6,L$47&lt;=10),$G442*$G438/5,0)+IF(AND(L$47&gt;=7,L$47&lt;=11),$H442*$H438/5,0))*L440</f>
        <v>105.493571223466</v>
      </c>
    </row>
    <row r="451" customFormat="false" ht="15" hidden="true" customHeight="false" outlineLevel="1" collapsed="false">
      <c r="A451" s="9" t="s">
        <v>417</v>
      </c>
      <c r="B451" s="58" t="n">
        <f aca="false">IF(B$47=1,MIN($K$7*$K$26*Quesería!$B$56*Quesería!$D$86*$K$11*$K$21,Quesería!$B$57*Quesería!$B$58),0)</f>
        <v>0</v>
      </c>
      <c r="C451" s="58" t="n">
        <f aca="false">IF(C$47=1,MIN($K$7*$K$26*Quesería!$B$56*Quesería!$D$86*$K$11*$K$21,Quesería!$B$57*Quesería!$B$58),0)</f>
        <v>0</v>
      </c>
      <c r="D451" s="58" t="n">
        <f aca="false">IF(D$47=1,MIN($K$7*$K$26*Quesería!$B$56*Quesería!$D$86*$K$11*$K$21,Quesería!$B$57*Quesería!$B$58),0)</f>
        <v>0</v>
      </c>
      <c r="E451" s="58" t="n">
        <f aca="false">IF(E$47=1,MIN($K$7*$K$26*Quesería!$B$56*Quesería!$D$86*$K$11*$K$21,Quesería!$B$57*Quesería!$B$58),0)</f>
        <v>0</v>
      </c>
      <c r="F451" s="58" t="n">
        <f aca="false">IF(F$47=1,MIN($K$7*$K$26*Quesería!$B$56*Quesería!$D$86*$K$11*$K$21,Quesería!$B$57*Quesería!$B$58),0)</f>
        <v>0</v>
      </c>
      <c r="G451" s="58" t="n">
        <f aca="false">IF(G$47=1,MIN($K$7*$K$26*Quesería!$B$56*Quesería!$D$86*$K$11*$K$21,Quesería!$B$57*Quesería!$B$58),0)</f>
        <v>0</v>
      </c>
      <c r="H451" s="58" t="n">
        <f aca="false">IF(H$47=1,MIN($K$7*$K$26*Quesería!$B$56*Quesería!$D$86*$K$11*$K$21,Quesería!$B$57*Quesería!$B$58),0)</f>
        <v>0</v>
      </c>
      <c r="I451" s="58" t="n">
        <f aca="false">IF(I$47=1,MIN($K$7*$K$26*Quesería!$B$56*Quesería!$D$86*$K$11*$K$21,Quesería!$B$57*Quesería!$B$58),0)</f>
        <v>0</v>
      </c>
      <c r="J451" s="58" t="n">
        <f aca="false">IF(J$47=1,MIN($K$7*$K$26*Quesería!$B$56*Quesería!$D$86*$K$11*$K$21,Quesería!$B$57*Quesería!$B$58),0)</f>
        <v>0</v>
      </c>
      <c r="K451" s="58" t="n">
        <f aca="false">IF(K$47=1,MIN($K$7*$K$26*Quesería!$B$56*Quesería!$D$86*$K$11*$K$21,Quesería!$B$57*Quesería!$B$58),0)</f>
        <v>0</v>
      </c>
      <c r="L451" s="58" t="n">
        <f aca="false">IF(L$47=1,MIN($K$7*$K$26*Quesería!$B$56*Quesería!$D$86*$K$11*$K$21,Quesería!$B$57*Quesería!$B$58),0)</f>
        <v>0</v>
      </c>
    </row>
    <row r="452" customFormat="false" ht="15" hidden="true" customHeight="false" outlineLevel="1" collapsed="false">
      <c r="A452" s="9" t="s">
        <v>418</v>
      </c>
      <c r="B452" s="58" t="n">
        <v>0</v>
      </c>
      <c r="C452" s="58" t="n">
        <f aca="false">$K$20*Quesería!$B$60*Quesería!$F$98*$K$11*$B$438/C438/2</f>
        <v>138.12868344741</v>
      </c>
      <c r="D452" s="58" t="n">
        <f aca="false">$K$20*Quesería!$B$60*Quesería!$F$98*$K$11*$B$438/D438/2</f>
        <v>132.18055832288</v>
      </c>
      <c r="E452" s="58" t="n">
        <v>0</v>
      </c>
      <c r="F452" s="58" t="n">
        <v>0</v>
      </c>
      <c r="G452" s="58" t="n">
        <v>0</v>
      </c>
      <c r="H452" s="58" t="n">
        <v>0</v>
      </c>
      <c r="I452" s="58" t="n">
        <v>0</v>
      </c>
      <c r="J452" s="58" t="n">
        <v>0</v>
      </c>
      <c r="K452" s="58" t="n">
        <v>0</v>
      </c>
      <c r="L452" s="58" t="n">
        <v>0</v>
      </c>
    </row>
    <row r="453" customFormat="false" ht="15" hidden="true" customHeight="false" outlineLevel="1" collapsed="false">
      <c r="A453" s="9" t="s">
        <v>419</v>
      </c>
      <c r="B453" s="58" t="n">
        <f aca="false">0</f>
        <v>0</v>
      </c>
      <c r="C453" s="58" t="n">
        <f aca="false">B443*B438/C438</f>
        <v>142.014925295407</v>
      </c>
      <c r="D453" s="58" t="n">
        <f aca="false">C443*C438/D438</f>
        <v>119.721648486272</v>
      </c>
      <c r="E453" s="58" t="n">
        <f aca="false">D443*D438/E438</f>
        <v>0</v>
      </c>
      <c r="F453" s="58" t="n">
        <f aca="false">E443*E438/F438</f>
        <v>0</v>
      </c>
      <c r="G453" s="58" t="n">
        <f aca="false">F443*F438/G438</f>
        <v>0</v>
      </c>
      <c r="H453" s="58" t="n">
        <f aca="false">G443*G438/H438</f>
        <v>5.01768392412113</v>
      </c>
      <c r="I453" s="58" t="n">
        <f aca="false">H443*H438/I438</f>
        <v>8.47494190873221</v>
      </c>
      <c r="J453" s="58" t="n">
        <f aca="false">I443*I438/J438</f>
        <v>0</v>
      </c>
      <c r="K453" s="58" t="n">
        <f aca="false">J443*J438/K438</f>
        <v>0</v>
      </c>
      <c r="L453" s="58" t="n">
        <f aca="false">K443*K438/L438</f>
        <v>0</v>
      </c>
    </row>
    <row r="454" customFormat="false" ht="15" hidden="true" customHeight="false" outlineLevel="1" collapsed="false">
      <c r="A454" s="6" t="s">
        <v>295</v>
      </c>
      <c r="B454" s="29" t="n">
        <f aca="false">$K$17*(B446-B447-B448-0.5*B449-B450)-B451-B452-B453</f>
        <v>-9.59839124703308</v>
      </c>
      <c r="C454" s="29" t="n">
        <f aca="false">$K$17*(C446-C447-C448-0.5*C449-C450)-C451-C452-C453</f>
        <v>-271.704527621329</v>
      </c>
      <c r="D454" s="29" t="n">
        <f aca="false">$K$17*(D446-D447-D448-0.5*D449-D450)-D451-D452-D453</f>
        <v>-161.669941369586</v>
      </c>
      <c r="E454" s="29" t="n">
        <f aca="false">$K$17*(E446-E447-E448-0.5*E449-E450)-E451-E452-E453</f>
        <v>117.061640786634</v>
      </c>
      <c r="F454" s="29" t="n">
        <f aca="false">$K$17*(F446-F447-F448-0.5*F449-F450)-F451-F452-F453</f>
        <v>119.004417102497</v>
      </c>
      <c r="G454" s="29" t="n">
        <f aca="false">$K$17*(G446-G447-G448-0.5*G449-G450)-G451-G452-G453</f>
        <v>120.854296301939</v>
      </c>
      <c r="H454" s="29" t="n">
        <f aca="false">$K$17*(H446-H447-H448-0.5*H449-H450)-H451-H452-H453</f>
        <v>120.082821974039</v>
      </c>
      <c r="I454" s="29" t="n">
        <f aca="false">$K$17*(I446-I447-I448-0.5*I449-I450)-I451-I452-I453</f>
        <v>115.188143494034</v>
      </c>
      <c r="J454" s="29" t="n">
        <f aca="false">$K$17*(J446-J447-J448-0.5*J449-J450)-J451-J452-J453</f>
        <v>125.37091588307</v>
      </c>
      <c r="K454" s="29" t="n">
        <f aca="false">$K$17*(K446-K447-K448-0.5*K449-K450)-K451-K452-K453</f>
        <v>127.017858930631</v>
      </c>
      <c r="L454" s="29" t="n">
        <f aca="false">$K$17*(L446-L447-L448-0.5*L449-L450)-L451-L452-L453</f>
        <v>128.606280361558</v>
      </c>
    </row>
    <row r="455" customFormat="false" ht="15" hidden="true" customHeight="false" outlineLevel="1" collapsed="false">
      <c r="A455" s="9" t="s">
        <v>420</v>
      </c>
      <c r="B455" s="58" t="n">
        <f aca="false">(IF(B$47&gt;=1,Quesería!$G$124*IF(B$47=1,Quesería!$B$20,1),Quesería!$G$124*Quesería!$B$20*Quesería!$B$21/12*$K$23)+IF(B$47&gt;=2,(Quesería!$G$125-(1-$K$24)*Quesería!$G$117-(-$K$26*$K$27)*'Beneficios y costos'!$D$167)*$K$21*IF(B$47=2,Quesería!$B$20,1),0))*$K$10</f>
        <v>77.4042870161869</v>
      </c>
      <c r="C455" s="58" t="n">
        <f aca="false">(IF(C$47&gt;=1,Quesería!$G$124*IF(C$47=1,Quesería!$B$20,1),Quesería!$G$124*Quesería!$B$20*Quesería!$B$21/12*$K$23)+IF(C$47&gt;=2,(Quesería!$G$125-(1-$K$24)*Quesería!$G$117-(-$K$26*$K$27)*'Beneficios y costos'!$D$167)*$K$21*IF(C$47=2,Quesería!$B$20,1),0))*$K$10</f>
        <v>116.10643052428</v>
      </c>
      <c r="D455" s="58" t="n">
        <f aca="false">(IF(D$47&gt;=1,Quesería!$G$124*IF(D$47=1,Quesería!$B$20,1),Quesería!$G$124*Quesería!$B$20*Quesería!$B$21/12*$K$23)+IF(D$47&gt;=2,(Quesería!$G$125-(1-$K$24)*Quesería!$G$117-(-$K$26*$K$27)*'Beneficios y costos'!$D$167)*$K$21*IF(D$47=2,Quesería!$B$20,1),0))*$K$10</f>
        <v>2023.78917421887</v>
      </c>
      <c r="E455" s="58" t="n">
        <f aca="false">(IF(E$47&gt;=1,Quesería!$G$124*IF(E$47=1,Quesería!$B$20,1),Quesería!$G$124*Quesería!$B$20*Quesería!$B$21/12*$K$23)+IF(E$47&gt;=2,(Quesería!$G$125-(1-$K$24)*Quesería!$G$117-(-$K$26*$K$27)*'Beneficios y costos'!$D$167)*$K$21*IF(E$47=2,Quesería!$B$20,1),0))*$K$10</f>
        <v>2646.78270761437</v>
      </c>
      <c r="F455" s="58" t="n">
        <f aca="false">(IF(F$47&gt;=1,Quesería!$G$124*IF(F$47=1,Quesería!$B$20,1),Quesería!$G$124*Quesería!$B$20*Quesería!$B$21/12*$K$23)+IF(F$47&gt;=2,(Quesería!$G$125-(1-$K$24)*Quesería!$G$117-(-$K$26*$K$27)*'Beneficios y costos'!$D$167)*$K$21*IF(F$47=2,Quesería!$B$20,1),0))*$K$10</f>
        <v>2646.78270761437</v>
      </c>
      <c r="G455" s="58" t="n">
        <f aca="false">(IF(G$47&gt;=1,Quesería!$G$124*IF(G$47=1,Quesería!$B$20,1),Quesería!$G$124*Quesería!$B$20*Quesería!$B$21/12*$K$23)+IF(G$47&gt;=2,(Quesería!$G$125-(1-$K$24)*Quesería!$G$117-(-$K$26*$K$27)*'Beneficios y costos'!$D$167)*$K$21*IF(G$47=2,Quesería!$B$20,1),0))*$K$10</f>
        <v>2646.78270761437</v>
      </c>
      <c r="H455" s="58" t="n">
        <f aca="false">(IF(H$47&gt;=1,Quesería!$G$124*IF(H$47=1,Quesería!$B$20,1),Quesería!$G$124*Quesería!$B$20*Quesería!$B$21/12*$K$23)+IF(H$47&gt;=2,(Quesería!$G$125-(1-$K$24)*Quesería!$G$117-(-$K$26*$K$27)*'Beneficios y costos'!$D$167)*$K$21*IF(H$47=2,Quesería!$B$20,1),0))*$K$10</f>
        <v>2646.78270761437</v>
      </c>
      <c r="I455" s="58" t="n">
        <f aca="false">(IF(I$47&gt;=1,Quesería!$G$124*IF(I$47=1,Quesería!$B$20,1),Quesería!$G$124*Quesería!$B$20*Quesería!$B$21/12*$K$23)+IF(I$47&gt;=2,(Quesería!$G$125-(1-$K$24)*Quesería!$G$117-(-$K$26*$K$27)*'Beneficios y costos'!$D$167)*$K$21*IF(I$47=2,Quesería!$B$20,1),0))*$K$10</f>
        <v>2646.78270761437</v>
      </c>
      <c r="J455" s="58" t="n">
        <f aca="false">(IF(J$47&gt;=1,Quesería!$G$124*IF(J$47=1,Quesería!$B$20,1),Quesería!$G$124*Quesería!$B$20*Quesería!$B$21/12*$K$23)+IF(J$47&gt;=2,(Quesería!$G$125-(1-$K$24)*Quesería!$G$117-(-$K$26*$K$27)*'Beneficios y costos'!$D$167)*$K$21*IF(J$47=2,Quesería!$B$20,1),0))*$K$10</f>
        <v>2646.78270761437</v>
      </c>
      <c r="K455" s="58" t="n">
        <f aca="false">(IF(K$47&gt;=1,Quesería!$G$124*IF(K$47=1,Quesería!$B$20,1),Quesería!$G$124*Quesería!$B$20*Quesería!$B$21/12*$K$23)+IF(K$47&gt;=2,(Quesería!$G$125-(1-$K$24)*Quesería!$G$117-(-$K$26*$K$27)*'Beneficios y costos'!$D$167)*$K$21*IF(K$47=2,Quesería!$B$20,1),0))*$K$10</f>
        <v>2646.78270761437</v>
      </c>
      <c r="L455" s="58" t="n">
        <f aca="false">(IF(L$47&gt;=1,Quesería!$G$124*IF(L$47=1,Quesería!$B$20,1),Quesería!$G$124*Quesería!$B$20*Quesería!$B$21/12*$K$23)+IF(L$47&gt;=2,(Quesería!$G$125-(1-$K$24)*Quesería!$G$117-(-$K$26*$K$27)*'Beneficios y costos'!$D$167)*$K$21*IF(L$47=2,Quesería!$B$20,1),0))*$K$10</f>
        <v>2646.78270761437</v>
      </c>
    </row>
    <row r="456" customFormat="false" ht="15" hidden="true" customHeight="false" outlineLevel="1" collapsed="false">
      <c r="A456" s="6" t="s">
        <v>421</v>
      </c>
      <c r="B456" s="29" t="n">
        <f aca="false">(B455*(Quesería!$B$38+Quesería!$B$40*Quesería!$B$39)/365-B447*Quesería!$B$42/365+IF(B$47&gt;=2,($K$25*'Beneficios y costos'!$B$147+(1-$K$25)*'Beneficios y costos'!$B$148)*$K$24*$K$21*$K$10*IF(B$47=2,Quesería!$B$20,1),0))</f>
        <v>7.23146900616979</v>
      </c>
      <c r="C456" s="29" t="n">
        <f aca="false">(C455*(Quesería!$B$38+Quesería!$B$40*Quesería!$B$39)/365-C447*Quesería!$B$42/365+IF(C$47&gt;=2,($K$25*'Beneficios y costos'!$B$147+(1-$K$25)*'Beneficios y costos'!$B$148)*$K$24*$K$21*$K$10*IF(C$47=2,Quesería!$B$20,1),0))-(B455*(Quesería!$B$38+Quesería!$B$40*Quesería!$B$39)/365-B447*Quesería!$B$42/365+IF(B$47&gt;=2,($K$25*'Beneficios y costos'!$B$147+(1-$K$25)*'Beneficios y costos'!$B$148)*$K$24*$K$21*$K$10*IF(B$47=2,Quesería!$B$20,1),0))*B438/C438</f>
        <v>0.661714954797887</v>
      </c>
      <c r="D456" s="29" t="n">
        <f aca="false">(D455*(Quesería!$B$38+Quesería!$B$40*Quesería!$B$39)/365-D447*Quesería!$B$42/365+IF(D$47&gt;=2,($K$25*'Beneficios y costos'!$B$147+(1-$K$25)*'Beneficios y costos'!$B$148)*$K$24*$K$21*$K$10*IF(D$47=2,Quesería!$B$20,1),0))-(C455*(Quesería!$B$38+Quesería!$B$40*Quesería!$B$39)/365-C447*Quesería!$B$42/365+IF(C$47&gt;=2,($K$25*'Beneficios y costos'!$B$147+(1-$K$25)*'Beneficios y costos'!$B$148)*$K$24*$K$21*$K$10*IF(C$47=2,Quesería!$B$20,1),0))*C438/D438</f>
        <v>120.41313114727</v>
      </c>
      <c r="E456" s="29" t="n">
        <f aca="false">(E455*(Quesería!$B$38+Quesería!$B$40*Quesería!$B$39)/365-E447*Quesería!$B$42/365+IF(E$47&gt;=2,($K$25*'Beneficios y costos'!$B$147+(1-$K$25)*'Beneficios y costos'!$B$148)*$K$24*$K$21*$K$10*IF(E$47=2,Quesería!$B$20,1),0))-(D455*(Quesería!$B$38+Quesería!$B$40*Quesería!$B$39)/365-D447*Quesería!$B$42/365+IF(D$47&gt;=2,($K$25*'Beneficios y costos'!$B$147+(1-$K$25)*'Beneficios y costos'!$B$148)*$K$24*$K$21*$K$10*IF(D$47=2,Quesería!$B$20,1),0))*D438/E438</f>
        <v>44.6317522297951</v>
      </c>
      <c r="F456" s="29" t="n">
        <f aca="false">(F455*(Quesería!$B$38+Quesería!$B$40*Quesería!$B$39)/365-F447*Quesería!$B$42/365+IF(F$47&gt;=2,($K$25*'Beneficios y costos'!$B$147+(1-$K$25)*'Beneficios y costos'!$B$148)*$K$24*$K$21*$K$10*IF(F$47=2,Quesería!$B$20,1),0))-(E455*(Quesería!$B$38+Quesería!$B$40*Quesería!$B$39)/365-E447*Quesería!$B$42/365+IF(E$47&gt;=2,($K$25*'Beneficios y costos'!$B$147+(1-$K$25)*'Beneficios y costos'!$B$148)*$K$24*$K$21*$K$10*IF(E$47=2,Quesería!$B$20,1),0))*E438/F438</f>
        <v>6.43690505174845</v>
      </c>
      <c r="G456" s="29" t="n">
        <f aca="false">(G455*(Quesería!$B$38+Quesería!$B$40*Quesería!$B$39)/365-G447*Quesería!$B$42/365+IF(G$47&gt;=2,($K$25*'Beneficios y costos'!$B$147+(1-$K$25)*'Beneficios y costos'!$B$148)*$K$24*$K$21*$K$10*IF(G$47=2,Quesería!$B$20,1),0))-(F455*(Quesería!$B$38+Quesería!$B$40*Quesería!$B$39)/365-F447*Quesería!$B$42/365+IF(F$47&gt;=2,($K$25*'Beneficios y costos'!$B$147+(1-$K$25)*'Beneficios y costos'!$B$148)*$K$24*$K$21*$K$10*IF(F$47=2,Quesería!$B$20,1),0))*F438/G438</f>
        <v>6.43690505174848</v>
      </c>
      <c r="H456" s="29" t="n">
        <f aca="false">(H455*(Quesería!$B$38+Quesería!$B$40*Quesería!$B$39)/365-H447*Quesería!$B$42/365+IF(H$47&gt;=2,($K$25*'Beneficios y costos'!$B$147+(1-$K$25)*'Beneficios y costos'!$B$148)*$K$24*$K$21*$K$10*IF(H$47=2,Quesería!$B$20,1),0))-(G455*(Quesería!$B$38+Quesería!$B$40*Quesería!$B$39)/365-G447*Quesería!$B$42/365+IF(G$47&gt;=2,($K$25*'Beneficios y costos'!$B$147+(1-$K$25)*'Beneficios y costos'!$B$148)*$K$24*$K$21*$K$10*IF(G$47=2,Quesería!$B$20,1),0))*G438/H438</f>
        <v>6.43690505174848</v>
      </c>
      <c r="I456" s="29" t="n">
        <f aca="false">(I455*(Quesería!$B$38+Quesería!$B$40*Quesería!$B$39)/365-I447*Quesería!$B$42/365+IF(I$47&gt;=2,($K$25*'Beneficios y costos'!$B$147+(1-$K$25)*'Beneficios y costos'!$B$148)*$K$24*$K$21*$K$10*IF(I$47=2,Quesería!$B$20,1),0))-(H455*(Quesería!$B$38+Quesería!$B$40*Quesería!$B$39)/365-H447*Quesería!$B$42/365+IF(H$47&gt;=2,($K$25*'Beneficios y costos'!$B$147+(1-$K$25)*'Beneficios y costos'!$B$148)*$K$24*$K$21*$K$10*IF(H$47=2,Quesería!$B$20,1),0))*H438/I438</f>
        <v>6.43690505174845</v>
      </c>
      <c r="J456" s="29" t="n">
        <f aca="false">(J455*(Quesería!$B$38+Quesería!$B$40*Quesería!$B$39)/365-J447*Quesería!$B$42/365+IF(J$47&gt;=2,($K$25*'Beneficios y costos'!$B$147+(1-$K$25)*'Beneficios y costos'!$B$148)*$K$24*$K$21*$K$10*IF(J$47=2,Quesería!$B$20,1),0))-(I455*(Quesería!$B$38+Quesería!$B$40*Quesería!$B$39)/365-I447*Quesería!$B$42/365+IF(I$47&gt;=2,($K$25*'Beneficios y costos'!$B$147+(1-$K$25)*'Beneficios y costos'!$B$148)*$K$24*$K$21*$K$10*IF(I$47=2,Quesería!$B$20,1),0))*I438/J438</f>
        <v>6.43690505174848</v>
      </c>
      <c r="K456" s="29" t="n">
        <f aca="false">(K455*(Quesería!$B$38+Quesería!$B$40*Quesería!$B$39)/365-K447*Quesería!$B$42/365+IF(K$47&gt;=2,($K$25*'Beneficios y costos'!$B$147+(1-$K$25)*'Beneficios y costos'!$B$148)*$K$24*$K$21*$K$10*IF(K$47=2,Quesería!$B$20,1),0))-(J455*(Quesería!$B$38+Quesería!$B$40*Quesería!$B$39)/365-J447*Quesería!$B$42/365+IF(J$47&gt;=2,($K$25*'Beneficios y costos'!$B$147+(1-$K$25)*'Beneficios y costos'!$B$148)*$K$24*$K$21*$K$10*IF(J$47=2,Quesería!$B$20,1),0))*J438/K438</f>
        <v>6.43690505174848</v>
      </c>
      <c r="L456" s="29" t="n">
        <f aca="false">-(K455*(Quesería!$B$38+Quesería!$B$40*Quesería!$B$39)/365-K447*Quesería!$B$42/365+IF(K$47&gt;=2,($K$25*'Beneficios y costos'!$B$147+(1-$K$25)*'Beneficios y costos'!$B$148)*$K$24*$K$21*$K$10*IF(K$47=2,Quesería!$B$20,1),0))*K438/L438</f>
        <v>-160.922626293712</v>
      </c>
    </row>
    <row r="457" customFormat="false" ht="15" hidden="true" customHeight="false" outlineLevel="1" collapsed="false">
      <c r="A457" s="6" t="s">
        <v>422</v>
      </c>
      <c r="B457" s="29" t="n">
        <v>0</v>
      </c>
      <c r="C457" s="29" t="n">
        <v>0</v>
      </c>
      <c r="D457" s="29" t="n">
        <v>0</v>
      </c>
      <c r="E457" s="29" t="n">
        <v>0</v>
      </c>
      <c r="F457" s="29" t="n">
        <v>0</v>
      </c>
      <c r="G457" s="29" t="n">
        <v>0</v>
      </c>
      <c r="H457" s="29" t="n">
        <v>0</v>
      </c>
      <c r="I457" s="29" t="n">
        <v>0</v>
      </c>
      <c r="J457" s="29" t="n">
        <v>0</v>
      </c>
      <c r="K457" s="29" t="n">
        <v>0</v>
      </c>
      <c r="L457" s="29" t="n">
        <f aca="false">$K$8*Quesería!$B$36*(Quesería!$F$94+(Quesería!$F$95-(-$K$26)*Quesería!$D$86)*$K$21)*$K$11*(1-$K$17)</f>
        <v>61.9237725584542</v>
      </c>
    </row>
    <row r="458" customFormat="false" ht="15" hidden="true" customHeight="false" outlineLevel="1" collapsed="false">
      <c r="A458" s="5" t="s">
        <v>147</v>
      </c>
      <c r="B458" s="59" t="n">
        <f aca="false">B446-B447-B448-B449-B454-B441-B442-B443-B456+B457</f>
        <v>-961.151880133756</v>
      </c>
      <c r="C458" s="59" t="n">
        <f aca="false">C446-C447-C448-C449-C454-C441-C442-C443-C456+C457</f>
        <v>-407.874025143848</v>
      </c>
      <c r="D458" s="59" t="n">
        <f aca="false">D446-D447-D448-D449-D454-D441-D442-D443-D456+D457</f>
        <v>440.596673029243</v>
      </c>
      <c r="E458" s="59" t="n">
        <f aca="false">E446-E447-E448-E449-E454-E441-E442-E443-E456+E457</f>
        <v>308.850586348979</v>
      </c>
      <c r="F458" s="59" t="n">
        <f aca="false">F446-F447-F448-F449-F454-F441-F442-F443-F456+F457</f>
        <v>345.411868246598</v>
      </c>
      <c r="G458" s="59" t="n">
        <f aca="false">G446-G447-G448-G449-G454-G441-G442-G443-G456+G457</f>
        <v>311.05840315361</v>
      </c>
      <c r="H458" s="59" t="n">
        <f aca="false">H446-H447-H448-H449-H454-H441-H442-H443-H456+H457</f>
        <v>289.532623664515</v>
      </c>
      <c r="I458" s="59" t="n">
        <f aca="false">I446-I447-I448-I449-I454-I441-I442-I443-I456+I457</f>
        <v>350.165082252187</v>
      </c>
      <c r="J458" s="59" t="n">
        <f aca="false">J446-J447-J448-J449-J454-J441-J442-J443-J456+J457</f>
        <v>340.297751655749</v>
      </c>
      <c r="K458" s="59" t="n">
        <f aca="false">K446-K447-K448-K449-K454-K441-K442-K443-K456+K457</f>
        <v>338.967827609751</v>
      </c>
      <c r="L458" s="59" t="n">
        <f aca="false">L446-L447-L448-L449-L454-L441-L442-L443-L456+L457</f>
        <v>566.981314179307</v>
      </c>
    </row>
    <row r="459" customFormat="false" ht="15" hidden="true" customHeight="false" outlineLevel="1" collapsed="false">
      <c r="A459" s="9" t="s">
        <v>423</v>
      </c>
      <c r="B459" s="58" t="n">
        <f aca="false">B458*B438</f>
        <v>-1018.82099294178</v>
      </c>
      <c r="C459" s="58" t="n">
        <f aca="false">C458*C438</f>
        <v>-453.963789985103</v>
      </c>
      <c r="D459" s="58" t="n">
        <f aca="false">D458*D438</f>
        <v>512.451381450217</v>
      </c>
      <c r="E459" s="58" t="n">
        <f aca="false">E458*E438</f>
        <v>373.588263592651</v>
      </c>
      <c r="F459" s="58" t="n">
        <f aca="false">F458*F438</f>
        <v>434.52562118241</v>
      </c>
      <c r="G459" s="58" t="n">
        <f aca="false">G458*G438</f>
        <v>406.961580104561</v>
      </c>
      <c r="H459" s="58" t="n">
        <f aca="false">H458*H438</f>
        <v>393.951100297228</v>
      </c>
      <c r="I459" s="58" t="n">
        <f aca="false">I458*I438</f>
        <v>495.508362410692</v>
      </c>
      <c r="J459" s="58" t="n">
        <f aca="false">J458*J438</f>
        <v>500.8072072557</v>
      </c>
      <c r="K459" s="58" t="n">
        <f aca="false">K458*K438</f>
        <v>518.803992913712</v>
      </c>
      <c r="L459" s="58" t="n">
        <f aca="false">L458*L438</f>
        <v>902.499386590859</v>
      </c>
    </row>
    <row r="460" customFormat="false" ht="15" hidden="true" customHeight="false" outlineLevel="1" collapsed="false">
      <c r="A460" s="6" t="s">
        <v>424</v>
      </c>
      <c r="B460" s="29" t="n">
        <f aca="false">B458</f>
        <v>-961.151880133756</v>
      </c>
      <c r="C460" s="29" t="n">
        <f aca="false">B460+C458</f>
        <v>-1369.0259052776</v>
      </c>
      <c r="D460" s="29" t="n">
        <f aca="false">C460+D458</f>
        <v>-928.42923224836</v>
      </c>
      <c r="E460" s="29" t="n">
        <f aca="false">D460+E458</f>
        <v>-619.578645899381</v>
      </c>
      <c r="F460" s="29" t="n">
        <f aca="false">E460+F458</f>
        <v>-274.166777652783</v>
      </c>
      <c r="G460" s="29" t="n">
        <f aca="false">F460+G458</f>
        <v>36.8916255008272</v>
      </c>
      <c r="H460" s="29" t="n">
        <f aca="false">G460+H458</f>
        <v>326.424249165342</v>
      </c>
      <c r="I460" s="29" t="n">
        <f aca="false">H460+I458</f>
        <v>676.589331417529</v>
      </c>
      <c r="J460" s="29" t="n">
        <f aca="false">I460+J458</f>
        <v>1016.88708307328</v>
      </c>
      <c r="K460" s="29" t="n">
        <f aca="false">J460+K458</f>
        <v>1355.85491068303</v>
      </c>
      <c r="L460" s="29" t="n">
        <f aca="false">K460+L458</f>
        <v>1922.83622486234</v>
      </c>
    </row>
    <row r="461" customFormat="false" ht="15" hidden="true" customHeight="false" outlineLevel="1" collapsed="false">
      <c r="A461" s="9" t="s">
        <v>425</v>
      </c>
      <c r="B461" s="60" t="n">
        <v>0</v>
      </c>
      <c r="C461" s="60" t="n">
        <f aca="false">IF(AND(B460&lt;0,C460&gt;=0),B$47+(-B460)/C458,0)</f>
        <v>0</v>
      </c>
      <c r="D461" s="60" t="n">
        <f aca="false">IF(AND(C460&lt;0,D460&gt;=0),C$47+(-C460)/D458,0)</f>
        <v>0</v>
      </c>
      <c r="E461" s="60" t="n">
        <f aca="false">IF(AND(D460&lt;0,E460&gt;=0),D$47+(-D460)/E458,0)</f>
        <v>0</v>
      </c>
      <c r="F461" s="60" t="n">
        <f aca="false">IF(AND(E460&lt;0,F460&gt;=0),E$47+(-E460)/F458,0)</f>
        <v>0</v>
      </c>
      <c r="G461" s="60" t="n">
        <f aca="false">IF(AND(F460&lt;0,G460&gt;=0),F$47+(-F460)/G458,0)</f>
        <v>4.88139968209568</v>
      </c>
      <c r="H461" s="60" t="n">
        <f aca="false">IF(AND(G460&lt;0,H460&gt;=0),G$47+(-G460)/H458,0)</f>
        <v>0</v>
      </c>
      <c r="I461" s="60" t="n">
        <f aca="false">IF(AND(H460&lt;0,I460&gt;=0),H$47+(-H460)/I458,0)</f>
        <v>0</v>
      </c>
      <c r="J461" s="60" t="n">
        <f aca="false">IF(AND(I460&lt;0,J460&gt;=0),I$47+(-I460)/J458,0)</f>
        <v>0</v>
      </c>
      <c r="K461" s="60" t="n">
        <f aca="false">IF(AND(J460&lt;0,K460&gt;=0),J$47+(-J460)/K458,0)</f>
        <v>0</v>
      </c>
      <c r="L461" s="60" t="n">
        <f aca="false">IF(AND(K460&lt;0,L460&gt;=0),K$47+(-K460)/L458,0)</f>
        <v>0</v>
      </c>
    </row>
    <row r="462" customFormat="false" ht="15" hidden="true" customHeight="false" outlineLevel="1" collapsed="false">
      <c r="A462" s="9" t="s">
        <v>426</v>
      </c>
      <c r="B462" s="57" t="n">
        <f aca="false">(B438/$B$438)/(1+$K$29)^B$47</f>
        <v>1</v>
      </c>
      <c r="C462" s="57" t="n">
        <f aca="false">(C438/$B$438)/(1+$K$29)^C$47</f>
        <v>0.915373701313561</v>
      </c>
      <c r="D462" s="57" t="n">
        <f aca="false">(D438/$B$438)/(1+$K$29)^D$47</f>
        <v>0.833918970137172</v>
      </c>
      <c r="E462" s="57" t="n">
        <f aca="false">(E438/$B$438)/(1+$K$29)^E$47</f>
        <v>0.756077518153961</v>
      </c>
      <c r="F462" s="57" t="n">
        <f aca="false">(F438/$B$438)/(1+$K$29)^F$47</f>
        <v>0.685502109831871</v>
      </c>
      <c r="G462" s="57" t="n">
        <f aca="false">(G438/$B$438)/(1+$K$29)^G$47</f>
        <v>0.621514502549008</v>
      </c>
      <c r="H462" s="57" t="n">
        <f aca="false">(H438/$B$438)/(1+$K$29)^H$47</f>
        <v>0.563499763660072</v>
      </c>
      <c r="I462" s="57" t="n">
        <f aca="false">(I438/$B$438)/(1+$K$29)^I$47</f>
        <v>0.510900360880829</v>
      </c>
      <c r="J462" s="57" t="n">
        <f aca="false">(J438/$B$438)/(1+$K$29)^J$47</f>
        <v>0.463210804300567</v>
      </c>
      <c r="K462" s="57" t="n">
        <f aca="false">(K438/$B$438)/(1+$K$29)^K$47</f>
        <v>0.419972788531318</v>
      </c>
      <c r="L462" s="57" t="n">
        <f aca="false">(L438/$B$438)/(1+$K$29)^L$47</f>
        <v>0.380770788308996</v>
      </c>
    </row>
    <row r="463" customFormat="false" ht="15" hidden="true" customHeight="false" outlineLevel="1" collapsed="false">
      <c r="A463" s="9" t="s">
        <v>427</v>
      </c>
      <c r="B463" s="58" t="n">
        <f aca="false">B458*B462</f>
        <v>-961.151880133756</v>
      </c>
      <c r="C463" s="58" t="n">
        <f aca="false">C458*C462</f>
        <v>-373.357156065585</v>
      </c>
      <c r="D463" s="58" t="n">
        <f aca="false">D458*D462</f>
        <v>367.421923818411</v>
      </c>
      <c r="E463" s="58" t="n">
        <f aca="false">E458*E462</f>
        <v>233.514984807132</v>
      </c>
      <c r="F463" s="58" t="n">
        <f aca="false">F458*F462</f>
        <v>236.780564444012</v>
      </c>
      <c r="G463" s="58" t="n">
        <f aca="false">G458*G462</f>
        <v>193.327308699704</v>
      </c>
      <c r="H463" s="58" t="n">
        <f aca="false">H458*H462</f>
        <v>163.151565006835</v>
      </c>
      <c r="I463" s="58" t="n">
        <f aca="false">I458*I462</f>
        <v>178.899466890507</v>
      </c>
      <c r="J463" s="58" t="n">
        <f aca="false">J458*J462</f>
        <v>157.629595246134</v>
      </c>
      <c r="K463" s="58" t="n">
        <f aca="false">K458*K462</f>
        <v>142.35726378367</v>
      </c>
      <c r="L463" s="58" t="n">
        <f aca="false">L458*L462</f>
        <v>215.889921956525</v>
      </c>
    </row>
    <row r="464" customFormat="false" ht="15" hidden="true" customHeight="false" outlineLevel="1" collapsed="false">
      <c r="A464" s="9" t="s">
        <v>428</v>
      </c>
      <c r="B464" s="58" t="n">
        <f aca="false">B463</f>
        <v>-961.151880133756</v>
      </c>
      <c r="C464" s="58" t="n">
        <f aca="false">B464+C463</f>
        <v>-1334.50903619934</v>
      </c>
      <c r="D464" s="58" t="n">
        <f aca="false">C464+D463</f>
        <v>-967.087112380929</v>
      </c>
      <c r="E464" s="58" t="n">
        <f aca="false">D464+E463</f>
        <v>-733.572127573797</v>
      </c>
      <c r="F464" s="58" t="n">
        <f aca="false">E464+F463</f>
        <v>-496.791563129786</v>
      </c>
      <c r="G464" s="58" t="n">
        <f aca="false">F464+G463</f>
        <v>-303.464254430081</v>
      </c>
      <c r="H464" s="58" t="n">
        <f aca="false">G464+H463</f>
        <v>-140.312689423247</v>
      </c>
      <c r="I464" s="58" t="n">
        <f aca="false">H464+I463</f>
        <v>38.5867774672607</v>
      </c>
      <c r="J464" s="58" t="n">
        <f aca="false">I464+J463</f>
        <v>196.216372713395</v>
      </c>
      <c r="K464" s="58" t="n">
        <f aca="false">J464+K463</f>
        <v>338.573636497065</v>
      </c>
      <c r="L464" s="58" t="n">
        <f aca="false">K464+L463</f>
        <v>554.46355845359</v>
      </c>
    </row>
    <row r="465" customFormat="false" ht="15" hidden="true" customHeight="false" outlineLevel="1" collapsed="false">
      <c r="A465" s="9" t="s">
        <v>429</v>
      </c>
      <c r="B465" s="60" t="n">
        <v>0</v>
      </c>
      <c r="C465" s="60" t="n">
        <f aca="false">IF(AND(B464&lt;0,C464&gt;=0),B$47+(-B464)/C463,0)</f>
        <v>0</v>
      </c>
      <c r="D465" s="60" t="n">
        <f aca="false">IF(AND(C464&lt;0,D464&gt;=0),C$47+(-C464)/D463,0)</f>
        <v>0</v>
      </c>
      <c r="E465" s="60" t="n">
        <f aca="false">IF(AND(D464&lt;0,E464&gt;=0),D$47+(-D464)/E463,0)</f>
        <v>0</v>
      </c>
      <c r="F465" s="60" t="n">
        <f aca="false">IF(AND(E464&lt;0,F464&gt;=0),E$47+(-E464)/F463,0)</f>
        <v>0</v>
      </c>
      <c r="G465" s="60" t="n">
        <f aca="false">IF(AND(F464&lt;0,G464&gt;=0),F$47+(-F464)/G463,0)</f>
        <v>0</v>
      </c>
      <c r="H465" s="60" t="n">
        <f aca="false">IF(AND(G464&lt;0,H464&gt;=0),G$47+(-G464)/H463,0)</f>
        <v>0</v>
      </c>
      <c r="I465" s="60" t="n">
        <f aca="false">IF(AND(H464&lt;0,I464&gt;=0),H$47+(-H464)/I463,0)</f>
        <v>6.78431027136108</v>
      </c>
      <c r="J465" s="60" t="n">
        <f aca="false">IF(AND(I464&lt;0,J464&gt;=0),I$47+(-I464)/J463,0)</f>
        <v>0</v>
      </c>
      <c r="K465" s="60" t="n">
        <f aca="false">IF(AND(J464&lt;0,K464&gt;=0),J$47+(-J464)/K463,0)</f>
        <v>0</v>
      </c>
      <c r="L465" s="60" t="n">
        <f aca="false">IF(AND(K464&lt;0,L464&gt;=0),K$47+(-K464)/L463,0)</f>
        <v>0</v>
      </c>
    </row>
    <row r="466" customFormat="false" ht="15" hidden="true" customHeight="false" outlineLevel="1" collapsed="false">
      <c r="A466" s="9" t="s">
        <v>430</v>
      </c>
      <c r="B466" s="58" t="n">
        <f aca="false">IF(B$47&lt;0,0,(Quesería!$B$44*$B$441*$B$438)*(1-MAX(0,MIN(B$47-0-Quesería!$B$47,(Quesería!$B$46-Quesería!$B$47)))/(Quesería!$B$46-Quesería!$B$47))*IF(B$47&gt;=2,1-Quesería!$B$48,1))+IF(B$47&lt;1,0,(Quesería!$B$44*$C$441*$C$438)*(1-MAX(0,MIN(B$47-1-Quesería!$B$47,(Quesería!$B$46-Quesería!$B$47)))/(Quesería!$B$46-Quesería!$B$47))*IF(B$47&gt;=2,1-Quesería!$B$48,1))</f>
        <v>641.321364968425</v>
      </c>
      <c r="C466" s="58" t="n">
        <f aca="false">IF(C$47&lt;0,0,(Quesería!$B$44*$B$441*$B$438)*(1-MAX(0,MIN(C$47-0-Quesería!$B$47,(Quesería!$B$46-Quesería!$B$47)))/(Quesería!$B$46-Quesería!$B$47))*IF(C$47&gt;=2,1-Quesería!$B$48,1))+IF(C$47&lt;1,0,(Quesería!$B$44*$C$441*$C$438)*(1-MAX(0,MIN(C$47-1-Quesería!$B$47,(Quesería!$B$46-Quesería!$B$47)))/(Quesería!$B$46-Quesería!$B$47))*IF(C$47&gt;=2,1-Quesería!$B$48,1))</f>
        <v>1117.69081125409</v>
      </c>
      <c r="D466" s="58" t="n">
        <f aca="false">IF(D$47&lt;0,0,(Quesería!$B$44*$B$441*$B$438)*(1-MAX(0,MIN(D$47-0-Quesería!$B$47,(Quesería!$B$46-Quesería!$B$47)))/(Quesería!$B$46-Quesería!$B$47))*IF(D$47&gt;=2,1-Quesería!$B$48,1))+IF(D$47&lt;1,0,(Quesería!$B$44*$C$441*$C$438)*(1-MAX(0,MIN(D$47-1-Quesería!$B$47,(Quesería!$B$46-Quesería!$B$47)))/(Quesería!$B$46-Quesería!$B$47))*IF(D$47&gt;=2,1-Quesería!$B$48,1))</f>
        <v>1010.80391709269</v>
      </c>
      <c r="E466" s="58" t="n">
        <f aca="false">IF(E$47&lt;0,0,(Quesería!$B$44*$B$441*$B$438)*(1-MAX(0,MIN(E$47-0-Quesería!$B$47,(Quesería!$B$46-Quesería!$B$47)))/(Quesería!$B$46-Quesería!$B$47))*IF(E$47&gt;=2,1-Quesería!$B$48,1))+IF(E$47&lt;1,0,(Quesería!$B$44*$C$441*$C$438)*(1-MAX(0,MIN(E$47-1-Quesería!$B$47,(Quesería!$B$46-Quesería!$B$47)))/(Quesería!$B$46-Quesería!$B$47))*IF(E$47&gt;=2,1-Quesería!$B$48,1))</f>
        <v>824.522115217005</v>
      </c>
      <c r="F466" s="58" t="n">
        <f aca="false">IF(F$47&lt;0,0,(Quesería!$B$44*$B$441*$B$438)*(1-MAX(0,MIN(F$47-0-Quesería!$B$47,(Quesería!$B$46-Quesería!$B$47)))/(Quesería!$B$46-Quesería!$B$47))*IF(F$47&gt;=2,1-Quesería!$B$48,1))+IF(F$47&lt;1,0,(Quesería!$B$44*$C$441*$C$438)*(1-MAX(0,MIN(F$47-1-Quesería!$B$47,(Quesería!$B$46-Quesería!$B$47)))/(Quesería!$B$46-Quesería!$B$47))*IF(F$47&gt;=2,1-Quesería!$B$48,1))</f>
        <v>638.240313341323</v>
      </c>
      <c r="G466" s="58" t="n">
        <f aca="false">IF(G$47&lt;0,0,(Quesería!$B$44*$B$441*$B$438)*(1-MAX(0,MIN(G$47-0-Quesería!$B$47,(Quesería!$B$46-Quesería!$B$47)))/(Quesería!$B$46-Quesería!$B$47))*IF(G$47&gt;=2,1-Quesería!$B$48,1))+IF(G$47&lt;1,0,(Quesería!$B$44*$C$441*$C$438)*(1-MAX(0,MIN(G$47-1-Quesería!$B$47,(Quesería!$B$46-Quesería!$B$47)))/(Quesería!$B$46-Quesería!$B$47))*IF(G$47&gt;=2,1-Quesería!$B$48,1))</f>
        <v>451.958511465641</v>
      </c>
      <c r="H466" s="58" t="n">
        <f aca="false">IF(H$47&lt;0,0,(Quesería!$B$44*$B$441*$B$438)*(1-MAX(0,MIN(H$47-0-Quesería!$B$47,(Quesería!$B$46-Quesería!$B$47)))/(Quesería!$B$46-Quesería!$B$47))*IF(H$47&gt;=2,1-Quesería!$B$48,1))+IF(H$47&lt;1,0,(Quesería!$B$44*$C$441*$C$438)*(1-MAX(0,MIN(H$47-1-Quesería!$B$47,(Quesería!$B$46-Quesería!$B$47)))/(Quesería!$B$46-Quesería!$B$47))*IF(H$47&gt;=2,1-Quesería!$B$48,1))</f>
        <v>265.67670958996</v>
      </c>
      <c r="I466" s="58" t="n">
        <f aca="false">IF(I$47&lt;0,0,(Quesería!$B$44*$B$441*$B$438)*(1-MAX(0,MIN(I$47-0-Quesería!$B$47,(Quesería!$B$46-Quesería!$B$47)))/(Quesería!$B$46-Quesería!$B$47))*IF(I$47&gt;=2,1-Quesería!$B$48,1))+IF(I$47&lt;1,0,(Quesería!$B$44*$C$441*$C$438)*(1-MAX(0,MIN(I$47-1-Quesería!$B$47,(Quesería!$B$46-Quesería!$B$47)))/(Quesería!$B$46-Quesería!$B$47))*IF(I$47&gt;=2,1-Quesería!$B$48,1))</f>
        <v>79.3949077142776</v>
      </c>
      <c r="J466" s="58" t="n">
        <f aca="false">IF(J$47&lt;0,0,(Quesería!$B$44*$B$441*$B$438)*(1-MAX(0,MIN(J$47-0-Quesería!$B$47,(Quesería!$B$46-Quesería!$B$47)))/(Quesería!$B$46-Quesería!$B$47))*IF(J$47&gt;=2,1-Quesería!$B$48,1))+IF(J$47&lt;1,0,(Quesería!$B$44*$C$441*$C$438)*(1-MAX(0,MIN(J$47-1-Quesería!$B$47,(Quesería!$B$46-Quesería!$B$47)))/(Quesería!$B$46-Quesería!$B$47))*IF(J$47&gt;=2,1-Quesería!$B$48,1))</f>
        <v>0</v>
      </c>
      <c r="K466" s="58" t="n">
        <f aca="false">IF(K$47&lt;0,0,(Quesería!$B$44*$B$441*$B$438)*(1-MAX(0,MIN(K$47-0-Quesería!$B$47,(Quesería!$B$46-Quesería!$B$47)))/(Quesería!$B$46-Quesería!$B$47))*IF(K$47&gt;=2,1-Quesería!$B$48,1))+IF(K$47&lt;1,0,(Quesería!$B$44*$C$441*$C$438)*(1-MAX(0,MIN(K$47-1-Quesería!$B$47,(Quesería!$B$46-Quesería!$B$47)))/(Quesería!$B$46-Quesería!$B$47))*IF(K$47&gt;=2,1-Quesería!$B$48,1))</f>
        <v>0</v>
      </c>
      <c r="L466" s="58" t="n">
        <f aca="false">IF(L$47&lt;0,0,(Quesería!$B$44*$B$441*$B$438)*(1-MAX(0,MIN(L$47-0-Quesería!$B$47,(Quesería!$B$46-Quesería!$B$47)))/(Quesería!$B$46-Quesería!$B$47))*IF(L$47&gt;=2,1-Quesería!$B$48,1))+IF(L$47&lt;1,0,(Quesería!$B$44*$C$441*$C$438)*(1-MAX(0,MIN(L$47-1-Quesería!$B$47,(Quesería!$B$46-Quesería!$B$47)))/(Quesería!$B$46-Quesería!$B$47))*IF(L$47&gt;=2,1-Quesería!$B$48,1))</f>
        <v>0</v>
      </c>
    </row>
    <row r="467" customFormat="false" ht="15" hidden="true" customHeight="false" outlineLevel="1" collapsed="false">
      <c r="A467" s="6" t="s">
        <v>431</v>
      </c>
      <c r="B467" s="29" t="n">
        <f aca="false">Quesería!$B$44*B441</f>
        <v>605.02015563059</v>
      </c>
      <c r="C467" s="29" t="n">
        <f aca="false">Quesería!$B$44*C441</f>
        <v>428.004893338424</v>
      </c>
      <c r="D467" s="29" t="n">
        <f aca="false">Quesería!$B$44*D441</f>
        <v>0</v>
      </c>
      <c r="E467" s="29" t="n">
        <f aca="false">Quesería!$B$44*E441</f>
        <v>0</v>
      </c>
      <c r="F467" s="29" t="n">
        <f aca="false">Quesería!$B$44*F441</f>
        <v>0</v>
      </c>
      <c r="G467" s="29" t="n">
        <f aca="false">Quesería!$B$44*G441</f>
        <v>0</v>
      </c>
      <c r="H467" s="29" t="n">
        <f aca="false">Quesería!$B$44*H441</f>
        <v>0</v>
      </c>
      <c r="I467" s="29" t="n">
        <f aca="false">Quesería!$B$44*I441</f>
        <v>0</v>
      </c>
      <c r="J467" s="29" t="n">
        <f aca="false">Quesería!$B$44*J441</f>
        <v>0</v>
      </c>
      <c r="K467" s="29" t="n">
        <f aca="false">Quesería!$B$44*K441</f>
        <v>0</v>
      </c>
      <c r="L467" s="29" t="n">
        <f aca="false">Quesería!$B$44*L441</f>
        <v>0</v>
      </c>
    </row>
    <row r="468" customFormat="false" ht="15" hidden="true" customHeight="false" outlineLevel="1" collapsed="false">
      <c r="A468" s="6" t="s">
        <v>432</v>
      </c>
      <c r="B468" s="29" t="n">
        <f aca="false">(IF(AND(B$47&gt;0,B$47&lt;=0+Quesería!$B$46),($K$14+$K$28)*(Quesería!$B$44*$B$441*$B$438)*(1-MAX(0,MIN((B$47-1)-0-Quesería!$B$47,(Quesería!$B$46-Quesería!$B$47)))/(Quesería!$B$46-Quesería!$B$47))*IF(B$47&gt;2,1-Quesería!$B$48,1),0)+IF(AND(B$47&gt;1,B$47&lt;=1+Quesería!$B$46),($K$14+$K$28)*(Quesería!$B$44*$C$441*$C$438)*(1-MAX(0,MIN((B$47-1)-1-Quesería!$B$47,(Quesería!$B$46-Quesería!$B$47)))/(Quesería!$B$46-Quesería!$B$47))*IF(B$47&gt;2,1-Quesería!$B$48,1),0))*B440</f>
        <v>0</v>
      </c>
      <c r="C468" s="29" t="n">
        <f aca="false">(IF(AND(C$47&gt;0,C$47&lt;=0+Quesería!$B$46),($K$14+$K$28)*(Quesería!$B$44*$B$441*$B$438)*(1-MAX(0,MIN((C$47-1)-0-Quesería!$B$47,(Quesería!$B$46-Quesería!$B$47)))/(Quesería!$B$46-Quesería!$B$47))*IF(C$47&gt;2,1-Quesería!$B$48,1),0)+IF(AND(C$47&gt;1,C$47&lt;=1+Quesería!$B$46),($K$14+$K$28)*(Quesería!$B$44*$C$441*$C$438)*(1-MAX(0,MIN((C$47-1)-1-Quesería!$B$47,(Quesería!$B$46-Quesería!$B$47)))/(Quesería!$B$46-Quesería!$B$47))*IF(C$47&gt;2,1-Quesería!$B$48,1),0))*C440</f>
        <v>81.2455637561078</v>
      </c>
      <c r="D468" s="29" t="n">
        <f aca="false">(IF(AND(D$47&gt;0,D$47&lt;=0+Quesería!$B$46),($K$14+$K$28)*(Quesería!$B$44*$B$441*$B$438)*(1-MAX(0,MIN((D$47-1)-0-Quesería!$B$47,(Quesería!$B$46-Quesería!$B$47)))/(Quesería!$B$46-Quesería!$B$47))*IF(D$47&gt;2,1-Quesería!$B$48,1),0)+IF(AND(D$47&gt;1,D$47&lt;=1+Quesería!$B$46),($K$14+$K$28)*(Quesería!$B$44*$C$441*$C$438)*(1-MAX(0,MIN((D$47-1)-1-Quesería!$B$47,(Quesería!$B$46-Quesería!$B$47)))/(Quesería!$B$46-Quesería!$B$47))*IF(D$47&gt;2,1-Quesería!$B$48,1),0))*D440</f>
        <v>135.496893508924</v>
      </c>
      <c r="E468" s="29" t="n">
        <f aca="false">(IF(AND(E$47&gt;0,E$47&lt;=0+Quesería!$B$46),($K$14+$K$28)*(Quesería!$B$44*$B$441*$B$438)*(1-MAX(0,MIN((E$47-1)-0-Quesería!$B$47,(Quesería!$B$46-Quesería!$B$47)))/(Quesería!$B$46-Quesería!$B$47))*IF(E$47&gt;2,1-Quesería!$B$48,1),0)+IF(AND(E$47&gt;1,E$47&lt;=1+Quesería!$B$46),($K$14+$K$28)*(Quesería!$B$44*$C$441*$C$438)*(1-MAX(0,MIN((E$47-1)-1-Quesería!$B$47,(Quesería!$B$46-Quesería!$B$47)))/(Quesería!$B$46-Quesería!$B$47))*IF(E$47&gt;2,1-Quesería!$B$48,1),0))*E440</f>
        <v>117.826027258135</v>
      </c>
      <c r="F468" s="29" t="n">
        <f aca="false">(IF(AND(F$47&gt;0,F$47&lt;=0+Quesería!$B$46),($K$14+$K$28)*(Quesería!$B$44*$B$441*$B$438)*(1-MAX(0,MIN((F$47-1)-0-Quesería!$B$47,(Quesería!$B$46-Quesería!$B$47)))/(Quesería!$B$46-Quesería!$B$47))*IF(F$47&gt;2,1-Quesería!$B$48,1),0)+IF(AND(F$47&gt;1,F$47&lt;=1+Quesería!$B$46),($K$14+$K$28)*(Quesería!$B$44*$C$441*$C$438)*(1-MAX(0,MIN((F$47-1)-1-Quesería!$B$47,(Quesería!$B$46-Quesería!$B$47)))/(Quesería!$B$46-Quesería!$B$47))*IF(F$47&gt;2,1-Quesería!$B$48,1),0))*F440</f>
        <v>92.4151745225957</v>
      </c>
      <c r="G468" s="29" t="n">
        <f aca="false">(IF(AND(G$47&gt;0,G$47&lt;=0+Quesería!$B$46),($K$14+$K$28)*(Quesería!$B$44*$B$441*$B$438)*(1-MAX(0,MIN((G$47-1)-0-Quesería!$B$47,(Quesería!$B$46-Quesería!$B$47)))/(Quesería!$B$46-Quesería!$B$47))*IF(G$47&gt;2,1-Quesería!$B$48,1),0)+IF(AND(G$47&gt;1,G$47&lt;=1+Quesería!$B$46),($K$14+$K$28)*(Quesería!$B$44*$C$441*$C$438)*(1-MAX(0,MIN((G$47-1)-1-Quesería!$B$47,(Quesería!$B$46-Quesería!$B$47)))/(Quesería!$B$46-Quesería!$B$47))*IF(G$47&gt;2,1-Quesería!$B$48,1),0))*G440</f>
        <v>68.7847039098228</v>
      </c>
      <c r="H468" s="29" t="n">
        <f aca="false">(IF(AND(H$47&gt;0,H$47&lt;=0+Quesería!$B$46),($K$14+$K$28)*(Quesería!$B$44*$B$441*$B$438)*(1-MAX(0,MIN((H$47-1)-0-Quesería!$B$47,(Quesería!$B$46-Quesería!$B$47)))/(Quesería!$B$46-Quesería!$B$47))*IF(H$47&gt;2,1-Quesería!$B$48,1),0)+IF(AND(H$47&gt;1,H$47&lt;=1+Quesería!$B$46),($K$14+$K$28)*(Quesería!$B$44*$C$441*$C$438)*(1-MAX(0,MIN((H$47-1)-1-Quesería!$B$47,(Quesería!$B$46-Quesería!$B$47)))/(Quesería!$B$46-Quesería!$B$47))*IF(H$47&gt;2,1-Quesería!$B$48,1),0))*H440</f>
        <v>46.8352529676735</v>
      </c>
      <c r="I468" s="29" t="n">
        <f aca="false">(IF(AND(I$47&gt;0,I$47&lt;=0+Quesería!$B$46),($K$14+$K$28)*(Quesería!$B$44*$B$441*$B$438)*(1-MAX(0,MIN((I$47-1)-0-Quesería!$B$47,(Quesería!$B$46-Quesería!$B$47)))/(Quesería!$B$46-Quesería!$B$47))*IF(I$47&gt;2,1-Quesería!$B$48,1),0)+IF(AND(I$47&gt;1,I$47&lt;=1+Quesería!$B$46),($K$14+$K$28)*(Quesería!$B$44*$C$441*$C$438)*(1-MAX(0,MIN((I$47-1)-1-Quesería!$B$47,(Quesería!$B$46-Quesería!$B$47)))/(Quesería!$B$46-Quesería!$B$47))*IF(I$47&gt;2,1-Quesería!$B$48,1),0))*I440</f>
        <v>26.4724688081898</v>
      </c>
      <c r="J468" s="29" t="n">
        <f aca="false">(IF(AND(J$47&gt;0,J$47&lt;=0+Quesería!$B$46),($K$14+$K$28)*(Quesería!$B$44*$B$441*$B$438)*(1-MAX(0,MIN((J$47-1)-0-Quesería!$B$47,(Quesería!$B$46-Quesería!$B$47)))/(Quesería!$B$46-Quesería!$B$47))*IF(J$47&gt;2,1-Quesería!$B$48,1),0)+IF(AND(J$47&gt;1,J$47&lt;=1+Quesería!$B$46),($K$14+$K$28)*(Quesería!$B$44*$C$441*$C$438)*(1-MAX(0,MIN((J$47-1)-1-Quesería!$B$47,(Quesería!$B$46-Quesería!$B$47)))/(Quesería!$B$46-Quesería!$B$47))*IF(J$47&gt;2,1-Quesería!$B$48,1),0))*J440</f>
        <v>7.60676974238282</v>
      </c>
      <c r="K468" s="29" t="n">
        <f aca="false">(IF(AND(K$47&gt;0,K$47&lt;=0+Quesería!$B$46),($K$14+$K$28)*(Quesería!$B$44*$B$441*$B$438)*(1-MAX(0,MIN((K$47-1)-0-Quesería!$B$47,(Quesería!$B$46-Quesería!$B$47)))/(Quesería!$B$46-Quesería!$B$47))*IF(K$47&gt;2,1-Quesería!$B$48,1),0)+IF(AND(K$47&gt;1,K$47&lt;=1+Quesería!$B$46),($K$14+$K$28)*(Quesería!$B$44*$C$441*$C$438)*(1-MAX(0,MIN((K$47-1)-1-Quesería!$B$47,(Quesería!$B$46-Quesería!$B$47)))/(Quesería!$B$46-Quesería!$B$47))*IF(K$47&gt;2,1-Quesería!$B$48,1),0))*K440</f>
        <v>0</v>
      </c>
      <c r="L468" s="29" t="n">
        <f aca="false">(IF(AND(L$47&gt;0,L$47&lt;=0+Quesería!$B$46),($K$14+$K$28)*(Quesería!$B$44*$B$441*$B$438)*(1-MAX(0,MIN((L$47-1)-0-Quesería!$B$47,(Quesería!$B$46-Quesería!$B$47)))/(Quesería!$B$46-Quesería!$B$47))*IF(L$47&gt;2,1-Quesería!$B$48,1),0)+IF(AND(L$47&gt;1,L$47&lt;=1+Quesería!$B$46),($K$14+$K$28)*(Quesería!$B$44*$C$441*$C$438)*(1-MAX(0,MIN((L$47-1)-1-Quesería!$B$47,(Quesería!$B$46-Quesería!$B$47)))/(Quesería!$B$46-Quesería!$B$47))*IF(L$47&gt;2,1-Quesería!$B$48,1),0))*L440</f>
        <v>0</v>
      </c>
    </row>
    <row r="469" customFormat="false" ht="15" hidden="true" customHeight="false" outlineLevel="1" collapsed="false">
      <c r="A469" s="6" t="s">
        <v>433</v>
      </c>
      <c r="B469" s="29" t="n">
        <f aca="false">((IF(AND(B$47&gt;0+Quesería!$B$47,B$47&lt;=0+Quesería!$B$46),(Quesería!$B$44*$B$441*$B$438)/(Quesería!$B$46-Quesería!$B$47),0)*IF(B$47&gt;2,1-Quesería!$B$48,1)+IF(B$47=2,Quesería!$B$48*(Quesería!$B$44*$B$441*$B$438)*(1-MAX(0,MIN(2-0-Quesería!$B$47,(Quesería!$B$46-Quesería!$B$47)))/(Quesería!$B$46-Quesería!$B$47)),0))+(IF(AND(B$47&gt;1+Quesería!$B$47,B$47&lt;=1+Quesería!$B$46),(Quesería!$B$44*$C$441*$C$438)/(Quesería!$B$46-Quesería!$B$47),0)*IF(B$47&gt;2,1-Quesería!$B$48,1)+IF(B$47=2,Quesería!$B$48*(Quesería!$B$44*$C$441*$C$438)*(1-MAX(0,MIN(2-1-Quesería!$B$47,(Quesería!$B$46-Quesería!$B$47)))/(Quesería!$B$46-Quesería!$B$47)),0)))*B440</f>
        <v>0</v>
      </c>
      <c r="C469" s="29" t="n">
        <f aca="false">((IF(AND(C$47&gt;0+Quesería!$B$47,C$47&lt;=0+Quesería!$B$46),(Quesería!$B$44*$B$441*$B$438)/(Quesería!$B$46-Quesería!$B$47),0)*IF(C$47&gt;2,1-Quesería!$B$48,1)+IF(C$47=2,Quesería!$B$48*(Quesería!$B$44*$B$441*$B$438)*(1-MAX(0,MIN(2-0-Quesería!$B$47,(Quesería!$B$46-Quesería!$B$47)))/(Quesería!$B$46-Quesería!$B$47)),0))+(IF(AND(C$47&gt;1+Quesería!$B$47,C$47&lt;=1+Quesería!$B$46),(Quesería!$B$44*$C$441*$C$438)/(Quesería!$B$46-Quesería!$B$47),0)*IF(C$47&gt;2,1-Quesería!$B$48,1)+IF(C$47=2,Quesería!$B$48*(Quesería!$B$44*$C$441*$C$438)*(1-MAX(0,MIN(2-1-Quesería!$B$47,(Quesería!$B$46-Quesería!$B$47)))/(Quesería!$B$46-Quesería!$B$47)),0)))*C440</f>
        <v>0</v>
      </c>
      <c r="D469" s="29" t="n">
        <f aca="false">((IF(AND(D$47&gt;0+Quesería!$B$47,D$47&lt;=0+Quesería!$B$46),(Quesería!$B$44*$B$441*$B$438)/(Quesería!$B$46-Quesería!$B$47),0)*IF(D$47&gt;2,1-Quesería!$B$48,1)+IF(D$47=2,Quesería!$B$48*(Quesería!$B$44*$B$441*$B$438)*(1-MAX(0,MIN(2-0-Quesería!$B$47,(Quesería!$B$46-Quesería!$B$47)))/(Quesería!$B$46-Quesería!$B$47)),0))+(IF(AND(D$47&gt;1+Quesería!$B$47,D$47&lt;=1+Quesería!$B$46),(Quesería!$B$44*$C$441*$C$438)/(Quesería!$B$46-Quesería!$B$47),0)*IF(D$47&gt;2,1-Quesería!$B$48,1)+IF(D$47=2,Quesería!$B$48*(Quesería!$B$44*$C$441*$C$438)*(1-MAX(0,MIN(2-1-Quesería!$B$47,(Quesería!$B$46-Quesería!$B$47)))/(Quesería!$B$46-Quesería!$B$47)),0)))*D440</f>
        <v>91.8994692231472</v>
      </c>
      <c r="E469" s="29" t="n">
        <f aca="false">((IF(AND(E$47&gt;0+Quesería!$B$47,E$47&lt;=0+Quesería!$B$46),(Quesería!$B$44*$B$441*$B$438)/(Quesería!$B$46-Quesería!$B$47),0)*IF(E$47&gt;2,1-Quesería!$B$48,1)+IF(E$47=2,Quesería!$B$48*(Quesería!$B$44*$B$441*$B$438)*(1-MAX(0,MIN(2-0-Quesería!$B$47,(Quesería!$B$46-Quesería!$B$47)))/(Quesería!$B$46-Quesería!$B$47)),0))+(IF(AND(E$47&gt;1+Quesería!$B$47,E$47&lt;=1+Quesería!$B$46),(Quesería!$B$44*$C$441*$C$438)/(Quesería!$B$46-Quesería!$B$47),0)*IF(E$47&gt;2,1-Quesería!$B$48,1)+IF(E$47=2,Quesería!$B$48*(Quesería!$B$44*$C$441*$C$438)*(1-MAX(0,MIN(2-1-Quesería!$B$47,(Quesería!$B$46-Quesería!$B$47)))/(Quesería!$B$46-Quesería!$B$47)),0)))*E440</f>
        <v>154.001742940676</v>
      </c>
      <c r="F469" s="29" t="n">
        <f aca="false">((IF(AND(F$47&gt;0+Quesería!$B$47,F$47&lt;=0+Quesería!$B$46),(Quesería!$B$44*$B$441*$B$438)/(Quesería!$B$46-Quesería!$B$47),0)*IF(F$47&gt;2,1-Quesería!$B$48,1)+IF(F$47=2,Quesería!$B$48*(Quesería!$B$44*$B$441*$B$438)*(1-MAX(0,MIN(2-0-Quesería!$B$47,(Quesería!$B$46-Quesería!$B$47)))/(Quesería!$B$46-Quesería!$B$47)),0))+(IF(AND(F$47&gt;1+Quesería!$B$47,F$47&lt;=1+Quesería!$B$46),(Quesería!$B$44*$C$441*$C$438)/(Quesería!$B$46-Quesería!$B$47),0)*IF(F$47&gt;2,1-Quesería!$B$48,1)+IF(F$47=2,Quesería!$B$48*(Quesería!$B$44*$C$441*$C$438)*(1-MAX(0,MIN(2-1-Quesería!$B$47,(Quesería!$B$46-Quesería!$B$47)))/(Quesería!$B$46-Quesería!$B$47)),0)))*F440</f>
        <v>148.078598981419</v>
      </c>
      <c r="G469" s="29" t="n">
        <f aca="false">((IF(AND(G$47&gt;0+Quesería!$B$47,G$47&lt;=0+Quesería!$B$46),(Quesería!$B$44*$B$441*$B$438)/(Quesería!$B$46-Quesería!$B$47),0)*IF(G$47&gt;2,1-Quesería!$B$48,1)+IF(G$47=2,Quesería!$B$48*(Quesería!$B$44*$B$441*$B$438)*(1-MAX(0,MIN(2-0-Quesería!$B$47,(Quesería!$B$46-Quesería!$B$47)))/(Quesería!$B$46-Quesería!$B$47)),0))+(IF(AND(G$47&gt;1+Quesería!$B$47,G$47&lt;=1+Quesería!$B$46),(Quesería!$B$44*$C$441*$C$438)/(Quesería!$B$46-Quesería!$B$47),0)*IF(G$47&gt;2,1-Quesería!$B$48,1)+IF(G$47=2,Quesería!$B$48*(Quesería!$B$44*$C$441*$C$438)*(1-MAX(0,MIN(2-1-Quesería!$B$47,(Quesería!$B$46-Quesería!$B$47)))/(Quesería!$B$46-Quesería!$B$47)),0)))*G440</f>
        <v>142.383268251364</v>
      </c>
      <c r="H469" s="29" t="n">
        <f aca="false">((IF(AND(H$47&gt;0+Quesería!$B$47,H$47&lt;=0+Quesería!$B$46),(Quesería!$B$44*$B$441*$B$438)/(Quesería!$B$46-Quesería!$B$47),0)*IF(H$47&gt;2,1-Quesería!$B$48,1)+IF(H$47=2,Quesería!$B$48*(Quesería!$B$44*$B$441*$B$438)*(1-MAX(0,MIN(2-0-Quesería!$B$47,(Quesería!$B$46-Quesería!$B$47)))/(Quesería!$B$46-Quesería!$B$47)),0))+(IF(AND(H$47&gt;1+Quesería!$B$47,H$47&lt;=1+Quesería!$B$46),(Quesería!$B$44*$C$441*$C$438)/(Quesería!$B$46-Quesería!$B$47),0)*IF(H$47&gt;2,1-Quesería!$B$48,1)+IF(H$47=2,Quesería!$B$48*(Quesería!$B$44*$C$441*$C$438)*(1-MAX(0,MIN(2-1-Quesería!$B$47,(Quesería!$B$46-Quesería!$B$47)))/(Quesería!$B$46-Quesería!$B$47)),0)))*H440</f>
        <v>136.906988703235</v>
      </c>
      <c r="I469" s="29" t="n">
        <f aca="false">((IF(AND(I$47&gt;0+Quesería!$B$47,I$47&lt;=0+Quesería!$B$46),(Quesería!$B$44*$B$441*$B$438)/(Quesería!$B$46-Quesería!$B$47),0)*IF(I$47&gt;2,1-Quesería!$B$48,1)+IF(I$47=2,Quesería!$B$48*(Quesería!$B$44*$B$441*$B$438)*(1-MAX(0,MIN(2-0-Quesería!$B$47,(Quesería!$B$46-Quesería!$B$47)))/(Quesería!$B$46-Quesería!$B$47)),0))+(IF(AND(I$47&gt;1+Quesería!$B$47,I$47&lt;=1+Quesería!$B$46),(Quesería!$B$44*$C$441*$C$438)/(Quesería!$B$46-Quesería!$B$47),0)*IF(I$47&gt;2,1-Quesería!$B$48,1)+IF(I$47=2,Quesería!$B$48*(Quesería!$B$44*$C$441*$C$438)*(1-MAX(0,MIN(2-1-Quesería!$B$47,(Quesería!$B$46-Quesería!$B$47)))/(Quesería!$B$46-Quesería!$B$47)),0)))*I440</f>
        <v>131.641335291572</v>
      </c>
      <c r="J469" s="29" t="n">
        <f aca="false">((IF(AND(J$47&gt;0+Quesería!$B$47,J$47&lt;=0+Quesería!$B$46),(Quesería!$B$44*$B$441*$B$438)/(Quesería!$B$46-Quesería!$B$47),0)*IF(J$47&gt;2,1-Quesería!$B$48,1)+IF(J$47=2,Quesería!$B$48*(Quesería!$B$44*$B$441*$B$438)*(1-MAX(0,MIN(2-0-Quesería!$B$47,(Quesería!$B$46-Quesería!$B$47)))/(Quesería!$B$46-Quesería!$B$47)),0))+(IF(AND(J$47&gt;1+Quesería!$B$47,J$47&lt;=1+Quesería!$B$46),(Quesería!$B$44*$C$441*$C$438)/(Quesería!$B$46-Quesería!$B$47),0)*IF(J$47&gt;2,1-Quesería!$B$48,1)+IF(J$47=2,Quesería!$B$48*(Quesería!$B$44*$C$441*$C$438)*(1-MAX(0,MIN(2-1-Quesería!$B$47,(Quesería!$B$46-Quesería!$B$47)))/(Quesería!$B$46-Quesería!$B$47)),0)))*J440</f>
        <v>53.9487215771831</v>
      </c>
      <c r="K469" s="29" t="n">
        <f aca="false">((IF(AND(K$47&gt;0+Quesería!$B$47,K$47&lt;=0+Quesería!$B$46),(Quesería!$B$44*$B$441*$B$438)/(Quesería!$B$46-Quesería!$B$47),0)*IF(K$47&gt;2,1-Quesería!$B$48,1)+IF(K$47=2,Quesería!$B$48*(Quesería!$B$44*$B$441*$B$438)*(1-MAX(0,MIN(2-0-Quesería!$B$47,(Quesería!$B$46-Quesería!$B$47)))/(Quesería!$B$46-Quesería!$B$47)),0))+(IF(AND(K$47&gt;1+Quesería!$B$47,K$47&lt;=1+Quesería!$B$46),(Quesería!$B$44*$C$441*$C$438)/(Quesería!$B$46-Quesería!$B$47),0)*IF(K$47&gt;2,1-Quesería!$B$48,1)+IF(K$47=2,Quesería!$B$48*(Quesería!$B$44*$C$441*$C$438)*(1-MAX(0,MIN(2-1-Quesería!$B$47,(Quesería!$B$46-Quesería!$B$47)))/(Quesería!$B$46-Quesería!$B$47)),0)))*K440</f>
        <v>0</v>
      </c>
      <c r="L469" s="29" t="n">
        <f aca="false">((IF(AND(L$47&gt;0+Quesería!$B$47,L$47&lt;=0+Quesería!$B$46),(Quesería!$B$44*$B$441*$B$438)/(Quesería!$B$46-Quesería!$B$47),0)*IF(L$47&gt;2,1-Quesería!$B$48,1)+IF(L$47=2,Quesería!$B$48*(Quesería!$B$44*$B$441*$B$438)*(1-MAX(0,MIN(2-0-Quesería!$B$47,(Quesería!$B$46-Quesería!$B$47)))/(Quesería!$B$46-Quesería!$B$47)),0))+(IF(AND(L$47&gt;1+Quesería!$B$47,L$47&lt;=1+Quesería!$B$46),(Quesería!$B$44*$C$441*$C$438)/(Quesería!$B$46-Quesería!$B$47),0)*IF(L$47&gt;2,1-Quesería!$B$48,1)+IF(L$47=2,Quesería!$B$48*(Quesería!$B$44*$C$441*$C$438)*(1-MAX(0,MIN(2-1-Quesería!$B$47,(Quesería!$B$46-Quesería!$B$47)))/(Quesería!$B$46-Quesería!$B$47)),0)))*L440</f>
        <v>0</v>
      </c>
    </row>
    <row r="470" customFormat="false" ht="15" hidden="true" customHeight="false" outlineLevel="1" collapsed="false">
      <c r="A470" s="6" t="s">
        <v>434</v>
      </c>
      <c r="B470" s="29" t="n">
        <f aca="false">$K$13*Quesería!$B$51*(1+0.19)*B466*B440+(1-$K$13)*IF(B$47=0,Quesería!$B$50,0)</f>
        <v>4</v>
      </c>
      <c r="C470" s="29" t="n">
        <f aca="false">$K$13*Quesería!$B$51*(1+0.19)*C466*C440+(1-$K$13)*IF(C$47=0,Quesería!$B$50,0)</f>
        <v>0</v>
      </c>
      <c r="D470" s="29" t="n">
        <f aca="false">$K$13*Quesería!$B$51*(1+0.19)*D466*D440+(1-$K$13)*IF(D$47=0,Quesería!$B$50,0)</f>
        <v>0</v>
      </c>
      <c r="E470" s="29" t="n">
        <f aca="false">$K$13*Quesería!$B$51*(1+0.19)*E466*E440+(1-$K$13)*IF(E$47=0,Quesería!$B$50,0)</f>
        <v>0</v>
      </c>
      <c r="F470" s="29" t="n">
        <f aca="false">$K$13*Quesería!$B$51*(1+0.19)*F466*F440+(1-$K$13)*IF(F$47=0,Quesería!$B$50,0)</f>
        <v>0</v>
      </c>
      <c r="G470" s="29" t="n">
        <f aca="false">$K$13*Quesería!$B$51*(1+0.19)*G466*G440+(1-$K$13)*IF(G$47=0,Quesería!$B$50,0)</f>
        <v>0</v>
      </c>
      <c r="H470" s="29" t="n">
        <f aca="false">$K$13*Quesería!$B$51*(1+0.19)*H466*H440+(1-$K$13)*IF(H$47=0,Quesería!$B$50,0)</f>
        <v>0</v>
      </c>
      <c r="I470" s="29" t="n">
        <f aca="false">$K$13*Quesería!$B$51*(1+0.19)*I466*I440+(1-$K$13)*IF(I$47=0,Quesería!$B$50,0)</f>
        <v>0</v>
      </c>
      <c r="J470" s="29" t="n">
        <f aca="false">$K$13*Quesería!$B$51*(1+0.19)*J466*J440+(1-$K$13)*IF(J$47=0,Quesería!$B$50,0)</f>
        <v>0</v>
      </c>
      <c r="K470" s="29" t="n">
        <f aca="false">$K$13*Quesería!$B$51*(1+0.19)*K466*K440+(1-$K$13)*IF(K$47=0,Quesería!$B$50,0)</f>
        <v>0</v>
      </c>
      <c r="L470" s="29" t="n">
        <f aca="false">$K$13*Quesería!$B$51*(1+0.19)*L466*L440+(1-$K$13)*IF(L$47=0,Quesería!$B$50,0)</f>
        <v>0</v>
      </c>
    </row>
    <row r="471" customFormat="false" ht="15" hidden="true" customHeight="false" outlineLevel="1" collapsed="false">
      <c r="A471" s="6" t="s">
        <v>435</v>
      </c>
      <c r="B471" s="29" t="n">
        <f aca="false">Quesería!$B$52*(B468+B469+B470)</f>
        <v>0.016</v>
      </c>
      <c r="C471" s="29" t="n">
        <f aca="false">Quesería!$B$52*(C468+C469+C470)</f>
        <v>0.324982255024431</v>
      </c>
      <c r="D471" s="29" t="n">
        <f aca="false">Quesería!$B$52*(D468+D469+D470)</f>
        <v>0.909585450928285</v>
      </c>
      <c r="E471" s="29" t="n">
        <f aca="false">Quesería!$B$52*(E468+E469+E470)</f>
        <v>1.08731108079524</v>
      </c>
      <c r="F471" s="29" t="n">
        <f aca="false">Quesería!$B$52*(F468+F469+F470)</f>
        <v>0.961975094016058</v>
      </c>
      <c r="G471" s="29" t="n">
        <f aca="false">Quesería!$B$52*(G468+G469+G470)</f>
        <v>0.844671888644748</v>
      </c>
      <c r="H471" s="29" t="n">
        <f aca="false">Quesería!$B$52*(H468+H469+H470)</f>
        <v>0.734968966683633</v>
      </c>
      <c r="I471" s="29" t="n">
        <f aca="false">Quesería!$B$52*(I468+I469+I470)</f>
        <v>0.632455216399047</v>
      </c>
      <c r="J471" s="29" t="n">
        <f aca="false">Quesería!$B$52*(J468+J469+J470)</f>
        <v>0.246221965278264</v>
      </c>
      <c r="K471" s="29" t="n">
        <f aca="false">Quesería!$B$52*(K468+K469+K470)</f>
        <v>0</v>
      </c>
      <c r="L471" s="29" t="n">
        <f aca="false">Quesería!$B$52*(L468+L469+L470)</f>
        <v>0</v>
      </c>
    </row>
    <row r="472" customFormat="false" ht="15" hidden="true" customHeight="false" outlineLevel="1" collapsed="false">
      <c r="A472" s="6" t="s">
        <v>436</v>
      </c>
      <c r="B472" s="29" t="n">
        <f aca="false">$K$17*(B468+B470+0.5*B471)</f>
        <v>1.4028</v>
      </c>
      <c r="C472" s="29" t="n">
        <f aca="false">$K$17*(C468+C470+0.5*C471)</f>
        <v>28.492819209267</v>
      </c>
      <c r="D472" s="29" t="n">
        <f aca="false">$K$17*(D468+D470+0.5*D471)</f>
        <v>47.5830901820358</v>
      </c>
      <c r="E472" s="29" t="n">
        <f aca="false">$K$17*(E468+E470+0.5*E471)</f>
        <v>41.4293889794864</v>
      </c>
      <c r="F472" s="29" t="n">
        <f aca="false">$K$17*(F468+F470+0.5*F471)</f>
        <v>32.5136567243613</v>
      </c>
      <c r="G472" s="29" t="n">
        <f aca="false">$K$17*(G468+G470+0.5*G471)</f>
        <v>24.2224639489508</v>
      </c>
      <c r="H472" s="29" t="n">
        <f aca="false">$K$17*(H468+H470+0.5*H471)</f>
        <v>16.5209581078554</v>
      </c>
      <c r="I472" s="29" t="n">
        <f aca="false">$K$17*(I468+I470+0.5*I471)</f>
        <v>9.37604374573625</v>
      </c>
      <c r="J472" s="29" t="n">
        <f aca="false">$K$17*(J468+J470+0.5*J471)</f>
        <v>2.70545825375768</v>
      </c>
      <c r="K472" s="29" t="n">
        <f aca="false">$K$17*(K468+K470+0.5*K471)</f>
        <v>0</v>
      </c>
      <c r="L472" s="29" t="n">
        <f aca="false">$K$17*(L468+L470+0.5*L471)</f>
        <v>0</v>
      </c>
    </row>
    <row r="473" customFormat="false" ht="15" hidden="true" customHeight="false" outlineLevel="1" collapsed="false">
      <c r="A473" s="5" t="s">
        <v>437</v>
      </c>
      <c r="B473" s="59" t="n">
        <f aca="false">B458+B467-B468-B469-B470-B471+B472</f>
        <v>-358.744924503166</v>
      </c>
      <c r="C473" s="59" t="n">
        <f aca="false">C458+C467-C468-C469-C470-C471+C472</f>
        <v>-32.9468586072891</v>
      </c>
      <c r="D473" s="59" t="n">
        <f aca="false">D458+D467-D468-D469-D470-D471+D472</f>
        <v>259.87381502828</v>
      </c>
      <c r="E473" s="59" t="n">
        <f aca="false">E458+E467-E468-E469-E470-E471+E472</f>
        <v>77.3648940488602</v>
      </c>
      <c r="F473" s="59" t="n">
        <f aca="false">F458+F467-F468-F469-F470-F471+F472</f>
        <v>136.469776372929</v>
      </c>
      <c r="G473" s="59" t="n">
        <f aca="false">G458+G467-G468-G469-G470-G471+G472</f>
        <v>123.268223052729</v>
      </c>
      <c r="H473" s="59" t="n">
        <f aca="false">H458+H467-H468-H469-H470-H471+H472</f>
        <v>121.576371134778</v>
      </c>
      <c r="I473" s="59" t="n">
        <f aca="false">I458+I467-I468-I469-I470-I471+I472</f>
        <v>200.794866681762</v>
      </c>
      <c r="J473" s="59" t="n">
        <f aca="false">J458+J467-J468-J469-J470-J471+J472</f>
        <v>281.201496624663</v>
      </c>
      <c r="K473" s="59" t="n">
        <f aca="false">K458+K467-K468-K469-K470-K471+K472</f>
        <v>338.967827609751</v>
      </c>
      <c r="L473" s="59" t="n">
        <f aca="false">L458+L467-L468-L469-L470-L471+L472</f>
        <v>566.981314179307</v>
      </c>
    </row>
    <row r="474" customFormat="false" ht="15" hidden="true" customHeight="false" outlineLevel="1" collapsed="false">
      <c r="A474" s="9" t="s">
        <v>438</v>
      </c>
      <c r="B474" s="58" t="n">
        <f aca="false">B473*B438</f>
        <v>-380.269619973356</v>
      </c>
      <c r="C474" s="58" t="n">
        <f aca="false">C473*C438</f>
        <v>-36.6698536299127</v>
      </c>
      <c r="D474" s="58" t="n">
        <f aca="false">D473*D438</f>
        <v>302.255336152167</v>
      </c>
      <c r="E474" s="58" t="n">
        <f aca="false">E473*E438</f>
        <v>93.5812257066113</v>
      </c>
      <c r="F474" s="58" t="n">
        <f aca="false">F473*F438</f>
        <v>171.677987360689</v>
      </c>
      <c r="G474" s="58" t="n">
        <f aca="false">G473*G438</f>
        <v>161.273350347159</v>
      </c>
      <c r="H474" s="58" t="n">
        <f aca="false">H473*H438</f>
        <v>165.422274604145</v>
      </c>
      <c r="I474" s="58" t="n">
        <f aca="false">I473*I438</f>
        <v>284.138940781929</v>
      </c>
      <c r="J474" s="58" t="n">
        <f aca="false">J473*J438</f>
        <v>413.836810603392</v>
      </c>
      <c r="K474" s="58" t="n">
        <f aca="false">K473*K438</f>
        <v>518.803992913712</v>
      </c>
      <c r="L474" s="58" t="n">
        <f aca="false">L473*L438</f>
        <v>902.499386590859</v>
      </c>
    </row>
    <row r="475" customFormat="false" ht="15" hidden="true" customHeight="false" outlineLevel="1" collapsed="false">
      <c r="A475" s="9" t="s">
        <v>439</v>
      </c>
      <c r="B475" s="57" t="n">
        <f aca="false">(B438/$B$438)/(1+Quesería!$B$11+$K$28)^B$47</f>
        <v>1</v>
      </c>
      <c r="C475" s="57" t="n">
        <f aca="false">(C438/$B$438)/(1+Quesería!$B$11+$K$28)^C$47</f>
        <v>0.84</v>
      </c>
      <c r="D475" s="57" t="n">
        <f aca="false">(D438/$B$438)/(1+Quesería!$B$11+$K$28)^D$47</f>
        <v>0.70224</v>
      </c>
      <c r="E475" s="57" t="n">
        <f aca="false">(E438/$B$438)/(1+Quesería!$B$11+$K$28)^E$47</f>
        <v>0.58426368</v>
      </c>
      <c r="F475" s="57" t="n">
        <f aca="false">(F438/$B$438)/(1+Quesería!$B$11+$K$28)^F$47</f>
        <v>0.48610738176</v>
      </c>
      <c r="G475" s="57" t="n">
        <f aca="false">(G438/$B$438)/(1+Quesería!$B$11+$K$28)^G$47</f>
        <v>0.40444134162432</v>
      </c>
      <c r="H475" s="57" t="n">
        <f aca="false">(H438/$B$438)/(1+Quesería!$B$11+$K$28)^H$47</f>
        <v>0.336495196231434</v>
      </c>
      <c r="I475" s="57" t="n">
        <f aca="false">(I438/$B$438)/(1+Quesería!$B$11+$K$28)^I$47</f>
        <v>0.279964003264553</v>
      </c>
      <c r="J475" s="57" t="n">
        <f aca="false">(J438/$B$438)/(1+Quesería!$B$11+$K$28)^J$47</f>
        <v>0.232930050716108</v>
      </c>
      <c r="K475" s="57" t="n">
        <f aca="false">(K438/$B$438)/(1+Quesería!$B$11+$K$28)^K$47</f>
        <v>0.193797802195802</v>
      </c>
      <c r="L475" s="57" t="n">
        <f aca="false">(L438/$B$438)/(1+Quesería!$B$11+$K$28)^L$47</f>
        <v>0.161239771426907</v>
      </c>
    </row>
    <row r="476" customFormat="false" ht="15" hidden="true" customHeight="false" outlineLevel="1" collapsed="false">
      <c r="A476" s="9" t="s">
        <v>440</v>
      </c>
      <c r="B476" s="58" t="n">
        <f aca="false">B458+B441+B443+B472</f>
        <v>120.166830858099</v>
      </c>
      <c r="C476" s="58" t="n">
        <f aca="false">C458+C441+C443+C472</f>
        <v>404.196983408072</v>
      </c>
      <c r="D476" s="58" t="n">
        <f aca="false">D458+D441+D443+D472</f>
        <v>488.179763211279</v>
      </c>
      <c r="E476" s="58" t="n">
        <f aca="false">E458+E441+E443+E472</f>
        <v>350.279975328466</v>
      </c>
      <c r="F476" s="58" t="n">
        <f aca="false">F458+F441+F443+F472</f>
        <v>377.92552497096</v>
      </c>
      <c r="G476" s="58" t="n">
        <f aca="false">G458+G441+G443+G472</f>
        <v>340.499258383647</v>
      </c>
      <c r="H476" s="58" t="n">
        <f aca="false">H458+H441+H443+H472</f>
        <v>314.867521357452</v>
      </c>
      <c r="I476" s="58" t="n">
        <f aca="false">I458+I441+I443+I472</f>
        <v>359.541125997923</v>
      </c>
      <c r="J476" s="58" t="n">
        <f aca="false">J458+J441+J443+J472</f>
        <v>343.003209909507</v>
      </c>
      <c r="K476" s="58" t="n">
        <f aca="false">K458+K441+K443+K472</f>
        <v>338.967827609751</v>
      </c>
      <c r="L476" s="58" t="n">
        <f aca="false">L458+L441+L443+L472</f>
        <v>566.981314179307</v>
      </c>
    </row>
    <row r="477" customFormat="false" ht="15" hidden="true" customHeight="false" outlineLevel="1" collapsed="false">
      <c r="A477" s="5" t="s">
        <v>149</v>
      </c>
      <c r="B477" s="12" t="str">
        <f aca="false">IF(AND(B$47&gt;=1,(B468+B469+B470)&gt;0.001),B476/(B468+B469+B470),"")</f>
        <v/>
      </c>
      <c r="C477" s="12" t="n">
        <f aca="false">IF(AND(C$47&gt;=1,(C468+C469+C470)&gt;0.001),C476/(C468+C469+C470),"")</f>
        <v>4.9750037383141</v>
      </c>
      <c r="D477" s="12" t="n">
        <f aca="false">IF(AND(D$47&gt;=1,(D468+D469+D470)&gt;0.001),D476/(D468+D469+D470),"")</f>
        <v>2.14682309490796</v>
      </c>
      <c r="E477" s="12" t="n">
        <f aca="false">IF(AND(E$47&gt;=1,(E468+E469+E470)&gt;0.001),E476/(E468+E469+E470),"")</f>
        <v>1.28860997194024</v>
      </c>
      <c r="F477" s="12" t="n">
        <f aca="false">IF(AND(F$47&gt;=1,(F468+F469+F470)&gt;0.001),F476/(F468+F469+F470),"")</f>
        <v>1.57145658893597</v>
      </c>
      <c r="G477" s="12" t="n">
        <f aca="false">IF(AND(G$47&gt;=1,(G468+G469+G470)&gt;0.001),G476/(G468+G469+G470),"")</f>
        <v>1.61245692184674</v>
      </c>
      <c r="H477" s="12" t="n">
        <f aca="false">IF(AND(H$47&gt;=1,(H468+H469+H470)&gt;0.001),H476/(H468+H469+H470),"")</f>
        <v>1.71363709560807</v>
      </c>
      <c r="I477" s="12" t="n">
        <f aca="false">IF(AND(I$47&gt;=1,(I468+I469+I470)&gt;0.001),I476/(I468+I469+I470),"")</f>
        <v>2.2739388761469</v>
      </c>
      <c r="J477" s="12" t="n">
        <f aca="false">IF(AND(J$47&gt;=1,(J468+J469+J470)&gt;0.001),J476/(J468+J469+J470),"")</f>
        <v>5.57226012751328</v>
      </c>
      <c r="K477" s="12" t="str">
        <f aca="false">IF(AND(K$47&gt;=1,(K468+K469+K470)&gt;0.001),K476/(K468+K469+K470),"")</f>
        <v/>
      </c>
      <c r="L477" s="12" t="str">
        <f aca="false">IF(AND(L$47&gt;=1,(L468+L469+L470)&gt;0.001),L476/(L468+L469+L470),"")</f>
        <v/>
      </c>
    </row>
    <row r="479" customFormat="false" ht="15" hidden="false" customHeight="false" outlineLevel="0" collapsed="false">
      <c r="A479" s="43" t="s">
        <v>1247</v>
      </c>
      <c r="B479" s="44"/>
      <c r="C479" s="44"/>
      <c r="D479" s="44"/>
      <c r="E479" s="44"/>
      <c r="F479" s="44"/>
      <c r="G479" s="44"/>
      <c r="H479" s="44"/>
      <c r="I479" s="44"/>
      <c r="J479" s="44"/>
      <c r="K479" s="44"/>
      <c r="L479" s="44"/>
    </row>
    <row r="480" customFormat="false" ht="15" hidden="true" customHeight="false" outlineLevel="1" collapsed="false">
      <c r="A480" s="9" t="s">
        <v>406</v>
      </c>
      <c r="B480" s="56" t="n">
        <f aca="false">CHOOSE($L$15,Entorno!B$7,Entorno!B$8,Entorno!B$9)</f>
        <v>0.06</v>
      </c>
      <c r="C480" s="56" t="n">
        <f aca="false">CHOOSE($L$15,Entorno!C$7,Entorno!C$8,Entorno!C$9)</f>
        <v>0.05</v>
      </c>
      <c r="D480" s="56" t="n">
        <f aca="false">CHOOSE($L$15,Entorno!D$7,Entorno!D$8,Entorno!D$9)</f>
        <v>0.045</v>
      </c>
      <c r="E480" s="56" t="n">
        <f aca="false">CHOOSE($L$15,Entorno!E$7,Entorno!E$8,Entorno!E$9)</f>
        <v>0.04</v>
      </c>
      <c r="F480" s="56" t="n">
        <f aca="false">CHOOSE($L$15,Entorno!F$7,Entorno!F$8,Entorno!F$9)</f>
        <v>0.04</v>
      </c>
      <c r="G480" s="56" t="n">
        <f aca="false">CHOOSE($L$15,Entorno!G$7,Entorno!G$8,Entorno!G$9)</f>
        <v>0.04</v>
      </c>
      <c r="H480" s="56" t="n">
        <f aca="false">CHOOSE($L$15,Entorno!H$7,Entorno!H$8,Entorno!H$9)</f>
        <v>0.04</v>
      </c>
      <c r="I480" s="56" t="n">
        <f aca="false">CHOOSE($L$15,Entorno!I$7,Entorno!I$8,Entorno!I$9)</f>
        <v>0.04</v>
      </c>
      <c r="J480" s="56" t="n">
        <f aca="false">CHOOSE($L$15,Entorno!J$7,Entorno!J$8,Entorno!J$9)</f>
        <v>0.04</v>
      </c>
      <c r="K480" s="56" t="n">
        <f aca="false">CHOOSE($L$15,Entorno!K$7,Entorno!K$8,Entorno!K$9)</f>
        <v>0.04</v>
      </c>
      <c r="L480" s="56" t="n">
        <f aca="false">CHOOSE($L$15,Entorno!L$7,Entorno!L$8,Entorno!L$9)</f>
        <v>0.04</v>
      </c>
    </row>
    <row r="481" customFormat="false" ht="15" hidden="true" customHeight="false" outlineLevel="1" collapsed="false">
      <c r="A481" s="9" t="s">
        <v>407</v>
      </c>
      <c r="B481" s="57" t="n">
        <f aca="false">1+B480</f>
        <v>1.06</v>
      </c>
      <c r="C481" s="57" t="n">
        <f aca="false">B481*(1+C480)</f>
        <v>1.113</v>
      </c>
      <c r="D481" s="57" t="n">
        <f aca="false">C481*(1+D480)</f>
        <v>1.163085</v>
      </c>
      <c r="E481" s="57" t="n">
        <f aca="false">D481*(1+E480)</f>
        <v>1.2096084</v>
      </c>
      <c r="F481" s="57" t="n">
        <f aca="false">E481*(1+F480)</f>
        <v>1.257992736</v>
      </c>
      <c r="G481" s="57" t="n">
        <f aca="false">F481*(1+G480)</f>
        <v>1.30831244544</v>
      </c>
      <c r="H481" s="57" t="n">
        <f aca="false">G481*(1+H480)</f>
        <v>1.3606449432576</v>
      </c>
      <c r="I481" s="57" t="n">
        <f aca="false">H481*(1+I480)</f>
        <v>1.4150707409879</v>
      </c>
      <c r="J481" s="57" t="n">
        <f aca="false">I481*(1+J480)</f>
        <v>1.47167357062742</v>
      </c>
      <c r="K481" s="57" t="n">
        <f aca="false">J481*(1+K480)</f>
        <v>1.53054051345252</v>
      </c>
      <c r="L481" s="57" t="n">
        <f aca="false">K481*(1+L480)</f>
        <v>1.59176213399062</v>
      </c>
    </row>
    <row r="482" customFormat="false" ht="15" hidden="true" customHeight="false" outlineLevel="1" collapsed="false">
      <c r="A482" s="9" t="s">
        <v>408</v>
      </c>
      <c r="B482" s="57" t="n">
        <f aca="false">(1+$L$16)/(1+B480)</f>
        <v>1.02358490566038</v>
      </c>
      <c r="C482" s="57" t="n">
        <f aca="false">B482*(1+Entorno!$B$13)</f>
        <v>1.02870283018868</v>
      </c>
      <c r="D482" s="57" t="n">
        <f aca="false">C482*(1+Entorno!$B$13)</f>
        <v>1.03384634433962</v>
      </c>
      <c r="E482" s="57" t="n">
        <f aca="false">D482*(1+Entorno!$B$13)</f>
        <v>1.03901557606132</v>
      </c>
      <c r="F482" s="57" t="n">
        <f aca="false">E482*(1+Entorno!$B$13)</f>
        <v>1.04421065394163</v>
      </c>
      <c r="G482" s="57" t="n">
        <f aca="false">F482*(1+Entorno!$B$13)</f>
        <v>1.04943170721133</v>
      </c>
      <c r="H482" s="57" t="n">
        <f aca="false">G482*(1+Entorno!$B$13)</f>
        <v>1.05467886574739</v>
      </c>
      <c r="I482" s="57" t="n">
        <f aca="false">H482*(1+Entorno!$B$13)</f>
        <v>1.05995226007613</v>
      </c>
      <c r="J482" s="57" t="n">
        <f aca="false">I482*(1+Entorno!$B$13)</f>
        <v>1.06525202137651</v>
      </c>
      <c r="K482" s="57" t="n">
        <f aca="false">J482*(1+Entorno!$B$13)</f>
        <v>1.07057828148339</v>
      </c>
      <c r="L482" s="57" t="n">
        <f aca="false">K482*(1+Entorno!$B$13)</f>
        <v>1.07593117289081</v>
      </c>
    </row>
    <row r="483" customFormat="false" ht="15" hidden="true" customHeight="false" outlineLevel="1" collapsed="false">
      <c r="A483" s="9" t="s">
        <v>409</v>
      </c>
      <c r="B483" s="57" t="n">
        <f aca="false">1/B481</f>
        <v>0.943396226415094</v>
      </c>
      <c r="C483" s="57" t="n">
        <f aca="false">1/C481</f>
        <v>0.898472596585804</v>
      </c>
      <c r="D483" s="57" t="n">
        <f aca="false">1/D481</f>
        <v>0.859782389077324</v>
      </c>
      <c r="E483" s="57" t="n">
        <f aca="false">1/E481</f>
        <v>0.826713835651273</v>
      </c>
      <c r="F483" s="57" t="n">
        <f aca="false">1/F481</f>
        <v>0.794917149664686</v>
      </c>
      <c r="G483" s="57" t="n">
        <f aca="false">1/G481</f>
        <v>0.764343413139121</v>
      </c>
      <c r="H483" s="57" t="n">
        <f aca="false">1/H481</f>
        <v>0.734945589556847</v>
      </c>
      <c r="I483" s="57" t="n">
        <f aca="false">1/I481</f>
        <v>0.706678451496968</v>
      </c>
      <c r="J483" s="57" t="n">
        <f aca="false">1/J481</f>
        <v>0.679498511054777</v>
      </c>
      <c r="K483" s="57" t="n">
        <f aca="false">1/K481</f>
        <v>0.653363952937286</v>
      </c>
      <c r="L483" s="57" t="n">
        <f aca="false">1/L481</f>
        <v>0.628234570132006</v>
      </c>
    </row>
    <row r="484" customFormat="false" ht="15" hidden="true" customHeight="false" outlineLevel="1" collapsed="false">
      <c r="A484" s="6" t="s">
        <v>323</v>
      </c>
      <c r="B484" s="29" t="n">
        <f aca="false">IF(B$47=0,Quesería!$F$92,IF(B$47=1,(Quesería!$F$93-(-$L$26)*Quesería!$D$86*(1+Quesería!$I$86))*$L$21,0))*$L$11</f>
        <v>930.800239431677</v>
      </c>
      <c r="C484" s="29" t="n">
        <f aca="false">IF(C$47=0,Quesería!$F$92,IF(C$47=1,(Quesería!$F$93-(-$L$26)*Quesería!$D$86*(1+Quesería!$I$86))*$L$21,0))*$L$11</f>
        <v>658.469066674498</v>
      </c>
      <c r="D484" s="29" t="n">
        <f aca="false">IF(D$47=0,Quesería!$F$92,IF(D$47=1,(Quesería!$F$93-(-$L$26)*Quesería!$D$86*(1+Quesería!$I$86))*$L$21,0))*$L$11</f>
        <v>0</v>
      </c>
      <c r="E484" s="29" t="n">
        <f aca="false">IF(E$47=0,Quesería!$F$92,IF(E$47=1,(Quesería!$F$93-(-$L$26)*Quesería!$D$86*(1+Quesería!$I$86))*$L$21,0))*$L$11</f>
        <v>0</v>
      </c>
      <c r="F484" s="29" t="n">
        <f aca="false">IF(F$47=0,Quesería!$F$92,IF(F$47=1,(Quesería!$F$93-(-$L$26)*Quesería!$D$86*(1+Quesería!$I$86))*$L$21,0))*$L$11</f>
        <v>0</v>
      </c>
      <c r="G484" s="29" t="n">
        <f aca="false">IF(G$47=0,Quesería!$F$92,IF(G$47=1,(Quesería!$F$93-(-$L$26)*Quesería!$D$86*(1+Quesería!$I$86))*$L$21,0))*$L$11</f>
        <v>0</v>
      </c>
      <c r="H484" s="29" t="n">
        <f aca="false">IF(H$47=0,Quesería!$F$92,IF(H$47=1,(Quesería!$F$93-(-$L$26)*Quesería!$D$86*(1+Quesería!$I$86))*$L$21,0))*$L$11</f>
        <v>0</v>
      </c>
      <c r="I484" s="29" t="n">
        <f aca="false">IF(I$47=0,Quesería!$F$92,IF(I$47=1,(Quesería!$F$93-(-$L$26)*Quesería!$D$86*(1+Quesería!$I$86))*$L$21,0))*$L$11</f>
        <v>0</v>
      </c>
      <c r="J484" s="29" t="n">
        <f aca="false">IF(J$47=0,Quesería!$F$92,IF(J$47=1,(Quesería!$F$93-(-$L$26)*Quesería!$D$86*(1+Quesería!$I$86))*$L$21,0))*$L$11</f>
        <v>0</v>
      </c>
      <c r="K484" s="29" t="n">
        <f aca="false">IF(K$47=0,Quesería!$F$92,IF(K$47=1,(Quesería!$F$93-(-$L$26)*Quesería!$D$86*(1+Quesería!$I$86))*$L$21,0))*$L$11</f>
        <v>0</v>
      </c>
      <c r="L484" s="29" t="n">
        <f aca="false">IF(L$47=0,Quesería!$F$92,IF(L$47=1,(Quesería!$F$93-(-$L$26)*Quesería!$D$86*(1+Quesería!$I$86))*$L$21,0))*$L$11</f>
        <v>0</v>
      </c>
    </row>
    <row r="485" customFormat="false" ht="15" hidden="true" customHeight="false" outlineLevel="1" collapsed="false">
      <c r="A485" s="6" t="s">
        <v>410</v>
      </c>
      <c r="B485" s="29" t="n">
        <f aca="false">IF(B$47=5,Quesería!$F$99,IF(B$47=6,Quesería!$F$100,0))*$L$11</f>
        <v>0</v>
      </c>
      <c r="C485" s="29" t="n">
        <f aca="false">IF(C$47=5,Quesería!$F$99,IF(C$47=6,Quesería!$F$100,0))*$L$11</f>
        <v>0</v>
      </c>
      <c r="D485" s="29" t="n">
        <f aca="false">IF(D$47=5,Quesería!$F$99,IF(D$47=6,Quesería!$F$100,0))*$L$11</f>
        <v>0</v>
      </c>
      <c r="E485" s="29" t="n">
        <f aca="false">IF(E$47=5,Quesería!$F$99,IF(E$47=6,Quesería!$F$100,0))*$L$11</f>
        <v>0</v>
      </c>
      <c r="F485" s="29" t="n">
        <f aca="false">IF(F$47=5,Quesería!$F$99,IF(F$47=6,Quesería!$F$100,0))*$L$11</f>
        <v>0</v>
      </c>
      <c r="G485" s="29" t="n">
        <f aca="false">IF(G$47=5,Quesería!$F$99,IF(G$47=6,Quesería!$F$100,0))*$L$11</f>
        <v>27.4652172688735</v>
      </c>
      <c r="H485" s="29" t="n">
        <f aca="false">IF(H$47=5,Quesería!$F$99,IF(H$47=6,Quesería!$F$100,0))*$L$11</f>
        <v>46.3891557109552</v>
      </c>
      <c r="I485" s="29" t="n">
        <f aca="false">IF(I$47=5,Quesería!$F$99,IF(I$47=6,Quesería!$F$100,0))*$L$11</f>
        <v>0</v>
      </c>
      <c r="J485" s="29" t="n">
        <f aca="false">IF(J$47=5,Quesería!$F$99,IF(J$47=6,Quesería!$F$100,0))*$L$11</f>
        <v>0</v>
      </c>
      <c r="K485" s="29" t="n">
        <f aca="false">IF(K$47=5,Quesería!$F$99,IF(K$47=6,Quesería!$F$100,0))*$L$11</f>
        <v>0</v>
      </c>
      <c r="L485" s="29" t="n">
        <f aca="false">IF(L$47=5,Quesería!$F$99,IF(L$47=6,Quesería!$F$100,0))*$L$11</f>
        <v>0</v>
      </c>
    </row>
    <row r="486" customFormat="false" ht="15" hidden="true" customHeight="false" outlineLevel="1" collapsed="false">
      <c r="A486" s="6" t="s">
        <v>411</v>
      </c>
      <c r="B486" s="29" t="n">
        <f aca="false">Quesería!$B$55*(IF(B$47=0,SUMPRODUCT((Quesería!$C$70:$C$89=0)*(Quesería!$H$70:$H$89&gt;0)*(Quesería!$J$70:$J$89&gt;0)*Quesería!$F$70:$F$89*(1+Quesería!$I$70:$I$89)),IF(B$47=1,(SUMPRODUCT((Quesería!$C$70:$C$89=1)*(Quesería!$H$70:$H$89&gt;0)*(Quesería!$J$70:$J$89&gt;0)*Quesería!$F$70:$F$89*(1+Quesería!$I$70:$I$89))-(-$L$26)*Quesería!$D$86*(1+Quesería!$I$86))*$L$21,0))*$L$11+B485)</f>
        <v>149.115671560178</v>
      </c>
      <c r="C486" s="29" t="n">
        <f aca="false">Quesería!$B$55*(IF(C$47=0,SUMPRODUCT((Quesería!$C$70:$C$89=0)*(Quesería!$H$70:$H$89&gt;0)*(Quesería!$J$70:$J$89&gt;0)*Quesería!$F$70:$F$89*(1+Quesería!$I$70:$I$89)),IF(C$47=1,(SUMPRODUCT((Quesería!$C$70:$C$89=1)*(Quesería!$H$70:$H$89&gt;0)*(Quesería!$J$70:$J$89&gt;0)*Quesería!$F$70:$F$89*(1+Quesería!$I$70:$I$89))-(-$L$26)*Quesería!$D$86*(1+Quesería!$I$86))*$L$21,0))*$L$11+C485)</f>
        <v>125.109122668155</v>
      </c>
      <c r="D486" s="29" t="n">
        <f aca="false">Quesería!$B$55*(IF(D$47=0,SUMPRODUCT((Quesería!$C$70:$C$89=0)*(Quesería!$H$70:$H$89&gt;0)*(Quesería!$J$70:$J$89&gt;0)*Quesería!$F$70:$F$89*(1+Quesería!$I$70:$I$89)),IF(D$47=1,(SUMPRODUCT((Quesería!$C$70:$C$89=1)*(Quesería!$H$70:$H$89&gt;0)*(Quesería!$J$70:$J$89&gt;0)*Quesería!$F$70:$F$89*(1+Quesería!$I$70:$I$89))-(-$L$26)*Quesería!$D$86*(1+Quesería!$I$86))*$L$21,0))*$L$11+D485)</f>
        <v>0</v>
      </c>
      <c r="E486" s="29" t="n">
        <f aca="false">Quesería!$B$55*(IF(E$47=0,SUMPRODUCT((Quesería!$C$70:$C$89=0)*(Quesería!$H$70:$H$89&gt;0)*(Quesería!$J$70:$J$89&gt;0)*Quesería!$F$70:$F$89*(1+Quesería!$I$70:$I$89)),IF(E$47=1,(SUMPRODUCT((Quesería!$C$70:$C$89=1)*(Quesería!$H$70:$H$89&gt;0)*(Quesería!$J$70:$J$89&gt;0)*Quesería!$F$70:$F$89*(1+Quesería!$I$70:$I$89))-(-$L$26)*Quesería!$D$86*(1+Quesería!$I$86))*$L$21,0))*$L$11+E485)</f>
        <v>0</v>
      </c>
      <c r="F486" s="29" t="n">
        <f aca="false">Quesería!$B$55*(IF(F$47=0,SUMPRODUCT((Quesería!$C$70:$C$89=0)*(Quesería!$H$70:$H$89&gt;0)*(Quesería!$J$70:$J$89&gt;0)*Quesería!$F$70:$F$89*(1+Quesería!$I$70:$I$89)),IF(F$47=1,(SUMPRODUCT((Quesería!$C$70:$C$89=1)*(Quesería!$H$70:$H$89&gt;0)*(Quesería!$J$70:$J$89&gt;0)*Quesería!$F$70:$F$89*(1+Quesería!$I$70:$I$89))-(-$L$26)*Quesería!$D$86*(1+Quesería!$I$86))*$L$21,0))*$L$11+F485)</f>
        <v>0</v>
      </c>
      <c r="G486" s="29" t="n">
        <f aca="false">Quesería!$B$55*(IF(G$47=0,SUMPRODUCT((Quesería!$C$70:$C$89=0)*(Quesería!$H$70:$H$89&gt;0)*(Quesería!$J$70:$J$89&gt;0)*Quesería!$F$70:$F$89*(1+Quesería!$I$70:$I$89)),IF(G$47=1,(SUMPRODUCT((Quesería!$C$70:$C$89=1)*(Quesería!$H$70:$H$89&gt;0)*(Quesería!$J$70:$J$89&gt;0)*Quesería!$F$70:$F$89*(1+Quesería!$I$70:$I$89))-(-$L$26)*Quesería!$D$86*(1+Quesería!$I$86))*$L$21,0))*$L$11+G485)</f>
        <v>5.21839128108597</v>
      </c>
      <c r="H486" s="29" t="n">
        <f aca="false">Quesería!$B$55*(IF(H$47=0,SUMPRODUCT((Quesería!$C$70:$C$89=0)*(Quesería!$H$70:$H$89&gt;0)*(Quesería!$J$70:$J$89&gt;0)*Quesería!$F$70:$F$89*(1+Quesería!$I$70:$I$89)),IF(H$47=1,(SUMPRODUCT((Quesería!$C$70:$C$89=1)*(Quesería!$H$70:$H$89&gt;0)*(Quesería!$J$70:$J$89&gt;0)*Quesería!$F$70:$F$89*(1+Quesería!$I$70:$I$89))-(-$L$26)*Quesería!$D$86*(1+Quesería!$I$86))*$L$21,0))*$L$11+H485)</f>
        <v>8.8139395850815</v>
      </c>
      <c r="I486" s="29" t="n">
        <f aca="false">Quesería!$B$55*(IF(I$47=0,SUMPRODUCT((Quesería!$C$70:$C$89=0)*(Quesería!$H$70:$H$89&gt;0)*(Quesería!$J$70:$J$89&gt;0)*Quesería!$F$70:$F$89*(1+Quesería!$I$70:$I$89)),IF(I$47=1,(SUMPRODUCT((Quesería!$C$70:$C$89=1)*(Quesería!$H$70:$H$89&gt;0)*(Quesería!$J$70:$J$89&gt;0)*Quesería!$F$70:$F$89*(1+Quesería!$I$70:$I$89))-(-$L$26)*Quesería!$D$86*(1+Quesería!$I$86))*$L$21,0))*$L$11+I485)</f>
        <v>0</v>
      </c>
      <c r="J486" s="29" t="n">
        <f aca="false">Quesería!$B$55*(IF(J$47=0,SUMPRODUCT((Quesería!$C$70:$C$89=0)*(Quesería!$H$70:$H$89&gt;0)*(Quesería!$J$70:$J$89&gt;0)*Quesería!$F$70:$F$89*(1+Quesería!$I$70:$I$89)),IF(J$47=1,(SUMPRODUCT((Quesería!$C$70:$C$89=1)*(Quesería!$H$70:$H$89&gt;0)*(Quesería!$J$70:$J$89&gt;0)*Quesería!$F$70:$F$89*(1+Quesería!$I$70:$I$89))-(-$L$26)*Quesería!$D$86*(1+Quesería!$I$86))*$L$21,0))*$L$11+J485)</f>
        <v>0</v>
      </c>
      <c r="K486" s="29" t="n">
        <f aca="false">Quesería!$B$55*(IF(K$47=0,SUMPRODUCT((Quesería!$C$70:$C$89=0)*(Quesería!$H$70:$H$89&gt;0)*(Quesería!$J$70:$J$89&gt;0)*Quesería!$F$70:$F$89*(1+Quesería!$I$70:$I$89)),IF(K$47=1,(SUMPRODUCT((Quesería!$C$70:$C$89=1)*(Quesería!$H$70:$H$89&gt;0)*(Quesería!$J$70:$J$89&gt;0)*Quesería!$F$70:$F$89*(1+Quesería!$I$70:$I$89))-(-$L$26)*Quesería!$D$86*(1+Quesería!$I$86))*$L$21,0))*$L$11+K485)</f>
        <v>0</v>
      </c>
      <c r="L486" s="29" t="n">
        <f aca="false">Quesería!$B$55*(IF(L$47=0,SUMPRODUCT((Quesería!$C$70:$C$89=0)*(Quesería!$H$70:$H$89&gt;0)*(Quesería!$J$70:$J$89&gt;0)*Quesería!$F$70:$F$89*(1+Quesería!$I$70:$I$89)),IF(L$47=1,(SUMPRODUCT((Quesería!$C$70:$C$89=1)*(Quesería!$H$70:$H$89&gt;0)*(Quesería!$J$70:$J$89&gt;0)*Quesería!$F$70:$F$89*(1+Quesería!$I$70:$I$89))-(-$L$26)*Quesería!$D$86*(1+Quesería!$I$86))*$L$21,0))*$L$11+L485)</f>
        <v>0</v>
      </c>
    </row>
    <row r="487" customFormat="false" ht="15" hidden="true" customHeight="false" outlineLevel="1" collapsed="false">
      <c r="A487" s="6" t="s">
        <v>386</v>
      </c>
      <c r="B487" s="29" t="n">
        <f aca="false">IF(B$47=0,($L$22*Quesería!$J$126+(1-$L$22)*Quesería!$E$122)*Quesería!$B$20*Quesería!$B$21/12*$L$23,(($L$22*Quesería!$J$126+(1-$L$22)*Quesería!$E$122)+($L$22*Quesería!$J$104+(1-$L$22)*Quesería!$E$104)*(B482-1))*IF(B$47=1,Quesería!$B$20,1))*$L$10</f>
        <v>120.716772261203</v>
      </c>
      <c r="C487" s="29" t="n">
        <f aca="false">IF(C$47=0,($L$22*Quesería!$J$126+(1-$L$22)*Quesería!$E$122)*Quesería!$B$20*Quesería!$B$21/12*$L$23,(($L$22*Quesería!$J$126+(1-$L$22)*Quesería!$E$122)+($L$22*Quesería!$J$104+(1-$L$22)*Quesería!$E$104)*(C482-1))*IF(C$47=1,Quesería!$B$20,1))*$L$10</f>
        <v>181.328317354069</v>
      </c>
      <c r="D487" s="29" t="n">
        <f aca="false">IF(D$47=0,($L$22*Quesería!$J$126+(1-$L$22)*Quesería!$E$122)*Quesería!$B$20*Quesería!$B$21/12*$L$23,(($L$22*Quesería!$J$126+(1-$L$22)*Quesería!$E$122)+($L$22*Quesería!$J$104+(1-$L$22)*Quesería!$E$104)*(D482-1))*IF(D$47=1,Quesería!$B$20,1))*$L$10</f>
        <v>241.83157753184</v>
      </c>
      <c r="E487" s="29" t="n">
        <f aca="false">IF(E$47=0,($L$22*Quesería!$J$126+(1-$L$22)*Quesería!$E$122)*Quesería!$B$20*Quesería!$B$21/12*$L$23,(($L$22*Quesería!$J$126+(1-$L$22)*Quesería!$E$122)+($L$22*Quesería!$J$104+(1-$L$22)*Quesería!$E$104)*(E482-1))*IF(E$47=1,Quesería!$B$20,1))*$L$10</f>
        <v>241.892367696887</v>
      </c>
      <c r="F487" s="29" t="n">
        <f aca="false">IF(F$47=0,($L$22*Quesería!$J$126+(1-$L$22)*Quesería!$E$122)*Quesería!$B$20*Quesería!$B$21/12*$L$23,(($L$22*Quesería!$J$126+(1-$L$22)*Quesería!$E$122)+($L$22*Quesería!$J$104+(1-$L$22)*Quesería!$E$104)*(F482-1))*IF(F$47=1,Quesería!$B$20,1))*$L$10</f>
        <v>241.95346181276</v>
      </c>
      <c r="G487" s="29" t="n">
        <f aca="false">IF(G$47=0,($L$22*Quesería!$J$126+(1-$L$22)*Quesería!$E$122)*Quesería!$B$20*Quesería!$B$21/12*$L$23,(($L$22*Quesería!$J$126+(1-$L$22)*Quesería!$E$122)+($L$22*Quesería!$J$104+(1-$L$22)*Quesería!$E$104)*(G482-1))*IF(G$47=1,Quesería!$B$20,1))*$L$10</f>
        <v>242.014861399211</v>
      </c>
      <c r="H487" s="29" t="n">
        <f aca="false">IF(H$47=0,($L$22*Quesería!$J$126+(1-$L$22)*Quesería!$E$122)*Quesería!$B$20*Quesería!$B$21/12*$L$23,(($L$22*Quesería!$J$126+(1-$L$22)*Quesería!$E$122)+($L$22*Quesería!$J$104+(1-$L$22)*Quesería!$E$104)*(H482-1))*IF(H$47=1,Quesería!$B$20,1))*$L$10</f>
        <v>242.076567983595</v>
      </c>
      <c r="I487" s="29" t="n">
        <f aca="false">IF(I$47=0,($L$22*Quesería!$J$126+(1-$L$22)*Quesería!$E$122)*Quesería!$B$20*Quesería!$B$21/12*$L$23,(($L$22*Quesería!$J$126+(1-$L$22)*Quesería!$E$122)+($L$22*Quesería!$J$104+(1-$L$22)*Quesería!$E$104)*(I482-1))*IF(I$47=1,Quesería!$B$20,1))*$L$10</f>
        <v>242.138583100901</v>
      </c>
      <c r="J487" s="29" t="n">
        <f aca="false">IF(J$47=0,($L$22*Quesería!$J$126+(1-$L$22)*Quesería!$E$122)*Quesería!$B$20*Quesería!$B$21/12*$L$23,(($L$22*Quesería!$J$126+(1-$L$22)*Quesería!$E$122)+($L$22*Quesería!$J$104+(1-$L$22)*Quesería!$E$104)*(J482-1))*IF(J$47=1,Quesería!$B$20,1))*$L$10</f>
        <v>242.200908293794</v>
      </c>
      <c r="K487" s="29" t="n">
        <f aca="false">IF(K$47=0,($L$22*Quesería!$J$126+(1-$L$22)*Quesería!$E$122)*Quesería!$B$20*Quesería!$B$21/12*$L$23,(($L$22*Quesería!$J$126+(1-$L$22)*Quesería!$E$122)+($L$22*Quesería!$J$104+(1-$L$22)*Quesería!$E$104)*(K482-1))*IF(K$47=1,Quesería!$B$20,1))*$L$10</f>
        <v>242.263545112651</v>
      </c>
      <c r="L487" s="29" t="n">
        <f aca="false">IF(L$47=0,($L$22*Quesería!$J$126+(1-$L$22)*Quesería!$E$122)*Quesería!$B$20*Quesería!$B$21/12*$L$23,(($L$22*Quesería!$J$126+(1-$L$22)*Quesería!$E$122)+($L$22*Quesería!$J$104+(1-$L$22)*Quesería!$E$104)*(L482-1))*IF(L$47=1,Quesería!$B$20,1))*$L$10</f>
        <v>242.326495115602</v>
      </c>
    </row>
    <row r="488" customFormat="false" ht="15" hidden="true" customHeight="false" outlineLevel="1" collapsed="false">
      <c r="A488" s="6" t="s">
        <v>387</v>
      </c>
      <c r="B488" s="29" t="n">
        <f aca="false">IF(B$47&lt;=1,0,((($L$22*Quesería!$J$127+(1-$L$22)*Quesería!$E$123)-($L$22*Quesería!$J$113+(1-$L$22)*Quesería!$E$113)+$L$6*($L$22*Quesería!$J$113+(1-$L$22)*Quesería!$E$113)-(1-$L$9)*(($L$22*Quesería!$J$119+(1-$L$22)*Quesería!$E$119)+($L$22*Quesería!$J$118+(1-$L$22)*Quesería!$E$118))-(1-$L$24)*($L$22*Quesería!$J$117+(1-$L$22)*Quesería!$E$117)+$L$24*(1-$L$25)*'Beneficios y costos'!$B$144-(-$L$26*$L$27)*'Beneficios y costos'!$C$167)+($L$6*($L$22*Quesería!$J$113+(1-$L$22)*Quesería!$E$113)+$L$9*($L$22*Quesería!$J$119+(1-$L$22)*Quesería!$E$119))*(B482-1))*IF(B$47=2,Quesería!$B$20,1)+IF(B$47=2,Quesería!$B$24*$L$9*($L$22*Quesería!$J$119+(1-$L$22)*Quesería!$E$119)*B482,0))*$L$10*$L$21</f>
        <v>0</v>
      </c>
      <c r="C488" s="29" t="n">
        <f aca="false">IF(C$47&lt;=1,0,((($L$22*Quesería!$J$127+(1-$L$22)*Quesería!$E$123)-($L$22*Quesería!$J$113+(1-$L$22)*Quesería!$E$113)+$L$6*($L$22*Quesería!$J$113+(1-$L$22)*Quesería!$E$113)-(1-$L$9)*(($L$22*Quesería!$J$119+(1-$L$22)*Quesería!$E$119)+($L$22*Quesería!$J$118+(1-$L$22)*Quesería!$E$118))-(1-$L$24)*($L$22*Quesería!$J$117+(1-$L$22)*Quesería!$E$117)+$L$24*(1-$L$25)*'Beneficios y costos'!$B$144-(-$L$26*$L$27)*'Beneficios y costos'!$C$167)+($L$6*($L$22*Quesería!$J$113+(1-$L$22)*Quesería!$E$113)+$L$9*($L$22*Quesería!$J$119+(1-$L$22)*Quesería!$E$119))*(C482-1))*IF(C$47=2,Quesería!$B$20,1)+IF(C$47=2,Quesería!$B$24*$L$9*($L$22*Quesería!$J$119+(1-$L$22)*Quesería!$E$119)*C482,0))*$L$10*$L$21</f>
        <v>0</v>
      </c>
      <c r="D488" s="29" t="n">
        <f aca="false">IF(D$47&lt;=1,0,((($L$22*Quesería!$J$127+(1-$L$22)*Quesería!$E$123)-($L$22*Quesería!$J$113+(1-$L$22)*Quesería!$E$113)+$L$6*($L$22*Quesería!$J$113+(1-$L$22)*Quesería!$E$113)-(1-$L$9)*(($L$22*Quesería!$J$119+(1-$L$22)*Quesería!$E$119)+($L$22*Quesería!$J$118+(1-$L$22)*Quesería!$E$118))-(1-$L$24)*($L$22*Quesería!$J$117+(1-$L$22)*Quesería!$E$117)+$L$24*(1-$L$25)*'Beneficios y costos'!$B$144-(-$L$26*$L$27)*'Beneficios y costos'!$C$167)+($L$6*($L$22*Quesería!$J$113+(1-$L$22)*Quesería!$E$113)+$L$9*($L$22*Quesería!$J$119+(1-$L$22)*Quesería!$E$119))*(D482-1))*IF(D$47=2,Quesería!$B$20,1)+IF(D$47=2,Quesería!$B$24*$L$9*($L$22*Quesería!$J$119+(1-$L$22)*Quesería!$E$119)*D482,0))*$L$10*$L$21</f>
        <v>257.351493734688</v>
      </c>
      <c r="E488" s="29" t="n">
        <f aca="false">IF(E$47&lt;=1,0,((($L$22*Quesería!$J$127+(1-$L$22)*Quesería!$E$123)-($L$22*Quesería!$J$113+(1-$L$22)*Quesería!$E$113)+$L$6*($L$22*Quesería!$J$113+(1-$L$22)*Quesería!$E$113)-(1-$L$9)*(($L$22*Quesería!$J$119+(1-$L$22)*Quesería!$E$119)+($L$22*Quesería!$J$118+(1-$L$22)*Quesería!$E$118))-(1-$L$24)*($L$22*Quesería!$J$117+(1-$L$22)*Quesería!$E$117)+$L$24*(1-$L$25)*'Beneficios y costos'!$B$144-(-$L$26*$L$27)*'Beneficios y costos'!$C$167)+($L$6*($L$22*Quesería!$J$113+(1-$L$22)*Quesería!$E$113)+$L$9*($L$22*Quesería!$J$119+(1-$L$22)*Quesería!$E$119))*(E482-1))*IF(E$47=2,Quesería!$B$20,1)+IF(E$47=2,Quesería!$B$24*$L$9*($L$22*Quesería!$J$119+(1-$L$22)*Quesería!$E$119)*E482,0))*$L$10*$L$21</f>
        <v>328.494820128122</v>
      </c>
      <c r="F488" s="29" t="n">
        <f aca="false">IF(F$47&lt;=1,0,((($L$22*Quesería!$J$127+(1-$L$22)*Quesería!$E$123)-($L$22*Quesería!$J$113+(1-$L$22)*Quesería!$E$113)+$L$6*($L$22*Quesería!$J$113+(1-$L$22)*Quesería!$E$113)-(1-$L$9)*(($L$22*Quesería!$J$119+(1-$L$22)*Quesería!$E$119)+($L$22*Quesería!$J$118+(1-$L$22)*Quesería!$E$118))-(1-$L$24)*($L$22*Quesería!$J$117+(1-$L$22)*Quesería!$E$117)+$L$24*(1-$L$25)*'Beneficios y costos'!$B$144-(-$L$26*$L$27)*'Beneficios y costos'!$C$167)+($L$6*($L$22*Quesería!$J$113+(1-$L$22)*Quesería!$E$113)+$L$9*($L$22*Quesería!$J$119+(1-$L$22)*Quesería!$E$119))*(F482-1))*IF(F$47=2,Quesería!$B$20,1)+IF(F$47=2,Quesería!$B$24*$L$9*($L$22*Quesería!$J$119+(1-$L$22)*Quesería!$E$119)*F482,0))*$L$10*$L$21</f>
        <v>328.742937047686</v>
      </c>
      <c r="G488" s="29" t="n">
        <f aca="false">IF(G$47&lt;=1,0,((($L$22*Quesería!$J$127+(1-$L$22)*Quesería!$E$123)-($L$22*Quesería!$J$113+(1-$L$22)*Quesería!$E$113)+$L$6*($L$22*Quesería!$J$113+(1-$L$22)*Quesería!$E$113)-(1-$L$9)*(($L$22*Quesería!$J$119+(1-$L$22)*Quesería!$E$119)+($L$22*Quesería!$J$118+(1-$L$22)*Quesería!$E$118))-(1-$L$24)*($L$22*Quesería!$J$117+(1-$L$22)*Quesería!$E$117)+$L$24*(1-$L$25)*'Beneficios y costos'!$B$144-(-$L$26*$L$27)*'Beneficios y costos'!$C$167)+($L$6*($L$22*Quesería!$J$113+(1-$L$22)*Quesería!$E$113)+$L$9*($L$22*Quesería!$J$119+(1-$L$22)*Quesería!$E$119))*(G482-1))*IF(G$47=2,Quesería!$B$20,1)+IF(G$47=2,Quesería!$B$24*$L$9*($L$22*Quesería!$J$119+(1-$L$22)*Quesería!$E$119)*G482,0))*$L$10*$L$21</f>
        <v>328.992294551847</v>
      </c>
      <c r="H488" s="29" t="n">
        <f aca="false">IF(H$47&lt;=1,0,((($L$22*Quesería!$J$127+(1-$L$22)*Quesería!$E$123)-($L$22*Quesería!$J$113+(1-$L$22)*Quesería!$E$113)+$L$6*($L$22*Quesería!$J$113+(1-$L$22)*Quesería!$E$113)-(1-$L$9)*(($L$22*Quesería!$J$119+(1-$L$22)*Quesería!$E$119)+($L$22*Quesería!$J$118+(1-$L$22)*Quesería!$E$118))-(1-$L$24)*($L$22*Quesería!$J$117+(1-$L$22)*Quesería!$E$117)+$L$24*(1-$L$25)*'Beneficios y costos'!$B$144-(-$L$26*$L$27)*'Beneficios y costos'!$C$167)+($L$6*($L$22*Quesería!$J$113+(1-$L$22)*Quesería!$E$113)+$L$9*($L$22*Quesería!$J$119+(1-$L$22)*Quesería!$E$119))*(H482-1))*IF(H$47=2,Quesería!$B$20,1)+IF(H$47=2,Quesería!$B$24*$L$9*($L$22*Quesería!$J$119+(1-$L$22)*Quesería!$E$119)*H482,0))*$L$10*$L$21</f>
        <v>329.242898843529</v>
      </c>
      <c r="I488" s="29" t="n">
        <f aca="false">IF(I$47&lt;=1,0,((($L$22*Quesería!$J$127+(1-$L$22)*Quesería!$E$123)-($L$22*Quesería!$J$113+(1-$L$22)*Quesería!$E$113)+$L$6*($L$22*Quesería!$J$113+(1-$L$22)*Quesería!$E$113)-(1-$L$9)*(($L$22*Quesería!$J$119+(1-$L$22)*Quesería!$E$119)+($L$22*Quesería!$J$118+(1-$L$22)*Quesería!$E$118))-(1-$L$24)*($L$22*Quesería!$J$117+(1-$L$22)*Quesería!$E$117)+$L$24*(1-$L$25)*'Beneficios y costos'!$B$144-(-$L$26*$L$27)*'Beneficios y costos'!$C$167)+($L$6*($L$22*Quesería!$J$113+(1-$L$22)*Quesería!$E$113)+$L$9*($L$22*Quesería!$J$119+(1-$L$22)*Quesería!$E$119))*(I482-1))*IF(I$47=2,Quesería!$B$20,1)+IF(I$47=2,Quesería!$B$24*$L$9*($L$22*Quesería!$J$119+(1-$L$22)*Quesería!$E$119)*I482,0))*$L$10*$L$21</f>
        <v>329.49475615667</v>
      </c>
      <c r="J488" s="29" t="n">
        <f aca="false">IF(J$47&lt;=1,0,((($L$22*Quesería!$J$127+(1-$L$22)*Quesería!$E$123)-($L$22*Quesería!$J$113+(1-$L$22)*Quesería!$E$113)+$L$6*($L$22*Quesería!$J$113+(1-$L$22)*Quesería!$E$113)-(1-$L$9)*(($L$22*Quesería!$J$119+(1-$L$22)*Quesería!$E$119)+($L$22*Quesería!$J$118+(1-$L$22)*Quesería!$E$118))-(1-$L$24)*($L$22*Quesería!$J$117+(1-$L$22)*Quesería!$E$117)+$L$24*(1-$L$25)*'Beneficios y costos'!$B$144-(-$L$26*$L$27)*'Beneficios y costos'!$C$167)+($L$6*($L$22*Quesería!$J$113+(1-$L$22)*Quesería!$E$113)+$L$9*($L$22*Quesería!$J$119+(1-$L$22)*Quesería!$E$119))*(J482-1))*IF(J$47=2,Quesería!$B$20,1)+IF(J$47=2,Quesería!$B$24*$L$9*($L$22*Quesería!$J$119+(1-$L$22)*Quesería!$E$119)*J482,0))*$L$10*$L$21</f>
        <v>329.747872756376</v>
      </c>
      <c r="K488" s="29" t="n">
        <f aca="false">IF(K$47&lt;=1,0,((($L$22*Quesería!$J$127+(1-$L$22)*Quesería!$E$123)-($L$22*Quesería!$J$113+(1-$L$22)*Quesería!$E$113)+$L$6*($L$22*Quesería!$J$113+(1-$L$22)*Quesería!$E$113)-(1-$L$9)*(($L$22*Quesería!$J$119+(1-$L$22)*Quesería!$E$119)+($L$22*Quesería!$J$118+(1-$L$22)*Quesería!$E$118))-(1-$L$24)*($L$22*Quesería!$J$117+(1-$L$22)*Quesería!$E$117)+$L$24*(1-$L$25)*'Beneficios y costos'!$B$144-(-$L$26*$L$27)*'Beneficios y costos'!$C$167)+($L$6*($L$22*Quesería!$J$113+(1-$L$22)*Quesería!$E$113)+$L$9*($L$22*Quesería!$J$119+(1-$L$22)*Quesería!$E$119))*(K482-1))*IF(K$47=2,Quesería!$B$20,1)+IF(K$47=2,Quesería!$B$24*$L$9*($L$22*Quesería!$J$119+(1-$L$22)*Quesería!$E$119)*K482,0))*$L$10*$L$21</f>
        <v>330.00225493908</v>
      </c>
      <c r="L488" s="29" t="n">
        <f aca="false">IF(L$47&lt;=1,0,((($L$22*Quesería!$J$127+(1-$L$22)*Quesería!$E$123)-($L$22*Quesería!$J$113+(1-$L$22)*Quesería!$E$113)+$L$6*($L$22*Quesería!$J$113+(1-$L$22)*Quesería!$E$113)-(1-$L$9)*(($L$22*Quesería!$J$119+(1-$L$22)*Quesería!$E$119)+($L$22*Quesería!$J$118+(1-$L$22)*Quesería!$E$118))-(1-$L$24)*($L$22*Quesería!$J$117+(1-$L$22)*Quesería!$E$117)+$L$24*(1-$L$25)*'Beneficios y costos'!$B$144-(-$L$26*$L$27)*'Beneficios y costos'!$C$167)+($L$6*($L$22*Quesería!$J$113+(1-$L$22)*Quesería!$E$113)+$L$9*($L$22*Quesería!$J$119+(1-$L$22)*Quesería!$E$119))*(L482-1))*IF(L$47=2,Quesería!$B$20,1)+IF(L$47=2,Quesería!$B$24*$L$9*($L$22*Quesería!$J$119+(1-$L$22)*Quesería!$E$119)*L482,0))*$L$10*$L$21</f>
        <v>330.257909032699</v>
      </c>
    </row>
    <row r="489" customFormat="false" ht="15" hidden="true" customHeight="false" outlineLevel="1" collapsed="false">
      <c r="A489" s="5" t="s">
        <v>412</v>
      </c>
      <c r="B489" s="10" t="n">
        <f aca="false">B487+B488</f>
        <v>120.716772261203</v>
      </c>
      <c r="C489" s="10" t="n">
        <f aca="false">C487+C488</f>
        <v>181.328317354069</v>
      </c>
      <c r="D489" s="10" t="n">
        <f aca="false">D487+D488</f>
        <v>499.183071266528</v>
      </c>
      <c r="E489" s="10" t="n">
        <f aca="false">E487+E488</f>
        <v>570.38718782501</v>
      </c>
      <c r="F489" s="10" t="n">
        <f aca="false">F487+F488</f>
        <v>570.696398860445</v>
      </c>
      <c r="G489" s="10" t="n">
        <f aca="false">G487+G488</f>
        <v>571.007155951058</v>
      </c>
      <c r="H489" s="10" t="n">
        <f aca="false">H487+H488</f>
        <v>571.319466827124</v>
      </c>
      <c r="I489" s="10" t="n">
        <f aca="false">I487+I488</f>
        <v>571.633339257571</v>
      </c>
      <c r="J489" s="10" t="n">
        <f aca="false">J487+J488</f>
        <v>571.94878105017</v>
      </c>
      <c r="K489" s="10" t="n">
        <f aca="false">K487+K488</f>
        <v>572.265800051731</v>
      </c>
      <c r="L489" s="10" t="n">
        <f aca="false">L487+L488</f>
        <v>572.584404148301</v>
      </c>
    </row>
    <row r="490" customFormat="false" ht="15" hidden="true" customHeight="false" outlineLevel="1" collapsed="false">
      <c r="A490" s="6" t="s">
        <v>413</v>
      </c>
      <c r="B490" s="29" t="n">
        <f aca="false">(IF(B$47&gt;=1,(Quesería!$B$31+Quesería!$B$33)*Quesería!$F$94*$L$11+Quesería!$B$32+'Beneficios y costos'!$B$249,0)+IF(B$47&gt;=2,((Quesería!$B$31+Quesería!$B$33)*(Quesería!$F$95-(-$L$26)*Quesería!$D$86)*$L$11+'Beneficios y costos'!$C$249-(-$L$26)*'Beneficios y costos'!$H$235)*$L$21,0))*$L$12</f>
        <v>0</v>
      </c>
      <c r="C490" s="29" t="n">
        <f aca="false">(IF(C$47&gt;=1,(Quesería!$B$31+Quesería!$B$33)*Quesería!$F$94*$L$11+Quesería!$B$32+'Beneficios y costos'!$B$249,0)+IF(C$47&gt;=2,((Quesería!$B$31+Quesería!$B$33)*(Quesería!$F$95-(-$L$26)*Quesería!$D$86)*$L$11+'Beneficios y costos'!$C$249-(-$L$26)*'Beneficios y costos'!$H$235)*$L$21,0))*$L$12</f>
        <v>29.4662541082423</v>
      </c>
      <c r="D490" s="29" t="n">
        <f aca="false">(IF(D$47&gt;=1,(Quesería!$B$31+Quesería!$B$33)*Quesería!$F$94*$L$11+Quesería!$B$32+'Beneficios y costos'!$B$249,0)+IF(D$47&gt;=2,((Quesería!$B$31+Quesería!$B$33)*(Quesería!$F$95-(-$L$26)*Quesería!$D$86)*$L$11+'Beneficios y costos'!$C$249-(-$L$26)*'Beneficios y costos'!$H$235)*$L$21,0))*$L$12</f>
        <v>53.5475374821643</v>
      </c>
      <c r="E490" s="29" t="n">
        <f aca="false">(IF(E$47&gt;=1,(Quesería!$B$31+Quesería!$B$33)*Quesería!$F$94*$L$11+Quesería!$B$32+'Beneficios y costos'!$B$249,0)+IF(E$47&gt;=2,((Quesería!$B$31+Quesería!$B$33)*(Quesería!$F$95-(-$L$26)*Quesería!$D$86)*$L$11+'Beneficios y costos'!$C$249-(-$L$26)*'Beneficios y costos'!$H$235)*$L$21,0))*$L$12</f>
        <v>53.5475374821643</v>
      </c>
      <c r="F490" s="29" t="n">
        <f aca="false">(IF(F$47&gt;=1,(Quesería!$B$31+Quesería!$B$33)*Quesería!$F$94*$L$11+Quesería!$B$32+'Beneficios y costos'!$B$249,0)+IF(F$47&gt;=2,((Quesería!$B$31+Quesería!$B$33)*(Quesería!$F$95-(-$L$26)*Quesería!$D$86)*$L$11+'Beneficios y costos'!$C$249-(-$L$26)*'Beneficios y costos'!$H$235)*$L$21,0))*$L$12</f>
        <v>53.5475374821643</v>
      </c>
      <c r="G490" s="29" t="n">
        <f aca="false">(IF(G$47&gt;=1,(Quesería!$B$31+Quesería!$B$33)*Quesería!$F$94*$L$11+Quesería!$B$32+'Beneficios y costos'!$B$249,0)+IF(G$47&gt;=2,((Quesería!$B$31+Quesería!$B$33)*(Quesería!$F$95-(-$L$26)*Quesería!$D$86)*$L$11+'Beneficios y costos'!$C$249-(-$L$26)*'Beneficios y costos'!$H$235)*$L$21,0))*$L$12</f>
        <v>53.5475374821643</v>
      </c>
      <c r="H490" s="29" t="n">
        <f aca="false">(IF(H$47&gt;=1,(Quesería!$B$31+Quesería!$B$33)*Quesería!$F$94*$L$11+Quesería!$B$32+'Beneficios y costos'!$B$249,0)+IF(H$47&gt;=2,((Quesería!$B$31+Quesería!$B$33)*(Quesería!$F$95-(-$L$26)*Quesería!$D$86)*$L$11+'Beneficios y costos'!$C$249-(-$L$26)*'Beneficios y costos'!$H$235)*$L$21,0))*$L$12</f>
        <v>53.5475374821643</v>
      </c>
      <c r="I490" s="29" t="n">
        <f aca="false">(IF(I$47&gt;=1,(Quesería!$B$31+Quesería!$B$33)*Quesería!$F$94*$L$11+Quesería!$B$32+'Beneficios y costos'!$B$249,0)+IF(I$47&gt;=2,((Quesería!$B$31+Quesería!$B$33)*(Quesería!$F$95-(-$L$26)*Quesería!$D$86)*$L$11+'Beneficios y costos'!$C$249-(-$L$26)*'Beneficios y costos'!$H$235)*$L$21,0))*$L$12</f>
        <v>53.5475374821643</v>
      </c>
      <c r="J490" s="29" t="n">
        <f aca="false">(IF(J$47&gt;=1,(Quesería!$B$31+Quesería!$B$33)*Quesería!$F$94*$L$11+Quesería!$B$32+'Beneficios y costos'!$B$249,0)+IF(J$47&gt;=2,((Quesería!$B$31+Quesería!$B$33)*(Quesería!$F$95-(-$L$26)*Quesería!$D$86)*$L$11+'Beneficios y costos'!$C$249-(-$L$26)*'Beneficios y costos'!$H$235)*$L$21,0))*$L$12</f>
        <v>53.5475374821643</v>
      </c>
      <c r="K490" s="29" t="n">
        <f aca="false">(IF(K$47&gt;=1,(Quesería!$B$31+Quesería!$B$33)*Quesería!$F$94*$L$11+Quesería!$B$32+'Beneficios y costos'!$B$249,0)+IF(K$47&gt;=2,((Quesería!$B$31+Quesería!$B$33)*(Quesería!$F$95-(-$L$26)*Quesería!$D$86)*$L$11+'Beneficios y costos'!$C$249-(-$L$26)*'Beneficios y costos'!$H$235)*$L$21,0))*$L$12</f>
        <v>53.5475374821643</v>
      </c>
      <c r="L490" s="29" t="n">
        <f aca="false">(IF(L$47&gt;=1,(Quesería!$B$31+Quesería!$B$33)*Quesería!$F$94*$L$11+Quesería!$B$32+'Beneficios y costos'!$B$249,0)+IF(L$47&gt;=2,((Quesería!$B$31+Quesería!$B$33)*(Quesería!$F$95-(-$L$26)*Quesería!$D$86)*$L$11+'Beneficios y costos'!$C$249-(-$L$26)*'Beneficios y costos'!$H$235)*$L$21,0))*$L$12</f>
        <v>53.5475374821643</v>
      </c>
    </row>
    <row r="491" customFormat="false" ht="15" hidden="true" customHeight="false" outlineLevel="1" collapsed="false">
      <c r="A491" s="6" t="s">
        <v>414</v>
      </c>
      <c r="B491" s="29" t="n">
        <f aca="false">IF(B$47=1,2*Quesería!$B$22*Quesería!$B$23/12*B482,0)*$L$21</f>
        <v>0</v>
      </c>
      <c r="C491" s="29" t="n">
        <f aca="false">IF(C$47=1,2*Quesería!$B$22*Quesería!$B$23/12*C482,0)*$L$21</f>
        <v>18.5166509433962</v>
      </c>
      <c r="D491" s="29" t="n">
        <f aca="false">IF(D$47=1,2*Quesería!$B$22*Quesería!$B$23/12*D482,0)*$L$21</f>
        <v>0</v>
      </c>
      <c r="E491" s="29" t="n">
        <f aca="false">IF(E$47=1,2*Quesería!$B$22*Quesería!$B$23/12*E482,0)*$L$21</f>
        <v>0</v>
      </c>
      <c r="F491" s="29" t="n">
        <f aca="false">IF(F$47=1,2*Quesería!$B$22*Quesería!$B$23/12*F482,0)*$L$21</f>
        <v>0</v>
      </c>
      <c r="G491" s="29" t="n">
        <f aca="false">IF(G$47=1,2*Quesería!$B$22*Quesería!$B$23/12*G482,0)*$L$21</f>
        <v>0</v>
      </c>
      <c r="H491" s="29" t="n">
        <f aca="false">IF(H$47=1,2*Quesería!$B$22*Quesería!$B$23/12*H482,0)*$L$21</f>
        <v>0</v>
      </c>
      <c r="I491" s="29" t="n">
        <f aca="false">IF(I$47=1,2*Quesería!$B$22*Quesería!$B$23/12*I482,0)*$L$21</f>
        <v>0</v>
      </c>
      <c r="J491" s="29" t="n">
        <f aca="false">IF(J$47=1,2*Quesería!$B$22*Quesería!$B$23/12*J482,0)*$L$21</f>
        <v>0</v>
      </c>
      <c r="K491" s="29" t="n">
        <f aca="false">IF(K$47=1,2*Quesería!$B$22*Quesería!$B$23/12*K482,0)*$L$21</f>
        <v>0</v>
      </c>
      <c r="L491" s="29" t="n">
        <f aca="false">IF(L$47=1,2*Quesería!$B$22*Quesería!$B$23/12*L482,0)*$L$21</f>
        <v>0</v>
      </c>
    </row>
    <row r="492" customFormat="false" ht="15" hidden="true" customHeight="false" outlineLevel="1" collapsed="false">
      <c r="A492" s="6" t="s">
        <v>415</v>
      </c>
      <c r="B492" s="29" t="n">
        <f aca="false">Quesería!$B$52*(B484+B485+B486+B490+B491)</f>
        <v>4.31966364396742</v>
      </c>
      <c r="C492" s="29" t="n">
        <f aca="false">Quesería!$B$52*(C484+C485+C486+C490+C491)</f>
        <v>3.32624437757717</v>
      </c>
      <c r="D492" s="29" t="n">
        <f aca="false">Quesería!$B$52*(D484+D485+D486+D490+D491)</f>
        <v>0.214190149928657</v>
      </c>
      <c r="E492" s="29" t="n">
        <f aca="false">Quesería!$B$52*(E484+E485+E486+E490+E491)</f>
        <v>0.214190149928657</v>
      </c>
      <c r="F492" s="29" t="n">
        <f aca="false">Quesería!$B$52*(F484+F485+F486+F490+F491)</f>
        <v>0.214190149928657</v>
      </c>
      <c r="G492" s="29" t="n">
        <f aca="false">Quesería!$B$52*(G484+G485+G486+G490+G491)</f>
        <v>0.344924584128495</v>
      </c>
      <c r="H492" s="29" t="n">
        <f aca="false">Quesería!$B$52*(H484+H485+H486+H490+H491)</f>
        <v>0.435002531112804</v>
      </c>
      <c r="I492" s="29" t="n">
        <f aca="false">Quesería!$B$52*(I484+I485+I486+I490+I491)</f>
        <v>0.214190149928657</v>
      </c>
      <c r="J492" s="29" t="n">
        <f aca="false">Quesería!$B$52*(J484+J485+J486+J490+J491)</f>
        <v>0.214190149928657</v>
      </c>
      <c r="K492" s="29" t="n">
        <f aca="false">Quesería!$B$52*(K484+K485+K486+K490+K491)</f>
        <v>0.214190149928657</v>
      </c>
      <c r="L492" s="29" t="n">
        <f aca="false">Quesería!$B$52*(L484+L485+L486+L490+L491)</f>
        <v>0.214190149928657</v>
      </c>
    </row>
    <row r="493" customFormat="false" ht="15" hidden="true" customHeight="false" outlineLevel="1" collapsed="false">
      <c r="A493" s="6" t="s">
        <v>416</v>
      </c>
      <c r="B493" s="29" t="n">
        <f aca="false">(IF($L$19=1,(SUMPRODUCT((Quesería!$C$70:$C$89=0)*(Quesería!$J$70:$J$89&gt;0)*(B$47&gt;=1)*(B$47&lt;=Quesería!$J$70:$J$89)*(Quesería!$H$70:$H$89&gt;0)*Quesería!$F$70:$F$89*(1+Quesería!$I$70:$I$89)/(Quesería!$J$70:$J$89+(Quesería!$J$70:$J$89=0)))+SUMPRODUCT((Quesería!$C$70:$C$89=0)*(Quesería!$J$70:$J$89=0)*(B$47=0)*(Quesería!$H$70:$H$89&gt;0)*Quesería!$F$70:$F$89*(1+Quesería!$I$70:$I$89)))*$B$481+((SUMPRODUCT((Quesería!$C$70:$C$89=1)*(Quesería!$J$70:$J$89&gt;0)*(B$47&gt;=2)*(B$47&lt;=Quesería!$J$70:$J$89+1)*(Quesería!$H$70:$H$89&gt;0)*Quesería!$F$70:$F$89*(1+Quesería!$I$70:$I$89)/(Quesería!$J$70:$J$89+(Quesería!$J$70:$J$89=0)))+SUMPRODUCT((Quesería!$C$70:$C$89=1)*(Quesería!$J$70:$J$89=0)*(B$47=1)*(Quesería!$H$70:$H$89&gt;0)*Quesería!$F$70:$F$89*(1+Quesería!$I$70:$I$89)))-(-$L$26)*IF(AND(B$47&gt;=2,B$47&lt;=Quesería!$J$86+1),Quesería!$D$86*(1+Quesería!$I$86)/Quesería!$J$86,0))*$C$481*$L$21,IF(AND(B$47&gt;=1,B$47&lt;=Quesería!$B$30),Quesería!$F$92/Quesería!$B$30,0)*$B$481+IF(AND(B$47&gt;=2,B$47&lt;=Quesería!$B$30+1),(Quesería!$F$93-(-$L$26)*Quesería!$D$86*(1+Quesería!$I$86))/Quesería!$B$30,0)*$C$481*$L$21)*$L$11+IF(AND(B$47&gt;=6,B$47&lt;=10),$G485*$G481/5,0)+IF(AND(B$47&gt;=7,B$47&lt;=11),$H485*$H481/5,0))*B483</f>
        <v>145.980915430742</v>
      </c>
      <c r="C493" s="29" t="n">
        <f aca="false">(IF($L$19=1,(SUMPRODUCT((Quesería!$C$70:$C$89=0)*(Quesería!$J$70:$J$89&gt;0)*(C$47&gt;=1)*(C$47&lt;=Quesería!$J$70:$J$89)*(Quesería!$H$70:$H$89&gt;0)*Quesería!$F$70:$F$89*(1+Quesería!$I$70:$I$89)/(Quesería!$J$70:$J$89+(Quesería!$J$70:$J$89=0)))+SUMPRODUCT((Quesería!$C$70:$C$89=0)*(Quesería!$J$70:$J$89=0)*(C$47=0)*(Quesería!$H$70:$H$89&gt;0)*Quesería!$F$70:$F$89*(1+Quesería!$I$70:$I$89)))*$B$481+((SUMPRODUCT((Quesería!$C$70:$C$89=1)*(Quesería!$J$70:$J$89&gt;0)*(C$47&gt;=2)*(C$47&lt;=Quesería!$J$70:$J$89+1)*(Quesería!$H$70:$H$89&gt;0)*Quesería!$F$70:$F$89*(1+Quesería!$I$70:$I$89)/(Quesería!$J$70:$J$89+(Quesería!$J$70:$J$89=0)))+SUMPRODUCT((Quesería!$C$70:$C$89=1)*(Quesería!$J$70:$J$89=0)*(C$47=1)*(Quesería!$H$70:$H$89&gt;0)*Quesería!$F$70:$F$89*(1+Quesería!$I$70:$I$89)))-(-$L$26)*IF(AND(C$47&gt;=2,C$47&lt;=Quesería!$J$86+1),Quesería!$D$86*(1+Quesería!$I$86)/Quesería!$J$86,0))*$C$481*$L$21,IF(AND(C$47&gt;=1,C$47&lt;=Quesería!$B$30),Quesería!$F$92/Quesería!$B$30,0)*$B$481+IF(AND(C$47&gt;=2,C$47&lt;=Quesería!$B$30+1),(Quesería!$F$93-(-$L$26)*Quesería!$D$86*(1+Quesería!$I$86))/Quesería!$B$30,0)*$C$481*$L$21)*$L$11+IF(AND(C$47&gt;=6,C$47&lt;=10),$G485*$G481/5,0)+IF(AND(C$47&gt;=7,C$47&lt;=11),$H485*$H481/5,0))*C483</f>
        <v>82.2633269524265</v>
      </c>
      <c r="D493" s="29" t="n">
        <f aca="false">(IF($L$19=1,(SUMPRODUCT((Quesería!$C$70:$C$89=0)*(Quesería!$J$70:$J$89&gt;0)*(D$47&gt;=1)*(D$47&lt;=Quesería!$J$70:$J$89)*(Quesería!$H$70:$H$89&gt;0)*Quesería!$F$70:$F$89*(1+Quesería!$I$70:$I$89)/(Quesería!$J$70:$J$89+(Quesería!$J$70:$J$89=0)))+SUMPRODUCT((Quesería!$C$70:$C$89=0)*(Quesería!$J$70:$J$89=0)*(D$47=0)*(Quesería!$H$70:$H$89&gt;0)*Quesería!$F$70:$F$89*(1+Quesería!$I$70:$I$89)))*$B$481+((SUMPRODUCT((Quesería!$C$70:$C$89=1)*(Quesería!$J$70:$J$89&gt;0)*(D$47&gt;=2)*(D$47&lt;=Quesería!$J$70:$J$89+1)*(Quesería!$H$70:$H$89&gt;0)*Quesería!$F$70:$F$89*(1+Quesería!$I$70:$I$89)/(Quesería!$J$70:$J$89+(Quesería!$J$70:$J$89=0)))+SUMPRODUCT((Quesería!$C$70:$C$89=1)*(Quesería!$J$70:$J$89=0)*(D$47=1)*(Quesería!$H$70:$H$89&gt;0)*Quesería!$F$70:$F$89*(1+Quesería!$I$70:$I$89)))-(-$L$26)*IF(AND(D$47&gt;=2,D$47&lt;=Quesería!$J$86+1),Quesería!$D$86*(1+Quesería!$I$86)/Quesería!$J$86,0))*$C$481*$L$21,IF(AND(D$47&gt;=1,D$47&lt;=Quesería!$B$30),Quesería!$F$92/Quesería!$B$30,0)*$B$481+IF(AND(D$47&gt;=2,D$47&lt;=Quesería!$B$30+1),(Quesería!$F$93-(-$L$26)*Quesería!$D$86*(1+Quesería!$I$86))/Quesería!$B$30,0)*$C$481*$L$21)*$L$11+IF(AND(D$47&gt;=6,D$47&lt;=10),$G485*$G481/5,0)+IF(AND(D$47&gt;=7,D$47&lt;=11),$H485*$H481/5,0))*D483</f>
        <v>141.732280975958</v>
      </c>
      <c r="E493" s="29" t="n">
        <f aca="false">(IF($L$19=1,(SUMPRODUCT((Quesería!$C$70:$C$89=0)*(Quesería!$J$70:$J$89&gt;0)*(E$47&gt;=1)*(E$47&lt;=Quesería!$J$70:$J$89)*(Quesería!$H$70:$H$89&gt;0)*Quesería!$F$70:$F$89*(1+Quesería!$I$70:$I$89)/(Quesería!$J$70:$J$89+(Quesería!$J$70:$J$89=0)))+SUMPRODUCT((Quesería!$C$70:$C$89=0)*(Quesería!$J$70:$J$89=0)*(E$47=0)*(Quesería!$H$70:$H$89&gt;0)*Quesería!$F$70:$F$89*(1+Quesería!$I$70:$I$89)))*$B$481+((SUMPRODUCT((Quesería!$C$70:$C$89=1)*(Quesería!$J$70:$J$89&gt;0)*(E$47&gt;=2)*(E$47&lt;=Quesería!$J$70:$J$89+1)*(Quesería!$H$70:$H$89&gt;0)*Quesería!$F$70:$F$89*(1+Quesería!$I$70:$I$89)/(Quesería!$J$70:$J$89+(Quesería!$J$70:$J$89=0)))+SUMPRODUCT((Quesería!$C$70:$C$89=1)*(Quesería!$J$70:$J$89=0)*(E$47=1)*(Quesería!$H$70:$H$89&gt;0)*Quesería!$F$70:$F$89*(1+Quesería!$I$70:$I$89)))-(-$L$26)*IF(AND(E$47&gt;=2,E$47&lt;=Quesería!$J$86+1),Quesería!$D$86*(1+Quesería!$I$86)/Quesería!$J$86,0))*$C$481*$L$21,IF(AND(E$47&gt;=1,E$47&lt;=Quesería!$B$30),Quesería!$F$92/Quesería!$B$30,0)*$B$481+IF(AND(E$47&gt;=2,E$47&lt;=Quesería!$B$30+1),(Quesería!$F$93-(-$L$26)*Quesería!$D$86*(1+Quesería!$I$86))/Quesería!$B$30,0)*$C$481*$L$21)*$L$11+IF(AND(E$47&gt;=6,E$47&lt;=10),$G485*$G481/5,0)+IF(AND(E$47&gt;=7,E$47&lt;=11),$H485*$H481/5,0))*E483</f>
        <v>136.28103939996</v>
      </c>
      <c r="F493" s="29" t="n">
        <f aca="false">(IF($L$19=1,(SUMPRODUCT((Quesería!$C$70:$C$89=0)*(Quesería!$J$70:$J$89&gt;0)*(F$47&gt;=1)*(F$47&lt;=Quesería!$J$70:$J$89)*(Quesería!$H$70:$H$89&gt;0)*Quesería!$F$70:$F$89*(1+Quesería!$I$70:$I$89)/(Quesería!$J$70:$J$89+(Quesería!$J$70:$J$89=0)))+SUMPRODUCT((Quesería!$C$70:$C$89=0)*(Quesería!$J$70:$J$89=0)*(F$47=0)*(Quesería!$H$70:$H$89&gt;0)*Quesería!$F$70:$F$89*(1+Quesería!$I$70:$I$89)))*$B$481+((SUMPRODUCT((Quesería!$C$70:$C$89=1)*(Quesería!$J$70:$J$89&gt;0)*(F$47&gt;=2)*(F$47&lt;=Quesería!$J$70:$J$89+1)*(Quesería!$H$70:$H$89&gt;0)*Quesería!$F$70:$F$89*(1+Quesería!$I$70:$I$89)/(Quesería!$J$70:$J$89+(Quesería!$J$70:$J$89=0)))+SUMPRODUCT((Quesería!$C$70:$C$89=1)*(Quesería!$J$70:$J$89=0)*(F$47=1)*(Quesería!$H$70:$H$89&gt;0)*Quesería!$F$70:$F$89*(1+Quesería!$I$70:$I$89)))-(-$L$26)*IF(AND(F$47&gt;=2,F$47&lt;=Quesería!$J$86+1),Quesería!$D$86*(1+Quesería!$I$86)/Quesería!$J$86,0))*$C$481*$L$21,IF(AND(F$47&gt;=1,F$47&lt;=Quesería!$B$30),Quesería!$F$92/Quesería!$B$30,0)*$B$481+IF(AND(F$47&gt;=2,F$47&lt;=Quesería!$B$30+1),(Quesería!$F$93-(-$L$26)*Quesería!$D$86*(1+Quesería!$I$86))/Quesería!$B$30,0)*$C$481*$L$21)*$L$11+IF(AND(F$47&gt;=6,F$47&lt;=10),$G485*$G481/5,0)+IF(AND(F$47&gt;=7,F$47&lt;=11),$H485*$H481/5,0))*F483</f>
        <v>131.0394609615</v>
      </c>
      <c r="G493" s="29" t="n">
        <f aca="false">(IF($L$19=1,(SUMPRODUCT((Quesería!$C$70:$C$89=0)*(Quesería!$J$70:$J$89&gt;0)*(G$47&gt;=1)*(G$47&lt;=Quesería!$J$70:$J$89)*(Quesería!$H$70:$H$89&gt;0)*Quesería!$F$70:$F$89*(1+Quesería!$I$70:$I$89)/(Quesería!$J$70:$J$89+(Quesería!$J$70:$J$89=0)))+SUMPRODUCT((Quesería!$C$70:$C$89=0)*(Quesería!$J$70:$J$89=0)*(G$47=0)*(Quesería!$H$70:$H$89&gt;0)*Quesería!$F$70:$F$89*(1+Quesería!$I$70:$I$89)))*$B$481+((SUMPRODUCT((Quesería!$C$70:$C$89=1)*(Quesería!$J$70:$J$89&gt;0)*(G$47&gt;=2)*(G$47&lt;=Quesería!$J$70:$J$89+1)*(Quesería!$H$70:$H$89&gt;0)*Quesería!$F$70:$F$89*(1+Quesería!$I$70:$I$89)/(Quesería!$J$70:$J$89+(Quesería!$J$70:$J$89=0)))+SUMPRODUCT((Quesería!$C$70:$C$89=1)*(Quesería!$J$70:$J$89=0)*(G$47=1)*(Quesería!$H$70:$H$89&gt;0)*Quesería!$F$70:$F$89*(1+Quesería!$I$70:$I$89)))-(-$L$26)*IF(AND(G$47&gt;=2,G$47&lt;=Quesería!$J$86+1),Quesería!$D$86*(1+Quesería!$I$86)/Quesería!$J$86,0))*$C$481*$L$21,IF(AND(G$47&gt;=1,G$47&lt;=Quesería!$B$30),Quesería!$F$92/Quesería!$B$30,0)*$B$481+IF(AND(G$47&gt;=2,G$47&lt;=Quesería!$B$30+1),(Quesería!$F$93-(-$L$26)*Quesería!$D$86*(1+Quesería!$I$86))/Quesería!$B$30,0)*$C$481*$L$21)*$L$11+IF(AND(G$47&gt;=6,G$47&lt;=10),$G485*$G481/5,0)+IF(AND(G$47&gt;=7,G$47&lt;=11),$H485*$H481/5,0))*G483</f>
        <v>125.99948169375</v>
      </c>
      <c r="H493" s="29" t="n">
        <f aca="false">(IF($L$19=1,(SUMPRODUCT((Quesería!$C$70:$C$89=0)*(Quesería!$J$70:$J$89&gt;0)*(H$47&gt;=1)*(H$47&lt;=Quesería!$J$70:$J$89)*(Quesería!$H$70:$H$89&gt;0)*Quesería!$F$70:$F$89*(1+Quesería!$I$70:$I$89)/(Quesería!$J$70:$J$89+(Quesería!$J$70:$J$89=0)))+SUMPRODUCT((Quesería!$C$70:$C$89=0)*(Quesería!$J$70:$J$89=0)*(H$47=0)*(Quesería!$H$70:$H$89&gt;0)*Quesería!$F$70:$F$89*(1+Quesería!$I$70:$I$89)))*$B$481+((SUMPRODUCT((Quesería!$C$70:$C$89=1)*(Quesería!$J$70:$J$89&gt;0)*(H$47&gt;=2)*(H$47&lt;=Quesería!$J$70:$J$89+1)*(Quesería!$H$70:$H$89&gt;0)*Quesería!$F$70:$F$89*(1+Quesería!$I$70:$I$89)/(Quesería!$J$70:$J$89+(Quesería!$J$70:$J$89=0)))+SUMPRODUCT((Quesería!$C$70:$C$89=1)*(Quesería!$J$70:$J$89=0)*(H$47=1)*(Quesería!$H$70:$H$89&gt;0)*Quesería!$F$70:$F$89*(1+Quesería!$I$70:$I$89)))-(-$L$26)*IF(AND(H$47&gt;=2,H$47&lt;=Quesería!$J$86+1),Quesería!$D$86*(1+Quesería!$I$86)/Quesería!$J$86,0))*$C$481*$L$21,IF(AND(H$47&gt;=1,H$47&lt;=Quesería!$B$30),Quesería!$F$92/Quesería!$B$30,0)*$B$481+IF(AND(H$47&gt;=2,H$47&lt;=Quesería!$B$30+1),(Quesería!$F$93-(-$L$26)*Quesería!$D$86*(1+Quesería!$I$86))/Quesería!$B$30,0)*$C$481*$L$21)*$L$11+IF(AND(H$47&gt;=6,H$47&lt;=10),$G485*$G481/5,0)+IF(AND(H$47&gt;=7,H$47&lt;=11),$H485*$H481/5,0))*H483</f>
        <v>114.13472617855</v>
      </c>
      <c r="I493" s="29" t="n">
        <f aca="false">(IF($L$19=1,(SUMPRODUCT((Quesería!$C$70:$C$89=0)*(Quesería!$J$70:$J$89&gt;0)*(I$47&gt;=1)*(I$47&lt;=Quesería!$J$70:$J$89)*(Quesería!$H$70:$H$89&gt;0)*Quesería!$F$70:$F$89*(1+Quesería!$I$70:$I$89)/(Quesería!$J$70:$J$89+(Quesería!$J$70:$J$89=0)))+SUMPRODUCT((Quesería!$C$70:$C$89=0)*(Quesería!$J$70:$J$89=0)*(I$47=0)*(Quesería!$H$70:$H$89&gt;0)*Quesería!$F$70:$F$89*(1+Quesería!$I$70:$I$89)))*$B$481+((SUMPRODUCT((Quesería!$C$70:$C$89=1)*(Quesería!$J$70:$J$89&gt;0)*(I$47&gt;=2)*(I$47&lt;=Quesería!$J$70:$J$89+1)*(Quesería!$H$70:$H$89&gt;0)*Quesería!$F$70:$F$89*(1+Quesería!$I$70:$I$89)/(Quesería!$J$70:$J$89+(Quesería!$J$70:$J$89=0)))+SUMPRODUCT((Quesería!$C$70:$C$89=1)*(Quesería!$J$70:$J$89=0)*(I$47=1)*(Quesería!$H$70:$H$89&gt;0)*Quesería!$F$70:$F$89*(1+Quesería!$I$70:$I$89)))-(-$L$26)*IF(AND(I$47&gt;=2,I$47&lt;=Quesería!$J$86+1),Quesería!$D$86*(1+Quesería!$I$86)/Quesería!$J$86,0))*$C$481*$L$21,IF(AND(I$47&gt;=1,I$47&lt;=Quesería!$B$30),Quesería!$F$92/Quesería!$B$30,0)*$B$481+IF(AND(I$47&gt;=2,I$47&lt;=Quesería!$B$30+1),(Quesería!$F$93-(-$L$26)*Quesería!$D$86*(1+Quesería!$I$86))/Quesería!$B$30,0)*$C$481*$L$21)*$L$11+IF(AND(I$47&gt;=6,I$47&lt;=10),$G485*$G481/5,0)+IF(AND(I$47&gt;=7,I$47&lt;=11),$H485*$H481/5,0))*I483</f>
        <v>118.665920500713</v>
      </c>
      <c r="J493" s="29" t="n">
        <f aca="false">(IF($L$19=1,(SUMPRODUCT((Quesería!$C$70:$C$89=0)*(Quesería!$J$70:$J$89&gt;0)*(J$47&gt;=1)*(J$47&lt;=Quesería!$J$70:$J$89)*(Quesería!$H$70:$H$89&gt;0)*Quesería!$F$70:$F$89*(1+Quesería!$I$70:$I$89)/(Quesería!$J$70:$J$89+(Quesería!$J$70:$J$89=0)))+SUMPRODUCT((Quesería!$C$70:$C$89=0)*(Quesería!$J$70:$J$89=0)*(J$47=0)*(Quesería!$H$70:$H$89&gt;0)*Quesería!$F$70:$F$89*(1+Quesería!$I$70:$I$89)))*$B$481+((SUMPRODUCT((Quesería!$C$70:$C$89=1)*(Quesería!$J$70:$J$89&gt;0)*(J$47&gt;=2)*(J$47&lt;=Quesería!$J$70:$J$89+1)*(Quesería!$H$70:$H$89&gt;0)*Quesería!$F$70:$F$89*(1+Quesería!$I$70:$I$89)/(Quesería!$J$70:$J$89+(Quesería!$J$70:$J$89=0)))+SUMPRODUCT((Quesería!$C$70:$C$89=1)*(Quesería!$J$70:$J$89=0)*(J$47=1)*(Quesería!$H$70:$H$89&gt;0)*Quesería!$F$70:$F$89*(1+Quesería!$I$70:$I$89)))-(-$L$26)*IF(AND(J$47&gt;=2,J$47&lt;=Quesería!$J$86+1),Quesería!$D$86*(1+Quesería!$I$86)/Quesería!$J$86,0))*$C$481*$L$21,IF(AND(J$47&gt;=1,J$47&lt;=Quesería!$B$30),Quesería!$F$92/Quesería!$B$30,0)*$B$481+IF(AND(J$47&gt;=2,J$47&lt;=Quesería!$B$30+1),(Quesería!$F$93-(-$L$26)*Quesería!$D$86*(1+Quesería!$I$86))/Quesería!$B$30,0)*$C$481*$L$21)*$L$11+IF(AND(J$47&gt;=6,J$47&lt;=10),$G485*$G481/5,0)+IF(AND(J$47&gt;=7,J$47&lt;=11),$H485*$H481/5,0))*J483</f>
        <v>114.101846635301</v>
      </c>
      <c r="K493" s="29" t="n">
        <f aca="false">(IF($L$19=1,(SUMPRODUCT((Quesería!$C$70:$C$89=0)*(Quesería!$J$70:$J$89&gt;0)*(K$47&gt;=1)*(K$47&lt;=Quesería!$J$70:$J$89)*(Quesería!$H$70:$H$89&gt;0)*Quesería!$F$70:$F$89*(1+Quesería!$I$70:$I$89)/(Quesería!$J$70:$J$89+(Quesería!$J$70:$J$89=0)))+SUMPRODUCT((Quesería!$C$70:$C$89=0)*(Quesería!$J$70:$J$89=0)*(K$47=0)*(Quesería!$H$70:$H$89&gt;0)*Quesería!$F$70:$F$89*(1+Quesería!$I$70:$I$89)))*$B$481+((SUMPRODUCT((Quesería!$C$70:$C$89=1)*(Quesería!$J$70:$J$89&gt;0)*(K$47&gt;=2)*(K$47&lt;=Quesería!$J$70:$J$89+1)*(Quesería!$H$70:$H$89&gt;0)*Quesería!$F$70:$F$89*(1+Quesería!$I$70:$I$89)/(Quesería!$J$70:$J$89+(Quesería!$J$70:$J$89=0)))+SUMPRODUCT((Quesería!$C$70:$C$89=1)*(Quesería!$J$70:$J$89=0)*(K$47=1)*(Quesería!$H$70:$H$89&gt;0)*Quesería!$F$70:$F$89*(1+Quesería!$I$70:$I$89)))-(-$L$26)*IF(AND(K$47&gt;=2,K$47&lt;=Quesería!$J$86+1),Quesería!$D$86*(1+Quesería!$I$86)/Quesería!$J$86,0))*$C$481*$L$21,IF(AND(K$47&gt;=1,K$47&lt;=Quesería!$B$30),Quesería!$F$92/Quesería!$B$30,0)*$B$481+IF(AND(K$47&gt;=2,K$47&lt;=Quesería!$B$30+1),(Quesería!$F$93-(-$L$26)*Quesería!$D$86*(1+Quesería!$I$86))/Quesería!$B$30,0)*$C$481*$L$21)*$L$11+IF(AND(K$47&gt;=6,K$47&lt;=10),$G485*$G481/5,0)+IF(AND(K$47&gt;=7,K$47&lt;=11),$H485*$H481/5,0))*K483</f>
        <v>109.713314072405</v>
      </c>
      <c r="L493" s="29" t="n">
        <f aca="false">(IF($L$19=1,(SUMPRODUCT((Quesería!$C$70:$C$89=0)*(Quesería!$J$70:$J$89&gt;0)*(L$47&gt;=1)*(L$47&lt;=Quesería!$J$70:$J$89)*(Quesería!$H$70:$H$89&gt;0)*Quesería!$F$70:$F$89*(1+Quesería!$I$70:$I$89)/(Quesería!$J$70:$J$89+(Quesería!$J$70:$J$89=0)))+SUMPRODUCT((Quesería!$C$70:$C$89=0)*(Quesería!$J$70:$J$89=0)*(L$47=0)*(Quesería!$H$70:$H$89&gt;0)*Quesería!$F$70:$F$89*(1+Quesería!$I$70:$I$89)))*$B$481+((SUMPRODUCT((Quesería!$C$70:$C$89=1)*(Quesería!$J$70:$J$89&gt;0)*(L$47&gt;=2)*(L$47&lt;=Quesería!$J$70:$J$89+1)*(Quesería!$H$70:$H$89&gt;0)*Quesería!$F$70:$F$89*(1+Quesería!$I$70:$I$89)/(Quesería!$J$70:$J$89+(Quesería!$J$70:$J$89=0)))+SUMPRODUCT((Quesería!$C$70:$C$89=1)*(Quesería!$J$70:$J$89=0)*(L$47=1)*(Quesería!$H$70:$H$89&gt;0)*Quesería!$F$70:$F$89*(1+Quesería!$I$70:$I$89)))-(-$L$26)*IF(AND(L$47&gt;=2,L$47&lt;=Quesería!$J$86+1),Quesería!$D$86*(1+Quesería!$I$86)/Quesería!$J$86,0))*$C$481*$L$21,IF(AND(L$47&gt;=1,L$47&lt;=Quesería!$B$30),Quesería!$F$92/Quesería!$B$30,0)*$B$481+IF(AND(L$47&gt;=2,L$47&lt;=Quesería!$B$30+1),(Quesería!$F$93-(-$L$26)*Quesería!$D$86*(1+Quesería!$I$86))/Quesería!$B$30,0)*$C$481*$L$21)*$L$11+IF(AND(L$47&gt;=6,L$47&lt;=10),$G485*$G481/5,0)+IF(AND(L$47&gt;=7,L$47&lt;=11),$H485*$H481/5,0))*L483</f>
        <v>105.493571223466</v>
      </c>
    </row>
    <row r="494" customFormat="false" ht="15" hidden="true" customHeight="false" outlineLevel="1" collapsed="false">
      <c r="A494" s="9" t="s">
        <v>417</v>
      </c>
      <c r="B494" s="58" t="n">
        <f aca="false">IF(B$47=1,MIN($L$7*$L$26*Quesería!$B$56*Quesería!$D$86*$L$11*$L$21,Quesería!$B$57*Quesería!$B$58),0)</f>
        <v>0</v>
      </c>
      <c r="C494" s="58" t="n">
        <f aca="false">IF(C$47=1,MIN($L$7*$L$26*Quesería!$B$56*Quesería!$D$86*$L$11*$L$21,Quesería!$B$57*Quesería!$B$58),0)</f>
        <v>0</v>
      </c>
      <c r="D494" s="58" t="n">
        <f aca="false">IF(D$47=1,MIN($L$7*$L$26*Quesería!$B$56*Quesería!$D$86*$L$11*$L$21,Quesería!$B$57*Quesería!$B$58),0)</f>
        <v>0</v>
      </c>
      <c r="E494" s="58" t="n">
        <f aca="false">IF(E$47=1,MIN($L$7*$L$26*Quesería!$B$56*Quesería!$D$86*$L$11*$L$21,Quesería!$B$57*Quesería!$B$58),0)</f>
        <v>0</v>
      </c>
      <c r="F494" s="58" t="n">
        <f aca="false">IF(F$47=1,MIN($L$7*$L$26*Quesería!$B$56*Quesería!$D$86*$L$11*$L$21,Quesería!$B$57*Quesería!$B$58),0)</f>
        <v>0</v>
      </c>
      <c r="G494" s="58" t="n">
        <f aca="false">IF(G$47=1,MIN($L$7*$L$26*Quesería!$B$56*Quesería!$D$86*$L$11*$L$21,Quesería!$B$57*Quesería!$B$58),0)</f>
        <v>0</v>
      </c>
      <c r="H494" s="58" t="n">
        <f aca="false">IF(H$47=1,MIN($L$7*$L$26*Quesería!$B$56*Quesería!$D$86*$L$11*$L$21,Quesería!$B$57*Quesería!$B$58),0)</f>
        <v>0</v>
      </c>
      <c r="I494" s="58" t="n">
        <f aca="false">IF(I$47=1,MIN($L$7*$L$26*Quesería!$B$56*Quesería!$D$86*$L$11*$L$21,Quesería!$B$57*Quesería!$B$58),0)</f>
        <v>0</v>
      </c>
      <c r="J494" s="58" t="n">
        <f aca="false">IF(J$47=1,MIN($L$7*$L$26*Quesería!$B$56*Quesería!$D$86*$L$11*$L$21,Quesería!$B$57*Quesería!$B$58),0)</f>
        <v>0</v>
      </c>
      <c r="K494" s="58" t="n">
        <f aca="false">IF(K$47=1,MIN($L$7*$L$26*Quesería!$B$56*Quesería!$D$86*$L$11*$L$21,Quesería!$B$57*Quesería!$B$58),0)</f>
        <v>0</v>
      </c>
      <c r="L494" s="58" t="n">
        <f aca="false">IF(L$47=1,MIN($L$7*$L$26*Quesería!$B$56*Quesería!$D$86*$L$11*$L$21,Quesería!$B$57*Quesería!$B$58),0)</f>
        <v>0</v>
      </c>
    </row>
    <row r="495" customFormat="false" ht="15" hidden="true" customHeight="false" outlineLevel="1" collapsed="false">
      <c r="A495" s="9" t="s">
        <v>418</v>
      </c>
      <c r="B495" s="58" t="n">
        <v>0</v>
      </c>
      <c r="C495" s="58" t="n">
        <f aca="false">$L$20*Quesería!$B$60*Quesería!$F$98*$L$11*$B$481/C481/2</f>
        <v>138.12868344741</v>
      </c>
      <c r="D495" s="58" t="n">
        <f aca="false">$L$20*Quesería!$B$60*Quesería!$F$98*$L$11*$B$481/D481/2</f>
        <v>132.18055832288</v>
      </c>
      <c r="E495" s="58" t="n">
        <v>0</v>
      </c>
      <c r="F495" s="58" t="n">
        <v>0</v>
      </c>
      <c r="G495" s="58" t="n">
        <v>0</v>
      </c>
      <c r="H495" s="58" t="n">
        <v>0</v>
      </c>
      <c r="I495" s="58" t="n">
        <v>0</v>
      </c>
      <c r="J495" s="58" t="n">
        <v>0</v>
      </c>
      <c r="K495" s="58" t="n">
        <v>0</v>
      </c>
      <c r="L495" s="58" t="n">
        <v>0</v>
      </c>
    </row>
    <row r="496" customFormat="false" ht="15" hidden="true" customHeight="false" outlineLevel="1" collapsed="false">
      <c r="A496" s="9" t="s">
        <v>419</v>
      </c>
      <c r="B496" s="58" t="n">
        <f aca="false">0</f>
        <v>0</v>
      </c>
      <c r="C496" s="58" t="n">
        <f aca="false">B486*B481/C481</f>
        <v>142.014925295407</v>
      </c>
      <c r="D496" s="58" t="n">
        <f aca="false">C486*C481/D481</f>
        <v>119.721648486272</v>
      </c>
      <c r="E496" s="58" t="n">
        <f aca="false">D486*D481/E481</f>
        <v>0</v>
      </c>
      <c r="F496" s="58" t="n">
        <f aca="false">E486*E481/F481</f>
        <v>0</v>
      </c>
      <c r="G496" s="58" t="n">
        <f aca="false">F486*F481/G481</f>
        <v>0</v>
      </c>
      <c r="H496" s="58" t="n">
        <f aca="false">G486*G481/H481</f>
        <v>5.01768392412113</v>
      </c>
      <c r="I496" s="58" t="n">
        <f aca="false">H486*H481/I481</f>
        <v>8.47494190873221</v>
      </c>
      <c r="J496" s="58" t="n">
        <f aca="false">I486*I481/J481</f>
        <v>0</v>
      </c>
      <c r="K496" s="58" t="n">
        <f aca="false">J486*J481/K481</f>
        <v>0</v>
      </c>
      <c r="L496" s="58" t="n">
        <f aca="false">K486*K481/L481</f>
        <v>0</v>
      </c>
    </row>
    <row r="497" customFormat="false" ht="15" hidden="true" customHeight="false" outlineLevel="1" collapsed="false">
      <c r="A497" s="6" t="s">
        <v>295</v>
      </c>
      <c r="B497" s="29" t="n">
        <f aca="false">$L$17*(B489-B490-B491-0.5*B492-B493)-B494-B495-B496</f>
        <v>-9.59839124703308</v>
      </c>
      <c r="C497" s="29" t="n">
        <f aca="false">$L$17*(C489-C490-C491-0.5*C492-C493)-C494-C495-C496</f>
        <v>-262.846971636391</v>
      </c>
      <c r="D497" s="29" t="n">
        <f aca="false">$L$17*(D489-D490-D491-0.5*D492-D493)-D494-D495-D496</f>
        <v>-145.573551602448</v>
      </c>
      <c r="E497" s="29" t="n">
        <f aca="false">$L$17*(E489-E490-E491-0.5*E492-E493)-E494-E495-E496</f>
        <v>133.158030553772</v>
      </c>
      <c r="F497" s="29" t="n">
        <f aca="false">$L$17*(F489-F490-F491-0.5*F492-F493)-F494-F495-F496</f>
        <v>135.100806869636</v>
      </c>
      <c r="G497" s="29" t="n">
        <f aca="false">$L$17*(G489-G490-G491-0.5*G492-G493)-G494-G495-G496</f>
        <v>136.950686069078</v>
      </c>
      <c r="H497" s="29" t="n">
        <f aca="false">$L$17*(H489-H490-H491-0.5*H492-H493)-H494-H495-H496</f>
        <v>136.179211741178</v>
      </c>
      <c r="I497" s="29" t="n">
        <f aca="false">$L$17*(I489-I490-I491-0.5*I492-I493)-I494-I495-I496</f>
        <v>131.284533261173</v>
      </c>
      <c r="J497" s="29" t="n">
        <f aca="false">$L$17*(J489-J490-J491-0.5*J492-J493)-J494-J495-J496</f>
        <v>141.467305650209</v>
      </c>
      <c r="K497" s="29" t="n">
        <f aca="false">$L$17*(K489-K490-K491-0.5*K492-K493)-K494-K495-K496</f>
        <v>143.114248697769</v>
      </c>
      <c r="L497" s="29" t="n">
        <f aca="false">$L$17*(L489-L490-L491-0.5*L492-L493)-L494-L495-L496</f>
        <v>144.702670128697</v>
      </c>
    </row>
    <row r="498" customFormat="false" ht="15" hidden="true" customHeight="false" outlineLevel="1" collapsed="false">
      <c r="A498" s="9" t="s">
        <v>420</v>
      </c>
      <c r="B498" s="58" t="n">
        <f aca="false">(IF(B$47&gt;=1,Quesería!$G$124*IF(B$47=1,Quesería!$B$20,1),Quesería!$G$124*Quesería!$B$20*Quesería!$B$21/12*$L$23)+IF(B$47&gt;=2,(Quesería!$G$125-(1-$L$24)*Quesería!$G$117-(-$L$26*$L$27)*'Beneficios y costos'!$D$167)*$L$21*IF(B$47=2,Quesería!$B$20,1),0))*$L$10</f>
        <v>77.4042870161869</v>
      </c>
      <c r="C498" s="58" t="n">
        <f aca="false">(IF(C$47&gt;=1,Quesería!$G$124*IF(C$47=1,Quesería!$B$20,1),Quesería!$G$124*Quesería!$B$20*Quesería!$B$21/12*$L$23)+IF(C$47&gt;=2,(Quesería!$G$125-(1-$L$24)*Quesería!$G$117-(-$L$26*$L$27)*'Beneficios y costos'!$D$167)*$L$21*IF(C$47=2,Quesería!$B$20,1),0))*$L$10</f>
        <v>116.10643052428</v>
      </c>
      <c r="D498" s="58" t="n">
        <f aca="false">(IF(D$47&gt;=1,Quesería!$G$124*IF(D$47=1,Quesería!$B$20,1),Quesería!$G$124*Quesería!$B$20*Quesería!$B$21/12*$L$23)+IF(D$47&gt;=2,(Quesería!$G$125-(1-$L$24)*Quesería!$G$117-(-$L$26*$L$27)*'Beneficios y costos'!$D$167)*$L$21*IF(D$47=2,Quesería!$B$20,1),0))*$L$10</f>
        <v>2023.78917421887</v>
      </c>
      <c r="E498" s="58" t="n">
        <f aca="false">(IF(E$47&gt;=1,Quesería!$G$124*IF(E$47=1,Quesería!$B$20,1),Quesería!$G$124*Quesería!$B$20*Quesería!$B$21/12*$L$23)+IF(E$47&gt;=2,(Quesería!$G$125-(1-$L$24)*Quesería!$G$117-(-$L$26*$L$27)*'Beneficios y costos'!$D$167)*$L$21*IF(E$47=2,Quesería!$B$20,1),0))*$L$10</f>
        <v>2646.78270761437</v>
      </c>
      <c r="F498" s="58" t="n">
        <f aca="false">(IF(F$47&gt;=1,Quesería!$G$124*IF(F$47=1,Quesería!$B$20,1),Quesería!$G$124*Quesería!$B$20*Quesería!$B$21/12*$L$23)+IF(F$47&gt;=2,(Quesería!$G$125-(1-$L$24)*Quesería!$G$117-(-$L$26*$L$27)*'Beneficios y costos'!$D$167)*$L$21*IF(F$47=2,Quesería!$B$20,1),0))*$L$10</f>
        <v>2646.78270761437</v>
      </c>
      <c r="G498" s="58" t="n">
        <f aca="false">(IF(G$47&gt;=1,Quesería!$G$124*IF(G$47=1,Quesería!$B$20,1),Quesería!$G$124*Quesería!$B$20*Quesería!$B$21/12*$L$23)+IF(G$47&gt;=2,(Quesería!$G$125-(1-$L$24)*Quesería!$G$117-(-$L$26*$L$27)*'Beneficios y costos'!$D$167)*$L$21*IF(G$47=2,Quesería!$B$20,1),0))*$L$10</f>
        <v>2646.78270761437</v>
      </c>
      <c r="H498" s="58" t="n">
        <f aca="false">(IF(H$47&gt;=1,Quesería!$G$124*IF(H$47=1,Quesería!$B$20,1),Quesería!$G$124*Quesería!$B$20*Quesería!$B$21/12*$L$23)+IF(H$47&gt;=2,(Quesería!$G$125-(1-$L$24)*Quesería!$G$117-(-$L$26*$L$27)*'Beneficios y costos'!$D$167)*$L$21*IF(H$47=2,Quesería!$B$20,1),0))*$L$10</f>
        <v>2646.78270761437</v>
      </c>
      <c r="I498" s="58" t="n">
        <f aca="false">(IF(I$47&gt;=1,Quesería!$G$124*IF(I$47=1,Quesería!$B$20,1),Quesería!$G$124*Quesería!$B$20*Quesería!$B$21/12*$L$23)+IF(I$47&gt;=2,(Quesería!$G$125-(1-$L$24)*Quesería!$G$117-(-$L$26*$L$27)*'Beneficios y costos'!$D$167)*$L$21*IF(I$47=2,Quesería!$B$20,1),0))*$L$10</f>
        <v>2646.78270761437</v>
      </c>
      <c r="J498" s="58" t="n">
        <f aca="false">(IF(J$47&gt;=1,Quesería!$G$124*IF(J$47=1,Quesería!$B$20,1),Quesería!$G$124*Quesería!$B$20*Quesería!$B$21/12*$L$23)+IF(J$47&gt;=2,(Quesería!$G$125-(1-$L$24)*Quesería!$G$117-(-$L$26*$L$27)*'Beneficios y costos'!$D$167)*$L$21*IF(J$47=2,Quesería!$B$20,1),0))*$L$10</f>
        <v>2646.78270761437</v>
      </c>
      <c r="K498" s="58" t="n">
        <f aca="false">(IF(K$47&gt;=1,Quesería!$G$124*IF(K$47=1,Quesería!$B$20,1),Quesería!$G$124*Quesería!$B$20*Quesería!$B$21/12*$L$23)+IF(K$47&gt;=2,(Quesería!$G$125-(1-$L$24)*Quesería!$G$117-(-$L$26*$L$27)*'Beneficios y costos'!$D$167)*$L$21*IF(K$47=2,Quesería!$B$20,1),0))*$L$10</f>
        <v>2646.78270761437</v>
      </c>
      <c r="L498" s="58" t="n">
        <f aca="false">(IF(L$47&gt;=1,Quesería!$G$124*IF(L$47=1,Quesería!$B$20,1),Quesería!$G$124*Quesería!$B$20*Quesería!$B$21/12*$L$23)+IF(L$47&gt;=2,(Quesería!$G$125-(1-$L$24)*Quesería!$G$117-(-$L$26*$L$27)*'Beneficios y costos'!$D$167)*$L$21*IF(L$47=2,Quesería!$B$20,1),0))*$L$10</f>
        <v>2646.78270761437</v>
      </c>
    </row>
    <row r="499" customFormat="false" ht="15" hidden="true" customHeight="false" outlineLevel="1" collapsed="false">
      <c r="A499" s="6" t="s">
        <v>421</v>
      </c>
      <c r="B499" s="29" t="n">
        <f aca="false">(B498*(Quesería!$B$38+Quesería!$B$40*Quesería!$B$39)/365-B490*Quesería!$B$42/365+IF(B$47&gt;=2,($L$25*'Beneficios y costos'!$B$147+(1-$L$25)*'Beneficios y costos'!$B$148)*$L$24*$L$21*$L$10*IF(B$47=2,Quesería!$B$20,1),0))</f>
        <v>7.23146900616979</v>
      </c>
      <c r="C499" s="29" t="n">
        <f aca="false">(C498*(Quesería!$B$38+Quesería!$B$40*Quesería!$B$39)/365-C490*Quesería!$B$42/365+IF(C$47&gt;=2,($L$25*'Beneficios y costos'!$B$147+(1-$L$25)*'Beneficios y costos'!$B$148)*$L$24*$L$21*$L$10*IF(C$47=2,Quesería!$B$20,1),0))-(B498*(Quesería!$B$38+Quesería!$B$40*Quesería!$B$39)/365-B490*Quesería!$B$42/365+IF(B$47&gt;=2,($L$25*'Beneficios y costos'!$B$147+(1-$L$25)*'Beneficios y costos'!$B$148)*$L$24*$L$21*$L$10*IF(B$47=2,Quesería!$B$20,1),0))*B481/C481</f>
        <v>2.1840419772198</v>
      </c>
      <c r="D499" s="29" t="n">
        <f aca="false">(D498*(Quesería!$B$38+Quesería!$B$40*Quesería!$B$39)/365-D490*Quesería!$B$42/365+IF(D$47&gt;=2,($L$25*'Beneficios y costos'!$B$147+(1-$L$25)*'Beneficios y costos'!$B$148)*$L$24*$L$21*$L$10*IF(D$47=2,Quesería!$B$20,1),0))-(C498*(Quesería!$B$38+Quesería!$B$40*Quesería!$B$39)/365-C490*Quesería!$B$42/365+IF(C$47&gt;=2,($L$25*'Beneficios y costos'!$B$147+(1-$L$25)*'Beneficios y costos'!$B$148)*$L$24*$L$21*$L$10*IF(C$47=2,Quesería!$B$20,1),0))*C481/D481</f>
        <v>121.722806997419</v>
      </c>
      <c r="E499" s="29" t="n">
        <f aca="false">(E498*(Quesería!$B$38+Quesería!$B$40*Quesería!$B$39)/365-E490*Quesería!$B$42/365+IF(E$47&gt;=2,($L$25*'Beneficios y costos'!$B$147+(1-$L$25)*'Beneficios y costos'!$B$148)*$L$24*$L$21*$L$10*IF(E$47=2,Quesería!$B$20,1),0))-(D498*(Quesería!$B$38+Quesería!$B$40*Quesería!$B$39)/365-D490*Quesería!$B$42/365+IF(D$47&gt;=2,($L$25*'Beneficios y costos'!$B$147+(1-$L$25)*'Beneficios y costos'!$B$148)*$L$24*$L$21*$L$10*IF(D$47=2,Quesería!$B$20,1),0))*D481/E481</f>
        <v>44.7381540805801</v>
      </c>
      <c r="F499" s="29" t="n">
        <f aca="false">(F498*(Quesería!$B$38+Quesería!$B$40*Quesería!$B$39)/365-F490*Quesería!$B$42/365+IF(F$47&gt;=2,($L$25*'Beneficios y costos'!$B$147+(1-$L$25)*'Beneficios y costos'!$B$148)*$L$24*$L$21*$L$10*IF(F$47=2,Quesería!$B$20,1),0))-(E498*(Quesería!$B$38+Quesería!$B$40*Quesería!$B$39)/365-E490*Quesería!$B$42/365+IF(E$47&gt;=2,($L$25*'Beneficios y costos'!$B$147+(1-$L$25)*'Beneficios y costos'!$B$148)*$L$24*$L$21*$L$10*IF(E$47=2,Quesería!$B$20,1),0))*E481/F481</f>
        <v>6.54330690253343</v>
      </c>
      <c r="G499" s="29" t="n">
        <f aca="false">(G498*(Quesería!$B$38+Quesería!$B$40*Quesería!$B$39)/365-G490*Quesería!$B$42/365+IF(G$47&gt;=2,($L$25*'Beneficios y costos'!$B$147+(1-$L$25)*'Beneficios y costos'!$B$148)*$L$24*$L$21*$L$10*IF(G$47=2,Quesería!$B$20,1),0))-(F498*(Quesería!$B$38+Quesería!$B$40*Quesería!$B$39)/365-F490*Quesería!$B$42/365+IF(F$47&gt;=2,($L$25*'Beneficios y costos'!$B$147+(1-$L$25)*'Beneficios y costos'!$B$148)*$L$24*$L$21*$L$10*IF(F$47=2,Quesería!$B$20,1),0))*F481/G481</f>
        <v>6.54330690253346</v>
      </c>
      <c r="H499" s="29" t="n">
        <f aca="false">(H498*(Quesería!$B$38+Quesería!$B$40*Quesería!$B$39)/365-H490*Quesería!$B$42/365+IF(H$47&gt;=2,($L$25*'Beneficios y costos'!$B$147+(1-$L$25)*'Beneficios y costos'!$B$148)*$L$24*$L$21*$L$10*IF(H$47=2,Quesería!$B$20,1),0))-(G498*(Quesería!$B$38+Quesería!$B$40*Quesería!$B$39)/365-G490*Quesería!$B$42/365+IF(G$47&gt;=2,($L$25*'Beneficios y costos'!$B$147+(1-$L$25)*'Beneficios y costos'!$B$148)*$L$24*$L$21*$L$10*IF(G$47=2,Quesería!$B$20,1),0))*G481/H481</f>
        <v>6.54330690253346</v>
      </c>
      <c r="I499" s="29" t="n">
        <f aca="false">(I498*(Quesería!$B$38+Quesería!$B$40*Quesería!$B$39)/365-I490*Quesería!$B$42/365+IF(I$47&gt;=2,($L$25*'Beneficios y costos'!$B$147+(1-$L$25)*'Beneficios y costos'!$B$148)*$L$24*$L$21*$L$10*IF(I$47=2,Quesería!$B$20,1),0))-(H498*(Quesería!$B$38+Quesería!$B$40*Quesería!$B$39)/365-H490*Quesería!$B$42/365+IF(H$47&gt;=2,($L$25*'Beneficios y costos'!$B$147+(1-$L$25)*'Beneficios y costos'!$B$148)*$L$24*$L$21*$L$10*IF(H$47=2,Quesería!$B$20,1),0))*H481/I481</f>
        <v>6.54330690253343</v>
      </c>
      <c r="J499" s="29" t="n">
        <f aca="false">(J498*(Quesería!$B$38+Quesería!$B$40*Quesería!$B$39)/365-J490*Quesería!$B$42/365+IF(J$47&gt;=2,($L$25*'Beneficios y costos'!$B$147+(1-$L$25)*'Beneficios y costos'!$B$148)*$L$24*$L$21*$L$10*IF(J$47=2,Quesería!$B$20,1),0))-(I498*(Quesería!$B$38+Quesería!$B$40*Quesería!$B$39)/365-I490*Quesería!$B$42/365+IF(I$47&gt;=2,($L$25*'Beneficios y costos'!$B$147+(1-$L$25)*'Beneficios y costos'!$B$148)*$L$24*$L$21*$L$10*IF(I$47=2,Quesería!$B$20,1),0))*I481/J481</f>
        <v>6.54330690253343</v>
      </c>
      <c r="K499" s="29" t="n">
        <f aca="false">(K498*(Quesería!$B$38+Quesería!$B$40*Quesería!$B$39)/365-K490*Quesería!$B$42/365+IF(K$47&gt;=2,($L$25*'Beneficios y costos'!$B$147+(1-$L$25)*'Beneficios y costos'!$B$148)*$L$24*$L$21*$L$10*IF(K$47=2,Quesería!$B$20,1),0))-(J498*(Quesería!$B$38+Quesería!$B$40*Quesería!$B$39)/365-J490*Quesería!$B$42/365+IF(J$47&gt;=2,($L$25*'Beneficios y costos'!$B$147+(1-$L$25)*'Beneficios y costos'!$B$148)*$L$24*$L$21*$L$10*IF(J$47=2,Quesería!$B$20,1),0))*J481/K481</f>
        <v>6.54330690253346</v>
      </c>
      <c r="L499" s="29" t="n">
        <f aca="false">-(K498*(Quesería!$B$38+Quesería!$B$40*Quesería!$B$39)/365-K490*Quesería!$B$42/365+IF(K$47&gt;=2,($L$25*'Beneficios y costos'!$B$147+(1-$L$25)*'Beneficios y costos'!$B$148)*$L$24*$L$21*$L$10*IF(K$47=2,Quesería!$B$20,1),0))*K481/L481</f>
        <v>-163.582672563336</v>
      </c>
    </row>
    <row r="500" customFormat="false" ht="15" hidden="true" customHeight="false" outlineLevel="1" collapsed="false">
      <c r="A500" s="6" t="s">
        <v>422</v>
      </c>
      <c r="B500" s="29" t="n">
        <v>0</v>
      </c>
      <c r="C500" s="29" t="n">
        <v>0</v>
      </c>
      <c r="D500" s="29" t="n">
        <v>0</v>
      </c>
      <c r="E500" s="29" t="n">
        <v>0</v>
      </c>
      <c r="F500" s="29" t="n">
        <v>0</v>
      </c>
      <c r="G500" s="29" t="n">
        <v>0</v>
      </c>
      <c r="H500" s="29" t="n">
        <v>0</v>
      </c>
      <c r="I500" s="29" t="n">
        <v>0</v>
      </c>
      <c r="J500" s="29" t="n">
        <v>0</v>
      </c>
      <c r="K500" s="29" t="n">
        <v>0</v>
      </c>
      <c r="L500" s="29" t="n">
        <f aca="false">$L$8*Quesería!$B$36*(Quesería!$F$94+(Quesería!$F$95-(-$L$26)*Quesería!$D$86)*$L$21)*$L$11*(1-$L$17)</f>
        <v>61.9237725584542</v>
      </c>
    </row>
    <row r="501" customFormat="false" ht="15" hidden="true" customHeight="false" outlineLevel="1" collapsed="false">
      <c r="A501" s="5" t="s">
        <v>147</v>
      </c>
      <c r="B501" s="59" t="n">
        <f aca="false">B489-B490-B491-B492-B497-B484-B485-B486-B499+B500</f>
        <v>-961.151880133756</v>
      </c>
      <c r="C501" s="59" t="n">
        <f aca="false">C489-C490-C491-C492-C497-C484-C485-C486-C499+C500</f>
        <v>-392.896091758629</v>
      </c>
      <c r="D501" s="59" t="n">
        <f aca="false">D489-D490-D491-D492-D497-D484-D485-D486-D499+D500</f>
        <v>469.272088239464</v>
      </c>
      <c r="E501" s="59" t="n">
        <f aca="false">E489-E490-E491-E492-E497-E484-E485-E486-E499+E500</f>
        <v>338.729275558564</v>
      </c>
      <c r="F501" s="59" t="n">
        <f aca="false">F489-F490-F491-F492-F497-F484-F485-F486-F499+F500</f>
        <v>375.290557456183</v>
      </c>
      <c r="G501" s="59" t="n">
        <f aca="false">G489-G490-G491-G492-G497-G484-G485-G486-G499+G500</f>
        <v>340.937092363195</v>
      </c>
      <c r="H501" s="59" t="n">
        <f aca="false">H489-H490-H491-H492-H497-H484-H485-H486-H499+H500</f>
        <v>319.4113128741</v>
      </c>
      <c r="I501" s="59" t="n">
        <f aca="false">I489-I490-I491-I492-I497-I484-I485-I486-I499+I500</f>
        <v>380.043771461771</v>
      </c>
      <c r="J501" s="59" t="n">
        <f aca="false">J489-J490-J491-J492-J497-J484-J485-J486-J499+J500</f>
        <v>370.176440865334</v>
      </c>
      <c r="K501" s="59" t="n">
        <f aca="false">K489-K490-K491-K492-K497-K484-K485-K486-K499+K500</f>
        <v>368.846516819335</v>
      </c>
      <c r="L501" s="59" t="n">
        <f aca="false">L489-L490-L491-L492-L497-L484-L485-L486-L499+L500</f>
        <v>599.626451509301</v>
      </c>
    </row>
    <row r="502" customFormat="false" ht="15" hidden="true" customHeight="false" outlineLevel="1" collapsed="false">
      <c r="A502" s="9" t="s">
        <v>423</v>
      </c>
      <c r="B502" s="58" t="n">
        <f aca="false">B501*B481</f>
        <v>-1018.82099294178</v>
      </c>
      <c r="C502" s="58" t="n">
        <f aca="false">C501*C481</f>
        <v>-437.293350127354</v>
      </c>
      <c r="D502" s="58" t="n">
        <f aca="false">D501*D481</f>
        <v>545.803326749997</v>
      </c>
      <c r="E502" s="58" t="n">
        <f aca="false">E501*E481</f>
        <v>409.729777041554</v>
      </c>
      <c r="F502" s="58" t="n">
        <f aca="false">F501*F481</f>
        <v>472.112795169269</v>
      </c>
      <c r="G502" s="58" t="n">
        <f aca="false">G501*G481</f>
        <v>446.052241050894</v>
      </c>
      <c r="H502" s="58" t="n">
        <f aca="false">H501*H481</f>
        <v>434.605387681415</v>
      </c>
      <c r="I502" s="58" t="n">
        <f aca="false">I501*I481</f>
        <v>537.788821290247</v>
      </c>
      <c r="J502" s="58" t="n">
        <f aca="false">J501*J481</f>
        <v>544.778884490436</v>
      </c>
      <c r="K502" s="58" t="n">
        <f aca="false">K501*K481</f>
        <v>564.534537237838</v>
      </c>
      <c r="L502" s="58" t="n">
        <f aca="false">L501*L481</f>
        <v>954.462680051667</v>
      </c>
    </row>
    <row r="503" customFormat="false" ht="15" hidden="true" customHeight="false" outlineLevel="1" collapsed="false">
      <c r="A503" s="6" t="s">
        <v>424</v>
      </c>
      <c r="B503" s="29" t="n">
        <f aca="false">B501</f>
        <v>-961.151880133756</v>
      </c>
      <c r="C503" s="29" t="n">
        <f aca="false">B503+C501</f>
        <v>-1354.04797189238</v>
      </c>
      <c r="D503" s="29" t="n">
        <f aca="false">C503+D501</f>
        <v>-884.77588365292</v>
      </c>
      <c r="E503" s="29" t="n">
        <f aca="false">D503+E501</f>
        <v>-546.046608094356</v>
      </c>
      <c r="F503" s="29" t="n">
        <f aca="false">E503+F501</f>
        <v>-170.756050638173</v>
      </c>
      <c r="G503" s="29" t="n">
        <f aca="false">F503+G501</f>
        <v>170.181041725021</v>
      </c>
      <c r="H503" s="29" t="n">
        <f aca="false">G503+H501</f>
        <v>489.592354599121</v>
      </c>
      <c r="I503" s="29" t="n">
        <f aca="false">H503+I501</f>
        <v>869.636126060892</v>
      </c>
      <c r="J503" s="29" t="n">
        <f aca="false">I503+J501</f>
        <v>1239.81256692623</v>
      </c>
      <c r="K503" s="29" t="n">
        <f aca="false">J503+K501</f>
        <v>1608.65908374556</v>
      </c>
      <c r="L503" s="29" t="n">
        <f aca="false">K503+L501</f>
        <v>2208.28553525486</v>
      </c>
    </row>
    <row r="504" customFormat="false" ht="15" hidden="true" customHeight="false" outlineLevel="1" collapsed="false">
      <c r="A504" s="9" t="s">
        <v>425</v>
      </c>
      <c r="B504" s="60" t="n">
        <v>0</v>
      </c>
      <c r="C504" s="60" t="n">
        <f aca="false">IF(AND(B503&lt;0,C503&gt;=0),B$47+(-B503)/C501,0)</f>
        <v>0</v>
      </c>
      <c r="D504" s="60" t="n">
        <f aca="false">IF(AND(C503&lt;0,D503&gt;=0),C$47+(-C503)/D501,0)</f>
        <v>0</v>
      </c>
      <c r="E504" s="60" t="n">
        <f aca="false">IF(AND(D503&lt;0,E503&gt;=0),D$47+(-D503)/E501,0)</f>
        <v>0</v>
      </c>
      <c r="F504" s="60" t="n">
        <f aca="false">IF(AND(E503&lt;0,F503&gt;=0),E$47+(-E503)/F501,0)</f>
        <v>0</v>
      </c>
      <c r="G504" s="60" t="n">
        <f aca="false">IF(AND(F503&lt;0,G503&gt;=0),F$47+(-F503)/G501,0)</f>
        <v>4.5008432771412</v>
      </c>
      <c r="H504" s="60" t="n">
        <f aca="false">IF(AND(G503&lt;0,H503&gt;=0),G$47+(-G503)/H501,0)</f>
        <v>0</v>
      </c>
      <c r="I504" s="60" t="n">
        <f aca="false">IF(AND(H503&lt;0,I503&gt;=0),H$47+(-H503)/I501,0)</f>
        <v>0</v>
      </c>
      <c r="J504" s="60" t="n">
        <f aca="false">IF(AND(I503&lt;0,J503&gt;=0),I$47+(-I503)/J501,0)</f>
        <v>0</v>
      </c>
      <c r="K504" s="60" t="n">
        <f aca="false">IF(AND(J503&lt;0,K503&gt;=0),J$47+(-J503)/K501,0)</f>
        <v>0</v>
      </c>
      <c r="L504" s="60" t="n">
        <f aca="false">IF(AND(K503&lt;0,L503&gt;=0),K$47+(-K503)/L501,0)</f>
        <v>0</v>
      </c>
    </row>
    <row r="505" customFormat="false" ht="15" hidden="true" customHeight="false" outlineLevel="1" collapsed="false">
      <c r="A505" s="9" t="s">
        <v>426</v>
      </c>
      <c r="B505" s="57" t="n">
        <f aca="false">(B481/$B$481)/(1+$L$29)^B$47</f>
        <v>1</v>
      </c>
      <c r="C505" s="57" t="n">
        <f aca="false">(C481/$B$481)/(1+$L$29)^C$47</f>
        <v>0.915373701313561</v>
      </c>
      <c r="D505" s="57" t="n">
        <f aca="false">(D481/$B$481)/(1+$L$29)^D$47</f>
        <v>0.833918970137172</v>
      </c>
      <c r="E505" s="57" t="n">
        <f aca="false">(E481/$B$481)/(1+$L$29)^E$47</f>
        <v>0.756077518153961</v>
      </c>
      <c r="F505" s="57" t="n">
        <f aca="false">(F481/$B$481)/(1+$L$29)^F$47</f>
        <v>0.685502109831871</v>
      </c>
      <c r="G505" s="57" t="n">
        <f aca="false">(G481/$B$481)/(1+$L$29)^G$47</f>
        <v>0.621514502549008</v>
      </c>
      <c r="H505" s="57" t="n">
        <f aca="false">(H481/$B$481)/(1+$L$29)^H$47</f>
        <v>0.563499763660072</v>
      </c>
      <c r="I505" s="57" t="n">
        <f aca="false">(I481/$B$481)/(1+$L$29)^I$47</f>
        <v>0.510900360880829</v>
      </c>
      <c r="J505" s="57" t="n">
        <f aca="false">(J481/$B$481)/(1+$L$29)^J$47</f>
        <v>0.463210804300567</v>
      </c>
      <c r="K505" s="57" t="n">
        <f aca="false">(K481/$B$481)/(1+$L$29)^K$47</f>
        <v>0.419972788531318</v>
      </c>
      <c r="L505" s="57" t="n">
        <f aca="false">(L481/$B$481)/(1+$L$29)^L$47</f>
        <v>0.380770788308996</v>
      </c>
    </row>
    <row r="506" customFormat="false" ht="15" hidden="true" customHeight="false" outlineLevel="1" collapsed="false">
      <c r="A506" s="9" t="s">
        <v>427</v>
      </c>
      <c r="B506" s="58" t="n">
        <f aca="false">B501*B505</f>
        <v>-961.151880133756</v>
      </c>
      <c r="C506" s="58" t="n">
        <f aca="false">C501*C505</f>
        <v>-359.646749744728</v>
      </c>
      <c r="D506" s="58" t="n">
        <f aca="false">D501*D505</f>
        <v>391.334896538774</v>
      </c>
      <c r="E506" s="58" t="n">
        <f aca="false">E501*E505</f>
        <v>256.105589990408</v>
      </c>
      <c r="F506" s="58" t="n">
        <f aca="false">F501*F505</f>
        <v>257.262468936193</v>
      </c>
      <c r="G506" s="58" t="n">
        <f aca="false">G501*G505</f>
        <v>211.897347360616</v>
      </c>
      <c r="H506" s="58" t="n">
        <f aca="false">H501*H505</f>
        <v>179.988199314908</v>
      </c>
      <c r="I506" s="58" t="n">
        <f aca="false">I501*I505</f>
        <v>194.16449999033</v>
      </c>
      <c r="J506" s="58" t="n">
        <f aca="false">J501*J505</f>
        <v>171.469726906353</v>
      </c>
      <c r="K506" s="58" t="n">
        <f aca="false">K501*K505</f>
        <v>154.90550020868</v>
      </c>
      <c r="L506" s="58" t="n">
        <f aca="false">L501*L505</f>
        <v>228.320236632122</v>
      </c>
    </row>
    <row r="507" customFormat="false" ht="15" hidden="true" customHeight="false" outlineLevel="1" collapsed="false">
      <c r="A507" s="9" t="s">
        <v>428</v>
      </c>
      <c r="B507" s="58" t="n">
        <f aca="false">B506</f>
        <v>-961.151880133756</v>
      </c>
      <c r="C507" s="58" t="n">
        <f aca="false">B507+C506</f>
        <v>-1320.79862987848</v>
      </c>
      <c r="D507" s="58" t="n">
        <f aca="false">C507+D506</f>
        <v>-929.46373333971</v>
      </c>
      <c r="E507" s="58" t="n">
        <f aca="false">D507+E506</f>
        <v>-673.358143349302</v>
      </c>
      <c r="F507" s="58" t="n">
        <f aca="false">E507+F506</f>
        <v>-416.095674413109</v>
      </c>
      <c r="G507" s="58" t="n">
        <f aca="false">F507+G506</f>
        <v>-204.198327052493</v>
      </c>
      <c r="H507" s="58" t="n">
        <f aca="false">G507+H506</f>
        <v>-24.2101277375848</v>
      </c>
      <c r="I507" s="58" t="n">
        <f aca="false">H507+I506</f>
        <v>169.954372252746</v>
      </c>
      <c r="J507" s="58" t="n">
        <f aca="false">I507+J506</f>
        <v>341.424099159098</v>
      </c>
      <c r="K507" s="58" t="n">
        <f aca="false">J507+K506</f>
        <v>496.329599367778</v>
      </c>
      <c r="L507" s="58" t="n">
        <f aca="false">K507+L506</f>
        <v>724.649835999901</v>
      </c>
    </row>
    <row r="508" customFormat="false" ht="15" hidden="true" customHeight="false" outlineLevel="1" collapsed="false">
      <c r="A508" s="9" t="s">
        <v>429</v>
      </c>
      <c r="B508" s="60" t="n">
        <v>0</v>
      </c>
      <c r="C508" s="60" t="n">
        <f aca="false">IF(AND(B507&lt;0,C507&gt;=0),B$47+(-B507)/C506,0)</f>
        <v>0</v>
      </c>
      <c r="D508" s="60" t="n">
        <f aca="false">IF(AND(C507&lt;0,D507&gt;=0),C$47+(-C507)/D506,0)</f>
        <v>0</v>
      </c>
      <c r="E508" s="60" t="n">
        <f aca="false">IF(AND(D507&lt;0,E507&gt;=0),D$47+(-D507)/E506,0)</f>
        <v>0</v>
      </c>
      <c r="F508" s="60" t="n">
        <f aca="false">IF(AND(E507&lt;0,F507&gt;=0),E$47+(-E507)/F506,0)</f>
        <v>0</v>
      </c>
      <c r="G508" s="60" t="n">
        <f aca="false">IF(AND(F507&lt;0,G507&gt;=0),F$47+(-F507)/G506,0)</f>
        <v>0</v>
      </c>
      <c r="H508" s="60" t="n">
        <f aca="false">IF(AND(G507&lt;0,H507&gt;=0),G$47+(-G507)/H506,0)</f>
        <v>0</v>
      </c>
      <c r="I508" s="60" t="n">
        <f aca="false">IF(AND(H507&lt;0,I507&gt;=0),H$47+(-H507)/I506,0)</f>
        <v>6.1246887445377</v>
      </c>
      <c r="J508" s="60" t="n">
        <f aca="false">IF(AND(I507&lt;0,J507&gt;=0),I$47+(-I507)/J506,0)</f>
        <v>0</v>
      </c>
      <c r="K508" s="60" t="n">
        <f aca="false">IF(AND(J507&lt;0,K507&gt;=0),J$47+(-J507)/K506,0)</f>
        <v>0</v>
      </c>
      <c r="L508" s="60" t="n">
        <f aca="false">IF(AND(K507&lt;0,L507&gt;=0),K$47+(-K507)/L506,0)</f>
        <v>0</v>
      </c>
    </row>
    <row r="509" customFormat="false" ht="15" hidden="true" customHeight="false" outlineLevel="1" collapsed="false">
      <c r="A509" s="9" t="s">
        <v>430</v>
      </c>
      <c r="B509" s="58" t="n">
        <f aca="false">IF(B$47&lt;0,0,(Quesería!$B$44*$B$484*$B$481)*(1-MAX(0,MIN(B$47-0-Quesería!$B$47,(Quesería!$B$46-Quesería!$B$47)))/(Quesería!$B$46-Quesería!$B$47))*IF(B$47&gt;=2,1-Quesería!$B$48,1))+IF(B$47&lt;1,0,(Quesería!$B$44*$C$484*$C$481)*(1-MAX(0,MIN(B$47-1-Quesería!$B$47,(Quesería!$B$46-Quesería!$B$47)))/(Quesería!$B$46-Quesería!$B$47))*IF(B$47&gt;=2,1-Quesería!$B$48,1))</f>
        <v>641.321364968425</v>
      </c>
      <c r="C509" s="58" t="n">
        <f aca="false">IF(C$47&lt;0,0,(Quesería!$B$44*$B$484*$B$481)*(1-MAX(0,MIN(C$47-0-Quesería!$B$47,(Quesería!$B$46-Quesería!$B$47)))/(Quesería!$B$46-Quesería!$B$47))*IF(C$47&gt;=2,1-Quesería!$B$48,1))+IF(C$47&lt;1,0,(Quesería!$B$44*$C$484*$C$481)*(1-MAX(0,MIN(C$47-1-Quesería!$B$47,(Quesería!$B$46-Quesería!$B$47)))/(Quesería!$B$46-Quesería!$B$47))*IF(C$47&gt;=2,1-Quesería!$B$48,1))</f>
        <v>1117.69081125409</v>
      </c>
      <c r="D509" s="58" t="n">
        <f aca="false">IF(D$47&lt;0,0,(Quesería!$B$44*$B$484*$B$481)*(1-MAX(0,MIN(D$47-0-Quesería!$B$47,(Quesería!$B$46-Quesería!$B$47)))/(Quesería!$B$46-Quesería!$B$47))*IF(D$47&gt;=2,1-Quesería!$B$48,1))+IF(D$47&lt;1,0,(Quesería!$B$44*$C$484*$C$481)*(1-MAX(0,MIN(D$47-1-Quesería!$B$47,(Quesería!$B$46-Quesería!$B$47)))/(Quesería!$B$46-Quesería!$B$47))*IF(D$47&gt;=2,1-Quesería!$B$48,1))</f>
        <v>1010.80391709269</v>
      </c>
      <c r="E509" s="58" t="n">
        <f aca="false">IF(E$47&lt;0,0,(Quesería!$B$44*$B$484*$B$481)*(1-MAX(0,MIN(E$47-0-Quesería!$B$47,(Quesería!$B$46-Quesería!$B$47)))/(Quesería!$B$46-Quesería!$B$47))*IF(E$47&gt;=2,1-Quesería!$B$48,1))+IF(E$47&lt;1,0,(Quesería!$B$44*$C$484*$C$481)*(1-MAX(0,MIN(E$47-1-Quesería!$B$47,(Quesería!$B$46-Quesería!$B$47)))/(Quesería!$B$46-Quesería!$B$47))*IF(E$47&gt;=2,1-Quesería!$B$48,1))</f>
        <v>824.522115217005</v>
      </c>
      <c r="F509" s="58" t="n">
        <f aca="false">IF(F$47&lt;0,0,(Quesería!$B$44*$B$484*$B$481)*(1-MAX(0,MIN(F$47-0-Quesería!$B$47,(Quesería!$B$46-Quesería!$B$47)))/(Quesería!$B$46-Quesería!$B$47))*IF(F$47&gt;=2,1-Quesería!$B$48,1))+IF(F$47&lt;1,0,(Quesería!$B$44*$C$484*$C$481)*(1-MAX(0,MIN(F$47-1-Quesería!$B$47,(Quesería!$B$46-Quesería!$B$47)))/(Quesería!$B$46-Quesería!$B$47))*IF(F$47&gt;=2,1-Quesería!$B$48,1))</f>
        <v>638.240313341323</v>
      </c>
      <c r="G509" s="58" t="n">
        <f aca="false">IF(G$47&lt;0,0,(Quesería!$B$44*$B$484*$B$481)*(1-MAX(0,MIN(G$47-0-Quesería!$B$47,(Quesería!$B$46-Quesería!$B$47)))/(Quesería!$B$46-Quesería!$B$47))*IF(G$47&gt;=2,1-Quesería!$B$48,1))+IF(G$47&lt;1,0,(Quesería!$B$44*$C$484*$C$481)*(1-MAX(0,MIN(G$47-1-Quesería!$B$47,(Quesería!$B$46-Quesería!$B$47)))/(Quesería!$B$46-Quesería!$B$47))*IF(G$47&gt;=2,1-Quesería!$B$48,1))</f>
        <v>451.958511465641</v>
      </c>
      <c r="H509" s="58" t="n">
        <f aca="false">IF(H$47&lt;0,0,(Quesería!$B$44*$B$484*$B$481)*(1-MAX(0,MIN(H$47-0-Quesería!$B$47,(Quesería!$B$46-Quesería!$B$47)))/(Quesería!$B$46-Quesería!$B$47))*IF(H$47&gt;=2,1-Quesería!$B$48,1))+IF(H$47&lt;1,0,(Quesería!$B$44*$C$484*$C$481)*(1-MAX(0,MIN(H$47-1-Quesería!$B$47,(Quesería!$B$46-Quesería!$B$47)))/(Quesería!$B$46-Quesería!$B$47))*IF(H$47&gt;=2,1-Quesería!$B$48,1))</f>
        <v>265.67670958996</v>
      </c>
      <c r="I509" s="58" t="n">
        <f aca="false">IF(I$47&lt;0,0,(Quesería!$B$44*$B$484*$B$481)*(1-MAX(0,MIN(I$47-0-Quesería!$B$47,(Quesería!$B$46-Quesería!$B$47)))/(Quesería!$B$46-Quesería!$B$47))*IF(I$47&gt;=2,1-Quesería!$B$48,1))+IF(I$47&lt;1,0,(Quesería!$B$44*$C$484*$C$481)*(1-MAX(0,MIN(I$47-1-Quesería!$B$47,(Quesería!$B$46-Quesería!$B$47)))/(Quesería!$B$46-Quesería!$B$47))*IF(I$47&gt;=2,1-Quesería!$B$48,1))</f>
        <v>79.3949077142776</v>
      </c>
      <c r="J509" s="58" t="n">
        <f aca="false">IF(J$47&lt;0,0,(Quesería!$B$44*$B$484*$B$481)*(1-MAX(0,MIN(J$47-0-Quesería!$B$47,(Quesería!$B$46-Quesería!$B$47)))/(Quesería!$B$46-Quesería!$B$47))*IF(J$47&gt;=2,1-Quesería!$B$48,1))+IF(J$47&lt;1,0,(Quesería!$B$44*$C$484*$C$481)*(1-MAX(0,MIN(J$47-1-Quesería!$B$47,(Quesería!$B$46-Quesería!$B$47)))/(Quesería!$B$46-Quesería!$B$47))*IF(J$47&gt;=2,1-Quesería!$B$48,1))</f>
        <v>0</v>
      </c>
      <c r="K509" s="58" t="n">
        <f aca="false">IF(K$47&lt;0,0,(Quesería!$B$44*$B$484*$B$481)*(1-MAX(0,MIN(K$47-0-Quesería!$B$47,(Quesería!$B$46-Quesería!$B$47)))/(Quesería!$B$46-Quesería!$B$47))*IF(K$47&gt;=2,1-Quesería!$B$48,1))+IF(K$47&lt;1,0,(Quesería!$B$44*$C$484*$C$481)*(1-MAX(0,MIN(K$47-1-Quesería!$B$47,(Quesería!$B$46-Quesería!$B$47)))/(Quesería!$B$46-Quesería!$B$47))*IF(K$47&gt;=2,1-Quesería!$B$48,1))</f>
        <v>0</v>
      </c>
      <c r="L509" s="58" t="n">
        <f aca="false">IF(L$47&lt;0,0,(Quesería!$B$44*$B$484*$B$481)*(1-MAX(0,MIN(L$47-0-Quesería!$B$47,(Quesería!$B$46-Quesería!$B$47)))/(Quesería!$B$46-Quesería!$B$47))*IF(L$47&gt;=2,1-Quesería!$B$48,1))+IF(L$47&lt;1,0,(Quesería!$B$44*$C$484*$C$481)*(1-MAX(0,MIN(L$47-1-Quesería!$B$47,(Quesería!$B$46-Quesería!$B$47)))/(Quesería!$B$46-Quesería!$B$47))*IF(L$47&gt;=2,1-Quesería!$B$48,1))</f>
        <v>0</v>
      </c>
    </row>
    <row r="510" customFormat="false" ht="15" hidden="true" customHeight="false" outlineLevel="1" collapsed="false">
      <c r="A510" s="6" t="s">
        <v>431</v>
      </c>
      <c r="B510" s="29" t="n">
        <f aca="false">Quesería!$B$44*B484</f>
        <v>605.02015563059</v>
      </c>
      <c r="C510" s="29" t="n">
        <f aca="false">Quesería!$B$44*C484</f>
        <v>428.004893338424</v>
      </c>
      <c r="D510" s="29" t="n">
        <f aca="false">Quesería!$B$44*D484</f>
        <v>0</v>
      </c>
      <c r="E510" s="29" t="n">
        <f aca="false">Quesería!$B$44*E484</f>
        <v>0</v>
      </c>
      <c r="F510" s="29" t="n">
        <f aca="false">Quesería!$B$44*F484</f>
        <v>0</v>
      </c>
      <c r="G510" s="29" t="n">
        <f aca="false">Quesería!$B$44*G484</f>
        <v>0</v>
      </c>
      <c r="H510" s="29" t="n">
        <f aca="false">Quesería!$B$44*H484</f>
        <v>0</v>
      </c>
      <c r="I510" s="29" t="n">
        <f aca="false">Quesería!$B$44*I484</f>
        <v>0</v>
      </c>
      <c r="J510" s="29" t="n">
        <f aca="false">Quesería!$B$44*J484</f>
        <v>0</v>
      </c>
      <c r="K510" s="29" t="n">
        <f aca="false">Quesería!$B$44*K484</f>
        <v>0</v>
      </c>
      <c r="L510" s="29" t="n">
        <f aca="false">Quesería!$B$44*L484</f>
        <v>0</v>
      </c>
    </row>
    <row r="511" customFormat="false" ht="15" hidden="true" customHeight="false" outlineLevel="1" collapsed="false">
      <c r="A511" s="6" t="s">
        <v>432</v>
      </c>
      <c r="B511" s="29" t="n">
        <f aca="false">(IF(AND(B$47&gt;0,B$47&lt;=0+Quesería!$B$46),($L$14+$L$28)*(Quesería!$B$44*$B$484*$B$481)*(1-MAX(0,MIN((B$47-1)-0-Quesería!$B$47,(Quesería!$B$46-Quesería!$B$47)))/(Quesería!$B$46-Quesería!$B$47))*IF(B$47&gt;2,1-Quesería!$B$48,1),0)+IF(AND(B$47&gt;1,B$47&lt;=1+Quesería!$B$46),($L$14+$L$28)*(Quesería!$B$44*$C$484*$C$481)*(1-MAX(0,MIN((B$47-1)-1-Quesería!$B$47,(Quesería!$B$46-Quesería!$B$47)))/(Quesería!$B$46-Quesería!$B$47))*IF(B$47&gt;2,1-Quesería!$B$48,1),0))*B483</f>
        <v>0</v>
      </c>
      <c r="C511" s="29" t="n">
        <f aca="false">(IF(AND(C$47&gt;0,C$47&lt;=0+Quesería!$B$46),($L$14+$L$28)*(Quesería!$B$44*$B$484*$B$481)*(1-MAX(0,MIN((C$47-1)-0-Quesería!$B$47,(Quesería!$B$46-Quesería!$B$47)))/(Quesería!$B$46-Quesería!$B$47))*IF(C$47&gt;2,1-Quesería!$B$48,1),0)+IF(AND(C$47&gt;1,C$47&lt;=1+Quesería!$B$46),($L$14+$L$28)*(Quesería!$B$44*$C$484*$C$481)*(1-MAX(0,MIN((C$47-1)-1-Quesería!$B$47,(Quesería!$B$46-Quesería!$B$47)))/(Quesería!$B$46-Quesería!$B$47))*IF(C$47&gt;2,1-Quesería!$B$48,1),0))*C483</f>
        <v>81.2455637561078</v>
      </c>
      <c r="D511" s="29" t="n">
        <f aca="false">(IF(AND(D$47&gt;0,D$47&lt;=0+Quesería!$B$46),($L$14+$L$28)*(Quesería!$B$44*$B$484*$B$481)*(1-MAX(0,MIN((D$47-1)-0-Quesería!$B$47,(Quesería!$B$46-Quesería!$B$47)))/(Quesería!$B$46-Quesería!$B$47))*IF(D$47&gt;2,1-Quesería!$B$48,1),0)+IF(AND(D$47&gt;1,D$47&lt;=1+Quesería!$B$46),($L$14+$L$28)*(Quesería!$B$44*$C$484*$C$481)*(1-MAX(0,MIN((D$47-1)-1-Quesería!$B$47,(Quesería!$B$46-Quesería!$B$47)))/(Quesería!$B$46-Quesería!$B$47))*IF(D$47&gt;2,1-Quesería!$B$48,1),0))*D483</f>
        <v>135.496893508924</v>
      </c>
      <c r="E511" s="29" t="n">
        <f aca="false">(IF(AND(E$47&gt;0,E$47&lt;=0+Quesería!$B$46),($L$14+$L$28)*(Quesería!$B$44*$B$484*$B$481)*(1-MAX(0,MIN((E$47-1)-0-Quesería!$B$47,(Quesería!$B$46-Quesería!$B$47)))/(Quesería!$B$46-Quesería!$B$47))*IF(E$47&gt;2,1-Quesería!$B$48,1),0)+IF(AND(E$47&gt;1,E$47&lt;=1+Quesería!$B$46),($L$14+$L$28)*(Quesería!$B$44*$C$484*$C$481)*(1-MAX(0,MIN((E$47-1)-1-Quesería!$B$47,(Quesería!$B$46-Quesería!$B$47)))/(Quesería!$B$46-Quesería!$B$47))*IF(E$47&gt;2,1-Quesería!$B$48,1),0))*E483</f>
        <v>117.826027258135</v>
      </c>
      <c r="F511" s="29" t="n">
        <f aca="false">(IF(AND(F$47&gt;0,F$47&lt;=0+Quesería!$B$46),($L$14+$L$28)*(Quesería!$B$44*$B$484*$B$481)*(1-MAX(0,MIN((F$47-1)-0-Quesería!$B$47,(Quesería!$B$46-Quesería!$B$47)))/(Quesería!$B$46-Quesería!$B$47))*IF(F$47&gt;2,1-Quesería!$B$48,1),0)+IF(AND(F$47&gt;1,F$47&lt;=1+Quesería!$B$46),($L$14+$L$28)*(Quesería!$B$44*$C$484*$C$481)*(1-MAX(0,MIN((F$47-1)-1-Quesería!$B$47,(Quesería!$B$46-Quesería!$B$47)))/(Quesería!$B$46-Quesería!$B$47))*IF(F$47&gt;2,1-Quesería!$B$48,1),0))*F483</f>
        <v>92.4151745225957</v>
      </c>
      <c r="G511" s="29" t="n">
        <f aca="false">(IF(AND(G$47&gt;0,G$47&lt;=0+Quesería!$B$46),($L$14+$L$28)*(Quesería!$B$44*$B$484*$B$481)*(1-MAX(0,MIN((G$47-1)-0-Quesería!$B$47,(Quesería!$B$46-Quesería!$B$47)))/(Quesería!$B$46-Quesería!$B$47))*IF(G$47&gt;2,1-Quesería!$B$48,1),0)+IF(AND(G$47&gt;1,G$47&lt;=1+Quesería!$B$46),($L$14+$L$28)*(Quesería!$B$44*$C$484*$C$481)*(1-MAX(0,MIN((G$47-1)-1-Quesería!$B$47,(Quesería!$B$46-Quesería!$B$47)))/(Quesería!$B$46-Quesería!$B$47))*IF(G$47&gt;2,1-Quesería!$B$48,1),0))*G483</f>
        <v>68.7847039098228</v>
      </c>
      <c r="H511" s="29" t="n">
        <f aca="false">(IF(AND(H$47&gt;0,H$47&lt;=0+Quesería!$B$46),($L$14+$L$28)*(Quesería!$B$44*$B$484*$B$481)*(1-MAX(0,MIN((H$47-1)-0-Quesería!$B$47,(Quesería!$B$46-Quesería!$B$47)))/(Quesería!$B$46-Quesería!$B$47))*IF(H$47&gt;2,1-Quesería!$B$48,1),0)+IF(AND(H$47&gt;1,H$47&lt;=1+Quesería!$B$46),($L$14+$L$28)*(Quesería!$B$44*$C$484*$C$481)*(1-MAX(0,MIN((H$47-1)-1-Quesería!$B$47,(Quesería!$B$46-Quesería!$B$47)))/(Quesería!$B$46-Quesería!$B$47))*IF(H$47&gt;2,1-Quesería!$B$48,1),0))*H483</f>
        <v>46.8352529676735</v>
      </c>
      <c r="I511" s="29" t="n">
        <f aca="false">(IF(AND(I$47&gt;0,I$47&lt;=0+Quesería!$B$46),($L$14+$L$28)*(Quesería!$B$44*$B$484*$B$481)*(1-MAX(0,MIN((I$47-1)-0-Quesería!$B$47,(Quesería!$B$46-Quesería!$B$47)))/(Quesería!$B$46-Quesería!$B$47))*IF(I$47&gt;2,1-Quesería!$B$48,1),0)+IF(AND(I$47&gt;1,I$47&lt;=1+Quesería!$B$46),($L$14+$L$28)*(Quesería!$B$44*$C$484*$C$481)*(1-MAX(0,MIN((I$47-1)-1-Quesería!$B$47,(Quesería!$B$46-Quesería!$B$47)))/(Quesería!$B$46-Quesería!$B$47))*IF(I$47&gt;2,1-Quesería!$B$48,1),0))*I483</f>
        <v>26.4724688081898</v>
      </c>
      <c r="J511" s="29" t="n">
        <f aca="false">(IF(AND(J$47&gt;0,J$47&lt;=0+Quesería!$B$46),($L$14+$L$28)*(Quesería!$B$44*$B$484*$B$481)*(1-MAX(0,MIN((J$47-1)-0-Quesería!$B$47,(Quesería!$B$46-Quesería!$B$47)))/(Quesería!$B$46-Quesería!$B$47))*IF(J$47&gt;2,1-Quesería!$B$48,1),0)+IF(AND(J$47&gt;1,J$47&lt;=1+Quesería!$B$46),($L$14+$L$28)*(Quesería!$B$44*$C$484*$C$481)*(1-MAX(0,MIN((J$47-1)-1-Quesería!$B$47,(Quesería!$B$46-Quesería!$B$47)))/(Quesería!$B$46-Quesería!$B$47))*IF(J$47&gt;2,1-Quesería!$B$48,1),0))*J483</f>
        <v>7.60676974238282</v>
      </c>
      <c r="K511" s="29" t="n">
        <f aca="false">(IF(AND(K$47&gt;0,K$47&lt;=0+Quesería!$B$46),($L$14+$L$28)*(Quesería!$B$44*$B$484*$B$481)*(1-MAX(0,MIN((K$47-1)-0-Quesería!$B$47,(Quesería!$B$46-Quesería!$B$47)))/(Quesería!$B$46-Quesería!$B$47))*IF(K$47&gt;2,1-Quesería!$B$48,1),0)+IF(AND(K$47&gt;1,K$47&lt;=1+Quesería!$B$46),($L$14+$L$28)*(Quesería!$B$44*$C$484*$C$481)*(1-MAX(0,MIN((K$47-1)-1-Quesería!$B$47,(Quesería!$B$46-Quesería!$B$47)))/(Quesería!$B$46-Quesería!$B$47))*IF(K$47&gt;2,1-Quesería!$B$48,1),0))*K483</f>
        <v>0</v>
      </c>
      <c r="L511" s="29" t="n">
        <f aca="false">(IF(AND(L$47&gt;0,L$47&lt;=0+Quesería!$B$46),($L$14+$L$28)*(Quesería!$B$44*$B$484*$B$481)*(1-MAX(0,MIN((L$47-1)-0-Quesería!$B$47,(Quesería!$B$46-Quesería!$B$47)))/(Quesería!$B$46-Quesería!$B$47))*IF(L$47&gt;2,1-Quesería!$B$48,1),0)+IF(AND(L$47&gt;1,L$47&lt;=1+Quesería!$B$46),($L$14+$L$28)*(Quesería!$B$44*$C$484*$C$481)*(1-MAX(0,MIN((L$47-1)-1-Quesería!$B$47,(Quesería!$B$46-Quesería!$B$47)))/(Quesería!$B$46-Quesería!$B$47))*IF(L$47&gt;2,1-Quesería!$B$48,1),0))*L483</f>
        <v>0</v>
      </c>
    </row>
    <row r="512" customFormat="false" ht="15" hidden="true" customHeight="false" outlineLevel="1" collapsed="false">
      <c r="A512" s="6" t="s">
        <v>433</v>
      </c>
      <c r="B512" s="29" t="n">
        <f aca="false">((IF(AND(B$47&gt;0+Quesería!$B$47,B$47&lt;=0+Quesería!$B$46),(Quesería!$B$44*$B$484*$B$481)/(Quesería!$B$46-Quesería!$B$47),0)*IF(B$47&gt;2,1-Quesería!$B$48,1)+IF(B$47=2,Quesería!$B$48*(Quesería!$B$44*$B$484*$B$481)*(1-MAX(0,MIN(2-0-Quesería!$B$47,(Quesería!$B$46-Quesería!$B$47)))/(Quesería!$B$46-Quesería!$B$47)),0))+(IF(AND(B$47&gt;1+Quesería!$B$47,B$47&lt;=1+Quesería!$B$46),(Quesería!$B$44*$C$484*$C$481)/(Quesería!$B$46-Quesería!$B$47),0)*IF(B$47&gt;2,1-Quesería!$B$48,1)+IF(B$47=2,Quesería!$B$48*(Quesería!$B$44*$C$484*$C$481)*(1-MAX(0,MIN(2-1-Quesería!$B$47,(Quesería!$B$46-Quesería!$B$47)))/(Quesería!$B$46-Quesería!$B$47)),0)))*B483</f>
        <v>0</v>
      </c>
      <c r="C512" s="29" t="n">
        <f aca="false">((IF(AND(C$47&gt;0+Quesería!$B$47,C$47&lt;=0+Quesería!$B$46),(Quesería!$B$44*$B$484*$B$481)/(Quesería!$B$46-Quesería!$B$47),0)*IF(C$47&gt;2,1-Quesería!$B$48,1)+IF(C$47=2,Quesería!$B$48*(Quesería!$B$44*$B$484*$B$481)*(1-MAX(0,MIN(2-0-Quesería!$B$47,(Quesería!$B$46-Quesería!$B$47)))/(Quesería!$B$46-Quesería!$B$47)),0))+(IF(AND(C$47&gt;1+Quesería!$B$47,C$47&lt;=1+Quesería!$B$46),(Quesería!$B$44*$C$484*$C$481)/(Quesería!$B$46-Quesería!$B$47),0)*IF(C$47&gt;2,1-Quesería!$B$48,1)+IF(C$47=2,Quesería!$B$48*(Quesería!$B$44*$C$484*$C$481)*(1-MAX(0,MIN(2-1-Quesería!$B$47,(Quesería!$B$46-Quesería!$B$47)))/(Quesería!$B$46-Quesería!$B$47)),0)))*C483</f>
        <v>0</v>
      </c>
      <c r="D512" s="29" t="n">
        <f aca="false">((IF(AND(D$47&gt;0+Quesería!$B$47,D$47&lt;=0+Quesería!$B$46),(Quesería!$B$44*$B$484*$B$481)/(Quesería!$B$46-Quesería!$B$47),0)*IF(D$47&gt;2,1-Quesería!$B$48,1)+IF(D$47=2,Quesería!$B$48*(Quesería!$B$44*$B$484*$B$481)*(1-MAX(0,MIN(2-0-Quesería!$B$47,(Quesería!$B$46-Quesería!$B$47)))/(Quesería!$B$46-Quesería!$B$47)),0))+(IF(AND(D$47&gt;1+Quesería!$B$47,D$47&lt;=1+Quesería!$B$46),(Quesería!$B$44*$C$484*$C$481)/(Quesería!$B$46-Quesería!$B$47),0)*IF(D$47&gt;2,1-Quesería!$B$48,1)+IF(D$47=2,Quesería!$B$48*(Quesería!$B$44*$C$484*$C$481)*(1-MAX(0,MIN(2-1-Quesería!$B$47,(Quesería!$B$46-Quesería!$B$47)))/(Quesería!$B$46-Quesería!$B$47)),0)))*D483</f>
        <v>91.8994692231472</v>
      </c>
      <c r="E512" s="29" t="n">
        <f aca="false">((IF(AND(E$47&gt;0+Quesería!$B$47,E$47&lt;=0+Quesería!$B$46),(Quesería!$B$44*$B$484*$B$481)/(Quesería!$B$46-Quesería!$B$47),0)*IF(E$47&gt;2,1-Quesería!$B$48,1)+IF(E$47=2,Quesería!$B$48*(Quesería!$B$44*$B$484*$B$481)*(1-MAX(0,MIN(2-0-Quesería!$B$47,(Quesería!$B$46-Quesería!$B$47)))/(Quesería!$B$46-Quesería!$B$47)),0))+(IF(AND(E$47&gt;1+Quesería!$B$47,E$47&lt;=1+Quesería!$B$46),(Quesería!$B$44*$C$484*$C$481)/(Quesería!$B$46-Quesería!$B$47),0)*IF(E$47&gt;2,1-Quesería!$B$48,1)+IF(E$47=2,Quesería!$B$48*(Quesería!$B$44*$C$484*$C$481)*(1-MAX(0,MIN(2-1-Quesería!$B$47,(Quesería!$B$46-Quesería!$B$47)))/(Quesería!$B$46-Quesería!$B$47)),0)))*E483</f>
        <v>154.001742940676</v>
      </c>
      <c r="F512" s="29" t="n">
        <f aca="false">((IF(AND(F$47&gt;0+Quesería!$B$47,F$47&lt;=0+Quesería!$B$46),(Quesería!$B$44*$B$484*$B$481)/(Quesería!$B$46-Quesería!$B$47),0)*IF(F$47&gt;2,1-Quesería!$B$48,1)+IF(F$47=2,Quesería!$B$48*(Quesería!$B$44*$B$484*$B$481)*(1-MAX(0,MIN(2-0-Quesería!$B$47,(Quesería!$B$46-Quesería!$B$47)))/(Quesería!$B$46-Quesería!$B$47)),0))+(IF(AND(F$47&gt;1+Quesería!$B$47,F$47&lt;=1+Quesería!$B$46),(Quesería!$B$44*$C$484*$C$481)/(Quesería!$B$46-Quesería!$B$47),0)*IF(F$47&gt;2,1-Quesería!$B$48,1)+IF(F$47=2,Quesería!$B$48*(Quesería!$B$44*$C$484*$C$481)*(1-MAX(0,MIN(2-1-Quesería!$B$47,(Quesería!$B$46-Quesería!$B$47)))/(Quesería!$B$46-Quesería!$B$47)),0)))*F483</f>
        <v>148.078598981419</v>
      </c>
      <c r="G512" s="29" t="n">
        <f aca="false">((IF(AND(G$47&gt;0+Quesería!$B$47,G$47&lt;=0+Quesería!$B$46),(Quesería!$B$44*$B$484*$B$481)/(Quesería!$B$46-Quesería!$B$47),0)*IF(G$47&gt;2,1-Quesería!$B$48,1)+IF(G$47=2,Quesería!$B$48*(Quesería!$B$44*$B$484*$B$481)*(1-MAX(0,MIN(2-0-Quesería!$B$47,(Quesería!$B$46-Quesería!$B$47)))/(Quesería!$B$46-Quesería!$B$47)),0))+(IF(AND(G$47&gt;1+Quesería!$B$47,G$47&lt;=1+Quesería!$B$46),(Quesería!$B$44*$C$484*$C$481)/(Quesería!$B$46-Quesería!$B$47),0)*IF(G$47&gt;2,1-Quesería!$B$48,1)+IF(G$47=2,Quesería!$B$48*(Quesería!$B$44*$C$484*$C$481)*(1-MAX(0,MIN(2-1-Quesería!$B$47,(Quesería!$B$46-Quesería!$B$47)))/(Quesería!$B$46-Quesería!$B$47)),0)))*G483</f>
        <v>142.383268251364</v>
      </c>
      <c r="H512" s="29" t="n">
        <f aca="false">((IF(AND(H$47&gt;0+Quesería!$B$47,H$47&lt;=0+Quesería!$B$46),(Quesería!$B$44*$B$484*$B$481)/(Quesería!$B$46-Quesería!$B$47),0)*IF(H$47&gt;2,1-Quesería!$B$48,1)+IF(H$47=2,Quesería!$B$48*(Quesería!$B$44*$B$484*$B$481)*(1-MAX(0,MIN(2-0-Quesería!$B$47,(Quesería!$B$46-Quesería!$B$47)))/(Quesería!$B$46-Quesería!$B$47)),0))+(IF(AND(H$47&gt;1+Quesería!$B$47,H$47&lt;=1+Quesería!$B$46),(Quesería!$B$44*$C$484*$C$481)/(Quesería!$B$46-Quesería!$B$47),0)*IF(H$47&gt;2,1-Quesería!$B$48,1)+IF(H$47=2,Quesería!$B$48*(Quesería!$B$44*$C$484*$C$481)*(1-MAX(0,MIN(2-1-Quesería!$B$47,(Quesería!$B$46-Quesería!$B$47)))/(Quesería!$B$46-Quesería!$B$47)),0)))*H483</f>
        <v>136.906988703235</v>
      </c>
      <c r="I512" s="29" t="n">
        <f aca="false">((IF(AND(I$47&gt;0+Quesería!$B$47,I$47&lt;=0+Quesería!$B$46),(Quesería!$B$44*$B$484*$B$481)/(Quesería!$B$46-Quesería!$B$47),0)*IF(I$47&gt;2,1-Quesería!$B$48,1)+IF(I$47=2,Quesería!$B$48*(Quesería!$B$44*$B$484*$B$481)*(1-MAX(0,MIN(2-0-Quesería!$B$47,(Quesería!$B$46-Quesería!$B$47)))/(Quesería!$B$46-Quesería!$B$47)),0))+(IF(AND(I$47&gt;1+Quesería!$B$47,I$47&lt;=1+Quesería!$B$46),(Quesería!$B$44*$C$484*$C$481)/(Quesería!$B$46-Quesería!$B$47),0)*IF(I$47&gt;2,1-Quesería!$B$48,1)+IF(I$47=2,Quesería!$B$48*(Quesería!$B$44*$C$484*$C$481)*(1-MAX(0,MIN(2-1-Quesería!$B$47,(Quesería!$B$46-Quesería!$B$47)))/(Quesería!$B$46-Quesería!$B$47)),0)))*I483</f>
        <v>131.641335291572</v>
      </c>
      <c r="J512" s="29" t="n">
        <f aca="false">((IF(AND(J$47&gt;0+Quesería!$B$47,J$47&lt;=0+Quesería!$B$46),(Quesería!$B$44*$B$484*$B$481)/(Quesería!$B$46-Quesería!$B$47),0)*IF(J$47&gt;2,1-Quesería!$B$48,1)+IF(J$47=2,Quesería!$B$48*(Quesería!$B$44*$B$484*$B$481)*(1-MAX(0,MIN(2-0-Quesería!$B$47,(Quesería!$B$46-Quesería!$B$47)))/(Quesería!$B$46-Quesería!$B$47)),0))+(IF(AND(J$47&gt;1+Quesería!$B$47,J$47&lt;=1+Quesería!$B$46),(Quesería!$B$44*$C$484*$C$481)/(Quesería!$B$46-Quesería!$B$47),0)*IF(J$47&gt;2,1-Quesería!$B$48,1)+IF(J$47=2,Quesería!$B$48*(Quesería!$B$44*$C$484*$C$481)*(1-MAX(0,MIN(2-1-Quesería!$B$47,(Quesería!$B$46-Quesería!$B$47)))/(Quesería!$B$46-Quesería!$B$47)),0)))*J483</f>
        <v>53.9487215771831</v>
      </c>
      <c r="K512" s="29" t="n">
        <f aca="false">((IF(AND(K$47&gt;0+Quesería!$B$47,K$47&lt;=0+Quesería!$B$46),(Quesería!$B$44*$B$484*$B$481)/(Quesería!$B$46-Quesería!$B$47),0)*IF(K$47&gt;2,1-Quesería!$B$48,1)+IF(K$47=2,Quesería!$B$48*(Quesería!$B$44*$B$484*$B$481)*(1-MAX(0,MIN(2-0-Quesería!$B$47,(Quesería!$B$46-Quesería!$B$47)))/(Quesería!$B$46-Quesería!$B$47)),0))+(IF(AND(K$47&gt;1+Quesería!$B$47,K$47&lt;=1+Quesería!$B$46),(Quesería!$B$44*$C$484*$C$481)/(Quesería!$B$46-Quesería!$B$47),0)*IF(K$47&gt;2,1-Quesería!$B$48,1)+IF(K$47=2,Quesería!$B$48*(Quesería!$B$44*$C$484*$C$481)*(1-MAX(0,MIN(2-1-Quesería!$B$47,(Quesería!$B$46-Quesería!$B$47)))/(Quesería!$B$46-Quesería!$B$47)),0)))*K483</f>
        <v>0</v>
      </c>
      <c r="L512" s="29" t="n">
        <f aca="false">((IF(AND(L$47&gt;0+Quesería!$B$47,L$47&lt;=0+Quesería!$B$46),(Quesería!$B$44*$B$484*$B$481)/(Quesería!$B$46-Quesería!$B$47),0)*IF(L$47&gt;2,1-Quesería!$B$48,1)+IF(L$47=2,Quesería!$B$48*(Quesería!$B$44*$B$484*$B$481)*(1-MAX(0,MIN(2-0-Quesería!$B$47,(Quesería!$B$46-Quesería!$B$47)))/(Quesería!$B$46-Quesería!$B$47)),0))+(IF(AND(L$47&gt;1+Quesería!$B$47,L$47&lt;=1+Quesería!$B$46),(Quesería!$B$44*$C$484*$C$481)/(Quesería!$B$46-Quesería!$B$47),0)*IF(L$47&gt;2,1-Quesería!$B$48,1)+IF(L$47=2,Quesería!$B$48*(Quesería!$B$44*$C$484*$C$481)*(1-MAX(0,MIN(2-1-Quesería!$B$47,(Quesería!$B$46-Quesería!$B$47)))/(Quesería!$B$46-Quesería!$B$47)),0)))*L483</f>
        <v>0</v>
      </c>
    </row>
    <row r="513" customFormat="false" ht="15" hidden="true" customHeight="false" outlineLevel="1" collapsed="false">
      <c r="A513" s="6" t="s">
        <v>434</v>
      </c>
      <c r="B513" s="29" t="n">
        <f aca="false">$L$13*Quesería!$B$51*(1+0.19)*B509*B483+(1-$L$13)*IF(B$47=0,Quesería!$B$50,0)</f>
        <v>4</v>
      </c>
      <c r="C513" s="29" t="n">
        <f aca="false">$L$13*Quesería!$B$51*(1+0.19)*C509*C483+(1-$L$13)*IF(C$47=0,Quesería!$B$50,0)</f>
        <v>0</v>
      </c>
      <c r="D513" s="29" t="n">
        <f aca="false">$L$13*Quesería!$B$51*(1+0.19)*D509*D483+(1-$L$13)*IF(D$47=0,Quesería!$B$50,0)</f>
        <v>0</v>
      </c>
      <c r="E513" s="29" t="n">
        <f aca="false">$L$13*Quesería!$B$51*(1+0.19)*E509*E483+(1-$L$13)*IF(E$47=0,Quesería!$B$50,0)</f>
        <v>0</v>
      </c>
      <c r="F513" s="29" t="n">
        <f aca="false">$L$13*Quesería!$B$51*(1+0.19)*F509*F483+(1-$L$13)*IF(F$47=0,Quesería!$B$50,0)</f>
        <v>0</v>
      </c>
      <c r="G513" s="29" t="n">
        <f aca="false">$L$13*Quesería!$B$51*(1+0.19)*G509*G483+(1-$L$13)*IF(G$47=0,Quesería!$B$50,0)</f>
        <v>0</v>
      </c>
      <c r="H513" s="29" t="n">
        <f aca="false">$L$13*Quesería!$B$51*(1+0.19)*H509*H483+(1-$L$13)*IF(H$47=0,Quesería!$B$50,0)</f>
        <v>0</v>
      </c>
      <c r="I513" s="29" t="n">
        <f aca="false">$L$13*Quesería!$B$51*(1+0.19)*I509*I483+(1-$L$13)*IF(I$47=0,Quesería!$B$50,0)</f>
        <v>0</v>
      </c>
      <c r="J513" s="29" t="n">
        <f aca="false">$L$13*Quesería!$B$51*(1+0.19)*J509*J483+(1-$L$13)*IF(J$47=0,Quesería!$B$50,0)</f>
        <v>0</v>
      </c>
      <c r="K513" s="29" t="n">
        <f aca="false">$L$13*Quesería!$B$51*(1+0.19)*K509*K483+(1-$L$13)*IF(K$47=0,Quesería!$B$50,0)</f>
        <v>0</v>
      </c>
      <c r="L513" s="29" t="n">
        <f aca="false">$L$13*Quesería!$B$51*(1+0.19)*L509*L483+(1-$L$13)*IF(L$47=0,Quesería!$B$50,0)</f>
        <v>0</v>
      </c>
    </row>
    <row r="514" customFormat="false" ht="15" hidden="true" customHeight="false" outlineLevel="1" collapsed="false">
      <c r="A514" s="6" t="s">
        <v>435</v>
      </c>
      <c r="B514" s="29" t="n">
        <f aca="false">Quesería!$B$52*(B511+B512+B513)</f>
        <v>0.016</v>
      </c>
      <c r="C514" s="29" t="n">
        <f aca="false">Quesería!$B$52*(C511+C512+C513)</f>
        <v>0.324982255024431</v>
      </c>
      <c r="D514" s="29" t="n">
        <f aca="false">Quesería!$B$52*(D511+D512+D513)</f>
        <v>0.909585450928285</v>
      </c>
      <c r="E514" s="29" t="n">
        <f aca="false">Quesería!$B$52*(E511+E512+E513)</f>
        <v>1.08731108079524</v>
      </c>
      <c r="F514" s="29" t="n">
        <f aca="false">Quesería!$B$52*(F511+F512+F513)</f>
        <v>0.961975094016058</v>
      </c>
      <c r="G514" s="29" t="n">
        <f aca="false">Quesería!$B$52*(G511+G512+G513)</f>
        <v>0.844671888644748</v>
      </c>
      <c r="H514" s="29" t="n">
        <f aca="false">Quesería!$B$52*(H511+H512+H513)</f>
        <v>0.734968966683633</v>
      </c>
      <c r="I514" s="29" t="n">
        <f aca="false">Quesería!$B$52*(I511+I512+I513)</f>
        <v>0.632455216399047</v>
      </c>
      <c r="J514" s="29" t="n">
        <f aca="false">Quesería!$B$52*(J511+J512+J513)</f>
        <v>0.246221965278264</v>
      </c>
      <c r="K514" s="29" t="n">
        <f aca="false">Quesería!$B$52*(K511+K512+K513)</f>
        <v>0</v>
      </c>
      <c r="L514" s="29" t="n">
        <f aca="false">Quesería!$B$52*(L511+L512+L513)</f>
        <v>0</v>
      </c>
    </row>
    <row r="515" customFormat="false" ht="15" hidden="true" customHeight="false" outlineLevel="1" collapsed="false">
      <c r="A515" s="6" t="s">
        <v>436</v>
      </c>
      <c r="B515" s="29" t="n">
        <f aca="false">$L$17*(B511+B513+0.5*B514)</f>
        <v>1.4028</v>
      </c>
      <c r="C515" s="29" t="n">
        <f aca="false">$L$17*(C511+C513+0.5*C514)</f>
        <v>28.492819209267</v>
      </c>
      <c r="D515" s="29" t="n">
        <f aca="false">$L$17*(D511+D513+0.5*D514)</f>
        <v>47.5830901820358</v>
      </c>
      <c r="E515" s="29" t="n">
        <f aca="false">$L$17*(E511+E513+0.5*E514)</f>
        <v>41.4293889794864</v>
      </c>
      <c r="F515" s="29" t="n">
        <f aca="false">$L$17*(F511+F513+0.5*F514)</f>
        <v>32.5136567243613</v>
      </c>
      <c r="G515" s="29" t="n">
        <f aca="false">$L$17*(G511+G513+0.5*G514)</f>
        <v>24.2224639489508</v>
      </c>
      <c r="H515" s="29" t="n">
        <f aca="false">$L$17*(H511+H513+0.5*H514)</f>
        <v>16.5209581078554</v>
      </c>
      <c r="I515" s="29" t="n">
        <f aca="false">$L$17*(I511+I513+0.5*I514)</f>
        <v>9.37604374573625</v>
      </c>
      <c r="J515" s="29" t="n">
        <f aca="false">$L$17*(J511+J513+0.5*J514)</f>
        <v>2.70545825375768</v>
      </c>
      <c r="K515" s="29" t="n">
        <f aca="false">$L$17*(K511+K513+0.5*K514)</f>
        <v>0</v>
      </c>
      <c r="L515" s="29" t="n">
        <f aca="false">$L$17*(L511+L513+0.5*L514)</f>
        <v>0</v>
      </c>
    </row>
    <row r="516" customFormat="false" ht="15" hidden="true" customHeight="false" outlineLevel="1" collapsed="false">
      <c r="A516" s="5" t="s">
        <v>437</v>
      </c>
      <c r="B516" s="59" t="n">
        <f aca="false">B501+B510-B511-B512-B513-B514+B515</f>
        <v>-358.744924503166</v>
      </c>
      <c r="C516" s="59" t="n">
        <f aca="false">C501+C510-C511-C512-C513-C514+C515</f>
        <v>-17.9689252220697</v>
      </c>
      <c r="D516" s="59" t="n">
        <f aca="false">D501+D510-D511-D512-D513-D514+D515</f>
        <v>288.5492302385</v>
      </c>
      <c r="E516" s="59" t="n">
        <f aca="false">E501+E510-E511-E512-E513-E514+E515</f>
        <v>107.243583258445</v>
      </c>
      <c r="F516" s="59" t="n">
        <f aca="false">F501+F510-F511-F512-F513-F514+F515</f>
        <v>166.348465582514</v>
      </c>
      <c r="G516" s="59" t="n">
        <f aca="false">G501+G510-G511-G512-G513-G514+G515</f>
        <v>153.146912262314</v>
      </c>
      <c r="H516" s="59" t="n">
        <f aca="false">H501+H510-H511-H512-H513-H514+H515</f>
        <v>151.455060344363</v>
      </c>
      <c r="I516" s="59" t="n">
        <f aca="false">I501+I510-I511-I512-I513-I514+I515</f>
        <v>230.673555891347</v>
      </c>
      <c r="J516" s="59" t="n">
        <f aca="false">J501+J510-J511-J512-J513-J514+J515</f>
        <v>311.080185834248</v>
      </c>
      <c r="K516" s="59" t="n">
        <f aca="false">K501+K510-K511-K512-K513-K514+K515</f>
        <v>368.846516819335</v>
      </c>
      <c r="L516" s="59" t="n">
        <f aca="false">L501+L510-L511-L512-L513-L514+L515</f>
        <v>599.626451509301</v>
      </c>
    </row>
    <row r="517" customFormat="false" ht="15" hidden="true" customHeight="false" outlineLevel="1" collapsed="false">
      <c r="A517" s="9" t="s">
        <v>438</v>
      </c>
      <c r="B517" s="58" t="n">
        <f aca="false">B516*B481</f>
        <v>-380.269619973356</v>
      </c>
      <c r="C517" s="58" t="n">
        <f aca="false">C516*C481</f>
        <v>-19.9994137721636</v>
      </c>
      <c r="D517" s="58" t="n">
        <f aca="false">D516*D481</f>
        <v>335.607281451946</v>
      </c>
      <c r="E517" s="58" t="n">
        <f aca="false">E516*E481</f>
        <v>129.722739155514</v>
      </c>
      <c r="F517" s="58" t="n">
        <f aca="false">F516*F481</f>
        <v>209.265161347548</v>
      </c>
      <c r="G517" s="58" t="n">
        <f aca="false">G516*G481</f>
        <v>200.364011293493</v>
      </c>
      <c r="H517" s="58" t="n">
        <f aca="false">H516*H481</f>
        <v>206.076561988332</v>
      </c>
      <c r="I517" s="58" t="n">
        <f aca="false">I516*I481</f>
        <v>326.419399661483</v>
      </c>
      <c r="J517" s="58" t="n">
        <f aca="false">J516*J481</f>
        <v>457.808487838129</v>
      </c>
      <c r="K517" s="58" t="n">
        <f aca="false">K516*K481</f>
        <v>564.534537237838</v>
      </c>
      <c r="L517" s="58" t="n">
        <f aca="false">L516*L481</f>
        <v>954.462680051667</v>
      </c>
    </row>
    <row r="518" customFormat="false" ht="15" hidden="true" customHeight="false" outlineLevel="1" collapsed="false">
      <c r="A518" s="9" t="s">
        <v>439</v>
      </c>
      <c r="B518" s="57" t="n">
        <f aca="false">(B481/$B$481)/(1+Quesería!$B$11+$L$28)^B$47</f>
        <v>1</v>
      </c>
      <c r="C518" s="57" t="n">
        <f aca="false">(C481/$B$481)/(1+Quesería!$B$11+$L$28)^C$47</f>
        <v>0.84</v>
      </c>
      <c r="D518" s="57" t="n">
        <f aca="false">(D481/$B$481)/(1+Quesería!$B$11+$L$28)^D$47</f>
        <v>0.70224</v>
      </c>
      <c r="E518" s="57" t="n">
        <f aca="false">(E481/$B$481)/(1+Quesería!$B$11+$L$28)^E$47</f>
        <v>0.58426368</v>
      </c>
      <c r="F518" s="57" t="n">
        <f aca="false">(F481/$B$481)/(1+Quesería!$B$11+$L$28)^F$47</f>
        <v>0.48610738176</v>
      </c>
      <c r="G518" s="57" t="n">
        <f aca="false">(G481/$B$481)/(1+Quesería!$B$11+$L$28)^G$47</f>
        <v>0.40444134162432</v>
      </c>
      <c r="H518" s="57" t="n">
        <f aca="false">(H481/$B$481)/(1+Quesería!$B$11+$L$28)^H$47</f>
        <v>0.336495196231434</v>
      </c>
      <c r="I518" s="57" t="n">
        <f aca="false">(I481/$B$481)/(1+Quesería!$B$11+$L$28)^I$47</f>
        <v>0.279964003264553</v>
      </c>
      <c r="J518" s="57" t="n">
        <f aca="false">(J481/$B$481)/(1+Quesería!$B$11+$L$28)^J$47</f>
        <v>0.232930050716108</v>
      </c>
      <c r="K518" s="57" t="n">
        <f aca="false">(K481/$B$481)/(1+Quesería!$B$11+$L$28)^K$47</f>
        <v>0.193797802195802</v>
      </c>
      <c r="L518" s="57" t="n">
        <f aca="false">(L481/$B$481)/(1+Quesería!$B$11+$L$28)^L$47</f>
        <v>0.161239771426907</v>
      </c>
    </row>
    <row r="519" customFormat="false" ht="15" hidden="true" customHeight="false" outlineLevel="1" collapsed="false">
      <c r="A519" s="9" t="s">
        <v>440</v>
      </c>
      <c r="B519" s="58" t="n">
        <f aca="false">B501+B484+B486+B515</f>
        <v>120.166830858099</v>
      </c>
      <c r="C519" s="58" t="n">
        <f aca="false">C501+C484+C486+C515</f>
        <v>419.174916793292</v>
      </c>
      <c r="D519" s="58" t="n">
        <f aca="false">D501+D484+D486+D515</f>
        <v>516.8551784215</v>
      </c>
      <c r="E519" s="58" t="n">
        <f aca="false">E501+E484+E486+E515</f>
        <v>380.158664538051</v>
      </c>
      <c r="F519" s="58" t="n">
        <f aca="false">F501+F484+F486+F515</f>
        <v>407.804214180544</v>
      </c>
      <c r="G519" s="58" t="n">
        <f aca="false">G501+G484+G486+G515</f>
        <v>370.377947593231</v>
      </c>
      <c r="H519" s="58" t="n">
        <f aca="false">H501+H484+H486+H515</f>
        <v>344.746210567036</v>
      </c>
      <c r="I519" s="58" t="n">
        <f aca="false">I501+I484+I486+I515</f>
        <v>389.419815207508</v>
      </c>
      <c r="J519" s="58" t="n">
        <f aca="false">J501+J484+J486+J515</f>
        <v>372.881899119092</v>
      </c>
      <c r="K519" s="58" t="n">
        <f aca="false">K501+K484+K486+K515</f>
        <v>368.846516819335</v>
      </c>
      <c r="L519" s="58" t="n">
        <f aca="false">L501+L484+L486+L515</f>
        <v>599.626451509301</v>
      </c>
    </row>
    <row r="520" customFormat="false" ht="15" hidden="true" customHeight="false" outlineLevel="1" collapsed="false">
      <c r="A520" s="5" t="s">
        <v>149</v>
      </c>
      <c r="B520" s="12" t="str">
        <f aca="false">IF(AND(B$47&gt;=1,(B511+B512+B513)&gt;0.001),B519/(B511+B512+B513),"")</f>
        <v/>
      </c>
      <c r="C520" s="12" t="n">
        <f aca="false">IF(AND(C$47&gt;=1,(C511+C512+C513)&gt;0.001),C519/(C511+C512+C513),"")</f>
        <v>5.15935759953145</v>
      </c>
      <c r="D520" s="12" t="n">
        <f aca="false">IF(AND(D$47&gt;=1,(D511+D512+D513)&gt;0.001),D519/(D511+D512+D513),"")</f>
        <v>2.27292632217905</v>
      </c>
      <c r="E520" s="12" t="n">
        <f aca="false">IF(AND(E$47&gt;=1,(E511+E512+E513)&gt;0.001),E519/(E511+E512+E513),"")</f>
        <v>1.39852769369373</v>
      </c>
      <c r="F520" s="12" t="n">
        <f aca="false">IF(AND(F$47&gt;=1,(F511+F512+F513)&gt;0.001),F519/(F511+F512+F513),"")</f>
        <v>1.69569551942573</v>
      </c>
      <c r="G520" s="12" t="n">
        <f aca="false">IF(AND(G$47&gt;=1,(G511+G512+G513)&gt;0.001),G519/(G511+G512+G513),"")</f>
        <v>1.7539494450916</v>
      </c>
      <c r="H520" s="12" t="n">
        <f aca="false">IF(AND(H$47&gt;=1,(H511+H512+H513)&gt;0.001),H519/(H511+H512+H513),"")</f>
        <v>1.87624907278803</v>
      </c>
      <c r="I520" s="12" t="n">
        <f aca="false">IF(AND(I$47&gt;=1,(I511+I512+I513)&gt;0.001),I519/(I511+I512+I513),"")</f>
        <v>2.4629083932596</v>
      </c>
      <c r="J520" s="12" t="n">
        <f aca="false">IF(AND(J$47&gt;=1,(J511+J512+J513)&gt;0.001),J519/(J511+J512+J513),"")</f>
        <v>6.05765450206987</v>
      </c>
      <c r="K520" s="12" t="str">
        <f aca="false">IF(AND(K$47&gt;=1,(K511+K512+K513)&gt;0.001),K519/(K511+K512+K513),"")</f>
        <v/>
      </c>
      <c r="L520" s="12" t="str">
        <f aca="false">IF(AND(L$47&gt;=1,(L511+L512+L513)&gt;0.001),L519/(L511+L512+L513),"")</f>
        <v/>
      </c>
    </row>
    <row r="522" customFormat="false" ht="15" hidden="false" customHeight="false" outlineLevel="0" collapsed="false">
      <c r="A522" s="43" t="s">
        <v>1248</v>
      </c>
      <c r="B522" s="44"/>
      <c r="C522" s="44"/>
      <c r="D522" s="44"/>
      <c r="E522" s="44"/>
      <c r="F522" s="44"/>
      <c r="G522" s="44"/>
      <c r="H522" s="44"/>
      <c r="I522" s="44"/>
      <c r="J522" s="44"/>
      <c r="K522" s="44"/>
      <c r="L522" s="44"/>
    </row>
    <row r="523" customFormat="false" ht="15" hidden="true" customHeight="false" outlineLevel="1" collapsed="false">
      <c r="A523" s="9" t="s">
        <v>406</v>
      </c>
      <c r="B523" s="56" t="n">
        <f aca="false">CHOOSE($M$15,Entorno!B$7,Entorno!B$8,Entorno!B$9)</f>
        <v>0.059</v>
      </c>
      <c r="C523" s="56" t="n">
        <f aca="false">CHOOSE($M$15,Entorno!C$7,Entorno!C$8,Entorno!C$9)</f>
        <v>0.045</v>
      </c>
      <c r="D523" s="56" t="n">
        <f aca="false">CHOOSE($M$15,Entorno!D$7,Entorno!D$8,Entorno!D$9)</f>
        <v>0.037</v>
      </c>
      <c r="E523" s="56" t="n">
        <f aca="false">CHOOSE($M$15,Entorno!E$7,Entorno!E$8,Entorno!E$9)</f>
        <v>0.034</v>
      </c>
      <c r="F523" s="56" t="n">
        <f aca="false">CHOOSE($M$15,Entorno!F$7,Entorno!F$8,Entorno!F$9)</f>
        <v>0.034</v>
      </c>
      <c r="G523" s="56" t="n">
        <f aca="false">CHOOSE($M$15,Entorno!G$7,Entorno!G$8,Entorno!G$9)</f>
        <v>0.034</v>
      </c>
      <c r="H523" s="56" t="n">
        <f aca="false">CHOOSE($M$15,Entorno!H$7,Entorno!H$8,Entorno!H$9)</f>
        <v>0.034</v>
      </c>
      <c r="I523" s="56" t="n">
        <f aca="false">CHOOSE($M$15,Entorno!I$7,Entorno!I$8,Entorno!I$9)</f>
        <v>0.034</v>
      </c>
      <c r="J523" s="56" t="n">
        <f aca="false">CHOOSE($M$15,Entorno!J$7,Entorno!J$8,Entorno!J$9)</f>
        <v>0.034</v>
      </c>
      <c r="K523" s="56" t="n">
        <f aca="false">CHOOSE($M$15,Entorno!K$7,Entorno!K$8,Entorno!K$9)</f>
        <v>0.034</v>
      </c>
      <c r="L523" s="56" t="n">
        <f aca="false">CHOOSE($M$15,Entorno!L$7,Entorno!L$8,Entorno!L$9)</f>
        <v>0.034</v>
      </c>
    </row>
    <row r="524" customFormat="false" ht="15" hidden="true" customHeight="false" outlineLevel="1" collapsed="false">
      <c r="A524" s="9" t="s">
        <v>407</v>
      </c>
      <c r="B524" s="57" t="n">
        <f aca="false">1+B523</f>
        <v>1.059</v>
      </c>
      <c r="C524" s="57" t="n">
        <f aca="false">B524*(1+C523)</f>
        <v>1.106655</v>
      </c>
      <c r="D524" s="57" t="n">
        <f aca="false">C524*(1+D523)</f>
        <v>1.147601235</v>
      </c>
      <c r="E524" s="57" t="n">
        <f aca="false">D524*(1+E523)</f>
        <v>1.18661967699</v>
      </c>
      <c r="F524" s="57" t="n">
        <f aca="false">E524*(1+F523)</f>
        <v>1.22696474600766</v>
      </c>
      <c r="G524" s="57" t="n">
        <f aca="false">F524*(1+G523)</f>
        <v>1.26868154737192</v>
      </c>
      <c r="H524" s="57" t="n">
        <f aca="false">G524*(1+H523)</f>
        <v>1.31181671998257</v>
      </c>
      <c r="I524" s="57" t="n">
        <f aca="false">H524*(1+I523)</f>
        <v>1.35641848846197</v>
      </c>
      <c r="J524" s="57" t="n">
        <f aca="false">I524*(1+J523)</f>
        <v>1.40253671706968</v>
      </c>
      <c r="K524" s="57" t="n">
        <f aca="false">J524*(1+K523)</f>
        <v>1.45022296545005</v>
      </c>
      <c r="L524" s="57" t="n">
        <f aca="false">K524*(1+L523)</f>
        <v>1.49953054627535</v>
      </c>
    </row>
    <row r="525" customFormat="false" ht="15" hidden="true" customHeight="false" outlineLevel="1" collapsed="false">
      <c r="A525" s="9" t="s">
        <v>408</v>
      </c>
      <c r="B525" s="57" t="n">
        <f aca="false">(1+$M$16)/(1+B523)</f>
        <v>1.02455146364495</v>
      </c>
      <c r="C525" s="57" t="n">
        <f aca="false">B525*(1+Entorno!$B$13)</f>
        <v>1.02967422096317</v>
      </c>
      <c r="D525" s="57" t="n">
        <f aca="false">C525*(1+Entorno!$B$13)</f>
        <v>1.03482259206799</v>
      </c>
      <c r="E525" s="57" t="n">
        <f aca="false">D525*(1+Entorno!$B$13)</f>
        <v>1.03999670502833</v>
      </c>
      <c r="F525" s="57" t="n">
        <f aca="false">E525*(1+Entorno!$B$13)</f>
        <v>1.04519668855347</v>
      </c>
      <c r="G525" s="57" t="n">
        <f aca="false">F525*(1+Entorno!$B$13)</f>
        <v>1.05042267199624</v>
      </c>
      <c r="H525" s="57" t="n">
        <f aca="false">G525*(1+Entorno!$B$13)</f>
        <v>1.05567478535622</v>
      </c>
      <c r="I525" s="57" t="n">
        <f aca="false">H525*(1+Entorno!$B$13)</f>
        <v>1.060953159283</v>
      </c>
      <c r="J525" s="57" t="n">
        <f aca="false">I525*(1+Entorno!$B$13)</f>
        <v>1.06625792507941</v>
      </c>
      <c r="K525" s="57" t="n">
        <f aca="false">J525*(1+Entorno!$B$13)</f>
        <v>1.07158921470481</v>
      </c>
      <c r="L525" s="57" t="n">
        <f aca="false">K525*(1+Entorno!$B$13)</f>
        <v>1.07694716077833</v>
      </c>
    </row>
    <row r="526" customFormat="false" ht="15" hidden="true" customHeight="false" outlineLevel="1" collapsed="false">
      <c r="A526" s="9" t="s">
        <v>409</v>
      </c>
      <c r="B526" s="57" t="n">
        <f aca="false">1/B524</f>
        <v>0.944287063267233</v>
      </c>
      <c r="C526" s="57" t="n">
        <f aca="false">1/C524</f>
        <v>0.903623983987783</v>
      </c>
      <c r="D526" s="57" t="n">
        <f aca="false">1/D524</f>
        <v>0.87138281966035</v>
      </c>
      <c r="E526" s="57" t="n">
        <f aca="false">1/E524</f>
        <v>0.842729999671519</v>
      </c>
      <c r="F526" s="57" t="n">
        <f aca="false">1/F524</f>
        <v>0.815019342042088</v>
      </c>
      <c r="G526" s="57" t="n">
        <f aca="false">1/G524</f>
        <v>0.788219866578421</v>
      </c>
      <c r="H526" s="57" t="n">
        <f aca="false">1/H524</f>
        <v>0.76230161177797</v>
      </c>
      <c r="I526" s="57" t="n">
        <f aca="false">1/I524</f>
        <v>0.73723560133266</v>
      </c>
      <c r="J526" s="57" t="n">
        <f aca="false">1/J524</f>
        <v>0.712993811733714</v>
      </c>
      <c r="K526" s="57" t="n">
        <f aca="false">1/K524</f>
        <v>0.689549140941696</v>
      </c>
      <c r="L526" s="57" t="n">
        <f aca="false">1/L524</f>
        <v>0.666875378086747</v>
      </c>
    </row>
    <row r="527" customFormat="false" ht="15" hidden="true" customHeight="false" outlineLevel="1" collapsed="false">
      <c r="A527" s="6" t="s">
        <v>323</v>
      </c>
      <c r="B527" s="29" t="n">
        <f aca="false">IF(B$47=0,Quesería!$F$92,IF(B$47=1,(Quesería!$F$93-(-$M$26)*Quesería!$D$86*(1+Quesería!$I$86))*$M$21,0))*$M$11</f>
        <v>930.800239431677</v>
      </c>
      <c r="C527" s="29" t="n">
        <f aca="false">IF(C$47=0,Quesería!$F$92,IF(C$47=1,(Quesería!$F$93-(-$M$26)*Quesería!$D$86*(1+Quesería!$I$86))*$M$21,0))*$M$11</f>
        <v>658.469066674498</v>
      </c>
      <c r="D527" s="29" t="n">
        <f aca="false">IF(D$47=0,Quesería!$F$92,IF(D$47=1,(Quesería!$F$93-(-$M$26)*Quesería!$D$86*(1+Quesería!$I$86))*$M$21,0))*$M$11</f>
        <v>0</v>
      </c>
      <c r="E527" s="29" t="n">
        <f aca="false">IF(E$47=0,Quesería!$F$92,IF(E$47=1,(Quesería!$F$93-(-$M$26)*Quesería!$D$86*(1+Quesería!$I$86))*$M$21,0))*$M$11</f>
        <v>0</v>
      </c>
      <c r="F527" s="29" t="n">
        <f aca="false">IF(F$47=0,Quesería!$F$92,IF(F$47=1,(Quesería!$F$93-(-$M$26)*Quesería!$D$86*(1+Quesería!$I$86))*$M$21,0))*$M$11</f>
        <v>0</v>
      </c>
      <c r="G527" s="29" t="n">
        <f aca="false">IF(G$47=0,Quesería!$F$92,IF(G$47=1,(Quesería!$F$93-(-$M$26)*Quesería!$D$86*(1+Quesería!$I$86))*$M$21,0))*$M$11</f>
        <v>0</v>
      </c>
      <c r="H527" s="29" t="n">
        <f aca="false">IF(H$47=0,Quesería!$F$92,IF(H$47=1,(Quesería!$F$93-(-$M$26)*Quesería!$D$86*(1+Quesería!$I$86))*$M$21,0))*$M$11</f>
        <v>0</v>
      </c>
      <c r="I527" s="29" t="n">
        <f aca="false">IF(I$47=0,Quesería!$F$92,IF(I$47=1,(Quesería!$F$93-(-$M$26)*Quesería!$D$86*(1+Quesería!$I$86))*$M$21,0))*$M$11</f>
        <v>0</v>
      </c>
      <c r="J527" s="29" t="n">
        <f aca="false">IF(J$47=0,Quesería!$F$92,IF(J$47=1,(Quesería!$F$93-(-$M$26)*Quesería!$D$86*(1+Quesería!$I$86))*$M$21,0))*$M$11</f>
        <v>0</v>
      </c>
      <c r="K527" s="29" t="n">
        <f aca="false">IF(K$47=0,Quesería!$F$92,IF(K$47=1,(Quesería!$F$93-(-$M$26)*Quesería!$D$86*(1+Quesería!$I$86))*$M$21,0))*$M$11</f>
        <v>0</v>
      </c>
      <c r="L527" s="29" t="n">
        <f aca="false">IF(L$47=0,Quesería!$F$92,IF(L$47=1,(Quesería!$F$93-(-$M$26)*Quesería!$D$86*(1+Quesería!$I$86))*$M$21,0))*$M$11</f>
        <v>0</v>
      </c>
    </row>
    <row r="528" customFormat="false" ht="15" hidden="true" customHeight="false" outlineLevel="1" collapsed="false">
      <c r="A528" s="6" t="s">
        <v>410</v>
      </c>
      <c r="B528" s="29" t="n">
        <f aca="false">IF(B$47=5,Quesería!$F$99,IF(B$47=6,Quesería!$F$100,0))*$M$11</f>
        <v>0</v>
      </c>
      <c r="C528" s="29" t="n">
        <f aca="false">IF(C$47=5,Quesería!$F$99,IF(C$47=6,Quesería!$F$100,0))*$M$11</f>
        <v>0</v>
      </c>
      <c r="D528" s="29" t="n">
        <f aca="false">IF(D$47=5,Quesería!$F$99,IF(D$47=6,Quesería!$F$100,0))*$M$11</f>
        <v>0</v>
      </c>
      <c r="E528" s="29" t="n">
        <f aca="false">IF(E$47=5,Quesería!$F$99,IF(E$47=6,Quesería!$F$100,0))*$M$11</f>
        <v>0</v>
      </c>
      <c r="F528" s="29" t="n">
        <f aca="false">IF(F$47=5,Quesería!$F$99,IF(F$47=6,Quesería!$F$100,0))*$M$11</f>
        <v>0</v>
      </c>
      <c r="G528" s="29" t="n">
        <f aca="false">IF(G$47=5,Quesería!$F$99,IF(G$47=6,Quesería!$F$100,0))*$M$11</f>
        <v>27.4652172688735</v>
      </c>
      <c r="H528" s="29" t="n">
        <f aca="false">IF(H$47=5,Quesería!$F$99,IF(H$47=6,Quesería!$F$100,0))*$M$11</f>
        <v>46.3891557109552</v>
      </c>
      <c r="I528" s="29" t="n">
        <f aca="false">IF(I$47=5,Quesería!$F$99,IF(I$47=6,Quesería!$F$100,0))*$M$11</f>
        <v>0</v>
      </c>
      <c r="J528" s="29" t="n">
        <f aca="false">IF(J$47=5,Quesería!$F$99,IF(J$47=6,Quesería!$F$100,0))*$M$11</f>
        <v>0</v>
      </c>
      <c r="K528" s="29" t="n">
        <f aca="false">IF(K$47=5,Quesería!$F$99,IF(K$47=6,Quesería!$F$100,0))*$M$11</f>
        <v>0</v>
      </c>
      <c r="L528" s="29" t="n">
        <f aca="false">IF(L$47=5,Quesería!$F$99,IF(L$47=6,Quesería!$F$100,0))*$M$11</f>
        <v>0</v>
      </c>
    </row>
    <row r="529" customFormat="false" ht="15" hidden="true" customHeight="false" outlineLevel="1" collapsed="false">
      <c r="A529" s="6" t="s">
        <v>411</v>
      </c>
      <c r="B529" s="29" t="n">
        <f aca="false">Quesería!$B$55*(IF(B$47=0,SUMPRODUCT((Quesería!$C$70:$C$89=0)*(Quesería!$H$70:$H$89&gt;0)*(Quesería!$J$70:$J$89&gt;0)*Quesería!$F$70:$F$89*(1+Quesería!$I$70:$I$89)),IF(B$47=1,(SUMPRODUCT((Quesería!$C$70:$C$89=1)*(Quesería!$H$70:$H$89&gt;0)*(Quesería!$J$70:$J$89&gt;0)*Quesería!$F$70:$F$89*(1+Quesería!$I$70:$I$89))-(-$M$26)*Quesería!$D$86*(1+Quesería!$I$86))*$M$21,0))*$M$11+B528)</f>
        <v>149.115671560178</v>
      </c>
      <c r="C529" s="29" t="n">
        <f aca="false">Quesería!$B$55*(IF(C$47=0,SUMPRODUCT((Quesería!$C$70:$C$89=0)*(Quesería!$H$70:$H$89&gt;0)*(Quesería!$J$70:$J$89&gt;0)*Quesería!$F$70:$F$89*(1+Quesería!$I$70:$I$89)),IF(C$47=1,(SUMPRODUCT((Quesería!$C$70:$C$89=1)*(Quesería!$H$70:$H$89&gt;0)*(Quesería!$J$70:$J$89&gt;0)*Quesería!$F$70:$F$89*(1+Quesería!$I$70:$I$89))-(-$M$26)*Quesería!$D$86*(1+Quesería!$I$86))*$M$21,0))*$M$11+C528)</f>
        <v>125.109122668155</v>
      </c>
      <c r="D529" s="29" t="n">
        <f aca="false">Quesería!$B$55*(IF(D$47=0,SUMPRODUCT((Quesería!$C$70:$C$89=0)*(Quesería!$H$70:$H$89&gt;0)*(Quesería!$J$70:$J$89&gt;0)*Quesería!$F$70:$F$89*(1+Quesería!$I$70:$I$89)),IF(D$47=1,(SUMPRODUCT((Quesería!$C$70:$C$89=1)*(Quesería!$H$70:$H$89&gt;0)*(Quesería!$J$70:$J$89&gt;0)*Quesería!$F$70:$F$89*(1+Quesería!$I$70:$I$89))-(-$M$26)*Quesería!$D$86*(1+Quesería!$I$86))*$M$21,0))*$M$11+D528)</f>
        <v>0</v>
      </c>
      <c r="E529" s="29" t="n">
        <f aca="false">Quesería!$B$55*(IF(E$47=0,SUMPRODUCT((Quesería!$C$70:$C$89=0)*(Quesería!$H$70:$H$89&gt;0)*(Quesería!$J$70:$J$89&gt;0)*Quesería!$F$70:$F$89*(1+Quesería!$I$70:$I$89)),IF(E$47=1,(SUMPRODUCT((Quesería!$C$70:$C$89=1)*(Quesería!$H$70:$H$89&gt;0)*(Quesería!$J$70:$J$89&gt;0)*Quesería!$F$70:$F$89*(1+Quesería!$I$70:$I$89))-(-$M$26)*Quesería!$D$86*(1+Quesería!$I$86))*$M$21,0))*$M$11+E528)</f>
        <v>0</v>
      </c>
      <c r="F529" s="29" t="n">
        <f aca="false">Quesería!$B$55*(IF(F$47=0,SUMPRODUCT((Quesería!$C$70:$C$89=0)*(Quesería!$H$70:$H$89&gt;0)*(Quesería!$J$70:$J$89&gt;0)*Quesería!$F$70:$F$89*(1+Quesería!$I$70:$I$89)),IF(F$47=1,(SUMPRODUCT((Quesería!$C$70:$C$89=1)*(Quesería!$H$70:$H$89&gt;0)*(Quesería!$J$70:$J$89&gt;0)*Quesería!$F$70:$F$89*(1+Quesería!$I$70:$I$89))-(-$M$26)*Quesería!$D$86*(1+Quesería!$I$86))*$M$21,0))*$M$11+F528)</f>
        <v>0</v>
      </c>
      <c r="G529" s="29" t="n">
        <f aca="false">Quesería!$B$55*(IF(G$47=0,SUMPRODUCT((Quesería!$C$70:$C$89=0)*(Quesería!$H$70:$H$89&gt;0)*(Quesería!$J$70:$J$89&gt;0)*Quesería!$F$70:$F$89*(1+Quesería!$I$70:$I$89)),IF(G$47=1,(SUMPRODUCT((Quesería!$C$70:$C$89=1)*(Quesería!$H$70:$H$89&gt;0)*(Quesería!$J$70:$J$89&gt;0)*Quesería!$F$70:$F$89*(1+Quesería!$I$70:$I$89))-(-$M$26)*Quesería!$D$86*(1+Quesería!$I$86))*$M$21,0))*$M$11+G528)</f>
        <v>5.21839128108597</v>
      </c>
      <c r="H529" s="29" t="n">
        <f aca="false">Quesería!$B$55*(IF(H$47=0,SUMPRODUCT((Quesería!$C$70:$C$89=0)*(Quesería!$H$70:$H$89&gt;0)*(Quesería!$J$70:$J$89&gt;0)*Quesería!$F$70:$F$89*(1+Quesería!$I$70:$I$89)),IF(H$47=1,(SUMPRODUCT((Quesería!$C$70:$C$89=1)*(Quesería!$H$70:$H$89&gt;0)*(Quesería!$J$70:$J$89&gt;0)*Quesería!$F$70:$F$89*(1+Quesería!$I$70:$I$89))-(-$M$26)*Quesería!$D$86*(1+Quesería!$I$86))*$M$21,0))*$M$11+H528)</f>
        <v>8.8139395850815</v>
      </c>
      <c r="I529" s="29" t="n">
        <f aca="false">Quesería!$B$55*(IF(I$47=0,SUMPRODUCT((Quesería!$C$70:$C$89=0)*(Quesería!$H$70:$H$89&gt;0)*(Quesería!$J$70:$J$89&gt;0)*Quesería!$F$70:$F$89*(1+Quesería!$I$70:$I$89)),IF(I$47=1,(SUMPRODUCT((Quesería!$C$70:$C$89=1)*(Quesería!$H$70:$H$89&gt;0)*(Quesería!$J$70:$J$89&gt;0)*Quesería!$F$70:$F$89*(1+Quesería!$I$70:$I$89))-(-$M$26)*Quesería!$D$86*(1+Quesería!$I$86))*$M$21,0))*$M$11+I528)</f>
        <v>0</v>
      </c>
      <c r="J529" s="29" t="n">
        <f aca="false">Quesería!$B$55*(IF(J$47=0,SUMPRODUCT((Quesería!$C$70:$C$89=0)*(Quesería!$H$70:$H$89&gt;0)*(Quesería!$J$70:$J$89&gt;0)*Quesería!$F$70:$F$89*(1+Quesería!$I$70:$I$89)),IF(J$47=1,(SUMPRODUCT((Quesería!$C$70:$C$89=1)*(Quesería!$H$70:$H$89&gt;0)*(Quesería!$J$70:$J$89&gt;0)*Quesería!$F$70:$F$89*(1+Quesería!$I$70:$I$89))-(-$M$26)*Quesería!$D$86*(1+Quesería!$I$86))*$M$21,0))*$M$11+J528)</f>
        <v>0</v>
      </c>
      <c r="K529" s="29" t="n">
        <f aca="false">Quesería!$B$55*(IF(K$47=0,SUMPRODUCT((Quesería!$C$70:$C$89=0)*(Quesería!$H$70:$H$89&gt;0)*(Quesería!$J$70:$J$89&gt;0)*Quesería!$F$70:$F$89*(1+Quesería!$I$70:$I$89)),IF(K$47=1,(SUMPRODUCT((Quesería!$C$70:$C$89=1)*(Quesería!$H$70:$H$89&gt;0)*(Quesería!$J$70:$J$89&gt;0)*Quesería!$F$70:$F$89*(1+Quesería!$I$70:$I$89))-(-$M$26)*Quesería!$D$86*(1+Quesería!$I$86))*$M$21,0))*$M$11+K528)</f>
        <v>0</v>
      </c>
      <c r="L529" s="29" t="n">
        <f aca="false">Quesería!$B$55*(IF(L$47=0,SUMPRODUCT((Quesería!$C$70:$C$89=0)*(Quesería!$H$70:$H$89&gt;0)*(Quesería!$J$70:$J$89&gt;0)*Quesería!$F$70:$F$89*(1+Quesería!$I$70:$I$89)),IF(L$47=1,(SUMPRODUCT((Quesería!$C$70:$C$89=1)*(Quesería!$H$70:$H$89&gt;0)*(Quesería!$J$70:$J$89&gt;0)*Quesería!$F$70:$F$89*(1+Quesería!$I$70:$I$89))-(-$M$26)*Quesería!$D$86*(1+Quesería!$I$86))*$M$21,0))*$M$11+L528)</f>
        <v>0</v>
      </c>
    </row>
    <row r="530" customFormat="false" ht="15" hidden="true" customHeight="false" outlineLevel="1" collapsed="false">
      <c r="A530" s="6" t="s">
        <v>386</v>
      </c>
      <c r="B530" s="29" t="n">
        <f aca="false">IF(B$47=0,($M$22*Quesería!$J$126+(1-$M$22)*Quesería!$E$122)*Quesería!$B$20*Quesería!$B$21/12*$M$23,(($M$22*Quesería!$J$126+(1-$M$22)*Quesería!$E$122)+($M$22*Quesería!$J$104+(1-$M$22)*Quesería!$E$104)*(B525-1))*IF(B$47=1,Quesería!$B$20,1))*$M$10</f>
        <v>120.716772261203</v>
      </c>
      <c r="C530" s="29" t="n">
        <f aca="false">IF(C$47=0,($M$22*Quesería!$J$126+(1-$M$22)*Quesería!$E$122)*Quesería!$B$20*Quesería!$B$21/12*$M$23,(($M$22*Quesería!$J$126+(1-$M$22)*Quesería!$E$122)+($M$22*Quesería!$J$104+(1-$M$22)*Quesería!$E$104)*(C525-1))*IF(C$47=1,Quesería!$B$20,1))*$M$10</f>
        <v>181.3368850207</v>
      </c>
      <c r="D530" s="29" t="n">
        <f aca="false">IF(D$47=0,($M$22*Quesería!$J$126+(1-$M$22)*Quesería!$E$122)*Quesería!$B$20*Quesería!$B$21/12*$M$23,(($M$22*Quesería!$J$126+(1-$M$22)*Quesería!$E$122)+($M$22*Quesería!$J$104+(1-$M$22)*Quesería!$E$104)*(D525-1))*IF(D$47=1,Quesería!$B$20,1))*$M$10</f>
        <v>241.843058205126</v>
      </c>
      <c r="E530" s="29" t="n">
        <f aca="false">IF(E$47=0,($M$22*Quesería!$J$126+(1-$M$22)*Quesería!$E$122)*Quesería!$B$20*Quesería!$B$21/12*$M$23,(($M$22*Quesería!$J$126+(1-$M$22)*Quesería!$E$122)+($M$22*Quesería!$J$104+(1-$M$22)*Quesería!$E$104)*(E525-1))*IF(E$47=1,Quesería!$B$20,1))*$M$10</f>
        <v>241.903905773539</v>
      </c>
      <c r="F530" s="29" t="n">
        <f aca="false">IF(F$47=0,($M$22*Quesería!$J$126+(1-$M$22)*Quesería!$E$122)*Quesería!$B$20*Quesería!$B$21/12*$M$23,(($M$22*Quesería!$J$126+(1-$M$22)*Quesería!$E$122)+($M$22*Quesería!$J$104+(1-$M$22)*Quesería!$E$104)*(F525-1))*IF(F$47=1,Quesería!$B$20,1))*$M$10</f>
        <v>241.965057579795</v>
      </c>
      <c r="G530" s="29" t="n">
        <f aca="false">IF(G$47=0,($M$22*Quesería!$J$126+(1-$M$22)*Quesería!$E$122)*Quesería!$B$20*Quesería!$B$21/12*$M$23,(($M$22*Quesería!$J$126+(1-$M$22)*Quesería!$E$122)+($M$22*Quesería!$J$104+(1-$M$22)*Quesería!$E$104)*(G525-1))*IF(G$47=1,Quesería!$B$20,1))*$M$10</f>
        <v>242.026515145082</v>
      </c>
      <c r="H530" s="29" t="n">
        <f aca="false">IF(H$47=0,($M$22*Quesería!$J$126+(1-$M$22)*Quesería!$E$122)*Quesería!$B$20*Quesería!$B$21/12*$M$23,(($M$22*Quesería!$J$126+(1-$M$22)*Quesería!$E$122)+($M$22*Quesería!$J$104+(1-$M$22)*Quesería!$E$104)*(H525-1))*IF(H$47=1,Quesería!$B$20,1))*$M$10</f>
        <v>242.088279998195</v>
      </c>
      <c r="I530" s="29" t="n">
        <f aca="false">IF(I$47=0,($M$22*Quesería!$J$126+(1-$M$22)*Quesería!$E$122)*Quesería!$B$20*Quesería!$B$21/12*$M$23,(($M$22*Quesería!$J$126+(1-$M$22)*Quesería!$E$122)+($M$22*Quesería!$J$104+(1-$M$22)*Quesería!$E$104)*(I525-1))*IF(I$47=1,Quesería!$B$20,1))*$M$10</f>
        <v>242.150353675574</v>
      </c>
      <c r="J530" s="29" t="n">
        <f aca="false">IF(J$47=0,($M$22*Quesería!$J$126+(1-$M$22)*Quesería!$E$122)*Quesería!$B$20*Quesería!$B$21/12*$M$23,(($M$22*Quesería!$J$126+(1-$M$22)*Quesería!$E$122)+($M$22*Quesería!$J$104+(1-$M$22)*Quesería!$E$104)*(J525-1))*IF(J$47=1,Quesería!$B$20,1))*$M$10</f>
        <v>242.21273772134</v>
      </c>
      <c r="K530" s="29" t="n">
        <f aca="false">IF(K$47=0,($M$22*Quesería!$J$126+(1-$M$22)*Quesería!$E$122)*Quesería!$B$20*Quesería!$B$21/12*$M$23,(($M$22*Quesería!$J$126+(1-$M$22)*Quesería!$E$122)+($M$22*Quesería!$J$104+(1-$M$22)*Quesería!$E$104)*(K525-1))*IF(K$47=1,Quesería!$B$20,1))*$M$10</f>
        <v>242.275433687335</v>
      </c>
      <c r="L530" s="29" t="n">
        <f aca="false">IF(L$47=0,($M$22*Quesería!$J$126+(1-$M$22)*Quesería!$E$122)*Quesería!$B$20*Quesería!$B$21/12*$M$23,(($M$22*Quesería!$J$126+(1-$M$22)*Quesería!$E$122)+($M$22*Quesería!$J$104+(1-$M$22)*Quesería!$E$104)*(L525-1))*IF(L$47=1,Quesería!$B$20,1))*$M$10</f>
        <v>242.338443133159</v>
      </c>
    </row>
    <row r="531" customFormat="false" ht="15" hidden="true" customHeight="false" outlineLevel="1" collapsed="false">
      <c r="A531" s="6" t="s">
        <v>387</v>
      </c>
      <c r="B531" s="29" t="n">
        <f aca="false">IF(B$47&lt;=1,0,((($M$22*Quesería!$J$127+(1-$M$22)*Quesería!$E$123)-($M$22*Quesería!$J$113+(1-$M$22)*Quesería!$E$113)+$M$6*($M$22*Quesería!$J$113+(1-$M$22)*Quesería!$E$113)-(1-$M$9)*(($M$22*Quesería!$J$119+(1-$M$22)*Quesería!$E$119)+($M$22*Quesería!$J$118+(1-$M$22)*Quesería!$E$118))-(1-$M$24)*($M$22*Quesería!$J$117+(1-$M$22)*Quesería!$E$117)+$M$24*(1-$M$25)*'Beneficios y costos'!$B$144-(-$M$26*$M$27)*'Beneficios y costos'!$C$167)+($M$6*($M$22*Quesería!$J$113+(1-$M$22)*Quesería!$E$113)+$M$9*($M$22*Quesería!$J$119+(1-$M$22)*Quesería!$E$119))*(B525-1))*IF(B$47=2,Quesería!$B$20,1)+IF(B$47=2,Quesería!$B$24*$M$9*($M$22*Quesería!$J$119+(1-$M$22)*Quesería!$E$119)*B525,0))*$M$10*$M$21</f>
        <v>0</v>
      </c>
      <c r="C531" s="29" t="n">
        <f aca="false">IF(C$47&lt;=1,0,((($M$22*Quesería!$J$127+(1-$M$22)*Quesería!$E$123)-($M$22*Quesería!$J$113+(1-$M$22)*Quesería!$E$113)+$M$6*($M$22*Quesería!$J$113+(1-$M$22)*Quesería!$E$113)-(1-$M$9)*(($M$22*Quesería!$J$119+(1-$M$22)*Quesería!$E$119)+($M$22*Quesería!$J$118+(1-$M$22)*Quesería!$E$118))-(1-$M$24)*($M$22*Quesería!$J$117+(1-$M$22)*Quesería!$E$117)+$M$24*(1-$M$25)*'Beneficios y costos'!$B$144-(-$M$26*$M$27)*'Beneficios y costos'!$C$167)+($M$6*($M$22*Quesería!$J$113+(1-$M$22)*Quesería!$E$113)+$M$9*($M$22*Quesería!$J$119+(1-$M$22)*Quesería!$E$119))*(C525-1))*IF(C$47=2,Quesería!$B$20,1)+IF(C$47=2,Quesería!$B$24*$M$9*($M$22*Quesería!$J$119+(1-$M$22)*Quesería!$E$119)*C525,0))*$M$10*$M$21</f>
        <v>0</v>
      </c>
      <c r="D531" s="29" t="n">
        <f aca="false">IF(D$47&lt;=1,0,((($M$22*Quesería!$J$127+(1-$M$22)*Quesería!$E$123)-($M$22*Quesería!$J$113+(1-$M$22)*Quesería!$E$113)+$M$6*($M$22*Quesería!$J$113+(1-$M$22)*Quesería!$E$113)-(1-$M$9)*(($M$22*Quesería!$J$119+(1-$M$22)*Quesería!$E$119)+($M$22*Quesería!$J$118+(1-$M$22)*Quesería!$E$118))-(1-$M$24)*($M$22*Quesería!$J$117+(1-$M$22)*Quesería!$E$117)+$M$24*(1-$M$25)*'Beneficios y costos'!$B$144-(-$M$26*$M$27)*'Beneficios y costos'!$C$167)+($M$6*($M$22*Quesería!$J$113+(1-$M$22)*Quesería!$E$113)+$M$9*($M$22*Quesería!$J$119+(1-$M$22)*Quesería!$E$119))*(D525-1))*IF(D$47=2,Quesería!$B$20,1)+IF(D$47=2,Quesería!$B$24*$M$9*($M$22*Quesería!$J$119+(1-$M$22)*Quesería!$E$119)*D525,0))*$M$10*$M$21</f>
        <v>257.397006403785</v>
      </c>
      <c r="E531" s="29" t="n">
        <f aca="false">IF(E$47&lt;=1,0,((($M$22*Quesería!$J$127+(1-$M$22)*Quesería!$E$123)-($M$22*Quesería!$J$113+(1-$M$22)*Quesería!$E$113)+$M$6*($M$22*Quesería!$J$113+(1-$M$22)*Quesería!$E$113)-(1-$M$9)*(($M$22*Quesería!$J$119+(1-$M$22)*Quesería!$E$119)+($M$22*Quesería!$J$118+(1-$M$22)*Quesería!$E$118))-(1-$M$24)*($M$22*Quesería!$J$117+(1-$M$22)*Quesería!$E$117)+$M$24*(1-$M$25)*'Beneficios y costos'!$B$144-(-$M$26*$M$27)*'Beneficios y costos'!$C$167)+($M$6*($M$22*Quesería!$J$113+(1-$M$22)*Quesería!$E$113)+$M$9*($M$22*Quesería!$J$119+(1-$M$22)*Quesería!$E$119))*(E525-1))*IF(E$47=2,Quesería!$B$20,1)+IF(E$47=2,Quesería!$B$24*$M$9*($M$22*Quesería!$J$119+(1-$M$22)*Quesería!$E$119)*E525,0))*$M$10*$M$21</f>
        <v>328.541678847587</v>
      </c>
      <c r="F531" s="29" t="n">
        <f aca="false">IF(F$47&lt;=1,0,((($M$22*Quesería!$J$127+(1-$M$22)*Quesería!$E$123)-($M$22*Quesería!$J$113+(1-$M$22)*Quesería!$E$113)+$M$6*($M$22*Quesería!$J$113+(1-$M$22)*Quesería!$E$113)-(1-$M$9)*(($M$22*Quesería!$J$119+(1-$M$22)*Quesería!$E$119)+($M$22*Quesería!$J$118+(1-$M$22)*Quesería!$E$118))-(1-$M$24)*($M$22*Quesería!$J$117+(1-$M$22)*Quesería!$E$117)+$M$24*(1-$M$25)*'Beneficios y costos'!$B$144-(-$M$26*$M$27)*'Beneficios y costos'!$C$167)+($M$6*($M$22*Quesería!$J$113+(1-$M$22)*Quesería!$E$113)+$M$9*($M$22*Quesería!$J$119+(1-$M$22)*Quesería!$E$119))*(F525-1))*IF(F$47=2,Quesería!$B$20,1)+IF(F$47=2,Quesería!$B$24*$M$9*($M$22*Quesería!$J$119+(1-$M$22)*Quesería!$E$119)*F525,0))*$M$10*$M$21</f>
        <v>328.790030060747</v>
      </c>
      <c r="G531" s="29" t="n">
        <f aca="false">IF(G$47&lt;=1,0,((($M$22*Quesería!$J$127+(1-$M$22)*Quesería!$E$123)-($M$22*Quesería!$J$113+(1-$M$22)*Quesería!$E$113)+$M$6*($M$22*Quesería!$J$113+(1-$M$22)*Quesería!$E$113)-(1-$M$9)*(($M$22*Quesería!$J$119+(1-$M$22)*Quesería!$E$119)+($M$22*Quesería!$J$118+(1-$M$22)*Quesería!$E$118))-(1-$M$24)*($M$22*Quesería!$J$117+(1-$M$22)*Quesería!$E$117)+$M$24*(1-$M$25)*'Beneficios y costos'!$B$144-(-$M$26*$M$27)*'Beneficios y costos'!$C$167)+($M$6*($M$22*Quesería!$J$113+(1-$M$22)*Quesería!$E$113)+$M$9*($M$22*Quesería!$J$119+(1-$M$22)*Quesería!$E$119))*(G525-1))*IF(G$47=2,Quesería!$B$20,1)+IF(G$47=2,Quesería!$B$24*$M$9*($M$22*Quesería!$J$119+(1-$M$22)*Quesería!$E$119)*G525,0))*$M$10*$M$21</f>
        <v>329.039623029974</v>
      </c>
      <c r="H531" s="29" t="n">
        <f aca="false">IF(H$47&lt;=1,0,((($M$22*Quesería!$J$127+(1-$M$22)*Quesería!$E$123)-($M$22*Quesería!$J$113+(1-$M$22)*Quesería!$E$113)+$M$6*($M$22*Quesería!$J$113+(1-$M$22)*Quesería!$E$113)-(1-$M$9)*(($M$22*Quesería!$J$119+(1-$M$22)*Quesería!$E$119)+($M$22*Quesería!$J$118+(1-$M$22)*Quesería!$E$118))-(1-$M$24)*($M$22*Quesería!$J$117+(1-$M$22)*Quesería!$E$117)+$M$24*(1-$M$25)*'Beneficios y costos'!$B$144-(-$M$26*$M$27)*'Beneficios y costos'!$C$167)+($M$6*($M$22*Quesería!$J$113+(1-$M$22)*Quesería!$E$113)+$M$9*($M$22*Quesería!$J$119+(1-$M$22)*Quesería!$E$119))*(H525-1))*IF(H$47=2,Quesería!$B$20,1)+IF(H$47=2,Quesería!$B$24*$M$9*($M$22*Quesería!$J$119+(1-$M$22)*Quesería!$E$119)*H525,0))*$M$10*$M$21</f>
        <v>329.290463964047</v>
      </c>
      <c r="I531" s="29" t="n">
        <f aca="false">IF(I$47&lt;=1,0,((($M$22*Quesería!$J$127+(1-$M$22)*Quesería!$E$123)-($M$22*Quesería!$J$113+(1-$M$22)*Quesería!$E$113)+$M$6*($M$22*Quesería!$J$113+(1-$M$22)*Quesería!$E$113)-(1-$M$9)*(($M$22*Quesería!$J$119+(1-$M$22)*Quesería!$E$119)+($M$22*Quesería!$J$118+(1-$M$22)*Quesería!$E$118))-(1-$M$24)*($M$22*Quesería!$J$117+(1-$M$22)*Quesería!$E$117)+$M$24*(1-$M$25)*'Beneficios y costos'!$B$144-(-$M$26*$M$27)*'Beneficios y costos'!$C$167)+($M$6*($M$22*Quesería!$J$113+(1-$M$22)*Quesería!$E$113)+$M$9*($M$22*Quesería!$J$119+(1-$M$22)*Quesería!$E$119))*(I525-1))*IF(I$47=2,Quesería!$B$20,1)+IF(I$47=2,Quesería!$B$24*$M$9*($M$22*Quesería!$J$119+(1-$M$22)*Quesería!$E$119)*I525,0))*$M$10*$M$21</f>
        <v>329.54255910279</v>
      </c>
      <c r="J531" s="29" t="n">
        <f aca="false">IF(J$47&lt;=1,0,((($M$22*Quesería!$J$127+(1-$M$22)*Quesería!$E$123)-($M$22*Quesería!$J$113+(1-$M$22)*Quesería!$E$113)+$M$6*($M$22*Quesería!$J$113+(1-$M$22)*Quesería!$E$113)-(1-$M$9)*(($M$22*Quesería!$J$119+(1-$M$22)*Quesería!$E$119)+($M$22*Quesería!$J$118+(1-$M$22)*Quesería!$E$118))-(1-$M$24)*($M$22*Quesería!$J$117+(1-$M$22)*Quesería!$E$117)+$M$24*(1-$M$25)*'Beneficios y costos'!$B$144-(-$M$26*$M$27)*'Beneficios y costos'!$C$167)+($M$6*($M$22*Quesería!$J$113+(1-$M$22)*Quesería!$E$113)+$M$9*($M$22*Quesería!$J$119+(1-$M$22)*Quesería!$E$119))*(J525-1))*IF(J$47=2,Quesería!$B$20,1)+IF(J$47=2,Quesería!$B$24*$M$9*($M$22*Quesería!$J$119+(1-$M$22)*Quesería!$E$119)*J525,0))*$M$10*$M$21</f>
        <v>329.795914717227</v>
      </c>
      <c r="K531" s="29" t="n">
        <f aca="false">IF(K$47&lt;=1,0,((($M$22*Quesería!$J$127+(1-$M$22)*Quesería!$E$123)-($M$22*Quesería!$J$113+(1-$M$22)*Quesería!$E$113)+$M$6*($M$22*Quesería!$J$113+(1-$M$22)*Quesería!$E$113)-(1-$M$9)*(($M$22*Quesería!$J$119+(1-$M$22)*Quesería!$E$119)+($M$22*Quesería!$J$118+(1-$M$22)*Quesería!$E$118))-(1-$M$24)*($M$22*Quesería!$J$117+(1-$M$22)*Quesería!$E$117)+$M$24*(1-$M$25)*'Beneficios y costos'!$B$144-(-$M$26*$M$27)*'Beneficios y costos'!$C$167)+($M$6*($M$22*Quesería!$J$113+(1-$M$22)*Quesería!$E$113)+$M$9*($M$22*Quesería!$J$119+(1-$M$22)*Quesería!$E$119))*(K525-1))*IF(K$47=2,Quesería!$B$20,1)+IF(K$47=2,Quesería!$B$24*$M$9*($M$22*Quesería!$J$119+(1-$M$22)*Quesería!$E$119)*K525,0))*$M$10*$M$21</f>
        <v>330.050537109735</v>
      </c>
      <c r="L531" s="29" t="n">
        <f aca="false">IF(L$47&lt;=1,0,((($M$22*Quesería!$J$127+(1-$M$22)*Quesería!$E$123)-($M$22*Quesería!$J$113+(1-$M$22)*Quesería!$E$113)+$M$6*($M$22*Quesería!$J$113+(1-$M$22)*Quesería!$E$113)-(1-$M$9)*(($M$22*Quesería!$J$119+(1-$M$22)*Quesería!$E$119)+($M$22*Quesería!$J$118+(1-$M$22)*Quesería!$E$118))-(1-$M$24)*($M$22*Quesería!$J$117+(1-$M$22)*Quesería!$E$117)+$M$24*(1-$M$25)*'Beneficios y costos'!$B$144-(-$M$26*$M$27)*'Beneficios y costos'!$C$167)+($M$6*($M$22*Quesería!$J$113+(1-$M$22)*Quesería!$E$113)+$M$9*($M$22*Quesería!$J$119+(1-$M$22)*Quesería!$E$119))*(L525-1))*IF(L$47=2,Quesería!$B$20,1)+IF(L$47=2,Quesería!$B$24*$M$9*($M$22*Quesería!$J$119+(1-$M$22)*Quesería!$E$119)*L525,0))*$M$10*$M$21</f>
        <v>330.306432614207</v>
      </c>
    </row>
    <row r="532" customFormat="false" ht="15" hidden="true" customHeight="false" outlineLevel="1" collapsed="false">
      <c r="A532" s="5" t="s">
        <v>412</v>
      </c>
      <c r="B532" s="10" t="n">
        <f aca="false">B530+B531</f>
        <v>120.716772261203</v>
      </c>
      <c r="C532" s="10" t="n">
        <f aca="false">C530+C531</f>
        <v>181.3368850207</v>
      </c>
      <c r="D532" s="10" t="n">
        <f aca="false">D530+D531</f>
        <v>499.24006460891</v>
      </c>
      <c r="E532" s="10" t="n">
        <f aca="false">E530+E531</f>
        <v>570.445584621126</v>
      </c>
      <c r="F532" s="10" t="n">
        <f aca="false">F530+F531</f>
        <v>570.755087640542</v>
      </c>
      <c r="G532" s="10" t="n">
        <f aca="false">G530+G531</f>
        <v>571.066138175056</v>
      </c>
      <c r="H532" s="10" t="n">
        <f aca="false">H530+H531</f>
        <v>571.378743962242</v>
      </c>
      <c r="I532" s="10" t="n">
        <f aca="false">I530+I531</f>
        <v>571.692912778364</v>
      </c>
      <c r="J532" s="10" t="n">
        <f aca="false">J530+J531</f>
        <v>572.008652438566</v>
      </c>
      <c r="K532" s="10" t="n">
        <f aca="false">K530+K531</f>
        <v>572.32597079707</v>
      </c>
      <c r="L532" s="10" t="n">
        <f aca="false">L530+L531</f>
        <v>572.644875747366</v>
      </c>
    </row>
    <row r="533" customFormat="false" ht="15" hidden="true" customHeight="false" outlineLevel="1" collapsed="false">
      <c r="A533" s="6" t="s">
        <v>413</v>
      </c>
      <c r="B533" s="29" t="n">
        <f aca="false">(IF(B$47&gt;=1,(Quesería!$B$31+Quesería!$B$33)*Quesería!$F$94*$M$11+Quesería!$B$32+'Beneficios y costos'!$B$249,0)+IF(B$47&gt;=2,((Quesería!$B$31+Quesería!$B$33)*(Quesería!$F$95-(-$M$26)*Quesería!$D$86)*$M$11+'Beneficios y costos'!$C$249-(-$M$26)*'Beneficios y costos'!$H$235)*$M$21,0))*$M$12</f>
        <v>0</v>
      </c>
      <c r="C533" s="29" t="n">
        <f aca="false">(IF(C$47&gt;=1,(Quesería!$B$31+Quesería!$B$33)*Quesería!$F$94*$M$11+Quesería!$B$32+'Beneficios y costos'!$B$249,0)+IF(C$47&gt;=2,((Quesería!$B$31+Quesería!$B$33)*(Quesería!$F$95-(-$M$26)*Quesería!$D$86)*$M$11+'Beneficios y costos'!$C$249-(-$M$26)*'Beneficios y costos'!$H$235)*$M$21,0))*$M$12</f>
        <v>42.0946487260605</v>
      </c>
      <c r="D533" s="29" t="n">
        <f aca="false">(IF(D$47&gt;=1,(Quesería!$B$31+Quesería!$B$33)*Quesería!$F$94*$M$11+Quesería!$B$32+'Beneficios y costos'!$B$249,0)+IF(D$47&gt;=2,((Quesería!$B$31+Quesería!$B$33)*(Quesería!$F$95-(-$M$26)*Quesería!$D$86)*$M$11+'Beneficios y costos'!$C$249-(-$M$26)*'Beneficios y costos'!$H$235)*$M$21,0))*$M$12</f>
        <v>76.4964821173776</v>
      </c>
      <c r="E533" s="29" t="n">
        <f aca="false">(IF(E$47&gt;=1,(Quesería!$B$31+Quesería!$B$33)*Quesería!$F$94*$M$11+Quesería!$B$32+'Beneficios y costos'!$B$249,0)+IF(E$47&gt;=2,((Quesería!$B$31+Quesería!$B$33)*(Quesería!$F$95-(-$M$26)*Quesería!$D$86)*$M$11+'Beneficios y costos'!$C$249-(-$M$26)*'Beneficios y costos'!$H$235)*$M$21,0))*$M$12</f>
        <v>76.4964821173776</v>
      </c>
      <c r="F533" s="29" t="n">
        <f aca="false">(IF(F$47&gt;=1,(Quesería!$B$31+Quesería!$B$33)*Quesería!$F$94*$M$11+Quesería!$B$32+'Beneficios y costos'!$B$249,0)+IF(F$47&gt;=2,((Quesería!$B$31+Quesería!$B$33)*(Quesería!$F$95-(-$M$26)*Quesería!$D$86)*$M$11+'Beneficios y costos'!$C$249-(-$M$26)*'Beneficios y costos'!$H$235)*$M$21,0))*$M$12</f>
        <v>76.4964821173776</v>
      </c>
      <c r="G533" s="29" t="n">
        <f aca="false">(IF(G$47&gt;=1,(Quesería!$B$31+Quesería!$B$33)*Quesería!$F$94*$M$11+Quesería!$B$32+'Beneficios y costos'!$B$249,0)+IF(G$47&gt;=2,((Quesería!$B$31+Quesería!$B$33)*(Quesería!$F$95-(-$M$26)*Quesería!$D$86)*$M$11+'Beneficios y costos'!$C$249-(-$M$26)*'Beneficios y costos'!$H$235)*$M$21,0))*$M$12</f>
        <v>76.4964821173776</v>
      </c>
      <c r="H533" s="29" t="n">
        <f aca="false">(IF(H$47&gt;=1,(Quesería!$B$31+Quesería!$B$33)*Quesería!$F$94*$M$11+Quesería!$B$32+'Beneficios y costos'!$B$249,0)+IF(H$47&gt;=2,((Quesería!$B$31+Quesería!$B$33)*(Quesería!$F$95-(-$M$26)*Quesería!$D$86)*$M$11+'Beneficios y costos'!$C$249-(-$M$26)*'Beneficios y costos'!$H$235)*$M$21,0))*$M$12</f>
        <v>76.4964821173776</v>
      </c>
      <c r="I533" s="29" t="n">
        <f aca="false">(IF(I$47&gt;=1,(Quesería!$B$31+Quesería!$B$33)*Quesería!$F$94*$M$11+Quesería!$B$32+'Beneficios y costos'!$B$249,0)+IF(I$47&gt;=2,((Quesería!$B$31+Quesería!$B$33)*(Quesería!$F$95-(-$M$26)*Quesería!$D$86)*$M$11+'Beneficios y costos'!$C$249-(-$M$26)*'Beneficios y costos'!$H$235)*$M$21,0))*$M$12</f>
        <v>76.4964821173776</v>
      </c>
      <c r="J533" s="29" t="n">
        <f aca="false">(IF(J$47&gt;=1,(Quesería!$B$31+Quesería!$B$33)*Quesería!$F$94*$M$11+Quesería!$B$32+'Beneficios y costos'!$B$249,0)+IF(J$47&gt;=2,((Quesería!$B$31+Quesería!$B$33)*(Quesería!$F$95-(-$M$26)*Quesería!$D$86)*$M$11+'Beneficios y costos'!$C$249-(-$M$26)*'Beneficios y costos'!$H$235)*$M$21,0))*$M$12</f>
        <v>76.4964821173776</v>
      </c>
      <c r="K533" s="29" t="n">
        <f aca="false">(IF(K$47&gt;=1,(Quesería!$B$31+Quesería!$B$33)*Quesería!$F$94*$M$11+Quesería!$B$32+'Beneficios y costos'!$B$249,0)+IF(K$47&gt;=2,((Quesería!$B$31+Quesería!$B$33)*(Quesería!$F$95-(-$M$26)*Quesería!$D$86)*$M$11+'Beneficios y costos'!$C$249-(-$M$26)*'Beneficios y costos'!$H$235)*$M$21,0))*$M$12</f>
        <v>76.4964821173776</v>
      </c>
      <c r="L533" s="29" t="n">
        <f aca="false">(IF(L$47&gt;=1,(Quesería!$B$31+Quesería!$B$33)*Quesería!$F$94*$M$11+Quesería!$B$32+'Beneficios y costos'!$B$249,0)+IF(L$47&gt;=2,((Quesería!$B$31+Quesería!$B$33)*(Quesería!$F$95-(-$M$26)*Quesería!$D$86)*$M$11+'Beneficios y costos'!$C$249-(-$M$26)*'Beneficios y costos'!$H$235)*$M$21,0))*$M$12</f>
        <v>76.4964821173776</v>
      </c>
    </row>
    <row r="534" customFormat="false" ht="15" hidden="true" customHeight="false" outlineLevel="1" collapsed="false">
      <c r="A534" s="6" t="s">
        <v>414</v>
      </c>
      <c r="B534" s="29" t="n">
        <f aca="false">IF(B$47=1,2*Quesería!$B$22*Quesería!$B$23/12*B525,0)*$M$21</f>
        <v>0</v>
      </c>
      <c r="C534" s="29" t="n">
        <f aca="false">IF(C$47=1,2*Quesería!$B$22*Quesería!$B$23/12*C525,0)*$M$21</f>
        <v>18.5341359773371</v>
      </c>
      <c r="D534" s="29" t="n">
        <f aca="false">IF(D$47=1,2*Quesería!$B$22*Quesería!$B$23/12*D525,0)*$M$21</f>
        <v>0</v>
      </c>
      <c r="E534" s="29" t="n">
        <f aca="false">IF(E$47=1,2*Quesería!$B$22*Quesería!$B$23/12*E525,0)*$M$21</f>
        <v>0</v>
      </c>
      <c r="F534" s="29" t="n">
        <f aca="false">IF(F$47=1,2*Quesería!$B$22*Quesería!$B$23/12*F525,0)*$M$21</f>
        <v>0</v>
      </c>
      <c r="G534" s="29" t="n">
        <f aca="false">IF(G$47=1,2*Quesería!$B$22*Quesería!$B$23/12*G525,0)*$M$21</f>
        <v>0</v>
      </c>
      <c r="H534" s="29" t="n">
        <f aca="false">IF(H$47=1,2*Quesería!$B$22*Quesería!$B$23/12*H525,0)*$M$21</f>
        <v>0</v>
      </c>
      <c r="I534" s="29" t="n">
        <f aca="false">IF(I$47=1,2*Quesería!$B$22*Quesería!$B$23/12*I525,0)*$M$21</f>
        <v>0</v>
      </c>
      <c r="J534" s="29" t="n">
        <f aca="false">IF(J$47=1,2*Quesería!$B$22*Quesería!$B$23/12*J525,0)*$M$21</f>
        <v>0</v>
      </c>
      <c r="K534" s="29" t="n">
        <f aca="false">IF(K$47=1,2*Quesería!$B$22*Quesería!$B$23/12*K525,0)*$M$21</f>
        <v>0</v>
      </c>
      <c r="L534" s="29" t="n">
        <f aca="false">IF(L$47=1,2*Quesería!$B$22*Quesería!$B$23/12*L525,0)*$M$21</f>
        <v>0</v>
      </c>
    </row>
    <row r="535" customFormat="false" ht="15" hidden="true" customHeight="false" outlineLevel="1" collapsed="false">
      <c r="A535" s="6" t="s">
        <v>415</v>
      </c>
      <c r="B535" s="29" t="n">
        <f aca="false">Quesería!$B$52*(B527+B528+B529+B533+B534)</f>
        <v>4.31966364396742</v>
      </c>
      <c r="C535" s="29" t="n">
        <f aca="false">Quesería!$B$52*(C527+C528+C529+C533+C534)</f>
        <v>3.3768278961842</v>
      </c>
      <c r="D535" s="29" t="n">
        <f aca="false">Quesería!$B$52*(D527+D528+D529+D533+D534)</f>
        <v>0.305985928469511</v>
      </c>
      <c r="E535" s="29" t="n">
        <f aca="false">Quesería!$B$52*(E527+E528+E529+E533+E534)</f>
        <v>0.305985928469511</v>
      </c>
      <c r="F535" s="29" t="n">
        <f aca="false">Quesería!$B$52*(F527+F528+F529+F533+F534)</f>
        <v>0.305985928469511</v>
      </c>
      <c r="G535" s="29" t="n">
        <f aca="false">Quesería!$B$52*(G527+G528+G529+G533+G534)</f>
        <v>0.436720362669349</v>
      </c>
      <c r="H535" s="29" t="n">
        <f aca="false">Quesería!$B$52*(H527+H528+H529+H533+H534)</f>
        <v>0.526798309653658</v>
      </c>
      <c r="I535" s="29" t="n">
        <f aca="false">Quesería!$B$52*(I527+I528+I529+I533+I534)</f>
        <v>0.305985928469511</v>
      </c>
      <c r="J535" s="29" t="n">
        <f aca="false">Quesería!$B$52*(J527+J528+J529+J533+J534)</f>
        <v>0.305985928469511</v>
      </c>
      <c r="K535" s="29" t="n">
        <f aca="false">Quesería!$B$52*(K527+K528+K529+K533+K534)</f>
        <v>0.305985928469511</v>
      </c>
      <c r="L535" s="29" t="n">
        <f aca="false">Quesería!$B$52*(L527+L528+L529+L533+L534)</f>
        <v>0.305985928469511</v>
      </c>
    </row>
    <row r="536" customFormat="false" ht="15" hidden="true" customHeight="false" outlineLevel="1" collapsed="false">
      <c r="A536" s="6" t="s">
        <v>416</v>
      </c>
      <c r="B536" s="29" t="n">
        <f aca="false">(IF($M$19=1,(SUMPRODUCT((Quesería!$C$70:$C$89=0)*(Quesería!$J$70:$J$89&gt;0)*(B$47&gt;=1)*(B$47&lt;=Quesería!$J$70:$J$89)*(Quesería!$H$70:$H$89&gt;0)*Quesería!$F$70:$F$89*(1+Quesería!$I$70:$I$89)/(Quesería!$J$70:$J$89+(Quesería!$J$70:$J$89=0)))+SUMPRODUCT((Quesería!$C$70:$C$89=0)*(Quesería!$J$70:$J$89=0)*(B$47=0)*(Quesería!$H$70:$H$89&gt;0)*Quesería!$F$70:$F$89*(1+Quesería!$I$70:$I$89)))*$B$524+((SUMPRODUCT((Quesería!$C$70:$C$89=1)*(Quesería!$J$70:$J$89&gt;0)*(B$47&gt;=2)*(B$47&lt;=Quesería!$J$70:$J$89+1)*(Quesería!$H$70:$H$89&gt;0)*Quesería!$F$70:$F$89*(1+Quesería!$I$70:$I$89)/(Quesería!$J$70:$J$89+(Quesería!$J$70:$J$89=0)))+SUMPRODUCT((Quesería!$C$70:$C$89=1)*(Quesería!$J$70:$J$89=0)*(B$47=1)*(Quesería!$H$70:$H$89&gt;0)*Quesería!$F$70:$F$89*(1+Quesería!$I$70:$I$89)))-(-$M$26)*IF(AND(B$47&gt;=2,B$47&lt;=Quesería!$J$86+1),Quesería!$D$86*(1+Quesería!$I$86)/Quesería!$J$86,0))*$C$524*$M$21,IF(AND(B$47&gt;=1,B$47&lt;=Quesería!$B$30),Quesería!$F$92/Quesería!$B$30,0)*$B$524+IF(AND(B$47&gt;=2,B$47&lt;=Quesería!$B$30+1),(Quesería!$F$93-(-$M$26)*Quesería!$D$86*(1+Quesería!$I$86))/Quesería!$B$30,0)*$C$524*$M$21)*$M$11+IF(AND(B$47&gt;=6,B$47&lt;=10),$G528*$G524/5,0)+IF(AND(B$47&gt;=7,B$47&lt;=11),$H528*$H524/5,0))*B526</f>
        <v>145.980915430742</v>
      </c>
      <c r="C536" s="29" t="n">
        <f aca="false">(IF($M$19=1,(SUMPRODUCT((Quesería!$C$70:$C$89=0)*(Quesería!$J$70:$J$89&gt;0)*(C$47&gt;=1)*(C$47&lt;=Quesería!$J$70:$J$89)*(Quesería!$H$70:$H$89&gt;0)*Quesería!$F$70:$F$89*(1+Quesería!$I$70:$I$89)/(Quesería!$J$70:$J$89+(Quesería!$J$70:$J$89=0)))+SUMPRODUCT((Quesería!$C$70:$C$89=0)*(Quesería!$J$70:$J$89=0)*(C$47=0)*(Quesería!$H$70:$H$89&gt;0)*Quesería!$F$70:$F$89*(1+Quesería!$I$70:$I$89)))*$B$524+((SUMPRODUCT((Quesería!$C$70:$C$89=1)*(Quesería!$J$70:$J$89&gt;0)*(C$47&gt;=2)*(C$47&lt;=Quesería!$J$70:$J$89+1)*(Quesería!$H$70:$H$89&gt;0)*Quesería!$F$70:$F$89*(1+Quesería!$I$70:$I$89)/(Quesería!$J$70:$J$89+(Quesería!$J$70:$J$89=0)))+SUMPRODUCT((Quesería!$C$70:$C$89=1)*(Quesería!$J$70:$J$89=0)*(C$47=1)*(Quesería!$H$70:$H$89&gt;0)*Quesería!$F$70:$F$89*(1+Quesería!$I$70:$I$89)))-(-$M$26)*IF(AND(C$47&gt;=2,C$47&lt;=Quesería!$J$86+1),Quesería!$D$86*(1+Quesería!$I$86)/Quesería!$J$86,0))*$C$524*$M$21,IF(AND(C$47&gt;=1,C$47&lt;=Quesería!$B$30),Quesería!$F$92/Quesería!$B$30,0)*$B$524+IF(AND(C$47&gt;=2,C$47&lt;=Quesería!$B$30+1),(Quesería!$F$93-(-$M$26)*Quesería!$D$86*(1+Quesería!$I$86))/Quesería!$B$30,0)*$C$524*$M$21)*$M$11+IF(AND(C$47&gt;=6,C$47&lt;=10),$G528*$G524/5,0)+IF(AND(C$47&gt;=7,C$47&lt;=11),$H528*$H524/5,0))*C526</f>
        <v>82.6569313876056</v>
      </c>
      <c r="D536" s="29" t="n">
        <f aca="false">(IF($M$19=1,(SUMPRODUCT((Quesería!$C$70:$C$89=0)*(Quesería!$J$70:$J$89&gt;0)*(D$47&gt;=1)*(D$47&lt;=Quesería!$J$70:$J$89)*(Quesería!$H$70:$H$89&gt;0)*Quesería!$F$70:$F$89*(1+Quesería!$I$70:$I$89)/(Quesería!$J$70:$J$89+(Quesería!$J$70:$J$89=0)))+SUMPRODUCT((Quesería!$C$70:$C$89=0)*(Quesería!$J$70:$J$89=0)*(D$47=0)*(Quesería!$H$70:$H$89&gt;0)*Quesería!$F$70:$F$89*(1+Quesería!$I$70:$I$89)))*$B$524+((SUMPRODUCT((Quesería!$C$70:$C$89=1)*(Quesería!$J$70:$J$89&gt;0)*(D$47&gt;=2)*(D$47&lt;=Quesería!$J$70:$J$89+1)*(Quesería!$H$70:$H$89&gt;0)*Quesería!$F$70:$F$89*(1+Quesería!$I$70:$I$89)/(Quesería!$J$70:$J$89+(Quesería!$J$70:$J$89=0)))+SUMPRODUCT((Quesería!$C$70:$C$89=1)*(Quesería!$J$70:$J$89=0)*(D$47=1)*(Quesería!$H$70:$H$89&gt;0)*Quesería!$F$70:$F$89*(1+Quesería!$I$70:$I$89)))-(-$M$26)*IF(AND(D$47&gt;=2,D$47&lt;=Quesería!$J$86+1),Quesería!$D$86*(1+Quesería!$I$86)/Quesería!$J$86,0))*$C$524*$M$21,IF(AND(D$47&gt;=1,D$47&lt;=Quesería!$B$30),Quesería!$F$92/Quesería!$B$30,0)*$B$524+IF(AND(D$47&gt;=2,D$47&lt;=Quesería!$B$30+1),(Quesería!$F$93-(-$M$26)*Quesería!$D$86*(1+Quesería!$I$86))/Quesería!$B$30,0)*$C$524*$M$21)*$M$11+IF(AND(D$47&gt;=6,D$47&lt;=10),$G528*$G524/5,0)+IF(AND(D$47&gt;=7,D$47&lt;=11),$H528*$H524/5,0))*D526</f>
        <v>143.20524402609</v>
      </c>
      <c r="E536" s="29" t="n">
        <f aca="false">(IF($M$19=1,(SUMPRODUCT((Quesería!$C$70:$C$89=0)*(Quesería!$J$70:$J$89&gt;0)*(E$47&gt;=1)*(E$47&lt;=Quesería!$J$70:$J$89)*(Quesería!$H$70:$H$89&gt;0)*Quesería!$F$70:$F$89*(1+Quesería!$I$70:$I$89)/(Quesería!$J$70:$J$89+(Quesería!$J$70:$J$89=0)))+SUMPRODUCT((Quesería!$C$70:$C$89=0)*(Quesería!$J$70:$J$89=0)*(E$47=0)*(Quesería!$H$70:$H$89&gt;0)*Quesería!$F$70:$F$89*(1+Quesería!$I$70:$I$89)))*$B$524+((SUMPRODUCT((Quesería!$C$70:$C$89=1)*(Quesería!$J$70:$J$89&gt;0)*(E$47&gt;=2)*(E$47&lt;=Quesería!$J$70:$J$89+1)*(Quesería!$H$70:$H$89&gt;0)*Quesería!$F$70:$F$89*(1+Quesería!$I$70:$I$89)/(Quesería!$J$70:$J$89+(Quesería!$J$70:$J$89=0)))+SUMPRODUCT((Quesería!$C$70:$C$89=1)*(Quesería!$J$70:$J$89=0)*(E$47=1)*(Quesería!$H$70:$H$89&gt;0)*Quesería!$F$70:$F$89*(1+Quesería!$I$70:$I$89)))-(-$M$26)*IF(AND(E$47&gt;=2,E$47&lt;=Quesería!$J$86+1),Quesería!$D$86*(1+Quesería!$I$86)/Quesería!$J$86,0))*$C$524*$M$21,IF(AND(E$47&gt;=1,E$47&lt;=Quesería!$B$30),Quesería!$F$92/Quesería!$B$30,0)*$B$524+IF(AND(E$47&gt;=2,E$47&lt;=Quesería!$B$30+1),(Quesería!$F$93-(-$M$26)*Quesería!$D$86*(1+Quesería!$I$86))/Quesería!$B$30,0)*$C$524*$M$21)*$M$11+IF(AND(E$47&gt;=6,E$47&lt;=10),$G528*$G524/5,0)+IF(AND(E$47&gt;=7,E$47&lt;=11),$H528*$H524/5,0))*E526</f>
        <v>138.496367530068</v>
      </c>
      <c r="F536" s="29" t="n">
        <f aca="false">(IF($M$19=1,(SUMPRODUCT((Quesería!$C$70:$C$89=0)*(Quesería!$J$70:$J$89&gt;0)*(F$47&gt;=1)*(F$47&lt;=Quesería!$J$70:$J$89)*(Quesería!$H$70:$H$89&gt;0)*Quesería!$F$70:$F$89*(1+Quesería!$I$70:$I$89)/(Quesería!$J$70:$J$89+(Quesería!$J$70:$J$89=0)))+SUMPRODUCT((Quesería!$C$70:$C$89=0)*(Quesería!$J$70:$J$89=0)*(F$47=0)*(Quesería!$H$70:$H$89&gt;0)*Quesería!$F$70:$F$89*(1+Quesería!$I$70:$I$89)))*$B$524+((SUMPRODUCT((Quesería!$C$70:$C$89=1)*(Quesería!$J$70:$J$89&gt;0)*(F$47&gt;=2)*(F$47&lt;=Quesería!$J$70:$J$89+1)*(Quesería!$H$70:$H$89&gt;0)*Quesería!$F$70:$F$89*(1+Quesería!$I$70:$I$89)/(Quesería!$J$70:$J$89+(Quesería!$J$70:$J$89=0)))+SUMPRODUCT((Quesería!$C$70:$C$89=1)*(Quesería!$J$70:$J$89=0)*(F$47=1)*(Quesería!$H$70:$H$89&gt;0)*Quesería!$F$70:$F$89*(1+Quesería!$I$70:$I$89)))-(-$M$26)*IF(AND(F$47&gt;=2,F$47&lt;=Quesería!$J$86+1),Quesería!$D$86*(1+Quesería!$I$86)/Quesería!$J$86,0))*$C$524*$M$21,IF(AND(F$47&gt;=1,F$47&lt;=Quesería!$B$30),Quesería!$F$92/Quesería!$B$30,0)*$B$524+IF(AND(F$47&gt;=2,F$47&lt;=Quesería!$B$30+1),(Quesería!$F$93-(-$M$26)*Quesería!$D$86*(1+Quesería!$I$86))/Quesería!$B$30,0)*$C$524*$M$21)*$M$11+IF(AND(F$47&gt;=6,F$47&lt;=10),$G528*$G524/5,0)+IF(AND(F$47&gt;=7,F$47&lt;=11),$H528*$H524/5,0))*F526</f>
        <v>133.942328365636</v>
      </c>
      <c r="G536" s="29" t="n">
        <f aca="false">(IF($M$19=1,(SUMPRODUCT((Quesería!$C$70:$C$89=0)*(Quesería!$J$70:$J$89&gt;0)*(G$47&gt;=1)*(G$47&lt;=Quesería!$J$70:$J$89)*(Quesería!$H$70:$H$89&gt;0)*Quesería!$F$70:$F$89*(1+Quesería!$I$70:$I$89)/(Quesería!$J$70:$J$89+(Quesería!$J$70:$J$89=0)))+SUMPRODUCT((Quesería!$C$70:$C$89=0)*(Quesería!$J$70:$J$89=0)*(G$47=0)*(Quesería!$H$70:$H$89&gt;0)*Quesería!$F$70:$F$89*(1+Quesería!$I$70:$I$89)))*$B$524+((SUMPRODUCT((Quesería!$C$70:$C$89=1)*(Quesería!$J$70:$J$89&gt;0)*(G$47&gt;=2)*(G$47&lt;=Quesería!$J$70:$J$89+1)*(Quesería!$H$70:$H$89&gt;0)*Quesería!$F$70:$F$89*(1+Quesería!$I$70:$I$89)/(Quesería!$J$70:$J$89+(Quesería!$J$70:$J$89=0)))+SUMPRODUCT((Quesería!$C$70:$C$89=1)*(Quesería!$J$70:$J$89=0)*(G$47=1)*(Quesería!$H$70:$H$89&gt;0)*Quesería!$F$70:$F$89*(1+Quesería!$I$70:$I$89)))-(-$M$26)*IF(AND(G$47&gt;=2,G$47&lt;=Quesería!$J$86+1),Quesería!$D$86*(1+Quesería!$I$86)/Quesería!$J$86,0))*$C$524*$M$21,IF(AND(G$47&gt;=1,G$47&lt;=Quesería!$B$30),Quesería!$F$92/Quesería!$B$30,0)*$B$524+IF(AND(G$47&gt;=2,G$47&lt;=Quesería!$B$30+1),(Quesería!$F$93-(-$M$26)*Quesería!$D$86*(1+Quesería!$I$86))/Quesería!$B$30,0)*$C$524*$M$21)*$M$11+IF(AND(G$47&gt;=6,G$47&lt;=10),$G528*$G524/5,0)+IF(AND(G$47&gt;=7,G$47&lt;=11),$H528*$H524/5,0))*G526</f>
        <v>129.538035169861</v>
      </c>
      <c r="H536" s="29" t="n">
        <f aca="false">(IF($M$19=1,(SUMPRODUCT((Quesería!$C$70:$C$89=0)*(Quesería!$J$70:$J$89&gt;0)*(H$47&gt;=1)*(H$47&lt;=Quesería!$J$70:$J$89)*(Quesería!$H$70:$H$89&gt;0)*Quesería!$F$70:$F$89*(1+Quesería!$I$70:$I$89)/(Quesería!$J$70:$J$89+(Quesería!$J$70:$J$89=0)))+SUMPRODUCT((Quesería!$C$70:$C$89=0)*(Quesería!$J$70:$J$89=0)*(H$47=0)*(Quesería!$H$70:$H$89&gt;0)*Quesería!$F$70:$F$89*(1+Quesería!$I$70:$I$89)))*$B$524+((SUMPRODUCT((Quesería!$C$70:$C$89=1)*(Quesería!$J$70:$J$89&gt;0)*(H$47&gt;=2)*(H$47&lt;=Quesería!$J$70:$J$89+1)*(Quesería!$H$70:$H$89&gt;0)*Quesería!$F$70:$F$89*(1+Quesería!$I$70:$I$89)/(Quesería!$J$70:$J$89+(Quesería!$J$70:$J$89=0)))+SUMPRODUCT((Quesería!$C$70:$C$89=1)*(Quesería!$J$70:$J$89=0)*(H$47=1)*(Quesería!$H$70:$H$89&gt;0)*Quesería!$F$70:$F$89*(1+Quesería!$I$70:$I$89)))-(-$M$26)*IF(AND(H$47&gt;=2,H$47&lt;=Quesería!$J$86+1),Quesería!$D$86*(1+Quesería!$I$86)/Quesería!$J$86,0))*$C$524*$M$21,IF(AND(H$47&gt;=1,H$47&lt;=Quesería!$B$30),Quesería!$F$92/Quesería!$B$30,0)*$B$524+IF(AND(H$47&gt;=2,H$47&lt;=Quesería!$B$30+1),(Quesería!$F$93-(-$M$26)*Quesería!$D$86*(1+Quesería!$I$86))/Quesería!$B$30,0)*$C$524*$M$21)*$M$11+IF(AND(H$47&gt;=6,H$47&lt;=10),$G528*$G524/5,0)+IF(AND(H$47&gt;=7,H$47&lt;=11),$H528*$H524/5,0))*H526</f>
        <v>117.844783825811</v>
      </c>
      <c r="I536" s="29" t="n">
        <f aca="false">(IF($M$19=1,(SUMPRODUCT((Quesería!$C$70:$C$89=0)*(Quesería!$J$70:$J$89&gt;0)*(I$47&gt;=1)*(I$47&lt;=Quesería!$J$70:$J$89)*(Quesería!$H$70:$H$89&gt;0)*Quesería!$F$70:$F$89*(1+Quesería!$I$70:$I$89)/(Quesería!$J$70:$J$89+(Quesería!$J$70:$J$89=0)))+SUMPRODUCT((Quesería!$C$70:$C$89=0)*(Quesería!$J$70:$J$89=0)*(I$47=0)*(Quesería!$H$70:$H$89&gt;0)*Quesería!$F$70:$F$89*(1+Quesería!$I$70:$I$89)))*$B$524+((SUMPRODUCT((Quesería!$C$70:$C$89=1)*(Quesería!$J$70:$J$89&gt;0)*(I$47&gt;=2)*(I$47&lt;=Quesería!$J$70:$J$89+1)*(Quesería!$H$70:$H$89&gt;0)*Quesería!$F$70:$F$89*(1+Quesería!$I$70:$I$89)/(Quesería!$J$70:$J$89+(Quesería!$J$70:$J$89=0)))+SUMPRODUCT((Quesería!$C$70:$C$89=1)*(Quesería!$J$70:$J$89=0)*(I$47=1)*(Quesería!$H$70:$H$89&gt;0)*Quesería!$F$70:$F$89*(1+Quesería!$I$70:$I$89)))-(-$M$26)*IF(AND(I$47&gt;=2,I$47&lt;=Quesería!$J$86+1),Quesería!$D$86*(1+Quesería!$I$86)/Quesería!$J$86,0))*$C$524*$M$21,IF(AND(I$47&gt;=1,I$47&lt;=Quesería!$B$30),Quesería!$F$92/Quesería!$B$30,0)*$B$524+IF(AND(I$47&gt;=2,I$47&lt;=Quesería!$B$30+1),(Quesería!$F$93-(-$M$26)*Quesería!$D$86*(1+Quesería!$I$86))/Quesería!$B$30,0)*$C$524*$M$21)*$M$11+IF(AND(I$47&gt;=6,I$47&lt;=10),$G528*$G524/5,0)+IF(AND(I$47&gt;=7,I$47&lt;=11),$H528*$H524/5,0))*I526</f>
        <v>122.942567667314</v>
      </c>
      <c r="J536" s="29" t="n">
        <f aca="false">(IF($M$19=1,(SUMPRODUCT((Quesería!$C$70:$C$89=0)*(Quesería!$J$70:$J$89&gt;0)*(J$47&gt;=1)*(J$47&lt;=Quesería!$J$70:$J$89)*(Quesería!$H$70:$H$89&gt;0)*Quesería!$F$70:$F$89*(1+Quesería!$I$70:$I$89)/(Quesería!$J$70:$J$89+(Quesería!$J$70:$J$89=0)))+SUMPRODUCT((Quesería!$C$70:$C$89=0)*(Quesería!$J$70:$J$89=0)*(J$47=0)*(Quesería!$H$70:$H$89&gt;0)*Quesería!$F$70:$F$89*(1+Quesería!$I$70:$I$89)))*$B$524+((SUMPRODUCT((Quesería!$C$70:$C$89=1)*(Quesería!$J$70:$J$89&gt;0)*(J$47&gt;=2)*(J$47&lt;=Quesería!$J$70:$J$89+1)*(Quesería!$H$70:$H$89&gt;0)*Quesería!$F$70:$F$89*(1+Quesería!$I$70:$I$89)/(Quesería!$J$70:$J$89+(Quesería!$J$70:$J$89=0)))+SUMPRODUCT((Quesería!$C$70:$C$89=1)*(Quesería!$J$70:$J$89=0)*(J$47=1)*(Quesería!$H$70:$H$89&gt;0)*Quesería!$F$70:$F$89*(1+Quesería!$I$70:$I$89)))-(-$M$26)*IF(AND(J$47&gt;=2,J$47&lt;=Quesería!$J$86+1),Quesería!$D$86*(1+Quesería!$I$86)/Quesería!$J$86,0))*$C$524*$M$21,IF(AND(J$47&gt;=1,J$47&lt;=Quesería!$B$30),Quesería!$F$92/Quesería!$B$30,0)*$B$524+IF(AND(J$47&gt;=2,J$47&lt;=Quesería!$B$30+1),(Quesería!$F$93-(-$M$26)*Quesería!$D$86*(1+Quesería!$I$86))/Quesería!$B$30,0)*$C$524*$M$21)*$M$11+IF(AND(J$47&gt;=6,J$47&lt;=10),$G528*$G524/5,0)+IF(AND(J$47&gt;=7,J$47&lt;=11),$H528*$H524/5,0))*J526</f>
        <v>118.899968730477</v>
      </c>
      <c r="K536" s="29" t="n">
        <f aca="false">(IF($M$19=1,(SUMPRODUCT((Quesería!$C$70:$C$89=0)*(Quesería!$J$70:$J$89&gt;0)*(K$47&gt;=1)*(K$47&lt;=Quesería!$J$70:$J$89)*(Quesería!$H$70:$H$89&gt;0)*Quesería!$F$70:$F$89*(1+Quesería!$I$70:$I$89)/(Quesería!$J$70:$J$89+(Quesería!$J$70:$J$89=0)))+SUMPRODUCT((Quesería!$C$70:$C$89=0)*(Quesería!$J$70:$J$89=0)*(K$47=0)*(Quesería!$H$70:$H$89&gt;0)*Quesería!$F$70:$F$89*(1+Quesería!$I$70:$I$89)))*$B$524+((SUMPRODUCT((Quesería!$C$70:$C$89=1)*(Quesería!$J$70:$J$89&gt;0)*(K$47&gt;=2)*(K$47&lt;=Quesería!$J$70:$J$89+1)*(Quesería!$H$70:$H$89&gt;0)*Quesería!$F$70:$F$89*(1+Quesería!$I$70:$I$89)/(Quesería!$J$70:$J$89+(Quesería!$J$70:$J$89=0)))+SUMPRODUCT((Quesería!$C$70:$C$89=1)*(Quesería!$J$70:$J$89=0)*(K$47=1)*(Quesería!$H$70:$H$89&gt;0)*Quesería!$F$70:$F$89*(1+Quesería!$I$70:$I$89)))-(-$M$26)*IF(AND(K$47&gt;=2,K$47&lt;=Quesería!$J$86+1),Quesería!$D$86*(1+Quesería!$I$86)/Quesería!$J$86,0))*$C$524*$M$21,IF(AND(K$47&gt;=1,K$47&lt;=Quesería!$B$30),Quesería!$F$92/Quesería!$B$30,0)*$B$524+IF(AND(K$47&gt;=2,K$47&lt;=Quesería!$B$30+1),(Quesería!$F$93-(-$M$26)*Quesería!$D$86*(1+Quesería!$I$86))/Quesería!$B$30,0)*$C$524*$M$21)*$M$11+IF(AND(K$47&gt;=6,K$47&lt;=10),$G528*$G524/5,0)+IF(AND(K$47&gt;=7,K$47&lt;=11),$H528*$H524/5,0))*K526</f>
        <v>114.990298578798</v>
      </c>
      <c r="L536" s="29" t="n">
        <f aca="false">(IF($M$19=1,(SUMPRODUCT((Quesería!$C$70:$C$89=0)*(Quesería!$J$70:$J$89&gt;0)*(L$47&gt;=1)*(L$47&lt;=Quesería!$J$70:$J$89)*(Quesería!$H$70:$H$89&gt;0)*Quesería!$F$70:$F$89*(1+Quesería!$I$70:$I$89)/(Quesería!$J$70:$J$89+(Quesería!$J$70:$J$89=0)))+SUMPRODUCT((Quesería!$C$70:$C$89=0)*(Quesería!$J$70:$J$89=0)*(L$47=0)*(Quesería!$H$70:$H$89&gt;0)*Quesería!$F$70:$F$89*(1+Quesería!$I$70:$I$89)))*$B$524+((SUMPRODUCT((Quesería!$C$70:$C$89=1)*(Quesería!$J$70:$J$89&gt;0)*(L$47&gt;=2)*(L$47&lt;=Quesería!$J$70:$J$89+1)*(Quesería!$H$70:$H$89&gt;0)*Quesería!$F$70:$F$89*(1+Quesería!$I$70:$I$89)/(Quesería!$J$70:$J$89+(Quesería!$J$70:$J$89=0)))+SUMPRODUCT((Quesería!$C$70:$C$89=1)*(Quesería!$J$70:$J$89=0)*(L$47=1)*(Quesería!$H$70:$H$89&gt;0)*Quesería!$F$70:$F$89*(1+Quesería!$I$70:$I$89)))-(-$M$26)*IF(AND(L$47&gt;=2,L$47&lt;=Quesería!$J$86+1),Quesería!$D$86*(1+Quesería!$I$86)/Quesería!$J$86,0))*$C$524*$M$21,IF(AND(L$47&gt;=1,L$47&lt;=Quesería!$B$30),Quesería!$F$92/Quesería!$B$30,0)*$B$524+IF(AND(L$47&gt;=2,L$47&lt;=Quesería!$B$30+1),(Quesería!$F$93-(-$M$26)*Quesería!$D$86*(1+Quesería!$I$86))/Quesería!$B$30,0)*$C$524*$M$21)*$M$11+IF(AND(L$47&gt;=6,L$47&lt;=10),$G528*$G524/5,0)+IF(AND(L$47&gt;=7,L$47&lt;=11),$H528*$H524/5,0))*L526</f>
        <v>111.20918624642</v>
      </c>
    </row>
    <row r="537" customFormat="false" ht="15" hidden="true" customHeight="false" outlineLevel="1" collapsed="false">
      <c r="A537" s="9" t="s">
        <v>417</v>
      </c>
      <c r="B537" s="58" t="n">
        <f aca="false">IF(B$47=1,MIN($M$7*$M$26*Quesería!$B$56*Quesería!$D$86*$M$11*$M$21,Quesería!$B$57*Quesería!$B$58),0)</f>
        <v>0</v>
      </c>
      <c r="C537" s="58" t="n">
        <f aca="false">IF(C$47=1,MIN($M$7*$M$26*Quesería!$B$56*Quesería!$D$86*$M$11*$M$21,Quesería!$B$57*Quesería!$B$58),0)</f>
        <v>0</v>
      </c>
      <c r="D537" s="58" t="n">
        <f aca="false">IF(D$47=1,MIN($M$7*$M$26*Quesería!$B$56*Quesería!$D$86*$M$11*$M$21,Quesería!$B$57*Quesería!$B$58),0)</f>
        <v>0</v>
      </c>
      <c r="E537" s="58" t="n">
        <f aca="false">IF(E$47=1,MIN($M$7*$M$26*Quesería!$B$56*Quesería!$D$86*$M$11*$M$21,Quesería!$B$57*Quesería!$B$58),0)</f>
        <v>0</v>
      </c>
      <c r="F537" s="58" t="n">
        <f aca="false">IF(F$47=1,MIN($M$7*$M$26*Quesería!$B$56*Quesería!$D$86*$M$11*$M$21,Quesería!$B$57*Quesería!$B$58),0)</f>
        <v>0</v>
      </c>
      <c r="G537" s="58" t="n">
        <f aca="false">IF(G$47=1,MIN($M$7*$M$26*Quesería!$B$56*Quesería!$D$86*$M$11*$M$21,Quesería!$B$57*Quesería!$B$58),0)</f>
        <v>0</v>
      </c>
      <c r="H537" s="58" t="n">
        <f aca="false">IF(H$47=1,MIN($M$7*$M$26*Quesería!$B$56*Quesería!$D$86*$M$11*$M$21,Quesería!$B$57*Quesería!$B$58),0)</f>
        <v>0</v>
      </c>
      <c r="I537" s="58" t="n">
        <f aca="false">IF(I$47=1,MIN($M$7*$M$26*Quesería!$B$56*Quesería!$D$86*$M$11*$M$21,Quesería!$B$57*Quesería!$B$58),0)</f>
        <v>0</v>
      </c>
      <c r="J537" s="58" t="n">
        <f aca="false">IF(J$47=1,MIN($M$7*$M$26*Quesería!$B$56*Quesería!$D$86*$M$11*$M$21,Quesería!$B$57*Quesería!$B$58),0)</f>
        <v>0</v>
      </c>
      <c r="K537" s="58" t="n">
        <f aca="false">IF(K$47=1,MIN($M$7*$M$26*Quesería!$B$56*Quesería!$D$86*$M$11*$M$21,Quesería!$B$57*Quesería!$B$58),0)</f>
        <v>0</v>
      </c>
      <c r="L537" s="58" t="n">
        <f aca="false">IF(L$47=1,MIN($M$7*$M$26*Quesería!$B$56*Quesería!$D$86*$M$11*$M$21,Quesería!$B$57*Quesería!$B$58),0)</f>
        <v>0</v>
      </c>
    </row>
    <row r="538" customFormat="false" ht="15" hidden="true" customHeight="false" outlineLevel="1" collapsed="false">
      <c r="A538" s="9" t="s">
        <v>418</v>
      </c>
      <c r="B538" s="58" t="n">
        <v>0</v>
      </c>
      <c r="C538" s="58" t="n">
        <f aca="false">$M$20*Quesería!$B$60*Quesería!$F$98*$M$11*$B$524/C524/2</f>
        <v>138.789586239024</v>
      </c>
      <c r="D538" s="58" t="n">
        <f aca="false">$M$20*Quesería!$B$60*Quesería!$F$98*$M$11*$B$524/D524/2</f>
        <v>133.837595216031</v>
      </c>
      <c r="E538" s="58" t="n">
        <v>0</v>
      </c>
      <c r="F538" s="58" t="n">
        <v>0</v>
      </c>
      <c r="G538" s="58" t="n">
        <v>0</v>
      </c>
      <c r="H538" s="58" t="n">
        <v>0</v>
      </c>
      <c r="I538" s="58" t="n">
        <v>0</v>
      </c>
      <c r="J538" s="58" t="n">
        <v>0</v>
      </c>
      <c r="K538" s="58" t="n">
        <v>0</v>
      </c>
      <c r="L538" s="58" t="n">
        <v>0</v>
      </c>
    </row>
    <row r="539" customFormat="false" ht="15" hidden="true" customHeight="false" outlineLevel="1" collapsed="false">
      <c r="A539" s="9" t="s">
        <v>419</v>
      </c>
      <c r="B539" s="58" t="n">
        <f aca="false">0</f>
        <v>0</v>
      </c>
      <c r="C539" s="58" t="n">
        <f aca="false">B529*B524/C524</f>
        <v>142.694422545624</v>
      </c>
      <c r="D539" s="58" t="n">
        <f aca="false">C529*C524/D524</f>
        <v>120.645248474595</v>
      </c>
      <c r="E539" s="58" t="n">
        <f aca="false">D529*D524/E524</f>
        <v>0</v>
      </c>
      <c r="F539" s="58" t="n">
        <f aca="false">E529*E524/F524</f>
        <v>0</v>
      </c>
      <c r="G539" s="58" t="n">
        <f aca="false">F529*F524/G524</f>
        <v>0</v>
      </c>
      <c r="H539" s="58" t="n">
        <f aca="false">G529*G524/H524</f>
        <v>5.0468000784197</v>
      </c>
      <c r="I539" s="58" t="n">
        <f aca="false">H529*H524/I524</f>
        <v>8.52411952135541</v>
      </c>
      <c r="J539" s="58" t="n">
        <f aca="false">I529*I524/J524</f>
        <v>0</v>
      </c>
      <c r="K539" s="58" t="n">
        <f aca="false">J529*J524/K524</f>
        <v>0</v>
      </c>
      <c r="L539" s="58" t="n">
        <f aca="false">K529*K524/L524</f>
        <v>0</v>
      </c>
    </row>
    <row r="540" customFormat="false" ht="15" hidden="true" customHeight="false" outlineLevel="1" collapsed="false">
      <c r="A540" s="6" t="s">
        <v>295</v>
      </c>
      <c r="B540" s="29" t="n">
        <f aca="false">$M$17*(B532-B533-B534-0.5*B535-B536)-B537-B538-B539</f>
        <v>-9.59839124703309</v>
      </c>
      <c r="C540" s="29" t="n">
        <f aca="false">$M$17*(C532-C533-C534-0.5*C535-C536)-C537-C538-C539</f>
        <v>-268.757044541087</v>
      </c>
      <c r="D540" s="29" t="n">
        <f aca="false">$M$17*(D532-D533-D534-0.5*D535-D536)-D537-D538-D539</f>
        <v>-156.697972765203</v>
      </c>
      <c r="E540" s="29" t="n">
        <f aca="false">$M$17*(E532-E533-E534-0.5*E535-E536)-E537-E538-E539</f>
        <v>124.354909703306</v>
      </c>
      <c r="F540" s="29" t="n">
        <f aca="false">$M$17*(F532-F533-F534-0.5*F535-F536)-F537-F538-F539</f>
        <v>126.057149467653</v>
      </c>
      <c r="G540" s="29" t="n">
        <f aca="false">$M$17*(G532-G533-G534-0.5*G535-G536)-G537-G538-G539</f>
        <v>127.684641247269</v>
      </c>
      <c r="H540" s="29" t="n">
        <f aca="false">$M$17*(H532-H533-H534-0.5*H535-H536)-H537-H538-H539</f>
        <v>126.824127524059</v>
      </c>
      <c r="I540" s="29" t="n">
        <f aca="false">$M$17*(I532-I533-I534-0.5*I535-I536)-I537-I538-I539</f>
        <v>121.711184988948</v>
      </c>
      <c r="J540" s="29" t="n">
        <f aca="false">$M$17*(J532-J533-J534-0.5*J535-J536)-J537-J538-J539</f>
        <v>131.760723019267</v>
      </c>
      <c r="K540" s="29" t="n">
        <f aca="false">$M$17*(K532-K533-K534-0.5*K535-K536)-K537-K538-K539</f>
        <v>133.240168997831</v>
      </c>
      <c r="L540" s="29" t="n">
        <f aca="false">$M$17*(L532-L533-L534-0.5*L535-L536)-L537-L538-L539</f>
        <v>134.675175046767</v>
      </c>
    </row>
    <row r="541" customFormat="false" ht="15" hidden="true" customHeight="false" outlineLevel="1" collapsed="false">
      <c r="A541" s="9" t="s">
        <v>420</v>
      </c>
      <c r="B541" s="58" t="n">
        <f aca="false">(IF(B$47&gt;=1,Quesería!$G$124*IF(B$47=1,Quesería!$B$20,1),Quesería!$G$124*Quesería!$B$20*Quesería!$B$21/12*$M$23)+IF(B$47&gt;=2,(Quesería!$G$125-(1-$M$24)*Quesería!$G$117-(-$M$26*$M$27)*'Beneficios y costos'!$D$167)*$M$21*IF(B$47=2,Quesería!$B$20,1),0))*$M$10</f>
        <v>77.4042870161869</v>
      </c>
      <c r="C541" s="58" t="n">
        <f aca="false">(IF(C$47&gt;=1,Quesería!$G$124*IF(C$47=1,Quesería!$B$20,1),Quesería!$G$124*Quesería!$B$20*Quesería!$B$21/12*$M$23)+IF(C$47&gt;=2,(Quesería!$G$125-(1-$M$24)*Quesería!$G$117-(-$M$26*$M$27)*'Beneficios y costos'!$D$167)*$M$21*IF(C$47=2,Quesería!$B$20,1),0))*$M$10</f>
        <v>116.10643052428</v>
      </c>
      <c r="D541" s="58" t="n">
        <f aca="false">(IF(D$47&gt;=1,Quesería!$G$124*IF(D$47=1,Quesería!$B$20,1),Quesería!$G$124*Quesería!$B$20*Quesería!$B$21/12*$M$23)+IF(D$47&gt;=2,(Quesería!$G$125-(1-$M$24)*Quesería!$G$117-(-$M$26*$M$27)*'Beneficios y costos'!$D$167)*$M$21*IF(D$47=2,Quesería!$B$20,1),0))*$M$10</f>
        <v>2023.78917421887</v>
      </c>
      <c r="E541" s="58" t="n">
        <f aca="false">(IF(E$47&gt;=1,Quesería!$G$124*IF(E$47=1,Quesería!$B$20,1),Quesería!$G$124*Quesería!$B$20*Quesería!$B$21/12*$M$23)+IF(E$47&gt;=2,(Quesería!$G$125-(1-$M$24)*Quesería!$G$117-(-$M$26*$M$27)*'Beneficios y costos'!$D$167)*$M$21*IF(E$47=2,Quesería!$B$20,1),0))*$M$10</f>
        <v>2646.78270761437</v>
      </c>
      <c r="F541" s="58" t="n">
        <f aca="false">(IF(F$47&gt;=1,Quesería!$G$124*IF(F$47=1,Quesería!$B$20,1),Quesería!$G$124*Quesería!$B$20*Quesería!$B$21/12*$M$23)+IF(F$47&gt;=2,(Quesería!$G$125-(1-$M$24)*Quesería!$G$117-(-$M$26*$M$27)*'Beneficios y costos'!$D$167)*$M$21*IF(F$47=2,Quesería!$B$20,1),0))*$M$10</f>
        <v>2646.78270761437</v>
      </c>
      <c r="G541" s="58" t="n">
        <f aca="false">(IF(G$47&gt;=1,Quesería!$G$124*IF(G$47=1,Quesería!$B$20,1),Quesería!$G$124*Quesería!$B$20*Quesería!$B$21/12*$M$23)+IF(G$47&gt;=2,(Quesería!$G$125-(1-$M$24)*Quesería!$G$117-(-$M$26*$M$27)*'Beneficios y costos'!$D$167)*$M$21*IF(G$47=2,Quesería!$B$20,1),0))*$M$10</f>
        <v>2646.78270761437</v>
      </c>
      <c r="H541" s="58" t="n">
        <f aca="false">(IF(H$47&gt;=1,Quesería!$G$124*IF(H$47=1,Quesería!$B$20,1),Quesería!$G$124*Quesería!$B$20*Quesería!$B$21/12*$M$23)+IF(H$47&gt;=2,(Quesería!$G$125-(1-$M$24)*Quesería!$G$117-(-$M$26*$M$27)*'Beneficios y costos'!$D$167)*$M$21*IF(H$47=2,Quesería!$B$20,1),0))*$M$10</f>
        <v>2646.78270761437</v>
      </c>
      <c r="I541" s="58" t="n">
        <f aca="false">(IF(I$47&gt;=1,Quesería!$G$124*IF(I$47=1,Quesería!$B$20,1),Quesería!$G$124*Quesería!$B$20*Quesería!$B$21/12*$M$23)+IF(I$47&gt;=2,(Quesería!$G$125-(1-$M$24)*Quesería!$G$117-(-$M$26*$M$27)*'Beneficios y costos'!$D$167)*$M$21*IF(I$47=2,Quesería!$B$20,1),0))*$M$10</f>
        <v>2646.78270761437</v>
      </c>
      <c r="J541" s="58" t="n">
        <f aca="false">(IF(J$47&gt;=1,Quesería!$G$124*IF(J$47=1,Quesería!$B$20,1),Quesería!$G$124*Quesería!$B$20*Quesería!$B$21/12*$M$23)+IF(J$47&gt;=2,(Quesería!$G$125-(1-$M$24)*Quesería!$G$117-(-$M$26*$M$27)*'Beneficios y costos'!$D$167)*$M$21*IF(J$47=2,Quesería!$B$20,1),0))*$M$10</f>
        <v>2646.78270761437</v>
      </c>
      <c r="K541" s="58" t="n">
        <f aca="false">(IF(K$47&gt;=1,Quesería!$G$124*IF(K$47=1,Quesería!$B$20,1),Quesería!$G$124*Quesería!$B$20*Quesería!$B$21/12*$M$23)+IF(K$47&gt;=2,(Quesería!$G$125-(1-$M$24)*Quesería!$G$117-(-$M$26*$M$27)*'Beneficios y costos'!$D$167)*$M$21*IF(K$47=2,Quesería!$B$20,1),0))*$M$10</f>
        <v>2646.78270761437</v>
      </c>
      <c r="L541" s="58" t="n">
        <f aca="false">(IF(L$47&gt;=1,Quesería!$G$124*IF(L$47=1,Quesería!$B$20,1),Quesería!$G$124*Quesería!$B$20*Quesería!$B$21/12*$M$23)+IF(L$47&gt;=2,(Quesería!$G$125-(1-$M$24)*Quesería!$G$117-(-$M$26*$M$27)*'Beneficios y costos'!$D$167)*$M$21*IF(L$47=2,Quesería!$B$20,1),0))*$M$10</f>
        <v>2646.78270761437</v>
      </c>
    </row>
    <row r="542" customFormat="false" ht="15" hidden="true" customHeight="false" outlineLevel="1" collapsed="false">
      <c r="A542" s="6" t="s">
        <v>421</v>
      </c>
      <c r="B542" s="29" t="n">
        <f aca="false">(B541*(Quesería!$B$38+Quesería!$B$40*Quesería!$B$39)/365-B533*Quesería!$B$42/365+IF(B$47&gt;=2,($M$25*'Beneficios y costos'!$B$147+(1-$M$25)*'Beneficios y costos'!$B$148)*$M$24*$M$21*$M$10*IF(B$47=2,Quesería!$B$20,1),0))</f>
        <v>7.23146900616979</v>
      </c>
      <c r="C542" s="29" t="n">
        <f aca="false">(C541*(Quesería!$B$38+Quesería!$B$40*Quesería!$B$39)/365-C533*Quesería!$B$42/365+IF(C$47&gt;=2,($M$25*'Beneficios y costos'!$B$147+(1-$M$25)*'Beneficios y costos'!$B$148)*$M$24*$M$21*$M$10*IF(C$47=2,Quesería!$B$20,1),0))-(B541*(Quesería!$B$38+Quesería!$B$40*Quesería!$B$39)/365-B533*Quesería!$B$42/365+IF(B$47&gt;=2,($M$25*'Beneficios y costos'!$B$147+(1-$M$25)*'Beneficios y costos'!$B$148)*$M$24*$M$21*$M$10*IF(B$47=2,Quesería!$B$20,1),0))*B524/C524</f>
        <v>1.38992577060593</v>
      </c>
      <c r="D542" s="29" t="n">
        <f aca="false">(D541*(Quesería!$B$38+Quesería!$B$40*Quesería!$B$39)/365-D533*Quesería!$B$42/365+IF(D$47&gt;=2,($M$25*'Beneficios y costos'!$B$147+(1-$M$25)*'Beneficios y costos'!$B$148)*$M$24*$M$21*$M$10*IF(D$47=2,Quesería!$B$20,1),0))-(C541*(Quesería!$B$38+Quesería!$B$40*Quesería!$B$39)/365-C533*Quesería!$B$42/365+IF(C$47&gt;=2,($M$25*'Beneficios y costos'!$B$147+(1-$M$25)*'Beneficios y costos'!$B$148)*$M$24*$M$21*$M$10*IF(C$47=2,Quesería!$B$20,1),0))*C524/D524</f>
        <v>121.006621760729</v>
      </c>
      <c r="E542" s="29" t="n">
        <f aca="false">(E541*(Quesería!$B$38+Quesería!$B$40*Quesería!$B$39)/365-E533*Quesería!$B$42/365+IF(E$47&gt;=2,($M$25*'Beneficios y costos'!$B$147+(1-$M$25)*'Beneficios y costos'!$B$148)*$M$24*$M$21*$M$10*IF(E$47=2,Quesería!$B$20,1),0))-(D541*(Quesería!$B$38+Quesería!$B$40*Quesería!$B$39)/365-D533*Quesería!$B$42/365+IF(D$47&gt;=2,($M$25*'Beneficios y costos'!$B$147+(1-$M$25)*'Beneficios y costos'!$B$148)*$M$24*$M$21*$M$10*IF(D$47=2,Quesería!$B$20,1),0))*D524/E524</f>
        <v>43.9650819622448</v>
      </c>
      <c r="F542" s="29" t="n">
        <f aca="false">(F541*(Quesería!$B$38+Quesería!$B$40*Quesería!$B$39)/365-F533*Quesería!$B$42/365+IF(F$47&gt;=2,($M$25*'Beneficios y costos'!$B$147+(1-$M$25)*'Beneficios y costos'!$B$148)*$M$24*$M$21*$M$10*IF(F$47=2,Quesería!$B$20,1),0))-(E541*(Quesería!$B$38+Quesería!$B$40*Quesería!$B$39)/365-E533*Quesería!$B$42/365+IF(E$47&gt;=2,($M$25*'Beneficios y costos'!$B$147+(1-$M$25)*'Beneficios y costos'!$B$148)*$M$24*$M$21*$M$10*IF(E$47=2,Quesería!$B$20,1),0))*E524/F524</f>
        <v>5.54860124157892</v>
      </c>
      <c r="G542" s="29" t="n">
        <f aca="false">(G541*(Quesería!$B$38+Quesería!$B$40*Quesería!$B$39)/365-G533*Quesería!$B$42/365+IF(G$47&gt;=2,($M$25*'Beneficios y costos'!$B$147+(1-$M$25)*'Beneficios y costos'!$B$148)*$M$24*$M$21*$M$10*IF(G$47=2,Quesería!$B$20,1),0))-(F541*(Quesería!$B$38+Quesería!$B$40*Quesería!$B$39)/365-F533*Quesería!$B$42/365+IF(F$47&gt;=2,($M$25*'Beneficios y costos'!$B$147+(1-$M$25)*'Beneficios y costos'!$B$148)*$M$24*$M$21*$M$10*IF(F$47=2,Quesería!$B$20,1),0))*F524/G524</f>
        <v>5.54860124157889</v>
      </c>
      <c r="H542" s="29" t="n">
        <f aca="false">(H541*(Quesería!$B$38+Quesería!$B$40*Quesería!$B$39)/365-H533*Quesería!$B$42/365+IF(H$47&gt;=2,($M$25*'Beneficios y costos'!$B$147+(1-$M$25)*'Beneficios y costos'!$B$148)*$M$24*$M$21*$M$10*IF(H$47=2,Quesería!$B$20,1),0))-(G541*(Quesería!$B$38+Quesería!$B$40*Quesería!$B$39)/365-G533*Quesería!$B$42/365+IF(G$47&gt;=2,($M$25*'Beneficios y costos'!$B$147+(1-$M$25)*'Beneficios y costos'!$B$148)*$M$24*$M$21*$M$10*IF(G$47=2,Quesería!$B$20,1),0))*G524/H524</f>
        <v>5.54860124157889</v>
      </c>
      <c r="I542" s="29" t="n">
        <f aca="false">(I541*(Quesería!$B$38+Quesería!$B$40*Quesería!$B$39)/365-I533*Quesería!$B$42/365+IF(I$47&gt;=2,($M$25*'Beneficios y costos'!$B$147+(1-$M$25)*'Beneficios y costos'!$B$148)*$M$24*$M$21*$M$10*IF(I$47=2,Quesería!$B$20,1),0))-(H541*(Quesería!$B$38+Quesería!$B$40*Quesería!$B$39)/365-H533*Quesería!$B$42/365+IF(H$47&gt;=2,($M$25*'Beneficios y costos'!$B$147+(1-$M$25)*'Beneficios y costos'!$B$148)*$M$24*$M$21*$M$10*IF(H$47=2,Quesería!$B$20,1),0))*H524/I524</f>
        <v>5.54860124157892</v>
      </c>
      <c r="J542" s="29" t="n">
        <f aca="false">(J541*(Quesería!$B$38+Quesería!$B$40*Quesería!$B$39)/365-J533*Quesería!$B$42/365+IF(J$47&gt;=2,($M$25*'Beneficios y costos'!$B$147+(1-$M$25)*'Beneficios y costos'!$B$148)*$M$24*$M$21*$M$10*IF(J$47=2,Quesería!$B$20,1),0))-(I541*(Quesería!$B$38+Quesería!$B$40*Quesería!$B$39)/365-I533*Quesería!$B$42/365+IF(I$47&gt;=2,($M$25*'Beneficios y costos'!$B$147+(1-$M$25)*'Beneficios y costos'!$B$148)*$M$24*$M$21*$M$10*IF(I$47=2,Quesería!$B$20,1),0))*I524/J524</f>
        <v>5.54860124157892</v>
      </c>
      <c r="K542" s="29" t="n">
        <f aca="false">(K541*(Quesería!$B$38+Quesería!$B$40*Quesería!$B$39)/365-K533*Quesería!$B$42/365+IF(K$47&gt;=2,($M$25*'Beneficios y costos'!$B$147+(1-$M$25)*'Beneficios y costos'!$B$148)*$M$24*$M$21*$M$10*IF(K$47=2,Quesería!$B$20,1),0))-(J541*(Quesería!$B$38+Quesería!$B$40*Quesería!$B$39)/365-J533*Quesería!$B$42/365+IF(J$47&gt;=2,($M$25*'Beneficios y costos'!$B$147+(1-$M$25)*'Beneficios y costos'!$B$148)*$M$24*$M$21*$M$10*IF(J$47=2,Quesería!$B$20,1),0))*J524/K524</f>
        <v>5.54860124157892</v>
      </c>
      <c r="L542" s="29" t="n">
        <f aca="false">-(K541*(Quesería!$B$38+Quesería!$B$40*Quesería!$B$39)/365-K533*Quesería!$B$42/365+IF(K$47&gt;=2,($M$25*'Beneficios y costos'!$B$147+(1-$M$25)*'Beneficios y costos'!$B$148)*$M$24*$M$21*$M$10*IF(K$47=2,Quesería!$B$20,1),0))*K524/L524</f>
        <v>-163.194154164086</v>
      </c>
    </row>
    <row r="543" customFormat="false" ht="15" hidden="true" customHeight="false" outlineLevel="1" collapsed="false">
      <c r="A543" s="6" t="s">
        <v>422</v>
      </c>
      <c r="B543" s="29" t="n">
        <v>0</v>
      </c>
      <c r="C543" s="29" t="n">
        <v>0</v>
      </c>
      <c r="D543" s="29" t="n">
        <v>0</v>
      </c>
      <c r="E543" s="29" t="n">
        <v>0</v>
      </c>
      <c r="F543" s="29" t="n">
        <v>0</v>
      </c>
      <c r="G543" s="29" t="n">
        <v>0</v>
      </c>
      <c r="H543" s="29" t="n">
        <v>0</v>
      </c>
      <c r="I543" s="29" t="n">
        <v>0</v>
      </c>
      <c r="J543" s="29" t="n">
        <v>0</v>
      </c>
      <c r="K543" s="29" t="n">
        <v>0</v>
      </c>
      <c r="L543" s="29" t="n">
        <f aca="false">$M$8*Quesería!$B$36*(Quesería!$F$94+(Quesería!$F$95-(-$M$26)*Quesería!$D$86)*$M$21)*$M$11*(1-$M$17)</f>
        <v>61.9237725584542</v>
      </c>
    </row>
    <row r="544" customFormat="false" ht="15" hidden="true" customHeight="false" outlineLevel="1" collapsed="false">
      <c r="A544" s="5" t="s">
        <v>147</v>
      </c>
      <c r="B544" s="59" t="n">
        <f aca="false">B532-B533-B534-B535-B540-B527-B528-B529-B542+B543</f>
        <v>-961.151880133756</v>
      </c>
      <c r="C544" s="59" t="n">
        <f aca="false">C532-C533-C534-C535-C540-C527-C528-C529-C542+C543</f>
        <v>-398.879798151054</v>
      </c>
      <c r="D544" s="59" t="n">
        <f aca="false">D532-D533-D534-D535-D540-D527-D528-D529-D542+D543</f>
        <v>458.128947567537</v>
      </c>
      <c r="E544" s="59" t="n">
        <f aca="false">E532-E533-E534-E535-E540-E527-E528-E529-E542+E543</f>
        <v>325.323124909728</v>
      </c>
      <c r="F544" s="59" t="n">
        <f aca="false">F532-F533-F534-F535-F540-F527-F528-F529-F542+F543</f>
        <v>362.346868885463</v>
      </c>
      <c r="G544" s="59" t="n">
        <f aca="false">G532-G533-G534-G535-G540-G527-G528-G529-G542+G543</f>
        <v>328.216084656202</v>
      </c>
      <c r="H544" s="59" t="n">
        <f aca="false">H532-H533-H534-H535-H540-H527-H528-H529-H542+H543</f>
        <v>306.779639473535</v>
      </c>
      <c r="I544" s="59" t="n">
        <f aca="false">I532-I533-I534-I535-I540-I527-I528-I529-I542+I543</f>
        <v>367.63065850199</v>
      </c>
      <c r="J544" s="59" t="n">
        <f aca="false">J532-J533-J534-J535-J540-J527-J528-J529-J542+J543</f>
        <v>357.896860131874</v>
      </c>
      <c r="K544" s="59" t="n">
        <f aca="false">K532-K533-K534-K535-K540-K527-K528-K529-K542+K543</f>
        <v>356.734732511813</v>
      </c>
      <c r="L544" s="59" t="n">
        <f aca="false">L532-L533-L534-L535-L540-L527-L528-L529-L542+L543</f>
        <v>586.285159377292</v>
      </c>
    </row>
    <row r="545" customFormat="false" ht="15" hidden="true" customHeight="false" outlineLevel="1" collapsed="false">
      <c r="A545" s="9" t="s">
        <v>423</v>
      </c>
      <c r="B545" s="58" t="n">
        <f aca="false">B544*B524</f>
        <v>-1017.85984106165</v>
      </c>
      <c r="C545" s="58" t="n">
        <f aca="false">C544*C524</f>
        <v>-441.422323022855</v>
      </c>
      <c r="D545" s="58" t="n">
        <f aca="false">D544*D524</f>
        <v>525.749346017755</v>
      </c>
      <c r="E545" s="58" t="n">
        <f aca="false">E544*E524</f>
        <v>386.034821397759</v>
      </c>
      <c r="F545" s="58" t="n">
        <f aca="false">F544*F524</f>
        <v>444.586833948723</v>
      </c>
      <c r="G545" s="58" t="n">
        <f aca="false">G544*G524</f>
        <v>416.401690153983</v>
      </c>
      <c r="H545" s="58" t="n">
        <f aca="false">H544*H524</f>
        <v>402.438660411607</v>
      </c>
      <c r="I545" s="58" t="n">
        <f aca="false">I544*I524</f>
        <v>498.661022117549</v>
      </c>
      <c r="J545" s="58" t="n">
        <f aca="false">J544*J524</f>
        <v>501.963487258904</v>
      </c>
      <c r="K545" s="58" t="n">
        <f aca="false">K544*K524</f>
        <v>517.344901662312</v>
      </c>
      <c r="L545" s="58" t="n">
        <f aca="false">L544*L524</f>
        <v>879.152505314162</v>
      </c>
    </row>
    <row r="546" customFormat="false" ht="15" hidden="true" customHeight="false" outlineLevel="1" collapsed="false">
      <c r="A546" s="6" t="s">
        <v>424</v>
      </c>
      <c r="B546" s="29" t="n">
        <f aca="false">B544</f>
        <v>-961.151880133756</v>
      </c>
      <c r="C546" s="29" t="n">
        <f aca="false">B546+C544</f>
        <v>-1360.03167828481</v>
      </c>
      <c r="D546" s="29" t="n">
        <f aca="false">C546+D544</f>
        <v>-901.902730717273</v>
      </c>
      <c r="E546" s="29" t="n">
        <f aca="false">D546+E544</f>
        <v>-576.579605807546</v>
      </c>
      <c r="F546" s="29" t="n">
        <f aca="false">E546+F544</f>
        <v>-214.232736922082</v>
      </c>
      <c r="G546" s="29" t="n">
        <f aca="false">F546+G544</f>
        <v>113.983347734119</v>
      </c>
      <c r="H546" s="29" t="n">
        <f aca="false">G546+H544</f>
        <v>420.762987207655</v>
      </c>
      <c r="I546" s="29" t="n">
        <f aca="false">H546+I544</f>
        <v>788.393645709645</v>
      </c>
      <c r="J546" s="29" t="n">
        <f aca="false">I546+J544</f>
        <v>1146.29050584152</v>
      </c>
      <c r="K546" s="29" t="n">
        <f aca="false">J546+K544</f>
        <v>1503.02523835333</v>
      </c>
      <c r="L546" s="29" t="n">
        <f aca="false">K546+L544</f>
        <v>2089.31039773062</v>
      </c>
    </row>
    <row r="547" customFormat="false" ht="15" hidden="true" customHeight="false" outlineLevel="1" collapsed="false">
      <c r="A547" s="9" t="s">
        <v>425</v>
      </c>
      <c r="B547" s="60" t="n">
        <v>0</v>
      </c>
      <c r="C547" s="60" t="n">
        <f aca="false">IF(AND(B546&lt;0,C546&gt;=0),B$47+(-B546)/C544,0)</f>
        <v>0</v>
      </c>
      <c r="D547" s="60" t="n">
        <f aca="false">IF(AND(C546&lt;0,D546&gt;=0),C$47+(-C546)/D544,0)</f>
        <v>0</v>
      </c>
      <c r="E547" s="60" t="n">
        <f aca="false">IF(AND(D546&lt;0,E546&gt;=0),D$47+(-D546)/E544,0)</f>
        <v>0</v>
      </c>
      <c r="F547" s="60" t="n">
        <f aca="false">IF(AND(E546&lt;0,F546&gt;=0),E$47+(-E546)/F544,0)</f>
        <v>0</v>
      </c>
      <c r="G547" s="60" t="n">
        <f aca="false">IF(AND(F546&lt;0,G546&gt;=0),F$47+(-F546)/G544,0)</f>
        <v>4.6527185806463</v>
      </c>
      <c r="H547" s="60" t="n">
        <f aca="false">IF(AND(G546&lt;0,H546&gt;=0),G$47+(-G546)/H544,0)</f>
        <v>0</v>
      </c>
      <c r="I547" s="60" t="n">
        <f aca="false">IF(AND(H546&lt;0,I546&gt;=0),H$47+(-H546)/I544,0)</f>
        <v>0</v>
      </c>
      <c r="J547" s="60" t="n">
        <f aca="false">IF(AND(I546&lt;0,J546&gt;=0),I$47+(-I546)/J544,0)</f>
        <v>0</v>
      </c>
      <c r="K547" s="60" t="n">
        <f aca="false">IF(AND(J546&lt;0,K546&gt;=0),J$47+(-J546)/K544,0)</f>
        <v>0</v>
      </c>
      <c r="L547" s="60" t="n">
        <f aca="false">IF(AND(K546&lt;0,L546&gt;=0),K$47+(-K546)/L544,0)</f>
        <v>0</v>
      </c>
    </row>
    <row r="548" customFormat="false" ht="15" hidden="true" customHeight="false" outlineLevel="1" collapsed="false">
      <c r="A548" s="9" t="s">
        <v>426</v>
      </c>
      <c r="B548" s="57" t="n">
        <f aca="false">(B524/$B$524)/(1+$M$29)^B$47</f>
        <v>1</v>
      </c>
      <c r="C548" s="57" t="n">
        <f aca="false">(C524/$B$524)/(1+$M$29)^C$47</f>
        <v>0.914491484024789</v>
      </c>
      <c r="D548" s="57" t="n">
        <f aca="false">(D524/$B$524)/(1+$M$29)^D$47</f>
        <v>0.82989241847364</v>
      </c>
      <c r="E548" s="57" t="n">
        <f aca="false">(E524/$B$524)/(1+$M$29)^E$47</f>
        <v>0.750940817252449</v>
      </c>
      <c r="F548" s="57" t="n">
        <f aca="false">(F524/$B$524)/(1+$M$29)^F$47</f>
        <v>0.679500256253622</v>
      </c>
      <c r="G548" s="57" t="n">
        <f aca="false">(G524/$B$524)/(1+$M$29)^G$47</f>
        <v>0.61485617460253</v>
      </c>
      <c r="H548" s="57" t="n">
        <f aca="false">(H524/$B$524)/(1+$M$29)^H$47</f>
        <v>0.556361990989082</v>
      </c>
      <c r="I548" s="57" t="n">
        <f aca="false">(I524/$B$524)/(1+$M$29)^I$47</f>
        <v>0.503432636449386</v>
      </c>
      <c r="J548" s="57" t="n">
        <f aca="false">(J524/$B$524)/(1+$M$29)^J$47</f>
        <v>0.455538702404552</v>
      </c>
      <c r="K548" s="57" t="n">
        <f aca="false">(K524/$B$524)/(1+$M$29)^K$47</f>
        <v>0.412201145424321</v>
      </c>
      <c r="L548" s="57" t="n">
        <f aca="false">(L524/$B$524)/(1+$M$29)^L$47</f>
        <v>0.372986495751639</v>
      </c>
    </row>
    <row r="549" customFormat="false" ht="15" hidden="true" customHeight="false" outlineLevel="1" collapsed="false">
      <c r="A549" s="9" t="s">
        <v>427</v>
      </c>
      <c r="B549" s="58" t="n">
        <f aca="false">B544*B548</f>
        <v>-961.151880133756</v>
      </c>
      <c r="C549" s="58" t="n">
        <f aca="false">C544*C548</f>
        <v>-364.772178558666</v>
      </c>
      <c r="D549" s="58" t="n">
        <f aca="false">D544*D548</f>
        <v>380.197740269606</v>
      </c>
      <c r="E549" s="58" t="n">
        <f aca="false">E544*E548</f>
        <v>244.298413290832</v>
      </c>
      <c r="F549" s="58" t="n">
        <f aca="false">F544*F548</f>
        <v>246.21479026037</v>
      </c>
      <c r="G549" s="58" t="n">
        <f aca="false">G544*G548</f>
        <v>201.805686254732</v>
      </c>
      <c r="H549" s="58" t="n">
        <f aca="false">H544*H548</f>
        <v>170.680531012409</v>
      </c>
      <c r="I549" s="58" t="n">
        <f aca="false">I544*I548</f>
        <v>185.077271649281</v>
      </c>
      <c r="J549" s="58" t="n">
        <f aca="false">J544*J548</f>
        <v>163.035871259137</v>
      </c>
      <c r="K549" s="58" t="n">
        <f aca="false">K544*K548</f>
        <v>147.046465354008</v>
      </c>
      <c r="L549" s="58" t="n">
        <f aca="false">L544*L548</f>
        <v>218.676447107327</v>
      </c>
    </row>
    <row r="550" customFormat="false" ht="15" hidden="true" customHeight="false" outlineLevel="1" collapsed="false">
      <c r="A550" s="9" t="s">
        <v>428</v>
      </c>
      <c r="B550" s="58" t="n">
        <f aca="false">B549</f>
        <v>-961.151880133756</v>
      </c>
      <c r="C550" s="58" t="n">
        <f aca="false">B550+C549</f>
        <v>-1325.92405869242</v>
      </c>
      <c r="D550" s="58" t="n">
        <f aca="false">C550+D549</f>
        <v>-945.726318422815</v>
      </c>
      <c r="E550" s="58" t="n">
        <f aca="false">D550+E549</f>
        <v>-701.427905131984</v>
      </c>
      <c r="F550" s="58" t="n">
        <f aca="false">E550+F549</f>
        <v>-455.213114871613</v>
      </c>
      <c r="G550" s="58" t="n">
        <f aca="false">F550+G549</f>
        <v>-253.407428616881</v>
      </c>
      <c r="H550" s="58" t="n">
        <f aca="false">G550+H549</f>
        <v>-82.7268976044723</v>
      </c>
      <c r="I550" s="58" t="n">
        <f aca="false">H550+I549</f>
        <v>102.350374044808</v>
      </c>
      <c r="J550" s="58" t="n">
        <f aca="false">I550+J549</f>
        <v>265.386245303945</v>
      </c>
      <c r="K550" s="58" t="n">
        <f aca="false">J550+K549</f>
        <v>412.432710657953</v>
      </c>
      <c r="L550" s="58" t="n">
        <f aca="false">K550+L549</f>
        <v>631.109157765281</v>
      </c>
    </row>
    <row r="551" customFormat="false" ht="15" hidden="true" customHeight="false" outlineLevel="1" collapsed="false">
      <c r="A551" s="9" t="s">
        <v>429</v>
      </c>
      <c r="B551" s="60" t="n">
        <v>0</v>
      </c>
      <c r="C551" s="60" t="n">
        <f aca="false">IF(AND(B550&lt;0,C550&gt;=0),B$47+(-B550)/C549,0)</f>
        <v>0</v>
      </c>
      <c r="D551" s="60" t="n">
        <f aca="false">IF(AND(C550&lt;0,D550&gt;=0),C$47+(-C550)/D549,0)</f>
        <v>0</v>
      </c>
      <c r="E551" s="60" t="n">
        <f aca="false">IF(AND(D550&lt;0,E550&gt;=0),D$47+(-D550)/E549,0)</f>
        <v>0</v>
      </c>
      <c r="F551" s="60" t="n">
        <f aca="false">IF(AND(E550&lt;0,F550&gt;=0),E$47+(-E550)/F549,0)</f>
        <v>0</v>
      </c>
      <c r="G551" s="60" t="n">
        <f aca="false">IF(AND(F550&lt;0,G550&gt;=0),F$47+(-F550)/G549,0)</f>
        <v>0</v>
      </c>
      <c r="H551" s="60" t="n">
        <f aca="false">IF(AND(G550&lt;0,H550&gt;=0),G$47+(-G550)/H549,0)</f>
        <v>0</v>
      </c>
      <c r="I551" s="60" t="n">
        <f aca="false">IF(AND(H550&lt;0,I550&gt;=0),H$47+(-H550)/I549,0)</f>
        <v>6.44698572043594</v>
      </c>
      <c r="J551" s="60" t="n">
        <f aca="false">IF(AND(I550&lt;0,J550&gt;=0),I$47+(-I550)/J549,0)</f>
        <v>0</v>
      </c>
      <c r="K551" s="60" t="n">
        <f aca="false">IF(AND(J550&lt;0,K550&gt;=0),J$47+(-J550)/K549,0)</f>
        <v>0</v>
      </c>
      <c r="L551" s="60" t="n">
        <f aca="false">IF(AND(K550&lt;0,L550&gt;=0),K$47+(-K550)/L549,0)</f>
        <v>0</v>
      </c>
    </row>
    <row r="552" customFormat="false" ht="15" hidden="true" customHeight="false" outlineLevel="1" collapsed="false">
      <c r="A552" s="9" t="s">
        <v>430</v>
      </c>
      <c r="B552" s="58" t="n">
        <f aca="false">IF(B$47&lt;0,0,(Quesería!$B$44*$B$527*$B$524)*(1-MAX(0,MIN(B$47-0-Quesería!$B$47,(Quesería!$B$46-Quesería!$B$47)))/(Quesería!$B$46-Quesería!$B$47))*IF(B$47&gt;=2,1-Quesería!$B$48,1))+IF(B$47&lt;1,0,(Quesería!$B$44*$C$527*$C$524)*(1-MAX(0,MIN(B$47-1-Quesería!$B$47,(Quesería!$B$46-Quesería!$B$47)))/(Quesería!$B$46-Quesería!$B$47))*IF(B$47&gt;=2,1-Quesería!$B$48,1))</f>
        <v>640.716344812795</v>
      </c>
      <c r="C552" s="58" t="n">
        <f aca="false">IF(C$47&lt;0,0,(Quesería!$B$44*$B$527*$B$524)*(1-MAX(0,MIN(C$47-0-Quesería!$B$47,(Quesería!$B$46-Quesería!$B$47)))/(Quesería!$B$46-Quesería!$B$47))*IF(C$47&gt;=2,1-Quesería!$B$48,1))+IF(C$47&lt;1,0,(Quesería!$B$44*$C$527*$C$524)*(1-MAX(0,MIN(C$47-1-Quesería!$B$47,(Quesería!$B$46-Quesería!$B$47)))/(Quesería!$B$46-Quesería!$B$47))*IF(C$47&gt;=2,1-Quesería!$B$48,1))</f>
        <v>1114.37010005023</v>
      </c>
      <c r="D552" s="58" t="n">
        <f aca="false">IF(D$47&lt;0,0,(Quesería!$B$44*$B$527*$B$524)*(1-MAX(0,MIN(D$47-0-Quesería!$B$47,(Quesería!$B$46-Quesería!$B$47)))/(Quesería!$B$46-Quesería!$B$47))*IF(D$47&gt;=2,1-Quesería!$B$48,1))+IF(D$47&lt;1,0,(Quesería!$B$44*$C$527*$C$524)*(1-MAX(0,MIN(D$47-1-Quesería!$B$47,(Quesería!$B$46-Quesería!$B$47)))/(Quesería!$B$46-Quesería!$B$47))*IF(D$47&gt;=2,1-Quesería!$B$48,1))</f>
        <v>1007.58404258143</v>
      </c>
      <c r="E552" s="58" t="n">
        <f aca="false">IF(E$47&lt;0,0,(Quesería!$B$44*$B$527*$B$524)*(1-MAX(0,MIN(E$47-0-Quesería!$B$47,(Quesería!$B$46-Quesería!$B$47)))/(Quesería!$B$46-Quesería!$B$47))*IF(E$47&gt;=2,1-Quesería!$B$48,1))+IF(E$47&lt;1,0,(Quesería!$B$44*$C$527*$C$524)*(1-MAX(0,MIN(E$47-1-Quesería!$B$47,(Quesería!$B$46-Quesería!$B$47)))/(Quesería!$B$46-Quesería!$B$47))*IF(E$47&gt;=2,1-Quesería!$B$48,1))</f>
        <v>821.855692573058</v>
      </c>
      <c r="F552" s="58" t="n">
        <f aca="false">IF(F$47&lt;0,0,(Quesería!$B$44*$B$527*$B$524)*(1-MAX(0,MIN(F$47-0-Quesería!$B$47,(Quesería!$B$46-Quesería!$B$47)))/(Quesería!$B$46-Quesería!$B$47))*IF(F$47&gt;=2,1-Quesería!$B$48,1))+IF(F$47&lt;1,0,(Quesería!$B$44*$C$527*$C$524)*(1-MAX(0,MIN(F$47-1-Quesería!$B$47,(Quesería!$B$46-Quesería!$B$47)))/(Quesería!$B$46-Quesería!$B$47))*IF(F$47&gt;=2,1-Quesería!$B$48,1))</f>
        <v>636.127342564686</v>
      </c>
      <c r="G552" s="58" t="n">
        <f aca="false">IF(G$47&lt;0,0,(Quesería!$B$44*$B$527*$B$524)*(1-MAX(0,MIN(G$47-0-Quesería!$B$47,(Quesería!$B$46-Quesería!$B$47)))/(Quesería!$B$46-Quesería!$B$47))*IF(G$47&gt;=2,1-Quesería!$B$48,1))+IF(G$47&lt;1,0,(Quesería!$B$44*$C$527*$C$524)*(1-MAX(0,MIN(G$47-1-Quesería!$B$47,(Quesería!$B$46-Quesería!$B$47)))/(Quesería!$B$46-Quesería!$B$47))*IF(G$47&gt;=2,1-Quesería!$B$48,1))</f>
        <v>450.398992556315</v>
      </c>
      <c r="H552" s="58" t="n">
        <f aca="false">IF(H$47&lt;0,0,(Quesería!$B$44*$B$527*$B$524)*(1-MAX(0,MIN(H$47-0-Quesería!$B$47,(Quesería!$B$46-Quesería!$B$47)))/(Quesería!$B$46-Quesería!$B$47))*IF(H$47&gt;=2,1-Quesería!$B$48,1))+IF(H$47&lt;1,0,(Quesería!$B$44*$C$527*$C$524)*(1-MAX(0,MIN(H$47-1-Quesería!$B$47,(Quesería!$B$46-Quesería!$B$47)))/(Quesería!$B$46-Quesería!$B$47))*IF(H$47&gt;=2,1-Quesería!$B$48,1))</f>
        <v>264.670642547944</v>
      </c>
      <c r="I552" s="58" t="n">
        <f aca="false">IF(I$47&lt;0,0,(Quesería!$B$44*$B$527*$B$524)*(1-MAX(0,MIN(I$47-0-Quesería!$B$47,(Quesería!$B$46-Quesería!$B$47)))/(Quesería!$B$46-Quesería!$B$47))*IF(I$47&gt;=2,1-Quesería!$B$48,1))+IF(I$47&lt;1,0,(Quesería!$B$44*$C$527*$C$524)*(1-MAX(0,MIN(I$47-1-Quesería!$B$47,(Quesería!$B$46-Quesería!$B$47)))/(Quesería!$B$46-Quesería!$B$47))*IF(I$47&gt;=2,1-Quesería!$B$48,1))</f>
        <v>78.9422925395723</v>
      </c>
      <c r="J552" s="58" t="n">
        <f aca="false">IF(J$47&lt;0,0,(Quesería!$B$44*$B$527*$B$524)*(1-MAX(0,MIN(J$47-0-Quesería!$B$47,(Quesería!$B$46-Quesería!$B$47)))/(Quesería!$B$46-Quesería!$B$47))*IF(J$47&gt;=2,1-Quesería!$B$48,1))+IF(J$47&lt;1,0,(Quesería!$B$44*$C$527*$C$524)*(1-MAX(0,MIN(J$47-1-Quesería!$B$47,(Quesería!$B$46-Quesería!$B$47)))/(Quesería!$B$46-Quesería!$B$47))*IF(J$47&gt;=2,1-Quesería!$B$48,1))</f>
        <v>0</v>
      </c>
      <c r="K552" s="58" t="n">
        <f aca="false">IF(K$47&lt;0,0,(Quesería!$B$44*$B$527*$B$524)*(1-MAX(0,MIN(K$47-0-Quesería!$B$47,(Quesería!$B$46-Quesería!$B$47)))/(Quesería!$B$46-Quesería!$B$47))*IF(K$47&gt;=2,1-Quesería!$B$48,1))+IF(K$47&lt;1,0,(Quesería!$B$44*$C$527*$C$524)*(1-MAX(0,MIN(K$47-1-Quesería!$B$47,(Quesería!$B$46-Quesería!$B$47)))/(Quesería!$B$46-Quesería!$B$47))*IF(K$47&gt;=2,1-Quesería!$B$48,1))</f>
        <v>0</v>
      </c>
      <c r="L552" s="58" t="n">
        <f aca="false">IF(L$47&lt;0,0,(Quesería!$B$44*$B$527*$B$524)*(1-MAX(0,MIN(L$47-0-Quesería!$B$47,(Quesería!$B$46-Quesería!$B$47)))/(Quesería!$B$46-Quesería!$B$47))*IF(L$47&gt;=2,1-Quesería!$B$48,1))+IF(L$47&lt;1,0,(Quesería!$B$44*$C$527*$C$524)*(1-MAX(0,MIN(L$47-1-Quesería!$B$47,(Quesería!$B$46-Quesería!$B$47)))/(Quesería!$B$46-Quesería!$B$47))*IF(L$47&gt;=2,1-Quesería!$B$48,1))</f>
        <v>0</v>
      </c>
    </row>
    <row r="553" customFormat="false" ht="15" hidden="true" customHeight="false" outlineLevel="1" collapsed="false">
      <c r="A553" s="6" t="s">
        <v>431</v>
      </c>
      <c r="B553" s="29" t="n">
        <f aca="false">Quesería!$B$44*B527</f>
        <v>605.02015563059</v>
      </c>
      <c r="C553" s="29" t="n">
        <f aca="false">Quesería!$B$44*C527</f>
        <v>428.004893338424</v>
      </c>
      <c r="D553" s="29" t="n">
        <f aca="false">Quesería!$B$44*D527</f>
        <v>0</v>
      </c>
      <c r="E553" s="29" t="n">
        <f aca="false">Quesería!$B$44*E527</f>
        <v>0</v>
      </c>
      <c r="F553" s="29" t="n">
        <f aca="false">Quesería!$B$44*F527</f>
        <v>0</v>
      </c>
      <c r="G553" s="29" t="n">
        <f aca="false">Quesería!$B$44*G527</f>
        <v>0</v>
      </c>
      <c r="H553" s="29" t="n">
        <f aca="false">Quesería!$B$44*H527</f>
        <v>0</v>
      </c>
      <c r="I553" s="29" t="n">
        <f aca="false">Quesería!$B$44*I527</f>
        <v>0</v>
      </c>
      <c r="J553" s="29" t="n">
        <f aca="false">Quesería!$B$44*J527</f>
        <v>0</v>
      </c>
      <c r="K553" s="29" t="n">
        <f aca="false">Quesería!$B$44*K527</f>
        <v>0</v>
      </c>
      <c r="L553" s="29" t="n">
        <f aca="false">Quesería!$B$44*L527</f>
        <v>0</v>
      </c>
    </row>
    <row r="554" customFormat="false" ht="15" hidden="true" customHeight="false" outlineLevel="1" collapsed="false">
      <c r="A554" s="6" t="s">
        <v>432</v>
      </c>
      <c r="B554" s="29" t="n">
        <f aca="false">(IF(AND(B$47&gt;0,B$47&lt;=0+Quesería!$B$46),($M$14+$M$28)*(Quesería!$B$44*$B$527*$B$524)*(1-MAX(0,MIN((B$47-1)-0-Quesería!$B$47,(Quesería!$B$46-Quesería!$B$47)))/(Quesería!$B$46-Quesería!$B$47))*IF(B$47&gt;2,1-Quesería!$B$48,1),0)+IF(AND(B$47&gt;1,B$47&lt;=1+Quesería!$B$46),($M$14+$M$28)*(Quesería!$B$44*$C$527*$C$524)*(1-MAX(0,MIN((B$47-1)-1-Quesería!$B$47,(Quesería!$B$46-Quesería!$B$47)))/(Quesería!$B$46-Quesería!$B$47))*IF(B$47&gt;2,1-Quesería!$B$48,1),0))*B526</f>
        <v>0</v>
      </c>
      <c r="C554" s="29" t="n">
        <f aca="false">(IF(AND(C$47&gt;0,C$47&lt;=0+Quesería!$B$46),($M$14+$M$28)*(Quesería!$B$44*$B$527*$B$524)*(1-MAX(0,MIN((C$47-1)-0-Quesería!$B$47,(Quesería!$B$46-Quesería!$B$47)))/(Quesería!$B$46-Quesería!$B$47))*IF(C$47&gt;2,1-Quesería!$B$48,1),0)+IF(AND(C$47&gt;1,C$47&lt;=1+Quesería!$B$46),($M$14+$M$28)*(Quesería!$B$44*$C$527*$C$524)*(1-MAX(0,MIN((C$47-1)-1-Quesería!$B$47,(Quesería!$B$46-Quesería!$B$47)))/(Quesería!$B$46-Quesería!$B$47))*IF(C$47&gt;2,1-Quesería!$B$48,1),0))*C526</f>
        <v>78.3659066419935</v>
      </c>
      <c r="D554" s="29" t="n">
        <f aca="false">(IF(AND(D$47&gt;0,D$47&lt;=0+Quesería!$B$46),($M$14+$M$28)*(Quesería!$B$44*$B$527*$B$524)*(1-MAX(0,MIN((D$47-1)-0-Quesería!$B$47,(Quesería!$B$46-Quesería!$B$47)))/(Quesería!$B$46-Quesería!$B$47))*IF(D$47&gt;2,1-Quesería!$B$48,1),0)+IF(AND(D$47&gt;1,D$47&lt;=1+Quesería!$B$46),($M$14+$M$28)*(Quesería!$B$44*$C$527*$C$524)*(1-MAX(0,MIN((D$47-1)-1-Quesería!$B$47,(Quesería!$B$46-Quesería!$B$47)))/(Quesería!$B$46-Quesería!$B$47))*IF(D$47&gt;2,1-Quesería!$B$48,1),0))*D526</f>
        <v>131.435310031207</v>
      </c>
      <c r="E554" s="29" t="n">
        <f aca="false">(IF(AND(E$47&gt;0,E$47&lt;=0+Quesería!$B$46),($M$14+$M$28)*(Quesería!$B$44*$B$527*$B$524)*(1-MAX(0,MIN((E$47-1)-0-Quesería!$B$47,(Quesería!$B$46-Quesería!$B$47)))/(Quesería!$B$46-Quesería!$B$47))*IF(E$47&gt;2,1-Quesería!$B$48,1),0)+IF(AND(E$47&gt;1,E$47&lt;=1+Quesería!$B$46),($M$14+$M$28)*(Quesería!$B$44*$C$527*$C$524)*(1-MAX(0,MIN((E$47-1)-1-Quesería!$B$47,(Quesería!$B$46-Quesería!$B$47)))/(Quesería!$B$46-Quesería!$B$47))*IF(E$47&gt;2,1-Quesería!$B$48,1),0))*E526</f>
        <v>114.932630077863</v>
      </c>
      <c r="F554" s="29" t="n">
        <f aca="false">(IF(AND(F$47&gt;0,F$47&lt;=0+Quesería!$B$46),($M$14+$M$28)*(Quesería!$B$44*$B$527*$B$524)*(1-MAX(0,MIN((F$47-1)-0-Quesería!$B$47,(Quesería!$B$46-Quesería!$B$47)))/(Quesería!$B$46-Quesería!$B$47))*IF(F$47&gt;2,1-Quesería!$B$48,1),0)+IF(AND(F$47&gt;1,F$47&lt;=1+Quesería!$B$46),($M$14+$M$28)*(Quesería!$B$44*$C$527*$C$524)*(1-MAX(0,MIN((F$47-1)-1-Quesería!$B$47,(Quesería!$B$46-Quesería!$B$47)))/(Quesería!$B$46-Quesería!$B$47))*IF(F$47&gt;2,1-Quesería!$B$48,1),0))*F526</f>
        <v>90.664462899062</v>
      </c>
      <c r="G554" s="29" t="n">
        <f aca="false">(IF(AND(G$47&gt;0,G$47&lt;=0+Quesería!$B$46),($M$14+$M$28)*(Quesería!$B$44*$B$527*$B$524)*(1-MAX(0,MIN((G$47-1)-0-Quesería!$B$47,(Quesería!$B$46-Quesería!$B$47)))/(Quesería!$B$46-Quesería!$B$47))*IF(G$47&gt;2,1-Quesería!$B$48,1),0)+IF(AND(G$47&gt;1,G$47&lt;=1+Quesería!$B$46),($M$14+$M$28)*(Quesería!$B$44*$C$527*$C$524)*(1-MAX(0,MIN((G$47-1)-1-Quesería!$B$47,(Quesería!$B$46-Quesería!$B$47)))/(Quesería!$B$46-Quesería!$B$47))*IF(G$47&gt;2,1-Quesería!$B$48,1),0))*G526</f>
        <v>67.8679998030192</v>
      </c>
      <c r="H554" s="29" t="n">
        <f aca="false">(IF(AND(H$47&gt;0,H$47&lt;=0+Quesería!$B$46),($M$14+$M$28)*(Quesería!$B$44*$B$527*$B$524)*(1-MAX(0,MIN((H$47-1)-0-Quesería!$B$47,(Quesería!$B$46-Quesería!$B$47)))/(Quesería!$B$46-Quesería!$B$47))*IF(H$47&gt;2,1-Quesería!$B$48,1),0)+IF(AND(H$47&gt;1,H$47&lt;=1+Quesería!$B$46),($M$14+$M$28)*(Quesería!$B$44*$C$527*$C$524)*(1-MAX(0,MIN((H$47-1)-1-Quesería!$B$47,(Quesería!$B$46-Quesería!$B$47)))/(Quesería!$B$46-Quesería!$B$47))*IF(H$47&gt;2,1-Quesería!$B$48,1),0))*H526</f>
        <v>46.4726949982807</v>
      </c>
      <c r="I554" s="29" t="n">
        <f aca="false">(IF(AND(I$47&gt;0,I$47&lt;=0+Quesería!$B$46),($M$14+$M$28)*(Quesería!$B$44*$B$527*$B$524)*(1-MAX(0,MIN((I$47-1)-0-Quesería!$B$47,(Quesería!$B$46-Quesería!$B$47)))/(Quesería!$B$46-Quesería!$B$47))*IF(I$47&gt;2,1-Quesería!$B$48,1),0)+IF(AND(I$47&gt;1,I$47&lt;=1+Quesería!$B$46),($M$14+$M$28)*(Quesería!$B$44*$C$527*$C$524)*(1-MAX(0,MIN((I$47-1)-1-Quesería!$B$47,(Quesería!$B$46-Quesería!$B$47)))/(Quesería!$B$46-Quesería!$B$47))*IF(I$47&gt;2,1-Quesería!$B$48,1),0))*I526</f>
        <v>26.4110508227286</v>
      </c>
      <c r="J554" s="29" t="n">
        <f aca="false">(IF(AND(J$47&gt;0,J$47&lt;=0+Quesería!$B$46),($M$14+$M$28)*(Quesería!$B$44*$B$527*$B$524)*(1-MAX(0,MIN((J$47-1)-0-Quesería!$B$47,(Quesería!$B$46-Quesería!$B$47)))/(Quesería!$B$46-Quesería!$B$47))*IF(J$47&gt;2,1-Quesería!$B$48,1),0)+IF(AND(J$47&gt;1,J$47&lt;=1+Quesería!$B$46),($M$14+$M$28)*(Quesería!$B$44*$C$527*$C$524)*(1-MAX(0,MIN((J$47-1)-1-Quesería!$B$47,(Quesería!$B$46-Quesería!$B$47)))/(Quesería!$B$46-Quesería!$B$47))*IF(J$47&gt;2,1-Quesería!$B$48,1),0))*J526</f>
        <v>7.61849356232584</v>
      </c>
      <c r="K554" s="29" t="n">
        <f aca="false">(IF(AND(K$47&gt;0,K$47&lt;=0+Quesería!$B$46),($M$14+$M$28)*(Quesería!$B$44*$B$527*$B$524)*(1-MAX(0,MIN((K$47-1)-0-Quesería!$B$47,(Quesería!$B$46-Quesería!$B$47)))/(Quesería!$B$46-Quesería!$B$47))*IF(K$47&gt;2,1-Quesería!$B$48,1),0)+IF(AND(K$47&gt;1,K$47&lt;=1+Quesería!$B$46),($M$14+$M$28)*(Quesería!$B$44*$C$527*$C$524)*(1-MAX(0,MIN((K$47-1)-1-Quesería!$B$47,(Quesería!$B$46-Quesería!$B$47)))/(Quesería!$B$46-Quesería!$B$47))*IF(K$47&gt;2,1-Quesería!$B$48,1),0))*K526</f>
        <v>0</v>
      </c>
      <c r="L554" s="29" t="n">
        <f aca="false">(IF(AND(L$47&gt;0,L$47&lt;=0+Quesería!$B$46),($M$14+$M$28)*(Quesería!$B$44*$B$527*$B$524)*(1-MAX(0,MIN((L$47-1)-0-Quesería!$B$47,(Quesería!$B$46-Quesería!$B$47)))/(Quesería!$B$46-Quesería!$B$47))*IF(L$47&gt;2,1-Quesería!$B$48,1),0)+IF(AND(L$47&gt;1,L$47&lt;=1+Quesería!$B$46),($M$14+$M$28)*(Quesería!$B$44*$C$527*$C$524)*(1-MAX(0,MIN((L$47-1)-1-Quesería!$B$47,(Quesería!$B$46-Quesería!$B$47)))/(Quesería!$B$46-Quesería!$B$47))*IF(L$47&gt;2,1-Quesería!$B$48,1),0))*L526</f>
        <v>0</v>
      </c>
    </row>
    <row r="555" customFormat="false" ht="15" hidden="true" customHeight="false" outlineLevel="1" collapsed="false">
      <c r="A555" s="6" t="s">
        <v>433</v>
      </c>
      <c r="B555" s="29" t="n">
        <f aca="false">((IF(AND(B$47&gt;0+Quesería!$B$47,B$47&lt;=0+Quesería!$B$46),(Quesería!$B$44*$B$527*$B$524)/(Quesería!$B$46-Quesería!$B$47),0)*IF(B$47&gt;2,1-Quesería!$B$48,1)+IF(B$47=2,Quesería!$B$48*(Quesería!$B$44*$B$527*$B$524)*(1-MAX(0,MIN(2-0-Quesería!$B$47,(Quesería!$B$46-Quesería!$B$47)))/(Quesería!$B$46-Quesería!$B$47)),0))+(IF(AND(B$47&gt;1+Quesería!$B$47,B$47&lt;=1+Quesería!$B$46),(Quesería!$B$44*$C$527*$C$524)/(Quesería!$B$46-Quesería!$B$47),0)*IF(B$47&gt;2,1-Quesería!$B$48,1)+IF(B$47=2,Quesería!$B$48*(Quesería!$B$44*$C$527*$C$524)*(1-MAX(0,MIN(2-1-Quesería!$B$47,(Quesería!$B$46-Quesería!$B$47)))/(Quesería!$B$46-Quesería!$B$47)),0)))*B526</f>
        <v>0</v>
      </c>
      <c r="C555" s="29" t="n">
        <f aca="false">((IF(AND(C$47&gt;0+Quesería!$B$47,C$47&lt;=0+Quesería!$B$46),(Quesería!$B$44*$B$527*$B$524)/(Quesería!$B$46-Quesería!$B$47),0)*IF(C$47&gt;2,1-Quesería!$B$48,1)+IF(C$47=2,Quesería!$B$48*(Quesería!$B$44*$B$527*$B$524)*(1-MAX(0,MIN(2-0-Quesería!$B$47,(Quesería!$B$46-Quesería!$B$47)))/(Quesería!$B$46-Quesería!$B$47)),0))+(IF(AND(C$47&gt;1+Quesería!$B$47,C$47&lt;=1+Quesería!$B$46),(Quesería!$B$44*$C$527*$C$524)/(Quesería!$B$46-Quesería!$B$47),0)*IF(C$47&gt;2,1-Quesería!$B$48,1)+IF(C$47=2,Quesería!$B$48*(Quesería!$B$44*$C$527*$C$524)*(1-MAX(0,MIN(2-1-Quesería!$B$47,(Quesería!$B$46-Quesería!$B$47)))/(Quesería!$B$46-Quesería!$B$47)),0)))*C526</f>
        <v>0</v>
      </c>
      <c r="D555" s="29" t="n">
        <f aca="false">((IF(AND(D$47&gt;0+Quesería!$B$47,D$47&lt;=0+Quesería!$B$46),(Quesería!$B$44*$B$527*$B$524)/(Quesería!$B$46-Quesería!$B$47),0)*IF(D$47&gt;2,1-Quesería!$B$48,1)+IF(D$47=2,Quesería!$B$48*(Quesería!$B$44*$B$527*$B$524)*(1-MAX(0,MIN(2-0-Quesería!$B$47,(Quesería!$B$46-Quesería!$B$47)))/(Quesería!$B$46-Quesería!$B$47)),0))+(IF(AND(D$47&gt;1+Quesería!$B$47,D$47&lt;=1+Quesería!$B$46),(Quesería!$B$44*$C$527*$C$524)/(Quesería!$B$46-Quesería!$B$47),0)*IF(D$47&gt;2,1-Quesería!$B$48,1)+IF(D$47=2,Quesería!$B$48*(Quesería!$B$44*$C$527*$C$524)*(1-MAX(0,MIN(2-1-Quesería!$B$47,(Quesería!$B$46-Quesería!$B$47)))/(Quesería!$B$46-Quesería!$B$47)),0)))*D526</f>
        <v>93.0515358575744</v>
      </c>
      <c r="E555" s="29" t="n">
        <f aca="false">((IF(AND(E$47&gt;0+Quesería!$B$47,E$47&lt;=0+Quesería!$B$46),(Quesería!$B$44*$B$527*$B$524)/(Quesería!$B$46-Quesería!$B$47),0)*IF(E$47&gt;2,1-Quesería!$B$48,1)+IF(E$47=2,Quesería!$B$48*(Quesería!$B$44*$B$527*$B$524)*(1-MAX(0,MIN(2-0-Quesería!$B$47,(Quesería!$B$46-Quesería!$B$47)))/(Quesería!$B$46-Quesería!$B$47)),0))+(IF(AND(E$47&gt;1+Quesería!$B$47,E$47&lt;=1+Quesería!$B$46),(Quesería!$B$44*$C$527*$C$524)/(Quesería!$B$46-Quesería!$B$47),0)*IF(E$47&gt;2,1-Quesería!$B$48,1)+IF(E$47=2,Quesería!$B$48*(Quesería!$B$44*$C$527*$C$524)*(1-MAX(0,MIN(2-1-Quesería!$B$47,(Quesería!$B$46-Quesería!$B$47)))/(Quesería!$B$46-Quesería!$B$47)),0)))*E526</f>
        <v>156.518852341547</v>
      </c>
      <c r="F555" s="29" t="n">
        <f aca="false">((IF(AND(F$47&gt;0+Quesería!$B$47,F$47&lt;=0+Quesería!$B$46),(Quesería!$B$44*$B$527*$B$524)/(Quesería!$B$46-Quesería!$B$47),0)*IF(F$47&gt;2,1-Quesería!$B$48,1)+IF(F$47=2,Quesería!$B$48*(Quesería!$B$44*$B$527*$B$524)*(1-MAX(0,MIN(2-0-Quesería!$B$47,(Quesería!$B$46-Quesería!$B$47)))/(Quesería!$B$46-Quesería!$B$47)),0))+(IF(AND(F$47&gt;1+Quesería!$B$47,F$47&lt;=1+Quesería!$B$46),(Quesería!$B$44*$C$527*$C$524)/(Quesería!$B$46-Quesería!$B$47),0)*IF(F$47&gt;2,1-Quesería!$B$48,1)+IF(F$47=2,Quesería!$B$48*(Quesería!$B$44*$C$527*$C$524)*(1-MAX(0,MIN(2-1-Quesería!$B$47,(Quesería!$B$46-Quesería!$B$47)))/(Quesería!$B$46-Quesería!$B$47)),0)))*F526</f>
        <v>151.372197622385</v>
      </c>
      <c r="G555" s="29" t="n">
        <f aca="false">((IF(AND(G$47&gt;0+Quesería!$B$47,G$47&lt;=0+Quesería!$B$46),(Quesería!$B$44*$B$527*$B$524)/(Quesería!$B$46-Quesería!$B$47),0)*IF(G$47&gt;2,1-Quesería!$B$48,1)+IF(G$47=2,Quesería!$B$48*(Quesería!$B$44*$B$527*$B$524)*(1-MAX(0,MIN(2-0-Quesería!$B$47,(Quesería!$B$46-Quesería!$B$47)))/(Quesería!$B$46-Quesería!$B$47)),0))+(IF(AND(G$47&gt;1+Quesería!$B$47,G$47&lt;=1+Quesería!$B$46),(Quesería!$B$44*$C$527*$C$524)/(Quesería!$B$46-Quesería!$B$47),0)*IF(G$47&gt;2,1-Quesería!$B$48,1)+IF(G$47=2,Quesería!$B$48*(Quesería!$B$44*$C$527*$C$524)*(1-MAX(0,MIN(2-1-Quesería!$B$47,(Quesería!$B$46-Quesería!$B$47)))/(Quesería!$B$46-Quesería!$B$47)),0)))*G526</f>
        <v>146.394775263429</v>
      </c>
      <c r="H555" s="29" t="n">
        <f aca="false">((IF(AND(H$47&gt;0+Quesería!$B$47,H$47&lt;=0+Quesería!$B$46),(Quesería!$B$44*$B$527*$B$524)/(Quesería!$B$46-Quesería!$B$47),0)*IF(H$47&gt;2,1-Quesería!$B$48,1)+IF(H$47=2,Quesería!$B$48*(Quesería!$B$44*$B$527*$B$524)*(1-MAX(0,MIN(2-0-Quesería!$B$47,(Quesería!$B$46-Quesería!$B$47)))/(Quesería!$B$46-Quesería!$B$47)),0))+(IF(AND(H$47&gt;1+Quesería!$B$47,H$47&lt;=1+Quesería!$B$46),(Quesería!$B$44*$C$527*$C$524)/(Quesería!$B$46-Quesería!$B$47),0)*IF(H$47&gt;2,1-Quesería!$B$48,1)+IF(H$47=2,Quesería!$B$48*(Quesería!$B$44*$C$527*$C$524)*(1-MAX(0,MIN(2-1-Quesería!$B$47,(Quesería!$B$46-Quesería!$B$47)))/(Quesería!$B$46-Quesería!$B$47)),0)))*H526</f>
        <v>141.581020564244</v>
      </c>
      <c r="I555" s="29" t="n">
        <f aca="false">((IF(AND(I$47&gt;0+Quesería!$B$47,I$47&lt;=0+Quesería!$B$46),(Quesería!$B$44*$B$527*$B$524)/(Quesería!$B$46-Quesería!$B$47),0)*IF(I$47&gt;2,1-Quesería!$B$48,1)+IF(I$47=2,Quesería!$B$48*(Quesería!$B$44*$B$527*$B$524)*(1-MAX(0,MIN(2-0-Quesería!$B$47,(Quesería!$B$46-Quesería!$B$47)))/(Quesería!$B$46-Quesería!$B$47)),0))+(IF(AND(I$47&gt;1+Quesería!$B$47,I$47&lt;=1+Quesería!$B$46),(Quesería!$B$44*$C$527*$C$524)/(Quesería!$B$46-Quesería!$B$47),0)*IF(I$47&gt;2,1-Quesería!$B$48,1)+IF(I$47=2,Quesería!$B$48*(Quesería!$B$44*$C$527*$C$524)*(1-MAX(0,MIN(2-1-Quesería!$B$47,(Quesería!$B$46-Quesería!$B$47)))/(Quesería!$B$46-Quesería!$B$47)),0)))*I526</f>
        <v>136.925551802944</v>
      </c>
      <c r="J555" s="29" t="n">
        <f aca="false">((IF(AND(J$47&gt;0+Quesería!$B$47,J$47&lt;=0+Quesería!$B$46),(Quesería!$B$44*$B$527*$B$524)/(Quesería!$B$46-Quesería!$B$47),0)*IF(J$47&gt;2,1-Quesería!$B$48,1)+IF(J$47=2,Quesería!$B$48*(Quesería!$B$44*$B$527*$B$524)*(1-MAX(0,MIN(2-0-Quesería!$B$47,(Quesería!$B$46-Quesería!$B$47)))/(Quesería!$B$46-Quesería!$B$47)),0))+(IF(AND(J$47&gt;1+Quesería!$B$47,J$47&lt;=1+Quesería!$B$46),(Quesería!$B$44*$C$527*$C$524)/(Quesería!$B$46-Quesería!$B$47),0)*IF(J$47&gt;2,1-Quesería!$B$48,1)+IF(J$47=2,Quesería!$B$48*(Quesería!$B$44*$C$527*$C$524)*(1-MAX(0,MIN(2-1-Quesería!$B$47,(Quesería!$B$46-Quesería!$B$47)))/(Quesería!$B$46-Quesería!$B$47)),0)))*J526</f>
        <v>56.2853660647875</v>
      </c>
      <c r="K555" s="29" t="n">
        <f aca="false">((IF(AND(K$47&gt;0+Quesería!$B$47,K$47&lt;=0+Quesería!$B$46),(Quesería!$B$44*$B$527*$B$524)/(Quesería!$B$46-Quesería!$B$47),0)*IF(K$47&gt;2,1-Quesería!$B$48,1)+IF(K$47=2,Quesería!$B$48*(Quesería!$B$44*$B$527*$B$524)*(1-MAX(0,MIN(2-0-Quesería!$B$47,(Quesería!$B$46-Quesería!$B$47)))/(Quesería!$B$46-Quesería!$B$47)),0))+(IF(AND(K$47&gt;1+Quesería!$B$47,K$47&lt;=1+Quesería!$B$46),(Quesería!$B$44*$C$527*$C$524)/(Quesería!$B$46-Quesería!$B$47),0)*IF(K$47&gt;2,1-Quesería!$B$48,1)+IF(K$47=2,Quesería!$B$48*(Quesería!$B$44*$C$527*$C$524)*(1-MAX(0,MIN(2-1-Quesería!$B$47,(Quesería!$B$46-Quesería!$B$47)))/(Quesería!$B$46-Quesería!$B$47)),0)))*K526</f>
        <v>0</v>
      </c>
      <c r="L555" s="29" t="n">
        <f aca="false">((IF(AND(L$47&gt;0+Quesería!$B$47,L$47&lt;=0+Quesería!$B$46),(Quesería!$B$44*$B$527*$B$524)/(Quesería!$B$46-Quesería!$B$47),0)*IF(L$47&gt;2,1-Quesería!$B$48,1)+IF(L$47=2,Quesería!$B$48*(Quesería!$B$44*$B$527*$B$524)*(1-MAX(0,MIN(2-0-Quesería!$B$47,(Quesería!$B$46-Quesería!$B$47)))/(Quesería!$B$46-Quesería!$B$47)),0))+(IF(AND(L$47&gt;1+Quesería!$B$47,L$47&lt;=1+Quesería!$B$46),(Quesería!$B$44*$C$527*$C$524)/(Quesería!$B$46-Quesería!$B$47),0)*IF(L$47&gt;2,1-Quesería!$B$48,1)+IF(L$47=2,Quesería!$B$48*(Quesería!$B$44*$C$527*$C$524)*(1-MAX(0,MIN(2-1-Quesería!$B$47,(Quesería!$B$46-Quesería!$B$47)))/(Quesería!$B$46-Quesería!$B$47)),0)))*L526</f>
        <v>0</v>
      </c>
    </row>
    <row r="556" customFormat="false" ht="15" hidden="true" customHeight="false" outlineLevel="1" collapsed="false">
      <c r="A556" s="6" t="s">
        <v>434</v>
      </c>
      <c r="B556" s="29" t="n">
        <f aca="false">$M$13*Quesería!$B$51*(1+0.19)*B552*B526+(1-$M$13)*IF(B$47=0,Quesería!$B$50,0)</f>
        <v>4</v>
      </c>
      <c r="C556" s="29" t="n">
        <f aca="false">$M$13*Quesería!$B$51*(1+0.19)*C552*C526+(1-$M$13)*IF(C$47=0,Quesería!$B$50,0)</f>
        <v>0</v>
      </c>
      <c r="D556" s="29" t="n">
        <f aca="false">$M$13*Quesería!$B$51*(1+0.19)*D552*D526+(1-$M$13)*IF(D$47=0,Quesería!$B$50,0)</f>
        <v>0</v>
      </c>
      <c r="E556" s="29" t="n">
        <f aca="false">$M$13*Quesería!$B$51*(1+0.19)*E552*E526+(1-$M$13)*IF(E$47=0,Quesería!$B$50,0)</f>
        <v>0</v>
      </c>
      <c r="F556" s="29" t="n">
        <f aca="false">$M$13*Quesería!$B$51*(1+0.19)*F552*F526+(1-$M$13)*IF(F$47=0,Quesería!$B$50,0)</f>
        <v>0</v>
      </c>
      <c r="G556" s="29" t="n">
        <f aca="false">$M$13*Quesería!$B$51*(1+0.19)*G552*G526+(1-$M$13)*IF(G$47=0,Quesería!$B$50,0)</f>
        <v>0</v>
      </c>
      <c r="H556" s="29" t="n">
        <f aca="false">$M$13*Quesería!$B$51*(1+0.19)*H552*H526+(1-$M$13)*IF(H$47=0,Quesería!$B$50,0)</f>
        <v>0</v>
      </c>
      <c r="I556" s="29" t="n">
        <f aca="false">$M$13*Quesería!$B$51*(1+0.19)*I552*I526+(1-$M$13)*IF(I$47=0,Quesería!$B$50,0)</f>
        <v>0</v>
      </c>
      <c r="J556" s="29" t="n">
        <f aca="false">$M$13*Quesería!$B$51*(1+0.19)*J552*J526+(1-$M$13)*IF(J$47=0,Quesería!$B$50,0)</f>
        <v>0</v>
      </c>
      <c r="K556" s="29" t="n">
        <f aca="false">$M$13*Quesería!$B$51*(1+0.19)*K552*K526+(1-$M$13)*IF(K$47=0,Quesería!$B$50,0)</f>
        <v>0</v>
      </c>
      <c r="L556" s="29" t="n">
        <f aca="false">$M$13*Quesería!$B$51*(1+0.19)*L552*L526+(1-$M$13)*IF(L$47=0,Quesería!$B$50,0)</f>
        <v>0</v>
      </c>
    </row>
    <row r="557" customFormat="false" ht="15" hidden="true" customHeight="false" outlineLevel="1" collapsed="false">
      <c r="A557" s="6" t="s">
        <v>435</v>
      </c>
      <c r="B557" s="29" t="n">
        <f aca="false">Quesería!$B$52*(B554+B555+B556)</f>
        <v>0.016</v>
      </c>
      <c r="C557" s="29" t="n">
        <f aca="false">Quesería!$B$52*(C554+C555+C556)</f>
        <v>0.313463626567974</v>
      </c>
      <c r="D557" s="29" t="n">
        <f aca="false">Quesería!$B$52*(D554+D555+D556)</f>
        <v>0.897947383555126</v>
      </c>
      <c r="E557" s="29" t="n">
        <f aca="false">Quesería!$B$52*(E554+E555+E556)</f>
        <v>1.08580592967764</v>
      </c>
      <c r="F557" s="29" t="n">
        <f aca="false">Quesería!$B$52*(F554+F555+F556)</f>
        <v>0.96814664208579</v>
      </c>
      <c r="G557" s="29" t="n">
        <f aca="false">Quesería!$B$52*(G554+G555+G556)</f>
        <v>0.857051100265792</v>
      </c>
      <c r="H557" s="29" t="n">
        <f aca="false">Quesería!$B$52*(H554+H555+H556)</f>
        <v>0.752214862250101</v>
      </c>
      <c r="I557" s="29" t="n">
        <f aca="false">Quesería!$B$52*(I554+I555+I556)</f>
        <v>0.653346410502692</v>
      </c>
      <c r="J557" s="29" t="n">
        <f aca="false">Quesería!$B$52*(J554+J555+J556)</f>
        <v>0.255615438508454</v>
      </c>
      <c r="K557" s="29" t="n">
        <f aca="false">Quesería!$B$52*(K554+K555+K556)</f>
        <v>0</v>
      </c>
      <c r="L557" s="29" t="n">
        <f aca="false">Quesería!$B$52*(L554+L555+L556)</f>
        <v>0</v>
      </c>
    </row>
    <row r="558" customFormat="false" ht="15" hidden="true" customHeight="false" outlineLevel="1" collapsed="false">
      <c r="A558" s="6" t="s">
        <v>436</v>
      </c>
      <c r="B558" s="29" t="n">
        <f aca="false">$M$17*(B554+B556+0.5*B557)</f>
        <v>1.4028</v>
      </c>
      <c r="C558" s="29" t="n">
        <f aca="false">$M$17*(C554+C556+0.5*C557)</f>
        <v>27.4829234593471</v>
      </c>
      <c r="D558" s="29" t="n">
        <f aca="false">$M$17*(D554+D556+0.5*D557)</f>
        <v>46.1594993030447</v>
      </c>
      <c r="E558" s="29" t="n">
        <f aca="false">$M$17*(E554+E556+0.5*E557)</f>
        <v>40.4164365649458</v>
      </c>
      <c r="F558" s="29" t="n">
        <f aca="false">$M$17*(F554+F556+0.5*F557)</f>
        <v>31.9019876770367</v>
      </c>
      <c r="G558" s="29" t="n">
        <f aca="false">$M$17*(G554+G556+0.5*G557)</f>
        <v>23.9037838736032</v>
      </c>
      <c r="H558" s="29" t="n">
        <f aca="false">$M$17*(H554+H556+0.5*H557)</f>
        <v>16.397080850292</v>
      </c>
      <c r="I558" s="29" t="n">
        <f aca="false">$M$17*(I554+I556+0.5*I557)</f>
        <v>9.35820340979298</v>
      </c>
      <c r="J558" s="29" t="n">
        <f aca="false">$M$17*(J554+J556+0.5*J557)</f>
        <v>2.71120544855302</v>
      </c>
      <c r="K558" s="29" t="n">
        <f aca="false">$M$17*(K554+K556+0.5*K557)</f>
        <v>0</v>
      </c>
      <c r="L558" s="29" t="n">
        <f aca="false">$M$17*(L554+L556+0.5*L557)</f>
        <v>0</v>
      </c>
    </row>
    <row r="559" customFormat="false" ht="15" hidden="true" customHeight="false" outlineLevel="1" collapsed="false">
      <c r="A559" s="5" t="s">
        <v>437</v>
      </c>
      <c r="B559" s="59" t="n">
        <f aca="false">B544+B553-B554-B555-B556-B557+B558</f>
        <v>-358.744924503166</v>
      </c>
      <c r="C559" s="59" t="n">
        <f aca="false">C544+C553-C554-C555-C556-C557+C558</f>
        <v>-22.0713516218447</v>
      </c>
      <c r="D559" s="59" t="n">
        <f aca="false">D544+D553-D554-D555-D556-D557+D558</f>
        <v>278.903653598245</v>
      </c>
      <c r="E559" s="59" t="n">
        <f aca="false">E544+E553-E554-E555-E556-E557+E558</f>
        <v>93.2022731255861</v>
      </c>
      <c r="F559" s="59" t="n">
        <f aca="false">F544+F553-F554-F555-F556-F557+F558</f>
        <v>151.244049398967</v>
      </c>
      <c r="G559" s="59" t="n">
        <f aca="false">G544+G553-G554-G555-G556-G557+G558</f>
        <v>137.000042363091</v>
      </c>
      <c r="H559" s="59" t="n">
        <f aca="false">H544+H553-H554-H555-H556-H557+H558</f>
        <v>134.370789899052</v>
      </c>
      <c r="I559" s="59" t="n">
        <f aca="false">I544+I553-I554-I555-I556-I557+I558</f>
        <v>212.998912875607</v>
      </c>
      <c r="J559" s="59" t="n">
        <f aca="false">J544+J553-J554-J555-J556-J557+J558</f>
        <v>296.448590514805</v>
      </c>
      <c r="K559" s="59" t="n">
        <f aca="false">K544+K553-K554-K555-K556-K557+K558</f>
        <v>356.734732511813</v>
      </c>
      <c r="L559" s="59" t="n">
        <f aca="false">L544+L553-L554-L555-L556-L557+L558</f>
        <v>586.285159377292</v>
      </c>
    </row>
    <row r="560" customFormat="false" ht="15" hidden="true" customHeight="false" outlineLevel="1" collapsed="false">
      <c r="A560" s="9" t="s">
        <v>438</v>
      </c>
      <c r="B560" s="58" t="n">
        <f aca="false">B559*B524</f>
        <v>-379.910875048852</v>
      </c>
      <c r="C560" s="58" t="n">
        <f aca="false">C559*C524</f>
        <v>-24.4253716290725</v>
      </c>
      <c r="D560" s="58" t="n">
        <f aca="false">D559*D524</f>
        <v>320.070177315358</v>
      </c>
      <c r="E560" s="58" t="n">
        <f aca="false">E559*E524</f>
        <v>110.595651231017</v>
      </c>
      <c r="F560" s="58" t="n">
        <f aca="false">F559*F524</f>
        <v>185.571116655973</v>
      </c>
      <c r="G560" s="58" t="n">
        <f aca="false">G559*G524</f>
        <v>173.809425735225</v>
      </c>
      <c r="H560" s="58" t="n">
        <f aca="false">H559*H524</f>
        <v>176.269848866841</v>
      </c>
      <c r="I560" s="58" t="n">
        <f aca="false">I559*I524</f>
        <v>288.915663446774</v>
      </c>
      <c r="J560" s="58" t="n">
        <f aca="false">J559*J524</f>
        <v>415.780032920568</v>
      </c>
      <c r="K560" s="58" t="n">
        <f aca="false">K559*K524</f>
        <v>517.344901662312</v>
      </c>
      <c r="L560" s="58" t="n">
        <f aca="false">L559*L524</f>
        <v>879.152505314162</v>
      </c>
    </row>
    <row r="561" customFormat="false" ht="15" hidden="true" customHeight="false" outlineLevel="1" collapsed="false">
      <c r="A561" s="9" t="s">
        <v>439</v>
      </c>
      <c r="B561" s="57" t="n">
        <f aca="false">(B524/$B$524)/(1+Quesería!$B$11+$M$28)^B$47</f>
        <v>1</v>
      </c>
      <c r="C561" s="57" t="n">
        <f aca="false">(C524/$B$524)/(1+Quesería!$B$11+$M$28)^C$47</f>
        <v>0.839792648762556</v>
      </c>
      <c r="D561" s="57" t="n">
        <f aca="false">(D524/$B$524)/(1+Quesería!$B$11+$M$28)^D$47</f>
        <v>0.699852636893309</v>
      </c>
      <c r="E561" s="57" t="n">
        <f aca="false">(E524/$B$524)/(1+Quesería!$B$11+$M$28)^E$47</f>
        <v>0.581544456525564</v>
      </c>
      <c r="F561" s="57" t="n">
        <f aca="false">(F524/$B$524)/(1+Quesería!$B$11+$M$28)^F$47</f>
        <v>0.48323595152385</v>
      </c>
      <c r="G561" s="57" t="n">
        <f aca="false">(G524/$B$524)/(1+Quesería!$B$11+$M$28)^G$47</f>
        <v>0.401546231289534</v>
      </c>
      <c r="H561" s="57" t="n">
        <f aca="false">(H524/$B$524)/(1+Quesería!$B$11+$M$28)^H$47</f>
        <v>0.333665935562889</v>
      </c>
      <c r="I561" s="57" t="n">
        <f aca="false">(I524/$B$524)/(1+Quesería!$B$11+$M$28)^I$47</f>
        <v>0.277260618777372</v>
      </c>
      <c r="J561" s="57" t="n">
        <f aca="false">(J524/$B$524)/(1+Quesería!$B$11+$M$28)^J$47</f>
        <v>0.23039046702543</v>
      </c>
      <c r="K561" s="57" t="n">
        <f aca="false">(K524/$B$524)/(1+Quesería!$B$11+$M$28)^K$47</f>
        <v>0.191443586652371</v>
      </c>
      <c r="L561" s="57" t="n">
        <f aca="false">(L524/$B$524)/(1+Quesería!$B$11+$M$28)^L$47</f>
        <v>0.159080570231573</v>
      </c>
    </row>
    <row r="562" customFormat="false" ht="15" hidden="true" customHeight="false" outlineLevel="1" collapsed="false">
      <c r="A562" s="9" t="s">
        <v>440</v>
      </c>
      <c r="B562" s="58" t="n">
        <f aca="false">B544+B527+B529+B558</f>
        <v>120.166830858099</v>
      </c>
      <c r="C562" s="58" t="n">
        <f aca="false">C544+C527+C529+C558</f>
        <v>412.181314650946</v>
      </c>
      <c r="D562" s="58" t="n">
        <f aca="false">D544+D527+D529+D558</f>
        <v>504.288446870581</v>
      </c>
      <c r="E562" s="58" t="n">
        <f aca="false">E544+E527+E529+E558</f>
        <v>365.739561474674</v>
      </c>
      <c r="F562" s="58" t="n">
        <f aca="false">F544+F527+F529+F558</f>
        <v>394.2488565625</v>
      </c>
      <c r="G562" s="58" t="n">
        <f aca="false">G544+G527+G529+G558</f>
        <v>357.338259810891</v>
      </c>
      <c r="H562" s="58" t="n">
        <f aca="false">H544+H527+H529+H558</f>
        <v>331.990659908909</v>
      </c>
      <c r="I562" s="58" t="n">
        <f aca="false">I544+I527+I529+I558</f>
        <v>376.988861911783</v>
      </c>
      <c r="J562" s="58" t="n">
        <f aca="false">J544+J527+J529+J558</f>
        <v>360.608065580427</v>
      </c>
      <c r="K562" s="58" t="n">
        <f aca="false">K544+K527+K529+K558</f>
        <v>356.734732511813</v>
      </c>
      <c r="L562" s="58" t="n">
        <f aca="false">L544+L527+L529+L558</f>
        <v>586.285159377292</v>
      </c>
    </row>
    <row r="563" customFormat="false" ht="15" hidden="true" customHeight="false" outlineLevel="1" collapsed="false">
      <c r="A563" s="5" t="s">
        <v>149</v>
      </c>
      <c r="B563" s="12" t="str">
        <f aca="false">IF(AND(B$47&gt;=1,(B554+B555+B556)&gt;0.001),B562/(B554+B555+B556),"")</f>
        <v/>
      </c>
      <c r="C563" s="12" t="n">
        <f aca="false">IF(AND(C$47&gt;=1,(C554+C555+C556)&gt;0.001),C562/(C554+C555+C556),"")</f>
        <v>5.25970198410328</v>
      </c>
      <c r="D563" s="12" t="n">
        <f aca="false">IF(AND(D$47&gt;=1,(D554+D555+D556)&gt;0.001),D562/(D554+D555+D556),"")</f>
        <v>2.2464053288914</v>
      </c>
      <c r="E563" s="12" t="n">
        <f aca="false">IF(AND(E$47&gt;=1,(E554+E555+E556)&gt;0.001),E562/(E554+E555+E556),"")</f>
        <v>1.34734781410986</v>
      </c>
      <c r="F563" s="12" t="n">
        <f aca="false">IF(AND(F$47&gt;=1,(F554+F555+F556)&gt;0.001),F562/(F554+F555+F556),"")</f>
        <v>1.62888074770625</v>
      </c>
      <c r="G563" s="12" t="n">
        <f aca="false">IF(AND(G$47&gt;=1,(G554+G555+G556)&gt;0.001),G562/(G554+G555+G556),"")</f>
        <v>1.66775707866227</v>
      </c>
      <c r="H563" s="12" t="n">
        <f aca="false">IF(AND(H$47&gt;=1,(H554+H555+H556)&gt;0.001),H562/(H554+H555+H556),"")</f>
        <v>1.76540335252524</v>
      </c>
      <c r="I563" s="12" t="n">
        <f aca="false">IF(AND(I$47&gt;=1,(I554+I555+I556)&gt;0.001),I562/(I554+I555+I556),"")</f>
        <v>2.30804887484863</v>
      </c>
      <c r="J563" s="12" t="n">
        <f aca="false">IF(AND(J$47&gt;=1,(J554+J555+J556)&gt;0.001),J562/(J554+J555+J556),"")</f>
        <v>5.64297786838882</v>
      </c>
      <c r="K563" s="12" t="str">
        <f aca="false">IF(AND(K$47&gt;=1,(K554+K555+K556)&gt;0.001),K562/(K554+K555+K556),"")</f>
        <v/>
      </c>
      <c r="L563" s="12" t="str">
        <f aca="false">IF(AND(L$47&gt;=1,(L554+L555+L556)&gt;0.001),L562/(L554+L555+L556),"")</f>
        <v/>
      </c>
    </row>
    <row r="565" customFormat="false" ht="15" hidden="false" customHeight="false" outlineLevel="0" collapsed="false">
      <c r="A565" s="43" t="s">
        <v>1249</v>
      </c>
      <c r="B565" s="44"/>
      <c r="C565" s="44"/>
      <c r="D565" s="44"/>
      <c r="E565" s="44"/>
      <c r="F565" s="44"/>
      <c r="G565" s="44"/>
      <c r="H565" s="44"/>
      <c r="I565" s="44"/>
      <c r="J565" s="44"/>
      <c r="K565" s="44"/>
      <c r="L565" s="44"/>
    </row>
    <row r="566" customFormat="false" ht="15" hidden="true" customHeight="false" outlineLevel="1" collapsed="false">
      <c r="A566" s="9" t="s">
        <v>406</v>
      </c>
      <c r="B566" s="56" t="n">
        <f aca="false">CHOOSE($N$15,Entorno!B$7,Entorno!B$8,Entorno!B$9)</f>
        <v>0.065</v>
      </c>
      <c r="C566" s="56" t="n">
        <f aca="false">CHOOSE($N$15,Entorno!C$7,Entorno!C$8,Entorno!C$9)</f>
        <v>0.065</v>
      </c>
      <c r="D566" s="56" t="n">
        <f aca="false">CHOOSE($N$15,Entorno!D$7,Entorno!D$8,Entorno!D$9)</f>
        <v>0.065</v>
      </c>
      <c r="E566" s="56" t="n">
        <f aca="false">CHOOSE($N$15,Entorno!E$7,Entorno!E$8,Entorno!E$9)</f>
        <v>0.065</v>
      </c>
      <c r="F566" s="56" t="n">
        <f aca="false">CHOOSE($N$15,Entorno!F$7,Entorno!F$8,Entorno!F$9)</f>
        <v>0.065</v>
      </c>
      <c r="G566" s="56" t="n">
        <f aca="false">CHOOSE($N$15,Entorno!G$7,Entorno!G$8,Entorno!G$9)</f>
        <v>0.065</v>
      </c>
      <c r="H566" s="56" t="n">
        <f aca="false">CHOOSE($N$15,Entorno!H$7,Entorno!H$8,Entorno!H$9)</f>
        <v>0.065</v>
      </c>
      <c r="I566" s="56" t="n">
        <f aca="false">CHOOSE($N$15,Entorno!I$7,Entorno!I$8,Entorno!I$9)</f>
        <v>0.065</v>
      </c>
      <c r="J566" s="56" t="n">
        <f aca="false">CHOOSE($N$15,Entorno!J$7,Entorno!J$8,Entorno!J$9)</f>
        <v>0.065</v>
      </c>
      <c r="K566" s="56" t="n">
        <f aca="false">CHOOSE($N$15,Entorno!K$7,Entorno!K$8,Entorno!K$9)</f>
        <v>0.065</v>
      </c>
      <c r="L566" s="56" t="n">
        <f aca="false">CHOOSE($N$15,Entorno!L$7,Entorno!L$8,Entorno!L$9)</f>
        <v>0.065</v>
      </c>
    </row>
    <row r="567" customFormat="false" ht="15" hidden="true" customHeight="false" outlineLevel="1" collapsed="false">
      <c r="A567" s="9" t="s">
        <v>407</v>
      </c>
      <c r="B567" s="57" t="n">
        <f aca="false">1+B566</f>
        <v>1.065</v>
      </c>
      <c r="C567" s="57" t="n">
        <f aca="false">B567*(1+C566)</f>
        <v>1.134225</v>
      </c>
      <c r="D567" s="57" t="n">
        <f aca="false">C567*(1+D566)</f>
        <v>1.207949625</v>
      </c>
      <c r="E567" s="57" t="n">
        <f aca="false">D567*(1+E566)</f>
        <v>1.286466350625</v>
      </c>
      <c r="F567" s="57" t="n">
        <f aca="false">E567*(1+F566)</f>
        <v>1.37008666341562</v>
      </c>
      <c r="G567" s="57" t="n">
        <f aca="false">F567*(1+G566)</f>
        <v>1.45914229653764</v>
      </c>
      <c r="H567" s="57" t="n">
        <f aca="false">G567*(1+H566)</f>
        <v>1.55398654581259</v>
      </c>
      <c r="I567" s="57" t="n">
        <f aca="false">H567*(1+I566)</f>
        <v>1.6549956712904</v>
      </c>
      <c r="J567" s="57" t="n">
        <f aca="false">I567*(1+J566)</f>
        <v>1.76257038992428</v>
      </c>
      <c r="K567" s="57" t="n">
        <f aca="false">J567*(1+K566)</f>
        <v>1.87713746526936</v>
      </c>
      <c r="L567" s="57" t="n">
        <f aca="false">K567*(1+L566)</f>
        <v>1.99915140051187</v>
      </c>
    </row>
    <row r="568" customFormat="false" ht="15" hidden="true" customHeight="false" outlineLevel="1" collapsed="false">
      <c r="A568" s="9" t="s">
        <v>408</v>
      </c>
      <c r="B568" s="57" t="n">
        <f aca="false">(1+$N$16)/(1+B566)</f>
        <v>1.018779342723</v>
      </c>
      <c r="C568" s="57" t="n">
        <f aca="false">B568*(1+Entorno!$B$13)</f>
        <v>1.02387323943662</v>
      </c>
      <c r="D568" s="57" t="n">
        <f aca="false">C568*(1+Entorno!$B$13)</f>
        <v>1.0289926056338</v>
      </c>
      <c r="E568" s="57" t="n">
        <f aca="false">D568*(1+Entorno!$B$13)</f>
        <v>1.03413756866197</v>
      </c>
      <c r="F568" s="57" t="n">
        <f aca="false">E568*(1+Entorno!$B$13)</f>
        <v>1.03930825650528</v>
      </c>
      <c r="G568" s="57" t="n">
        <f aca="false">F568*(1+Entorno!$B$13)</f>
        <v>1.04450479778781</v>
      </c>
      <c r="H568" s="57" t="n">
        <f aca="false">G568*(1+Entorno!$B$13)</f>
        <v>1.04972732177675</v>
      </c>
      <c r="I568" s="57" t="n">
        <f aca="false">H568*(1+Entorno!$B$13)</f>
        <v>1.05497595838563</v>
      </c>
      <c r="J568" s="57" t="n">
        <f aca="false">I568*(1+Entorno!$B$13)</f>
        <v>1.06025083817756</v>
      </c>
      <c r="K568" s="57" t="n">
        <f aca="false">J568*(1+Entorno!$B$13)</f>
        <v>1.06555209236845</v>
      </c>
      <c r="L568" s="57" t="n">
        <f aca="false">K568*(1+Entorno!$B$13)</f>
        <v>1.07087985283029</v>
      </c>
    </row>
    <row r="569" customFormat="false" ht="15" hidden="true" customHeight="false" outlineLevel="1" collapsed="false">
      <c r="A569" s="9" t="s">
        <v>409</v>
      </c>
      <c r="B569" s="57" t="n">
        <f aca="false">1/B567</f>
        <v>0.938967136150235</v>
      </c>
      <c r="C569" s="57" t="n">
        <f aca="false">1/C567</f>
        <v>0.881659282770174</v>
      </c>
      <c r="D569" s="57" t="n">
        <f aca="false">1/D567</f>
        <v>0.82784909180298</v>
      </c>
      <c r="E569" s="57" t="n">
        <f aca="false">1/E567</f>
        <v>0.777323090894817</v>
      </c>
      <c r="F569" s="57" t="n">
        <f aca="false">1/F567</f>
        <v>0.729880836520955</v>
      </c>
      <c r="G569" s="57" t="n">
        <f aca="false">1/G567</f>
        <v>0.685334118799019</v>
      </c>
      <c r="H569" s="57" t="n">
        <f aca="false">1/H567</f>
        <v>0.643506214834759</v>
      </c>
      <c r="I569" s="57" t="n">
        <f aca="false">1/I567</f>
        <v>0.604231187638272</v>
      </c>
      <c r="J569" s="57" t="n">
        <f aca="false">1/J567</f>
        <v>0.567353227829363</v>
      </c>
      <c r="K569" s="57" t="n">
        <f aca="false">1/K567</f>
        <v>0.532726035520529</v>
      </c>
      <c r="L569" s="57" t="n">
        <f aca="false">1/L567</f>
        <v>0.500212239925379</v>
      </c>
    </row>
    <row r="570" customFormat="false" ht="15" hidden="true" customHeight="false" outlineLevel="1" collapsed="false">
      <c r="A570" s="6" t="s">
        <v>323</v>
      </c>
      <c r="B570" s="29" t="n">
        <f aca="false">IF(B$47=0,Quesería!$F$92,IF(B$47=1,(Quesería!$F$93-(-$N$26)*Quesería!$D$86*(1+Quesería!$I$86))*$N$21,0))*$N$11</f>
        <v>930.800239431677</v>
      </c>
      <c r="C570" s="29" t="n">
        <f aca="false">IF(C$47=0,Quesería!$F$92,IF(C$47=1,(Quesería!$F$93-(-$N$26)*Quesería!$D$86*(1+Quesería!$I$86))*$N$21,0))*$N$11</f>
        <v>658.469066674498</v>
      </c>
      <c r="D570" s="29" t="n">
        <f aca="false">IF(D$47=0,Quesería!$F$92,IF(D$47=1,(Quesería!$F$93-(-$N$26)*Quesería!$D$86*(1+Quesería!$I$86))*$N$21,0))*$N$11</f>
        <v>0</v>
      </c>
      <c r="E570" s="29" t="n">
        <f aca="false">IF(E$47=0,Quesería!$F$92,IF(E$47=1,(Quesería!$F$93-(-$N$26)*Quesería!$D$86*(1+Quesería!$I$86))*$N$21,0))*$N$11</f>
        <v>0</v>
      </c>
      <c r="F570" s="29" t="n">
        <f aca="false">IF(F$47=0,Quesería!$F$92,IF(F$47=1,(Quesería!$F$93-(-$N$26)*Quesería!$D$86*(1+Quesería!$I$86))*$N$21,0))*$N$11</f>
        <v>0</v>
      </c>
      <c r="G570" s="29" t="n">
        <f aca="false">IF(G$47=0,Quesería!$F$92,IF(G$47=1,(Quesería!$F$93-(-$N$26)*Quesería!$D$86*(1+Quesería!$I$86))*$N$21,0))*$N$11</f>
        <v>0</v>
      </c>
      <c r="H570" s="29" t="n">
        <f aca="false">IF(H$47=0,Quesería!$F$92,IF(H$47=1,(Quesería!$F$93-(-$N$26)*Quesería!$D$86*(1+Quesería!$I$86))*$N$21,0))*$N$11</f>
        <v>0</v>
      </c>
      <c r="I570" s="29" t="n">
        <f aca="false">IF(I$47=0,Quesería!$F$92,IF(I$47=1,(Quesería!$F$93-(-$N$26)*Quesería!$D$86*(1+Quesería!$I$86))*$N$21,0))*$N$11</f>
        <v>0</v>
      </c>
      <c r="J570" s="29" t="n">
        <f aca="false">IF(J$47=0,Quesería!$F$92,IF(J$47=1,(Quesería!$F$93-(-$N$26)*Quesería!$D$86*(1+Quesería!$I$86))*$N$21,0))*$N$11</f>
        <v>0</v>
      </c>
      <c r="K570" s="29" t="n">
        <f aca="false">IF(K$47=0,Quesería!$F$92,IF(K$47=1,(Quesería!$F$93-(-$N$26)*Quesería!$D$86*(1+Quesería!$I$86))*$N$21,0))*$N$11</f>
        <v>0</v>
      </c>
      <c r="L570" s="29" t="n">
        <f aca="false">IF(L$47=0,Quesería!$F$92,IF(L$47=1,(Quesería!$F$93-(-$N$26)*Quesería!$D$86*(1+Quesería!$I$86))*$N$21,0))*$N$11</f>
        <v>0</v>
      </c>
    </row>
    <row r="571" customFormat="false" ht="15" hidden="true" customHeight="false" outlineLevel="1" collapsed="false">
      <c r="A571" s="6" t="s">
        <v>410</v>
      </c>
      <c r="B571" s="29" t="n">
        <f aca="false">IF(B$47=5,Quesería!$F$99,IF(B$47=6,Quesería!$F$100,0))*$N$11</f>
        <v>0</v>
      </c>
      <c r="C571" s="29" t="n">
        <f aca="false">IF(C$47=5,Quesería!$F$99,IF(C$47=6,Quesería!$F$100,0))*$N$11</f>
        <v>0</v>
      </c>
      <c r="D571" s="29" t="n">
        <f aca="false">IF(D$47=5,Quesería!$F$99,IF(D$47=6,Quesería!$F$100,0))*$N$11</f>
        <v>0</v>
      </c>
      <c r="E571" s="29" t="n">
        <f aca="false">IF(E$47=5,Quesería!$F$99,IF(E$47=6,Quesería!$F$100,0))*$N$11</f>
        <v>0</v>
      </c>
      <c r="F571" s="29" t="n">
        <f aca="false">IF(F$47=5,Quesería!$F$99,IF(F$47=6,Quesería!$F$100,0))*$N$11</f>
        <v>0</v>
      </c>
      <c r="G571" s="29" t="n">
        <f aca="false">IF(G$47=5,Quesería!$F$99,IF(G$47=6,Quesería!$F$100,0))*$N$11</f>
        <v>27.4652172688735</v>
      </c>
      <c r="H571" s="29" t="n">
        <f aca="false">IF(H$47=5,Quesería!$F$99,IF(H$47=6,Quesería!$F$100,0))*$N$11</f>
        <v>46.3891557109552</v>
      </c>
      <c r="I571" s="29" t="n">
        <f aca="false">IF(I$47=5,Quesería!$F$99,IF(I$47=6,Quesería!$F$100,0))*$N$11</f>
        <v>0</v>
      </c>
      <c r="J571" s="29" t="n">
        <f aca="false">IF(J$47=5,Quesería!$F$99,IF(J$47=6,Quesería!$F$100,0))*$N$11</f>
        <v>0</v>
      </c>
      <c r="K571" s="29" t="n">
        <f aca="false">IF(K$47=5,Quesería!$F$99,IF(K$47=6,Quesería!$F$100,0))*$N$11</f>
        <v>0</v>
      </c>
      <c r="L571" s="29" t="n">
        <f aca="false">IF(L$47=5,Quesería!$F$99,IF(L$47=6,Quesería!$F$100,0))*$N$11</f>
        <v>0</v>
      </c>
    </row>
    <row r="572" customFormat="false" ht="15" hidden="true" customHeight="false" outlineLevel="1" collapsed="false">
      <c r="A572" s="6" t="s">
        <v>411</v>
      </c>
      <c r="B572" s="29" t="n">
        <f aca="false">Quesería!$B$55*(IF(B$47=0,SUMPRODUCT((Quesería!$C$70:$C$89=0)*(Quesería!$H$70:$H$89&gt;0)*(Quesería!$J$70:$J$89&gt;0)*Quesería!$F$70:$F$89*(1+Quesería!$I$70:$I$89)),IF(B$47=1,(SUMPRODUCT((Quesería!$C$70:$C$89=1)*(Quesería!$H$70:$H$89&gt;0)*(Quesería!$J$70:$J$89&gt;0)*Quesería!$F$70:$F$89*(1+Quesería!$I$70:$I$89))-(-$N$26)*Quesería!$D$86*(1+Quesería!$I$86))*$N$21,0))*$N$11+B571)</f>
        <v>149.115671560178</v>
      </c>
      <c r="C572" s="29" t="n">
        <f aca="false">Quesería!$B$55*(IF(C$47=0,SUMPRODUCT((Quesería!$C$70:$C$89=0)*(Quesería!$H$70:$H$89&gt;0)*(Quesería!$J$70:$J$89&gt;0)*Quesería!$F$70:$F$89*(1+Quesería!$I$70:$I$89)),IF(C$47=1,(SUMPRODUCT((Quesería!$C$70:$C$89=1)*(Quesería!$H$70:$H$89&gt;0)*(Quesería!$J$70:$J$89&gt;0)*Quesería!$F$70:$F$89*(1+Quesería!$I$70:$I$89))-(-$N$26)*Quesería!$D$86*(1+Quesería!$I$86))*$N$21,0))*$N$11+C571)</f>
        <v>125.109122668155</v>
      </c>
      <c r="D572" s="29" t="n">
        <f aca="false">Quesería!$B$55*(IF(D$47=0,SUMPRODUCT((Quesería!$C$70:$C$89=0)*(Quesería!$H$70:$H$89&gt;0)*(Quesería!$J$70:$J$89&gt;0)*Quesería!$F$70:$F$89*(1+Quesería!$I$70:$I$89)),IF(D$47=1,(SUMPRODUCT((Quesería!$C$70:$C$89=1)*(Quesería!$H$70:$H$89&gt;0)*(Quesería!$J$70:$J$89&gt;0)*Quesería!$F$70:$F$89*(1+Quesería!$I$70:$I$89))-(-$N$26)*Quesería!$D$86*(1+Quesería!$I$86))*$N$21,0))*$N$11+D571)</f>
        <v>0</v>
      </c>
      <c r="E572" s="29" t="n">
        <f aca="false">Quesería!$B$55*(IF(E$47=0,SUMPRODUCT((Quesería!$C$70:$C$89=0)*(Quesería!$H$70:$H$89&gt;0)*(Quesería!$J$70:$J$89&gt;0)*Quesería!$F$70:$F$89*(1+Quesería!$I$70:$I$89)),IF(E$47=1,(SUMPRODUCT((Quesería!$C$70:$C$89=1)*(Quesería!$H$70:$H$89&gt;0)*(Quesería!$J$70:$J$89&gt;0)*Quesería!$F$70:$F$89*(1+Quesería!$I$70:$I$89))-(-$N$26)*Quesería!$D$86*(1+Quesería!$I$86))*$N$21,0))*$N$11+E571)</f>
        <v>0</v>
      </c>
      <c r="F572" s="29" t="n">
        <f aca="false">Quesería!$B$55*(IF(F$47=0,SUMPRODUCT((Quesería!$C$70:$C$89=0)*(Quesería!$H$70:$H$89&gt;0)*(Quesería!$J$70:$J$89&gt;0)*Quesería!$F$70:$F$89*(1+Quesería!$I$70:$I$89)),IF(F$47=1,(SUMPRODUCT((Quesería!$C$70:$C$89=1)*(Quesería!$H$70:$H$89&gt;0)*(Quesería!$J$70:$J$89&gt;0)*Quesería!$F$70:$F$89*(1+Quesería!$I$70:$I$89))-(-$N$26)*Quesería!$D$86*(1+Quesería!$I$86))*$N$21,0))*$N$11+F571)</f>
        <v>0</v>
      </c>
      <c r="G572" s="29" t="n">
        <f aca="false">Quesería!$B$55*(IF(G$47=0,SUMPRODUCT((Quesería!$C$70:$C$89=0)*(Quesería!$H$70:$H$89&gt;0)*(Quesería!$J$70:$J$89&gt;0)*Quesería!$F$70:$F$89*(1+Quesería!$I$70:$I$89)),IF(G$47=1,(SUMPRODUCT((Quesería!$C$70:$C$89=1)*(Quesería!$H$70:$H$89&gt;0)*(Quesería!$J$70:$J$89&gt;0)*Quesería!$F$70:$F$89*(1+Quesería!$I$70:$I$89))-(-$N$26)*Quesería!$D$86*(1+Quesería!$I$86))*$N$21,0))*$N$11+G571)</f>
        <v>5.21839128108597</v>
      </c>
      <c r="H572" s="29" t="n">
        <f aca="false">Quesería!$B$55*(IF(H$47=0,SUMPRODUCT((Quesería!$C$70:$C$89=0)*(Quesería!$H$70:$H$89&gt;0)*(Quesería!$J$70:$J$89&gt;0)*Quesería!$F$70:$F$89*(1+Quesería!$I$70:$I$89)),IF(H$47=1,(SUMPRODUCT((Quesería!$C$70:$C$89=1)*(Quesería!$H$70:$H$89&gt;0)*(Quesería!$J$70:$J$89&gt;0)*Quesería!$F$70:$F$89*(1+Quesería!$I$70:$I$89))-(-$N$26)*Quesería!$D$86*(1+Quesería!$I$86))*$N$21,0))*$N$11+H571)</f>
        <v>8.8139395850815</v>
      </c>
      <c r="I572" s="29" t="n">
        <f aca="false">Quesería!$B$55*(IF(I$47=0,SUMPRODUCT((Quesería!$C$70:$C$89=0)*(Quesería!$H$70:$H$89&gt;0)*(Quesería!$J$70:$J$89&gt;0)*Quesería!$F$70:$F$89*(1+Quesería!$I$70:$I$89)),IF(I$47=1,(SUMPRODUCT((Quesería!$C$70:$C$89=1)*(Quesería!$H$70:$H$89&gt;0)*(Quesería!$J$70:$J$89&gt;0)*Quesería!$F$70:$F$89*(1+Quesería!$I$70:$I$89))-(-$N$26)*Quesería!$D$86*(1+Quesería!$I$86))*$N$21,0))*$N$11+I571)</f>
        <v>0</v>
      </c>
      <c r="J572" s="29" t="n">
        <f aca="false">Quesería!$B$55*(IF(J$47=0,SUMPRODUCT((Quesería!$C$70:$C$89=0)*(Quesería!$H$70:$H$89&gt;0)*(Quesería!$J$70:$J$89&gt;0)*Quesería!$F$70:$F$89*(1+Quesería!$I$70:$I$89)),IF(J$47=1,(SUMPRODUCT((Quesería!$C$70:$C$89=1)*(Quesería!$H$70:$H$89&gt;0)*(Quesería!$J$70:$J$89&gt;0)*Quesería!$F$70:$F$89*(1+Quesería!$I$70:$I$89))-(-$N$26)*Quesería!$D$86*(1+Quesería!$I$86))*$N$21,0))*$N$11+J571)</f>
        <v>0</v>
      </c>
      <c r="K572" s="29" t="n">
        <f aca="false">Quesería!$B$55*(IF(K$47=0,SUMPRODUCT((Quesería!$C$70:$C$89=0)*(Quesería!$H$70:$H$89&gt;0)*(Quesería!$J$70:$J$89&gt;0)*Quesería!$F$70:$F$89*(1+Quesería!$I$70:$I$89)),IF(K$47=1,(SUMPRODUCT((Quesería!$C$70:$C$89=1)*(Quesería!$H$70:$H$89&gt;0)*(Quesería!$J$70:$J$89&gt;0)*Quesería!$F$70:$F$89*(1+Quesería!$I$70:$I$89))-(-$N$26)*Quesería!$D$86*(1+Quesería!$I$86))*$N$21,0))*$N$11+K571)</f>
        <v>0</v>
      </c>
      <c r="L572" s="29" t="n">
        <f aca="false">Quesería!$B$55*(IF(L$47=0,SUMPRODUCT((Quesería!$C$70:$C$89=0)*(Quesería!$H$70:$H$89&gt;0)*(Quesería!$J$70:$J$89&gt;0)*Quesería!$F$70:$F$89*(1+Quesería!$I$70:$I$89)),IF(L$47=1,(SUMPRODUCT((Quesería!$C$70:$C$89=1)*(Quesería!$H$70:$H$89&gt;0)*(Quesería!$J$70:$J$89&gt;0)*Quesería!$F$70:$F$89*(1+Quesería!$I$70:$I$89))-(-$N$26)*Quesería!$D$86*(1+Quesería!$I$86))*$N$21,0))*$N$11+L571)</f>
        <v>0</v>
      </c>
    </row>
    <row r="573" customFormat="false" ht="15" hidden="true" customHeight="false" outlineLevel="1" collapsed="false">
      <c r="A573" s="6" t="s">
        <v>386</v>
      </c>
      <c r="B573" s="29" t="n">
        <f aca="false">IF(B$47=0,($N$22*Quesería!$J$126+(1-$N$22)*Quesería!$E$122)*Quesería!$B$20*Quesería!$B$21/12*$N$23,(($N$22*Quesería!$J$126+(1-$N$22)*Quesería!$E$122)+($N$22*Quesería!$J$104+(1-$N$22)*Quesería!$E$104)*(B568-1))*IF(B$47=1,Quesería!$B$20,1))*$N$10</f>
        <v>120.716772261203</v>
      </c>
      <c r="C573" s="29" t="n">
        <f aca="false">IF(C$47=0,($N$22*Quesería!$J$126+(1-$N$22)*Quesería!$E$122)*Quesería!$B$20*Quesería!$B$21/12*$N$23,(($N$22*Quesería!$J$126+(1-$N$22)*Quesería!$E$122)+($N$22*Quesería!$J$104+(1-$N$22)*Quesería!$E$104)*(C568-1))*IF(C$47=1,Quesería!$B$20,1))*$N$10</f>
        <v>181.285720363636</v>
      </c>
      <c r="D573" s="29" t="n">
        <f aca="false">IF(D$47=0,($N$22*Quesería!$J$126+(1-$N$22)*Quesería!$E$122)*Quesería!$B$20*Quesería!$B$21/12*$N$23,(($N$22*Quesería!$J$126+(1-$N$22)*Quesería!$E$122)+($N$22*Quesería!$J$104+(1-$N$22)*Quesería!$E$104)*(D568-1))*IF(D$47=1,Quesería!$B$20,1))*$N$10</f>
        <v>241.77449756466</v>
      </c>
      <c r="E573" s="29" t="n">
        <f aca="false">IF(E$47=0,($N$22*Quesería!$J$126+(1-$N$22)*Quesería!$E$122)*Quesería!$B$20*Quesería!$B$21/12*$N$23,(($N$22*Quesería!$J$126+(1-$N$22)*Quesería!$E$122)+($N$22*Quesería!$J$104+(1-$N$22)*Quesería!$E$104)*(E568-1))*IF(E$47=1,Quesería!$B$20,1))*$N$10</f>
        <v>241.835002329871</v>
      </c>
      <c r="F573" s="29" t="n">
        <f aca="false">IF(F$47=0,($N$22*Quesería!$J$126+(1-$N$22)*Quesería!$E$122)*Quesería!$B$20*Quesería!$B$21/12*$N$23,(($N$22*Quesería!$J$126+(1-$N$22)*Quesería!$E$122)+($N$22*Quesería!$J$104+(1-$N$22)*Quesería!$E$104)*(F568-1))*IF(F$47=1,Quesería!$B$20,1))*$N$10</f>
        <v>241.895809618908</v>
      </c>
      <c r="G573" s="29" t="n">
        <f aca="false">IF(G$47=0,($N$22*Quesería!$J$126+(1-$N$22)*Quesería!$E$122)*Quesería!$B$20*Quesería!$B$21/12*$N$23,(($N$22*Quesería!$J$126+(1-$N$22)*Quesería!$E$122)+($N$22*Quesería!$J$104+(1-$N$22)*Quesería!$E$104)*(G568-1))*IF(G$47=1,Quesería!$B$20,1))*$N$10</f>
        <v>241.956920944391</v>
      </c>
      <c r="H573" s="29" t="n">
        <f aca="false">IF(H$47=0,($N$22*Quesería!$J$126+(1-$N$22)*Quesería!$E$122)*Quesería!$B$20*Quesería!$B$21/12*$N$23,(($N$22*Quesería!$J$126+(1-$N$22)*Quesería!$E$122)+($N$22*Quesería!$J$104+(1-$N$22)*Quesería!$E$104)*(H568-1))*IF(H$47=1,Quesería!$B$20,1))*$N$10</f>
        <v>242.018337826501</v>
      </c>
      <c r="I573" s="29" t="n">
        <f aca="false">IF(I$47=0,($N$22*Quesería!$J$126+(1-$N$22)*Quesería!$E$122)*Quesería!$B$20*Quesería!$B$21/12*$N$23,(($N$22*Quesería!$J$126+(1-$N$22)*Quesería!$E$122)+($N$22*Quesería!$J$104+(1-$N$22)*Quesería!$E$104)*(I568-1))*IF(I$47=1,Quesería!$B$20,1))*$N$10</f>
        <v>242.080061793021</v>
      </c>
      <c r="J573" s="29" t="n">
        <f aca="false">IF(J$47=0,($N$22*Quesería!$J$126+(1-$N$22)*Quesería!$E$122)*Quesería!$B$20*Quesería!$B$21/12*$N$23,(($N$22*Quesería!$J$126+(1-$N$22)*Quesería!$E$122)+($N$22*Quesería!$J$104+(1-$N$22)*Quesería!$E$104)*(J568-1))*IF(J$47=1,Quesería!$B$20,1))*$N$10</f>
        <v>242.142094379374</v>
      </c>
      <c r="K573" s="29" t="n">
        <f aca="false">IF(K$47=0,($N$22*Quesería!$J$126+(1-$N$22)*Quesería!$E$122)*Quesería!$B$20*Quesería!$B$21/12*$N$23,(($N$22*Quesería!$J$126+(1-$N$22)*Quesería!$E$122)+($N$22*Quesería!$J$104+(1-$N$22)*Quesería!$E$104)*(K568-1))*IF(K$47=1,Quesería!$B$20,1))*$N$10</f>
        <v>242.204437128659</v>
      </c>
      <c r="L573" s="29" t="n">
        <f aca="false">IF(L$47=0,($N$22*Quesería!$J$126+(1-$N$22)*Quesería!$E$122)*Quesería!$B$20*Quesería!$B$21/12*$N$23,(($N$22*Quesería!$J$126+(1-$N$22)*Quesería!$E$122)+($N$22*Quesería!$J$104+(1-$N$22)*Quesería!$E$104)*(L568-1))*IF(L$47=1,Quesería!$B$20,1))*$N$10</f>
        <v>242.26709159169</v>
      </c>
    </row>
    <row r="574" customFormat="false" ht="15" hidden="true" customHeight="false" outlineLevel="1" collapsed="false">
      <c r="A574" s="6" t="s">
        <v>387</v>
      </c>
      <c r="B574" s="29" t="n">
        <f aca="false">IF(B$47&lt;=1,0,((($N$22*Quesería!$J$127+(1-$N$22)*Quesería!$E$123)-($N$22*Quesería!$J$113+(1-$N$22)*Quesería!$E$113)+$N$6*($N$22*Quesería!$J$113+(1-$N$22)*Quesería!$E$113)-(1-$N$9)*(($N$22*Quesería!$J$119+(1-$N$22)*Quesería!$E$119)+($N$22*Quesería!$J$118+(1-$N$22)*Quesería!$E$118))-(1-$N$24)*($N$22*Quesería!$J$117+(1-$N$22)*Quesería!$E$117)+$N$24*(1-$N$25)*'Beneficios y costos'!$B$144-(-$N$26*$N$27)*'Beneficios y costos'!$C$167)+($N$6*($N$22*Quesería!$J$113+(1-$N$22)*Quesería!$E$113)+$N$9*($N$22*Quesería!$J$119+(1-$N$22)*Quesería!$E$119))*(B568-1))*IF(B$47=2,Quesería!$B$20,1)+IF(B$47=2,Quesería!$B$24*$N$9*($N$22*Quesería!$J$119+(1-$N$22)*Quesería!$E$119)*B568,0))*$N$10*$N$21</f>
        <v>0</v>
      </c>
      <c r="C574" s="29" t="n">
        <f aca="false">IF(C$47&lt;=1,0,((($N$22*Quesería!$J$127+(1-$N$22)*Quesería!$E$123)-($N$22*Quesería!$J$113+(1-$N$22)*Quesería!$E$113)+$N$6*($N$22*Quesería!$J$113+(1-$N$22)*Quesería!$E$113)-(1-$N$9)*(($N$22*Quesería!$J$119+(1-$N$22)*Quesería!$E$119)+($N$22*Quesería!$J$118+(1-$N$22)*Quesería!$E$118))-(1-$N$24)*($N$22*Quesería!$J$117+(1-$N$22)*Quesería!$E$117)+$N$24*(1-$N$25)*'Beneficios y costos'!$B$144-(-$N$26*$N$27)*'Beneficios y costos'!$C$167)+($N$6*($N$22*Quesería!$J$113+(1-$N$22)*Quesería!$E$113)+$N$9*($N$22*Quesería!$J$119+(1-$N$22)*Quesería!$E$119))*(C568-1))*IF(C$47=2,Quesería!$B$20,1)+IF(C$47=2,Quesería!$B$24*$N$9*($N$22*Quesería!$J$119+(1-$N$22)*Quesería!$E$119)*C568,0))*$N$10*$N$21</f>
        <v>0</v>
      </c>
      <c r="D574" s="29" t="n">
        <f aca="false">IF(D$47&lt;=1,0,((($N$22*Quesería!$J$127+(1-$N$22)*Quesería!$E$123)-($N$22*Quesería!$J$113+(1-$N$22)*Quesería!$E$113)+$N$6*($N$22*Quesería!$J$113+(1-$N$22)*Quesería!$E$113)-(1-$N$9)*(($N$22*Quesería!$J$119+(1-$N$22)*Quesería!$E$119)+($N$22*Quesería!$J$118+(1-$N$22)*Quesería!$E$118))-(1-$N$24)*($N$22*Quesería!$J$117+(1-$N$22)*Quesería!$E$117)+$N$24*(1-$N$25)*'Beneficios y costos'!$B$144-(-$N$26*$N$27)*'Beneficios y costos'!$C$167)+($N$6*($N$22*Quesería!$J$113+(1-$N$22)*Quesería!$E$113)+$N$9*($N$22*Quesería!$J$119+(1-$N$22)*Quesería!$E$119))*(D568-1))*IF(D$47=2,Quesería!$B$20,1)+IF(D$47=2,Quesería!$B$24*$N$9*($N$22*Quesería!$J$119+(1-$N$22)*Quesería!$E$119)*D568,0))*$N$10*$N$21</f>
        <v>257.125212436223</v>
      </c>
      <c r="E574" s="29" t="n">
        <f aca="false">IF(E$47&lt;=1,0,((($N$22*Quesería!$J$127+(1-$N$22)*Quesería!$E$123)-($N$22*Quesería!$J$113+(1-$N$22)*Quesería!$E$113)+$N$6*($N$22*Quesería!$J$113+(1-$N$22)*Quesería!$E$113)-(1-$N$9)*(($N$22*Quesería!$J$119+(1-$N$22)*Quesería!$E$119)+($N$22*Quesería!$J$118+(1-$N$22)*Quesería!$E$118))-(1-$N$24)*($N$22*Quesería!$J$117+(1-$N$22)*Quesería!$E$117)+$N$24*(1-$N$25)*'Beneficios y costos'!$B$144-(-$N$26*$N$27)*'Beneficios y costos'!$C$167)+($N$6*($N$22*Quesería!$J$113+(1-$N$22)*Quesería!$E$113)+$N$9*($N$22*Quesería!$J$119+(1-$N$22)*Quesería!$E$119))*(E568-1))*IF(E$47=2,Quesería!$B$20,1)+IF(E$47=2,Quesería!$B$24*$N$9*($N$22*Quesería!$J$119+(1-$N$22)*Quesería!$E$119)*E568,0))*$N$10*$N$21</f>
        <v>328.261846494729</v>
      </c>
      <c r="F574" s="29" t="n">
        <f aca="false">IF(F$47&lt;=1,0,((($N$22*Quesería!$J$127+(1-$N$22)*Quesería!$E$123)-($N$22*Quesería!$J$113+(1-$N$22)*Quesería!$E$113)+$N$6*($N$22*Quesería!$J$113+(1-$N$22)*Quesería!$E$113)-(1-$N$9)*(($N$22*Quesería!$J$119+(1-$N$22)*Quesería!$E$119)+($N$22*Quesería!$J$118+(1-$N$22)*Quesería!$E$118))-(1-$N$24)*($N$22*Quesería!$J$117+(1-$N$22)*Quesería!$E$117)+$N$24*(1-$N$25)*'Beneficios y costos'!$B$144-(-$N$26*$N$27)*'Beneficios y costos'!$C$167)+($N$6*($N$22*Quesería!$J$113+(1-$N$22)*Quesería!$E$113)+$N$9*($N$22*Quesería!$J$119+(1-$N$22)*Quesería!$E$119))*(F568-1))*IF(F$47=2,Quesería!$B$20,1)+IF(F$47=2,Quesería!$B$24*$N$9*($N$22*Quesería!$J$119+(1-$N$22)*Quesería!$E$119)*F568,0))*$N$10*$N$21</f>
        <v>328.508798546126</v>
      </c>
      <c r="G574" s="29" t="n">
        <f aca="false">IF(G$47&lt;=1,0,((($N$22*Quesería!$J$127+(1-$N$22)*Quesería!$E$123)-($N$22*Quesería!$J$113+(1-$N$22)*Quesería!$E$113)+$N$6*($N$22*Quesería!$J$113+(1-$N$22)*Quesería!$E$113)-(1-$N$9)*(($N$22*Quesería!$J$119+(1-$N$22)*Quesería!$E$119)+($N$22*Quesería!$J$118+(1-$N$22)*Quesería!$E$118))-(1-$N$24)*($N$22*Quesería!$J$117+(1-$N$22)*Quesería!$E$117)+$N$24*(1-$N$25)*'Beneficios y costos'!$B$144-(-$N$26*$N$27)*'Beneficios y costos'!$C$167)+($N$6*($N$22*Quesería!$J$113+(1-$N$22)*Quesería!$E$113)+$N$9*($N$22*Quesería!$J$119+(1-$N$22)*Quesería!$E$119))*(G568-1))*IF(G$47=2,Quesería!$B$20,1)+IF(G$47=2,Quesería!$B$24*$N$9*($N$22*Quesería!$J$119+(1-$N$22)*Quesería!$E$119)*G568,0))*$N$10*$N$21</f>
        <v>328.756985357779</v>
      </c>
      <c r="H574" s="29" t="n">
        <f aca="false">IF(H$47&lt;=1,0,((($N$22*Quesería!$J$127+(1-$N$22)*Quesería!$E$123)-($N$22*Quesería!$J$113+(1-$N$22)*Quesería!$E$113)+$N$6*($N$22*Quesería!$J$113+(1-$N$22)*Quesería!$E$113)-(1-$N$9)*(($N$22*Quesería!$J$119+(1-$N$22)*Quesería!$E$119)+($N$22*Quesería!$J$118+(1-$N$22)*Quesería!$E$118))-(1-$N$24)*($N$22*Quesería!$J$117+(1-$N$22)*Quesería!$E$117)+$N$24*(1-$N$25)*'Beneficios y costos'!$B$144-(-$N$26*$N$27)*'Beneficios y costos'!$C$167)+($N$6*($N$22*Quesería!$J$113+(1-$N$22)*Quesería!$E$113)+$N$9*($N$22*Quesería!$J$119+(1-$N$22)*Quesería!$E$119))*(H568-1))*IF(H$47=2,Quesería!$B$20,1)+IF(H$47=2,Quesería!$B$24*$N$9*($N$22*Quesería!$J$119+(1-$N$22)*Quesería!$E$119)*H568,0))*$N$10*$N$21</f>
        <v>329.006413103491</v>
      </c>
      <c r="I574" s="29" t="n">
        <f aca="false">IF(I$47&lt;=1,0,((($N$22*Quesería!$J$127+(1-$N$22)*Quesería!$E$123)-($N$22*Quesería!$J$113+(1-$N$22)*Quesería!$E$113)+$N$6*($N$22*Quesería!$J$113+(1-$N$22)*Quesería!$E$113)-(1-$N$9)*(($N$22*Quesería!$J$119+(1-$N$22)*Quesería!$E$119)+($N$22*Quesería!$J$118+(1-$N$22)*Quesería!$E$118))-(1-$N$24)*($N$22*Quesería!$J$117+(1-$N$22)*Quesería!$E$117)+$N$24*(1-$N$25)*'Beneficios y costos'!$B$144-(-$N$26*$N$27)*'Beneficios y costos'!$C$167)+($N$6*($N$22*Quesería!$J$113+(1-$N$22)*Quesería!$E$113)+$N$9*($N$22*Quesería!$J$119+(1-$N$22)*Quesería!$E$119))*(I568-1))*IF(I$47=2,Quesería!$B$20,1)+IF(I$47=2,Quesería!$B$24*$N$9*($N$22*Quesería!$J$119+(1-$N$22)*Quesería!$E$119)*I568,0))*$N$10*$N$21</f>
        <v>329.257087987931</v>
      </c>
      <c r="J574" s="29" t="n">
        <f aca="false">IF(J$47&lt;=1,0,((($N$22*Quesería!$J$127+(1-$N$22)*Quesería!$E$123)-($N$22*Quesería!$J$113+(1-$N$22)*Quesería!$E$113)+$N$6*($N$22*Quesería!$J$113+(1-$N$22)*Quesería!$E$113)-(1-$N$9)*(($N$22*Quesería!$J$119+(1-$N$22)*Quesería!$E$119)+($N$22*Quesería!$J$118+(1-$N$22)*Quesería!$E$118))-(1-$N$24)*($N$22*Quesería!$J$117+(1-$N$22)*Quesería!$E$117)+$N$24*(1-$N$25)*'Beneficios y costos'!$B$144-(-$N$26*$N$27)*'Beneficios y costos'!$C$167)+($N$6*($N$22*Quesería!$J$113+(1-$N$22)*Quesería!$E$113)+$N$9*($N$22*Quesería!$J$119+(1-$N$22)*Quesería!$E$119))*(J568-1))*IF(J$47=2,Quesería!$B$20,1)+IF(J$47=2,Quesería!$B$24*$N$9*($N$22*Quesería!$J$119+(1-$N$22)*Quesería!$E$119)*J568,0))*$N$10*$N$21</f>
        <v>329.509016246794</v>
      </c>
      <c r="K574" s="29" t="n">
        <f aca="false">IF(K$47&lt;=1,0,((($N$22*Quesería!$J$127+(1-$N$22)*Quesería!$E$123)-($N$22*Quesería!$J$113+(1-$N$22)*Quesería!$E$113)+$N$6*($N$22*Quesería!$J$113+(1-$N$22)*Quesería!$E$113)-(1-$N$9)*(($N$22*Quesería!$J$119+(1-$N$22)*Quesería!$E$119)+($N$22*Quesería!$J$118+(1-$N$22)*Quesería!$E$118))-(1-$N$24)*($N$22*Quesería!$J$117+(1-$N$22)*Quesería!$E$117)+$N$24*(1-$N$25)*'Beneficios y costos'!$B$144-(-$N$26*$N$27)*'Beneficios y costos'!$C$167)+($N$6*($N$22*Quesería!$J$113+(1-$N$22)*Quesería!$E$113)+$N$9*($N$22*Quesería!$J$119+(1-$N$22)*Quesería!$E$119))*(K568-1))*IF(K$47=2,Quesería!$B$20,1)+IF(K$47=2,Quesería!$B$24*$N$9*($N$22*Quesería!$J$119+(1-$N$22)*Quesería!$E$119)*K568,0))*$N$10*$N$21</f>
        <v>329.762204146951</v>
      </c>
      <c r="L574" s="29" t="n">
        <f aca="false">IF(L$47&lt;=1,0,((($N$22*Quesería!$J$127+(1-$N$22)*Quesería!$E$123)-($N$22*Quesería!$J$113+(1-$N$22)*Quesería!$E$113)+$N$6*($N$22*Quesería!$J$113+(1-$N$22)*Quesería!$E$113)-(1-$N$9)*(($N$22*Quesería!$J$119+(1-$N$22)*Quesería!$E$119)+($N$22*Quesería!$J$118+(1-$N$22)*Quesería!$E$118))-(1-$N$24)*($N$22*Quesería!$J$117+(1-$N$22)*Quesería!$E$117)+$N$24*(1-$N$25)*'Beneficios y costos'!$B$144-(-$N$26*$N$27)*'Beneficios y costos'!$C$167)+($N$6*($N$22*Quesería!$J$113+(1-$N$22)*Quesería!$E$113)+$N$9*($N$22*Quesería!$J$119+(1-$N$22)*Quesería!$E$119))*(L568-1))*IF(L$47=2,Quesería!$B$20,1)+IF(L$47=2,Quesería!$B$24*$N$9*($N$22*Quesería!$J$119+(1-$N$22)*Quesería!$E$119)*L568,0))*$N$10*$N$21</f>
        <v>330.016657986608</v>
      </c>
    </row>
    <row r="575" customFormat="false" ht="15" hidden="true" customHeight="false" outlineLevel="1" collapsed="false">
      <c r="A575" s="5" t="s">
        <v>412</v>
      </c>
      <c r="B575" s="10" t="n">
        <f aca="false">B573+B574</f>
        <v>120.716772261203</v>
      </c>
      <c r="C575" s="10" t="n">
        <f aca="false">C573+C574</f>
        <v>181.285720363636</v>
      </c>
      <c r="D575" s="10" t="n">
        <f aca="false">D573+D574</f>
        <v>498.899710000883</v>
      </c>
      <c r="E575" s="10" t="n">
        <f aca="false">E573+E574</f>
        <v>570.0968488246</v>
      </c>
      <c r="F575" s="10" t="n">
        <f aca="false">F573+F574</f>
        <v>570.404608165034</v>
      </c>
      <c r="G575" s="10" t="n">
        <f aca="false">G573+G574</f>
        <v>570.71390630217</v>
      </c>
      <c r="H575" s="10" t="n">
        <f aca="false">H573+H574</f>
        <v>571.024750929992</v>
      </c>
      <c r="I575" s="10" t="n">
        <f aca="false">I573+I574</f>
        <v>571.337149780952</v>
      </c>
      <c r="J575" s="10" t="n">
        <f aca="false">J573+J574</f>
        <v>571.651110626168</v>
      </c>
      <c r="K575" s="10" t="n">
        <f aca="false">K573+K574</f>
        <v>571.96664127561</v>
      </c>
      <c r="L575" s="10" t="n">
        <f aca="false">L573+L574</f>
        <v>572.283749578298</v>
      </c>
    </row>
    <row r="576" customFormat="false" ht="15" hidden="true" customHeight="false" outlineLevel="1" collapsed="false">
      <c r="A576" s="6" t="s">
        <v>413</v>
      </c>
      <c r="B576" s="29" t="n">
        <f aca="false">(IF(B$47&gt;=1,(Quesería!$B$31+Quesería!$B$33)*Quesería!$F$94*$N$11+Quesería!$B$32+'Beneficios y costos'!$B$249,0)+IF(B$47&gt;=2,((Quesería!$B$31+Quesería!$B$33)*(Quesería!$F$95-(-$N$26)*Quesería!$D$86)*$N$11+'Beneficios y costos'!$C$249-(-$N$26)*'Beneficios y costos'!$H$235)*$N$21,0))*$N$12</f>
        <v>0</v>
      </c>
      <c r="C576" s="29" t="n">
        <f aca="false">(IF(C$47&gt;=1,(Quesería!$B$31+Quesería!$B$33)*Quesería!$F$94*$N$11+Quesería!$B$32+'Beneficios y costos'!$B$249,0)+IF(C$47&gt;=2,((Quesería!$B$31+Quesería!$B$33)*(Quesería!$F$95-(-$N$26)*Quesería!$D$86)*$N$11+'Beneficios y costos'!$C$249-(-$N$26)*'Beneficios y costos'!$H$235)*$N$21,0))*$N$12</f>
        <v>42.0946487260605</v>
      </c>
      <c r="D576" s="29" t="n">
        <f aca="false">(IF(D$47&gt;=1,(Quesería!$B$31+Quesería!$B$33)*Quesería!$F$94*$N$11+Quesería!$B$32+'Beneficios y costos'!$B$249,0)+IF(D$47&gt;=2,((Quesería!$B$31+Quesería!$B$33)*(Quesería!$F$95-(-$N$26)*Quesería!$D$86)*$N$11+'Beneficios y costos'!$C$249-(-$N$26)*'Beneficios y costos'!$H$235)*$N$21,0))*$N$12</f>
        <v>76.4964821173776</v>
      </c>
      <c r="E576" s="29" t="n">
        <f aca="false">(IF(E$47&gt;=1,(Quesería!$B$31+Quesería!$B$33)*Quesería!$F$94*$N$11+Quesería!$B$32+'Beneficios y costos'!$B$249,0)+IF(E$47&gt;=2,((Quesería!$B$31+Quesería!$B$33)*(Quesería!$F$95-(-$N$26)*Quesería!$D$86)*$N$11+'Beneficios y costos'!$C$249-(-$N$26)*'Beneficios y costos'!$H$235)*$N$21,0))*$N$12</f>
        <v>76.4964821173776</v>
      </c>
      <c r="F576" s="29" t="n">
        <f aca="false">(IF(F$47&gt;=1,(Quesería!$B$31+Quesería!$B$33)*Quesería!$F$94*$N$11+Quesería!$B$32+'Beneficios y costos'!$B$249,0)+IF(F$47&gt;=2,((Quesería!$B$31+Quesería!$B$33)*(Quesería!$F$95-(-$N$26)*Quesería!$D$86)*$N$11+'Beneficios y costos'!$C$249-(-$N$26)*'Beneficios y costos'!$H$235)*$N$21,0))*$N$12</f>
        <v>76.4964821173776</v>
      </c>
      <c r="G576" s="29" t="n">
        <f aca="false">(IF(G$47&gt;=1,(Quesería!$B$31+Quesería!$B$33)*Quesería!$F$94*$N$11+Quesería!$B$32+'Beneficios y costos'!$B$249,0)+IF(G$47&gt;=2,((Quesería!$B$31+Quesería!$B$33)*(Quesería!$F$95-(-$N$26)*Quesería!$D$86)*$N$11+'Beneficios y costos'!$C$249-(-$N$26)*'Beneficios y costos'!$H$235)*$N$21,0))*$N$12</f>
        <v>76.4964821173776</v>
      </c>
      <c r="H576" s="29" t="n">
        <f aca="false">(IF(H$47&gt;=1,(Quesería!$B$31+Quesería!$B$33)*Quesería!$F$94*$N$11+Quesería!$B$32+'Beneficios y costos'!$B$249,0)+IF(H$47&gt;=2,((Quesería!$B$31+Quesería!$B$33)*(Quesería!$F$95-(-$N$26)*Quesería!$D$86)*$N$11+'Beneficios y costos'!$C$249-(-$N$26)*'Beneficios y costos'!$H$235)*$N$21,0))*$N$12</f>
        <v>76.4964821173776</v>
      </c>
      <c r="I576" s="29" t="n">
        <f aca="false">(IF(I$47&gt;=1,(Quesería!$B$31+Quesería!$B$33)*Quesería!$F$94*$N$11+Quesería!$B$32+'Beneficios y costos'!$B$249,0)+IF(I$47&gt;=2,((Quesería!$B$31+Quesería!$B$33)*(Quesería!$F$95-(-$N$26)*Quesería!$D$86)*$N$11+'Beneficios y costos'!$C$249-(-$N$26)*'Beneficios y costos'!$H$235)*$N$21,0))*$N$12</f>
        <v>76.4964821173776</v>
      </c>
      <c r="J576" s="29" t="n">
        <f aca="false">(IF(J$47&gt;=1,(Quesería!$B$31+Quesería!$B$33)*Quesería!$F$94*$N$11+Quesería!$B$32+'Beneficios y costos'!$B$249,0)+IF(J$47&gt;=2,((Quesería!$B$31+Quesería!$B$33)*(Quesería!$F$95-(-$N$26)*Quesería!$D$86)*$N$11+'Beneficios y costos'!$C$249-(-$N$26)*'Beneficios y costos'!$H$235)*$N$21,0))*$N$12</f>
        <v>76.4964821173776</v>
      </c>
      <c r="K576" s="29" t="n">
        <f aca="false">(IF(K$47&gt;=1,(Quesería!$B$31+Quesería!$B$33)*Quesería!$F$94*$N$11+Quesería!$B$32+'Beneficios y costos'!$B$249,0)+IF(K$47&gt;=2,((Quesería!$B$31+Quesería!$B$33)*(Quesería!$F$95-(-$N$26)*Quesería!$D$86)*$N$11+'Beneficios y costos'!$C$249-(-$N$26)*'Beneficios y costos'!$H$235)*$N$21,0))*$N$12</f>
        <v>76.4964821173776</v>
      </c>
      <c r="L576" s="29" t="n">
        <f aca="false">(IF(L$47&gt;=1,(Quesería!$B$31+Quesería!$B$33)*Quesería!$F$94*$N$11+Quesería!$B$32+'Beneficios y costos'!$B$249,0)+IF(L$47&gt;=2,((Quesería!$B$31+Quesería!$B$33)*(Quesería!$F$95-(-$N$26)*Quesería!$D$86)*$N$11+'Beneficios y costos'!$C$249-(-$N$26)*'Beneficios y costos'!$H$235)*$N$21,0))*$N$12</f>
        <v>76.4964821173776</v>
      </c>
    </row>
    <row r="577" customFormat="false" ht="15" hidden="true" customHeight="false" outlineLevel="1" collapsed="false">
      <c r="A577" s="6" t="s">
        <v>414</v>
      </c>
      <c r="B577" s="29" t="n">
        <f aca="false">IF(B$47=1,2*Quesería!$B$22*Quesería!$B$23/12*B568,0)*$N$21</f>
        <v>0</v>
      </c>
      <c r="C577" s="29" t="n">
        <f aca="false">IF(C$47=1,2*Quesería!$B$22*Quesería!$B$23/12*C568,0)*$N$21</f>
        <v>18.4297183098592</v>
      </c>
      <c r="D577" s="29" t="n">
        <f aca="false">IF(D$47=1,2*Quesería!$B$22*Quesería!$B$23/12*D568,0)*$N$21</f>
        <v>0</v>
      </c>
      <c r="E577" s="29" t="n">
        <f aca="false">IF(E$47=1,2*Quesería!$B$22*Quesería!$B$23/12*E568,0)*$N$21</f>
        <v>0</v>
      </c>
      <c r="F577" s="29" t="n">
        <f aca="false">IF(F$47=1,2*Quesería!$B$22*Quesería!$B$23/12*F568,0)*$N$21</f>
        <v>0</v>
      </c>
      <c r="G577" s="29" t="n">
        <f aca="false">IF(G$47=1,2*Quesería!$B$22*Quesería!$B$23/12*G568,0)*$N$21</f>
        <v>0</v>
      </c>
      <c r="H577" s="29" t="n">
        <f aca="false">IF(H$47=1,2*Quesería!$B$22*Quesería!$B$23/12*H568,0)*$N$21</f>
        <v>0</v>
      </c>
      <c r="I577" s="29" t="n">
        <f aca="false">IF(I$47=1,2*Quesería!$B$22*Quesería!$B$23/12*I568,0)*$N$21</f>
        <v>0</v>
      </c>
      <c r="J577" s="29" t="n">
        <f aca="false">IF(J$47=1,2*Quesería!$B$22*Quesería!$B$23/12*J568,0)*$N$21</f>
        <v>0</v>
      </c>
      <c r="K577" s="29" t="n">
        <f aca="false">IF(K$47=1,2*Quesería!$B$22*Quesería!$B$23/12*K568,0)*$N$21</f>
        <v>0</v>
      </c>
      <c r="L577" s="29" t="n">
        <f aca="false">IF(L$47=1,2*Quesería!$B$22*Quesería!$B$23/12*L568,0)*$N$21</f>
        <v>0</v>
      </c>
    </row>
    <row r="578" customFormat="false" ht="15" hidden="true" customHeight="false" outlineLevel="1" collapsed="false">
      <c r="A578" s="6" t="s">
        <v>415</v>
      </c>
      <c r="B578" s="29" t="n">
        <f aca="false">Quesería!$B$52*(B570+B571+B572+B576+B577)</f>
        <v>4.31966364396742</v>
      </c>
      <c r="C578" s="29" t="n">
        <f aca="false">Quesería!$B$52*(C570+C571+C572+C576+C577)</f>
        <v>3.37641022551429</v>
      </c>
      <c r="D578" s="29" t="n">
        <f aca="false">Quesería!$B$52*(D570+D571+D572+D576+D577)</f>
        <v>0.305985928469511</v>
      </c>
      <c r="E578" s="29" t="n">
        <f aca="false">Quesería!$B$52*(E570+E571+E572+E576+E577)</f>
        <v>0.305985928469511</v>
      </c>
      <c r="F578" s="29" t="n">
        <f aca="false">Quesería!$B$52*(F570+F571+F572+F576+F577)</f>
        <v>0.305985928469511</v>
      </c>
      <c r="G578" s="29" t="n">
        <f aca="false">Quesería!$B$52*(G570+G571+G572+G576+G577)</f>
        <v>0.436720362669349</v>
      </c>
      <c r="H578" s="29" t="n">
        <f aca="false">Quesería!$B$52*(H570+H571+H572+H576+H577)</f>
        <v>0.526798309653658</v>
      </c>
      <c r="I578" s="29" t="n">
        <f aca="false">Quesería!$B$52*(I570+I571+I572+I576+I577)</f>
        <v>0.305985928469511</v>
      </c>
      <c r="J578" s="29" t="n">
        <f aca="false">Quesería!$B$52*(J570+J571+J572+J576+J577)</f>
        <v>0.305985928469511</v>
      </c>
      <c r="K578" s="29" t="n">
        <f aca="false">Quesería!$B$52*(K570+K571+K572+K576+K577)</f>
        <v>0.305985928469511</v>
      </c>
      <c r="L578" s="29" t="n">
        <f aca="false">Quesería!$B$52*(L570+L571+L572+L576+L577)</f>
        <v>0.305985928469511</v>
      </c>
    </row>
    <row r="579" customFormat="false" ht="15" hidden="true" customHeight="false" outlineLevel="1" collapsed="false">
      <c r="A579" s="6" t="s">
        <v>416</v>
      </c>
      <c r="B579" s="29" t="n">
        <f aca="false">(IF($N$19=1,(SUMPRODUCT((Quesería!$C$70:$C$89=0)*(Quesería!$J$70:$J$89&gt;0)*(B$47&gt;=1)*(B$47&lt;=Quesería!$J$70:$J$89)*(Quesería!$H$70:$H$89&gt;0)*Quesería!$F$70:$F$89*(1+Quesería!$I$70:$I$89)/(Quesería!$J$70:$J$89+(Quesería!$J$70:$J$89=0)))+SUMPRODUCT((Quesería!$C$70:$C$89=0)*(Quesería!$J$70:$J$89=0)*(B$47=0)*(Quesería!$H$70:$H$89&gt;0)*Quesería!$F$70:$F$89*(1+Quesería!$I$70:$I$89)))*$B$567+((SUMPRODUCT((Quesería!$C$70:$C$89=1)*(Quesería!$J$70:$J$89&gt;0)*(B$47&gt;=2)*(B$47&lt;=Quesería!$J$70:$J$89+1)*(Quesería!$H$70:$H$89&gt;0)*Quesería!$F$70:$F$89*(1+Quesería!$I$70:$I$89)/(Quesería!$J$70:$J$89+(Quesería!$J$70:$J$89=0)))+SUMPRODUCT((Quesería!$C$70:$C$89=1)*(Quesería!$J$70:$J$89=0)*(B$47=1)*(Quesería!$H$70:$H$89&gt;0)*Quesería!$F$70:$F$89*(1+Quesería!$I$70:$I$89)))-(-$N$26)*IF(AND(B$47&gt;=2,B$47&lt;=Quesería!$J$86+1),Quesería!$D$86*(1+Quesería!$I$86)/Quesería!$J$86,0))*$C$567*$N$21,IF(AND(B$47&gt;=1,B$47&lt;=Quesería!$B$30),Quesería!$F$92/Quesería!$B$30,0)*$B$567+IF(AND(B$47&gt;=2,B$47&lt;=Quesería!$B$30+1),(Quesería!$F$93-(-$N$26)*Quesería!$D$86*(1+Quesería!$I$86))/Quesería!$B$30,0)*$C$567*$N$21)*$N$11+IF(AND(B$47&gt;=6,B$47&lt;=10),$G571*$G567/5,0)+IF(AND(B$47&gt;=7,B$47&lt;=11),$H571*$H567/5,0))*B569</f>
        <v>145.980915430742</v>
      </c>
      <c r="C579" s="29" t="n">
        <f aca="false">(IF($N$19=1,(SUMPRODUCT((Quesería!$C$70:$C$89=0)*(Quesería!$J$70:$J$89&gt;0)*(C$47&gt;=1)*(C$47&lt;=Quesería!$J$70:$J$89)*(Quesería!$H$70:$H$89&gt;0)*Quesería!$F$70:$F$89*(1+Quesería!$I$70:$I$89)/(Quesería!$J$70:$J$89+(Quesería!$J$70:$J$89=0)))+SUMPRODUCT((Quesería!$C$70:$C$89=0)*(Quesería!$J$70:$J$89=0)*(C$47=0)*(Quesería!$H$70:$H$89&gt;0)*Quesería!$F$70:$F$89*(1+Quesería!$I$70:$I$89)))*$B$567+((SUMPRODUCT((Quesería!$C$70:$C$89=1)*(Quesería!$J$70:$J$89&gt;0)*(C$47&gt;=2)*(C$47&lt;=Quesería!$J$70:$J$89+1)*(Quesería!$H$70:$H$89&gt;0)*Quesería!$F$70:$F$89*(1+Quesería!$I$70:$I$89)/(Quesería!$J$70:$J$89+(Quesería!$J$70:$J$89=0)))+SUMPRODUCT((Quesería!$C$70:$C$89=1)*(Quesería!$J$70:$J$89=0)*(C$47=1)*(Quesería!$H$70:$H$89&gt;0)*Quesería!$F$70:$F$89*(1+Quesería!$I$70:$I$89)))-(-$N$26)*IF(AND(C$47&gt;=2,C$47&lt;=Quesería!$J$86+1),Quesería!$D$86*(1+Quesería!$I$86)/Quesería!$J$86,0))*$C$567*$N$21,IF(AND(C$47&gt;=1,C$47&lt;=Quesería!$B$30),Quesería!$F$92/Quesería!$B$30,0)*$B$567+IF(AND(C$47&gt;=2,C$47&lt;=Quesería!$B$30+1),(Quesería!$F$93-(-$N$26)*Quesería!$D$86*(1+Quesería!$I$86))/Quesería!$B$30,0)*$C$567*$N$21)*$N$11+IF(AND(C$47&gt;=6,C$47&lt;=10),$G571*$G567/5,0)+IF(AND(C$47&gt;=7,C$47&lt;=11),$H571*$H567/5,0))*C569</f>
        <v>81.1046885446459</v>
      </c>
      <c r="D579" s="29" t="n">
        <f aca="false">(IF($N$19=1,(SUMPRODUCT((Quesería!$C$70:$C$89=0)*(Quesería!$J$70:$J$89&gt;0)*(D$47&gt;=1)*(D$47&lt;=Quesería!$J$70:$J$89)*(Quesería!$H$70:$H$89&gt;0)*Quesería!$F$70:$F$89*(1+Quesería!$I$70:$I$89)/(Quesería!$J$70:$J$89+(Quesería!$J$70:$J$89=0)))+SUMPRODUCT((Quesería!$C$70:$C$89=0)*(Quesería!$J$70:$J$89=0)*(D$47=0)*(Quesería!$H$70:$H$89&gt;0)*Quesería!$F$70:$F$89*(1+Quesería!$I$70:$I$89)))*$B$567+((SUMPRODUCT((Quesería!$C$70:$C$89=1)*(Quesería!$J$70:$J$89&gt;0)*(D$47&gt;=2)*(D$47&lt;=Quesería!$J$70:$J$89+1)*(Quesería!$H$70:$H$89&gt;0)*Quesería!$F$70:$F$89*(1+Quesería!$I$70:$I$89)/(Quesería!$J$70:$J$89+(Quesería!$J$70:$J$89=0)))+SUMPRODUCT((Quesería!$C$70:$C$89=1)*(Quesería!$J$70:$J$89=0)*(D$47=1)*(Quesería!$H$70:$H$89&gt;0)*Quesería!$F$70:$F$89*(1+Quesería!$I$70:$I$89)))-(-$N$26)*IF(AND(D$47&gt;=2,D$47&lt;=Quesería!$J$86+1),Quesería!$D$86*(1+Quesería!$I$86)/Quesería!$J$86,0))*$C$567*$N$21,IF(AND(D$47&gt;=1,D$47&lt;=Quesería!$B$30),Quesería!$F$92/Quesería!$B$30,0)*$B$567+IF(AND(D$47&gt;=2,D$47&lt;=Quesería!$B$30+1),(Quesería!$F$93-(-$N$26)*Quesería!$D$86*(1+Quesería!$I$86))/Quesería!$B$30,0)*$C$567*$N$21)*$N$11+IF(AND(D$47&gt;=6,D$47&lt;=10),$G571*$G567/5,0)+IF(AND(D$47&gt;=7,D$47&lt;=11),$H571*$H567/5,0))*D569</f>
        <v>137.98271850901</v>
      </c>
      <c r="E579" s="29" t="n">
        <f aca="false">(IF($N$19=1,(SUMPRODUCT((Quesería!$C$70:$C$89=0)*(Quesería!$J$70:$J$89&gt;0)*(E$47&gt;=1)*(E$47&lt;=Quesería!$J$70:$J$89)*(Quesería!$H$70:$H$89&gt;0)*Quesería!$F$70:$F$89*(1+Quesería!$I$70:$I$89)/(Quesería!$J$70:$J$89+(Quesería!$J$70:$J$89=0)))+SUMPRODUCT((Quesería!$C$70:$C$89=0)*(Quesería!$J$70:$J$89=0)*(E$47=0)*(Quesería!$H$70:$H$89&gt;0)*Quesería!$F$70:$F$89*(1+Quesería!$I$70:$I$89)))*$B$567+((SUMPRODUCT((Quesería!$C$70:$C$89=1)*(Quesería!$J$70:$J$89&gt;0)*(E$47&gt;=2)*(E$47&lt;=Quesería!$J$70:$J$89+1)*(Quesería!$H$70:$H$89&gt;0)*Quesería!$F$70:$F$89*(1+Quesería!$I$70:$I$89)/(Quesería!$J$70:$J$89+(Quesería!$J$70:$J$89=0)))+SUMPRODUCT((Quesería!$C$70:$C$89=1)*(Quesería!$J$70:$J$89=0)*(E$47=1)*(Quesería!$H$70:$H$89&gt;0)*Quesería!$F$70:$F$89*(1+Quesería!$I$70:$I$89)))-(-$N$26)*IF(AND(E$47&gt;=2,E$47&lt;=Quesería!$J$86+1),Quesería!$D$86*(1+Quesería!$I$86)/Quesería!$J$86,0))*$C$567*$N$21,IF(AND(E$47&gt;=1,E$47&lt;=Quesería!$B$30),Quesería!$F$92/Quesería!$B$30,0)*$B$567+IF(AND(E$47&gt;=2,E$47&lt;=Quesería!$B$30+1),(Quesería!$F$93-(-$N$26)*Quesería!$D$86*(1+Quesería!$I$86))/Quesería!$B$30,0)*$C$567*$N$21)*$N$11+IF(AND(E$47&gt;=6,E$47&lt;=10),$G571*$G567/5,0)+IF(AND(E$47&gt;=7,E$47&lt;=11),$H571*$H567/5,0))*E569</f>
        <v>129.561238036629</v>
      </c>
      <c r="F579" s="29" t="n">
        <f aca="false">(IF($N$19=1,(SUMPRODUCT((Quesería!$C$70:$C$89=0)*(Quesería!$J$70:$J$89&gt;0)*(F$47&gt;=1)*(F$47&lt;=Quesería!$J$70:$J$89)*(Quesería!$H$70:$H$89&gt;0)*Quesería!$F$70:$F$89*(1+Quesería!$I$70:$I$89)/(Quesería!$J$70:$J$89+(Quesería!$J$70:$J$89=0)))+SUMPRODUCT((Quesería!$C$70:$C$89=0)*(Quesería!$J$70:$J$89=0)*(F$47=0)*(Quesería!$H$70:$H$89&gt;0)*Quesería!$F$70:$F$89*(1+Quesería!$I$70:$I$89)))*$B$567+((SUMPRODUCT((Quesería!$C$70:$C$89=1)*(Quesería!$J$70:$J$89&gt;0)*(F$47&gt;=2)*(F$47&lt;=Quesería!$J$70:$J$89+1)*(Quesería!$H$70:$H$89&gt;0)*Quesería!$F$70:$F$89*(1+Quesería!$I$70:$I$89)/(Quesería!$J$70:$J$89+(Quesería!$J$70:$J$89=0)))+SUMPRODUCT((Quesería!$C$70:$C$89=1)*(Quesería!$J$70:$J$89=0)*(F$47=1)*(Quesería!$H$70:$H$89&gt;0)*Quesería!$F$70:$F$89*(1+Quesería!$I$70:$I$89)))-(-$N$26)*IF(AND(F$47&gt;=2,F$47&lt;=Quesería!$J$86+1),Quesería!$D$86*(1+Quesería!$I$86)/Quesería!$J$86,0))*$C$567*$N$21,IF(AND(F$47&gt;=1,F$47&lt;=Quesería!$B$30),Quesería!$F$92/Quesería!$B$30,0)*$B$567+IF(AND(F$47&gt;=2,F$47&lt;=Quesería!$B$30+1),(Quesería!$F$93-(-$N$26)*Quesería!$D$86*(1+Quesería!$I$86))/Quesería!$B$30,0)*$C$567*$N$21)*$N$11+IF(AND(F$47&gt;=6,F$47&lt;=10),$G571*$G567/5,0)+IF(AND(F$47&gt;=7,F$47&lt;=11),$H571*$H567/5,0))*F569</f>
        <v>121.653744635333</v>
      </c>
      <c r="G579" s="29" t="n">
        <f aca="false">(IF($N$19=1,(SUMPRODUCT((Quesería!$C$70:$C$89=0)*(Quesería!$J$70:$J$89&gt;0)*(G$47&gt;=1)*(G$47&lt;=Quesería!$J$70:$J$89)*(Quesería!$H$70:$H$89&gt;0)*Quesería!$F$70:$F$89*(1+Quesería!$I$70:$I$89)/(Quesería!$J$70:$J$89+(Quesería!$J$70:$J$89=0)))+SUMPRODUCT((Quesería!$C$70:$C$89=0)*(Quesería!$J$70:$J$89=0)*(G$47=0)*(Quesería!$H$70:$H$89&gt;0)*Quesería!$F$70:$F$89*(1+Quesería!$I$70:$I$89)))*$B$567+((SUMPRODUCT((Quesería!$C$70:$C$89=1)*(Quesería!$J$70:$J$89&gt;0)*(G$47&gt;=2)*(G$47&lt;=Quesería!$J$70:$J$89+1)*(Quesería!$H$70:$H$89&gt;0)*Quesería!$F$70:$F$89*(1+Quesería!$I$70:$I$89)/(Quesería!$J$70:$J$89+(Quesería!$J$70:$J$89=0)))+SUMPRODUCT((Quesería!$C$70:$C$89=1)*(Quesería!$J$70:$J$89=0)*(G$47=1)*(Quesería!$H$70:$H$89&gt;0)*Quesería!$F$70:$F$89*(1+Quesería!$I$70:$I$89)))-(-$N$26)*IF(AND(G$47&gt;=2,G$47&lt;=Quesería!$J$86+1),Quesería!$D$86*(1+Quesería!$I$86)/Quesería!$J$86,0))*$C$567*$N$21,IF(AND(G$47&gt;=1,G$47&lt;=Quesería!$B$30),Quesería!$F$92/Quesería!$B$30,0)*$B$567+IF(AND(G$47&gt;=2,G$47&lt;=Quesería!$B$30+1),(Quesería!$F$93-(-$N$26)*Quesería!$D$86*(1+Quesería!$I$86))/Quesería!$B$30,0)*$C$567*$N$21)*$N$11+IF(AND(G$47&gt;=6,G$47&lt;=10),$G571*$G567/5,0)+IF(AND(G$47&gt;=7,G$47&lt;=11),$H571*$H567/5,0))*G569</f>
        <v>114.22886820219</v>
      </c>
      <c r="H579" s="29" t="n">
        <f aca="false">(IF($N$19=1,(SUMPRODUCT((Quesería!$C$70:$C$89=0)*(Quesería!$J$70:$J$89&gt;0)*(H$47&gt;=1)*(H$47&lt;=Quesería!$J$70:$J$89)*(Quesería!$H$70:$H$89&gt;0)*Quesería!$F$70:$F$89*(1+Quesería!$I$70:$I$89)/(Quesería!$J$70:$J$89+(Quesería!$J$70:$J$89=0)))+SUMPRODUCT((Quesería!$C$70:$C$89=0)*(Quesería!$J$70:$J$89=0)*(H$47=0)*(Quesería!$H$70:$H$89&gt;0)*Quesería!$F$70:$F$89*(1+Quesería!$I$70:$I$89)))*$B$567+((SUMPRODUCT((Quesería!$C$70:$C$89=1)*(Quesería!$J$70:$J$89&gt;0)*(H$47&gt;=2)*(H$47&lt;=Quesería!$J$70:$J$89+1)*(Quesería!$H$70:$H$89&gt;0)*Quesería!$F$70:$F$89*(1+Quesería!$I$70:$I$89)/(Quesería!$J$70:$J$89+(Quesería!$J$70:$J$89=0)))+SUMPRODUCT((Quesería!$C$70:$C$89=1)*(Quesería!$J$70:$J$89=0)*(H$47=1)*(Quesería!$H$70:$H$89&gt;0)*Quesería!$F$70:$F$89*(1+Quesería!$I$70:$I$89)))-(-$N$26)*IF(AND(H$47&gt;=2,H$47&lt;=Quesería!$J$86+1),Quesería!$D$86*(1+Quesería!$I$86)/Quesería!$J$86,0))*$C$567*$N$21,IF(AND(H$47&gt;=1,H$47&lt;=Quesería!$B$30),Quesería!$F$92/Quesería!$B$30,0)*$B$567+IF(AND(H$47&gt;=2,H$47&lt;=Quesería!$B$30+1),(Quesería!$F$93-(-$N$26)*Quesería!$D$86*(1+Quesería!$I$86))/Quesería!$B$30,0)*$C$567*$N$21)*$N$11+IF(AND(H$47&gt;=6,H$47&lt;=10),$G571*$G567/5,0)+IF(AND(H$47&gt;=7,H$47&lt;=11),$H571*$H567/5,0))*H569</f>
        <v>101.594116646682</v>
      </c>
      <c r="I579" s="29" t="n">
        <f aca="false">(IF($N$19=1,(SUMPRODUCT((Quesería!$C$70:$C$89=0)*(Quesería!$J$70:$J$89&gt;0)*(I$47&gt;=1)*(I$47&lt;=Quesería!$J$70:$J$89)*(Quesería!$H$70:$H$89&gt;0)*Quesería!$F$70:$F$89*(1+Quesería!$I$70:$I$89)/(Quesería!$J$70:$J$89+(Quesería!$J$70:$J$89=0)))+SUMPRODUCT((Quesería!$C$70:$C$89=0)*(Quesería!$J$70:$J$89=0)*(I$47=0)*(Quesería!$H$70:$H$89&gt;0)*Quesería!$F$70:$F$89*(1+Quesería!$I$70:$I$89)))*$B$567+((SUMPRODUCT((Quesería!$C$70:$C$89=1)*(Quesería!$J$70:$J$89&gt;0)*(I$47&gt;=2)*(I$47&lt;=Quesería!$J$70:$J$89+1)*(Quesería!$H$70:$H$89&gt;0)*Quesería!$F$70:$F$89*(1+Quesería!$I$70:$I$89)/(Quesería!$J$70:$J$89+(Quesería!$J$70:$J$89=0)))+SUMPRODUCT((Quesería!$C$70:$C$89=1)*(Quesería!$J$70:$J$89=0)*(I$47=1)*(Quesería!$H$70:$H$89&gt;0)*Quesería!$F$70:$F$89*(1+Quesería!$I$70:$I$89)))-(-$N$26)*IF(AND(I$47&gt;=2,I$47&lt;=Quesería!$J$86+1),Quesería!$D$86*(1+Quesería!$I$86)/Quesería!$J$86,0))*$C$567*$N$21,IF(AND(I$47&gt;=1,I$47&lt;=Quesería!$B$30),Quesería!$F$92/Quesería!$B$30,0)*$B$567+IF(AND(I$47&gt;=2,I$47&lt;=Quesería!$B$30+1),(Quesería!$F$93-(-$N$26)*Quesería!$D$86*(1+Quesería!$I$86))/Quesería!$B$30,0)*$C$567*$N$21)*$N$11+IF(AND(I$47&gt;=6,I$47&lt;=10),$G571*$G567/5,0)+IF(AND(I$47&gt;=7,I$47&lt;=11),$H571*$H567/5,0))*I569</f>
        <v>104.105115294716</v>
      </c>
      <c r="J579" s="29" t="n">
        <f aca="false">(IF($N$19=1,(SUMPRODUCT((Quesería!$C$70:$C$89=0)*(Quesería!$J$70:$J$89&gt;0)*(J$47&gt;=1)*(J$47&lt;=Quesería!$J$70:$J$89)*(Quesería!$H$70:$H$89&gt;0)*Quesería!$F$70:$F$89*(1+Quesería!$I$70:$I$89)/(Quesería!$J$70:$J$89+(Quesería!$J$70:$J$89=0)))+SUMPRODUCT((Quesería!$C$70:$C$89=0)*(Quesería!$J$70:$J$89=0)*(J$47=0)*(Quesería!$H$70:$H$89&gt;0)*Quesería!$F$70:$F$89*(1+Quesería!$I$70:$I$89)))*$B$567+((SUMPRODUCT((Quesería!$C$70:$C$89=1)*(Quesería!$J$70:$J$89&gt;0)*(J$47&gt;=2)*(J$47&lt;=Quesería!$J$70:$J$89+1)*(Quesería!$H$70:$H$89&gt;0)*Quesería!$F$70:$F$89*(1+Quesería!$I$70:$I$89)/(Quesería!$J$70:$J$89+(Quesería!$J$70:$J$89=0)))+SUMPRODUCT((Quesería!$C$70:$C$89=1)*(Quesería!$J$70:$J$89=0)*(J$47=1)*(Quesería!$H$70:$H$89&gt;0)*Quesería!$F$70:$F$89*(1+Quesería!$I$70:$I$89)))-(-$N$26)*IF(AND(J$47&gt;=2,J$47&lt;=Quesería!$J$86+1),Quesería!$D$86*(1+Quesería!$I$86)/Quesería!$J$86,0))*$C$567*$N$21,IF(AND(J$47&gt;=1,J$47&lt;=Quesería!$B$30),Quesería!$F$92/Quesería!$B$30,0)*$B$567+IF(AND(J$47&gt;=2,J$47&lt;=Quesería!$B$30+1),(Quesería!$F$93-(-$N$26)*Quesería!$D$86*(1+Quesería!$I$86))/Quesería!$B$30,0)*$C$567*$N$21)*$N$11+IF(AND(J$47&gt;=6,J$47&lt;=10),$G571*$G567/5,0)+IF(AND(J$47&gt;=7,J$47&lt;=11),$H571*$H567/5,0))*J569</f>
        <v>97.7512819668698</v>
      </c>
      <c r="K579" s="29" t="n">
        <f aca="false">(IF($N$19=1,(SUMPRODUCT((Quesería!$C$70:$C$89=0)*(Quesería!$J$70:$J$89&gt;0)*(K$47&gt;=1)*(K$47&lt;=Quesería!$J$70:$J$89)*(Quesería!$H$70:$H$89&gt;0)*Quesería!$F$70:$F$89*(1+Quesería!$I$70:$I$89)/(Quesería!$J$70:$J$89+(Quesería!$J$70:$J$89=0)))+SUMPRODUCT((Quesería!$C$70:$C$89=0)*(Quesería!$J$70:$J$89=0)*(K$47=0)*(Quesería!$H$70:$H$89&gt;0)*Quesería!$F$70:$F$89*(1+Quesería!$I$70:$I$89)))*$B$567+((SUMPRODUCT((Quesería!$C$70:$C$89=1)*(Quesería!$J$70:$J$89&gt;0)*(K$47&gt;=2)*(K$47&lt;=Quesería!$J$70:$J$89+1)*(Quesería!$H$70:$H$89&gt;0)*Quesería!$F$70:$F$89*(1+Quesería!$I$70:$I$89)/(Quesería!$J$70:$J$89+(Quesería!$J$70:$J$89=0)))+SUMPRODUCT((Quesería!$C$70:$C$89=1)*(Quesería!$J$70:$J$89=0)*(K$47=1)*(Quesería!$H$70:$H$89&gt;0)*Quesería!$F$70:$F$89*(1+Quesería!$I$70:$I$89)))-(-$N$26)*IF(AND(K$47&gt;=2,K$47&lt;=Quesería!$J$86+1),Quesería!$D$86*(1+Quesería!$I$86)/Quesería!$J$86,0))*$C$567*$N$21,IF(AND(K$47&gt;=1,K$47&lt;=Quesería!$B$30),Quesería!$F$92/Quesería!$B$30,0)*$B$567+IF(AND(K$47&gt;=2,K$47&lt;=Quesería!$B$30+1),(Quesería!$F$93-(-$N$26)*Quesería!$D$86*(1+Quesería!$I$86))/Quesería!$B$30,0)*$C$567*$N$21)*$N$11+IF(AND(K$47&gt;=6,K$47&lt;=10),$G571*$G567/5,0)+IF(AND(K$47&gt;=7,K$47&lt;=11),$H571*$H567/5,0))*K569</f>
        <v>91.7852412834459</v>
      </c>
      <c r="L579" s="29" t="n">
        <f aca="false">(IF($N$19=1,(SUMPRODUCT((Quesería!$C$70:$C$89=0)*(Quesería!$J$70:$J$89&gt;0)*(L$47&gt;=1)*(L$47&lt;=Quesería!$J$70:$J$89)*(Quesería!$H$70:$H$89&gt;0)*Quesería!$F$70:$F$89*(1+Quesería!$I$70:$I$89)/(Quesería!$J$70:$J$89+(Quesería!$J$70:$J$89=0)))+SUMPRODUCT((Quesería!$C$70:$C$89=0)*(Quesería!$J$70:$J$89=0)*(L$47=0)*(Quesería!$H$70:$H$89&gt;0)*Quesería!$F$70:$F$89*(1+Quesería!$I$70:$I$89)))*$B$567+((SUMPRODUCT((Quesería!$C$70:$C$89=1)*(Quesería!$J$70:$J$89&gt;0)*(L$47&gt;=2)*(L$47&lt;=Quesería!$J$70:$J$89+1)*(Quesería!$H$70:$H$89&gt;0)*Quesería!$F$70:$F$89*(1+Quesería!$I$70:$I$89)/(Quesería!$J$70:$J$89+(Quesería!$J$70:$J$89=0)))+SUMPRODUCT((Quesería!$C$70:$C$89=1)*(Quesería!$J$70:$J$89=0)*(L$47=1)*(Quesería!$H$70:$H$89&gt;0)*Quesería!$F$70:$F$89*(1+Quesería!$I$70:$I$89)))-(-$N$26)*IF(AND(L$47&gt;=2,L$47&lt;=Quesería!$J$86+1),Quesería!$D$86*(1+Quesería!$I$86)/Quesería!$J$86,0))*$C$567*$N$21,IF(AND(L$47&gt;=1,L$47&lt;=Quesería!$B$30),Quesería!$F$92/Quesería!$B$30,0)*$B$567+IF(AND(L$47&gt;=2,L$47&lt;=Quesería!$B$30+1),(Quesería!$F$93-(-$N$26)*Quesería!$D$86*(1+Quesería!$I$86))/Quesería!$B$30,0)*$C$567*$N$21)*$N$11+IF(AND(L$47&gt;=6,L$47&lt;=10),$G571*$G567/5,0)+IF(AND(L$47&gt;=7,L$47&lt;=11),$H571*$H567/5,0))*L569</f>
        <v>86.1833251487755</v>
      </c>
    </row>
    <row r="580" customFormat="false" ht="15" hidden="true" customHeight="false" outlineLevel="1" collapsed="false">
      <c r="A580" s="9" t="s">
        <v>417</v>
      </c>
      <c r="B580" s="58" t="n">
        <f aca="false">IF(B$47=1,MIN($N$7*$N$26*Quesería!$B$56*Quesería!$D$86*$N$11*$N$21,Quesería!$B$57*Quesería!$B$58),0)</f>
        <v>0</v>
      </c>
      <c r="C580" s="58" t="n">
        <f aca="false">IF(C$47=1,MIN($N$7*$N$26*Quesería!$B$56*Quesería!$D$86*$N$11*$N$21,Quesería!$B$57*Quesería!$B$58),0)</f>
        <v>0</v>
      </c>
      <c r="D580" s="58" t="n">
        <f aca="false">IF(D$47=1,MIN($N$7*$N$26*Quesería!$B$56*Quesería!$D$86*$N$11*$N$21,Quesería!$B$57*Quesería!$B$58),0)</f>
        <v>0</v>
      </c>
      <c r="E580" s="58" t="n">
        <f aca="false">IF(E$47=1,MIN($N$7*$N$26*Quesería!$B$56*Quesería!$D$86*$N$11*$N$21,Quesería!$B$57*Quesería!$B$58),0)</f>
        <v>0</v>
      </c>
      <c r="F580" s="58" t="n">
        <f aca="false">IF(F$47=1,MIN($N$7*$N$26*Quesería!$B$56*Quesería!$D$86*$N$11*$N$21,Quesería!$B$57*Quesería!$B$58),0)</f>
        <v>0</v>
      </c>
      <c r="G580" s="58" t="n">
        <f aca="false">IF(G$47=1,MIN($N$7*$N$26*Quesería!$B$56*Quesería!$D$86*$N$11*$N$21,Quesería!$B$57*Quesería!$B$58),0)</f>
        <v>0</v>
      </c>
      <c r="H580" s="58" t="n">
        <f aca="false">IF(H$47=1,MIN($N$7*$N$26*Quesería!$B$56*Quesería!$D$86*$N$11*$N$21,Quesería!$B$57*Quesería!$B$58),0)</f>
        <v>0</v>
      </c>
      <c r="I580" s="58" t="n">
        <f aca="false">IF(I$47=1,MIN($N$7*$N$26*Quesería!$B$56*Quesería!$D$86*$N$11*$N$21,Quesería!$B$57*Quesería!$B$58),0)</f>
        <v>0</v>
      </c>
      <c r="J580" s="58" t="n">
        <f aca="false">IF(J$47=1,MIN($N$7*$N$26*Quesería!$B$56*Quesería!$D$86*$N$11*$N$21,Quesería!$B$57*Quesería!$B$58),0)</f>
        <v>0</v>
      </c>
      <c r="K580" s="58" t="n">
        <f aca="false">IF(K$47=1,MIN($N$7*$N$26*Quesería!$B$56*Quesería!$D$86*$N$11*$N$21,Quesería!$B$57*Quesería!$B$58),0)</f>
        <v>0</v>
      </c>
      <c r="L580" s="58" t="n">
        <f aca="false">IF(L$47=1,MIN($N$7*$N$26*Quesería!$B$56*Quesería!$D$86*$N$11*$N$21,Quesería!$B$57*Quesería!$B$58),0)</f>
        <v>0</v>
      </c>
    </row>
    <row r="581" customFormat="false" ht="15" hidden="true" customHeight="false" outlineLevel="1" collapsed="false">
      <c r="A581" s="9" t="s">
        <v>418</v>
      </c>
      <c r="B581" s="58" t="n">
        <v>0</v>
      </c>
      <c r="C581" s="58" t="n">
        <f aca="false">$N$20*Quesería!$B$60*Quesería!$F$98*$N$11*$B$567/C567/2</f>
        <v>136.183209032657</v>
      </c>
      <c r="D581" s="58" t="n">
        <f aca="false">$N$20*Quesería!$B$60*Quesería!$F$98*$N$11*$B$567/D567/2</f>
        <v>127.871557777143</v>
      </c>
      <c r="E581" s="58" t="n">
        <v>0</v>
      </c>
      <c r="F581" s="58" t="n">
        <v>0</v>
      </c>
      <c r="G581" s="58" t="n">
        <v>0</v>
      </c>
      <c r="H581" s="58" t="n">
        <v>0</v>
      </c>
      <c r="I581" s="58" t="n">
        <v>0</v>
      </c>
      <c r="J581" s="58" t="n">
        <v>0</v>
      </c>
      <c r="K581" s="58" t="n">
        <v>0</v>
      </c>
      <c r="L581" s="58" t="n">
        <v>0</v>
      </c>
    </row>
    <row r="582" customFormat="false" ht="15" hidden="true" customHeight="false" outlineLevel="1" collapsed="false">
      <c r="A582" s="9" t="s">
        <v>419</v>
      </c>
      <c r="B582" s="58" t="n">
        <f aca="false">0</f>
        <v>0</v>
      </c>
      <c r="C582" s="58" t="n">
        <f aca="false">B572*B567/C567</f>
        <v>140.014715079979</v>
      </c>
      <c r="D582" s="58" t="n">
        <f aca="false">C572*C567/D567</f>
        <v>117.473354617986</v>
      </c>
      <c r="E582" s="58" t="n">
        <f aca="false">D572*D567/E567</f>
        <v>0</v>
      </c>
      <c r="F582" s="58" t="n">
        <f aca="false">E572*E567/F567</f>
        <v>0</v>
      </c>
      <c r="G582" s="58" t="n">
        <f aca="false">F572*F567/G567</f>
        <v>0</v>
      </c>
      <c r="H582" s="58" t="n">
        <f aca="false">G572*G567/H567</f>
        <v>4.89989791651265</v>
      </c>
      <c r="I582" s="58" t="n">
        <f aca="false">H572*H567/I567</f>
        <v>8.27599961040516</v>
      </c>
      <c r="J582" s="58" t="n">
        <f aca="false">I572*I567/J567</f>
        <v>0</v>
      </c>
      <c r="K582" s="58" t="n">
        <f aca="false">J572*J567/K567</f>
        <v>0</v>
      </c>
      <c r="L582" s="58" t="n">
        <f aca="false">K572*K567/L567</f>
        <v>0</v>
      </c>
    </row>
    <row r="583" customFormat="false" ht="15" hidden="true" customHeight="false" outlineLevel="1" collapsed="false">
      <c r="A583" s="6" t="s">
        <v>295</v>
      </c>
      <c r="B583" s="29" t="n">
        <f aca="false">$N$17*(B575-B576-B577-0.5*B578-B579)-B580-B581-B582</f>
        <v>-9.59839124703308</v>
      </c>
      <c r="C583" s="29" t="n">
        <f aca="false">$N$17*(C575-C576-C577-0.5*C578-C579)-C580-C581-C582</f>
        <v>-262.908963228027</v>
      </c>
      <c r="D583" s="29" t="n">
        <f aca="false">$N$17*(D575-D576-D577-0.5*D578-D579)-D580-D581-D582</f>
        <v>-145.851281651538</v>
      </c>
      <c r="E583" s="29" t="n">
        <f aca="false">$N$17*(E575-E576-E577-0.5*E578-E579)-E580-E581-E582</f>
        <v>127.360147497226</v>
      </c>
      <c r="F583" s="29" t="n">
        <f aca="false">$N$17*(F575-F576-F577-0.5*F578-F579)-F580-F581-F582</f>
        <v>130.235485956831</v>
      </c>
      <c r="G583" s="29" t="n">
        <f aca="false">$N$17*(G575-G576-G577-0.5*G578-G579)-G580-G581-G582</f>
        <v>132.919568530444</v>
      </c>
      <c r="H583" s="29" t="n">
        <f aca="false">$N$17*(H575-H576-H577-0.5*H578-H579)-H580-H581-H582</f>
        <v>132.534865637374</v>
      </c>
      <c r="I583" s="29" t="n">
        <f aca="false">$N$17*(I575-I576-I577-0.5*I578-I579)-I580-I581-I582</f>
        <v>128.427896181213</v>
      </c>
      <c r="J583" s="29" t="n">
        <f aca="false">$N$17*(J575-J576-J577-0.5*J578-J579)-J580-J581-J582</f>
        <v>139.03762375219</v>
      </c>
      <c r="K583" s="29" t="n">
        <f aca="false">$N$17*(K575-K576-K577-0.5*K578-K579)-K580-K581-K582</f>
        <v>141.236173718693</v>
      </c>
      <c r="L583" s="29" t="n">
        <f aca="false">$N$17*(L575-L576-L577-0.5*L578-L579)-L580-L581-L582</f>
        <v>143.307832271769</v>
      </c>
    </row>
    <row r="584" customFormat="false" ht="15" hidden="true" customHeight="false" outlineLevel="1" collapsed="false">
      <c r="A584" s="9" t="s">
        <v>420</v>
      </c>
      <c r="B584" s="58" t="n">
        <f aca="false">(IF(B$47&gt;=1,Quesería!$G$124*IF(B$47=1,Quesería!$B$20,1),Quesería!$G$124*Quesería!$B$20*Quesería!$B$21/12*$N$23)+IF(B$47&gt;=2,(Quesería!$G$125-(1-$N$24)*Quesería!$G$117-(-$N$26*$N$27)*'Beneficios y costos'!$D$167)*$N$21*IF(B$47=2,Quesería!$B$20,1),0))*$N$10</f>
        <v>77.4042870161869</v>
      </c>
      <c r="C584" s="58" t="n">
        <f aca="false">(IF(C$47&gt;=1,Quesería!$G$124*IF(C$47=1,Quesería!$B$20,1),Quesería!$G$124*Quesería!$B$20*Quesería!$B$21/12*$N$23)+IF(C$47&gt;=2,(Quesería!$G$125-(1-$N$24)*Quesería!$G$117-(-$N$26*$N$27)*'Beneficios y costos'!$D$167)*$N$21*IF(C$47=2,Quesería!$B$20,1),0))*$N$10</f>
        <v>116.10643052428</v>
      </c>
      <c r="D584" s="58" t="n">
        <f aca="false">(IF(D$47&gt;=1,Quesería!$G$124*IF(D$47=1,Quesería!$B$20,1),Quesería!$G$124*Quesería!$B$20*Quesería!$B$21/12*$N$23)+IF(D$47&gt;=2,(Quesería!$G$125-(1-$N$24)*Quesería!$G$117-(-$N$26*$N$27)*'Beneficios y costos'!$D$167)*$N$21*IF(D$47=2,Quesería!$B$20,1),0))*$N$10</f>
        <v>2023.78917421887</v>
      </c>
      <c r="E584" s="58" t="n">
        <f aca="false">(IF(E$47&gt;=1,Quesería!$G$124*IF(E$47=1,Quesería!$B$20,1),Quesería!$G$124*Quesería!$B$20*Quesería!$B$21/12*$N$23)+IF(E$47&gt;=2,(Quesería!$G$125-(1-$N$24)*Quesería!$G$117-(-$N$26*$N$27)*'Beneficios y costos'!$D$167)*$N$21*IF(E$47=2,Quesería!$B$20,1),0))*$N$10</f>
        <v>2646.78270761437</v>
      </c>
      <c r="F584" s="58" t="n">
        <f aca="false">(IF(F$47&gt;=1,Quesería!$G$124*IF(F$47=1,Quesería!$B$20,1),Quesería!$G$124*Quesería!$B$20*Quesería!$B$21/12*$N$23)+IF(F$47&gt;=2,(Quesería!$G$125-(1-$N$24)*Quesería!$G$117-(-$N$26*$N$27)*'Beneficios y costos'!$D$167)*$N$21*IF(F$47=2,Quesería!$B$20,1),0))*$N$10</f>
        <v>2646.78270761437</v>
      </c>
      <c r="G584" s="58" t="n">
        <f aca="false">(IF(G$47&gt;=1,Quesería!$G$124*IF(G$47=1,Quesería!$B$20,1),Quesería!$G$124*Quesería!$B$20*Quesería!$B$21/12*$N$23)+IF(G$47&gt;=2,(Quesería!$G$125-(1-$N$24)*Quesería!$G$117-(-$N$26*$N$27)*'Beneficios y costos'!$D$167)*$N$21*IF(G$47=2,Quesería!$B$20,1),0))*$N$10</f>
        <v>2646.78270761437</v>
      </c>
      <c r="H584" s="58" t="n">
        <f aca="false">(IF(H$47&gt;=1,Quesería!$G$124*IF(H$47=1,Quesería!$B$20,1),Quesería!$G$124*Quesería!$B$20*Quesería!$B$21/12*$N$23)+IF(H$47&gt;=2,(Quesería!$G$125-(1-$N$24)*Quesería!$G$117-(-$N$26*$N$27)*'Beneficios y costos'!$D$167)*$N$21*IF(H$47=2,Quesería!$B$20,1),0))*$N$10</f>
        <v>2646.78270761437</v>
      </c>
      <c r="I584" s="58" t="n">
        <f aca="false">(IF(I$47&gt;=1,Quesería!$G$124*IF(I$47=1,Quesería!$B$20,1),Quesería!$G$124*Quesería!$B$20*Quesería!$B$21/12*$N$23)+IF(I$47&gt;=2,(Quesería!$G$125-(1-$N$24)*Quesería!$G$117-(-$N$26*$N$27)*'Beneficios y costos'!$D$167)*$N$21*IF(I$47=2,Quesería!$B$20,1),0))*$N$10</f>
        <v>2646.78270761437</v>
      </c>
      <c r="J584" s="58" t="n">
        <f aca="false">(IF(J$47&gt;=1,Quesería!$G$124*IF(J$47=1,Quesería!$B$20,1),Quesería!$G$124*Quesería!$B$20*Quesería!$B$21/12*$N$23)+IF(J$47&gt;=2,(Quesería!$G$125-(1-$N$24)*Quesería!$G$117-(-$N$26*$N$27)*'Beneficios y costos'!$D$167)*$N$21*IF(J$47=2,Quesería!$B$20,1),0))*$N$10</f>
        <v>2646.78270761437</v>
      </c>
      <c r="K584" s="58" t="n">
        <f aca="false">(IF(K$47&gt;=1,Quesería!$G$124*IF(K$47=1,Quesería!$B$20,1),Quesería!$G$124*Quesería!$B$20*Quesería!$B$21/12*$N$23)+IF(K$47&gt;=2,(Quesería!$G$125-(1-$N$24)*Quesería!$G$117-(-$N$26*$N$27)*'Beneficios y costos'!$D$167)*$N$21*IF(K$47=2,Quesería!$B$20,1),0))*$N$10</f>
        <v>2646.78270761437</v>
      </c>
      <c r="L584" s="58" t="n">
        <f aca="false">(IF(L$47&gt;=1,Quesería!$G$124*IF(L$47=1,Quesería!$B$20,1),Quesería!$G$124*Quesería!$B$20*Quesería!$B$21/12*$N$23)+IF(L$47&gt;=2,(Quesería!$G$125-(1-$N$24)*Quesería!$G$117-(-$N$26*$N$27)*'Beneficios y costos'!$D$167)*$N$21*IF(L$47=2,Quesería!$B$20,1),0))*$N$10</f>
        <v>2646.78270761437</v>
      </c>
    </row>
    <row r="585" customFormat="false" ht="15" hidden="true" customHeight="false" outlineLevel="1" collapsed="false">
      <c r="A585" s="6" t="s">
        <v>421</v>
      </c>
      <c r="B585" s="29" t="n">
        <f aca="false">(B584*(Quesería!$B$38+Quesería!$B$40*Quesería!$B$39)/365-B576*Quesería!$B$42/365+IF(B$47&gt;=2,($N$25*'Beneficios y costos'!$B$147+(1-$N$25)*'Beneficios y costos'!$B$148)*$N$24*$N$21*$N$10*IF(B$47=2,Quesería!$B$20,1),0))</f>
        <v>7.23146900616979</v>
      </c>
      <c r="C585" s="29" t="n">
        <f aca="false">(C584*(Quesería!$B$38+Quesería!$B$40*Quesería!$B$39)/365-C576*Quesería!$B$42/365+IF(C$47&gt;=2,($N$25*'Beneficios y costos'!$B$147+(1-$N$25)*'Beneficios y costos'!$B$148)*$N$24*$N$21*$N$10*IF(C$47=2,Quesería!$B$20,1),0))-(B584*(Quesería!$B$38+Quesería!$B$40*Quesería!$B$39)/365-B576*Quesería!$B$42/365+IF(B$47&gt;=2,($N$25*'Beneficios y costos'!$B$147+(1-$N$25)*'Beneficios y costos'!$B$148)*$N$24*$N$21*$N$10*IF(B$47=2,Quesería!$B$20,1),0))*B567/C567</f>
        <v>1.51988006233573</v>
      </c>
      <c r="D585" s="29" t="n">
        <f aca="false">(D584*(Quesería!$B$38+Quesería!$B$40*Quesería!$B$39)/365-D576*Quesería!$B$42/365+IF(D$47&gt;=2,($N$25*'Beneficios y costos'!$B$147+(1-$N$25)*'Beneficios y costos'!$B$148)*$N$24*$N$21*$N$10*IF(D$47=2,Quesería!$B$20,1),0))-(C584*(Quesería!$B$38+Quesería!$B$40*Quesería!$B$39)/365-C576*Quesería!$B$42/365+IF(C$47&gt;=2,($N$25*'Beneficios y costos'!$B$147+(1-$N$25)*'Beneficios y costos'!$B$148)*$N$24*$N$21*$N$10*IF(C$47=2,Quesería!$B$20,1),0))*C567/D567</f>
        <v>121.217305133719</v>
      </c>
      <c r="E585" s="29" t="n">
        <f aca="false">(E584*(Quesería!$B$38+Quesería!$B$40*Quesería!$B$39)/365-E576*Quesería!$B$42/365+IF(E$47&gt;=2,($N$25*'Beneficios y costos'!$B$147+(1-$N$25)*'Beneficios y costos'!$B$148)*$N$24*$N$21*$N$10*IF(E$47=2,Quesería!$B$20,1),0))-(D584*(Quesería!$B$38+Quesería!$B$40*Quesería!$B$39)/365-D576*Quesería!$B$42/365+IF(D$47&gt;=2,($N$25*'Beneficios y costos'!$B$147+(1-$N$25)*'Beneficios y costos'!$B$148)*$N$24*$N$21*$N$10*IF(D$47=2,Quesería!$B$20,1),0))*D567/E567</f>
        <v>47.5971081375932</v>
      </c>
      <c r="F585" s="29" t="n">
        <f aca="false">(F584*(Quesería!$B$38+Quesería!$B$40*Quesería!$B$39)/365-F576*Quesería!$B$42/365+IF(F$47&gt;=2,($N$25*'Beneficios y costos'!$B$147+(1-$N$25)*'Beneficios y costos'!$B$148)*$N$24*$N$21*$N$10*IF(F$47=2,Quesería!$B$20,1),0))-(E584*(Quesería!$B$38+Quesería!$B$40*Quesería!$B$39)/365-E576*Quesería!$B$42/365+IF(E$47&gt;=2,($N$25*'Beneficios y costos'!$B$147+(1-$N$25)*'Beneficios y costos'!$B$148)*$N$24*$N$21*$N$10*IF(E$47=2,Quesería!$B$20,1),0))*E567/F567</f>
        <v>10.2988536163082</v>
      </c>
      <c r="G585" s="29" t="n">
        <f aca="false">(G584*(Quesería!$B$38+Quesería!$B$40*Quesería!$B$39)/365-G576*Quesería!$B$42/365+IF(G$47&gt;=2,($N$25*'Beneficios y costos'!$B$147+(1-$N$25)*'Beneficios y costos'!$B$148)*$N$24*$N$21*$N$10*IF(G$47=2,Quesería!$B$20,1),0))-(F584*(Quesería!$B$38+Quesería!$B$40*Quesería!$B$39)/365-F576*Quesería!$B$42/365+IF(F$47&gt;=2,($N$25*'Beneficios y costos'!$B$147+(1-$N$25)*'Beneficios y costos'!$B$148)*$N$24*$N$21*$N$10*IF(F$47=2,Quesería!$B$20,1),0))*F567/G567</f>
        <v>10.2988536163082</v>
      </c>
      <c r="H585" s="29" t="n">
        <f aca="false">(H584*(Quesería!$B$38+Quesería!$B$40*Quesería!$B$39)/365-H576*Quesería!$B$42/365+IF(H$47&gt;=2,($N$25*'Beneficios y costos'!$B$147+(1-$N$25)*'Beneficios y costos'!$B$148)*$N$24*$N$21*$N$10*IF(H$47=2,Quesería!$B$20,1),0))-(G584*(Quesería!$B$38+Quesería!$B$40*Quesería!$B$39)/365-G576*Quesería!$B$42/365+IF(G$47&gt;=2,($N$25*'Beneficios y costos'!$B$147+(1-$N$25)*'Beneficios y costos'!$B$148)*$N$24*$N$21*$N$10*IF(G$47=2,Quesería!$B$20,1),0))*G567/H567</f>
        <v>10.2988536163082</v>
      </c>
      <c r="I585" s="29" t="n">
        <f aca="false">(I584*(Quesería!$B$38+Quesería!$B$40*Quesería!$B$39)/365-I576*Quesería!$B$42/365+IF(I$47&gt;=2,($N$25*'Beneficios y costos'!$B$147+(1-$N$25)*'Beneficios y costos'!$B$148)*$N$24*$N$21*$N$10*IF(I$47=2,Quesería!$B$20,1),0))-(H584*(Quesería!$B$38+Quesería!$B$40*Quesería!$B$39)/365-H576*Quesería!$B$42/365+IF(H$47&gt;=2,($N$25*'Beneficios y costos'!$B$147+(1-$N$25)*'Beneficios y costos'!$B$148)*$N$24*$N$21*$N$10*IF(H$47=2,Quesería!$B$20,1),0))*H567/I567</f>
        <v>10.2988536163082</v>
      </c>
      <c r="J585" s="29" t="n">
        <f aca="false">(J584*(Quesería!$B$38+Quesería!$B$40*Quesería!$B$39)/365-J576*Quesería!$B$42/365+IF(J$47&gt;=2,($N$25*'Beneficios y costos'!$B$147+(1-$N$25)*'Beneficios y costos'!$B$148)*$N$24*$N$21*$N$10*IF(J$47=2,Quesería!$B$20,1),0))-(I584*(Quesería!$B$38+Quesería!$B$40*Quesería!$B$39)/365-I576*Quesería!$B$42/365+IF(I$47&gt;=2,($N$25*'Beneficios y costos'!$B$147+(1-$N$25)*'Beneficios y costos'!$B$148)*$N$24*$N$21*$N$10*IF(I$47=2,Quesería!$B$20,1),0))*I567/J567</f>
        <v>10.2988536163082</v>
      </c>
      <c r="K585" s="29" t="n">
        <f aca="false">(K584*(Quesería!$B$38+Quesería!$B$40*Quesería!$B$39)/365-K576*Quesería!$B$42/365+IF(K$47&gt;=2,($N$25*'Beneficios y costos'!$B$147+(1-$N$25)*'Beneficios y costos'!$B$148)*$N$24*$N$21*$N$10*IF(K$47=2,Quesería!$B$20,1),0))-(J584*(Quesería!$B$38+Quesería!$B$40*Quesería!$B$39)/365-J576*Quesería!$B$42/365+IF(J$47&gt;=2,($N$25*'Beneficios y costos'!$B$147+(1-$N$25)*'Beneficios y costos'!$B$148)*$N$24*$N$21*$N$10*IF(J$47=2,Quesería!$B$20,1),0))*J567/K567</f>
        <v>10.2988536163082</v>
      </c>
      <c r="L585" s="29" t="n">
        <f aca="false">-(K584*(Quesería!$B$38+Quesería!$B$40*Quesería!$B$39)/365-K576*Quesería!$B$42/365+IF(K$47&gt;=2,($N$25*'Beneficios y costos'!$B$147+(1-$N$25)*'Beneficios y costos'!$B$148)*$N$24*$N$21*$N$10*IF(K$47=2,Quesería!$B$20,1),0))*K567/L567</f>
        <v>-158.443901789357</v>
      </c>
    </row>
    <row r="586" customFormat="false" ht="15" hidden="true" customHeight="false" outlineLevel="1" collapsed="false">
      <c r="A586" s="6" t="s">
        <v>422</v>
      </c>
      <c r="B586" s="29" t="n">
        <v>0</v>
      </c>
      <c r="C586" s="29" t="n">
        <v>0</v>
      </c>
      <c r="D586" s="29" t="n">
        <v>0</v>
      </c>
      <c r="E586" s="29" t="n">
        <v>0</v>
      </c>
      <c r="F586" s="29" t="n">
        <v>0</v>
      </c>
      <c r="G586" s="29" t="n">
        <v>0</v>
      </c>
      <c r="H586" s="29" t="n">
        <v>0</v>
      </c>
      <c r="I586" s="29" t="n">
        <v>0</v>
      </c>
      <c r="J586" s="29" t="n">
        <v>0</v>
      </c>
      <c r="K586" s="29" t="n">
        <v>0</v>
      </c>
      <c r="L586" s="29" t="n">
        <f aca="false">$N$8*Quesería!$B$36*(Quesería!$F$94+(Quesería!$F$95-(-$N$26)*Quesería!$D$86)*$N$21)*$N$11*(1-$N$17)</f>
        <v>61.9237725584542</v>
      </c>
    </row>
    <row r="587" customFormat="false" ht="15" hidden="true" customHeight="false" outlineLevel="1" collapsed="false">
      <c r="A587" s="5" t="s">
        <v>147</v>
      </c>
      <c r="B587" s="59" t="n">
        <f aca="false">B575-B576-B577-B578-B583-B570-B571-B572-B585+B586</f>
        <v>-961.151880133756</v>
      </c>
      <c r="C587" s="59" t="n">
        <f aca="false">C575-C576-C577-C578-C583-C570-C571-C572-C585+C586</f>
        <v>-404.804163074761</v>
      </c>
      <c r="D587" s="59" t="n">
        <f aca="false">D575-D576-D577-D578-D583-D570-D571-D572-D585+D586</f>
        <v>446.731218472854</v>
      </c>
      <c r="E587" s="59" t="n">
        <f aca="false">E575-E576-E577-E578-E583-E570-E571-E572-E585+E586</f>
        <v>318.337125143934</v>
      </c>
      <c r="F587" s="59" t="n">
        <f aca="false">F575-F576-F577-F578-F583-F570-F571-F572-F585+F586</f>
        <v>353.067800546048</v>
      </c>
      <c r="G587" s="59" t="n">
        <f aca="false">G575-G576-G577-G578-G583-G570-G571-G572-G585+G586</f>
        <v>317.878673125412</v>
      </c>
      <c r="H587" s="59" t="n">
        <f aca="false">H575-H576-H577-H578-H583-H570-H571-H572-H585+H586</f>
        <v>295.964655953241</v>
      </c>
      <c r="I587" s="59" t="n">
        <f aca="false">I575-I576-I577-I578-I583-I570-I571-I572-I585+I586</f>
        <v>355.807931937584</v>
      </c>
      <c r="J587" s="59" t="n">
        <f aca="false">J575-J576-J577-J578-J583-J570-J571-J572-J585+J586</f>
        <v>345.512165211823</v>
      </c>
      <c r="K587" s="59" t="n">
        <f aca="false">K575-K576-K577-K578-K583-K570-K571-K572-K585+K586</f>
        <v>343.629145894761</v>
      </c>
      <c r="L587" s="59" t="n">
        <f aca="false">L575-L576-L577-L578-L583-L570-L571-L572-L585+L586</f>
        <v>572.541123608493</v>
      </c>
    </row>
    <row r="588" customFormat="false" ht="15" hidden="true" customHeight="false" outlineLevel="1" collapsed="false">
      <c r="A588" s="9" t="s">
        <v>423</v>
      </c>
      <c r="B588" s="58" t="n">
        <f aca="false">B587*B567</f>
        <v>-1023.62675234245</v>
      </c>
      <c r="C588" s="58" t="n">
        <f aca="false">C587*C567</f>
        <v>-459.13900186347</v>
      </c>
      <c r="D588" s="58" t="n">
        <f aca="false">D587*D567</f>
        <v>539.628807830077</v>
      </c>
      <c r="E588" s="58" t="n">
        <f aca="false">E587*E567</f>
        <v>409.529999652371</v>
      </c>
      <c r="F588" s="58" t="n">
        <f aca="false">F587*F567</f>
        <v>483.733484809628</v>
      </c>
      <c r="G588" s="58" t="n">
        <f aca="false">G587*G567</f>
        <v>463.830217124551</v>
      </c>
      <c r="H588" s="58" t="n">
        <f aca="false">H587*H567</f>
        <v>459.925093387388</v>
      </c>
      <c r="I588" s="58" t="n">
        <f aca="false">I587*I567</f>
        <v>588.860587167492</v>
      </c>
      <c r="J588" s="58" t="n">
        <f aca="false">J587*J567</f>
        <v>608.989511760985</v>
      </c>
      <c r="K588" s="58" t="n">
        <f aca="false">K587*K567</f>
        <v>645.039143917567</v>
      </c>
      <c r="L588" s="58" t="n">
        <f aca="false">L587*L567</f>
        <v>1144.59638911256</v>
      </c>
    </row>
    <row r="589" customFormat="false" ht="15" hidden="true" customHeight="false" outlineLevel="1" collapsed="false">
      <c r="A589" s="6" t="s">
        <v>424</v>
      </c>
      <c r="B589" s="29" t="n">
        <f aca="false">B587</f>
        <v>-961.151880133756</v>
      </c>
      <c r="C589" s="29" t="n">
        <f aca="false">B589+C587</f>
        <v>-1365.95604320852</v>
      </c>
      <c r="D589" s="29" t="n">
        <f aca="false">C589+D587</f>
        <v>-919.224824735662</v>
      </c>
      <c r="E589" s="29" t="n">
        <f aca="false">D589+E587</f>
        <v>-600.887699591727</v>
      </c>
      <c r="F589" s="29" t="n">
        <f aca="false">E589+F587</f>
        <v>-247.81989904568</v>
      </c>
      <c r="G589" s="29" t="n">
        <f aca="false">F589+G587</f>
        <v>70.0587740797319</v>
      </c>
      <c r="H589" s="29" t="n">
        <f aca="false">G589+H587</f>
        <v>366.023430032973</v>
      </c>
      <c r="I589" s="29" t="n">
        <f aca="false">H589+I587</f>
        <v>721.831361970557</v>
      </c>
      <c r="J589" s="29" t="n">
        <f aca="false">I589+J587</f>
        <v>1067.34352718238</v>
      </c>
      <c r="K589" s="29" t="n">
        <f aca="false">J589+K587</f>
        <v>1410.97267307714</v>
      </c>
      <c r="L589" s="29" t="n">
        <f aca="false">K589+L587</f>
        <v>1983.51379668563</v>
      </c>
    </row>
    <row r="590" customFormat="false" ht="15" hidden="true" customHeight="false" outlineLevel="1" collapsed="false">
      <c r="A590" s="9" t="s">
        <v>425</v>
      </c>
      <c r="B590" s="60" t="n">
        <v>0</v>
      </c>
      <c r="C590" s="60" t="n">
        <f aca="false">IF(AND(B589&lt;0,C589&gt;=0),B$47+(-B589)/C587,0)</f>
        <v>0</v>
      </c>
      <c r="D590" s="60" t="n">
        <f aca="false">IF(AND(C589&lt;0,D589&gt;=0),C$47+(-C589)/D587,0)</f>
        <v>0</v>
      </c>
      <c r="E590" s="60" t="n">
        <f aca="false">IF(AND(D589&lt;0,E589&gt;=0),D$47+(-D589)/E587,0)</f>
        <v>0</v>
      </c>
      <c r="F590" s="60" t="n">
        <f aca="false">IF(AND(E589&lt;0,F589&gt;=0),E$47+(-E589)/F587,0)</f>
        <v>0</v>
      </c>
      <c r="G590" s="60" t="n">
        <f aca="false">IF(AND(F589&lt;0,G589&gt;=0),F$47+(-F589)/G587,0)</f>
        <v>4.77960530226546</v>
      </c>
      <c r="H590" s="60" t="n">
        <f aca="false">IF(AND(G589&lt;0,H589&gt;=0),G$47+(-G589)/H587,0)</f>
        <v>0</v>
      </c>
      <c r="I590" s="60" t="n">
        <f aca="false">IF(AND(H589&lt;0,I589&gt;=0),H$47+(-H589)/I587,0)</f>
        <v>0</v>
      </c>
      <c r="J590" s="60" t="n">
        <f aca="false">IF(AND(I589&lt;0,J589&gt;=0),I$47+(-I589)/J587,0)</f>
        <v>0</v>
      </c>
      <c r="K590" s="60" t="n">
        <f aca="false">IF(AND(J589&lt;0,K589&gt;=0),J$47+(-J589)/K587,0)</f>
        <v>0</v>
      </c>
      <c r="L590" s="60" t="n">
        <f aca="false">IF(AND(K589&lt;0,L589&gt;=0),K$47+(-K589)/L587,0)</f>
        <v>0</v>
      </c>
    </row>
    <row r="591" customFormat="false" ht="15" hidden="true" customHeight="false" outlineLevel="1" collapsed="false">
      <c r="A591" s="9" t="s">
        <v>426</v>
      </c>
      <c r="B591" s="57" t="n">
        <f aca="false">(B567/$B$567)/(1+$N$29)^B$47</f>
        <v>1</v>
      </c>
      <c r="C591" s="57" t="n">
        <f aca="false">(C567/$B$567)/(1+$N$29)^C$47</f>
        <v>0.914994937611784</v>
      </c>
      <c r="D591" s="57" t="n">
        <f aca="false">(D567/$B$567)/(1+$N$29)^D$47</f>
        <v>0.837215735855192</v>
      </c>
      <c r="E591" s="57" t="n">
        <f aca="false">(E567/$B$567)/(1+$N$29)^E$47</f>
        <v>0.766048159996425</v>
      </c>
      <c r="F591" s="57" t="n">
        <f aca="false">(F567/$B$567)/(1+$N$29)^F$47</f>
        <v>0.700930188363551</v>
      </c>
      <c r="G591" s="57" t="n">
        <f aca="false">(G567/$B$567)/(1+$N$29)^G$47</f>
        <v>0.641347573971923</v>
      </c>
      <c r="H591" s="57" t="n">
        <f aca="false">(H567/$B$567)/(1+$N$29)^H$47</f>
        <v>0.586829783433908</v>
      </c>
      <c r="I591" s="57" t="n">
        <f aca="false">(I567/$B$567)/(1+$N$29)^I$47</f>
        <v>0.536946281081846</v>
      </c>
      <c r="J591" s="57" t="n">
        <f aca="false">(J567/$B$567)/(1+$N$29)^J$47</f>
        <v>0.491303128959363</v>
      </c>
      <c r="K591" s="57" t="n">
        <f aca="false">(K567/$B$567)/(1+$N$29)^K$47</f>
        <v>0.449539875830646</v>
      </c>
      <c r="L591" s="57" t="n">
        <f aca="false">(L567/$B$567)/(1+$N$29)^L$47</f>
        <v>0.411326710639671</v>
      </c>
    </row>
    <row r="592" customFormat="false" ht="15" hidden="true" customHeight="false" outlineLevel="1" collapsed="false">
      <c r="A592" s="9" t="s">
        <v>427</v>
      </c>
      <c r="B592" s="58" t="n">
        <f aca="false">B587*B591</f>
        <v>-961.151880133756</v>
      </c>
      <c r="C592" s="58" t="n">
        <f aca="false">C587*C591</f>
        <v>-370.393759937581</v>
      </c>
      <c r="D592" s="58" t="n">
        <f aca="false">D587*D591</f>
        <v>374.010405803237</v>
      </c>
      <c r="E592" s="58" t="n">
        <f aca="false">E587*E591</f>
        <v>243.861568975063</v>
      </c>
      <c r="F592" s="58" t="n">
        <f aca="false">F587*F591</f>
        <v>247.475879941846</v>
      </c>
      <c r="G592" s="58" t="n">
        <f aca="false">G587*G591</f>
        <v>203.870715826397</v>
      </c>
      <c r="H592" s="58" t="n">
        <f aca="false">H587*H591</f>
        <v>173.680874957132</v>
      </c>
      <c r="I592" s="58" t="n">
        <f aca="false">I587*I591</f>
        <v>191.049745833308</v>
      </c>
      <c r="J592" s="58" t="n">
        <f aca="false">J587*J591</f>
        <v>169.751207862093</v>
      </c>
      <c r="K592" s="58" t="n">
        <f aca="false">K587*K591</f>
        <v>154.475003577322</v>
      </c>
      <c r="L592" s="58" t="n">
        <f aca="false">L587*L591</f>
        <v>235.501457079823</v>
      </c>
    </row>
    <row r="593" customFormat="false" ht="15" hidden="true" customHeight="false" outlineLevel="1" collapsed="false">
      <c r="A593" s="9" t="s">
        <v>428</v>
      </c>
      <c r="B593" s="58" t="n">
        <f aca="false">B592</f>
        <v>-961.151880133756</v>
      </c>
      <c r="C593" s="58" t="n">
        <f aca="false">B593+C592</f>
        <v>-1331.54564007134</v>
      </c>
      <c r="D593" s="58" t="n">
        <f aca="false">C593+D592</f>
        <v>-957.535234268099</v>
      </c>
      <c r="E593" s="58" t="n">
        <f aca="false">D593+E592</f>
        <v>-713.673665293037</v>
      </c>
      <c r="F593" s="58" t="n">
        <f aca="false">E593+F592</f>
        <v>-466.197785351191</v>
      </c>
      <c r="G593" s="58" t="n">
        <f aca="false">F593+G592</f>
        <v>-262.327069524794</v>
      </c>
      <c r="H593" s="58" t="n">
        <f aca="false">G593+H592</f>
        <v>-88.6461945676626</v>
      </c>
      <c r="I593" s="58" t="n">
        <f aca="false">H593+I592</f>
        <v>102.403551265646</v>
      </c>
      <c r="J593" s="58" t="n">
        <f aca="false">I593+J592</f>
        <v>272.154759127738</v>
      </c>
      <c r="K593" s="58" t="n">
        <f aca="false">J593+K592</f>
        <v>426.62976270506</v>
      </c>
      <c r="L593" s="58" t="n">
        <f aca="false">K593+L592</f>
        <v>662.131219784883</v>
      </c>
    </row>
    <row r="594" customFormat="false" ht="15" hidden="true" customHeight="false" outlineLevel="1" collapsed="false">
      <c r="A594" s="9" t="s">
        <v>429</v>
      </c>
      <c r="B594" s="60" t="n">
        <v>0</v>
      </c>
      <c r="C594" s="60" t="n">
        <f aca="false">IF(AND(B593&lt;0,C593&gt;=0),B$47+(-B593)/C592,0)</f>
        <v>0</v>
      </c>
      <c r="D594" s="60" t="n">
        <f aca="false">IF(AND(C593&lt;0,D593&gt;=0),C$47+(-C593)/D592,0)</f>
        <v>0</v>
      </c>
      <c r="E594" s="60" t="n">
        <f aca="false">IF(AND(D593&lt;0,E593&gt;=0),D$47+(-D593)/E592,0)</f>
        <v>0</v>
      </c>
      <c r="F594" s="60" t="n">
        <f aca="false">IF(AND(E593&lt;0,F593&gt;=0),E$47+(-E593)/F592,0)</f>
        <v>0</v>
      </c>
      <c r="G594" s="60" t="n">
        <f aca="false">IF(AND(F593&lt;0,G593&gt;=0),F$47+(-F593)/G592,0)</f>
        <v>0</v>
      </c>
      <c r="H594" s="60" t="n">
        <f aca="false">IF(AND(G593&lt;0,H593&gt;=0),G$47+(-G593)/H592,0)</f>
        <v>0</v>
      </c>
      <c r="I594" s="60" t="n">
        <f aca="false">IF(AND(H593&lt;0,I593&gt;=0),H$47+(-H593)/I592,0)</f>
        <v>6.4639953546183</v>
      </c>
      <c r="J594" s="60" t="n">
        <f aca="false">IF(AND(I593&lt;0,J593&gt;=0),I$47+(-I593)/J592,0)</f>
        <v>0</v>
      </c>
      <c r="K594" s="60" t="n">
        <f aca="false">IF(AND(J593&lt;0,K593&gt;=0),J$47+(-J593)/K592,0)</f>
        <v>0</v>
      </c>
      <c r="L594" s="60" t="n">
        <f aca="false">IF(AND(K593&lt;0,L593&gt;=0),K$47+(-K593)/L592,0)</f>
        <v>0</v>
      </c>
    </row>
    <row r="595" customFormat="false" ht="15" hidden="true" customHeight="false" outlineLevel="1" collapsed="false">
      <c r="A595" s="9" t="s">
        <v>430</v>
      </c>
      <c r="B595" s="58" t="n">
        <f aca="false">IF(B$47&lt;0,0,(Quesería!$B$44*$B$570*$B$567)*(1-MAX(0,MIN(B$47-0-Quesería!$B$47,(Quesería!$B$46-Quesería!$B$47)))/(Quesería!$B$46-Quesería!$B$47))*IF(B$47&gt;=2,1-Quesería!$B$48,1))+IF(B$47&lt;1,0,(Quesería!$B$44*$C$570*$C$567)*(1-MAX(0,MIN(B$47-1-Quesería!$B$47,(Quesería!$B$46-Quesería!$B$47)))/(Quesería!$B$46-Quesería!$B$47))*IF(B$47&gt;=2,1-Quesería!$B$48,1))</f>
        <v>644.346465746578</v>
      </c>
      <c r="C595" s="58" t="n">
        <f aca="false">IF(C$47&lt;0,0,(Quesería!$B$44*$B$570*$B$567)*(1-MAX(0,MIN(C$47-0-Quesería!$B$47,(Quesería!$B$46-Quesería!$B$47)))/(Quesería!$B$46-Quesería!$B$47))*IF(C$47&gt;=2,1-Quesería!$B$48,1))+IF(C$47&lt;1,0,(Quesería!$B$44*$C$570*$C$567)*(1-MAX(0,MIN(C$47-1-Quesería!$B$47,(Quesería!$B$46-Quesería!$B$47)))/(Quesería!$B$46-Quesería!$B$47))*IF(C$47&gt;=2,1-Quesería!$B$48,1))</f>
        <v>1129.80031589335</v>
      </c>
      <c r="D595" s="58" t="n">
        <f aca="false">IF(D$47&lt;0,0,(Quesería!$B$44*$B$570*$B$567)*(1-MAX(0,MIN(D$47-0-Quesería!$B$47,(Quesería!$B$46-Quesería!$B$47)))/(Quesería!$B$46-Quesería!$B$47))*IF(D$47&gt;=2,1-Quesería!$B$48,1))+IF(D$47&lt;1,0,(Quesería!$B$44*$C$570*$C$567)*(1-MAX(0,MIN(D$47-1-Quesería!$B$47,(Quesería!$B$46-Quesería!$B$47)))/(Quesería!$B$46-Quesería!$B$47))*IF(D$47&gt;=2,1-Quesería!$B$48,1))</f>
        <v>1022.40923826892</v>
      </c>
      <c r="E595" s="58" t="n">
        <f aca="false">IF(E$47&lt;0,0,(Quesería!$B$44*$B$570*$B$567)*(1-MAX(0,MIN(E$47-0-Quesería!$B$47,(Quesería!$B$46-Quesería!$B$47)))/(Quesería!$B$46-Quesería!$B$47))*IF(E$47&gt;=2,1-Quesería!$B$48,1))+IF(E$47&lt;1,0,(Quesería!$B$44*$C$570*$C$567)*(1-MAX(0,MIN(E$47-1-Quesería!$B$47,(Quesería!$B$46-Quesería!$B$47)))/(Quesería!$B$46-Quesería!$B$47))*IF(E$47&gt;=2,1-Quesería!$B$48,1))</f>
        <v>834.109185620031</v>
      </c>
      <c r="F595" s="58" t="n">
        <f aca="false">IF(F$47&lt;0,0,(Quesería!$B$44*$B$570*$B$567)*(1-MAX(0,MIN(F$47-0-Quesería!$B$47,(Quesería!$B$46-Quesería!$B$47)))/(Quesería!$B$46-Quesería!$B$47))*IF(F$47&gt;=2,1-Quesería!$B$48,1))+IF(F$47&lt;1,0,(Quesería!$B$44*$C$570*$C$567)*(1-MAX(0,MIN(F$47-1-Quesería!$B$47,(Quesería!$B$46-Quesería!$B$47)))/(Quesería!$B$46-Quesería!$B$47))*IF(F$47&gt;=2,1-Quesería!$B$48,1))</f>
        <v>645.809132971138</v>
      </c>
      <c r="G595" s="58" t="n">
        <f aca="false">IF(G$47&lt;0,0,(Quesería!$B$44*$B$570*$B$567)*(1-MAX(0,MIN(G$47-0-Quesería!$B$47,(Quesería!$B$46-Quesería!$B$47)))/(Quesería!$B$46-Quesería!$B$47))*IF(G$47&gt;=2,1-Quesería!$B$48,1))+IF(G$47&lt;1,0,(Quesería!$B$44*$C$570*$C$567)*(1-MAX(0,MIN(G$47-1-Quesería!$B$47,(Quesería!$B$46-Quesería!$B$47)))/(Quesería!$B$46-Quesería!$B$47))*IF(G$47&gt;=2,1-Quesería!$B$48,1))</f>
        <v>457.509080322246</v>
      </c>
      <c r="H595" s="58" t="n">
        <f aca="false">IF(H$47&lt;0,0,(Quesería!$B$44*$B$570*$B$567)*(1-MAX(0,MIN(H$47-0-Quesería!$B$47,(Quesería!$B$46-Quesería!$B$47)))/(Quesería!$B$46-Quesería!$B$47))*IF(H$47&gt;=2,1-Quesería!$B$48,1))+IF(H$47&lt;1,0,(Quesería!$B$44*$C$570*$C$567)*(1-MAX(0,MIN(H$47-1-Quesería!$B$47,(Quesería!$B$46-Quesería!$B$47)))/(Quesería!$B$46-Quesería!$B$47))*IF(H$47&gt;=2,1-Quesería!$B$48,1))</f>
        <v>269.209027673354</v>
      </c>
      <c r="I595" s="58" t="n">
        <f aca="false">IF(I$47&lt;0,0,(Quesería!$B$44*$B$570*$B$567)*(1-MAX(0,MIN(I$47-0-Quesería!$B$47,(Quesería!$B$46-Quesería!$B$47)))/(Quesería!$B$46-Quesería!$B$47))*IF(I$47&gt;=2,1-Quesería!$B$48,1))+IF(I$47&lt;1,0,(Quesería!$B$44*$C$570*$C$567)*(1-MAX(0,MIN(I$47-1-Quesería!$B$47,(Quesería!$B$46-Quesería!$B$47)))/(Quesería!$B$46-Quesería!$B$47))*IF(I$47&gt;=2,1-Quesería!$B$48,1))</f>
        <v>80.9089750244623</v>
      </c>
      <c r="J595" s="58" t="n">
        <f aca="false">IF(J$47&lt;0,0,(Quesería!$B$44*$B$570*$B$567)*(1-MAX(0,MIN(J$47-0-Quesería!$B$47,(Quesería!$B$46-Quesería!$B$47)))/(Quesería!$B$46-Quesería!$B$47))*IF(J$47&gt;=2,1-Quesería!$B$48,1))+IF(J$47&lt;1,0,(Quesería!$B$44*$C$570*$C$567)*(1-MAX(0,MIN(J$47-1-Quesería!$B$47,(Quesería!$B$46-Quesería!$B$47)))/(Quesería!$B$46-Quesería!$B$47))*IF(J$47&gt;=2,1-Quesería!$B$48,1))</f>
        <v>0</v>
      </c>
      <c r="K595" s="58" t="n">
        <f aca="false">IF(K$47&lt;0,0,(Quesería!$B$44*$B$570*$B$567)*(1-MAX(0,MIN(K$47-0-Quesería!$B$47,(Quesería!$B$46-Quesería!$B$47)))/(Quesería!$B$46-Quesería!$B$47))*IF(K$47&gt;=2,1-Quesería!$B$48,1))+IF(K$47&lt;1,0,(Quesería!$B$44*$C$570*$C$567)*(1-MAX(0,MIN(K$47-1-Quesería!$B$47,(Quesería!$B$46-Quesería!$B$47)))/(Quesería!$B$46-Quesería!$B$47))*IF(K$47&gt;=2,1-Quesería!$B$48,1))</f>
        <v>0</v>
      </c>
      <c r="L595" s="58" t="n">
        <f aca="false">IF(L$47&lt;0,0,(Quesería!$B$44*$B$570*$B$567)*(1-MAX(0,MIN(L$47-0-Quesería!$B$47,(Quesería!$B$46-Quesería!$B$47)))/(Quesería!$B$46-Quesería!$B$47))*IF(L$47&gt;=2,1-Quesería!$B$48,1))+IF(L$47&lt;1,0,(Quesería!$B$44*$C$570*$C$567)*(1-MAX(0,MIN(L$47-1-Quesería!$B$47,(Quesería!$B$46-Quesería!$B$47)))/(Quesería!$B$46-Quesería!$B$47))*IF(L$47&gt;=2,1-Quesería!$B$48,1))</f>
        <v>0</v>
      </c>
    </row>
    <row r="596" customFormat="false" ht="15" hidden="true" customHeight="false" outlineLevel="1" collapsed="false">
      <c r="A596" s="6" t="s">
        <v>431</v>
      </c>
      <c r="B596" s="29" t="n">
        <f aca="false">Quesería!$B$44*B570</f>
        <v>605.02015563059</v>
      </c>
      <c r="C596" s="29" t="n">
        <f aca="false">Quesería!$B$44*C570</f>
        <v>428.004893338424</v>
      </c>
      <c r="D596" s="29" t="n">
        <f aca="false">Quesería!$B$44*D570</f>
        <v>0</v>
      </c>
      <c r="E596" s="29" t="n">
        <f aca="false">Quesería!$B$44*E570</f>
        <v>0</v>
      </c>
      <c r="F596" s="29" t="n">
        <f aca="false">Quesería!$B$44*F570</f>
        <v>0</v>
      </c>
      <c r="G596" s="29" t="n">
        <f aca="false">Quesería!$B$44*G570</f>
        <v>0</v>
      </c>
      <c r="H596" s="29" t="n">
        <f aca="false">Quesería!$B$44*H570</f>
        <v>0</v>
      </c>
      <c r="I596" s="29" t="n">
        <f aca="false">Quesería!$B$44*I570</f>
        <v>0</v>
      </c>
      <c r="J596" s="29" t="n">
        <f aca="false">Quesería!$B$44*J570</f>
        <v>0</v>
      </c>
      <c r="K596" s="29" t="n">
        <f aca="false">Quesería!$B$44*K570</f>
        <v>0</v>
      </c>
      <c r="L596" s="29" t="n">
        <f aca="false">Quesería!$B$44*L570</f>
        <v>0</v>
      </c>
    </row>
    <row r="597" customFormat="false" ht="15" hidden="true" customHeight="false" outlineLevel="1" collapsed="false">
      <c r="A597" s="6" t="s">
        <v>432</v>
      </c>
      <c r="B597" s="29" t="n">
        <f aca="false">(IF(AND(B$47&gt;0,B$47&lt;=0+Quesería!$B$46),($N$14+$N$28)*(Quesería!$B$44*$B$570*$B$567)*(1-MAX(0,MIN((B$47-1)-0-Quesería!$B$47,(Quesería!$B$46-Quesería!$B$47)))/(Quesería!$B$46-Quesería!$B$47))*IF(B$47&gt;2,1-Quesería!$B$48,1),0)+IF(AND(B$47&gt;1,B$47&lt;=1+Quesería!$B$46),($N$14+$N$28)*(Quesería!$B$44*$C$570*$C$567)*(1-MAX(0,MIN((B$47-1)-1-Quesería!$B$47,(Quesería!$B$46-Quesería!$B$47)))/(Quesería!$B$46-Quesería!$B$47))*IF(B$47&gt;2,1-Quesería!$B$48,1),0))*B569</f>
        <v>0</v>
      </c>
      <c r="C597" s="29" t="n">
        <f aca="false">(IF(AND(C$47&gt;0,C$47&lt;=0+Quesería!$B$46),($N$14+$N$28)*(Quesería!$B$44*$B$570*$B$567)*(1-MAX(0,MIN((C$47-1)-0-Quesería!$B$47,(Quesería!$B$46-Quesería!$B$47)))/(Quesería!$B$46-Quesería!$B$47))*IF(C$47&gt;2,1-Quesería!$B$48,1),0)+IF(AND(C$47&gt;1,C$47&lt;=1+Quesería!$B$46),($N$14+$N$28)*(Quesería!$B$44*$C$570*$C$567)*(1-MAX(0,MIN((C$47-1)-1-Quesería!$B$47,(Quesería!$B$46-Quesería!$B$47)))/(Quesería!$B$46-Quesería!$B$47))*IF(C$47&gt;2,1-Quesería!$B$48,1),0))*C569</f>
        <v>92.5062026871932</v>
      </c>
      <c r="D597" s="29" t="n">
        <f aca="false">(IF(AND(D$47&gt;0,D$47&lt;=0+Quesería!$B$46),($N$14+$N$28)*(Quesería!$B$44*$B$570*$B$567)*(1-MAX(0,MIN((D$47-1)-0-Quesería!$B$47,(Quesería!$B$46-Quesería!$B$47)))/(Quesería!$B$46-Quesería!$B$47))*IF(D$47&gt;2,1-Quesería!$B$48,1),0)+IF(AND(D$47&gt;1,D$47&lt;=1+Quesería!$B$46),($N$14+$N$28)*(Quesería!$B$44*$C$570*$C$567)*(1-MAX(0,MIN((D$47-1)-1-Quesería!$B$47,(Quesería!$B$46-Quesería!$B$47)))/(Quesería!$B$46-Quesería!$B$47))*IF(D$47&gt;2,1-Quesería!$B$48,1),0))*D569</f>
        <v>152.30125679218</v>
      </c>
      <c r="E597" s="29" t="n">
        <f aca="false">(IF(AND(E$47&gt;0,E$47&lt;=0+Quesería!$B$46),($N$14+$N$28)*(Quesería!$B$44*$B$570*$B$567)*(1-MAX(0,MIN((E$47-1)-0-Quesería!$B$47,(Quesería!$B$46-Quesería!$B$47)))/(Quesería!$B$46-Quesería!$B$47))*IF(E$47&gt;2,1-Quesería!$B$48,1),0)+IF(AND(E$47&gt;1,E$47&lt;=1+Quesería!$B$46),($N$14+$N$28)*(Quesería!$B$44*$C$570*$C$567)*(1-MAX(0,MIN((E$47-1)-1-Quesería!$B$47,(Quesería!$B$46-Quesería!$B$47)))/(Quesería!$B$46-Quesería!$B$47))*IF(E$47&gt;2,1-Quesería!$B$48,1),0))*E569</f>
        <v>129.412716203404</v>
      </c>
      <c r="F597" s="29" t="n">
        <f aca="false">(IF(AND(F$47&gt;0,F$47&lt;=0+Quesería!$B$46),($N$14+$N$28)*(Quesería!$B$44*$B$570*$B$567)*(1-MAX(0,MIN((F$47-1)-0-Quesería!$B$47,(Quesería!$B$46-Quesería!$B$47)))/(Quesería!$B$46-Quesería!$B$47))*IF(F$47&gt;2,1-Quesería!$B$48,1),0)+IF(AND(F$47&gt;1,F$47&lt;=1+Quesería!$B$46),($N$14+$N$28)*(Quesería!$B$44*$C$570*$C$567)*(1-MAX(0,MIN((F$47-1)-1-Quesería!$B$47,(Quesería!$B$46-Quesería!$B$47)))/(Quesería!$B$46-Quesería!$B$47))*IF(F$47&gt;2,1-Quesería!$B$48,1),0))*F569</f>
        <v>99.1346513768686</v>
      </c>
      <c r="G597" s="29" t="n">
        <f aca="false">(IF(AND(G$47&gt;0,G$47&lt;=0+Quesería!$B$46),($N$14+$N$28)*(Quesería!$B$44*$B$570*$B$567)*(1-MAX(0,MIN((G$47-1)-0-Quesería!$B$47,(Quesería!$B$46-Quesería!$B$47)))/(Quesería!$B$46-Quesería!$B$47))*IF(G$47&gt;2,1-Quesería!$B$48,1),0)+IF(AND(G$47&gt;1,G$47&lt;=1+Quesería!$B$46),($N$14+$N$28)*(Quesería!$B$44*$C$570*$C$567)*(1-MAX(0,MIN((G$47-1)-1-Quesería!$B$47,(Quesería!$B$46-Quesería!$B$47)))/(Quesería!$B$46-Quesería!$B$47))*IF(G$47&gt;2,1-Quesería!$B$48,1),0))*G569</f>
        <v>72.0704368439471</v>
      </c>
      <c r="H597" s="29" t="n">
        <f aca="false">(IF(AND(H$47&gt;0,H$47&lt;=0+Quesería!$B$46),($N$14+$N$28)*(Quesería!$B$44*$B$570*$B$567)*(1-MAX(0,MIN((H$47-1)-0-Quesería!$B$47,(Quesería!$B$46-Quesería!$B$47)))/(Quesería!$B$46-Quesería!$B$47))*IF(H$47&gt;2,1-Quesería!$B$48,1),0)+IF(AND(H$47&gt;1,H$47&lt;=1+Quesería!$B$46),($N$14+$N$28)*(Quesería!$B$44*$C$570*$C$567)*(1-MAX(0,MIN((H$47-1)-1-Quesería!$B$47,(Quesería!$B$46-Quesería!$B$47)))/(Quesería!$B$46-Quesería!$B$47))*IF(H$47&gt;2,1-Quesería!$B$48,1),0))*H569</f>
        <v>47.9405577383136</v>
      </c>
      <c r="I597" s="29" t="n">
        <f aca="false">(IF(AND(I$47&gt;0,I$47&lt;=0+Quesería!$B$46),($N$14+$N$28)*(Quesería!$B$44*$B$570*$B$567)*(1-MAX(0,MIN((I$47-1)-0-Quesería!$B$47,(Quesería!$B$46-Quesería!$B$47)))/(Quesería!$B$46-Quesería!$B$47))*IF(I$47&gt;2,1-Quesería!$B$48,1),0)+IF(AND(I$47&gt;1,I$47&lt;=1+Quesería!$B$46),($N$14+$N$28)*(Quesería!$B$44*$C$570*$C$567)*(1-MAX(0,MIN((I$47-1)-1-Quesería!$B$47,(Quesería!$B$46-Quesería!$B$47)))/(Quesería!$B$46-Quesería!$B$47))*IF(I$47&gt;2,1-Quesería!$B$48,1),0))*I569</f>
        <v>26.4876467532112</v>
      </c>
      <c r="J597" s="29" t="n">
        <f aca="false">(IF(AND(J$47&gt;0,J$47&lt;=0+Quesería!$B$46),($N$14+$N$28)*(Quesería!$B$44*$B$570*$B$567)*(1-MAX(0,MIN((J$47-1)-0-Quesería!$B$47,(Quesería!$B$46-Quesería!$B$47)))/(Quesería!$B$46-Quesería!$B$47))*IF(J$47&gt;2,1-Quesería!$B$48,1),0)+IF(AND(J$47&gt;1,J$47&lt;=1+Quesería!$B$46),($N$14+$N$28)*(Quesería!$B$44*$C$570*$C$567)*(1-MAX(0,MIN((J$47-1)-1-Quesería!$B$47,(Quesería!$B$46-Quesería!$B$47)))/(Quesería!$B$46-Quesería!$B$47))*IF(J$47&gt;2,1-Quesería!$B$48,1),0))*J569</f>
        <v>7.47482187927981</v>
      </c>
      <c r="K597" s="29" t="n">
        <f aca="false">(IF(AND(K$47&gt;0,K$47&lt;=0+Quesería!$B$46),($N$14+$N$28)*(Quesería!$B$44*$B$570*$B$567)*(1-MAX(0,MIN((K$47-1)-0-Quesería!$B$47,(Quesería!$B$46-Quesería!$B$47)))/(Quesería!$B$46-Quesería!$B$47))*IF(K$47&gt;2,1-Quesería!$B$48,1),0)+IF(AND(K$47&gt;1,K$47&lt;=1+Quesería!$B$46),($N$14+$N$28)*(Quesería!$B$44*$C$570*$C$567)*(1-MAX(0,MIN((K$47-1)-1-Quesería!$B$47,(Quesería!$B$46-Quesería!$B$47)))/(Quesería!$B$46-Quesería!$B$47))*IF(K$47&gt;2,1-Quesería!$B$48,1),0))*K569</f>
        <v>0</v>
      </c>
      <c r="L597" s="29" t="n">
        <f aca="false">(IF(AND(L$47&gt;0,L$47&lt;=0+Quesería!$B$46),($N$14+$N$28)*(Quesería!$B$44*$B$570*$B$567)*(1-MAX(0,MIN((L$47-1)-0-Quesería!$B$47,(Quesería!$B$46-Quesería!$B$47)))/(Quesería!$B$46-Quesería!$B$47))*IF(L$47&gt;2,1-Quesería!$B$48,1),0)+IF(AND(L$47&gt;1,L$47&lt;=1+Quesería!$B$46),($N$14+$N$28)*(Quesería!$B$44*$C$570*$C$567)*(1-MAX(0,MIN((L$47-1)-1-Quesería!$B$47,(Quesería!$B$46-Quesería!$B$47)))/(Quesería!$B$46-Quesería!$B$47))*IF(L$47&gt;2,1-Quesería!$B$48,1),0))*L569</f>
        <v>0</v>
      </c>
    </row>
    <row r="598" customFormat="false" ht="15" hidden="true" customHeight="false" outlineLevel="1" collapsed="false">
      <c r="A598" s="6" t="s">
        <v>433</v>
      </c>
      <c r="B598" s="29" t="n">
        <f aca="false">((IF(AND(B$47&gt;0+Quesería!$B$47,B$47&lt;=0+Quesería!$B$46),(Quesería!$B$44*$B$570*$B$567)/(Quesería!$B$46-Quesería!$B$47),0)*IF(B$47&gt;2,1-Quesería!$B$48,1)+IF(B$47=2,Quesería!$B$48*(Quesería!$B$44*$B$570*$B$567)*(1-MAX(0,MIN(2-0-Quesería!$B$47,(Quesería!$B$46-Quesería!$B$47)))/(Quesería!$B$46-Quesería!$B$47)),0))+(IF(AND(B$47&gt;1+Quesería!$B$47,B$47&lt;=1+Quesería!$B$46),(Quesería!$B$44*$C$570*$C$567)/(Quesería!$B$46-Quesería!$B$47),0)*IF(B$47&gt;2,1-Quesería!$B$48,1)+IF(B$47=2,Quesería!$B$48*(Quesería!$B$44*$C$570*$C$567)*(1-MAX(0,MIN(2-1-Quesería!$B$47,(Quesería!$B$46-Quesería!$B$47)))/(Quesería!$B$46-Quesería!$B$47)),0)))*B569</f>
        <v>0</v>
      </c>
      <c r="C598" s="29" t="n">
        <f aca="false">((IF(AND(C$47&gt;0+Quesería!$B$47,C$47&lt;=0+Quesería!$B$46),(Quesería!$B$44*$B$570*$B$567)/(Quesería!$B$46-Quesería!$B$47),0)*IF(C$47&gt;2,1-Quesería!$B$48,1)+IF(C$47=2,Quesería!$B$48*(Quesería!$B$44*$B$570*$B$567)*(1-MAX(0,MIN(2-0-Quesería!$B$47,(Quesería!$B$46-Quesería!$B$47)))/(Quesería!$B$46-Quesería!$B$47)),0))+(IF(AND(C$47&gt;1+Quesería!$B$47,C$47&lt;=1+Quesería!$B$46),(Quesería!$B$44*$C$570*$C$567)/(Quesería!$B$46-Quesería!$B$47),0)*IF(C$47&gt;2,1-Quesería!$B$48,1)+IF(C$47=2,Quesería!$B$48*(Quesería!$B$44*$C$570*$C$567)*(1-MAX(0,MIN(2-1-Quesería!$B$47,(Quesería!$B$46-Quesería!$B$47)))/(Quesería!$B$46-Quesería!$B$47)),0)))*C569</f>
        <v>0</v>
      </c>
      <c r="D598" s="29" t="n">
        <f aca="false">((IF(AND(D$47&gt;0+Quesería!$B$47,D$47&lt;=0+Quesería!$B$46),(Quesería!$B$44*$B$570*$B$567)/(Quesería!$B$46-Quesería!$B$47),0)*IF(D$47&gt;2,1-Quesería!$B$48,1)+IF(D$47=2,Quesería!$B$48*(Quesería!$B$44*$B$570*$B$567)*(1-MAX(0,MIN(2-0-Quesería!$B$47,(Quesería!$B$46-Quesería!$B$47)))/(Quesería!$B$46-Quesería!$B$47)),0))+(IF(AND(D$47&gt;1+Quesería!$B$47,D$47&lt;=1+Quesería!$B$46),(Quesería!$B$44*$C$570*$C$567)/(Quesería!$B$46-Quesería!$B$47),0)*IF(D$47&gt;2,1-Quesería!$B$48,1)+IF(D$47=2,Quesería!$B$48*(Quesería!$B$44*$C$570*$C$567)*(1-MAX(0,MIN(2-1-Quesería!$B$47,(Quesería!$B$46-Quesería!$B$47)))/(Quesería!$B$46-Quesería!$B$47)),0)))*D569</f>
        <v>88.9036060791275</v>
      </c>
      <c r="E598" s="29" t="n">
        <f aca="false">((IF(AND(E$47&gt;0+Quesería!$B$47,E$47&lt;=0+Quesería!$B$46),(Quesería!$B$44*$B$570*$B$567)/(Quesería!$B$46-Quesería!$B$47),0)*IF(E$47&gt;2,1-Quesería!$B$48,1)+IF(E$47=2,Quesería!$B$48*(Quesería!$B$44*$B$570*$B$567)*(1-MAX(0,MIN(2-0-Quesería!$B$47,(Quesería!$B$46-Quesería!$B$47)))/(Quesería!$B$46-Quesería!$B$47)),0))+(IF(AND(E$47&gt;1+Quesería!$B$47,E$47&lt;=1+Quesería!$B$46),(Quesería!$B$44*$C$570*$C$567)/(Quesería!$B$46-Quesería!$B$47),0)*IF(E$47&gt;2,1-Quesería!$B$48,1)+IF(E$47=2,Quesería!$B$48*(Quesería!$B$44*$C$570*$C$567)*(1-MAX(0,MIN(2-1-Quesería!$B$47,(Quesería!$B$46-Quesería!$B$47)))/(Quesería!$B$46-Quesería!$B$47)),0)))*E569</f>
        <v>146.369978940694</v>
      </c>
      <c r="F598" s="29" t="n">
        <f aca="false">((IF(AND(F$47&gt;0+Quesería!$B$47,F$47&lt;=0+Quesería!$B$46),(Quesería!$B$44*$B$570*$B$567)/(Quesería!$B$46-Quesería!$B$47),0)*IF(F$47&gt;2,1-Quesería!$B$48,1)+IF(F$47=2,Quesería!$B$48*(Quesería!$B$44*$B$570*$B$567)*(1-MAX(0,MIN(2-0-Quesería!$B$47,(Quesería!$B$46-Quesería!$B$47)))/(Quesería!$B$46-Quesería!$B$47)),0))+(IF(AND(F$47&gt;1+Quesería!$B$47,F$47&lt;=1+Quesería!$B$46),(Quesería!$B$44*$C$570*$C$567)/(Quesería!$B$46-Quesería!$B$47),0)*IF(F$47&gt;2,1-Quesería!$B$48,1)+IF(F$47=2,Quesería!$B$48*(Quesería!$B$44*$C$570*$C$567)*(1-MAX(0,MIN(2-1-Quesería!$B$47,(Quesería!$B$46-Quesería!$B$47)))/(Quesería!$B$46-Quesería!$B$47)),0)))*F569</f>
        <v>137.436599944313</v>
      </c>
      <c r="G598" s="29" t="n">
        <f aca="false">((IF(AND(G$47&gt;0+Quesería!$B$47,G$47&lt;=0+Quesería!$B$46),(Quesería!$B$44*$B$570*$B$567)/(Quesería!$B$46-Quesería!$B$47),0)*IF(G$47&gt;2,1-Quesería!$B$48,1)+IF(G$47=2,Quesería!$B$48*(Quesería!$B$44*$B$570*$B$567)*(1-MAX(0,MIN(2-0-Quesería!$B$47,(Quesería!$B$46-Quesería!$B$47)))/(Quesería!$B$46-Quesería!$B$47)),0))+(IF(AND(G$47&gt;1+Quesería!$B$47,G$47&lt;=1+Quesería!$B$46),(Quesería!$B$44*$C$570*$C$567)/(Quesería!$B$46-Quesería!$B$47),0)*IF(G$47&gt;2,1-Quesería!$B$48,1)+IF(G$47=2,Quesería!$B$48*(Quesería!$B$44*$C$570*$C$567)*(1-MAX(0,MIN(2-1-Quesería!$B$47,(Quesería!$B$46-Quesería!$B$47)))/(Quesería!$B$46-Quesería!$B$47)),0)))*G569</f>
        <v>129.048450651937</v>
      </c>
      <c r="H598" s="29" t="n">
        <f aca="false">((IF(AND(H$47&gt;0+Quesería!$B$47,H$47&lt;=0+Quesería!$B$46),(Quesería!$B$44*$B$570*$B$567)/(Quesería!$B$46-Quesería!$B$47),0)*IF(H$47&gt;2,1-Quesería!$B$48,1)+IF(H$47=2,Quesería!$B$48*(Quesería!$B$44*$B$570*$B$567)*(1-MAX(0,MIN(2-0-Quesería!$B$47,(Quesería!$B$46-Quesería!$B$47)))/(Quesería!$B$46-Quesería!$B$47)),0))+(IF(AND(H$47&gt;1+Quesería!$B$47,H$47&lt;=1+Quesería!$B$46),(Quesería!$B$44*$C$570*$C$567)/(Quesería!$B$46-Quesería!$B$47),0)*IF(H$47&gt;2,1-Quesería!$B$48,1)+IF(H$47=2,Quesería!$B$48*(Quesería!$B$44*$C$570*$C$567)*(1-MAX(0,MIN(2-1-Quesería!$B$47,(Quesería!$B$46-Quesería!$B$47)))/(Quesería!$B$46-Quesería!$B$47)),0)))*H569</f>
        <v>121.172254133274</v>
      </c>
      <c r="I598" s="29" t="n">
        <f aca="false">((IF(AND(I$47&gt;0+Quesería!$B$47,I$47&lt;=0+Quesería!$B$46),(Quesería!$B$44*$B$570*$B$567)/(Quesería!$B$46-Quesería!$B$47),0)*IF(I$47&gt;2,1-Quesería!$B$48,1)+IF(I$47=2,Quesería!$B$48*(Quesería!$B$44*$B$570*$B$567)*(1-MAX(0,MIN(2-0-Quesería!$B$47,(Quesería!$B$46-Quesería!$B$47)))/(Quesería!$B$46-Quesería!$B$47)),0))+(IF(AND(I$47&gt;1+Quesería!$B$47,I$47&lt;=1+Quesería!$B$46),(Quesería!$B$44*$C$570*$C$567)/(Quesería!$B$46-Quesería!$B$47),0)*IF(I$47&gt;2,1-Quesería!$B$48,1)+IF(I$47=2,Quesería!$B$48*(Quesería!$B$44*$C$570*$C$567)*(1-MAX(0,MIN(2-1-Quesería!$B$47,(Quesería!$B$46-Quesería!$B$47)))/(Quesería!$B$46-Quesería!$B$47)),0)))*I569</f>
        <v>113.776764444389</v>
      </c>
      <c r="J598" s="29" t="n">
        <f aca="false">((IF(AND(J$47&gt;0+Quesería!$B$47,J$47&lt;=0+Quesería!$B$46),(Quesería!$B$44*$B$570*$B$567)/(Quesería!$B$46-Quesería!$B$47),0)*IF(J$47&gt;2,1-Quesería!$B$48,1)+IF(J$47=2,Quesería!$B$48*(Quesería!$B$44*$B$570*$B$567)*(1-MAX(0,MIN(2-0-Quesería!$B$47,(Quesería!$B$46-Quesería!$B$47)))/(Quesería!$B$46-Quesería!$B$47)),0))+(IF(AND(J$47&gt;1+Quesería!$B$47,J$47&lt;=1+Quesería!$B$46),(Quesería!$B$44*$C$570*$C$567)/(Quesería!$B$46-Quesería!$B$47),0)*IF(J$47&gt;2,1-Quesería!$B$48,1)+IF(J$47=2,Quesería!$B$48*(Quesería!$B$44*$C$570*$C$567)*(1-MAX(0,MIN(2-1-Quesería!$B$47,(Quesería!$B$46-Quesería!$B$47)))/(Quesería!$B$46-Quesería!$B$47)),0)))*J569</f>
        <v>45.903968140494</v>
      </c>
      <c r="K598" s="29" t="n">
        <f aca="false">((IF(AND(K$47&gt;0+Quesería!$B$47,K$47&lt;=0+Quesería!$B$46),(Quesería!$B$44*$B$570*$B$567)/(Quesería!$B$46-Quesería!$B$47),0)*IF(K$47&gt;2,1-Quesería!$B$48,1)+IF(K$47=2,Quesería!$B$48*(Quesería!$B$44*$B$570*$B$567)*(1-MAX(0,MIN(2-0-Quesería!$B$47,(Quesería!$B$46-Quesería!$B$47)))/(Quesería!$B$46-Quesería!$B$47)),0))+(IF(AND(K$47&gt;1+Quesería!$B$47,K$47&lt;=1+Quesería!$B$46),(Quesería!$B$44*$C$570*$C$567)/(Quesería!$B$46-Quesería!$B$47),0)*IF(K$47&gt;2,1-Quesería!$B$48,1)+IF(K$47=2,Quesería!$B$48*(Quesería!$B$44*$C$570*$C$567)*(1-MAX(0,MIN(2-1-Quesería!$B$47,(Quesería!$B$46-Quesería!$B$47)))/(Quesería!$B$46-Quesería!$B$47)),0)))*K569</f>
        <v>0</v>
      </c>
      <c r="L598" s="29" t="n">
        <f aca="false">((IF(AND(L$47&gt;0+Quesería!$B$47,L$47&lt;=0+Quesería!$B$46),(Quesería!$B$44*$B$570*$B$567)/(Quesería!$B$46-Quesería!$B$47),0)*IF(L$47&gt;2,1-Quesería!$B$48,1)+IF(L$47=2,Quesería!$B$48*(Quesería!$B$44*$B$570*$B$567)*(1-MAX(0,MIN(2-0-Quesería!$B$47,(Quesería!$B$46-Quesería!$B$47)))/(Quesería!$B$46-Quesería!$B$47)),0))+(IF(AND(L$47&gt;1+Quesería!$B$47,L$47&lt;=1+Quesería!$B$46),(Quesería!$B$44*$C$570*$C$567)/(Quesería!$B$46-Quesería!$B$47),0)*IF(L$47&gt;2,1-Quesería!$B$48,1)+IF(L$47=2,Quesería!$B$48*(Quesería!$B$44*$C$570*$C$567)*(1-MAX(0,MIN(2-1-Quesería!$B$47,(Quesería!$B$46-Quesería!$B$47)))/(Quesería!$B$46-Quesería!$B$47)),0)))*L569</f>
        <v>0</v>
      </c>
    </row>
    <row r="599" customFormat="false" ht="15" hidden="true" customHeight="false" outlineLevel="1" collapsed="false">
      <c r="A599" s="6" t="s">
        <v>434</v>
      </c>
      <c r="B599" s="29" t="n">
        <f aca="false">$N$13*Quesería!$B$51*(1+0.19)*B595*B569+(1-$N$13)*IF(B$47=0,Quesería!$B$50,0)</f>
        <v>4</v>
      </c>
      <c r="C599" s="29" t="n">
        <f aca="false">$N$13*Quesería!$B$51*(1+0.19)*C595*C569+(1-$N$13)*IF(C$47=0,Quesería!$B$50,0)</f>
        <v>0</v>
      </c>
      <c r="D599" s="29" t="n">
        <f aca="false">$N$13*Quesería!$B$51*(1+0.19)*D595*D569+(1-$N$13)*IF(D$47=0,Quesería!$B$50,0)</f>
        <v>0</v>
      </c>
      <c r="E599" s="29" t="n">
        <f aca="false">$N$13*Quesería!$B$51*(1+0.19)*E595*E569+(1-$N$13)*IF(E$47=0,Quesería!$B$50,0)</f>
        <v>0</v>
      </c>
      <c r="F599" s="29" t="n">
        <f aca="false">$N$13*Quesería!$B$51*(1+0.19)*F595*F569+(1-$N$13)*IF(F$47=0,Quesería!$B$50,0)</f>
        <v>0</v>
      </c>
      <c r="G599" s="29" t="n">
        <f aca="false">$N$13*Quesería!$B$51*(1+0.19)*G595*G569+(1-$N$13)*IF(G$47=0,Quesería!$B$50,0)</f>
        <v>0</v>
      </c>
      <c r="H599" s="29" t="n">
        <f aca="false">$N$13*Quesería!$B$51*(1+0.19)*H595*H569+(1-$N$13)*IF(H$47=0,Quesería!$B$50,0)</f>
        <v>0</v>
      </c>
      <c r="I599" s="29" t="n">
        <f aca="false">$N$13*Quesería!$B$51*(1+0.19)*I595*I569+(1-$N$13)*IF(I$47=0,Quesería!$B$50,0)</f>
        <v>0</v>
      </c>
      <c r="J599" s="29" t="n">
        <f aca="false">$N$13*Quesería!$B$51*(1+0.19)*J595*J569+(1-$N$13)*IF(J$47=0,Quesería!$B$50,0)</f>
        <v>0</v>
      </c>
      <c r="K599" s="29" t="n">
        <f aca="false">$N$13*Quesería!$B$51*(1+0.19)*K595*K569+(1-$N$13)*IF(K$47=0,Quesería!$B$50,0)</f>
        <v>0</v>
      </c>
      <c r="L599" s="29" t="n">
        <f aca="false">$N$13*Quesería!$B$51*(1+0.19)*L595*L569+(1-$N$13)*IF(L$47=0,Quesería!$B$50,0)</f>
        <v>0</v>
      </c>
    </row>
    <row r="600" customFormat="false" ht="15" hidden="true" customHeight="false" outlineLevel="1" collapsed="false">
      <c r="A600" s="6" t="s">
        <v>435</v>
      </c>
      <c r="B600" s="29" t="n">
        <f aca="false">Quesería!$B$52*(B597+B598+B599)</f>
        <v>0.016</v>
      </c>
      <c r="C600" s="29" t="n">
        <f aca="false">Quesería!$B$52*(C597+C598+C599)</f>
        <v>0.370024810748773</v>
      </c>
      <c r="D600" s="29" t="n">
        <f aca="false">Quesería!$B$52*(D597+D598+D599)</f>
        <v>0.964819451485229</v>
      </c>
      <c r="E600" s="29" t="n">
        <f aca="false">Quesería!$B$52*(E597+E598+E599)</f>
        <v>1.10313078057639</v>
      </c>
      <c r="F600" s="29" t="n">
        <f aca="false">Quesería!$B$52*(F597+F598+F599)</f>
        <v>0.946285005284727</v>
      </c>
      <c r="G600" s="29" t="n">
        <f aca="false">Quesería!$B$52*(G597+G598+G599)</f>
        <v>0.804475549983537</v>
      </c>
      <c r="H600" s="29" t="n">
        <f aca="false">Quesería!$B$52*(H597+H598+H599)</f>
        <v>0.676451247486352</v>
      </c>
      <c r="I600" s="29" t="n">
        <f aca="false">Quesería!$B$52*(I597+I598+I599)</f>
        <v>0.561057644790401</v>
      </c>
      <c r="J600" s="29" t="n">
        <f aca="false">Quesería!$B$52*(J597+J598+J599)</f>
        <v>0.213515160079095</v>
      </c>
      <c r="K600" s="29" t="n">
        <f aca="false">Quesería!$B$52*(K597+K598+K599)</f>
        <v>0</v>
      </c>
      <c r="L600" s="29" t="n">
        <f aca="false">Quesería!$B$52*(L597+L598+L599)</f>
        <v>0</v>
      </c>
    </row>
    <row r="601" customFormat="false" ht="15" hidden="true" customHeight="false" outlineLevel="1" collapsed="false">
      <c r="A601" s="6" t="s">
        <v>436</v>
      </c>
      <c r="B601" s="29" t="n">
        <f aca="false">$N$17*(B597+B599+0.5*B600)</f>
        <v>1.4028</v>
      </c>
      <c r="C601" s="29" t="n">
        <f aca="false">$N$17*(C597+C599+0.5*C600)</f>
        <v>32.4419252823987</v>
      </c>
      <c r="D601" s="29" t="n">
        <f aca="false">$N$17*(D597+D599+0.5*D600)</f>
        <v>53.4742832812729</v>
      </c>
      <c r="E601" s="29" t="n">
        <f aca="false">$N$17*(E597+E599+0.5*E600)</f>
        <v>45.4874985577923</v>
      </c>
      <c r="F601" s="29" t="n">
        <f aca="false">$N$17*(F597+F599+0.5*F600)</f>
        <v>34.8627278578288</v>
      </c>
      <c r="G601" s="29" t="n">
        <f aca="false">$N$17*(G597+G599+0.5*G600)</f>
        <v>25.3654361166286</v>
      </c>
      <c r="H601" s="29" t="n">
        <f aca="false">$N$17*(H597+H599+0.5*H600)</f>
        <v>16.8975741767199</v>
      </c>
      <c r="I601" s="29" t="n">
        <f aca="false">$N$17*(I597+I599+0.5*I600)</f>
        <v>9.36886145146223</v>
      </c>
      <c r="J601" s="29" t="n">
        <f aca="false">$N$17*(J597+J599+0.5*J600)</f>
        <v>2.65355281076178</v>
      </c>
      <c r="K601" s="29" t="n">
        <f aca="false">$N$17*(K597+K599+0.5*K600)</f>
        <v>0</v>
      </c>
      <c r="L601" s="29" t="n">
        <f aca="false">$N$17*(L597+L599+0.5*L600)</f>
        <v>0</v>
      </c>
    </row>
    <row r="602" customFormat="false" ht="15" hidden="true" customHeight="false" outlineLevel="1" collapsed="false">
      <c r="A602" s="5" t="s">
        <v>437</v>
      </c>
      <c r="B602" s="59" t="n">
        <f aca="false">B587+B596-B597-B598-B599-B600+B601</f>
        <v>-358.744924503166</v>
      </c>
      <c r="C602" s="59" t="n">
        <f aca="false">C587+C596-C597-C598-C599-C600+C601</f>
        <v>-37.2335719518799</v>
      </c>
      <c r="D602" s="59" t="n">
        <f aca="false">D587+D596-D597-D598-D599-D600+D601</f>
        <v>258.035819431335</v>
      </c>
      <c r="E602" s="59" t="n">
        <f aca="false">E587+E596-E597-E598-E599-E600+E601</f>
        <v>86.9387977770527</v>
      </c>
      <c r="F602" s="59" t="n">
        <f aca="false">F587+F596-F597-F598-F599-F600+F601</f>
        <v>150.41299207741</v>
      </c>
      <c r="G602" s="59" t="n">
        <f aca="false">G587+G596-G597-G598-G599-G600+G601</f>
        <v>141.320746196172</v>
      </c>
      <c r="H602" s="59" t="n">
        <f aca="false">H587+H596-H597-H598-H599-H600+H601</f>
        <v>143.072967010887</v>
      </c>
      <c r="I602" s="59" t="n">
        <f aca="false">I587+I596-I597-I598-I599-I600+I601</f>
        <v>224.351324546656</v>
      </c>
      <c r="J602" s="59" t="n">
        <f aca="false">J587+J596-J597-J598-J599-J600+J601</f>
        <v>294.573412842731</v>
      </c>
      <c r="K602" s="59" t="n">
        <f aca="false">K587+K596-K597-K598-K599-K600+K601</f>
        <v>343.629145894761</v>
      </c>
      <c r="L602" s="59" t="n">
        <f aca="false">L587+L596-L597-L598-L599-L600+L601</f>
        <v>572.541123608493</v>
      </c>
    </row>
    <row r="603" customFormat="false" ht="15" hidden="true" customHeight="false" outlineLevel="1" collapsed="false">
      <c r="A603" s="9" t="s">
        <v>438</v>
      </c>
      <c r="B603" s="58" t="n">
        <f aca="false">B602*B567</f>
        <v>-382.063344595871</v>
      </c>
      <c r="C603" s="58" t="n">
        <f aca="false">C602*C567</f>
        <v>-42.2312481471209</v>
      </c>
      <c r="D603" s="58" t="n">
        <f aca="false">D602*D567</f>
        <v>311.694271318649</v>
      </c>
      <c r="E603" s="58" t="n">
        <f aca="false">E602*E567</f>
        <v>111.84383790397</v>
      </c>
      <c r="F603" s="58" t="n">
        <f aca="false">F602*F567</f>
        <v>206.078834449699</v>
      </c>
      <c r="G603" s="58" t="n">
        <f aca="false">G602*G567</f>
        <v>206.207078153096</v>
      </c>
      <c r="H603" s="58" t="n">
        <f aca="false">H602*H567</f>
        <v>222.333465804406</v>
      </c>
      <c r="I603" s="58" t="n">
        <f aca="false">I602*I567</f>
        <v>371.300470972984</v>
      </c>
      <c r="J603" s="58" t="n">
        <f aca="false">J602*J567</f>
        <v>519.206375135539</v>
      </c>
      <c r="K603" s="58" t="n">
        <f aca="false">K602*K567</f>
        <v>645.039143917567</v>
      </c>
      <c r="L603" s="58" t="n">
        <f aca="false">L602*L567</f>
        <v>1144.59638911256</v>
      </c>
    </row>
    <row r="604" customFormat="false" ht="15" hidden="true" customHeight="false" outlineLevel="1" collapsed="false">
      <c r="A604" s="9" t="s">
        <v>439</v>
      </c>
      <c r="B604" s="57" t="n">
        <f aca="false">(B567/$B$567)/(1+Quesería!$B$11+$N$28)^B$47</f>
        <v>1</v>
      </c>
      <c r="C604" s="57" t="n">
        <f aca="false">(C567/$B$567)/(1+Quesería!$B$11+$N$28)^C$47</f>
        <v>0.837372066351013</v>
      </c>
      <c r="D604" s="57" t="n">
        <f aca="false">(D567/$B$567)/(1+Quesería!$B$11+$N$28)^D$47</f>
        <v>0.701191977504965</v>
      </c>
      <c r="E604" s="57" t="n">
        <f aca="false">(E567/$B$567)/(1+Quesería!$B$11+$N$28)^E$47</f>
        <v>0.587158575112085</v>
      </c>
      <c r="F604" s="57" t="n">
        <f aca="false">(F567/$B$567)/(1+Quesería!$B$11+$N$28)^F$47</f>
        <v>0.491670189317323</v>
      </c>
      <c r="G604" s="57" t="n">
        <f aca="false">(G567/$B$567)/(1+Quesería!$B$11+$N$28)^G$47</f>
        <v>0.41171088239184</v>
      </c>
      <c r="H604" s="57" t="n">
        <f aca="false">(H567/$B$567)/(1+Quesería!$B$11+$N$28)^H$47</f>
        <v>0.344755192327654</v>
      </c>
      <c r="I604" s="57" t="n">
        <f aca="false">(I567/$B$567)/(1+Quesería!$B$11+$N$28)^I$47</f>
        <v>0.288688367784648</v>
      </c>
      <c r="J604" s="57" t="n">
        <f aca="false">(J567/$B$567)/(1+Quesería!$B$11+$N$28)^J$47</f>
        <v>0.241739575063332</v>
      </c>
      <c r="K604" s="57" t="n">
        <f aca="false">(K567/$B$567)/(1+Quesería!$B$11+$N$28)^K$47</f>
        <v>0.202425967489598</v>
      </c>
      <c r="L604" s="57" t="n">
        <f aca="false">(L567/$B$567)/(1+Quesería!$B$11+$N$28)^L$47</f>
        <v>0.169505850679868</v>
      </c>
    </row>
    <row r="605" customFormat="false" ht="15" hidden="true" customHeight="false" outlineLevel="1" collapsed="false">
      <c r="A605" s="9" t="s">
        <v>440</v>
      </c>
      <c r="B605" s="58" t="n">
        <f aca="false">B587+B570+B572+B601</f>
        <v>120.166830858099</v>
      </c>
      <c r="C605" s="58" t="n">
        <f aca="false">C587+C570+C572+C601</f>
        <v>411.215951550291</v>
      </c>
      <c r="D605" s="58" t="n">
        <f aca="false">D587+D570+D572+D601</f>
        <v>500.205501754127</v>
      </c>
      <c r="E605" s="58" t="n">
        <f aca="false">E587+E570+E572+E601</f>
        <v>363.824623701727</v>
      </c>
      <c r="F605" s="58" t="n">
        <f aca="false">F587+F570+F572+F601</f>
        <v>387.930528403876</v>
      </c>
      <c r="G605" s="58" t="n">
        <f aca="false">G587+G570+G572+G601</f>
        <v>348.462500523126</v>
      </c>
      <c r="H605" s="58" t="n">
        <f aca="false">H587+H570+H572+H601</f>
        <v>321.676169715043</v>
      </c>
      <c r="I605" s="58" t="n">
        <f aca="false">I587+I570+I572+I601</f>
        <v>365.176793389046</v>
      </c>
      <c r="J605" s="58" t="n">
        <f aca="false">J587+J570+J572+J601</f>
        <v>348.165718022584</v>
      </c>
      <c r="K605" s="58" t="n">
        <f aca="false">K587+K570+K572+K601</f>
        <v>343.629145894761</v>
      </c>
      <c r="L605" s="58" t="n">
        <f aca="false">L587+L570+L572+L601</f>
        <v>572.541123608493</v>
      </c>
    </row>
    <row r="606" customFormat="false" ht="15" hidden="true" customHeight="false" outlineLevel="1" collapsed="false">
      <c r="A606" s="5" t="s">
        <v>149</v>
      </c>
      <c r="B606" s="12" t="str">
        <f aca="false">IF(AND(B$47&gt;=1,(B597+B598+B599)&gt;0.001),B605/(B597+B598+B599),"")</f>
        <v/>
      </c>
      <c r="C606" s="12" t="n">
        <f aca="false">IF(AND(C$47&gt;=1,(C597+C598+C599)&gt;0.001),C605/(C597+C598+C599),"")</f>
        <v>4.4452797715717</v>
      </c>
      <c r="D606" s="12" t="n">
        <f aca="false">IF(AND(D$47&gt;=1,(D597+D598+D599)&gt;0.001),D605/(D597+D598+D599),"")</f>
        <v>2.07377867842162</v>
      </c>
      <c r="E606" s="12" t="n">
        <f aca="false">IF(AND(E$47&gt;=1,(E597+E598+E599)&gt;0.001),E605/(E597+E598+E599),"")</f>
        <v>1.3192438470863</v>
      </c>
      <c r="F606" s="12" t="n">
        <f aca="false">IF(AND(F$47&gt;=1,(F597+F598+F599)&gt;0.001),F605/(F597+F598+F599),"")</f>
        <v>1.63980418684602</v>
      </c>
      <c r="G606" s="12" t="n">
        <f aca="false">IF(AND(G$47&gt;=1,(G597+G598+G599)&gt;0.001),G605/(G597+G598+G599),"")</f>
        <v>1.73261947130777</v>
      </c>
      <c r="H606" s="12" t="n">
        <f aca="false">IF(AND(H$47&gt;=1,(H597+H598+H599)&gt;0.001),H605/(H597+H598+H599),"")</f>
        <v>1.90213956089442</v>
      </c>
      <c r="I606" s="12" t="n">
        <f aca="false">IF(AND(I$47&gt;=1,(I597+I598+I599)&gt;0.001),I605/(I597+I598+I599),"")</f>
        <v>2.60348858467453</v>
      </c>
      <c r="J606" s="12" t="n">
        <f aca="false">IF(AND(J$47&gt;=1,(J597+J598+J599)&gt;0.001),J605/(J597+J598+J599),"")</f>
        <v>6.52254796134586</v>
      </c>
      <c r="K606" s="12" t="str">
        <f aca="false">IF(AND(K$47&gt;=1,(K597+K598+K599)&gt;0.001),K605/(K597+K598+K599),"")</f>
        <v/>
      </c>
      <c r="L606" s="12" t="str">
        <f aca="false">IF(AND(L$47&gt;=1,(L597+L598+L599)&gt;0.001),L605/(L597+L598+L599),"")</f>
        <v/>
      </c>
    </row>
    <row r="608" customFormat="false" ht="15" hidden="false" customHeight="false" outlineLevel="0" collapsed="false">
      <c r="A608" s="43" t="s">
        <v>1250</v>
      </c>
      <c r="B608" s="44"/>
      <c r="C608" s="44"/>
      <c r="D608" s="44"/>
      <c r="E608" s="44"/>
      <c r="F608" s="44"/>
      <c r="G608" s="44"/>
      <c r="H608" s="44"/>
      <c r="I608" s="44"/>
      <c r="J608" s="44"/>
      <c r="K608" s="44"/>
      <c r="L608" s="44"/>
    </row>
    <row r="609" customFormat="false" ht="15" hidden="true" customHeight="false" outlineLevel="1" collapsed="false">
      <c r="A609" s="9" t="s">
        <v>406</v>
      </c>
      <c r="B609" s="56" t="n">
        <f aca="false">CHOOSE($O$15,Entorno!B$7,Entorno!B$8,Entorno!B$9)</f>
        <v>0.06</v>
      </c>
      <c r="C609" s="56" t="n">
        <f aca="false">CHOOSE($O$15,Entorno!C$7,Entorno!C$8,Entorno!C$9)</f>
        <v>0.05</v>
      </c>
      <c r="D609" s="56" t="n">
        <f aca="false">CHOOSE($O$15,Entorno!D$7,Entorno!D$8,Entorno!D$9)</f>
        <v>0.045</v>
      </c>
      <c r="E609" s="56" t="n">
        <f aca="false">CHOOSE($O$15,Entorno!E$7,Entorno!E$8,Entorno!E$9)</f>
        <v>0.04</v>
      </c>
      <c r="F609" s="56" t="n">
        <f aca="false">CHOOSE($O$15,Entorno!F$7,Entorno!F$8,Entorno!F$9)</f>
        <v>0.04</v>
      </c>
      <c r="G609" s="56" t="n">
        <f aca="false">CHOOSE($O$15,Entorno!G$7,Entorno!G$8,Entorno!G$9)</f>
        <v>0.04</v>
      </c>
      <c r="H609" s="56" t="n">
        <f aca="false">CHOOSE($O$15,Entorno!H$7,Entorno!H$8,Entorno!H$9)</f>
        <v>0.04</v>
      </c>
      <c r="I609" s="56" t="n">
        <f aca="false">CHOOSE($O$15,Entorno!I$7,Entorno!I$8,Entorno!I$9)</f>
        <v>0.04</v>
      </c>
      <c r="J609" s="56" t="n">
        <f aca="false">CHOOSE($O$15,Entorno!J$7,Entorno!J$8,Entorno!J$9)</f>
        <v>0.04</v>
      </c>
      <c r="K609" s="56" t="n">
        <f aca="false">CHOOSE($O$15,Entorno!K$7,Entorno!K$8,Entorno!K$9)</f>
        <v>0.04</v>
      </c>
      <c r="L609" s="56" t="n">
        <f aca="false">CHOOSE($O$15,Entorno!L$7,Entorno!L$8,Entorno!L$9)</f>
        <v>0.04</v>
      </c>
    </row>
    <row r="610" customFormat="false" ht="15" hidden="true" customHeight="false" outlineLevel="1" collapsed="false">
      <c r="A610" s="9" t="s">
        <v>407</v>
      </c>
      <c r="B610" s="57" t="n">
        <f aca="false">1+B609</f>
        <v>1.06</v>
      </c>
      <c r="C610" s="57" t="n">
        <f aca="false">B610*(1+C609)</f>
        <v>1.113</v>
      </c>
      <c r="D610" s="57" t="n">
        <f aca="false">C610*(1+D609)</f>
        <v>1.163085</v>
      </c>
      <c r="E610" s="57" t="n">
        <f aca="false">D610*(1+E609)</f>
        <v>1.2096084</v>
      </c>
      <c r="F610" s="57" t="n">
        <f aca="false">E610*(1+F609)</f>
        <v>1.257992736</v>
      </c>
      <c r="G610" s="57" t="n">
        <f aca="false">F610*(1+G609)</f>
        <v>1.30831244544</v>
      </c>
      <c r="H610" s="57" t="n">
        <f aca="false">G610*(1+H609)</f>
        <v>1.3606449432576</v>
      </c>
      <c r="I610" s="57" t="n">
        <f aca="false">H610*(1+I609)</f>
        <v>1.4150707409879</v>
      </c>
      <c r="J610" s="57" t="n">
        <f aca="false">I610*(1+J609)</f>
        <v>1.47167357062742</v>
      </c>
      <c r="K610" s="57" t="n">
        <f aca="false">J610*(1+K609)</f>
        <v>1.53054051345252</v>
      </c>
      <c r="L610" s="57" t="n">
        <f aca="false">K610*(1+L609)</f>
        <v>1.59176213399062</v>
      </c>
    </row>
    <row r="611" customFormat="false" ht="15" hidden="true" customHeight="false" outlineLevel="1" collapsed="false">
      <c r="A611" s="9" t="s">
        <v>408</v>
      </c>
      <c r="B611" s="57" t="n">
        <f aca="false">(1+$O$16)/(1+B609)</f>
        <v>1.00943396226415</v>
      </c>
      <c r="C611" s="57" t="n">
        <f aca="false">B611*(1+Entorno!$B$13)</f>
        <v>1.01448113207547</v>
      </c>
      <c r="D611" s="57" t="n">
        <f aca="false">C611*(1+Entorno!$B$13)</f>
        <v>1.01955353773585</v>
      </c>
      <c r="E611" s="57" t="n">
        <f aca="false">D611*(1+Entorno!$B$13)</f>
        <v>1.02465130542453</v>
      </c>
      <c r="F611" s="57" t="n">
        <f aca="false">E611*(1+Entorno!$B$13)</f>
        <v>1.02977456195165</v>
      </c>
      <c r="G611" s="57" t="n">
        <f aca="false">F611*(1+Entorno!$B$13)</f>
        <v>1.03492343476141</v>
      </c>
      <c r="H611" s="57" t="n">
        <f aca="false">G611*(1+Entorno!$B$13)</f>
        <v>1.04009805193522</v>
      </c>
      <c r="I611" s="57" t="n">
        <f aca="false">H611*(1+Entorno!$B$13)</f>
        <v>1.04529854219489</v>
      </c>
      <c r="J611" s="57" t="n">
        <f aca="false">I611*(1+Entorno!$B$13)</f>
        <v>1.05052503490587</v>
      </c>
      <c r="K611" s="57" t="n">
        <f aca="false">J611*(1+Entorno!$B$13)</f>
        <v>1.0557776600804</v>
      </c>
      <c r="L611" s="57" t="n">
        <f aca="false">K611*(1+Entorno!$B$13)</f>
        <v>1.0610565483808</v>
      </c>
    </row>
    <row r="612" customFormat="false" ht="15" hidden="true" customHeight="false" outlineLevel="1" collapsed="false">
      <c r="A612" s="9" t="s">
        <v>409</v>
      </c>
      <c r="B612" s="57" t="n">
        <f aca="false">1/B610</f>
        <v>0.943396226415094</v>
      </c>
      <c r="C612" s="57" t="n">
        <f aca="false">1/C610</f>
        <v>0.898472596585804</v>
      </c>
      <c r="D612" s="57" t="n">
        <f aca="false">1/D610</f>
        <v>0.859782389077324</v>
      </c>
      <c r="E612" s="57" t="n">
        <f aca="false">1/E610</f>
        <v>0.826713835651273</v>
      </c>
      <c r="F612" s="57" t="n">
        <f aca="false">1/F610</f>
        <v>0.794917149664686</v>
      </c>
      <c r="G612" s="57" t="n">
        <f aca="false">1/G610</f>
        <v>0.764343413139121</v>
      </c>
      <c r="H612" s="57" t="n">
        <f aca="false">1/H610</f>
        <v>0.734945589556847</v>
      </c>
      <c r="I612" s="57" t="n">
        <f aca="false">1/I610</f>
        <v>0.706678451496968</v>
      </c>
      <c r="J612" s="57" t="n">
        <f aca="false">1/J610</f>
        <v>0.679498511054777</v>
      </c>
      <c r="K612" s="57" t="n">
        <f aca="false">1/K610</f>
        <v>0.653363952937286</v>
      </c>
      <c r="L612" s="57" t="n">
        <f aca="false">1/L610</f>
        <v>0.628234570132006</v>
      </c>
    </row>
    <row r="613" customFormat="false" ht="15" hidden="true" customHeight="false" outlineLevel="1" collapsed="false">
      <c r="A613" s="6" t="s">
        <v>323</v>
      </c>
      <c r="B613" s="29" t="n">
        <f aca="false">IF(B$47=0,Quesería!$F$92,IF(B$47=1,(Quesería!$F$93-(-$O$26)*Quesería!$D$86*(1+Quesería!$I$86))*$O$21,0))*$O$11</f>
        <v>930.800239431677</v>
      </c>
      <c r="C613" s="29" t="n">
        <f aca="false">IF(C$47=0,Quesería!$F$92,IF(C$47=1,(Quesería!$F$93-(-$O$26)*Quesería!$D$86*(1+Quesería!$I$86))*$O$21,0))*$O$11</f>
        <v>658.469066674498</v>
      </c>
      <c r="D613" s="29" t="n">
        <f aca="false">IF(D$47=0,Quesería!$F$92,IF(D$47=1,(Quesería!$F$93-(-$O$26)*Quesería!$D$86*(1+Quesería!$I$86))*$O$21,0))*$O$11</f>
        <v>0</v>
      </c>
      <c r="E613" s="29" t="n">
        <f aca="false">IF(E$47=0,Quesería!$F$92,IF(E$47=1,(Quesería!$F$93-(-$O$26)*Quesería!$D$86*(1+Quesería!$I$86))*$O$21,0))*$O$11</f>
        <v>0</v>
      </c>
      <c r="F613" s="29" t="n">
        <f aca="false">IF(F$47=0,Quesería!$F$92,IF(F$47=1,(Quesería!$F$93-(-$O$26)*Quesería!$D$86*(1+Quesería!$I$86))*$O$21,0))*$O$11</f>
        <v>0</v>
      </c>
      <c r="G613" s="29" t="n">
        <f aca="false">IF(G$47=0,Quesería!$F$92,IF(G$47=1,(Quesería!$F$93-(-$O$26)*Quesería!$D$86*(1+Quesería!$I$86))*$O$21,0))*$O$11</f>
        <v>0</v>
      </c>
      <c r="H613" s="29" t="n">
        <f aca="false">IF(H$47=0,Quesería!$F$92,IF(H$47=1,(Quesería!$F$93-(-$O$26)*Quesería!$D$86*(1+Quesería!$I$86))*$O$21,0))*$O$11</f>
        <v>0</v>
      </c>
      <c r="I613" s="29" t="n">
        <f aca="false">IF(I$47=0,Quesería!$F$92,IF(I$47=1,(Quesería!$F$93-(-$O$26)*Quesería!$D$86*(1+Quesería!$I$86))*$O$21,0))*$O$11</f>
        <v>0</v>
      </c>
      <c r="J613" s="29" t="n">
        <f aca="false">IF(J$47=0,Quesería!$F$92,IF(J$47=1,(Quesería!$F$93-(-$O$26)*Quesería!$D$86*(1+Quesería!$I$86))*$O$21,0))*$O$11</f>
        <v>0</v>
      </c>
      <c r="K613" s="29" t="n">
        <f aca="false">IF(K$47=0,Quesería!$F$92,IF(K$47=1,(Quesería!$F$93-(-$O$26)*Quesería!$D$86*(1+Quesería!$I$86))*$O$21,0))*$O$11</f>
        <v>0</v>
      </c>
      <c r="L613" s="29" t="n">
        <f aca="false">IF(L$47=0,Quesería!$F$92,IF(L$47=1,(Quesería!$F$93-(-$O$26)*Quesería!$D$86*(1+Quesería!$I$86))*$O$21,0))*$O$11</f>
        <v>0</v>
      </c>
    </row>
    <row r="614" customFormat="false" ht="15" hidden="true" customHeight="false" outlineLevel="1" collapsed="false">
      <c r="A614" s="6" t="s">
        <v>410</v>
      </c>
      <c r="B614" s="29" t="n">
        <f aca="false">IF(B$47=5,Quesería!$F$99,IF(B$47=6,Quesería!$F$100,0))*$O$11</f>
        <v>0</v>
      </c>
      <c r="C614" s="29" t="n">
        <f aca="false">IF(C$47=5,Quesería!$F$99,IF(C$47=6,Quesería!$F$100,0))*$O$11</f>
        <v>0</v>
      </c>
      <c r="D614" s="29" t="n">
        <f aca="false">IF(D$47=5,Quesería!$F$99,IF(D$47=6,Quesería!$F$100,0))*$O$11</f>
        <v>0</v>
      </c>
      <c r="E614" s="29" t="n">
        <f aca="false">IF(E$47=5,Quesería!$F$99,IF(E$47=6,Quesería!$F$100,0))*$O$11</f>
        <v>0</v>
      </c>
      <c r="F614" s="29" t="n">
        <f aca="false">IF(F$47=5,Quesería!$F$99,IF(F$47=6,Quesería!$F$100,0))*$O$11</f>
        <v>0</v>
      </c>
      <c r="G614" s="29" t="n">
        <f aca="false">IF(G$47=5,Quesería!$F$99,IF(G$47=6,Quesería!$F$100,0))*$O$11</f>
        <v>27.4652172688735</v>
      </c>
      <c r="H614" s="29" t="n">
        <f aca="false">IF(H$47=5,Quesería!$F$99,IF(H$47=6,Quesería!$F$100,0))*$O$11</f>
        <v>46.3891557109552</v>
      </c>
      <c r="I614" s="29" t="n">
        <f aca="false">IF(I$47=5,Quesería!$F$99,IF(I$47=6,Quesería!$F$100,0))*$O$11</f>
        <v>0</v>
      </c>
      <c r="J614" s="29" t="n">
        <f aca="false">IF(J$47=5,Quesería!$F$99,IF(J$47=6,Quesería!$F$100,0))*$O$11</f>
        <v>0</v>
      </c>
      <c r="K614" s="29" t="n">
        <f aca="false">IF(K$47=5,Quesería!$F$99,IF(K$47=6,Quesería!$F$100,0))*$O$11</f>
        <v>0</v>
      </c>
      <c r="L614" s="29" t="n">
        <f aca="false">IF(L$47=5,Quesería!$F$99,IF(L$47=6,Quesería!$F$100,0))*$O$11</f>
        <v>0</v>
      </c>
    </row>
    <row r="615" customFormat="false" ht="15" hidden="true" customHeight="false" outlineLevel="1" collapsed="false">
      <c r="A615" s="6" t="s">
        <v>411</v>
      </c>
      <c r="B615" s="29" t="n">
        <f aca="false">Quesería!$B$55*(IF(B$47=0,SUMPRODUCT((Quesería!$C$70:$C$89=0)*(Quesería!$H$70:$H$89&gt;0)*(Quesería!$J$70:$J$89&gt;0)*Quesería!$F$70:$F$89*(1+Quesería!$I$70:$I$89)),IF(B$47=1,(SUMPRODUCT((Quesería!$C$70:$C$89=1)*(Quesería!$H$70:$H$89&gt;0)*(Quesería!$J$70:$J$89&gt;0)*Quesería!$F$70:$F$89*(1+Quesería!$I$70:$I$89))-(-$O$26)*Quesería!$D$86*(1+Quesería!$I$86))*$O$21,0))*$O$11+B614)</f>
        <v>149.115671560178</v>
      </c>
      <c r="C615" s="29" t="n">
        <f aca="false">Quesería!$B$55*(IF(C$47=0,SUMPRODUCT((Quesería!$C$70:$C$89=0)*(Quesería!$H$70:$H$89&gt;0)*(Quesería!$J$70:$J$89&gt;0)*Quesería!$F$70:$F$89*(1+Quesería!$I$70:$I$89)),IF(C$47=1,(SUMPRODUCT((Quesería!$C$70:$C$89=1)*(Quesería!$H$70:$H$89&gt;0)*(Quesería!$J$70:$J$89&gt;0)*Quesería!$F$70:$F$89*(1+Quesería!$I$70:$I$89))-(-$O$26)*Quesería!$D$86*(1+Quesería!$I$86))*$O$21,0))*$O$11+C614)</f>
        <v>125.109122668155</v>
      </c>
      <c r="D615" s="29" t="n">
        <f aca="false">Quesería!$B$55*(IF(D$47=0,SUMPRODUCT((Quesería!$C$70:$C$89=0)*(Quesería!$H$70:$H$89&gt;0)*(Quesería!$J$70:$J$89&gt;0)*Quesería!$F$70:$F$89*(1+Quesería!$I$70:$I$89)),IF(D$47=1,(SUMPRODUCT((Quesería!$C$70:$C$89=1)*(Quesería!$H$70:$H$89&gt;0)*(Quesería!$J$70:$J$89&gt;0)*Quesería!$F$70:$F$89*(1+Quesería!$I$70:$I$89))-(-$O$26)*Quesería!$D$86*(1+Quesería!$I$86))*$O$21,0))*$O$11+D614)</f>
        <v>0</v>
      </c>
      <c r="E615" s="29" t="n">
        <f aca="false">Quesería!$B$55*(IF(E$47=0,SUMPRODUCT((Quesería!$C$70:$C$89=0)*(Quesería!$H$70:$H$89&gt;0)*(Quesería!$J$70:$J$89&gt;0)*Quesería!$F$70:$F$89*(1+Quesería!$I$70:$I$89)),IF(E$47=1,(SUMPRODUCT((Quesería!$C$70:$C$89=1)*(Quesería!$H$70:$H$89&gt;0)*(Quesería!$J$70:$J$89&gt;0)*Quesería!$F$70:$F$89*(1+Quesería!$I$70:$I$89))-(-$O$26)*Quesería!$D$86*(1+Quesería!$I$86))*$O$21,0))*$O$11+E614)</f>
        <v>0</v>
      </c>
      <c r="F615" s="29" t="n">
        <f aca="false">Quesería!$B$55*(IF(F$47=0,SUMPRODUCT((Quesería!$C$70:$C$89=0)*(Quesería!$H$70:$H$89&gt;0)*(Quesería!$J$70:$J$89&gt;0)*Quesería!$F$70:$F$89*(1+Quesería!$I$70:$I$89)),IF(F$47=1,(SUMPRODUCT((Quesería!$C$70:$C$89=1)*(Quesería!$H$70:$H$89&gt;0)*(Quesería!$J$70:$J$89&gt;0)*Quesería!$F$70:$F$89*(1+Quesería!$I$70:$I$89))-(-$O$26)*Quesería!$D$86*(1+Quesería!$I$86))*$O$21,0))*$O$11+F614)</f>
        <v>0</v>
      </c>
      <c r="G615" s="29" t="n">
        <f aca="false">Quesería!$B$55*(IF(G$47=0,SUMPRODUCT((Quesería!$C$70:$C$89=0)*(Quesería!$H$70:$H$89&gt;0)*(Quesería!$J$70:$J$89&gt;0)*Quesería!$F$70:$F$89*(1+Quesería!$I$70:$I$89)),IF(G$47=1,(SUMPRODUCT((Quesería!$C$70:$C$89=1)*(Quesería!$H$70:$H$89&gt;0)*(Quesería!$J$70:$J$89&gt;0)*Quesería!$F$70:$F$89*(1+Quesería!$I$70:$I$89))-(-$O$26)*Quesería!$D$86*(1+Quesería!$I$86))*$O$21,0))*$O$11+G614)</f>
        <v>5.21839128108597</v>
      </c>
      <c r="H615" s="29" t="n">
        <f aca="false">Quesería!$B$55*(IF(H$47=0,SUMPRODUCT((Quesería!$C$70:$C$89=0)*(Quesería!$H$70:$H$89&gt;0)*(Quesería!$J$70:$J$89&gt;0)*Quesería!$F$70:$F$89*(1+Quesería!$I$70:$I$89)),IF(H$47=1,(SUMPRODUCT((Quesería!$C$70:$C$89=1)*(Quesería!$H$70:$H$89&gt;0)*(Quesería!$J$70:$J$89&gt;0)*Quesería!$F$70:$F$89*(1+Quesería!$I$70:$I$89))-(-$O$26)*Quesería!$D$86*(1+Quesería!$I$86))*$O$21,0))*$O$11+H614)</f>
        <v>8.8139395850815</v>
      </c>
      <c r="I615" s="29" t="n">
        <f aca="false">Quesería!$B$55*(IF(I$47=0,SUMPRODUCT((Quesería!$C$70:$C$89=0)*(Quesería!$H$70:$H$89&gt;0)*(Quesería!$J$70:$J$89&gt;0)*Quesería!$F$70:$F$89*(1+Quesería!$I$70:$I$89)),IF(I$47=1,(SUMPRODUCT((Quesería!$C$70:$C$89=1)*(Quesería!$H$70:$H$89&gt;0)*(Quesería!$J$70:$J$89&gt;0)*Quesería!$F$70:$F$89*(1+Quesería!$I$70:$I$89))-(-$O$26)*Quesería!$D$86*(1+Quesería!$I$86))*$O$21,0))*$O$11+I614)</f>
        <v>0</v>
      </c>
      <c r="J615" s="29" t="n">
        <f aca="false">Quesería!$B$55*(IF(J$47=0,SUMPRODUCT((Quesería!$C$70:$C$89=0)*(Quesería!$H$70:$H$89&gt;0)*(Quesería!$J$70:$J$89&gt;0)*Quesería!$F$70:$F$89*(1+Quesería!$I$70:$I$89)),IF(J$47=1,(SUMPRODUCT((Quesería!$C$70:$C$89=1)*(Quesería!$H$70:$H$89&gt;0)*(Quesería!$J$70:$J$89&gt;0)*Quesería!$F$70:$F$89*(1+Quesería!$I$70:$I$89))-(-$O$26)*Quesería!$D$86*(1+Quesería!$I$86))*$O$21,0))*$O$11+J614)</f>
        <v>0</v>
      </c>
      <c r="K615" s="29" t="n">
        <f aca="false">Quesería!$B$55*(IF(K$47=0,SUMPRODUCT((Quesería!$C$70:$C$89=0)*(Quesería!$H$70:$H$89&gt;0)*(Quesería!$J$70:$J$89&gt;0)*Quesería!$F$70:$F$89*(1+Quesería!$I$70:$I$89)),IF(K$47=1,(SUMPRODUCT((Quesería!$C$70:$C$89=1)*(Quesería!$H$70:$H$89&gt;0)*(Quesería!$J$70:$J$89&gt;0)*Quesería!$F$70:$F$89*(1+Quesería!$I$70:$I$89))-(-$O$26)*Quesería!$D$86*(1+Quesería!$I$86))*$O$21,0))*$O$11+K614)</f>
        <v>0</v>
      </c>
      <c r="L615" s="29" t="n">
        <f aca="false">Quesería!$B$55*(IF(L$47=0,SUMPRODUCT((Quesería!$C$70:$C$89=0)*(Quesería!$H$70:$H$89&gt;0)*(Quesería!$J$70:$J$89&gt;0)*Quesería!$F$70:$F$89*(1+Quesería!$I$70:$I$89)),IF(L$47=1,(SUMPRODUCT((Quesería!$C$70:$C$89=1)*(Quesería!$H$70:$H$89&gt;0)*(Quesería!$J$70:$J$89&gt;0)*Quesería!$F$70:$F$89*(1+Quesería!$I$70:$I$89))-(-$O$26)*Quesería!$D$86*(1+Quesería!$I$86))*$O$21,0))*$O$11+L614)</f>
        <v>0</v>
      </c>
    </row>
    <row r="616" customFormat="false" ht="15" hidden="true" customHeight="false" outlineLevel="1" collapsed="false">
      <c r="A616" s="6" t="s">
        <v>386</v>
      </c>
      <c r="B616" s="29" t="n">
        <f aca="false">IF(B$47=0,($O$22*Quesería!$J$126+(1-$O$22)*Quesería!$E$122)*Quesería!$B$20*Quesería!$B$21/12*$O$23,(($O$22*Quesería!$J$126+(1-$O$22)*Quesería!$E$122)+($O$22*Quesería!$J$104+(1-$O$22)*Quesería!$E$104)*(B611-1))*IF(B$47=1,Quesería!$B$20,1))*$O$10</f>
        <v>120.716772261203</v>
      </c>
      <c r="C616" s="29" t="n">
        <f aca="false">IF(C$47=0,($O$22*Quesería!$J$126+(1-$O$22)*Quesería!$E$122)*Quesería!$B$20*Quesería!$B$21/12*$O$23,(($O$22*Quesería!$J$126+(1-$O$22)*Quesería!$E$122)+($O$22*Quesería!$J$104+(1-$O$22)*Quesería!$E$104)*(C611-1))*IF(C$47=1,Quesería!$B$20,1))*$O$10</f>
        <v>181.20288197671</v>
      </c>
      <c r="D616" s="29" t="n">
        <f aca="false">IF(D$47=0,($O$22*Quesería!$J$126+(1-$O$22)*Quesería!$E$122)*Quesería!$B$20*Quesería!$B$21/12*$O$23,(($O$22*Quesería!$J$126+(1-$O$22)*Quesería!$E$122)+($O$22*Quesería!$J$104+(1-$O$22)*Quesería!$E$104)*(D611-1))*IF(D$47=1,Quesería!$B$20,1))*$O$10</f>
        <v>241.66349412618</v>
      </c>
      <c r="E616" s="29" t="n">
        <f aca="false">IF(E$47=0,($O$22*Quesería!$J$126+(1-$O$22)*Quesería!$E$122)*Quesería!$B$20*Quesería!$B$21/12*$O$23,(($O$22*Quesería!$J$126+(1-$O$22)*Quesería!$E$122)+($O$22*Quesería!$J$104+(1-$O$22)*Quesería!$E$104)*(E611-1))*IF(E$47=1,Quesería!$B$20,1))*$O$10</f>
        <v>241.723443874198</v>
      </c>
      <c r="F616" s="29" t="n">
        <f aca="false">IF(F$47=0,($O$22*Quesería!$J$126+(1-$O$22)*Quesería!$E$122)*Quesería!$B$20*Quesería!$B$21/12*$O$23,(($O$22*Quesería!$J$126+(1-$O$22)*Quesería!$E$122)+($O$22*Quesería!$J$104+(1-$O$22)*Quesería!$E$104)*(F611-1))*IF(F$47=1,Quesería!$B$20,1))*$O$10</f>
        <v>241.783693370957</v>
      </c>
      <c r="G616" s="29" t="n">
        <f aca="false">IF(G$47=0,($O$22*Quesería!$J$126+(1-$O$22)*Quesería!$E$122)*Quesería!$B$20*Quesería!$B$21/12*$O$23,(($O$22*Quesería!$J$126+(1-$O$22)*Quesería!$E$122)+($O$22*Quesería!$J$104+(1-$O$22)*Quesería!$E$104)*(G611-1))*IF(G$47=1,Quesería!$B$20,1))*$O$10</f>
        <v>241.8442441152</v>
      </c>
      <c r="H616" s="29" t="n">
        <f aca="false">IF(H$47=0,($O$22*Quesería!$J$126+(1-$O$22)*Quesería!$E$122)*Quesería!$B$20*Quesería!$B$21/12*$O$23,(($O$22*Quesería!$J$126+(1-$O$22)*Quesería!$E$122)+($O$22*Quesería!$J$104+(1-$O$22)*Quesería!$E$104)*(H611-1))*IF(H$47=1,Quesería!$B$20,1))*$O$10</f>
        <v>241.905097613164</v>
      </c>
      <c r="I616" s="29" t="n">
        <f aca="false">IF(I$47=0,($O$22*Quesería!$J$126+(1-$O$22)*Quesería!$E$122)*Quesería!$B$20*Quesería!$B$21/12*$O$23,(($O$22*Quesería!$J$126+(1-$O$22)*Quesería!$E$122)+($O$22*Quesería!$J$104+(1-$O$22)*Quesería!$E$104)*(I611-1))*IF(I$47=1,Quesería!$B$20,1))*$O$10</f>
        <v>241.966255378618</v>
      </c>
      <c r="J616" s="29" t="n">
        <f aca="false">IF(J$47=0,($O$22*Quesería!$J$126+(1-$O$22)*Quesería!$E$122)*Quesería!$B$20*Quesería!$B$21/12*$O$23,(($O$22*Quesería!$J$126+(1-$O$22)*Quesería!$E$122)+($O$22*Quesería!$J$104+(1-$O$22)*Quesería!$E$104)*(J611-1))*IF(J$47=1,Quesería!$B$20,1))*$O$10</f>
        <v>242.027718932899</v>
      </c>
      <c r="K616" s="29" t="n">
        <f aca="false">IF(K$47=0,($O$22*Quesería!$J$126+(1-$O$22)*Quesería!$E$122)*Quesería!$B$20*Quesería!$B$21/12*$O$23,(($O$22*Quesería!$J$126+(1-$O$22)*Quesería!$E$122)+($O$22*Quesería!$J$104+(1-$O$22)*Quesería!$E$104)*(K611-1))*IF(K$47=1,Quesería!$B$20,1))*$O$10</f>
        <v>242.089489804951</v>
      </c>
      <c r="L616" s="29" t="n">
        <f aca="false">IF(L$47=0,($O$22*Quesería!$J$126+(1-$O$22)*Quesería!$E$122)*Quesería!$B$20*Quesería!$B$21/12*$O$23,(($O$22*Quesería!$J$126+(1-$O$22)*Quesería!$E$122)+($O$22*Quesería!$J$104+(1-$O$22)*Quesería!$E$104)*(L611-1))*IF(L$47=1,Quesería!$B$20,1))*$O$10</f>
        <v>242.151569531364</v>
      </c>
    </row>
    <row r="617" customFormat="false" ht="15" hidden="true" customHeight="false" outlineLevel="1" collapsed="false">
      <c r="A617" s="6" t="s">
        <v>387</v>
      </c>
      <c r="B617" s="29" t="n">
        <f aca="false">IF(B$47&lt;=1,0,((($O$22*Quesería!$J$127+(1-$O$22)*Quesería!$E$123)-($O$22*Quesería!$J$113+(1-$O$22)*Quesería!$E$113)+$O$6*($O$22*Quesería!$J$113+(1-$O$22)*Quesería!$E$113)-(1-$O$9)*(($O$22*Quesería!$J$119+(1-$O$22)*Quesería!$E$119)+($O$22*Quesería!$J$118+(1-$O$22)*Quesería!$E$118))-(1-$O$24)*($O$22*Quesería!$J$117+(1-$O$22)*Quesería!$E$117)+$O$24*(1-$O$25)*'Beneficios y costos'!$B$144-(-$O$26*$O$27)*'Beneficios y costos'!$C$167)+($O$6*($O$22*Quesería!$J$113+(1-$O$22)*Quesería!$E$113)+$O$9*($O$22*Quesería!$J$119+(1-$O$22)*Quesería!$E$119))*(B611-1))*IF(B$47=2,Quesería!$B$20,1)+IF(B$47=2,Quesería!$B$24*$O$9*($O$22*Quesería!$J$119+(1-$O$22)*Quesería!$E$119)*B611,0))*$O$10*$O$21</f>
        <v>0</v>
      </c>
      <c r="C617" s="29" t="n">
        <f aca="false">IF(C$47&lt;=1,0,((($O$22*Quesería!$J$127+(1-$O$22)*Quesería!$E$123)-($O$22*Quesería!$J$113+(1-$O$22)*Quesería!$E$113)+$O$6*($O$22*Quesería!$J$113+(1-$O$22)*Quesería!$E$113)-(1-$O$9)*(($O$22*Quesería!$J$119+(1-$O$22)*Quesería!$E$119)+($O$22*Quesería!$J$118+(1-$O$22)*Quesería!$E$118))-(1-$O$24)*($O$22*Quesería!$J$117+(1-$O$22)*Quesería!$E$117)+$O$24*(1-$O$25)*'Beneficios y costos'!$B$144-(-$O$26*$O$27)*'Beneficios y costos'!$C$167)+($O$6*($O$22*Quesería!$J$113+(1-$O$22)*Quesería!$E$113)+$O$9*($O$22*Quesería!$J$119+(1-$O$22)*Quesería!$E$119))*(C611-1))*IF(C$47=2,Quesería!$B$20,1)+IF(C$47=2,Quesería!$B$24*$O$9*($O$22*Quesería!$J$119+(1-$O$22)*Quesería!$E$119)*C611,0))*$O$10*$O$21</f>
        <v>0</v>
      </c>
      <c r="D617" s="29" t="n">
        <f aca="false">IF(D$47&lt;=1,0,((($O$22*Quesería!$J$127+(1-$O$22)*Quesería!$E$123)-($O$22*Quesería!$J$113+(1-$O$22)*Quesería!$E$113)+$O$6*($O$22*Quesería!$J$113+(1-$O$22)*Quesería!$E$113)-(1-$O$9)*(($O$22*Quesería!$J$119+(1-$O$22)*Quesería!$E$119)+($O$22*Quesería!$J$118+(1-$O$22)*Quesería!$E$118))-(1-$O$24)*($O$22*Quesería!$J$117+(1-$O$22)*Quesería!$E$117)+$O$24*(1-$O$25)*'Beneficios y costos'!$B$144-(-$O$26*$O$27)*'Beneficios y costos'!$C$167)+($O$6*($O$22*Quesería!$J$113+(1-$O$22)*Quesería!$E$113)+$O$9*($O$22*Quesería!$J$119+(1-$O$22)*Quesería!$E$119))*(D611-1))*IF(D$47=2,Quesería!$B$20,1)+IF(D$47=2,Quesería!$B$24*$O$9*($O$22*Quesería!$J$119+(1-$O$22)*Quesería!$E$119)*D611,0))*$O$10*$O$21</f>
        <v>256.685163090821</v>
      </c>
      <c r="E617" s="29" t="n">
        <f aca="false">IF(E$47&lt;=1,0,((($O$22*Quesería!$J$127+(1-$O$22)*Quesería!$E$123)-($O$22*Quesería!$J$113+(1-$O$22)*Quesería!$E$113)+$O$6*($O$22*Quesería!$J$113+(1-$O$22)*Quesería!$E$113)-(1-$O$9)*(($O$22*Quesería!$J$119+(1-$O$22)*Quesería!$E$119)+($O$22*Quesería!$J$118+(1-$O$22)*Quesería!$E$118))-(1-$O$24)*($O$22*Quesería!$J$117+(1-$O$22)*Quesería!$E$117)+$O$24*(1-$O$25)*'Beneficios y costos'!$B$144-(-$O$26*$O$27)*'Beneficios y costos'!$C$167)+($O$6*($O$22*Quesería!$J$113+(1-$O$22)*Quesería!$E$113)+$O$9*($O$22*Quesería!$J$119+(1-$O$22)*Quesería!$E$119))*(E611-1))*IF(E$47=2,Quesería!$B$20,1)+IF(E$47=2,Quesería!$B$24*$O$9*($O$22*Quesería!$J$119+(1-$O$22)*Quesería!$E$119)*E611,0))*$O$10*$O$21</f>
        <v>327.808782562509</v>
      </c>
      <c r="F617" s="29" t="n">
        <f aca="false">IF(F$47&lt;=1,0,((($O$22*Quesería!$J$127+(1-$O$22)*Quesería!$E$123)-($O$22*Quesería!$J$113+(1-$O$22)*Quesería!$E$113)+$O$6*($O$22*Quesería!$J$113+(1-$O$22)*Quesería!$E$113)-(1-$O$9)*(($O$22*Quesería!$J$119+(1-$O$22)*Quesería!$E$119)+($O$22*Quesería!$J$118+(1-$O$22)*Quesería!$E$118))-(1-$O$24)*($O$22*Quesería!$J$117+(1-$O$22)*Quesería!$E$117)+$O$24*(1-$O$25)*'Beneficios y costos'!$B$144-(-$O$26*$O$27)*'Beneficios y costos'!$C$167)+($O$6*($O$22*Quesería!$J$113+(1-$O$22)*Quesería!$E$113)+$O$9*($O$22*Quesería!$J$119+(1-$O$22)*Quesería!$E$119))*(F611-1))*IF(F$47=2,Quesería!$B$20,1)+IF(F$47=2,Quesería!$B$24*$O$9*($O$22*Quesería!$J$119+(1-$O$22)*Quesería!$E$119)*F611,0))*$O$10*$O$21</f>
        <v>328.053469294245</v>
      </c>
      <c r="G617" s="29" t="n">
        <f aca="false">IF(G$47&lt;=1,0,((($O$22*Quesería!$J$127+(1-$O$22)*Quesería!$E$123)-($O$22*Quesería!$J$113+(1-$O$22)*Quesería!$E$113)+$O$6*($O$22*Quesería!$J$113+(1-$O$22)*Quesería!$E$113)-(1-$O$9)*(($O$22*Quesería!$J$119+(1-$O$22)*Quesería!$E$119)+($O$22*Quesería!$J$118+(1-$O$22)*Quesería!$E$118))-(1-$O$24)*($O$22*Quesería!$J$117+(1-$O$22)*Quesería!$E$117)+$O$24*(1-$O$25)*'Beneficios y costos'!$B$144-(-$O$26*$O$27)*'Beneficios y costos'!$C$167)+($O$6*($O$22*Quesería!$J$113+(1-$O$22)*Quesería!$E$113)+$O$9*($O$22*Quesería!$J$119+(1-$O$22)*Quesería!$E$119))*(G611-1))*IF(G$47=2,Quesería!$B$20,1)+IF(G$47=2,Quesería!$B$24*$O$9*($O$22*Quesería!$J$119+(1-$O$22)*Quesería!$E$119)*G611,0))*$O$10*$O$21</f>
        <v>328.299379459639</v>
      </c>
      <c r="H617" s="29" t="n">
        <f aca="false">IF(H$47&lt;=1,0,((($O$22*Quesería!$J$127+(1-$O$22)*Quesería!$E$123)-($O$22*Quesería!$J$113+(1-$O$22)*Quesería!$E$113)+$O$6*($O$22*Quesería!$J$113+(1-$O$22)*Quesería!$E$113)-(1-$O$9)*(($O$22*Quesería!$J$119+(1-$O$22)*Quesería!$E$119)+($O$22*Quesería!$J$118+(1-$O$22)*Quesería!$E$118))-(1-$O$24)*($O$22*Quesería!$J$117+(1-$O$22)*Quesería!$E$117)+$O$24*(1-$O$25)*'Beneficios y costos'!$B$144-(-$O$26*$O$27)*'Beneficios y costos'!$C$167)+($O$6*($O$22*Quesería!$J$113+(1-$O$22)*Quesería!$E$113)+$O$9*($O$22*Quesería!$J$119+(1-$O$22)*Quesería!$E$119))*(H611-1))*IF(H$47=2,Quesería!$B$20,1)+IF(H$47=2,Quesería!$B$24*$O$9*($O$22*Quesería!$J$119+(1-$O$22)*Quesería!$E$119)*H611,0))*$O$10*$O$21</f>
        <v>328.54651917586</v>
      </c>
      <c r="I617" s="29" t="n">
        <f aca="false">IF(I$47&lt;=1,0,((($O$22*Quesería!$J$127+(1-$O$22)*Quesería!$E$123)-($O$22*Quesería!$J$113+(1-$O$22)*Quesería!$E$113)+$O$6*($O$22*Quesería!$J$113+(1-$O$22)*Quesería!$E$113)-(1-$O$9)*(($O$22*Quesería!$J$119+(1-$O$22)*Quesería!$E$119)+($O$22*Quesería!$J$118+(1-$O$22)*Quesería!$E$118))-(1-$O$24)*($O$22*Quesería!$J$117+(1-$O$22)*Quesería!$E$117)+$O$24*(1-$O$25)*'Beneficios y costos'!$B$144-(-$O$26*$O$27)*'Beneficios y costos'!$C$167)+($O$6*($O$22*Quesería!$J$113+(1-$O$22)*Quesería!$E$113)+$O$9*($O$22*Quesería!$J$119+(1-$O$22)*Quesería!$E$119))*(I611-1))*IF(I$47=2,Quesería!$B$20,1)+IF(I$47=2,Quesería!$B$24*$O$9*($O$22*Quesería!$J$119+(1-$O$22)*Quesería!$E$119)*I611,0))*$O$10*$O$21</f>
        <v>328.794894590662</v>
      </c>
      <c r="J617" s="29" t="n">
        <f aca="false">IF(J$47&lt;=1,0,((($O$22*Quesería!$J$127+(1-$O$22)*Quesería!$E$123)-($O$22*Quesería!$J$113+(1-$O$22)*Quesería!$E$113)+$O$6*($O$22*Quesería!$J$113+(1-$O$22)*Quesería!$E$113)-(1-$O$9)*(($O$22*Quesería!$J$119+(1-$O$22)*Quesería!$E$119)+($O$22*Quesería!$J$118+(1-$O$22)*Quesería!$E$118))-(1-$O$24)*($O$22*Quesería!$J$117+(1-$O$22)*Quesería!$E$117)+$O$24*(1-$O$25)*'Beneficios y costos'!$B$144-(-$O$26*$O$27)*'Beneficios y costos'!$C$167)+($O$6*($O$22*Quesería!$J$113+(1-$O$22)*Quesería!$E$113)+$O$9*($O$22*Quesería!$J$119+(1-$O$22)*Quesería!$E$119))*(J611-1))*IF(J$47=2,Quesería!$B$20,1)+IF(J$47=2,Quesería!$B$24*$O$9*($O$22*Quesería!$J$119+(1-$O$22)*Quesería!$E$119)*J611,0))*$O$10*$O$21</f>
        <v>329.044511882538</v>
      </c>
      <c r="K617" s="29" t="n">
        <f aca="false">IF(K$47&lt;=1,0,((($O$22*Quesería!$J$127+(1-$O$22)*Quesería!$E$123)-($O$22*Quesería!$J$113+(1-$O$22)*Quesería!$E$113)+$O$6*($O$22*Quesería!$J$113+(1-$O$22)*Quesería!$E$113)-(1-$O$9)*(($O$22*Quesería!$J$119+(1-$O$22)*Quesería!$E$119)+($O$22*Quesería!$J$118+(1-$O$22)*Quesería!$E$118))-(1-$O$24)*($O$22*Quesería!$J$117+(1-$O$22)*Quesería!$E$117)+$O$24*(1-$O$25)*'Beneficios y costos'!$B$144-(-$O$26*$O$27)*'Beneficios y costos'!$C$167)+($O$6*($O$22*Quesería!$J$113+(1-$O$22)*Quesería!$E$113)+$O$9*($O$22*Quesería!$J$119+(1-$O$22)*Quesería!$E$119))*(K611-1))*IF(K$47=2,Quesería!$B$20,1)+IF(K$47=2,Quesería!$B$24*$O$9*($O$22*Quesería!$J$119+(1-$O$22)*Quesería!$E$119)*K611,0))*$O$10*$O$21</f>
        <v>329.295377260873</v>
      </c>
      <c r="L617" s="29" t="n">
        <f aca="false">IF(L$47&lt;=1,0,((($O$22*Quesería!$J$127+(1-$O$22)*Quesería!$E$123)-($O$22*Quesería!$J$113+(1-$O$22)*Quesería!$E$113)+$O$6*($O$22*Quesería!$J$113+(1-$O$22)*Quesería!$E$113)-(1-$O$9)*(($O$22*Quesería!$J$119+(1-$O$22)*Quesería!$E$119)+($O$22*Quesería!$J$118+(1-$O$22)*Quesería!$E$118))-(1-$O$24)*($O$22*Quesería!$J$117+(1-$O$22)*Quesería!$E$117)+$O$24*(1-$O$25)*'Beneficios y costos'!$B$144-(-$O$26*$O$27)*'Beneficios y costos'!$C$167)+($O$6*($O$22*Quesería!$J$113+(1-$O$22)*Quesería!$E$113)+$O$9*($O$22*Quesería!$J$119+(1-$O$22)*Quesería!$E$119))*(L611-1))*IF(L$47=2,Quesería!$B$20,1)+IF(L$47=2,Quesería!$B$24*$O$9*($O$22*Quesería!$J$119+(1-$O$22)*Quesería!$E$119)*L611,0))*$O$10*$O$21</f>
        <v>329.547496966101</v>
      </c>
    </row>
    <row r="618" customFormat="false" ht="15" hidden="true" customHeight="false" outlineLevel="1" collapsed="false">
      <c r="A618" s="5" t="s">
        <v>412</v>
      </c>
      <c r="B618" s="10" t="n">
        <f aca="false">B616+B617</f>
        <v>120.716772261203</v>
      </c>
      <c r="C618" s="10" t="n">
        <f aca="false">C616+C617</f>
        <v>181.20288197671</v>
      </c>
      <c r="D618" s="10" t="n">
        <f aca="false">D616+D617</f>
        <v>498.348657217</v>
      </c>
      <c r="E618" s="10" t="n">
        <f aca="false">E616+E617</f>
        <v>569.532226436708</v>
      </c>
      <c r="F618" s="10" t="n">
        <f aca="false">F616+F617</f>
        <v>569.837162665202</v>
      </c>
      <c r="G618" s="10" t="n">
        <f aca="false">G616+G617</f>
        <v>570.143623574839</v>
      </c>
      <c r="H618" s="10" t="n">
        <f aca="false">H616+H617</f>
        <v>570.451616789024</v>
      </c>
      <c r="I618" s="10" t="n">
        <f aca="false">I616+I617</f>
        <v>570.76114996928</v>
      </c>
      <c r="J618" s="10" t="n">
        <f aca="false">J616+J617</f>
        <v>571.072230815437</v>
      </c>
      <c r="K618" s="10" t="n">
        <f aca="false">K616+K617</f>
        <v>571.384867065825</v>
      </c>
      <c r="L618" s="10" t="n">
        <f aca="false">L616+L617</f>
        <v>571.699066497465</v>
      </c>
    </row>
    <row r="619" customFormat="false" ht="15" hidden="true" customHeight="false" outlineLevel="1" collapsed="false">
      <c r="A619" s="6" t="s">
        <v>413</v>
      </c>
      <c r="B619" s="29" t="n">
        <f aca="false">(IF(B$47&gt;=1,(Quesería!$B$31+Quesería!$B$33)*Quesería!$F$94*$O$11+Quesería!$B$32+'Beneficios y costos'!$B$249,0)+IF(B$47&gt;=2,((Quesería!$B$31+Quesería!$B$33)*(Quesería!$F$95-(-$O$26)*Quesería!$D$86)*$O$11+'Beneficios y costos'!$C$249-(-$O$26)*'Beneficios y costos'!$H$235)*$O$21,0))*$O$12</f>
        <v>0</v>
      </c>
      <c r="C619" s="29" t="n">
        <f aca="false">(IF(C$47&gt;=1,(Quesería!$B$31+Quesería!$B$33)*Quesería!$F$94*$O$11+Quesería!$B$32+'Beneficios y costos'!$B$249,0)+IF(C$47&gt;=2,((Quesería!$B$31+Quesería!$B$33)*(Quesería!$F$95-(-$O$26)*Quesería!$D$86)*$O$11+'Beneficios y costos'!$C$249-(-$O$26)*'Beneficios y costos'!$H$235)*$O$21,0))*$O$12</f>
        <v>42.0946487260605</v>
      </c>
      <c r="D619" s="29" t="n">
        <f aca="false">(IF(D$47&gt;=1,(Quesería!$B$31+Quesería!$B$33)*Quesería!$F$94*$O$11+Quesería!$B$32+'Beneficios y costos'!$B$249,0)+IF(D$47&gt;=2,((Quesería!$B$31+Quesería!$B$33)*(Quesería!$F$95-(-$O$26)*Quesería!$D$86)*$O$11+'Beneficios y costos'!$C$249-(-$O$26)*'Beneficios y costos'!$H$235)*$O$21,0))*$O$12</f>
        <v>76.4964821173776</v>
      </c>
      <c r="E619" s="29" t="n">
        <f aca="false">(IF(E$47&gt;=1,(Quesería!$B$31+Quesería!$B$33)*Quesería!$F$94*$O$11+Quesería!$B$32+'Beneficios y costos'!$B$249,0)+IF(E$47&gt;=2,((Quesería!$B$31+Quesería!$B$33)*(Quesería!$F$95-(-$O$26)*Quesería!$D$86)*$O$11+'Beneficios y costos'!$C$249-(-$O$26)*'Beneficios y costos'!$H$235)*$O$21,0))*$O$12</f>
        <v>76.4964821173776</v>
      </c>
      <c r="F619" s="29" t="n">
        <f aca="false">(IF(F$47&gt;=1,(Quesería!$B$31+Quesería!$B$33)*Quesería!$F$94*$O$11+Quesería!$B$32+'Beneficios y costos'!$B$249,0)+IF(F$47&gt;=2,((Quesería!$B$31+Quesería!$B$33)*(Quesería!$F$95-(-$O$26)*Quesería!$D$86)*$O$11+'Beneficios y costos'!$C$249-(-$O$26)*'Beneficios y costos'!$H$235)*$O$21,0))*$O$12</f>
        <v>76.4964821173776</v>
      </c>
      <c r="G619" s="29" t="n">
        <f aca="false">(IF(G$47&gt;=1,(Quesería!$B$31+Quesería!$B$33)*Quesería!$F$94*$O$11+Quesería!$B$32+'Beneficios y costos'!$B$249,0)+IF(G$47&gt;=2,((Quesería!$B$31+Quesería!$B$33)*(Quesería!$F$95-(-$O$26)*Quesería!$D$86)*$O$11+'Beneficios y costos'!$C$249-(-$O$26)*'Beneficios y costos'!$H$235)*$O$21,0))*$O$12</f>
        <v>76.4964821173776</v>
      </c>
      <c r="H619" s="29" t="n">
        <f aca="false">(IF(H$47&gt;=1,(Quesería!$B$31+Quesería!$B$33)*Quesería!$F$94*$O$11+Quesería!$B$32+'Beneficios y costos'!$B$249,0)+IF(H$47&gt;=2,((Quesería!$B$31+Quesería!$B$33)*(Quesería!$F$95-(-$O$26)*Quesería!$D$86)*$O$11+'Beneficios y costos'!$C$249-(-$O$26)*'Beneficios y costos'!$H$235)*$O$21,0))*$O$12</f>
        <v>76.4964821173776</v>
      </c>
      <c r="I619" s="29" t="n">
        <f aca="false">(IF(I$47&gt;=1,(Quesería!$B$31+Quesería!$B$33)*Quesería!$F$94*$O$11+Quesería!$B$32+'Beneficios y costos'!$B$249,0)+IF(I$47&gt;=2,((Quesería!$B$31+Quesería!$B$33)*(Quesería!$F$95-(-$O$26)*Quesería!$D$86)*$O$11+'Beneficios y costos'!$C$249-(-$O$26)*'Beneficios y costos'!$H$235)*$O$21,0))*$O$12</f>
        <v>76.4964821173776</v>
      </c>
      <c r="J619" s="29" t="n">
        <f aca="false">(IF(J$47&gt;=1,(Quesería!$B$31+Quesería!$B$33)*Quesería!$F$94*$O$11+Quesería!$B$32+'Beneficios y costos'!$B$249,0)+IF(J$47&gt;=2,((Quesería!$B$31+Quesería!$B$33)*(Quesería!$F$95-(-$O$26)*Quesería!$D$86)*$O$11+'Beneficios y costos'!$C$249-(-$O$26)*'Beneficios y costos'!$H$235)*$O$21,0))*$O$12</f>
        <v>76.4964821173776</v>
      </c>
      <c r="K619" s="29" t="n">
        <f aca="false">(IF(K$47&gt;=1,(Quesería!$B$31+Quesería!$B$33)*Quesería!$F$94*$O$11+Quesería!$B$32+'Beneficios y costos'!$B$249,0)+IF(K$47&gt;=2,((Quesería!$B$31+Quesería!$B$33)*(Quesería!$F$95-(-$O$26)*Quesería!$D$86)*$O$11+'Beneficios y costos'!$C$249-(-$O$26)*'Beneficios y costos'!$H$235)*$O$21,0))*$O$12</f>
        <v>76.4964821173776</v>
      </c>
      <c r="L619" s="29" t="n">
        <f aca="false">(IF(L$47&gt;=1,(Quesería!$B$31+Quesería!$B$33)*Quesería!$F$94*$O$11+Quesería!$B$32+'Beneficios y costos'!$B$249,0)+IF(L$47&gt;=2,((Quesería!$B$31+Quesería!$B$33)*(Quesería!$F$95-(-$O$26)*Quesería!$D$86)*$O$11+'Beneficios y costos'!$C$249-(-$O$26)*'Beneficios y costos'!$H$235)*$O$21,0))*$O$12</f>
        <v>76.4964821173776</v>
      </c>
    </row>
    <row r="620" customFormat="false" ht="15" hidden="true" customHeight="false" outlineLevel="1" collapsed="false">
      <c r="A620" s="6" t="s">
        <v>414</v>
      </c>
      <c r="B620" s="29" t="n">
        <f aca="false">IF(B$47=1,2*Quesería!$B$22*Quesería!$B$23/12*B611,0)*$O$21</f>
        <v>0</v>
      </c>
      <c r="C620" s="29" t="n">
        <f aca="false">IF(C$47=1,2*Quesería!$B$22*Quesería!$B$23/12*C611,0)*$O$21</f>
        <v>18.2606603773585</v>
      </c>
      <c r="D620" s="29" t="n">
        <f aca="false">IF(D$47=1,2*Quesería!$B$22*Quesería!$B$23/12*D611,0)*$O$21</f>
        <v>0</v>
      </c>
      <c r="E620" s="29" t="n">
        <f aca="false">IF(E$47=1,2*Quesería!$B$22*Quesería!$B$23/12*E611,0)*$O$21</f>
        <v>0</v>
      </c>
      <c r="F620" s="29" t="n">
        <f aca="false">IF(F$47=1,2*Quesería!$B$22*Quesería!$B$23/12*F611,0)*$O$21</f>
        <v>0</v>
      </c>
      <c r="G620" s="29" t="n">
        <f aca="false">IF(G$47=1,2*Quesería!$B$22*Quesería!$B$23/12*G611,0)*$O$21</f>
        <v>0</v>
      </c>
      <c r="H620" s="29" t="n">
        <f aca="false">IF(H$47=1,2*Quesería!$B$22*Quesería!$B$23/12*H611,0)*$O$21</f>
        <v>0</v>
      </c>
      <c r="I620" s="29" t="n">
        <f aca="false">IF(I$47=1,2*Quesería!$B$22*Quesería!$B$23/12*I611,0)*$O$21</f>
        <v>0</v>
      </c>
      <c r="J620" s="29" t="n">
        <f aca="false">IF(J$47=1,2*Quesería!$B$22*Quesería!$B$23/12*J611,0)*$O$21</f>
        <v>0</v>
      </c>
      <c r="K620" s="29" t="n">
        <f aca="false">IF(K$47=1,2*Quesería!$B$22*Quesería!$B$23/12*K611,0)*$O$21</f>
        <v>0</v>
      </c>
      <c r="L620" s="29" t="n">
        <f aca="false">IF(L$47=1,2*Quesería!$B$22*Quesería!$B$23/12*L611,0)*$O$21</f>
        <v>0</v>
      </c>
    </row>
    <row r="621" customFormat="false" ht="15" hidden="true" customHeight="false" outlineLevel="1" collapsed="false">
      <c r="A621" s="6" t="s">
        <v>415</v>
      </c>
      <c r="B621" s="29" t="n">
        <f aca="false">Quesería!$B$52*(B613+B614+B615+B619+B620)</f>
        <v>4.31966364396742</v>
      </c>
      <c r="C621" s="29" t="n">
        <f aca="false">Quesería!$B$52*(C613+C614+C615+C619+C620)</f>
        <v>3.37573399378429</v>
      </c>
      <c r="D621" s="29" t="n">
        <f aca="false">Quesería!$B$52*(D613+D614+D615+D619+D620)</f>
        <v>0.305985928469511</v>
      </c>
      <c r="E621" s="29" t="n">
        <f aca="false">Quesería!$B$52*(E613+E614+E615+E619+E620)</f>
        <v>0.305985928469511</v>
      </c>
      <c r="F621" s="29" t="n">
        <f aca="false">Quesería!$B$52*(F613+F614+F615+F619+F620)</f>
        <v>0.305985928469511</v>
      </c>
      <c r="G621" s="29" t="n">
        <f aca="false">Quesería!$B$52*(G613+G614+G615+G619+G620)</f>
        <v>0.436720362669349</v>
      </c>
      <c r="H621" s="29" t="n">
        <f aca="false">Quesería!$B$52*(H613+H614+H615+H619+H620)</f>
        <v>0.526798309653658</v>
      </c>
      <c r="I621" s="29" t="n">
        <f aca="false">Quesería!$B$52*(I613+I614+I615+I619+I620)</f>
        <v>0.305985928469511</v>
      </c>
      <c r="J621" s="29" t="n">
        <f aca="false">Quesería!$B$52*(J613+J614+J615+J619+J620)</f>
        <v>0.305985928469511</v>
      </c>
      <c r="K621" s="29" t="n">
        <f aca="false">Quesería!$B$52*(K613+K614+K615+K619+K620)</f>
        <v>0.305985928469511</v>
      </c>
      <c r="L621" s="29" t="n">
        <f aca="false">Quesería!$B$52*(L613+L614+L615+L619+L620)</f>
        <v>0.305985928469511</v>
      </c>
    </row>
    <row r="622" customFormat="false" ht="15" hidden="true" customHeight="false" outlineLevel="1" collapsed="false">
      <c r="A622" s="6" t="s">
        <v>416</v>
      </c>
      <c r="B622" s="29" t="n">
        <f aca="false">(IF($O$19=1,(SUMPRODUCT((Quesería!$C$70:$C$89=0)*(Quesería!$J$70:$J$89&gt;0)*(B$47&gt;=1)*(B$47&lt;=Quesería!$J$70:$J$89)*(Quesería!$H$70:$H$89&gt;0)*Quesería!$F$70:$F$89*(1+Quesería!$I$70:$I$89)/(Quesería!$J$70:$J$89+(Quesería!$J$70:$J$89=0)))+SUMPRODUCT((Quesería!$C$70:$C$89=0)*(Quesería!$J$70:$J$89=0)*(B$47=0)*(Quesería!$H$70:$H$89&gt;0)*Quesería!$F$70:$F$89*(1+Quesería!$I$70:$I$89)))*$B$610+((SUMPRODUCT((Quesería!$C$70:$C$89=1)*(Quesería!$J$70:$J$89&gt;0)*(B$47&gt;=2)*(B$47&lt;=Quesería!$J$70:$J$89+1)*(Quesería!$H$70:$H$89&gt;0)*Quesería!$F$70:$F$89*(1+Quesería!$I$70:$I$89)/(Quesería!$J$70:$J$89+(Quesería!$J$70:$J$89=0)))+SUMPRODUCT((Quesería!$C$70:$C$89=1)*(Quesería!$J$70:$J$89=0)*(B$47=1)*(Quesería!$H$70:$H$89&gt;0)*Quesería!$F$70:$F$89*(1+Quesería!$I$70:$I$89)))-(-$O$26)*IF(AND(B$47&gt;=2,B$47&lt;=Quesería!$J$86+1),Quesería!$D$86*(1+Quesería!$I$86)/Quesería!$J$86,0))*$C$610*$O$21,IF(AND(B$47&gt;=1,B$47&lt;=Quesería!$B$30),Quesería!$F$92/Quesería!$B$30,0)*$B$610+IF(AND(B$47&gt;=2,B$47&lt;=Quesería!$B$30+1),(Quesería!$F$93-(-$O$26)*Quesería!$D$86*(1+Quesería!$I$86))/Quesería!$B$30,0)*$C$610*$O$21)*$O$11+IF(AND(B$47&gt;=6,B$47&lt;=10),$G614*$G610/5,0)+IF(AND(B$47&gt;=7,B$47&lt;=11),$H614*$H610/5,0))*B612</f>
        <v>145.980915430742</v>
      </c>
      <c r="C622" s="29" t="n">
        <f aca="false">(IF($O$19=1,(SUMPRODUCT((Quesería!$C$70:$C$89=0)*(Quesería!$J$70:$J$89&gt;0)*(C$47&gt;=1)*(C$47&lt;=Quesería!$J$70:$J$89)*(Quesería!$H$70:$H$89&gt;0)*Quesería!$F$70:$F$89*(1+Quesería!$I$70:$I$89)/(Quesería!$J$70:$J$89+(Quesería!$J$70:$J$89=0)))+SUMPRODUCT((Quesería!$C$70:$C$89=0)*(Quesería!$J$70:$J$89=0)*(C$47=0)*(Quesería!$H$70:$H$89&gt;0)*Quesería!$F$70:$F$89*(1+Quesería!$I$70:$I$89)))*$B$610+((SUMPRODUCT((Quesería!$C$70:$C$89=1)*(Quesería!$J$70:$J$89&gt;0)*(C$47&gt;=2)*(C$47&lt;=Quesería!$J$70:$J$89+1)*(Quesería!$H$70:$H$89&gt;0)*Quesería!$F$70:$F$89*(1+Quesería!$I$70:$I$89)/(Quesería!$J$70:$J$89+(Quesería!$J$70:$J$89=0)))+SUMPRODUCT((Quesería!$C$70:$C$89=1)*(Quesería!$J$70:$J$89=0)*(C$47=1)*(Quesería!$H$70:$H$89&gt;0)*Quesería!$F$70:$F$89*(1+Quesería!$I$70:$I$89)))-(-$O$26)*IF(AND(C$47&gt;=2,C$47&lt;=Quesería!$J$86+1),Quesería!$D$86*(1+Quesería!$I$86)/Quesería!$J$86,0))*$C$610*$O$21,IF(AND(C$47&gt;=1,C$47&lt;=Quesería!$B$30),Quesería!$F$92/Quesería!$B$30,0)*$B$610+IF(AND(C$47&gt;=2,C$47&lt;=Quesería!$B$30+1),(Quesería!$F$93-(-$O$26)*Quesería!$D$86*(1+Quesería!$I$86))/Quesería!$B$30,0)*$C$610*$O$21)*$O$11+IF(AND(C$47&gt;=6,C$47&lt;=10),$G614*$G610/5,0)+IF(AND(C$47&gt;=7,C$47&lt;=11),$H614*$H610/5,0))*C612</f>
        <v>82.2633269524265</v>
      </c>
      <c r="D622" s="29" t="n">
        <f aca="false">(IF($O$19=1,(SUMPRODUCT((Quesería!$C$70:$C$89=0)*(Quesería!$J$70:$J$89&gt;0)*(D$47&gt;=1)*(D$47&lt;=Quesería!$J$70:$J$89)*(Quesería!$H$70:$H$89&gt;0)*Quesería!$F$70:$F$89*(1+Quesería!$I$70:$I$89)/(Quesería!$J$70:$J$89+(Quesería!$J$70:$J$89=0)))+SUMPRODUCT((Quesería!$C$70:$C$89=0)*(Quesería!$J$70:$J$89=0)*(D$47=0)*(Quesería!$H$70:$H$89&gt;0)*Quesería!$F$70:$F$89*(1+Quesería!$I$70:$I$89)))*$B$610+((SUMPRODUCT((Quesería!$C$70:$C$89=1)*(Quesería!$J$70:$J$89&gt;0)*(D$47&gt;=2)*(D$47&lt;=Quesería!$J$70:$J$89+1)*(Quesería!$H$70:$H$89&gt;0)*Quesería!$F$70:$F$89*(1+Quesería!$I$70:$I$89)/(Quesería!$J$70:$J$89+(Quesería!$J$70:$J$89=0)))+SUMPRODUCT((Quesería!$C$70:$C$89=1)*(Quesería!$J$70:$J$89=0)*(D$47=1)*(Quesería!$H$70:$H$89&gt;0)*Quesería!$F$70:$F$89*(1+Quesería!$I$70:$I$89)))-(-$O$26)*IF(AND(D$47&gt;=2,D$47&lt;=Quesería!$J$86+1),Quesería!$D$86*(1+Quesería!$I$86)/Quesería!$J$86,0))*$C$610*$O$21,IF(AND(D$47&gt;=1,D$47&lt;=Quesería!$B$30),Quesería!$F$92/Quesería!$B$30,0)*$B$610+IF(AND(D$47&gt;=2,D$47&lt;=Quesería!$B$30+1),(Quesería!$F$93-(-$O$26)*Quesería!$D$86*(1+Quesería!$I$86))/Quesería!$B$30,0)*$C$610*$O$21)*$O$11+IF(AND(D$47&gt;=6,D$47&lt;=10),$G614*$G610/5,0)+IF(AND(D$47&gt;=7,D$47&lt;=11),$H614*$H610/5,0))*D612</f>
        <v>141.732280975958</v>
      </c>
      <c r="E622" s="29" t="n">
        <f aca="false">(IF($O$19=1,(SUMPRODUCT((Quesería!$C$70:$C$89=0)*(Quesería!$J$70:$J$89&gt;0)*(E$47&gt;=1)*(E$47&lt;=Quesería!$J$70:$J$89)*(Quesería!$H$70:$H$89&gt;0)*Quesería!$F$70:$F$89*(1+Quesería!$I$70:$I$89)/(Quesería!$J$70:$J$89+(Quesería!$J$70:$J$89=0)))+SUMPRODUCT((Quesería!$C$70:$C$89=0)*(Quesería!$J$70:$J$89=0)*(E$47=0)*(Quesería!$H$70:$H$89&gt;0)*Quesería!$F$70:$F$89*(1+Quesería!$I$70:$I$89)))*$B$610+((SUMPRODUCT((Quesería!$C$70:$C$89=1)*(Quesería!$J$70:$J$89&gt;0)*(E$47&gt;=2)*(E$47&lt;=Quesería!$J$70:$J$89+1)*(Quesería!$H$70:$H$89&gt;0)*Quesería!$F$70:$F$89*(1+Quesería!$I$70:$I$89)/(Quesería!$J$70:$J$89+(Quesería!$J$70:$J$89=0)))+SUMPRODUCT((Quesería!$C$70:$C$89=1)*(Quesería!$J$70:$J$89=0)*(E$47=1)*(Quesería!$H$70:$H$89&gt;0)*Quesería!$F$70:$F$89*(1+Quesería!$I$70:$I$89)))-(-$O$26)*IF(AND(E$47&gt;=2,E$47&lt;=Quesería!$J$86+1),Quesería!$D$86*(1+Quesería!$I$86)/Quesería!$J$86,0))*$C$610*$O$21,IF(AND(E$47&gt;=1,E$47&lt;=Quesería!$B$30),Quesería!$F$92/Quesería!$B$30,0)*$B$610+IF(AND(E$47&gt;=2,E$47&lt;=Quesería!$B$30+1),(Quesería!$F$93-(-$O$26)*Quesería!$D$86*(1+Quesería!$I$86))/Quesería!$B$30,0)*$C$610*$O$21)*$O$11+IF(AND(E$47&gt;=6,E$47&lt;=10),$G614*$G610/5,0)+IF(AND(E$47&gt;=7,E$47&lt;=11),$H614*$H610/5,0))*E612</f>
        <v>136.28103939996</v>
      </c>
      <c r="F622" s="29" t="n">
        <f aca="false">(IF($O$19=1,(SUMPRODUCT((Quesería!$C$70:$C$89=0)*(Quesería!$J$70:$J$89&gt;0)*(F$47&gt;=1)*(F$47&lt;=Quesería!$J$70:$J$89)*(Quesería!$H$70:$H$89&gt;0)*Quesería!$F$70:$F$89*(1+Quesería!$I$70:$I$89)/(Quesería!$J$70:$J$89+(Quesería!$J$70:$J$89=0)))+SUMPRODUCT((Quesería!$C$70:$C$89=0)*(Quesería!$J$70:$J$89=0)*(F$47=0)*(Quesería!$H$70:$H$89&gt;0)*Quesería!$F$70:$F$89*(1+Quesería!$I$70:$I$89)))*$B$610+((SUMPRODUCT((Quesería!$C$70:$C$89=1)*(Quesería!$J$70:$J$89&gt;0)*(F$47&gt;=2)*(F$47&lt;=Quesería!$J$70:$J$89+1)*(Quesería!$H$70:$H$89&gt;0)*Quesería!$F$70:$F$89*(1+Quesería!$I$70:$I$89)/(Quesería!$J$70:$J$89+(Quesería!$J$70:$J$89=0)))+SUMPRODUCT((Quesería!$C$70:$C$89=1)*(Quesería!$J$70:$J$89=0)*(F$47=1)*(Quesería!$H$70:$H$89&gt;0)*Quesería!$F$70:$F$89*(1+Quesería!$I$70:$I$89)))-(-$O$26)*IF(AND(F$47&gt;=2,F$47&lt;=Quesería!$J$86+1),Quesería!$D$86*(1+Quesería!$I$86)/Quesería!$J$86,0))*$C$610*$O$21,IF(AND(F$47&gt;=1,F$47&lt;=Quesería!$B$30),Quesería!$F$92/Quesería!$B$30,0)*$B$610+IF(AND(F$47&gt;=2,F$47&lt;=Quesería!$B$30+1),(Quesería!$F$93-(-$O$26)*Quesería!$D$86*(1+Quesería!$I$86))/Quesería!$B$30,0)*$C$610*$O$21)*$O$11+IF(AND(F$47&gt;=6,F$47&lt;=10),$G614*$G610/5,0)+IF(AND(F$47&gt;=7,F$47&lt;=11),$H614*$H610/5,0))*F612</f>
        <v>131.0394609615</v>
      </c>
      <c r="G622" s="29" t="n">
        <f aca="false">(IF($O$19=1,(SUMPRODUCT((Quesería!$C$70:$C$89=0)*(Quesería!$J$70:$J$89&gt;0)*(G$47&gt;=1)*(G$47&lt;=Quesería!$J$70:$J$89)*(Quesería!$H$70:$H$89&gt;0)*Quesería!$F$70:$F$89*(1+Quesería!$I$70:$I$89)/(Quesería!$J$70:$J$89+(Quesería!$J$70:$J$89=0)))+SUMPRODUCT((Quesería!$C$70:$C$89=0)*(Quesería!$J$70:$J$89=0)*(G$47=0)*(Quesería!$H$70:$H$89&gt;0)*Quesería!$F$70:$F$89*(1+Quesería!$I$70:$I$89)))*$B$610+((SUMPRODUCT((Quesería!$C$70:$C$89=1)*(Quesería!$J$70:$J$89&gt;0)*(G$47&gt;=2)*(G$47&lt;=Quesería!$J$70:$J$89+1)*(Quesería!$H$70:$H$89&gt;0)*Quesería!$F$70:$F$89*(1+Quesería!$I$70:$I$89)/(Quesería!$J$70:$J$89+(Quesería!$J$70:$J$89=0)))+SUMPRODUCT((Quesería!$C$70:$C$89=1)*(Quesería!$J$70:$J$89=0)*(G$47=1)*(Quesería!$H$70:$H$89&gt;0)*Quesería!$F$70:$F$89*(1+Quesería!$I$70:$I$89)))-(-$O$26)*IF(AND(G$47&gt;=2,G$47&lt;=Quesería!$J$86+1),Quesería!$D$86*(1+Quesería!$I$86)/Quesería!$J$86,0))*$C$610*$O$21,IF(AND(G$47&gt;=1,G$47&lt;=Quesería!$B$30),Quesería!$F$92/Quesería!$B$30,0)*$B$610+IF(AND(G$47&gt;=2,G$47&lt;=Quesería!$B$30+1),(Quesería!$F$93-(-$O$26)*Quesería!$D$86*(1+Quesería!$I$86))/Quesería!$B$30,0)*$C$610*$O$21)*$O$11+IF(AND(G$47&gt;=6,G$47&lt;=10),$G614*$G610/5,0)+IF(AND(G$47&gt;=7,G$47&lt;=11),$H614*$H610/5,0))*G612</f>
        <v>125.99948169375</v>
      </c>
      <c r="H622" s="29" t="n">
        <f aca="false">(IF($O$19=1,(SUMPRODUCT((Quesería!$C$70:$C$89=0)*(Quesería!$J$70:$J$89&gt;0)*(H$47&gt;=1)*(H$47&lt;=Quesería!$J$70:$J$89)*(Quesería!$H$70:$H$89&gt;0)*Quesería!$F$70:$F$89*(1+Quesería!$I$70:$I$89)/(Quesería!$J$70:$J$89+(Quesería!$J$70:$J$89=0)))+SUMPRODUCT((Quesería!$C$70:$C$89=0)*(Quesería!$J$70:$J$89=0)*(H$47=0)*(Quesería!$H$70:$H$89&gt;0)*Quesería!$F$70:$F$89*(1+Quesería!$I$70:$I$89)))*$B$610+((SUMPRODUCT((Quesería!$C$70:$C$89=1)*(Quesería!$J$70:$J$89&gt;0)*(H$47&gt;=2)*(H$47&lt;=Quesería!$J$70:$J$89+1)*(Quesería!$H$70:$H$89&gt;0)*Quesería!$F$70:$F$89*(1+Quesería!$I$70:$I$89)/(Quesería!$J$70:$J$89+(Quesería!$J$70:$J$89=0)))+SUMPRODUCT((Quesería!$C$70:$C$89=1)*(Quesería!$J$70:$J$89=0)*(H$47=1)*(Quesería!$H$70:$H$89&gt;0)*Quesería!$F$70:$F$89*(1+Quesería!$I$70:$I$89)))-(-$O$26)*IF(AND(H$47&gt;=2,H$47&lt;=Quesería!$J$86+1),Quesería!$D$86*(1+Quesería!$I$86)/Quesería!$J$86,0))*$C$610*$O$21,IF(AND(H$47&gt;=1,H$47&lt;=Quesería!$B$30),Quesería!$F$92/Quesería!$B$30,0)*$B$610+IF(AND(H$47&gt;=2,H$47&lt;=Quesería!$B$30+1),(Quesería!$F$93-(-$O$26)*Quesería!$D$86*(1+Quesería!$I$86))/Quesería!$B$30,0)*$C$610*$O$21)*$O$11+IF(AND(H$47&gt;=6,H$47&lt;=10),$G614*$G610/5,0)+IF(AND(H$47&gt;=7,H$47&lt;=11),$H614*$H610/5,0))*H612</f>
        <v>114.13472617855</v>
      </c>
      <c r="I622" s="29" t="n">
        <f aca="false">(IF($O$19=1,(SUMPRODUCT((Quesería!$C$70:$C$89=0)*(Quesería!$J$70:$J$89&gt;0)*(I$47&gt;=1)*(I$47&lt;=Quesería!$J$70:$J$89)*(Quesería!$H$70:$H$89&gt;0)*Quesería!$F$70:$F$89*(1+Quesería!$I$70:$I$89)/(Quesería!$J$70:$J$89+(Quesería!$J$70:$J$89=0)))+SUMPRODUCT((Quesería!$C$70:$C$89=0)*(Quesería!$J$70:$J$89=0)*(I$47=0)*(Quesería!$H$70:$H$89&gt;0)*Quesería!$F$70:$F$89*(1+Quesería!$I$70:$I$89)))*$B$610+((SUMPRODUCT((Quesería!$C$70:$C$89=1)*(Quesería!$J$70:$J$89&gt;0)*(I$47&gt;=2)*(I$47&lt;=Quesería!$J$70:$J$89+1)*(Quesería!$H$70:$H$89&gt;0)*Quesería!$F$70:$F$89*(1+Quesería!$I$70:$I$89)/(Quesería!$J$70:$J$89+(Quesería!$J$70:$J$89=0)))+SUMPRODUCT((Quesería!$C$70:$C$89=1)*(Quesería!$J$70:$J$89=0)*(I$47=1)*(Quesería!$H$70:$H$89&gt;0)*Quesería!$F$70:$F$89*(1+Quesería!$I$70:$I$89)))-(-$O$26)*IF(AND(I$47&gt;=2,I$47&lt;=Quesería!$J$86+1),Quesería!$D$86*(1+Quesería!$I$86)/Quesería!$J$86,0))*$C$610*$O$21,IF(AND(I$47&gt;=1,I$47&lt;=Quesería!$B$30),Quesería!$F$92/Quesería!$B$30,0)*$B$610+IF(AND(I$47&gt;=2,I$47&lt;=Quesería!$B$30+1),(Quesería!$F$93-(-$O$26)*Quesería!$D$86*(1+Quesería!$I$86))/Quesería!$B$30,0)*$C$610*$O$21)*$O$11+IF(AND(I$47&gt;=6,I$47&lt;=10),$G614*$G610/5,0)+IF(AND(I$47&gt;=7,I$47&lt;=11),$H614*$H610/5,0))*I612</f>
        <v>118.665920500713</v>
      </c>
      <c r="J622" s="29" t="n">
        <f aca="false">(IF($O$19=1,(SUMPRODUCT((Quesería!$C$70:$C$89=0)*(Quesería!$J$70:$J$89&gt;0)*(J$47&gt;=1)*(J$47&lt;=Quesería!$J$70:$J$89)*(Quesería!$H$70:$H$89&gt;0)*Quesería!$F$70:$F$89*(1+Quesería!$I$70:$I$89)/(Quesería!$J$70:$J$89+(Quesería!$J$70:$J$89=0)))+SUMPRODUCT((Quesería!$C$70:$C$89=0)*(Quesería!$J$70:$J$89=0)*(J$47=0)*(Quesería!$H$70:$H$89&gt;0)*Quesería!$F$70:$F$89*(1+Quesería!$I$70:$I$89)))*$B$610+((SUMPRODUCT((Quesería!$C$70:$C$89=1)*(Quesería!$J$70:$J$89&gt;0)*(J$47&gt;=2)*(J$47&lt;=Quesería!$J$70:$J$89+1)*(Quesería!$H$70:$H$89&gt;0)*Quesería!$F$70:$F$89*(1+Quesería!$I$70:$I$89)/(Quesería!$J$70:$J$89+(Quesería!$J$70:$J$89=0)))+SUMPRODUCT((Quesería!$C$70:$C$89=1)*(Quesería!$J$70:$J$89=0)*(J$47=1)*(Quesería!$H$70:$H$89&gt;0)*Quesería!$F$70:$F$89*(1+Quesería!$I$70:$I$89)))-(-$O$26)*IF(AND(J$47&gt;=2,J$47&lt;=Quesería!$J$86+1),Quesería!$D$86*(1+Quesería!$I$86)/Quesería!$J$86,0))*$C$610*$O$21,IF(AND(J$47&gt;=1,J$47&lt;=Quesería!$B$30),Quesería!$F$92/Quesería!$B$30,0)*$B$610+IF(AND(J$47&gt;=2,J$47&lt;=Quesería!$B$30+1),(Quesería!$F$93-(-$O$26)*Quesería!$D$86*(1+Quesería!$I$86))/Quesería!$B$30,0)*$C$610*$O$21)*$O$11+IF(AND(J$47&gt;=6,J$47&lt;=10),$G614*$G610/5,0)+IF(AND(J$47&gt;=7,J$47&lt;=11),$H614*$H610/5,0))*J612</f>
        <v>114.101846635301</v>
      </c>
      <c r="K622" s="29" t="n">
        <f aca="false">(IF($O$19=1,(SUMPRODUCT((Quesería!$C$70:$C$89=0)*(Quesería!$J$70:$J$89&gt;0)*(K$47&gt;=1)*(K$47&lt;=Quesería!$J$70:$J$89)*(Quesería!$H$70:$H$89&gt;0)*Quesería!$F$70:$F$89*(1+Quesería!$I$70:$I$89)/(Quesería!$J$70:$J$89+(Quesería!$J$70:$J$89=0)))+SUMPRODUCT((Quesería!$C$70:$C$89=0)*(Quesería!$J$70:$J$89=0)*(K$47=0)*(Quesería!$H$70:$H$89&gt;0)*Quesería!$F$70:$F$89*(1+Quesería!$I$70:$I$89)))*$B$610+((SUMPRODUCT((Quesería!$C$70:$C$89=1)*(Quesería!$J$70:$J$89&gt;0)*(K$47&gt;=2)*(K$47&lt;=Quesería!$J$70:$J$89+1)*(Quesería!$H$70:$H$89&gt;0)*Quesería!$F$70:$F$89*(1+Quesería!$I$70:$I$89)/(Quesería!$J$70:$J$89+(Quesería!$J$70:$J$89=0)))+SUMPRODUCT((Quesería!$C$70:$C$89=1)*(Quesería!$J$70:$J$89=0)*(K$47=1)*(Quesería!$H$70:$H$89&gt;0)*Quesería!$F$70:$F$89*(1+Quesería!$I$70:$I$89)))-(-$O$26)*IF(AND(K$47&gt;=2,K$47&lt;=Quesería!$J$86+1),Quesería!$D$86*(1+Quesería!$I$86)/Quesería!$J$86,0))*$C$610*$O$21,IF(AND(K$47&gt;=1,K$47&lt;=Quesería!$B$30),Quesería!$F$92/Quesería!$B$30,0)*$B$610+IF(AND(K$47&gt;=2,K$47&lt;=Quesería!$B$30+1),(Quesería!$F$93-(-$O$26)*Quesería!$D$86*(1+Quesería!$I$86))/Quesería!$B$30,0)*$C$610*$O$21)*$O$11+IF(AND(K$47&gt;=6,K$47&lt;=10),$G614*$G610/5,0)+IF(AND(K$47&gt;=7,K$47&lt;=11),$H614*$H610/5,0))*K612</f>
        <v>109.713314072405</v>
      </c>
      <c r="L622" s="29" t="n">
        <f aca="false">(IF($O$19=1,(SUMPRODUCT((Quesería!$C$70:$C$89=0)*(Quesería!$J$70:$J$89&gt;0)*(L$47&gt;=1)*(L$47&lt;=Quesería!$J$70:$J$89)*(Quesería!$H$70:$H$89&gt;0)*Quesería!$F$70:$F$89*(1+Quesería!$I$70:$I$89)/(Quesería!$J$70:$J$89+(Quesería!$J$70:$J$89=0)))+SUMPRODUCT((Quesería!$C$70:$C$89=0)*(Quesería!$J$70:$J$89=0)*(L$47=0)*(Quesería!$H$70:$H$89&gt;0)*Quesería!$F$70:$F$89*(1+Quesería!$I$70:$I$89)))*$B$610+((SUMPRODUCT((Quesería!$C$70:$C$89=1)*(Quesería!$J$70:$J$89&gt;0)*(L$47&gt;=2)*(L$47&lt;=Quesería!$J$70:$J$89+1)*(Quesería!$H$70:$H$89&gt;0)*Quesería!$F$70:$F$89*(1+Quesería!$I$70:$I$89)/(Quesería!$J$70:$J$89+(Quesería!$J$70:$J$89=0)))+SUMPRODUCT((Quesería!$C$70:$C$89=1)*(Quesería!$J$70:$J$89=0)*(L$47=1)*(Quesería!$H$70:$H$89&gt;0)*Quesería!$F$70:$F$89*(1+Quesería!$I$70:$I$89)))-(-$O$26)*IF(AND(L$47&gt;=2,L$47&lt;=Quesería!$J$86+1),Quesería!$D$86*(1+Quesería!$I$86)/Quesería!$J$86,0))*$C$610*$O$21,IF(AND(L$47&gt;=1,L$47&lt;=Quesería!$B$30),Quesería!$F$92/Quesería!$B$30,0)*$B$610+IF(AND(L$47&gt;=2,L$47&lt;=Quesería!$B$30+1),(Quesería!$F$93-(-$O$26)*Quesería!$D$86*(1+Quesería!$I$86))/Quesería!$B$30,0)*$C$610*$O$21)*$O$11+IF(AND(L$47&gt;=6,L$47&lt;=10),$G614*$G610/5,0)+IF(AND(L$47&gt;=7,L$47&lt;=11),$H614*$H610/5,0))*L612</f>
        <v>105.493571223466</v>
      </c>
    </row>
    <row r="623" customFormat="false" ht="15" hidden="true" customHeight="false" outlineLevel="1" collapsed="false">
      <c r="A623" s="9" t="s">
        <v>417</v>
      </c>
      <c r="B623" s="58" t="n">
        <f aca="false">IF(B$47=1,MIN($O$7*$O$26*Quesería!$B$56*Quesería!$D$86*$O$11*$O$21,Quesería!$B$57*Quesería!$B$58),0)</f>
        <v>0</v>
      </c>
      <c r="C623" s="58" t="n">
        <f aca="false">IF(C$47=1,MIN($O$7*$O$26*Quesería!$B$56*Quesería!$D$86*$O$11*$O$21,Quesería!$B$57*Quesería!$B$58),0)</f>
        <v>0</v>
      </c>
      <c r="D623" s="58" t="n">
        <f aca="false">IF(D$47=1,MIN($O$7*$O$26*Quesería!$B$56*Quesería!$D$86*$O$11*$O$21,Quesería!$B$57*Quesería!$B$58),0)</f>
        <v>0</v>
      </c>
      <c r="E623" s="58" t="n">
        <f aca="false">IF(E$47=1,MIN($O$7*$O$26*Quesería!$B$56*Quesería!$D$86*$O$11*$O$21,Quesería!$B$57*Quesería!$B$58),0)</f>
        <v>0</v>
      </c>
      <c r="F623" s="58" t="n">
        <f aca="false">IF(F$47=1,MIN($O$7*$O$26*Quesería!$B$56*Quesería!$D$86*$O$11*$O$21,Quesería!$B$57*Quesería!$B$58),0)</f>
        <v>0</v>
      </c>
      <c r="G623" s="58" t="n">
        <f aca="false">IF(G$47=1,MIN($O$7*$O$26*Quesería!$B$56*Quesería!$D$86*$O$11*$O$21,Quesería!$B$57*Quesería!$B$58),0)</f>
        <v>0</v>
      </c>
      <c r="H623" s="58" t="n">
        <f aca="false">IF(H$47=1,MIN($O$7*$O$26*Quesería!$B$56*Quesería!$D$86*$O$11*$O$21,Quesería!$B$57*Quesería!$B$58),0)</f>
        <v>0</v>
      </c>
      <c r="I623" s="58" t="n">
        <f aca="false">IF(I$47=1,MIN($O$7*$O$26*Quesería!$B$56*Quesería!$D$86*$O$11*$O$21,Quesería!$B$57*Quesería!$B$58),0)</f>
        <v>0</v>
      </c>
      <c r="J623" s="58" t="n">
        <f aca="false">IF(J$47=1,MIN($O$7*$O$26*Quesería!$B$56*Quesería!$D$86*$O$11*$O$21,Quesería!$B$57*Quesería!$B$58),0)</f>
        <v>0</v>
      </c>
      <c r="K623" s="58" t="n">
        <f aca="false">IF(K$47=1,MIN($O$7*$O$26*Quesería!$B$56*Quesería!$D$86*$O$11*$O$21,Quesería!$B$57*Quesería!$B$58),0)</f>
        <v>0</v>
      </c>
      <c r="L623" s="58" t="n">
        <f aca="false">IF(L$47=1,MIN($O$7*$O$26*Quesería!$B$56*Quesería!$D$86*$O$11*$O$21,Quesería!$B$57*Quesería!$B$58),0)</f>
        <v>0</v>
      </c>
    </row>
    <row r="624" customFormat="false" ht="15" hidden="true" customHeight="false" outlineLevel="1" collapsed="false">
      <c r="A624" s="9" t="s">
        <v>418</v>
      </c>
      <c r="B624" s="58" t="n">
        <v>0</v>
      </c>
      <c r="C624" s="58" t="n">
        <f aca="false">$O$20*Quesería!$B$60*Quesería!$F$98*$O$11*$B$610/C610/2</f>
        <v>138.12868344741</v>
      </c>
      <c r="D624" s="58" t="n">
        <f aca="false">$O$20*Quesería!$B$60*Quesería!$F$98*$O$11*$B$610/D610/2</f>
        <v>132.18055832288</v>
      </c>
      <c r="E624" s="58" t="n">
        <v>0</v>
      </c>
      <c r="F624" s="58" t="n">
        <v>0</v>
      </c>
      <c r="G624" s="58" t="n">
        <v>0</v>
      </c>
      <c r="H624" s="58" t="n">
        <v>0</v>
      </c>
      <c r="I624" s="58" t="n">
        <v>0</v>
      </c>
      <c r="J624" s="58" t="n">
        <v>0</v>
      </c>
      <c r="K624" s="58" t="n">
        <v>0</v>
      </c>
      <c r="L624" s="58" t="n">
        <v>0</v>
      </c>
    </row>
    <row r="625" customFormat="false" ht="15" hidden="true" customHeight="false" outlineLevel="1" collapsed="false">
      <c r="A625" s="9" t="s">
        <v>419</v>
      </c>
      <c r="B625" s="58" t="n">
        <f aca="false">0</f>
        <v>0</v>
      </c>
      <c r="C625" s="58" t="n">
        <f aca="false">B615*B610/C610</f>
        <v>142.014925295407</v>
      </c>
      <c r="D625" s="58" t="n">
        <f aca="false">C615*C610/D610</f>
        <v>119.721648486272</v>
      </c>
      <c r="E625" s="58" t="n">
        <f aca="false">D615*D610/E610</f>
        <v>0</v>
      </c>
      <c r="F625" s="58" t="n">
        <f aca="false">E615*E610/F610</f>
        <v>0</v>
      </c>
      <c r="G625" s="58" t="n">
        <f aca="false">F615*F610/G610</f>
        <v>0</v>
      </c>
      <c r="H625" s="58" t="n">
        <f aca="false">G615*G610/H610</f>
        <v>5.01768392412113</v>
      </c>
      <c r="I625" s="58" t="n">
        <f aca="false">H615*H610/I610</f>
        <v>8.47494190873221</v>
      </c>
      <c r="J625" s="58" t="n">
        <f aca="false">I615*I610/J610</f>
        <v>0</v>
      </c>
      <c r="K625" s="58" t="n">
        <f aca="false">J615*J610/K610</f>
        <v>0</v>
      </c>
      <c r="L625" s="58" t="n">
        <f aca="false">K615*K610/L610</f>
        <v>0</v>
      </c>
    </row>
    <row r="626" customFormat="false" ht="15" hidden="true" customHeight="false" outlineLevel="1" collapsed="false">
      <c r="A626" s="6" t="s">
        <v>295</v>
      </c>
      <c r="B626" s="29" t="n">
        <f aca="false">$O$17*(B618-B619-B620-0.5*B621-B622)-B623-B624-B625</f>
        <v>-9.59839124703308</v>
      </c>
      <c r="C626" s="29" t="n">
        <f aca="false">$O$17*(C618-C619-C620-0.5*C621-C622)-C623-C624-C625</f>
        <v>-267.229876119426</v>
      </c>
      <c r="D626" s="29" t="n">
        <f aca="false">$O$17*(D618-D619-D620-0.5*D621-D622)-D623-D624-D625</f>
        <v>-153.913791403352</v>
      </c>
      <c r="E626" s="29" t="n">
        <f aca="false">$O$17*(E618-E619-E620-0.5*E621-E622)-E623-E624-E625</f>
        <v>124.810599184297</v>
      </c>
      <c r="F626" s="29" t="n">
        <f aca="false">$O$17*(F618-F619-F620-0.5*F621-F622)-F623-F624-F625</f>
        <v>126.751879317731</v>
      </c>
      <c r="G626" s="29" t="n">
        <f aca="false">$O$17*(G618-G619-G620-0.5*G621-G622)-G623-G624-G625</f>
        <v>128.600254853832</v>
      </c>
      <c r="H626" s="29" t="n">
        <f aca="false">$O$17*(H618-H619-H620-0.5*H621-H622)-H623-H624-H625</f>
        <v>127.827269344273</v>
      </c>
      <c r="I626" s="29" t="n">
        <f aca="false">$O$17*(I618-I619-I620-0.5*I621-I622)-I623-I624-I625</f>
        <v>122.931072126702</v>
      </c>
      <c r="J626" s="29" t="n">
        <f aca="false">$O$17*(J618-J619-J620-0.5*J621-J622)-J623-J624-J625</f>
        <v>133.112318184483</v>
      </c>
      <c r="K626" s="29" t="n">
        <f aca="false">$O$17*(K618-K619-K620-0.5*K621-K622)-K623-K624-K625</f>
        <v>134.757727269133</v>
      </c>
      <c r="L626" s="29" t="n">
        <f aca="false">$O$17*(L618-L619-L620-0.5*L621-L622)-L623-L624-L625</f>
        <v>136.344607067335</v>
      </c>
    </row>
    <row r="627" customFormat="false" ht="15" hidden="true" customHeight="false" outlineLevel="1" collapsed="false">
      <c r="A627" s="9" t="s">
        <v>420</v>
      </c>
      <c r="B627" s="58" t="n">
        <f aca="false">(IF(B$47&gt;=1,Quesería!$G$124*IF(B$47=1,Quesería!$B$20,1),Quesería!$G$124*Quesería!$B$20*Quesería!$B$21/12*$O$23)+IF(B$47&gt;=2,(Quesería!$G$125-(1-$O$24)*Quesería!$G$117-(-$O$26*$O$27)*'Beneficios y costos'!$D$167)*$O$21*IF(B$47=2,Quesería!$B$20,1),0))*$O$10</f>
        <v>77.4042870161869</v>
      </c>
      <c r="C627" s="58" t="n">
        <f aca="false">(IF(C$47&gt;=1,Quesería!$G$124*IF(C$47=1,Quesería!$B$20,1),Quesería!$G$124*Quesería!$B$20*Quesería!$B$21/12*$O$23)+IF(C$47&gt;=2,(Quesería!$G$125-(1-$O$24)*Quesería!$G$117-(-$O$26*$O$27)*'Beneficios y costos'!$D$167)*$O$21*IF(C$47=2,Quesería!$B$20,1),0))*$O$10</f>
        <v>116.10643052428</v>
      </c>
      <c r="D627" s="58" t="n">
        <f aca="false">(IF(D$47&gt;=1,Quesería!$G$124*IF(D$47=1,Quesería!$B$20,1),Quesería!$G$124*Quesería!$B$20*Quesería!$B$21/12*$O$23)+IF(D$47&gt;=2,(Quesería!$G$125-(1-$O$24)*Quesería!$G$117-(-$O$26*$O$27)*'Beneficios y costos'!$D$167)*$O$21*IF(D$47=2,Quesería!$B$20,1),0))*$O$10</f>
        <v>2023.78917421887</v>
      </c>
      <c r="E627" s="58" t="n">
        <f aca="false">(IF(E$47&gt;=1,Quesería!$G$124*IF(E$47=1,Quesería!$B$20,1),Quesería!$G$124*Quesería!$B$20*Quesería!$B$21/12*$O$23)+IF(E$47&gt;=2,(Quesería!$G$125-(1-$O$24)*Quesería!$G$117-(-$O$26*$O$27)*'Beneficios y costos'!$D$167)*$O$21*IF(E$47=2,Quesería!$B$20,1),0))*$O$10</f>
        <v>2646.78270761437</v>
      </c>
      <c r="F627" s="58" t="n">
        <f aca="false">(IF(F$47&gt;=1,Quesería!$G$124*IF(F$47=1,Quesería!$B$20,1),Quesería!$G$124*Quesería!$B$20*Quesería!$B$21/12*$O$23)+IF(F$47&gt;=2,(Quesería!$G$125-(1-$O$24)*Quesería!$G$117-(-$O$26*$O$27)*'Beneficios y costos'!$D$167)*$O$21*IF(F$47=2,Quesería!$B$20,1),0))*$O$10</f>
        <v>2646.78270761437</v>
      </c>
      <c r="G627" s="58" t="n">
        <f aca="false">(IF(G$47&gt;=1,Quesería!$G$124*IF(G$47=1,Quesería!$B$20,1),Quesería!$G$124*Quesería!$B$20*Quesería!$B$21/12*$O$23)+IF(G$47&gt;=2,(Quesería!$G$125-(1-$O$24)*Quesería!$G$117-(-$O$26*$O$27)*'Beneficios y costos'!$D$167)*$O$21*IF(G$47=2,Quesería!$B$20,1),0))*$O$10</f>
        <v>2646.78270761437</v>
      </c>
      <c r="H627" s="58" t="n">
        <f aca="false">(IF(H$47&gt;=1,Quesería!$G$124*IF(H$47=1,Quesería!$B$20,1),Quesería!$G$124*Quesería!$B$20*Quesería!$B$21/12*$O$23)+IF(H$47&gt;=2,(Quesería!$G$125-(1-$O$24)*Quesería!$G$117-(-$O$26*$O$27)*'Beneficios y costos'!$D$167)*$O$21*IF(H$47=2,Quesería!$B$20,1),0))*$O$10</f>
        <v>2646.78270761437</v>
      </c>
      <c r="I627" s="58" t="n">
        <f aca="false">(IF(I$47&gt;=1,Quesería!$G$124*IF(I$47=1,Quesería!$B$20,1),Quesería!$G$124*Quesería!$B$20*Quesería!$B$21/12*$O$23)+IF(I$47&gt;=2,(Quesería!$G$125-(1-$O$24)*Quesería!$G$117-(-$O$26*$O$27)*'Beneficios y costos'!$D$167)*$O$21*IF(I$47=2,Quesería!$B$20,1),0))*$O$10</f>
        <v>2646.78270761437</v>
      </c>
      <c r="J627" s="58" t="n">
        <f aca="false">(IF(J$47&gt;=1,Quesería!$G$124*IF(J$47=1,Quesería!$B$20,1),Quesería!$G$124*Quesería!$B$20*Quesería!$B$21/12*$O$23)+IF(J$47&gt;=2,(Quesería!$G$125-(1-$O$24)*Quesería!$G$117-(-$O$26*$O$27)*'Beneficios y costos'!$D$167)*$O$21*IF(J$47=2,Quesería!$B$20,1),0))*$O$10</f>
        <v>2646.78270761437</v>
      </c>
      <c r="K627" s="58" t="n">
        <f aca="false">(IF(K$47&gt;=1,Quesería!$G$124*IF(K$47=1,Quesería!$B$20,1),Quesería!$G$124*Quesería!$B$20*Quesería!$B$21/12*$O$23)+IF(K$47&gt;=2,(Quesería!$G$125-(1-$O$24)*Quesería!$G$117-(-$O$26*$O$27)*'Beneficios y costos'!$D$167)*$O$21*IF(K$47=2,Quesería!$B$20,1),0))*$O$10</f>
        <v>2646.78270761437</v>
      </c>
      <c r="L627" s="58" t="n">
        <f aca="false">(IF(L$47&gt;=1,Quesería!$G$124*IF(L$47=1,Quesería!$B$20,1),Quesería!$G$124*Quesería!$B$20*Quesería!$B$21/12*$O$23)+IF(L$47&gt;=2,(Quesería!$G$125-(1-$O$24)*Quesería!$G$117-(-$O$26*$O$27)*'Beneficios y costos'!$D$167)*$O$21*IF(L$47=2,Quesería!$B$20,1),0))*$O$10</f>
        <v>2646.78270761437</v>
      </c>
    </row>
    <row r="628" customFormat="false" ht="15" hidden="true" customHeight="false" outlineLevel="1" collapsed="false">
      <c r="A628" s="6" t="s">
        <v>421</v>
      </c>
      <c r="B628" s="29" t="n">
        <f aca="false">(B627*(Quesería!$B$38+Quesería!$B$40*Quesería!$B$39)/365-B619*Quesería!$B$42/365+IF(B$47&gt;=2,($O$25*'Beneficios y costos'!$B$147+(1-$O$25)*'Beneficios y costos'!$B$148)*$O$24*$O$21*$O$10*IF(B$47=2,Quesería!$B$20,1),0))</f>
        <v>7.23146900616979</v>
      </c>
      <c r="C628" s="29" t="n">
        <f aca="false">(C627*(Quesería!$B$38+Quesería!$B$40*Quesería!$B$39)/365-C619*Quesería!$B$42/365+IF(C$47&gt;=2,($O$25*'Beneficios y costos'!$B$147+(1-$O$25)*'Beneficios y costos'!$B$148)*$O$24*$O$21*$O$10*IF(C$47=2,Quesería!$B$20,1),0))-(B627*(Quesería!$B$38+Quesería!$B$40*Quesería!$B$39)/365-B619*Quesería!$B$42/365+IF(B$47&gt;=2,($O$25*'Beneficios y costos'!$B$147+(1-$O$25)*'Beneficios y costos'!$B$148)*$O$24*$O$21*$O$10*IF(B$47=2,Quesería!$B$20,1),0))*B610/C610</f>
        <v>1.42287846600884</v>
      </c>
      <c r="D628" s="29" t="n">
        <f aca="false">(D627*(Quesería!$B$38+Quesería!$B$40*Quesería!$B$39)/365-D619*Quesería!$B$42/365+IF(D$47&gt;=2,($O$25*'Beneficios y costos'!$B$147+(1-$O$25)*'Beneficios y costos'!$B$148)*$O$24*$O$21*$O$10*IF(D$47=2,Quesería!$B$20,1),0))-(C627*(Quesería!$B$38+Quesería!$B$40*Quesería!$B$39)/365-C619*Quesería!$B$42/365+IF(C$47&gt;=2,($O$25*'Beneficios y costos'!$B$147+(1-$O$25)*'Beneficios y costos'!$B$148)*$O$24*$O$21*$O$10*IF(C$47=2,Quesería!$B$20,1),0))*C610/D610</f>
        <v>121.067969072345</v>
      </c>
      <c r="E628" s="29" t="n">
        <f aca="false">(E627*(Quesería!$B$38+Quesería!$B$40*Quesería!$B$39)/365-E619*Quesería!$B$42/365+IF(E$47&gt;=2,($O$25*'Beneficios y costos'!$B$147+(1-$O$25)*'Beneficios y costos'!$B$148)*$O$24*$O$21*$O$10*IF(E$47=2,Quesería!$B$20,1),0))-(D627*(Quesería!$B$38+Quesería!$B$40*Quesería!$B$39)/365-D619*Quesería!$B$42/365+IF(D$47&gt;=2,($O$25*'Beneficios y costos'!$B$147+(1-$O$25)*'Beneficios y costos'!$B$148)*$O$24*$O$21*$O$10*IF(D$47=2,Quesería!$B$20,1),0))*D610/E610</f>
        <v>44.6849531551876</v>
      </c>
      <c r="F628" s="29" t="n">
        <f aca="false">(F627*(Quesería!$B$38+Quesería!$B$40*Quesería!$B$39)/365-F619*Quesería!$B$42/365+IF(F$47&gt;=2,($O$25*'Beneficios y costos'!$B$147+(1-$O$25)*'Beneficios y costos'!$B$148)*$O$24*$O$21*$O$10*IF(F$47=2,Quesería!$B$20,1),0))-(E627*(Quesería!$B$38+Quesería!$B$40*Quesería!$B$39)/365-E619*Quesería!$B$42/365+IF(E$47&gt;=2,($O$25*'Beneficios y costos'!$B$147+(1-$O$25)*'Beneficios y costos'!$B$148)*$O$24*$O$21*$O$10*IF(E$47=2,Quesería!$B$20,1),0))*E610/F610</f>
        <v>6.49010597714096</v>
      </c>
      <c r="G628" s="29" t="n">
        <f aca="false">(G627*(Quesería!$B$38+Quesería!$B$40*Quesería!$B$39)/365-G619*Quesería!$B$42/365+IF(G$47&gt;=2,($O$25*'Beneficios y costos'!$B$147+(1-$O$25)*'Beneficios y costos'!$B$148)*$O$24*$O$21*$O$10*IF(G$47=2,Quesería!$B$20,1),0))-(F627*(Quesería!$B$38+Quesería!$B$40*Quesería!$B$39)/365-F619*Quesería!$B$42/365+IF(F$47&gt;=2,($O$25*'Beneficios y costos'!$B$147+(1-$O$25)*'Beneficios y costos'!$B$148)*$O$24*$O$21*$O$10*IF(F$47=2,Quesería!$B$20,1),0))*F610/G610</f>
        <v>6.49010597714096</v>
      </c>
      <c r="H628" s="29" t="n">
        <f aca="false">(H627*(Quesería!$B$38+Quesería!$B$40*Quesería!$B$39)/365-H619*Quesería!$B$42/365+IF(H$47&gt;=2,($O$25*'Beneficios y costos'!$B$147+(1-$O$25)*'Beneficios y costos'!$B$148)*$O$24*$O$21*$O$10*IF(H$47=2,Quesería!$B$20,1),0))-(G627*(Quesería!$B$38+Quesería!$B$40*Quesería!$B$39)/365-G619*Quesería!$B$42/365+IF(G$47&gt;=2,($O$25*'Beneficios y costos'!$B$147+(1-$O$25)*'Beneficios y costos'!$B$148)*$O$24*$O$21*$O$10*IF(G$47=2,Quesería!$B$20,1),0))*G610/H610</f>
        <v>6.49010597714096</v>
      </c>
      <c r="I628" s="29" t="n">
        <f aca="false">(I627*(Quesería!$B$38+Quesería!$B$40*Quesería!$B$39)/365-I619*Quesería!$B$42/365+IF(I$47&gt;=2,($O$25*'Beneficios y costos'!$B$147+(1-$O$25)*'Beneficios y costos'!$B$148)*$O$24*$O$21*$O$10*IF(I$47=2,Quesería!$B$20,1),0))-(H627*(Quesería!$B$38+Quesería!$B$40*Quesería!$B$39)/365-H619*Quesería!$B$42/365+IF(H$47&gt;=2,($O$25*'Beneficios y costos'!$B$147+(1-$O$25)*'Beneficios y costos'!$B$148)*$O$24*$O$21*$O$10*IF(H$47=2,Quesería!$B$20,1),0))*H610/I610</f>
        <v>6.49010597714096</v>
      </c>
      <c r="J628" s="29" t="n">
        <f aca="false">(J627*(Quesería!$B$38+Quesería!$B$40*Quesería!$B$39)/365-J619*Quesería!$B$42/365+IF(J$47&gt;=2,($O$25*'Beneficios y costos'!$B$147+(1-$O$25)*'Beneficios y costos'!$B$148)*$O$24*$O$21*$O$10*IF(J$47=2,Quesería!$B$20,1),0))-(I627*(Quesería!$B$38+Quesería!$B$40*Quesería!$B$39)/365-I619*Quesería!$B$42/365+IF(I$47&gt;=2,($O$25*'Beneficios y costos'!$B$147+(1-$O$25)*'Beneficios y costos'!$B$148)*$O$24*$O$21*$O$10*IF(I$47=2,Quesería!$B$20,1),0))*I610/J610</f>
        <v>6.49010597714096</v>
      </c>
      <c r="K628" s="29" t="n">
        <f aca="false">(K627*(Quesería!$B$38+Quesería!$B$40*Quesería!$B$39)/365-K619*Quesería!$B$42/365+IF(K$47&gt;=2,($O$25*'Beneficios y costos'!$B$147+(1-$O$25)*'Beneficios y costos'!$B$148)*$O$24*$O$21*$O$10*IF(K$47=2,Quesería!$B$20,1),0))-(J627*(Quesería!$B$38+Quesería!$B$40*Quesería!$B$39)/365-J619*Quesería!$B$42/365+IF(J$47&gt;=2,($O$25*'Beneficios y costos'!$B$147+(1-$O$25)*'Beneficios y costos'!$B$148)*$O$24*$O$21*$O$10*IF(J$47=2,Quesería!$B$20,1),0))*J610/K610</f>
        <v>6.49010597714099</v>
      </c>
      <c r="L628" s="29" t="n">
        <f aca="false">-(K627*(Quesería!$B$38+Quesería!$B$40*Quesería!$B$39)/365-K619*Quesería!$B$42/365+IF(K$47&gt;=2,($O$25*'Beneficios y costos'!$B$147+(1-$O$25)*'Beneficios y costos'!$B$148)*$O$24*$O$21*$O$10*IF(K$47=2,Quesería!$B$20,1),0))*K610/L610</f>
        <v>-162.252649428524</v>
      </c>
    </row>
    <row r="629" customFormat="false" ht="15" hidden="true" customHeight="false" outlineLevel="1" collapsed="false">
      <c r="A629" s="6" t="s">
        <v>422</v>
      </c>
      <c r="B629" s="29" t="n">
        <v>0</v>
      </c>
      <c r="C629" s="29" t="n">
        <v>0</v>
      </c>
      <c r="D629" s="29" t="n">
        <v>0</v>
      </c>
      <c r="E629" s="29" t="n">
        <v>0</v>
      </c>
      <c r="F629" s="29" t="n">
        <v>0</v>
      </c>
      <c r="G629" s="29" t="n">
        <v>0</v>
      </c>
      <c r="H629" s="29" t="n">
        <v>0</v>
      </c>
      <c r="I629" s="29" t="n">
        <v>0</v>
      </c>
      <c r="J629" s="29" t="n">
        <v>0</v>
      </c>
      <c r="K629" s="29" t="n">
        <v>0</v>
      </c>
      <c r="L629" s="29" t="n">
        <f aca="false">$O$8*Quesería!$B$36*(Quesería!$F$94+(Quesería!$F$95-(-$O$26)*Quesería!$D$86)*$O$21)*$O$11*(1-$O$17)</f>
        <v>61.9237725584542</v>
      </c>
    </row>
    <row r="630" customFormat="false" ht="15" hidden="true" customHeight="false" outlineLevel="1" collapsed="false">
      <c r="A630" s="5" t="s">
        <v>147</v>
      </c>
      <c r="B630" s="59" t="n">
        <f aca="false">B618-B619-B620-B621-B626-B613-B614-B615-B628+B629</f>
        <v>-961.151880133756</v>
      </c>
      <c r="C630" s="59" t="n">
        <f aca="false">C618-C619-C620-C621-C626-C613-C614-C615-C628+C629</f>
        <v>-400.299352809729</v>
      </c>
      <c r="D630" s="59" t="n">
        <f aca="false">D618-D619-D620-D621-D626-D613-D614-D615-D628+D629</f>
        <v>454.39201150216</v>
      </c>
      <c r="E630" s="59" t="n">
        <f aca="false">E618-E619-E620-E621-E626-E613-E614-E615-E628+E629</f>
        <v>323.234206051375</v>
      </c>
      <c r="F630" s="59" t="n">
        <f aca="false">F618-F619-F620-F621-F626-F613-F614-F615-F628+F629</f>
        <v>359.792709324483</v>
      </c>
      <c r="G630" s="59" t="n">
        <f aca="false">G618-G619-G620-G621-G626-G613-G614-G615-G628+G629</f>
        <v>325.43645171386</v>
      </c>
      <c r="H630" s="59" t="n">
        <f aca="false">H618-H619-H620-H621-H626-H613-H614-H615-H628+H629</f>
        <v>303.907865744542</v>
      </c>
      <c r="I630" s="59" t="n">
        <f aca="false">I618-I619-I620-I621-I626-I613-I614-I615-I628+I629</f>
        <v>364.53750381959</v>
      </c>
      <c r="J630" s="59" t="n">
        <f aca="false">J618-J619-J620-J621-J626-J613-J614-J615-J628+J629</f>
        <v>354.667338607965</v>
      </c>
      <c r="K630" s="59" t="n">
        <f aca="false">K618-K619-K620-K621-K626-K613-K614-K615-K628+K629</f>
        <v>353.334565773704</v>
      </c>
      <c r="L630" s="59" t="n">
        <f aca="false">L618-L619-L620-L621-L626-L613-L614-L615-L628+L629</f>
        <v>582.72841337126</v>
      </c>
    </row>
    <row r="631" customFormat="false" ht="15" hidden="true" customHeight="false" outlineLevel="1" collapsed="false">
      <c r="A631" s="9" t="s">
        <v>423</v>
      </c>
      <c r="B631" s="58" t="n">
        <f aca="false">B630*B610</f>
        <v>-1018.82099294178</v>
      </c>
      <c r="C631" s="58" t="n">
        <f aca="false">C630*C610</f>
        <v>-445.533179677228</v>
      </c>
      <c r="D631" s="58" t="n">
        <f aca="false">D630*D610</f>
        <v>528.49653269799</v>
      </c>
      <c r="E631" s="58" t="n">
        <f aca="false">E630*E610</f>
        <v>390.986810807075</v>
      </c>
      <c r="F631" s="58" t="n">
        <f aca="false">F630*F610</f>
        <v>452.616614795959</v>
      </c>
      <c r="G631" s="58" t="n">
        <f aca="false">G630*G610</f>
        <v>425.772559977076</v>
      </c>
      <c r="H631" s="58" t="n">
        <f aca="false">H630*H610</f>
        <v>413.51070074152</v>
      </c>
      <c r="I631" s="58" t="n">
        <f aca="false">I630*I610</f>
        <v>515.846355647868</v>
      </c>
      <c r="J631" s="58" t="n">
        <f aca="false">J630*J610</f>
        <v>521.954548594109</v>
      </c>
      <c r="K631" s="58" t="n">
        <f aca="false">K630*K610</f>
        <v>540.792867719807</v>
      </c>
      <c r="L631" s="58" t="n">
        <f aca="false">L630*L610</f>
        <v>927.565022804805</v>
      </c>
    </row>
    <row r="632" customFormat="false" ht="15" hidden="true" customHeight="false" outlineLevel="1" collapsed="false">
      <c r="A632" s="6" t="s">
        <v>424</v>
      </c>
      <c r="B632" s="29" t="n">
        <f aca="false">B630</f>
        <v>-961.151880133756</v>
      </c>
      <c r="C632" s="29" t="n">
        <f aca="false">B632+C630</f>
        <v>-1361.45123294348</v>
      </c>
      <c r="D632" s="29" t="n">
        <f aca="false">C632+D630</f>
        <v>-907.059221441324</v>
      </c>
      <c r="E632" s="29" t="n">
        <f aca="false">D632+E630</f>
        <v>-583.825015389949</v>
      </c>
      <c r="F632" s="29" t="n">
        <f aca="false">E632+F630</f>
        <v>-224.032306065466</v>
      </c>
      <c r="G632" s="29" t="n">
        <f aca="false">F632+G630</f>
        <v>101.404145648393</v>
      </c>
      <c r="H632" s="29" t="n">
        <f aca="false">G632+H630</f>
        <v>405.312011392935</v>
      </c>
      <c r="I632" s="29" t="n">
        <f aca="false">H632+I630</f>
        <v>769.849515212525</v>
      </c>
      <c r="J632" s="29" t="n">
        <f aca="false">I632+J630</f>
        <v>1124.51685382049</v>
      </c>
      <c r="K632" s="29" t="n">
        <f aca="false">J632+K630</f>
        <v>1477.85141959419</v>
      </c>
      <c r="L632" s="29" t="n">
        <f aca="false">K632+L630</f>
        <v>2060.57983296545</v>
      </c>
    </row>
    <row r="633" customFormat="false" ht="15" hidden="true" customHeight="false" outlineLevel="1" collapsed="false">
      <c r="A633" s="9" t="s">
        <v>425</v>
      </c>
      <c r="B633" s="60" t="n">
        <v>0</v>
      </c>
      <c r="C633" s="60" t="n">
        <f aca="false">IF(AND(B632&lt;0,C632&gt;=0),B$47+(-B632)/C630,0)</f>
        <v>0</v>
      </c>
      <c r="D633" s="60" t="n">
        <f aca="false">IF(AND(C632&lt;0,D632&gt;=0),C$47+(-C632)/D630,0)</f>
        <v>0</v>
      </c>
      <c r="E633" s="60" t="n">
        <f aca="false">IF(AND(D632&lt;0,E632&gt;=0),D$47+(-D632)/E630,0)</f>
        <v>0</v>
      </c>
      <c r="F633" s="60" t="n">
        <f aca="false">IF(AND(E632&lt;0,F632&gt;=0),E$47+(-E632)/F630,0)</f>
        <v>0</v>
      </c>
      <c r="G633" s="60" t="n">
        <f aca="false">IF(AND(F632&lt;0,G632&gt;=0),F$47+(-F632)/G630,0)</f>
        <v>4.68840569298748</v>
      </c>
      <c r="H633" s="60" t="n">
        <f aca="false">IF(AND(G632&lt;0,H632&gt;=0),G$47+(-G632)/H630,0)</f>
        <v>0</v>
      </c>
      <c r="I633" s="60" t="n">
        <f aca="false">IF(AND(H632&lt;0,I632&gt;=0),H$47+(-H632)/I630,0)</f>
        <v>0</v>
      </c>
      <c r="J633" s="60" t="n">
        <f aca="false">IF(AND(I632&lt;0,J632&gt;=0),I$47+(-I632)/J630,0)</f>
        <v>0</v>
      </c>
      <c r="K633" s="60" t="n">
        <f aca="false">IF(AND(J632&lt;0,K632&gt;=0),J$47+(-J632)/K630,0)</f>
        <v>0</v>
      </c>
      <c r="L633" s="60" t="n">
        <f aca="false">IF(AND(K632&lt;0,L632&gt;=0),K$47+(-K632)/L630,0)</f>
        <v>0</v>
      </c>
    </row>
    <row r="634" customFormat="false" ht="15" hidden="true" customHeight="false" outlineLevel="1" collapsed="false">
      <c r="A634" s="9" t="s">
        <v>426</v>
      </c>
      <c r="B634" s="57" t="n">
        <f aca="false">(B610/$B$610)/(1+$O$29)^B$47</f>
        <v>1</v>
      </c>
      <c r="C634" s="57" t="n">
        <f aca="false">(C610/$B$610)/(1+$O$29)^C$47</f>
        <v>0.915373701313561</v>
      </c>
      <c r="D634" s="57" t="n">
        <f aca="false">(D610/$B$610)/(1+$O$29)^D$47</f>
        <v>0.833918970137172</v>
      </c>
      <c r="E634" s="57" t="n">
        <f aca="false">(E610/$B$610)/(1+$O$29)^E$47</f>
        <v>0.756077518153961</v>
      </c>
      <c r="F634" s="57" t="n">
        <f aca="false">(F610/$B$610)/(1+$O$29)^F$47</f>
        <v>0.685502109831871</v>
      </c>
      <c r="G634" s="57" t="n">
        <f aca="false">(G610/$B$610)/(1+$O$29)^G$47</f>
        <v>0.621514502549008</v>
      </c>
      <c r="H634" s="57" t="n">
        <f aca="false">(H610/$B$610)/(1+$O$29)^H$47</f>
        <v>0.563499763660072</v>
      </c>
      <c r="I634" s="57" t="n">
        <f aca="false">(I610/$B$610)/(1+$O$29)^I$47</f>
        <v>0.510900360880829</v>
      </c>
      <c r="J634" s="57" t="n">
        <f aca="false">(J610/$B$610)/(1+$O$29)^J$47</f>
        <v>0.463210804300567</v>
      </c>
      <c r="K634" s="57" t="n">
        <f aca="false">(K610/$B$610)/(1+$O$29)^K$47</f>
        <v>0.419972788531318</v>
      </c>
      <c r="L634" s="57" t="n">
        <f aca="false">(L610/$B$610)/(1+$O$29)^L$47</f>
        <v>0.380770788308996</v>
      </c>
    </row>
    <row r="635" customFormat="false" ht="15" hidden="true" customHeight="false" outlineLevel="1" collapsed="false">
      <c r="A635" s="9" t="s">
        <v>427</v>
      </c>
      <c r="B635" s="58" t="n">
        <f aca="false">B630*B634</f>
        <v>-961.151880133756</v>
      </c>
      <c r="C635" s="58" t="n">
        <f aca="false">C630*C634</f>
        <v>-366.423500214865</v>
      </c>
      <c r="D635" s="58" t="n">
        <f aca="false">D630*D634</f>
        <v>378.92611827044</v>
      </c>
      <c r="E635" s="58" t="n">
        <f aca="false">E630*E634</f>
        <v>244.39011629379</v>
      </c>
      <c r="F635" s="58" t="n">
        <f aca="false">F630*F634</f>
        <v>246.638661344058</v>
      </c>
      <c r="G635" s="58" t="n">
        <f aca="false">G630*G634</f>
        <v>202.263474398254</v>
      </c>
      <c r="H635" s="58" t="n">
        <f aca="false">H630*H634</f>
        <v>171.252010521486</v>
      </c>
      <c r="I635" s="58" t="n">
        <f aca="false">I630*I634</f>
        <v>186.242342256025</v>
      </c>
      <c r="J635" s="58" t="n">
        <f aca="false">J630*J634</f>
        <v>164.285743175737</v>
      </c>
      <c r="K635" s="58" t="n">
        <f aca="false">K630*K634</f>
        <v>148.390902872485</v>
      </c>
      <c r="L635" s="58" t="n">
        <f aca="false">L630*L634</f>
        <v>221.885957329425</v>
      </c>
    </row>
    <row r="636" customFormat="false" ht="15" hidden="true" customHeight="false" outlineLevel="1" collapsed="false">
      <c r="A636" s="9" t="s">
        <v>428</v>
      </c>
      <c r="B636" s="58" t="n">
        <f aca="false">B635</f>
        <v>-961.151880133756</v>
      </c>
      <c r="C636" s="58" t="n">
        <f aca="false">B636+C635</f>
        <v>-1327.57538034862</v>
      </c>
      <c r="D636" s="58" t="n">
        <f aca="false">C636+D635</f>
        <v>-948.649262078181</v>
      </c>
      <c r="E636" s="58" t="n">
        <f aca="false">D636+E635</f>
        <v>-704.259145784391</v>
      </c>
      <c r="F636" s="58" t="n">
        <f aca="false">E636+F635</f>
        <v>-457.620484440333</v>
      </c>
      <c r="G636" s="58" t="n">
        <f aca="false">F636+G635</f>
        <v>-255.357010042079</v>
      </c>
      <c r="H636" s="58" t="n">
        <f aca="false">G636+H635</f>
        <v>-84.1049995205929</v>
      </c>
      <c r="I636" s="58" t="n">
        <f aca="false">H636+I635</f>
        <v>102.137342735432</v>
      </c>
      <c r="J636" s="58" t="n">
        <f aca="false">I636+J635</f>
        <v>266.423085911169</v>
      </c>
      <c r="K636" s="58" t="n">
        <f aca="false">J636+K635</f>
        <v>414.813988783654</v>
      </c>
      <c r="L636" s="58" t="n">
        <f aca="false">K636+L635</f>
        <v>636.699946113079</v>
      </c>
    </row>
    <row r="637" customFormat="false" ht="15" hidden="true" customHeight="false" outlineLevel="1" collapsed="false">
      <c r="A637" s="9" t="s">
        <v>429</v>
      </c>
      <c r="B637" s="60" t="n">
        <v>0</v>
      </c>
      <c r="C637" s="60" t="n">
        <f aca="false">IF(AND(B636&lt;0,C636&gt;=0),B$47+(-B636)/C635,0)</f>
        <v>0</v>
      </c>
      <c r="D637" s="60" t="n">
        <f aca="false">IF(AND(C636&lt;0,D636&gt;=0),C$47+(-C636)/D635,0)</f>
        <v>0</v>
      </c>
      <c r="E637" s="60" t="n">
        <f aca="false">IF(AND(D636&lt;0,E636&gt;=0),D$47+(-D636)/E635,0)</f>
        <v>0</v>
      </c>
      <c r="F637" s="60" t="n">
        <f aca="false">IF(AND(E636&lt;0,F636&gt;=0),E$47+(-E636)/F635,0)</f>
        <v>0</v>
      </c>
      <c r="G637" s="60" t="n">
        <f aca="false">IF(AND(F636&lt;0,G636&gt;=0),F$47+(-F636)/G635,0)</f>
        <v>0</v>
      </c>
      <c r="H637" s="60" t="n">
        <f aca="false">IF(AND(G636&lt;0,H636&gt;=0),G$47+(-G636)/H635,0)</f>
        <v>0</v>
      </c>
      <c r="I637" s="60" t="n">
        <f aca="false">IF(AND(H636&lt;0,I636&gt;=0),H$47+(-H636)/I635,0)</f>
        <v>6.45158903449021</v>
      </c>
      <c r="J637" s="60" t="n">
        <f aca="false">IF(AND(I636&lt;0,J636&gt;=0),I$47+(-I636)/J635,0)</f>
        <v>0</v>
      </c>
      <c r="K637" s="60" t="n">
        <f aca="false">IF(AND(J636&lt;0,K636&gt;=0),J$47+(-J636)/K635,0)</f>
        <v>0</v>
      </c>
      <c r="L637" s="60" t="n">
        <f aca="false">IF(AND(K636&lt;0,L636&gt;=0),K$47+(-K636)/L635,0)</f>
        <v>0</v>
      </c>
    </row>
    <row r="638" customFormat="false" ht="15" hidden="true" customHeight="false" outlineLevel="1" collapsed="false">
      <c r="A638" s="9" t="s">
        <v>430</v>
      </c>
      <c r="B638" s="58" t="n">
        <f aca="false">IF(B$47&lt;0,0,(Quesería!$B$44*$B$613*$B$610)*(1-MAX(0,MIN(B$47-0-Quesería!$B$47,(Quesería!$B$46-Quesería!$B$47)))/(Quesería!$B$46-Quesería!$B$47))*IF(B$47&gt;=2,1-Quesería!$B$48,1))+IF(B$47&lt;1,0,(Quesería!$B$44*$C$613*$C$610)*(1-MAX(0,MIN(B$47-1-Quesería!$B$47,(Quesería!$B$46-Quesería!$B$47)))/(Quesería!$B$46-Quesería!$B$47))*IF(B$47&gt;=2,1-Quesería!$B$48,1))</f>
        <v>641.321364968425</v>
      </c>
      <c r="C638" s="58" t="n">
        <f aca="false">IF(C$47&lt;0,0,(Quesería!$B$44*$B$613*$B$610)*(1-MAX(0,MIN(C$47-0-Quesería!$B$47,(Quesería!$B$46-Quesería!$B$47)))/(Quesería!$B$46-Quesería!$B$47))*IF(C$47&gt;=2,1-Quesería!$B$48,1))+IF(C$47&lt;1,0,(Quesería!$B$44*$C$613*$C$610)*(1-MAX(0,MIN(C$47-1-Quesería!$B$47,(Quesería!$B$46-Quesería!$B$47)))/(Quesería!$B$46-Quesería!$B$47))*IF(C$47&gt;=2,1-Quesería!$B$48,1))</f>
        <v>1117.69081125409</v>
      </c>
      <c r="D638" s="58" t="n">
        <f aca="false">IF(D$47&lt;0,0,(Quesería!$B$44*$B$613*$B$610)*(1-MAX(0,MIN(D$47-0-Quesería!$B$47,(Quesería!$B$46-Quesería!$B$47)))/(Quesería!$B$46-Quesería!$B$47))*IF(D$47&gt;=2,1-Quesería!$B$48,1))+IF(D$47&lt;1,0,(Quesería!$B$44*$C$613*$C$610)*(1-MAX(0,MIN(D$47-1-Quesería!$B$47,(Quesería!$B$46-Quesería!$B$47)))/(Quesería!$B$46-Quesería!$B$47))*IF(D$47&gt;=2,1-Quesería!$B$48,1))</f>
        <v>1010.80391709269</v>
      </c>
      <c r="E638" s="58" t="n">
        <f aca="false">IF(E$47&lt;0,0,(Quesería!$B$44*$B$613*$B$610)*(1-MAX(0,MIN(E$47-0-Quesería!$B$47,(Quesería!$B$46-Quesería!$B$47)))/(Quesería!$B$46-Quesería!$B$47))*IF(E$47&gt;=2,1-Quesería!$B$48,1))+IF(E$47&lt;1,0,(Quesería!$B$44*$C$613*$C$610)*(1-MAX(0,MIN(E$47-1-Quesería!$B$47,(Quesería!$B$46-Quesería!$B$47)))/(Quesería!$B$46-Quesería!$B$47))*IF(E$47&gt;=2,1-Quesería!$B$48,1))</f>
        <v>824.522115217005</v>
      </c>
      <c r="F638" s="58" t="n">
        <f aca="false">IF(F$47&lt;0,0,(Quesería!$B$44*$B$613*$B$610)*(1-MAX(0,MIN(F$47-0-Quesería!$B$47,(Quesería!$B$46-Quesería!$B$47)))/(Quesería!$B$46-Quesería!$B$47))*IF(F$47&gt;=2,1-Quesería!$B$48,1))+IF(F$47&lt;1,0,(Quesería!$B$44*$C$613*$C$610)*(1-MAX(0,MIN(F$47-1-Quesería!$B$47,(Quesería!$B$46-Quesería!$B$47)))/(Quesería!$B$46-Quesería!$B$47))*IF(F$47&gt;=2,1-Quesería!$B$48,1))</f>
        <v>638.240313341323</v>
      </c>
      <c r="G638" s="58" t="n">
        <f aca="false">IF(G$47&lt;0,0,(Quesería!$B$44*$B$613*$B$610)*(1-MAX(0,MIN(G$47-0-Quesería!$B$47,(Quesería!$B$46-Quesería!$B$47)))/(Quesería!$B$46-Quesería!$B$47))*IF(G$47&gt;=2,1-Quesería!$B$48,1))+IF(G$47&lt;1,0,(Quesería!$B$44*$C$613*$C$610)*(1-MAX(0,MIN(G$47-1-Quesería!$B$47,(Quesería!$B$46-Quesería!$B$47)))/(Quesería!$B$46-Quesería!$B$47))*IF(G$47&gt;=2,1-Quesería!$B$48,1))</f>
        <v>451.958511465641</v>
      </c>
      <c r="H638" s="58" t="n">
        <f aca="false">IF(H$47&lt;0,0,(Quesería!$B$44*$B$613*$B$610)*(1-MAX(0,MIN(H$47-0-Quesería!$B$47,(Quesería!$B$46-Quesería!$B$47)))/(Quesería!$B$46-Quesería!$B$47))*IF(H$47&gt;=2,1-Quesería!$B$48,1))+IF(H$47&lt;1,0,(Quesería!$B$44*$C$613*$C$610)*(1-MAX(0,MIN(H$47-1-Quesería!$B$47,(Quesería!$B$46-Quesería!$B$47)))/(Quesería!$B$46-Quesería!$B$47))*IF(H$47&gt;=2,1-Quesería!$B$48,1))</f>
        <v>265.67670958996</v>
      </c>
      <c r="I638" s="58" t="n">
        <f aca="false">IF(I$47&lt;0,0,(Quesería!$B$44*$B$613*$B$610)*(1-MAX(0,MIN(I$47-0-Quesería!$B$47,(Quesería!$B$46-Quesería!$B$47)))/(Quesería!$B$46-Quesería!$B$47))*IF(I$47&gt;=2,1-Quesería!$B$48,1))+IF(I$47&lt;1,0,(Quesería!$B$44*$C$613*$C$610)*(1-MAX(0,MIN(I$47-1-Quesería!$B$47,(Quesería!$B$46-Quesería!$B$47)))/(Quesería!$B$46-Quesería!$B$47))*IF(I$47&gt;=2,1-Quesería!$B$48,1))</f>
        <v>79.3949077142776</v>
      </c>
      <c r="J638" s="58" t="n">
        <f aca="false">IF(J$47&lt;0,0,(Quesería!$B$44*$B$613*$B$610)*(1-MAX(0,MIN(J$47-0-Quesería!$B$47,(Quesería!$B$46-Quesería!$B$47)))/(Quesería!$B$46-Quesería!$B$47))*IF(J$47&gt;=2,1-Quesería!$B$48,1))+IF(J$47&lt;1,0,(Quesería!$B$44*$C$613*$C$610)*(1-MAX(0,MIN(J$47-1-Quesería!$B$47,(Quesería!$B$46-Quesería!$B$47)))/(Quesería!$B$46-Quesería!$B$47))*IF(J$47&gt;=2,1-Quesería!$B$48,1))</f>
        <v>0</v>
      </c>
      <c r="K638" s="58" t="n">
        <f aca="false">IF(K$47&lt;0,0,(Quesería!$B$44*$B$613*$B$610)*(1-MAX(0,MIN(K$47-0-Quesería!$B$47,(Quesería!$B$46-Quesería!$B$47)))/(Quesería!$B$46-Quesería!$B$47))*IF(K$47&gt;=2,1-Quesería!$B$48,1))+IF(K$47&lt;1,0,(Quesería!$B$44*$C$613*$C$610)*(1-MAX(0,MIN(K$47-1-Quesería!$B$47,(Quesería!$B$46-Quesería!$B$47)))/(Quesería!$B$46-Quesería!$B$47))*IF(K$47&gt;=2,1-Quesería!$B$48,1))</f>
        <v>0</v>
      </c>
      <c r="L638" s="58" t="n">
        <f aca="false">IF(L$47&lt;0,0,(Quesería!$B$44*$B$613*$B$610)*(1-MAX(0,MIN(L$47-0-Quesería!$B$47,(Quesería!$B$46-Quesería!$B$47)))/(Quesería!$B$46-Quesería!$B$47))*IF(L$47&gt;=2,1-Quesería!$B$48,1))+IF(L$47&lt;1,0,(Quesería!$B$44*$C$613*$C$610)*(1-MAX(0,MIN(L$47-1-Quesería!$B$47,(Quesería!$B$46-Quesería!$B$47)))/(Quesería!$B$46-Quesería!$B$47))*IF(L$47&gt;=2,1-Quesería!$B$48,1))</f>
        <v>0</v>
      </c>
    </row>
    <row r="639" customFormat="false" ht="15" hidden="true" customHeight="false" outlineLevel="1" collapsed="false">
      <c r="A639" s="6" t="s">
        <v>431</v>
      </c>
      <c r="B639" s="29" t="n">
        <f aca="false">Quesería!$B$44*B613</f>
        <v>605.02015563059</v>
      </c>
      <c r="C639" s="29" t="n">
        <f aca="false">Quesería!$B$44*C613</f>
        <v>428.004893338424</v>
      </c>
      <c r="D639" s="29" t="n">
        <f aca="false">Quesería!$B$44*D613</f>
        <v>0</v>
      </c>
      <c r="E639" s="29" t="n">
        <f aca="false">Quesería!$B$44*E613</f>
        <v>0</v>
      </c>
      <c r="F639" s="29" t="n">
        <f aca="false">Quesería!$B$44*F613</f>
        <v>0</v>
      </c>
      <c r="G639" s="29" t="n">
        <f aca="false">Quesería!$B$44*G613</f>
        <v>0</v>
      </c>
      <c r="H639" s="29" t="n">
        <f aca="false">Quesería!$B$44*H613</f>
        <v>0</v>
      </c>
      <c r="I639" s="29" t="n">
        <f aca="false">Quesería!$B$44*I613</f>
        <v>0</v>
      </c>
      <c r="J639" s="29" t="n">
        <f aca="false">Quesería!$B$44*J613</f>
        <v>0</v>
      </c>
      <c r="K639" s="29" t="n">
        <f aca="false">Quesería!$B$44*K613</f>
        <v>0</v>
      </c>
      <c r="L639" s="29" t="n">
        <f aca="false">Quesería!$B$44*L613</f>
        <v>0</v>
      </c>
    </row>
    <row r="640" customFormat="false" ht="15" hidden="true" customHeight="false" outlineLevel="1" collapsed="false">
      <c r="A640" s="6" t="s">
        <v>432</v>
      </c>
      <c r="B640" s="29" t="n">
        <f aca="false">(IF(AND(B$47&gt;0,B$47&lt;=0+Quesería!$B$46),($O$14+$O$28)*(Quesería!$B$44*$B$613*$B$610)*(1-MAX(0,MIN((B$47-1)-0-Quesería!$B$47,(Quesería!$B$46-Quesería!$B$47)))/(Quesería!$B$46-Quesería!$B$47))*IF(B$47&gt;2,1-Quesería!$B$48,1),0)+IF(AND(B$47&gt;1,B$47&lt;=1+Quesería!$B$46),($O$14+$O$28)*(Quesería!$B$44*$C$613*$C$610)*(1-MAX(0,MIN((B$47-1)-1-Quesería!$B$47,(Quesería!$B$46-Quesería!$B$47)))/(Quesería!$B$46-Quesería!$B$47))*IF(B$47&gt;2,1-Quesería!$B$48,1),0))*B612</f>
        <v>0</v>
      </c>
      <c r="C640" s="29" t="n">
        <f aca="false">(IF(AND(C$47&gt;0,C$47&lt;=0+Quesería!$B$46),($O$14+$O$28)*(Quesería!$B$44*$B$613*$B$610)*(1-MAX(0,MIN((C$47-1)-0-Quesería!$B$47,(Quesería!$B$46-Quesería!$B$47)))/(Quesería!$B$46-Quesería!$B$47))*IF(C$47&gt;2,1-Quesería!$B$48,1),0)+IF(AND(C$47&gt;1,C$47&lt;=1+Quesería!$B$46),($O$14+$O$28)*(Quesería!$B$44*$C$613*$C$610)*(1-MAX(0,MIN((C$47-1)-1-Quesería!$B$47,(Quesería!$B$46-Quesería!$B$47)))/(Quesería!$B$46-Quesería!$B$47))*IF(C$47&gt;2,1-Quesería!$B$48,1),0))*C612</f>
        <v>81.2455637561078</v>
      </c>
      <c r="D640" s="29" t="n">
        <f aca="false">(IF(AND(D$47&gt;0,D$47&lt;=0+Quesería!$B$46),($O$14+$O$28)*(Quesería!$B$44*$B$613*$B$610)*(1-MAX(0,MIN((D$47-1)-0-Quesería!$B$47,(Quesería!$B$46-Quesería!$B$47)))/(Quesería!$B$46-Quesería!$B$47))*IF(D$47&gt;2,1-Quesería!$B$48,1),0)+IF(AND(D$47&gt;1,D$47&lt;=1+Quesería!$B$46),($O$14+$O$28)*(Quesería!$B$44*$C$613*$C$610)*(1-MAX(0,MIN((D$47-1)-1-Quesería!$B$47,(Quesería!$B$46-Quesería!$B$47)))/(Quesería!$B$46-Quesería!$B$47))*IF(D$47&gt;2,1-Quesería!$B$48,1),0))*D612</f>
        <v>135.496893508924</v>
      </c>
      <c r="E640" s="29" t="n">
        <f aca="false">(IF(AND(E$47&gt;0,E$47&lt;=0+Quesería!$B$46),($O$14+$O$28)*(Quesería!$B$44*$B$613*$B$610)*(1-MAX(0,MIN((E$47-1)-0-Quesería!$B$47,(Quesería!$B$46-Quesería!$B$47)))/(Quesería!$B$46-Quesería!$B$47))*IF(E$47&gt;2,1-Quesería!$B$48,1),0)+IF(AND(E$47&gt;1,E$47&lt;=1+Quesería!$B$46),($O$14+$O$28)*(Quesería!$B$44*$C$613*$C$610)*(1-MAX(0,MIN((E$47-1)-1-Quesería!$B$47,(Quesería!$B$46-Quesería!$B$47)))/(Quesería!$B$46-Quesería!$B$47))*IF(E$47&gt;2,1-Quesería!$B$48,1),0))*E612</f>
        <v>117.826027258135</v>
      </c>
      <c r="F640" s="29" t="n">
        <f aca="false">(IF(AND(F$47&gt;0,F$47&lt;=0+Quesería!$B$46),($O$14+$O$28)*(Quesería!$B$44*$B$613*$B$610)*(1-MAX(0,MIN((F$47-1)-0-Quesería!$B$47,(Quesería!$B$46-Quesería!$B$47)))/(Quesería!$B$46-Quesería!$B$47))*IF(F$47&gt;2,1-Quesería!$B$48,1),0)+IF(AND(F$47&gt;1,F$47&lt;=1+Quesería!$B$46),($O$14+$O$28)*(Quesería!$B$44*$C$613*$C$610)*(1-MAX(0,MIN((F$47-1)-1-Quesería!$B$47,(Quesería!$B$46-Quesería!$B$47)))/(Quesería!$B$46-Quesería!$B$47))*IF(F$47&gt;2,1-Quesería!$B$48,1),0))*F612</f>
        <v>92.4151745225957</v>
      </c>
      <c r="G640" s="29" t="n">
        <f aca="false">(IF(AND(G$47&gt;0,G$47&lt;=0+Quesería!$B$46),($O$14+$O$28)*(Quesería!$B$44*$B$613*$B$610)*(1-MAX(0,MIN((G$47-1)-0-Quesería!$B$47,(Quesería!$B$46-Quesería!$B$47)))/(Quesería!$B$46-Quesería!$B$47))*IF(G$47&gt;2,1-Quesería!$B$48,1),0)+IF(AND(G$47&gt;1,G$47&lt;=1+Quesería!$B$46),($O$14+$O$28)*(Quesería!$B$44*$C$613*$C$610)*(1-MAX(0,MIN((G$47-1)-1-Quesería!$B$47,(Quesería!$B$46-Quesería!$B$47)))/(Quesería!$B$46-Quesería!$B$47))*IF(G$47&gt;2,1-Quesería!$B$48,1),0))*G612</f>
        <v>68.7847039098228</v>
      </c>
      <c r="H640" s="29" t="n">
        <f aca="false">(IF(AND(H$47&gt;0,H$47&lt;=0+Quesería!$B$46),($O$14+$O$28)*(Quesería!$B$44*$B$613*$B$610)*(1-MAX(0,MIN((H$47-1)-0-Quesería!$B$47,(Quesería!$B$46-Quesería!$B$47)))/(Quesería!$B$46-Quesería!$B$47))*IF(H$47&gt;2,1-Quesería!$B$48,1),0)+IF(AND(H$47&gt;1,H$47&lt;=1+Quesería!$B$46),($O$14+$O$28)*(Quesería!$B$44*$C$613*$C$610)*(1-MAX(0,MIN((H$47-1)-1-Quesería!$B$47,(Quesería!$B$46-Quesería!$B$47)))/(Quesería!$B$46-Quesería!$B$47))*IF(H$47&gt;2,1-Quesería!$B$48,1),0))*H612</f>
        <v>46.8352529676735</v>
      </c>
      <c r="I640" s="29" t="n">
        <f aca="false">(IF(AND(I$47&gt;0,I$47&lt;=0+Quesería!$B$46),($O$14+$O$28)*(Quesería!$B$44*$B$613*$B$610)*(1-MAX(0,MIN((I$47-1)-0-Quesería!$B$47,(Quesería!$B$46-Quesería!$B$47)))/(Quesería!$B$46-Quesería!$B$47))*IF(I$47&gt;2,1-Quesería!$B$48,1),0)+IF(AND(I$47&gt;1,I$47&lt;=1+Quesería!$B$46),($O$14+$O$28)*(Quesería!$B$44*$C$613*$C$610)*(1-MAX(0,MIN((I$47-1)-1-Quesería!$B$47,(Quesería!$B$46-Quesería!$B$47)))/(Quesería!$B$46-Quesería!$B$47))*IF(I$47&gt;2,1-Quesería!$B$48,1),0))*I612</f>
        <v>26.4724688081898</v>
      </c>
      <c r="J640" s="29" t="n">
        <f aca="false">(IF(AND(J$47&gt;0,J$47&lt;=0+Quesería!$B$46),($O$14+$O$28)*(Quesería!$B$44*$B$613*$B$610)*(1-MAX(0,MIN((J$47-1)-0-Quesería!$B$47,(Quesería!$B$46-Quesería!$B$47)))/(Quesería!$B$46-Quesería!$B$47))*IF(J$47&gt;2,1-Quesería!$B$48,1),0)+IF(AND(J$47&gt;1,J$47&lt;=1+Quesería!$B$46),($O$14+$O$28)*(Quesería!$B$44*$C$613*$C$610)*(1-MAX(0,MIN((J$47-1)-1-Quesería!$B$47,(Quesería!$B$46-Quesería!$B$47)))/(Quesería!$B$46-Quesería!$B$47))*IF(J$47&gt;2,1-Quesería!$B$48,1),0))*J612</f>
        <v>7.60676974238282</v>
      </c>
      <c r="K640" s="29" t="n">
        <f aca="false">(IF(AND(K$47&gt;0,K$47&lt;=0+Quesería!$B$46),($O$14+$O$28)*(Quesería!$B$44*$B$613*$B$610)*(1-MAX(0,MIN((K$47-1)-0-Quesería!$B$47,(Quesería!$B$46-Quesería!$B$47)))/(Quesería!$B$46-Quesería!$B$47))*IF(K$47&gt;2,1-Quesería!$B$48,1),0)+IF(AND(K$47&gt;1,K$47&lt;=1+Quesería!$B$46),($O$14+$O$28)*(Quesería!$B$44*$C$613*$C$610)*(1-MAX(0,MIN((K$47-1)-1-Quesería!$B$47,(Quesería!$B$46-Quesería!$B$47)))/(Quesería!$B$46-Quesería!$B$47))*IF(K$47&gt;2,1-Quesería!$B$48,1),0))*K612</f>
        <v>0</v>
      </c>
      <c r="L640" s="29" t="n">
        <f aca="false">(IF(AND(L$47&gt;0,L$47&lt;=0+Quesería!$B$46),($O$14+$O$28)*(Quesería!$B$44*$B$613*$B$610)*(1-MAX(0,MIN((L$47-1)-0-Quesería!$B$47,(Quesería!$B$46-Quesería!$B$47)))/(Quesería!$B$46-Quesería!$B$47))*IF(L$47&gt;2,1-Quesería!$B$48,1),0)+IF(AND(L$47&gt;1,L$47&lt;=1+Quesería!$B$46),($O$14+$O$28)*(Quesería!$B$44*$C$613*$C$610)*(1-MAX(0,MIN((L$47-1)-1-Quesería!$B$47,(Quesería!$B$46-Quesería!$B$47)))/(Quesería!$B$46-Quesería!$B$47))*IF(L$47&gt;2,1-Quesería!$B$48,1),0))*L612</f>
        <v>0</v>
      </c>
    </row>
    <row r="641" customFormat="false" ht="15" hidden="true" customHeight="false" outlineLevel="1" collapsed="false">
      <c r="A641" s="6" t="s">
        <v>433</v>
      </c>
      <c r="B641" s="29" t="n">
        <f aca="false">((IF(AND(B$47&gt;0+Quesería!$B$47,B$47&lt;=0+Quesería!$B$46),(Quesería!$B$44*$B$613*$B$610)/(Quesería!$B$46-Quesería!$B$47),0)*IF(B$47&gt;2,1-Quesería!$B$48,1)+IF(B$47=2,Quesería!$B$48*(Quesería!$B$44*$B$613*$B$610)*(1-MAX(0,MIN(2-0-Quesería!$B$47,(Quesería!$B$46-Quesería!$B$47)))/(Quesería!$B$46-Quesería!$B$47)),0))+(IF(AND(B$47&gt;1+Quesería!$B$47,B$47&lt;=1+Quesería!$B$46),(Quesería!$B$44*$C$613*$C$610)/(Quesería!$B$46-Quesería!$B$47),0)*IF(B$47&gt;2,1-Quesería!$B$48,1)+IF(B$47=2,Quesería!$B$48*(Quesería!$B$44*$C$613*$C$610)*(1-MAX(0,MIN(2-1-Quesería!$B$47,(Quesería!$B$46-Quesería!$B$47)))/(Quesería!$B$46-Quesería!$B$47)),0)))*B612</f>
        <v>0</v>
      </c>
      <c r="C641" s="29" t="n">
        <f aca="false">((IF(AND(C$47&gt;0+Quesería!$B$47,C$47&lt;=0+Quesería!$B$46),(Quesería!$B$44*$B$613*$B$610)/(Quesería!$B$46-Quesería!$B$47),0)*IF(C$47&gt;2,1-Quesería!$B$48,1)+IF(C$47=2,Quesería!$B$48*(Quesería!$B$44*$B$613*$B$610)*(1-MAX(0,MIN(2-0-Quesería!$B$47,(Quesería!$B$46-Quesería!$B$47)))/(Quesería!$B$46-Quesería!$B$47)),0))+(IF(AND(C$47&gt;1+Quesería!$B$47,C$47&lt;=1+Quesería!$B$46),(Quesería!$B$44*$C$613*$C$610)/(Quesería!$B$46-Quesería!$B$47),0)*IF(C$47&gt;2,1-Quesería!$B$48,1)+IF(C$47=2,Quesería!$B$48*(Quesería!$B$44*$C$613*$C$610)*(1-MAX(0,MIN(2-1-Quesería!$B$47,(Quesería!$B$46-Quesería!$B$47)))/(Quesería!$B$46-Quesería!$B$47)),0)))*C612</f>
        <v>0</v>
      </c>
      <c r="D641" s="29" t="n">
        <f aca="false">((IF(AND(D$47&gt;0+Quesería!$B$47,D$47&lt;=0+Quesería!$B$46),(Quesería!$B$44*$B$613*$B$610)/(Quesería!$B$46-Quesería!$B$47),0)*IF(D$47&gt;2,1-Quesería!$B$48,1)+IF(D$47=2,Quesería!$B$48*(Quesería!$B$44*$B$613*$B$610)*(1-MAX(0,MIN(2-0-Quesería!$B$47,(Quesería!$B$46-Quesería!$B$47)))/(Quesería!$B$46-Quesería!$B$47)),0))+(IF(AND(D$47&gt;1+Quesería!$B$47,D$47&lt;=1+Quesería!$B$46),(Quesería!$B$44*$C$613*$C$610)/(Quesería!$B$46-Quesería!$B$47),0)*IF(D$47&gt;2,1-Quesería!$B$48,1)+IF(D$47=2,Quesería!$B$48*(Quesería!$B$44*$C$613*$C$610)*(1-MAX(0,MIN(2-1-Quesería!$B$47,(Quesería!$B$46-Quesería!$B$47)))/(Quesería!$B$46-Quesería!$B$47)),0)))*D612</f>
        <v>91.8994692231472</v>
      </c>
      <c r="E641" s="29" t="n">
        <f aca="false">((IF(AND(E$47&gt;0+Quesería!$B$47,E$47&lt;=0+Quesería!$B$46),(Quesería!$B$44*$B$613*$B$610)/(Quesería!$B$46-Quesería!$B$47),0)*IF(E$47&gt;2,1-Quesería!$B$48,1)+IF(E$47=2,Quesería!$B$48*(Quesería!$B$44*$B$613*$B$610)*(1-MAX(0,MIN(2-0-Quesería!$B$47,(Quesería!$B$46-Quesería!$B$47)))/(Quesería!$B$46-Quesería!$B$47)),0))+(IF(AND(E$47&gt;1+Quesería!$B$47,E$47&lt;=1+Quesería!$B$46),(Quesería!$B$44*$C$613*$C$610)/(Quesería!$B$46-Quesería!$B$47),0)*IF(E$47&gt;2,1-Quesería!$B$48,1)+IF(E$47=2,Quesería!$B$48*(Quesería!$B$44*$C$613*$C$610)*(1-MAX(0,MIN(2-1-Quesería!$B$47,(Quesería!$B$46-Quesería!$B$47)))/(Quesería!$B$46-Quesería!$B$47)),0)))*E612</f>
        <v>154.001742940676</v>
      </c>
      <c r="F641" s="29" t="n">
        <f aca="false">((IF(AND(F$47&gt;0+Quesería!$B$47,F$47&lt;=0+Quesería!$B$46),(Quesería!$B$44*$B$613*$B$610)/(Quesería!$B$46-Quesería!$B$47),0)*IF(F$47&gt;2,1-Quesería!$B$48,1)+IF(F$47=2,Quesería!$B$48*(Quesería!$B$44*$B$613*$B$610)*(1-MAX(0,MIN(2-0-Quesería!$B$47,(Quesería!$B$46-Quesería!$B$47)))/(Quesería!$B$46-Quesería!$B$47)),0))+(IF(AND(F$47&gt;1+Quesería!$B$47,F$47&lt;=1+Quesería!$B$46),(Quesería!$B$44*$C$613*$C$610)/(Quesería!$B$46-Quesería!$B$47),0)*IF(F$47&gt;2,1-Quesería!$B$48,1)+IF(F$47=2,Quesería!$B$48*(Quesería!$B$44*$C$613*$C$610)*(1-MAX(0,MIN(2-1-Quesería!$B$47,(Quesería!$B$46-Quesería!$B$47)))/(Quesería!$B$46-Quesería!$B$47)),0)))*F612</f>
        <v>148.078598981419</v>
      </c>
      <c r="G641" s="29" t="n">
        <f aca="false">((IF(AND(G$47&gt;0+Quesería!$B$47,G$47&lt;=0+Quesería!$B$46),(Quesería!$B$44*$B$613*$B$610)/(Quesería!$B$46-Quesería!$B$47),0)*IF(G$47&gt;2,1-Quesería!$B$48,1)+IF(G$47=2,Quesería!$B$48*(Quesería!$B$44*$B$613*$B$610)*(1-MAX(0,MIN(2-0-Quesería!$B$47,(Quesería!$B$46-Quesería!$B$47)))/(Quesería!$B$46-Quesería!$B$47)),0))+(IF(AND(G$47&gt;1+Quesería!$B$47,G$47&lt;=1+Quesería!$B$46),(Quesería!$B$44*$C$613*$C$610)/(Quesería!$B$46-Quesería!$B$47),0)*IF(G$47&gt;2,1-Quesería!$B$48,1)+IF(G$47=2,Quesería!$B$48*(Quesería!$B$44*$C$613*$C$610)*(1-MAX(0,MIN(2-1-Quesería!$B$47,(Quesería!$B$46-Quesería!$B$47)))/(Quesería!$B$46-Quesería!$B$47)),0)))*G612</f>
        <v>142.383268251364</v>
      </c>
      <c r="H641" s="29" t="n">
        <f aca="false">((IF(AND(H$47&gt;0+Quesería!$B$47,H$47&lt;=0+Quesería!$B$46),(Quesería!$B$44*$B$613*$B$610)/(Quesería!$B$46-Quesería!$B$47),0)*IF(H$47&gt;2,1-Quesería!$B$48,1)+IF(H$47=2,Quesería!$B$48*(Quesería!$B$44*$B$613*$B$610)*(1-MAX(0,MIN(2-0-Quesería!$B$47,(Quesería!$B$46-Quesería!$B$47)))/(Quesería!$B$46-Quesería!$B$47)),0))+(IF(AND(H$47&gt;1+Quesería!$B$47,H$47&lt;=1+Quesería!$B$46),(Quesería!$B$44*$C$613*$C$610)/(Quesería!$B$46-Quesería!$B$47),0)*IF(H$47&gt;2,1-Quesería!$B$48,1)+IF(H$47=2,Quesería!$B$48*(Quesería!$B$44*$C$613*$C$610)*(1-MAX(0,MIN(2-1-Quesería!$B$47,(Quesería!$B$46-Quesería!$B$47)))/(Quesería!$B$46-Quesería!$B$47)),0)))*H612</f>
        <v>136.906988703235</v>
      </c>
      <c r="I641" s="29" t="n">
        <f aca="false">((IF(AND(I$47&gt;0+Quesería!$B$47,I$47&lt;=0+Quesería!$B$46),(Quesería!$B$44*$B$613*$B$610)/(Quesería!$B$46-Quesería!$B$47),0)*IF(I$47&gt;2,1-Quesería!$B$48,1)+IF(I$47=2,Quesería!$B$48*(Quesería!$B$44*$B$613*$B$610)*(1-MAX(0,MIN(2-0-Quesería!$B$47,(Quesería!$B$46-Quesería!$B$47)))/(Quesería!$B$46-Quesería!$B$47)),0))+(IF(AND(I$47&gt;1+Quesería!$B$47,I$47&lt;=1+Quesería!$B$46),(Quesería!$B$44*$C$613*$C$610)/(Quesería!$B$46-Quesería!$B$47),0)*IF(I$47&gt;2,1-Quesería!$B$48,1)+IF(I$47=2,Quesería!$B$48*(Quesería!$B$44*$C$613*$C$610)*(1-MAX(0,MIN(2-1-Quesería!$B$47,(Quesería!$B$46-Quesería!$B$47)))/(Quesería!$B$46-Quesería!$B$47)),0)))*I612</f>
        <v>131.641335291572</v>
      </c>
      <c r="J641" s="29" t="n">
        <f aca="false">((IF(AND(J$47&gt;0+Quesería!$B$47,J$47&lt;=0+Quesería!$B$46),(Quesería!$B$44*$B$613*$B$610)/(Quesería!$B$46-Quesería!$B$47),0)*IF(J$47&gt;2,1-Quesería!$B$48,1)+IF(J$47=2,Quesería!$B$48*(Quesería!$B$44*$B$613*$B$610)*(1-MAX(0,MIN(2-0-Quesería!$B$47,(Quesería!$B$46-Quesería!$B$47)))/(Quesería!$B$46-Quesería!$B$47)),0))+(IF(AND(J$47&gt;1+Quesería!$B$47,J$47&lt;=1+Quesería!$B$46),(Quesería!$B$44*$C$613*$C$610)/(Quesería!$B$46-Quesería!$B$47),0)*IF(J$47&gt;2,1-Quesería!$B$48,1)+IF(J$47=2,Quesería!$B$48*(Quesería!$B$44*$C$613*$C$610)*(1-MAX(0,MIN(2-1-Quesería!$B$47,(Quesería!$B$46-Quesería!$B$47)))/(Quesería!$B$46-Quesería!$B$47)),0)))*J612</f>
        <v>53.9487215771831</v>
      </c>
      <c r="K641" s="29" t="n">
        <f aca="false">((IF(AND(K$47&gt;0+Quesería!$B$47,K$47&lt;=0+Quesería!$B$46),(Quesería!$B$44*$B$613*$B$610)/(Quesería!$B$46-Quesería!$B$47),0)*IF(K$47&gt;2,1-Quesería!$B$48,1)+IF(K$47=2,Quesería!$B$48*(Quesería!$B$44*$B$613*$B$610)*(1-MAX(0,MIN(2-0-Quesería!$B$47,(Quesería!$B$46-Quesería!$B$47)))/(Quesería!$B$46-Quesería!$B$47)),0))+(IF(AND(K$47&gt;1+Quesería!$B$47,K$47&lt;=1+Quesería!$B$46),(Quesería!$B$44*$C$613*$C$610)/(Quesería!$B$46-Quesería!$B$47),0)*IF(K$47&gt;2,1-Quesería!$B$48,1)+IF(K$47=2,Quesería!$B$48*(Quesería!$B$44*$C$613*$C$610)*(1-MAX(0,MIN(2-1-Quesería!$B$47,(Quesería!$B$46-Quesería!$B$47)))/(Quesería!$B$46-Quesería!$B$47)),0)))*K612</f>
        <v>0</v>
      </c>
      <c r="L641" s="29" t="n">
        <f aca="false">((IF(AND(L$47&gt;0+Quesería!$B$47,L$47&lt;=0+Quesería!$B$46),(Quesería!$B$44*$B$613*$B$610)/(Quesería!$B$46-Quesería!$B$47),0)*IF(L$47&gt;2,1-Quesería!$B$48,1)+IF(L$47=2,Quesería!$B$48*(Quesería!$B$44*$B$613*$B$610)*(1-MAX(0,MIN(2-0-Quesería!$B$47,(Quesería!$B$46-Quesería!$B$47)))/(Quesería!$B$46-Quesería!$B$47)),0))+(IF(AND(L$47&gt;1+Quesería!$B$47,L$47&lt;=1+Quesería!$B$46),(Quesería!$B$44*$C$613*$C$610)/(Quesería!$B$46-Quesería!$B$47),0)*IF(L$47&gt;2,1-Quesería!$B$48,1)+IF(L$47=2,Quesería!$B$48*(Quesería!$B$44*$C$613*$C$610)*(1-MAX(0,MIN(2-1-Quesería!$B$47,(Quesería!$B$46-Quesería!$B$47)))/(Quesería!$B$46-Quesería!$B$47)),0)))*L612</f>
        <v>0</v>
      </c>
    </row>
    <row r="642" customFormat="false" ht="15" hidden="true" customHeight="false" outlineLevel="1" collapsed="false">
      <c r="A642" s="6" t="s">
        <v>434</v>
      </c>
      <c r="B642" s="29" t="n">
        <f aca="false">$O$13*Quesería!$B$51*(1+0.19)*B638*B612+(1-$O$13)*IF(B$47=0,Quesería!$B$50,0)</f>
        <v>4</v>
      </c>
      <c r="C642" s="29" t="n">
        <f aca="false">$O$13*Quesería!$B$51*(1+0.19)*C638*C612+(1-$O$13)*IF(C$47=0,Quesería!$B$50,0)</f>
        <v>0</v>
      </c>
      <c r="D642" s="29" t="n">
        <f aca="false">$O$13*Quesería!$B$51*(1+0.19)*D638*D612+(1-$O$13)*IF(D$47=0,Quesería!$B$50,0)</f>
        <v>0</v>
      </c>
      <c r="E642" s="29" t="n">
        <f aca="false">$O$13*Quesería!$B$51*(1+0.19)*E638*E612+(1-$O$13)*IF(E$47=0,Quesería!$B$50,0)</f>
        <v>0</v>
      </c>
      <c r="F642" s="29" t="n">
        <f aca="false">$O$13*Quesería!$B$51*(1+0.19)*F638*F612+(1-$O$13)*IF(F$47=0,Quesería!$B$50,0)</f>
        <v>0</v>
      </c>
      <c r="G642" s="29" t="n">
        <f aca="false">$O$13*Quesería!$B$51*(1+0.19)*G638*G612+(1-$O$13)*IF(G$47=0,Quesería!$B$50,0)</f>
        <v>0</v>
      </c>
      <c r="H642" s="29" t="n">
        <f aca="false">$O$13*Quesería!$B$51*(1+0.19)*H638*H612+(1-$O$13)*IF(H$47=0,Quesería!$B$50,0)</f>
        <v>0</v>
      </c>
      <c r="I642" s="29" t="n">
        <f aca="false">$O$13*Quesería!$B$51*(1+0.19)*I638*I612+(1-$O$13)*IF(I$47=0,Quesería!$B$50,0)</f>
        <v>0</v>
      </c>
      <c r="J642" s="29" t="n">
        <f aca="false">$O$13*Quesería!$B$51*(1+0.19)*J638*J612+(1-$O$13)*IF(J$47=0,Quesería!$B$50,0)</f>
        <v>0</v>
      </c>
      <c r="K642" s="29" t="n">
        <f aca="false">$O$13*Quesería!$B$51*(1+0.19)*K638*K612+(1-$O$13)*IF(K$47=0,Quesería!$B$50,0)</f>
        <v>0</v>
      </c>
      <c r="L642" s="29" t="n">
        <f aca="false">$O$13*Quesería!$B$51*(1+0.19)*L638*L612+(1-$O$13)*IF(L$47=0,Quesería!$B$50,0)</f>
        <v>0</v>
      </c>
    </row>
    <row r="643" customFormat="false" ht="15" hidden="true" customHeight="false" outlineLevel="1" collapsed="false">
      <c r="A643" s="6" t="s">
        <v>435</v>
      </c>
      <c r="B643" s="29" t="n">
        <f aca="false">Quesería!$B$52*(B640+B641+B642)</f>
        <v>0.016</v>
      </c>
      <c r="C643" s="29" t="n">
        <f aca="false">Quesería!$B$52*(C640+C641+C642)</f>
        <v>0.324982255024431</v>
      </c>
      <c r="D643" s="29" t="n">
        <f aca="false">Quesería!$B$52*(D640+D641+D642)</f>
        <v>0.909585450928285</v>
      </c>
      <c r="E643" s="29" t="n">
        <f aca="false">Quesería!$B$52*(E640+E641+E642)</f>
        <v>1.08731108079524</v>
      </c>
      <c r="F643" s="29" t="n">
        <f aca="false">Quesería!$B$52*(F640+F641+F642)</f>
        <v>0.961975094016058</v>
      </c>
      <c r="G643" s="29" t="n">
        <f aca="false">Quesería!$B$52*(G640+G641+G642)</f>
        <v>0.844671888644748</v>
      </c>
      <c r="H643" s="29" t="n">
        <f aca="false">Quesería!$B$52*(H640+H641+H642)</f>
        <v>0.734968966683633</v>
      </c>
      <c r="I643" s="29" t="n">
        <f aca="false">Quesería!$B$52*(I640+I641+I642)</f>
        <v>0.632455216399047</v>
      </c>
      <c r="J643" s="29" t="n">
        <f aca="false">Quesería!$B$52*(J640+J641+J642)</f>
        <v>0.246221965278264</v>
      </c>
      <c r="K643" s="29" t="n">
        <f aca="false">Quesería!$B$52*(K640+K641+K642)</f>
        <v>0</v>
      </c>
      <c r="L643" s="29" t="n">
        <f aca="false">Quesería!$B$52*(L640+L641+L642)</f>
        <v>0</v>
      </c>
    </row>
    <row r="644" customFormat="false" ht="15" hidden="true" customHeight="false" outlineLevel="1" collapsed="false">
      <c r="A644" s="6" t="s">
        <v>436</v>
      </c>
      <c r="B644" s="29" t="n">
        <f aca="false">$O$17*(B640+B642+0.5*B643)</f>
        <v>1.4028</v>
      </c>
      <c r="C644" s="29" t="n">
        <f aca="false">$O$17*(C640+C642+0.5*C643)</f>
        <v>28.492819209267</v>
      </c>
      <c r="D644" s="29" t="n">
        <f aca="false">$O$17*(D640+D642+0.5*D643)</f>
        <v>47.5830901820358</v>
      </c>
      <c r="E644" s="29" t="n">
        <f aca="false">$O$17*(E640+E642+0.5*E643)</f>
        <v>41.4293889794864</v>
      </c>
      <c r="F644" s="29" t="n">
        <f aca="false">$O$17*(F640+F642+0.5*F643)</f>
        <v>32.5136567243613</v>
      </c>
      <c r="G644" s="29" t="n">
        <f aca="false">$O$17*(G640+G642+0.5*G643)</f>
        <v>24.2224639489508</v>
      </c>
      <c r="H644" s="29" t="n">
        <f aca="false">$O$17*(H640+H642+0.5*H643)</f>
        <v>16.5209581078554</v>
      </c>
      <c r="I644" s="29" t="n">
        <f aca="false">$O$17*(I640+I642+0.5*I643)</f>
        <v>9.37604374573625</v>
      </c>
      <c r="J644" s="29" t="n">
        <f aca="false">$O$17*(J640+J642+0.5*J643)</f>
        <v>2.70545825375768</v>
      </c>
      <c r="K644" s="29" t="n">
        <f aca="false">$O$17*(K640+K642+0.5*K643)</f>
        <v>0</v>
      </c>
      <c r="L644" s="29" t="n">
        <f aca="false">$O$17*(L640+L642+0.5*L643)</f>
        <v>0</v>
      </c>
    </row>
    <row r="645" customFormat="false" ht="15" hidden="true" customHeight="false" outlineLevel="1" collapsed="false">
      <c r="A645" s="5" t="s">
        <v>437</v>
      </c>
      <c r="B645" s="59" t="n">
        <f aca="false">B630+B639-B640-B641-B642-B643+B644</f>
        <v>-358.744924503166</v>
      </c>
      <c r="C645" s="59" t="n">
        <f aca="false">C630+C639-C640-C641-C642-C643+C644</f>
        <v>-25.37218627317</v>
      </c>
      <c r="D645" s="59" t="n">
        <f aca="false">D630+D639-D640-D641-D642-D643+D644</f>
        <v>273.669153501196</v>
      </c>
      <c r="E645" s="59" t="n">
        <f aca="false">E630+E639-E640-E641-E642-E643+E644</f>
        <v>91.7485137512562</v>
      </c>
      <c r="F645" s="59" t="n">
        <f aca="false">F630+F639-F640-F641-F642-F643+F644</f>
        <v>150.850617450813</v>
      </c>
      <c r="G645" s="59" t="n">
        <f aca="false">G630+G639-G640-G641-G642-G643+G644</f>
        <v>137.646271612979</v>
      </c>
      <c r="H645" s="59" t="n">
        <f aca="false">H630+H639-H640-H641-H642-H643+H644</f>
        <v>135.951613214805</v>
      </c>
      <c r="I645" s="59" t="n">
        <f aca="false">I630+I639-I640-I641-I642-I643+I644</f>
        <v>215.167288249165</v>
      </c>
      <c r="J645" s="59" t="n">
        <f aca="false">J630+J639-J640-J641-J642-J643+J644</f>
        <v>295.571083576879</v>
      </c>
      <c r="K645" s="59" t="n">
        <f aca="false">K630+K639-K640-K641-K642-K643+K644</f>
        <v>353.334565773704</v>
      </c>
      <c r="L645" s="59" t="n">
        <f aca="false">L630+L639-L640-L641-L642-L643+L644</f>
        <v>582.72841337126</v>
      </c>
    </row>
    <row r="646" customFormat="false" ht="15" hidden="true" customHeight="false" outlineLevel="1" collapsed="false">
      <c r="A646" s="9" t="s">
        <v>438</v>
      </c>
      <c r="B646" s="58" t="n">
        <f aca="false">B645*B610</f>
        <v>-380.269619973356</v>
      </c>
      <c r="C646" s="58" t="n">
        <f aca="false">C645*C610</f>
        <v>-28.2392433220382</v>
      </c>
      <c r="D646" s="58" t="n">
        <f aca="false">D645*D610</f>
        <v>318.300487399939</v>
      </c>
      <c r="E646" s="58" t="n">
        <f aca="false">E645*E610</f>
        <v>110.979772921035</v>
      </c>
      <c r="F646" s="58" t="n">
        <f aca="false">F645*F610</f>
        <v>189.768980974238</v>
      </c>
      <c r="G646" s="58" t="n">
        <f aca="false">G645*G610</f>
        <v>180.084330219674</v>
      </c>
      <c r="H646" s="58" t="n">
        <f aca="false">H645*H610</f>
        <v>184.981875048438</v>
      </c>
      <c r="I646" s="58" t="n">
        <f aca="false">I645*I610</f>
        <v>304.476934019104</v>
      </c>
      <c r="J646" s="58" t="n">
        <f aca="false">J645*J610</f>
        <v>434.984151941801</v>
      </c>
      <c r="K646" s="58" t="n">
        <f aca="false">K645*K610</f>
        <v>540.792867719807</v>
      </c>
      <c r="L646" s="58" t="n">
        <f aca="false">L645*L610</f>
        <v>927.565022804805</v>
      </c>
    </row>
    <row r="647" customFormat="false" ht="15" hidden="true" customHeight="false" outlineLevel="1" collapsed="false">
      <c r="A647" s="9" t="s">
        <v>439</v>
      </c>
      <c r="B647" s="57" t="n">
        <f aca="false">(B610/$B$610)/(1+Quesería!$B$11+$O$28)^B$47</f>
        <v>1</v>
      </c>
      <c r="C647" s="57" t="n">
        <f aca="false">(C610/$B$610)/(1+Quesería!$B$11+$O$28)^C$47</f>
        <v>0.84</v>
      </c>
      <c r="D647" s="57" t="n">
        <f aca="false">(D610/$B$610)/(1+Quesería!$B$11+$O$28)^D$47</f>
        <v>0.70224</v>
      </c>
      <c r="E647" s="57" t="n">
        <f aca="false">(E610/$B$610)/(1+Quesería!$B$11+$O$28)^E$47</f>
        <v>0.58426368</v>
      </c>
      <c r="F647" s="57" t="n">
        <f aca="false">(F610/$B$610)/(1+Quesería!$B$11+$O$28)^F$47</f>
        <v>0.48610738176</v>
      </c>
      <c r="G647" s="57" t="n">
        <f aca="false">(G610/$B$610)/(1+Quesería!$B$11+$O$28)^G$47</f>
        <v>0.40444134162432</v>
      </c>
      <c r="H647" s="57" t="n">
        <f aca="false">(H610/$B$610)/(1+Quesería!$B$11+$O$28)^H$47</f>
        <v>0.336495196231434</v>
      </c>
      <c r="I647" s="57" t="n">
        <f aca="false">(I610/$B$610)/(1+Quesería!$B$11+$O$28)^I$47</f>
        <v>0.279964003264553</v>
      </c>
      <c r="J647" s="57" t="n">
        <f aca="false">(J610/$B$610)/(1+Quesería!$B$11+$O$28)^J$47</f>
        <v>0.232930050716108</v>
      </c>
      <c r="K647" s="57" t="n">
        <f aca="false">(K610/$B$610)/(1+Quesería!$B$11+$O$28)^K$47</f>
        <v>0.193797802195802</v>
      </c>
      <c r="L647" s="57" t="n">
        <f aca="false">(L610/$B$610)/(1+Quesería!$B$11+$O$28)^L$47</f>
        <v>0.161239771426907</v>
      </c>
    </row>
    <row r="648" customFormat="false" ht="15" hidden="true" customHeight="false" outlineLevel="1" collapsed="false">
      <c r="A648" s="9" t="s">
        <v>440</v>
      </c>
      <c r="B648" s="58" t="n">
        <f aca="false">B630+B613+B615+B644</f>
        <v>120.166830858099</v>
      </c>
      <c r="C648" s="58" t="n">
        <f aca="false">C630+C613+C615+C644</f>
        <v>411.771655742191</v>
      </c>
      <c r="D648" s="58" t="n">
        <f aca="false">D630+D613+D615+D644</f>
        <v>501.975101684196</v>
      </c>
      <c r="E648" s="58" t="n">
        <f aca="false">E630+E613+E615+E644</f>
        <v>364.663595030862</v>
      </c>
      <c r="F648" s="58" t="n">
        <f aca="false">F630+F613+F615+F644</f>
        <v>392.306366048844</v>
      </c>
      <c r="G648" s="58" t="n">
        <f aca="false">G630+G613+G615+G644</f>
        <v>354.877306943896</v>
      </c>
      <c r="H648" s="58" t="n">
        <f aca="false">H630+H613+H615+H644</f>
        <v>329.242763437479</v>
      </c>
      <c r="I648" s="58" t="n">
        <f aca="false">I630+I613+I615+I644</f>
        <v>373.913547565326</v>
      </c>
      <c r="J648" s="58" t="n">
        <f aca="false">J630+J613+J615+J644</f>
        <v>357.372796861723</v>
      </c>
      <c r="K648" s="58" t="n">
        <f aca="false">K630+K613+K615+K644</f>
        <v>353.334565773704</v>
      </c>
      <c r="L648" s="58" t="n">
        <f aca="false">L630+L613+L615+L644</f>
        <v>582.72841337126</v>
      </c>
    </row>
    <row r="649" customFormat="false" ht="15" hidden="true" customHeight="false" outlineLevel="1" collapsed="false">
      <c r="A649" s="5" t="s">
        <v>149</v>
      </c>
      <c r="B649" s="12" t="str">
        <f aca="false">IF(AND(B$47&gt;=1,(B640+B641+B642)&gt;0.001),B648/(B640+B641+B642),"")</f>
        <v/>
      </c>
      <c r="C649" s="12" t="n">
        <f aca="false">IF(AND(C$47&gt;=1,(C640+C641+C642)&gt;0.001),C648/(C640+C641+C642),"")</f>
        <v>5.06823556518476</v>
      </c>
      <c r="D649" s="12" t="n">
        <f aca="false">IF(AND(D$47&gt;=1,(D640+D641+D642)&gt;0.001),D648/(D640+D641+D642),"")</f>
        <v>2.20748958186128</v>
      </c>
      <c r="E649" s="12" t="n">
        <f aca="false">IF(AND(E$47&gt;=1,(E640+E641+E642)&gt;0.001),E648/(E640+E641+E642),"")</f>
        <v>1.3415244320481</v>
      </c>
      <c r="F649" s="12" t="n">
        <f aca="false">IF(AND(F$47&gt;=1,(F640+F641+F642)&gt;0.001),F648/(F640+F641+F642),"")</f>
        <v>1.63125373406931</v>
      </c>
      <c r="G649" s="12" t="n">
        <f aca="false">IF(AND(G$47&gt;=1,(G640+G641+G642)&gt;0.001),G648/(G640+G641+G642),"")</f>
        <v>1.68054512865717</v>
      </c>
      <c r="H649" s="12" t="n">
        <f aca="false">IF(AND(H$47&gt;=1,(H640+H641+H642)&gt;0.001),H648/(H640+H641+H642),"")</f>
        <v>1.79187300885971</v>
      </c>
      <c r="I649" s="12" t="n">
        <f aca="false">IF(AND(I$47&gt;=1,(I640+I641+I642)&gt;0.001),I648/(I640+I641+I642),"")</f>
        <v>2.3648380968015</v>
      </c>
      <c r="J649" s="12" t="n">
        <f aca="false">IF(AND(J$47&gt;=1,(J640+J641+J642)&gt;0.001),J648/(J640+J641+J642),"")</f>
        <v>5.8057013143867</v>
      </c>
      <c r="K649" s="12" t="str">
        <f aca="false">IF(AND(K$47&gt;=1,(K640+K641+K642)&gt;0.001),K648/(K640+K641+K642),"")</f>
        <v/>
      </c>
      <c r="L649" s="12" t="str">
        <f aca="false">IF(AND(L$47&gt;=1,(L640+L641+L642)&gt;0.001),L648/(L640+L641+L642),"")</f>
        <v/>
      </c>
    </row>
    <row r="651" customFormat="false" ht="15" hidden="false" customHeight="false" outlineLevel="0" collapsed="false">
      <c r="A651" s="43" t="s">
        <v>1251</v>
      </c>
      <c r="B651" s="44"/>
      <c r="C651" s="44"/>
      <c r="D651" s="44"/>
      <c r="E651" s="44"/>
      <c r="F651" s="44"/>
      <c r="G651" s="44"/>
      <c r="H651" s="44"/>
      <c r="I651" s="44"/>
      <c r="J651" s="44"/>
      <c r="K651" s="44"/>
      <c r="L651" s="44"/>
    </row>
    <row r="652" customFormat="false" ht="15" hidden="true" customHeight="false" outlineLevel="1" collapsed="false">
      <c r="A652" s="9" t="s">
        <v>406</v>
      </c>
      <c r="B652" s="56" t="n">
        <f aca="false">CHOOSE($P$15,Entorno!B$7,Entorno!B$8,Entorno!B$9)</f>
        <v>0.06</v>
      </c>
      <c r="C652" s="56" t="n">
        <f aca="false">CHOOSE($P$15,Entorno!C$7,Entorno!C$8,Entorno!C$9)</f>
        <v>0.05</v>
      </c>
      <c r="D652" s="56" t="n">
        <f aca="false">CHOOSE($P$15,Entorno!D$7,Entorno!D$8,Entorno!D$9)</f>
        <v>0.045</v>
      </c>
      <c r="E652" s="56" t="n">
        <f aca="false">CHOOSE($P$15,Entorno!E$7,Entorno!E$8,Entorno!E$9)</f>
        <v>0.04</v>
      </c>
      <c r="F652" s="56" t="n">
        <f aca="false">CHOOSE($P$15,Entorno!F$7,Entorno!F$8,Entorno!F$9)</f>
        <v>0.04</v>
      </c>
      <c r="G652" s="56" t="n">
        <f aca="false">CHOOSE($P$15,Entorno!G$7,Entorno!G$8,Entorno!G$9)</f>
        <v>0.04</v>
      </c>
      <c r="H652" s="56" t="n">
        <f aca="false">CHOOSE($P$15,Entorno!H$7,Entorno!H$8,Entorno!H$9)</f>
        <v>0.04</v>
      </c>
      <c r="I652" s="56" t="n">
        <f aca="false">CHOOSE($P$15,Entorno!I$7,Entorno!I$8,Entorno!I$9)</f>
        <v>0.04</v>
      </c>
      <c r="J652" s="56" t="n">
        <f aca="false">CHOOSE($P$15,Entorno!J$7,Entorno!J$8,Entorno!J$9)</f>
        <v>0.04</v>
      </c>
      <c r="K652" s="56" t="n">
        <f aca="false">CHOOSE($P$15,Entorno!K$7,Entorno!K$8,Entorno!K$9)</f>
        <v>0.04</v>
      </c>
      <c r="L652" s="56" t="n">
        <f aca="false">CHOOSE($P$15,Entorno!L$7,Entorno!L$8,Entorno!L$9)</f>
        <v>0.04</v>
      </c>
    </row>
    <row r="653" customFormat="false" ht="15" hidden="true" customHeight="false" outlineLevel="1" collapsed="false">
      <c r="A653" s="9" t="s">
        <v>407</v>
      </c>
      <c r="B653" s="57" t="n">
        <f aca="false">1+B652</f>
        <v>1.06</v>
      </c>
      <c r="C653" s="57" t="n">
        <f aca="false">B653*(1+C652)</f>
        <v>1.113</v>
      </c>
      <c r="D653" s="57" t="n">
        <f aca="false">C653*(1+D652)</f>
        <v>1.163085</v>
      </c>
      <c r="E653" s="57" t="n">
        <f aca="false">D653*(1+E652)</f>
        <v>1.2096084</v>
      </c>
      <c r="F653" s="57" t="n">
        <f aca="false">E653*(1+F652)</f>
        <v>1.257992736</v>
      </c>
      <c r="G653" s="57" t="n">
        <f aca="false">F653*(1+G652)</f>
        <v>1.30831244544</v>
      </c>
      <c r="H653" s="57" t="n">
        <f aca="false">G653*(1+H652)</f>
        <v>1.3606449432576</v>
      </c>
      <c r="I653" s="57" t="n">
        <f aca="false">H653*(1+I652)</f>
        <v>1.4150707409879</v>
      </c>
      <c r="J653" s="57" t="n">
        <f aca="false">I653*(1+J652)</f>
        <v>1.47167357062742</v>
      </c>
      <c r="K653" s="57" t="n">
        <f aca="false">J653*(1+K652)</f>
        <v>1.53054051345252</v>
      </c>
      <c r="L653" s="57" t="n">
        <f aca="false">K653*(1+L652)</f>
        <v>1.59176213399062</v>
      </c>
    </row>
    <row r="654" customFormat="false" ht="15" hidden="true" customHeight="false" outlineLevel="1" collapsed="false">
      <c r="A654" s="9" t="s">
        <v>408</v>
      </c>
      <c r="B654" s="57" t="n">
        <f aca="false">(1+$P$16)/(1+B652)</f>
        <v>1.0377358490566</v>
      </c>
      <c r="C654" s="57" t="n">
        <f aca="false">B654*(1+Entorno!$B$13)</f>
        <v>1.04292452830189</v>
      </c>
      <c r="D654" s="57" t="n">
        <f aca="false">C654*(1+Entorno!$B$13)</f>
        <v>1.0481391509434</v>
      </c>
      <c r="E654" s="57" t="n">
        <f aca="false">D654*(1+Entorno!$B$13)</f>
        <v>1.05337984669811</v>
      </c>
      <c r="F654" s="57" t="n">
        <f aca="false">E654*(1+Entorno!$B$13)</f>
        <v>1.0586467459316</v>
      </c>
      <c r="G654" s="57" t="n">
        <f aca="false">F654*(1+Entorno!$B$13)</f>
        <v>1.06393997966126</v>
      </c>
      <c r="H654" s="57" t="n">
        <f aca="false">G654*(1+Entorno!$B$13)</f>
        <v>1.06925967955957</v>
      </c>
      <c r="I654" s="57" t="n">
        <f aca="false">H654*(1+Entorno!$B$13)</f>
        <v>1.07460597795737</v>
      </c>
      <c r="J654" s="57" t="n">
        <f aca="false">I654*(1+Entorno!$B$13)</f>
        <v>1.07997900784715</v>
      </c>
      <c r="K654" s="57" t="n">
        <f aca="false">J654*(1+Entorno!$B$13)</f>
        <v>1.08537890288639</v>
      </c>
      <c r="L654" s="57" t="n">
        <f aca="false">K654*(1+Entorno!$B$13)</f>
        <v>1.09080579740082</v>
      </c>
    </row>
    <row r="655" customFormat="false" ht="15" hidden="true" customHeight="false" outlineLevel="1" collapsed="false">
      <c r="A655" s="9" t="s">
        <v>409</v>
      </c>
      <c r="B655" s="57" t="n">
        <f aca="false">1/B653</f>
        <v>0.943396226415094</v>
      </c>
      <c r="C655" s="57" t="n">
        <f aca="false">1/C653</f>
        <v>0.898472596585804</v>
      </c>
      <c r="D655" s="57" t="n">
        <f aca="false">1/D653</f>
        <v>0.859782389077324</v>
      </c>
      <c r="E655" s="57" t="n">
        <f aca="false">1/E653</f>
        <v>0.826713835651273</v>
      </c>
      <c r="F655" s="57" t="n">
        <f aca="false">1/F653</f>
        <v>0.794917149664686</v>
      </c>
      <c r="G655" s="57" t="n">
        <f aca="false">1/G653</f>
        <v>0.764343413139121</v>
      </c>
      <c r="H655" s="57" t="n">
        <f aca="false">1/H653</f>
        <v>0.734945589556847</v>
      </c>
      <c r="I655" s="57" t="n">
        <f aca="false">1/I653</f>
        <v>0.706678451496968</v>
      </c>
      <c r="J655" s="57" t="n">
        <f aca="false">1/J653</f>
        <v>0.679498511054777</v>
      </c>
      <c r="K655" s="57" t="n">
        <f aca="false">1/K653</f>
        <v>0.653363952937286</v>
      </c>
      <c r="L655" s="57" t="n">
        <f aca="false">1/L653</f>
        <v>0.628234570132006</v>
      </c>
    </row>
    <row r="656" customFormat="false" ht="15" hidden="true" customHeight="false" outlineLevel="1" collapsed="false">
      <c r="A656" s="6" t="s">
        <v>323</v>
      </c>
      <c r="B656" s="29" t="n">
        <f aca="false">IF(B$47=0,Quesería!$F$92,IF(B$47=1,(Quesería!$F$93-(-$P$26)*Quesería!$D$86*(1+Quesería!$I$86))*$P$21,0))*$P$11</f>
        <v>930.800239431677</v>
      </c>
      <c r="C656" s="29" t="n">
        <f aca="false">IF(C$47=0,Quesería!$F$92,IF(C$47=1,(Quesería!$F$93-(-$P$26)*Quesería!$D$86*(1+Quesería!$I$86))*$P$21,0))*$P$11</f>
        <v>658.469066674498</v>
      </c>
      <c r="D656" s="29" t="n">
        <f aca="false">IF(D$47=0,Quesería!$F$92,IF(D$47=1,(Quesería!$F$93-(-$P$26)*Quesería!$D$86*(1+Quesería!$I$86))*$P$21,0))*$P$11</f>
        <v>0</v>
      </c>
      <c r="E656" s="29" t="n">
        <f aca="false">IF(E$47=0,Quesería!$F$92,IF(E$47=1,(Quesería!$F$93-(-$P$26)*Quesería!$D$86*(1+Quesería!$I$86))*$P$21,0))*$P$11</f>
        <v>0</v>
      </c>
      <c r="F656" s="29" t="n">
        <f aca="false">IF(F$47=0,Quesería!$F$92,IF(F$47=1,(Quesería!$F$93-(-$P$26)*Quesería!$D$86*(1+Quesería!$I$86))*$P$21,0))*$P$11</f>
        <v>0</v>
      </c>
      <c r="G656" s="29" t="n">
        <f aca="false">IF(G$47=0,Quesería!$F$92,IF(G$47=1,(Quesería!$F$93-(-$P$26)*Quesería!$D$86*(1+Quesería!$I$86))*$P$21,0))*$P$11</f>
        <v>0</v>
      </c>
      <c r="H656" s="29" t="n">
        <f aca="false">IF(H$47=0,Quesería!$F$92,IF(H$47=1,(Quesería!$F$93-(-$P$26)*Quesería!$D$86*(1+Quesería!$I$86))*$P$21,0))*$P$11</f>
        <v>0</v>
      </c>
      <c r="I656" s="29" t="n">
        <f aca="false">IF(I$47=0,Quesería!$F$92,IF(I$47=1,(Quesería!$F$93-(-$P$26)*Quesería!$D$86*(1+Quesería!$I$86))*$P$21,0))*$P$11</f>
        <v>0</v>
      </c>
      <c r="J656" s="29" t="n">
        <f aca="false">IF(J$47=0,Quesería!$F$92,IF(J$47=1,(Quesería!$F$93-(-$P$26)*Quesería!$D$86*(1+Quesería!$I$86))*$P$21,0))*$P$11</f>
        <v>0</v>
      </c>
      <c r="K656" s="29" t="n">
        <f aca="false">IF(K$47=0,Quesería!$F$92,IF(K$47=1,(Quesería!$F$93-(-$P$26)*Quesería!$D$86*(1+Quesería!$I$86))*$P$21,0))*$P$11</f>
        <v>0</v>
      </c>
      <c r="L656" s="29" t="n">
        <f aca="false">IF(L$47=0,Quesería!$F$92,IF(L$47=1,(Quesería!$F$93-(-$P$26)*Quesería!$D$86*(1+Quesería!$I$86))*$P$21,0))*$P$11</f>
        <v>0</v>
      </c>
    </row>
    <row r="657" customFormat="false" ht="15" hidden="true" customHeight="false" outlineLevel="1" collapsed="false">
      <c r="A657" s="6" t="s">
        <v>410</v>
      </c>
      <c r="B657" s="29" t="n">
        <f aca="false">IF(B$47=5,Quesería!$F$99,IF(B$47=6,Quesería!$F$100,0))*$P$11</f>
        <v>0</v>
      </c>
      <c r="C657" s="29" t="n">
        <f aca="false">IF(C$47=5,Quesería!$F$99,IF(C$47=6,Quesería!$F$100,0))*$P$11</f>
        <v>0</v>
      </c>
      <c r="D657" s="29" t="n">
        <f aca="false">IF(D$47=5,Quesería!$F$99,IF(D$47=6,Quesería!$F$100,0))*$P$11</f>
        <v>0</v>
      </c>
      <c r="E657" s="29" t="n">
        <f aca="false">IF(E$47=5,Quesería!$F$99,IF(E$47=6,Quesería!$F$100,0))*$P$11</f>
        <v>0</v>
      </c>
      <c r="F657" s="29" t="n">
        <f aca="false">IF(F$47=5,Quesería!$F$99,IF(F$47=6,Quesería!$F$100,0))*$P$11</f>
        <v>0</v>
      </c>
      <c r="G657" s="29" t="n">
        <f aca="false">IF(G$47=5,Quesería!$F$99,IF(G$47=6,Quesería!$F$100,0))*$P$11</f>
        <v>27.4652172688735</v>
      </c>
      <c r="H657" s="29" t="n">
        <f aca="false">IF(H$47=5,Quesería!$F$99,IF(H$47=6,Quesería!$F$100,0))*$P$11</f>
        <v>46.3891557109552</v>
      </c>
      <c r="I657" s="29" t="n">
        <f aca="false">IF(I$47=5,Quesería!$F$99,IF(I$47=6,Quesería!$F$100,0))*$P$11</f>
        <v>0</v>
      </c>
      <c r="J657" s="29" t="n">
        <f aca="false">IF(J$47=5,Quesería!$F$99,IF(J$47=6,Quesería!$F$100,0))*$P$11</f>
        <v>0</v>
      </c>
      <c r="K657" s="29" t="n">
        <f aca="false">IF(K$47=5,Quesería!$F$99,IF(K$47=6,Quesería!$F$100,0))*$P$11</f>
        <v>0</v>
      </c>
      <c r="L657" s="29" t="n">
        <f aca="false">IF(L$47=5,Quesería!$F$99,IF(L$47=6,Quesería!$F$100,0))*$P$11</f>
        <v>0</v>
      </c>
    </row>
    <row r="658" customFormat="false" ht="15" hidden="true" customHeight="false" outlineLevel="1" collapsed="false">
      <c r="A658" s="6" t="s">
        <v>411</v>
      </c>
      <c r="B658" s="29" t="n">
        <f aca="false">Quesería!$B$55*(IF(B$47=0,SUMPRODUCT((Quesería!$C$70:$C$89=0)*(Quesería!$H$70:$H$89&gt;0)*(Quesería!$J$70:$J$89&gt;0)*Quesería!$F$70:$F$89*(1+Quesería!$I$70:$I$89)),IF(B$47=1,(SUMPRODUCT((Quesería!$C$70:$C$89=1)*(Quesería!$H$70:$H$89&gt;0)*(Quesería!$J$70:$J$89&gt;0)*Quesería!$F$70:$F$89*(1+Quesería!$I$70:$I$89))-(-$P$26)*Quesería!$D$86*(1+Quesería!$I$86))*$P$21,0))*$P$11+B657)</f>
        <v>149.115671560178</v>
      </c>
      <c r="C658" s="29" t="n">
        <f aca="false">Quesería!$B$55*(IF(C$47=0,SUMPRODUCT((Quesería!$C$70:$C$89=0)*(Quesería!$H$70:$H$89&gt;0)*(Quesería!$J$70:$J$89&gt;0)*Quesería!$F$70:$F$89*(1+Quesería!$I$70:$I$89)),IF(C$47=1,(SUMPRODUCT((Quesería!$C$70:$C$89=1)*(Quesería!$H$70:$H$89&gt;0)*(Quesería!$J$70:$J$89&gt;0)*Quesería!$F$70:$F$89*(1+Quesería!$I$70:$I$89))-(-$P$26)*Quesería!$D$86*(1+Quesería!$I$86))*$P$21,0))*$P$11+C657)</f>
        <v>125.109122668155</v>
      </c>
      <c r="D658" s="29" t="n">
        <f aca="false">Quesería!$B$55*(IF(D$47=0,SUMPRODUCT((Quesería!$C$70:$C$89=0)*(Quesería!$H$70:$H$89&gt;0)*(Quesería!$J$70:$J$89&gt;0)*Quesería!$F$70:$F$89*(1+Quesería!$I$70:$I$89)),IF(D$47=1,(SUMPRODUCT((Quesería!$C$70:$C$89=1)*(Quesería!$H$70:$H$89&gt;0)*(Quesería!$J$70:$J$89&gt;0)*Quesería!$F$70:$F$89*(1+Quesería!$I$70:$I$89))-(-$P$26)*Quesería!$D$86*(1+Quesería!$I$86))*$P$21,0))*$P$11+D657)</f>
        <v>0</v>
      </c>
      <c r="E658" s="29" t="n">
        <f aca="false">Quesería!$B$55*(IF(E$47=0,SUMPRODUCT((Quesería!$C$70:$C$89=0)*(Quesería!$H$70:$H$89&gt;0)*(Quesería!$J$70:$J$89&gt;0)*Quesería!$F$70:$F$89*(1+Quesería!$I$70:$I$89)),IF(E$47=1,(SUMPRODUCT((Quesería!$C$70:$C$89=1)*(Quesería!$H$70:$H$89&gt;0)*(Quesería!$J$70:$J$89&gt;0)*Quesería!$F$70:$F$89*(1+Quesería!$I$70:$I$89))-(-$P$26)*Quesería!$D$86*(1+Quesería!$I$86))*$P$21,0))*$P$11+E657)</f>
        <v>0</v>
      </c>
      <c r="F658" s="29" t="n">
        <f aca="false">Quesería!$B$55*(IF(F$47=0,SUMPRODUCT((Quesería!$C$70:$C$89=0)*(Quesería!$H$70:$H$89&gt;0)*(Quesería!$J$70:$J$89&gt;0)*Quesería!$F$70:$F$89*(1+Quesería!$I$70:$I$89)),IF(F$47=1,(SUMPRODUCT((Quesería!$C$70:$C$89=1)*(Quesería!$H$70:$H$89&gt;0)*(Quesería!$J$70:$J$89&gt;0)*Quesería!$F$70:$F$89*(1+Quesería!$I$70:$I$89))-(-$P$26)*Quesería!$D$86*(1+Quesería!$I$86))*$P$21,0))*$P$11+F657)</f>
        <v>0</v>
      </c>
      <c r="G658" s="29" t="n">
        <f aca="false">Quesería!$B$55*(IF(G$47=0,SUMPRODUCT((Quesería!$C$70:$C$89=0)*(Quesería!$H$70:$H$89&gt;0)*(Quesería!$J$70:$J$89&gt;0)*Quesería!$F$70:$F$89*(1+Quesería!$I$70:$I$89)),IF(G$47=1,(SUMPRODUCT((Quesería!$C$70:$C$89=1)*(Quesería!$H$70:$H$89&gt;0)*(Quesería!$J$70:$J$89&gt;0)*Quesería!$F$70:$F$89*(1+Quesería!$I$70:$I$89))-(-$P$26)*Quesería!$D$86*(1+Quesería!$I$86))*$P$21,0))*$P$11+G657)</f>
        <v>5.21839128108597</v>
      </c>
      <c r="H658" s="29" t="n">
        <f aca="false">Quesería!$B$55*(IF(H$47=0,SUMPRODUCT((Quesería!$C$70:$C$89=0)*(Quesería!$H$70:$H$89&gt;0)*(Quesería!$J$70:$J$89&gt;0)*Quesería!$F$70:$F$89*(1+Quesería!$I$70:$I$89)),IF(H$47=1,(SUMPRODUCT((Quesería!$C$70:$C$89=1)*(Quesería!$H$70:$H$89&gt;0)*(Quesería!$J$70:$J$89&gt;0)*Quesería!$F$70:$F$89*(1+Quesería!$I$70:$I$89))-(-$P$26)*Quesería!$D$86*(1+Quesería!$I$86))*$P$21,0))*$P$11+H657)</f>
        <v>8.8139395850815</v>
      </c>
      <c r="I658" s="29" t="n">
        <f aca="false">Quesería!$B$55*(IF(I$47=0,SUMPRODUCT((Quesería!$C$70:$C$89=0)*(Quesería!$H$70:$H$89&gt;0)*(Quesería!$J$70:$J$89&gt;0)*Quesería!$F$70:$F$89*(1+Quesería!$I$70:$I$89)),IF(I$47=1,(SUMPRODUCT((Quesería!$C$70:$C$89=1)*(Quesería!$H$70:$H$89&gt;0)*(Quesería!$J$70:$J$89&gt;0)*Quesería!$F$70:$F$89*(1+Quesería!$I$70:$I$89))-(-$P$26)*Quesería!$D$86*(1+Quesería!$I$86))*$P$21,0))*$P$11+I657)</f>
        <v>0</v>
      </c>
      <c r="J658" s="29" t="n">
        <f aca="false">Quesería!$B$55*(IF(J$47=0,SUMPRODUCT((Quesería!$C$70:$C$89=0)*(Quesería!$H$70:$H$89&gt;0)*(Quesería!$J$70:$J$89&gt;0)*Quesería!$F$70:$F$89*(1+Quesería!$I$70:$I$89)),IF(J$47=1,(SUMPRODUCT((Quesería!$C$70:$C$89=1)*(Quesería!$H$70:$H$89&gt;0)*(Quesería!$J$70:$J$89&gt;0)*Quesería!$F$70:$F$89*(1+Quesería!$I$70:$I$89))-(-$P$26)*Quesería!$D$86*(1+Quesería!$I$86))*$P$21,0))*$P$11+J657)</f>
        <v>0</v>
      </c>
      <c r="K658" s="29" t="n">
        <f aca="false">Quesería!$B$55*(IF(K$47=0,SUMPRODUCT((Quesería!$C$70:$C$89=0)*(Quesería!$H$70:$H$89&gt;0)*(Quesería!$J$70:$J$89&gt;0)*Quesería!$F$70:$F$89*(1+Quesería!$I$70:$I$89)),IF(K$47=1,(SUMPRODUCT((Quesería!$C$70:$C$89=1)*(Quesería!$H$70:$H$89&gt;0)*(Quesería!$J$70:$J$89&gt;0)*Quesería!$F$70:$F$89*(1+Quesería!$I$70:$I$89))-(-$P$26)*Quesería!$D$86*(1+Quesería!$I$86))*$P$21,0))*$P$11+K657)</f>
        <v>0</v>
      </c>
      <c r="L658" s="29" t="n">
        <f aca="false">Quesería!$B$55*(IF(L$47=0,SUMPRODUCT((Quesería!$C$70:$C$89=0)*(Quesería!$H$70:$H$89&gt;0)*(Quesería!$J$70:$J$89&gt;0)*Quesería!$F$70:$F$89*(1+Quesería!$I$70:$I$89)),IF(L$47=1,(SUMPRODUCT((Quesería!$C$70:$C$89=1)*(Quesería!$H$70:$H$89&gt;0)*(Quesería!$J$70:$J$89&gt;0)*Quesería!$F$70:$F$89*(1+Quesería!$I$70:$I$89))-(-$P$26)*Quesería!$D$86*(1+Quesería!$I$86))*$P$21,0))*$P$11+L657)</f>
        <v>0</v>
      </c>
    </row>
    <row r="659" customFormat="false" ht="15" hidden="true" customHeight="false" outlineLevel="1" collapsed="false">
      <c r="A659" s="6" t="s">
        <v>386</v>
      </c>
      <c r="B659" s="29" t="n">
        <f aca="false">IF(B$47=0,($P$22*Quesería!$J$126+(1-$P$22)*Quesería!$E$122)*Quesería!$B$20*Quesería!$B$21/12*$P$23,(($P$22*Quesería!$J$126+(1-$P$22)*Quesería!$E$122)+($P$22*Quesería!$J$104+(1-$P$22)*Quesería!$E$104)*(B654-1))*IF(B$47=1,Quesería!$B$20,1))*$P$10</f>
        <v>120.716772261203</v>
      </c>
      <c r="C659" s="29" t="n">
        <f aca="false">IF(C$47=0,($P$22*Quesería!$J$126+(1-$P$22)*Quesería!$E$122)*Quesería!$B$20*Quesería!$B$21/12*$P$23,(($P$22*Quesería!$J$126+(1-$P$22)*Quesería!$E$122)+($P$22*Quesería!$J$104+(1-$P$22)*Quesería!$E$104)*(C654-1))*IF(C$47=1,Quesería!$B$20,1))*$P$10</f>
        <v>181.453752731427</v>
      </c>
      <c r="D659" s="29" t="n">
        <f aca="false">IF(D$47=0,($P$22*Quesería!$J$126+(1-$P$22)*Quesería!$E$122)*Quesería!$B$20*Quesería!$B$21/12*$P$23,(($P$22*Quesería!$J$126+(1-$P$22)*Quesería!$E$122)+($P$22*Quesería!$J$104+(1-$P$22)*Quesería!$E$104)*(D654-1))*IF(D$47=1,Quesería!$B$20,1))*$P$10</f>
        <v>241.9996609375</v>
      </c>
      <c r="E659" s="29" t="n">
        <f aca="false">IF(E$47=0,($P$22*Quesería!$J$126+(1-$P$22)*Quesería!$E$122)*Quesería!$B$20*Quesería!$B$21/12*$P$23,(($P$22*Quesería!$J$126+(1-$P$22)*Quesería!$E$122)+($P$22*Quesería!$J$104+(1-$P$22)*Quesería!$E$104)*(E654-1))*IF(E$47=1,Quesería!$B$20,1))*$P$10</f>
        <v>242.061291519576</v>
      </c>
      <c r="F659" s="29" t="n">
        <f aca="false">IF(F$47=0,($P$22*Quesería!$J$126+(1-$P$22)*Quesería!$E$122)*Quesería!$B$20*Quesería!$B$21/12*$P$23,(($P$22*Quesería!$J$126+(1-$P$22)*Quesería!$E$122)+($P$22*Quesería!$J$104+(1-$P$22)*Quesería!$E$104)*(F654-1))*IF(F$47=1,Quesería!$B$20,1))*$P$10</f>
        <v>242.123230254562</v>
      </c>
      <c r="G659" s="29" t="n">
        <f aca="false">IF(G$47=0,($P$22*Quesería!$J$126+(1-$P$22)*Quesería!$E$122)*Quesería!$B$20*Quesería!$B$21/12*$P$23,(($P$22*Quesería!$J$126+(1-$P$22)*Quesería!$E$122)+($P$22*Quesería!$J$104+(1-$P$22)*Quesería!$E$104)*(G654-1))*IF(G$47=1,Quesería!$B$20,1))*$P$10</f>
        <v>242.185478683222</v>
      </c>
      <c r="H659" s="29" t="n">
        <f aca="false">IF(H$47=0,($P$22*Quesería!$J$126+(1-$P$22)*Quesería!$E$122)*Quesería!$B$20*Quesería!$B$21/12*$P$23,(($P$22*Quesería!$J$126+(1-$P$22)*Quesería!$E$122)+($P$22*Quesería!$J$104+(1-$P$22)*Quesería!$E$104)*(H654-1))*IF(H$47=1,Quesería!$B$20,1))*$P$10</f>
        <v>242.248038354027</v>
      </c>
      <c r="I659" s="29" t="n">
        <f aca="false">IF(I$47=0,($P$22*Quesería!$J$126+(1-$P$22)*Quesería!$E$122)*Quesería!$B$20*Quesería!$B$21/12*$P$23,(($P$22*Quesería!$J$126+(1-$P$22)*Quesería!$E$122)+($P$22*Quesería!$J$104+(1-$P$22)*Quesería!$E$104)*(I654-1))*IF(I$47=1,Quesería!$B$20,1))*$P$10</f>
        <v>242.310910823185</v>
      </c>
      <c r="J659" s="29" t="n">
        <f aca="false">IF(J$47=0,($P$22*Quesería!$J$126+(1-$P$22)*Quesería!$E$122)*Quesería!$B$20*Quesería!$B$21/12*$P$23,(($P$22*Quesería!$J$126+(1-$P$22)*Quesería!$E$122)+($P$22*Quesería!$J$104+(1-$P$22)*Quesería!$E$104)*(J654-1))*IF(J$47=1,Quesería!$B$20,1))*$P$10</f>
        <v>242.374097654689</v>
      </c>
      <c r="K659" s="29" t="n">
        <f aca="false">IF(K$47=0,($P$22*Quesería!$J$126+(1-$P$22)*Quesería!$E$122)*Quesería!$B$20*Quesería!$B$21/12*$P$23,(($P$22*Quesería!$J$126+(1-$P$22)*Quesería!$E$122)+($P$22*Quesería!$J$104+(1-$P$22)*Quesería!$E$104)*(K654-1))*IF(K$47=1,Quesería!$B$20,1))*$P$10</f>
        <v>242.43760042035</v>
      </c>
      <c r="L659" s="29" t="n">
        <f aca="false">IF(L$47=0,($P$22*Quesería!$J$126+(1-$P$22)*Quesería!$E$122)*Quesería!$B$20*Quesería!$B$21/12*$P$23,(($P$22*Quesería!$J$126+(1-$P$22)*Quesería!$E$122)+($P$22*Quesería!$J$104+(1-$P$22)*Quesería!$E$104)*(L654-1))*IF(L$47=1,Quesería!$B$20,1))*$P$10</f>
        <v>242.50142069984</v>
      </c>
    </row>
    <row r="660" customFormat="false" ht="15" hidden="true" customHeight="false" outlineLevel="1" collapsed="false">
      <c r="A660" s="6" t="s">
        <v>387</v>
      </c>
      <c r="B660" s="29" t="n">
        <f aca="false">IF(B$47&lt;=1,0,((($P$22*Quesería!$J$127+(1-$P$22)*Quesería!$E$123)-($P$22*Quesería!$J$113+(1-$P$22)*Quesería!$E$113)+$P$6*($P$22*Quesería!$J$113+(1-$P$22)*Quesería!$E$113)-(1-$P$9)*(($P$22*Quesería!$J$119+(1-$P$22)*Quesería!$E$119)+($P$22*Quesería!$J$118+(1-$P$22)*Quesería!$E$118))-(1-$P$24)*($P$22*Quesería!$J$117+(1-$P$22)*Quesería!$E$117)+$P$24*(1-$P$25)*'Beneficios y costos'!$B$144-(-$P$26*$P$27)*'Beneficios y costos'!$C$167)+($P$6*($P$22*Quesería!$J$113+(1-$P$22)*Quesería!$E$113)+$P$9*($P$22*Quesería!$J$119+(1-$P$22)*Quesería!$E$119))*(B654-1))*IF(B$47=2,Quesería!$B$20,1)+IF(B$47=2,Quesería!$B$24*$P$9*($P$22*Quesería!$J$119+(1-$P$22)*Quesería!$E$119)*B654,0))*$P$10*$P$21</f>
        <v>0</v>
      </c>
      <c r="C660" s="29" t="n">
        <f aca="false">IF(C$47&lt;=1,0,((($P$22*Quesería!$J$127+(1-$P$22)*Quesería!$E$123)-($P$22*Quesería!$J$113+(1-$P$22)*Quesería!$E$113)+$P$6*($P$22*Quesería!$J$113+(1-$P$22)*Quesería!$E$113)-(1-$P$9)*(($P$22*Quesería!$J$119+(1-$P$22)*Quesería!$E$119)+($P$22*Quesería!$J$118+(1-$P$22)*Quesería!$E$118))-(1-$P$24)*($P$22*Quesería!$J$117+(1-$P$22)*Quesería!$E$117)+$P$24*(1-$P$25)*'Beneficios y costos'!$B$144-(-$P$26*$P$27)*'Beneficios y costos'!$C$167)+($P$6*($P$22*Quesería!$J$113+(1-$P$22)*Quesería!$E$113)+$P$9*($P$22*Quesería!$J$119+(1-$P$22)*Quesería!$E$119))*(C654-1))*IF(C$47=2,Quesería!$B$20,1)+IF(C$47=2,Quesería!$B$24*$P$9*($P$22*Quesería!$J$119+(1-$P$22)*Quesería!$E$119)*C654,0))*$P$10*$P$21</f>
        <v>0</v>
      </c>
      <c r="D660" s="29" t="n">
        <f aca="false">IF(D$47&lt;=1,0,((($P$22*Quesería!$J$127+(1-$P$22)*Quesería!$E$123)-($P$22*Quesería!$J$113+(1-$P$22)*Quesería!$E$113)+$P$6*($P$22*Quesería!$J$113+(1-$P$22)*Quesería!$E$113)-(1-$P$9)*(($P$22*Quesería!$J$119+(1-$P$22)*Quesería!$E$119)+($P$22*Quesería!$J$118+(1-$P$22)*Quesería!$E$118))-(1-$P$24)*($P$22*Quesería!$J$117+(1-$P$22)*Quesería!$E$117)+$P$24*(1-$P$25)*'Beneficios y costos'!$B$144-(-$P$26*$P$27)*'Beneficios y costos'!$C$167)+($P$6*($P$22*Quesería!$J$113+(1-$P$22)*Quesería!$E$113)+$P$9*($P$22*Quesería!$J$119+(1-$P$22)*Quesería!$E$119))*(D654-1))*IF(D$47=2,Quesería!$B$20,1)+IF(D$47=2,Quesería!$B$24*$P$9*($P$22*Quesería!$J$119+(1-$P$22)*Quesería!$E$119)*D654,0))*$P$10*$P$21</f>
        <v>258.017824378556</v>
      </c>
      <c r="E660" s="29" t="n">
        <f aca="false">IF(E$47&lt;=1,0,((($P$22*Quesería!$J$127+(1-$P$22)*Quesería!$E$123)-($P$22*Quesería!$J$113+(1-$P$22)*Quesería!$E$113)+$P$6*($P$22*Quesería!$J$113+(1-$P$22)*Quesería!$E$113)-(1-$P$9)*(($P$22*Quesería!$J$119+(1-$P$22)*Quesería!$E$119)+($P$22*Quesería!$J$118+(1-$P$22)*Quesería!$E$118))-(1-$P$24)*($P$22*Quesería!$J$117+(1-$P$22)*Quesería!$E$117)+$P$24*(1-$P$25)*'Beneficios y costos'!$B$144-(-$P$26*$P$27)*'Beneficios y costos'!$C$167)+($P$6*($P$22*Quesería!$J$113+(1-$P$22)*Quesería!$E$113)+$P$9*($P$22*Quesería!$J$119+(1-$P$22)*Quesería!$E$119))*(E654-1))*IF(E$47=2,Quesería!$B$20,1)+IF(E$47=2,Quesería!$B$24*$P$9*($P$22*Quesería!$J$119+(1-$P$22)*Quesería!$E$119)*E654,0))*$P$10*$P$21</f>
        <v>329.180857693736</v>
      </c>
      <c r="F660" s="29" t="n">
        <f aca="false">IF(F$47&lt;=1,0,((($P$22*Quesería!$J$127+(1-$P$22)*Quesería!$E$123)-($P$22*Quesería!$J$113+(1-$P$22)*Quesería!$E$113)+$P$6*($P$22*Quesería!$J$113+(1-$P$22)*Quesería!$E$113)-(1-$P$9)*(($P$22*Quesería!$J$119+(1-$P$22)*Quesería!$E$119)+($P$22*Quesería!$J$118+(1-$P$22)*Quesería!$E$118))-(1-$P$24)*($P$22*Quesería!$J$117+(1-$P$22)*Quesería!$E$117)+$P$24*(1-$P$25)*'Beneficios y costos'!$B$144-(-$P$26*$P$27)*'Beneficios y costos'!$C$167)+($P$6*($P$22*Quesería!$J$113+(1-$P$22)*Quesería!$E$113)+$P$9*($P$22*Quesería!$J$119+(1-$P$22)*Quesería!$E$119))*(F654-1))*IF(F$47=2,Quesería!$B$20,1)+IF(F$47=2,Quesería!$B$24*$P$9*($P$22*Quesería!$J$119+(1-$P$22)*Quesería!$E$119)*F654,0))*$P$10*$P$21</f>
        <v>329.432404801127</v>
      </c>
      <c r="G660" s="29" t="n">
        <f aca="false">IF(G$47&lt;=1,0,((($P$22*Quesería!$J$127+(1-$P$22)*Quesería!$E$123)-($P$22*Quesería!$J$113+(1-$P$22)*Quesería!$E$113)+$P$6*($P$22*Quesería!$J$113+(1-$P$22)*Quesería!$E$113)-(1-$P$9)*(($P$22*Quesería!$J$119+(1-$P$22)*Quesería!$E$119)+($P$22*Quesería!$J$118+(1-$P$22)*Quesería!$E$118))-(1-$P$24)*($P$22*Quesería!$J$117+(1-$P$22)*Quesería!$E$117)+$P$24*(1-$P$25)*'Beneficios y costos'!$B$144-(-$P$26*$P$27)*'Beneficios y costos'!$C$167)+($P$6*($P$22*Quesería!$J$113+(1-$P$22)*Quesería!$E$113)+$P$9*($P$22*Quesería!$J$119+(1-$P$22)*Quesería!$E$119))*(G654-1))*IF(G$47=2,Quesería!$B$20,1)+IF(G$47=2,Quesería!$B$24*$P$9*($P$22*Quesería!$J$119+(1-$P$22)*Quesería!$E$119)*G654,0))*$P$10*$P$21</f>
        <v>329.685209644056</v>
      </c>
      <c r="H660" s="29" t="n">
        <f aca="false">IF(H$47&lt;=1,0,((($P$22*Quesería!$J$127+(1-$P$22)*Quesería!$E$123)-($P$22*Quesería!$J$113+(1-$P$22)*Quesería!$E$113)+$P$6*($P$22*Quesería!$J$113+(1-$P$22)*Quesería!$E$113)-(1-$P$9)*(($P$22*Quesería!$J$119+(1-$P$22)*Quesería!$E$119)+($P$22*Quesería!$J$118+(1-$P$22)*Quesería!$E$118))-(1-$P$24)*($P$22*Quesería!$J$117+(1-$P$22)*Quesería!$E$117)+$P$24*(1-$P$25)*'Beneficios y costos'!$B$144-(-$P$26*$P$27)*'Beneficios y costos'!$C$167)+($P$6*($P$22*Quesería!$J$113+(1-$P$22)*Quesería!$E$113)+$P$9*($P$22*Quesería!$J$119+(1-$P$22)*Quesería!$E$119))*(H654-1))*IF(H$47=2,Quesería!$B$20,1)+IF(H$47=2,Quesería!$B$24*$P$9*($P$22*Quesería!$J$119+(1-$P$22)*Quesería!$E$119)*H654,0))*$P$10*$P$21</f>
        <v>329.939278511199</v>
      </c>
      <c r="I660" s="29" t="n">
        <f aca="false">IF(I$47&lt;=1,0,((($P$22*Quesería!$J$127+(1-$P$22)*Quesería!$E$123)-($P$22*Quesería!$J$113+(1-$P$22)*Quesería!$E$113)+$P$6*($P$22*Quesería!$J$113+(1-$P$22)*Quesería!$E$113)-(1-$P$9)*(($P$22*Quesería!$J$119+(1-$P$22)*Quesería!$E$119)+($P$22*Quesería!$J$118+(1-$P$22)*Quesería!$E$118))-(1-$P$24)*($P$22*Quesería!$J$117+(1-$P$22)*Quesería!$E$117)+$P$24*(1-$P$25)*'Beneficios y costos'!$B$144-(-$P$26*$P$27)*'Beneficios y costos'!$C$167)+($P$6*($P$22*Quesería!$J$113+(1-$P$22)*Quesería!$E$113)+$P$9*($P$22*Quesería!$J$119+(1-$P$22)*Quesería!$E$119))*(I654-1))*IF(I$47=2,Quesería!$B$20,1)+IF(I$47=2,Quesería!$B$24*$P$9*($P$22*Quesería!$J$119+(1-$P$22)*Quesería!$E$119)*I654,0))*$P$10*$P$21</f>
        <v>330.194617722677</v>
      </c>
      <c r="J660" s="29" t="n">
        <f aca="false">IF(J$47&lt;=1,0,((($P$22*Quesería!$J$127+(1-$P$22)*Quesería!$E$123)-($P$22*Quesería!$J$113+(1-$P$22)*Quesería!$E$113)+$P$6*($P$22*Quesería!$J$113+(1-$P$22)*Quesería!$E$113)-(1-$P$9)*(($P$22*Quesería!$J$119+(1-$P$22)*Quesería!$E$119)+($P$22*Quesería!$J$118+(1-$P$22)*Quesería!$E$118))-(1-$P$24)*($P$22*Quesería!$J$117+(1-$P$22)*Quesería!$E$117)+$P$24*(1-$P$25)*'Beneficios y costos'!$B$144-(-$P$26*$P$27)*'Beneficios y costos'!$C$167)+($P$6*($P$22*Quesería!$J$113+(1-$P$22)*Quesería!$E$113)+$P$9*($P$22*Quesería!$J$119+(1-$P$22)*Quesería!$E$119))*(J654-1))*IF(J$47=2,Quesería!$B$20,1)+IF(J$47=2,Quesería!$B$24*$P$9*($P$22*Quesería!$J$119+(1-$P$22)*Quesería!$E$119)*J654,0))*$P$10*$P$21</f>
        <v>330.451233630214</v>
      </c>
      <c r="K660" s="29" t="n">
        <f aca="false">IF(K$47&lt;=1,0,((($P$22*Quesería!$J$127+(1-$P$22)*Quesería!$E$123)-($P$22*Quesería!$J$113+(1-$P$22)*Quesería!$E$113)+$P$6*($P$22*Quesería!$J$113+(1-$P$22)*Quesería!$E$113)-(1-$P$9)*(($P$22*Quesería!$J$119+(1-$P$22)*Quesería!$E$119)+($P$22*Quesería!$J$118+(1-$P$22)*Quesería!$E$118))-(1-$P$24)*($P$22*Quesería!$J$117+(1-$P$22)*Quesería!$E$117)+$P$24*(1-$P$25)*'Beneficios y costos'!$B$144-(-$P$26*$P$27)*'Beneficios y costos'!$C$167)+($P$6*($P$22*Quesería!$J$113+(1-$P$22)*Quesería!$E$113)+$P$9*($P$22*Quesería!$J$119+(1-$P$22)*Quesería!$E$119))*(K654-1))*IF(K$47=2,Quesería!$B$20,1)+IF(K$47=2,Quesería!$B$24*$P$9*($P$22*Quesería!$J$119+(1-$P$22)*Quesería!$E$119)*K654,0))*$P$10*$P$21</f>
        <v>330.709132617288</v>
      </c>
      <c r="L660" s="29" t="n">
        <f aca="false">IF(L$47&lt;=1,0,((($P$22*Quesería!$J$127+(1-$P$22)*Quesería!$E$123)-($P$22*Quesería!$J$113+(1-$P$22)*Quesería!$E$113)+$P$6*($P$22*Quesería!$J$113+(1-$P$22)*Quesería!$E$113)-(1-$P$9)*(($P$22*Quesería!$J$119+(1-$P$22)*Quesería!$E$119)+($P$22*Quesería!$J$118+(1-$P$22)*Quesería!$E$118))-(1-$P$24)*($P$22*Quesería!$J$117+(1-$P$22)*Quesería!$E$117)+$P$24*(1-$P$25)*'Beneficios y costos'!$B$144-(-$P$26*$P$27)*'Beneficios y costos'!$C$167)+($P$6*($P$22*Quesería!$J$113+(1-$P$22)*Quesería!$E$113)+$P$9*($P$22*Quesería!$J$119+(1-$P$22)*Quesería!$E$119))*(L654-1))*IF(L$47=2,Quesería!$B$20,1)+IF(L$47=2,Quesería!$B$24*$P$9*($P$22*Quesería!$J$119+(1-$P$22)*Quesería!$E$119)*L654,0))*$P$10*$P$21</f>
        <v>330.968321099297</v>
      </c>
    </row>
    <row r="661" customFormat="false" ht="15" hidden="true" customHeight="false" outlineLevel="1" collapsed="false">
      <c r="A661" s="5" t="s">
        <v>412</v>
      </c>
      <c r="B661" s="10" t="n">
        <f aca="false">B659+B660</f>
        <v>120.716772261203</v>
      </c>
      <c r="C661" s="10" t="n">
        <f aca="false">C659+C660</f>
        <v>181.453752731427</v>
      </c>
      <c r="D661" s="10" t="n">
        <f aca="false">D659+D660</f>
        <v>500.017485316057</v>
      </c>
      <c r="E661" s="10" t="n">
        <f aca="false">E659+E660</f>
        <v>571.242149213311</v>
      </c>
      <c r="F661" s="10" t="n">
        <f aca="false">F659+F660</f>
        <v>571.555635055689</v>
      </c>
      <c r="G661" s="10" t="n">
        <f aca="false">G659+G660</f>
        <v>571.870688327278</v>
      </c>
      <c r="H661" s="10" t="n">
        <f aca="false">H659+H660</f>
        <v>572.187316865225</v>
      </c>
      <c r="I661" s="10" t="n">
        <f aca="false">I659+I660</f>
        <v>572.505528545862</v>
      </c>
      <c r="J661" s="10" t="n">
        <f aca="false">J659+J660</f>
        <v>572.825331284902</v>
      </c>
      <c r="K661" s="10" t="n">
        <f aca="false">K659+K660</f>
        <v>573.146733037637</v>
      </c>
      <c r="L661" s="10" t="n">
        <f aca="false">L659+L660</f>
        <v>573.469741799137</v>
      </c>
    </row>
    <row r="662" customFormat="false" ht="15" hidden="true" customHeight="false" outlineLevel="1" collapsed="false">
      <c r="A662" s="6" t="s">
        <v>413</v>
      </c>
      <c r="B662" s="29" t="n">
        <f aca="false">(IF(B$47&gt;=1,(Quesería!$B$31+Quesería!$B$33)*Quesería!$F$94*$P$11+Quesería!$B$32+'Beneficios y costos'!$B$249,0)+IF(B$47&gt;=2,((Quesería!$B$31+Quesería!$B$33)*(Quesería!$F$95-(-$P$26)*Quesería!$D$86)*$P$11+'Beneficios y costos'!$C$249-(-$P$26)*'Beneficios y costos'!$H$235)*$P$21,0))*$P$12</f>
        <v>0</v>
      </c>
      <c r="C662" s="29" t="n">
        <f aca="false">(IF(C$47&gt;=1,(Quesería!$B$31+Quesería!$B$33)*Quesería!$F$94*$P$11+Quesería!$B$32+'Beneficios y costos'!$B$249,0)+IF(C$47&gt;=2,((Quesería!$B$31+Quesería!$B$33)*(Quesería!$F$95-(-$P$26)*Quesería!$D$86)*$P$11+'Beneficios y costos'!$C$249-(-$P$26)*'Beneficios y costos'!$H$235)*$P$21,0))*$P$12</f>
        <v>42.0946487260605</v>
      </c>
      <c r="D662" s="29" t="n">
        <f aca="false">(IF(D$47&gt;=1,(Quesería!$B$31+Quesería!$B$33)*Quesería!$F$94*$P$11+Quesería!$B$32+'Beneficios y costos'!$B$249,0)+IF(D$47&gt;=2,((Quesería!$B$31+Quesería!$B$33)*(Quesería!$F$95-(-$P$26)*Quesería!$D$86)*$P$11+'Beneficios y costos'!$C$249-(-$P$26)*'Beneficios y costos'!$H$235)*$P$21,0))*$P$12</f>
        <v>76.4964821173776</v>
      </c>
      <c r="E662" s="29" t="n">
        <f aca="false">(IF(E$47&gt;=1,(Quesería!$B$31+Quesería!$B$33)*Quesería!$F$94*$P$11+Quesería!$B$32+'Beneficios y costos'!$B$249,0)+IF(E$47&gt;=2,((Quesería!$B$31+Quesería!$B$33)*(Quesería!$F$95-(-$P$26)*Quesería!$D$86)*$P$11+'Beneficios y costos'!$C$249-(-$P$26)*'Beneficios y costos'!$H$235)*$P$21,0))*$P$12</f>
        <v>76.4964821173776</v>
      </c>
      <c r="F662" s="29" t="n">
        <f aca="false">(IF(F$47&gt;=1,(Quesería!$B$31+Quesería!$B$33)*Quesería!$F$94*$P$11+Quesería!$B$32+'Beneficios y costos'!$B$249,0)+IF(F$47&gt;=2,((Quesería!$B$31+Quesería!$B$33)*(Quesería!$F$95-(-$P$26)*Quesería!$D$86)*$P$11+'Beneficios y costos'!$C$249-(-$P$26)*'Beneficios y costos'!$H$235)*$P$21,0))*$P$12</f>
        <v>76.4964821173776</v>
      </c>
      <c r="G662" s="29" t="n">
        <f aca="false">(IF(G$47&gt;=1,(Quesería!$B$31+Quesería!$B$33)*Quesería!$F$94*$P$11+Quesería!$B$32+'Beneficios y costos'!$B$249,0)+IF(G$47&gt;=2,((Quesería!$B$31+Quesería!$B$33)*(Quesería!$F$95-(-$P$26)*Quesería!$D$86)*$P$11+'Beneficios y costos'!$C$249-(-$P$26)*'Beneficios y costos'!$H$235)*$P$21,0))*$P$12</f>
        <v>76.4964821173776</v>
      </c>
      <c r="H662" s="29" t="n">
        <f aca="false">(IF(H$47&gt;=1,(Quesería!$B$31+Quesería!$B$33)*Quesería!$F$94*$P$11+Quesería!$B$32+'Beneficios y costos'!$B$249,0)+IF(H$47&gt;=2,((Quesería!$B$31+Quesería!$B$33)*(Quesería!$F$95-(-$P$26)*Quesería!$D$86)*$P$11+'Beneficios y costos'!$C$249-(-$P$26)*'Beneficios y costos'!$H$235)*$P$21,0))*$P$12</f>
        <v>76.4964821173776</v>
      </c>
      <c r="I662" s="29" t="n">
        <f aca="false">(IF(I$47&gt;=1,(Quesería!$B$31+Quesería!$B$33)*Quesería!$F$94*$P$11+Quesería!$B$32+'Beneficios y costos'!$B$249,0)+IF(I$47&gt;=2,((Quesería!$B$31+Quesería!$B$33)*(Quesería!$F$95-(-$P$26)*Quesería!$D$86)*$P$11+'Beneficios y costos'!$C$249-(-$P$26)*'Beneficios y costos'!$H$235)*$P$21,0))*$P$12</f>
        <v>76.4964821173776</v>
      </c>
      <c r="J662" s="29" t="n">
        <f aca="false">(IF(J$47&gt;=1,(Quesería!$B$31+Quesería!$B$33)*Quesería!$F$94*$P$11+Quesería!$B$32+'Beneficios y costos'!$B$249,0)+IF(J$47&gt;=2,((Quesería!$B$31+Quesería!$B$33)*(Quesería!$F$95-(-$P$26)*Quesería!$D$86)*$P$11+'Beneficios y costos'!$C$249-(-$P$26)*'Beneficios y costos'!$H$235)*$P$21,0))*$P$12</f>
        <v>76.4964821173776</v>
      </c>
      <c r="K662" s="29" t="n">
        <f aca="false">(IF(K$47&gt;=1,(Quesería!$B$31+Quesería!$B$33)*Quesería!$F$94*$P$11+Quesería!$B$32+'Beneficios y costos'!$B$249,0)+IF(K$47&gt;=2,((Quesería!$B$31+Quesería!$B$33)*(Quesería!$F$95-(-$P$26)*Quesería!$D$86)*$P$11+'Beneficios y costos'!$C$249-(-$P$26)*'Beneficios y costos'!$H$235)*$P$21,0))*$P$12</f>
        <v>76.4964821173776</v>
      </c>
      <c r="L662" s="29" t="n">
        <f aca="false">(IF(L$47&gt;=1,(Quesería!$B$31+Quesería!$B$33)*Quesería!$F$94*$P$11+Quesería!$B$32+'Beneficios y costos'!$B$249,0)+IF(L$47&gt;=2,((Quesería!$B$31+Quesería!$B$33)*(Quesería!$F$95-(-$P$26)*Quesería!$D$86)*$P$11+'Beneficios y costos'!$C$249-(-$P$26)*'Beneficios y costos'!$H$235)*$P$21,0))*$P$12</f>
        <v>76.4964821173776</v>
      </c>
    </row>
    <row r="663" customFormat="false" ht="15" hidden="true" customHeight="false" outlineLevel="1" collapsed="false">
      <c r="A663" s="6" t="s">
        <v>414</v>
      </c>
      <c r="B663" s="29" t="n">
        <f aca="false">IF(B$47=1,2*Quesería!$B$22*Quesería!$B$23/12*B654,0)*$P$21</f>
        <v>0</v>
      </c>
      <c r="C663" s="29" t="n">
        <f aca="false">IF(C$47=1,2*Quesería!$B$22*Quesería!$B$23/12*C654,0)*$P$21</f>
        <v>18.772641509434</v>
      </c>
      <c r="D663" s="29" t="n">
        <f aca="false">IF(D$47=1,2*Quesería!$B$22*Quesería!$B$23/12*D654,0)*$P$21</f>
        <v>0</v>
      </c>
      <c r="E663" s="29" t="n">
        <f aca="false">IF(E$47=1,2*Quesería!$B$22*Quesería!$B$23/12*E654,0)*$P$21</f>
        <v>0</v>
      </c>
      <c r="F663" s="29" t="n">
        <f aca="false">IF(F$47=1,2*Quesería!$B$22*Quesería!$B$23/12*F654,0)*$P$21</f>
        <v>0</v>
      </c>
      <c r="G663" s="29" t="n">
        <f aca="false">IF(G$47=1,2*Quesería!$B$22*Quesería!$B$23/12*G654,0)*$P$21</f>
        <v>0</v>
      </c>
      <c r="H663" s="29" t="n">
        <f aca="false">IF(H$47=1,2*Quesería!$B$22*Quesería!$B$23/12*H654,0)*$P$21</f>
        <v>0</v>
      </c>
      <c r="I663" s="29" t="n">
        <f aca="false">IF(I$47=1,2*Quesería!$B$22*Quesería!$B$23/12*I654,0)*$P$21</f>
        <v>0</v>
      </c>
      <c r="J663" s="29" t="n">
        <f aca="false">IF(J$47=1,2*Quesería!$B$22*Quesería!$B$23/12*J654,0)*$P$21</f>
        <v>0</v>
      </c>
      <c r="K663" s="29" t="n">
        <f aca="false">IF(K$47=1,2*Quesería!$B$22*Quesería!$B$23/12*K654,0)*$P$21</f>
        <v>0</v>
      </c>
      <c r="L663" s="29" t="n">
        <f aca="false">IF(L$47=1,2*Quesería!$B$22*Quesería!$B$23/12*L654,0)*$P$21</f>
        <v>0</v>
      </c>
    </row>
    <row r="664" customFormat="false" ht="15" hidden="true" customHeight="false" outlineLevel="1" collapsed="false">
      <c r="A664" s="6" t="s">
        <v>415</v>
      </c>
      <c r="B664" s="29" t="n">
        <f aca="false">Quesería!$B$52*(B656+B657+B658+B662+B663)</f>
        <v>4.31966364396742</v>
      </c>
      <c r="C664" s="29" t="n">
        <f aca="false">Quesería!$B$52*(C656+C657+C658+C662+C663)</f>
        <v>3.37778191831259</v>
      </c>
      <c r="D664" s="29" t="n">
        <f aca="false">Quesería!$B$52*(D656+D657+D658+D662+D663)</f>
        <v>0.305985928469511</v>
      </c>
      <c r="E664" s="29" t="n">
        <f aca="false">Quesería!$B$52*(E656+E657+E658+E662+E663)</f>
        <v>0.305985928469511</v>
      </c>
      <c r="F664" s="29" t="n">
        <f aca="false">Quesería!$B$52*(F656+F657+F658+F662+F663)</f>
        <v>0.305985928469511</v>
      </c>
      <c r="G664" s="29" t="n">
        <f aca="false">Quesería!$B$52*(G656+G657+G658+G662+G663)</f>
        <v>0.436720362669349</v>
      </c>
      <c r="H664" s="29" t="n">
        <f aca="false">Quesería!$B$52*(H656+H657+H658+H662+H663)</f>
        <v>0.526798309653658</v>
      </c>
      <c r="I664" s="29" t="n">
        <f aca="false">Quesería!$B$52*(I656+I657+I658+I662+I663)</f>
        <v>0.305985928469511</v>
      </c>
      <c r="J664" s="29" t="n">
        <f aca="false">Quesería!$B$52*(J656+J657+J658+J662+J663)</f>
        <v>0.305985928469511</v>
      </c>
      <c r="K664" s="29" t="n">
        <f aca="false">Quesería!$B$52*(K656+K657+K658+K662+K663)</f>
        <v>0.305985928469511</v>
      </c>
      <c r="L664" s="29" t="n">
        <f aca="false">Quesería!$B$52*(L656+L657+L658+L662+L663)</f>
        <v>0.305985928469511</v>
      </c>
    </row>
    <row r="665" customFormat="false" ht="15" hidden="true" customHeight="false" outlineLevel="1" collapsed="false">
      <c r="A665" s="6" t="s">
        <v>416</v>
      </c>
      <c r="B665" s="29" t="n">
        <f aca="false">(IF($P$19=1,(SUMPRODUCT((Quesería!$C$70:$C$89=0)*(Quesería!$J$70:$J$89&gt;0)*(B$47&gt;=1)*(B$47&lt;=Quesería!$J$70:$J$89)*(Quesería!$H$70:$H$89&gt;0)*Quesería!$F$70:$F$89*(1+Quesería!$I$70:$I$89)/(Quesería!$J$70:$J$89+(Quesería!$J$70:$J$89=0)))+SUMPRODUCT((Quesería!$C$70:$C$89=0)*(Quesería!$J$70:$J$89=0)*(B$47=0)*(Quesería!$H$70:$H$89&gt;0)*Quesería!$F$70:$F$89*(1+Quesería!$I$70:$I$89)))*$B$653+((SUMPRODUCT((Quesería!$C$70:$C$89=1)*(Quesería!$J$70:$J$89&gt;0)*(B$47&gt;=2)*(B$47&lt;=Quesería!$J$70:$J$89+1)*(Quesería!$H$70:$H$89&gt;0)*Quesería!$F$70:$F$89*(1+Quesería!$I$70:$I$89)/(Quesería!$J$70:$J$89+(Quesería!$J$70:$J$89=0)))+SUMPRODUCT((Quesería!$C$70:$C$89=1)*(Quesería!$J$70:$J$89=0)*(B$47=1)*(Quesería!$H$70:$H$89&gt;0)*Quesería!$F$70:$F$89*(1+Quesería!$I$70:$I$89)))-(-$P$26)*IF(AND(B$47&gt;=2,B$47&lt;=Quesería!$J$86+1),Quesería!$D$86*(1+Quesería!$I$86)/Quesería!$J$86,0))*$C$653*$P$21,IF(AND(B$47&gt;=1,B$47&lt;=Quesería!$B$30),Quesería!$F$92/Quesería!$B$30,0)*$B$653+IF(AND(B$47&gt;=2,B$47&lt;=Quesería!$B$30+1),(Quesería!$F$93-(-$P$26)*Quesería!$D$86*(1+Quesería!$I$86))/Quesería!$B$30,0)*$C$653*$P$21)*$P$11+IF(AND(B$47&gt;=6,B$47&lt;=10),$G657*$G653/5,0)+IF(AND(B$47&gt;=7,B$47&lt;=11),$H657*$H653/5,0))*B655</f>
        <v>145.980915430742</v>
      </c>
      <c r="C665" s="29" t="n">
        <f aca="false">(IF($P$19=1,(SUMPRODUCT((Quesería!$C$70:$C$89=0)*(Quesería!$J$70:$J$89&gt;0)*(C$47&gt;=1)*(C$47&lt;=Quesería!$J$70:$J$89)*(Quesería!$H$70:$H$89&gt;0)*Quesería!$F$70:$F$89*(1+Quesería!$I$70:$I$89)/(Quesería!$J$70:$J$89+(Quesería!$J$70:$J$89=0)))+SUMPRODUCT((Quesería!$C$70:$C$89=0)*(Quesería!$J$70:$J$89=0)*(C$47=0)*(Quesería!$H$70:$H$89&gt;0)*Quesería!$F$70:$F$89*(1+Quesería!$I$70:$I$89)))*$B$653+((SUMPRODUCT((Quesería!$C$70:$C$89=1)*(Quesería!$J$70:$J$89&gt;0)*(C$47&gt;=2)*(C$47&lt;=Quesería!$J$70:$J$89+1)*(Quesería!$H$70:$H$89&gt;0)*Quesería!$F$70:$F$89*(1+Quesería!$I$70:$I$89)/(Quesería!$J$70:$J$89+(Quesería!$J$70:$J$89=0)))+SUMPRODUCT((Quesería!$C$70:$C$89=1)*(Quesería!$J$70:$J$89=0)*(C$47=1)*(Quesería!$H$70:$H$89&gt;0)*Quesería!$F$70:$F$89*(1+Quesería!$I$70:$I$89)))-(-$P$26)*IF(AND(C$47&gt;=2,C$47&lt;=Quesería!$J$86+1),Quesería!$D$86*(1+Quesería!$I$86)/Quesería!$J$86,0))*$C$653*$P$21,IF(AND(C$47&gt;=1,C$47&lt;=Quesería!$B$30),Quesería!$F$92/Quesería!$B$30,0)*$B$653+IF(AND(C$47&gt;=2,C$47&lt;=Quesería!$B$30+1),(Quesería!$F$93-(-$P$26)*Quesería!$D$86*(1+Quesería!$I$86))/Quesería!$B$30,0)*$C$653*$P$21)*$P$11+IF(AND(C$47&gt;=6,C$47&lt;=10),$G657*$G653/5,0)+IF(AND(C$47&gt;=7,C$47&lt;=11),$H657*$H653/5,0))*C655</f>
        <v>82.2633269524265</v>
      </c>
      <c r="D665" s="29" t="n">
        <f aca="false">(IF($P$19=1,(SUMPRODUCT((Quesería!$C$70:$C$89=0)*(Quesería!$J$70:$J$89&gt;0)*(D$47&gt;=1)*(D$47&lt;=Quesería!$J$70:$J$89)*(Quesería!$H$70:$H$89&gt;0)*Quesería!$F$70:$F$89*(1+Quesería!$I$70:$I$89)/(Quesería!$J$70:$J$89+(Quesería!$J$70:$J$89=0)))+SUMPRODUCT((Quesería!$C$70:$C$89=0)*(Quesería!$J$70:$J$89=0)*(D$47=0)*(Quesería!$H$70:$H$89&gt;0)*Quesería!$F$70:$F$89*(1+Quesería!$I$70:$I$89)))*$B$653+((SUMPRODUCT((Quesería!$C$70:$C$89=1)*(Quesería!$J$70:$J$89&gt;0)*(D$47&gt;=2)*(D$47&lt;=Quesería!$J$70:$J$89+1)*(Quesería!$H$70:$H$89&gt;0)*Quesería!$F$70:$F$89*(1+Quesería!$I$70:$I$89)/(Quesería!$J$70:$J$89+(Quesería!$J$70:$J$89=0)))+SUMPRODUCT((Quesería!$C$70:$C$89=1)*(Quesería!$J$70:$J$89=0)*(D$47=1)*(Quesería!$H$70:$H$89&gt;0)*Quesería!$F$70:$F$89*(1+Quesería!$I$70:$I$89)))-(-$P$26)*IF(AND(D$47&gt;=2,D$47&lt;=Quesería!$J$86+1),Quesería!$D$86*(1+Quesería!$I$86)/Quesería!$J$86,0))*$C$653*$P$21,IF(AND(D$47&gt;=1,D$47&lt;=Quesería!$B$30),Quesería!$F$92/Quesería!$B$30,0)*$B$653+IF(AND(D$47&gt;=2,D$47&lt;=Quesería!$B$30+1),(Quesería!$F$93-(-$P$26)*Quesería!$D$86*(1+Quesería!$I$86))/Quesería!$B$30,0)*$C$653*$P$21)*$P$11+IF(AND(D$47&gt;=6,D$47&lt;=10),$G657*$G653/5,0)+IF(AND(D$47&gt;=7,D$47&lt;=11),$H657*$H653/5,0))*D655</f>
        <v>141.732280975958</v>
      </c>
      <c r="E665" s="29" t="n">
        <f aca="false">(IF($P$19=1,(SUMPRODUCT((Quesería!$C$70:$C$89=0)*(Quesería!$J$70:$J$89&gt;0)*(E$47&gt;=1)*(E$47&lt;=Quesería!$J$70:$J$89)*(Quesería!$H$70:$H$89&gt;0)*Quesería!$F$70:$F$89*(1+Quesería!$I$70:$I$89)/(Quesería!$J$70:$J$89+(Quesería!$J$70:$J$89=0)))+SUMPRODUCT((Quesería!$C$70:$C$89=0)*(Quesería!$J$70:$J$89=0)*(E$47=0)*(Quesería!$H$70:$H$89&gt;0)*Quesería!$F$70:$F$89*(1+Quesería!$I$70:$I$89)))*$B$653+((SUMPRODUCT((Quesería!$C$70:$C$89=1)*(Quesería!$J$70:$J$89&gt;0)*(E$47&gt;=2)*(E$47&lt;=Quesería!$J$70:$J$89+1)*(Quesería!$H$70:$H$89&gt;0)*Quesería!$F$70:$F$89*(1+Quesería!$I$70:$I$89)/(Quesería!$J$70:$J$89+(Quesería!$J$70:$J$89=0)))+SUMPRODUCT((Quesería!$C$70:$C$89=1)*(Quesería!$J$70:$J$89=0)*(E$47=1)*(Quesería!$H$70:$H$89&gt;0)*Quesería!$F$70:$F$89*(1+Quesería!$I$70:$I$89)))-(-$P$26)*IF(AND(E$47&gt;=2,E$47&lt;=Quesería!$J$86+1),Quesería!$D$86*(1+Quesería!$I$86)/Quesería!$J$86,0))*$C$653*$P$21,IF(AND(E$47&gt;=1,E$47&lt;=Quesería!$B$30),Quesería!$F$92/Quesería!$B$30,0)*$B$653+IF(AND(E$47&gt;=2,E$47&lt;=Quesería!$B$30+1),(Quesería!$F$93-(-$P$26)*Quesería!$D$86*(1+Quesería!$I$86))/Quesería!$B$30,0)*$C$653*$P$21)*$P$11+IF(AND(E$47&gt;=6,E$47&lt;=10),$G657*$G653/5,0)+IF(AND(E$47&gt;=7,E$47&lt;=11),$H657*$H653/5,0))*E655</f>
        <v>136.28103939996</v>
      </c>
      <c r="F665" s="29" t="n">
        <f aca="false">(IF($P$19=1,(SUMPRODUCT((Quesería!$C$70:$C$89=0)*(Quesería!$J$70:$J$89&gt;0)*(F$47&gt;=1)*(F$47&lt;=Quesería!$J$70:$J$89)*(Quesería!$H$70:$H$89&gt;0)*Quesería!$F$70:$F$89*(1+Quesería!$I$70:$I$89)/(Quesería!$J$70:$J$89+(Quesería!$J$70:$J$89=0)))+SUMPRODUCT((Quesería!$C$70:$C$89=0)*(Quesería!$J$70:$J$89=0)*(F$47=0)*(Quesería!$H$70:$H$89&gt;0)*Quesería!$F$70:$F$89*(1+Quesería!$I$70:$I$89)))*$B$653+((SUMPRODUCT((Quesería!$C$70:$C$89=1)*(Quesería!$J$70:$J$89&gt;0)*(F$47&gt;=2)*(F$47&lt;=Quesería!$J$70:$J$89+1)*(Quesería!$H$70:$H$89&gt;0)*Quesería!$F$70:$F$89*(1+Quesería!$I$70:$I$89)/(Quesería!$J$70:$J$89+(Quesería!$J$70:$J$89=0)))+SUMPRODUCT((Quesería!$C$70:$C$89=1)*(Quesería!$J$70:$J$89=0)*(F$47=1)*(Quesería!$H$70:$H$89&gt;0)*Quesería!$F$70:$F$89*(1+Quesería!$I$70:$I$89)))-(-$P$26)*IF(AND(F$47&gt;=2,F$47&lt;=Quesería!$J$86+1),Quesería!$D$86*(1+Quesería!$I$86)/Quesería!$J$86,0))*$C$653*$P$21,IF(AND(F$47&gt;=1,F$47&lt;=Quesería!$B$30),Quesería!$F$92/Quesería!$B$30,0)*$B$653+IF(AND(F$47&gt;=2,F$47&lt;=Quesería!$B$30+1),(Quesería!$F$93-(-$P$26)*Quesería!$D$86*(1+Quesería!$I$86))/Quesería!$B$30,0)*$C$653*$P$21)*$P$11+IF(AND(F$47&gt;=6,F$47&lt;=10),$G657*$G653/5,0)+IF(AND(F$47&gt;=7,F$47&lt;=11),$H657*$H653/5,0))*F655</f>
        <v>131.0394609615</v>
      </c>
      <c r="G665" s="29" t="n">
        <f aca="false">(IF($P$19=1,(SUMPRODUCT((Quesería!$C$70:$C$89=0)*(Quesería!$J$70:$J$89&gt;0)*(G$47&gt;=1)*(G$47&lt;=Quesería!$J$70:$J$89)*(Quesería!$H$70:$H$89&gt;0)*Quesería!$F$70:$F$89*(1+Quesería!$I$70:$I$89)/(Quesería!$J$70:$J$89+(Quesería!$J$70:$J$89=0)))+SUMPRODUCT((Quesería!$C$70:$C$89=0)*(Quesería!$J$70:$J$89=0)*(G$47=0)*(Quesería!$H$70:$H$89&gt;0)*Quesería!$F$70:$F$89*(1+Quesería!$I$70:$I$89)))*$B$653+((SUMPRODUCT((Quesería!$C$70:$C$89=1)*(Quesería!$J$70:$J$89&gt;0)*(G$47&gt;=2)*(G$47&lt;=Quesería!$J$70:$J$89+1)*(Quesería!$H$70:$H$89&gt;0)*Quesería!$F$70:$F$89*(1+Quesería!$I$70:$I$89)/(Quesería!$J$70:$J$89+(Quesería!$J$70:$J$89=0)))+SUMPRODUCT((Quesería!$C$70:$C$89=1)*(Quesería!$J$70:$J$89=0)*(G$47=1)*(Quesería!$H$70:$H$89&gt;0)*Quesería!$F$70:$F$89*(1+Quesería!$I$70:$I$89)))-(-$P$26)*IF(AND(G$47&gt;=2,G$47&lt;=Quesería!$J$86+1),Quesería!$D$86*(1+Quesería!$I$86)/Quesería!$J$86,0))*$C$653*$P$21,IF(AND(G$47&gt;=1,G$47&lt;=Quesería!$B$30),Quesería!$F$92/Quesería!$B$30,0)*$B$653+IF(AND(G$47&gt;=2,G$47&lt;=Quesería!$B$30+1),(Quesería!$F$93-(-$P$26)*Quesería!$D$86*(1+Quesería!$I$86))/Quesería!$B$30,0)*$C$653*$P$21)*$P$11+IF(AND(G$47&gt;=6,G$47&lt;=10),$G657*$G653/5,0)+IF(AND(G$47&gt;=7,G$47&lt;=11),$H657*$H653/5,0))*G655</f>
        <v>125.99948169375</v>
      </c>
      <c r="H665" s="29" t="n">
        <f aca="false">(IF($P$19=1,(SUMPRODUCT((Quesería!$C$70:$C$89=0)*(Quesería!$J$70:$J$89&gt;0)*(H$47&gt;=1)*(H$47&lt;=Quesería!$J$70:$J$89)*(Quesería!$H$70:$H$89&gt;0)*Quesería!$F$70:$F$89*(1+Quesería!$I$70:$I$89)/(Quesería!$J$70:$J$89+(Quesería!$J$70:$J$89=0)))+SUMPRODUCT((Quesería!$C$70:$C$89=0)*(Quesería!$J$70:$J$89=0)*(H$47=0)*(Quesería!$H$70:$H$89&gt;0)*Quesería!$F$70:$F$89*(1+Quesería!$I$70:$I$89)))*$B$653+((SUMPRODUCT((Quesería!$C$70:$C$89=1)*(Quesería!$J$70:$J$89&gt;0)*(H$47&gt;=2)*(H$47&lt;=Quesería!$J$70:$J$89+1)*(Quesería!$H$70:$H$89&gt;0)*Quesería!$F$70:$F$89*(1+Quesería!$I$70:$I$89)/(Quesería!$J$70:$J$89+(Quesería!$J$70:$J$89=0)))+SUMPRODUCT((Quesería!$C$70:$C$89=1)*(Quesería!$J$70:$J$89=0)*(H$47=1)*(Quesería!$H$70:$H$89&gt;0)*Quesería!$F$70:$F$89*(1+Quesería!$I$70:$I$89)))-(-$P$26)*IF(AND(H$47&gt;=2,H$47&lt;=Quesería!$J$86+1),Quesería!$D$86*(1+Quesería!$I$86)/Quesería!$J$86,0))*$C$653*$P$21,IF(AND(H$47&gt;=1,H$47&lt;=Quesería!$B$30),Quesería!$F$92/Quesería!$B$30,0)*$B$653+IF(AND(H$47&gt;=2,H$47&lt;=Quesería!$B$30+1),(Quesería!$F$93-(-$P$26)*Quesería!$D$86*(1+Quesería!$I$86))/Quesería!$B$30,0)*$C$653*$P$21)*$P$11+IF(AND(H$47&gt;=6,H$47&lt;=10),$G657*$G653/5,0)+IF(AND(H$47&gt;=7,H$47&lt;=11),$H657*$H653/5,0))*H655</f>
        <v>114.13472617855</v>
      </c>
      <c r="I665" s="29" t="n">
        <f aca="false">(IF($P$19=1,(SUMPRODUCT((Quesería!$C$70:$C$89=0)*(Quesería!$J$70:$J$89&gt;0)*(I$47&gt;=1)*(I$47&lt;=Quesería!$J$70:$J$89)*(Quesería!$H$70:$H$89&gt;0)*Quesería!$F$70:$F$89*(1+Quesería!$I$70:$I$89)/(Quesería!$J$70:$J$89+(Quesería!$J$70:$J$89=0)))+SUMPRODUCT((Quesería!$C$70:$C$89=0)*(Quesería!$J$70:$J$89=0)*(I$47=0)*(Quesería!$H$70:$H$89&gt;0)*Quesería!$F$70:$F$89*(1+Quesería!$I$70:$I$89)))*$B$653+((SUMPRODUCT((Quesería!$C$70:$C$89=1)*(Quesería!$J$70:$J$89&gt;0)*(I$47&gt;=2)*(I$47&lt;=Quesería!$J$70:$J$89+1)*(Quesería!$H$70:$H$89&gt;0)*Quesería!$F$70:$F$89*(1+Quesería!$I$70:$I$89)/(Quesería!$J$70:$J$89+(Quesería!$J$70:$J$89=0)))+SUMPRODUCT((Quesería!$C$70:$C$89=1)*(Quesería!$J$70:$J$89=0)*(I$47=1)*(Quesería!$H$70:$H$89&gt;0)*Quesería!$F$70:$F$89*(1+Quesería!$I$70:$I$89)))-(-$P$26)*IF(AND(I$47&gt;=2,I$47&lt;=Quesería!$J$86+1),Quesería!$D$86*(1+Quesería!$I$86)/Quesería!$J$86,0))*$C$653*$P$21,IF(AND(I$47&gt;=1,I$47&lt;=Quesería!$B$30),Quesería!$F$92/Quesería!$B$30,0)*$B$653+IF(AND(I$47&gt;=2,I$47&lt;=Quesería!$B$30+1),(Quesería!$F$93-(-$P$26)*Quesería!$D$86*(1+Quesería!$I$86))/Quesería!$B$30,0)*$C$653*$P$21)*$P$11+IF(AND(I$47&gt;=6,I$47&lt;=10),$G657*$G653/5,0)+IF(AND(I$47&gt;=7,I$47&lt;=11),$H657*$H653/5,0))*I655</f>
        <v>118.665920500713</v>
      </c>
      <c r="J665" s="29" t="n">
        <f aca="false">(IF($P$19=1,(SUMPRODUCT((Quesería!$C$70:$C$89=0)*(Quesería!$J$70:$J$89&gt;0)*(J$47&gt;=1)*(J$47&lt;=Quesería!$J$70:$J$89)*(Quesería!$H$70:$H$89&gt;0)*Quesería!$F$70:$F$89*(1+Quesería!$I$70:$I$89)/(Quesería!$J$70:$J$89+(Quesería!$J$70:$J$89=0)))+SUMPRODUCT((Quesería!$C$70:$C$89=0)*(Quesería!$J$70:$J$89=0)*(J$47=0)*(Quesería!$H$70:$H$89&gt;0)*Quesería!$F$70:$F$89*(1+Quesería!$I$70:$I$89)))*$B$653+((SUMPRODUCT((Quesería!$C$70:$C$89=1)*(Quesería!$J$70:$J$89&gt;0)*(J$47&gt;=2)*(J$47&lt;=Quesería!$J$70:$J$89+1)*(Quesería!$H$70:$H$89&gt;0)*Quesería!$F$70:$F$89*(1+Quesería!$I$70:$I$89)/(Quesería!$J$70:$J$89+(Quesería!$J$70:$J$89=0)))+SUMPRODUCT((Quesería!$C$70:$C$89=1)*(Quesería!$J$70:$J$89=0)*(J$47=1)*(Quesería!$H$70:$H$89&gt;0)*Quesería!$F$70:$F$89*(1+Quesería!$I$70:$I$89)))-(-$P$26)*IF(AND(J$47&gt;=2,J$47&lt;=Quesería!$J$86+1),Quesería!$D$86*(1+Quesería!$I$86)/Quesería!$J$86,0))*$C$653*$P$21,IF(AND(J$47&gt;=1,J$47&lt;=Quesería!$B$30),Quesería!$F$92/Quesería!$B$30,0)*$B$653+IF(AND(J$47&gt;=2,J$47&lt;=Quesería!$B$30+1),(Quesería!$F$93-(-$P$26)*Quesería!$D$86*(1+Quesería!$I$86))/Quesería!$B$30,0)*$C$653*$P$21)*$P$11+IF(AND(J$47&gt;=6,J$47&lt;=10),$G657*$G653/5,0)+IF(AND(J$47&gt;=7,J$47&lt;=11),$H657*$H653/5,0))*J655</f>
        <v>114.101846635301</v>
      </c>
      <c r="K665" s="29" t="n">
        <f aca="false">(IF($P$19=1,(SUMPRODUCT((Quesería!$C$70:$C$89=0)*(Quesería!$J$70:$J$89&gt;0)*(K$47&gt;=1)*(K$47&lt;=Quesería!$J$70:$J$89)*(Quesería!$H$70:$H$89&gt;0)*Quesería!$F$70:$F$89*(1+Quesería!$I$70:$I$89)/(Quesería!$J$70:$J$89+(Quesería!$J$70:$J$89=0)))+SUMPRODUCT((Quesería!$C$70:$C$89=0)*(Quesería!$J$70:$J$89=0)*(K$47=0)*(Quesería!$H$70:$H$89&gt;0)*Quesería!$F$70:$F$89*(1+Quesería!$I$70:$I$89)))*$B$653+((SUMPRODUCT((Quesería!$C$70:$C$89=1)*(Quesería!$J$70:$J$89&gt;0)*(K$47&gt;=2)*(K$47&lt;=Quesería!$J$70:$J$89+1)*(Quesería!$H$70:$H$89&gt;0)*Quesería!$F$70:$F$89*(1+Quesería!$I$70:$I$89)/(Quesería!$J$70:$J$89+(Quesería!$J$70:$J$89=0)))+SUMPRODUCT((Quesería!$C$70:$C$89=1)*(Quesería!$J$70:$J$89=0)*(K$47=1)*(Quesería!$H$70:$H$89&gt;0)*Quesería!$F$70:$F$89*(1+Quesería!$I$70:$I$89)))-(-$P$26)*IF(AND(K$47&gt;=2,K$47&lt;=Quesería!$J$86+1),Quesería!$D$86*(1+Quesería!$I$86)/Quesería!$J$86,0))*$C$653*$P$21,IF(AND(K$47&gt;=1,K$47&lt;=Quesería!$B$30),Quesería!$F$92/Quesería!$B$30,0)*$B$653+IF(AND(K$47&gt;=2,K$47&lt;=Quesería!$B$30+1),(Quesería!$F$93-(-$P$26)*Quesería!$D$86*(1+Quesería!$I$86))/Quesería!$B$30,0)*$C$653*$P$21)*$P$11+IF(AND(K$47&gt;=6,K$47&lt;=10),$G657*$G653/5,0)+IF(AND(K$47&gt;=7,K$47&lt;=11),$H657*$H653/5,0))*K655</f>
        <v>109.713314072405</v>
      </c>
      <c r="L665" s="29" t="n">
        <f aca="false">(IF($P$19=1,(SUMPRODUCT((Quesería!$C$70:$C$89=0)*(Quesería!$J$70:$J$89&gt;0)*(L$47&gt;=1)*(L$47&lt;=Quesería!$J$70:$J$89)*(Quesería!$H$70:$H$89&gt;0)*Quesería!$F$70:$F$89*(1+Quesería!$I$70:$I$89)/(Quesería!$J$70:$J$89+(Quesería!$J$70:$J$89=0)))+SUMPRODUCT((Quesería!$C$70:$C$89=0)*(Quesería!$J$70:$J$89=0)*(L$47=0)*(Quesería!$H$70:$H$89&gt;0)*Quesería!$F$70:$F$89*(1+Quesería!$I$70:$I$89)))*$B$653+((SUMPRODUCT((Quesería!$C$70:$C$89=1)*(Quesería!$J$70:$J$89&gt;0)*(L$47&gt;=2)*(L$47&lt;=Quesería!$J$70:$J$89+1)*(Quesería!$H$70:$H$89&gt;0)*Quesería!$F$70:$F$89*(1+Quesería!$I$70:$I$89)/(Quesería!$J$70:$J$89+(Quesería!$J$70:$J$89=0)))+SUMPRODUCT((Quesería!$C$70:$C$89=1)*(Quesería!$J$70:$J$89=0)*(L$47=1)*(Quesería!$H$70:$H$89&gt;0)*Quesería!$F$70:$F$89*(1+Quesería!$I$70:$I$89)))-(-$P$26)*IF(AND(L$47&gt;=2,L$47&lt;=Quesería!$J$86+1),Quesería!$D$86*(1+Quesería!$I$86)/Quesería!$J$86,0))*$C$653*$P$21,IF(AND(L$47&gt;=1,L$47&lt;=Quesería!$B$30),Quesería!$F$92/Quesería!$B$30,0)*$B$653+IF(AND(L$47&gt;=2,L$47&lt;=Quesería!$B$30+1),(Quesería!$F$93-(-$P$26)*Quesería!$D$86*(1+Quesería!$I$86))/Quesería!$B$30,0)*$C$653*$P$21)*$P$11+IF(AND(L$47&gt;=6,L$47&lt;=10),$G657*$G653/5,0)+IF(AND(L$47&gt;=7,L$47&lt;=11),$H657*$H653/5,0))*L655</f>
        <v>105.493571223466</v>
      </c>
    </row>
    <row r="666" customFormat="false" ht="15" hidden="true" customHeight="false" outlineLevel="1" collapsed="false">
      <c r="A666" s="9" t="s">
        <v>417</v>
      </c>
      <c r="B666" s="58" t="n">
        <f aca="false">IF(B$47=1,MIN($P$7*$P$26*Quesería!$B$56*Quesería!$D$86*$P$11*$P$21,Quesería!$B$57*Quesería!$B$58),0)</f>
        <v>0</v>
      </c>
      <c r="C666" s="58" t="n">
        <f aca="false">IF(C$47=1,MIN($P$7*$P$26*Quesería!$B$56*Quesería!$D$86*$P$11*$P$21,Quesería!$B$57*Quesería!$B$58),0)</f>
        <v>0</v>
      </c>
      <c r="D666" s="58" t="n">
        <f aca="false">IF(D$47=1,MIN($P$7*$P$26*Quesería!$B$56*Quesería!$D$86*$P$11*$P$21,Quesería!$B$57*Quesería!$B$58),0)</f>
        <v>0</v>
      </c>
      <c r="E666" s="58" t="n">
        <f aca="false">IF(E$47=1,MIN($P$7*$P$26*Quesería!$B$56*Quesería!$D$86*$P$11*$P$21,Quesería!$B$57*Quesería!$B$58),0)</f>
        <v>0</v>
      </c>
      <c r="F666" s="58" t="n">
        <f aca="false">IF(F$47=1,MIN($P$7*$P$26*Quesería!$B$56*Quesería!$D$86*$P$11*$P$21,Quesería!$B$57*Quesería!$B$58),0)</f>
        <v>0</v>
      </c>
      <c r="G666" s="58" t="n">
        <f aca="false">IF(G$47=1,MIN($P$7*$P$26*Quesería!$B$56*Quesería!$D$86*$P$11*$P$21,Quesería!$B$57*Quesería!$B$58),0)</f>
        <v>0</v>
      </c>
      <c r="H666" s="58" t="n">
        <f aca="false">IF(H$47=1,MIN($P$7*$P$26*Quesería!$B$56*Quesería!$D$86*$P$11*$P$21,Quesería!$B$57*Quesería!$B$58),0)</f>
        <v>0</v>
      </c>
      <c r="I666" s="58" t="n">
        <f aca="false">IF(I$47=1,MIN($P$7*$P$26*Quesería!$B$56*Quesería!$D$86*$P$11*$P$21,Quesería!$B$57*Quesería!$B$58),0)</f>
        <v>0</v>
      </c>
      <c r="J666" s="58" t="n">
        <f aca="false">IF(J$47=1,MIN($P$7*$P$26*Quesería!$B$56*Quesería!$D$86*$P$11*$P$21,Quesería!$B$57*Quesería!$B$58),0)</f>
        <v>0</v>
      </c>
      <c r="K666" s="58" t="n">
        <f aca="false">IF(K$47=1,MIN($P$7*$P$26*Quesería!$B$56*Quesería!$D$86*$P$11*$P$21,Quesería!$B$57*Quesería!$B$58),0)</f>
        <v>0</v>
      </c>
      <c r="L666" s="58" t="n">
        <f aca="false">IF(L$47=1,MIN($P$7*$P$26*Quesería!$B$56*Quesería!$D$86*$P$11*$P$21,Quesería!$B$57*Quesería!$B$58),0)</f>
        <v>0</v>
      </c>
    </row>
    <row r="667" customFormat="false" ht="15" hidden="true" customHeight="false" outlineLevel="1" collapsed="false">
      <c r="A667" s="9" t="s">
        <v>418</v>
      </c>
      <c r="B667" s="58" t="n">
        <v>0</v>
      </c>
      <c r="C667" s="58" t="n">
        <f aca="false">$P$20*Quesería!$B$60*Quesería!$F$98*$P$11*$B$653/C653/2</f>
        <v>138.12868344741</v>
      </c>
      <c r="D667" s="58" t="n">
        <f aca="false">$P$20*Quesería!$B$60*Quesería!$F$98*$P$11*$B$653/D653/2</f>
        <v>132.18055832288</v>
      </c>
      <c r="E667" s="58" t="n">
        <v>0</v>
      </c>
      <c r="F667" s="58" t="n">
        <v>0</v>
      </c>
      <c r="G667" s="58" t="n">
        <v>0</v>
      </c>
      <c r="H667" s="58" t="n">
        <v>0</v>
      </c>
      <c r="I667" s="58" t="n">
        <v>0</v>
      </c>
      <c r="J667" s="58" t="n">
        <v>0</v>
      </c>
      <c r="K667" s="58" t="n">
        <v>0</v>
      </c>
      <c r="L667" s="58" t="n">
        <v>0</v>
      </c>
    </row>
    <row r="668" customFormat="false" ht="15" hidden="true" customHeight="false" outlineLevel="1" collapsed="false">
      <c r="A668" s="9" t="s">
        <v>419</v>
      </c>
      <c r="B668" s="58" t="n">
        <f aca="false">0</f>
        <v>0</v>
      </c>
      <c r="C668" s="58" t="n">
        <f aca="false">B658*B653/C653</f>
        <v>142.014925295407</v>
      </c>
      <c r="D668" s="58" t="n">
        <f aca="false">C658*C653/D653</f>
        <v>119.721648486272</v>
      </c>
      <c r="E668" s="58" t="n">
        <f aca="false">D658*D653/E653</f>
        <v>0</v>
      </c>
      <c r="F668" s="58" t="n">
        <f aca="false">E658*E653/F653</f>
        <v>0</v>
      </c>
      <c r="G668" s="58" t="n">
        <f aca="false">F658*F653/G653</f>
        <v>0</v>
      </c>
      <c r="H668" s="58" t="n">
        <f aca="false">G658*G653/H653</f>
        <v>5.01768392412113</v>
      </c>
      <c r="I668" s="58" t="n">
        <f aca="false">H658*H653/I653</f>
        <v>8.47494190873221</v>
      </c>
      <c r="J668" s="58" t="n">
        <f aca="false">I658*I653/J653</f>
        <v>0</v>
      </c>
      <c r="K668" s="58" t="n">
        <f aca="false">J658*J653/K653</f>
        <v>0</v>
      </c>
      <c r="L668" s="58" t="n">
        <f aca="false">K658*K653/L653</f>
        <v>0</v>
      </c>
    </row>
    <row r="669" customFormat="false" ht="15" hidden="true" customHeight="false" outlineLevel="1" collapsed="false">
      <c r="A669" s="6" t="s">
        <v>295</v>
      </c>
      <c r="B669" s="29" t="n">
        <f aca="false">$P$17*(B661-B662-B663-0.5*B664-B665)-B666-B667-B668</f>
        <v>-9.59839124703308</v>
      </c>
      <c r="C669" s="29" t="n">
        <f aca="false">$P$17*(C661-C662-C663-0.5*C664-C665)-C666-C667-C668</f>
        <v>-267.321623138294</v>
      </c>
      <c r="D669" s="29" t="n">
        <f aca="false">$P$17*(D661-D662-D663-0.5*D664-D665)-D666-D667-D668</f>
        <v>-153.329701568682</v>
      </c>
      <c r="E669" s="29" t="n">
        <f aca="false">$P$17*(E661-E662-E663-0.5*E664-E665)-E666-E667-E668</f>
        <v>125.409072156109</v>
      </c>
      <c r="F669" s="29" t="n">
        <f aca="false">$P$17*(F661-F662-F663-0.5*F664-F665)-F666-F667-F668</f>
        <v>127.353344654402</v>
      </c>
      <c r="G669" s="29" t="n">
        <f aca="false">$P$17*(G661-G662-G663-0.5*G664-G665)-G666-G667-G668</f>
        <v>129.204727517186</v>
      </c>
      <c r="H669" s="29" t="n">
        <f aca="false">$P$17*(H661-H662-H663-0.5*H664-H665)-H666-H667-H668</f>
        <v>128.434764370944</v>
      </c>
      <c r="I669" s="29" t="n">
        <f aca="false">$P$17*(I661-I662-I663-0.5*I664-I665)-I666-I667-I668</f>
        <v>123.541604628506</v>
      </c>
      <c r="J669" s="29" t="n">
        <f aca="false">$P$17*(J661-J662-J663-0.5*J664-J665)-J666-J667-J668</f>
        <v>133.725903348796</v>
      </c>
      <c r="K669" s="29" t="n">
        <f aca="false">$P$17*(K661-K662-K663-0.5*K664-K665)-K666-K667-K668</f>
        <v>135.374380359267</v>
      </c>
      <c r="L669" s="29" t="n">
        <f aca="false">$P$17*(L661-L662-L663-0.5*L664-L665)-L666-L667-L668</f>
        <v>136.96434342292</v>
      </c>
    </row>
    <row r="670" customFormat="false" ht="15" hidden="true" customHeight="false" outlineLevel="1" collapsed="false">
      <c r="A670" s="9" t="s">
        <v>420</v>
      </c>
      <c r="B670" s="58" t="n">
        <f aca="false">(IF(B$47&gt;=1,Quesería!$G$124*IF(B$47=1,Quesería!$B$20,1),Quesería!$G$124*Quesería!$B$20*Quesería!$B$21/12*$P$23)+IF(B$47&gt;=2,(Quesería!$G$125-(1-$P$24)*Quesería!$G$117-(-$P$26*$P$27)*'Beneficios y costos'!$D$167)*$P$21*IF(B$47=2,Quesería!$B$20,1),0))*$P$10</f>
        <v>77.4042870161869</v>
      </c>
      <c r="C670" s="58" t="n">
        <f aca="false">(IF(C$47&gt;=1,Quesería!$G$124*IF(C$47=1,Quesería!$B$20,1),Quesería!$G$124*Quesería!$B$20*Quesería!$B$21/12*$P$23)+IF(C$47&gt;=2,(Quesería!$G$125-(1-$P$24)*Quesería!$G$117-(-$P$26*$P$27)*'Beneficios y costos'!$D$167)*$P$21*IF(C$47=2,Quesería!$B$20,1),0))*$P$10</f>
        <v>116.10643052428</v>
      </c>
      <c r="D670" s="58" t="n">
        <f aca="false">(IF(D$47&gt;=1,Quesería!$G$124*IF(D$47=1,Quesería!$B$20,1),Quesería!$G$124*Quesería!$B$20*Quesería!$B$21/12*$P$23)+IF(D$47&gt;=2,(Quesería!$G$125-(1-$P$24)*Quesería!$G$117-(-$P$26*$P$27)*'Beneficios y costos'!$D$167)*$P$21*IF(D$47=2,Quesería!$B$20,1),0))*$P$10</f>
        <v>2023.78917421887</v>
      </c>
      <c r="E670" s="58" t="n">
        <f aca="false">(IF(E$47&gt;=1,Quesería!$G$124*IF(E$47=1,Quesería!$B$20,1),Quesería!$G$124*Quesería!$B$20*Quesería!$B$21/12*$P$23)+IF(E$47&gt;=2,(Quesería!$G$125-(1-$P$24)*Quesería!$G$117-(-$P$26*$P$27)*'Beneficios y costos'!$D$167)*$P$21*IF(E$47=2,Quesería!$B$20,1),0))*$P$10</f>
        <v>2646.78270761437</v>
      </c>
      <c r="F670" s="58" t="n">
        <f aca="false">(IF(F$47&gt;=1,Quesería!$G$124*IF(F$47=1,Quesería!$B$20,1),Quesería!$G$124*Quesería!$B$20*Quesería!$B$21/12*$P$23)+IF(F$47&gt;=2,(Quesería!$G$125-(1-$P$24)*Quesería!$G$117-(-$P$26*$P$27)*'Beneficios y costos'!$D$167)*$P$21*IF(F$47=2,Quesería!$B$20,1),0))*$P$10</f>
        <v>2646.78270761437</v>
      </c>
      <c r="G670" s="58" t="n">
        <f aca="false">(IF(G$47&gt;=1,Quesería!$G$124*IF(G$47=1,Quesería!$B$20,1),Quesería!$G$124*Quesería!$B$20*Quesería!$B$21/12*$P$23)+IF(G$47&gt;=2,(Quesería!$G$125-(1-$P$24)*Quesería!$G$117-(-$P$26*$P$27)*'Beneficios y costos'!$D$167)*$P$21*IF(G$47=2,Quesería!$B$20,1),0))*$P$10</f>
        <v>2646.78270761437</v>
      </c>
      <c r="H670" s="58" t="n">
        <f aca="false">(IF(H$47&gt;=1,Quesería!$G$124*IF(H$47=1,Quesería!$B$20,1),Quesería!$G$124*Quesería!$B$20*Quesería!$B$21/12*$P$23)+IF(H$47&gt;=2,(Quesería!$G$125-(1-$P$24)*Quesería!$G$117-(-$P$26*$P$27)*'Beneficios y costos'!$D$167)*$P$21*IF(H$47=2,Quesería!$B$20,1),0))*$P$10</f>
        <v>2646.78270761437</v>
      </c>
      <c r="I670" s="58" t="n">
        <f aca="false">(IF(I$47&gt;=1,Quesería!$G$124*IF(I$47=1,Quesería!$B$20,1),Quesería!$G$124*Quesería!$B$20*Quesería!$B$21/12*$P$23)+IF(I$47&gt;=2,(Quesería!$G$125-(1-$P$24)*Quesería!$G$117-(-$P$26*$P$27)*'Beneficios y costos'!$D$167)*$P$21*IF(I$47=2,Quesería!$B$20,1),0))*$P$10</f>
        <v>2646.78270761437</v>
      </c>
      <c r="J670" s="58" t="n">
        <f aca="false">(IF(J$47&gt;=1,Quesería!$G$124*IF(J$47=1,Quesería!$B$20,1),Quesería!$G$124*Quesería!$B$20*Quesería!$B$21/12*$P$23)+IF(J$47&gt;=2,(Quesería!$G$125-(1-$P$24)*Quesería!$G$117-(-$P$26*$P$27)*'Beneficios y costos'!$D$167)*$P$21*IF(J$47=2,Quesería!$B$20,1),0))*$P$10</f>
        <v>2646.78270761437</v>
      </c>
      <c r="K670" s="58" t="n">
        <f aca="false">(IF(K$47&gt;=1,Quesería!$G$124*IF(K$47=1,Quesería!$B$20,1),Quesería!$G$124*Quesería!$B$20*Quesería!$B$21/12*$P$23)+IF(K$47&gt;=2,(Quesería!$G$125-(1-$P$24)*Quesería!$G$117-(-$P$26*$P$27)*'Beneficios y costos'!$D$167)*$P$21*IF(K$47=2,Quesería!$B$20,1),0))*$P$10</f>
        <v>2646.78270761437</v>
      </c>
      <c r="L670" s="58" t="n">
        <f aca="false">(IF(L$47&gt;=1,Quesería!$G$124*IF(L$47=1,Quesería!$B$20,1),Quesería!$G$124*Quesería!$B$20*Quesería!$B$21/12*$P$23)+IF(L$47&gt;=2,(Quesería!$G$125-(1-$P$24)*Quesería!$G$117-(-$P$26*$P$27)*'Beneficios y costos'!$D$167)*$P$21*IF(L$47=2,Quesería!$B$20,1),0))*$P$10</f>
        <v>2646.78270761437</v>
      </c>
    </row>
    <row r="671" customFormat="false" ht="15" hidden="true" customHeight="false" outlineLevel="1" collapsed="false">
      <c r="A671" s="6" t="s">
        <v>421</v>
      </c>
      <c r="B671" s="29" t="n">
        <f aca="false">(B670*(Quesería!$B$38+Quesería!$B$40*Quesería!$B$39)/365-B662*Quesería!$B$42/365+IF(B$47&gt;=2,($P$25*'Beneficios y costos'!$B$147+(1-$P$25)*'Beneficios y costos'!$B$148)*$P$24*$P$21*$P$10*IF(B$47=2,Quesería!$B$20,1),0))</f>
        <v>7.23146900616979</v>
      </c>
      <c r="C671" s="29" t="n">
        <f aca="false">(C670*(Quesería!$B$38+Quesería!$B$40*Quesería!$B$39)/365-C662*Quesería!$B$42/365+IF(C$47&gt;=2,($P$25*'Beneficios y costos'!$B$147+(1-$P$25)*'Beneficios y costos'!$B$148)*$P$24*$P$21*$P$10*IF(C$47=2,Quesería!$B$20,1),0))-(B670*(Quesería!$B$38+Quesería!$B$40*Quesería!$B$39)/365-B662*Quesería!$B$42/365+IF(B$47&gt;=2,($P$25*'Beneficios y costos'!$B$147+(1-$P$25)*'Beneficios y costos'!$B$148)*$P$24*$P$21*$P$10*IF(B$47=2,Quesería!$B$20,1),0))*B653/C653</f>
        <v>1.42287846600884</v>
      </c>
      <c r="D671" s="29" t="n">
        <f aca="false">(D670*(Quesería!$B$38+Quesería!$B$40*Quesería!$B$39)/365-D662*Quesería!$B$42/365+IF(D$47&gt;=2,($P$25*'Beneficios y costos'!$B$147+(1-$P$25)*'Beneficios y costos'!$B$148)*$P$24*$P$21*$P$10*IF(D$47=2,Quesería!$B$20,1),0))-(C670*(Quesería!$B$38+Quesería!$B$40*Quesería!$B$39)/365-C662*Quesería!$B$42/365+IF(C$47&gt;=2,($P$25*'Beneficios y costos'!$B$147+(1-$P$25)*'Beneficios y costos'!$B$148)*$P$24*$P$21*$P$10*IF(C$47=2,Quesería!$B$20,1),0))*C653/D653</f>
        <v>121.067969072345</v>
      </c>
      <c r="E671" s="29" t="n">
        <f aca="false">(E670*(Quesería!$B$38+Quesería!$B$40*Quesería!$B$39)/365-E662*Quesería!$B$42/365+IF(E$47&gt;=2,($P$25*'Beneficios y costos'!$B$147+(1-$P$25)*'Beneficios y costos'!$B$148)*$P$24*$P$21*$P$10*IF(E$47=2,Quesería!$B$20,1),0))-(D670*(Quesería!$B$38+Quesería!$B$40*Quesería!$B$39)/365-D662*Quesería!$B$42/365+IF(D$47&gt;=2,($P$25*'Beneficios y costos'!$B$147+(1-$P$25)*'Beneficios y costos'!$B$148)*$P$24*$P$21*$P$10*IF(D$47=2,Quesería!$B$20,1),0))*D653/E653</f>
        <v>44.6849531551876</v>
      </c>
      <c r="F671" s="29" t="n">
        <f aca="false">(F670*(Quesería!$B$38+Quesería!$B$40*Quesería!$B$39)/365-F662*Quesería!$B$42/365+IF(F$47&gt;=2,($P$25*'Beneficios y costos'!$B$147+(1-$P$25)*'Beneficios y costos'!$B$148)*$P$24*$P$21*$P$10*IF(F$47=2,Quesería!$B$20,1),0))-(E670*(Quesería!$B$38+Quesería!$B$40*Quesería!$B$39)/365-E662*Quesería!$B$42/365+IF(E$47&gt;=2,($P$25*'Beneficios y costos'!$B$147+(1-$P$25)*'Beneficios y costos'!$B$148)*$P$24*$P$21*$P$10*IF(E$47=2,Quesería!$B$20,1),0))*E653/F653</f>
        <v>6.49010597714096</v>
      </c>
      <c r="G671" s="29" t="n">
        <f aca="false">(G670*(Quesería!$B$38+Quesería!$B$40*Quesería!$B$39)/365-G662*Quesería!$B$42/365+IF(G$47&gt;=2,($P$25*'Beneficios y costos'!$B$147+(1-$P$25)*'Beneficios y costos'!$B$148)*$P$24*$P$21*$P$10*IF(G$47=2,Quesería!$B$20,1),0))-(F670*(Quesería!$B$38+Quesería!$B$40*Quesería!$B$39)/365-F662*Quesería!$B$42/365+IF(F$47&gt;=2,($P$25*'Beneficios y costos'!$B$147+(1-$P$25)*'Beneficios y costos'!$B$148)*$P$24*$P$21*$P$10*IF(F$47=2,Quesería!$B$20,1),0))*F653/G653</f>
        <v>6.49010597714096</v>
      </c>
      <c r="H671" s="29" t="n">
        <f aca="false">(H670*(Quesería!$B$38+Quesería!$B$40*Quesería!$B$39)/365-H662*Quesería!$B$42/365+IF(H$47&gt;=2,($P$25*'Beneficios y costos'!$B$147+(1-$P$25)*'Beneficios y costos'!$B$148)*$P$24*$P$21*$P$10*IF(H$47=2,Quesería!$B$20,1),0))-(G670*(Quesería!$B$38+Quesería!$B$40*Quesería!$B$39)/365-G662*Quesería!$B$42/365+IF(G$47&gt;=2,($P$25*'Beneficios y costos'!$B$147+(1-$P$25)*'Beneficios y costos'!$B$148)*$P$24*$P$21*$P$10*IF(G$47=2,Quesería!$B$20,1),0))*G653/H653</f>
        <v>6.49010597714096</v>
      </c>
      <c r="I671" s="29" t="n">
        <f aca="false">(I670*(Quesería!$B$38+Quesería!$B$40*Quesería!$B$39)/365-I662*Quesería!$B$42/365+IF(I$47&gt;=2,($P$25*'Beneficios y costos'!$B$147+(1-$P$25)*'Beneficios y costos'!$B$148)*$P$24*$P$21*$P$10*IF(I$47=2,Quesería!$B$20,1),0))-(H670*(Quesería!$B$38+Quesería!$B$40*Quesería!$B$39)/365-H662*Quesería!$B$42/365+IF(H$47&gt;=2,($P$25*'Beneficios y costos'!$B$147+(1-$P$25)*'Beneficios y costos'!$B$148)*$P$24*$P$21*$P$10*IF(H$47=2,Quesería!$B$20,1),0))*H653/I653</f>
        <v>6.49010597714096</v>
      </c>
      <c r="J671" s="29" t="n">
        <f aca="false">(J670*(Quesería!$B$38+Quesería!$B$40*Quesería!$B$39)/365-J662*Quesería!$B$42/365+IF(J$47&gt;=2,($P$25*'Beneficios y costos'!$B$147+(1-$P$25)*'Beneficios y costos'!$B$148)*$P$24*$P$21*$P$10*IF(J$47=2,Quesería!$B$20,1),0))-(I670*(Quesería!$B$38+Quesería!$B$40*Quesería!$B$39)/365-I662*Quesería!$B$42/365+IF(I$47&gt;=2,($P$25*'Beneficios y costos'!$B$147+(1-$P$25)*'Beneficios y costos'!$B$148)*$P$24*$P$21*$P$10*IF(I$47=2,Quesería!$B$20,1),0))*I653/J653</f>
        <v>6.49010597714096</v>
      </c>
      <c r="K671" s="29" t="n">
        <f aca="false">(K670*(Quesería!$B$38+Quesería!$B$40*Quesería!$B$39)/365-K662*Quesería!$B$42/365+IF(K$47&gt;=2,($P$25*'Beneficios y costos'!$B$147+(1-$P$25)*'Beneficios y costos'!$B$148)*$P$24*$P$21*$P$10*IF(K$47=2,Quesería!$B$20,1),0))-(J670*(Quesería!$B$38+Quesería!$B$40*Quesería!$B$39)/365-J662*Quesería!$B$42/365+IF(J$47&gt;=2,($P$25*'Beneficios y costos'!$B$147+(1-$P$25)*'Beneficios y costos'!$B$148)*$P$24*$P$21*$P$10*IF(J$47=2,Quesería!$B$20,1),0))*J653/K653</f>
        <v>6.49010597714099</v>
      </c>
      <c r="L671" s="29" t="n">
        <f aca="false">-(K670*(Quesería!$B$38+Quesería!$B$40*Quesería!$B$39)/365-K662*Quesería!$B$42/365+IF(K$47&gt;=2,($P$25*'Beneficios y costos'!$B$147+(1-$P$25)*'Beneficios y costos'!$B$148)*$P$24*$P$21*$P$10*IF(K$47=2,Quesería!$B$20,1),0))*K653/L653</f>
        <v>-162.252649428524</v>
      </c>
    </row>
    <row r="672" customFormat="false" ht="15" hidden="true" customHeight="false" outlineLevel="1" collapsed="false">
      <c r="A672" s="6" t="s">
        <v>422</v>
      </c>
      <c r="B672" s="29" t="n">
        <v>0</v>
      </c>
      <c r="C672" s="29" t="n">
        <v>0</v>
      </c>
      <c r="D672" s="29" t="n">
        <v>0</v>
      </c>
      <c r="E672" s="29" t="n">
        <v>0</v>
      </c>
      <c r="F672" s="29" t="n">
        <v>0</v>
      </c>
      <c r="G672" s="29" t="n">
        <v>0</v>
      </c>
      <c r="H672" s="29" t="n">
        <v>0</v>
      </c>
      <c r="I672" s="29" t="n">
        <v>0</v>
      </c>
      <c r="J672" s="29" t="n">
        <v>0</v>
      </c>
      <c r="K672" s="29" t="n">
        <v>0</v>
      </c>
      <c r="L672" s="29" t="n">
        <f aca="false">$P$8*Quesería!$B$36*(Quesería!$F$94+(Quesería!$F$95-(-$P$26)*Quesería!$D$86)*$P$21)*$P$11*(1-$P$17)</f>
        <v>61.9237725584542</v>
      </c>
    </row>
    <row r="673" customFormat="false" ht="15" hidden="true" customHeight="false" outlineLevel="1" collapsed="false">
      <c r="A673" s="5" t="s">
        <v>147</v>
      </c>
      <c r="B673" s="59" t="n">
        <f aca="false">B661-B662-B663-B664-B669-B656-B657-B658-B671+B672</f>
        <v>-961.151880133756</v>
      </c>
      <c r="C673" s="59" t="n">
        <f aca="false">C661-C662-C663-C664-C669-C656-C657-C658-C671+C672</f>
        <v>-400.470764092748</v>
      </c>
      <c r="D673" s="59" t="n">
        <f aca="false">D661-D662-D663-D664-D669-D656-D657-D658-D671+D672</f>
        <v>455.476749766547</v>
      </c>
      <c r="E673" s="59" t="n">
        <f aca="false">E661-E662-E663-E664-E669-E656-E657-E658-E671+E672</f>
        <v>324.345655856168</v>
      </c>
      <c r="F673" s="59" t="n">
        <f aca="false">F661-F662-F663-F664-F669-F656-F657-F658-F671+F672</f>
        <v>360.909716378299</v>
      </c>
      <c r="G673" s="59" t="n">
        <f aca="false">G661-G662-G663-G664-G669-G656-G657-G658-G671+G672</f>
        <v>326.559043802945</v>
      </c>
      <c r="H673" s="59" t="n">
        <f aca="false">H661-H662-H663-H664-H669-H656-H657-H658-H671+H672</f>
        <v>305.036070794073</v>
      </c>
      <c r="I673" s="59" t="n">
        <f aca="false">I661-I662-I663-I664-I669-I656-I657-I658-I671+I672</f>
        <v>365.671349894368</v>
      </c>
      <c r="J673" s="59" t="n">
        <f aca="false">J661-J662-J663-J664-J669-J656-J657-J658-J671+J672</f>
        <v>355.806853913118</v>
      </c>
      <c r="K673" s="59" t="n">
        <f aca="false">K661-K662-K663-K664-K669-K656-K657-K658-K671+K672</f>
        <v>354.479778655382</v>
      </c>
      <c r="L673" s="59" t="n">
        <f aca="false">L661-L662-L663-L664-L669-L656-L657-L658-L671+L672</f>
        <v>583.879352317347</v>
      </c>
    </row>
    <row r="674" customFormat="false" ht="15" hidden="true" customHeight="false" outlineLevel="1" collapsed="false">
      <c r="A674" s="9" t="s">
        <v>423</v>
      </c>
      <c r="B674" s="58" t="n">
        <f aca="false">B673*B653</f>
        <v>-1018.82099294178</v>
      </c>
      <c r="C674" s="58" t="n">
        <f aca="false">C673*C653</f>
        <v>-445.723960435228</v>
      </c>
      <c r="D674" s="58" t="n">
        <f aca="false">D673*D653</f>
        <v>529.758175502224</v>
      </c>
      <c r="E674" s="58" t="n">
        <f aca="false">E673*E653</f>
        <v>392.33122982713</v>
      </c>
      <c r="F674" s="58" t="n">
        <f aca="false">F673*F653</f>
        <v>454.02180155572</v>
      </c>
      <c r="G674" s="58" t="n">
        <f aca="false">G673*G653</f>
        <v>427.241261178379</v>
      </c>
      <c r="H674" s="58" t="n">
        <f aca="false">H673*H653</f>
        <v>415.045787237122</v>
      </c>
      <c r="I674" s="58" t="n">
        <f aca="false">I673*I653</f>
        <v>517.450828053071</v>
      </c>
      <c r="J674" s="58" t="n">
        <f aca="false">J673*J653</f>
        <v>523.631543152027</v>
      </c>
      <c r="K674" s="58" t="n">
        <f aca="false">K673*K653</f>
        <v>542.545662431743</v>
      </c>
      <c r="L674" s="58" t="n">
        <f aca="false">L673*L653</f>
        <v>929.39704383772</v>
      </c>
    </row>
    <row r="675" customFormat="false" ht="15" hidden="true" customHeight="false" outlineLevel="1" collapsed="false">
      <c r="A675" s="6" t="s">
        <v>424</v>
      </c>
      <c r="B675" s="29" t="n">
        <f aca="false">B673</f>
        <v>-961.151880133756</v>
      </c>
      <c r="C675" s="29" t="n">
        <f aca="false">B675+C673</f>
        <v>-1361.6226442265</v>
      </c>
      <c r="D675" s="29" t="n">
        <f aca="false">C675+D673</f>
        <v>-906.145894459956</v>
      </c>
      <c r="E675" s="29" t="n">
        <f aca="false">D675+E673</f>
        <v>-581.800238603788</v>
      </c>
      <c r="F675" s="29" t="n">
        <f aca="false">E675+F673</f>
        <v>-220.89052222549</v>
      </c>
      <c r="G675" s="29" t="n">
        <f aca="false">F675+G673</f>
        <v>105.668521577455</v>
      </c>
      <c r="H675" s="29" t="n">
        <f aca="false">G675+H673</f>
        <v>410.704592371528</v>
      </c>
      <c r="I675" s="29" t="n">
        <f aca="false">H675+I673</f>
        <v>776.375942265896</v>
      </c>
      <c r="J675" s="29" t="n">
        <f aca="false">I675+J673</f>
        <v>1132.18279617901</v>
      </c>
      <c r="K675" s="29" t="n">
        <f aca="false">J675+K673</f>
        <v>1486.6625748344</v>
      </c>
      <c r="L675" s="29" t="n">
        <f aca="false">K675+L673</f>
        <v>2070.54192715174</v>
      </c>
    </row>
    <row r="676" customFormat="false" ht="15" hidden="true" customHeight="false" outlineLevel="1" collapsed="false">
      <c r="A676" s="9" t="s">
        <v>425</v>
      </c>
      <c r="B676" s="60" t="n">
        <v>0</v>
      </c>
      <c r="C676" s="60" t="n">
        <f aca="false">IF(AND(B675&lt;0,C675&gt;=0),B$47+(-B675)/C673,0)</f>
        <v>0</v>
      </c>
      <c r="D676" s="60" t="n">
        <f aca="false">IF(AND(C675&lt;0,D675&gt;=0),C$47+(-C675)/D673,0)</f>
        <v>0</v>
      </c>
      <c r="E676" s="60" t="n">
        <f aca="false">IF(AND(D675&lt;0,E675&gt;=0),D$47+(-D675)/E673,0)</f>
        <v>0</v>
      </c>
      <c r="F676" s="60" t="n">
        <f aca="false">IF(AND(E675&lt;0,F675&gt;=0),E$47+(-E675)/F673,0)</f>
        <v>0</v>
      </c>
      <c r="G676" s="60" t="n">
        <f aca="false">IF(AND(F675&lt;0,G675&gt;=0),F$47+(-F675)/G673,0)</f>
        <v>4.67641832745805</v>
      </c>
      <c r="H676" s="60" t="n">
        <f aca="false">IF(AND(G675&lt;0,H675&gt;=0),G$47+(-G675)/H673,0)</f>
        <v>0</v>
      </c>
      <c r="I676" s="60" t="n">
        <f aca="false">IF(AND(H675&lt;0,I675&gt;=0),H$47+(-H675)/I673,0)</f>
        <v>0</v>
      </c>
      <c r="J676" s="60" t="n">
        <f aca="false">IF(AND(I675&lt;0,J675&gt;=0),I$47+(-I675)/J673,0)</f>
        <v>0</v>
      </c>
      <c r="K676" s="60" t="n">
        <f aca="false">IF(AND(J675&lt;0,K675&gt;=0),J$47+(-J675)/K673,0)</f>
        <v>0</v>
      </c>
      <c r="L676" s="60" t="n">
        <f aca="false">IF(AND(K675&lt;0,L675&gt;=0),K$47+(-K675)/L673,0)</f>
        <v>0</v>
      </c>
    </row>
    <row r="677" customFormat="false" ht="15" hidden="true" customHeight="false" outlineLevel="1" collapsed="false">
      <c r="A677" s="9" t="s">
        <v>426</v>
      </c>
      <c r="B677" s="57" t="n">
        <f aca="false">(B653/$B$653)/(1+$P$29)^B$47</f>
        <v>1</v>
      </c>
      <c r="C677" s="57" t="n">
        <f aca="false">(C653/$B$653)/(1+$P$29)^C$47</f>
        <v>0.915373701313561</v>
      </c>
      <c r="D677" s="57" t="n">
        <f aca="false">(D653/$B$653)/(1+$P$29)^D$47</f>
        <v>0.833918970137172</v>
      </c>
      <c r="E677" s="57" t="n">
        <f aca="false">(E653/$B$653)/(1+$P$29)^E$47</f>
        <v>0.756077518153961</v>
      </c>
      <c r="F677" s="57" t="n">
        <f aca="false">(F653/$B$653)/(1+$P$29)^F$47</f>
        <v>0.685502109831871</v>
      </c>
      <c r="G677" s="57" t="n">
        <f aca="false">(G653/$B$653)/(1+$P$29)^G$47</f>
        <v>0.621514502549008</v>
      </c>
      <c r="H677" s="57" t="n">
        <f aca="false">(H653/$B$653)/(1+$P$29)^H$47</f>
        <v>0.563499763660072</v>
      </c>
      <c r="I677" s="57" t="n">
        <f aca="false">(I653/$B$653)/(1+$P$29)^I$47</f>
        <v>0.510900360880829</v>
      </c>
      <c r="J677" s="57" t="n">
        <f aca="false">(J653/$B$653)/(1+$P$29)^J$47</f>
        <v>0.463210804300567</v>
      </c>
      <c r="K677" s="57" t="n">
        <f aca="false">(K653/$B$653)/(1+$P$29)^K$47</f>
        <v>0.419972788531318</v>
      </c>
      <c r="L677" s="57" t="n">
        <f aca="false">(L653/$B$653)/(1+$P$29)^L$47</f>
        <v>0.380770788308996</v>
      </c>
    </row>
    <row r="678" customFormat="false" ht="15" hidden="true" customHeight="false" outlineLevel="1" collapsed="false">
      <c r="A678" s="9" t="s">
        <v>427</v>
      </c>
      <c r="B678" s="58" t="n">
        <f aca="false">B673*B677</f>
        <v>-961.151880133756</v>
      </c>
      <c r="C678" s="58" t="n">
        <f aca="false">C673*C677</f>
        <v>-366.580405595448</v>
      </c>
      <c r="D678" s="58" t="n">
        <f aca="false">D673*D677</f>
        <v>379.830702086745</v>
      </c>
      <c r="E678" s="58" t="n">
        <f aca="false">E673*E677</f>
        <v>245.23045850375</v>
      </c>
      <c r="F678" s="58" t="n">
        <f aca="false">F673*F677</f>
        <v>247.404372036146</v>
      </c>
      <c r="G678" s="58" t="n">
        <f aca="false">G673*G677</f>
        <v>202.961181662067</v>
      </c>
      <c r="H678" s="58" t="n">
        <f aca="false">H673*H677</f>
        <v>171.887753800257</v>
      </c>
      <c r="I678" s="58" t="n">
        <f aca="false">I673*I677</f>
        <v>186.821624624813</v>
      </c>
      <c r="J678" s="58" t="n">
        <f aca="false">J673*J677</f>
        <v>164.81357897675</v>
      </c>
      <c r="K678" s="58" t="n">
        <f aca="false">K673*K677</f>
        <v>148.871861119865</v>
      </c>
      <c r="L678" s="58" t="n">
        <f aca="false">L673*L677</f>
        <v>222.324201259222</v>
      </c>
    </row>
    <row r="679" customFormat="false" ht="15" hidden="true" customHeight="false" outlineLevel="1" collapsed="false">
      <c r="A679" s="9" t="s">
        <v>428</v>
      </c>
      <c r="B679" s="58" t="n">
        <f aca="false">B678</f>
        <v>-961.151880133756</v>
      </c>
      <c r="C679" s="58" t="n">
        <f aca="false">B679+C678</f>
        <v>-1327.7322857292</v>
      </c>
      <c r="D679" s="58" t="n">
        <f aca="false">C679+D678</f>
        <v>-947.901583642459</v>
      </c>
      <c r="E679" s="58" t="n">
        <f aca="false">D679+E678</f>
        <v>-702.671125138709</v>
      </c>
      <c r="F679" s="58" t="n">
        <f aca="false">E679+F678</f>
        <v>-455.266753102562</v>
      </c>
      <c r="G679" s="58" t="n">
        <f aca="false">F679+G678</f>
        <v>-252.305571440495</v>
      </c>
      <c r="H679" s="58" t="n">
        <f aca="false">G679+H678</f>
        <v>-80.4178176402384</v>
      </c>
      <c r="I679" s="58" t="n">
        <f aca="false">H679+I678</f>
        <v>106.403806984574</v>
      </c>
      <c r="J679" s="58" t="n">
        <f aca="false">I679+J678</f>
        <v>271.217385961324</v>
      </c>
      <c r="K679" s="58" t="n">
        <f aca="false">J679+K678</f>
        <v>420.089247081189</v>
      </c>
      <c r="L679" s="58" t="n">
        <f aca="false">K679+L678</f>
        <v>642.413448340411</v>
      </c>
    </row>
    <row r="680" customFormat="false" ht="15" hidden="true" customHeight="false" outlineLevel="1" collapsed="false">
      <c r="A680" s="9" t="s">
        <v>429</v>
      </c>
      <c r="B680" s="60" t="n">
        <v>0</v>
      </c>
      <c r="C680" s="60" t="n">
        <f aca="false">IF(AND(B679&lt;0,C679&gt;=0),B$47+(-B679)/C678,0)</f>
        <v>0</v>
      </c>
      <c r="D680" s="60" t="n">
        <f aca="false">IF(AND(C679&lt;0,D679&gt;=0),C$47+(-C679)/D678,0)</f>
        <v>0</v>
      </c>
      <c r="E680" s="60" t="n">
        <f aca="false">IF(AND(D679&lt;0,E679&gt;=0),D$47+(-D679)/E678,0)</f>
        <v>0</v>
      </c>
      <c r="F680" s="60" t="n">
        <f aca="false">IF(AND(E679&lt;0,F679&gt;=0),E$47+(-E679)/F678,0)</f>
        <v>0</v>
      </c>
      <c r="G680" s="60" t="n">
        <f aca="false">IF(AND(F679&lt;0,G679&gt;=0),F$47+(-F679)/G678,0)</f>
        <v>0</v>
      </c>
      <c r="H680" s="60" t="n">
        <f aca="false">IF(AND(G679&lt;0,H679&gt;=0),G$47+(-G679)/H678,0)</f>
        <v>0</v>
      </c>
      <c r="I680" s="60" t="n">
        <f aca="false">IF(AND(H679&lt;0,I679&gt;=0),H$47+(-H679)/I678,0)</f>
        <v>6.43045240507751</v>
      </c>
      <c r="J680" s="60" t="n">
        <f aca="false">IF(AND(I679&lt;0,J679&gt;=0),I$47+(-I679)/J678,0)</f>
        <v>0</v>
      </c>
      <c r="K680" s="60" t="n">
        <f aca="false">IF(AND(J679&lt;0,K679&gt;=0),J$47+(-J679)/K678,0)</f>
        <v>0</v>
      </c>
      <c r="L680" s="60" t="n">
        <f aca="false">IF(AND(K679&lt;0,L679&gt;=0),K$47+(-K679)/L678,0)</f>
        <v>0</v>
      </c>
    </row>
    <row r="681" customFormat="false" ht="15" hidden="true" customHeight="false" outlineLevel="1" collapsed="false">
      <c r="A681" s="9" t="s">
        <v>430</v>
      </c>
      <c r="B681" s="58" t="n">
        <f aca="false">IF(B$47&lt;0,0,(Quesería!$B$44*$B$656*$B$653)*(1-MAX(0,MIN(B$47-0-Quesería!$B$47,(Quesería!$B$46-Quesería!$B$47)))/(Quesería!$B$46-Quesería!$B$47))*IF(B$47&gt;=2,1-Quesería!$B$48,1))+IF(B$47&lt;1,0,(Quesería!$B$44*$C$656*$C$653)*(1-MAX(0,MIN(B$47-1-Quesería!$B$47,(Quesería!$B$46-Quesería!$B$47)))/(Quesería!$B$46-Quesería!$B$47))*IF(B$47&gt;=2,1-Quesería!$B$48,1))</f>
        <v>641.321364968425</v>
      </c>
      <c r="C681" s="58" t="n">
        <f aca="false">IF(C$47&lt;0,0,(Quesería!$B$44*$B$656*$B$653)*(1-MAX(0,MIN(C$47-0-Quesería!$B$47,(Quesería!$B$46-Quesería!$B$47)))/(Quesería!$B$46-Quesería!$B$47))*IF(C$47&gt;=2,1-Quesería!$B$48,1))+IF(C$47&lt;1,0,(Quesería!$B$44*$C$656*$C$653)*(1-MAX(0,MIN(C$47-1-Quesería!$B$47,(Quesería!$B$46-Quesería!$B$47)))/(Quesería!$B$46-Quesería!$B$47))*IF(C$47&gt;=2,1-Quesería!$B$48,1))</f>
        <v>1117.69081125409</v>
      </c>
      <c r="D681" s="58" t="n">
        <f aca="false">IF(D$47&lt;0,0,(Quesería!$B$44*$B$656*$B$653)*(1-MAX(0,MIN(D$47-0-Quesería!$B$47,(Quesería!$B$46-Quesería!$B$47)))/(Quesería!$B$46-Quesería!$B$47))*IF(D$47&gt;=2,1-Quesería!$B$48,1))+IF(D$47&lt;1,0,(Quesería!$B$44*$C$656*$C$653)*(1-MAX(0,MIN(D$47-1-Quesería!$B$47,(Quesería!$B$46-Quesería!$B$47)))/(Quesería!$B$46-Quesería!$B$47))*IF(D$47&gt;=2,1-Quesería!$B$48,1))</f>
        <v>1010.80391709269</v>
      </c>
      <c r="E681" s="58" t="n">
        <f aca="false">IF(E$47&lt;0,0,(Quesería!$B$44*$B$656*$B$653)*(1-MAX(0,MIN(E$47-0-Quesería!$B$47,(Quesería!$B$46-Quesería!$B$47)))/(Quesería!$B$46-Quesería!$B$47))*IF(E$47&gt;=2,1-Quesería!$B$48,1))+IF(E$47&lt;1,0,(Quesería!$B$44*$C$656*$C$653)*(1-MAX(0,MIN(E$47-1-Quesería!$B$47,(Quesería!$B$46-Quesería!$B$47)))/(Quesería!$B$46-Quesería!$B$47))*IF(E$47&gt;=2,1-Quesería!$B$48,1))</f>
        <v>824.522115217005</v>
      </c>
      <c r="F681" s="58" t="n">
        <f aca="false">IF(F$47&lt;0,0,(Quesería!$B$44*$B$656*$B$653)*(1-MAX(0,MIN(F$47-0-Quesería!$B$47,(Quesería!$B$46-Quesería!$B$47)))/(Quesería!$B$46-Quesería!$B$47))*IF(F$47&gt;=2,1-Quesería!$B$48,1))+IF(F$47&lt;1,0,(Quesería!$B$44*$C$656*$C$653)*(1-MAX(0,MIN(F$47-1-Quesería!$B$47,(Quesería!$B$46-Quesería!$B$47)))/(Quesería!$B$46-Quesería!$B$47))*IF(F$47&gt;=2,1-Quesería!$B$48,1))</f>
        <v>638.240313341323</v>
      </c>
      <c r="G681" s="58" t="n">
        <f aca="false">IF(G$47&lt;0,0,(Quesería!$B$44*$B$656*$B$653)*(1-MAX(0,MIN(G$47-0-Quesería!$B$47,(Quesería!$B$46-Quesería!$B$47)))/(Quesería!$B$46-Quesería!$B$47))*IF(G$47&gt;=2,1-Quesería!$B$48,1))+IF(G$47&lt;1,0,(Quesería!$B$44*$C$656*$C$653)*(1-MAX(0,MIN(G$47-1-Quesería!$B$47,(Quesería!$B$46-Quesería!$B$47)))/(Quesería!$B$46-Quesería!$B$47))*IF(G$47&gt;=2,1-Quesería!$B$48,1))</f>
        <v>451.958511465641</v>
      </c>
      <c r="H681" s="58" t="n">
        <f aca="false">IF(H$47&lt;0,0,(Quesería!$B$44*$B$656*$B$653)*(1-MAX(0,MIN(H$47-0-Quesería!$B$47,(Quesería!$B$46-Quesería!$B$47)))/(Quesería!$B$46-Quesería!$B$47))*IF(H$47&gt;=2,1-Quesería!$B$48,1))+IF(H$47&lt;1,0,(Quesería!$B$44*$C$656*$C$653)*(1-MAX(0,MIN(H$47-1-Quesería!$B$47,(Quesería!$B$46-Quesería!$B$47)))/(Quesería!$B$46-Quesería!$B$47))*IF(H$47&gt;=2,1-Quesería!$B$48,1))</f>
        <v>265.67670958996</v>
      </c>
      <c r="I681" s="58" t="n">
        <f aca="false">IF(I$47&lt;0,0,(Quesería!$B$44*$B$656*$B$653)*(1-MAX(0,MIN(I$47-0-Quesería!$B$47,(Quesería!$B$46-Quesería!$B$47)))/(Quesería!$B$46-Quesería!$B$47))*IF(I$47&gt;=2,1-Quesería!$B$48,1))+IF(I$47&lt;1,0,(Quesería!$B$44*$C$656*$C$653)*(1-MAX(0,MIN(I$47-1-Quesería!$B$47,(Quesería!$B$46-Quesería!$B$47)))/(Quesería!$B$46-Quesería!$B$47))*IF(I$47&gt;=2,1-Quesería!$B$48,1))</f>
        <v>79.3949077142776</v>
      </c>
      <c r="J681" s="58" t="n">
        <f aca="false">IF(J$47&lt;0,0,(Quesería!$B$44*$B$656*$B$653)*(1-MAX(0,MIN(J$47-0-Quesería!$B$47,(Quesería!$B$46-Quesería!$B$47)))/(Quesería!$B$46-Quesería!$B$47))*IF(J$47&gt;=2,1-Quesería!$B$48,1))+IF(J$47&lt;1,0,(Quesería!$B$44*$C$656*$C$653)*(1-MAX(0,MIN(J$47-1-Quesería!$B$47,(Quesería!$B$46-Quesería!$B$47)))/(Quesería!$B$46-Quesería!$B$47))*IF(J$47&gt;=2,1-Quesería!$B$48,1))</f>
        <v>0</v>
      </c>
      <c r="K681" s="58" t="n">
        <f aca="false">IF(K$47&lt;0,0,(Quesería!$B$44*$B$656*$B$653)*(1-MAX(0,MIN(K$47-0-Quesería!$B$47,(Quesería!$B$46-Quesería!$B$47)))/(Quesería!$B$46-Quesería!$B$47))*IF(K$47&gt;=2,1-Quesería!$B$48,1))+IF(K$47&lt;1,0,(Quesería!$B$44*$C$656*$C$653)*(1-MAX(0,MIN(K$47-1-Quesería!$B$47,(Quesería!$B$46-Quesería!$B$47)))/(Quesería!$B$46-Quesería!$B$47))*IF(K$47&gt;=2,1-Quesería!$B$48,1))</f>
        <v>0</v>
      </c>
      <c r="L681" s="58" t="n">
        <f aca="false">IF(L$47&lt;0,0,(Quesería!$B$44*$B$656*$B$653)*(1-MAX(0,MIN(L$47-0-Quesería!$B$47,(Quesería!$B$46-Quesería!$B$47)))/(Quesería!$B$46-Quesería!$B$47))*IF(L$47&gt;=2,1-Quesería!$B$48,1))+IF(L$47&lt;1,0,(Quesería!$B$44*$C$656*$C$653)*(1-MAX(0,MIN(L$47-1-Quesería!$B$47,(Quesería!$B$46-Quesería!$B$47)))/(Quesería!$B$46-Quesería!$B$47))*IF(L$47&gt;=2,1-Quesería!$B$48,1))</f>
        <v>0</v>
      </c>
    </row>
    <row r="682" customFormat="false" ht="15" hidden="true" customHeight="false" outlineLevel="1" collapsed="false">
      <c r="A682" s="6" t="s">
        <v>431</v>
      </c>
      <c r="B682" s="29" t="n">
        <f aca="false">Quesería!$B$44*B656</f>
        <v>605.02015563059</v>
      </c>
      <c r="C682" s="29" t="n">
        <f aca="false">Quesería!$B$44*C656</f>
        <v>428.004893338424</v>
      </c>
      <c r="D682" s="29" t="n">
        <f aca="false">Quesería!$B$44*D656</f>
        <v>0</v>
      </c>
      <c r="E682" s="29" t="n">
        <f aca="false">Quesería!$B$44*E656</f>
        <v>0</v>
      </c>
      <c r="F682" s="29" t="n">
        <f aca="false">Quesería!$B$44*F656</f>
        <v>0</v>
      </c>
      <c r="G682" s="29" t="n">
        <f aca="false">Quesería!$B$44*G656</f>
        <v>0</v>
      </c>
      <c r="H682" s="29" t="n">
        <f aca="false">Quesería!$B$44*H656</f>
        <v>0</v>
      </c>
      <c r="I682" s="29" t="n">
        <f aca="false">Quesería!$B$44*I656</f>
        <v>0</v>
      </c>
      <c r="J682" s="29" t="n">
        <f aca="false">Quesería!$B$44*J656</f>
        <v>0</v>
      </c>
      <c r="K682" s="29" t="n">
        <f aca="false">Quesería!$B$44*K656</f>
        <v>0</v>
      </c>
      <c r="L682" s="29" t="n">
        <f aca="false">Quesería!$B$44*L656</f>
        <v>0</v>
      </c>
    </row>
    <row r="683" customFormat="false" ht="15" hidden="true" customHeight="false" outlineLevel="1" collapsed="false">
      <c r="A683" s="6" t="s">
        <v>432</v>
      </c>
      <c r="B683" s="29" t="n">
        <f aca="false">(IF(AND(B$47&gt;0,B$47&lt;=0+Quesería!$B$46),($P$14+$P$28)*(Quesería!$B$44*$B$656*$B$653)*(1-MAX(0,MIN((B$47-1)-0-Quesería!$B$47,(Quesería!$B$46-Quesería!$B$47)))/(Quesería!$B$46-Quesería!$B$47))*IF(B$47&gt;2,1-Quesería!$B$48,1),0)+IF(AND(B$47&gt;1,B$47&lt;=1+Quesería!$B$46),($P$14+$P$28)*(Quesería!$B$44*$C$656*$C$653)*(1-MAX(0,MIN((B$47-1)-1-Quesería!$B$47,(Quesería!$B$46-Quesería!$B$47)))/(Quesería!$B$46-Quesería!$B$47))*IF(B$47&gt;2,1-Quesería!$B$48,1),0))*B655</f>
        <v>0</v>
      </c>
      <c r="C683" s="29" t="n">
        <f aca="false">(IF(AND(C$47&gt;0,C$47&lt;=0+Quesería!$B$46),($P$14+$P$28)*(Quesería!$B$44*$B$656*$B$653)*(1-MAX(0,MIN((C$47-1)-0-Quesería!$B$47,(Quesería!$B$46-Quesería!$B$47)))/(Quesería!$B$46-Quesería!$B$47))*IF(C$47&gt;2,1-Quesería!$B$48,1),0)+IF(AND(C$47&gt;1,C$47&lt;=1+Quesería!$B$46),($P$14+$P$28)*(Quesería!$B$44*$C$656*$C$653)*(1-MAX(0,MIN((C$47-1)-1-Quesería!$B$47,(Quesería!$B$46-Quesería!$B$47)))/(Quesería!$B$46-Quesería!$B$47))*IF(C$47&gt;2,1-Quesería!$B$48,1),0))*C655</f>
        <v>81.2455637561078</v>
      </c>
      <c r="D683" s="29" t="n">
        <f aca="false">(IF(AND(D$47&gt;0,D$47&lt;=0+Quesería!$B$46),($P$14+$P$28)*(Quesería!$B$44*$B$656*$B$653)*(1-MAX(0,MIN((D$47-1)-0-Quesería!$B$47,(Quesería!$B$46-Quesería!$B$47)))/(Quesería!$B$46-Quesería!$B$47))*IF(D$47&gt;2,1-Quesería!$B$48,1),0)+IF(AND(D$47&gt;1,D$47&lt;=1+Quesería!$B$46),($P$14+$P$28)*(Quesería!$B$44*$C$656*$C$653)*(1-MAX(0,MIN((D$47-1)-1-Quesería!$B$47,(Quesería!$B$46-Quesería!$B$47)))/(Quesería!$B$46-Quesería!$B$47))*IF(D$47&gt;2,1-Quesería!$B$48,1),0))*D655</f>
        <v>135.496893508924</v>
      </c>
      <c r="E683" s="29" t="n">
        <f aca="false">(IF(AND(E$47&gt;0,E$47&lt;=0+Quesería!$B$46),($P$14+$P$28)*(Quesería!$B$44*$B$656*$B$653)*(1-MAX(0,MIN((E$47-1)-0-Quesería!$B$47,(Quesería!$B$46-Quesería!$B$47)))/(Quesería!$B$46-Quesería!$B$47))*IF(E$47&gt;2,1-Quesería!$B$48,1),0)+IF(AND(E$47&gt;1,E$47&lt;=1+Quesería!$B$46),($P$14+$P$28)*(Quesería!$B$44*$C$656*$C$653)*(1-MAX(0,MIN((E$47-1)-1-Quesería!$B$47,(Quesería!$B$46-Quesería!$B$47)))/(Quesería!$B$46-Quesería!$B$47))*IF(E$47&gt;2,1-Quesería!$B$48,1),0))*E655</f>
        <v>117.826027258135</v>
      </c>
      <c r="F683" s="29" t="n">
        <f aca="false">(IF(AND(F$47&gt;0,F$47&lt;=0+Quesería!$B$46),($P$14+$P$28)*(Quesería!$B$44*$B$656*$B$653)*(1-MAX(0,MIN((F$47-1)-0-Quesería!$B$47,(Quesería!$B$46-Quesería!$B$47)))/(Quesería!$B$46-Quesería!$B$47))*IF(F$47&gt;2,1-Quesería!$B$48,1),0)+IF(AND(F$47&gt;1,F$47&lt;=1+Quesería!$B$46),($P$14+$P$28)*(Quesería!$B$44*$C$656*$C$653)*(1-MAX(0,MIN((F$47-1)-1-Quesería!$B$47,(Quesería!$B$46-Quesería!$B$47)))/(Quesería!$B$46-Quesería!$B$47))*IF(F$47&gt;2,1-Quesería!$B$48,1),0))*F655</f>
        <v>92.4151745225957</v>
      </c>
      <c r="G683" s="29" t="n">
        <f aca="false">(IF(AND(G$47&gt;0,G$47&lt;=0+Quesería!$B$46),($P$14+$P$28)*(Quesería!$B$44*$B$656*$B$653)*(1-MAX(0,MIN((G$47-1)-0-Quesería!$B$47,(Quesería!$B$46-Quesería!$B$47)))/(Quesería!$B$46-Quesería!$B$47))*IF(G$47&gt;2,1-Quesería!$B$48,1),0)+IF(AND(G$47&gt;1,G$47&lt;=1+Quesería!$B$46),($P$14+$P$28)*(Quesería!$B$44*$C$656*$C$653)*(1-MAX(0,MIN((G$47-1)-1-Quesería!$B$47,(Quesería!$B$46-Quesería!$B$47)))/(Quesería!$B$46-Quesería!$B$47))*IF(G$47&gt;2,1-Quesería!$B$48,1),0))*G655</f>
        <v>68.7847039098228</v>
      </c>
      <c r="H683" s="29" t="n">
        <f aca="false">(IF(AND(H$47&gt;0,H$47&lt;=0+Quesería!$B$46),($P$14+$P$28)*(Quesería!$B$44*$B$656*$B$653)*(1-MAX(0,MIN((H$47-1)-0-Quesería!$B$47,(Quesería!$B$46-Quesería!$B$47)))/(Quesería!$B$46-Quesería!$B$47))*IF(H$47&gt;2,1-Quesería!$B$48,1),0)+IF(AND(H$47&gt;1,H$47&lt;=1+Quesería!$B$46),($P$14+$P$28)*(Quesería!$B$44*$C$656*$C$653)*(1-MAX(0,MIN((H$47-1)-1-Quesería!$B$47,(Quesería!$B$46-Quesería!$B$47)))/(Quesería!$B$46-Quesería!$B$47))*IF(H$47&gt;2,1-Quesería!$B$48,1),0))*H655</f>
        <v>46.8352529676735</v>
      </c>
      <c r="I683" s="29" t="n">
        <f aca="false">(IF(AND(I$47&gt;0,I$47&lt;=0+Quesería!$B$46),($P$14+$P$28)*(Quesería!$B$44*$B$656*$B$653)*(1-MAX(0,MIN((I$47-1)-0-Quesería!$B$47,(Quesería!$B$46-Quesería!$B$47)))/(Quesería!$B$46-Quesería!$B$47))*IF(I$47&gt;2,1-Quesería!$B$48,1),0)+IF(AND(I$47&gt;1,I$47&lt;=1+Quesería!$B$46),($P$14+$P$28)*(Quesería!$B$44*$C$656*$C$653)*(1-MAX(0,MIN((I$47-1)-1-Quesería!$B$47,(Quesería!$B$46-Quesería!$B$47)))/(Quesería!$B$46-Quesería!$B$47))*IF(I$47&gt;2,1-Quesería!$B$48,1),0))*I655</f>
        <v>26.4724688081898</v>
      </c>
      <c r="J683" s="29" t="n">
        <f aca="false">(IF(AND(J$47&gt;0,J$47&lt;=0+Quesería!$B$46),($P$14+$P$28)*(Quesería!$B$44*$B$656*$B$653)*(1-MAX(0,MIN((J$47-1)-0-Quesería!$B$47,(Quesería!$B$46-Quesería!$B$47)))/(Quesería!$B$46-Quesería!$B$47))*IF(J$47&gt;2,1-Quesería!$B$48,1),0)+IF(AND(J$47&gt;1,J$47&lt;=1+Quesería!$B$46),($P$14+$P$28)*(Quesería!$B$44*$C$656*$C$653)*(1-MAX(0,MIN((J$47-1)-1-Quesería!$B$47,(Quesería!$B$46-Quesería!$B$47)))/(Quesería!$B$46-Quesería!$B$47))*IF(J$47&gt;2,1-Quesería!$B$48,1),0))*J655</f>
        <v>7.60676974238282</v>
      </c>
      <c r="K683" s="29" t="n">
        <f aca="false">(IF(AND(K$47&gt;0,K$47&lt;=0+Quesería!$B$46),($P$14+$P$28)*(Quesería!$B$44*$B$656*$B$653)*(1-MAX(0,MIN((K$47-1)-0-Quesería!$B$47,(Quesería!$B$46-Quesería!$B$47)))/(Quesería!$B$46-Quesería!$B$47))*IF(K$47&gt;2,1-Quesería!$B$48,1),0)+IF(AND(K$47&gt;1,K$47&lt;=1+Quesería!$B$46),($P$14+$P$28)*(Quesería!$B$44*$C$656*$C$653)*(1-MAX(0,MIN((K$47-1)-1-Quesería!$B$47,(Quesería!$B$46-Quesería!$B$47)))/(Quesería!$B$46-Quesería!$B$47))*IF(K$47&gt;2,1-Quesería!$B$48,1),0))*K655</f>
        <v>0</v>
      </c>
      <c r="L683" s="29" t="n">
        <f aca="false">(IF(AND(L$47&gt;0,L$47&lt;=0+Quesería!$B$46),($P$14+$P$28)*(Quesería!$B$44*$B$656*$B$653)*(1-MAX(0,MIN((L$47-1)-0-Quesería!$B$47,(Quesería!$B$46-Quesería!$B$47)))/(Quesería!$B$46-Quesería!$B$47))*IF(L$47&gt;2,1-Quesería!$B$48,1),0)+IF(AND(L$47&gt;1,L$47&lt;=1+Quesería!$B$46),($P$14+$P$28)*(Quesería!$B$44*$C$656*$C$653)*(1-MAX(0,MIN((L$47-1)-1-Quesería!$B$47,(Quesería!$B$46-Quesería!$B$47)))/(Quesería!$B$46-Quesería!$B$47))*IF(L$47&gt;2,1-Quesería!$B$48,1),0))*L655</f>
        <v>0</v>
      </c>
    </row>
    <row r="684" customFormat="false" ht="15" hidden="true" customHeight="false" outlineLevel="1" collapsed="false">
      <c r="A684" s="6" t="s">
        <v>433</v>
      </c>
      <c r="B684" s="29" t="n">
        <f aca="false">((IF(AND(B$47&gt;0+Quesería!$B$47,B$47&lt;=0+Quesería!$B$46),(Quesería!$B$44*$B$656*$B$653)/(Quesería!$B$46-Quesería!$B$47),0)*IF(B$47&gt;2,1-Quesería!$B$48,1)+IF(B$47=2,Quesería!$B$48*(Quesería!$B$44*$B$656*$B$653)*(1-MAX(0,MIN(2-0-Quesería!$B$47,(Quesería!$B$46-Quesería!$B$47)))/(Quesería!$B$46-Quesería!$B$47)),0))+(IF(AND(B$47&gt;1+Quesería!$B$47,B$47&lt;=1+Quesería!$B$46),(Quesería!$B$44*$C$656*$C$653)/(Quesería!$B$46-Quesería!$B$47),0)*IF(B$47&gt;2,1-Quesería!$B$48,1)+IF(B$47=2,Quesería!$B$48*(Quesería!$B$44*$C$656*$C$653)*(1-MAX(0,MIN(2-1-Quesería!$B$47,(Quesería!$B$46-Quesería!$B$47)))/(Quesería!$B$46-Quesería!$B$47)),0)))*B655</f>
        <v>0</v>
      </c>
      <c r="C684" s="29" t="n">
        <f aca="false">((IF(AND(C$47&gt;0+Quesería!$B$47,C$47&lt;=0+Quesería!$B$46),(Quesería!$B$44*$B$656*$B$653)/(Quesería!$B$46-Quesería!$B$47),0)*IF(C$47&gt;2,1-Quesería!$B$48,1)+IF(C$47=2,Quesería!$B$48*(Quesería!$B$44*$B$656*$B$653)*(1-MAX(0,MIN(2-0-Quesería!$B$47,(Quesería!$B$46-Quesería!$B$47)))/(Quesería!$B$46-Quesería!$B$47)),0))+(IF(AND(C$47&gt;1+Quesería!$B$47,C$47&lt;=1+Quesería!$B$46),(Quesería!$B$44*$C$656*$C$653)/(Quesería!$B$46-Quesería!$B$47),0)*IF(C$47&gt;2,1-Quesería!$B$48,1)+IF(C$47=2,Quesería!$B$48*(Quesería!$B$44*$C$656*$C$653)*(1-MAX(0,MIN(2-1-Quesería!$B$47,(Quesería!$B$46-Quesería!$B$47)))/(Quesería!$B$46-Quesería!$B$47)),0)))*C655</f>
        <v>0</v>
      </c>
      <c r="D684" s="29" t="n">
        <f aca="false">((IF(AND(D$47&gt;0+Quesería!$B$47,D$47&lt;=0+Quesería!$B$46),(Quesería!$B$44*$B$656*$B$653)/(Quesería!$B$46-Quesería!$B$47),0)*IF(D$47&gt;2,1-Quesería!$B$48,1)+IF(D$47=2,Quesería!$B$48*(Quesería!$B$44*$B$656*$B$653)*(1-MAX(0,MIN(2-0-Quesería!$B$47,(Quesería!$B$46-Quesería!$B$47)))/(Quesería!$B$46-Quesería!$B$47)),0))+(IF(AND(D$47&gt;1+Quesería!$B$47,D$47&lt;=1+Quesería!$B$46),(Quesería!$B$44*$C$656*$C$653)/(Quesería!$B$46-Quesería!$B$47),0)*IF(D$47&gt;2,1-Quesería!$B$48,1)+IF(D$47=2,Quesería!$B$48*(Quesería!$B$44*$C$656*$C$653)*(1-MAX(0,MIN(2-1-Quesería!$B$47,(Quesería!$B$46-Quesería!$B$47)))/(Quesería!$B$46-Quesería!$B$47)),0)))*D655</f>
        <v>91.8994692231472</v>
      </c>
      <c r="E684" s="29" t="n">
        <f aca="false">((IF(AND(E$47&gt;0+Quesería!$B$47,E$47&lt;=0+Quesería!$B$46),(Quesería!$B$44*$B$656*$B$653)/(Quesería!$B$46-Quesería!$B$47),0)*IF(E$47&gt;2,1-Quesería!$B$48,1)+IF(E$47=2,Quesería!$B$48*(Quesería!$B$44*$B$656*$B$653)*(1-MAX(0,MIN(2-0-Quesería!$B$47,(Quesería!$B$46-Quesería!$B$47)))/(Quesería!$B$46-Quesería!$B$47)),0))+(IF(AND(E$47&gt;1+Quesería!$B$47,E$47&lt;=1+Quesería!$B$46),(Quesería!$B$44*$C$656*$C$653)/(Quesería!$B$46-Quesería!$B$47),0)*IF(E$47&gt;2,1-Quesería!$B$48,1)+IF(E$47=2,Quesería!$B$48*(Quesería!$B$44*$C$656*$C$653)*(1-MAX(0,MIN(2-1-Quesería!$B$47,(Quesería!$B$46-Quesería!$B$47)))/(Quesería!$B$46-Quesería!$B$47)),0)))*E655</f>
        <v>154.001742940676</v>
      </c>
      <c r="F684" s="29" t="n">
        <f aca="false">((IF(AND(F$47&gt;0+Quesería!$B$47,F$47&lt;=0+Quesería!$B$46),(Quesería!$B$44*$B$656*$B$653)/(Quesería!$B$46-Quesería!$B$47),0)*IF(F$47&gt;2,1-Quesería!$B$48,1)+IF(F$47=2,Quesería!$B$48*(Quesería!$B$44*$B$656*$B$653)*(1-MAX(0,MIN(2-0-Quesería!$B$47,(Quesería!$B$46-Quesería!$B$47)))/(Quesería!$B$46-Quesería!$B$47)),0))+(IF(AND(F$47&gt;1+Quesería!$B$47,F$47&lt;=1+Quesería!$B$46),(Quesería!$B$44*$C$656*$C$653)/(Quesería!$B$46-Quesería!$B$47),0)*IF(F$47&gt;2,1-Quesería!$B$48,1)+IF(F$47=2,Quesería!$B$48*(Quesería!$B$44*$C$656*$C$653)*(1-MAX(0,MIN(2-1-Quesería!$B$47,(Quesería!$B$46-Quesería!$B$47)))/(Quesería!$B$46-Quesería!$B$47)),0)))*F655</f>
        <v>148.078598981419</v>
      </c>
      <c r="G684" s="29" t="n">
        <f aca="false">((IF(AND(G$47&gt;0+Quesería!$B$47,G$47&lt;=0+Quesería!$B$46),(Quesería!$B$44*$B$656*$B$653)/(Quesería!$B$46-Quesería!$B$47),0)*IF(G$47&gt;2,1-Quesería!$B$48,1)+IF(G$47=2,Quesería!$B$48*(Quesería!$B$44*$B$656*$B$653)*(1-MAX(0,MIN(2-0-Quesería!$B$47,(Quesería!$B$46-Quesería!$B$47)))/(Quesería!$B$46-Quesería!$B$47)),0))+(IF(AND(G$47&gt;1+Quesería!$B$47,G$47&lt;=1+Quesería!$B$46),(Quesería!$B$44*$C$656*$C$653)/(Quesería!$B$46-Quesería!$B$47),0)*IF(G$47&gt;2,1-Quesería!$B$48,1)+IF(G$47=2,Quesería!$B$48*(Quesería!$B$44*$C$656*$C$653)*(1-MAX(0,MIN(2-1-Quesería!$B$47,(Quesería!$B$46-Quesería!$B$47)))/(Quesería!$B$46-Quesería!$B$47)),0)))*G655</f>
        <v>142.383268251364</v>
      </c>
      <c r="H684" s="29" t="n">
        <f aca="false">((IF(AND(H$47&gt;0+Quesería!$B$47,H$47&lt;=0+Quesería!$B$46),(Quesería!$B$44*$B$656*$B$653)/(Quesería!$B$46-Quesería!$B$47),0)*IF(H$47&gt;2,1-Quesería!$B$48,1)+IF(H$47=2,Quesería!$B$48*(Quesería!$B$44*$B$656*$B$653)*(1-MAX(0,MIN(2-0-Quesería!$B$47,(Quesería!$B$46-Quesería!$B$47)))/(Quesería!$B$46-Quesería!$B$47)),0))+(IF(AND(H$47&gt;1+Quesería!$B$47,H$47&lt;=1+Quesería!$B$46),(Quesería!$B$44*$C$656*$C$653)/(Quesería!$B$46-Quesería!$B$47),0)*IF(H$47&gt;2,1-Quesería!$B$48,1)+IF(H$47=2,Quesería!$B$48*(Quesería!$B$44*$C$656*$C$653)*(1-MAX(0,MIN(2-1-Quesería!$B$47,(Quesería!$B$46-Quesería!$B$47)))/(Quesería!$B$46-Quesería!$B$47)),0)))*H655</f>
        <v>136.906988703235</v>
      </c>
      <c r="I684" s="29" t="n">
        <f aca="false">((IF(AND(I$47&gt;0+Quesería!$B$47,I$47&lt;=0+Quesería!$B$46),(Quesería!$B$44*$B$656*$B$653)/(Quesería!$B$46-Quesería!$B$47),0)*IF(I$47&gt;2,1-Quesería!$B$48,1)+IF(I$47=2,Quesería!$B$48*(Quesería!$B$44*$B$656*$B$653)*(1-MAX(0,MIN(2-0-Quesería!$B$47,(Quesería!$B$46-Quesería!$B$47)))/(Quesería!$B$46-Quesería!$B$47)),0))+(IF(AND(I$47&gt;1+Quesería!$B$47,I$47&lt;=1+Quesería!$B$46),(Quesería!$B$44*$C$656*$C$653)/(Quesería!$B$46-Quesería!$B$47),0)*IF(I$47&gt;2,1-Quesería!$B$48,1)+IF(I$47=2,Quesería!$B$48*(Quesería!$B$44*$C$656*$C$653)*(1-MAX(0,MIN(2-1-Quesería!$B$47,(Quesería!$B$46-Quesería!$B$47)))/(Quesería!$B$46-Quesería!$B$47)),0)))*I655</f>
        <v>131.641335291572</v>
      </c>
      <c r="J684" s="29" t="n">
        <f aca="false">((IF(AND(J$47&gt;0+Quesería!$B$47,J$47&lt;=0+Quesería!$B$46),(Quesería!$B$44*$B$656*$B$653)/(Quesería!$B$46-Quesería!$B$47),0)*IF(J$47&gt;2,1-Quesería!$B$48,1)+IF(J$47=2,Quesería!$B$48*(Quesería!$B$44*$B$656*$B$653)*(1-MAX(0,MIN(2-0-Quesería!$B$47,(Quesería!$B$46-Quesería!$B$47)))/(Quesería!$B$46-Quesería!$B$47)),0))+(IF(AND(J$47&gt;1+Quesería!$B$47,J$47&lt;=1+Quesería!$B$46),(Quesería!$B$44*$C$656*$C$653)/(Quesería!$B$46-Quesería!$B$47),0)*IF(J$47&gt;2,1-Quesería!$B$48,1)+IF(J$47=2,Quesería!$B$48*(Quesería!$B$44*$C$656*$C$653)*(1-MAX(0,MIN(2-1-Quesería!$B$47,(Quesería!$B$46-Quesería!$B$47)))/(Quesería!$B$46-Quesería!$B$47)),0)))*J655</f>
        <v>53.9487215771831</v>
      </c>
      <c r="K684" s="29" t="n">
        <f aca="false">((IF(AND(K$47&gt;0+Quesería!$B$47,K$47&lt;=0+Quesería!$B$46),(Quesería!$B$44*$B$656*$B$653)/(Quesería!$B$46-Quesería!$B$47),0)*IF(K$47&gt;2,1-Quesería!$B$48,1)+IF(K$47=2,Quesería!$B$48*(Quesería!$B$44*$B$656*$B$653)*(1-MAX(0,MIN(2-0-Quesería!$B$47,(Quesería!$B$46-Quesería!$B$47)))/(Quesería!$B$46-Quesería!$B$47)),0))+(IF(AND(K$47&gt;1+Quesería!$B$47,K$47&lt;=1+Quesería!$B$46),(Quesería!$B$44*$C$656*$C$653)/(Quesería!$B$46-Quesería!$B$47),0)*IF(K$47&gt;2,1-Quesería!$B$48,1)+IF(K$47=2,Quesería!$B$48*(Quesería!$B$44*$C$656*$C$653)*(1-MAX(0,MIN(2-1-Quesería!$B$47,(Quesería!$B$46-Quesería!$B$47)))/(Quesería!$B$46-Quesería!$B$47)),0)))*K655</f>
        <v>0</v>
      </c>
      <c r="L684" s="29" t="n">
        <f aca="false">((IF(AND(L$47&gt;0+Quesería!$B$47,L$47&lt;=0+Quesería!$B$46),(Quesería!$B$44*$B$656*$B$653)/(Quesería!$B$46-Quesería!$B$47),0)*IF(L$47&gt;2,1-Quesería!$B$48,1)+IF(L$47=2,Quesería!$B$48*(Quesería!$B$44*$B$656*$B$653)*(1-MAX(0,MIN(2-0-Quesería!$B$47,(Quesería!$B$46-Quesería!$B$47)))/(Quesería!$B$46-Quesería!$B$47)),0))+(IF(AND(L$47&gt;1+Quesería!$B$47,L$47&lt;=1+Quesería!$B$46),(Quesería!$B$44*$C$656*$C$653)/(Quesería!$B$46-Quesería!$B$47),0)*IF(L$47&gt;2,1-Quesería!$B$48,1)+IF(L$47=2,Quesería!$B$48*(Quesería!$B$44*$C$656*$C$653)*(1-MAX(0,MIN(2-1-Quesería!$B$47,(Quesería!$B$46-Quesería!$B$47)))/(Quesería!$B$46-Quesería!$B$47)),0)))*L655</f>
        <v>0</v>
      </c>
    </row>
    <row r="685" customFormat="false" ht="15" hidden="true" customHeight="false" outlineLevel="1" collapsed="false">
      <c r="A685" s="6" t="s">
        <v>434</v>
      </c>
      <c r="B685" s="29" t="n">
        <f aca="false">$P$13*Quesería!$B$51*(1+0.19)*B681*B655+(1-$P$13)*IF(B$47=0,Quesería!$B$50,0)</f>
        <v>4</v>
      </c>
      <c r="C685" s="29" t="n">
        <f aca="false">$P$13*Quesería!$B$51*(1+0.19)*C681*C655+(1-$P$13)*IF(C$47=0,Quesería!$B$50,0)</f>
        <v>0</v>
      </c>
      <c r="D685" s="29" t="n">
        <f aca="false">$P$13*Quesería!$B$51*(1+0.19)*D681*D655+(1-$P$13)*IF(D$47=0,Quesería!$B$50,0)</f>
        <v>0</v>
      </c>
      <c r="E685" s="29" t="n">
        <f aca="false">$P$13*Quesería!$B$51*(1+0.19)*E681*E655+(1-$P$13)*IF(E$47=0,Quesería!$B$50,0)</f>
        <v>0</v>
      </c>
      <c r="F685" s="29" t="n">
        <f aca="false">$P$13*Quesería!$B$51*(1+0.19)*F681*F655+(1-$P$13)*IF(F$47=0,Quesería!$B$50,0)</f>
        <v>0</v>
      </c>
      <c r="G685" s="29" t="n">
        <f aca="false">$P$13*Quesería!$B$51*(1+0.19)*G681*G655+(1-$P$13)*IF(G$47=0,Quesería!$B$50,0)</f>
        <v>0</v>
      </c>
      <c r="H685" s="29" t="n">
        <f aca="false">$P$13*Quesería!$B$51*(1+0.19)*H681*H655+(1-$P$13)*IF(H$47=0,Quesería!$B$50,0)</f>
        <v>0</v>
      </c>
      <c r="I685" s="29" t="n">
        <f aca="false">$P$13*Quesería!$B$51*(1+0.19)*I681*I655+(1-$P$13)*IF(I$47=0,Quesería!$B$50,0)</f>
        <v>0</v>
      </c>
      <c r="J685" s="29" t="n">
        <f aca="false">$P$13*Quesería!$B$51*(1+0.19)*J681*J655+(1-$P$13)*IF(J$47=0,Quesería!$B$50,0)</f>
        <v>0</v>
      </c>
      <c r="K685" s="29" t="n">
        <f aca="false">$P$13*Quesería!$B$51*(1+0.19)*K681*K655+(1-$P$13)*IF(K$47=0,Quesería!$B$50,0)</f>
        <v>0</v>
      </c>
      <c r="L685" s="29" t="n">
        <f aca="false">$P$13*Quesería!$B$51*(1+0.19)*L681*L655+(1-$P$13)*IF(L$47=0,Quesería!$B$50,0)</f>
        <v>0</v>
      </c>
    </row>
    <row r="686" customFormat="false" ht="15" hidden="true" customHeight="false" outlineLevel="1" collapsed="false">
      <c r="A686" s="6" t="s">
        <v>435</v>
      </c>
      <c r="B686" s="29" t="n">
        <f aca="false">Quesería!$B$52*(B683+B684+B685)</f>
        <v>0.016</v>
      </c>
      <c r="C686" s="29" t="n">
        <f aca="false">Quesería!$B$52*(C683+C684+C685)</f>
        <v>0.324982255024431</v>
      </c>
      <c r="D686" s="29" t="n">
        <f aca="false">Quesería!$B$52*(D683+D684+D685)</f>
        <v>0.909585450928285</v>
      </c>
      <c r="E686" s="29" t="n">
        <f aca="false">Quesería!$B$52*(E683+E684+E685)</f>
        <v>1.08731108079524</v>
      </c>
      <c r="F686" s="29" t="n">
        <f aca="false">Quesería!$B$52*(F683+F684+F685)</f>
        <v>0.961975094016058</v>
      </c>
      <c r="G686" s="29" t="n">
        <f aca="false">Quesería!$B$52*(G683+G684+G685)</f>
        <v>0.844671888644748</v>
      </c>
      <c r="H686" s="29" t="n">
        <f aca="false">Quesería!$B$52*(H683+H684+H685)</f>
        <v>0.734968966683633</v>
      </c>
      <c r="I686" s="29" t="n">
        <f aca="false">Quesería!$B$52*(I683+I684+I685)</f>
        <v>0.632455216399047</v>
      </c>
      <c r="J686" s="29" t="n">
        <f aca="false">Quesería!$B$52*(J683+J684+J685)</f>
        <v>0.246221965278264</v>
      </c>
      <c r="K686" s="29" t="n">
        <f aca="false">Quesería!$B$52*(K683+K684+K685)</f>
        <v>0</v>
      </c>
      <c r="L686" s="29" t="n">
        <f aca="false">Quesería!$B$52*(L683+L684+L685)</f>
        <v>0</v>
      </c>
    </row>
    <row r="687" customFormat="false" ht="15" hidden="true" customHeight="false" outlineLevel="1" collapsed="false">
      <c r="A687" s="6" t="s">
        <v>436</v>
      </c>
      <c r="B687" s="29" t="n">
        <f aca="false">$P$17*(B683+B685+0.5*B686)</f>
        <v>1.4028</v>
      </c>
      <c r="C687" s="29" t="n">
        <f aca="false">$P$17*(C683+C685+0.5*C686)</f>
        <v>28.492819209267</v>
      </c>
      <c r="D687" s="29" t="n">
        <f aca="false">$P$17*(D683+D685+0.5*D686)</f>
        <v>47.5830901820358</v>
      </c>
      <c r="E687" s="29" t="n">
        <f aca="false">$P$17*(E683+E685+0.5*E686)</f>
        <v>41.4293889794864</v>
      </c>
      <c r="F687" s="29" t="n">
        <f aca="false">$P$17*(F683+F685+0.5*F686)</f>
        <v>32.5136567243613</v>
      </c>
      <c r="G687" s="29" t="n">
        <f aca="false">$P$17*(G683+G685+0.5*G686)</f>
        <v>24.2224639489508</v>
      </c>
      <c r="H687" s="29" t="n">
        <f aca="false">$P$17*(H683+H685+0.5*H686)</f>
        <v>16.5209581078554</v>
      </c>
      <c r="I687" s="29" t="n">
        <f aca="false">$P$17*(I683+I685+0.5*I686)</f>
        <v>9.37604374573625</v>
      </c>
      <c r="J687" s="29" t="n">
        <f aca="false">$P$17*(J683+J685+0.5*J686)</f>
        <v>2.70545825375768</v>
      </c>
      <c r="K687" s="29" t="n">
        <f aca="false">$P$17*(K683+K685+0.5*K686)</f>
        <v>0</v>
      </c>
      <c r="L687" s="29" t="n">
        <f aca="false">$P$17*(L683+L685+0.5*L686)</f>
        <v>0</v>
      </c>
    </row>
    <row r="688" customFormat="false" ht="15" hidden="true" customHeight="false" outlineLevel="1" collapsed="false">
      <c r="A688" s="5" t="s">
        <v>437</v>
      </c>
      <c r="B688" s="59" t="n">
        <f aca="false">B673+B682-B683-B684-B685-B686+B687</f>
        <v>-358.744924503166</v>
      </c>
      <c r="C688" s="59" t="n">
        <f aca="false">C673+C682-C683-C684-C685-C686+C687</f>
        <v>-25.5435975561888</v>
      </c>
      <c r="D688" s="59" t="n">
        <f aca="false">D673+D682-D683-D684-D685-D686+D687</f>
        <v>274.753891765583</v>
      </c>
      <c r="E688" s="59" t="n">
        <f aca="false">E673+E682-E683-E684-E685-E686+E687</f>
        <v>92.8599635560487</v>
      </c>
      <c r="F688" s="59" t="n">
        <f aca="false">F673+F682-F683-F684-F685-F686+F687</f>
        <v>151.96762450463</v>
      </c>
      <c r="G688" s="59" t="n">
        <f aca="false">G673+G682-G683-G684-G685-G686+G687</f>
        <v>138.768863702064</v>
      </c>
      <c r="H688" s="59" t="n">
        <f aca="false">H673+H682-H683-H684-H685-H686+H687</f>
        <v>137.079818264336</v>
      </c>
      <c r="I688" s="59" t="n">
        <f aca="false">I673+I682-I683-I684-I685-I686+I687</f>
        <v>216.301134323944</v>
      </c>
      <c r="J688" s="59" t="n">
        <f aca="false">J673+J682-J683-J684-J685-J686+J687</f>
        <v>296.710598882031</v>
      </c>
      <c r="K688" s="59" t="n">
        <f aca="false">K673+K682-K683-K684-K685-K686+K687</f>
        <v>354.479778655382</v>
      </c>
      <c r="L688" s="59" t="n">
        <f aca="false">L673+L682-L683-L684-L685-L686+L687</f>
        <v>583.879352317347</v>
      </c>
    </row>
    <row r="689" customFormat="false" ht="15" hidden="true" customHeight="false" outlineLevel="1" collapsed="false">
      <c r="A689" s="9" t="s">
        <v>438</v>
      </c>
      <c r="B689" s="58" t="n">
        <f aca="false">B688*B653</f>
        <v>-380.269619973356</v>
      </c>
      <c r="C689" s="58" t="n">
        <f aca="false">C688*C653</f>
        <v>-28.4300240800382</v>
      </c>
      <c r="D689" s="58" t="n">
        <f aca="false">D688*D653</f>
        <v>319.562130204173</v>
      </c>
      <c r="E689" s="58" t="n">
        <f aca="false">E688*E653</f>
        <v>112.32419194109</v>
      </c>
      <c r="F689" s="58" t="n">
        <f aca="false">F688*F653</f>
        <v>191.174167734</v>
      </c>
      <c r="G689" s="58" t="n">
        <f aca="false">G688*G653</f>
        <v>181.553031420977</v>
      </c>
      <c r="H689" s="58" t="n">
        <f aca="false">H688*H653</f>
        <v>186.51696154404</v>
      </c>
      <c r="I689" s="58" t="n">
        <f aca="false">I688*I653</f>
        <v>306.081406424307</v>
      </c>
      <c r="J689" s="58" t="n">
        <f aca="false">J688*J653</f>
        <v>436.66114649972</v>
      </c>
      <c r="K689" s="58" t="n">
        <f aca="false">K688*K653</f>
        <v>542.545662431743</v>
      </c>
      <c r="L689" s="58" t="n">
        <f aca="false">L688*L653</f>
        <v>929.39704383772</v>
      </c>
    </row>
    <row r="690" customFormat="false" ht="15" hidden="true" customHeight="false" outlineLevel="1" collapsed="false">
      <c r="A690" s="9" t="s">
        <v>439</v>
      </c>
      <c r="B690" s="57" t="n">
        <f aca="false">(B653/$B$653)/(1+Quesería!$B$11+$P$28)^B$47</f>
        <v>1</v>
      </c>
      <c r="C690" s="57" t="n">
        <f aca="false">(C653/$B$653)/(1+Quesería!$B$11+$P$28)^C$47</f>
        <v>0.84</v>
      </c>
      <c r="D690" s="57" t="n">
        <f aca="false">(D653/$B$653)/(1+Quesería!$B$11+$P$28)^D$47</f>
        <v>0.70224</v>
      </c>
      <c r="E690" s="57" t="n">
        <f aca="false">(E653/$B$653)/(1+Quesería!$B$11+$P$28)^E$47</f>
        <v>0.58426368</v>
      </c>
      <c r="F690" s="57" t="n">
        <f aca="false">(F653/$B$653)/(1+Quesería!$B$11+$P$28)^F$47</f>
        <v>0.48610738176</v>
      </c>
      <c r="G690" s="57" t="n">
        <f aca="false">(G653/$B$653)/(1+Quesería!$B$11+$P$28)^G$47</f>
        <v>0.40444134162432</v>
      </c>
      <c r="H690" s="57" t="n">
        <f aca="false">(H653/$B$653)/(1+Quesería!$B$11+$P$28)^H$47</f>
        <v>0.336495196231434</v>
      </c>
      <c r="I690" s="57" t="n">
        <f aca="false">(I653/$B$653)/(1+Quesería!$B$11+$P$28)^I$47</f>
        <v>0.279964003264553</v>
      </c>
      <c r="J690" s="57" t="n">
        <f aca="false">(J653/$B$653)/(1+Quesería!$B$11+$P$28)^J$47</f>
        <v>0.232930050716108</v>
      </c>
      <c r="K690" s="57" t="n">
        <f aca="false">(K653/$B$653)/(1+Quesería!$B$11+$P$28)^K$47</f>
        <v>0.193797802195802</v>
      </c>
      <c r="L690" s="57" t="n">
        <f aca="false">(L653/$B$653)/(1+Quesería!$B$11+$P$28)^L$47</f>
        <v>0.161239771426907</v>
      </c>
    </row>
    <row r="691" customFormat="false" ht="15" hidden="true" customHeight="false" outlineLevel="1" collapsed="false">
      <c r="A691" s="9" t="s">
        <v>440</v>
      </c>
      <c r="B691" s="58" t="n">
        <f aca="false">B673+B656+B658+B687</f>
        <v>120.166830858099</v>
      </c>
      <c r="C691" s="58" t="n">
        <f aca="false">C673+C656+C658+C687</f>
        <v>411.600244459173</v>
      </c>
      <c r="D691" s="58" t="n">
        <f aca="false">D673+D656+D658+D687</f>
        <v>503.059839948583</v>
      </c>
      <c r="E691" s="58" t="n">
        <f aca="false">E673+E656+E658+E687</f>
        <v>365.775044835654</v>
      </c>
      <c r="F691" s="58" t="n">
        <f aca="false">F673+F656+F658+F687</f>
        <v>393.42337310266</v>
      </c>
      <c r="G691" s="58" t="n">
        <f aca="false">G673+G656+G658+G687</f>
        <v>355.999899032982</v>
      </c>
      <c r="H691" s="58" t="n">
        <f aca="false">H673+H656+H658+H687</f>
        <v>330.370968487009</v>
      </c>
      <c r="I691" s="58" t="n">
        <f aca="false">I673+I656+I658+I687</f>
        <v>375.047393640104</v>
      </c>
      <c r="J691" s="58" t="n">
        <f aca="false">J673+J656+J658+J687</f>
        <v>358.512312166876</v>
      </c>
      <c r="K691" s="58" t="n">
        <f aca="false">K673+K656+K658+K687</f>
        <v>354.479778655382</v>
      </c>
      <c r="L691" s="58" t="n">
        <f aca="false">L673+L656+L658+L687</f>
        <v>583.879352317347</v>
      </c>
    </row>
    <row r="692" customFormat="false" ht="15" hidden="true" customHeight="false" outlineLevel="1" collapsed="false">
      <c r="A692" s="5" t="s">
        <v>149</v>
      </c>
      <c r="B692" s="12" t="str">
        <f aca="false">IF(AND(B$47&gt;=1,(B683+B684+B685)&gt;0.001),B691/(B683+B684+B685),"")</f>
        <v/>
      </c>
      <c r="C692" s="12" t="n">
        <f aca="false">IF(AND(C$47&gt;=1,(C683+C684+C685)&gt;0.001),C691/(C683+C684+C685),"")</f>
        <v>5.06612577266079</v>
      </c>
      <c r="D692" s="12" t="n">
        <f aca="false">IF(AND(D$47&gt;=1,(D683+D684+D685)&gt;0.001),D691/(D683+D684+D685),"")</f>
        <v>2.21225983522573</v>
      </c>
      <c r="E692" s="12" t="n">
        <f aca="false">IF(AND(E$47&gt;=1,(E683+E684+E685)&gt;0.001),E691/(E683+E684+E685),"")</f>
        <v>1.34561323358586</v>
      </c>
      <c r="F692" s="12" t="n">
        <f aca="false">IF(AND(F$47&gt;=1,(F683+F684+F685)&gt;0.001),F691/(F683+F684+F685),"")</f>
        <v>1.63589837429239</v>
      </c>
      <c r="G692" s="12" t="n">
        <f aca="false">IF(AND(G$47&gt;=1,(G683+G684+G685)&gt;0.001),G691/(G683+G684+G685),"")</f>
        <v>1.68586123828117</v>
      </c>
      <c r="H692" s="12" t="n">
        <f aca="false">IF(AND(H$47&gt;=1,(H683+H684+H685)&gt;0.001),H691/(H683+H684+H685),"")</f>
        <v>1.79801315953639</v>
      </c>
      <c r="I692" s="12" t="n">
        <f aca="false">IF(AND(I$47&gt;=1,(I683+I684+I685)&gt;0.001),I691/(I683+I684+I685),"")</f>
        <v>2.372009172605</v>
      </c>
      <c r="J692" s="12" t="n">
        <f aca="false">IF(AND(J$47&gt;=1,(J683+J684+J685)&gt;0.001),J691/(J683+J684+J685),"")</f>
        <v>5.82421331519645</v>
      </c>
      <c r="K692" s="12" t="str">
        <f aca="false">IF(AND(K$47&gt;=1,(K683+K684+K685)&gt;0.001),K691/(K683+K684+K685),"")</f>
        <v/>
      </c>
      <c r="L692" s="12" t="str">
        <f aca="false">IF(AND(L$47&gt;=1,(L683+L684+L685)&gt;0.001),L691/(L683+L684+L685),"")</f>
        <v/>
      </c>
    </row>
    <row r="694" customFormat="false" ht="15" hidden="false" customHeight="false" outlineLevel="0" collapsed="false">
      <c r="A694" s="43" t="s">
        <v>1252</v>
      </c>
      <c r="B694" s="44"/>
      <c r="C694" s="44"/>
      <c r="D694" s="44"/>
      <c r="E694" s="44"/>
      <c r="F694" s="44"/>
      <c r="G694" s="44"/>
      <c r="H694" s="44"/>
      <c r="I694" s="44"/>
      <c r="J694" s="44"/>
      <c r="K694" s="44"/>
      <c r="L694" s="44"/>
    </row>
    <row r="695" customFormat="false" ht="15" hidden="true" customHeight="false" outlineLevel="1" collapsed="false">
      <c r="A695" s="9" t="s">
        <v>406</v>
      </c>
      <c r="B695" s="56" t="n">
        <f aca="false">CHOOSE($Q$15,Entorno!B$7,Entorno!B$8,Entorno!B$9)</f>
        <v>0.06</v>
      </c>
      <c r="C695" s="56" t="n">
        <f aca="false">CHOOSE($Q$15,Entorno!C$7,Entorno!C$8,Entorno!C$9)</f>
        <v>0.05</v>
      </c>
      <c r="D695" s="56" t="n">
        <f aca="false">CHOOSE($Q$15,Entorno!D$7,Entorno!D$8,Entorno!D$9)</f>
        <v>0.045</v>
      </c>
      <c r="E695" s="56" t="n">
        <f aca="false">CHOOSE($Q$15,Entorno!E$7,Entorno!E$8,Entorno!E$9)</f>
        <v>0.04</v>
      </c>
      <c r="F695" s="56" t="n">
        <f aca="false">CHOOSE($Q$15,Entorno!F$7,Entorno!F$8,Entorno!F$9)</f>
        <v>0.04</v>
      </c>
      <c r="G695" s="56" t="n">
        <f aca="false">CHOOSE($Q$15,Entorno!G$7,Entorno!G$8,Entorno!G$9)</f>
        <v>0.04</v>
      </c>
      <c r="H695" s="56" t="n">
        <f aca="false">CHOOSE($Q$15,Entorno!H$7,Entorno!H$8,Entorno!H$9)</f>
        <v>0.04</v>
      </c>
      <c r="I695" s="56" t="n">
        <f aca="false">CHOOSE($Q$15,Entorno!I$7,Entorno!I$8,Entorno!I$9)</f>
        <v>0.04</v>
      </c>
      <c r="J695" s="56" t="n">
        <f aca="false">CHOOSE($Q$15,Entorno!J$7,Entorno!J$8,Entorno!J$9)</f>
        <v>0.04</v>
      </c>
      <c r="K695" s="56" t="n">
        <f aca="false">CHOOSE($Q$15,Entorno!K$7,Entorno!K$8,Entorno!K$9)</f>
        <v>0.04</v>
      </c>
      <c r="L695" s="56" t="n">
        <f aca="false">CHOOSE($Q$15,Entorno!L$7,Entorno!L$8,Entorno!L$9)</f>
        <v>0.04</v>
      </c>
    </row>
    <row r="696" customFormat="false" ht="15" hidden="true" customHeight="false" outlineLevel="1" collapsed="false">
      <c r="A696" s="9" t="s">
        <v>407</v>
      </c>
      <c r="B696" s="57" t="n">
        <f aca="false">1+B695</f>
        <v>1.06</v>
      </c>
      <c r="C696" s="57" t="n">
        <f aca="false">B696*(1+C695)</f>
        <v>1.113</v>
      </c>
      <c r="D696" s="57" t="n">
        <f aca="false">C696*(1+D695)</f>
        <v>1.163085</v>
      </c>
      <c r="E696" s="57" t="n">
        <f aca="false">D696*(1+E695)</f>
        <v>1.2096084</v>
      </c>
      <c r="F696" s="57" t="n">
        <f aca="false">E696*(1+F695)</f>
        <v>1.257992736</v>
      </c>
      <c r="G696" s="57" t="n">
        <f aca="false">F696*(1+G695)</f>
        <v>1.30831244544</v>
      </c>
      <c r="H696" s="57" t="n">
        <f aca="false">G696*(1+H695)</f>
        <v>1.3606449432576</v>
      </c>
      <c r="I696" s="57" t="n">
        <f aca="false">H696*(1+I695)</f>
        <v>1.4150707409879</v>
      </c>
      <c r="J696" s="57" t="n">
        <f aca="false">I696*(1+J695)</f>
        <v>1.47167357062742</v>
      </c>
      <c r="K696" s="57" t="n">
        <f aca="false">J696*(1+K695)</f>
        <v>1.53054051345252</v>
      </c>
      <c r="L696" s="57" t="n">
        <f aca="false">K696*(1+L695)</f>
        <v>1.59176213399062</v>
      </c>
    </row>
    <row r="697" customFormat="false" ht="15" hidden="true" customHeight="false" outlineLevel="1" collapsed="false">
      <c r="A697" s="9" t="s">
        <v>408</v>
      </c>
      <c r="B697" s="57" t="n">
        <f aca="false">(1+$Q$16)/(1+B695)</f>
        <v>1.02358490566038</v>
      </c>
      <c r="C697" s="57" t="n">
        <f aca="false">B697*(1+Entorno!$B$13)</f>
        <v>1.02870283018868</v>
      </c>
      <c r="D697" s="57" t="n">
        <f aca="false">C697*(1+Entorno!$B$13)</f>
        <v>1.03384634433962</v>
      </c>
      <c r="E697" s="57" t="n">
        <f aca="false">D697*(1+Entorno!$B$13)</f>
        <v>1.03901557606132</v>
      </c>
      <c r="F697" s="57" t="n">
        <f aca="false">E697*(1+Entorno!$B$13)</f>
        <v>1.04421065394163</v>
      </c>
      <c r="G697" s="57" t="n">
        <f aca="false">F697*(1+Entorno!$B$13)</f>
        <v>1.04943170721133</v>
      </c>
      <c r="H697" s="57" t="n">
        <f aca="false">G697*(1+Entorno!$B$13)</f>
        <v>1.05467886574739</v>
      </c>
      <c r="I697" s="57" t="n">
        <f aca="false">H697*(1+Entorno!$B$13)</f>
        <v>1.05995226007613</v>
      </c>
      <c r="J697" s="57" t="n">
        <f aca="false">I697*(1+Entorno!$B$13)</f>
        <v>1.06525202137651</v>
      </c>
      <c r="K697" s="57" t="n">
        <f aca="false">J697*(1+Entorno!$B$13)</f>
        <v>1.07057828148339</v>
      </c>
      <c r="L697" s="57" t="n">
        <f aca="false">K697*(1+Entorno!$B$13)</f>
        <v>1.07593117289081</v>
      </c>
    </row>
    <row r="698" customFormat="false" ht="15" hidden="true" customHeight="false" outlineLevel="1" collapsed="false">
      <c r="A698" s="9" t="s">
        <v>409</v>
      </c>
      <c r="B698" s="57" t="n">
        <f aca="false">1/B696</f>
        <v>0.943396226415094</v>
      </c>
      <c r="C698" s="57" t="n">
        <f aca="false">1/C696</f>
        <v>0.898472596585804</v>
      </c>
      <c r="D698" s="57" t="n">
        <f aca="false">1/D696</f>
        <v>0.859782389077324</v>
      </c>
      <c r="E698" s="57" t="n">
        <f aca="false">1/E696</f>
        <v>0.826713835651273</v>
      </c>
      <c r="F698" s="57" t="n">
        <f aca="false">1/F696</f>
        <v>0.794917149664686</v>
      </c>
      <c r="G698" s="57" t="n">
        <f aca="false">1/G696</f>
        <v>0.764343413139121</v>
      </c>
      <c r="H698" s="57" t="n">
        <f aca="false">1/H696</f>
        <v>0.734945589556847</v>
      </c>
      <c r="I698" s="57" t="n">
        <f aca="false">1/I696</f>
        <v>0.706678451496968</v>
      </c>
      <c r="J698" s="57" t="n">
        <f aca="false">1/J696</f>
        <v>0.679498511054777</v>
      </c>
      <c r="K698" s="57" t="n">
        <f aca="false">1/K696</f>
        <v>0.653363952937286</v>
      </c>
      <c r="L698" s="57" t="n">
        <f aca="false">1/L696</f>
        <v>0.628234570132006</v>
      </c>
    </row>
    <row r="699" customFormat="false" ht="15" hidden="true" customHeight="false" outlineLevel="1" collapsed="false">
      <c r="A699" s="6" t="s">
        <v>323</v>
      </c>
      <c r="B699" s="29" t="n">
        <f aca="false">IF(B$47=0,Quesería!$F$92,IF(B$47=1,(Quesería!$F$93-(-$Q$26)*Quesería!$D$86*(1+Quesería!$I$86))*$Q$21,0))*$Q$11</f>
        <v>930.800239431677</v>
      </c>
      <c r="C699" s="29" t="n">
        <f aca="false">IF(C$47=0,Quesería!$F$92,IF(C$47=1,(Quesería!$F$93-(-$Q$26)*Quesería!$D$86*(1+Quesería!$I$86))*$Q$21,0))*$Q$11</f>
        <v>658.469066674498</v>
      </c>
      <c r="D699" s="29" t="n">
        <f aca="false">IF(D$47=0,Quesería!$F$92,IF(D$47=1,(Quesería!$F$93-(-$Q$26)*Quesería!$D$86*(1+Quesería!$I$86))*$Q$21,0))*$Q$11</f>
        <v>0</v>
      </c>
      <c r="E699" s="29" t="n">
        <f aca="false">IF(E$47=0,Quesería!$F$92,IF(E$47=1,(Quesería!$F$93-(-$Q$26)*Quesería!$D$86*(1+Quesería!$I$86))*$Q$21,0))*$Q$11</f>
        <v>0</v>
      </c>
      <c r="F699" s="29" t="n">
        <f aca="false">IF(F$47=0,Quesería!$F$92,IF(F$47=1,(Quesería!$F$93-(-$Q$26)*Quesería!$D$86*(1+Quesería!$I$86))*$Q$21,0))*$Q$11</f>
        <v>0</v>
      </c>
      <c r="G699" s="29" t="n">
        <f aca="false">IF(G$47=0,Quesería!$F$92,IF(G$47=1,(Quesería!$F$93-(-$Q$26)*Quesería!$D$86*(1+Quesería!$I$86))*$Q$21,0))*$Q$11</f>
        <v>0</v>
      </c>
      <c r="H699" s="29" t="n">
        <f aca="false">IF(H$47=0,Quesería!$F$92,IF(H$47=1,(Quesería!$F$93-(-$Q$26)*Quesería!$D$86*(1+Quesería!$I$86))*$Q$21,0))*$Q$11</f>
        <v>0</v>
      </c>
      <c r="I699" s="29" t="n">
        <f aca="false">IF(I$47=0,Quesería!$F$92,IF(I$47=1,(Quesería!$F$93-(-$Q$26)*Quesería!$D$86*(1+Quesería!$I$86))*$Q$21,0))*$Q$11</f>
        <v>0</v>
      </c>
      <c r="J699" s="29" t="n">
        <f aca="false">IF(J$47=0,Quesería!$F$92,IF(J$47=1,(Quesería!$F$93-(-$Q$26)*Quesería!$D$86*(1+Quesería!$I$86))*$Q$21,0))*$Q$11</f>
        <v>0</v>
      </c>
      <c r="K699" s="29" t="n">
        <f aca="false">IF(K$47=0,Quesería!$F$92,IF(K$47=1,(Quesería!$F$93-(-$Q$26)*Quesería!$D$86*(1+Quesería!$I$86))*$Q$21,0))*$Q$11</f>
        <v>0</v>
      </c>
      <c r="L699" s="29" t="n">
        <f aca="false">IF(L$47=0,Quesería!$F$92,IF(L$47=1,(Quesería!$F$93-(-$Q$26)*Quesería!$D$86*(1+Quesería!$I$86))*$Q$21,0))*$Q$11</f>
        <v>0</v>
      </c>
    </row>
    <row r="700" customFormat="false" ht="15" hidden="true" customHeight="false" outlineLevel="1" collapsed="false">
      <c r="A700" s="6" t="s">
        <v>410</v>
      </c>
      <c r="B700" s="29" t="n">
        <f aca="false">IF(B$47=5,Quesería!$F$99,IF(B$47=6,Quesería!$F$100,0))*$Q$11</f>
        <v>0</v>
      </c>
      <c r="C700" s="29" t="n">
        <f aca="false">IF(C$47=5,Quesería!$F$99,IF(C$47=6,Quesería!$F$100,0))*$Q$11</f>
        <v>0</v>
      </c>
      <c r="D700" s="29" t="n">
        <f aca="false">IF(D$47=5,Quesería!$F$99,IF(D$47=6,Quesería!$F$100,0))*$Q$11</f>
        <v>0</v>
      </c>
      <c r="E700" s="29" t="n">
        <f aca="false">IF(E$47=5,Quesería!$F$99,IF(E$47=6,Quesería!$F$100,0))*$Q$11</f>
        <v>0</v>
      </c>
      <c r="F700" s="29" t="n">
        <f aca="false">IF(F$47=5,Quesería!$F$99,IF(F$47=6,Quesería!$F$100,0))*$Q$11</f>
        <v>0</v>
      </c>
      <c r="G700" s="29" t="n">
        <f aca="false">IF(G$47=5,Quesería!$F$99,IF(G$47=6,Quesería!$F$100,0))*$Q$11</f>
        <v>27.4652172688735</v>
      </c>
      <c r="H700" s="29" t="n">
        <f aca="false">IF(H$47=5,Quesería!$F$99,IF(H$47=6,Quesería!$F$100,0))*$Q$11</f>
        <v>46.3891557109552</v>
      </c>
      <c r="I700" s="29" t="n">
        <f aca="false">IF(I$47=5,Quesería!$F$99,IF(I$47=6,Quesería!$F$100,0))*$Q$11</f>
        <v>0</v>
      </c>
      <c r="J700" s="29" t="n">
        <f aca="false">IF(J$47=5,Quesería!$F$99,IF(J$47=6,Quesería!$F$100,0))*$Q$11</f>
        <v>0</v>
      </c>
      <c r="K700" s="29" t="n">
        <f aca="false">IF(K$47=5,Quesería!$F$99,IF(K$47=6,Quesería!$F$100,0))*$Q$11</f>
        <v>0</v>
      </c>
      <c r="L700" s="29" t="n">
        <f aca="false">IF(L$47=5,Quesería!$F$99,IF(L$47=6,Quesería!$F$100,0))*$Q$11</f>
        <v>0</v>
      </c>
    </row>
    <row r="701" customFormat="false" ht="15" hidden="true" customHeight="false" outlineLevel="1" collapsed="false">
      <c r="A701" s="6" t="s">
        <v>411</v>
      </c>
      <c r="B701" s="29" t="n">
        <f aca="false">Quesería!$B$55*(IF(B$47=0,SUMPRODUCT((Quesería!$C$70:$C$89=0)*(Quesería!$H$70:$H$89&gt;0)*(Quesería!$J$70:$J$89&gt;0)*Quesería!$F$70:$F$89*(1+Quesería!$I$70:$I$89)),IF(B$47=1,(SUMPRODUCT((Quesería!$C$70:$C$89=1)*(Quesería!$H$70:$H$89&gt;0)*(Quesería!$J$70:$J$89&gt;0)*Quesería!$F$70:$F$89*(1+Quesería!$I$70:$I$89))-(-$Q$26)*Quesería!$D$86*(1+Quesería!$I$86))*$Q$21,0))*$Q$11+B700)</f>
        <v>149.115671560178</v>
      </c>
      <c r="C701" s="29" t="n">
        <f aca="false">Quesería!$B$55*(IF(C$47=0,SUMPRODUCT((Quesería!$C$70:$C$89=0)*(Quesería!$H$70:$H$89&gt;0)*(Quesería!$J$70:$J$89&gt;0)*Quesería!$F$70:$F$89*(1+Quesería!$I$70:$I$89)),IF(C$47=1,(SUMPRODUCT((Quesería!$C$70:$C$89=1)*(Quesería!$H$70:$H$89&gt;0)*(Quesería!$J$70:$J$89&gt;0)*Quesería!$F$70:$F$89*(1+Quesería!$I$70:$I$89))-(-$Q$26)*Quesería!$D$86*(1+Quesería!$I$86))*$Q$21,0))*$Q$11+C700)</f>
        <v>125.109122668155</v>
      </c>
      <c r="D701" s="29" t="n">
        <f aca="false">Quesería!$B$55*(IF(D$47=0,SUMPRODUCT((Quesería!$C$70:$C$89=0)*(Quesería!$H$70:$H$89&gt;0)*(Quesería!$J$70:$J$89&gt;0)*Quesería!$F$70:$F$89*(1+Quesería!$I$70:$I$89)),IF(D$47=1,(SUMPRODUCT((Quesería!$C$70:$C$89=1)*(Quesería!$H$70:$H$89&gt;0)*(Quesería!$J$70:$J$89&gt;0)*Quesería!$F$70:$F$89*(1+Quesería!$I$70:$I$89))-(-$Q$26)*Quesería!$D$86*(1+Quesería!$I$86))*$Q$21,0))*$Q$11+D700)</f>
        <v>0</v>
      </c>
      <c r="E701" s="29" t="n">
        <f aca="false">Quesería!$B$55*(IF(E$47=0,SUMPRODUCT((Quesería!$C$70:$C$89=0)*(Quesería!$H$70:$H$89&gt;0)*(Quesería!$J$70:$J$89&gt;0)*Quesería!$F$70:$F$89*(1+Quesería!$I$70:$I$89)),IF(E$47=1,(SUMPRODUCT((Quesería!$C$70:$C$89=1)*(Quesería!$H$70:$H$89&gt;0)*(Quesería!$J$70:$J$89&gt;0)*Quesería!$F$70:$F$89*(1+Quesería!$I$70:$I$89))-(-$Q$26)*Quesería!$D$86*(1+Quesería!$I$86))*$Q$21,0))*$Q$11+E700)</f>
        <v>0</v>
      </c>
      <c r="F701" s="29" t="n">
        <f aca="false">Quesería!$B$55*(IF(F$47=0,SUMPRODUCT((Quesería!$C$70:$C$89=0)*(Quesería!$H$70:$H$89&gt;0)*(Quesería!$J$70:$J$89&gt;0)*Quesería!$F$70:$F$89*(1+Quesería!$I$70:$I$89)),IF(F$47=1,(SUMPRODUCT((Quesería!$C$70:$C$89=1)*(Quesería!$H$70:$H$89&gt;0)*(Quesería!$J$70:$J$89&gt;0)*Quesería!$F$70:$F$89*(1+Quesería!$I$70:$I$89))-(-$Q$26)*Quesería!$D$86*(1+Quesería!$I$86))*$Q$21,0))*$Q$11+F700)</f>
        <v>0</v>
      </c>
      <c r="G701" s="29" t="n">
        <f aca="false">Quesería!$B$55*(IF(G$47=0,SUMPRODUCT((Quesería!$C$70:$C$89=0)*(Quesería!$H$70:$H$89&gt;0)*(Quesería!$J$70:$J$89&gt;0)*Quesería!$F$70:$F$89*(1+Quesería!$I$70:$I$89)),IF(G$47=1,(SUMPRODUCT((Quesería!$C$70:$C$89=1)*(Quesería!$H$70:$H$89&gt;0)*(Quesería!$J$70:$J$89&gt;0)*Quesería!$F$70:$F$89*(1+Quesería!$I$70:$I$89))-(-$Q$26)*Quesería!$D$86*(1+Quesería!$I$86))*$Q$21,0))*$Q$11+G700)</f>
        <v>5.21839128108597</v>
      </c>
      <c r="H701" s="29" t="n">
        <f aca="false">Quesería!$B$55*(IF(H$47=0,SUMPRODUCT((Quesería!$C$70:$C$89=0)*(Quesería!$H$70:$H$89&gt;0)*(Quesería!$J$70:$J$89&gt;0)*Quesería!$F$70:$F$89*(1+Quesería!$I$70:$I$89)),IF(H$47=1,(SUMPRODUCT((Quesería!$C$70:$C$89=1)*(Quesería!$H$70:$H$89&gt;0)*(Quesería!$J$70:$J$89&gt;0)*Quesería!$F$70:$F$89*(1+Quesería!$I$70:$I$89))-(-$Q$26)*Quesería!$D$86*(1+Quesería!$I$86))*$Q$21,0))*$Q$11+H700)</f>
        <v>8.8139395850815</v>
      </c>
      <c r="I701" s="29" t="n">
        <f aca="false">Quesería!$B$55*(IF(I$47=0,SUMPRODUCT((Quesería!$C$70:$C$89=0)*(Quesería!$H$70:$H$89&gt;0)*(Quesería!$J$70:$J$89&gt;0)*Quesería!$F$70:$F$89*(1+Quesería!$I$70:$I$89)),IF(I$47=1,(SUMPRODUCT((Quesería!$C$70:$C$89=1)*(Quesería!$H$70:$H$89&gt;0)*(Quesería!$J$70:$J$89&gt;0)*Quesería!$F$70:$F$89*(1+Quesería!$I$70:$I$89))-(-$Q$26)*Quesería!$D$86*(1+Quesería!$I$86))*$Q$21,0))*$Q$11+I700)</f>
        <v>0</v>
      </c>
      <c r="J701" s="29" t="n">
        <f aca="false">Quesería!$B$55*(IF(J$47=0,SUMPRODUCT((Quesería!$C$70:$C$89=0)*(Quesería!$H$70:$H$89&gt;0)*(Quesería!$J$70:$J$89&gt;0)*Quesería!$F$70:$F$89*(1+Quesería!$I$70:$I$89)),IF(J$47=1,(SUMPRODUCT((Quesería!$C$70:$C$89=1)*(Quesería!$H$70:$H$89&gt;0)*(Quesería!$J$70:$J$89&gt;0)*Quesería!$F$70:$F$89*(1+Quesería!$I$70:$I$89))-(-$Q$26)*Quesería!$D$86*(1+Quesería!$I$86))*$Q$21,0))*$Q$11+J700)</f>
        <v>0</v>
      </c>
      <c r="K701" s="29" t="n">
        <f aca="false">Quesería!$B$55*(IF(K$47=0,SUMPRODUCT((Quesería!$C$70:$C$89=0)*(Quesería!$H$70:$H$89&gt;0)*(Quesería!$J$70:$J$89&gt;0)*Quesería!$F$70:$F$89*(1+Quesería!$I$70:$I$89)),IF(K$47=1,(SUMPRODUCT((Quesería!$C$70:$C$89=1)*(Quesería!$H$70:$H$89&gt;0)*(Quesería!$J$70:$J$89&gt;0)*Quesería!$F$70:$F$89*(1+Quesería!$I$70:$I$89))-(-$Q$26)*Quesería!$D$86*(1+Quesería!$I$86))*$Q$21,0))*$Q$11+K700)</f>
        <v>0</v>
      </c>
      <c r="L701" s="29" t="n">
        <f aca="false">Quesería!$B$55*(IF(L$47=0,SUMPRODUCT((Quesería!$C$70:$C$89=0)*(Quesería!$H$70:$H$89&gt;0)*(Quesería!$J$70:$J$89&gt;0)*Quesería!$F$70:$F$89*(1+Quesería!$I$70:$I$89)),IF(L$47=1,(SUMPRODUCT((Quesería!$C$70:$C$89=1)*(Quesería!$H$70:$H$89&gt;0)*(Quesería!$J$70:$J$89&gt;0)*Quesería!$F$70:$F$89*(1+Quesería!$I$70:$I$89))-(-$Q$26)*Quesería!$D$86*(1+Quesería!$I$86))*$Q$21,0))*$Q$11+L700)</f>
        <v>0</v>
      </c>
    </row>
    <row r="702" customFormat="false" ht="15" hidden="true" customHeight="false" outlineLevel="1" collapsed="false">
      <c r="A702" s="6" t="s">
        <v>386</v>
      </c>
      <c r="B702" s="29" t="n">
        <f aca="false">IF(B$47=0,($Q$22*Quesería!$J$126+(1-$Q$22)*Quesería!$E$122)*Quesería!$B$20*Quesería!$B$21/12*$Q$23,(($Q$22*Quesería!$J$126+(1-$Q$22)*Quesería!$E$122)+($Q$22*Quesería!$J$104+(1-$Q$22)*Quesería!$E$104)*(B697-1))*IF(B$47=1,Quesería!$B$20,1))*$Q$10</f>
        <v>120.716772261203</v>
      </c>
      <c r="C702" s="29" t="n">
        <f aca="false">IF(C$47=0,($Q$22*Quesería!$J$126+(1-$Q$22)*Quesería!$E$122)*Quesería!$B$20*Quesería!$B$21/12*$Q$23,(($Q$22*Quesería!$J$126+(1-$Q$22)*Quesería!$E$122)+($Q$22*Quesería!$J$104+(1-$Q$22)*Quesería!$E$104)*(C697-1))*IF(C$47=1,Quesería!$B$20,1))*$Q$10</f>
        <v>181.328317354069</v>
      </c>
      <c r="D702" s="29" t="n">
        <f aca="false">IF(D$47=0,($Q$22*Quesería!$J$126+(1-$Q$22)*Quesería!$E$122)*Quesería!$B$20*Quesería!$B$21/12*$Q$23,(($Q$22*Quesería!$J$126+(1-$Q$22)*Quesería!$E$122)+($Q$22*Quesería!$J$104+(1-$Q$22)*Quesería!$E$104)*(D697-1))*IF(D$47=1,Quesería!$B$20,1))*$Q$10</f>
        <v>241.83157753184</v>
      </c>
      <c r="E702" s="29" t="n">
        <f aca="false">IF(E$47=0,($Q$22*Quesería!$J$126+(1-$Q$22)*Quesería!$E$122)*Quesería!$B$20*Quesería!$B$21/12*$Q$23,(($Q$22*Quesería!$J$126+(1-$Q$22)*Quesería!$E$122)+($Q$22*Quesería!$J$104+(1-$Q$22)*Quesería!$E$104)*(E697-1))*IF(E$47=1,Quesería!$B$20,1))*$Q$10</f>
        <v>241.892367696887</v>
      </c>
      <c r="F702" s="29" t="n">
        <f aca="false">IF(F$47=0,($Q$22*Quesería!$J$126+(1-$Q$22)*Quesería!$E$122)*Quesería!$B$20*Quesería!$B$21/12*$Q$23,(($Q$22*Quesería!$J$126+(1-$Q$22)*Quesería!$E$122)+($Q$22*Quesería!$J$104+(1-$Q$22)*Quesería!$E$104)*(F697-1))*IF(F$47=1,Quesería!$B$20,1))*$Q$10</f>
        <v>241.95346181276</v>
      </c>
      <c r="G702" s="29" t="n">
        <f aca="false">IF(G$47=0,($Q$22*Quesería!$J$126+(1-$Q$22)*Quesería!$E$122)*Quesería!$B$20*Quesería!$B$21/12*$Q$23,(($Q$22*Quesería!$J$126+(1-$Q$22)*Quesería!$E$122)+($Q$22*Quesería!$J$104+(1-$Q$22)*Quesería!$E$104)*(G697-1))*IF(G$47=1,Quesería!$B$20,1))*$Q$10</f>
        <v>242.014861399211</v>
      </c>
      <c r="H702" s="29" t="n">
        <f aca="false">IF(H$47=0,($Q$22*Quesería!$J$126+(1-$Q$22)*Quesería!$E$122)*Quesería!$B$20*Quesería!$B$21/12*$Q$23,(($Q$22*Quesería!$J$126+(1-$Q$22)*Quesería!$E$122)+($Q$22*Quesería!$J$104+(1-$Q$22)*Quesería!$E$104)*(H697-1))*IF(H$47=1,Quesería!$B$20,1))*$Q$10</f>
        <v>242.076567983595</v>
      </c>
      <c r="I702" s="29" t="n">
        <f aca="false">IF(I$47=0,($Q$22*Quesería!$J$126+(1-$Q$22)*Quesería!$E$122)*Quesería!$B$20*Quesería!$B$21/12*$Q$23,(($Q$22*Quesería!$J$126+(1-$Q$22)*Quesería!$E$122)+($Q$22*Quesería!$J$104+(1-$Q$22)*Quesería!$E$104)*(I697-1))*IF(I$47=1,Quesería!$B$20,1))*$Q$10</f>
        <v>242.138583100901</v>
      </c>
      <c r="J702" s="29" t="n">
        <f aca="false">IF(J$47=0,($Q$22*Quesería!$J$126+(1-$Q$22)*Quesería!$E$122)*Quesería!$B$20*Quesería!$B$21/12*$Q$23,(($Q$22*Quesería!$J$126+(1-$Q$22)*Quesería!$E$122)+($Q$22*Quesería!$J$104+(1-$Q$22)*Quesería!$E$104)*(J697-1))*IF(J$47=1,Quesería!$B$20,1))*$Q$10</f>
        <v>242.200908293794</v>
      </c>
      <c r="K702" s="29" t="n">
        <f aca="false">IF(K$47=0,($Q$22*Quesería!$J$126+(1-$Q$22)*Quesería!$E$122)*Quesería!$B$20*Quesería!$B$21/12*$Q$23,(($Q$22*Quesería!$J$126+(1-$Q$22)*Quesería!$E$122)+($Q$22*Quesería!$J$104+(1-$Q$22)*Quesería!$E$104)*(K697-1))*IF(K$47=1,Quesería!$B$20,1))*$Q$10</f>
        <v>242.263545112651</v>
      </c>
      <c r="L702" s="29" t="n">
        <f aca="false">IF(L$47=0,($Q$22*Quesería!$J$126+(1-$Q$22)*Quesería!$E$122)*Quesería!$B$20*Quesería!$B$21/12*$Q$23,(($Q$22*Quesería!$J$126+(1-$Q$22)*Quesería!$E$122)+($Q$22*Quesería!$J$104+(1-$Q$22)*Quesería!$E$104)*(L697-1))*IF(L$47=1,Quesería!$B$20,1))*$Q$10</f>
        <v>242.326495115602</v>
      </c>
    </row>
    <row r="703" customFormat="false" ht="15" hidden="true" customHeight="false" outlineLevel="1" collapsed="false">
      <c r="A703" s="6" t="s">
        <v>387</v>
      </c>
      <c r="B703" s="29" t="n">
        <f aca="false">IF(B$47&lt;=1,0,((($Q$22*Quesería!$J$127+(1-$Q$22)*Quesería!$E$123)-($Q$22*Quesería!$J$113+(1-$Q$22)*Quesería!$E$113)+$Q$6*($Q$22*Quesería!$J$113+(1-$Q$22)*Quesería!$E$113)-(1-$Q$9)*(($Q$22*Quesería!$J$119+(1-$Q$22)*Quesería!$E$119)+($Q$22*Quesería!$J$118+(1-$Q$22)*Quesería!$E$118))-(1-$Q$24)*($Q$22*Quesería!$J$117+(1-$Q$22)*Quesería!$E$117)+$Q$24*(1-$Q$25)*'Beneficios y costos'!$B$144-(-$Q$26*$Q$27)*'Beneficios y costos'!$C$167)+($Q$6*($Q$22*Quesería!$J$113+(1-$Q$22)*Quesería!$E$113)+$Q$9*($Q$22*Quesería!$J$119+(1-$Q$22)*Quesería!$E$119))*(B697-1))*IF(B$47=2,Quesería!$B$20,1)+IF(B$47=2,Quesería!$B$24*$Q$9*($Q$22*Quesería!$J$119+(1-$Q$22)*Quesería!$E$119)*B697,0))*$Q$10*$Q$21</f>
        <v>0</v>
      </c>
      <c r="C703" s="29" t="n">
        <f aca="false">IF(C$47&lt;=1,0,((($Q$22*Quesería!$J$127+(1-$Q$22)*Quesería!$E$123)-($Q$22*Quesería!$J$113+(1-$Q$22)*Quesería!$E$113)+$Q$6*($Q$22*Quesería!$J$113+(1-$Q$22)*Quesería!$E$113)-(1-$Q$9)*(($Q$22*Quesería!$J$119+(1-$Q$22)*Quesería!$E$119)+($Q$22*Quesería!$J$118+(1-$Q$22)*Quesería!$E$118))-(1-$Q$24)*($Q$22*Quesería!$J$117+(1-$Q$22)*Quesería!$E$117)+$Q$24*(1-$Q$25)*'Beneficios y costos'!$B$144-(-$Q$26*$Q$27)*'Beneficios y costos'!$C$167)+($Q$6*($Q$22*Quesería!$J$113+(1-$Q$22)*Quesería!$E$113)+$Q$9*($Q$22*Quesería!$J$119+(1-$Q$22)*Quesería!$E$119))*(C697-1))*IF(C$47=2,Quesería!$B$20,1)+IF(C$47=2,Quesería!$B$24*$Q$9*($Q$22*Quesería!$J$119+(1-$Q$22)*Quesería!$E$119)*C697,0))*$Q$10*$Q$21</f>
        <v>0</v>
      </c>
      <c r="D703" s="29" t="n">
        <f aca="false">IF(D$47&lt;=1,0,((($Q$22*Quesería!$J$127+(1-$Q$22)*Quesería!$E$123)-($Q$22*Quesería!$J$113+(1-$Q$22)*Quesería!$E$113)+$Q$6*($Q$22*Quesería!$J$113+(1-$Q$22)*Quesería!$E$113)-(1-$Q$9)*(($Q$22*Quesería!$J$119+(1-$Q$22)*Quesería!$E$119)+($Q$22*Quesería!$J$118+(1-$Q$22)*Quesería!$E$118))-(1-$Q$24)*($Q$22*Quesería!$J$117+(1-$Q$22)*Quesería!$E$117)+$Q$24*(1-$Q$25)*'Beneficios y costos'!$B$144-(-$Q$26*$Q$27)*'Beneficios y costos'!$C$167)+($Q$6*($Q$22*Quesería!$J$113+(1-$Q$22)*Quesería!$E$113)+$Q$9*($Q$22*Quesería!$J$119+(1-$Q$22)*Quesería!$E$119))*(D697-1))*IF(D$47=2,Quesería!$B$20,1)+IF(D$47=2,Quesería!$B$24*$Q$9*($Q$22*Quesería!$J$119+(1-$Q$22)*Quesería!$E$119)*D697,0))*$Q$10*$Q$21</f>
        <v>257.351493734688</v>
      </c>
      <c r="E703" s="29" t="n">
        <f aca="false">IF(E$47&lt;=1,0,((($Q$22*Quesería!$J$127+(1-$Q$22)*Quesería!$E$123)-($Q$22*Quesería!$J$113+(1-$Q$22)*Quesería!$E$113)+$Q$6*($Q$22*Quesería!$J$113+(1-$Q$22)*Quesería!$E$113)-(1-$Q$9)*(($Q$22*Quesería!$J$119+(1-$Q$22)*Quesería!$E$119)+($Q$22*Quesería!$J$118+(1-$Q$22)*Quesería!$E$118))-(1-$Q$24)*($Q$22*Quesería!$J$117+(1-$Q$22)*Quesería!$E$117)+$Q$24*(1-$Q$25)*'Beneficios y costos'!$B$144-(-$Q$26*$Q$27)*'Beneficios y costos'!$C$167)+($Q$6*($Q$22*Quesería!$J$113+(1-$Q$22)*Quesería!$E$113)+$Q$9*($Q$22*Quesería!$J$119+(1-$Q$22)*Quesería!$E$119))*(E697-1))*IF(E$47=2,Quesería!$B$20,1)+IF(E$47=2,Quesería!$B$24*$Q$9*($Q$22*Quesería!$J$119+(1-$Q$22)*Quesería!$E$119)*E697,0))*$Q$10*$Q$21</f>
        <v>328.494820128122</v>
      </c>
      <c r="F703" s="29" t="n">
        <f aca="false">IF(F$47&lt;=1,0,((($Q$22*Quesería!$J$127+(1-$Q$22)*Quesería!$E$123)-($Q$22*Quesería!$J$113+(1-$Q$22)*Quesería!$E$113)+$Q$6*($Q$22*Quesería!$J$113+(1-$Q$22)*Quesería!$E$113)-(1-$Q$9)*(($Q$22*Quesería!$J$119+(1-$Q$22)*Quesería!$E$119)+($Q$22*Quesería!$J$118+(1-$Q$22)*Quesería!$E$118))-(1-$Q$24)*($Q$22*Quesería!$J$117+(1-$Q$22)*Quesería!$E$117)+$Q$24*(1-$Q$25)*'Beneficios y costos'!$B$144-(-$Q$26*$Q$27)*'Beneficios y costos'!$C$167)+($Q$6*($Q$22*Quesería!$J$113+(1-$Q$22)*Quesería!$E$113)+$Q$9*($Q$22*Quesería!$J$119+(1-$Q$22)*Quesería!$E$119))*(F697-1))*IF(F$47=2,Quesería!$B$20,1)+IF(F$47=2,Quesería!$B$24*$Q$9*($Q$22*Quesería!$J$119+(1-$Q$22)*Quesería!$E$119)*F697,0))*$Q$10*$Q$21</f>
        <v>328.742937047686</v>
      </c>
      <c r="G703" s="29" t="n">
        <f aca="false">IF(G$47&lt;=1,0,((($Q$22*Quesería!$J$127+(1-$Q$22)*Quesería!$E$123)-($Q$22*Quesería!$J$113+(1-$Q$22)*Quesería!$E$113)+$Q$6*($Q$22*Quesería!$J$113+(1-$Q$22)*Quesería!$E$113)-(1-$Q$9)*(($Q$22*Quesería!$J$119+(1-$Q$22)*Quesería!$E$119)+($Q$22*Quesería!$J$118+(1-$Q$22)*Quesería!$E$118))-(1-$Q$24)*($Q$22*Quesería!$J$117+(1-$Q$22)*Quesería!$E$117)+$Q$24*(1-$Q$25)*'Beneficios y costos'!$B$144-(-$Q$26*$Q$27)*'Beneficios y costos'!$C$167)+($Q$6*($Q$22*Quesería!$J$113+(1-$Q$22)*Quesería!$E$113)+$Q$9*($Q$22*Quesería!$J$119+(1-$Q$22)*Quesería!$E$119))*(G697-1))*IF(G$47=2,Quesería!$B$20,1)+IF(G$47=2,Quesería!$B$24*$Q$9*($Q$22*Quesería!$J$119+(1-$Q$22)*Quesería!$E$119)*G697,0))*$Q$10*$Q$21</f>
        <v>328.992294551847</v>
      </c>
      <c r="H703" s="29" t="n">
        <f aca="false">IF(H$47&lt;=1,0,((($Q$22*Quesería!$J$127+(1-$Q$22)*Quesería!$E$123)-($Q$22*Quesería!$J$113+(1-$Q$22)*Quesería!$E$113)+$Q$6*($Q$22*Quesería!$J$113+(1-$Q$22)*Quesería!$E$113)-(1-$Q$9)*(($Q$22*Quesería!$J$119+(1-$Q$22)*Quesería!$E$119)+($Q$22*Quesería!$J$118+(1-$Q$22)*Quesería!$E$118))-(1-$Q$24)*($Q$22*Quesería!$J$117+(1-$Q$22)*Quesería!$E$117)+$Q$24*(1-$Q$25)*'Beneficios y costos'!$B$144-(-$Q$26*$Q$27)*'Beneficios y costos'!$C$167)+($Q$6*($Q$22*Quesería!$J$113+(1-$Q$22)*Quesería!$E$113)+$Q$9*($Q$22*Quesería!$J$119+(1-$Q$22)*Quesería!$E$119))*(H697-1))*IF(H$47=2,Quesería!$B$20,1)+IF(H$47=2,Quesería!$B$24*$Q$9*($Q$22*Quesería!$J$119+(1-$Q$22)*Quesería!$E$119)*H697,0))*$Q$10*$Q$21</f>
        <v>329.242898843529</v>
      </c>
      <c r="I703" s="29" t="n">
        <f aca="false">IF(I$47&lt;=1,0,((($Q$22*Quesería!$J$127+(1-$Q$22)*Quesería!$E$123)-($Q$22*Quesería!$J$113+(1-$Q$22)*Quesería!$E$113)+$Q$6*($Q$22*Quesería!$J$113+(1-$Q$22)*Quesería!$E$113)-(1-$Q$9)*(($Q$22*Quesería!$J$119+(1-$Q$22)*Quesería!$E$119)+($Q$22*Quesería!$J$118+(1-$Q$22)*Quesería!$E$118))-(1-$Q$24)*($Q$22*Quesería!$J$117+(1-$Q$22)*Quesería!$E$117)+$Q$24*(1-$Q$25)*'Beneficios y costos'!$B$144-(-$Q$26*$Q$27)*'Beneficios y costos'!$C$167)+($Q$6*($Q$22*Quesería!$J$113+(1-$Q$22)*Quesería!$E$113)+$Q$9*($Q$22*Quesería!$J$119+(1-$Q$22)*Quesería!$E$119))*(I697-1))*IF(I$47=2,Quesería!$B$20,1)+IF(I$47=2,Quesería!$B$24*$Q$9*($Q$22*Quesería!$J$119+(1-$Q$22)*Quesería!$E$119)*I697,0))*$Q$10*$Q$21</f>
        <v>329.49475615667</v>
      </c>
      <c r="J703" s="29" t="n">
        <f aca="false">IF(J$47&lt;=1,0,((($Q$22*Quesería!$J$127+(1-$Q$22)*Quesería!$E$123)-($Q$22*Quesería!$J$113+(1-$Q$22)*Quesería!$E$113)+$Q$6*($Q$22*Quesería!$J$113+(1-$Q$22)*Quesería!$E$113)-(1-$Q$9)*(($Q$22*Quesería!$J$119+(1-$Q$22)*Quesería!$E$119)+($Q$22*Quesería!$J$118+(1-$Q$22)*Quesería!$E$118))-(1-$Q$24)*($Q$22*Quesería!$J$117+(1-$Q$22)*Quesería!$E$117)+$Q$24*(1-$Q$25)*'Beneficios y costos'!$B$144-(-$Q$26*$Q$27)*'Beneficios y costos'!$C$167)+($Q$6*($Q$22*Quesería!$J$113+(1-$Q$22)*Quesería!$E$113)+$Q$9*($Q$22*Quesería!$J$119+(1-$Q$22)*Quesería!$E$119))*(J697-1))*IF(J$47=2,Quesería!$B$20,1)+IF(J$47=2,Quesería!$B$24*$Q$9*($Q$22*Quesería!$J$119+(1-$Q$22)*Quesería!$E$119)*J697,0))*$Q$10*$Q$21</f>
        <v>329.747872756376</v>
      </c>
      <c r="K703" s="29" t="n">
        <f aca="false">IF(K$47&lt;=1,0,((($Q$22*Quesería!$J$127+(1-$Q$22)*Quesería!$E$123)-($Q$22*Quesería!$J$113+(1-$Q$22)*Quesería!$E$113)+$Q$6*($Q$22*Quesería!$J$113+(1-$Q$22)*Quesería!$E$113)-(1-$Q$9)*(($Q$22*Quesería!$J$119+(1-$Q$22)*Quesería!$E$119)+($Q$22*Quesería!$J$118+(1-$Q$22)*Quesería!$E$118))-(1-$Q$24)*($Q$22*Quesería!$J$117+(1-$Q$22)*Quesería!$E$117)+$Q$24*(1-$Q$25)*'Beneficios y costos'!$B$144-(-$Q$26*$Q$27)*'Beneficios y costos'!$C$167)+($Q$6*($Q$22*Quesería!$J$113+(1-$Q$22)*Quesería!$E$113)+$Q$9*($Q$22*Quesería!$J$119+(1-$Q$22)*Quesería!$E$119))*(K697-1))*IF(K$47=2,Quesería!$B$20,1)+IF(K$47=2,Quesería!$B$24*$Q$9*($Q$22*Quesería!$J$119+(1-$Q$22)*Quesería!$E$119)*K697,0))*$Q$10*$Q$21</f>
        <v>330.00225493908</v>
      </c>
      <c r="L703" s="29" t="n">
        <f aca="false">IF(L$47&lt;=1,0,((($Q$22*Quesería!$J$127+(1-$Q$22)*Quesería!$E$123)-($Q$22*Quesería!$J$113+(1-$Q$22)*Quesería!$E$113)+$Q$6*($Q$22*Quesería!$J$113+(1-$Q$22)*Quesería!$E$113)-(1-$Q$9)*(($Q$22*Quesería!$J$119+(1-$Q$22)*Quesería!$E$119)+($Q$22*Quesería!$J$118+(1-$Q$22)*Quesería!$E$118))-(1-$Q$24)*($Q$22*Quesería!$J$117+(1-$Q$22)*Quesería!$E$117)+$Q$24*(1-$Q$25)*'Beneficios y costos'!$B$144-(-$Q$26*$Q$27)*'Beneficios y costos'!$C$167)+($Q$6*($Q$22*Quesería!$J$113+(1-$Q$22)*Quesería!$E$113)+$Q$9*($Q$22*Quesería!$J$119+(1-$Q$22)*Quesería!$E$119))*(L697-1))*IF(L$47=2,Quesería!$B$20,1)+IF(L$47=2,Quesería!$B$24*$Q$9*($Q$22*Quesería!$J$119+(1-$Q$22)*Quesería!$E$119)*L697,0))*$Q$10*$Q$21</f>
        <v>330.257909032699</v>
      </c>
    </row>
    <row r="704" customFormat="false" ht="15" hidden="true" customHeight="false" outlineLevel="1" collapsed="false">
      <c r="A704" s="5" t="s">
        <v>412</v>
      </c>
      <c r="B704" s="10" t="n">
        <f aca="false">B702+B703</f>
        <v>120.716772261203</v>
      </c>
      <c r="C704" s="10" t="n">
        <f aca="false">C702+C703</f>
        <v>181.328317354069</v>
      </c>
      <c r="D704" s="10" t="n">
        <f aca="false">D702+D703</f>
        <v>499.183071266528</v>
      </c>
      <c r="E704" s="10" t="n">
        <f aca="false">E702+E703</f>
        <v>570.38718782501</v>
      </c>
      <c r="F704" s="10" t="n">
        <f aca="false">F702+F703</f>
        <v>570.696398860445</v>
      </c>
      <c r="G704" s="10" t="n">
        <f aca="false">G702+G703</f>
        <v>571.007155951058</v>
      </c>
      <c r="H704" s="10" t="n">
        <f aca="false">H702+H703</f>
        <v>571.319466827124</v>
      </c>
      <c r="I704" s="10" t="n">
        <f aca="false">I702+I703</f>
        <v>571.633339257571</v>
      </c>
      <c r="J704" s="10" t="n">
        <f aca="false">J702+J703</f>
        <v>571.94878105017</v>
      </c>
      <c r="K704" s="10" t="n">
        <f aca="false">K702+K703</f>
        <v>572.265800051731</v>
      </c>
      <c r="L704" s="10" t="n">
        <f aca="false">L702+L703</f>
        <v>572.584404148301</v>
      </c>
    </row>
    <row r="705" customFormat="false" ht="15" hidden="true" customHeight="false" outlineLevel="1" collapsed="false">
      <c r="A705" s="6" t="s">
        <v>413</v>
      </c>
      <c r="B705" s="29" t="n">
        <f aca="false">(IF(B$47&gt;=1,(Quesería!$B$31+Quesería!$B$33)*Quesería!$F$94*$Q$11+Quesería!$B$32+'Beneficios y costos'!$B$249,0)+IF(B$47&gt;=2,((Quesería!$B$31+Quesería!$B$33)*(Quesería!$F$95-(-$Q$26)*Quesería!$D$86)*$Q$11+'Beneficios y costos'!$C$249-(-$Q$26)*'Beneficios y costos'!$H$235)*$Q$21,0))*$Q$12</f>
        <v>0</v>
      </c>
      <c r="C705" s="29" t="n">
        <f aca="false">(IF(C$47&gt;=1,(Quesería!$B$31+Quesería!$B$33)*Quesería!$F$94*$Q$11+Quesería!$B$32+'Beneficios y costos'!$B$249,0)+IF(C$47&gt;=2,((Quesería!$B$31+Quesería!$B$33)*(Quesería!$F$95-(-$Q$26)*Quesería!$D$86)*$Q$11+'Beneficios y costos'!$C$249-(-$Q$26)*'Beneficios y costos'!$H$235)*$Q$21,0))*$Q$12</f>
        <v>42.0946487260605</v>
      </c>
      <c r="D705" s="29" t="n">
        <f aca="false">(IF(D$47&gt;=1,(Quesería!$B$31+Quesería!$B$33)*Quesería!$F$94*$Q$11+Quesería!$B$32+'Beneficios y costos'!$B$249,0)+IF(D$47&gt;=2,((Quesería!$B$31+Quesería!$B$33)*(Quesería!$F$95-(-$Q$26)*Quesería!$D$86)*$Q$11+'Beneficios y costos'!$C$249-(-$Q$26)*'Beneficios y costos'!$H$235)*$Q$21,0))*$Q$12</f>
        <v>76.4964821173776</v>
      </c>
      <c r="E705" s="29" t="n">
        <f aca="false">(IF(E$47&gt;=1,(Quesería!$B$31+Quesería!$B$33)*Quesería!$F$94*$Q$11+Quesería!$B$32+'Beneficios y costos'!$B$249,0)+IF(E$47&gt;=2,((Quesería!$B$31+Quesería!$B$33)*(Quesería!$F$95-(-$Q$26)*Quesería!$D$86)*$Q$11+'Beneficios y costos'!$C$249-(-$Q$26)*'Beneficios y costos'!$H$235)*$Q$21,0))*$Q$12</f>
        <v>76.4964821173776</v>
      </c>
      <c r="F705" s="29" t="n">
        <f aca="false">(IF(F$47&gt;=1,(Quesería!$B$31+Quesería!$B$33)*Quesería!$F$94*$Q$11+Quesería!$B$32+'Beneficios y costos'!$B$249,0)+IF(F$47&gt;=2,((Quesería!$B$31+Quesería!$B$33)*(Quesería!$F$95-(-$Q$26)*Quesería!$D$86)*$Q$11+'Beneficios y costos'!$C$249-(-$Q$26)*'Beneficios y costos'!$H$235)*$Q$21,0))*$Q$12</f>
        <v>76.4964821173776</v>
      </c>
      <c r="G705" s="29" t="n">
        <f aca="false">(IF(G$47&gt;=1,(Quesería!$B$31+Quesería!$B$33)*Quesería!$F$94*$Q$11+Quesería!$B$32+'Beneficios y costos'!$B$249,0)+IF(G$47&gt;=2,((Quesería!$B$31+Quesería!$B$33)*(Quesería!$F$95-(-$Q$26)*Quesería!$D$86)*$Q$11+'Beneficios y costos'!$C$249-(-$Q$26)*'Beneficios y costos'!$H$235)*$Q$21,0))*$Q$12</f>
        <v>76.4964821173776</v>
      </c>
      <c r="H705" s="29" t="n">
        <f aca="false">(IF(H$47&gt;=1,(Quesería!$B$31+Quesería!$B$33)*Quesería!$F$94*$Q$11+Quesería!$B$32+'Beneficios y costos'!$B$249,0)+IF(H$47&gt;=2,((Quesería!$B$31+Quesería!$B$33)*(Quesería!$F$95-(-$Q$26)*Quesería!$D$86)*$Q$11+'Beneficios y costos'!$C$249-(-$Q$26)*'Beneficios y costos'!$H$235)*$Q$21,0))*$Q$12</f>
        <v>76.4964821173776</v>
      </c>
      <c r="I705" s="29" t="n">
        <f aca="false">(IF(I$47&gt;=1,(Quesería!$B$31+Quesería!$B$33)*Quesería!$F$94*$Q$11+Quesería!$B$32+'Beneficios y costos'!$B$249,0)+IF(I$47&gt;=2,((Quesería!$B$31+Quesería!$B$33)*(Quesería!$F$95-(-$Q$26)*Quesería!$D$86)*$Q$11+'Beneficios y costos'!$C$249-(-$Q$26)*'Beneficios y costos'!$H$235)*$Q$21,0))*$Q$12</f>
        <v>76.4964821173776</v>
      </c>
      <c r="J705" s="29" t="n">
        <f aca="false">(IF(J$47&gt;=1,(Quesería!$B$31+Quesería!$B$33)*Quesería!$F$94*$Q$11+Quesería!$B$32+'Beneficios y costos'!$B$249,0)+IF(J$47&gt;=2,((Quesería!$B$31+Quesería!$B$33)*(Quesería!$F$95-(-$Q$26)*Quesería!$D$86)*$Q$11+'Beneficios y costos'!$C$249-(-$Q$26)*'Beneficios y costos'!$H$235)*$Q$21,0))*$Q$12</f>
        <v>76.4964821173776</v>
      </c>
      <c r="K705" s="29" t="n">
        <f aca="false">(IF(K$47&gt;=1,(Quesería!$B$31+Quesería!$B$33)*Quesería!$F$94*$Q$11+Quesería!$B$32+'Beneficios y costos'!$B$249,0)+IF(K$47&gt;=2,((Quesería!$B$31+Quesería!$B$33)*(Quesería!$F$95-(-$Q$26)*Quesería!$D$86)*$Q$11+'Beneficios y costos'!$C$249-(-$Q$26)*'Beneficios y costos'!$H$235)*$Q$21,0))*$Q$12</f>
        <v>76.4964821173776</v>
      </c>
      <c r="L705" s="29" t="n">
        <f aca="false">(IF(L$47&gt;=1,(Quesería!$B$31+Quesería!$B$33)*Quesería!$F$94*$Q$11+Quesería!$B$32+'Beneficios y costos'!$B$249,0)+IF(L$47&gt;=2,((Quesería!$B$31+Quesería!$B$33)*(Quesería!$F$95-(-$Q$26)*Quesería!$D$86)*$Q$11+'Beneficios y costos'!$C$249-(-$Q$26)*'Beneficios y costos'!$H$235)*$Q$21,0))*$Q$12</f>
        <v>76.4964821173776</v>
      </c>
    </row>
    <row r="706" customFormat="false" ht="15" hidden="true" customHeight="false" outlineLevel="1" collapsed="false">
      <c r="A706" s="6" t="s">
        <v>414</v>
      </c>
      <c r="B706" s="29" t="n">
        <f aca="false">IF(B$47=1,2*Quesería!$B$22*Quesería!$B$23/12*B697,0)*$Q$21</f>
        <v>0</v>
      </c>
      <c r="C706" s="29" t="n">
        <f aca="false">IF(C$47=1,2*Quesería!$B$22*Quesería!$B$23/12*C697,0)*$Q$21</f>
        <v>18.5166509433962</v>
      </c>
      <c r="D706" s="29" t="n">
        <f aca="false">IF(D$47=1,2*Quesería!$B$22*Quesería!$B$23/12*D697,0)*$Q$21</f>
        <v>0</v>
      </c>
      <c r="E706" s="29" t="n">
        <f aca="false">IF(E$47=1,2*Quesería!$B$22*Quesería!$B$23/12*E697,0)*$Q$21</f>
        <v>0</v>
      </c>
      <c r="F706" s="29" t="n">
        <f aca="false">IF(F$47=1,2*Quesería!$B$22*Quesería!$B$23/12*F697,0)*$Q$21</f>
        <v>0</v>
      </c>
      <c r="G706" s="29" t="n">
        <f aca="false">IF(G$47=1,2*Quesería!$B$22*Quesería!$B$23/12*G697,0)*$Q$21</f>
        <v>0</v>
      </c>
      <c r="H706" s="29" t="n">
        <f aca="false">IF(H$47=1,2*Quesería!$B$22*Quesería!$B$23/12*H697,0)*$Q$21</f>
        <v>0</v>
      </c>
      <c r="I706" s="29" t="n">
        <f aca="false">IF(I$47=1,2*Quesería!$B$22*Quesería!$B$23/12*I697,0)*$Q$21</f>
        <v>0</v>
      </c>
      <c r="J706" s="29" t="n">
        <f aca="false">IF(J$47=1,2*Quesería!$B$22*Quesería!$B$23/12*J697,0)*$Q$21</f>
        <v>0</v>
      </c>
      <c r="K706" s="29" t="n">
        <f aca="false">IF(K$47=1,2*Quesería!$B$22*Quesería!$B$23/12*K697,0)*$Q$21</f>
        <v>0</v>
      </c>
      <c r="L706" s="29" t="n">
        <f aca="false">IF(L$47=1,2*Quesería!$B$22*Quesería!$B$23/12*L697,0)*$Q$21</f>
        <v>0</v>
      </c>
    </row>
    <row r="707" customFormat="false" ht="15" hidden="true" customHeight="false" outlineLevel="1" collapsed="false">
      <c r="A707" s="6" t="s">
        <v>415</v>
      </c>
      <c r="B707" s="29" t="n">
        <f aca="false">Quesería!$B$52*(B699+B700+B701+B705+B706)</f>
        <v>4.31966364396742</v>
      </c>
      <c r="C707" s="29" t="n">
        <f aca="false">Quesería!$B$52*(C699+C700+C701+C705+C706)</f>
        <v>3.37675795604844</v>
      </c>
      <c r="D707" s="29" t="n">
        <f aca="false">Quesería!$B$52*(D699+D700+D701+D705+D706)</f>
        <v>0.305985928469511</v>
      </c>
      <c r="E707" s="29" t="n">
        <f aca="false">Quesería!$B$52*(E699+E700+E701+E705+E706)</f>
        <v>0.305985928469511</v>
      </c>
      <c r="F707" s="29" t="n">
        <f aca="false">Quesería!$B$52*(F699+F700+F701+F705+F706)</f>
        <v>0.305985928469511</v>
      </c>
      <c r="G707" s="29" t="n">
        <f aca="false">Quesería!$B$52*(G699+G700+G701+G705+G706)</f>
        <v>0.436720362669349</v>
      </c>
      <c r="H707" s="29" t="n">
        <f aca="false">Quesería!$B$52*(H699+H700+H701+H705+H706)</f>
        <v>0.526798309653658</v>
      </c>
      <c r="I707" s="29" t="n">
        <f aca="false">Quesería!$B$52*(I699+I700+I701+I705+I706)</f>
        <v>0.305985928469511</v>
      </c>
      <c r="J707" s="29" t="n">
        <f aca="false">Quesería!$B$52*(J699+J700+J701+J705+J706)</f>
        <v>0.305985928469511</v>
      </c>
      <c r="K707" s="29" t="n">
        <f aca="false">Quesería!$B$52*(K699+K700+K701+K705+K706)</f>
        <v>0.305985928469511</v>
      </c>
      <c r="L707" s="29" t="n">
        <f aca="false">Quesería!$B$52*(L699+L700+L701+L705+L706)</f>
        <v>0.305985928469511</v>
      </c>
    </row>
    <row r="708" customFormat="false" ht="15" hidden="true" customHeight="false" outlineLevel="1" collapsed="false">
      <c r="A708" s="6" t="s">
        <v>416</v>
      </c>
      <c r="B708" s="29" t="n">
        <f aca="false">(IF($Q$19=1,(SUMPRODUCT((Quesería!$C$70:$C$89=0)*(Quesería!$J$70:$J$89&gt;0)*(B$47&gt;=1)*(B$47&lt;=Quesería!$J$70:$J$89)*(Quesería!$H$70:$H$89&gt;0)*Quesería!$F$70:$F$89*(1+Quesería!$I$70:$I$89)/(Quesería!$J$70:$J$89+(Quesería!$J$70:$J$89=0)))+SUMPRODUCT((Quesería!$C$70:$C$89=0)*(Quesería!$J$70:$J$89=0)*(B$47=0)*(Quesería!$H$70:$H$89&gt;0)*Quesería!$F$70:$F$89*(1+Quesería!$I$70:$I$89)))*$B$696+((SUMPRODUCT((Quesería!$C$70:$C$89=1)*(Quesería!$J$70:$J$89&gt;0)*(B$47&gt;=2)*(B$47&lt;=Quesería!$J$70:$J$89+1)*(Quesería!$H$70:$H$89&gt;0)*Quesería!$F$70:$F$89*(1+Quesería!$I$70:$I$89)/(Quesería!$J$70:$J$89+(Quesería!$J$70:$J$89=0)))+SUMPRODUCT((Quesería!$C$70:$C$89=1)*(Quesería!$J$70:$J$89=0)*(B$47=1)*(Quesería!$H$70:$H$89&gt;0)*Quesería!$F$70:$F$89*(1+Quesería!$I$70:$I$89)))-(-$Q$26)*IF(AND(B$47&gt;=2,B$47&lt;=Quesería!$J$86+1),Quesería!$D$86*(1+Quesería!$I$86)/Quesería!$J$86,0))*$C$696*$Q$21,IF(AND(B$47&gt;=1,B$47&lt;=Quesería!$B$30),Quesería!$F$92/Quesería!$B$30,0)*$B$696+IF(AND(B$47&gt;=2,B$47&lt;=Quesería!$B$30+1),(Quesería!$F$93-(-$Q$26)*Quesería!$D$86*(1+Quesería!$I$86))/Quesería!$B$30,0)*$C$696*$Q$21)*$Q$11+IF(AND(B$47&gt;=6,B$47&lt;=10),$G700*$G696/5,0)+IF(AND(B$47&gt;=7,B$47&lt;=11),$H700*$H696/5,0))*B698</f>
        <v>145.980915430742</v>
      </c>
      <c r="C708" s="29" t="n">
        <f aca="false">(IF($Q$19=1,(SUMPRODUCT((Quesería!$C$70:$C$89=0)*(Quesería!$J$70:$J$89&gt;0)*(C$47&gt;=1)*(C$47&lt;=Quesería!$J$70:$J$89)*(Quesería!$H$70:$H$89&gt;0)*Quesería!$F$70:$F$89*(1+Quesería!$I$70:$I$89)/(Quesería!$J$70:$J$89+(Quesería!$J$70:$J$89=0)))+SUMPRODUCT((Quesería!$C$70:$C$89=0)*(Quesería!$J$70:$J$89=0)*(C$47=0)*(Quesería!$H$70:$H$89&gt;0)*Quesería!$F$70:$F$89*(1+Quesería!$I$70:$I$89)))*$B$696+((SUMPRODUCT((Quesería!$C$70:$C$89=1)*(Quesería!$J$70:$J$89&gt;0)*(C$47&gt;=2)*(C$47&lt;=Quesería!$J$70:$J$89+1)*(Quesería!$H$70:$H$89&gt;0)*Quesería!$F$70:$F$89*(1+Quesería!$I$70:$I$89)/(Quesería!$J$70:$J$89+(Quesería!$J$70:$J$89=0)))+SUMPRODUCT((Quesería!$C$70:$C$89=1)*(Quesería!$J$70:$J$89=0)*(C$47=1)*(Quesería!$H$70:$H$89&gt;0)*Quesería!$F$70:$F$89*(1+Quesería!$I$70:$I$89)))-(-$Q$26)*IF(AND(C$47&gt;=2,C$47&lt;=Quesería!$J$86+1),Quesería!$D$86*(1+Quesería!$I$86)/Quesería!$J$86,0))*$C$696*$Q$21,IF(AND(C$47&gt;=1,C$47&lt;=Quesería!$B$30),Quesería!$F$92/Quesería!$B$30,0)*$B$696+IF(AND(C$47&gt;=2,C$47&lt;=Quesería!$B$30+1),(Quesería!$F$93-(-$Q$26)*Quesería!$D$86*(1+Quesería!$I$86))/Quesería!$B$30,0)*$C$696*$Q$21)*$Q$11+IF(AND(C$47&gt;=6,C$47&lt;=10),$G700*$G696/5,0)+IF(AND(C$47&gt;=7,C$47&lt;=11),$H700*$H696/5,0))*C698</f>
        <v>82.2633269524265</v>
      </c>
      <c r="D708" s="29" t="n">
        <f aca="false">(IF($Q$19=1,(SUMPRODUCT((Quesería!$C$70:$C$89=0)*(Quesería!$J$70:$J$89&gt;0)*(D$47&gt;=1)*(D$47&lt;=Quesería!$J$70:$J$89)*(Quesería!$H$70:$H$89&gt;0)*Quesería!$F$70:$F$89*(1+Quesería!$I$70:$I$89)/(Quesería!$J$70:$J$89+(Quesería!$J$70:$J$89=0)))+SUMPRODUCT((Quesería!$C$70:$C$89=0)*(Quesería!$J$70:$J$89=0)*(D$47=0)*(Quesería!$H$70:$H$89&gt;0)*Quesería!$F$70:$F$89*(1+Quesería!$I$70:$I$89)))*$B$696+((SUMPRODUCT((Quesería!$C$70:$C$89=1)*(Quesería!$J$70:$J$89&gt;0)*(D$47&gt;=2)*(D$47&lt;=Quesería!$J$70:$J$89+1)*(Quesería!$H$70:$H$89&gt;0)*Quesería!$F$70:$F$89*(1+Quesería!$I$70:$I$89)/(Quesería!$J$70:$J$89+(Quesería!$J$70:$J$89=0)))+SUMPRODUCT((Quesería!$C$70:$C$89=1)*(Quesería!$J$70:$J$89=0)*(D$47=1)*(Quesería!$H$70:$H$89&gt;0)*Quesería!$F$70:$F$89*(1+Quesería!$I$70:$I$89)))-(-$Q$26)*IF(AND(D$47&gt;=2,D$47&lt;=Quesería!$J$86+1),Quesería!$D$86*(1+Quesería!$I$86)/Quesería!$J$86,0))*$C$696*$Q$21,IF(AND(D$47&gt;=1,D$47&lt;=Quesería!$B$30),Quesería!$F$92/Quesería!$B$30,0)*$B$696+IF(AND(D$47&gt;=2,D$47&lt;=Quesería!$B$30+1),(Quesería!$F$93-(-$Q$26)*Quesería!$D$86*(1+Quesería!$I$86))/Quesería!$B$30,0)*$C$696*$Q$21)*$Q$11+IF(AND(D$47&gt;=6,D$47&lt;=10),$G700*$G696/5,0)+IF(AND(D$47&gt;=7,D$47&lt;=11),$H700*$H696/5,0))*D698</f>
        <v>141.732280975958</v>
      </c>
      <c r="E708" s="29" t="n">
        <f aca="false">(IF($Q$19=1,(SUMPRODUCT((Quesería!$C$70:$C$89=0)*(Quesería!$J$70:$J$89&gt;0)*(E$47&gt;=1)*(E$47&lt;=Quesería!$J$70:$J$89)*(Quesería!$H$70:$H$89&gt;0)*Quesería!$F$70:$F$89*(1+Quesería!$I$70:$I$89)/(Quesería!$J$70:$J$89+(Quesería!$J$70:$J$89=0)))+SUMPRODUCT((Quesería!$C$70:$C$89=0)*(Quesería!$J$70:$J$89=0)*(E$47=0)*(Quesería!$H$70:$H$89&gt;0)*Quesería!$F$70:$F$89*(1+Quesería!$I$70:$I$89)))*$B$696+((SUMPRODUCT((Quesería!$C$70:$C$89=1)*(Quesería!$J$70:$J$89&gt;0)*(E$47&gt;=2)*(E$47&lt;=Quesería!$J$70:$J$89+1)*(Quesería!$H$70:$H$89&gt;0)*Quesería!$F$70:$F$89*(1+Quesería!$I$70:$I$89)/(Quesería!$J$70:$J$89+(Quesería!$J$70:$J$89=0)))+SUMPRODUCT((Quesería!$C$70:$C$89=1)*(Quesería!$J$70:$J$89=0)*(E$47=1)*(Quesería!$H$70:$H$89&gt;0)*Quesería!$F$70:$F$89*(1+Quesería!$I$70:$I$89)))-(-$Q$26)*IF(AND(E$47&gt;=2,E$47&lt;=Quesería!$J$86+1),Quesería!$D$86*(1+Quesería!$I$86)/Quesería!$J$86,0))*$C$696*$Q$21,IF(AND(E$47&gt;=1,E$47&lt;=Quesería!$B$30),Quesería!$F$92/Quesería!$B$30,0)*$B$696+IF(AND(E$47&gt;=2,E$47&lt;=Quesería!$B$30+1),(Quesería!$F$93-(-$Q$26)*Quesería!$D$86*(1+Quesería!$I$86))/Quesería!$B$30,0)*$C$696*$Q$21)*$Q$11+IF(AND(E$47&gt;=6,E$47&lt;=10),$G700*$G696/5,0)+IF(AND(E$47&gt;=7,E$47&lt;=11),$H700*$H696/5,0))*E698</f>
        <v>136.28103939996</v>
      </c>
      <c r="F708" s="29" t="n">
        <f aca="false">(IF($Q$19=1,(SUMPRODUCT((Quesería!$C$70:$C$89=0)*(Quesería!$J$70:$J$89&gt;0)*(F$47&gt;=1)*(F$47&lt;=Quesería!$J$70:$J$89)*(Quesería!$H$70:$H$89&gt;0)*Quesería!$F$70:$F$89*(1+Quesería!$I$70:$I$89)/(Quesería!$J$70:$J$89+(Quesería!$J$70:$J$89=0)))+SUMPRODUCT((Quesería!$C$70:$C$89=0)*(Quesería!$J$70:$J$89=0)*(F$47=0)*(Quesería!$H$70:$H$89&gt;0)*Quesería!$F$70:$F$89*(1+Quesería!$I$70:$I$89)))*$B$696+((SUMPRODUCT((Quesería!$C$70:$C$89=1)*(Quesería!$J$70:$J$89&gt;0)*(F$47&gt;=2)*(F$47&lt;=Quesería!$J$70:$J$89+1)*(Quesería!$H$70:$H$89&gt;0)*Quesería!$F$70:$F$89*(1+Quesería!$I$70:$I$89)/(Quesería!$J$70:$J$89+(Quesería!$J$70:$J$89=0)))+SUMPRODUCT((Quesería!$C$70:$C$89=1)*(Quesería!$J$70:$J$89=0)*(F$47=1)*(Quesería!$H$70:$H$89&gt;0)*Quesería!$F$70:$F$89*(1+Quesería!$I$70:$I$89)))-(-$Q$26)*IF(AND(F$47&gt;=2,F$47&lt;=Quesería!$J$86+1),Quesería!$D$86*(1+Quesería!$I$86)/Quesería!$J$86,0))*$C$696*$Q$21,IF(AND(F$47&gt;=1,F$47&lt;=Quesería!$B$30),Quesería!$F$92/Quesería!$B$30,0)*$B$696+IF(AND(F$47&gt;=2,F$47&lt;=Quesería!$B$30+1),(Quesería!$F$93-(-$Q$26)*Quesería!$D$86*(1+Quesería!$I$86))/Quesería!$B$30,0)*$C$696*$Q$21)*$Q$11+IF(AND(F$47&gt;=6,F$47&lt;=10),$G700*$G696/5,0)+IF(AND(F$47&gt;=7,F$47&lt;=11),$H700*$H696/5,0))*F698</f>
        <v>131.0394609615</v>
      </c>
      <c r="G708" s="29" t="n">
        <f aca="false">(IF($Q$19=1,(SUMPRODUCT((Quesería!$C$70:$C$89=0)*(Quesería!$J$70:$J$89&gt;0)*(G$47&gt;=1)*(G$47&lt;=Quesería!$J$70:$J$89)*(Quesería!$H$70:$H$89&gt;0)*Quesería!$F$70:$F$89*(1+Quesería!$I$70:$I$89)/(Quesería!$J$70:$J$89+(Quesería!$J$70:$J$89=0)))+SUMPRODUCT((Quesería!$C$70:$C$89=0)*(Quesería!$J$70:$J$89=0)*(G$47=0)*(Quesería!$H$70:$H$89&gt;0)*Quesería!$F$70:$F$89*(1+Quesería!$I$70:$I$89)))*$B$696+((SUMPRODUCT((Quesería!$C$70:$C$89=1)*(Quesería!$J$70:$J$89&gt;0)*(G$47&gt;=2)*(G$47&lt;=Quesería!$J$70:$J$89+1)*(Quesería!$H$70:$H$89&gt;0)*Quesería!$F$70:$F$89*(1+Quesería!$I$70:$I$89)/(Quesería!$J$70:$J$89+(Quesería!$J$70:$J$89=0)))+SUMPRODUCT((Quesería!$C$70:$C$89=1)*(Quesería!$J$70:$J$89=0)*(G$47=1)*(Quesería!$H$70:$H$89&gt;0)*Quesería!$F$70:$F$89*(1+Quesería!$I$70:$I$89)))-(-$Q$26)*IF(AND(G$47&gt;=2,G$47&lt;=Quesería!$J$86+1),Quesería!$D$86*(1+Quesería!$I$86)/Quesería!$J$86,0))*$C$696*$Q$21,IF(AND(G$47&gt;=1,G$47&lt;=Quesería!$B$30),Quesería!$F$92/Quesería!$B$30,0)*$B$696+IF(AND(G$47&gt;=2,G$47&lt;=Quesería!$B$30+1),(Quesería!$F$93-(-$Q$26)*Quesería!$D$86*(1+Quesería!$I$86))/Quesería!$B$30,0)*$C$696*$Q$21)*$Q$11+IF(AND(G$47&gt;=6,G$47&lt;=10),$G700*$G696/5,0)+IF(AND(G$47&gt;=7,G$47&lt;=11),$H700*$H696/5,0))*G698</f>
        <v>125.99948169375</v>
      </c>
      <c r="H708" s="29" t="n">
        <f aca="false">(IF($Q$19=1,(SUMPRODUCT((Quesería!$C$70:$C$89=0)*(Quesería!$J$70:$J$89&gt;0)*(H$47&gt;=1)*(H$47&lt;=Quesería!$J$70:$J$89)*(Quesería!$H$70:$H$89&gt;0)*Quesería!$F$70:$F$89*(1+Quesería!$I$70:$I$89)/(Quesería!$J$70:$J$89+(Quesería!$J$70:$J$89=0)))+SUMPRODUCT((Quesería!$C$70:$C$89=0)*(Quesería!$J$70:$J$89=0)*(H$47=0)*(Quesería!$H$70:$H$89&gt;0)*Quesería!$F$70:$F$89*(1+Quesería!$I$70:$I$89)))*$B$696+((SUMPRODUCT((Quesería!$C$70:$C$89=1)*(Quesería!$J$70:$J$89&gt;0)*(H$47&gt;=2)*(H$47&lt;=Quesería!$J$70:$J$89+1)*(Quesería!$H$70:$H$89&gt;0)*Quesería!$F$70:$F$89*(1+Quesería!$I$70:$I$89)/(Quesería!$J$70:$J$89+(Quesería!$J$70:$J$89=0)))+SUMPRODUCT((Quesería!$C$70:$C$89=1)*(Quesería!$J$70:$J$89=0)*(H$47=1)*(Quesería!$H$70:$H$89&gt;0)*Quesería!$F$70:$F$89*(1+Quesería!$I$70:$I$89)))-(-$Q$26)*IF(AND(H$47&gt;=2,H$47&lt;=Quesería!$J$86+1),Quesería!$D$86*(1+Quesería!$I$86)/Quesería!$J$86,0))*$C$696*$Q$21,IF(AND(H$47&gt;=1,H$47&lt;=Quesería!$B$30),Quesería!$F$92/Quesería!$B$30,0)*$B$696+IF(AND(H$47&gt;=2,H$47&lt;=Quesería!$B$30+1),(Quesería!$F$93-(-$Q$26)*Quesería!$D$86*(1+Quesería!$I$86))/Quesería!$B$30,0)*$C$696*$Q$21)*$Q$11+IF(AND(H$47&gt;=6,H$47&lt;=10),$G700*$G696/5,0)+IF(AND(H$47&gt;=7,H$47&lt;=11),$H700*$H696/5,0))*H698</f>
        <v>114.13472617855</v>
      </c>
      <c r="I708" s="29" t="n">
        <f aca="false">(IF($Q$19=1,(SUMPRODUCT((Quesería!$C$70:$C$89=0)*(Quesería!$J$70:$J$89&gt;0)*(I$47&gt;=1)*(I$47&lt;=Quesería!$J$70:$J$89)*(Quesería!$H$70:$H$89&gt;0)*Quesería!$F$70:$F$89*(1+Quesería!$I$70:$I$89)/(Quesería!$J$70:$J$89+(Quesería!$J$70:$J$89=0)))+SUMPRODUCT((Quesería!$C$70:$C$89=0)*(Quesería!$J$70:$J$89=0)*(I$47=0)*(Quesería!$H$70:$H$89&gt;0)*Quesería!$F$70:$F$89*(1+Quesería!$I$70:$I$89)))*$B$696+((SUMPRODUCT((Quesería!$C$70:$C$89=1)*(Quesería!$J$70:$J$89&gt;0)*(I$47&gt;=2)*(I$47&lt;=Quesería!$J$70:$J$89+1)*(Quesería!$H$70:$H$89&gt;0)*Quesería!$F$70:$F$89*(1+Quesería!$I$70:$I$89)/(Quesería!$J$70:$J$89+(Quesería!$J$70:$J$89=0)))+SUMPRODUCT((Quesería!$C$70:$C$89=1)*(Quesería!$J$70:$J$89=0)*(I$47=1)*(Quesería!$H$70:$H$89&gt;0)*Quesería!$F$70:$F$89*(1+Quesería!$I$70:$I$89)))-(-$Q$26)*IF(AND(I$47&gt;=2,I$47&lt;=Quesería!$J$86+1),Quesería!$D$86*(1+Quesería!$I$86)/Quesería!$J$86,0))*$C$696*$Q$21,IF(AND(I$47&gt;=1,I$47&lt;=Quesería!$B$30),Quesería!$F$92/Quesería!$B$30,0)*$B$696+IF(AND(I$47&gt;=2,I$47&lt;=Quesería!$B$30+1),(Quesería!$F$93-(-$Q$26)*Quesería!$D$86*(1+Quesería!$I$86))/Quesería!$B$30,0)*$C$696*$Q$21)*$Q$11+IF(AND(I$47&gt;=6,I$47&lt;=10),$G700*$G696/5,0)+IF(AND(I$47&gt;=7,I$47&lt;=11),$H700*$H696/5,0))*I698</f>
        <v>118.665920500713</v>
      </c>
      <c r="J708" s="29" t="n">
        <f aca="false">(IF($Q$19=1,(SUMPRODUCT((Quesería!$C$70:$C$89=0)*(Quesería!$J$70:$J$89&gt;0)*(J$47&gt;=1)*(J$47&lt;=Quesería!$J$70:$J$89)*(Quesería!$H$70:$H$89&gt;0)*Quesería!$F$70:$F$89*(1+Quesería!$I$70:$I$89)/(Quesería!$J$70:$J$89+(Quesería!$J$70:$J$89=0)))+SUMPRODUCT((Quesería!$C$70:$C$89=0)*(Quesería!$J$70:$J$89=0)*(J$47=0)*(Quesería!$H$70:$H$89&gt;0)*Quesería!$F$70:$F$89*(1+Quesería!$I$70:$I$89)))*$B$696+((SUMPRODUCT((Quesería!$C$70:$C$89=1)*(Quesería!$J$70:$J$89&gt;0)*(J$47&gt;=2)*(J$47&lt;=Quesería!$J$70:$J$89+1)*(Quesería!$H$70:$H$89&gt;0)*Quesería!$F$70:$F$89*(1+Quesería!$I$70:$I$89)/(Quesería!$J$70:$J$89+(Quesería!$J$70:$J$89=0)))+SUMPRODUCT((Quesería!$C$70:$C$89=1)*(Quesería!$J$70:$J$89=0)*(J$47=1)*(Quesería!$H$70:$H$89&gt;0)*Quesería!$F$70:$F$89*(1+Quesería!$I$70:$I$89)))-(-$Q$26)*IF(AND(J$47&gt;=2,J$47&lt;=Quesería!$J$86+1),Quesería!$D$86*(1+Quesería!$I$86)/Quesería!$J$86,0))*$C$696*$Q$21,IF(AND(J$47&gt;=1,J$47&lt;=Quesería!$B$30),Quesería!$F$92/Quesería!$B$30,0)*$B$696+IF(AND(J$47&gt;=2,J$47&lt;=Quesería!$B$30+1),(Quesería!$F$93-(-$Q$26)*Quesería!$D$86*(1+Quesería!$I$86))/Quesería!$B$30,0)*$C$696*$Q$21)*$Q$11+IF(AND(J$47&gt;=6,J$47&lt;=10),$G700*$G696/5,0)+IF(AND(J$47&gt;=7,J$47&lt;=11),$H700*$H696/5,0))*J698</f>
        <v>114.101846635301</v>
      </c>
      <c r="K708" s="29" t="n">
        <f aca="false">(IF($Q$19=1,(SUMPRODUCT((Quesería!$C$70:$C$89=0)*(Quesería!$J$70:$J$89&gt;0)*(K$47&gt;=1)*(K$47&lt;=Quesería!$J$70:$J$89)*(Quesería!$H$70:$H$89&gt;0)*Quesería!$F$70:$F$89*(1+Quesería!$I$70:$I$89)/(Quesería!$J$70:$J$89+(Quesería!$J$70:$J$89=0)))+SUMPRODUCT((Quesería!$C$70:$C$89=0)*(Quesería!$J$70:$J$89=0)*(K$47=0)*(Quesería!$H$70:$H$89&gt;0)*Quesería!$F$70:$F$89*(1+Quesería!$I$70:$I$89)))*$B$696+((SUMPRODUCT((Quesería!$C$70:$C$89=1)*(Quesería!$J$70:$J$89&gt;0)*(K$47&gt;=2)*(K$47&lt;=Quesería!$J$70:$J$89+1)*(Quesería!$H$70:$H$89&gt;0)*Quesería!$F$70:$F$89*(1+Quesería!$I$70:$I$89)/(Quesería!$J$70:$J$89+(Quesería!$J$70:$J$89=0)))+SUMPRODUCT((Quesería!$C$70:$C$89=1)*(Quesería!$J$70:$J$89=0)*(K$47=1)*(Quesería!$H$70:$H$89&gt;0)*Quesería!$F$70:$F$89*(1+Quesería!$I$70:$I$89)))-(-$Q$26)*IF(AND(K$47&gt;=2,K$47&lt;=Quesería!$J$86+1),Quesería!$D$86*(1+Quesería!$I$86)/Quesería!$J$86,0))*$C$696*$Q$21,IF(AND(K$47&gt;=1,K$47&lt;=Quesería!$B$30),Quesería!$F$92/Quesería!$B$30,0)*$B$696+IF(AND(K$47&gt;=2,K$47&lt;=Quesería!$B$30+1),(Quesería!$F$93-(-$Q$26)*Quesería!$D$86*(1+Quesería!$I$86))/Quesería!$B$30,0)*$C$696*$Q$21)*$Q$11+IF(AND(K$47&gt;=6,K$47&lt;=10),$G700*$G696/5,0)+IF(AND(K$47&gt;=7,K$47&lt;=11),$H700*$H696/5,0))*K698</f>
        <v>109.713314072405</v>
      </c>
      <c r="L708" s="29" t="n">
        <f aca="false">(IF($Q$19=1,(SUMPRODUCT((Quesería!$C$70:$C$89=0)*(Quesería!$J$70:$J$89&gt;0)*(L$47&gt;=1)*(L$47&lt;=Quesería!$J$70:$J$89)*(Quesería!$H$70:$H$89&gt;0)*Quesería!$F$70:$F$89*(1+Quesería!$I$70:$I$89)/(Quesería!$J$70:$J$89+(Quesería!$J$70:$J$89=0)))+SUMPRODUCT((Quesería!$C$70:$C$89=0)*(Quesería!$J$70:$J$89=0)*(L$47=0)*(Quesería!$H$70:$H$89&gt;0)*Quesería!$F$70:$F$89*(1+Quesería!$I$70:$I$89)))*$B$696+((SUMPRODUCT((Quesería!$C$70:$C$89=1)*(Quesería!$J$70:$J$89&gt;0)*(L$47&gt;=2)*(L$47&lt;=Quesería!$J$70:$J$89+1)*(Quesería!$H$70:$H$89&gt;0)*Quesería!$F$70:$F$89*(1+Quesería!$I$70:$I$89)/(Quesería!$J$70:$J$89+(Quesería!$J$70:$J$89=0)))+SUMPRODUCT((Quesería!$C$70:$C$89=1)*(Quesería!$J$70:$J$89=0)*(L$47=1)*(Quesería!$H$70:$H$89&gt;0)*Quesería!$F$70:$F$89*(1+Quesería!$I$70:$I$89)))-(-$Q$26)*IF(AND(L$47&gt;=2,L$47&lt;=Quesería!$J$86+1),Quesería!$D$86*(1+Quesería!$I$86)/Quesería!$J$86,0))*$C$696*$Q$21,IF(AND(L$47&gt;=1,L$47&lt;=Quesería!$B$30),Quesería!$F$92/Quesería!$B$30,0)*$B$696+IF(AND(L$47&gt;=2,L$47&lt;=Quesería!$B$30+1),(Quesería!$F$93-(-$Q$26)*Quesería!$D$86*(1+Quesería!$I$86))/Quesería!$B$30,0)*$C$696*$Q$21)*$Q$11+IF(AND(L$47&gt;=6,L$47&lt;=10),$G700*$G696/5,0)+IF(AND(L$47&gt;=7,L$47&lt;=11),$H700*$H696/5,0))*L698</f>
        <v>105.493571223466</v>
      </c>
    </row>
    <row r="709" customFormat="false" ht="15" hidden="true" customHeight="false" outlineLevel="1" collapsed="false">
      <c r="A709" s="9" t="s">
        <v>417</v>
      </c>
      <c r="B709" s="58" t="n">
        <f aca="false">IF(B$47=1,MIN($Q$7*$Q$26*Quesería!$B$56*Quesería!$D$86*$Q$11*$Q$21,Quesería!$B$57*Quesería!$B$58),0)</f>
        <v>0</v>
      </c>
      <c r="C709" s="58" t="n">
        <f aca="false">IF(C$47=1,MIN($Q$7*$Q$26*Quesería!$B$56*Quesería!$D$86*$Q$11*$Q$21,Quesería!$B$57*Quesería!$B$58),0)</f>
        <v>0</v>
      </c>
      <c r="D709" s="58" t="n">
        <f aca="false">IF(D$47=1,MIN($Q$7*$Q$26*Quesería!$B$56*Quesería!$D$86*$Q$11*$Q$21,Quesería!$B$57*Quesería!$B$58),0)</f>
        <v>0</v>
      </c>
      <c r="E709" s="58" t="n">
        <f aca="false">IF(E$47=1,MIN($Q$7*$Q$26*Quesería!$B$56*Quesería!$D$86*$Q$11*$Q$21,Quesería!$B$57*Quesería!$B$58),0)</f>
        <v>0</v>
      </c>
      <c r="F709" s="58" t="n">
        <f aca="false">IF(F$47=1,MIN($Q$7*$Q$26*Quesería!$B$56*Quesería!$D$86*$Q$11*$Q$21,Quesería!$B$57*Quesería!$B$58),0)</f>
        <v>0</v>
      </c>
      <c r="G709" s="58" t="n">
        <f aca="false">IF(G$47=1,MIN($Q$7*$Q$26*Quesería!$B$56*Quesería!$D$86*$Q$11*$Q$21,Quesería!$B$57*Quesería!$B$58),0)</f>
        <v>0</v>
      </c>
      <c r="H709" s="58" t="n">
        <f aca="false">IF(H$47=1,MIN($Q$7*$Q$26*Quesería!$B$56*Quesería!$D$86*$Q$11*$Q$21,Quesería!$B$57*Quesería!$B$58),0)</f>
        <v>0</v>
      </c>
      <c r="I709" s="58" t="n">
        <f aca="false">IF(I$47=1,MIN($Q$7*$Q$26*Quesería!$B$56*Quesería!$D$86*$Q$11*$Q$21,Quesería!$B$57*Quesería!$B$58),0)</f>
        <v>0</v>
      </c>
      <c r="J709" s="58" t="n">
        <f aca="false">IF(J$47=1,MIN($Q$7*$Q$26*Quesería!$B$56*Quesería!$D$86*$Q$11*$Q$21,Quesería!$B$57*Quesería!$B$58),0)</f>
        <v>0</v>
      </c>
      <c r="K709" s="58" t="n">
        <f aca="false">IF(K$47=1,MIN($Q$7*$Q$26*Quesería!$B$56*Quesería!$D$86*$Q$11*$Q$21,Quesería!$B$57*Quesería!$B$58),0)</f>
        <v>0</v>
      </c>
      <c r="L709" s="58" t="n">
        <f aca="false">IF(L$47=1,MIN($Q$7*$Q$26*Quesería!$B$56*Quesería!$D$86*$Q$11*$Q$21,Quesería!$B$57*Quesería!$B$58),0)</f>
        <v>0</v>
      </c>
    </row>
    <row r="710" customFormat="false" ht="15" hidden="true" customHeight="false" outlineLevel="1" collapsed="false">
      <c r="A710" s="9" t="s">
        <v>418</v>
      </c>
      <c r="B710" s="58" t="n">
        <v>0</v>
      </c>
      <c r="C710" s="58" t="n">
        <f aca="false">$Q$20*Quesería!$B$60*Quesería!$F$98*$Q$11*$B$696/C696/2</f>
        <v>138.12868344741</v>
      </c>
      <c r="D710" s="58" t="n">
        <f aca="false">$Q$20*Quesería!$B$60*Quesería!$F$98*$Q$11*$B$696/D696/2</f>
        <v>132.18055832288</v>
      </c>
      <c r="E710" s="58" t="n">
        <v>0</v>
      </c>
      <c r="F710" s="58" t="n">
        <v>0</v>
      </c>
      <c r="G710" s="58" t="n">
        <v>0</v>
      </c>
      <c r="H710" s="58" t="n">
        <v>0</v>
      </c>
      <c r="I710" s="58" t="n">
        <v>0</v>
      </c>
      <c r="J710" s="58" t="n">
        <v>0</v>
      </c>
      <c r="K710" s="58" t="n">
        <v>0</v>
      </c>
      <c r="L710" s="58" t="n">
        <v>0</v>
      </c>
    </row>
    <row r="711" customFormat="false" ht="15" hidden="true" customHeight="false" outlineLevel="1" collapsed="false">
      <c r="A711" s="9" t="s">
        <v>419</v>
      </c>
      <c r="B711" s="58" t="n">
        <f aca="false">0</f>
        <v>0</v>
      </c>
      <c r="C711" s="58" t="n">
        <f aca="false">B701*B696/C696</f>
        <v>142.014925295407</v>
      </c>
      <c r="D711" s="58" t="n">
        <f aca="false">C701*C696/D696</f>
        <v>119.721648486272</v>
      </c>
      <c r="E711" s="58" t="n">
        <f aca="false">D701*D696/E696</f>
        <v>0</v>
      </c>
      <c r="F711" s="58" t="n">
        <f aca="false">E701*E696/F696</f>
        <v>0</v>
      </c>
      <c r="G711" s="58" t="n">
        <f aca="false">F701*F696/G696</f>
        <v>0</v>
      </c>
      <c r="H711" s="58" t="n">
        <f aca="false">G701*G696/H696</f>
        <v>5.01768392412113</v>
      </c>
      <c r="I711" s="58" t="n">
        <f aca="false">H701*H696/I696</f>
        <v>8.47494190873221</v>
      </c>
      <c r="J711" s="58" t="n">
        <f aca="false">I701*I696/J696</f>
        <v>0</v>
      </c>
      <c r="K711" s="58" t="n">
        <f aca="false">J701*J696/K696</f>
        <v>0</v>
      </c>
      <c r="L711" s="58" t="n">
        <f aca="false">K701*K696/L696</f>
        <v>0</v>
      </c>
    </row>
    <row r="712" customFormat="false" ht="15" hidden="true" customHeight="false" outlineLevel="1" collapsed="false">
      <c r="A712" s="6" t="s">
        <v>295</v>
      </c>
      <c r="B712" s="29" t="n">
        <f aca="false">$Q$17*(B704-B705-B706-0.5*B707-B708)-B709-B710-B711</f>
        <v>-8.22719249745693</v>
      </c>
      <c r="C712" s="29" t="n">
        <f aca="false">$Q$17*(C704-C705-C706-0.5*C707-C708)-C709-C710-C711</f>
        <v>-269.114015216568</v>
      </c>
      <c r="D712" s="29" t="n">
        <f aca="false">$Q$17*(D704-D705-D706-0.5*D707-D708)-D709-D710-D711</f>
        <v>-167.661812246465</v>
      </c>
      <c r="E712" s="29" t="n">
        <f aca="false">$Q$17*(E704-E705-E706-0.5*E707-E708)-E709-E710-E711</f>
        <v>107.237002003031</v>
      </c>
      <c r="F712" s="29" t="n">
        <f aca="false">$Q$17*(F704-F705-F706-0.5*F707-F708)-F709-F710-F711</f>
        <v>108.9022388452</v>
      </c>
      <c r="G712" s="29" t="n">
        <f aca="false">$Q$17*(G704-G705-G706-0.5*G707-G708)-G709-G710-G711</f>
        <v>110.487849587579</v>
      </c>
      <c r="H712" s="29" t="n">
        <f aca="false">$Q$17*(H704-H705-H706-0.5*H707-H708)-H709-H710-H711</f>
        <v>109.10977388879</v>
      </c>
      <c r="I712" s="29" t="n">
        <f aca="false">$Q$17*(I704-I705-I706-0.5*I707-I708)-I709-I710-I711</f>
        <v>104.420441193842</v>
      </c>
      <c r="J712" s="29" t="n">
        <f aca="false">$Q$17*(J704-J705-J706-0.5*J707-J708)-J709-J710-J711</f>
        <v>114.359237799977</v>
      </c>
      <c r="K712" s="29" t="n">
        <f aca="false">$Q$17*(K704-K705-K706-0.5*K707-K708)-K709-K710-K711</f>
        <v>115.770903269314</v>
      </c>
      <c r="L712" s="29" t="n">
        <f aca="false">$Q$17*(L704-L705-L706-0.5*L707-L708)-L709-L710-L711</f>
        <v>117.132407352967</v>
      </c>
    </row>
    <row r="713" customFormat="false" ht="15" hidden="true" customHeight="false" outlineLevel="1" collapsed="false">
      <c r="A713" s="9" t="s">
        <v>420</v>
      </c>
      <c r="B713" s="58" t="n">
        <f aca="false">(IF(B$47&gt;=1,Quesería!$G$124*IF(B$47=1,Quesería!$B$20,1),Quesería!$G$124*Quesería!$B$20*Quesería!$B$21/12*$Q$23)+IF(B$47&gt;=2,(Quesería!$G$125-(1-$Q$24)*Quesería!$G$117-(-$Q$26*$Q$27)*'Beneficios y costos'!$D$167)*$Q$21*IF(B$47=2,Quesería!$B$20,1),0))*$Q$10</f>
        <v>77.4042870161869</v>
      </c>
      <c r="C713" s="58" t="n">
        <f aca="false">(IF(C$47&gt;=1,Quesería!$G$124*IF(C$47=1,Quesería!$B$20,1),Quesería!$G$124*Quesería!$B$20*Quesería!$B$21/12*$Q$23)+IF(C$47&gt;=2,(Quesería!$G$125-(1-$Q$24)*Quesería!$G$117-(-$Q$26*$Q$27)*'Beneficios y costos'!$D$167)*$Q$21*IF(C$47=2,Quesería!$B$20,1),0))*$Q$10</f>
        <v>116.10643052428</v>
      </c>
      <c r="D713" s="58" t="n">
        <f aca="false">(IF(D$47&gt;=1,Quesería!$G$124*IF(D$47=1,Quesería!$B$20,1),Quesería!$G$124*Quesería!$B$20*Quesería!$B$21/12*$Q$23)+IF(D$47&gt;=2,(Quesería!$G$125-(1-$Q$24)*Quesería!$G$117-(-$Q$26*$Q$27)*'Beneficios y costos'!$D$167)*$Q$21*IF(D$47=2,Quesería!$B$20,1),0))*$Q$10</f>
        <v>2023.78917421887</v>
      </c>
      <c r="E713" s="58" t="n">
        <f aca="false">(IF(E$47&gt;=1,Quesería!$G$124*IF(E$47=1,Quesería!$B$20,1),Quesería!$G$124*Quesería!$B$20*Quesería!$B$21/12*$Q$23)+IF(E$47&gt;=2,(Quesería!$G$125-(1-$Q$24)*Quesería!$G$117-(-$Q$26*$Q$27)*'Beneficios y costos'!$D$167)*$Q$21*IF(E$47=2,Quesería!$B$20,1),0))*$Q$10</f>
        <v>2646.78270761437</v>
      </c>
      <c r="F713" s="58" t="n">
        <f aca="false">(IF(F$47&gt;=1,Quesería!$G$124*IF(F$47=1,Quesería!$B$20,1),Quesería!$G$124*Quesería!$B$20*Quesería!$B$21/12*$Q$23)+IF(F$47&gt;=2,(Quesería!$G$125-(1-$Q$24)*Quesería!$G$117-(-$Q$26*$Q$27)*'Beneficios y costos'!$D$167)*$Q$21*IF(F$47=2,Quesería!$B$20,1),0))*$Q$10</f>
        <v>2646.78270761437</v>
      </c>
      <c r="G713" s="58" t="n">
        <f aca="false">(IF(G$47&gt;=1,Quesería!$G$124*IF(G$47=1,Quesería!$B$20,1),Quesería!$G$124*Quesería!$B$20*Quesería!$B$21/12*$Q$23)+IF(G$47&gt;=2,(Quesería!$G$125-(1-$Q$24)*Quesería!$G$117-(-$Q$26*$Q$27)*'Beneficios y costos'!$D$167)*$Q$21*IF(G$47=2,Quesería!$B$20,1),0))*$Q$10</f>
        <v>2646.78270761437</v>
      </c>
      <c r="H713" s="58" t="n">
        <f aca="false">(IF(H$47&gt;=1,Quesería!$G$124*IF(H$47=1,Quesería!$B$20,1),Quesería!$G$124*Quesería!$B$20*Quesería!$B$21/12*$Q$23)+IF(H$47&gt;=2,(Quesería!$G$125-(1-$Q$24)*Quesería!$G$117-(-$Q$26*$Q$27)*'Beneficios y costos'!$D$167)*$Q$21*IF(H$47=2,Quesería!$B$20,1),0))*$Q$10</f>
        <v>2646.78270761437</v>
      </c>
      <c r="I713" s="58" t="n">
        <f aca="false">(IF(I$47&gt;=1,Quesería!$G$124*IF(I$47=1,Quesería!$B$20,1),Quesería!$G$124*Quesería!$B$20*Quesería!$B$21/12*$Q$23)+IF(I$47&gt;=2,(Quesería!$G$125-(1-$Q$24)*Quesería!$G$117-(-$Q$26*$Q$27)*'Beneficios y costos'!$D$167)*$Q$21*IF(I$47=2,Quesería!$B$20,1),0))*$Q$10</f>
        <v>2646.78270761437</v>
      </c>
      <c r="J713" s="58" t="n">
        <f aca="false">(IF(J$47&gt;=1,Quesería!$G$124*IF(J$47=1,Quesería!$B$20,1),Quesería!$G$124*Quesería!$B$20*Quesería!$B$21/12*$Q$23)+IF(J$47&gt;=2,(Quesería!$G$125-(1-$Q$24)*Quesería!$G$117-(-$Q$26*$Q$27)*'Beneficios y costos'!$D$167)*$Q$21*IF(J$47=2,Quesería!$B$20,1),0))*$Q$10</f>
        <v>2646.78270761437</v>
      </c>
      <c r="K713" s="58" t="n">
        <f aca="false">(IF(K$47&gt;=1,Quesería!$G$124*IF(K$47=1,Quesería!$B$20,1),Quesería!$G$124*Quesería!$B$20*Quesería!$B$21/12*$Q$23)+IF(K$47&gt;=2,(Quesería!$G$125-(1-$Q$24)*Quesería!$G$117-(-$Q$26*$Q$27)*'Beneficios y costos'!$D$167)*$Q$21*IF(K$47=2,Quesería!$B$20,1),0))*$Q$10</f>
        <v>2646.78270761437</v>
      </c>
      <c r="L713" s="58" t="n">
        <f aca="false">(IF(L$47&gt;=1,Quesería!$G$124*IF(L$47=1,Quesería!$B$20,1),Quesería!$G$124*Quesería!$B$20*Quesería!$B$21/12*$Q$23)+IF(L$47&gt;=2,(Quesería!$G$125-(1-$Q$24)*Quesería!$G$117-(-$Q$26*$Q$27)*'Beneficios y costos'!$D$167)*$Q$21*IF(L$47=2,Quesería!$B$20,1),0))*$Q$10</f>
        <v>2646.78270761437</v>
      </c>
    </row>
    <row r="714" customFormat="false" ht="15" hidden="true" customHeight="false" outlineLevel="1" collapsed="false">
      <c r="A714" s="6" t="s">
        <v>421</v>
      </c>
      <c r="B714" s="29" t="n">
        <f aca="false">(B713*(Quesería!$B$38+Quesería!$B$40*Quesería!$B$39)/365-B705*Quesería!$B$42/365+IF(B$47&gt;=2,($Q$25*'Beneficios y costos'!$B$147+(1-$Q$25)*'Beneficios y costos'!$B$148)*$Q$24*$Q$21*$Q$10*IF(B$47=2,Quesería!$B$20,1),0))</f>
        <v>7.23146900616979</v>
      </c>
      <c r="C714" s="29" t="n">
        <f aca="false">(C713*(Quesería!$B$38+Quesería!$B$40*Quesería!$B$39)/365-C705*Quesería!$B$42/365+IF(C$47&gt;=2,($Q$25*'Beneficios y costos'!$B$147+(1-$Q$25)*'Beneficios y costos'!$B$148)*$Q$24*$Q$21*$Q$10*IF(C$47=2,Quesería!$B$20,1),0))-(B713*(Quesería!$B$38+Quesería!$B$40*Quesería!$B$39)/365-B705*Quesería!$B$42/365+IF(B$47&gt;=2,($Q$25*'Beneficios y costos'!$B$147+(1-$Q$25)*'Beneficios y costos'!$B$148)*$Q$24*$Q$21*$Q$10*IF(B$47=2,Quesería!$B$20,1),0))*B696/C696</f>
        <v>1.42287846600884</v>
      </c>
      <c r="D714" s="29" t="n">
        <f aca="false">(D713*(Quesería!$B$38+Quesería!$B$40*Quesería!$B$39)/365-D705*Quesería!$B$42/365+IF(D$47&gt;=2,($Q$25*'Beneficios y costos'!$B$147+(1-$Q$25)*'Beneficios y costos'!$B$148)*$Q$24*$Q$21*$Q$10*IF(D$47=2,Quesería!$B$20,1),0))-(C713*(Quesería!$B$38+Quesería!$B$40*Quesería!$B$39)/365-C705*Quesería!$B$42/365+IF(C$47&gt;=2,($Q$25*'Beneficios y costos'!$B$147+(1-$Q$25)*'Beneficios y costos'!$B$148)*$Q$24*$Q$21*$Q$10*IF(C$47=2,Quesería!$B$20,1),0))*C696/D696</f>
        <v>121.067969072345</v>
      </c>
      <c r="E714" s="29" t="n">
        <f aca="false">(E713*(Quesería!$B$38+Quesería!$B$40*Quesería!$B$39)/365-E705*Quesería!$B$42/365+IF(E$47&gt;=2,($Q$25*'Beneficios y costos'!$B$147+(1-$Q$25)*'Beneficios y costos'!$B$148)*$Q$24*$Q$21*$Q$10*IF(E$47=2,Quesería!$B$20,1),0))-(D713*(Quesería!$B$38+Quesería!$B$40*Quesería!$B$39)/365-D705*Quesería!$B$42/365+IF(D$47&gt;=2,($Q$25*'Beneficios y costos'!$B$147+(1-$Q$25)*'Beneficios y costos'!$B$148)*$Q$24*$Q$21*$Q$10*IF(D$47=2,Quesería!$B$20,1),0))*D696/E696</f>
        <v>44.6849531551876</v>
      </c>
      <c r="F714" s="29" t="n">
        <f aca="false">(F713*(Quesería!$B$38+Quesería!$B$40*Quesería!$B$39)/365-F705*Quesería!$B$42/365+IF(F$47&gt;=2,($Q$25*'Beneficios y costos'!$B$147+(1-$Q$25)*'Beneficios y costos'!$B$148)*$Q$24*$Q$21*$Q$10*IF(F$47=2,Quesería!$B$20,1),0))-(E713*(Quesería!$B$38+Quesería!$B$40*Quesería!$B$39)/365-E705*Quesería!$B$42/365+IF(E$47&gt;=2,($Q$25*'Beneficios y costos'!$B$147+(1-$Q$25)*'Beneficios y costos'!$B$148)*$Q$24*$Q$21*$Q$10*IF(E$47=2,Quesería!$B$20,1),0))*E696/F696</f>
        <v>6.49010597714096</v>
      </c>
      <c r="G714" s="29" t="n">
        <f aca="false">(G713*(Quesería!$B$38+Quesería!$B$40*Quesería!$B$39)/365-G705*Quesería!$B$42/365+IF(G$47&gt;=2,($Q$25*'Beneficios y costos'!$B$147+(1-$Q$25)*'Beneficios y costos'!$B$148)*$Q$24*$Q$21*$Q$10*IF(G$47=2,Quesería!$B$20,1),0))-(F713*(Quesería!$B$38+Quesería!$B$40*Quesería!$B$39)/365-F705*Quesería!$B$42/365+IF(F$47&gt;=2,($Q$25*'Beneficios y costos'!$B$147+(1-$Q$25)*'Beneficios y costos'!$B$148)*$Q$24*$Q$21*$Q$10*IF(F$47=2,Quesería!$B$20,1),0))*F696/G696</f>
        <v>6.49010597714096</v>
      </c>
      <c r="H714" s="29" t="n">
        <f aca="false">(H713*(Quesería!$B$38+Quesería!$B$40*Quesería!$B$39)/365-H705*Quesería!$B$42/365+IF(H$47&gt;=2,($Q$25*'Beneficios y costos'!$B$147+(1-$Q$25)*'Beneficios y costos'!$B$148)*$Q$24*$Q$21*$Q$10*IF(H$47=2,Quesería!$B$20,1),0))-(G713*(Quesería!$B$38+Quesería!$B$40*Quesería!$B$39)/365-G705*Quesería!$B$42/365+IF(G$47&gt;=2,($Q$25*'Beneficios y costos'!$B$147+(1-$Q$25)*'Beneficios y costos'!$B$148)*$Q$24*$Q$21*$Q$10*IF(G$47=2,Quesería!$B$20,1),0))*G696/H696</f>
        <v>6.49010597714096</v>
      </c>
      <c r="I714" s="29" t="n">
        <f aca="false">(I713*(Quesería!$B$38+Quesería!$B$40*Quesería!$B$39)/365-I705*Quesería!$B$42/365+IF(I$47&gt;=2,($Q$25*'Beneficios y costos'!$B$147+(1-$Q$25)*'Beneficios y costos'!$B$148)*$Q$24*$Q$21*$Q$10*IF(I$47=2,Quesería!$B$20,1),0))-(H713*(Quesería!$B$38+Quesería!$B$40*Quesería!$B$39)/365-H705*Quesería!$B$42/365+IF(H$47&gt;=2,($Q$25*'Beneficios y costos'!$B$147+(1-$Q$25)*'Beneficios y costos'!$B$148)*$Q$24*$Q$21*$Q$10*IF(H$47=2,Quesería!$B$20,1),0))*H696/I696</f>
        <v>6.49010597714096</v>
      </c>
      <c r="J714" s="29" t="n">
        <f aca="false">(J713*(Quesería!$B$38+Quesería!$B$40*Quesería!$B$39)/365-J705*Quesería!$B$42/365+IF(J$47&gt;=2,($Q$25*'Beneficios y costos'!$B$147+(1-$Q$25)*'Beneficios y costos'!$B$148)*$Q$24*$Q$21*$Q$10*IF(J$47=2,Quesería!$B$20,1),0))-(I713*(Quesería!$B$38+Quesería!$B$40*Quesería!$B$39)/365-I705*Quesería!$B$42/365+IF(I$47&gt;=2,($Q$25*'Beneficios y costos'!$B$147+(1-$Q$25)*'Beneficios y costos'!$B$148)*$Q$24*$Q$21*$Q$10*IF(I$47=2,Quesería!$B$20,1),0))*I696/J696</f>
        <v>6.49010597714096</v>
      </c>
      <c r="K714" s="29" t="n">
        <f aca="false">(K713*(Quesería!$B$38+Quesería!$B$40*Quesería!$B$39)/365-K705*Quesería!$B$42/365+IF(K$47&gt;=2,($Q$25*'Beneficios y costos'!$B$147+(1-$Q$25)*'Beneficios y costos'!$B$148)*$Q$24*$Q$21*$Q$10*IF(K$47=2,Quesería!$B$20,1),0))-(J713*(Quesería!$B$38+Quesería!$B$40*Quesería!$B$39)/365-J705*Quesería!$B$42/365+IF(J$47&gt;=2,($Q$25*'Beneficios y costos'!$B$147+(1-$Q$25)*'Beneficios y costos'!$B$148)*$Q$24*$Q$21*$Q$10*IF(J$47=2,Quesería!$B$20,1),0))*J696/K696</f>
        <v>6.49010597714099</v>
      </c>
      <c r="L714" s="29" t="n">
        <f aca="false">-(K713*(Quesería!$B$38+Quesería!$B$40*Quesería!$B$39)/365-K705*Quesería!$B$42/365+IF(K$47&gt;=2,($Q$25*'Beneficios y costos'!$B$147+(1-$Q$25)*'Beneficios y costos'!$B$148)*$Q$24*$Q$21*$Q$10*IF(K$47=2,Quesería!$B$20,1),0))*K696/L696</f>
        <v>-162.252649428524</v>
      </c>
    </row>
    <row r="715" customFormat="false" ht="15" hidden="true" customHeight="false" outlineLevel="1" collapsed="false">
      <c r="A715" s="6" t="s">
        <v>422</v>
      </c>
      <c r="B715" s="29" t="n">
        <v>0</v>
      </c>
      <c r="C715" s="29" t="n">
        <v>0</v>
      </c>
      <c r="D715" s="29" t="n">
        <v>0</v>
      </c>
      <c r="E715" s="29" t="n">
        <v>0</v>
      </c>
      <c r="F715" s="29" t="n">
        <v>0</v>
      </c>
      <c r="G715" s="29" t="n">
        <v>0</v>
      </c>
      <c r="H715" s="29" t="n">
        <v>0</v>
      </c>
      <c r="I715" s="29" t="n">
        <v>0</v>
      </c>
      <c r="J715" s="29" t="n">
        <v>0</v>
      </c>
      <c r="K715" s="29" t="n">
        <v>0</v>
      </c>
      <c r="L715" s="29" t="n">
        <f aca="false">$Q$8*Quesería!$B$36*(Quesería!$F$94+(Quesería!$F$95-(-$Q$26)*Quesería!$D$86)*$Q$21)*$Q$11*(1-$Q$17)</f>
        <v>66.6871396783353</v>
      </c>
    </row>
    <row r="716" customFormat="false" ht="15" hidden="true" customHeight="false" outlineLevel="1" collapsed="false">
      <c r="A716" s="5" t="s">
        <v>147</v>
      </c>
      <c r="B716" s="59" t="n">
        <f aca="false">B704-B705-B706-B707-B712-B699-B700-B701-B714+B715</f>
        <v>-962.523078883332</v>
      </c>
      <c r="C716" s="59" t="n">
        <f aca="false">C704-C705-C706-C707-C712-C699-C700-C701-C714+C715</f>
        <v>-398.54679286353</v>
      </c>
      <c r="D716" s="59" t="n">
        <f aca="false">D704-D705-D706-D707-D712-D699-D700-D701-D714+D715</f>
        <v>468.974446394801</v>
      </c>
      <c r="E716" s="59" t="n">
        <f aca="false">E704-E705-E706-E707-E712-E699-E700-E701-E714+E715</f>
        <v>341.662764620944</v>
      </c>
      <c r="F716" s="59" t="n">
        <f aca="false">F704-F705-F706-F707-F712-F699-F700-F701-F714+F715</f>
        <v>378.501585992257</v>
      </c>
      <c r="G716" s="59" t="n">
        <f aca="false">G704-G705-G706-G707-G712-G699-G700-G701-G714+G715</f>
        <v>344.412389356332</v>
      </c>
      <c r="H716" s="59" t="n">
        <f aca="false">H704-H705-H706-H707-H712-H699-H700-H701-H714+H715</f>
        <v>323.493211238126</v>
      </c>
      <c r="I716" s="59" t="n">
        <f aca="false">I704-I705-I706-I707-I712-I699-I700-I701-I714+I715</f>
        <v>383.920324040741</v>
      </c>
      <c r="J716" s="59" t="n">
        <f aca="false">J704-J705-J706-J707-J712-J699-J700-J701-J714+J715</f>
        <v>374.296969227204</v>
      </c>
      <c r="K716" s="59" t="n">
        <f aca="false">K704-K705-K706-K707-K712-K699-K700-K701-K714+K715</f>
        <v>373.202322759429</v>
      </c>
      <c r="L716" s="59" t="n">
        <f aca="false">L704-L705-L706-L707-L712-L699-L700-L701-L714+L715</f>
        <v>607.589317856346</v>
      </c>
    </row>
    <row r="717" customFormat="false" ht="15" hidden="true" customHeight="false" outlineLevel="1" collapsed="false">
      <c r="A717" s="9" t="s">
        <v>423</v>
      </c>
      <c r="B717" s="58" t="n">
        <f aca="false">B716*B696</f>
        <v>-1020.27446361633</v>
      </c>
      <c r="C717" s="58" t="n">
        <f aca="false">C716*C696</f>
        <v>-443.582580457109</v>
      </c>
      <c r="D717" s="58" t="n">
        <f aca="false">D716*D696</f>
        <v>545.457143985098</v>
      </c>
      <c r="E717" s="58" t="n">
        <f aca="false">E716*E696</f>
        <v>413.278150052716</v>
      </c>
      <c r="F717" s="58" t="n">
        <f aca="false">F716*F696</f>
        <v>476.152245742739</v>
      </c>
      <c r="G717" s="58" t="n">
        <f aca="false">G716*G696</f>
        <v>450.599015358616</v>
      </c>
      <c r="H717" s="58" t="n">
        <f aca="false">H716*H696</f>
        <v>440.159402049319</v>
      </c>
      <c r="I717" s="58" t="n">
        <f aca="false">I716*I696</f>
        <v>543.274417420648</v>
      </c>
      <c r="J717" s="58" t="n">
        <f aca="false">J716*J696</f>
        <v>550.842957177622</v>
      </c>
      <c r="K717" s="58" t="n">
        <f aca="false">K716*K696</f>
        <v>571.201274697888</v>
      </c>
      <c r="L717" s="58" t="n">
        <f aca="false">L716*L696</f>
        <v>967.137669180921</v>
      </c>
    </row>
    <row r="718" customFormat="false" ht="15" hidden="true" customHeight="false" outlineLevel="1" collapsed="false">
      <c r="A718" s="6" t="s">
        <v>424</v>
      </c>
      <c r="B718" s="29" t="n">
        <f aca="false">B716</f>
        <v>-962.523078883332</v>
      </c>
      <c r="C718" s="29" t="n">
        <f aca="false">B718+C716</f>
        <v>-1361.06987174686</v>
      </c>
      <c r="D718" s="29" t="n">
        <f aca="false">C718+D716</f>
        <v>-892.09542535206</v>
      </c>
      <c r="E718" s="29" t="n">
        <f aca="false">D718+E716</f>
        <v>-550.432660731117</v>
      </c>
      <c r="F718" s="29" t="n">
        <f aca="false">E718+F716</f>
        <v>-171.93107473886</v>
      </c>
      <c r="G718" s="29" t="n">
        <f aca="false">F718+G716</f>
        <v>172.481314617472</v>
      </c>
      <c r="H718" s="29" t="n">
        <f aca="false">G718+H716</f>
        <v>495.974525855598</v>
      </c>
      <c r="I718" s="29" t="n">
        <f aca="false">H718+I716</f>
        <v>879.894849896339</v>
      </c>
      <c r="J718" s="29" t="n">
        <f aca="false">I718+J716</f>
        <v>1254.19181912354</v>
      </c>
      <c r="K718" s="29" t="n">
        <f aca="false">J718+K716</f>
        <v>1627.39414188297</v>
      </c>
      <c r="L718" s="29" t="n">
        <f aca="false">K718+L716</f>
        <v>2234.98345973932</v>
      </c>
    </row>
    <row r="719" customFormat="false" ht="15" hidden="true" customHeight="false" outlineLevel="1" collapsed="false">
      <c r="A719" s="9" t="s">
        <v>425</v>
      </c>
      <c r="B719" s="60" t="n">
        <v>0</v>
      </c>
      <c r="C719" s="60" t="n">
        <f aca="false">IF(AND(B718&lt;0,C718&gt;=0),B$47+(-B718)/C716,0)</f>
        <v>0</v>
      </c>
      <c r="D719" s="60" t="n">
        <f aca="false">IF(AND(C718&lt;0,D718&gt;=0),C$47+(-C718)/D716,0)</f>
        <v>0</v>
      </c>
      <c r="E719" s="60" t="n">
        <f aca="false">IF(AND(D718&lt;0,E718&gt;=0),D$47+(-D718)/E716,0)</f>
        <v>0</v>
      </c>
      <c r="F719" s="60" t="n">
        <f aca="false">IF(AND(E718&lt;0,F718&gt;=0),E$47+(-E718)/F716,0)</f>
        <v>0</v>
      </c>
      <c r="G719" s="60" t="n">
        <f aca="false">IF(AND(F718&lt;0,G718&gt;=0),F$47+(-F718)/G716,0)</f>
        <v>4.49920119035259</v>
      </c>
      <c r="H719" s="60" t="n">
        <f aca="false">IF(AND(G718&lt;0,H718&gt;=0),G$47+(-G718)/H716,0)</f>
        <v>0</v>
      </c>
      <c r="I719" s="60" t="n">
        <f aca="false">IF(AND(H718&lt;0,I718&gt;=0),H$47+(-H718)/I716,0)</f>
        <v>0</v>
      </c>
      <c r="J719" s="60" t="n">
        <f aca="false">IF(AND(I718&lt;0,J718&gt;=0),I$47+(-I718)/J716,0)</f>
        <v>0</v>
      </c>
      <c r="K719" s="60" t="n">
        <f aca="false">IF(AND(J718&lt;0,K718&gt;=0),J$47+(-J718)/K716,0)</f>
        <v>0</v>
      </c>
      <c r="L719" s="60" t="n">
        <f aca="false">IF(AND(K718&lt;0,L718&gt;=0),K$47+(-K718)/L716,0)</f>
        <v>0</v>
      </c>
    </row>
    <row r="720" customFormat="false" ht="15" hidden="true" customHeight="false" outlineLevel="1" collapsed="false">
      <c r="A720" s="9" t="s">
        <v>426</v>
      </c>
      <c r="B720" s="57" t="n">
        <f aca="false">(B696/$B$696)/(1+$Q$29)^B$47</f>
        <v>1</v>
      </c>
      <c r="C720" s="57" t="n">
        <f aca="false">(C696/$B$696)/(1+$Q$29)^C$47</f>
        <v>0.911731377886607</v>
      </c>
      <c r="D720" s="57" t="n">
        <f aca="false">(D696/$B$696)/(1+$Q$29)^D$47</f>
        <v>0.827295752540044</v>
      </c>
      <c r="E720" s="57" t="n">
        <f aca="false">(E696/$B$696)/(1+$Q$29)^E$47</f>
        <v>0.74708795832228</v>
      </c>
      <c r="F720" s="57" t="n">
        <f aca="false">(F696/$B$696)/(1+$Q$29)^F$47</f>
        <v>0.674656452370868</v>
      </c>
      <c r="G720" s="57" t="n">
        <f aca="false">(G696/$B$696)/(1+$Q$29)^G$47</f>
        <v>0.609247309711418</v>
      </c>
      <c r="H720" s="57" t="n">
        <f aca="false">(H696/$B$696)/(1+$Q$29)^H$47</f>
        <v>0.550179699736357</v>
      </c>
      <c r="I720" s="57" t="n">
        <f aca="false">(I696/$B$696)/(1+$Q$29)^I$47</f>
        <v>0.496838799576098</v>
      </c>
      <c r="J720" s="57" t="n">
        <f aca="false">(J696/$B$696)/(1+$Q$29)^J$47</f>
        <v>0.448669394531472</v>
      </c>
      <c r="K720" s="57" t="n">
        <f aca="false">(K696/$B$696)/(1+$Q$29)^K$47</f>
        <v>0.405170098955617</v>
      </c>
      <c r="L720" s="57" t="n">
        <f aca="false">(L696/$B$696)/(1+$Q$29)^L$47</f>
        <v>0.365888137431645</v>
      </c>
    </row>
    <row r="721" customFormat="false" ht="15" hidden="true" customHeight="false" outlineLevel="1" collapsed="false">
      <c r="A721" s="9" t="s">
        <v>427</v>
      </c>
      <c r="B721" s="58" t="n">
        <f aca="false">B716*B720</f>
        <v>-962.523078883332</v>
      </c>
      <c r="C721" s="58" t="n">
        <f aca="false">C716*C720</f>
        <v>-363.367616609754</v>
      </c>
      <c r="D721" s="58" t="n">
        <f aca="false">D716*D720</f>
        <v>387.980567552238</v>
      </c>
      <c r="E721" s="58" t="n">
        <f aca="false">E716*E720</f>
        <v>255.252137255407</v>
      </c>
      <c r="F721" s="58" t="n">
        <f aca="false">F716*F720</f>
        <v>255.358537222283</v>
      </c>
      <c r="G721" s="58" t="n">
        <f aca="false">G716*G720</f>
        <v>209.832321646627</v>
      </c>
      <c r="H721" s="58" t="n">
        <f aca="false">H716*H720</f>
        <v>177.979397825742</v>
      </c>
      <c r="I721" s="58" t="n">
        <f aca="false">I716*I720</f>
        <v>190.746512929269</v>
      </c>
      <c r="J721" s="58" t="n">
        <f aca="false">J716*J720</f>
        <v>167.935594558135</v>
      </c>
      <c r="K721" s="58" t="n">
        <f aca="false">K716*K720</f>
        <v>151.210422042904</v>
      </c>
      <c r="L721" s="58" t="n">
        <f aca="false">L716*L720</f>
        <v>222.309723833822</v>
      </c>
    </row>
    <row r="722" customFormat="false" ht="15" hidden="true" customHeight="false" outlineLevel="1" collapsed="false">
      <c r="A722" s="9" t="s">
        <v>428</v>
      </c>
      <c r="B722" s="58" t="n">
        <f aca="false">B721</f>
        <v>-962.523078883332</v>
      </c>
      <c r="C722" s="58" t="n">
        <f aca="false">B722+C721</f>
        <v>-1325.89069549309</v>
      </c>
      <c r="D722" s="58" t="n">
        <f aca="false">C722+D721</f>
        <v>-937.910127940848</v>
      </c>
      <c r="E722" s="58" t="n">
        <f aca="false">D722+E721</f>
        <v>-682.657990685442</v>
      </c>
      <c r="F722" s="58" t="n">
        <f aca="false">E722+F721</f>
        <v>-427.299453463159</v>
      </c>
      <c r="G722" s="58" t="n">
        <f aca="false">F722+G721</f>
        <v>-217.467131816532</v>
      </c>
      <c r="H722" s="58" t="n">
        <f aca="false">G722+H721</f>
        <v>-39.48773399079</v>
      </c>
      <c r="I722" s="58" t="n">
        <f aca="false">H722+I721</f>
        <v>151.258778938479</v>
      </c>
      <c r="J722" s="58" t="n">
        <f aca="false">I722+J721</f>
        <v>319.194373496613</v>
      </c>
      <c r="K722" s="58" t="n">
        <f aca="false">J722+K721</f>
        <v>470.404795539517</v>
      </c>
      <c r="L722" s="58" t="n">
        <f aca="false">K722+L721</f>
        <v>692.71451937334</v>
      </c>
    </row>
    <row r="723" customFormat="false" ht="15" hidden="true" customHeight="false" outlineLevel="1" collapsed="false">
      <c r="A723" s="9" t="s">
        <v>429</v>
      </c>
      <c r="B723" s="60" t="n">
        <v>0</v>
      </c>
      <c r="C723" s="60" t="n">
        <f aca="false">IF(AND(B722&lt;0,C722&gt;=0),B$47+(-B722)/C721,0)</f>
        <v>0</v>
      </c>
      <c r="D723" s="60" t="n">
        <f aca="false">IF(AND(C722&lt;0,D722&gt;=0),C$47+(-C722)/D721,0)</f>
        <v>0</v>
      </c>
      <c r="E723" s="60" t="n">
        <f aca="false">IF(AND(D722&lt;0,E722&gt;=0),D$47+(-D722)/E721,0)</f>
        <v>0</v>
      </c>
      <c r="F723" s="60" t="n">
        <f aca="false">IF(AND(E722&lt;0,F722&gt;=0),E$47+(-E722)/F721,0)</f>
        <v>0</v>
      </c>
      <c r="G723" s="60" t="n">
        <f aca="false">IF(AND(F722&lt;0,G722&gt;=0),F$47+(-F722)/G721,0)</f>
        <v>0</v>
      </c>
      <c r="H723" s="60" t="n">
        <f aca="false">IF(AND(G722&lt;0,H722&gt;=0),G$47+(-G722)/H721,0)</f>
        <v>0</v>
      </c>
      <c r="I723" s="60" t="n">
        <f aca="false">IF(AND(H722&lt;0,I722&gt;=0),H$47+(-H722)/I721,0)</f>
        <v>6.20701680667385</v>
      </c>
      <c r="J723" s="60" t="n">
        <f aca="false">IF(AND(I722&lt;0,J722&gt;=0),I$47+(-I722)/J721,0)</f>
        <v>0</v>
      </c>
      <c r="K723" s="60" t="n">
        <f aca="false">IF(AND(J722&lt;0,K722&gt;=0),J$47+(-J722)/K721,0)</f>
        <v>0</v>
      </c>
      <c r="L723" s="60" t="n">
        <f aca="false">IF(AND(K722&lt;0,L722&gt;=0),K$47+(-K722)/L721,0)</f>
        <v>0</v>
      </c>
    </row>
    <row r="724" customFormat="false" ht="15" hidden="true" customHeight="false" outlineLevel="1" collapsed="false">
      <c r="A724" s="9" t="s">
        <v>430</v>
      </c>
      <c r="B724" s="58" t="n">
        <f aca="false">IF(B$47&lt;0,0,(Quesería!$B$44*$B$699*$B$696)*(1-MAX(0,MIN(B$47-0-Quesería!$B$47,(Quesería!$B$46-Quesería!$B$47)))/(Quesería!$B$46-Quesería!$B$47))*IF(B$47&gt;=2,1-Quesería!$B$48,1))+IF(B$47&lt;1,0,(Quesería!$B$44*$C$699*$C$696)*(1-MAX(0,MIN(B$47-1-Quesería!$B$47,(Quesería!$B$46-Quesería!$B$47)))/(Quesería!$B$46-Quesería!$B$47))*IF(B$47&gt;=2,1-Quesería!$B$48,1))</f>
        <v>641.321364968425</v>
      </c>
      <c r="C724" s="58" t="n">
        <f aca="false">IF(C$47&lt;0,0,(Quesería!$B$44*$B$699*$B$696)*(1-MAX(0,MIN(C$47-0-Quesería!$B$47,(Quesería!$B$46-Quesería!$B$47)))/(Quesería!$B$46-Quesería!$B$47))*IF(C$47&gt;=2,1-Quesería!$B$48,1))+IF(C$47&lt;1,0,(Quesería!$B$44*$C$699*$C$696)*(1-MAX(0,MIN(C$47-1-Quesería!$B$47,(Quesería!$B$46-Quesería!$B$47)))/(Quesería!$B$46-Quesería!$B$47))*IF(C$47&gt;=2,1-Quesería!$B$48,1))</f>
        <v>1117.69081125409</v>
      </c>
      <c r="D724" s="58" t="n">
        <f aca="false">IF(D$47&lt;0,0,(Quesería!$B$44*$B$699*$B$696)*(1-MAX(0,MIN(D$47-0-Quesería!$B$47,(Quesería!$B$46-Quesería!$B$47)))/(Quesería!$B$46-Quesería!$B$47))*IF(D$47&gt;=2,1-Quesería!$B$48,1))+IF(D$47&lt;1,0,(Quesería!$B$44*$C$699*$C$696)*(1-MAX(0,MIN(D$47-1-Quesería!$B$47,(Quesería!$B$46-Quesería!$B$47)))/(Quesería!$B$46-Quesería!$B$47))*IF(D$47&gt;=2,1-Quesería!$B$48,1))</f>
        <v>1010.80391709269</v>
      </c>
      <c r="E724" s="58" t="n">
        <f aca="false">IF(E$47&lt;0,0,(Quesería!$B$44*$B$699*$B$696)*(1-MAX(0,MIN(E$47-0-Quesería!$B$47,(Quesería!$B$46-Quesería!$B$47)))/(Quesería!$B$46-Quesería!$B$47))*IF(E$47&gt;=2,1-Quesería!$B$48,1))+IF(E$47&lt;1,0,(Quesería!$B$44*$C$699*$C$696)*(1-MAX(0,MIN(E$47-1-Quesería!$B$47,(Quesería!$B$46-Quesería!$B$47)))/(Quesería!$B$46-Quesería!$B$47))*IF(E$47&gt;=2,1-Quesería!$B$48,1))</f>
        <v>824.522115217005</v>
      </c>
      <c r="F724" s="58" t="n">
        <f aca="false">IF(F$47&lt;0,0,(Quesería!$B$44*$B$699*$B$696)*(1-MAX(0,MIN(F$47-0-Quesería!$B$47,(Quesería!$B$46-Quesería!$B$47)))/(Quesería!$B$46-Quesería!$B$47))*IF(F$47&gt;=2,1-Quesería!$B$48,1))+IF(F$47&lt;1,0,(Quesería!$B$44*$C$699*$C$696)*(1-MAX(0,MIN(F$47-1-Quesería!$B$47,(Quesería!$B$46-Quesería!$B$47)))/(Quesería!$B$46-Quesería!$B$47))*IF(F$47&gt;=2,1-Quesería!$B$48,1))</f>
        <v>638.240313341323</v>
      </c>
      <c r="G724" s="58" t="n">
        <f aca="false">IF(G$47&lt;0,0,(Quesería!$B$44*$B$699*$B$696)*(1-MAX(0,MIN(G$47-0-Quesería!$B$47,(Quesería!$B$46-Quesería!$B$47)))/(Quesería!$B$46-Quesería!$B$47))*IF(G$47&gt;=2,1-Quesería!$B$48,1))+IF(G$47&lt;1,0,(Quesería!$B$44*$C$699*$C$696)*(1-MAX(0,MIN(G$47-1-Quesería!$B$47,(Quesería!$B$46-Quesería!$B$47)))/(Quesería!$B$46-Quesería!$B$47))*IF(G$47&gt;=2,1-Quesería!$B$48,1))</f>
        <v>451.958511465641</v>
      </c>
      <c r="H724" s="58" t="n">
        <f aca="false">IF(H$47&lt;0,0,(Quesería!$B$44*$B$699*$B$696)*(1-MAX(0,MIN(H$47-0-Quesería!$B$47,(Quesería!$B$46-Quesería!$B$47)))/(Quesería!$B$46-Quesería!$B$47))*IF(H$47&gt;=2,1-Quesería!$B$48,1))+IF(H$47&lt;1,0,(Quesería!$B$44*$C$699*$C$696)*(1-MAX(0,MIN(H$47-1-Quesería!$B$47,(Quesería!$B$46-Quesería!$B$47)))/(Quesería!$B$46-Quesería!$B$47))*IF(H$47&gt;=2,1-Quesería!$B$48,1))</f>
        <v>265.67670958996</v>
      </c>
      <c r="I724" s="58" t="n">
        <f aca="false">IF(I$47&lt;0,0,(Quesería!$B$44*$B$699*$B$696)*(1-MAX(0,MIN(I$47-0-Quesería!$B$47,(Quesería!$B$46-Quesería!$B$47)))/(Quesería!$B$46-Quesería!$B$47))*IF(I$47&gt;=2,1-Quesería!$B$48,1))+IF(I$47&lt;1,0,(Quesería!$B$44*$C$699*$C$696)*(1-MAX(0,MIN(I$47-1-Quesería!$B$47,(Quesería!$B$46-Quesería!$B$47)))/(Quesería!$B$46-Quesería!$B$47))*IF(I$47&gt;=2,1-Quesería!$B$48,1))</f>
        <v>79.3949077142776</v>
      </c>
      <c r="J724" s="58" t="n">
        <f aca="false">IF(J$47&lt;0,0,(Quesería!$B$44*$B$699*$B$696)*(1-MAX(0,MIN(J$47-0-Quesería!$B$47,(Quesería!$B$46-Quesería!$B$47)))/(Quesería!$B$46-Quesería!$B$47))*IF(J$47&gt;=2,1-Quesería!$B$48,1))+IF(J$47&lt;1,0,(Quesería!$B$44*$C$699*$C$696)*(1-MAX(0,MIN(J$47-1-Quesería!$B$47,(Quesería!$B$46-Quesería!$B$47)))/(Quesería!$B$46-Quesería!$B$47))*IF(J$47&gt;=2,1-Quesería!$B$48,1))</f>
        <v>0</v>
      </c>
      <c r="K724" s="58" t="n">
        <f aca="false">IF(K$47&lt;0,0,(Quesería!$B$44*$B$699*$B$696)*(1-MAX(0,MIN(K$47-0-Quesería!$B$47,(Quesería!$B$46-Quesería!$B$47)))/(Quesería!$B$46-Quesería!$B$47))*IF(K$47&gt;=2,1-Quesería!$B$48,1))+IF(K$47&lt;1,0,(Quesería!$B$44*$C$699*$C$696)*(1-MAX(0,MIN(K$47-1-Quesería!$B$47,(Quesería!$B$46-Quesería!$B$47)))/(Quesería!$B$46-Quesería!$B$47))*IF(K$47&gt;=2,1-Quesería!$B$48,1))</f>
        <v>0</v>
      </c>
      <c r="L724" s="58" t="n">
        <f aca="false">IF(L$47&lt;0,0,(Quesería!$B$44*$B$699*$B$696)*(1-MAX(0,MIN(L$47-0-Quesería!$B$47,(Quesería!$B$46-Quesería!$B$47)))/(Quesería!$B$46-Quesería!$B$47))*IF(L$47&gt;=2,1-Quesería!$B$48,1))+IF(L$47&lt;1,0,(Quesería!$B$44*$C$699*$C$696)*(1-MAX(0,MIN(L$47-1-Quesería!$B$47,(Quesería!$B$46-Quesería!$B$47)))/(Quesería!$B$46-Quesería!$B$47))*IF(L$47&gt;=2,1-Quesería!$B$48,1))</f>
        <v>0</v>
      </c>
    </row>
    <row r="725" customFormat="false" ht="15" hidden="true" customHeight="false" outlineLevel="1" collapsed="false">
      <c r="A725" s="6" t="s">
        <v>431</v>
      </c>
      <c r="B725" s="29" t="n">
        <f aca="false">Quesería!$B$44*B699</f>
        <v>605.02015563059</v>
      </c>
      <c r="C725" s="29" t="n">
        <f aca="false">Quesería!$B$44*C699</f>
        <v>428.004893338424</v>
      </c>
      <c r="D725" s="29" t="n">
        <f aca="false">Quesería!$B$44*D699</f>
        <v>0</v>
      </c>
      <c r="E725" s="29" t="n">
        <f aca="false">Quesería!$B$44*E699</f>
        <v>0</v>
      </c>
      <c r="F725" s="29" t="n">
        <f aca="false">Quesería!$B$44*F699</f>
        <v>0</v>
      </c>
      <c r="G725" s="29" t="n">
        <f aca="false">Quesería!$B$44*G699</f>
        <v>0</v>
      </c>
      <c r="H725" s="29" t="n">
        <f aca="false">Quesería!$B$44*H699</f>
        <v>0</v>
      </c>
      <c r="I725" s="29" t="n">
        <f aca="false">Quesería!$B$44*I699</f>
        <v>0</v>
      </c>
      <c r="J725" s="29" t="n">
        <f aca="false">Quesería!$B$44*J699</f>
        <v>0</v>
      </c>
      <c r="K725" s="29" t="n">
        <f aca="false">Quesería!$B$44*K699</f>
        <v>0</v>
      </c>
      <c r="L725" s="29" t="n">
        <f aca="false">Quesería!$B$44*L699</f>
        <v>0</v>
      </c>
    </row>
    <row r="726" customFormat="false" ht="15" hidden="true" customHeight="false" outlineLevel="1" collapsed="false">
      <c r="A726" s="6" t="s">
        <v>432</v>
      </c>
      <c r="B726" s="29" t="n">
        <f aca="false">(IF(AND(B$47&gt;0,B$47&lt;=0+Quesería!$B$46),($Q$14+$Q$28)*(Quesería!$B$44*$B$699*$B$696)*(1-MAX(0,MIN((B$47-1)-0-Quesería!$B$47,(Quesería!$B$46-Quesería!$B$47)))/(Quesería!$B$46-Quesería!$B$47))*IF(B$47&gt;2,1-Quesería!$B$48,1),0)+IF(AND(B$47&gt;1,B$47&lt;=1+Quesería!$B$46),($Q$14+$Q$28)*(Quesería!$B$44*$C$699*$C$696)*(1-MAX(0,MIN((B$47-1)-1-Quesería!$B$47,(Quesería!$B$46-Quesería!$B$47)))/(Quesería!$B$46-Quesería!$B$47))*IF(B$47&gt;2,1-Quesería!$B$48,1),0))*B698</f>
        <v>0</v>
      </c>
      <c r="C726" s="29" t="n">
        <f aca="false">(IF(AND(C$47&gt;0,C$47&lt;=0+Quesería!$B$46),($Q$14+$Q$28)*(Quesería!$B$44*$B$699*$B$696)*(1-MAX(0,MIN((C$47-1)-0-Quesería!$B$47,(Quesería!$B$46-Quesería!$B$47)))/(Quesería!$B$46-Quesería!$B$47))*IF(C$47&gt;2,1-Quesería!$B$48,1),0)+IF(AND(C$47&gt;1,C$47&lt;=1+Quesería!$B$46),($Q$14+$Q$28)*(Quesería!$B$44*$C$699*$C$696)*(1-MAX(0,MIN((C$47-1)-1-Quesería!$B$47,(Quesería!$B$46-Quesería!$B$47)))/(Quesería!$B$46-Quesería!$B$47))*IF(C$47&gt;2,1-Quesería!$B$48,1),0))*C698</f>
        <v>81.2455637561078</v>
      </c>
      <c r="D726" s="29" t="n">
        <f aca="false">(IF(AND(D$47&gt;0,D$47&lt;=0+Quesería!$B$46),($Q$14+$Q$28)*(Quesería!$B$44*$B$699*$B$696)*(1-MAX(0,MIN((D$47-1)-0-Quesería!$B$47,(Quesería!$B$46-Quesería!$B$47)))/(Quesería!$B$46-Quesería!$B$47))*IF(D$47&gt;2,1-Quesería!$B$48,1),0)+IF(AND(D$47&gt;1,D$47&lt;=1+Quesería!$B$46),($Q$14+$Q$28)*(Quesería!$B$44*$C$699*$C$696)*(1-MAX(0,MIN((D$47-1)-1-Quesería!$B$47,(Quesería!$B$46-Quesería!$B$47)))/(Quesería!$B$46-Quesería!$B$47))*IF(D$47&gt;2,1-Quesería!$B$48,1),0))*D698</f>
        <v>135.496893508924</v>
      </c>
      <c r="E726" s="29" t="n">
        <f aca="false">(IF(AND(E$47&gt;0,E$47&lt;=0+Quesería!$B$46),($Q$14+$Q$28)*(Quesería!$B$44*$B$699*$B$696)*(1-MAX(0,MIN((E$47-1)-0-Quesería!$B$47,(Quesería!$B$46-Quesería!$B$47)))/(Quesería!$B$46-Quesería!$B$47))*IF(E$47&gt;2,1-Quesería!$B$48,1),0)+IF(AND(E$47&gt;1,E$47&lt;=1+Quesería!$B$46),($Q$14+$Q$28)*(Quesería!$B$44*$C$699*$C$696)*(1-MAX(0,MIN((E$47-1)-1-Quesería!$B$47,(Quesería!$B$46-Quesería!$B$47)))/(Quesería!$B$46-Quesería!$B$47))*IF(E$47&gt;2,1-Quesería!$B$48,1),0))*E698</f>
        <v>117.826027258135</v>
      </c>
      <c r="F726" s="29" t="n">
        <f aca="false">(IF(AND(F$47&gt;0,F$47&lt;=0+Quesería!$B$46),($Q$14+$Q$28)*(Quesería!$B$44*$B$699*$B$696)*(1-MAX(0,MIN((F$47-1)-0-Quesería!$B$47,(Quesería!$B$46-Quesería!$B$47)))/(Quesería!$B$46-Quesería!$B$47))*IF(F$47&gt;2,1-Quesería!$B$48,1),0)+IF(AND(F$47&gt;1,F$47&lt;=1+Quesería!$B$46),($Q$14+$Q$28)*(Quesería!$B$44*$C$699*$C$696)*(1-MAX(0,MIN((F$47-1)-1-Quesería!$B$47,(Quesería!$B$46-Quesería!$B$47)))/(Quesería!$B$46-Quesería!$B$47))*IF(F$47&gt;2,1-Quesería!$B$48,1),0))*F698</f>
        <v>92.4151745225957</v>
      </c>
      <c r="G726" s="29" t="n">
        <f aca="false">(IF(AND(G$47&gt;0,G$47&lt;=0+Quesería!$B$46),($Q$14+$Q$28)*(Quesería!$B$44*$B$699*$B$696)*(1-MAX(0,MIN((G$47-1)-0-Quesería!$B$47,(Quesería!$B$46-Quesería!$B$47)))/(Quesería!$B$46-Quesería!$B$47))*IF(G$47&gt;2,1-Quesería!$B$48,1),0)+IF(AND(G$47&gt;1,G$47&lt;=1+Quesería!$B$46),($Q$14+$Q$28)*(Quesería!$B$44*$C$699*$C$696)*(1-MAX(0,MIN((G$47-1)-1-Quesería!$B$47,(Quesería!$B$46-Quesería!$B$47)))/(Quesería!$B$46-Quesería!$B$47))*IF(G$47&gt;2,1-Quesería!$B$48,1),0))*G698</f>
        <v>68.7847039098228</v>
      </c>
      <c r="H726" s="29" t="n">
        <f aca="false">(IF(AND(H$47&gt;0,H$47&lt;=0+Quesería!$B$46),($Q$14+$Q$28)*(Quesería!$B$44*$B$699*$B$696)*(1-MAX(0,MIN((H$47-1)-0-Quesería!$B$47,(Quesería!$B$46-Quesería!$B$47)))/(Quesería!$B$46-Quesería!$B$47))*IF(H$47&gt;2,1-Quesería!$B$48,1),0)+IF(AND(H$47&gt;1,H$47&lt;=1+Quesería!$B$46),($Q$14+$Q$28)*(Quesería!$B$44*$C$699*$C$696)*(1-MAX(0,MIN((H$47-1)-1-Quesería!$B$47,(Quesería!$B$46-Quesería!$B$47)))/(Quesería!$B$46-Quesería!$B$47))*IF(H$47&gt;2,1-Quesería!$B$48,1),0))*H698</f>
        <v>46.8352529676735</v>
      </c>
      <c r="I726" s="29" t="n">
        <f aca="false">(IF(AND(I$47&gt;0,I$47&lt;=0+Quesería!$B$46),($Q$14+$Q$28)*(Quesería!$B$44*$B$699*$B$696)*(1-MAX(0,MIN((I$47-1)-0-Quesería!$B$47,(Quesería!$B$46-Quesería!$B$47)))/(Quesería!$B$46-Quesería!$B$47))*IF(I$47&gt;2,1-Quesería!$B$48,1),0)+IF(AND(I$47&gt;1,I$47&lt;=1+Quesería!$B$46),($Q$14+$Q$28)*(Quesería!$B$44*$C$699*$C$696)*(1-MAX(0,MIN((I$47-1)-1-Quesería!$B$47,(Quesería!$B$46-Quesería!$B$47)))/(Quesería!$B$46-Quesería!$B$47))*IF(I$47&gt;2,1-Quesería!$B$48,1),0))*I698</f>
        <v>26.4724688081898</v>
      </c>
      <c r="J726" s="29" t="n">
        <f aca="false">(IF(AND(J$47&gt;0,J$47&lt;=0+Quesería!$B$46),($Q$14+$Q$28)*(Quesería!$B$44*$B$699*$B$696)*(1-MAX(0,MIN((J$47-1)-0-Quesería!$B$47,(Quesería!$B$46-Quesería!$B$47)))/(Quesería!$B$46-Quesería!$B$47))*IF(J$47&gt;2,1-Quesería!$B$48,1),0)+IF(AND(J$47&gt;1,J$47&lt;=1+Quesería!$B$46),($Q$14+$Q$28)*(Quesería!$B$44*$C$699*$C$696)*(1-MAX(0,MIN((J$47-1)-1-Quesería!$B$47,(Quesería!$B$46-Quesería!$B$47)))/(Quesería!$B$46-Quesería!$B$47))*IF(J$47&gt;2,1-Quesería!$B$48,1),0))*J698</f>
        <v>7.60676974238282</v>
      </c>
      <c r="K726" s="29" t="n">
        <f aca="false">(IF(AND(K$47&gt;0,K$47&lt;=0+Quesería!$B$46),($Q$14+$Q$28)*(Quesería!$B$44*$B$699*$B$696)*(1-MAX(0,MIN((K$47-1)-0-Quesería!$B$47,(Quesería!$B$46-Quesería!$B$47)))/(Quesería!$B$46-Quesería!$B$47))*IF(K$47&gt;2,1-Quesería!$B$48,1),0)+IF(AND(K$47&gt;1,K$47&lt;=1+Quesería!$B$46),($Q$14+$Q$28)*(Quesería!$B$44*$C$699*$C$696)*(1-MAX(0,MIN((K$47-1)-1-Quesería!$B$47,(Quesería!$B$46-Quesería!$B$47)))/(Quesería!$B$46-Quesería!$B$47))*IF(K$47&gt;2,1-Quesería!$B$48,1),0))*K698</f>
        <v>0</v>
      </c>
      <c r="L726" s="29" t="n">
        <f aca="false">(IF(AND(L$47&gt;0,L$47&lt;=0+Quesería!$B$46),($Q$14+$Q$28)*(Quesería!$B$44*$B$699*$B$696)*(1-MAX(0,MIN((L$47-1)-0-Quesería!$B$47,(Quesería!$B$46-Quesería!$B$47)))/(Quesería!$B$46-Quesería!$B$47))*IF(L$47&gt;2,1-Quesería!$B$48,1),0)+IF(AND(L$47&gt;1,L$47&lt;=1+Quesería!$B$46),($Q$14+$Q$28)*(Quesería!$B$44*$C$699*$C$696)*(1-MAX(0,MIN((L$47-1)-1-Quesería!$B$47,(Quesería!$B$46-Quesería!$B$47)))/(Quesería!$B$46-Quesería!$B$47))*IF(L$47&gt;2,1-Quesería!$B$48,1),0))*L698</f>
        <v>0</v>
      </c>
    </row>
    <row r="727" customFormat="false" ht="15" hidden="true" customHeight="false" outlineLevel="1" collapsed="false">
      <c r="A727" s="6" t="s">
        <v>433</v>
      </c>
      <c r="B727" s="29" t="n">
        <f aca="false">((IF(AND(B$47&gt;0+Quesería!$B$47,B$47&lt;=0+Quesería!$B$46),(Quesería!$B$44*$B$699*$B$696)/(Quesería!$B$46-Quesería!$B$47),0)*IF(B$47&gt;2,1-Quesería!$B$48,1)+IF(B$47=2,Quesería!$B$48*(Quesería!$B$44*$B$699*$B$696)*(1-MAX(0,MIN(2-0-Quesería!$B$47,(Quesería!$B$46-Quesería!$B$47)))/(Quesería!$B$46-Quesería!$B$47)),0))+(IF(AND(B$47&gt;1+Quesería!$B$47,B$47&lt;=1+Quesería!$B$46),(Quesería!$B$44*$C$699*$C$696)/(Quesería!$B$46-Quesería!$B$47),0)*IF(B$47&gt;2,1-Quesería!$B$48,1)+IF(B$47=2,Quesería!$B$48*(Quesería!$B$44*$C$699*$C$696)*(1-MAX(0,MIN(2-1-Quesería!$B$47,(Quesería!$B$46-Quesería!$B$47)))/(Quesería!$B$46-Quesería!$B$47)),0)))*B698</f>
        <v>0</v>
      </c>
      <c r="C727" s="29" t="n">
        <f aca="false">((IF(AND(C$47&gt;0+Quesería!$B$47,C$47&lt;=0+Quesería!$B$46),(Quesería!$B$44*$B$699*$B$696)/(Quesería!$B$46-Quesería!$B$47),0)*IF(C$47&gt;2,1-Quesería!$B$48,1)+IF(C$47=2,Quesería!$B$48*(Quesería!$B$44*$B$699*$B$696)*(1-MAX(0,MIN(2-0-Quesería!$B$47,(Quesería!$B$46-Quesería!$B$47)))/(Quesería!$B$46-Quesería!$B$47)),0))+(IF(AND(C$47&gt;1+Quesería!$B$47,C$47&lt;=1+Quesería!$B$46),(Quesería!$B$44*$C$699*$C$696)/(Quesería!$B$46-Quesería!$B$47),0)*IF(C$47&gt;2,1-Quesería!$B$48,1)+IF(C$47=2,Quesería!$B$48*(Quesería!$B$44*$C$699*$C$696)*(1-MAX(0,MIN(2-1-Quesería!$B$47,(Quesería!$B$46-Quesería!$B$47)))/(Quesería!$B$46-Quesería!$B$47)),0)))*C698</f>
        <v>0</v>
      </c>
      <c r="D727" s="29" t="n">
        <f aca="false">((IF(AND(D$47&gt;0+Quesería!$B$47,D$47&lt;=0+Quesería!$B$46),(Quesería!$B$44*$B$699*$B$696)/(Quesería!$B$46-Quesería!$B$47),0)*IF(D$47&gt;2,1-Quesería!$B$48,1)+IF(D$47=2,Quesería!$B$48*(Quesería!$B$44*$B$699*$B$696)*(1-MAX(0,MIN(2-0-Quesería!$B$47,(Quesería!$B$46-Quesería!$B$47)))/(Quesería!$B$46-Quesería!$B$47)),0))+(IF(AND(D$47&gt;1+Quesería!$B$47,D$47&lt;=1+Quesería!$B$46),(Quesería!$B$44*$C$699*$C$696)/(Quesería!$B$46-Quesería!$B$47),0)*IF(D$47&gt;2,1-Quesería!$B$48,1)+IF(D$47=2,Quesería!$B$48*(Quesería!$B$44*$C$699*$C$696)*(1-MAX(0,MIN(2-1-Quesería!$B$47,(Quesería!$B$46-Quesería!$B$47)))/(Quesería!$B$46-Quesería!$B$47)),0)))*D698</f>
        <v>91.8994692231472</v>
      </c>
      <c r="E727" s="29" t="n">
        <f aca="false">((IF(AND(E$47&gt;0+Quesería!$B$47,E$47&lt;=0+Quesería!$B$46),(Quesería!$B$44*$B$699*$B$696)/(Quesería!$B$46-Quesería!$B$47),0)*IF(E$47&gt;2,1-Quesería!$B$48,1)+IF(E$47=2,Quesería!$B$48*(Quesería!$B$44*$B$699*$B$696)*(1-MAX(0,MIN(2-0-Quesería!$B$47,(Quesería!$B$46-Quesería!$B$47)))/(Quesería!$B$46-Quesería!$B$47)),0))+(IF(AND(E$47&gt;1+Quesería!$B$47,E$47&lt;=1+Quesería!$B$46),(Quesería!$B$44*$C$699*$C$696)/(Quesería!$B$46-Quesería!$B$47),0)*IF(E$47&gt;2,1-Quesería!$B$48,1)+IF(E$47=2,Quesería!$B$48*(Quesería!$B$44*$C$699*$C$696)*(1-MAX(0,MIN(2-1-Quesería!$B$47,(Quesería!$B$46-Quesería!$B$47)))/(Quesería!$B$46-Quesería!$B$47)),0)))*E698</f>
        <v>154.001742940676</v>
      </c>
      <c r="F727" s="29" t="n">
        <f aca="false">((IF(AND(F$47&gt;0+Quesería!$B$47,F$47&lt;=0+Quesería!$B$46),(Quesería!$B$44*$B$699*$B$696)/(Quesería!$B$46-Quesería!$B$47),0)*IF(F$47&gt;2,1-Quesería!$B$48,1)+IF(F$47=2,Quesería!$B$48*(Quesería!$B$44*$B$699*$B$696)*(1-MAX(0,MIN(2-0-Quesería!$B$47,(Quesería!$B$46-Quesería!$B$47)))/(Quesería!$B$46-Quesería!$B$47)),0))+(IF(AND(F$47&gt;1+Quesería!$B$47,F$47&lt;=1+Quesería!$B$46),(Quesería!$B$44*$C$699*$C$696)/(Quesería!$B$46-Quesería!$B$47),0)*IF(F$47&gt;2,1-Quesería!$B$48,1)+IF(F$47=2,Quesería!$B$48*(Quesería!$B$44*$C$699*$C$696)*(1-MAX(0,MIN(2-1-Quesería!$B$47,(Quesería!$B$46-Quesería!$B$47)))/(Quesería!$B$46-Quesería!$B$47)),0)))*F698</f>
        <v>148.078598981419</v>
      </c>
      <c r="G727" s="29" t="n">
        <f aca="false">((IF(AND(G$47&gt;0+Quesería!$B$47,G$47&lt;=0+Quesería!$B$46),(Quesería!$B$44*$B$699*$B$696)/(Quesería!$B$46-Quesería!$B$47),0)*IF(G$47&gt;2,1-Quesería!$B$48,1)+IF(G$47=2,Quesería!$B$48*(Quesería!$B$44*$B$699*$B$696)*(1-MAX(0,MIN(2-0-Quesería!$B$47,(Quesería!$B$46-Quesería!$B$47)))/(Quesería!$B$46-Quesería!$B$47)),0))+(IF(AND(G$47&gt;1+Quesería!$B$47,G$47&lt;=1+Quesería!$B$46),(Quesería!$B$44*$C$699*$C$696)/(Quesería!$B$46-Quesería!$B$47),0)*IF(G$47&gt;2,1-Quesería!$B$48,1)+IF(G$47=2,Quesería!$B$48*(Quesería!$B$44*$C$699*$C$696)*(1-MAX(0,MIN(2-1-Quesería!$B$47,(Quesería!$B$46-Quesería!$B$47)))/(Quesería!$B$46-Quesería!$B$47)),0)))*G698</f>
        <v>142.383268251364</v>
      </c>
      <c r="H727" s="29" t="n">
        <f aca="false">((IF(AND(H$47&gt;0+Quesería!$B$47,H$47&lt;=0+Quesería!$B$46),(Quesería!$B$44*$B$699*$B$696)/(Quesería!$B$46-Quesería!$B$47),0)*IF(H$47&gt;2,1-Quesería!$B$48,1)+IF(H$47=2,Quesería!$B$48*(Quesería!$B$44*$B$699*$B$696)*(1-MAX(0,MIN(2-0-Quesería!$B$47,(Quesería!$B$46-Quesería!$B$47)))/(Quesería!$B$46-Quesería!$B$47)),0))+(IF(AND(H$47&gt;1+Quesería!$B$47,H$47&lt;=1+Quesería!$B$46),(Quesería!$B$44*$C$699*$C$696)/(Quesería!$B$46-Quesería!$B$47),0)*IF(H$47&gt;2,1-Quesería!$B$48,1)+IF(H$47=2,Quesería!$B$48*(Quesería!$B$44*$C$699*$C$696)*(1-MAX(0,MIN(2-1-Quesería!$B$47,(Quesería!$B$46-Quesería!$B$47)))/(Quesería!$B$46-Quesería!$B$47)),0)))*H698</f>
        <v>136.906988703235</v>
      </c>
      <c r="I727" s="29" t="n">
        <f aca="false">((IF(AND(I$47&gt;0+Quesería!$B$47,I$47&lt;=0+Quesería!$B$46),(Quesería!$B$44*$B$699*$B$696)/(Quesería!$B$46-Quesería!$B$47),0)*IF(I$47&gt;2,1-Quesería!$B$48,1)+IF(I$47=2,Quesería!$B$48*(Quesería!$B$44*$B$699*$B$696)*(1-MAX(0,MIN(2-0-Quesería!$B$47,(Quesería!$B$46-Quesería!$B$47)))/(Quesería!$B$46-Quesería!$B$47)),0))+(IF(AND(I$47&gt;1+Quesería!$B$47,I$47&lt;=1+Quesería!$B$46),(Quesería!$B$44*$C$699*$C$696)/(Quesería!$B$46-Quesería!$B$47),0)*IF(I$47&gt;2,1-Quesería!$B$48,1)+IF(I$47=2,Quesería!$B$48*(Quesería!$B$44*$C$699*$C$696)*(1-MAX(0,MIN(2-1-Quesería!$B$47,(Quesería!$B$46-Quesería!$B$47)))/(Quesería!$B$46-Quesería!$B$47)),0)))*I698</f>
        <v>131.641335291572</v>
      </c>
      <c r="J727" s="29" t="n">
        <f aca="false">((IF(AND(J$47&gt;0+Quesería!$B$47,J$47&lt;=0+Quesería!$B$46),(Quesería!$B$44*$B$699*$B$696)/(Quesería!$B$46-Quesería!$B$47),0)*IF(J$47&gt;2,1-Quesería!$B$48,1)+IF(J$47=2,Quesería!$B$48*(Quesería!$B$44*$B$699*$B$696)*(1-MAX(0,MIN(2-0-Quesería!$B$47,(Quesería!$B$46-Quesería!$B$47)))/(Quesería!$B$46-Quesería!$B$47)),0))+(IF(AND(J$47&gt;1+Quesería!$B$47,J$47&lt;=1+Quesería!$B$46),(Quesería!$B$44*$C$699*$C$696)/(Quesería!$B$46-Quesería!$B$47),0)*IF(J$47&gt;2,1-Quesería!$B$48,1)+IF(J$47=2,Quesería!$B$48*(Quesería!$B$44*$C$699*$C$696)*(1-MAX(0,MIN(2-1-Quesería!$B$47,(Quesería!$B$46-Quesería!$B$47)))/(Quesería!$B$46-Quesería!$B$47)),0)))*J698</f>
        <v>53.9487215771831</v>
      </c>
      <c r="K727" s="29" t="n">
        <f aca="false">((IF(AND(K$47&gt;0+Quesería!$B$47,K$47&lt;=0+Quesería!$B$46),(Quesería!$B$44*$B$699*$B$696)/(Quesería!$B$46-Quesería!$B$47),0)*IF(K$47&gt;2,1-Quesería!$B$48,1)+IF(K$47=2,Quesería!$B$48*(Quesería!$B$44*$B$699*$B$696)*(1-MAX(0,MIN(2-0-Quesería!$B$47,(Quesería!$B$46-Quesería!$B$47)))/(Quesería!$B$46-Quesería!$B$47)),0))+(IF(AND(K$47&gt;1+Quesería!$B$47,K$47&lt;=1+Quesería!$B$46),(Quesería!$B$44*$C$699*$C$696)/(Quesería!$B$46-Quesería!$B$47),0)*IF(K$47&gt;2,1-Quesería!$B$48,1)+IF(K$47=2,Quesería!$B$48*(Quesería!$B$44*$C$699*$C$696)*(1-MAX(0,MIN(2-1-Quesería!$B$47,(Quesería!$B$46-Quesería!$B$47)))/(Quesería!$B$46-Quesería!$B$47)),0)))*K698</f>
        <v>0</v>
      </c>
      <c r="L727" s="29" t="n">
        <f aca="false">((IF(AND(L$47&gt;0+Quesería!$B$47,L$47&lt;=0+Quesería!$B$46),(Quesería!$B$44*$B$699*$B$696)/(Quesería!$B$46-Quesería!$B$47),0)*IF(L$47&gt;2,1-Quesería!$B$48,1)+IF(L$47=2,Quesería!$B$48*(Quesería!$B$44*$B$699*$B$696)*(1-MAX(0,MIN(2-0-Quesería!$B$47,(Quesería!$B$46-Quesería!$B$47)))/(Quesería!$B$46-Quesería!$B$47)),0))+(IF(AND(L$47&gt;1+Quesería!$B$47,L$47&lt;=1+Quesería!$B$46),(Quesería!$B$44*$C$699*$C$696)/(Quesería!$B$46-Quesería!$B$47),0)*IF(L$47&gt;2,1-Quesería!$B$48,1)+IF(L$47=2,Quesería!$B$48*(Quesería!$B$44*$C$699*$C$696)*(1-MAX(0,MIN(2-1-Quesería!$B$47,(Quesería!$B$46-Quesería!$B$47)))/(Quesería!$B$46-Quesería!$B$47)),0)))*L698</f>
        <v>0</v>
      </c>
    </row>
    <row r="728" customFormat="false" ht="15" hidden="true" customHeight="false" outlineLevel="1" collapsed="false">
      <c r="A728" s="6" t="s">
        <v>434</v>
      </c>
      <c r="B728" s="29" t="n">
        <f aca="false">$Q$13*Quesería!$B$51*(1+0.19)*B724*B698+(1-$Q$13)*IF(B$47=0,Quesería!$B$50,0)</f>
        <v>4</v>
      </c>
      <c r="C728" s="29" t="n">
        <f aca="false">$Q$13*Quesería!$B$51*(1+0.19)*C724*C698+(1-$Q$13)*IF(C$47=0,Quesería!$B$50,0)</f>
        <v>0</v>
      </c>
      <c r="D728" s="29" t="n">
        <f aca="false">$Q$13*Quesería!$B$51*(1+0.19)*D724*D698+(1-$Q$13)*IF(D$47=0,Quesería!$B$50,0)</f>
        <v>0</v>
      </c>
      <c r="E728" s="29" t="n">
        <f aca="false">$Q$13*Quesería!$B$51*(1+0.19)*E724*E698+(1-$Q$13)*IF(E$47=0,Quesería!$B$50,0)</f>
        <v>0</v>
      </c>
      <c r="F728" s="29" t="n">
        <f aca="false">$Q$13*Quesería!$B$51*(1+0.19)*F724*F698+(1-$Q$13)*IF(F$47=0,Quesería!$B$50,0)</f>
        <v>0</v>
      </c>
      <c r="G728" s="29" t="n">
        <f aca="false">$Q$13*Quesería!$B$51*(1+0.19)*G724*G698+(1-$Q$13)*IF(G$47=0,Quesería!$B$50,0)</f>
        <v>0</v>
      </c>
      <c r="H728" s="29" t="n">
        <f aca="false">$Q$13*Quesería!$B$51*(1+0.19)*H724*H698+(1-$Q$13)*IF(H$47=0,Quesería!$B$50,0)</f>
        <v>0</v>
      </c>
      <c r="I728" s="29" t="n">
        <f aca="false">$Q$13*Quesería!$B$51*(1+0.19)*I724*I698+(1-$Q$13)*IF(I$47=0,Quesería!$B$50,0)</f>
        <v>0</v>
      </c>
      <c r="J728" s="29" t="n">
        <f aca="false">$Q$13*Quesería!$B$51*(1+0.19)*J724*J698+(1-$Q$13)*IF(J$47=0,Quesería!$B$50,0)</f>
        <v>0</v>
      </c>
      <c r="K728" s="29" t="n">
        <f aca="false">$Q$13*Quesería!$B$51*(1+0.19)*K724*K698+(1-$Q$13)*IF(K$47=0,Quesería!$B$50,0)</f>
        <v>0</v>
      </c>
      <c r="L728" s="29" t="n">
        <f aca="false">$Q$13*Quesería!$B$51*(1+0.19)*L724*L698+(1-$Q$13)*IF(L$47=0,Quesería!$B$50,0)</f>
        <v>0</v>
      </c>
    </row>
    <row r="729" customFormat="false" ht="15" hidden="true" customHeight="false" outlineLevel="1" collapsed="false">
      <c r="A729" s="6" t="s">
        <v>435</v>
      </c>
      <c r="B729" s="29" t="n">
        <f aca="false">Quesería!$B$52*(B726+B727+B728)</f>
        <v>0.016</v>
      </c>
      <c r="C729" s="29" t="n">
        <f aca="false">Quesería!$B$52*(C726+C727+C728)</f>
        <v>0.324982255024431</v>
      </c>
      <c r="D729" s="29" t="n">
        <f aca="false">Quesería!$B$52*(D726+D727+D728)</f>
        <v>0.909585450928285</v>
      </c>
      <c r="E729" s="29" t="n">
        <f aca="false">Quesería!$B$52*(E726+E727+E728)</f>
        <v>1.08731108079524</v>
      </c>
      <c r="F729" s="29" t="n">
        <f aca="false">Quesería!$B$52*(F726+F727+F728)</f>
        <v>0.961975094016058</v>
      </c>
      <c r="G729" s="29" t="n">
        <f aca="false">Quesería!$B$52*(G726+G727+G728)</f>
        <v>0.844671888644748</v>
      </c>
      <c r="H729" s="29" t="n">
        <f aca="false">Quesería!$B$52*(H726+H727+H728)</f>
        <v>0.734968966683633</v>
      </c>
      <c r="I729" s="29" t="n">
        <f aca="false">Quesería!$B$52*(I726+I727+I728)</f>
        <v>0.632455216399047</v>
      </c>
      <c r="J729" s="29" t="n">
        <f aca="false">Quesería!$B$52*(J726+J727+J728)</f>
        <v>0.246221965278264</v>
      </c>
      <c r="K729" s="29" t="n">
        <f aca="false">Quesería!$B$52*(K726+K727+K728)</f>
        <v>0</v>
      </c>
      <c r="L729" s="29" t="n">
        <f aca="false">Quesería!$B$52*(L726+L727+L728)</f>
        <v>0</v>
      </c>
    </row>
    <row r="730" customFormat="false" ht="15" hidden="true" customHeight="false" outlineLevel="1" collapsed="false">
      <c r="A730" s="6" t="s">
        <v>436</v>
      </c>
      <c r="B730" s="29" t="n">
        <f aca="false">$Q$17*(B726+B728+0.5*B729)</f>
        <v>1.2024</v>
      </c>
      <c r="C730" s="29" t="n">
        <f aca="false">$Q$17*(C726+C728+0.5*C729)</f>
        <v>24.422416465086</v>
      </c>
      <c r="D730" s="29" t="n">
        <f aca="false">$Q$17*(D726+D728+0.5*D729)</f>
        <v>40.7855058703164</v>
      </c>
      <c r="E730" s="29" t="n">
        <f aca="false">$Q$17*(E726+E728+0.5*E729)</f>
        <v>35.5109048395597</v>
      </c>
      <c r="F730" s="29" t="n">
        <f aca="false">$Q$17*(F726+F728+0.5*F729)</f>
        <v>27.8688486208811</v>
      </c>
      <c r="G730" s="29" t="n">
        <f aca="false">$Q$17*(G726+G728+0.5*G729)</f>
        <v>20.7621119562435</v>
      </c>
      <c r="H730" s="29" t="n">
        <f aca="false">$Q$17*(H726+H728+0.5*H729)</f>
        <v>14.1608212353046</v>
      </c>
      <c r="I730" s="29" t="n">
        <f aca="false">$Q$17*(I726+I728+0.5*I729)</f>
        <v>8.03660892491679</v>
      </c>
      <c r="J730" s="29" t="n">
        <f aca="false">$Q$17*(J726+J728+0.5*J729)</f>
        <v>2.31896421750659</v>
      </c>
      <c r="K730" s="29" t="n">
        <f aca="false">$Q$17*(K726+K728+0.5*K729)</f>
        <v>0</v>
      </c>
      <c r="L730" s="29" t="n">
        <f aca="false">$Q$17*(L726+L728+0.5*L729)</f>
        <v>0</v>
      </c>
    </row>
    <row r="731" customFormat="false" ht="15" hidden="true" customHeight="false" outlineLevel="1" collapsed="false">
      <c r="A731" s="5" t="s">
        <v>437</v>
      </c>
      <c r="B731" s="59" t="n">
        <f aca="false">B716+B725-B726-B727-B728-B729+B730</f>
        <v>-360.316523252742</v>
      </c>
      <c r="C731" s="59" t="n">
        <f aca="false">C716+C725-C726-C727-C728-C729+C730</f>
        <v>-27.6900290711523</v>
      </c>
      <c r="D731" s="59" t="n">
        <f aca="false">D716+D725-D726-D727-D728-D729+D730</f>
        <v>281.454004082118</v>
      </c>
      <c r="E731" s="59" t="n">
        <f aca="false">E716+E725-E726-E727-E728-E729+E730</f>
        <v>104.258588180898</v>
      </c>
      <c r="F731" s="59" t="n">
        <f aca="false">F716+F725-F726-F727-F728-F729+F730</f>
        <v>164.914686015108</v>
      </c>
      <c r="G731" s="59" t="n">
        <f aca="false">G716+G725-G726-G727-G728-G729+G730</f>
        <v>153.161857262744</v>
      </c>
      <c r="H731" s="59" t="n">
        <f aca="false">H716+H725-H726-H727-H728-H729+H730</f>
        <v>153.176821835838</v>
      </c>
      <c r="I731" s="59" t="n">
        <f aca="false">I716+I725-I726-I727-I728-I729+I730</f>
        <v>233.210673649497</v>
      </c>
      <c r="J731" s="59" t="n">
        <f aca="false">J716+J725-J726-J727-J728-J729+J730</f>
        <v>314.814220159867</v>
      </c>
      <c r="K731" s="59" t="n">
        <f aca="false">K716+K725-K726-K727-K728-K729+K730</f>
        <v>373.202322759429</v>
      </c>
      <c r="L731" s="59" t="n">
        <f aca="false">L716+L725-L726-L727-L728-L729+L730</f>
        <v>607.589317856346</v>
      </c>
    </row>
    <row r="732" customFormat="false" ht="15" hidden="true" customHeight="false" outlineLevel="1" collapsed="false">
      <c r="A732" s="9" t="s">
        <v>438</v>
      </c>
      <c r="B732" s="58" t="n">
        <f aca="false">B731*B696</f>
        <v>-381.935514647906</v>
      </c>
      <c r="C732" s="58" t="n">
        <f aca="false">C731*C696</f>
        <v>-30.8190023561926</v>
      </c>
      <c r="D732" s="58" t="n">
        <f aca="false">D731*D696</f>
        <v>327.354930337851</v>
      </c>
      <c r="E732" s="58" t="n">
        <f aca="false">E731*E696</f>
        <v>126.112064035755</v>
      </c>
      <c r="F732" s="58" t="n">
        <f aca="false">F731*F696</f>
        <v>207.461477066726</v>
      </c>
      <c r="G732" s="58" t="n">
        <f aca="false">G731*G696</f>
        <v>200.383564023553</v>
      </c>
      <c r="H732" s="58" t="n">
        <f aca="false">H731*H696</f>
        <v>208.419268055204</v>
      </c>
      <c r="I732" s="58" t="n">
        <f aca="false">I731*I696</f>
        <v>330.009600767482</v>
      </c>
      <c r="J732" s="58" t="n">
        <f aca="false">J731*J696</f>
        <v>463.303767466958</v>
      </c>
      <c r="K732" s="58" t="n">
        <f aca="false">K731*K696</f>
        <v>571.201274697888</v>
      </c>
      <c r="L732" s="58" t="n">
        <f aca="false">L731*L696</f>
        <v>967.137669180921</v>
      </c>
    </row>
    <row r="733" customFormat="false" ht="15" hidden="true" customHeight="false" outlineLevel="1" collapsed="false">
      <c r="A733" s="9" t="s">
        <v>439</v>
      </c>
      <c r="B733" s="57" t="n">
        <f aca="false">(B696/$B$696)/(1+Quesería!$B$11+$Q$28)^B$47</f>
        <v>1</v>
      </c>
      <c r="C733" s="57" t="n">
        <f aca="false">(C696/$B$696)/(1+Quesería!$B$11+$Q$28)^C$47</f>
        <v>0.84</v>
      </c>
      <c r="D733" s="57" t="n">
        <f aca="false">(D696/$B$696)/(1+Quesería!$B$11+$Q$28)^D$47</f>
        <v>0.70224</v>
      </c>
      <c r="E733" s="57" t="n">
        <f aca="false">(E696/$B$696)/(1+Quesería!$B$11+$Q$28)^E$47</f>
        <v>0.58426368</v>
      </c>
      <c r="F733" s="57" t="n">
        <f aca="false">(F696/$B$696)/(1+Quesería!$B$11+$Q$28)^F$47</f>
        <v>0.48610738176</v>
      </c>
      <c r="G733" s="57" t="n">
        <f aca="false">(G696/$B$696)/(1+Quesería!$B$11+$Q$28)^G$47</f>
        <v>0.40444134162432</v>
      </c>
      <c r="H733" s="57" t="n">
        <f aca="false">(H696/$B$696)/(1+Quesería!$B$11+$Q$28)^H$47</f>
        <v>0.336495196231434</v>
      </c>
      <c r="I733" s="57" t="n">
        <f aca="false">(I696/$B$696)/(1+Quesería!$B$11+$Q$28)^I$47</f>
        <v>0.279964003264553</v>
      </c>
      <c r="J733" s="57" t="n">
        <f aca="false">(J696/$B$696)/(1+Quesería!$B$11+$Q$28)^J$47</f>
        <v>0.232930050716108</v>
      </c>
      <c r="K733" s="57" t="n">
        <f aca="false">(K696/$B$696)/(1+Quesería!$B$11+$Q$28)^K$47</f>
        <v>0.193797802195802</v>
      </c>
      <c r="L733" s="57" t="n">
        <f aca="false">(L696/$B$696)/(1+Quesería!$B$11+$Q$28)^L$47</f>
        <v>0.161239771426907</v>
      </c>
    </row>
    <row r="734" customFormat="false" ht="15" hidden="true" customHeight="false" outlineLevel="1" collapsed="false">
      <c r="A734" s="9" t="s">
        <v>440</v>
      </c>
      <c r="B734" s="58" t="n">
        <f aca="false">B716+B699+B701+B730</f>
        <v>118.595232108523</v>
      </c>
      <c r="C734" s="58" t="n">
        <f aca="false">C716+C699+C701+C730</f>
        <v>409.453812944209</v>
      </c>
      <c r="D734" s="58" t="n">
        <f aca="false">D716+D699+D701+D730</f>
        <v>509.759952265118</v>
      </c>
      <c r="E734" s="58" t="n">
        <f aca="false">E716+E699+E701+E730</f>
        <v>377.173669460503</v>
      </c>
      <c r="F734" s="58" t="n">
        <f aca="false">F716+F699+F701+F730</f>
        <v>406.370434613138</v>
      </c>
      <c r="G734" s="58" t="n">
        <f aca="false">G716+G699+G701+G730</f>
        <v>370.392892593662</v>
      </c>
      <c r="H734" s="58" t="n">
        <f aca="false">H716+H699+H701+H730</f>
        <v>346.467972058512</v>
      </c>
      <c r="I734" s="58" t="n">
        <f aca="false">I716+I699+I701+I730</f>
        <v>391.956932965658</v>
      </c>
      <c r="J734" s="58" t="n">
        <f aca="false">J716+J699+J701+J730</f>
        <v>376.615933444711</v>
      </c>
      <c r="K734" s="58" t="n">
        <f aca="false">K716+K699+K701+K730</f>
        <v>373.202322759429</v>
      </c>
      <c r="L734" s="58" t="n">
        <f aca="false">L716+L699+L701+L730</f>
        <v>607.589317856346</v>
      </c>
    </row>
    <row r="735" customFormat="false" ht="15" hidden="true" customHeight="false" outlineLevel="1" collapsed="false">
      <c r="A735" s="5" t="s">
        <v>149</v>
      </c>
      <c r="B735" s="12" t="str">
        <f aca="false">IF(AND(B$47&gt;=1,(B726+B727+B728)&gt;0.001),B734/(B726+B727+B728),"")</f>
        <v/>
      </c>
      <c r="C735" s="12" t="n">
        <f aca="false">IF(AND(C$47&gt;=1,(C726+C727+C728)&gt;0.001),C734/(C726+C727+C728),"")</f>
        <v>5.03970671153633</v>
      </c>
      <c r="D735" s="12" t="n">
        <f aca="false">IF(AND(D$47&gt;=1,(D726+D727+D728)&gt;0.001),D734/(D726+D727+D728),"")</f>
        <v>2.24172430086641</v>
      </c>
      <c r="E735" s="12" t="n">
        <f aca="false">IF(AND(E$47&gt;=1,(E726+E727+E728)&gt;0.001),E734/(E726+E727+E728),"")</f>
        <v>1.38754649381351</v>
      </c>
      <c r="F735" s="12" t="n">
        <f aca="false">IF(AND(F$47&gt;=1,(F726+F727+F728)&gt;0.001),F734/(F726+F727+F728),"")</f>
        <v>1.6897337036726</v>
      </c>
      <c r="G735" s="12" t="n">
        <f aca="false">IF(AND(G$47&gt;=1,(G726+G727+G728)&gt;0.001),G734/(G726+G727+G728),"")</f>
        <v>1.75402021813676</v>
      </c>
      <c r="H735" s="12" t="n">
        <f aca="false">IF(AND(H$47&gt;=1,(H726+H727+H728)&gt;0.001),H734/(H726+H727+H728),"")</f>
        <v>1.88561959899811</v>
      </c>
      <c r="I735" s="12" t="n">
        <f aca="false">IF(AND(I$47&gt;=1,(I726+I727+I728)&gt;0.001),I734/(I726+I727+I728),"")</f>
        <v>2.47895454288326</v>
      </c>
      <c r="J735" s="12" t="n">
        <f aca="false">IF(AND(J$47&gt;=1,(J726+J727+J728)&gt;0.001),J734/(J726+J727+J728),"")</f>
        <v>6.11831577282855</v>
      </c>
      <c r="K735" s="12" t="str">
        <f aca="false">IF(AND(K$47&gt;=1,(K726+K727+K728)&gt;0.001),K734/(K726+K727+K728),"")</f>
        <v/>
      </c>
      <c r="L735" s="12" t="str">
        <f aca="false">IF(AND(L$47&gt;=1,(L726+L727+L728)&gt;0.001),L734/(L726+L727+L728),"")</f>
        <v/>
      </c>
    </row>
    <row r="737" customFormat="false" ht="15" hidden="false" customHeight="false" outlineLevel="0" collapsed="false">
      <c r="A737" s="43" t="s">
        <v>1253</v>
      </c>
      <c r="B737" s="44"/>
      <c r="C737" s="44"/>
      <c r="D737" s="44"/>
      <c r="E737" s="44"/>
      <c r="F737" s="44"/>
      <c r="G737" s="44"/>
      <c r="H737" s="44"/>
      <c r="I737" s="44"/>
      <c r="J737" s="44"/>
      <c r="K737" s="44"/>
      <c r="L737" s="44"/>
    </row>
    <row r="738" customFormat="false" ht="15" hidden="true" customHeight="false" outlineLevel="1" collapsed="false">
      <c r="A738" s="9" t="s">
        <v>406</v>
      </c>
      <c r="B738" s="56" t="n">
        <f aca="false">CHOOSE($R$15,Entorno!B$7,Entorno!B$8,Entorno!B$9)</f>
        <v>0.06</v>
      </c>
      <c r="C738" s="56" t="n">
        <f aca="false">CHOOSE($R$15,Entorno!C$7,Entorno!C$8,Entorno!C$9)</f>
        <v>0.05</v>
      </c>
      <c r="D738" s="56" t="n">
        <f aca="false">CHOOSE($R$15,Entorno!D$7,Entorno!D$8,Entorno!D$9)</f>
        <v>0.045</v>
      </c>
      <c r="E738" s="56" t="n">
        <f aca="false">CHOOSE($R$15,Entorno!E$7,Entorno!E$8,Entorno!E$9)</f>
        <v>0.04</v>
      </c>
      <c r="F738" s="56" t="n">
        <f aca="false">CHOOSE($R$15,Entorno!F$7,Entorno!F$8,Entorno!F$9)</f>
        <v>0.04</v>
      </c>
      <c r="G738" s="56" t="n">
        <f aca="false">CHOOSE($R$15,Entorno!G$7,Entorno!G$8,Entorno!G$9)</f>
        <v>0.04</v>
      </c>
      <c r="H738" s="56" t="n">
        <f aca="false">CHOOSE($R$15,Entorno!H$7,Entorno!H$8,Entorno!H$9)</f>
        <v>0.04</v>
      </c>
      <c r="I738" s="56" t="n">
        <f aca="false">CHOOSE($R$15,Entorno!I$7,Entorno!I$8,Entorno!I$9)</f>
        <v>0.04</v>
      </c>
      <c r="J738" s="56" t="n">
        <f aca="false">CHOOSE($R$15,Entorno!J$7,Entorno!J$8,Entorno!J$9)</f>
        <v>0.04</v>
      </c>
      <c r="K738" s="56" t="n">
        <f aca="false">CHOOSE($R$15,Entorno!K$7,Entorno!K$8,Entorno!K$9)</f>
        <v>0.04</v>
      </c>
      <c r="L738" s="56" t="n">
        <f aca="false">CHOOSE($R$15,Entorno!L$7,Entorno!L$8,Entorno!L$9)</f>
        <v>0.04</v>
      </c>
    </row>
    <row r="739" customFormat="false" ht="15" hidden="true" customHeight="false" outlineLevel="1" collapsed="false">
      <c r="A739" s="9" t="s">
        <v>407</v>
      </c>
      <c r="B739" s="57" t="n">
        <f aca="false">1+B738</f>
        <v>1.06</v>
      </c>
      <c r="C739" s="57" t="n">
        <f aca="false">B739*(1+C738)</f>
        <v>1.113</v>
      </c>
      <c r="D739" s="57" t="n">
        <f aca="false">C739*(1+D738)</f>
        <v>1.163085</v>
      </c>
      <c r="E739" s="57" t="n">
        <f aca="false">D739*(1+E738)</f>
        <v>1.2096084</v>
      </c>
      <c r="F739" s="57" t="n">
        <f aca="false">E739*(1+F738)</f>
        <v>1.257992736</v>
      </c>
      <c r="G739" s="57" t="n">
        <f aca="false">F739*(1+G738)</f>
        <v>1.30831244544</v>
      </c>
      <c r="H739" s="57" t="n">
        <f aca="false">G739*(1+H738)</f>
        <v>1.3606449432576</v>
      </c>
      <c r="I739" s="57" t="n">
        <f aca="false">H739*(1+I738)</f>
        <v>1.4150707409879</v>
      </c>
      <c r="J739" s="57" t="n">
        <f aca="false">I739*(1+J738)</f>
        <v>1.47167357062742</v>
      </c>
      <c r="K739" s="57" t="n">
        <f aca="false">J739*(1+K738)</f>
        <v>1.53054051345252</v>
      </c>
      <c r="L739" s="57" t="n">
        <f aca="false">K739*(1+L738)</f>
        <v>1.59176213399062</v>
      </c>
    </row>
    <row r="740" customFormat="false" ht="15" hidden="true" customHeight="false" outlineLevel="1" collapsed="false">
      <c r="A740" s="9" t="s">
        <v>408</v>
      </c>
      <c r="B740" s="57" t="n">
        <f aca="false">(1+$R$16)/(1+B738)</f>
        <v>1.02358490566038</v>
      </c>
      <c r="C740" s="57" t="n">
        <f aca="false">B740*(1+Entorno!$B$13)</f>
        <v>1.02870283018868</v>
      </c>
      <c r="D740" s="57" t="n">
        <f aca="false">C740*(1+Entorno!$B$13)</f>
        <v>1.03384634433962</v>
      </c>
      <c r="E740" s="57" t="n">
        <f aca="false">D740*(1+Entorno!$B$13)</f>
        <v>1.03901557606132</v>
      </c>
      <c r="F740" s="57" t="n">
        <f aca="false">E740*(1+Entorno!$B$13)</f>
        <v>1.04421065394163</v>
      </c>
      <c r="G740" s="57" t="n">
        <f aca="false">F740*(1+Entorno!$B$13)</f>
        <v>1.04943170721133</v>
      </c>
      <c r="H740" s="57" t="n">
        <f aca="false">G740*(1+Entorno!$B$13)</f>
        <v>1.05467886574739</v>
      </c>
      <c r="I740" s="57" t="n">
        <f aca="false">H740*(1+Entorno!$B$13)</f>
        <v>1.05995226007613</v>
      </c>
      <c r="J740" s="57" t="n">
        <f aca="false">I740*(1+Entorno!$B$13)</f>
        <v>1.06525202137651</v>
      </c>
      <c r="K740" s="57" t="n">
        <f aca="false">J740*(1+Entorno!$B$13)</f>
        <v>1.07057828148339</v>
      </c>
      <c r="L740" s="57" t="n">
        <f aca="false">K740*(1+Entorno!$B$13)</f>
        <v>1.07593117289081</v>
      </c>
    </row>
    <row r="741" customFormat="false" ht="15" hidden="true" customHeight="false" outlineLevel="1" collapsed="false">
      <c r="A741" s="9" t="s">
        <v>409</v>
      </c>
      <c r="B741" s="57" t="n">
        <f aca="false">1/B739</f>
        <v>0.943396226415094</v>
      </c>
      <c r="C741" s="57" t="n">
        <f aca="false">1/C739</f>
        <v>0.898472596585804</v>
      </c>
      <c r="D741" s="57" t="n">
        <f aca="false">1/D739</f>
        <v>0.859782389077324</v>
      </c>
      <c r="E741" s="57" t="n">
        <f aca="false">1/E739</f>
        <v>0.826713835651273</v>
      </c>
      <c r="F741" s="57" t="n">
        <f aca="false">1/F739</f>
        <v>0.794917149664686</v>
      </c>
      <c r="G741" s="57" t="n">
        <f aca="false">1/G739</f>
        <v>0.764343413139121</v>
      </c>
      <c r="H741" s="57" t="n">
        <f aca="false">1/H739</f>
        <v>0.734945589556847</v>
      </c>
      <c r="I741" s="57" t="n">
        <f aca="false">1/I739</f>
        <v>0.706678451496968</v>
      </c>
      <c r="J741" s="57" t="n">
        <f aca="false">1/J739</f>
        <v>0.679498511054777</v>
      </c>
      <c r="K741" s="57" t="n">
        <f aca="false">1/K739</f>
        <v>0.653363952937286</v>
      </c>
      <c r="L741" s="57" t="n">
        <f aca="false">1/L739</f>
        <v>0.628234570132006</v>
      </c>
    </row>
    <row r="742" customFormat="false" ht="15" hidden="true" customHeight="false" outlineLevel="1" collapsed="false">
      <c r="A742" s="6" t="s">
        <v>323</v>
      </c>
      <c r="B742" s="29" t="n">
        <f aca="false">IF(B$47=0,Quesería!$F$92,IF(B$47=1,(Quesería!$F$93-(-$R$26)*Quesería!$D$86*(1+Quesería!$I$86))*$R$21,0))*$R$11</f>
        <v>930.800239431677</v>
      </c>
      <c r="C742" s="29" t="n">
        <f aca="false">IF(C$47=0,Quesería!$F$92,IF(C$47=1,(Quesería!$F$93-(-$R$26)*Quesería!$D$86*(1+Quesería!$I$86))*$R$21,0))*$R$11</f>
        <v>658.469066674498</v>
      </c>
      <c r="D742" s="29" t="n">
        <f aca="false">IF(D$47=0,Quesería!$F$92,IF(D$47=1,(Quesería!$F$93-(-$R$26)*Quesería!$D$86*(1+Quesería!$I$86))*$R$21,0))*$R$11</f>
        <v>0</v>
      </c>
      <c r="E742" s="29" t="n">
        <f aca="false">IF(E$47=0,Quesería!$F$92,IF(E$47=1,(Quesería!$F$93-(-$R$26)*Quesería!$D$86*(1+Quesería!$I$86))*$R$21,0))*$R$11</f>
        <v>0</v>
      </c>
      <c r="F742" s="29" t="n">
        <f aca="false">IF(F$47=0,Quesería!$F$92,IF(F$47=1,(Quesería!$F$93-(-$R$26)*Quesería!$D$86*(1+Quesería!$I$86))*$R$21,0))*$R$11</f>
        <v>0</v>
      </c>
      <c r="G742" s="29" t="n">
        <f aca="false">IF(G$47=0,Quesería!$F$92,IF(G$47=1,(Quesería!$F$93-(-$R$26)*Quesería!$D$86*(1+Quesería!$I$86))*$R$21,0))*$R$11</f>
        <v>0</v>
      </c>
      <c r="H742" s="29" t="n">
        <f aca="false">IF(H$47=0,Quesería!$F$92,IF(H$47=1,(Quesería!$F$93-(-$R$26)*Quesería!$D$86*(1+Quesería!$I$86))*$R$21,0))*$R$11</f>
        <v>0</v>
      </c>
      <c r="I742" s="29" t="n">
        <f aca="false">IF(I$47=0,Quesería!$F$92,IF(I$47=1,(Quesería!$F$93-(-$R$26)*Quesería!$D$86*(1+Quesería!$I$86))*$R$21,0))*$R$11</f>
        <v>0</v>
      </c>
      <c r="J742" s="29" t="n">
        <f aca="false">IF(J$47=0,Quesería!$F$92,IF(J$47=1,(Quesería!$F$93-(-$R$26)*Quesería!$D$86*(1+Quesería!$I$86))*$R$21,0))*$R$11</f>
        <v>0</v>
      </c>
      <c r="K742" s="29" t="n">
        <f aca="false">IF(K$47=0,Quesería!$F$92,IF(K$47=1,(Quesería!$F$93-(-$R$26)*Quesería!$D$86*(1+Quesería!$I$86))*$R$21,0))*$R$11</f>
        <v>0</v>
      </c>
      <c r="L742" s="29" t="n">
        <f aca="false">IF(L$47=0,Quesería!$F$92,IF(L$47=1,(Quesería!$F$93-(-$R$26)*Quesería!$D$86*(1+Quesería!$I$86))*$R$21,0))*$R$11</f>
        <v>0</v>
      </c>
    </row>
    <row r="743" customFormat="false" ht="15" hidden="true" customHeight="false" outlineLevel="1" collapsed="false">
      <c r="A743" s="6" t="s">
        <v>410</v>
      </c>
      <c r="B743" s="29" t="n">
        <f aca="false">IF(B$47=5,Quesería!$F$99,IF(B$47=6,Quesería!$F$100,0))*$R$11</f>
        <v>0</v>
      </c>
      <c r="C743" s="29" t="n">
        <f aca="false">IF(C$47=5,Quesería!$F$99,IF(C$47=6,Quesería!$F$100,0))*$R$11</f>
        <v>0</v>
      </c>
      <c r="D743" s="29" t="n">
        <f aca="false">IF(D$47=5,Quesería!$F$99,IF(D$47=6,Quesería!$F$100,0))*$R$11</f>
        <v>0</v>
      </c>
      <c r="E743" s="29" t="n">
        <f aca="false">IF(E$47=5,Quesería!$F$99,IF(E$47=6,Quesería!$F$100,0))*$R$11</f>
        <v>0</v>
      </c>
      <c r="F743" s="29" t="n">
        <f aca="false">IF(F$47=5,Quesería!$F$99,IF(F$47=6,Quesería!$F$100,0))*$R$11</f>
        <v>0</v>
      </c>
      <c r="G743" s="29" t="n">
        <f aca="false">IF(G$47=5,Quesería!$F$99,IF(G$47=6,Quesería!$F$100,0))*$R$11</f>
        <v>27.4652172688735</v>
      </c>
      <c r="H743" s="29" t="n">
        <f aca="false">IF(H$47=5,Quesería!$F$99,IF(H$47=6,Quesería!$F$100,0))*$R$11</f>
        <v>46.3891557109552</v>
      </c>
      <c r="I743" s="29" t="n">
        <f aca="false">IF(I$47=5,Quesería!$F$99,IF(I$47=6,Quesería!$F$100,0))*$R$11</f>
        <v>0</v>
      </c>
      <c r="J743" s="29" t="n">
        <f aca="false">IF(J$47=5,Quesería!$F$99,IF(J$47=6,Quesería!$F$100,0))*$R$11</f>
        <v>0</v>
      </c>
      <c r="K743" s="29" t="n">
        <f aca="false">IF(K$47=5,Quesería!$F$99,IF(K$47=6,Quesería!$F$100,0))*$R$11</f>
        <v>0</v>
      </c>
      <c r="L743" s="29" t="n">
        <f aca="false">IF(L$47=5,Quesería!$F$99,IF(L$47=6,Quesería!$F$100,0))*$R$11</f>
        <v>0</v>
      </c>
    </row>
    <row r="744" customFormat="false" ht="15" hidden="true" customHeight="false" outlineLevel="1" collapsed="false">
      <c r="A744" s="6" t="s">
        <v>411</v>
      </c>
      <c r="B744" s="29" t="n">
        <f aca="false">Quesería!$B$55*(IF(B$47=0,SUMPRODUCT((Quesería!$C$70:$C$89=0)*(Quesería!$H$70:$H$89&gt;0)*(Quesería!$J$70:$J$89&gt;0)*Quesería!$F$70:$F$89*(1+Quesería!$I$70:$I$89)),IF(B$47=1,(SUMPRODUCT((Quesería!$C$70:$C$89=1)*(Quesería!$H$70:$H$89&gt;0)*(Quesería!$J$70:$J$89&gt;0)*Quesería!$F$70:$F$89*(1+Quesería!$I$70:$I$89))-(-$R$26)*Quesería!$D$86*(1+Quesería!$I$86))*$R$21,0))*$R$11+B743)</f>
        <v>149.115671560178</v>
      </c>
      <c r="C744" s="29" t="n">
        <f aca="false">Quesería!$B$55*(IF(C$47=0,SUMPRODUCT((Quesería!$C$70:$C$89=0)*(Quesería!$H$70:$H$89&gt;0)*(Quesería!$J$70:$J$89&gt;0)*Quesería!$F$70:$F$89*(1+Quesería!$I$70:$I$89)),IF(C$47=1,(SUMPRODUCT((Quesería!$C$70:$C$89=1)*(Quesería!$H$70:$H$89&gt;0)*(Quesería!$J$70:$J$89&gt;0)*Quesería!$F$70:$F$89*(1+Quesería!$I$70:$I$89))-(-$R$26)*Quesería!$D$86*(1+Quesería!$I$86))*$R$21,0))*$R$11+C743)</f>
        <v>125.109122668155</v>
      </c>
      <c r="D744" s="29" t="n">
        <f aca="false">Quesería!$B$55*(IF(D$47=0,SUMPRODUCT((Quesería!$C$70:$C$89=0)*(Quesería!$H$70:$H$89&gt;0)*(Quesería!$J$70:$J$89&gt;0)*Quesería!$F$70:$F$89*(1+Quesería!$I$70:$I$89)),IF(D$47=1,(SUMPRODUCT((Quesería!$C$70:$C$89=1)*(Quesería!$H$70:$H$89&gt;0)*(Quesería!$J$70:$J$89&gt;0)*Quesería!$F$70:$F$89*(1+Quesería!$I$70:$I$89))-(-$R$26)*Quesería!$D$86*(1+Quesería!$I$86))*$R$21,0))*$R$11+D743)</f>
        <v>0</v>
      </c>
      <c r="E744" s="29" t="n">
        <f aca="false">Quesería!$B$55*(IF(E$47=0,SUMPRODUCT((Quesería!$C$70:$C$89=0)*(Quesería!$H$70:$H$89&gt;0)*(Quesería!$J$70:$J$89&gt;0)*Quesería!$F$70:$F$89*(1+Quesería!$I$70:$I$89)),IF(E$47=1,(SUMPRODUCT((Quesería!$C$70:$C$89=1)*(Quesería!$H$70:$H$89&gt;0)*(Quesería!$J$70:$J$89&gt;0)*Quesería!$F$70:$F$89*(1+Quesería!$I$70:$I$89))-(-$R$26)*Quesería!$D$86*(1+Quesería!$I$86))*$R$21,0))*$R$11+E743)</f>
        <v>0</v>
      </c>
      <c r="F744" s="29" t="n">
        <f aca="false">Quesería!$B$55*(IF(F$47=0,SUMPRODUCT((Quesería!$C$70:$C$89=0)*(Quesería!$H$70:$H$89&gt;0)*(Quesería!$J$70:$J$89&gt;0)*Quesería!$F$70:$F$89*(1+Quesería!$I$70:$I$89)),IF(F$47=1,(SUMPRODUCT((Quesería!$C$70:$C$89=1)*(Quesería!$H$70:$H$89&gt;0)*(Quesería!$J$70:$J$89&gt;0)*Quesería!$F$70:$F$89*(1+Quesería!$I$70:$I$89))-(-$R$26)*Quesería!$D$86*(1+Quesería!$I$86))*$R$21,0))*$R$11+F743)</f>
        <v>0</v>
      </c>
      <c r="G744" s="29" t="n">
        <f aca="false">Quesería!$B$55*(IF(G$47=0,SUMPRODUCT((Quesería!$C$70:$C$89=0)*(Quesería!$H$70:$H$89&gt;0)*(Quesería!$J$70:$J$89&gt;0)*Quesería!$F$70:$F$89*(1+Quesería!$I$70:$I$89)),IF(G$47=1,(SUMPRODUCT((Quesería!$C$70:$C$89=1)*(Quesería!$H$70:$H$89&gt;0)*(Quesería!$J$70:$J$89&gt;0)*Quesería!$F$70:$F$89*(1+Quesería!$I$70:$I$89))-(-$R$26)*Quesería!$D$86*(1+Quesería!$I$86))*$R$21,0))*$R$11+G743)</f>
        <v>5.21839128108597</v>
      </c>
      <c r="H744" s="29" t="n">
        <f aca="false">Quesería!$B$55*(IF(H$47=0,SUMPRODUCT((Quesería!$C$70:$C$89=0)*(Quesería!$H$70:$H$89&gt;0)*(Quesería!$J$70:$J$89&gt;0)*Quesería!$F$70:$F$89*(1+Quesería!$I$70:$I$89)),IF(H$47=1,(SUMPRODUCT((Quesería!$C$70:$C$89=1)*(Quesería!$H$70:$H$89&gt;0)*(Quesería!$J$70:$J$89&gt;0)*Quesería!$F$70:$F$89*(1+Quesería!$I$70:$I$89))-(-$R$26)*Quesería!$D$86*(1+Quesería!$I$86))*$R$21,0))*$R$11+H743)</f>
        <v>8.8139395850815</v>
      </c>
      <c r="I744" s="29" t="n">
        <f aca="false">Quesería!$B$55*(IF(I$47=0,SUMPRODUCT((Quesería!$C$70:$C$89=0)*(Quesería!$H$70:$H$89&gt;0)*(Quesería!$J$70:$J$89&gt;0)*Quesería!$F$70:$F$89*(1+Quesería!$I$70:$I$89)),IF(I$47=1,(SUMPRODUCT((Quesería!$C$70:$C$89=1)*(Quesería!$H$70:$H$89&gt;0)*(Quesería!$J$70:$J$89&gt;0)*Quesería!$F$70:$F$89*(1+Quesería!$I$70:$I$89))-(-$R$26)*Quesería!$D$86*(1+Quesería!$I$86))*$R$21,0))*$R$11+I743)</f>
        <v>0</v>
      </c>
      <c r="J744" s="29" t="n">
        <f aca="false">Quesería!$B$55*(IF(J$47=0,SUMPRODUCT((Quesería!$C$70:$C$89=0)*(Quesería!$H$70:$H$89&gt;0)*(Quesería!$J$70:$J$89&gt;0)*Quesería!$F$70:$F$89*(1+Quesería!$I$70:$I$89)),IF(J$47=1,(SUMPRODUCT((Quesería!$C$70:$C$89=1)*(Quesería!$H$70:$H$89&gt;0)*(Quesería!$J$70:$J$89&gt;0)*Quesería!$F$70:$F$89*(1+Quesería!$I$70:$I$89))-(-$R$26)*Quesería!$D$86*(1+Quesería!$I$86))*$R$21,0))*$R$11+J743)</f>
        <v>0</v>
      </c>
      <c r="K744" s="29" t="n">
        <f aca="false">Quesería!$B$55*(IF(K$47=0,SUMPRODUCT((Quesería!$C$70:$C$89=0)*(Quesería!$H$70:$H$89&gt;0)*(Quesería!$J$70:$J$89&gt;0)*Quesería!$F$70:$F$89*(1+Quesería!$I$70:$I$89)),IF(K$47=1,(SUMPRODUCT((Quesería!$C$70:$C$89=1)*(Quesería!$H$70:$H$89&gt;0)*(Quesería!$J$70:$J$89&gt;0)*Quesería!$F$70:$F$89*(1+Quesería!$I$70:$I$89))-(-$R$26)*Quesería!$D$86*(1+Quesería!$I$86))*$R$21,0))*$R$11+K743)</f>
        <v>0</v>
      </c>
      <c r="L744" s="29" t="n">
        <f aca="false">Quesería!$B$55*(IF(L$47=0,SUMPRODUCT((Quesería!$C$70:$C$89=0)*(Quesería!$H$70:$H$89&gt;0)*(Quesería!$J$70:$J$89&gt;0)*Quesería!$F$70:$F$89*(1+Quesería!$I$70:$I$89)),IF(L$47=1,(SUMPRODUCT((Quesería!$C$70:$C$89=1)*(Quesería!$H$70:$H$89&gt;0)*(Quesería!$J$70:$J$89&gt;0)*Quesería!$F$70:$F$89*(1+Quesería!$I$70:$I$89))-(-$R$26)*Quesería!$D$86*(1+Quesería!$I$86))*$R$21,0))*$R$11+L743)</f>
        <v>0</v>
      </c>
    </row>
    <row r="745" customFormat="false" ht="15" hidden="true" customHeight="false" outlineLevel="1" collapsed="false">
      <c r="A745" s="6" t="s">
        <v>386</v>
      </c>
      <c r="B745" s="29" t="n">
        <f aca="false">IF(B$47=0,($R$22*Quesería!$J$126+(1-$R$22)*Quesería!$E$122)*Quesería!$B$20*Quesería!$B$21/12*$R$23,(($R$22*Quesería!$J$126+(1-$R$22)*Quesería!$E$122)+($R$22*Quesería!$J$104+(1-$R$22)*Quesería!$E$104)*(B740-1))*IF(B$47=1,Quesería!$B$20,1))*$R$10</f>
        <v>120.716772261203</v>
      </c>
      <c r="C745" s="29" t="n">
        <f aca="false">IF(C$47=0,($R$22*Quesería!$J$126+(1-$R$22)*Quesería!$E$122)*Quesería!$B$20*Quesería!$B$21/12*$R$23,(($R$22*Quesería!$J$126+(1-$R$22)*Quesería!$E$122)+($R$22*Quesería!$J$104+(1-$R$22)*Quesería!$E$104)*(C740-1))*IF(C$47=1,Quesería!$B$20,1))*$R$10</f>
        <v>181.328317354069</v>
      </c>
      <c r="D745" s="29" t="n">
        <f aca="false">IF(D$47=0,($R$22*Quesería!$J$126+(1-$R$22)*Quesería!$E$122)*Quesería!$B$20*Quesería!$B$21/12*$R$23,(($R$22*Quesería!$J$126+(1-$R$22)*Quesería!$E$122)+($R$22*Quesería!$J$104+(1-$R$22)*Quesería!$E$104)*(D740-1))*IF(D$47=1,Quesería!$B$20,1))*$R$10</f>
        <v>241.83157753184</v>
      </c>
      <c r="E745" s="29" t="n">
        <f aca="false">IF(E$47=0,($R$22*Quesería!$J$126+(1-$R$22)*Quesería!$E$122)*Quesería!$B$20*Quesería!$B$21/12*$R$23,(($R$22*Quesería!$J$126+(1-$R$22)*Quesería!$E$122)+($R$22*Quesería!$J$104+(1-$R$22)*Quesería!$E$104)*(E740-1))*IF(E$47=1,Quesería!$B$20,1))*$R$10</f>
        <v>241.892367696887</v>
      </c>
      <c r="F745" s="29" t="n">
        <f aca="false">IF(F$47=0,($R$22*Quesería!$J$126+(1-$R$22)*Quesería!$E$122)*Quesería!$B$20*Quesería!$B$21/12*$R$23,(($R$22*Quesería!$J$126+(1-$R$22)*Quesería!$E$122)+($R$22*Quesería!$J$104+(1-$R$22)*Quesería!$E$104)*(F740-1))*IF(F$47=1,Quesería!$B$20,1))*$R$10</f>
        <v>241.95346181276</v>
      </c>
      <c r="G745" s="29" t="n">
        <f aca="false">IF(G$47=0,($R$22*Quesería!$J$126+(1-$R$22)*Quesería!$E$122)*Quesería!$B$20*Quesería!$B$21/12*$R$23,(($R$22*Quesería!$J$126+(1-$R$22)*Quesería!$E$122)+($R$22*Quesería!$J$104+(1-$R$22)*Quesería!$E$104)*(G740-1))*IF(G$47=1,Quesería!$B$20,1))*$R$10</f>
        <v>242.014861399211</v>
      </c>
      <c r="H745" s="29" t="n">
        <f aca="false">IF(H$47=0,($R$22*Quesería!$J$126+(1-$R$22)*Quesería!$E$122)*Quesería!$B$20*Quesería!$B$21/12*$R$23,(($R$22*Quesería!$J$126+(1-$R$22)*Quesería!$E$122)+($R$22*Quesería!$J$104+(1-$R$22)*Quesería!$E$104)*(H740-1))*IF(H$47=1,Quesería!$B$20,1))*$R$10</f>
        <v>242.076567983595</v>
      </c>
      <c r="I745" s="29" t="n">
        <f aca="false">IF(I$47=0,($R$22*Quesería!$J$126+(1-$R$22)*Quesería!$E$122)*Quesería!$B$20*Quesería!$B$21/12*$R$23,(($R$22*Quesería!$J$126+(1-$R$22)*Quesería!$E$122)+($R$22*Quesería!$J$104+(1-$R$22)*Quesería!$E$104)*(I740-1))*IF(I$47=1,Quesería!$B$20,1))*$R$10</f>
        <v>242.138583100901</v>
      </c>
      <c r="J745" s="29" t="n">
        <f aca="false">IF(J$47=0,($R$22*Quesería!$J$126+(1-$R$22)*Quesería!$E$122)*Quesería!$B$20*Quesería!$B$21/12*$R$23,(($R$22*Quesería!$J$126+(1-$R$22)*Quesería!$E$122)+($R$22*Quesería!$J$104+(1-$R$22)*Quesería!$E$104)*(J740-1))*IF(J$47=1,Quesería!$B$20,1))*$R$10</f>
        <v>242.200908293794</v>
      </c>
      <c r="K745" s="29" t="n">
        <f aca="false">IF(K$47=0,($R$22*Quesería!$J$126+(1-$R$22)*Quesería!$E$122)*Quesería!$B$20*Quesería!$B$21/12*$R$23,(($R$22*Quesería!$J$126+(1-$R$22)*Quesería!$E$122)+($R$22*Quesería!$J$104+(1-$R$22)*Quesería!$E$104)*(K740-1))*IF(K$47=1,Quesería!$B$20,1))*$R$10</f>
        <v>242.263545112651</v>
      </c>
      <c r="L745" s="29" t="n">
        <f aca="false">IF(L$47=0,($R$22*Quesería!$J$126+(1-$R$22)*Quesería!$E$122)*Quesería!$B$20*Quesería!$B$21/12*$R$23,(($R$22*Quesería!$J$126+(1-$R$22)*Quesería!$E$122)+($R$22*Quesería!$J$104+(1-$R$22)*Quesería!$E$104)*(L740-1))*IF(L$47=1,Quesería!$B$20,1))*$R$10</f>
        <v>242.326495115602</v>
      </c>
    </row>
    <row r="746" customFormat="false" ht="15" hidden="true" customHeight="false" outlineLevel="1" collapsed="false">
      <c r="A746" s="6" t="s">
        <v>387</v>
      </c>
      <c r="B746" s="29" t="n">
        <f aca="false">IF(B$47&lt;=1,0,((($R$22*Quesería!$J$127+(1-$R$22)*Quesería!$E$123)-($R$22*Quesería!$J$113+(1-$R$22)*Quesería!$E$113)+$R$6*($R$22*Quesería!$J$113+(1-$R$22)*Quesería!$E$113)-(1-$R$9)*(($R$22*Quesería!$J$119+(1-$R$22)*Quesería!$E$119)+($R$22*Quesería!$J$118+(1-$R$22)*Quesería!$E$118))-(1-$R$24)*($R$22*Quesería!$J$117+(1-$R$22)*Quesería!$E$117)+$R$24*(1-$R$25)*'Beneficios y costos'!$B$144-(-$R$26*$R$27)*'Beneficios y costos'!$C$167)+($R$6*($R$22*Quesería!$J$113+(1-$R$22)*Quesería!$E$113)+$R$9*($R$22*Quesería!$J$119+(1-$R$22)*Quesería!$E$119))*(B740-1))*IF(B$47=2,Quesería!$B$20,1)+IF(B$47=2,Quesería!$B$24*$R$9*($R$22*Quesería!$J$119+(1-$R$22)*Quesería!$E$119)*B740,0))*$R$10*$R$21</f>
        <v>0</v>
      </c>
      <c r="C746" s="29" t="n">
        <f aca="false">IF(C$47&lt;=1,0,((($R$22*Quesería!$J$127+(1-$R$22)*Quesería!$E$123)-($R$22*Quesería!$J$113+(1-$R$22)*Quesería!$E$113)+$R$6*($R$22*Quesería!$J$113+(1-$R$22)*Quesería!$E$113)-(1-$R$9)*(($R$22*Quesería!$J$119+(1-$R$22)*Quesería!$E$119)+($R$22*Quesería!$J$118+(1-$R$22)*Quesería!$E$118))-(1-$R$24)*($R$22*Quesería!$J$117+(1-$R$22)*Quesería!$E$117)+$R$24*(1-$R$25)*'Beneficios y costos'!$B$144-(-$R$26*$R$27)*'Beneficios y costos'!$C$167)+($R$6*($R$22*Quesería!$J$113+(1-$R$22)*Quesería!$E$113)+$R$9*($R$22*Quesería!$J$119+(1-$R$22)*Quesería!$E$119))*(C740-1))*IF(C$47=2,Quesería!$B$20,1)+IF(C$47=2,Quesería!$B$24*$R$9*($R$22*Quesería!$J$119+(1-$R$22)*Quesería!$E$119)*C740,0))*$R$10*$R$21</f>
        <v>0</v>
      </c>
      <c r="D746" s="29" t="n">
        <f aca="false">IF(D$47&lt;=1,0,((($R$22*Quesería!$J$127+(1-$R$22)*Quesería!$E$123)-($R$22*Quesería!$J$113+(1-$R$22)*Quesería!$E$113)+$R$6*($R$22*Quesería!$J$113+(1-$R$22)*Quesería!$E$113)-(1-$R$9)*(($R$22*Quesería!$J$119+(1-$R$22)*Quesería!$E$119)+($R$22*Quesería!$J$118+(1-$R$22)*Quesería!$E$118))-(1-$R$24)*($R$22*Quesería!$J$117+(1-$R$22)*Quesería!$E$117)+$R$24*(1-$R$25)*'Beneficios y costos'!$B$144-(-$R$26*$R$27)*'Beneficios y costos'!$C$167)+($R$6*($R$22*Quesería!$J$113+(1-$R$22)*Quesería!$E$113)+$R$9*($R$22*Quesería!$J$119+(1-$R$22)*Quesería!$E$119))*(D740-1))*IF(D$47=2,Quesería!$B$20,1)+IF(D$47=2,Quesería!$B$24*$R$9*($R$22*Quesería!$J$119+(1-$R$22)*Quesería!$E$119)*D740,0))*$R$10*$R$21</f>
        <v>257.351493734688</v>
      </c>
      <c r="E746" s="29" t="n">
        <f aca="false">IF(E$47&lt;=1,0,((($R$22*Quesería!$J$127+(1-$R$22)*Quesería!$E$123)-($R$22*Quesería!$J$113+(1-$R$22)*Quesería!$E$113)+$R$6*($R$22*Quesería!$J$113+(1-$R$22)*Quesería!$E$113)-(1-$R$9)*(($R$22*Quesería!$J$119+(1-$R$22)*Quesería!$E$119)+($R$22*Quesería!$J$118+(1-$R$22)*Quesería!$E$118))-(1-$R$24)*($R$22*Quesería!$J$117+(1-$R$22)*Quesería!$E$117)+$R$24*(1-$R$25)*'Beneficios y costos'!$B$144-(-$R$26*$R$27)*'Beneficios y costos'!$C$167)+($R$6*($R$22*Quesería!$J$113+(1-$R$22)*Quesería!$E$113)+$R$9*($R$22*Quesería!$J$119+(1-$R$22)*Quesería!$E$119))*(E740-1))*IF(E$47=2,Quesería!$B$20,1)+IF(E$47=2,Quesería!$B$24*$R$9*($R$22*Quesería!$J$119+(1-$R$22)*Quesería!$E$119)*E740,0))*$R$10*$R$21</f>
        <v>328.494820128122</v>
      </c>
      <c r="F746" s="29" t="n">
        <f aca="false">IF(F$47&lt;=1,0,((($R$22*Quesería!$J$127+(1-$R$22)*Quesería!$E$123)-($R$22*Quesería!$J$113+(1-$R$22)*Quesería!$E$113)+$R$6*($R$22*Quesería!$J$113+(1-$R$22)*Quesería!$E$113)-(1-$R$9)*(($R$22*Quesería!$J$119+(1-$R$22)*Quesería!$E$119)+($R$22*Quesería!$J$118+(1-$R$22)*Quesería!$E$118))-(1-$R$24)*($R$22*Quesería!$J$117+(1-$R$22)*Quesería!$E$117)+$R$24*(1-$R$25)*'Beneficios y costos'!$B$144-(-$R$26*$R$27)*'Beneficios y costos'!$C$167)+($R$6*($R$22*Quesería!$J$113+(1-$R$22)*Quesería!$E$113)+$R$9*($R$22*Quesería!$J$119+(1-$R$22)*Quesería!$E$119))*(F740-1))*IF(F$47=2,Quesería!$B$20,1)+IF(F$47=2,Quesería!$B$24*$R$9*($R$22*Quesería!$J$119+(1-$R$22)*Quesería!$E$119)*F740,0))*$R$10*$R$21</f>
        <v>328.742937047686</v>
      </c>
      <c r="G746" s="29" t="n">
        <f aca="false">IF(G$47&lt;=1,0,((($R$22*Quesería!$J$127+(1-$R$22)*Quesería!$E$123)-($R$22*Quesería!$J$113+(1-$R$22)*Quesería!$E$113)+$R$6*($R$22*Quesería!$J$113+(1-$R$22)*Quesería!$E$113)-(1-$R$9)*(($R$22*Quesería!$J$119+(1-$R$22)*Quesería!$E$119)+($R$22*Quesería!$J$118+(1-$R$22)*Quesería!$E$118))-(1-$R$24)*($R$22*Quesería!$J$117+(1-$R$22)*Quesería!$E$117)+$R$24*(1-$R$25)*'Beneficios y costos'!$B$144-(-$R$26*$R$27)*'Beneficios y costos'!$C$167)+($R$6*($R$22*Quesería!$J$113+(1-$R$22)*Quesería!$E$113)+$R$9*($R$22*Quesería!$J$119+(1-$R$22)*Quesería!$E$119))*(G740-1))*IF(G$47=2,Quesería!$B$20,1)+IF(G$47=2,Quesería!$B$24*$R$9*($R$22*Quesería!$J$119+(1-$R$22)*Quesería!$E$119)*G740,0))*$R$10*$R$21</f>
        <v>328.992294551847</v>
      </c>
      <c r="H746" s="29" t="n">
        <f aca="false">IF(H$47&lt;=1,0,((($R$22*Quesería!$J$127+(1-$R$22)*Quesería!$E$123)-($R$22*Quesería!$J$113+(1-$R$22)*Quesería!$E$113)+$R$6*($R$22*Quesería!$J$113+(1-$R$22)*Quesería!$E$113)-(1-$R$9)*(($R$22*Quesería!$J$119+(1-$R$22)*Quesería!$E$119)+($R$22*Quesería!$J$118+(1-$R$22)*Quesería!$E$118))-(1-$R$24)*($R$22*Quesería!$J$117+(1-$R$22)*Quesería!$E$117)+$R$24*(1-$R$25)*'Beneficios y costos'!$B$144-(-$R$26*$R$27)*'Beneficios y costos'!$C$167)+($R$6*($R$22*Quesería!$J$113+(1-$R$22)*Quesería!$E$113)+$R$9*($R$22*Quesería!$J$119+(1-$R$22)*Quesería!$E$119))*(H740-1))*IF(H$47=2,Quesería!$B$20,1)+IF(H$47=2,Quesería!$B$24*$R$9*($R$22*Quesería!$J$119+(1-$R$22)*Quesería!$E$119)*H740,0))*$R$10*$R$21</f>
        <v>329.242898843529</v>
      </c>
      <c r="I746" s="29" t="n">
        <f aca="false">IF(I$47&lt;=1,0,((($R$22*Quesería!$J$127+(1-$R$22)*Quesería!$E$123)-($R$22*Quesería!$J$113+(1-$R$22)*Quesería!$E$113)+$R$6*($R$22*Quesería!$J$113+(1-$R$22)*Quesería!$E$113)-(1-$R$9)*(($R$22*Quesería!$J$119+(1-$R$22)*Quesería!$E$119)+($R$22*Quesería!$J$118+(1-$R$22)*Quesería!$E$118))-(1-$R$24)*($R$22*Quesería!$J$117+(1-$R$22)*Quesería!$E$117)+$R$24*(1-$R$25)*'Beneficios y costos'!$B$144-(-$R$26*$R$27)*'Beneficios y costos'!$C$167)+($R$6*($R$22*Quesería!$J$113+(1-$R$22)*Quesería!$E$113)+$R$9*($R$22*Quesería!$J$119+(1-$R$22)*Quesería!$E$119))*(I740-1))*IF(I$47=2,Quesería!$B$20,1)+IF(I$47=2,Quesería!$B$24*$R$9*($R$22*Quesería!$J$119+(1-$R$22)*Quesería!$E$119)*I740,0))*$R$10*$R$21</f>
        <v>329.49475615667</v>
      </c>
      <c r="J746" s="29" t="n">
        <f aca="false">IF(J$47&lt;=1,0,((($R$22*Quesería!$J$127+(1-$R$22)*Quesería!$E$123)-($R$22*Quesería!$J$113+(1-$R$22)*Quesería!$E$113)+$R$6*($R$22*Quesería!$J$113+(1-$R$22)*Quesería!$E$113)-(1-$R$9)*(($R$22*Quesería!$J$119+(1-$R$22)*Quesería!$E$119)+($R$22*Quesería!$J$118+(1-$R$22)*Quesería!$E$118))-(1-$R$24)*($R$22*Quesería!$J$117+(1-$R$22)*Quesería!$E$117)+$R$24*(1-$R$25)*'Beneficios y costos'!$B$144-(-$R$26*$R$27)*'Beneficios y costos'!$C$167)+($R$6*($R$22*Quesería!$J$113+(1-$R$22)*Quesería!$E$113)+$R$9*($R$22*Quesería!$J$119+(1-$R$22)*Quesería!$E$119))*(J740-1))*IF(J$47=2,Quesería!$B$20,1)+IF(J$47=2,Quesería!$B$24*$R$9*($R$22*Quesería!$J$119+(1-$R$22)*Quesería!$E$119)*J740,0))*$R$10*$R$21</f>
        <v>329.747872756376</v>
      </c>
      <c r="K746" s="29" t="n">
        <f aca="false">IF(K$47&lt;=1,0,((($R$22*Quesería!$J$127+(1-$R$22)*Quesería!$E$123)-($R$22*Quesería!$J$113+(1-$R$22)*Quesería!$E$113)+$R$6*($R$22*Quesería!$J$113+(1-$R$22)*Quesería!$E$113)-(1-$R$9)*(($R$22*Quesería!$J$119+(1-$R$22)*Quesería!$E$119)+($R$22*Quesería!$J$118+(1-$R$22)*Quesería!$E$118))-(1-$R$24)*($R$22*Quesería!$J$117+(1-$R$22)*Quesería!$E$117)+$R$24*(1-$R$25)*'Beneficios y costos'!$B$144-(-$R$26*$R$27)*'Beneficios y costos'!$C$167)+($R$6*($R$22*Quesería!$J$113+(1-$R$22)*Quesería!$E$113)+$R$9*($R$22*Quesería!$J$119+(1-$R$22)*Quesería!$E$119))*(K740-1))*IF(K$47=2,Quesería!$B$20,1)+IF(K$47=2,Quesería!$B$24*$R$9*($R$22*Quesería!$J$119+(1-$R$22)*Quesería!$E$119)*K740,0))*$R$10*$R$21</f>
        <v>330.00225493908</v>
      </c>
      <c r="L746" s="29" t="n">
        <f aca="false">IF(L$47&lt;=1,0,((($R$22*Quesería!$J$127+(1-$R$22)*Quesería!$E$123)-($R$22*Quesería!$J$113+(1-$R$22)*Quesería!$E$113)+$R$6*($R$22*Quesería!$J$113+(1-$R$22)*Quesería!$E$113)-(1-$R$9)*(($R$22*Quesería!$J$119+(1-$R$22)*Quesería!$E$119)+($R$22*Quesería!$J$118+(1-$R$22)*Quesería!$E$118))-(1-$R$24)*($R$22*Quesería!$J$117+(1-$R$22)*Quesería!$E$117)+$R$24*(1-$R$25)*'Beneficios y costos'!$B$144-(-$R$26*$R$27)*'Beneficios y costos'!$C$167)+($R$6*($R$22*Quesería!$J$113+(1-$R$22)*Quesería!$E$113)+$R$9*($R$22*Quesería!$J$119+(1-$R$22)*Quesería!$E$119))*(L740-1))*IF(L$47=2,Quesería!$B$20,1)+IF(L$47=2,Quesería!$B$24*$R$9*($R$22*Quesería!$J$119+(1-$R$22)*Quesería!$E$119)*L740,0))*$R$10*$R$21</f>
        <v>330.257909032699</v>
      </c>
    </row>
    <row r="747" customFormat="false" ht="15" hidden="true" customHeight="false" outlineLevel="1" collapsed="false">
      <c r="A747" s="5" t="s">
        <v>412</v>
      </c>
      <c r="B747" s="10" t="n">
        <f aca="false">B745+B746</f>
        <v>120.716772261203</v>
      </c>
      <c r="C747" s="10" t="n">
        <f aca="false">C745+C746</f>
        <v>181.328317354069</v>
      </c>
      <c r="D747" s="10" t="n">
        <f aca="false">D745+D746</f>
        <v>499.183071266528</v>
      </c>
      <c r="E747" s="10" t="n">
        <f aca="false">E745+E746</f>
        <v>570.38718782501</v>
      </c>
      <c r="F747" s="10" t="n">
        <f aca="false">F745+F746</f>
        <v>570.696398860445</v>
      </c>
      <c r="G747" s="10" t="n">
        <f aca="false">G745+G746</f>
        <v>571.007155951058</v>
      </c>
      <c r="H747" s="10" t="n">
        <f aca="false">H745+H746</f>
        <v>571.319466827124</v>
      </c>
      <c r="I747" s="10" t="n">
        <f aca="false">I745+I746</f>
        <v>571.633339257571</v>
      </c>
      <c r="J747" s="10" t="n">
        <f aca="false">J745+J746</f>
        <v>571.94878105017</v>
      </c>
      <c r="K747" s="10" t="n">
        <f aca="false">K745+K746</f>
        <v>572.265800051731</v>
      </c>
      <c r="L747" s="10" t="n">
        <f aca="false">L745+L746</f>
        <v>572.584404148301</v>
      </c>
    </row>
    <row r="748" customFormat="false" ht="15" hidden="true" customHeight="false" outlineLevel="1" collapsed="false">
      <c r="A748" s="6" t="s">
        <v>413</v>
      </c>
      <c r="B748" s="29" t="n">
        <f aca="false">(IF(B$47&gt;=1,(Quesería!$B$31+Quesería!$B$33)*Quesería!$F$94*$R$11+Quesería!$B$32+'Beneficios y costos'!$B$249,0)+IF(B$47&gt;=2,((Quesería!$B$31+Quesería!$B$33)*(Quesería!$F$95-(-$R$26)*Quesería!$D$86)*$R$11+'Beneficios y costos'!$C$249-(-$R$26)*'Beneficios y costos'!$H$235)*$R$21,0))*$R$12</f>
        <v>0</v>
      </c>
      <c r="C748" s="29" t="n">
        <f aca="false">(IF(C$47&gt;=1,(Quesería!$B$31+Quesería!$B$33)*Quesería!$F$94*$R$11+Quesería!$B$32+'Beneficios y costos'!$B$249,0)+IF(C$47&gt;=2,((Quesería!$B$31+Quesería!$B$33)*(Quesería!$F$95-(-$R$26)*Quesería!$D$86)*$R$11+'Beneficios y costos'!$C$249-(-$R$26)*'Beneficios y costos'!$H$235)*$R$21,0))*$R$12</f>
        <v>42.0946487260605</v>
      </c>
      <c r="D748" s="29" t="n">
        <f aca="false">(IF(D$47&gt;=1,(Quesería!$B$31+Quesería!$B$33)*Quesería!$F$94*$R$11+Quesería!$B$32+'Beneficios y costos'!$B$249,0)+IF(D$47&gt;=2,((Quesería!$B$31+Quesería!$B$33)*(Quesería!$F$95-(-$R$26)*Quesería!$D$86)*$R$11+'Beneficios y costos'!$C$249-(-$R$26)*'Beneficios y costos'!$H$235)*$R$21,0))*$R$12</f>
        <v>76.4964821173776</v>
      </c>
      <c r="E748" s="29" t="n">
        <f aca="false">(IF(E$47&gt;=1,(Quesería!$B$31+Quesería!$B$33)*Quesería!$F$94*$R$11+Quesería!$B$32+'Beneficios y costos'!$B$249,0)+IF(E$47&gt;=2,((Quesería!$B$31+Quesería!$B$33)*(Quesería!$F$95-(-$R$26)*Quesería!$D$86)*$R$11+'Beneficios y costos'!$C$249-(-$R$26)*'Beneficios y costos'!$H$235)*$R$21,0))*$R$12</f>
        <v>76.4964821173776</v>
      </c>
      <c r="F748" s="29" t="n">
        <f aca="false">(IF(F$47&gt;=1,(Quesería!$B$31+Quesería!$B$33)*Quesería!$F$94*$R$11+Quesería!$B$32+'Beneficios y costos'!$B$249,0)+IF(F$47&gt;=2,((Quesería!$B$31+Quesería!$B$33)*(Quesería!$F$95-(-$R$26)*Quesería!$D$86)*$R$11+'Beneficios y costos'!$C$249-(-$R$26)*'Beneficios y costos'!$H$235)*$R$21,0))*$R$12</f>
        <v>76.4964821173776</v>
      </c>
      <c r="G748" s="29" t="n">
        <f aca="false">(IF(G$47&gt;=1,(Quesería!$B$31+Quesería!$B$33)*Quesería!$F$94*$R$11+Quesería!$B$32+'Beneficios y costos'!$B$249,0)+IF(G$47&gt;=2,((Quesería!$B$31+Quesería!$B$33)*(Quesería!$F$95-(-$R$26)*Quesería!$D$86)*$R$11+'Beneficios y costos'!$C$249-(-$R$26)*'Beneficios y costos'!$H$235)*$R$21,0))*$R$12</f>
        <v>76.4964821173776</v>
      </c>
      <c r="H748" s="29" t="n">
        <f aca="false">(IF(H$47&gt;=1,(Quesería!$B$31+Quesería!$B$33)*Quesería!$F$94*$R$11+Quesería!$B$32+'Beneficios y costos'!$B$249,0)+IF(H$47&gt;=2,((Quesería!$B$31+Quesería!$B$33)*(Quesería!$F$95-(-$R$26)*Quesería!$D$86)*$R$11+'Beneficios y costos'!$C$249-(-$R$26)*'Beneficios y costos'!$H$235)*$R$21,0))*$R$12</f>
        <v>76.4964821173776</v>
      </c>
      <c r="I748" s="29" t="n">
        <f aca="false">(IF(I$47&gt;=1,(Quesería!$B$31+Quesería!$B$33)*Quesería!$F$94*$R$11+Quesería!$B$32+'Beneficios y costos'!$B$249,0)+IF(I$47&gt;=2,((Quesería!$B$31+Quesería!$B$33)*(Quesería!$F$95-(-$R$26)*Quesería!$D$86)*$R$11+'Beneficios y costos'!$C$249-(-$R$26)*'Beneficios y costos'!$H$235)*$R$21,0))*$R$12</f>
        <v>76.4964821173776</v>
      </c>
      <c r="J748" s="29" t="n">
        <f aca="false">(IF(J$47&gt;=1,(Quesería!$B$31+Quesería!$B$33)*Quesería!$F$94*$R$11+Quesería!$B$32+'Beneficios y costos'!$B$249,0)+IF(J$47&gt;=2,((Quesería!$B$31+Quesería!$B$33)*(Quesería!$F$95-(-$R$26)*Quesería!$D$86)*$R$11+'Beneficios y costos'!$C$249-(-$R$26)*'Beneficios y costos'!$H$235)*$R$21,0))*$R$12</f>
        <v>76.4964821173776</v>
      </c>
      <c r="K748" s="29" t="n">
        <f aca="false">(IF(K$47&gt;=1,(Quesería!$B$31+Quesería!$B$33)*Quesería!$F$94*$R$11+Quesería!$B$32+'Beneficios y costos'!$B$249,0)+IF(K$47&gt;=2,((Quesería!$B$31+Quesería!$B$33)*(Quesería!$F$95-(-$R$26)*Quesería!$D$86)*$R$11+'Beneficios y costos'!$C$249-(-$R$26)*'Beneficios y costos'!$H$235)*$R$21,0))*$R$12</f>
        <v>76.4964821173776</v>
      </c>
      <c r="L748" s="29" t="n">
        <f aca="false">(IF(L$47&gt;=1,(Quesería!$B$31+Quesería!$B$33)*Quesería!$F$94*$R$11+Quesería!$B$32+'Beneficios y costos'!$B$249,0)+IF(L$47&gt;=2,((Quesería!$B$31+Quesería!$B$33)*(Quesería!$F$95-(-$R$26)*Quesería!$D$86)*$R$11+'Beneficios y costos'!$C$249-(-$R$26)*'Beneficios y costos'!$H$235)*$R$21,0))*$R$12</f>
        <v>76.4964821173776</v>
      </c>
    </row>
    <row r="749" customFormat="false" ht="15" hidden="true" customHeight="false" outlineLevel="1" collapsed="false">
      <c r="A749" s="6" t="s">
        <v>414</v>
      </c>
      <c r="B749" s="29" t="n">
        <f aca="false">IF(B$47=1,2*Quesería!$B$22*Quesería!$B$23/12*B740,0)*$R$21</f>
        <v>0</v>
      </c>
      <c r="C749" s="29" t="n">
        <f aca="false">IF(C$47=1,2*Quesería!$B$22*Quesería!$B$23/12*C740,0)*$R$21</f>
        <v>18.5166509433962</v>
      </c>
      <c r="D749" s="29" t="n">
        <f aca="false">IF(D$47=1,2*Quesería!$B$22*Quesería!$B$23/12*D740,0)*$R$21</f>
        <v>0</v>
      </c>
      <c r="E749" s="29" t="n">
        <f aca="false">IF(E$47=1,2*Quesería!$B$22*Quesería!$B$23/12*E740,0)*$R$21</f>
        <v>0</v>
      </c>
      <c r="F749" s="29" t="n">
        <f aca="false">IF(F$47=1,2*Quesería!$B$22*Quesería!$B$23/12*F740,0)*$R$21</f>
        <v>0</v>
      </c>
      <c r="G749" s="29" t="n">
        <f aca="false">IF(G$47=1,2*Quesería!$B$22*Quesería!$B$23/12*G740,0)*$R$21</f>
        <v>0</v>
      </c>
      <c r="H749" s="29" t="n">
        <f aca="false">IF(H$47=1,2*Quesería!$B$22*Quesería!$B$23/12*H740,0)*$R$21</f>
        <v>0</v>
      </c>
      <c r="I749" s="29" t="n">
        <f aca="false">IF(I$47=1,2*Quesería!$B$22*Quesería!$B$23/12*I740,0)*$R$21</f>
        <v>0</v>
      </c>
      <c r="J749" s="29" t="n">
        <f aca="false">IF(J$47=1,2*Quesería!$B$22*Quesería!$B$23/12*J740,0)*$R$21</f>
        <v>0</v>
      </c>
      <c r="K749" s="29" t="n">
        <f aca="false">IF(K$47=1,2*Quesería!$B$22*Quesería!$B$23/12*K740,0)*$R$21</f>
        <v>0</v>
      </c>
      <c r="L749" s="29" t="n">
        <f aca="false">IF(L$47=1,2*Quesería!$B$22*Quesería!$B$23/12*L740,0)*$R$21</f>
        <v>0</v>
      </c>
    </row>
    <row r="750" customFormat="false" ht="15" hidden="true" customHeight="false" outlineLevel="1" collapsed="false">
      <c r="A750" s="6" t="s">
        <v>415</v>
      </c>
      <c r="B750" s="29" t="n">
        <f aca="false">Quesería!$B$52*(B742+B743+B744+B748+B749)</f>
        <v>4.31966364396742</v>
      </c>
      <c r="C750" s="29" t="n">
        <f aca="false">Quesería!$B$52*(C742+C743+C744+C748+C749)</f>
        <v>3.37675795604844</v>
      </c>
      <c r="D750" s="29" t="n">
        <f aca="false">Quesería!$B$52*(D742+D743+D744+D748+D749)</f>
        <v>0.305985928469511</v>
      </c>
      <c r="E750" s="29" t="n">
        <f aca="false">Quesería!$B$52*(E742+E743+E744+E748+E749)</f>
        <v>0.305985928469511</v>
      </c>
      <c r="F750" s="29" t="n">
        <f aca="false">Quesería!$B$52*(F742+F743+F744+F748+F749)</f>
        <v>0.305985928469511</v>
      </c>
      <c r="G750" s="29" t="n">
        <f aca="false">Quesería!$B$52*(G742+G743+G744+G748+G749)</f>
        <v>0.436720362669349</v>
      </c>
      <c r="H750" s="29" t="n">
        <f aca="false">Quesería!$B$52*(H742+H743+H744+H748+H749)</f>
        <v>0.526798309653658</v>
      </c>
      <c r="I750" s="29" t="n">
        <f aca="false">Quesería!$B$52*(I742+I743+I744+I748+I749)</f>
        <v>0.305985928469511</v>
      </c>
      <c r="J750" s="29" t="n">
        <f aca="false">Quesería!$B$52*(J742+J743+J744+J748+J749)</f>
        <v>0.305985928469511</v>
      </c>
      <c r="K750" s="29" t="n">
        <f aca="false">Quesería!$B$52*(K742+K743+K744+K748+K749)</f>
        <v>0.305985928469511</v>
      </c>
      <c r="L750" s="29" t="n">
        <f aca="false">Quesería!$B$52*(L742+L743+L744+L748+L749)</f>
        <v>0.305985928469511</v>
      </c>
    </row>
    <row r="751" customFormat="false" ht="15" hidden="true" customHeight="false" outlineLevel="1" collapsed="false">
      <c r="A751" s="6" t="s">
        <v>416</v>
      </c>
      <c r="B751" s="29" t="n">
        <f aca="false">(IF($R$19=1,(SUMPRODUCT((Quesería!$C$70:$C$89=0)*(Quesería!$J$70:$J$89&gt;0)*(B$47&gt;=1)*(B$47&lt;=Quesería!$J$70:$J$89)*(Quesería!$H$70:$H$89&gt;0)*Quesería!$F$70:$F$89*(1+Quesería!$I$70:$I$89)/(Quesería!$J$70:$J$89+(Quesería!$J$70:$J$89=0)))+SUMPRODUCT((Quesería!$C$70:$C$89=0)*(Quesería!$J$70:$J$89=0)*(B$47=0)*(Quesería!$H$70:$H$89&gt;0)*Quesería!$F$70:$F$89*(1+Quesería!$I$70:$I$89)))*$B$739+((SUMPRODUCT((Quesería!$C$70:$C$89=1)*(Quesería!$J$70:$J$89&gt;0)*(B$47&gt;=2)*(B$47&lt;=Quesería!$J$70:$J$89+1)*(Quesería!$H$70:$H$89&gt;0)*Quesería!$F$70:$F$89*(1+Quesería!$I$70:$I$89)/(Quesería!$J$70:$J$89+(Quesería!$J$70:$J$89=0)))+SUMPRODUCT((Quesería!$C$70:$C$89=1)*(Quesería!$J$70:$J$89=0)*(B$47=1)*(Quesería!$H$70:$H$89&gt;0)*Quesería!$F$70:$F$89*(1+Quesería!$I$70:$I$89)))-(-$R$26)*IF(AND(B$47&gt;=2,B$47&lt;=Quesería!$J$86+1),Quesería!$D$86*(1+Quesería!$I$86)/Quesería!$J$86,0))*$C$739*$R$21,IF(AND(B$47&gt;=1,B$47&lt;=Quesería!$B$30),Quesería!$F$92/Quesería!$B$30,0)*$B$739+IF(AND(B$47&gt;=2,B$47&lt;=Quesería!$B$30+1),(Quesería!$F$93-(-$R$26)*Quesería!$D$86*(1+Quesería!$I$86))/Quesería!$B$30,0)*$C$739*$R$21)*$R$11+IF(AND(B$47&gt;=6,B$47&lt;=10),$G743*$G739/5,0)+IF(AND(B$47&gt;=7,B$47&lt;=11),$H743*$H739/5,0))*B741</f>
        <v>145.980915430742</v>
      </c>
      <c r="C751" s="29" t="n">
        <f aca="false">(IF($R$19=1,(SUMPRODUCT((Quesería!$C$70:$C$89=0)*(Quesería!$J$70:$J$89&gt;0)*(C$47&gt;=1)*(C$47&lt;=Quesería!$J$70:$J$89)*(Quesería!$H$70:$H$89&gt;0)*Quesería!$F$70:$F$89*(1+Quesería!$I$70:$I$89)/(Quesería!$J$70:$J$89+(Quesería!$J$70:$J$89=0)))+SUMPRODUCT((Quesería!$C$70:$C$89=0)*(Quesería!$J$70:$J$89=0)*(C$47=0)*(Quesería!$H$70:$H$89&gt;0)*Quesería!$F$70:$F$89*(1+Quesería!$I$70:$I$89)))*$B$739+((SUMPRODUCT((Quesería!$C$70:$C$89=1)*(Quesería!$J$70:$J$89&gt;0)*(C$47&gt;=2)*(C$47&lt;=Quesería!$J$70:$J$89+1)*(Quesería!$H$70:$H$89&gt;0)*Quesería!$F$70:$F$89*(1+Quesería!$I$70:$I$89)/(Quesería!$J$70:$J$89+(Quesería!$J$70:$J$89=0)))+SUMPRODUCT((Quesería!$C$70:$C$89=1)*(Quesería!$J$70:$J$89=0)*(C$47=1)*(Quesería!$H$70:$H$89&gt;0)*Quesería!$F$70:$F$89*(1+Quesería!$I$70:$I$89)))-(-$R$26)*IF(AND(C$47&gt;=2,C$47&lt;=Quesería!$J$86+1),Quesería!$D$86*(1+Quesería!$I$86)/Quesería!$J$86,0))*$C$739*$R$21,IF(AND(C$47&gt;=1,C$47&lt;=Quesería!$B$30),Quesería!$F$92/Quesería!$B$30,0)*$B$739+IF(AND(C$47&gt;=2,C$47&lt;=Quesería!$B$30+1),(Quesería!$F$93-(-$R$26)*Quesería!$D$86*(1+Quesería!$I$86))/Quesería!$B$30,0)*$C$739*$R$21)*$R$11+IF(AND(C$47&gt;=6,C$47&lt;=10),$G743*$G739/5,0)+IF(AND(C$47&gt;=7,C$47&lt;=11),$H743*$H739/5,0))*C741</f>
        <v>82.2633269524265</v>
      </c>
      <c r="D751" s="29" t="n">
        <f aca="false">(IF($R$19=1,(SUMPRODUCT((Quesería!$C$70:$C$89=0)*(Quesería!$J$70:$J$89&gt;0)*(D$47&gt;=1)*(D$47&lt;=Quesería!$J$70:$J$89)*(Quesería!$H$70:$H$89&gt;0)*Quesería!$F$70:$F$89*(1+Quesería!$I$70:$I$89)/(Quesería!$J$70:$J$89+(Quesería!$J$70:$J$89=0)))+SUMPRODUCT((Quesería!$C$70:$C$89=0)*(Quesería!$J$70:$J$89=0)*(D$47=0)*(Quesería!$H$70:$H$89&gt;0)*Quesería!$F$70:$F$89*(1+Quesería!$I$70:$I$89)))*$B$739+((SUMPRODUCT((Quesería!$C$70:$C$89=1)*(Quesería!$J$70:$J$89&gt;0)*(D$47&gt;=2)*(D$47&lt;=Quesería!$J$70:$J$89+1)*(Quesería!$H$70:$H$89&gt;0)*Quesería!$F$70:$F$89*(1+Quesería!$I$70:$I$89)/(Quesería!$J$70:$J$89+(Quesería!$J$70:$J$89=0)))+SUMPRODUCT((Quesería!$C$70:$C$89=1)*(Quesería!$J$70:$J$89=0)*(D$47=1)*(Quesería!$H$70:$H$89&gt;0)*Quesería!$F$70:$F$89*(1+Quesería!$I$70:$I$89)))-(-$R$26)*IF(AND(D$47&gt;=2,D$47&lt;=Quesería!$J$86+1),Quesería!$D$86*(1+Quesería!$I$86)/Quesería!$J$86,0))*$C$739*$R$21,IF(AND(D$47&gt;=1,D$47&lt;=Quesería!$B$30),Quesería!$F$92/Quesería!$B$30,0)*$B$739+IF(AND(D$47&gt;=2,D$47&lt;=Quesería!$B$30+1),(Quesería!$F$93-(-$R$26)*Quesería!$D$86*(1+Quesería!$I$86))/Quesería!$B$30,0)*$C$739*$R$21)*$R$11+IF(AND(D$47&gt;=6,D$47&lt;=10),$G743*$G739/5,0)+IF(AND(D$47&gt;=7,D$47&lt;=11),$H743*$H739/5,0))*D741</f>
        <v>141.732280975958</v>
      </c>
      <c r="E751" s="29" t="n">
        <f aca="false">(IF($R$19=1,(SUMPRODUCT((Quesería!$C$70:$C$89=0)*(Quesería!$J$70:$J$89&gt;0)*(E$47&gt;=1)*(E$47&lt;=Quesería!$J$70:$J$89)*(Quesería!$H$70:$H$89&gt;0)*Quesería!$F$70:$F$89*(1+Quesería!$I$70:$I$89)/(Quesería!$J$70:$J$89+(Quesería!$J$70:$J$89=0)))+SUMPRODUCT((Quesería!$C$70:$C$89=0)*(Quesería!$J$70:$J$89=0)*(E$47=0)*(Quesería!$H$70:$H$89&gt;0)*Quesería!$F$70:$F$89*(1+Quesería!$I$70:$I$89)))*$B$739+((SUMPRODUCT((Quesería!$C$70:$C$89=1)*(Quesería!$J$70:$J$89&gt;0)*(E$47&gt;=2)*(E$47&lt;=Quesería!$J$70:$J$89+1)*(Quesería!$H$70:$H$89&gt;0)*Quesería!$F$70:$F$89*(1+Quesería!$I$70:$I$89)/(Quesería!$J$70:$J$89+(Quesería!$J$70:$J$89=0)))+SUMPRODUCT((Quesería!$C$70:$C$89=1)*(Quesería!$J$70:$J$89=0)*(E$47=1)*(Quesería!$H$70:$H$89&gt;0)*Quesería!$F$70:$F$89*(1+Quesería!$I$70:$I$89)))-(-$R$26)*IF(AND(E$47&gt;=2,E$47&lt;=Quesería!$J$86+1),Quesería!$D$86*(1+Quesería!$I$86)/Quesería!$J$86,0))*$C$739*$R$21,IF(AND(E$47&gt;=1,E$47&lt;=Quesería!$B$30),Quesería!$F$92/Quesería!$B$30,0)*$B$739+IF(AND(E$47&gt;=2,E$47&lt;=Quesería!$B$30+1),(Quesería!$F$93-(-$R$26)*Quesería!$D$86*(1+Quesería!$I$86))/Quesería!$B$30,0)*$C$739*$R$21)*$R$11+IF(AND(E$47&gt;=6,E$47&lt;=10),$G743*$G739/5,0)+IF(AND(E$47&gt;=7,E$47&lt;=11),$H743*$H739/5,0))*E741</f>
        <v>136.28103939996</v>
      </c>
      <c r="F751" s="29" t="n">
        <f aca="false">(IF($R$19=1,(SUMPRODUCT((Quesería!$C$70:$C$89=0)*(Quesería!$J$70:$J$89&gt;0)*(F$47&gt;=1)*(F$47&lt;=Quesería!$J$70:$J$89)*(Quesería!$H$70:$H$89&gt;0)*Quesería!$F$70:$F$89*(1+Quesería!$I$70:$I$89)/(Quesería!$J$70:$J$89+(Quesería!$J$70:$J$89=0)))+SUMPRODUCT((Quesería!$C$70:$C$89=0)*(Quesería!$J$70:$J$89=0)*(F$47=0)*(Quesería!$H$70:$H$89&gt;0)*Quesería!$F$70:$F$89*(1+Quesería!$I$70:$I$89)))*$B$739+((SUMPRODUCT((Quesería!$C$70:$C$89=1)*(Quesería!$J$70:$J$89&gt;0)*(F$47&gt;=2)*(F$47&lt;=Quesería!$J$70:$J$89+1)*(Quesería!$H$70:$H$89&gt;0)*Quesería!$F$70:$F$89*(1+Quesería!$I$70:$I$89)/(Quesería!$J$70:$J$89+(Quesería!$J$70:$J$89=0)))+SUMPRODUCT((Quesería!$C$70:$C$89=1)*(Quesería!$J$70:$J$89=0)*(F$47=1)*(Quesería!$H$70:$H$89&gt;0)*Quesería!$F$70:$F$89*(1+Quesería!$I$70:$I$89)))-(-$R$26)*IF(AND(F$47&gt;=2,F$47&lt;=Quesería!$J$86+1),Quesería!$D$86*(1+Quesería!$I$86)/Quesería!$J$86,0))*$C$739*$R$21,IF(AND(F$47&gt;=1,F$47&lt;=Quesería!$B$30),Quesería!$F$92/Quesería!$B$30,0)*$B$739+IF(AND(F$47&gt;=2,F$47&lt;=Quesería!$B$30+1),(Quesería!$F$93-(-$R$26)*Quesería!$D$86*(1+Quesería!$I$86))/Quesería!$B$30,0)*$C$739*$R$21)*$R$11+IF(AND(F$47&gt;=6,F$47&lt;=10),$G743*$G739/5,0)+IF(AND(F$47&gt;=7,F$47&lt;=11),$H743*$H739/5,0))*F741</f>
        <v>131.0394609615</v>
      </c>
      <c r="G751" s="29" t="n">
        <f aca="false">(IF($R$19=1,(SUMPRODUCT((Quesería!$C$70:$C$89=0)*(Quesería!$J$70:$J$89&gt;0)*(G$47&gt;=1)*(G$47&lt;=Quesería!$J$70:$J$89)*(Quesería!$H$70:$H$89&gt;0)*Quesería!$F$70:$F$89*(1+Quesería!$I$70:$I$89)/(Quesería!$J$70:$J$89+(Quesería!$J$70:$J$89=0)))+SUMPRODUCT((Quesería!$C$70:$C$89=0)*(Quesería!$J$70:$J$89=0)*(G$47=0)*(Quesería!$H$70:$H$89&gt;0)*Quesería!$F$70:$F$89*(1+Quesería!$I$70:$I$89)))*$B$739+((SUMPRODUCT((Quesería!$C$70:$C$89=1)*(Quesería!$J$70:$J$89&gt;0)*(G$47&gt;=2)*(G$47&lt;=Quesería!$J$70:$J$89+1)*(Quesería!$H$70:$H$89&gt;0)*Quesería!$F$70:$F$89*(1+Quesería!$I$70:$I$89)/(Quesería!$J$70:$J$89+(Quesería!$J$70:$J$89=0)))+SUMPRODUCT((Quesería!$C$70:$C$89=1)*(Quesería!$J$70:$J$89=0)*(G$47=1)*(Quesería!$H$70:$H$89&gt;0)*Quesería!$F$70:$F$89*(1+Quesería!$I$70:$I$89)))-(-$R$26)*IF(AND(G$47&gt;=2,G$47&lt;=Quesería!$J$86+1),Quesería!$D$86*(1+Quesería!$I$86)/Quesería!$J$86,0))*$C$739*$R$21,IF(AND(G$47&gt;=1,G$47&lt;=Quesería!$B$30),Quesería!$F$92/Quesería!$B$30,0)*$B$739+IF(AND(G$47&gt;=2,G$47&lt;=Quesería!$B$30+1),(Quesería!$F$93-(-$R$26)*Quesería!$D$86*(1+Quesería!$I$86))/Quesería!$B$30,0)*$C$739*$R$21)*$R$11+IF(AND(G$47&gt;=6,G$47&lt;=10),$G743*$G739/5,0)+IF(AND(G$47&gt;=7,G$47&lt;=11),$H743*$H739/5,0))*G741</f>
        <v>125.99948169375</v>
      </c>
      <c r="H751" s="29" t="n">
        <f aca="false">(IF($R$19=1,(SUMPRODUCT((Quesería!$C$70:$C$89=0)*(Quesería!$J$70:$J$89&gt;0)*(H$47&gt;=1)*(H$47&lt;=Quesería!$J$70:$J$89)*(Quesería!$H$70:$H$89&gt;0)*Quesería!$F$70:$F$89*(1+Quesería!$I$70:$I$89)/(Quesería!$J$70:$J$89+(Quesería!$J$70:$J$89=0)))+SUMPRODUCT((Quesería!$C$70:$C$89=0)*(Quesería!$J$70:$J$89=0)*(H$47=0)*(Quesería!$H$70:$H$89&gt;0)*Quesería!$F$70:$F$89*(1+Quesería!$I$70:$I$89)))*$B$739+((SUMPRODUCT((Quesería!$C$70:$C$89=1)*(Quesería!$J$70:$J$89&gt;0)*(H$47&gt;=2)*(H$47&lt;=Quesería!$J$70:$J$89+1)*(Quesería!$H$70:$H$89&gt;0)*Quesería!$F$70:$F$89*(1+Quesería!$I$70:$I$89)/(Quesería!$J$70:$J$89+(Quesería!$J$70:$J$89=0)))+SUMPRODUCT((Quesería!$C$70:$C$89=1)*(Quesería!$J$70:$J$89=0)*(H$47=1)*(Quesería!$H$70:$H$89&gt;0)*Quesería!$F$70:$F$89*(1+Quesería!$I$70:$I$89)))-(-$R$26)*IF(AND(H$47&gt;=2,H$47&lt;=Quesería!$J$86+1),Quesería!$D$86*(1+Quesería!$I$86)/Quesería!$J$86,0))*$C$739*$R$21,IF(AND(H$47&gt;=1,H$47&lt;=Quesería!$B$30),Quesería!$F$92/Quesería!$B$30,0)*$B$739+IF(AND(H$47&gt;=2,H$47&lt;=Quesería!$B$30+1),(Quesería!$F$93-(-$R$26)*Quesería!$D$86*(1+Quesería!$I$86))/Quesería!$B$30,0)*$C$739*$R$21)*$R$11+IF(AND(H$47&gt;=6,H$47&lt;=10),$G743*$G739/5,0)+IF(AND(H$47&gt;=7,H$47&lt;=11),$H743*$H739/5,0))*H741</f>
        <v>114.13472617855</v>
      </c>
      <c r="I751" s="29" t="n">
        <f aca="false">(IF($R$19=1,(SUMPRODUCT((Quesería!$C$70:$C$89=0)*(Quesería!$J$70:$J$89&gt;0)*(I$47&gt;=1)*(I$47&lt;=Quesería!$J$70:$J$89)*(Quesería!$H$70:$H$89&gt;0)*Quesería!$F$70:$F$89*(1+Quesería!$I$70:$I$89)/(Quesería!$J$70:$J$89+(Quesería!$J$70:$J$89=0)))+SUMPRODUCT((Quesería!$C$70:$C$89=0)*(Quesería!$J$70:$J$89=0)*(I$47=0)*(Quesería!$H$70:$H$89&gt;0)*Quesería!$F$70:$F$89*(1+Quesería!$I$70:$I$89)))*$B$739+((SUMPRODUCT((Quesería!$C$70:$C$89=1)*(Quesería!$J$70:$J$89&gt;0)*(I$47&gt;=2)*(I$47&lt;=Quesería!$J$70:$J$89+1)*(Quesería!$H$70:$H$89&gt;0)*Quesería!$F$70:$F$89*(1+Quesería!$I$70:$I$89)/(Quesería!$J$70:$J$89+(Quesería!$J$70:$J$89=0)))+SUMPRODUCT((Quesería!$C$70:$C$89=1)*(Quesería!$J$70:$J$89=0)*(I$47=1)*(Quesería!$H$70:$H$89&gt;0)*Quesería!$F$70:$F$89*(1+Quesería!$I$70:$I$89)))-(-$R$26)*IF(AND(I$47&gt;=2,I$47&lt;=Quesería!$J$86+1),Quesería!$D$86*(1+Quesería!$I$86)/Quesería!$J$86,0))*$C$739*$R$21,IF(AND(I$47&gt;=1,I$47&lt;=Quesería!$B$30),Quesería!$F$92/Quesería!$B$30,0)*$B$739+IF(AND(I$47&gt;=2,I$47&lt;=Quesería!$B$30+1),(Quesería!$F$93-(-$R$26)*Quesería!$D$86*(1+Quesería!$I$86))/Quesería!$B$30,0)*$C$739*$R$21)*$R$11+IF(AND(I$47&gt;=6,I$47&lt;=10),$G743*$G739/5,0)+IF(AND(I$47&gt;=7,I$47&lt;=11),$H743*$H739/5,0))*I741</f>
        <v>118.665920500713</v>
      </c>
      <c r="J751" s="29" t="n">
        <f aca="false">(IF($R$19=1,(SUMPRODUCT((Quesería!$C$70:$C$89=0)*(Quesería!$J$70:$J$89&gt;0)*(J$47&gt;=1)*(J$47&lt;=Quesería!$J$70:$J$89)*(Quesería!$H$70:$H$89&gt;0)*Quesería!$F$70:$F$89*(1+Quesería!$I$70:$I$89)/(Quesería!$J$70:$J$89+(Quesería!$J$70:$J$89=0)))+SUMPRODUCT((Quesería!$C$70:$C$89=0)*(Quesería!$J$70:$J$89=0)*(J$47=0)*(Quesería!$H$70:$H$89&gt;0)*Quesería!$F$70:$F$89*(1+Quesería!$I$70:$I$89)))*$B$739+((SUMPRODUCT((Quesería!$C$70:$C$89=1)*(Quesería!$J$70:$J$89&gt;0)*(J$47&gt;=2)*(J$47&lt;=Quesería!$J$70:$J$89+1)*(Quesería!$H$70:$H$89&gt;0)*Quesería!$F$70:$F$89*(1+Quesería!$I$70:$I$89)/(Quesería!$J$70:$J$89+(Quesería!$J$70:$J$89=0)))+SUMPRODUCT((Quesería!$C$70:$C$89=1)*(Quesería!$J$70:$J$89=0)*(J$47=1)*(Quesería!$H$70:$H$89&gt;0)*Quesería!$F$70:$F$89*(1+Quesería!$I$70:$I$89)))-(-$R$26)*IF(AND(J$47&gt;=2,J$47&lt;=Quesería!$J$86+1),Quesería!$D$86*(1+Quesería!$I$86)/Quesería!$J$86,0))*$C$739*$R$21,IF(AND(J$47&gt;=1,J$47&lt;=Quesería!$B$30),Quesería!$F$92/Quesería!$B$30,0)*$B$739+IF(AND(J$47&gt;=2,J$47&lt;=Quesería!$B$30+1),(Quesería!$F$93-(-$R$26)*Quesería!$D$86*(1+Quesería!$I$86))/Quesería!$B$30,0)*$C$739*$R$21)*$R$11+IF(AND(J$47&gt;=6,J$47&lt;=10),$G743*$G739/5,0)+IF(AND(J$47&gt;=7,J$47&lt;=11),$H743*$H739/5,0))*J741</f>
        <v>114.101846635301</v>
      </c>
      <c r="K751" s="29" t="n">
        <f aca="false">(IF($R$19=1,(SUMPRODUCT((Quesería!$C$70:$C$89=0)*(Quesería!$J$70:$J$89&gt;0)*(K$47&gt;=1)*(K$47&lt;=Quesería!$J$70:$J$89)*(Quesería!$H$70:$H$89&gt;0)*Quesería!$F$70:$F$89*(1+Quesería!$I$70:$I$89)/(Quesería!$J$70:$J$89+(Quesería!$J$70:$J$89=0)))+SUMPRODUCT((Quesería!$C$70:$C$89=0)*(Quesería!$J$70:$J$89=0)*(K$47=0)*(Quesería!$H$70:$H$89&gt;0)*Quesería!$F$70:$F$89*(1+Quesería!$I$70:$I$89)))*$B$739+((SUMPRODUCT((Quesería!$C$70:$C$89=1)*(Quesería!$J$70:$J$89&gt;0)*(K$47&gt;=2)*(K$47&lt;=Quesería!$J$70:$J$89+1)*(Quesería!$H$70:$H$89&gt;0)*Quesería!$F$70:$F$89*(1+Quesería!$I$70:$I$89)/(Quesería!$J$70:$J$89+(Quesería!$J$70:$J$89=0)))+SUMPRODUCT((Quesería!$C$70:$C$89=1)*(Quesería!$J$70:$J$89=0)*(K$47=1)*(Quesería!$H$70:$H$89&gt;0)*Quesería!$F$70:$F$89*(1+Quesería!$I$70:$I$89)))-(-$R$26)*IF(AND(K$47&gt;=2,K$47&lt;=Quesería!$J$86+1),Quesería!$D$86*(1+Quesería!$I$86)/Quesería!$J$86,0))*$C$739*$R$21,IF(AND(K$47&gt;=1,K$47&lt;=Quesería!$B$30),Quesería!$F$92/Quesería!$B$30,0)*$B$739+IF(AND(K$47&gt;=2,K$47&lt;=Quesería!$B$30+1),(Quesería!$F$93-(-$R$26)*Quesería!$D$86*(1+Quesería!$I$86))/Quesería!$B$30,0)*$C$739*$R$21)*$R$11+IF(AND(K$47&gt;=6,K$47&lt;=10),$G743*$G739/5,0)+IF(AND(K$47&gt;=7,K$47&lt;=11),$H743*$H739/5,0))*K741</f>
        <v>109.713314072405</v>
      </c>
      <c r="L751" s="29" t="n">
        <f aca="false">(IF($R$19=1,(SUMPRODUCT((Quesería!$C$70:$C$89=0)*(Quesería!$J$70:$J$89&gt;0)*(L$47&gt;=1)*(L$47&lt;=Quesería!$J$70:$J$89)*(Quesería!$H$70:$H$89&gt;0)*Quesería!$F$70:$F$89*(1+Quesería!$I$70:$I$89)/(Quesería!$J$70:$J$89+(Quesería!$J$70:$J$89=0)))+SUMPRODUCT((Quesería!$C$70:$C$89=0)*(Quesería!$J$70:$J$89=0)*(L$47=0)*(Quesería!$H$70:$H$89&gt;0)*Quesería!$F$70:$F$89*(1+Quesería!$I$70:$I$89)))*$B$739+((SUMPRODUCT((Quesería!$C$70:$C$89=1)*(Quesería!$J$70:$J$89&gt;0)*(L$47&gt;=2)*(L$47&lt;=Quesería!$J$70:$J$89+1)*(Quesería!$H$70:$H$89&gt;0)*Quesería!$F$70:$F$89*(1+Quesería!$I$70:$I$89)/(Quesería!$J$70:$J$89+(Quesería!$J$70:$J$89=0)))+SUMPRODUCT((Quesería!$C$70:$C$89=1)*(Quesería!$J$70:$J$89=0)*(L$47=1)*(Quesería!$H$70:$H$89&gt;0)*Quesería!$F$70:$F$89*(1+Quesería!$I$70:$I$89)))-(-$R$26)*IF(AND(L$47&gt;=2,L$47&lt;=Quesería!$J$86+1),Quesería!$D$86*(1+Quesería!$I$86)/Quesería!$J$86,0))*$C$739*$R$21,IF(AND(L$47&gt;=1,L$47&lt;=Quesería!$B$30),Quesería!$F$92/Quesería!$B$30,0)*$B$739+IF(AND(L$47&gt;=2,L$47&lt;=Quesería!$B$30+1),(Quesería!$F$93-(-$R$26)*Quesería!$D$86*(1+Quesería!$I$86))/Quesería!$B$30,0)*$C$739*$R$21)*$R$11+IF(AND(L$47&gt;=6,L$47&lt;=10),$G743*$G739/5,0)+IF(AND(L$47&gt;=7,L$47&lt;=11),$H743*$H739/5,0))*L741</f>
        <v>105.493571223466</v>
      </c>
    </row>
    <row r="752" customFormat="false" ht="15" hidden="true" customHeight="false" outlineLevel="1" collapsed="false">
      <c r="A752" s="9" t="s">
        <v>417</v>
      </c>
      <c r="B752" s="58" t="n">
        <f aca="false">IF(B$47=1,MIN($R$7*$R$26*Quesería!$B$56*Quesería!$D$86*$R$11*$R$21,Quesería!$B$57*Quesería!$B$58),0)</f>
        <v>0</v>
      </c>
      <c r="C752" s="58" t="n">
        <f aca="false">IF(C$47=1,MIN($R$7*$R$26*Quesería!$B$56*Quesería!$D$86*$R$11*$R$21,Quesería!$B$57*Quesería!$B$58),0)</f>
        <v>0</v>
      </c>
      <c r="D752" s="58" t="n">
        <f aca="false">IF(D$47=1,MIN($R$7*$R$26*Quesería!$B$56*Quesería!$D$86*$R$11*$R$21,Quesería!$B$57*Quesería!$B$58),0)</f>
        <v>0</v>
      </c>
      <c r="E752" s="58" t="n">
        <f aca="false">IF(E$47=1,MIN($R$7*$R$26*Quesería!$B$56*Quesería!$D$86*$R$11*$R$21,Quesería!$B$57*Quesería!$B$58),0)</f>
        <v>0</v>
      </c>
      <c r="F752" s="58" t="n">
        <f aca="false">IF(F$47=1,MIN($R$7*$R$26*Quesería!$B$56*Quesería!$D$86*$R$11*$R$21,Quesería!$B$57*Quesería!$B$58),0)</f>
        <v>0</v>
      </c>
      <c r="G752" s="58" t="n">
        <f aca="false">IF(G$47=1,MIN($R$7*$R$26*Quesería!$B$56*Quesería!$D$86*$R$11*$R$21,Quesería!$B$57*Quesería!$B$58),0)</f>
        <v>0</v>
      </c>
      <c r="H752" s="58" t="n">
        <f aca="false">IF(H$47=1,MIN($R$7*$R$26*Quesería!$B$56*Quesería!$D$86*$R$11*$R$21,Quesería!$B$57*Quesería!$B$58),0)</f>
        <v>0</v>
      </c>
      <c r="I752" s="58" t="n">
        <f aca="false">IF(I$47=1,MIN($R$7*$R$26*Quesería!$B$56*Quesería!$D$86*$R$11*$R$21,Quesería!$B$57*Quesería!$B$58),0)</f>
        <v>0</v>
      </c>
      <c r="J752" s="58" t="n">
        <f aca="false">IF(J$47=1,MIN($R$7*$R$26*Quesería!$B$56*Quesería!$D$86*$R$11*$R$21,Quesería!$B$57*Quesería!$B$58),0)</f>
        <v>0</v>
      </c>
      <c r="K752" s="58" t="n">
        <f aca="false">IF(K$47=1,MIN($R$7*$R$26*Quesería!$B$56*Quesería!$D$86*$R$11*$R$21,Quesería!$B$57*Quesería!$B$58),0)</f>
        <v>0</v>
      </c>
      <c r="L752" s="58" t="n">
        <f aca="false">IF(L$47=1,MIN($R$7*$R$26*Quesería!$B$56*Quesería!$D$86*$R$11*$R$21,Quesería!$B$57*Quesería!$B$58),0)</f>
        <v>0</v>
      </c>
    </row>
    <row r="753" customFormat="false" ht="15" hidden="true" customHeight="false" outlineLevel="1" collapsed="false">
      <c r="A753" s="9" t="s">
        <v>418</v>
      </c>
      <c r="B753" s="58" t="n">
        <v>0</v>
      </c>
      <c r="C753" s="58" t="n">
        <f aca="false">$R$20*Quesería!$B$60*Quesería!$F$98*$R$11*$B$739/C739/2</f>
        <v>138.12868344741</v>
      </c>
      <c r="D753" s="58" t="n">
        <f aca="false">$R$20*Quesería!$B$60*Quesería!$F$98*$R$11*$B$739/D739/2</f>
        <v>132.18055832288</v>
      </c>
      <c r="E753" s="58" t="n">
        <v>0</v>
      </c>
      <c r="F753" s="58" t="n">
        <v>0</v>
      </c>
      <c r="G753" s="58" t="n">
        <v>0</v>
      </c>
      <c r="H753" s="58" t="n">
        <v>0</v>
      </c>
      <c r="I753" s="58" t="n">
        <v>0</v>
      </c>
      <c r="J753" s="58" t="n">
        <v>0</v>
      </c>
      <c r="K753" s="58" t="n">
        <v>0</v>
      </c>
      <c r="L753" s="58" t="n">
        <v>0</v>
      </c>
    </row>
    <row r="754" customFormat="false" ht="15" hidden="true" customHeight="false" outlineLevel="1" collapsed="false">
      <c r="A754" s="9" t="s">
        <v>419</v>
      </c>
      <c r="B754" s="58" t="n">
        <f aca="false">0</f>
        <v>0</v>
      </c>
      <c r="C754" s="58" t="n">
        <f aca="false">B744*B739/C739</f>
        <v>142.014925295407</v>
      </c>
      <c r="D754" s="58" t="n">
        <f aca="false">C744*C739/D739</f>
        <v>119.721648486272</v>
      </c>
      <c r="E754" s="58" t="n">
        <f aca="false">D744*D739/E739</f>
        <v>0</v>
      </c>
      <c r="F754" s="58" t="n">
        <f aca="false">E744*E739/F739</f>
        <v>0</v>
      </c>
      <c r="G754" s="58" t="n">
        <f aca="false">F744*F739/G739</f>
        <v>0</v>
      </c>
      <c r="H754" s="58" t="n">
        <f aca="false">G744*G739/H739</f>
        <v>5.01768392412113</v>
      </c>
      <c r="I754" s="58" t="n">
        <f aca="false">H744*H739/I739</f>
        <v>8.47494190873221</v>
      </c>
      <c r="J754" s="58" t="n">
        <f aca="false">I744*I739/J739</f>
        <v>0</v>
      </c>
      <c r="K754" s="58" t="n">
        <f aca="false">J744*J739/K739</f>
        <v>0</v>
      </c>
      <c r="L754" s="58" t="n">
        <f aca="false">K744*K739/L739</f>
        <v>0</v>
      </c>
    </row>
    <row r="755" customFormat="false" ht="15" hidden="true" customHeight="false" outlineLevel="1" collapsed="false">
      <c r="A755" s="6" t="s">
        <v>295</v>
      </c>
      <c r="B755" s="29" t="n">
        <f aca="false">$R$17*(B747-B748-B749-0.5*B750-B751)-B752-B753-B754</f>
        <v>-9.59839124703308</v>
      </c>
      <c r="C755" s="29" t="n">
        <f aca="false">$R$17*(C747-C748-C749-0.5*C750-C751)-C752-C753-C754</f>
        <v>-267.27574962886</v>
      </c>
      <c r="D755" s="29" t="n">
        <f aca="false">$R$17*(D747-D748-D749-0.5*D750-D751)-D752-D753-D754</f>
        <v>-153.621746486017</v>
      </c>
      <c r="E755" s="29" t="n">
        <f aca="false">$R$17*(E747-E748-E749-0.5*E750-E751)-E752-E753-E754</f>
        <v>125.109835670203</v>
      </c>
      <c r="F755" s="29" t="n">
        <f aca="false">$R$17*(F747-F748-F749-0.5*F750-F751)-F752-F753-F754</f>
        <v>127.052611986067</v>
      </c>
      <c r="G755" s="29" t="n">
        <f aca="false">$R$17*(G747-G748-G749-0.5*G750-G751)-G752-G753-G754</f>
        <v>128.902491185509</v>
      </c>
      <c r="H755" s="29" t="n">
        <f aca="false">$R$17*(H747-H748-H749-0.5*H750-H751)-H752-H753-H754</f>
        <v>128.131016857608</v>
      </c>
      <c r="I755" s="29" t="n">
        <f aca="false">$R$17*(I747-I748-I749-0.5*I750-I751)-I752-I753-I754</f>
        <v>123.236338377604</v>
      </c>
      <c r="J755" s="29" t="n">
        <f aca="false">$R$17*(J747-J748-J749-0.5*J750-J751)-J752-J753-J754</f>
        <v>133.41911076664</v>
      </c>
      <c r="K755" s="29" t="n">
        <f aca="false">$R$17*(K747-K748-K749-0.5*K750-K751)-K752-K753-K754</f>
        <v>135.0660538142</v>
      </c>
      <c r="L755" s="29" t="n">
        <f aca="false">$R$17*(L747-L748-L749-0.5*L750-L751)-L752-L753-L754</f>
        <v>136.654475245128</v>
      </c>
    </row>
    <row r="756" customFormat="false" ht="15" hidden="true" customHeight="false" outlineLevel="1" collapsed="false">
      <c r="A756" s="9" t="s">
        <v>420</v>
      </c>
      <c r="B756" s="58" t="n">
        <f aca="false">(IF(B$47&gt;=1,Quesería!$G$124*IF(B$47=1,Quesería!$B$20,1),Quesería!$G$124*Quesería!$B$20*Quesería!$B$21/12*$R$23)+IF(B$47&gt;=2,(Quesería!$G$125-(1-$R$24)*Quesería!$G$117-(-$R$26*$R$27)*'Beneficios y costos'!$D$167)*$R$21*IF(B$47=2,Quesería!$B$20,1),0))*$R$10</f>
        <v>77.4042870161869</v>
      </c>
      <c r="C756" s="58" t="n">
        <f aca="false">(IF(C$47&gt;=1,Quesería!$G$124*IF(C$47=1,Quesería!$B$20,1),Quesería!$G$124*Quesería!$B$20*Quesería!$B$21/12*$R$23)+IF(C$47&gt;=2,(Quesería!$G$125-(1-$R$24)*Quesería!$G$117-(-$R$26*$R$27)*'Beneficios y costos'!$D$167)*$R$21*IF(C$47=2,Quesería!$B$20,1),0))*$R$10</f>
        <v>116.10643052428</v>
      </c>
      <c r="D756" s="58" t="n">
        <f aca="false">(IF(D$47&gt;=1,Quesería!$G$124*IF(D$47=1,Quesería!$B$20,1),Quesería!$G$124*Quesería!$B$20*Quesería!$B$21/12*$R$23)+IF(D$47&gt;=2,(Quesería!$G$125-(1-$R$24)*Quesería!$G$117-(-$R$26*$R$27)*'Beneficios y costos'!$D$167)*$R$21*IF(D$47=2,Quesería!$B$20,1),0))*$R$10</f>
        <v>2023.78917421887</v>
      </c>
      <c r="E756" s="58" t="n">
        <f aca="false">(IF(E$47&gt;=1,Quesería!$G$124*IF(E$47=1,Quesería!$B$20,1),Quesería!$G$124*Quesería!$B$20*Quesería!$B$21/12*$R$23)+IF(E$47&gt;=2,(Quesería!$G$125-(1-$R$24)*Quesería!$G$117-(-$R$26*$R$27)*'Beneficios y costos'!$D$167)*$R$21*IF(E$47=2,Quesería!$B$20,1),0))*$R$10</f>
        <v>2646.78270761437</v>
      </c>
      <c r="F756" s="58" t="n">
        <f aca="false">(IF(F$47&gt;=1,Quesería!$G$124*IF(F$47=1,Quesería!$B$20,1),Quesería!$G$124*Quesería!$B$20*Quesería!$B$21/12*$R$23)+IF(F$47&gt;=2,(Quesería!$G$125-(1-$R$24)*Quesería!$G$117-(-$R$26*$R$27)*'Beneficios y costos'!$D$167)*$R$21*IF(F$47=2,Quesería!$B$20,1),0))*$R$10</f>
        <v>2646.78270761437</v>
      </c>
      <c r="G756" s="58" t="n">
        <f aca="false">(IF(G$47&gt;=1,Quesería!$G$124*IF(G$47=1,Quesería!$B$20,1),Quesería!$G$124*Quesería!$B$20*Quesería!$B$21/12*$R$23)+IF(G$47&gt;=2,(Quesería!$G$125-(1-$R$24)*Quesería!$G$117-(-$R$26*$R$27)*'Beneficios y costos'!$D$167)*$R$21*IF(G$47=2,Quesería!$B$20,1),0))*$R$10</f>
        <v>2646.78270761437</v>
      </c>
      <c r="H756" s="58" t="n">
        <f aca="false">(IF(H$47&gt;=1,Quesería!$G$124*IF(H$47=1,Quesería!$B$20,1),Quesería!$G$124*Quesería!$B$20*Quesería!$B$21/12*$R$23)+IF(H$47&gt;=2,(Quesería!$G$125-(1-$R$24)*Quesería!$G$117-(-$R$26*$R$27)*'Beneficios y costos'!$D$167)*$R$21*IF(H$47=2,Quesería!$B$20,1),0))*$R$10</f>
        <v>2646.78270761437</v>
      </c>
      <c r="I756" s="58" t="n">
        <f aca="false">(IF(I$47&gt;=1,Quesería!$G$124*IF(I$47=1,Quesería!$B$20,1),Quesería!$G$124*Quesería!$B$20*Quesería!$B$21/12*$R$23)+IF(I$47&gt;=2,(Quesería!$G$125-(1-$R$24)*Quesería!$G$117-(-$R$26*$R$27)*'Beneficios y costos'!$D$167)*$R$21*IF(I$47=2,Quesería!$B$20,1),0))*$R$10</f>
        <v>2646.78270761437</v>
      </c>
      <c r="J756" s="58" t="n">
        <f aca="false">(IF(J$47&gt;=1,Quesería!$G$124*IF(J$47=1,Quesería!$B$20,1),Quesería!$G$124*Quesería!$B$20*Quesería!$B$21/12*$R$23)+IF(J$47&gt;=2,(Quesería!$G$125-(1-$R$24)*Quesería!$G$117-(-$R$26*$R$27)*'Beneficios y costos'!$D$167)*$R$21*IF(J$47=2,Quesería!$B$20,1),0))*$R$10</f>
        <v>2646.78270761437</v>
      </c>
      <c r="K756" s="58" t="n">
        <f aca="false">(IF(K$47&gt;=1,Quesería!$G$124*IF(K$47=1,Quesería!$B$20,1),Quesería!$G$124*Quesería!$B$20*Quesería!$B$21/12*$R$23)+IF(K$47&gt;=2,(Quesería!$G$125-(1-$R$24)*Quesería!$G$117-(-$R$26*$R$27)*'Beneficios y costos'!$D$167)*$R$21*IF(K$47=2,Quesería!$B$20,1),0))*$R$10</f>
        <v>2646.78270761437</v>
      </c>
      <c r="L756" s="58" t="n">
        <f aca="false">(IF(L$47&gt;=1,Quesería!$G$124*IF(L$47=1,Quesería!$B$20,1),Quesería!$G$124*Quesería!$B$20*Quesería!$B$21/12*$R$23)+IF(L$47&gt;=2,(Quesería!$G$125-(1-$R$24)*Quesería!$G$117-(-$R$26*$R$27)*'Beneficios y costos'!$D$167)*$R$21*IF(L$47=2,Quesería!$B$20,1),0))*$R$10</f>
        <v>2646.78270761437</v>
      </c>
    </row>
    <row r="757" customFormat="false" ht="15" hidden="true" customHeight="false" outlineLevel="1" collapsed="false">
      <c r="A757" s="6" t="s">
        <v>421</v>
      </c>
      <c r="B757" s="29" t="n">
        <f aca="false">(B756*(Quesería!$B$38+Quesería!$B$40*Quesería!$B$39)/365-B748*Quesería!$B$42/365+IF(B$47&gt;=2,($R$25*'Beneficios y costos'!$B$147+(1-$R$25)*'Beneficios y costos'!$B$148)*$R$24*$R$21*$R$10*IF(B$47=2,Quesería!$B$20,1),0))</f>
        <v>7.23146900616979</v>
      </c>
      <c r="C757" s="29" t="n">
        <f aca="false">(C756*(Quesería!$B$38+Quesería!$B$40*Quesería!$B$39)/365-C748*Quesería!$B$42/365+IF(C$47&gt;=2,($R$25*'Beneficios y costos'!$B$147+(1-$R$25)*'Beneficios y costos'!$B$148)*$R$24*$R$21*$R$10*IF(C$47=2,Quesería!$B$20,1),0))-(B756*(Quesería!$B$38+Quesería!$B$40*Quesería!$B$39)/365-B748*Quesería!$B$42/365+IF(B$47&gt;=2,($R$25*'Beneficios y costos'!$B$147+(1-$R$25)*'Beneficios y costos'!$B$148)*$R$24*$R$21*$R$10*IF(B$47=2,Quesería!$B$20,1),0))*B739/C739</f>
        <v>1.42287846600884</v>
      </c>
      <c r="D757" s="29" t="n">
        <f aca="false">(D756*(Quesería!$B$38+Quesería!$B$40*Quesería!$B$39)/365-D748*Quesería!$B$42/365+IF(D$47&gt;=2,($R$25*'Beneficios y costos'!$B$147+(1-$R$25)*'Beneficios y costos'!$B$148)*$R$24*$R$21*$R$10*IF(D$47=2,Quesería!$B$20,1),0))-(C756*(Quesería!$B$38+Quesería!$B$40*Quesería!$B$39)/365-C748*Quesería!$B$42/365+IF(C$47&gt;=2,($R$25*'Beneficios y costos'!$B$147+(1-$R$25)*'Beneficios y costos'!$B$148)*$R$24*$R$21*$R$10*IF(C$47=2,Quesería!$B$20,1),0))*C739/D739</f>
        <v>121.067969072345</v>
      </c>
      <c r="E757" s="29" t="n">
        <f aca="false">(E756*(Quesería!$B$38+Quesería!$B$40*Quesería!$B$39)/365-E748*Quesería!$B$42/365+IF(E$47&gt;=2,($R$25*'Beneficios y costos'!$B$147+(1-$R$25)*'Beneficios y costos'!$B$148)*$R$24*$R$21*$R$10*IF(E$47=2,Quesería!$B$20,1),0))-(D756*(Quesería!$B$38+Quesería!$B$40*Quesería!$B$39)/365-D748*Quesería!$B$42/365+IF(D$47&gt;=2,($R$25*'Beneficios y costos'!$B$147+(1-$R$25)*'Beneficios y costos'!$B$148)*$R$24*$R$21*$R$10*IF(D$47=2,Quesería!$B$20,1),0))*D739/E739</f>
        <v>44.6849531551876</v>
      </c>
      <c r="F757" s="29" t="n">
        <f aca="false">(F756*(Quesería!$B$38+Quesería!$B$40*Quesería!$B$39)/365-F748*Quesería!$B$42/365+IF(F$47&gt;=2,($R$25*'Beneficios y costos'!$B$147+(1-$R$25)*'Beneficios y costos'!$B$148)*$R$24*$R$21*$R$10*IF(F$47=2,Quesería!$B$20,1),0))-(E756*(Quesería!$B$38+Quesería!$B$40*Quesería!$B$39)/365-E748*Quesería!$B$42/365+IF(E$47&gt;=2,($R$25*'Beneficios y costos'!$B$147+(1-$R$25)*'Beneficios y costos'!$B$148)*$R$24*$R$21*$R$10*IF(E$47=2,Quesería!$B$20,1),0))*E739/F739</f>
        <v>6.49010597714096</v>
      </c>
      <c r="G757" s="29" t="n">
        <f aca="false">(G756*(Quesería!$B$38+Quesería!$B$40*Quesería!$B$39)/365-G748*Quesería!$B$42/365+IF(G$47&gt;=2,($R$25*'Beneficios y costos'!$B$147+(1-$R$25)*'Beneficios y costos'!$B$148)*$R$24*$R$21*$R$10*IF(G$47=2,Quesería!$B$20,1),0))-(F756*(Quesería!$B$38+Quesería!$B$40*Quesería!$B$39)/365-F748*Quesería!$B$42/365+IF(F$47&gt;=2,($R$25*'Beneficios y costos'!$B$147+(1-$R$25)*'Beneficios y costos'!$B$148)*$R$24*$R$21*$R$10*IF(F$47=2,Quesería!$B$20,1),0))*F739/G739</f>
        <v>6.49010597714096</v>
      </c>
      <c r="H757" s="29" t="n">
        <f aca="false">(H756*(Quesería!$B$38+Quesería!$B$40*Quesería!$B$39)/365-H748*Quesería!$B$42/365+IF(H$47&gt;=2,($R$25*'Beneficios y costos'!$B$147+(1-$R$25)*'Beneficios y costos'!$B$148)*$R$24*$R$21*$R$10*IF(H$47=2,Quesería!$B$20,1),0))-(G756*(Quesería!$B$38+Quesería!$B$40*Quesería!$B$39)/365-G748*Quesería!$B$42/365+IF(G$47&gt;=2,($R$25*'Beneficios y costos'!$B$147+(1-$R$25)*'Beneficios y costos'!$B$148)*$R$24*$R$21*$R$10*IF(G$47=2,Quesería!$B$20,1),0))*G739/H739</f>
        <v>6.49010597714096</v>
      </c>
      <c r="I757" s="29" t="n">
        <f aca="false">(I756*(Quesería!$B$38+Quesería!$B$40*Quesería!$B$39)/365-I748*Quesería!$B$42/365+IF(I$47&gt;=2,($R$25*'Beneficios y costos'!$B$147+(1-$R$25)*'Beneficios y costos'!$B$148)*$R$24*$R$21*$R$10*IF(I$47=2,Quesería!$B$20,1),0))-(H756*(Quesería!$B$38+Quesería!$B$40*Quesería!$B$39)/365-H748*Quesería!$B$42/365+IF(H$47&gt;=2,($R$25*'Beneficios y costos'!$B$147+(1-$R$25)*'Beneficios y costos'!$B$148)*$R$24*$R$21*$R$10*IF(H$47=2,Quesería!$B$20,1),0))*H739/I739</f>
        <v>6.49010597714096</v>
      </c>
      <c r="J757" s="29" t="n">
        <f aca="false">(J756*(Quesería!$B$38+Quesería!$B$40*Quesería!$B$39)/365-J748*Quesería!$B$42/365+IF(J$47&gt;=2,($R$25*'Beneficios y costos'!$B$147+(1-$R$25)*'Beneficios y costos'!$B$148)*$R$24*$R$21*$R$10*IF(J$47=2,Quesería!$B$20,1),0))-(I756*(Quesería!$B$38+Quesería!$B$40*Quesería!$B$39)/365-I748*Quesería!$B$42/365+IF(I$47&gt;=2,($R$25*'Beneficios y costos'!$B$147+(1-$R$25)*'Beneficios y costos'!$B$148)*$R$24*$R$21*$R$10*IF(I$47=2,Quesería!$B$20,1),0))*I739/J739</f>
        <v>6.49010597714096</v>
      </c>
      <c r="K757" s="29" t="n">
        <f aca="false">(K756*(Quesería!$B$38+Quesería!$B$40*Quesería!$B$39)/365-K748*Quesería!$B$42/365+IF(K$47&gt;=2,($R$25*'Beneficios y costos'!$B$147+(1-$R$25)*'Beneficios y costos'!$B$148)*$R$24*$R$21*$R$10*IF(K$47=2,Quesería!$B$20,1),0))-(J756*(Quesería!$B$38+Quesería!$B$40*Quesería!$B$39)/365-J748*Quesería!$B$42/365+IF(J$47&gt;=2,($R$25*'Beneficios y costos'!$B$147+(1-$R$25)*'Beneficios y costos'!$B$148)*$R$24*$R$21*$R$10*IF(J$47=2,Quesería!$B$20,1),0))*J739/K739</f>
        <v>6.49010597714099</v>
      </c>
      <c r="L757" s="29" t="n">
        <f aca="false">-(K756*(Quesería!$B$38+Quesería!$B$40*Quesería!$B$39)/365-K748*Quesería!$B$42/365+IF(K$47&gt;=2,($R$25*'Beneficios y costos'!$B$147+(1-$R$25)*'Beneficios y costos'!$B$148)*$R$24*$R$21*$R$10*IF(K$47=2,Quesería!$B$20,1),0))*K739/L739</f>
        <v>-162.252649428524</v>
      </c>
    </row>
    <row r="758" customFormat="false" ht="15" hidden="true" customHeight="false" outlineLevel="1" collapsed="false">
      <c r="A758" s="6" t="s">
        <v>422</v>
      </c>
      <c r="B758" s="29" t="n">
        <v>0</v>
      </c>
      <c r="C758" s="29" t="n">
        <v>0</v>
      </c>
      <c r="D758" s="29" t="n">
        <v>0</v>
      </c>
      <c r="E758" s="29" t="n">
        <v>0</v>
      </c>
      <c r="F758" s="29" t="n">
        <v>0</v>
      </c>
      <c r="G758" s="29" t="n">
        <v>0</v>
      </c>
      <c r="H758" s="29" t="n">
        <v>0</v>
      </c>
      <c r="I758" s="29" t="n">
        <v>0</v>
      </c>
      <c r="J758" s="29" t="n">
        <v>0</v>
      </c>
      <c r="K758" s="29" t="n">
        <v>0</v>
      </c>
      <c r="L758" s="29" t="n">
        <f aca="false">$R$8*Quesería!$B$36*(Quesería!$F$94+(Quesería!$F$95-(-$R$26)*Quesería!$D$86)*$R$21)*$R$11*(1-$R$17)</f>
        <v>61.9237725584542</v>
      </c>
    </row>
    <row r="759" customFormat="false" ht="15" hidden="true" customHeight="false" outlineLevel="1" collapsed="false">
      <c r="A759" s="5" t="s">
        <v>147</v>
      </c>
      <c r="B759" s="59" t="n">
        <f aca="false">B747-B748-B749-B750-B755-B742-B743-B744-B757+B758</f>
        <v>-961.151880133756</v>
      </c>
      <c r="C759" s="59" t="n">
        <f aca="false">C747-C748-C749-C750-C755-C742-C743-C744-C757+C758</f>
        <v>-400.385058451238</v>
      </c>
      <c r="D759" s="59" t="n">
        <f aca="false">D747-D748-D749-D750-D755-D742-D743-D744-D757+D758</f>
        <v>454.934380634354</v>
      </c>
      <c r="E759" s="59" t="n">
        <f aca="false">E747-E748-E749-E750-E755-E742-E743-E744-E757+E758</f>
        <v>323.789930953772</v>
      </c>
      <c r="F759" s="59" t="n">
        <f aca="false">F747-F748-F749-F750-F755-F742-F743-F744-F757+F758</f>
        <v>360.351212851391</v>
      </c>
      <c r="G759" s="59" t="n">
        <f aca="false">G747-G748-G749-G750-G755-G742-G743-G744-G757+G758</f>
        <v>325.997747758402</v>
      </c>
      <c r="H759" s="59" t="n">
        <f aca="false">H747-H748-H749-H750-H755-H742-H743-H744-H757+H758</f>
        <v>304.471968269307</v>
      </c>
      <c r="I759" s="59" t="n">
        <f aca="false">I747-I748-I749-I750-I755-I742-I743-I744-I757+I758</f>
        <v>365.104426856979</v>
      </c>
      <c r="J759" s="59" t="n">
        <f aca="false">J747-J748-J749-J750-J755-J742-J743-J744-J757+J758</f>
        <v>355.237096260542</v>
      </c>
      <c r="K759" s="59" t="n">
        <f aca="false">K747-K748-K749-K750-K755-K742-K743-K744-K757+K758</f>
        <v>353.907172214543</v>
      </c>
      <c r="L759" s="59" t="n">
        <f aca="false">L747-L748-L749-L750-L755-L742-L743-L744-L757+L758</f>
        <v>583.303882844304</v>
      </c>
    </row>
    <row r="760" customFormat="false" ht="15" hidden="true" customHeight="false" outlineLevel="1" collapsed="false">
      <c r="A760" s="9" t="s">
        <v>423</v>
      </c>
      <c r="B760" s="58" t="n">
        <f aca="false">B759*B739</f>
        <v>-1018.82099294178</v>
      </c>
      <c r="C760" s="58" t="n">
        <f aca="false">C759*C739</f>
        <v>-445.628570056228</v>
      </c>
      <c r="D760" s="58" t="n">
        <f aca="false">D759*D739</f>
        <v>529.127354100107</v>
      </c>
      <c r="E760" s="58" t="n">
        <f aca="false">E759*E739</f>
        <v>391.659020317102</v>
      </c>
      <c r="F760" s="58" t="n">
        <f aca="false">F759*F739</f>
        <v>453.319208175839</v>
      </c>
      <c r="G760" s="58" t="n">
        <f aca="false">G759*G739</f>
        <v>426.506910577728</v>
      </c>
      <c r="H760" s="58" t="n">
        <f aca="false">H759*H739</f>
        <v>414.278243989321</v>
      </c>
      <c r="I760" s="58" t="n">
        <f aca="false">I759*I739</f>
        <v>516.648591850469</v>
      </c>
      <c r="J760" s="58" t="n">
        <f aca="false">J759*J739</f>
        <v>522.793045873068</v>
      </c>
      <c r="K760" s="58" t="n">
        <f aca="false">K759*K739</f>
        <v>541.669265075775</v>
      </c>
      <c r="L760" s="58" t="n">
        <f aca="false">L759*L739</f>
        <v>928.481033321263</v>
      </c>
    </row>
    <row r="761" customFormat="false" ht="15" hidden="true" customHeight="false" outlineLevel="1" collapsed="false">
      <c r="A761" s="6" t="s">
        <v>424</v>
      </c>
      <c r="B761" s="29" t="n">
        <f aca="false">B759</f>
        <v>-961.151880133756</v>
      </c>
      <c r="C761" s="29" t="n">
        <f aca="false">B761+C759</f>
        <v>-1361.53693858499</v>
      </c>
      <c r="D761" s="29" t="n">
        <f aca="false">C761+D759</f>
        <v>-906.60255795064</v>
      </c>
      <c r="E761" s="29" t="n">
        <f aca="false">D761+E759</f>
        <v>-582.812626996869</v>
      </c>
      <c r="F761" s="29" t="n">
        <f aca="false">E761+F759</f>
        <v>-222.461414145478</v>
      </c>
      <c r="G761" s="29" t="n">
        <f aca="false">F761+G759</f>
        <v>103.536333612924</v>
      </c>
      <c r="H761" s="29" t="n">
        <f aca="false">G761+H759</f>
        <v>408.008301882231</v>
      </c>
      <c r="I761" s="29" t="n">
        <f aca="false">H761+I759</f>
        <v>773.11272873921</v>
      </c>
      <c r="J761" s="29" t="n">
        <f aca="false">I761+J759</f>
        <v>1128.34982499975</v>
      </c>
      <c r="K761" s="29" t="n">
        <f aca="false">J761+K759</f>
        <v>1482.2569972143</v>
      </c>
      <c r="L761" s="29" t="n">
        <f aca="false">K761+L759</f>
        <v>2065.5608800586</v>
      </c>
    </row>
    <row r="762" customFormat="false" ht="15" hidden="true" customHeight="false" outlineLevel="1" collapsed="false">
      <c r="A762" s="9" t="s">
        <v>425</v>
      </c>
      <c r="B762" s="60" t="n">
        <v>0</v>
      </c>
      <c r="C762" s="60" t="n">
        <f aca="false">IF(AND(B761&lt;0,C761&gt;=0),B$47+(-B761)/C759,0)</f>
        <v>0</v>
      </c>
      <c r="D762" s="60" t="n">
        <f aca="false">IF(AND(C761&lt;0,D761&gt;=0),C$47+(-C761)/D759,0)</f>
        <v>0</v>
      </c>
      <c r="E762" s="60" t="n">
        <f aca="false">IF(AND(D761&lt;0,E761&gt;=0),D$47+(-D761)/E759,0)</f>
        <v>0</v>
      </c>
      <c r="F762" s="60" t="n">
        <f aca="false">IF(AND(E761&lt;0,F761&gt;=0),E$47+(-E761)/F759,0)</f>
        <v>0</v>
      </c>
      <c r="G762" s="60" t="n">
        <f aca="false">IF(AND(F761&lt;0,G761&gt;=0),F$47+(-F761)/G759,0)</f>
        <v>4.68240169042623</v>
      </c>
      <c r="H762" s="60" t="n">
        <f aca="false">IF(AND(G761&lt;0,H761&gt;=0),G$47+(-G761)/H759,0)</f>
        <v>0</v>
      </c>
      <c r="I762" s="60" t="n">
        <f aca="false">IF(AND(H761&lt;0,I761&gt;=0),H$47+(-H761)/I759,0)</f>
        <v>0</v>
      </c>
      <c r="J762" s="60" t="n">
        <f aca="false">IF(AND(I761&lt;0,J761&gt;=0),I$47+(-I761)/J759,0)</f>
        <v>0</v>
      </c>
      <c r="K762" s="60" t="n">
        <f aca="false">IF(AND(J761&lt;0,K761&gt;=0),J$47+(-J761)/K759,0)</f>
        <v>0</v>
      </c>
      <c r="L762" s="60" t="n">
        <f aca="false">IF(AND(K761&lt;0,L761&gt;=0),K$47+(-K761)/L759,0)</f>
        <v>0</v>
      </c>
    </row>
    <row r="763" customFormat="false" ht="15" hidden="true" customHeight="false" outlineLevel="1" collapsed="false">
      <c r="A763" s="9" t="s">
        <v>426</v>
      </c>
      <c r="B763" s="57" t="n">
        <f aca="false">(B739/$B$739)/(1+$R$29)^B$47</f>
        <v>1</v>
      </c>
      <c r="C763" s="57" t="n">
        <f aca="false">(C739/$B$739)/(1+$R$29)^C$47</f>
        <v>0.91001076846076</v>
      </c>
      <c r="D763" s="57" t="n">
        <f aca="false">(D739/$B$739)/(1+$R$29)^D$47</f>
        <v>0.824176172053998</v>
      </c>
      <c r="E763" s="57" t="n">
        <f aca="false">(E739/$B$739)/(1+$R$29)^E$47</f>
        <v>0.74286624699526</v>
      </c>
      <c r="F763" s="57" t="n">
        <f aca="false">(F739/$B$739)/(1+$R$29)^F$47</f>
        <v>0.669578033965129</v>
      </c>
      <c r="G763" s="57" t="n">
        <f aca="false">(G739/$B$739)/(1+$R$29)^G$47</f>
        <v>0.603520142935594</v>
      </c>
      <c r="H763" s="57" t="n">
        <f aca="false">(H739/$B$739)/(1+$R$29)^H$47</f>
        <v>0.54397925925385</v>
      </c>
      <c r="I763" s="57" t="n">
        <f aca="false">(I739/$B$739)/(1+$R$29)^I$47</f>
        <v>0.490312441038023</v>
      </c>
      <c r="J763" s="57" t="n">
        <f aca="false">(J739/$B$739)/(1+$R$29)^J$47</f>
        <v>0.441940176481026</v>
      </c>
      <c r="K763" s="57" t="n">
        <f aca="false">(K739/$B$739)/(1+$R$29)^K$47</f>
        <v>0.398340126093057</v>
      </c>
      <c r="L763" s="57" t="n">
        <f aca="false">(L739/$B$739)/(1+$R$29)^L$47</f>
        <v>0.359041482309416</v>
      </c>
    </row>
    <row r="764" customFormat="false" ht="15" hidden="true" customHeight="false" outlineLevel="1" collapsed="false">
      <c r="A764" s="9" t="s">
        <v>427</v>
      </c>
      <c r="B764" s="58" t="n">
        <f aca="false">B759*B763</f>
        <v>-961.151880133756</v>
      </c>
      <c r="C764" s="58" t="n">
        <f aca="false">C759*C763</f>
        <v>-364.354714721418</v>
      </c>
      <c r="D764" s="58" t="n">
        <f aca="false">D759*D763</f>
        <v>374.946076366978</v>
      </c>
      <c r="E764" s="58" t="n">
        <f aca="false">E759*E763</f>
        <v>240.532610822483</v>
      </c>
      <c r="F764" s="58" t="n">
        <f aca="false">F759*F763</f>
        <v>241.283256637984</v>
      </c>
      <c r="G764" s="58" t="n">
        <f aca="false">G759*G763</f>
        <v>196.746207323833</v>
      </c>
      <c r="H764" s="58" t="n">
        <f aca="false">H759*H763</f>
        <v>165.6264357627</v>
      </c>
      <c r="I764" s="58" t="n">
        <f aca="false">I759*I763</f>
        <v>179.015242766034</v>
      </c>
      <c r="J764" s="58" t="n">
        <f aca="false">J759*J763</f>
        <v>156.993545013991</v>
      </c>
      <c r="K764" s="58" t="n">
        <f aca="false">K759*K763</f>
        <v>140.975427605178</v>
      </c>
      <c r="L764" s="58" t="n">
        <f aca="false">L759*L763</f>
        <v>209.430290733257</v>
      </c>
    </row>
    <row r="765" customFormat="false" ht="15" hidden="true" customHeight="false" outlineLevel="1" collapsed="false">
      <c r="A765" s="9" t="s">
        <v>428</v>
      </c>
      <c r="B765" s="58" t="n">
        <f aca="false">B764</f>
        <v>-961.151880133756</v>
      </c>
      <c r="C765" s="58" t="n">
        <f aca="false">B765+C764</f>
        <v>-1325.50659485517</v>
      </c>
      <c r="D765" s="58" t="n">
        <f aca="false">C765+D764</f>
        <v>-950.560518488196</v>
      </c>
      <c r="E765" s="58" t="n">
        <f aca="false">D765+E764</f>
        <v>-710.027907665713</v>
      </c>
      <c r="F765" s="58" t="n">
        <f aca="false">E765+F764</f>
        <v>-468.744651027729</v>
      </c>
      <c r="G765" s="58" t="n">
        <f aca="false">F765+G764</f>
        <v>-271.998443703896</v>
      </c>
      <c r="H765" s="58" t="n">
        <f aca="false">G765+H764</f>
        <v>-106.372007941197</v>
      </c>
      <c r="I765" s="58" t="n">
        <f aca="false">H765+I764</f>
        <v>72.6432348248367</v>
      </c>
      <c r="J765" s="58" t="n">
        <f aca="false">I765+J764</f>
        <v>229.636779838828</v>
      </c>
      <c r="K765" s="58" t="n">
        <f aca="false">J765+K764</f>
        <v>370.612207444006</v>
      </c>
      <c r="L765" s="58" t="n">
        <f aca="false">K765+L764</f>
        <v>580.042498177263</v>
      </c>
    </row>
    <row r="766" customFormat="false" ht="15" hidden="true" customHeight="false" outlineLevel="1" collapsed="false">
      <c r="A766" s="9" t="s">
        <v>429</v>
      </c>
      <c r="B766" s="60" t="n">
        <v>0</v>
      </c>
      <c r="C766" s="60" t="n">
        <f aca="false">IF(AND(B765&lt;0,C765&gt;=0),B$47+(-B765)/C764,0)</f>
        <v>0</v>
      </c>
      <c r="D766" s="60" t="n">
        <f aca="false">IF(AND(C765&lt;0,D765&gt;=0),C$47+(-C765)/D764,0)</f>
        <v>0</v>
      </c>
      <c r="E766" s="60" t="n">
        <f aca="false">IF(AND(D765&lt;0,E765&gt;=0),D$47+(-D765)/E764,0)</f>
        <v>0</v>
      </c>
      <c r="F766" s="60" t="n">
        <f aca="false">IF(AND(E765&lt;0,F765&gt;=0),E$47+(-E765)/F764,0)</f>
        <v>0</v>
      </c>
      <c r="G766" s="60" t="n">
        <f aca="false">IF(AND(F765&lt;0,G765&gt;=0),F$47+(-F765)/G764,0)</f>
        <v>0</v>
      </c>
      <c r="H766" s="60" t="n">
        <f aca="false">IF(AND(G765&lt;0,H765&gt;=0),G$47+(-G765)/H764,0)</f>
        <v>0</v>
      </c>
      <c r="I766" s="60" t="n">
        <f aca="false">IF(AND(H765&lt;0,I765&gt;=0),H$47+(-H765)/I764,0)</f>
        <v>6.59420642788626</v>
      </c>
      <c r="J766" s="60" t="n">
        <f aca="false">IF(AND(I765&lt;0,J765&gt;=0),I$47+(-I765)/J764,0)</f>
        <v>0</v>
      </c>
      <c r="K766" s="60" t="n">
        <f aca="false">IF(AND(J765&lt;0,K765&gt;=0),J$47+(-J765)/K764,0)</f>
        <v>0</v>
      </c>
      <c r="L766" s="60" t="n">
        <f aca="false">IF(AND(K765&lt;0,L765&gt;=0),K$47+(-K765)/L764,0)</f>
        <v>0</v>
      </c>
    </row>
    <row r="767" customFormat="false" ht="15" hidden="true" customHeight="false" outlineLevel="1" collapsed="false">
      <c r="A767" s="9" t="s">
        <v>430</v>
      </c>
      <c r="B767" s="58" t="n">
        <f aca="false">IF(B$47&lt;0,0,(Quesería!$B$44*$B$742*$B$739)*(1-MAX(0,MIN(B$47-0-Quesería!$B$47,(Quesería!$B$46-Quesería!$B$47)))/(Quesería!$B$46-Quesería!$B$47))*IF(B$47&gt;=2,1-Quesería!$B$48,1))+IF(B$47&lt;1,0,(Quesería!$B$44*$C$742*$C$739)*(1-MAX(0,MIN(B$47-1-Quesería!$B$47,(Quesería!$B$46-Quesería!$B$47)))/(Quesería!$B$46-Quesería!$B$47))*IF(B$47&gt;=2,1-Quesería!$B$48,1))</f>
        <v>641.321364968425</v>
      </c>
      <c r="C767" s="58" t="n">
        <f aca="false">IF(C$47&lt;0,0,(Quesería!$B$44*$B$742*$B$739)*(1-MAX(0,MIN(C$47-0-Quesería!$B$47,(Quesería!$B$46-Quesería!$B$47)))/(Quesería!$B$46-Quesería!$B$47))*IF(C$47&gt;=2,1-Quesería!$B$48,1))+IF(C$47&lt;1,0,(Quesería!$B$44*$C$742*$C$739)*(1-MAX(0,MIN(C$47-1-Quesería!$B$47,(Quesería!$B$46-Quesería!$B$47)))/(Quesería!$B$46-Quesería!$B$47))*IF(C$47&gt;=2,1-Quesería!$B$48,1))</f>
        <v>1117.69081125409</v>
      </c>
      <c r="D767" s="58" t="n">
        <f aca="false">IF(D$47&lt;0,0,(Quesería!$B$44*$B$742*$B$739)*(1-MAX(0,MIN(D$47-0-Quesería!$B$47,(Quesería!$B$46-Quesería!$B$47)))/(Quesería!$B$46-Quesería!$B$47))*IF(D$47&gt;=2,1-Quesería!$B$48,1))+IF(D$47&lt;1,0,(Quesería!$B$44*$C$742*$C$739)*(1-MAX(0,MIN(D$47-1-Quesería!$B$47,(Quesería!$B$46-Quesería!$B$47)))/(Quesería!$B$46-Quesería!$B$47))*IF(D$47&gt;=2,1-Quesería!$B$48,1))</f>
        <v>1010.80391709269</v>
      </c>
      <c r="E767" s="58" t="n">
        <f aca="false">IF(E$47&lt;0,0,(Quesería!$B$44*$B$742*$B$739)*(1-MAX(0,MIN(E$47-0-Quesería!$B$47,(Quesería!$B$46-Quesería!$B$47)))/(Quesería!$B$46-Quesería!$B$47))*IF(E$47&gt;=2,1-Quesería!$B$48,1))+IF(E$47&lt;1,0,(Quesería!$B$44*$C$742*$C$739)*(1-MAX(0,MIN(E$47-1-Quesería!$B$47,(Quesería!$B$46-Quesería!$B$47)))/(Quesería!$B$46-Quesería!$B$47))*IF(E$47&gt;=2,1-Quesería!$B$48,1))</f>
        <v>824.522115217005</v>
      </c>
      <c r="F767" s="58" t="n">
        <f aca="false">IF(F$47&lt;0,0,(Quesería!$B$44*$B$742*$B$739)*(1-MAX(0,MIN(F$47-0-Quesería!$B$47,(Quesería!$B$46-Quesería!$B$47)))/(Quesería!$B$46-Quesería!$B$47))*IF(F$47&gt;=2,1-Quesería!$B$48,1))+IF(F$47&lt;1,0,(Quesería!$B$44*$C$742*$C$739)*(1-MAX(0,MIN(F$47-1-Quesería!$B$47,(Quesería!$B$46-Quesería!$B$47)))/(Quesería!$B$46-Quesería!$B$47))*IF(F$47&gt;=2,1-Quesería!$B$48,1))</f>
        <v>638.240313341323</v>
      </c>
      <c r="G767" s="58" t="n">
        <f aca="false">IF(G$47&lt;0,0,(Quesería!$B$44*$B$742*$B$739)*(1-MAX(0,MIN(G$47-0-Quesería!$B$47,(Quesería!$B$46-Quesería!$B$47)))/(Quesería!$B$46-Quesería!$B$47))*IF(G$47&gt;=2,1-Quesería!$B$48,1))+IF(G$47&lt;1,0,(Quesería!$B$44*$C$742*$C$739)*(1-MAX(0,MIN(G$47-1-Quesería!$B$47,(Quesería!$B$46-Quesería!$B$47)))/(Quesería!$B$46-Quesería!$B$47))*IF(G$47&gt;=2,1-Quesería!$B$48,1))</f>
        <v>451.958511465641</v>
      </c>
      <c r="H767" s="58" t="n">
        <f aca="false">IF(H$47&lt;0,0,(Quesería!$B$44*$B$742*$B$739)*(1-MAX(0,MIN(H$47-0-Quesería!$B$47,(Quesería!$B$46-Quesería!$B$47)))/(Quesería!$B$46-Quesería!$B$47))*IF(H$47&gt;=2,1-Quesería!$B$48,1))+IF(H$47&lt;1,0,(Quesería!$B$44*$C$742*$C$739)*(1-MAX(0,MIN(H$47-1-Quesería!$B$47,(Quesería!$B$46-Quesería!$B$47)))/(Quesería!$B$46-Quesería!$B$47))*IF(H$47&gt;=2,1-Quesería!$B$48,1))</f>
        <v>265.67670958996</v>
      </c>
      <c r="I767" s="58" t="n">
        <f aca="false">IF(I$47&lt;0,0,(Quesería!$B$44*$B$742*$B$739)*(1-MAX(0,MIN(I$47-0-Quesería!$B$47,(Quesería!$B$46-Quesería!$B$47)))/(Quesería!$B$46-Quesería!$B$47))*IF(I$47&gt;=2,1-Quesería!$B$48,1))+IF(I$47&lt;1,0,(Quesería!$B$44*$C$742*$C$739)*(1-MAX(0,MIN(I$47-1-Quesería!$B$47,(Quesería!$B$46-Quesería!$B$47)))/(Quesería!$B$46-Quesería!$B$47))*IF(I$47&gt;=2,1-Quesería!$B$48,1))</f>
        <v>79.3949077142776</v>
      </c>
      <c r="J767" s="58" t="n">
        <f aca="false">IF(J$47&lt;0,0,(Quesería!$B$44*$B$742*$B$739)*(1-MAX(0,MIN(J$47-0-Quesería!$B$47,(Quesería!$B$46-Quesería!$B$47)))/(Quesería!$B$46-Quesería!$B$47))*IF(J$47&gt;=2,1-Quesería!$B$48,1))+IF(J$47&lt;1,0,(Quesería!$B$44*$C$742*$C$739)*(1-MAX(0,MIN(J$47-1-Quesería!$B$47,(Quesería!$B$46-Quesería!$B$47)))/(Quesería!$B$46-Quesería!$B$47))*IF(J$47&gt;=2,1-Quesería!$B$48,1))</f>
        <v>0</v>
      </c>
      <c r="K767" s="58" t="n">
        <f aca="false">IF(K$47&lt;0,0,(Quesería!$B$44*$B$742*$B$739)*(1-MAX(0,MIN(K$47-0-Quesería!$B$47,(Quesería!$B$46-Quesería!$B$47)))/(Quesería!$B$46-Quesería!$B$47))*IF(K$47&gt;=2,1-Quesería!$B$48,1))+IF(K$47&lt;1,0,(Quesería!$B$44*$C$742*$C$739)*(1-MAX(0,MIN(K$47-1-Quesería!$B$47,(Quesería!$B$46-Quesería!$B$47)))/(Quesería!$B$46-Quesería!$B$47))*IF(K$47&gt;=2,1-Quesería!$B$48,1))</f>
        <v>0</v>
      </c>
      <c r="L767" s="58" t="n">
        <f aca="false">IF(L$47&lt;0,0,(Quesería!$B$44*$B$742*$B$739)*(1-MAX(0,MIN(L$47-0-Quesería!$B$47,(Quesería!$B$46-Quesería!$B$47)))/(Quesería!$B$46-Quesería!$B$47))*IF(L$47&gt;=2,1-Quesería!$B$48,1))+IF(L$47&lt;1,0,(Quesería!$B$44*$C$742*$C$739)*(1-MAX(0,MIN(L$47-1-Quesería!$B$47,(Quesería!$B$46-Quesería!$B$47)))/(Quesería!$B$46-Quesería!$B$47))*IF(L$47&gt;=2,1-Quesería!$B$48,1))</f>
        <v>0</v>
      </c>
    </row>
    <row r="768" customFormat="false" ht="15" hidden="true" customHeight="false" outlineLevel="1" collapsed="false">
      <c r="A768" s="6" t="s">
        <v>431</v>
      </c>
      <c r="B768" s="29" t="n">
        <f aca="false">Quesería!$B$44*B742</f>
        <v>605.02015563059</v>
      </c>
      <c r="C768" s="29" t="n">
        <f aca="false">Quesería!$B$44*C742</f>
        <v>428.004893338424</v>
      </c>
      <c r="D768" s="29" t="n">
        <f aca="false">Quesería!$B$44*D742</f>
        <v>0</v>
      </c>
      <c r="E768" s="29" t="n">
        <f aca="false">Quesería!$B$44*E742</f>
        <v>0</v>
      </c>
      <c r="F768" s="29" t="n">
        <f aca="false">Quesería!$B$44*F742</f>
        <v>0</v>
      </c>
      <c r="G768" s="29" t="n">
        <f aca="false">Quesería!$B$44*G742</f>
        <v>0</v>
      </c>
      <c r="H768" s="29" t="n">
        <f aca="false">Quesería!$B$44*H742</f>
        <v>0</v>
      </c>
      <c r="I768" s="29" t="n">
        <f aca="false">Quesería!$B$44*I742</f>
        <v>0</v>
      </c>
      <c r="J768" s="29" t="n">
        <f aca="false">Quesería!$B$44*J742</f>
        <v>0</v>
      </c>
      <c r="K768" s="29" t="n">
        <f aca="false">Quesería!$B$44*K742</f>
        <v>0</v>
      </c>
      <c r="L768" s="29" t="n">
        <f aca="false">Quesería!$B$44*L742</f>
        <v>0</v>
      </c>
    </row>
    <row r="769" customFormat="false" ht="15" hidden="true" customHeight="false" outlineLevel="1" collapsed="false">
      <c r="A769" s="6" t="s">
        <v>432</v>
      </c>
      <c r="B769" s="29" t="n">
        <f aca="false">(IF(AND(B$47&gt;0,B$47&lt;=0+Quesería!$B$46),($R$14+$R$28)*(Quesería!$B$44*$B$742*$B$739)*(1-MAX(0,MIN((B$47-1)-0-Quesería!$B$47,(Quesería!$B$46-Quesería!$B$47)))/(Quesería!$B$46-Quesería!$B$47))*IF(B$47&gt;2,1-Quesería!$B$48,1),0)+IF(AND(B$47&gt;1,B$47&lt;=1+Quesería!$B$46),($R$14+$R$28)*(Quesería!$B$44*$C$742*$C$739)*(1-MAX(0,MIN((B$47-1)-1-Quesería!$B$47,(Quesería!$B$46-Quesería!$B$47)))/(Quesería!$B$46-Quesería!$B$47))*IF(B$47&gt;2,1-Quesería!$B$48,1),0))*B741</f>
        <v>0</v>
      </c>
      <c r="C769" s="29" t="n">
        <f aca="false">(IF(AND(C$47&gt;0,C$47&lt;=0+Quesería!$B$46),($R$14+$R$28)*(Quesería!$B$44*$B$742*$B$739)*(1-MAX(0,MIN((C$47-1)-0-Quesería!$B$47,(Quesería!$B$46-Quesería!$B$47)))/(Quesería!$B$46-Quesería!$B$47))*IF(C$47&gt;2,1-Quesería!$B$48,1),0)+IF(AND(C$47&gt;1,C$47&lt;=1+Quesería!$B$46),($R$14+$R$28)*(Quesería!$B$44*$C$742*$C$739)*(1-MAX(0,MIN((C$47-1)-1-Quesería!$B$47,(Quesería!$B$46-Quesería!$B$47)))/(Quesería!$B$46-Quesería!$B$47))*IF(C$47&gt;2,1-Quesería!$B$48,1),0))*C741</f>
        <v>90.4649185085739</v>
      </c>
      <c r="D769" s="29" t="n">
        <f aca="false">(IF(AND(D$47&gt;0,D$47&lt;=0+Quesería!$B$46),($R$14+$R$28)*(Quesería!$B$44*$B$742*$B$739)*(1-MAX(0,MIN((D$47-1)-0-Quesería!$B$47,(Quesería!$B$46-Quesería!$B$47)))/(Quesería!$B$46-Quesería!$B$47))*IF(D$47&gt;2,1-Quesería!$B$48,1),0)+IF(AND(D$47&gt;1,D$47&lt;=1+Quesería!$B$46),($R$14+$R$28)*(Quesería!$B$44*$C$742*$C$739)*(1-MAX(0,MIN((D$47-1)-1-Quesería!$B$47,(Quesería!$B$46-Quesería!$B$47)))/(Quesería!$B$46-Quesería!$B$47))*IF(D$47&gt;2,1-Quesería!$B$48,1),0))*D741</f>
        <v>150.872427524121</v>
      </c>
      <c r="E769" s="29" t="n">
        <f aca="false">(IF(AND(E$47&gt;0,E$47&lt;=0+Quesería!$B$46),($R$14+$R$28)*(Quesería!$B$44*$B$742*$B$739)*(1-MAX(0,MIN((E$47-1)-0-Quesería!$B$47,(Quesería!$B$46-Quesería!$B$47)))/(Quesería!$B$46-Quesería!$B$47))*IF(E$47&gt;2,1-Quesería!$B$48,1),0)+IF(AND(E$47&gt;1,E$47&lt;=1+Quesería!$B$46),($R$14+$R$28)*(Quesería!$B$44*$C$742*$C$739)*(1-MAX(0,MIN((E$47-1)-1-Quesería!$B$47,(Quesería!$B$46-Quesería!$B$47)))/(Quesería!$B$46-Quesería!$B$47))*IF(E$47&gt;2,1-Quesería!$B$48,1),0))*E741</f>
        <v>131.196356592391</v>
      </c>
      <c r="F769" s="29" t="n">
        <f aca="false">(IF(AND(F$47&gt;0,F$47&lt;=0+Quesería!$B$46),($R$14+$R$28)*(Quesería!$B$44*$B$742*$B$739)*(1-MAX(0,MIN((F$47-1)-0-Quesería!$B$47,(Quesería!$B$46-Quesería!$B$47)))/(Quesería!$B$46-Quesería!$B$47))*IF(F$47&gt;2,1-Quesería!$B$48,1),0)+IF(AND(F$47&gt;1,F$47&lt;=1+Quesería!$B$46),($R$14+$R$28)*(Quesería!$B$44*$C$742*$C$739)*(1-MAX(0,MIN((F$47-1)-1-Quesería!$B$47,(Quesería!$B$46-Quesería!$B$47)))/(Quesería!$B$46-Quesería!$B$47))*IF(F$47&gt;2,1-Quesería!$B$48,1),0))*F741</f>
        <v>102.902002837217</v>
      </c>
      <c r="G769" s="29" t="n">
        <f aca="false">(IF(AND(G$47&gt;0,G$47&lt;=0+Quesería!$B$46),($R$14+$R$28)*(Quesería!$B$44*$B$742*$B$739)*(1-MAX(0,MIN((G$47-1)-0-Quesería!$B$47,(Quesería!$B$46-Quesería!$B$47)))/(Quesería!$B$46-Quesería!$B$47))*IF(G$47&gt;2,1-Quesería!$B$48,1),0)+IF(AND(G$47&gt;1,G$47&lt;=1+Quesería!$B$46),($R$14+$R$28)*(Quesería!$B$44*$C$742*$C$739)*(1-MAX(0,MIN((G$47-1)-1-Quesería!$B$47,(Quesería!$B$46-Quesería!$B$47)))/(Quesería!$B$46-Quesería!$B$47))*IF(G$47&gt;2,1-Quesería!$B$48,1),0))*G741</f>
        <v>76.5900603818594</v>
      </c>
      <c r="H769" s="29" t="n">
        <f aca="false">(IF(AND(H$47&gt;0,H$47&lt;=0+Quesería!$B$46),($R$14+$R$28)*(Quesería!$B$44*$B$742*$B$739)*(1-MAX(0,MIN((H$47-1)-0-Quesería!$B$47,(Quesería!$B$46-Quesería!$B$47)))/(Quesería!$B$46-Quesería!$B$47))*IF(H$47&gt;2,1-Quesería!$B$48,1),0)+IF(AND(H$47&gt;1,H$47&lt;=1+Quesería!$B$46),($R$14+$R$28)*(Quesería!$B$44*$C$742*$C$739)*(1-MAX(0,MIN((H$47-1)-1-Quesería!$B$47,(Quesería!$B$46-Quesería!$B$47)))/(Quesería!$B$46-Quesería!$B$47))*IF(H$47&gt;2,1-Quesería!$B$48,1),0))*H741</f>
        <v>52.1498916023031</v>
      </c>
      <c r="I769" s="29" t="n">
        <f aca="false">(IF(AND(I$47&gt;0,I$47&lt;=0+Quesería!$B$46),($R$14+$R$28)*(Quesería!$B$44*$B$742*$B$739)*(1-MAX(0,MIN((I$47-1)-0-Quesería!$B$47,(Quesería!$B$46-Quesería!$B$47)))/(Quesería!$B$46-Quesería!$B$47))*IF(I$47&gt;2,1-Quesería!$B$48,1),0)+IF(AND(I$47&gt;1,I$47&lt;=1+Quesería!$B$46),($R$14+$R$28)*(Quesería!$B$44*$C$742*$C$739)*(1-MAX(0,MIN((I$47-1)-1-Quesería!$B$47,(Quesería!$B$46-Quesería!$B$47)))/(Quesería!$B$46-Quesería!$B$47))*IF(I$47&gt;2,1-Quesería!$B$48,1),0))*I741</f>
        <v>29.4764368998993</v>
      </c>
      <c r="J769" s="29" t="n">
        <f aca="false">(IF(AND(J$47&gt;0,J$47&lt;=0+Quesería!$B$46),($R$14+$R$28)*(Quesería!$B$44*$B$742*$B$739)*(1-MAX(0,MIN((J$47-1)-0-Quesería!$B$47,(Quesería!$B$46-Quesería!$B$47)))/(Quesería!$B$46-Quesería!$B$47))*IF(J$47&gt;2,1-Quesería!$B$48,1),0)+IF(AND(J$47&gt;1,J$47&lt;=1+Quesería!$B$46),($R$14+$R$28)*(Quesería!$B$44*$C$742*$C$739)*(1-MAX(0,MIN((J$47-1)-1-Quesería!$B$47,(Quesería!$B$46-Quesería!$B$47)))/(Quesería!$B$46-Quesería!$B$47))*IF(J$47&gt;2,1-Quesería!$B$48,1),0))*J741</f>
        <v>8.46994928761775</v>
      </c>
      <c r="K769" s="29" t="n">
        <f aca="false">(IF(AND(K$47&gt;0,K$47&lt;=0+Quesería!$B$46),($R$14+$R$28)*(Quesería!$B$44*$B$742*$B$739)*(1-MAX(0,MIN((K$47-1)-0-Quesería!$B$47,(Quesería!$B$46-Quesería!$B$47)))/(Quesería!$B$46-Quesería!$B$47))*IF(K$47&gt;2,1-Quesería!$B$48,1),0)+IF(AND(K$47&gt;1,K$47&lt;=1+Quesería!$B$46),($R$14+$R$28)*(Quesería!$B$44*$C$742*$C$739)*(1-MAX(0,MIN((K$47-1)-1-Quesería!$B$47,(Quesería!$B$46-Quesería!$B$47)))/(Quesería!$B$46-Quesería!$B$47))*IF(K$47&gt;2,1-Quesería!$B$48,1),0))*K741</f>
        <v>0</v>
      </c>
      <c r="L769" s="29" t="n">
        <f aca="false">(IF(AND(L$47&gt;0,L$47&lt;=0+Quesería!$B$46),($R$14+$R$28)*(Quesería!$B$44*$B$742*$B$739)*(1-MAX(0,MIN((L$47-1)-0-Quesería!$B$47,(Quesería!$B$46-Quesería!$B$47)))/(Quesería!$B$46-Quesería!$B$47))*IF(L$47&gt;2,1-Quesería!$B$48,1),0)+IF(AND(L$47&gt;1,L$47&lt;=1+Quesería!$B$46),($R$14+$R$28)*(Quesería!$B$44*$C$742*$C$739)*(1-MAX(0,MIN((L$47-1)-1-Quesería!$B$47,(Quesería!$B$46-Quesería!$B$47)))/(Quesería!$B$46-Quesería!$B$47))*IF(L$47&gt;2,1-Quesería!$B$48,1),0))*L741</f>
        <v>0</v>
      </c>
    </row>
    <row r="770" customFormat="false" ht="15" hidden="true" customHeight="false" outlineLevel="1" collapsed="false">
      <c r="A770" s="6" t="s">
        <v>433</v>
      </c>
      <c r="B770" s="29" t="n">
        <f aca="false">((IF(AND(B$47&gt;0+Quesería!$B$47,B$47&lt;=0+Quesería!$B$46),(Quesería!$B$44*$B$742*$B$739)/(Quesería!$B$46-Quesería!$B$47),0)*IF(B$47&gt;2,1-Quesería!$B$48,1)+IF(B$47=2,Quesería!$B$48*(Quesería!$B$44*$B$742*$B$739)*(1-MAX(0,MIN(2-0-Quesería!$B$47,(Quesería!$B$46-Quesería!$B$47)))/(Quesería!$B$46-Quesería!$B$47)),0))+(IF(AND(B$47&gt;1+Quesería!$B$47,B$47&lt;=1+Quesería!$B$46),(Quesería!$B$44*$C$742*$C$739)/(Quesería!$B$46-Quesería!$B$47),0)*IF(B$47&gt;2,1-Quesería!$B$48,1)+IF(B$47=2,Quesería!$B$48*(Quesería!$B$44*$C$742*$C$739)*(1-MAX(0,MIN(2-1-Quesería!$B$47,(Quesería!$B$46-Quesería!$B$47)))/(Quesería!$B$46-Quesería!$B$47)),0)))*B741</f>
        <v>0</v>
      </c>
      <c r="C770" s="29" t="n">
        <f aca="false">((IF(AND(C$47&gt;0+Quesería!$B$47,C$47&lt;=0+Quesería!$B$46),(Quesería!$B$44*$B$742*$B$739)/(Quesería!$B$46-Quesería!$B$47),0)*IF(C$47&gt;2,1-Quesería!$B$48,1)+IF(C$47=2,Quesería!$B$48*(Quesería!$B$44*$B$742*$B$739)*(1-MAX(0,MIN(2-0-Quesería!$B$47,(Quesería!$B$46-Quesería!$B$47)))/(Quesería!$B$46-Quesería!$B$47)),0))+(IF(AND(C$47&gt;1+Quesería!$B$47,C$47&lt;=1+Quesería!$B$46),(Quesería!$B$44*$C$742*$C$739)/(Quesería!$B$46-Quesería!$B$47),0)*IF(C$47&gt;2,1-Quesería!$B$48,1)+IF(C$47=2,Quesería!$B$48*(Quesería!$B$44*$C$742*$C$739)*(1-MAX(0,MIN(2-1-Quesería!$B$47,(Quesería!$B$46-Quesería!$B$47)))/(Quesería!$B$46-Quesería!$B$47)),0)))*C741</f>
        <v>0</v>
      </c>
      <c r="D770" s="29" t="n">
        <f aca="false">((IF(AND(D$47&gt;0+Quesería!$B$47,D$47&lt;=0+Quesería!$B$46),(Quesería!$B$44*$B$742*$B$739)/(Quesería!$B$46-Quesería!$B$47),0)*IF(D$47&gt;2,1-Quesería!$B$48,1)+IF(D$47=2,Quesería!$B$48*(Quesería!$B$44*$B$742*$B$739)*(1-MAX(0,MIN(2-0-Quesería!$B$47,(Quesería!$B$46-Quesería!$B$47)))/(Quesería!$B$46-Quesería!$B$47)),0))+(IF(AND(D$47&gt;1+Quesería!$B$47,D$47&lt;=1+Quesería!$B$46),(Quesería!$B$44*$C$742*$C$739)/(Quesería!$B$46-Quesería!$B$47),0)*IF(D$47&gt;2,1-Quesería!$B$48,1)+IF(D$47=2,Quesería!$B$48*(Quesería!$B$44*$C$742*$C$739)*(1-MAX(0,MIN(2-1-Quesería!$B$47,(Quesería!$B$46-Quesería!$B$47)))/(Quesería!$B$46-Quesería!$B$47)),0)))*D741</f>
        <v>91.8994692231472</v>
      </c>
      <c r="E770" s="29" t="n">
        <f aca="false">((IF(AND(E$47&gt;0+Quesería!$B$47,E$47&lt;=0+Quesería!$B$46),(Quesería!$B$44*$B$742*$B$739)/(Quesería!$B$46-Quesería!$B$47),0)*IF(E$47&gt;2,1-Quesería!$B$48,1)+IF(E$47=2,Quesería!$B$48*(Quesería!$B$44*$B$742*$B$739)*(1-MAX(0,MIN(2-0-Quesería!$B$47,(Quesería!$B$46-Quesería!$B$47)))/(Quesería!$B$46-Quesería!$B$47)),0))+(IF(AND(E$47&gt;1+Quesería!$B$47,E$47&lt;=1+Quesería!$B$46),(Quesería!$B$44*$C$742*$C$739)/(Quesería!$B$46-Quesería!$B$47),0)*IF(E$47&gt;2,1-Quesería!$B$48,1)+IF(E$47=2,Quesería!$B$48*(Quesería!$B$44*$C$742*$C$739)*(1-MAX(0,MIN(2-1-Quesería!$B$47,(Quesería!$B$46-Quesería!$B$47)))/(Quesería!$B$46-Quesería!$B$47)),0)))*E741</f>
        <v>154.001742940676</v>
      </c>
      <c r="F770" s="29" t="n">
        <f aca="false">((IF(AND(F$47&gt;0+Quesería!$B$47,F$47&lt;=0+Quesería!$B$46),(Quesería!$B$44*$B$742*$B$739)/(Quesería!$B$46-Quesería!$B$47),0)*IF(F$47&gt;2,1-Quesería!$B$48,1)+IF(F$47=2,Quesería!$B$48*(Quesería!$B$44*$B$742*$B$739)*(1-MAX(0,MIN(2-0-Quesería!$B$47,(Quesería!$B$46-Quesería!$B$47)))/(Quesería!$B$46-Quesería!$B$47)),0))+(IF(AND(F$47&gt;1+Quesería!$B$47,F$47&lt;=1+Quesería!$B$46),(Quesería!$B$44*$C$742*$C$739)/(Quesería!$B$46-Quesería!$B$47),0)*IF(F$47&gt;2,1-Quesería!$B$48,1)+IF(F$47=2,Quesería!$B$48*(Quesería!$B$44*$C$742*$C$739)*(1-MAX(0,MIN(2-1-Quesería!$B$47,(Quesería!$B$46-Quesería!$B$47)))/(Quesería!$B$46-Quesería!$B$47)),0)))*F741</f>
        <v>148.078598981419</v>
      </c>
      <c r="G770" s="29" t="n">
        <f aca="false">((IF(AND(G$47&gt;0+Quesería!$B$47,G$47&lt;=0+Quesería!$B$46),(Quesería!$B$44*$B$742*$B$739)/(Quesería!$B$46-Quesería!$B$47),0)*IF(G$47&gt;2,1-Quesería!$B$48,1)+IF(G$47=2,Quesería!$B$48*(Quesería!$B$44*$B$742*$B$739)*(1-MAX(0,MIN(2-0-Quesería!$B$47,(Quesería!$B$46-Quesería!$B$47)))/(Quesería!$B$46-Quesería!$B$47)),0))+(IF(AND(G$47&gt;1+Quesería!$B$47,G$47&lt;=1+Quesería!$B$46),(Quesería!$B$44*$C$742*$C$739)/(Quesería!$B$46-Quesería!$B$47),0)*IF(G$47&gt;2,1-Quesería!$B$48,1)+IF(G$47=2,Quesería!$B$48*(Quesería!$B$44*$C$742*$C$739)*(1-MAX(0,MIN(2-1-Quesería!$B$47,(Quesería!$B$46-Quesería!$B$47)))/(Quesería!$B$46-Quesería!$B$47)),0)))*G741</f>
        <v>142.383268251364</v>
      </c>
      <c r="H770" s="29" t="n">
        <f aca="false">((IF(AND(H$47&gt;0+Quesería!$B$47,H$47&lt;=0+Quesería!$B$46),(Quesería!$B$44*$B$742*$B$739)/(Quesería!$B$46-Quesería!$B$47),0)*IF(H$47&gt;2,1-Quesería!$B$48,1)+IF(H$47=2,Quesería!$B$48*(Quesería!$B$44*$B$742*$B$739)*(1-MAX(0,MIN(2-0-Quesería!$B$47,(Quesería!$B$46-Quesería!$B$47)))/(Quesería!$B$46-Quesería!$B$47)),0))+(IF(AND(H$47&gt;1+Quesería!$B$47,H$47&lt;=1+Quesería!$B$46),(Quesería!$B$44*$C$742*$C$739)/(Quesería!$B$46-Quesería!$B$47),0)*IF(H$47&gt;2,1-Quesería!$B$48,1)+IF(H$47=2,Quesería!$B$48*(Quesería!$B$44*$C$742*$C$739)*(1-MAX(0,MIN(2-1-Quesería!$B$47,(Quesería!$B$46-Quesería!$B$47)))/(Quesería!$B$46-Quesería!$B$47)),0)))*H741</f>
        <v>136.906988703235</v>
      </c>
      <c r="I770" s="29" t="n">
        <f aca="false">((IF(AND(I$47&gt;0+Quesería!$B$47,I$47&lt;=0+Quesería!$B$46),(Quesería!$B$44*$B$742*$B$739)/(Quesería!$B$46-Quesería!$B$47),0)*IF(I$47&gt;2,1-Quesería!$B$48,1)+IF(I$47=2,Quesería!$B$48*(Quesería!$B$44*$B$742*$B$739)*(1-MAX(0,MIN(2-0-Quesería!$B$47,(Quesería!$B$46-Quesería!$B$47)))/(Quesería!$B$46-Quesería!$B$47)),0))+(IF(AND(I$47&gt;1+Quesería!$B$47,I$47&lt;=1+Quesería!$B$46),(Quesería!$B$44*$C$742*$C$739)/(Quesería!$B$46-Quesería!$B$47),0)*IF(I$47&gt;2,1-Quesería!$B$48,1)+IF(I$47=2,Quesería!$B$48*(Quesería!$B$44*$C$742*$C$739)*(1-MAX(0,MIN(2-1-Quesería!$B$47,(Quesería!$B$46-Quesería!$B$47)))/(Quesería!$B$46-Quesería!$B$47)),0)))*I741</f>
        <v>131.641335291572</v>
      </c>
      <c r="J770" s="29" t="n">
        <f aca="false">((IF(AND(J$47&gt;0+Quesería!$B$47,J$47&lt;=0+Quesería!$B$46),(Quesería!$B$44*$B$742*$B$739)/(Quesería!$B$46-Quesería!$B$47),0)*IF(J$47&gt;2,1-Quesería!$B$48,1)+IF(J$47=2,Quesería!$B$48*(Quesería!$B$44*$B$742*$B$739)*(1-MAX(0,MIN(2-0-Quesería!$B$47,(Quesería!$B$46-Quesería!$B$47)))/(Quesería!$B$46-Quesería!$B$47)),0))+(IF(AND(J$47&gt;1+Quesería!$B$47,J$47&lt;=1+Quesería!$B$46),(Quesería!$B$44*$C$742*$C$739)/(Quesería!$B$46-Quesería!$B$47),0)*IF(J$47&gt;2,1-Quesería!$B$48,1)+IF(J$47=2,Quesería!$B$48*(Quesería!$B$44*$C$742*$C$739)*(1-MAX(0,MIN(2-1-Quesería!$B$47,(Quesería!$B$46-Quesería!$B$47)))/(Quesería!$B$46-Quesería!$B$47)),0)))*J741</f>
        <v>53.9487215771831</v>
      </c>
      <c r="K770" s="29" t="n">
        <f aca="false">((IF(AND(K$47&gt;0+Quesería!$B$47,K$47&lt;=0+Quesería!$B$46),(Quesería!$B$44*$B$742*$B$739)/(Quesería!$B$46-Quesería!$B$47),0)*IF(K$47&gt;2,1-Quesería!$B$48,1)+IF(K$47=2,Quesería!$B$48*(Quesería!$B$44*$B$742*$B$739)*(1-MAX(0,MIN(2-0-Quesería!$B$47,(Quesería!$B$46-Quesería!$B$47)))/(Quesería!$B$46-Quesería!$B$47)),0))+(IF(AND(K$47&gt;1+Quesería!$B$47,K$47&lt;=1+Quesería!$B$46),(Quesería!$B$44*$C$742*$C$739)/(Quesería!$B$46-Quesería!$B$47),0)*IF(K$47&gt;2,1-Quesería!$B$48,1)+IF(K$47=2,Quesería!$B$48*(Quesería!$B$44*$C$742*$C$739)*(1-MAX(0,MIN(2-1-Quesería!$B$47,(Quesería!$B$46-Quesería!$B$47)))/(Quesería!$B$46-Quesería!$B$47)),0)))*K741</f>
        <v>0</v>
      </c>
      <c r="L770" s="29" t="n">
        <f aca="false">((IF(AND(L$47&gt;0+Quesería!$B$47,L$47&lt;=0+Quesería!$B$46),(Quesería!$B$44*$B$742*$B$739)/(Quesería!$B$46-Quesería!$B$47),0)*IF(L$47&gt;2,1-Quesería!$B$48,1)+IF(L$47=2,Quesería!$B$48*(Quesería!$B$44*$B$742*$B$739)*(1-MAX(0,MIN(2-0-Quesería!$B$47,(Quesería!$B$46-Quesería!$B$47)))/(Quesería!$B$46-Quesería!$B$47)),0))+(IF(AND(L$47&gt;1+Quesería!$B$47,L$47&lt;=1+Quesería!$B$46),(Quesería!$B$44*$C$742*$C$739)/(Quesería!$B$46-Quesería!$B$47),0)*IF(L$47&gt;2,1-Quesería!$B$48,1)+IF(L$47=2,Quesería!$B$48*(Quesería!$B$44*$C$742*$C$739)*(1-MAX(0,MIN(2-1-Quesería!$B$47,(Quesería!$B$46-Quesería!$B$47)))/(Quesería!$B$46-Quesería!$B$47)),0)))*L741</f>
        <v>0</v>
      </c>
    </row>
    <row r="771" customFormat="false" ht="15" hidden="true" customHeight="false" outlineLevel="1" collapsed="false">
      <c r="A771" s="6" t="s">
        <v>434</v>
      </c>
      <c r="B771" s="29" t="n">
        <f aca="false">$R$13*Quesería!$B$51*(1+0.19)*B767*B741+(1-$R$13)*IF(B$47=0,Quesería!$B$50,0)</f>
        <v>4</v>
      </c>
      <c r="C771" s="29" t="n">
        <f aca="false">$R$13*Quesería!$B$51*(1+0.19)*C767*C741+(1-$R$13)*IF(C$47=0,Quesería!$B$50,0)</f>
        <v>0</v>
      </c>
      <c r="D771" s="29" t="n">
        <f aca="false">$R$13*Quesería!$B$51*(1+0.19)*D767*D741+(1-$R$13)*IF(D$47=0,Quesería!$B$50,0)</f>
        <v>0</v>
      </c>
      <c r="E771" s="29" t="n">
        <f aca="false">$R$13*Quesería!$B$51*(1+0.19)*E767*E741+(1-$R$13)*IF(E$47=0,Quesería!$B$50,0)</f>
        <v>0</v>
      </c>
      <c r="F771" s="29" t="n">
        <f aca="false">$R$13*Quesería!$B$51*(1+0.19)*F767*F741+(1-$R$13)*IF(F$47=0,Quesería!$B$50,0)</f>
        <v>0</v>
      </c>
      <c r="G771" s="29" t="n">
        <f aca="false">$R$13*Quesería!$B$51*(1+0.19)*G767*G741+(1-$R$13)*IF(G$47=0,Quesería!$B$50,0)</f>
        <v>0</v>
      </c>
      <c r="H771" s="29" t="n">
        <f aca="false">$R$13*Quesería!$B$51*(1+0.19)*H767*H741+(1-$R$13)*IF(H$47=0,Quesería!$B$50,0)</f>
        <v>0</v>
      </c>
      <c r="I771" s="29" t="n">
        <f aca="false">$R$13*Quesería!$B$51*(1+0.19)*I767*I741+(1-$R$13)*IF(I$47=0,Quesería!$B$50,0)</f>
        <v>0</v>
      </c>
      <c r="J771" s="29" t="n">
        <f aca="false">$R$13*Quesería!$B$51*(1+0.19)*J767*J741+(1-$R$13)*IF(J$47=0,Quesería!$B$50,0)</f>
        <v>0</v>
      </c>
      <c r="K771" s="29" t="n">
        <f aca="false">$R$13*Quesería!$B$51*(1+0.19)*K767*K741+(1-$R$13)*IF(K$47=0,Quesería!$B$50,0)</f>
        <v>0</v>
      </c>
      <c r="L771" s="29" t="n">
        <f aca="false">$R$13*Quesería!$B$51*(1+0.19)*L767*L741+(1-$R$13)*IF(L$47=0,Quesería!$B$50,0)</f>
        <v>0</v>
      </c>
    </row>
    <row r="772" customFormat="false" ht="15" hidden="true" customHeight="false" outlineLevel="1" collapsed="false">
      <c r="A772" s="6" t="s">
        <v>435</v>
      </c>
      <c r="B772" s="29" t="n">
        <f aca="false">Quesería!$B$52*(B769+B770+B771)</f>
        <v>0.016</v>
      </c>
      <c r="C772" s="29" t="n">
        <f aca="false">Quesería!$B$52*(C769+C770+C771)</f>
        <v>0.361859674034296</v>
      </c>
      <c r="D772" s="29" t="n">
        <f aca="false">Quesería!$B$52*(D769+D770+D771)</f>
        <v>0.971087586989073</v>
      </c>
      <c r="E772" s="29" t="n">
        <f aca="false">Quesería!$B$52*(E769+E770+E771)</f>
        <v>1.14079239813227</v>
      </c>
      <c r="F772" s="29" t="n">
        <f aca="false">Quesería!$B$52*(F769+F770+F771)</f>
        <v>1.00392240727454</v>
      </c>
      <c r="G772" s="29" t="n">
        <f aca="false">Quesería!$B$52*(G769+G770+G771)</f>
        <v>0.875893314532895</v>
      </c>
      <c r="H772" s="29" t="n">
        <f aca="false">Quesería!$B$52*(H769+H770+H771)</f>
        <v>0.756227521222152</v>
      </c>
      <c r="I772" s="29" t="n">
        <f aca="false">Quesería!$B$52*(I769+I770+I771)</f>
        <v>0.644471088765885</v>
      </c>
      <c r="J772" s="29" t="n">
        <f aca="false">Quesería!$B$52*(J769+J770+J771)</f>
        <v>0.249674683459204</v>
      </c>
      <c r="K772" s="29" t="n">
        <f aca="false">Quesería!$B$52*(K769+K770+K771)</f>
        <v>0</v>
      </c>
      <c r="L772" s="29" t="n">
        <f aca="false">Quesería!$B$52*(L769+L770+L771)</f>
        <v>0</v>
      </c>
    </row>
    <row r="773" customFormat="false" ht="15" hidden="true" customHeight="false" outlineLevel="1" collapsed="false">
      <c r="A773" s="6" t="s">
        <v>436</v>
      </c>
      <c r="B773" s="29" t="n">
        <f aca="false">$R$17*(B769+B771+0.5*B772)</f>
        <v>1.4028</v>
      </c>
      <c r="C773" s="29" t="n">
        <f aca="false">$R$17*(C769+C771+0.5*C772)</f>
        <v>31.7260469209569</v>
      </c>
      <c r="D773" s="29" t="n">
        <f aca="false">$R$17*(D769+D771+0.5*D772)</f>
        <v>52.9752899611655</v>
      </c>
      <c r="E773" s="29" t="n">
        <f aca="false">$R$17*(E769+E771+0.5*E772)</f>
        <v>46.1183634770101</v>
      </c>
      <c r="F773" s="29" t="n">
        <f aca="false">$R$17*(F769+F771+0.5*F772)</f>
        <v>36.1913874142988</v>
      </c>
      <c r="G773" s="29" t="n">
        <f aca="false">$R$17*(G769+G771+0.5*G772)</f>
        <v>26.9598024636941</v>
      </c>
      <c r="H773" s="29" t="n">
        <f aca="false">$R$17*(H769+H771+0.5*H772)</f>
        <v>18.38480187702</v>
      </c>
      <c r="I773" s="29" t="n">
        <f aca="false">$R$17*(I769+I771+0.5*I772)</f>
        <v>10.4295353554988</v>
      </c>
      <c r="J773" s="29" t="n">
        <f aca="false">$R$17*(J769+J771+0.5*J772)</f>
        <v>3.00817532027157</v>
      </c>
      <c r="K773" s="29" t="n">
        <f aca="false">$R$17*(K769+K771+0.5*K772)</f>
        <v>0</v>
      </c>
      <c r="L773" s="29" t="n">
        <f aca="false">$R$17*(L769+L771+0.5*L772)</f>
        <v>0</v>
      </c>
    </row>
    <row r="774" customFormat="false" ht="15" hidden="true" customHeight="false" outlineLevel="1" collapsed="false">
      <c r="A774" s="5" t="s">
        <v>437</v>
      </c>
      <c r="B774" s="59" t="n">
        <f aca="false">B759+B768-B769-B770-B771-B772+B773</f>
        <v>-358.744924503166</v>
      </c>
      <c r="C774" s="59" t="n">
        <f aca="false">C759+C768-C769-C770-C771-C772+C773</f>
        <v>-31.4808963744655</v>
      </c>
      <c r="D774" s="59" t="n">
        <f aca="false">D759+D768-D769-D770-D771-D772+D773</f>
        <v>264.166686261262</v>
      </c>
      <c r="E774" s="59" t="n">
        <f aca="false">E759+E768-E769-E770-E771-E772+E773</f>
        <v>83.5694024995827</v>
      </c>
      <c r="F774" s="59" t="n">
        <f aca="false">F759+F768-F769-F770-F771-F772+F773</f>
        <v>144.55807603978</v>
      </c>
      <c r="G774" s="59" t="n">
        <f aca="false">G759+G768-G769-G770-G771-G772+G773</f>
        <v>133.10832827434</v>
      </c>
      <c r="H774" s="59" t="n">
        <f aca="false">H759+H768-H769-H770-H771-H772+H773</f>
        <v>133.043662319567</v>
      </c>
      <c r="I774" s="59" t="n">
        <f aca="false">I759+I768-I769-I770-I771-I772+I773</f>
        <v>213.771718932241</v>
      </c>
      <c r="J774" s="59" t="n">
        <f aca="false">J759+J768-J769-J770-J771-J772+J773</f>
        <v>295.576926032553</v>
      </c>
      <c r="K774" s="59" t="n">
        <f aca="false">K759+K768-K769-K770-K771-K772+K773</f>
        <v>353.907172214543</v>
      </c>
      <c r="L774" s="59" t="n">
        <f aca="false">L759+L768-L769-L770-L771-L772+L773</f>
        <v>583.303882844304</v>
      </c>
    </row>
    <row r="775" customFormat="false" ht="15" hidden="true" customHeight="false" outlineLevel="1" collapsed="false">
      <c r="A775" s="9" t="s">
        <v>438</v>
      </c>
      <c r="B775" s="58" t="n">
        <f aca="false">B774*B739</f>
        <v>-380.269619973356</v>
      </c>
      <c r="C775" s="58" t="n">
        <f aca="false">C774*C739</f>
        <v>-35.0382376647802</v>
      </c>
      <c r="D775" s="58" t="n">
        <f aca="false">D774*D739</f>
        <v>307.248310290179</v>
      </c>
      <c r="E775" s="58" t="n">
        <f aca="false">E774*E739</f>
        <v>101.086251246476</v>
      </c>
      <c r="F775" s="58" t="n">
        <f aca="false">F774*F739</f>
        <v>181.853009588178</v>
      </c>
      <c r="G775" s="58" t="n">
        <f aca="false">G774*G739</f>
        <v>174.147282473032</v>
      </c>
      <c r="H775" s="58" t="n">
        <f aca="false">H774*H739</f>
        <v>181.025186367591</v>
      </c>
      <c r="I775" s="58" t="n">
        <f aca="false">I774*I739</f>
        <v>302.502104711704</v>
      </c>
      <c r="J775" s="58" t="n">
        <f aca="false">J774*J739</f>
        <v>434.992750129405</v>
      </c>
      <c r="K775" s="58" t="n">
        <f aca="false">K774*K739</f>
        <v>541.669265075775</v>
      </c>
      <c r="L775" s="58" t="n">
        <f aca="false">L774*L739</f>
        <v>928.481033321263</v>
      </c>
    </row>
    <row r="776" customFormat="false" ht="15" hidden="true" customHeight="false" outlineLevel="1" collapsed="false">
      <c r="A776" s="9" t="s">
        <v>439</v>
      </c>
      <c r="B776" s="57" t="n">
        <f aca="false">(B739/$B$739)/(1+Quesería!$B$11+$R$28)^B$47</f>
        <v>1</v>
      </c>
      <c r="C776" s="57" t="n">
        <f aca="false">(C739/$B$739)/(1+Quesería!$B$11+$R$28)^C$47</f>
        <v>0.84</v>
      </c>
      <c r="D776" s="57" t="n">
        <f aca="false">(D739/$B$739)/(1+Quesería!$B$11+$R$28)^D$47</f>
        <v>0.70224</v>
      </c>
      <c r="E776" s="57" t="n">
        <f aca="false">(E739/$B$739)/(1+Quesería!$B$11+$R$28)^E$47</f>
        <v>0.58426368</v>
      </c>
      <c r="F776" s="57" t="n">
        <f aca="false">(F739/$B$739)/(1+Quesería!$B$11+$R$28)^F$47</f>
        <v>0.48610738176</v>
      </c>
      <c r="G776" s="57" t="n">
        <f aca="false">(G739/$B$739)/(1+Quesería!$B$11+$R$28)^G$47</f>
        <v>0.40444134162432</v>
      </c>
      <c r="H776" s="57" t="n">
        <f aca="false">(H739/$B$739)/(1+Quesería!$B$11+$R$28)^H$47</f>
        <v>0.336495196231434</v>
      </c>
      <c r="I776" s="57" t="n">
        <f aca="false">(I739/$B$739)/(1+Quesería!$B$11+$R$28)^I$47</f>
        <v>0.279964003264553</v>
      </c>
      <c r="J776" s="57" t="n">
        <f aca="false">(J739/$B$739)/(1+Quesería!$B$11+$R$28)^J$47</f>
        <v>0.232930050716108</v>
      </c>
      <c r="K776" s="57" t="n">
        <f aca="false">(K739/$B$739)/(1+Quesería!$B$11+$R$28)^K$47</f>
        <v>0.193797802195802</v>
      </c>
      <c r="L776" s="57" t="n">
        <f aca="false">(L739/$B$739)/(1+Quesería!$B$11+$R$28)^L$47</f>
        <v>0.161239771426907</v>
      </c>
    </row>
    <row r="777" customFormat="false" ht="15" hidden="true" customHeight="false" outlineLevel="1" collapsed="false">
      <c r="A777" s="9" t="s">
        <v>440</v>
      </c>
      <c r="B777" s="58" t="n">
        <f aca="false">B759+B742+B744+B773</f>
        <v>120.166830858099</v>
      </c>
      <c r="C777" s="58" t="n">
        <f aca="false">C759+C742+C744+C773</f>
        <v>414.919177812372</v>
      </c>
      <c r="D777" s="58" t="n">
        <f aca="false">D759+D742+D744+D773</f>
        <v>507.909670595519</v>
      </c>
      <c r="E777" s="58" t="n">
        <f aca="false">E759+E742+E744+E773</f>
        <v>369.908294430782</v>
      </c>
      <c r="F777" s="58" t="n">
        <f aca="false">F759+F742+F744+F773</f>
        <v>396.542600265689</v>
      </c>
      <c r="G777" s="58" t="n">
        <f aca="false">G759+G742+G744+G773</f>
        <v>358.175941503182</v>
      </c>
      <c r="H777" s="58" t="n">
        <f aca="false">H759+H742+H744+H773</f>
        <v>331.670709731409</v>
      </c>
      <c r="I777" s="58" t="n">
        <f aca="false">I759+I742+I744+I773</f>
        <v>375.533962212478</v>
      </c>
      <c r="J777" s="58" t="n">
        <f aca="false">J759+J742+J744+J773</f>
        <v>358.245271580813</v>
      </c>
      <c r="K777" s="58" t="n">
        <f aca="false">K759+K742+K744+K773</f>
        <v>353.907172214543</v>
      </c>
      <c r="L777" s="58" t="n">
        <f aca="false">L759+L742+L744+L773</f>
        <v>583.303882844304</v>
      </c>
    </row>
    <row r="778" customFormat="false" ht="15" hidden="true" customHeight="false" outlineLevel="1" collapsed="false">
      <c r="A778" s="5" t="s">
        <v>149</v>
      </c>
      <c r="B778" s="12" t="str">
        <f aca="false">IF(AND(B$47&gt;=1,(B769+B770+B771)&gt;0.001),B777/(B769+B770+B771),"")</f>
        <v/>
      </c>
      <c r="C778" s="12" t="n">
        <f aca="false">IF(AND(C$47&gt;=1,(C769+C770+C771)&gt;0.001),C777/(C769+C770+C771),"")</f>
        <v>4.58652021858669</v>
      </c>
      <c r="D778" s="12" t="n">
        <f aca="false">IF(AND(D$47&gt;=1,(D769+D770+D771)&gt;0.001),D777/(D769+D770+D771),"")</f>
        <v>2.09212712591798</v>
      </c>
      <c r="E778" s="12" t="n">
        <f aca="false">IF(AND(E$47&gt;=1,(E769+E770+E771)&gt;0.001),E777/(E769+E770+E771),"")</f>
        <v>1.29702229796203</v>
      </c>
      <c r="F778" s="12" t="n">
        <f aca="false">IF(AND(F$47&gt;=1,(F769+F770+F771)&gt;0.001),F777/(F769+F770+F771),"")</f>
        <v>1.5799731030697</v>
      </c>
      <c r="G778" s="12" t="n">
        <f aca="false">IF(AND(G$47&gt;=1,(G769+G770+G771)&gt;0.001),G777/(G769+G770+G771),"")</f>
        <v>1.63570579001026</v>
      </c>
      <c r="H778" s="12" t="n">
        <f aca="false">IF(AND(H$47&gt;=1,(H769+H770+H771)&gt;0.001),H777/(H769+H770+H771),"")</f>
        <v>1.75434350336994</v>
      </c>
      <c r="I778" s="12" t="n">
        <f aca="false">IF(AND(I$47&gt;=1,(I769+I770+I771)&gt;0.001),I777/(I769+I770+I771),"")</f>
        <v>2.33080408886362</v>
      </c>
      <c r="J778" s="12" t="n">
        <f aca="false">IF(AND(J$47&gt;=1,(J769+J770+J771)&gt;0.001),J777/(J769+J770+J771),"")</f>
        <v>5.73939282297078</v>
      </c>
      <c r="K778" s="12" t="str">
        <f aca="false">IF(AND(K$47&gt;=1,(K769+K770+K771)&gt;0.001),K777/(K769+K770+K771),"")</f>
        <v/>
      </c>
      <c r="L778" s="12" t="str">
        <f aca="false">IF(AND(L$47&gt;=1,(L769+L770+L771)&gt;0.001),L777/(L769+L770+L771),"")</f>
        <v/>
      </c>
    </row>
    <row r="780" customFormat="false" ht="15" hidden="false" customHeight="false" outlineLevel="0" collapsed="false">
      <c r="A780" s="43" t="s">
        <v>1254</v>
      </c>
      <c r="B780" s="44"/>
      <c r="C780" s="44"/>
      <c r="D780" s="44"/>
      <c r="E780" s="44"/>
      <c r="F780" s="44"/>
      <c r="G780" s="44"/>
      <c r="H780" s="44"/>
      <c r="I780" s="44"/>
      <c r="J780" s="44"/>
      <c r="K780" s="44"/>
      <c r="L780" s="44"/>
    </row>
    <row r="781" customFormat="false" ht="15" hidden="true" customHeight="false" outlineLevel="1" collapsed="false">
      <c r="A781" s="9" t="s">
        <v>406</v>
      </c>
      <c r="B781" s="56" t="n">
        <f aca="false">CHOOSE($S$15,Entorno!B$7,Entorno!B$8,Entorno!B$9)</f>
        <v>0.06</v>
      </c>
      <c r="C781" s="56" t="n">
        <f aca="false">CHOOSE($S$15,Entorno!C$7,Entorno!C$8,Entorno!C$9)</f>
        <v>0.05</v>
      </c>
      <c r="D781" s="56" t="n">
        <f aca="false">CHOOSE($S$15,Entorno!D$7,Entorno!D$8,Entorno!D$9)</f>
        <v>0.045</v>
      </c>
      <c r="E781" s="56" t="n">
        <f aca="false">CHOOSE($S$15,Entorno!E$7,Entorno!E$8,Entorno!E$9)</f>
        <v>0.04</v>
      </c>
      <c r="F781" s="56" t="n">
        <f aca="false">CHOOSE($S$15,Entorno!F$7,Entorno!F$8,Entorno!F$9)</f>
        <v>0.04</v>
      </c>
      <c r="G781" s="56" t="n">
        <f aca="false">CHOOSE($S$15,Entorno!G$7,Entorno!G$8,Entorno!G$9)</f>
        <v>0.04</v>
      </c>
      <c r="H781" s="56" t="n">
        <f aca="false">CHOOSE($S$15,Entorno!H$7,Entorno!H$8,Entorno!H$9)</f>
        <v>0.04</v>
      </c>
      <c r="I781" s="56" t="n">
        <f aca="false">CHOOSE($S$15,Entorno!I$7,Entorno!I$8,Entorno!I$9)</f>
        <v>0.04</v>
      </c>
      <c r="J781" s="56" t="n">
        <f aca="false">CHOOSE($S$15,Entorno!J$7,Entorno!J$8,Entorno!J$9)</f>
        <v>0.04</v>
      </c>
      <c r="K781" s="56" t="n">
        <f aca="false">CHOOSE($S$15,Entorno!K$7,Entorno!K$8,Entorno!K$9)</f>
        <v>0.04</v>
      </c>
      <c r="L781" s="56" t="n">
        <f aca="false">CHOOSE($S$15,Entorno!L$7,Entorno!L$8,Entorno!L$9)</f>
        <v>0.04</v>
      </c>
    </row>
    <row r="782" customFormat="false" ht="15" hidden="true" customHeight="false" outlineLevel="1" collapsed="false">
      <c r="A782" s="9" t="s">
        <v>407</v>
      </c>
      <c r="B782" s="57" t="n">
        <f aca="false">1+B781</f>
        <v>1.06</v>
      </c>
      <c r="C782" s="57" t="n">
        <f aca="false">B782*(1+C781)</f>
        <v>1.113</v>
      </c>
      <c r="D782" s="57" t="n">
        <f aca="false">C782*(1+D781)</f>
        <v>1.163085</v>
      </c>
      <c r="E782" s="57" t="n">
        <f aca="false">D782*(1+E781)</f>
        <v>1.2096084</v>
      </c>
      <c r="F782" s="57" t="n">
        <f aca="false">E782*(1+F781)</f>
        <v>1.257992736</v>
      </c>
      <c r="G782" s="57" t="n">
        <f aca="false">F782*(1+G781)</f>
        <v>1.30831244544</v>
      </c>
      <c r="H782" s="57" t="n">
        <f aca="false">G782*(1+H781)</f>
        <v>1.3606449432576</v>
      </c>
      <c r="I782" s="57" t="n">
        <f aca="false">H782*(1+I781)</f>
        <v>1.4150707409879</v>
      </c>
      <c r="J782" s="57" t="n">
        <f aca="false">I782*(1+J781)</f>
        <v>1.47167357062742</v>
      </c>
      <c r="K782" s="57" t="n">
        <f aca="false">J782*(1+K781)</f>
        <v>1.53054051345252</v>
      </c>
      <c r="L782" s="57" t="n">
        <f aca="false">K782*(1+L781)</f>
        <v>1.59176213399062</v>
      </c>
    </row>
    <row r="783" customFormat="false" ht="15" hidden="true" customHeight="false" outlineLevel="1" collapsed="false">
      <c r="A783" s="9" t="s">
        <v>408</v>
      </c>
      <c r="B783" s="57" t="n">
        <f aca="false">(1+$S$16)/(1+B781)</f>
        <v>1.02358490566038</v>
      </c>
      <c r="C783" s="57" t="n">
        <f aca="false">B783*(1+Entorno!$B$13)</f>
        <v>1.02870283018868</v>
      </c>
      <c r="D783" s="57" t="n">
        <f aca="false">C783*(1+Entorno!$B$13)</f>
        <v>1.03384634433962</v>
      </c>
      <c r="E783" s="57" t="n">
        <f aca="false">D783*(1+Entorno!$B$13)</f>
        <v>1.03901557606132</v>
      </c>
      <c r="F783" s="57" t="n">
        <f aca="false">E783*(1+Entorno!$B$13)</f>
        <v>1.04421065394163</v>
      </c>
      <c r="G783" s="57" t="n">
        <f aca="false">F783*(1+Entorno!$B$13)</f>
        <v>1.04943170721133</v>
      </c>
      <c r="H783" s="57" t="n">
        <f aca="false">G783*(1+Entorno!$B$13)</f>
        <v>1.05467886574739</v>
      </c>
      <c r="I783" s="57" t="n">
        <f aca="false">H783*(1+Entorno!$B$13)</f>
        <v>1.05995226007613</v>
      </c>
      <c r="J783" s="57" t="n">
        <f aca="false">I783*(1+Entorno!$B$13)</f>
        <v>1.06525202137651</v>
      </c>
      <c r="K783" s="57" t="n">
        <f aca="false">J783*(1+Entorno!$B$13)</f>
        <v>1.07057828148339</v>
      </c>
      <c r="L783" s="57" t="n">
        <f aca="false">K783*(1+Entorno!$B$13)</f>
        <v>1.07593117289081</v>
      </c>
    </row>
    <row r="784" customFormat="false" ht="15" hidden="true" customHeight="false" outlineLevel="1" collapsed="false">
      <c r="A784" s="9" t="s">
        <v>409</v>
      </c>
      <c r="B784" s="57" t="n">
        <f aca="false">1/B782</f>
        <v>0.943396226415094</v>
      </c>
      <c r="C784" s="57" t="n">
        <f aca="false">1/C782</f>
        <v>0.898472596585804</v>
      </c>
      <c r="D784" s="57" t="n">
        <f aca="false">1/D782</f>
        <v>0.859782389077324</v>
      </c>
      <c r="E784" s="57" t="n">
        <f aca="false">1/E782</f>
        <v>0.826713835651273</v>
      </c>
      <c r="F784" s="57" t="n">
        <f aca="false">1/F782</f>
        <v>0.794917149664686</v>
      </c>
      <c r="G784" s="57" t="n">
        <f aca="false">1/G782</f>
        <v>0.764343413139121</v>
      </c>
      <c r="H784" s="57" t="n">
        <f aca="false">1/H782</f>
        <v>0.734945589556847</v>
      </c>
      <c r="I784" s="57" t="n">
        <f aca="false">1/I782</f>
        <v>0.706678451496968</v>
      </c>
      <c r="J784" s="57" t="n">
        <f aca="false">1/J782</f>
        <v>0.679498511054777</v>
      </c>
      <c r="K784" s="57" t="n">
        <f aca="false">1/K782</f>
        <v>0.653363952937286</v>
      </c>
      <c r="L784" s="57" t="n">
        <f aca="false">1/L782</f>
        <v>0.628234570132006</v>
      </c>
    </row>
    <row r="785" customFormat="false" ht="15" hidden="true" customHeight="false" outlineLevel="1" collapsed="false">
      <c r="A785" s="6" t="s">
        <v>323</v>
      </c>
      <c r="B785" s="29" t="n">
        <f aca="false">IF(B$47=0,Quesería!$F$92,IF(B$47=1,(Quesería!$F$93-(-$S$26)*Quesería!$D$86*(1+Quesería!$I$86))*$S$21,0))*$S$11</f>
        <v>930.800239431677</v>
      </c>
      <c r="C785" s="29" t="n">
        <f aca="false">IF(C$47=0,Quesería!$F$92,IF(C$47=1,(Quesería!$F$93-(-$S$26)*Quesería!$D$86*(1+Quesería!$I$86))*$S$21,0))*$S$11</f>
        <v>658.469066674498</v>
      </c>
      <c r="D785" s="29" t="n">
        <f aca="false">IF(D$47=0,Quesería!$F$92,IF(D$47=1,(Quesería!$F$93-(-$S$26)*Quesería!$D$86*(1+Quesería!$I$86))*$S$21,0))*$S$11</f>
        <v>0</v>
      </c>
      <c r="E785" s="29" t="n">
        <f aca="false">IF(E$47=0,Quesería!$F$92,IF(E$47=1,(Quesería!$F$93-(-$S$26)*Quesería!$D$86*(1+Quesería!$I$86))*$S$21,0))*$S$11</f>
        <v>0</v>
      </c>
      <c r="F785" s="29" t="n">
        <f aca="false">IF(F$47=0,Quesería!$F$92,IF(F$47=1,(Quesería!$F$93-(-$S$26)*Quesería!$D$86*(1+Quesería!$I$86))*$S$21,0))*$S$11</f>
        <v>0</v>
      </c>
      <c r="G785" s="29" t="n">
        <f aca="false">IF(G$47=0,Quesería!$F$92,IF(G$47=1,(Quesería!$F$93-(-$S$26)*Quesería!$D$86*(1+Quesería!$I$86))*$S$21,0))*$S$11</f>
        <v>0</v>
      </c>
      <c r="H785" s="29" t="n">
        <f aca="false">IF(H$47=0,Quesería!$F$92,IF(H$47=1,(Quesería!$F$93-(-$S$26)*Quesería!$D$86*(1+Quesería!$I$86))*$S$21,0))*$S$11</f>
        <v>0</v>
      </c>
      <c r="I785" s="29" t="n">
        <f aca="false">IF(I$47=0,Quesería!$F$92,IF(I$47=1,(Quesería!$F$93-(-$S$26)*Quesería!$D$86*(1+Quesería!$I$86))*$S$21,0))*$S$11</f>
        <v>0</v>
      </c>
      <c r="J785" s="29" t="n">
        <f aca="false">IF(J$47=0,Quesería!$F$92,IF(J$47=1,(Quesería!$F$93-(-$S$26)*Quesería!$D$86*(1+Quesería!$I$86))*$S$21,0))*$S$11</f>
        <v>0</v>
      </c>
      <c r="K785" s="29" t="n">
        <f aca="false">IF(K$47=0,Quesería!$F$92,IF(K$47=1,(Quesería!$F$93-(-$S$26)*Quesería!$D$86*(1+Quesería!$I$86))*$S$21,0))*$S$11</f>
        <v>0</v>
      </c>
      <c r="L785" s="29" t="n">
        <f aca="false">IF(L$47=0,Quesería!$F$92,IF(L$47=1,(Quesería!$F$93-(-$S$26)*Quesería!$D$86*(1+Quesería!$I$86))*$S$21,0))*$S$11</f>
        <v>0</v>
      </c>
    </row>
    <row r="786" customFormat="false" ht="15" hidden="true" customHeight="false" outlineLevel="1" collapsed="false">
      <c r="A786" s="6" t="s">
        <v>410</v>
      </c>
      <c r="B786" s="29" t="n">
        <f aca="false">IF(B$47=5,Quesería!$F$99,IF(B$47=6,Quesería!$F$100,0))*$S$11</f>
        <v>0</v>
      </c>
      <c r="C786" s="29" t="n">
        <f aca="false">IF(C$47=5,Quesería!$F$99,IF(C$47=6,Quesería!$F$100,0))*$S$11</f>
        <v>0</v>
      </c>
      <c r="D786" s="29" t="n">
        <f aca="false">IF(D$47=5,Quesería!$F$99,IF(D$47=6,Quesería!$F$100,0))*$S$11</f>
        <v>0</v>
      </c>
      <c r="E786" s="29" t="n">
        <f aca="false">IF(E$47=5,Quesería!$F$99,IF(E$47=6,Quesería!$F$100,0))*$S$11</f>
        <v>0</v>
      </c>
      <c r="F786" s="29" t="n">
        <f aca="false">IF(F$47=5,Quesería!$F$99,IF(F$47=6,Quesería!$F$100,0))*$S$11</f>
        <v>0</v>
      </c>
      <c r="G786" s="29" t="n">
        <f aca="false">IF(G$47=5,Quesería!$F$99,IF(G$47=6,Quesería!$F$100,0))*$S$11</f>
        <v>27.4652172688735</v>
      </c>
      <c r="H786" s="29" t="n">
        <f aca="false">IF(H$47=5,Quesería!$F$99,IF(H$47=6,Quesería!$F$100,0))*$S$11</f>
        <v>46.3891557109552</v>
      </c>
      <c r="I786" s="29" t="n">
        <f aca="false">IF(I$47=5,Quesería!$F$99,IF(I$47=6,Quesería!$F$100,0))*$S$11</f>
        <v>0</v>
      </c>
      <c r="J786" s="29" t="n">
        <f aca="false">IF(J$47=5,Quesería!$F$99,IF(J$47=6,Quesería!$F$100,0))*$S$11</f>
        <v>0</v>
      </c>
      <c r="K786" s="29" t="n">
        <f aca="false">IF(K$47=5,Quesería!$F$99,IF(K$47=6,Quesería!$F$100,0))*$S$11</f>
        <v>0</v>
      </c>
      <c r="L786" s="29" t="n">
        <f aca="false">IF(L$47=5,Quesería!$F$99,IF(L$47=6,Quesería!$F$100,0))*$S$11</f>
        <v>0</v>
      </c>
    </row>
    <row r="787" customFormat="false" ht="15" hidden="true" customHeight="false" outlineLevel="1" collapsed="false">
      <c r="A787" s="6" t="s">
        <v>411</v>
      </c>
      <c r="B787" s="29" t="n">
        <f aca="false">Quesería!$B$55*(IF(B$47=0,SUMPRODUCT((Quesería!$C$70:$C$89=0)*(Quesería!$H$70:$H$89&gt;0)*(Quesería!$J$70:$J$89&gt;0)*Quesería!$F$70:$F$89*(1+Quesería!$I$70:$I$89)),IF(B$47=1,(SUMPRODUCT((Quesería!$C$70:$C$89=1)*(Quesería!$H$70:$H$89&gt;0)*(Quesería!$J$70:$J$89&gt;0)*Quesería!$F$70:$F$89*(1+Quesería!$I$70:$I$89))-(-$S$26)*Quesería!$D$86*(1+Quesería!$I$86))*$S$21,0))*$S$11+B786)</f>
        <v>149.115671560178</v>
      </c>
      <c r="C787" s="29" t="n">
        <f aca="false">Quesería!$B$55*(IF(C$47=0,SUMPRODUCT((Quesería!$C$70:$C$89=0)*(Quesería!$H$70:$H$89&gt;0)*(Quesería!$J$70:$J$89&gt;0)*Quesería!$F$70:$F$89*(1+Quesería!$I$70:$I$89)),IF(C$47=1,(SUMPRODUCT((Quesería!$C$70:$C$89=1)*(Quesería!$H$70:$H$89&gt;0)*(Quesería!$J$70:$J$89&gt;0)*Quesería!$F$70:$F$89*(1+Quesería!$I$70:$I$89))-(-$S$26)*Quesería!$D$86*(1+Quesería!$I$86))*$S$21,0))*$S$11+C786)</f>
        <v>125.109122668155</v>
      </c>
      <c r="D787" s="29" t="n">
        <f aca="false">Quesería!$B$55*(IF(D$47=0,SUMPRODUCT((Quesería!$C$70:$C$89=0)*(Quesería!$H$70:$H$89&gt;0)*(Quesería!$J$70:$J$89&gt;0)*Quesería!$F$70:$F$89*(1+Quesería!$I$70:$I$89)),IF(D$47=1,(SUMPRODUCT((Quesería!$C$70:$C$89=1)*(Quesería!$H$70:$H$89&gt;0)*(Quesería!$J$70:$J$89&gt;0)*Quesería!$F$70:$F$89*(1+Quesería!$I$70:$I$89))-(-$S$26)*Quesería!$D$86*(1+Quesería!$I$86))*$S$21,0))*$S$11+D786)</f>
        <v>0</v>
      </c>
      <c r="E787" s="29" t="n">
        <f aca="false">Quesería!$B$55*(IF(E$47=0,SUMPRODUCT((Quesería!$C$70:$C$89=0)*(Quesería!$H$70:$H$89&gt;0)*(Quesería!$J$70:$J$89&gt;0)*Quesería!$F$70:$F$89*(1+Quesería!$I$70:$I$89)),IF(E$47=1,(SUMPRODUCT((Quesería!$C$70:$C$89=1)*(Quesería!$H$70:$H$89&gt;0)*(Quesería!$J$70:$J$89&gt;0)*Quesería!$F$70:$F$89*(1+Quesería!$I$70:$I$89))-(-$S$26)*Quesería!$D$86*(1+Quesería!$I$86))*$S$21,0))*$S$11+E786)</f>
        <v>0</v>
      </c>
      <c r="F787" s="29" t="n">
        <f aca="false">Quesería!$B$55*(IF(F$47=0,SUMPRODUCT((Quesería!$C$70:$C$89=0)*(Quesería!$H$70:$H$89&gt;0)*(Quesería!$J$70:$J$89&gt;0)*Quesería!$F$70:$F$89*(1+Quesería!$I$70:$I$89)),IF(F$47=1,(SUMPRODUCT((Quesería!$C$70:$C$89=1)*(Quesería!$H$70:$H$89&gt;0)*(Quesería!$J$70:$J$89&gt;0)*Quesería!$F$70:$F$89*(1+Quesería!$I$70:$I$89))-(-$S$26)*Quesería!$D$86*(1+Quesería!$I$86))*$S$21,0))*$S$11+F786)</f>
        <v>0</v>
      </c>
      <c r="G787" s="29" t="n">
        <f aca="false">Quesería!$B$55*(IF(G$47=0,SUMPRODUCT((Quesería!$C$70:$C$89=0)*(Quesería!$H$70:$H$89&gt;0)*(Quesería!$J$70:$J$89&gt;0)*Quesería!$F$70:$F$89*(1+Quesería!$I$70:$I$89)),IF(G$47=1,(SUMPRODUCT((Quesería!$C$70:$C$89=1)*(Quesería!$H$70:$H$89&gt;0)*(Quesería!$J$70:$J$89&gt;0)*Quesería!$F$70:$F$89*(1+Quesería!$I$70:$I$89))-(-$S$26)*Quesería!$D$86*(1+Quesería!$I$86))*$S$21,0))*$S$11+G786)</f>
        <v>5.21839128108597</v>
      </c>
      <c r="H787" s="29" t="n">
        <f aca="false">Quesería!$B$55*(IF(H$47=0,SUMPRODUCT((Quesería!$C$70:$C$89=0)*(Quesería!$H$70:$H$89&gt;0)*(Quesería!$J$70:$J$89&gt;0)*Quesería!$F$70:$F$89*(1+Quesería!$I$70:$I$89)),IF(H$47=1,(SUMPRODUCT((Quesería!$C$70:$C$89=1)*(Quesería!$H$70:$H$89&gt;0)*(Quesería!$J$70:$J$89&gt;0)*Quesería!$F$70:$F$89*(1+Quesería!$I$70:$I$89))-(-$S$26)*Quesería!$D$86*(1+Quesería!$I$86))*$S$21,0))*$S$11+H786)</f>
        <v>8.8139395850815</v>
      </c>
      <c r="I787" s="29" t="n">
        <f aca="false">Quesería!$B$55*(IF(I$47=0,SUMPRODUCT((Quesería!$C$70:$C$89=0)*(Quesería!$H$70:$H$89&gt;0)*(Quesería!$J$70:$J$89&gt;0)*Quesería!$F$70:$F$89*(1+Quesería!$I$70:$I$89)),IF(I$47=1,(SUMPRODUCT((Quesería!$C$70:$C$89=1)*(Quesería!$H$70:$H$89&gt;0)*(Quesería!$J$70:$J$89&gt;0)*Quesería!$F$70:$F$89*(1+Quesería!$I$70:$I$89))-(-$S$26)*Quesería!$D$86*(1+Quesería!$I$86))*$S$21,0))*$S$11+I786)</f>
        <v>0</v>
      </c>
      <c r="J787" s="29" t="n">
        <f aca="false">Quesería!$B$55*(IF(J$47=0,SUMPRODUCT((Quesería!$C$70:$C$89=0)*(Quesería!$H$70:$H$89&gt;0)*(Quesería!$J$70:$J$89&gt;0)*Quesería!$F$70:$F$89*(1+Quesería!$I$70:$I$89)),IF(J$47=1,(SUMPRODUCT((Quesería!$C$70:$C$89=1)*(Quesería!$H$70:$H$89&gt;0)*(Quesería!$J$70:$J$89&gt;0)*Quesería!$F$70:$F$89*(1+Quesería!$I$70:$I$89))-(-$S$26)*Quesería!$D$86*(1+Quesería!$I$86))*$S$21,0))*$S$11+J786)</f>
        <v>0</v>
      </c>
      <c r="K787" s="29" t="n">
        <f aca="false">Quesería!$B$55*(IF(K$47=0,SUMPRODUCT((Quesería!$C$70:$C$89=0)*(Quesería!$H$70:$H$89&gt;0)*(Quesería!$J$70:$J$89&gt;0)*Quesería!$F$70:$F$89*(1+Quesería!$I$70:$I$89)),IF(K$47=1,(SUMPRODUCT((Quesería!$C$70:$C$89=1)*(Quesería!$H$70:$H$89&gt;0)*(Quesería!$J$70:$J$89&gt;0)*Quesería!$F$70:$F$89*(1+Quesería!$I$70:$I$89))-(-$S$26)*Quesería!$D$86*(1+Quesería!$I$86))*$S$21,0))*$S$11+K786)</f>
        <v>0</v>
      </c>
      <c r="L787" s="29" t="n">
        <f aca="false">Quesería!$B$55*(IF(L$47=0,SUMPRODUCT((Quesería!$C$70:$C$89=0)*(Quesería!$H$70:$H$89&gt;0)*(Quesería!$J$70:$J$89&gt;0)*Quesería!$F$70:$F$89*(1+Quesería!$I$70:$I$89)),IF(L$47=1,(SUMPRODUCT((Quesería!$C$70:$C$89=1)*(Quesería!$H$70:$H$89&gt;0)*(Quesería!$J$70:$J$89&gt;0)*Quesería!$F$70:$F$89*(1+Quesería!$I$70:$I$89))-(-$S$26)*Quesería!$D$86*(1+Quesería!$I$86))*$S$21,0))*$S$11+L786)</f>
        <v>0</v>
      </c>
    </row>
    <row r="788" customFormat="false" ht="15" hidden="true" customHeight="false" outlineLevel="1" collapsed="false">
      <c r="A788" s="6" t="s">
        <v>386</v>
      </c>
      <c r="B788" s="29" t="n">
        <f aca="false">IF(B$47=0,($S$22*Quesería!$J$126+(1-$S$22)*Quesería!$E$122)*Quesería!$B$20*Quesería!$B$21/12*$S$23,(($S$22*Quesería!$J$126+(1-$S$22)*Quesería!$E$122)+($S$22*Quesería!$J$104+(1-$S$22)*Quesería!$E$104)*(B783-1))*IF(B$47=1,Quesería!$B$20,1))*$S$10</f>
        <v>120.716772261203</v>
      </c>
      <c r="C788" s="29" t="n">
        <f aca="false">IF(C$47=0,($S$22*Quesería!$J$126+(1-$S$22)*Quesería!$E$122)*Quesería!$B$20*Quesería!$B$21/12*$S$23,(($S$22*Quesería!$J$126+(1-$S$22)*Quesería!$E$122)+($S$22*Quesería!$J$104+(1-$S$22)*Quesería!$E$104)*(C783-1))*IF(C$47=1,Quesería!$B$20,1))*$S$10</f>
        <v>181.328317354069</v>
      </c>
      <c r="D788" s="29" t="n">
        <f aca="false">IF(D$47=0,($S$22*Quesería!$J$126+(1-$S$22)*Quesería!$E$122)*Quesería!$B$20*Quesería!$B$21/12*$S$23,(($S$22*Quesería!$J$126+(1-$S$22)*Quesería!$E$122)+($S$22*Quesería!$J$104+(1-$S$22)*Quesería!$E$104)*(D783-1))*IF(D$47=1,Quesería!$B$20,1))*$S$10</f>
        <v>241.83157753184</v>
      </c>
      <c r="E788" s="29" t="n">
        <f aca="false">IF(E$47=0,($S$22*Quesería!$J$126+(1-$S$22)*Quesería!$E$122)*Quesería!$B$20*Quesería!$B$21/12*$S$23,(($S$22*Quesería!$J$126+(1-$S$22)*Quesería!$E$122)+($S$22*Quesería!$J$104+(1-$S$22)*Quesería!$E$104)*(E783-1))*IF(E$47=1,Quesería!$B$20,1))*$S$10</f>
        <v>241.892367696887</v>
      </c>
      <c r="F788" s="29" t="n">
        <f aca="false">IF(F$47=0,($S$22*Quesería!$J$126+(1-$S$22)*Quesería!$E$122)*Quesería!$B$20*Quesería!$B$21/12*$S$23,(($S$22*Quesería!$J$126+(1-$S$22)*Quesería!$E$122)+($S$22*Quesería!$J$104+(1-$S$22)*Quesería!$E$104)*(F783-1))*IF(F$47=1,Quesería!$B$20,1))*$S$10</f>
        <v>241.95346181276</v>
      </c>
      <c r="G788" s="29" t="n">
        <f aca="false">IF(G$47=0,($S$22*Quesería!$J$126+(1-$S$22)*Quesería!$E$122)*Quesería!$B$20*Quesería!$B$21/12*$S$23,(($S$22*Quesería!$J$126+(1-$S$22)*Quesería!$E$122)+($S$22*Quesería!$J$104+(1-$S$22)*Quesería!$E$104)*(G783-1))*IF(G$47=1,Quesería!$B$20,1))*$S$10</f>
        <v>242.014861399211</v>
      </c>
      <c r="H788" s="29" t="n">
        <f aca="false">IF(H$47=0,($S$22*Quesería!$J$126+(1-$S$22)*Quesería!$E$122)*Quesería!$B$20*Quesería!$B$21/12*$S$23,(($S$22*Quesería!$J$126+(1-$S$22)*Quesería!$E$122)+($S$22*Quesería!$J$104+(1-$S$22)*Quesería!$E$104)*(H783-1))*IF(H$47=1,Quesería!$B$20,1))*$S$10</f>
        <v>242.076567983595</v>
      </c>
      <c r="I788" s="29" t="n">
        <f aca="false">IF(I$47=0,($S$22*Quesería!$J$126+(1-$S$22)*Quesería!$E$122)*Quesería!$B$20*Quesería!$B$21/12*$S$23,(($S$22*Quesería!$J$126+(1-$S$22)*Quesería!$E$122)+($S$22*Quesería!$J$104+(1-$S$22)*Quesería!$E$104)*(I783-1))*IF(I$47=1,Quesería!$B$20,1))*$S$10</f>
        <v>242.138583100901</v>
      </c>
      <c r="J788" s="29" t="n">
        <f aca="false">IF(J$47=0,($S$22*Quesería!$J$126+(1-$S$22)*Quesería!$E$122)*Quesería!$B$20*Quesería!$B$21/12*$S$23,(($S$22*Quesería!$J$126+(1-$S$22)*Quesería!$E$122)+($S$22*Quesería!$J$104+(1-$S$22)*Quesería!$E$104)*(J783-1))*IF(J$47=1,Quesería!$B$20,1))*$S$10</f>
        <v>242.200908293794</v>
      </c>
      <c r="K788" s="29" t="n">
        <f aca="false">IF(K$47=0,($S$22*Quesería!$J$126+(1-$S$22)*Quesería!$E$122)*Quesería!$B$20*Quesería!$B$21/12*$S$23,(($S$22*Quesería!$J$126+(1-$S$22)*Quesería!$E$122)+($S$22*Quesería!$J$104+(1-$S$22)*Quesería!$E$104)*(K783-1))*IF(K$47=1,Quesería!$B$20,1))*$S$10</f>
        <v>242.263545112651</v>
      </c>
      <c r="L788" s="29" t="n">
        <f aca="false">IF(L$47=0,($S$22*Quesería!$J$126+(1-$S$22)*Quesería!$E$122)*Quesería!$B$20*Quesería!$B$21/12*$S$23,(($S$22*Quesería!$J$126+(1-$S$22)*Quesería!$E$122)+($S$22*Quesería!$J$104+(1-$S$22)*Quesería!$E$104)*(L783-1))*IF(L$47=1,Quesería!$B$20,1))*$S$10</f>
        <v>242.326495115602</v>
      </c>
    </row>
    <row r="789" customFormat="false" ht="15" hidden="true" customHeight="false" outlineLevel="1" collapsed="false">
      <c r="A789" s="6" t="s">
        <v>387</v>
      </c>
      <c r="B789" s="29" t="n">
        <f aca="false">IF(B$47&lt;=1,0,((($S$22*Quesería!$J$127+(1-$S$22)*Quesería!$E$123)-($S$22*Quesería!$J$113+(1-$S$22)*Quesería!$E$113)+$S$6*($S$22*Quesería!$J$113+(1-$S$22)*Quesería!$E$113)-(1-$S$9)*(($S$22*Quesería!$J$119+(1-$S$22)*Quesería!$E$119)+($S$22*Quesería!$J$118+(1-$S$22)*Quesería!$E$118))-(1-$S$24)*($S$22*Quesería!$J$117+(1-$S$22)*Quesería!$E$117)+$S$24*(1-$S$25)*'Beneficios y costos'!$B$144-(-$S$26*$S$27)*'Beneficios y costos'!$C$167)+($S$6*($S$22*Quesería!$J$113+(1-$S$22)*Quesería!$E$113)+$S$9*($S$22*Quesería!$J$119+(1-$S$22)*Quesería!$E$119))*(B783-1))*IF(B$47=2,Quesería!$B$20,1)+IF(B$47=2,Quesería!$B$24*$S$9*($S$22*Quesería!$J$119+(1-$S$22)*Quesería!$E$119)*B783,0))*$S$10*$S$21</f>
        <v>0</v>
      </c>
      <c r="C789" s="29" t="n">
        <f aca="false">IF(C$47&lt;=1,0,((($S$22*Quesería!$J$127+(1-$S$22)*Quesería!$E$123)-($S$22*Quesería!$J$113+(1-$S$22)*Quesería!$E$113)+$S$6*($S$22*Quesería!$J$113+(1-$S$22)*Quesería!$E$113)-(1-$S$9)*(($S$22*Quesería!$J$119+(1-$S$22)*Quesería!$E$119)+($S$22*Quesería!$J$118+(1-$S$22)*Quesería!$E$118))-(1-$S$24)*($S$22*Quesería!$J$117+(1-$S$22)*Quesería!$E$117)+$S$24*(1-$S$25)*'Beneficios y costos'!$B$144-(-$S$26*$S$27)*'Beneficios y costos'!$C$167)+($S$6*($S$22*Quesería!$J$113+(1-$S$22)*Quesería!$E$113)+$S$9*($S$22*Quesería!$J$119+(1-$S$22)*Quesería!$E$119))*(C783-1))*IF(C$47=2,Quesería!$B$20,1)+IF(C$47=2,Quesería!$B$24*$S$9*($S$22*Quesería!$J$119+(1-$S$22)*Quesería!$E$119)*C783,0))*$S$10*$S$21</f>
        <v>0</v>
      </c>
      <c r="D789" s="29" t="n">
        <f aca="false">IF(D$47&lt;=1,0,((($S$22*Quesería!$J$127+(1-$S$22)*Quesería!$E$123)-($S$22*Quesería!$J$113+(1-$S$22)*Quesería!$E$113)+$S$6*($S$22*Quesería!$J$113+(1-$S$22)*Quesería!$E$113)-(1-$S$9)*(($S$22*Quesería!$J$119+(1-$S$22)*Quesería!$E$119)+($S$22*Quesería!$J$118+(1-$S$22)*Quesería!$E$118))-(1-$S$24)*($S$22*Quesería!$J$117+(1-$S$22)*Quesería!$E$117)+$S$24*(1-$S$25)*'Beneficios y costos'!$B$144-(-$S$26*$S$27)*'Beneficios y costos'!$C$167)+($S$6*($S$22*Quesería!$J$113+(1-$S$22)*Quesería!$E$113)+$S$9*($S$22*Quesería!$J$119+(1-$S$22)*Quesería!$E$119))*(D783-1))*IF(D$47=2,Quesería!$B$20,1)+IF(D$47=2,Quesería!$B$24*$S$9*($S$22*Quesería!$J$119+(1-$S$22)*Quesería!$E$119)*D783,0))*$S$10*$S$21</f>
        <v>257.351493734688</v>
      </c>
      <c r="E789" s="29" t="n">
        <f aca="false">IF(E$47&lt;=1,0,((($S$22*Quesería!$J$127+(1-$S$22)*Quesería!$E$123)-($S$22*Quesería!$J$113+(1-$S$22)*Quesería!$E$113)+$S$6*($S$22*Quesería!$J$113+(1-$S$22)*Quesería!$E$113)-(1-$S$9)*(($S$22*Quesería!$J$119+(1-$S$22)*Quesería!$E$119)+($S$22*Quesería!$J$118+(1-$S$22)*Quesería!$E$118))-(1-$S$24)*($S$22*Quesería!$J$117+(1-$S$22)*Quesería!$E$117)+$S$24*(1-$S$25)*'Beneficios y costos'!$B$144-(-$S$26*$S$27)*'Beneficios y costos'!$C$167)+($S$6*($S$22*Quesería!$J$113+(1-$S$22)*Quesería!$E$113)+$S$9*($S$22*Quesería!$J$119+(1-$S$22)*Quesería!$E$119))*(E783-1))*IF(E$47=2,Quesería!$B$20,1)+IF(E$47=2,Quesería!$B$24*$S$9*($S$22*Quesería!$J$119+(1-$S$22)*Quesería!$E$119)*E783,0))*$S$10*$S$21</f>
        <v>328.494820128122</v>
      </c>
      <c r="F789" s="29" t="n">
        <f aca="false">IF(F$47&lt;=1,0,((($S$22*Quesería!$J$127+(1-$S$22)*Quesería!$E$123)-($S$22*Quesería!$J$113+(1-$S$22)*Quesería!$E$113)+$S$6*($S$22*Quesería!$J$113+(1-$S$22)*Quesería!$E$113)-(1-$S$9)*(($S$22*Quesería!$J$119+(1-$S$22)*Quesería!$E$119)+($S$22*Quesería!$J$118+(1-$S$22)*Quesería!$E$118))-(1-$S$24)*($S$22*Quesería!$J$117+(1-$S$22)*Quesería!$E$117)+$S$24*(1-$S$25)*'Beneficios y costos'!$B$144-(-$S$26*$S$27)*'Beneficios y costos'!$C$167)+($S$6*($S$22*Quesería!$J$113+(1-$S$22)*Quesería!$E$113)+$S$9*($S$22*Quesería!$J$119+(1-$S$22)*Quesería!$E$119))*(F783-1))*IF(F$47=2,Quesería!$B$20,1)+IF(F$47=2,Quesería!$B$24*$S$9*($S$22*Quesería!$J$119+(1-$S$22)*Quesería!$E$119)*F783,0))*$S$10*$S$21</f>
        <v>328.742937047686</v>
      </c>
      <c r="G789" s="29" t="n">
        <f aca="false">IF(G$47&lt;=1,0,((($S$22*Quesería!$J$127+(1-$S$22)*Quesería!$E$123)-($S$22*Quesería!$J$113+(1-$S$22)*Quesería!$E$113)+$S$6*($S$22*Quesería!$J$113+(1-$S$22)*Quesería!$E$113)-(1-$S$9)*(($S$22*Quesería!$J$119+(1-$S$22)*Quesería!$E$119)+($S$22*Quesería!$J$118+(1-$S$22)*Quesería!$E$118))-(1-$S$24)*($S$22*Quesería!$J$117+(1-$S$22)*Quesería!$E$117)+$S$24*(1-$S$25)*'Beneficios y costos'!$B$144-(-$S$26*$S$27)*'Beneficios y costos'!$C$167)+($S$6*($S$22*Quesería!$J$113+(1-$S$22)*Quesería!$E$113)+$S$9*($S$22*Quesería!$J$119+(1-$S$22)*Quesería!$E$119))*(G783-1))*IF(G$47=2,Quesería!$B$20,1)+IF(G$47=2,Quesería!$B$24*$S$9*($S$22*Quesería!$J$119+(1-$S$22)*Quesería!$E$119)*G783,0))*$S$10*$S$21</f>
        <v>328.992294551847</v>
      </c>
      <c r="H789" s="29" t="n">
        <f aca="false">IF(H$47&lt;=1,0,((($S$22*Quesería!$J$127+(1-$S$22)*Quesería!$E$123)-($S$22*Quesería!$J$113+(1-$S$22)*Quesería!$E$113)+$S$6*($S$22*Quesería!$J$113+(1-$S$22)*Quesería!$E$113)-(1-$S$9)*(($S$22*Quesería!$J$119+(1-$S$22)*Quesería!$E$119)+($S$22*Quesería!$J$118+(1-$S$22)*Quesería!$E$118))-(1-$S$24)*($S$22*Quesería!$J$117+(1-$S$22)*Quesería!$E$117)+$S$24*(1-$S$25)*'Beneficios y costos'!$B$144-(-$S$26*$S$27)*'Beneficios y costos'!$C$167)+($S$6*($S$22*Quesería!$J$113+(1-$S$22)*Quesería!$E$113)+$S$9*($S$22*Quesería!$J$119+(1-$S$22)*Quesería!$E$119))*(H783-1))*IF(H$47=2,Quesería!$B$20,1)+IF(H$47=2,Quesería!$B$24*$S$9*($S$22*Quesería!$J$119+(1-$S$22)*Quesería!$E$119)*H783,0))*$S$10*$S$21</f>
        <v>329.242898843529</v>
      </c>
      <c r="I789" s="29" t="n">
        <f aca="false">IF(I$47&lt;=1,0,((($S$22*Quesería!$J$127+(1-$S$22)*Quesería!$E$123)-($S$22*Quesería!$J$113+(1-$S$22)*Quesería!$E$113)+$S$6*($S$22*Quesería!$J$113+(1-$S$22)*Quesería!$E$113)-(1-$S$9)*(($S$22*Quesería!$J$119+(1-$S$22)*Quesería!$E$119)+($S$22*Quesería!$J$118+(1-$S$22)*Quesería!$E$118))-(1-$S$24)*($S$22*Quesería!$J$117+(1-$S$22)*Quesería!$E$117)+$S$24*(1-$S$25)*'Beneficios y costos'!$B$144-(-$S$26*$S$27)*'Beneficios y costos'!$C$167)+($S$6*($S$22*Quesería!$J$113+(1-$S$22)*Quesería!$E$113)+$S$9*($S$22*Quesería!$J$119+(1-$S$22)*Quesería!$E$119))*(I783-1))*IF(I$47=2,Quesería!$B$20,1)+IF(I$47=2,Quesería!$B$24*$S$9*($S$22*Quesería!$J$119+(1-$S$22)*Quesería!$E$119)*I783,0))*$S$10*$S$21</f>
        <v>329.49475615667</v>
      </c>
      <c r="J789" s="29" t="n">
        <f aca="false">IF(J$47&lt;=1,0,((($S$22*Quesería!$J$127+(1-$S$22)*Quesería!$E$123)-($S$22*Quesería!$J$113+(1-$S$22)*Quesería!$E$113)+$S$6*($S$22*Quesería!$J$113+(1-$S$22)*Quesería!$E$113)-(1-$S$9)*(($S$22*Quesería!$J$119+(1-$S$22)*Quesería!$E$119)+($S$22*Quesería!$J$118+(1-$S$22)*Quesería!$E$118))-(1-$S$24)*($S$22*Quesería!$J$117+(1-$S$22)*Quesería!$E$117)+$S$24*(1-$S$25)*'Beneficios y costos'!$B$144-(-$S$26*$S$27)*'Beneficios y costos'!$C$167)+($S$6*($S$22*Quesería!$J$113+(1-$S$22)*Quesería!$E$113)+$S$9*($S$22*Quesería!$J$119+(1-$S$22)*Quesería!$E$119))*(J783-1))*IF(J$47=2,Quesería!$B$20,1)+IF(J$47=2,Quesería!$B$24*$S$9*($S$22*Quesería!$J$119+(1-$S$22)*Quesería!$E$119)*J783,0))*$S$10*$S$21</f>
        <v>329.747872756376</v>
      </c>
      <c r="K789" s="29" t="n">
        <f aca="false">IF(K$47&lt;=1,0,((($S$22*Quesería!$J$127+(1-$S$22)*Quesería!$E$123)-($S$22*Quesería!$J$113+(1-$S$22)*Quesería!$E$113)+$S$6*($S$22*Quesería!$J$113+(1-$S$22)*Quesería!$E$113)-(1-$S$9)*(($S$22*Quesería!$J$119+(1-$S$22)*Quesería!$E$119)+($S$22*Quesería!$J$118+(1-$S$22)*Quesería!$E$118))-(1-$S$24)*($S$22*Quesería!$J$117+(1-$S$22)*Quesería!$E$117)+$S$24*(1-$S$25)*'Beneficios y costos'!$B$144-(-$S$26*$S$27)*'Beneficios y costos'!$C$167)+($S$6*($S$22*Quesería!$J$113+(1-$S$22)*Quesería!$E$113)+$S$9*($S$22*Quesería!$J$119+(1-$S$22)*Quesería!$E$119))*(K783-1))*IF(K$47=2,Quesería!$B$20,1)+IF(K$47=2,Quesería!$B$24*$S$9*($S$22*Quesería!$J$119+(1-$S$22)*Quesería!$E$119)*K783,0))*$S$10*$S$21</f>
        <v>330.00225493908</v>
      </c>
      <c r="L789" s="29" t="n">
        <f aca="false">IF(L$47&lt;=1,0,((($S$22*Quesería!$J$127+(1-$S$22)*Quesería!$E$123)-($S$22*Quesería!$J$113+(1-$S$22)*Quesería!$E$113)+$S$6*($S$22*Quesería!$J$113+(1-$S$22)*Quesería!$E$113)-(1-$S$9)*(($S$22*Quesería!$J$119+(1-$S$22)*Quesería!$E$119)+($S$22*Quesería!$J$118+(1-$S$22)*Quesería!$E$118))-(1-$S$24)*($S$22*Quesería!$J$117+(1-$S$22)*Quesería!$E$117)+$S$24*(1-$S$25)*'Beneficios y costos'!$B$144-(-$S$26*$S$27)*'Beneficios y costos'!$C$167)+($S$6*($S$22*Quesería!$J$113+(1-$S$22)*Quesería!$E$113)+$S$9*($S$22*Quesería!$J$119+(1-$S$22)*Quesería!$E$119))*(L783-1))*IF(L$47=2,Quesería!$B$20,1)+IF(L$47=2,Quesería!$B$24*$S$9*($S$22*Quesería!$J$119+(1-$S$22)*Quesería!$E$119)*L783,0))*$S$10*$S$21</f>
        <v>330.257909032699</v>
      </c>
    </row>
    <row r="790" customFormat="false" ht="15" hidden="true" customHeight="false" outlineLevel="1" collapsed="false">
      <c r="A790" s="5" t="s">
        <v>412</v>
      </c>
      <c r="B790" s="10" t="n">
        <f aca="false">B788+B789</f>
        <v>120.716772261203</v>
      </c>
      <c r="C790" s="10" t="n">
        <f aca="false">C788+C789</f>
        <v>181.328317354069</v>
      </c>
      <c r="D790" s="10" t="n">
        <f aca="false">D788+D789</f>
        <v>499.183071266528</v>
      </c>
      <c r="E790" s="10" t="n">
        <f aca="false">E788+E789</f>
        <v>570.38718782501</v>
      </c>
      <c r="F790" s="10" t="n">
        <f aca="false">F788+F789</f>
        <v>570.696398860445</v>
      </c>
      <c r="G790" s="10" t="n">
        <f aca="false">G788+G789</f>
        <v>571.007155951058</v>
      </c>
      <c r="H790" s="10" t="n">
        <f aca="false">H788+H789</f>
        <v>571.319466827124</v>
      </c>
      <c r="I790" s="10" t="n">
        <f aca="false">I788+I789</f>
        <v>571.633339257571</v>
      </c>
      <c r="J790" s="10" t="n">
        <f aca="false">J788+J789</f>
        <v>571.94878105017</v>
      </c>
      <c r="K790" s="10" t="n">
        <f aca="false">K788+K789</f>
        <v>572.265800051731</v>
      </c>
      <c r="L790" s="10" t="n">
        <f aca="false">L788+L789</f>
        <v>572.584404148301</v>
      </c>
    </row>
    <row r="791" customFormat="false" ht="15" hidden="true" customHeight="false" outlineLevel="1" collapsed="false">
      <c r="A791" s="6" t="s">
        <v>413</v>
      </c>
      <c r="B791" s="29" t="n">
        <f aca="false">(IF(B$47&gt;=1,(Quesería!$B$31+Quesería!$B$33)*Quesería!$F$94*$S$11+Quesería!$B$32+'Beneficios y costos'!$B$249,0)+IF(B$47&gt;=2,((Quesería!$B$31+Quesería!$B$33)*(Quesería!$F$95-(-$S$26)*Quesería!$D$86)*$S$11+'Beneficios y costos'!$C$249-(-$S$26)*'Beneficios y costos'!$H$235)*$S$21,0))*$S$12</f>
        <v>0</v>
      </c>
      <c r="C791" s="29" t="n">
        <f aca="false">(IF(C$47&gt;=1,(Quesería!$B$31+Quesería!$B$33)*Quesería!$F$94*$S$11+Quesería!$B$32+'Beneficios y costos'!$B$249,0)+IF(C$47&gt;=2,((Quesería!$B$31+Quesería!$B$33)*(Quesería!$F$95-(-$S$26)*Quesería!$D$86)*$S$11+'Beneficios y costos'!$C$249-(-$S$26)*'Beneficios y costos'!$H$235)*$S$21,0))*$S$12</f>
        <v>42.0946487260605</v>
      </c>
      <c r="D791" s="29" t="n">
        <f aca="false">(IF(D$47&gt;=1,(Quesería!$B$31+Quesería!$B$33)*Quesería!$F$94*$S$11+Quesería!$B$32+'Beneficios y costos'!$B$249,0)+IF(D$47&gt;=2,((Quesería!$B$31+Quesería!$B$33)*(Quesería!$F$95-(-$S$26)*Quesería!$D$86)*$S$11+'Beneficios y costos'!$C$249-(-$S$26)*'Beneficios y costos'!$H$235)*$S$21,0))*$S$12</f>
        <v>76.4964821173776</v>
      </c>
      <c r="E791" s="29" t="n">
        <f aca="false">(IF(E$47&gt;=1,(Quesería!$B$31+Quesería!$B$33)*Quesería!$F$94*$S$11+Quesería!$B$32+'Beneficios y costos'!$B$249,0)+IF(E$47&gt;=2,((Quesería!$B$31+Quesería!$B$33)*(Quesería!$F$95-(-$S$26)*Quesería!$D$86)*$S$11+'Beneficios y costos'!$C$249-(-$S$26)*'Beneficios y costos'!$H$235)*$S$21,0))*$S$12</f>
        <v>76.4964821173776</v>
      </c>
      <c r="F791" s="29" t="n">
        <f aca="false">(IF(F$47&gt;=1,(Quesería!$B$31+Quesería!$B$33)*Quesería!$F$94*$S$11+Quesería!$B$32+'Beneficios y costos'!$B$249,0)+IF(F$47&gt;=2,((Quesería!$B$31+Quesería!$B$33)*(Quesería!$F$95-(-$S$26)*Quesería!$D$86)*$S$11+'Beneficios y costos'!$C$249-(-$S$26)*'Beneficios y costos'!$H$235)*$S$21,0))*$S$12</f>
        <v>76.4964821173776</v>
      </c>
      <c r="G791" s="29" t="n">
        <f aca="false">(IF(G$47&gt;=1,(Quesería!$B$31+Quesería!$B$33)*Quesería!$F$94*$S$11+Quesería!$B$32+'Beneficios y costos'!$B$249,0)+IF(G$47&gt;=2,((Quesería!$B$31+Quesería!$B$33)*(Quesería!$F$95-(-$S$26)*Quesería!$D$86)*$S$11+'Beneficios y costos'!$C$249-(-$S$26)*'Beneficios y costos'!$H$235)*$S$21,0))*$S$12</f>
        <v>76.4964821173776</v>
      </c>
      <c r="H791" s="29" t="n">
        <f aca="false">(IF(H$47&gt;=1,(Quesería!$B$31+Quesería!$B$33)*Quesería!$F$94*$S$11+Quesería!$B$32+'Beneficios y costos'!$B$249,0)+IF(H$47&gt;=2,((Quesería!$B$31+Quesería!$B$33)*(Quesería!$F$95-(-$S$26)*Quesería!$D$86)*$S$11+'Beneficios y costos'!$C$249-(-$S$26)*'Beneficios y costos'!$H$235)*$S$21,0))*$S$12</f>
        <v>76.4964821173776</v>
      </c>
      <c r="I791" s="29" t="n">
        <f aca="false">(IF(I$47&gt;=1,(Quesería!$B$31+Quesería!$B$33)*Quesería!$F$94*$S$11+Quesería!$B$32+'Beneficios y costos'!$B$249,0)+IF(I$47&gt;=2,((Quesería!$B$31+Quesería!$B$33)*(Quesería!$F$95-(-$S$26)*Quesería!$D$86)*$S$11+'Beneficios y costos'!$C$249-(-$S$26)*'Beneficios y costos'!$H$235)*$S$21,0))*$S$12</f>
        <v>76.4964821173776</v>
      </c>
      <c r="J791" s="29" t="n">
        <f aca="false">(IF(J$47&gt;=1,(Quesería!$B$31+Quesería!$B$33)*Quesería!$F$94*$S$11+Quesería!$B$32+'Beneficios y costos'!$B$249,0)+IF(J$47&gt;=2,((Quesería!$B$31+Quesería!$B$33)*(Quesería!$F$95-(-$S$26)*Quesería!$D$86)*$S$11+'Beneficios y costos'!$C$249-(-$S$26)*'Beneficios y costos'!$H$235)*$S$21,0))*$S$12</f>
        <v>76.4964821173776</v>
      </c>
      <c r="K791" s="29" t="n">
        <f aca="false">(IF(K$47&gt;=1,(Quesería!$B$31+Quesería!$B$33)*Quesería!$F$94*$S$11+Quesería!$B$32+'Beneficios y costos'!$B$249,0)+IF(K$47&gt;=2,((Quesería!$B$31+Quesería!$B$33)*(Quesería!$F$95-(-$S$26)*Quesería!$D$86)*$S$11+'Beneficios y costos'!$C$249-(-$S$26)*'Beneficios y costos'!$H$235)*$S$21,0))*$S$12</f>
        <v>76.4964821173776</v>
      </c>
      <c r="L791" s="29" t="n">
        <f aca="false">(IF(L$47&gt;=1,(Quesería!$B$31+Quesería!$B$33)*Quesería!$F$94*$S$11+Quesería!$B$32+'Beneficios y costos'!$B$249,0)+IF(L$47&gt;=2,((Quesería!$B$31+Quesería!$B$33)*(Quesería!$F$95-(-$S$26)*Quesería!$D$86)*$S$11+'Beneficios y costos'!$C$249-(-$S$26)*'Beneficios y costos'!$H$235)*$S$21,0))*$S$12</f>
        <v>76.4964821173776</v>
      </c>
    </row>
    <row r="792" customFormat="false" ht="15" hidden="true" customHeight="false" outlineLevel="1" collapsed="false">
      <c r="A792" s="6" t="s">
        <v>414</v>
      </c>
      <c r="B792" s="29" t="n">
        <f aca="false">IF(B$47=1,2*Quesería!$B$22*Quesería!$B$23/12*B783,0)*$S$21</f>
        <v>0</v>
      </c>
      <c r="C792" s="29" t="n">
        <f aca="false">IF(C$47=1,2*Quesería!$B$22*Quesería!$B$23/12*C783,0)*$S$21</f>
        <v>18.5166509433962</v>
      </c>
      <c r="D792" s="29" t="n">
        <f aca="false">IF(D$47=1,2*Quesería!$B$22*Quesería!$B$23/12*D783,0)*$S$21</f>
        <v>0</v>
      </c>
      <c r="E792" s="29" t="n">
        <f aca="false">IF(E$47=1,2*Quesería!$B$22*Quesería!$B$23/12*E783,0)*$S$21</f>
        <v>0</v>
      </c>
      <c r="F792" s="29" t="n">
        <f aca="false">IF(F$47=1,2*Quesería!$B$22*Quesería!$B$23/12*F783,0)*$S$21</f>
        <v>0</v>
      </c>
      <c r="G792" s="29" t="n">
        <f aca="false">IF(G$47=1,2*Quesería!$B$22*Quesería!$B$23/12*G783,0)*$S$21</f>
        <v>0</v>
      </c>
      <c r="H792" s="29" t="n">
        <f aca="false">IF(H$47=1,2*Quesería!$B$22*Quesería!$B$23/12*H783,0)*$S$21</f>
        <v>0</v>
      </c>
      <c r="I792" s="29" t="n">
        <f aca="false">IF(I$47=1,2*Quesería!$B$22*Quesería!$B$23/12*I783,0)*$S$21</f>
        <v>0</v>
      </c>
      <c r="J792" s="29" t="n">
        <f aca="false">IF(J$47=1,2*Quesería!$B$22*Quesería!$B$23/12*J783,0)*$S$21</f>
        <v>0</v>
      </c>
      <c r="K792" s="29" t="n">
        <f aca="false">IF(K$47=1,2*Quesería!$B$22*Quesería!$B$23/12*K783,0)*$S$21</f>
        <v>0</v>
      </c>
      <c r="L792" s="29" t="n">
        <f aca="false">IF(L$47=1,2*Quesería!$B$22*Quesería!$B$23/12*L783,0)*$S$21</f>
        <v>0</v>
      </c>
    </row>
    <row r="793" customFormat="false" ht="15" hidden="true" customHeight="false" outlineLevel="1" collapsed="false">
      <c r="A793" s="6" t="s">
        <v>415</v>
      </c>
      <c r="B793" s="29" t="n">
        <f aca="false">Quesería!$B$52*(B785+B786+B787+B791+B792)</f>
        <v>4.31966364396742</v>
      </c>
      <c r="C793" s="29" t="n">
        <f aca="false">Quesería!$B$52*(C785+C786+C787+C791+C792)</f>
        <v>3.37675795604844</v>
      </c>
      <c r="D793" s="29" t="n">
        <f aca="false">Quesería!$B$52*(D785+D786+D787+D791+D792)</f>
        <v>0.305985928469511</v>
      </c>
      <c r="E793" s="29" t="n">
        <f aca="false">Quesería!$B$52*(E785+E786+E787+E791+E792)</f>
        <v>0.305985928469511</v>
      </c>
      <c r="F793" s="29" t="n">
        <f aca="false">Quesería!$B$52*(F785+F786+F787+F791+F792)</f>
        <v>0.305985928469511</v>
      </c>
      <c r="G793" s="29" t="n">
        <f aca="false">Quesería!$B$52*(G785+G786+G787+G791+G792)</f>
        <v>0.436720362669349</v>
      </c>
      <c r="H793" s="29" t="n">
        <f aca="false">Quesería!$B$52*(H785+H786+H787+H791+H792)</f>
        <v>0.526798309653658</v>
      </c>
      <c r="I793" s="29" t="n">
        <f aca="false">Quesería!$B$52*(I785+I786+I787+I791+I792)</f>
        <v>0.305985928469511</v>
      </c>
      <c r="J793" s="29" t="n">
        <f aca="false">Quesería!$B$52*(J785+J786+J787+J791+J792)</f>
        <v>0.305985928469511</v>
      </c>
      <c r="K793" s="29" t="n">
        <f aca="false">Quesería!$B$52*(K785+K786+K787+K791+K792)</f>
        <v>0.305985928469511</v>
      </c>
      <c r="L793" s="29" t="n">
        <f aca="false">Quesería!$B$52*(L785+L786+L787+L791+L792)</f>
        <v>0.305985928469511</v>
      </c>
    </row>
    <row r="794" customFormat="false" ht="15" hidden="true" customHeight="false" outlineLevel="1" collapsed="false">
      <c r="A794" s="6" t="s">
        <v>416</v>
      </c>
      <c r="B794" s="29" t="n">
        <f aca="false">(IF($S$19=1,(SUMPRODUCT((Quesería!$C$70:$C$89=0)*(Quesería!$J$70:$J$89&gt;0)*(B$47&gt;=1)*(B$47&lt;=Quesería!$J$70:$J$89)*(Quesería!$H$70:$H$89&gt;0)*Quesería!$F$70:$F$89*(1+Quesería!$I$70:$I$89)/(Quesería!$J$70:$J$89+(Quesería!$J$70:$J$89=0)))+SUMPRODUCT((Quesería!$C$70:$C$89=0)*(Quesería!$J$70:$J$89=0)*(B$47=0)*(Quesería!$H$70:$H$89&gt;0)*Quesería!$F$70:$F$89*(1+Quesería!$I$70:$I$89)))*$B$782+((SUMPRODUCT((Quesería!$C$70:$C$89=1)*(Quesería!$J$70:$J$89&gt;0)*(B$47&gt;=2)*(B$47&lt;=Quesería!$J$70:$J$89+1)*(Quesería!$H$70:$H$89&gt;0)*Quesería!$F$70:$F$89*(1+Quesería!$I$70:$I$89)/(Quesería!$J$70:$J$89+(Quesería!$J$70:$J$89=0)))+SUMPRODUCT((Quesería!$C$70:$C$89=1)*(Quesería!$J$70:$J$89=0)*(B$47=1)*(Quesería!$H$70:$H$89&gt;0)*Quesería!$F$70:$F$89*(1+Quesería!$I$70:$I$89)))-(-$S$26)*IF(AND(B$47&gt;=2,B$47&lt;=Quesería!$J$86+1),Quesería!$D$86*(1+Quesería!$I$86)/Quesería!$J$86,0))*$C$782*$S$21,IF(AND(B$47&gt;=1,B$47&lt;=Quesería!$B$30),Quesería!$F$92/Quesería!$B$30,0)*$B$782+IF(AND(B$47&gt;=2,B$47&lt;=Quesería!$B$30+1),(Quesería!$F$93-(-$S$26)*Quesería!$D$86*(1+Quesería!$I$86))/Quesería!$B$30,0)*$C$782*$S$21)*$S$11+IF(AND(B$47&gt;=6,B$47&lt;=10),$G786*$G782/5,0)+IF(AND(B$47&gt;=7,B$47&lt;=11),$H786*$H782/5,0))*B784</f>
        <v>145.980915430742</v>
      </c>
      <c r="C794" s="29" t="n">
        <f aca="false">(IF($S$19=1,(SUMPRODUCT((Quesería!$C$70:$C$89=0)*(Quesería!$J$70:$J$89&gt;0)*(C$47&gt;=1)*(C$47&lt;=Quesería!$J$70:$J$89)*(Quesería!$H$70:$H$89&gt;0)*Quesería!$F$70:$F$89*(1+Quesería!$I$70:$I$89)/(Quesería!$J$70:$J$89+(Quesería!$J$70:$J$89=0)))+SUMPRODUCT((Quesería!$C$70:$C$89=0)*(Quesería!$J$70:$J$89=0)*(C$47=0)*(Quesería!$H$70:$H$89&gt;0)*Quesería!$F$70:$F$89*(1+Quesería!$I$70:$I$89)))*$B$782+((SUMPRODUCT((Quesería!$C$70:$C$89=1)*(Quesería!$J$70:$J$89&gt;0)*(C$47&gt;=2)*(C$47&lt;=Quesería!$J$70:$J$89+1)*(Quesería!$H$70:$H$89&gt;0)*Quesería!$F$70:$F$89*(1+Quesería!$I$70:$I$89)/(Quesería!$J$70:$J$89+(Quesería!$J$70:$J$89=0)))+SUMPRODUCT((Quesería!$C$70:$C$89=1)*(Quesería!$J$70:$J$89=0)*(C$47=1)*(Quesería!$H$70:$H$89&gt;0)*Quesería!$F$70:$F$89*(1+Quesería!$I$70:$I$89)))-(-$S$26)*IF(AND(C$47&gt;=2,C$47&lt;=Quesería!$J$86+1),Quesería!$D$86*(1+Quesería!$I$86)/Quesería!$J$86,0))*$C$782*$S$21,IF(AND(C$47&gt;=1,C$47&lt;=Quesería!$B$30),Quesería!$F$92/Quesería!$B$30,0)*$B$782+IF(AND(C$47&gt;=2,C$47&lt;=Quesería!$B$30+1),(Quesería!$F$93-(-$S$26)*Quesería!$D$86*(1+Quesería!$I$86))/Quesería!$B$30,0)*$C$782*$S$21)*$S$11+IF(AND(C$47&gt;=6,C$47&lt;=10),$G786*$G782/5,0)+IF(AND(C$47&gt;=7,C$47&lt;=11),$H786*$H782/5,0))*C784</f>
        <v>82.2633269524265</v>
      </c>
      <c r="D794" s="29" t="n">
        <f aca="false">(IF($S$19=1,(SUMPRODUCT((Quesería!$C$70:$C$89=0)*(Quesería!$J$70:$J$89&gt;0)*(D$47&gt;=1)*(D$47&lt;=Quesería!$J$70:$J$89)*(Quesería!$H$70:$H$89&gt;0)*Quesería!$F$70:$F$89*(1+Quesería!$I$70:$I$89)/(Quesería!$J$70:$J$89+(Quesería!$J$70:$J$89=0)))+SUMPRODUCT((Quesería!$C$70:$C$89=0)*(Quesería!$J$70:$J$89=0)*(D$47=0)*(Quesería!$H$70:$H$89&gt;0)*Quesería!$F$70:$F$89*(1+Quesería!$I$70:$I$89)))*$B$782+((SUMPRODUCT((Quesería!$C$70:$C$89=1)*(Quesería!$J$70:$J$89&gt;0)*(D$47&gt;=2)*(D$47&lt;=Quesería!$J$70:$J$89+1)*(Quesería!$H$70:$H$89&gt;0)*Quesería!$F$70:$F$89*(1+Quesería!$I$70:$I$89)/(Quesería!$J$70:$J$89+(Quesería!$J$70:$J$89=0)))+SUMPRODUCT((Quesería!$C$70:$C$89=1)*(Quesería!$J$70:$J$89=0)*(D$47=1)*(Quesería!$H$70:$H$89&gt;0)*Quesería!$F$70:$F$89*(1+Quesería!$I$70:$I$89)))-(-$S$26)*IF(AND(D$47&gt;=2,D$47&lt;=Quesería!$J$86+1),Quesería!$D$86*(1+Quesería!$I$86)/Quesería!$J$86,0))*$C$782*$S$21,IF(AND(D$47&gt;=1,D$47&lt;=Quesería!$B$30),Quesería!$F$92/Quesería!$B$30,0)*$B$782+IF(AND(D$47&gt;=2,D$47&lt;=Quesería!$B$30+1),(Quesería!$F$93-(-$S$26)*Quesería!$D$86*(1+Quesería!$I$86))/Quesería!$B$30,0)*$C$782*$S$21)*$S$11+IF(AND(D$47&gt;=6,D$47&lt;=10),$G786*$G782/5,0)+IF(AND(D$47&gt;=7,D$47&lt;=11),$H786*$H782/5,0))*D784</f>
        <v>141.732280975958</v>
      </c>
      <c r="E794" s="29" t="n">
        <f aca="false">(IF($S$19=1,(SUMPRODUCT((Quesería!$C$70:$C$89=0)*(Quesería!$J$70:$J$89&gt;0)*(E$47&gt;=1)*(E$47&lt;=Quesería!$J$70:$J$89)*(Quesería!$H$70:$H$89&gt;0)*Quesería!$F$70:$F$89*(1+Quesería!$I$70:$I$89)/(Quesería!$J$70:$J$89+(Quesería!$J$70:$J$89=0)))+SUMPRODUCT((Quesería!$C$70:$C$89=0)*(Quesería!$J$70:$J$89=0)*(E$47=0)*(Quesería!$H$70:$H$89&gt;0)*Quesería!$F$70:$F$89*(1+Quesería!$I$70:$I$89)))*$B$782+((SUMPRODUCT((Quesería!$C$70:$C$89=1)*(Quesería!$J$70:$J$89&gt;0)*(E$47&gt;=2)*(E$47&lt;=Quesería!$J$70:$J$89+1)*(Quesería!$H$70:$H$89&gt;0)*Quesería!$F$70:$F$89*(1+Quesería!$I$70:$I$89)/(Quesería!$J$70:$J$89+(Quesería!$J$70:$J$89=0)))+SUMPRODUCT((Quesería!$C$70:$C$89=1)*(Quesería!$J$70:$J$89=0)*(E$47=1)*(Quesería!$H$70:$H$89&gt;0)*Quesería!$F$70:$F$89*(1+Quesería!$I$70:$I$89)))-(-$S$26)*IF(AND(E$47&gt;=2,E$47&lt;=Quesería!$J$86+1),Quesería!$D$86*(1+Quesería!$I$86)/Quesería!$J$86,0))*$C$782*$S$21,IF(AND(E$47&gt;=1,E$47&lt;=Quesería!$B$30),Quesería!$F$92/Quesería!$B$30,0)*$B$782+IF(AND(E$47&gt;=2,E$47&lt;=Quesería!$B$30+1),(Quesería!$F$93-(-$S$26)*Quesería!$D$86*(1+Quesería!$I$86))/Quesería!$B$30,0)*$C$782*$S$21)*$S$11+IF(AND(E$47&gt;=6,E$47&lt;=10),$G786*$G782/5,0)+IF(AND(E$47&gt;=7,E$47&lt;=11),$H786*$H782/5,0))*E784</f>
        <v>136.28103939996</v>
      </c>
      <c r="F794" s="29" t="n">
        <f aca="false">(IF($S$19=1,(SUMPRODUCT((Quesería!$C$70:$C$89=0)*(Quesería!$J$70:$J$89&gt;0)*(F$47&gt;=1)*(F$47&lt;=Quesería!$J$70:$J$89)*(Quesería!$H$70:$H$89&gt;0)*Quesería!$F$70:$F$89*(1+Quesería!$I$70:$I$89)/(Quesería!$J$70:$J$89+(Quesería!$J$70:$J$89=0)))+SUMPRODUCT((Quesería!$C$70:$C$89=0)*(Quesería!$J$70:$J$89=0)*(F$47=0)*(Quesería!$H$70:$H$89&gt;0)*Quesería!$F$70:$F$89*(1+Quesería!$I$70:$I$89)))*$B$782+((SUMPRODUCT((Quesería!$C$70:$C$89=1)*(Quesería!$J$70:$J$89&gt;0)*(F$47&gt;=2)*(F$47&lt;=Quesería!$J$70:$J$89+1)*(Quesería!$H$70:$H$89&gt;0)*Quesería!$F$70:$F$89*(1+Quesería!$I$70:$I$89)/(Quesería!$J$70:$J$89+(Quesería!$J$70:$J$89=0)))+SUMPRODUCT((Quesería!$C$70:$C$89=1)*(Quesería!$J$70:$J$89=0)*(F$47=1)*(Quesería!$H$70:$H$89&gt;0)*Quesería!$F$70:$F$89*(1+Quesería!$I$70:$I$89)))-(-$S$26)*IF(AND(F$47&gt;=2,F$47&lt;=Quesería!$J$86+1),Quesería!$D$86*(1+Quesería!$I$86)/Quesería!$J$86,0))*$C$782*$S$21,IF(AND(F$47&gt;=1,F$47&lt;=Quesería!$B$30),Quesería!$F$92/Quesería!$B$30,0)*$B$782+IF(AND(F$47&gt;=2,F$47&lt;=Quesería!$B$30+1),(Quesería!$F$93-(-$S$26)*Quesería!$D$86*(1+Quesería!$I$86))/Quesería!$B$30,0)*$C$782*$S$21)*$S$11+IF(AND(F$47&gt;=6,F$47&lt;=10),$G786*$G782/5,0)+IF(AND(F$47&gt;=7,F$47&lt;=11),$H786*$H782/5,0))*F784</f>
        <v>131.0394609615</v>
      </c>
      <c r="G794" s="29" t="n">
        <f aca="false">(IF($S$19=1,(SUMPRODUCT((Quesería!$C$70:$C$89=0)*(Quesería!$J$70:$J$89&gt;0)*(G$47&gt;=1)*(G$47&lt;=Quesería!$J$70:$J$89)*(Quesería!$H$70:$H$89&gt;0)*Quesería!$F$70:$F$89*(1+Quesería!$I$70:$I$89)/(Quesería!$J$70:$J$89+(Quesería!$J$70:$J$89=0)))+SUMPRODUCT((Quesería!$C$70:$C$89=0)*(Quesería!$J$70:$J$89=0)*(G$47=0)*(Quesería!$H$70:$H$89&gt;0)*Quesería!$F$70:$F$89*(1+Quesería!$I$70:$I$89)))*$B$782+((SUMPRODUCT((Quesería!$C$70:$C$89=1)*(Quesería!$J$70:$J$89&gt;0)*(G$47&gt;=2)*(G$47&lt;=Quesería!$J$70:$J$89+1)*(Quesería!$H$70:$H$89&gt;0)*Quesería!$F$70:$F$89*(1+Quesería!$I$70:$I$89)/(Quesería!$J$70:$J$89+(Quesería!$J$70:$J$89=0)))+SUMPRODUCT((Quesería!$C$70:$C$89=1)*(Quesería!$J$70:$J$89=0)*(G$47=1)*(Quesería!$H$70:$H$89&gt;0)*Quesería!$F$70:$F$89*(1+Quesería!$I$70:$I$89)))-(-$S$26)*IF(AND(G$47&gt;=2,G$47&lt;=Quesería!$J$86+1),Quesería!$D$86*(1+Quesería!$I$86)/Quesería!$J$86,0))*$C$782*$S$21,IF(AND(G$47&gt;=1,G$47&lt;=Quesería!$B$30),Quesería!$F$92/Quesería!$B$30,0)*$B$782+IF(AND(G$47&gt;=2,G$47&lt;=Quesería!$B$30+1),(Quesería!$F$93-(-$S$26)*Quesería!$D$86*(1+Quesería!$I$86))/Quesería!$B$30,0)*$C$782*$S$21)*$S$11+IF(AND(G$47&gt;=6,G$47&lt;=10),$G786*$G782/5,0)+IF(AND(G$47&gt;=7,G$47&lt;=11),$H786*$H782/5,0))*G784</f>
        <v>125.99948169375</v>
      </c>
      <c r="H794" s="29" t="n">
        <f aca="false">(IF($S$19=1,(SUMPRODUCT((Quesería!$C$70:$C$89=0)*(Quesería!$J$70:$J$89&gt;0)*(H$47&gt;=1)*(H$47&lt;=Quesería!$J$70:$J$89)*(Quesería!$H$70:$H$89&gt;0)*Quesería!$F$70:$F$89*(1+Quesería!$I$70:$I$89)/(Quesería!$J$70:$J$89+(Quesería!$J$70:$J$89=0)))+SUMPRODUCT((Quesería!$C$70:$C$89=0)*(Quesería!$J$70:$J$89=0)*(H$47=0)*(Quesería!$H$70:$H$89&gt;0)*Quesería!$F$70:$F$89*(1+Quesería!$I$70:$I$89)))*$B$782+((SUMPRODUCT((Quesería!$C$70:$C$89=1)*(Quesería!$J$70:$J$89&gt;0)*(H$47&gt;=2)*(H$47&lt;=Quesería!$J$70:$J$89+1)*(Quesería!$H$70:$H$89&gt;0)*Quesería!$F$70:$F$89*(1+Quesería!$I$70:$I$89)/(Quesería!$J$70:$J$89+(Quesería!$J$70:$J$89=0)))+SUMPRODUCT((Quesería!$C$70:$C$89=1)*(Quesería!$J$70:$J$89=0)*(H$47=1)*(Quesería!$H$70:$H$89&gt;0)*Quesería!$F$70:$F$89*(1+Quesería!$I$70:$I$89)))-(-$S$26)*IF(AND(H$47&gt;=2,H$47&lt;=Quesería!$J$86+1),Quesería!$D$86*(1+Quesería!$I$86)/Quesería!$J$86,0))*$C$782*$S$21,IF(AND(H$47&gt;=1,H$47&lt;=Quesería!$B$30),Quesería!$F$92/Quesería!$B$30,0)*$B$782+IF(AND(H$47&gt;=2,H$47&lt;=Quesería!$B$30+1),(Quesería!$F$93-(-$S$26)*Quesería!$D$86*(1+Quesería!$I$86))/Quesería!$B$30,0)*$C$782*$S$21)*$S$11+IF(AND(H$47&gt;=6,H$47&lt;=10),$G786*$G782/5,0)+IF(AND(H$47&gt;=7,H$47&lt;=11),$H786*$H782/5,0))*H784</f>
        <v>114.13472617855</v>
      </c>
      <c r="I794" s="29" t="n">
        <f aca="false">(IF($S$19=1,(SUMPRODUCT((Quesería!$C$70:$C$89=0)*(Quesería!$J$70:$J$89&gt;0)*(I$47&gt;=1)*(I$47&lt;=Quesería!$J$70:$J$89)*(Quesería!$H$70:$H$89&gt;0)*Quesería!$F$70:$F$89*(1+Quesería!$I$70:$I$89)/(Quesería!$J$70:$J$89+(Quesería!$J$70:$J$89=0)))+SUMPRODUCT((Quesería!$C$70:$C$89=0)*(Quesería!$J$70:$J$89=0)*(I$47=0)*(Quesería!$H$70:$H$89&gt;0)*Quesería!$F$70:$F$89*(1+Quesería!$I$70:$I$89)))*$B$782+((SUMPRODUCT((Quesería!$C$70:$C$89=1)*(Quesería!$J$70:$J$89&gt;0)*(I$47&gt;=2)*(I$47&lt;=Quesería!$J$70:$J$89+1)*(Quesería!$H$70:$H$89&gt;0)*Quesería!$F$70:$F$89*(1+Quesería!$I$70:$I$89)/(Quesería!$J$70:$J$89+(Quesería!$J$70:$J$89=0)))+SUMPRODUCT((Quesería!$C$70:$C$89=1)*(Quesería!$J$70:$J$89=0)*(I$47=1)*(Quesería!$H$70:$H$89&gt;0)*Quesería!$F$70:$F$89*(1+Quesería!$I$70:$I$89)))-(-$S$26)*IF(AND(I$47&gt;=2,I$47&lt;=Quesería!$J$86+1),Quesería!$D$86*(1+Quesería!$I$86)/Quesería!$J$86,0))*$C$782*$S$21,IF(AND(I$47&gt;=1,I$47&lt;=Quesería!$B$30),Quesería!$F$92/Quesería!$B$30,0)*$B$782+IF(AND(I$47&gt;=2,I$47&lt;=Quesería!$B$30+1),(Quesería!$F$93-(-$S$26)*Quesería!$D$86*(1+Quesería!$I$86))/Quesería!$B$30,0)*$C$782*$S$21)*$S$11+IF(AND(I$47&gt;=6,I$47&lt;=10),$G786*$G782/5,0)+IF(AND(I$47&gt;=7,I$47&lt;=11),$H786*$H782/5,0))*I784</f>
        <v>118.665920500713</v>
      </c>
      <c r="J794" s="29" t="n">
        <f aca="false">(IF($S$19=1,(SUMPRODUCT((Quesería!$C$70:$C$89=0)*(Quesería!$J$70:$J$89&gt;0)*(J$47&gt;=1)*(J$47&lt;=Quesería!$J$70:$J$89)*(Quesería!$H$70:$H$89&gt;0)*Quesería!$F$70:$F$89*(1+Quesería!$I$70:$I$89)/(Quesería!$J$70:$J$89+(Quesería!$J$70:$J$89=0)))+SUMPRODUCT((Quesería!$C$70:$C$89=0)*(Quesería!$J$70:$J$89=0)*(J$47=0)*(Quesería!$H$70:$H$89&gt;0)*Quesería!$F$70:$F$89*(1+Quesería!$I$70:$I$89)))*$B$782+((SUMPRODUCT((Quesería!$C$70:$C$89=1)*(Quesería!$J$70:$J$89&gt;0)*(J$47&gt;=2)*(J$47&lt;=Quesería!$J$70:$J$89+1)*(Quesería!$H$70:$H$89&gt;0)*Quesería!$F$70:$F$89*(1+Quesería!$I$70:$I$89)/(Quesería!$J$70:$J$89+(Quesería!$J$70:$J$89=0)))+SUMPRODUCT((Quesería!$C$70:$C$89=1)*(Quesería!$J$70:$J$89=0)*(J$47=1)*(Quesería!$H$70:$H$89&gt;0)*Quesería!$F$70:$F$89*(1+Quesería!$I$70:$I$89)))-(-$S$26)*IF(AND(J$47&gt;=2,J$47&lt;=Quesería!$J$86+1),Quesería!$D$86*(1+Quesería!$I$86)/Quesería!$J$86,0))*$C$782*$S$21,IF(AND(J$47&gt;=1,J$47&lt;=Quesería!$B$30),Quesería!$F$92/Quesería!$B$30,0)*$B$782+IF(AND(J$47&gt;=2,J$47&lt;=Quesería!$B$30+1),(Quesería!$F$93-(-$S$26)*Quesería!$D$86*(1+Quesería!$I$86))/Quesería!$B$30,0)*$C$782*$S$21)*$S$11+IF(AND(J$47&gt;=6,J$47&lt;=10),$G786*$G782/5,0)+IF(AND(J$47&gt;=7,J$47&lt;=11),$H786*$H782/5,0))*J784</f>
        <v>114.101846635301</v>
      </c>
      <c r="K794" s="29" t="n">
        <f aca="false">(IF($S$19=1,(SUMPRODUCT((Quesería!$C$70:$C$89=0)*(Quesería!$J$70:$J$89&gt;0)*(K$47&gt;=1)*(K$47&lt;=Quesería!$J$70:$J$89)*(Quesería!$H$70:$H$89&gt;0)*Quesería!$F$70:$F$89*(1+Quesería!$I$70:$I$89)/(Quesería!$J$70:$J$89+(Quesería!$J$70:$J$89=0)))+SUMPRODUCT((Quesería!$C$70:$C$89=0)*(Quesería!$J$70:$J$89=0)*(K$47=0)*(Quesería!$H$70:$H$89&gt;0)*Quesería!$F$70:$F$89*(1+Quesería!$I$70:$I$89)))*$B$782+((SUMPRODUCT((Quesería!$C$70:$C$89=1)*(Quesería!$J$70:$J$89&gt;0)*(K$47&gt;=2)*(K$47&lt;=Quesería!$J$70:$J$89+1)*(Quesería!$H$70:$H$89&gt;0)*Quesería!$F$70:$F$89*(1+Quesería!$I$70:$I$89)/(Quesería!$J$70:$J$89+(Quesería!$J$70:$J$89=0)))+SUMPRODUCT((Quesería!$C$70:$C$89=1)*(Quesería!$J$70:$J$89=0)*(K$47=1)*(Quesería!$H$70:$H$89&gt;0)*Quesería!$F$70:$F$89*(1+Quesería!$I$70:$I$89)))-(-$S$26)*IF(AND(K$47&gt;=2,K$47&lt;=Quesería!$J$86+1),Quesería!$D$86*(1+Quesería!$I$86)/Quesería!$J$86,0))*$C$782*$S$21,IF(AND(K$47&gt;=1,K$47&lt;=Quesería!$B$30),Quesería!$F$92/Quesería!$B$30,0)*$B$782+IF(AND(K$47&gt;=2,K$47&lt;=Quesería!$B$30+1),(Quesería!$F$93-(-$S$26)*Quesería!$D$86*(1+Quesería!$I$86))/Quesería!$B$30,0)*$C$782*$S$21)*$S$11+IF(AND(K$47&gt;=6,K$47&lt;=10),$G786*$G782/5,0)+IF(AND(K$47&gt;=7,K$47&lt;=11),$H786*$H782/5,0))*K784</f>
        <v>109.713314072405</v>
      </c>
      <c r="L794" s="29" t="n">
        <f aca="false">(IF($S$19=1,(SUMPRODUCT((Quesería!$C$70:$C$89=0)*(Quesería!$J$70:$J$89&gt;0)*(L$47&gt;=1)*(L$47&lt;=Quesería!$J$70:$J$89)*(Quesería!$H$70:$H$89&gt;0)*Quesería!$F$70:$F$89*(1+Quesería!$I$70:$I$89)/(Quesería!$J$70:$J$89+(Quesería!$J$70:$J$89=0)))+SUMPRODUCT((Quesería!$C$70:$C$89=0)*(Quesería!$J$70:$J$89=0)*(L$47=0)*(Quesería!$H$70:$H$89&gt;0)*Quesería!$F$70:$F$89*(1+Quesería!$I$70:$I$89)))*$B$782+((SUMPRODUCT((Quesería!$C$70:$C$89=1)*(Quesería!$J$70:$J$89&gt;0)*(L$47&gt;=2)*(L$47&lt;=Quesería!$J$70:$J$89+1)*(Quesería!$H$70:$H$89&gt;0)*Quesería!$F$70:$F$89*(1+Quesería!$I$70:$I$89)/(Quesería!$J$70:$J$89+(Quesería!$J$70:$J$89=0)))+SUMPRODUCT((Quesería!$C$70:$C$89=1)*(Quesería!$J$70:$J$89=0)*(L$47=1)*(Quesería!$H$70:$H$89&gt;0)*Quesería!$F$70:$F$89*(1+Quesería!$I$70:$I$89)))-(-$S$26)*IF(AND(L$47&gt;=2,L$47&lt;=Quesería!$J$86+1),Quesería!$D$86*(1+Quesería!$I$86)/Quesería!$J$86,0))*$C$782*$S$21,IF(AND(L$47&gt;=1,L$47&lt;=Quesería!$B$30),Quesería!$F$92/Quesería!$B$30,0)*$B$782+IF(AND(L$47&gt;=2,L$47&lt;=Quesería!$B$30+1),(Quesería!$F$93-(-$S$26)*Quesería!$D$86*(1+Quesería!$I$86))/Quesería!$B$30,0)*$C$782*$S$21)*$S$11+IF(AND(L$47&gt;=6,L$47&lt;=10),$G786*$G782/5,0)+IF(AND(L$47&gt;=7,L$47&lt;=11),$H786*$H782/5,0))*L784</f>
        <v>105.493571223466</v>
      </c>
    </row>
    <row r="795" customFormat="false" ht="15" hidden="true" customHeight="false" outlineLevel="1" collapsed="false">
      <c r="A795" s="9" t="s">
        <v>417</v>
      </c>
      <c r="B795" s="58" t="n">
        <f aca="false">IF(B$47=1,MIN($S$7*$S$26*Quesería!$B$56*Quesería!$D$86*$S$11*$S$21,Quesería!$B$57*Quesería!$B$58),0)</f>
        <v>0</v>
      </c>
      <c r="C795" s="58" t="n">
        <f aca="false">IF(C$47=1,MIN($S$7*$S$26*Quesería!$B$56*Quesería!$D$86*$S$11*$S$21,Quesería!$B$57*Quesería!$B$58),0)</f>
        <v>0</v>
      </c>
      <c r="D795" s="58" t="n">
        <f aca="false">IF(D$47=1,MIN($S$7*$S$26*Quesería!$B$56*Quesería!$D$86*$S$11*$S$21,Quesería!$B$57*Quesería!$B$58),0)</f>
        <v>0</v>
      </c>
      <c r="E795" s="58" t="n">
        <f aca="false">IF(E$47=1,MIN($S$7*$S$26*Quesería!$B$56*Quesería!$D$86*$S$11*$S$21,Quesería!$B$57*Quesería!$B$58),0)</f>
        <v>0</v>
      </c>
      <c r="F795" s="58" t="n">
        <f aca="false">IF(F$47=1,MIN($S$7*$S$26*Quesería!$B$56*Quesería!$D$86*$S$11*$S$21,Quesería!$B$57*Quesería!$B$58),0)</f>
        <v>0</v>
      </c>
      <c r="G795" s="58" t="n">
        <f aca="false">IF(G$47=1,MIN($S$7*$S$26*Quesería!$B$56*Quesería!$D$86*$S$11*$S$21,Quesería!$B$57*Quesería!$B$58),0)</f>
        <v>0</v>
      </c>
      <c r="H795" s="58" t="n">
        <f aca="false">IF(H$47=1,MIN($S$7*$S$26*Quesería!$B$56*Quesería!$D$86*$S$11*$S$21,Quesería!$B$57*Quesería!$B$58),0)</f>
        <v>0</v>
      </c>
      <c r="I795" s="58" t="n">
        <f aca="false">IF(I$47=1,MIN($S$7*$S$26*Quesería!$B$56*Quesería!$D$86*$S$11*$S$21,Quesería!$B$57*Quesería!$B$58),0)</f>
        <v>0</v>
      </c>
      <c r="J795" s="58" t="n">
        <f aca="false">IF(J$47=1,MIN($S$7*$S$26*Quesería!$B$56*Quesería!$D$86*$S$11*$S$21,Quesería!$B$57*Quesería!$B$58),0)</f>
        <v>0</v>
      </c>
      <c r="K795" s="58" t="n">
        <f aca="false">IF(K$47=1,MIN($S$7*$S$26*Quesería!$B$56*Quesería!$D$86*$S$11*$S$21,Quesería!$B$57*Quesería!$B$58),0)</f>
        <v>0</v>
      </c>
      <c r="L795" s="58" t="n">
        <f aca="false">IF(L$47=1,MIN($S$7*$S$26*Quesería!$B$56*Quesería!$D$86*$S$11*$S$21,Quesería!$B$57*Quesería!$B$58),0)</f>
        <v>0</v>
      </c>
    </row>
    <row r="796" customFormat="false" ht="15" hidden="true" customHeight="false" outlineLevel="1" collapsed="false">
      <c r="A796" s="9" t="s">
        <v>418</v>
      </c>
      <c r="B796" s="58" t="n">
        <v>0</v>
      </c>
      <c r="C796" s="58" t="n">
        <f aca="false">$S$20*Quesería!$B$60*Quesería!$F$98*$S$11*$B$782/C782/2</f>
        <v>138.12868344741</v>
      </c>
      <c r="D796" s="58" t="n">
        <f aca="false">$S$20*Quesería!$B$60*Quesería!$F$98*$S$11*$B$782/D782/2</f>
        <v>132.18055832288</v>
      </c>
      <c r="E796" s="58" t="n">
        <v>0</v>
      </c>
      <c r="F796" s="58" t="n">
        <v>0</v>
      </c>
      <c r="G796" s="58" t="n">
        <v>0</v>
      </c>
      <c r="H796" s="58" t="n">
        <v>0</v>
      </c>
      <c r="I796" s="58" t="n">
        <v>0</v>
      </c>
      <c r="J796" s="58" t="n">
        <v>0</v>
      </c>
      <c r="K796" s="58" t="n">
        <v>0</v>
      </c>
      <c r="L796" s="58" t="n">
        <v>0</v>
      </c>
    </row>
    <row r="797" customFormat="false" ht="15" hidden="true" customHeight="false" outlineLevel="1" collapsed="false">
      <c r="A797" s="9" t="s">
        <v>419</v>
      </c>
      <c r="B797" s="58" t="n">
        <f aca="false">0</f>
        <v>0</v>
      </c>
      <c r="C797" s="58" t="n">
        <f aca="false">B787*B782/C782</f>
        <v>142.014925295407</v>
      </c>
      <c r="D797" s="58" t="n">
        <f aca="false">C787*C782/D782</f>
        <v>119.721648486272</v>
      </c>
      <c r="E797" s="58" t="n">
        <f aca="false">D787*D782/E782</f>
        <v>0</v>
      </c>
      <c r="F797" s="58" t="n">
        <f aca="false">E787*E782/F782</f>
        <v>0</v>
      </c>
      <c r="G797" s="58" t="n">
        <f aca="false">F787*F782/G782</f>
        <v>0</v>
      </c>
      <c r="H797" s="58" t="n">
        <f aca="false">G787*G782/H782</f>
        <v>5.01768392412113</v>
      </c>
      <c r="I797" s="58" t="n">
        <f aca="false">H787*H782/I782</f>
        <v>8.47494190873221</v>
      </c>
      <c r="J797" s="58" t="n">
        <f aca="false">I787*I782/J782</f>
        <v>0</v>
      </c>
      <c r="K797" s="58" t="n">
        <f aca="false">J787*J782/K782</f>
        <v>0</v>
      </c>
      <c r="L797" s="58" t="n">
        <f aca="false">K787*K782/L782</f>
        <v>0</v>
      </c>
    </row>
    <row r="798" customFormat="false" ht="15" hidden="true" customHeight="false" outlineLevel="1" collapsed="false">
      <c r="A798" s="6" t="s">
        <v>295</v>
      </c>
      <c r="B798" s="29" t="n">
        <f aca="false">$S$17*(B790-B791-B792-0.5*B793-B794)-B795-B796-B797</f>
        <v>-9.59839124703308</v>
      </c>
      <c r="C798" s="29" t="n">
        <f aca="false">$S$17*(C790-C791-C792-0.5*C793-C794)-C795-C796-C797</f>
        <v>-267.27574962886</v>
      </c>
      <c r="D798" s="29" t="n">
        <f aca="false">$S$17*(D790-D791-D792-0.5*D793-D794)-D795-D796-D797</f>
        <v>-153.621746486017</v>
      </c>
      <c r="E798" s="29" t="n">
        <f aca="false">$S$17*(E790-E791-E792-0.5*E793-E794)-E795-E796-E797</f>
        <v>125.109835670203</v>
      </c>
      <c r="F798" s="29" t="n">
        <f aca="false">$S$17*(F790-F791-F792-0.5*F793-F794)-F795-F796-F797</f>
        <v>127.052611986067</v>
      </c>
      <c r="G798" s="29" t="n">
        <f aca="false">$S$17*(G790-G791-G792-0.5*G793-G794)-G795-G796-G797</f>
        <v>128.902491185509</v>
      </c>
      <c r="H798" s="29" t="n">
        <f aca="false">$S$17*(H790-H791-H792-0.5*H793-H794)-H795-H796-H797</f>
        <v>128.131016857608</v>
      </c>
      <c r="I798" s="29" t="n">
        <f aca="false">$S$17*(I790-I791-I792-0.5*I793-I794)-I795-I796-I797</f>
        <v>123.236338377604</v>
      </c>
      <c r="J798" s="29" t="n">
        <f aca="false">$S$17*(J790-J791-J792-0.5*J793-J794)-J795-J796-J797</f>
        <v>133.41911076664</v>
      </c>
      <c r="K798" s="29" t="n">
        <f aca="false">$S$17*(K790-K791-K792-0.5*K793-K794)-K795-K796-K797</f>
        <v>135.0660538142</v>
      </c>
      <c r="L798" s="29" t="n">
        <f aca="false">$S$17*(L790-L791-L792-0.5*L793-L794)-L795-L796-L797</f>
        <v>136.654475245128</v>
      </c>
    </row>
    <row r="799" customFormat="false" ht="15" hidden="true" customHeight="false" outlineLevel="1" collapsed="false">
      <c r="A799" s="9" t="s">
        <v>420</v>
      </c>
      <c r="B799" s="58" t="n">
        <f aca="false">(IF(B$47&gt;=1,Quesería!$G$124*IF(B$47=1,Quesería!$B$20,1),Quesería!$G$124*Quesería!$B$20*Quesería!$B$21/12*$S$23)+IF(B$47&gt;=2,(Quesería!$G$125-(1-$S$24)*Quesería!$G$117-(-$S$26*$S$27)*'Beneficios y costos'!$D$167)*$S$21*IF(B$47=2,Quesería!$B$20,1),0))*$S$10</f>
        <v>77.4042870161869</v>
      </c>
      <c r="C799" s="58" t="n">
        <f aca="false">(IF(C$47&gt;=1,Quesería!$G$124*IF(C$47=1,Quesería!$B$20,1),Quesería!$G$124*Quesería!$B$20*Quesería!$B$21/12*$S$23)+IF(C$47&gt;=2,(Quesería!$G$125-(1-$S$24)*Quesería!$G$117-(-$S$26*$S$27)*'Beneficios y costos'!$D$167)*$S$21*IF(C$47=2,Quesería!$B$20,1),0))*$S$10</f>
        <v>116.10643052428</v>
      </c>
      <c r="D799" s="58" t="n">
        <f aca="false">(IF(D$47&gt;=1,Quesería!$G$124*IF(D$47=1,Quesería!$B$20,1),Quesería!$G$124*Quesería!$B$20*Quesería!$B$21/12*$S$23)+IF(D$47&gt;=2,(Quesería!$G$125-(1-$S$24)*Quesería!$G$117-(-$S$26*$S$27)*'Beneficios y costos'!$D$167)*$S$21*IF(D$47=2,Quesería!$B$20,1),0))*$S$10</f>
        <v>2023.78917421887</v>
      </c>
      <c r="E799" s="58" t="n">
        <f aca="false">(IF(E$47&gt;=1,Quesería!$G$124*IF(E$47=1,Quesería!$B$20,1),Quesería!$G$124*Quesería!$B$20*Quesería!$B$21/12*$S$23)+IF(E$47&gt;=2,(Quesería!$G$125-(1-$S$24)*Quesería!$G$117-(-$S$26*$S$27)*'Beneficios y costos'!$D$167)*$S$21*IF(E$47=2,Quesería!$B$20,1),0))*$S$10</f>
        <v>2646.78270761437</v>
      </c>
      <c r="F799" s="58" t="n">
        <f aca="false">(IF(F$47&gt;=1,Quesería!$G$124*IF(F$47=1,Quesería!$B$20,1),Quesería!$G$124*Quesería!$B$20*Quesería!$B$21/12*$S$23)+IF(F$47&gt;=2,(Quesería!$G$125-(1-$S$24)*Quesería!$G$117-(-$S$26*$S$27)*'Beneficios y costos'!$D$167)*$S$21*IF(F$47=2,Quesería!$B$20,1),0))*$S$10</f>
        <v>2646.78270761437</v>
      </c>
      <c r="G799" s="58" t="n">
        <f aca="false">(IF(G$47&gt;=1,Quesería!$G$124*IF(G$47=1,Quesería!$B$20,1),Quesería!$G$124*Quesería!$B$20*Quesería!$B$21/12*$S$23)+IF(G$47&gt;=2,(Quesería!$G$125-(1-$S$24)*Quesería!$G$117-(-$S$26*$S$27)*'Beneficios y costos'!$D$167)*$S$21*IF(G$47=2,Quesería!$B$20,1),0))*$S$10</f>
        <v>2646.78270761437</v>
      </c>
      <c r="H799" s="58" t="n">
        <f aca="false">(IF(H$47&gt;=1,Quesería!$G$124*IF(H$47=1,Quesería!$B$20,1),Quesería!$G$124*Quesería!$B$20*Quesería!$B$21/12*$S$23)+IF(H$47&gt;=2,(Quesería!$G$125-(1-$S$24)*Quesería!$G$117-(-$S$26*$S$27)*'Beneficios y costos'!$D$167)*$S$21*IF(H$47=2,Quesería!$B$20,1),0))*$S$10</f>
        <v>2646.78270761437</v>
      </c>
      <c r="I799" s="58" t="n">
        <f aca="false">(IF(I$47&gt;=1,Quesería!$G$124*IF(I$47=1,Quesería!$B$20,1),Quesería!$G$124*Quesería!$B$20*Quesería!$B$21/12*$S$23)+IF(I$47&gt;=2,(Quesería!$G$125-(1-$S$24)*Quesería!$G$117-(-$S$26*$S$27)*'Beneficios y costos'!$D$167)*$S$21*IF(I$47=2,Quesería!$B$20,1),0))*$S$10</f>
        <v>2646.78270761437</v>
      </c>
      <c r="J799" s="58" t="n">
        <f aca="false">(IF(J$47&gt;=1,Quesería!$G$124*IF(J$47=1,Quesería!$B$20,1),Quesería!$G$124*Quesería!$B$20*Quesería!$B$21/12*$S$23)+IF(J$47&gt;=2,(Quesería!$G$125-(1-$S$24)*Quesería!$G$117-(-$S$26*$S$27)*'Beneficios y costos'!$D$167)*$S$21*IF(J$47=2,Quesería!$B$20,1),0))*$S$10</f>
        <v>2646.78270761437</v>
      </c>
      <c r="K799" s="58" t="n">
        <f aca="false">(IF(K$47&gt;=1,Quesería!$G$124*IF(K$47=1,Quesería!$B$20,1),Quesería!$G$124*Quesería!$B$20*Quesería!$B$21/12*$S$23)+IF(K$47&gt;=2,(Quesería!$G$125-(1-$S$24)*Quesería!$G$117-(-$S$26*$S$27)*'Beneficios y costos'!$D$167)*$S$21*IF(K$47=2,Quesería!$B$20,1),0))*$S$10</f>
        <v>2646.78270761437</v>
      </c>
      <c r="L799" s="58" t="n">
        <f aca="false">(IF(L$47&gt;=1,Quesería!$G$124*IF(L$47=1,Quesería!$B$20,1),Quesería!$G$124*Quesería!$B$20*Quesería!$B$21/12*$S$23)+IF(L$47&gt;=2,(Quesería!$G$125-(1-$S$24)*Quesería!$G$117-(-$S$26*$S$27)*'Beneficios y costos'!$D$167)*$S$21*IF(L$47=2,Quesería!$B$20,1),0))*$S$10</f>
        <v>2646.78270761437</v>
      </c>
    </row>
    <row r="800" customFormat="false" ht="15" hidden="true" customHeight="false" outlineLevel="1" collapsed="false">
      <c r="A800" s="6" t="s">
        <v>421</v>
      </c>
      <c r="B800" s="29" t="n">
        <f aca="false">(B799*(Quesería!$B$38+Quesería!$B$40*Quesería!$B$39)/365-B791*Quesería!$B$42/365+IF(B$47&gt;=2,($S$25*'Beneficios y costos'!$B$147+(1-$S$25)*'Beneficios y costos'!$B$148)*$S$24*$S$21*$S$10*IF(B$47=2,Quesería!$B$20,1),0))</f>
        <v>7.23146900616979</v>
      </c>
      <c r="C800" s="29" t="n">
        <f aca="false">(C799*(Quesería!$B$38+Quesería!$B$40*Quesería!$B$39)/365-C791*Quesería!$B$42/365+IF(C$47&gt;=2,($S$25*'Beneficios y costos'!$B$147+(1-$S$25)*'Beneficios y costos'!$B$148)*$S$24*$S$21*$S$10*IF(C$47=2,Quesería!$B$20,1),0))-(B799*(Quesería!$B$38+Quesería!$B$40*Quesería!$B$39)/365-B791*Quesería!$B$42/365+IF(B$47&gt;=2,($S$25*'Beneficios y costos'!$B$147+(1-$S$25)*'Beneficios y costos'!$B$148)*$S$24*$S$21*$S$10*IF(B$47=2,Quesería!$B$20,1),0))*B782/C782</f>
        <v>1.42287846600884</v>
      </c>
      <c r="D800" s="29" t="n">
        <f aca="false">(D799*(Quesería!$B$38+Quesería!$B$40*Quesería!$B$39)/365-D791*Quesería!$B$42/365+IF(D$47&gt;=2,($S$25*'Beneficios y costos'!$B$147+(1-$S$25)*'Beneficios y costos'!$B$148)*$S$24*$S$21*$S$10*IF(D$47=2,Quesería!$B$20,1),0))-(C799*(Quesería!$B$38+Quesería!$B$40*Quesería!$B$39)/365-C791*Quesería!$B$42/365+IF(C$47&gt;=2,($S$25*'Beneficios y costos'!$B$147+(1-$S$25)*'Beneficios y costos'!$B$148)*$S$24*$S$21*$S$10*IF(C$47=2,Quesería!$B$20,1),0))*C782/D782</f>
        <v>121.067969072345</v>
      </c>
      <c r="E800" s="29" t="n">
        <f aca="false">(E799*(Quesería!$B$38+Quesería!$B$40*Quesería!$B$39)/365-E791*Quesería!$B$42/365+IF(E$47&gt;=2,($S$25*'Beneficios y costos'!$B$147+(1-$S$25)*'Beneficios y costos'!$B$148)*$S$24*$S$21*$S$10*IF(E$47=2,Quesería!$B$20,1),0))-(D799*(Quesería!$B$38+Quesería!$B$40*Quesería!$B$39)/365-D791*Quesería!$B$42/365+IF(D$47&gt;=2,($S$25*'Beneficios y costos'!$B$147+(1-$S$25)*'Beneficios y costos'!$B$148)*$S$24*$S$21*$S$10*IF(D$47=2,Quesería!$B$20,1),0))*D782/E782</f>
        <v>44.6849531551876</v>
      </c>
      <c r="F800" s="29" t="n">
        <f aca="false">(F799*(Quesería!$B$38+Quesería!$B$40*Quesería!$B$39)/365-F791*Quesería!$B$42/365+IF(F$47&gt;=2,($S$25*'Beneficios y costos'!$B$147+(1-$S$25)*'Beneficios y costos'!$B$148)*$S$24*$S$21*$S$10*IF(F$47=2,Quesería!$B$20,1),0))-(E799*(Quesería!$B$38+Quesería!$B$40*Quesería!$B$39)/365-E791*Quesería!$B$42/365+IF(E$47&gt;=2,($S$25*'Beneficios y costos'!$B$147+(1-$S$25)*'Beneficios y costos'!$B$148)*$S$24*$S$21*$S$10*IF(E$47=2,Quesería!$B$20,1),0))*E782/F782</f>
        <v>6.49010597714096</v>
      </c>
      <c r="G800" s="29" t="n">
        <f aca="false">(G799*(Quesería!$B$38+Quesería!$B$40*Quesería!$B$39)/365-G791*Quesería!$B$42/365+IF(G$47&gt;=2,($S$25*'Beneficios y costos'!$B$147+(1-$S$25)*'Beneficios y costos'!$B$148)*$S$24*$S$21*$S$10*IF(G$47=2,Quesería!$B$20,1),0))-(F799*(Quesería!$B$38+Quesería!$B$40*Quesería!$B$39)/365-F791*Quesería!$B$42/365+IF(F$47&gt;=2,($S$25*'Beneficios y costos'!$B$147+(1-$S$25)*'Beneficios y costos'!$B$148)*$S$24*$S$21*$S$10*IF(F$47=2,Quesería!$B$20,1),0))*F782/G782</f>
        <v>6.49010597714096</v>
      </c>
      <c r="H800" s="29" t="n">
        <f aca="false">(H799*(Quesería!$B$38+Quesería!$B$40*Quesería!$B$39)/365-H791*Quesería!$B$42/365+IF(H$47&gt;=2,($S$25*'Beneficios y costos'!$B$147+(1-$S$25)*'Beneficios y costos'!$B$148)*$S$24*$S$21*$S$10*IF(H$47=2,Quesería!$B$20,1),0))-(G799*(Quesería!$B$38+Quesería!$B$40*Quesería!$B$39)/365-G791*Quesería!$B$42/365+IF(G$47&gt;=2,($S$25*'Beneficios y costos'!$B$147+(1-$S$25)*'Beneficios y costos'!$B$148)*$S$24*$S$21*$S$10*IF(G$47=2,Quesería!$B$20,1),0))*G782/H782</f>
        <v>6.49010597714096</v>
      </c>
      <c r="I800" s="29" t="n">
        <f aca="false">(I799*(Quesería!$B$38+Quesería!$B$40*Quesería!$B$39)/365-I791*Quesería!$B$42/365+IF(I$47&gt;=2,($S$25*'Beneficios y costos'!$B$147+(1-$S$25)*'Beneficios y costos'!$B$148)*$S$24*$S$21*$S$10*IF(I$47=2,Quesería!$B$20,1),0))-(H799*(Quesería!$B$38+Quesería!$B$40*Quesería!$B$39)/365-H791*Quesería!$B$42/365+IF(H$47&gt;=2,($S$25*'Beneficios y costos'!$B$147+(1-$S$25)*'Beneficios y costos'!$B$148)*$S$24*$S$21*$S$10*IF(H$47=2,Quesería!$B$20,1),0))*H782/I782</f>
        <v>6.49010597714096</v>
      </c>
      <c r="J800" s="29" t="n">
        <f aca="false">(J799*(Quesería!$B$38+Quesería!$B$40*Quesería!$B$39)/365-J791*Quesería!$B$42/365+IF(J$47&gt;=2,($S$25*'Beneficios y costos'!$B$147+(1-$S$25)*'Beneficios y costos'!$B$148)*$S$24*$S$21*$S$10*IF(J$47=2,Quesería!$B$20,1),0))-(I799*(Quesería!$B$38+Quesería!$B$40*Quesería!$B$39)/365-I791*Quesería!$B$42/365+IF(I$47&gt;=2,($S$25*'Beneficios y costos'!$B$147+(1-$S$25)*'Beneficios y costos'!$B$148)*$S$24*$S$21*$S$10*IF(I$47=2,Quesería!$B$20,1),0))*I782/J782</f>
        <v>6.49010597714096</v>
      </c>
      <c r="K800" s="29" t="n">
        <f aca="false">(K799*(Quesería!$B$38+Quesería!$B$40*Quesería!$B$39)/365-K791*Quesería!$B$42/365+IF(K$47&gt;=2,($S$25*'Beneficios y costos'!$B$147+(1-$S$25)*'Beneficios y costos'!$B$148)*$S$24*$S$21*$S$10*IF(K$47=2,Quesería!$B$20,1),0))-(J799*(Quesería!$B$38+Quesería!$B$40*Quesería!$B$39)/365-J791*Quesería!$B$42/365+IF(J$47&gt;=2,($S$25*'Beneficios y costos'!$B$147+(1-$S$25)*'Beneficios y costos'!$B$148)*$S$24*$S$21*$S$10*IF(J$47=2,Quesería!$B$20,1),0))*J782/K782</f>
        <v>6.49010597714099</v>
      </c>
      <c r="L800" s="29" t="n">
        <f aca="false">-(K799*(Quesería!$B$38+Quesería!$B$40*Quesería!$B$39)/365-K791*Quesería!$B$42/365+IF(K$47&gt;=2,($S$25*'Beneficios y costos'!$B$147+(1-$S$25)*'Beneficios y costos'!$B$148)*$S$24*$S$21*$S$10*IF(K$47=2,Quesería!$B$20,1),0))*K782/L782</f>
        <v>-162.252649428524</v>
      </c>
    </row>
    <row r="801" customFormat="false" ht="15" hidden="true" customHeight="false" outlineLevel="1" collapsed="false">
      <c r="A801" s="6" t="s">
        <v>422</v>
      </c>
      <c r="B801" s="29" t="n">
        <v>0</v>
      </c>
      <c r="C801" s="29" t="n">
        <v>0</v>
      </c>
      <c r="D801" s="29" t="n">
        <v>0</v>
      </c>
      <c r="E801" s="29" t="n">
        <v>0</v>
      </c>
      <c r="F801" s="29" t="n">
        <v>0</v>
      </c>
      <c r="G801" s="29" t="n">
        <v>0</v>
      </c>
      <c r="H801" s="29" t="n">
        <v>0</v>
      </c>
      <c r="I801" s="29" t="n">
        <v>0</v>
      </c>
      <c r="J801" s="29" t="n">
        <v>0</v>
      </c>
      <c r="K801" s="29" t="n">
        <v>0</v>
      </c>
      <c r="L801" s="29" t="n">
        <f aca="false">$S$8*Quesería!$B$36*(Quesería!$F$94+(Quesería!$F$95-(-$S$26)*Quesería!$D$86)*$S$21)*$S$11*(1-$S$17)</f>
        <v>61.9237725584542</v>
      </c>
    </row>
    <row r="802" customFormat="false" ht="15" hidden="true" customHeight="false" outlineLevel="1" collapsed="false">
      <c r="A802" s="5" t="s">
        <v>147</v>
      </c>
      <c r="B802" s="59" t="n">
        <f aca="false">B790-B791-B792-B793-B798-B785-B786-B787-B800+B801</f>
        <v>-961.151880133756</v>
      </c>
      <c r="C802" s="59" t="n">
        <f aca="false">C790-C791-C792-C793-C798-C785-C786-C787-C800+C801</f>
        <v>-400.385058451238</v>
      </c>
      <c r="D802" s="59" t="n">
        <f aca="false">D790-D791-D792-D793-D798-D785-D786-D787-D800+D801</f>
        <v>454.934380634354</v>
      </c>
      <c r="E802" s="59" t="n">
        <f aca="false">E790-E791-E792-E793-E798-E785-E786-E787-E800+E801</f>
        <v>323.789930953772</v>
      </c>
      <c r="F802" s="59" t="n">
        <f aca="false">F790-F791-F792-F793-F798-F785-F786-F787-F800+F801</f>
        <v>360.351212851391</v>
      </c>
      <c r="G802" s="59" t="n">
        <f aca="false">G790-G791-G792-G793-G798-G785-G786-G787-G800+G801</f>
        <v>325.997747758402</v>
      </c>
      <c r="H802" s="59" t="n">
        <f aca="false">H790-H791-H792-H793-H798-H785-H786-H787-H800+H801</f>
        <v>304.471968269307</v>
      </c>
      <c r="I802" s="59" t="n">
        <f aca="false">I790-I791-I792-I793-I798-I785-I786-I787-I800+I801</f>
        <v>365.104426856979</v>
      </c>
      <c r="J802" s="59" t="n">
        <f aca="false">J790-J791-J792-J793-J798-J785-J786-J787-J800+J801</f>
        <v>355.237096260542</v>
      </c>
      <c r="K802" s="59" t="n">
        <f aca="false">K790-K791-K792-K793-K798-K785-K786-K787-K800+K801</f>
        <v>353.907172214543</v>
      </c>
      <c r="L802" s="59" t="n">
        <f aca="false">L790-L791-L792-L793-L798-L785-L786-L787-L800+L801</f>
        <v>583.303882844304</v>
      </c>
    </row>
    <row r="803" customFormat="false" ht="15" hidden="true" customHeight="false" outlineLevel="1" collapsed="false">
      <c r="A803" s="9" t="s">
        <v>423</v>
      </c>
      <c r="B803" s="58" t="n">
        <f aca="false">B802*B782</f>
        <v>-1018.82099294178</v>
      </c>
      <c r="C803" s="58" t="n">
        <f aca="false">C802*C782</f>
        <v>-445.628570056228</v>
      </c>
      <c r="D803" s="58" t="n">
        <f aca="false">D802*D782</f>
        <v>529.127354100107</v>
      </c>
      <c r="E803" s="58" t="n">
        <f aca="false">E802*E782</f>
        <v>391.659020317102</v>
      </c>
      <c r="F803" s="58" t="n">
        <f aca="false">F802*F782</f>
        <v>453.319208175839</v>
      </c>
      <c r="G803" s="58" t="n">
        <f aca="false">G802*G782</f>
        <v>426.506910577728</v>
      </c>
      <c r="H803" s="58" t="n">
        <f aca="false">H802*H782</f>
        <v>414.278243989321</v>
      </c>
      <c r="I803" s="58" t="n">
        <f aca="false">I802*I782</f>
        <v>516.648591850469</v>
      </c>
      <c r="J803" s="58" t="n">
        <f aca="false">J802*J782</f>
        <v>522.793045873068</v>
      </c>
      <c r="K803" s="58" t="n">
        <f aca="false">K802*K782</f>
        <v>541.669265075775</v>
      </c>
      <c r="L803" s="58" t="n">
        <f aca="false">L802*L782</f>
        <v>928.481033321263</v>
      </c>
    </row>
    <row r="804" customFormat="false" ht="15" hidden="true" customHeight="false" outlineLevel="1" collapsed="false">
      <c r="A804" s="6" t="s">
        <v>424</v>
      </c>
      <c r="B804" s="29" t="n">
        <f aca="false">B802</f>
        <v>-961.151880133756</v>
      </c>
      <c r="C804" s="29" t="n">
        <f aca="false">B804+C802</f>
        <v>-1361.53693858499</v>
      </c>
      <c r="D804" s="29" t="n">
        <f aca="false">C804+D802</f>
        <v>-906.60255795064</v>
      </c>
      <c r="E804" s="29" t="n">
        <f aca="false">D804+E802</f>
        <v>-582.812626996869</v>
      </c>
      <c r="F804" s="29" t="n">
        <f aca="false">E804+F802</f>
        <v>-222.461414145478</v>
      </c>
      <c r="G804" s="29" t="n">
        <f aca="false">F804+G802</f>
        <v>103.536333612924</v>
      </c>
      <c r="H804" s="29" t="n">
        <f aca="false">G804+H802</f>
        <v>408.008301882231</v>
      </c>
      <c r="I804" s="29" t="n">
        <f aca="false">H804+I802</f>
        <v>773.11272873921</v>
      </c>
      <c r="J804" s="29" t="n">
        <f aca="false">I804+J802</f>
        <v>1128.34982499975</v>
      </c>
      <c r="K804" s="29" t="n">
        <f aca="false">J804+K802</f>
        <v>1482.2569972143</v>
      </c>
      <c r="L804" s="29" t="n">
        <f aca="false">K804+L802</f>
        <v>2065.5608800586</v>
      </c>
    </row>
    <row r="805" customFormat="false" ht="15" hidden="true" customHeight="false" outlineLevel="1" collapsed="false">
      <c r="A805" s="9" t="s">
        <v>425</v>
      </c>
      <c r="B805" s="60" t="n">
        <v>0</v>
      </c>
      <c r="C805" s="60" t="n">
        <f aca="false">IF(AND(B804&lt;0,C804&gt;=0),B$47+(-B804)/C802,0)</f>
        <v>0</v>
      </c>
      <c r="D805" s="60" t="n">
        <f aca="false">IF(AND(C804&lt;0,D804&gt;=0),C$47+(-C804)/D802,0)</f>
        <v>0</v>
      </c>
      <c r="E805" s="60" t="n">
        <f aca="false">IF(AND(D804&lt;0,E804&gt;=0),D$47+(-D804)/E802,0)</f>
        <v>0</v>
      </c>
      <c r="F805" s="60" t="n">
        <f aca="false">IF(AND(E804&lt;0,F804&gt;=0),E$47+(-E804)/F802,0)</f>
        <v>0</v>
      </c>
      <c r="G805" s="60" t="n">
        <f aca="false">IF(AND(F804&lt;0,G804&gt;=0),F$47+(-F804)/G802,0)</f>
        <v>4.68240169042623</v>
      </c>
      <c r="H805" s="60" t="n">
        <f aca="false">IF(AND(G804&lt;0,H804&gt;=0),G$47+(-G804)/H802,0)</f>
        <v>0</v>
      </c>
      <c r="I805" s="60" t="n">
        <f aca="false">IF(AND(H804&lt;0,I804&gt;=0),H$47+(-H804)/I802,0)</f>
        <v>0</v>
      </c>
      <c r="J805" s="60" t="n">
        <f aca="false">IF(AND(I804&lt;0,J804&gt;=0),I$47+(-I804)/J802,0)</f>
        <v>0</v>
      </c>
      <c r="K805" s="60" t="n">
        <f aca="false">IF(AND(J804&lt;0,K804&gt;=0),J$47+(-J804)/K802,0)</f>
        <v>0</v>
      </c>
      <c r="L805" s="60" t="n">
        <f aca="false">IF(AND(K804&lt;0,L804&gt;=0),K$47+(-K804)/L802,0)</f>
        <v>0</v>
      </c>
    </row>
    <row r="806" customFormat="false" ht="15" hidden="true" customHeight="false" outlineLevel="1" collapsed="false">
      <c r="A806" s="9" t="s">
        <v>426</v>
      </c>
      <c r="B806" s="57" t="n">
        <f aca="false">(B782/$B$782)/(1+$S$29)^B$47</f>
        <v>1</v>
      </c>
      <c r="C806" s="57" t="n">
        <f aca="false">(C782/$B$782)/(1+$S$29)^C$47</f>
        <v>0.907458487517462</v>
      </c>
      <c r="D806" s="57" t="n">
        <f aca="false">(D782/$B$782)/(1+$S$29)^D$47</f>
        <v>0.819559568917159</v>
      </c>
      <c r="E806" s="57" t="n">
        <f aca="false">(E782/$B$782)/(1+$S$29)^E$47</f>
        <v>0.73663327458441</v>
      </c>
      <c r="F806" s="57" t="n">
        <f aca="false">(F782/$B$782)/(1+$S$29)^F$47</f>
        <v>0.6620977922836</v>
      </c>
      <c r="G806" s="57" t="n">
        <f aca="false">(G782/$B$782)/(1+$S$29)^G$47</f>
        <v>0.595104106306</v>
      </c>
      <c r="H806" s="57" t="n">
        <f aca="false">(H782/$B$782)/(1+$S$29)^H$47</f>
        <v>0.534889107726503</v>
      </c>
      <c r="I806" s="57" t="n">
        <f aca="false">(I782/$B$782)/(1+$S$29)^I$47</f>
        <v>0.480766902013848</v>
      </c>
      <c r="J806" s="57" t="n">
        <f aca="false">(J782/$B$782)/(1+$S$29)^J$47</f>
        <v>0.432120996171371</v>
      </c>
      <c r="K806" s="57" t="n">
        <f aca="false">(K782/$B$782)/(1+$S$29)^K$47</f>
        <v>0.388397276413924</v>
      </c>
      <c r="L806" s="57" t="n">
        <f aca="false">(L782/$B$782)/(1+$S$29)^L$47</f>
        <v>0.349097696391334</v>
      </c>
    </row>
    <row r="807" customFormat="false" ht="15" hidden="true" customHeight="false" outlineLevel="1" collapsed="false">
      <c r="A807" s="9" t="s">
        <v>427</v>
      </c>
      <c r="B807" s="58" t="n">
        <f aca="false">B802*B806</f>
        <v>-961.151880133756</v>
      </c>
      <c r="C807" s="58" t="n">
        <f aca="false">C802*C806</f>
        <v>-363.332819566751</v>
      </c>
      <c r="D807" s="58" t="n">
        <f aca="false">D802*D806</f>
        <v>372.845824878286</v>
      </c>
      <c r="E807" s="58" t="n">
        <f aca="false">E802*E806</f>
        <v>238.514437115937</v>
      </c>
      <c r="F807" s="58" t="n">
        <f aca="false">F802*F806</f>
        <v>238.587742475623</v>
      </c>
      <c r="G807" s="58" t="n">
        <f aca="false">G802*G806</f>
        <v>194.002598337533</v>
      </c>
      <c r="H807" s="58" t="n">
        <f aca="false">H802*H806</f>
        <v>162.858739435302</v>
      </c>
      <c r="I807" s="58" t="n">
        <f aca="false">I802*I806</f>
        <v>175.530124211571</v>
      </c>
      <c r="J807" s="58" t="n">
        <f aca="false">J802*J806</f>
        <v>153.505407913131</v>
      </c>
      <c r="K807" s="58" t="n">
        <f aca="false">K802*K806</f>
        <v>137.456581791482</v>
      </c>
      <c r="L807" s="58" t="n">
        <f aca="false">L802*L806</f>
        <v>203.630041797067</v>
      </c>
    </row>
    <row r="808" customFormat="false" ht="15" hidden="true" customHeight="false" outlineLevel="1" collapsed="false">
      <c r="A808" s="9" t="s">
        <v>428</v>
      </c>
      <c r="B808" s="58" t="n">
        <f aca="false">B807</f>
        <v>-961.151880133756</v>
      </c>
      <c r="C808" s="58" t="n">
        <f aca="false">B808+C807</f>
        <v>-1324.48469970051</v>
      </c>
      <c r="D808" s="58" t="n">
        <f aca="false">C808+D807</f>
        <v>-951.638874822221</v>
      </c>
      <c r="E808" s="58" t="n">
        <f aca="false">D808+E807</f>
        <v>-713.124437706285</v>
      </c>
      <c r="F808" s="58" t="n">
        <f aca="false">E808+F807</f>
        <v>-474.536695230661</v>
      </c>
      <c r="G808" s="58" t="n">
        <f aca="false">F808+G807</f>
        <v>-280.534096893129</v>
      </c>
      <c r="H808" s="58" t="n">
        <f aca="false">G808+H807</f>
        <v>-117.675357457827</v>
      </c>
      <c r="I808" s="58" t="n">
        <f aca="false">H808+I807</f>
        <v>57.8547667537444</v>
      </c>
      <c r="J808" s="58" t="n">
        <f aca="false">I808+J807</f>
        <v>211.360174666875</v>
      </c>
      <c r="K808" s="58" t="n">
        <f aca="false">J808+K807</f>
        <v>348.816756458357</v>
      </c>
      <c r="L808" s="58" t="n">
        <f aca="false">K808+L807</f>
        <v>552.446798255424</v>
      </c>
    </row>
    <row r="809" customFormat="false" ht="15" hidden="true" customHeight="false" outlineLevel="1" collapsed="false">
      <c r="A809" s="9" t="s">
        <v>429</v>
      </c>
      <c r="B809" s="60" t="n">
        <v>0</v>
      </c>
      <c r="C809" s="60" t="n">
        <f aca="false">IF(AND(B808&lt;0,C808&gt;=0),B$47+(-B808)/C807,0)</f>
        <v>0</v>
      </c>
      <c r="D809" s="60" t="n">
        <f aca="false">IF(AND(C808&lt;0,D808&gt;=0),C$47+(-C808)/D807,0)</f>
        <v>0</v>
      </c>
      <c r="E809" s="60" t="n">
        <f aca="false">IF(AND(D808&lt;0,E808&gt;=0),D$47+(-D808)/E807,0)</f>
        <v>0</v>
      </c>
      <c r="F809" s="60" t="n">
        <f aca="false">IF(AND(E808&lt;0,F808&gt;=0),E$47+(-E808)/F807,0)</f>
        <v>0</v>
      </c>
      <c r="G809" s="60" t="n">
        <f aca="false">IF(AND(F808&lt;0,G808&gt;=0),F$47+(-F808)/G807,0)</f>
        <v>0</v>
      </c>
      <c r="H809" s="60" t="n">
        <f aca="false">IF(AND(G808&lt;0,H808&gt;=0),G$47+(-G808)/H807,0)</f>
        <v>0</v>
      </c>
      <c r="I809" s="60" t="n">
        <f aca="false">IF(AND(H808&lt;0,I808&gt;=0),H$47+(-H808)/I807,0)</f>
        <v>6.67039978457481</v>
      </c>
      <c r="J809" s="60" t="n">
        <f aca="false">IF(AND(I808&lt;0,J808&gt;=0),I$47+(-I808)/J807,0)</f>
        <v>0</v>
      </c>
      <c r="K809" s="60" t="n">
        <f aca="false">IF(AND(J808&lt;0,K808&gt;=0),J$47+(-J808)/K807,0)</f>
        <v>0</v>
      </c>
      <c r="L809" s="60" t="n">
        <f aca="false">IF(AND(K808&lt;0,L808&gt;=0),K$47+(-K808)/L807,0)</f>
        <v>0</v>
      </c>
    </row>
    <row r="810" customFormat="false" ht="15" hidden="true" customHeight="false" outlineLevel="1" collapsed="false">
      <c r="A810" s="9" t="s">
        <v>430</v>
      </c>
      <c r="B810" s="58" t="n">
        <f aca="false">IF(B$47&lt;0,0,(Quesería!$B$44*$B$785*$B$782)*(1-MAX(0,MIN(B$47-0-Quesería!$B$47,(Quesería!$B$46-Quesería!$B$47)))/(Quesería!$B$46-Quesería!$B$47))*IF(B$47&gt;=2,1-Quesería!$B$48,1))+IF(B$47&lt;1,0,(Quesería!$B$44*$C$785*$C$782)*(1-MAX(0,MIN(B$47-1-Quesería!$B$47,(Quesería!$B$46-Quesería!$B$47)))/(Quesería!$B$46-Quesería!$B$47))*IF(B$47&gt;=2,1-Quesería!$B$48,1))</f>
        <v>641.321364968425</v>
      </c>
      <c r="C810" s="58" t="n">
        <f aca="false">IF(C$47&lt;0,0,(Quesería!$B$44*$B$785*$B$782)*(1-MAX(0,MIN(C$47-0-Quesería!$B$47,(Quesería!$B$46-Quesería!$B$47)))/(Quesería!$B$46-Quesería!$B$47))*IF(C$47&gt;=2,1-Quesería!$B$48,1))+IF(C$47&lt;1,0,(Quesería!$B$44*$C$785*$C$782)*(1-MAX(0,MIN(C$47-1-Quesería!$B$47,(Quesería!$B$46-Quesería!$B$47)))/(Quesería!$B$46-Quesería!$B$47))*IF(C$47&gt;=2,1-Quesería!$B$48,1))</f>
        <v>1117.69081125409</v>
      </c>
      <c r="D810" s="58" t="n">
        <f aca="false">IF(D$47&lt;0,0,(Quesería!$B$44*$B$785*$B$782)*(1-MAX(0,MIN(D$47-0-Quesería!$B$47,(Quesería!$B$46-Quesería!$B$47)))/(Quesería!$B$46-Quesería!$B$47))*IF(D$47&gt;=2,1-Quesería!$B$48,1))+IF(D$47&lt;1,0,(Quesería!$B$44*$C$785*$C$782)*(1-MAX(0,MIN(D$47-1-Quesería!$B$47,(Quesería!$B$46-Quesería!$B$47)))/(Quesería!$B$46-Quesería!$B$47))*IF(D$47&gt;=2,1-Quesería!$B$48,1))</f>
        <v>1010.80391709269</v>
      </c>
      <c r="E810" s="58" t="n">
        <f aca="false">IF(E$47&lt;0,0,(Quesería!$B$44*$B$785*$B$782)*(1-MAX(0,MIN(E$47-0-Quesería!$B$47,(Quesería!$B$46-Quesería!$B$47)))/(Quesería!$B$46-Quesería!$B$47))*IF(E$47&gt;=2,1-Quesería!$B$48,1))+IF(E$47&lt;1,0,(Quesería!$B$44*$C$785*$C$782)*(1-MAX(0,MIN(E$47-1-Quesería!$B$47,(Quesería!$B$46-Quesería!$B$47)))/(Quesería!$B$46-Quesería!$B$47))*IF(E$47&gt;=2,1-Quesería!$B$48,1))</f>
        <v>824.522115217005</v>
      </c>
      <c r="F810" s="58" t="n">
        <f aca="false">IF(F$47&lt;0,0,(Quesería!$B$44*$B$785*$B$782)*(1-MAX(0,MIN(F$47-0-Quesería!$B$47,(Quesería!$B$46-Quesería!$B$47)))/(Quesería!$B$46-Quesería!$B$47))*IF(F$47&gt;=2,1-Quesería!$B$48,1))+IF(F$47&lt;1,0,(Quesería!$B$44*$C$785*$C$782)*(1-MAX(0,MIN(F$47-1-Quesería!$B$47,(Quesería!$B$46-Quesería!$B$47)))/(Quesería!$B$46-Quesería!$B$47))*IF(F$47&gt;=2,1-Quesería!$B$48,1))</f>
        <v>638.240313341323</v>
      </c>
      <c r="G810" s="58" t="n">
        <f aca="false">IF(G$47&lt;0,0,(Quesería!$B$44*$B$785*$B$782)*(1-MAX(0,MIN(G$47-0-Quesería!$B$47,(Quesería!$B$46-Quesería!$B$47)))/(Quesería!$B$46-Quesería!$B$47))*IF(G$47&gt;=2,1-Quesería!$B$48,1))+IF(G$47&lt;1,0,(Quesería!$B$44*$C$785*$C$782)*(1-MAX(0,MIN(G$47-1-Quesería!$B$47,(Quesería!$B$46-Quesería!$B$47)))/(Quesería!$B$46-Quesería!$B$47))*IF(G$47&gt;=2,1-Quesería!$B$48,1))</f>
        <v>451.958511465641</v>
      </c>
      <c r="H810" s="58" t="n">
        <f aca="false">IF(H$47&lt;0,0,(Quesería!$B$44*$B$785*$B$782)*(1-MAX(0,MIN(H$47-0-Quesería!$B$47,(Quesería!$B$46-Quesería!$B$47)))/(Quesería!$B$46-Quesería!$B$47))*IF(H$47&gt;=2,1-Quesería!$B$48,1))+IF(H$47&lt;1,0,(Quesería!$B$44*$C$785*$C$782)*(1-MAX(0,MIN(H$47-1-Quesería!$B$47,(Quesería!$B$46-Quesería!$B$47)))/(Quesería!$B$46-Quesería!$B$47))*IF(H$47&gt;=2,1-Quesería!$B$48,1))</f>
        <v>265.67670958996</v>
      </c>
      <c r="I810" s="58" t="n">
        <f aca="false">IF(I$47&lt;0,0,(Quesería!$B$44*$B$785*$B$782)*(1-MAX(0,MIN(I$47-0-Quesería!$B$47,(Quesería!$B$46-Quesería!$B$47)))/(Quesería!$B$46-Quesería!$B$47))*IF(I$47&gt;=2,1-Quesería!$B$48,1))+IF(I$47&lt;1,0,(Quesería!$B$44*$C$785*$C$782)*(1-MAX(0,MIN(I$47-1-Quesería!$B$47,(Quesería!$B$46-Quesería!$B$47)))/(Quesería!$B$46-Quesería!$B$47))*IF(I$47&gt;=2,1-Quesería!$B$48,1))</f>
        <v>79.3949077142776</v>
      </c>
      <c r="J810" s="58" t="n">
        <f aca="false">IF(J$47&lt;0,0,(Quesería!$B$44*$B$785*$B$782)*(1-MAX(0,MIN(J$47-0-Quesería!$B$47,(Quesería!$B$46-Quesería!$B$47)))/(Quesería!$B$46-Quesería!$B$47))*IF(J$47&gt;=2,1-Quesería!$B$48,1))+IF(J$47&lt;1,0,(Quesería!$B$44*$C$785*$C$782)*(1-MAX(0,MIN(J$47-1-Quesería!$B$47,(Quesería!$B$46-Quesería!$B$47)))/(Quesería!$B$46-Quesería!$B$47))*IF(J$47&gt;=2,1-Quesería!$B$48,1))</f>
        <v>0</v>
      </c>
      <c r="K810" s="58" t="n">
        <f aca="false">IF(K$47&lt;0,0,(Quesería!$B$44*$B$785*$B$782)*(1-MAX(0,MIN(K$47-0-Quesería!$B$47,(Quesería!$B$46-Quesería!$B$47)))/(Quesería!$B$46-Quesería!$B$47))*IF(K$47&gt;=2,1-Quesería!$B$48,1))+IF(K$47&lt;1,0,(Quesería!$B$44*$C$785*$C$782)*(1-MAX(0,MIN(K$47-1-Quesería!$B$47,(Quesería!$B$46-Quesería!$B$47)))/(Quesería!$B$46-Quesería!$B$47))*IF(K$47&gt;=2,1-Quesería!$B$48,1))</f>
        <v>0</v>
      </c>
      <c r="L810" s="58" t="n">
        <f aca="false">IF(L$47&lt;0,0,(Quesería!$B$44*$B$785*$B$782)*(1-MAX(0,MIN(L$47-0-Quesería!$B$47,(Quesería!$B$46-Quesería!$B$47)))/(Quesería!$B$46-Quesería!$B$47))*IF(L$47&gt;=2,1-Quesería!$B$48,1))+IF(L$47&lt;1,0,(Quesería!$B$44*$C$785*$C$782)*(1-MAX(0,MIN(L$47-1-Quesería!$B$47,(Quesería!$B$46-Quesería!$B$47)))/(Quesería!$B$46-Quesería!$B$47))*IF(L$47&gt;=2,1-Quesería!$B$48,1))</f>
        <v>0</v>
      </c>
    </row>
    <row r="811" customFormat="false" ht="15" hidden="true" customHeight="false" outlineLevel="1" collapsed="false">
      <c r="A811" s="6" t="s">
        <v>431</v>
      </c>
      <c r="B811" s="29" t="n">
        <f aca="false">Quesería!$B$44*B785</f>
        <v>605.02015563059</v>
      </c>
      <c r="C811" s="29" t="n">
        <f aca="false">Quesería!$B$44*C785</f>
        <v>428.004893338424</v>
      </c>
      <c r="D811" s="29" t="n">
        <f aca="false">Quesería!$B$44*D785</f>
        <v>0</v>
      </c>
      <c r="E811" s="29" t="n">
        <f aca="false">Quesería!$B$44*E785</f>
        <v>0</v>
      </c>
      <c r="F811" s="29" t="n">
        <f aca="false">Quesería!$B$44*F785</f>
        <v>0</v>
      </c>
      <c r="G811" s="29" t="n">
        <f aca="false">Quesería!$B$44*G785</f>
        <v>0</v>
      </c>
      <c r="H811" s="29" t="n">
        <f aca="false">Quesería!$B$44*H785</f>
        <v>0</v>
      </c>
      <c r="I811" s="29" t="n">
        <f aca="false">Quesería!$B$44*I785</f>
        <v>0</v>
      </c>
      <c r="J811" s="29" t="n">
        <f aca="false">Quesería!$B$44*J785</f>
        <v>0</v>
      </c>
      <c r="K811" s="29" t="n">
        <f aca="false">Quesería!$B$44*K785</f>
        <v>0</v>
      </c>
      <c r="L811" s="29" t="n">
        <f aca="false">Quesería!$B$44*L785</f>
        <v>0</v>
      </c>
    </row>
    <row r="812" customFormat="false" ht="15" hidden="true" customHeight="false" outlineLevel="1" collapsed="false">
      <c r="A812" s="6" t="s">
        <v>432</v>
      </c>
      <c r="B812" s="29" t="n">
        <f aca="false">(IF(AND(B$47&gt;0,B$47&lt;=0+Quesería!$B$46),($S$14+$S$28)*(Quesería!$B$44*$B$785*$B$782)*(1-MAX(0,MIN((B$47-1)-0-Quesería!$B$47,(Quesería!$B$46-Quesería!$B$47)))/(Quesería!$B$46-Quesería!$B$47))*IF(B$47&gt;2,1-Quesería!$B$48,1),0)+IF(AND(B$47&gt;1,B$47&lt;=1+Quesería!$B$46),($S$14+$S$28)*(Quesería!$B$44*$C$785*$C$782)*(1-MAX(0,MIN((B$47-1)-1-Quesería!$B$47,(Quesería!$B$46-Quesería!$B$47)))/(Quesería!$B$46-Quesería!$B$47))*IF(B$47&gt;2,1-Quesería!$B$48,1),0))*B784</f>
        <v>0</v>
      </c>
      <c r="C812" s="29" t="n">
        <f aca="false">(IF(AND(C$47&gt;0,C$47&lt;=0+Quesería!$B$46),($S$14+$S$28)*(Quesería!$B$44*$B$785*$B$782)*(1-MAX(0,MIN((C$47-1)-0-Quesería!$B$47,(Quesería!$B$46-Quesería!$B$47)))/(Quesería!$B$46-Quesería!$B$47))*IF(C$47&gt;2,1-Quesería!$B$48,1),0)+IF(AND(C$47&gt;1,C$47&lt;=1+Quesería!$B$46),($S$14+$S$28)*(Quesería!$B$44*$C$785*$C$782)*(1-MAX(0,MIN((C$47-1)-1-Quesería!$B$47,(Quesería!$B$46-Quesería!$B$47)))/(Quesería!$B$46-Quesería!$B$47))*IF(C$47&gt;2,1-Quesería!$B$48,1),0))*C784</f>
        <v>81.2455637561078</v>
      </c>
      <c r="D812" s="29" t="n">
        <f aca="false">(IF(AND(D$47&gt;0,D$47&lt;=0+Quesería!$B$46),($S$14+$S$28)*(Quesería!$B$44*$B$785*$B$782)*(1-MAX(0,MIN((D$47-1)-0-Quesería!$B$47,(Quesería!$B$46-Quesería!$B$47)))/(Quesería!$B$46-Quesería!$B$47))*IF(D$47&gt;2,1-Quesería!$B$48,1),0)+IF(AND(D$47&gt;1,D$47&lt;=1+Quesería!$B$46),($S$14+$S$28)*(Quesería!$B$44*$C$785*$C$782)*(1-MAX(0,MIN((D$47-1)-1-Quesería!$B$47,(Quesería!$B$46-Quesería!$B$47)))/(Quesería!$B$46-Quesería!$B$47))*IF(D$47&gt;2,1-Quesería!$B$48,1),0))*D784</f>
        <v>135.496893508924</v>
      </c>
      <c r="E812" s="29" t="n">
        <f aca="false">(IF(AND(E$47&gt;0,E$47&lt;=0+Quesería!$B$46),($S$14+$S$28)*(Quesería!$B$44*$B$785*$B$782)*(1-MAX(0,MIN((E$47-1)-0-Quesería!$B$47,(Quesería!$B$46-Quesería!$B$47)))/(Quesería!$B$46-Quesería!$B$47))*IF(E$47&gt;2,1-Quesería!$B$48,1),0)+IF(AND(E$47&gt;1,E$47&lt;=1+Quesería!$B$46),($S$14+$S$28)*(Quesería!$B$44*$C$785*$C$782)*(1-MAX(0,MIN((E$47-1)-1-Quesería!$B$47,(Quesería!$B$46-Quesería!$B$47)))/(Quesería!$B$46-Quesería!$B$47))*IF(E$47&gt;2,1-Quesería!$B$48,1),0))*E784</f>
        <v>117.826027258135</v>
      </c>
      <c r="F812" s="29" t="n">
        <f aca="false">(IF(AND(F$47&gt;0,F$47&lt;=0+Quesería!$B$46),($S$14+$S$28)*(Quesería!$B$44*$B$785*$B$782)*(1-MAX(0,MIN((F$47-1)-0-Quesería!$B$47,(Quesería!$B$46-Quesería!$B$47)))/(Quesería!$B$46-Quesería!$B$47))*IF(F$47&gt;2,1-Quesería!$B$48,1),0)+IF(AND(F$47&gt;1,F$47&lt;=1+Quesería!$B$46),($S$14+$S$28)*(Quesería!$B$44*$C$785*$C$782)*(1-MAX(0,MIN((F$47-1)-1-Quesería!$B$47,(Quesería!$B$46-Quesería!$B$47)))/(Quesería!$B$46-Quesería!$B$47))*IF(F$47&gt;2,1-Quesería!$B$48,1),0))*F784</f>
        <v>92.4151745225957</v>
      </c>
      <c r="G812" s="29" t="n">
        <f aca="false">(IF(AND(G$47&gt;0,G$47&lt;=0+Quesería!$B$46),($S$14+$S$28)*(Quesería!$B$44*$B$785*$B$782)*(1-MAX(0,MIN((G$47-1)-0-Quesería!$B$47,(Quesería!$B$46-Quesería!$B$47)))/(Quesería!$B$46-Quesería!$B$47))*IF(G$47&gt;2,1-Quesería!$B$48,1),0)+IF(AND(G$47&gt;1,G$47&lt;=1+Quesería!$B$46),($S$14+$S$28)*(Quesería!$B$44*$C$785*$C$782)*(1-MAX(0,MIN((G$47-1)-1-Quesería!$B$47,(Quesería!$B$46-Quesería!$B$47)))/(Quesería!$B$46-Quesería!$B$47))*IF(G$47&gt;2,1-Quesería!$B$48,1),0))*G784</f>
        <v>68.7847039098228</v>
      </c>
      <c r="H812" s="29" t="n">
        <f aca="false">(IF(AND(H$47&gt;0,H$47&lt;=0+Quesería!$B$46),($S$14+$S$28)*(Quesería!$B$44*$B$785*$B$782)*(1-MAX(0,MIN((H$47-1)-0-Quesería!$B$47,(Quesería!$B$46-Quesería!$B$47)))/(Quesería!$B$46-Quesería!$B$47))*IF(H$47&gt;2,1-Quesería!$B$48,1),0)+IF(AND(H$47&gt;1,H$47&lt;=1+Quesería!$B$46),($S$14+$S$28)*(Quesería!$B$44*$C$785*$C$782)*(1-MAX(0,MIN((H$47-1)-1-Quesería!$B$47,(Quesería!$B$46-Quesería!$B$47)))/(Quesería!$B$46-Quesería!$B$47))*IF(H$47&gt;2,1-Quesería!$B$48,1),0))*H784</f>
        <v>46.8352529676735</v>
      </c>
      <c r="I812" s="29" t="n">
        <f aca="false">(IF(AND(I$47&gt;0,I$47&lt;=0+Quesería!$B$46),($S$14+$S$28)*(Quesería!$B$44*$B$785*$B$782)*(1-MAX(0,MIN((I$47-1)-0-Quesería!$B$47,(Quesería!$B$46-Quesería!$B$47)))/(Quesería!$B$46-Quesería!$B$47))*IF(I$47&gt;2,1-Quesería!$B$48,1),0)+IF(AND(I$47&gt;1,I$47&lt;=1+Quesería!$B$46),($S$14+$S$28)*(Quesería!$B$44*$C$785*$C$782)*(1-MAX(0,MIN((I$47-1)-1-Quesería!$B$47,(Quesería!$B$46-Quesería!$B$47)))/(Quesería!$B$46-Quesería!$B$47))*IF(I$47&gt;2,1-Quesería!$B$48,1),0))*I784</f>
        <v>26.4724688081898</v>
      </c>
      <c r="J812" s="29" t="n">
        <f aca="false">(IF(AND(J$47&gt;0,J$47&lt;=0+Quesería!$B$46),($S$14+$S$28)*(Quesería!$B$44*$B$785*$B$782)*(1-MAX(0,MIN((J$47-1)-0-Quesería!$B$47,(Quesería!$B$46-Quesería!$B$47)))/(Quesería!$B$46-Quesería!$B$47))*IF(J$47&gt;2,1-Quesería!$B$48,1),0)+IF(AND(J$47&gt;1,J$47&lt;=1+Quesería!$B$46),($S$14+$S$28)*(Quesería!$B$44*$C$785*$C$782)*(1-MAX(0,MIN((J$47-1)-1-Quesería!$B$47,(Quesería!$B$46-Quesería!$B$47)))/(Quesería!$B$46-Quesería!$B$47))*IF(J$47&gt;2,1-Quesería!$B$48,1),0))*J784</f>
        <v>7.60676974238282</v>
      </c>
      <c r="K812" s="29" t="n">
        <f aca="false">(IF(AND(K$47&gt;0,K$47&lt;=0+Quesería!$B$46),($S$14+$S$28)*(Quesería!$B$44*$B$785*$B$782)*(1-MAX(0,MIN((K$47-1)-0-Quesería!$B$47,(Quesería!$B$46-Quesería!$B$47)))/(Quesería!$B$46-Quesería!$B$47))*IF(K$47&gt;2,1-Quesería!$B$48,1),0)+IF(AND(K$47&gt;1,K$47&lt;=1+Quesería!$B$46),($S$14+$S$28)*(Quesería!$B$44*$C$785*$C$782)*(1-MAX(0,MIN((K$47-1)-1-Quesería!$B$47,(Quesería!$B$46-Quesería!$B$47)))/(Quesería!$B$46-Quesería!$B$47))*IF(K$47&gt;2,1-Quesería!$B$48,1),0))*K784</f>
        <v>0</v>
      </c>
      <c r="L812" s="29" t="n">
        <f aca="false">(IF(AND(L$47&gt;0,L$47&lt;=0+Quesería!$B$46),($S$14+$S$28)*(Quesería!$B$44*$B$785*$B$782)*(1-MAX(0,MIN((L$47-1)-0-Quesería!$B$47,(Quesería!$B$46-Quesería!$B$47)))/(Quesería!$B$46-Quesería!$B$47))*IF(L$47&gt;2,1-Quesería!$B$48,1),0)+IF(AND(L$47&gt;1,L$47&lt;=1+Quesería!$B$46),($S$14+$S$28)*(Quesería!$B$44*$C$785*$C$782)*(1-MAX(0,MIN((L$47-1)-1-Quesería!$B$47,(Quesería!$B$46-Quesería!$B$47)))/(Quesería!$B$46-Quesería!$B$47))*IF(L$47&gt;2,1-Quesería!$B$48,1),0))*L784</f>
        <v>0</v>
      </c>
    </row>
    <row r="813" customFormat="false" ht="15" hidden="true" customHeight="false" outlineLevel="1" collapsed="false">
      <c r="A813" s="6" t="s">
        <v>433</v>
      </c>
      <c r="B813" s="29" t="n">
        <f aca="false">((IF(AND(B$47&gt;0+Quesería!$B$47,B$47&lt;=0+Quesería!$B$46),(Quesería!$B$44*$B$785*$B$782)/(Quesería!$B$46-Quesería!$B$47),0)*IF(B$47&gt;2,1-Quesería!$B$48,1)+IF(B$47=2,Quesería!$B$48*(Quesería!$B$44*$B$785*$B$782)*(1-MAX(0,MIN(2-0-Quesería!$B$47,(Quesería!$B$46-Quesería!$B$47)))/(Quesería!$B$46-Quesería!$B$47)),0))+(IF(AND(B$47&gt;1+Quesería!$B$47,B$47&lt;=1+Quesería!$B$46),(Quesería!$B$44*$C$785*$C$782)/(Quesería!$B$46-Quesería!$B$47),0)*IF(B$47&gt;2,1-Quesería!$B$48,1)+IF(B$47=2,Quesería!$B$48*(Quesería!$B$44*$C$785*$C$782)*(1-MAX(0,MIN(2-1-Quesería!$B$47,(Quesería!$B$46-Quesería!$B$47)))/(Quesería!$B$46-Quesería!$B$47)),0)))*B784</f>
        <v>0</v>
      </c>
      <c r="C813" s="29" t="n">
        <f aca="false">((IF(AND(C$47&gt;0+Quesería!$B$47,C$47&lt;=0+Quesería!$B$46),(Quesería!$B$44*$B$785*$B$782)/(Quesería!$B$46-Quesería!$B$47),0)*IF(C$47&gt;2,1-Quesería!$B$48,1)+IF(C$47=2,Quesería!$B$48*(Quesería!$B$44*$B$785*$B$782)*(1-MAX(0,MIN(2-0-Quesería!$B$47,(Quesería!$B$46-Quesería!$B$47)))/(Quesería!$B$46-Quesería!$B$47)),0))+(IF(AND(C$47&gt;1+Quesería!$B$47,C$47&lt;=1+Quesería!$B$46),(Quesería!$B$44*$C$785*$C$782)/(Quesería!$B$46-Quesería!$B$47),0)*IF(C$47&gt;2,1-Quesería!$B$48,1)+IF(C$47=2,Quesería!$B$48*(Quesería!$B$44*$C$785*$C$782)*(1-MAX(0,MIN(2-1-Quesería!$B$47,(Quesería!$B$46-Quesería!$B$47)))/(Quesería!$B$46-Quesería!$B$47)),0)))*C784</f>
        <v>0</v>
      </c>
      <c r="D813" s="29" t="n">
        <f aca="false">((IF(AND(D$47&gt;0+Quesería!$B$47,D$47&lt;=0+Quesería!$B$46),(Quesería!$B$44*$B$785*$B$782)/(Quesería!$B$46-Quesería!$B$47),0)*IF(D$47&gt;2,1-Quesería!$B$48,1)+IF(D$47=2,Quesería!$B$48*(Quesería!$B$44*$B$785*$B$782)*(1-MAX(0,MIN(2-0-Quesería!$B$47,(Quesería!$B$46-Quesería!$B$47)))/(Quesería!$B$46-Quesería!$B$47)),0))+(IF(AND(D$47&gt;1+Quesería!$B$47,D$47&lt;=1+Quesería!$B$46),(Quesería!$B$44*$C$785*$C$782)/(Quesería!$B$46-Quesería!$B$47),0)*IF(D$47&gt;2,1-Quesería!$B$48,1)+IF(D$47=2,Quesería!$B$48*(Quesería!$B$44*$C$785*$C$782)*(1-MAX(0,MIN(2-1-Quesería!$B$47,(Quesería!$B$46-Quesería!$B$47)))/(Quesería!$B$46-Quesería!$B$47)),0)))*D784</f>
        <v>91.8994692231472</v>
      </c>
      <c r="E813" s="29" t="n">
        <f aca="false">((IF(AND(E$47&gt;0+Quesería!$B$47,E$47&lt;=0+Quesería!$B$46),(Quesería!$B$44*$B$785*$B$782)/(Quesería!$B$46-Quesería!$B$47),0)*IF(E$47&gt;2,1-Quesería!$B$48,1)+IF(E$47=2,Quesería!$B$48*(Quesería!$B$44*$B$785*$B$782)*(1-MAX(0,MIN(2-0-Quesería!$B$47,(Quesería!$B$46-Quesería!$B$47)))/(Quesería!$B$46-Quesería!$B$47)),0))+(IF(AND(E$47&gt;1+Quesería!$B$47,E$47&lt;=1+Quesería!$B$46),(Quesería!$B$44*$C$785*$C$782)/(Quesería!$B$46-Quesería!$B$47),0)*IF(E$47&gt;2,1-Quesería!$B$48,1)+IF(E$47=2,Quesería!$B$48*(Quesería!$B$44*$C$785*$C$782)*(1-MAX(0,MIN(2-1-Quesería!$B$47,(Quesería!$B$46-Quesería!$B$47)))/(Quesería!$B$46-Quesería!$B$47)),0)))*E784</f>
        <v>154.001742940676</v>
      </c>
      <c r="F813" s="29" t="n">
        <f aca="false">((IF(AND(F$47&gt;0+Quesería!$B$47,F$47&lt;=0+Quesería!$B$46),(Quesería!$B$44*$B$785*$B$782)/(Quesería!$B$46-Quesería!$B$47),0)*IF(F$47&gt;2,1-Quesería!$B$48,1)+IF(F$47=2,Quesería!$B$48*(Quesería!$B$44*$B$785*$B$782)*(1-MAX(0,MIN(2-0-Quesería!$B$47,(Quesería!$B$46-Quesería!$B$47)))/(Quesería!$B$46-Quesería!$B$47)),0))+(IF(AND(F$47&gt;1+Quesería!$B$47,F$47&lt;=1+Quesería!$B$46),(Quesería!$B$44*$C$785*$C$782)/(Quesería!$B$46-Quesería!$B$47),0)*IF(F$47&gt;2,1-Quesería!$B$48,1)+IF(F$47=2,Quesería!$B$48*(Quesería!$B$44*$C$785*$C$782)*(1-MAX(0,MIN(2-1-Quesería!$B$47,(Quesería!$B$46-Quesería!$B$47)))/(Quesería!$B$46-Quesería!$B$47)),0)))*F784</f>
        <v>148.078598981419</v>
      </c>
      <c r="G813" s="29" t="n">
        <f aca="false">((IF(AND(G$47&gt;0+Quesería!$B$47,G$47&lt;=0+Quesería!$B$46),(Quesería!$B$44*$B$785*$B$782)/(Quesería!$B$46-Quesería!$B$47),0)*IF(G$47&gt;2,1-Quesería!$B$48,1)+IF(G$47=2,Quesería!$B$48*(Quesería!$B$44*$B$785*$B$782)*(1-MAX(0,MIN(2-0-Quesería!$B$47,(Quesería!$B$46-Quesería!$B$47)))/(Quesería!$B$46-Quesería!$B$47)),0))+(IF(AND(G$47&gt;1+Quesería!$B$47,G$47&lt;=1+Quesería!$B$46),(Quesería!$B$44*$C$785*$C$782)/(Quesería!$B$46-Quesería!$B$47),0)*IF(G$47&gt;2,1-Quesería!$B$48,1)+IF(G$47=2,Quesería!$B$48*(Quesería!$B$44*$C$785*$C$782)*(1-MAX(0,MIN(2-1-Quesería!$B$47,(Quesería!$B$46-Quesería!$B$47)))/(Quesería!$B$46-Quesería!$B$47)),0)))*G784</f>
        <v>142.383268251364</v>
      </c>
      <c r="H813" s="29" t="n">
        <f aca="false">((IF(AND(H$47&gt;0+Quesería!$B$47,H$47&lt;=0+Quesería!$B$46),(Quesería!$B$44*$B$785*$B$782)/(Quesería!$B$46-Quesería!$B$47),0)*IF(H$47&gt;2,1-Quesería!$B$48,1)+IF(H$47=2,Quesería!$B$48*(Quesería!$B$44*$B$785*$B$782)*(1-MAX(0,MIN(2-0-Quesería!$B$47,(Quesería!$B$46-Quesería!$B$47)))/(Quesería!$B$46-Quesería!$B$47)),0))+(IF(AND(H$47&gt;1+Quesería!$B$47,H$47&lt;=1+Quesería!$B$46),(Quesería!$B$44*$C$785*$C$782)/(Quesería!$B$46-Quesería!$B$47),0)*IF(H$47&gt;2,1-Quesería!$B$48,1)+IF(H$47=2,Quesería!$B$48*(Quesería!$B$44*$C$785*$C$782)*(1-MAX(0,MIN(2-1-Quesería!$B$47,(Quesería!$B$46-Quesería!$B$47)))/(Quesería!$B$46-Quesería!$B$47)),0)))*H784</f>
        <v>136.906988703235</v>
      </c>
      <c r="I813" s="29" t="n">
        <f aca="false">((IF(AND(I$47&gt;0+Quesería!$B$47,I$47&lt;=0+Quesería!$B$46),(Quesería!$B$44*$B$785*$B$782)/(Quesería!$B$46-Quesería!$B$47),0)*IF(I$47&gt;2,1-Quesería!$B$48,1)+IF(I$47=2,Quesería!$B$48*(Quesería!$B$44*$B$785*$B$782)*(1-MAX(0,MIN(2-0-Quesería!$B$47,(Quesería!$B$46-Quesería!$B$47)))/(Quesería!$B$46-Quesería!$B$47)),0))+(IF(AND(I$47&gt;1+Quesería!$B$47,I$47&lt;=1+Quesería!$B$46),(Quesería!$B$44*$C$785*$C$782)/(Quesería!$B$46-Quesería!$B$47),0)*IF(I$47&gt;2,1-Quesería!$B$48,1)+IF(I$47=2,Quesería!$B$48*(Quesería!$B$44*$C$785*$C$782)*(1-MAX(0,MIN(2-1-Quesería!$B$47,(Quesería!$B$46-Quesería!$B$47)))/(Quesería!$B$46-Quesería!$B$47)),0)))*I784</f>
        <v>131.641335291572</v>
      </c>
      <c r="J813" s="29" t="n">
        <f aca="false">((IF(AND(J$47&gt;0+Quesería!$B$47,J$47&lt;=0+Quesería!$B$46),(Quesería!$B$44*$B$785*$B$782)/(Quesería!$B$46-Quesería!$B$47),0)*IF(J$47&gt;2,1-Quesería!$B$48,1)+IF(J$47=2,Quesería!$B$48*(Quesería!$B$44*$B$785*$B$782)*(1-MAX(0,MIN(2-0-Quesería!$B$47,(Quesería!$B$46-Quesería!$B$47)))/(Quesería!$B$46-Quesería!$B$47)),0))+(IF(AND(J$47&gt;1+Quesería!$B$47,J$47&lt;=1+Quesería!$B$46),(Quesería!$B$44*$C$785*$C$782)/(Quesería!$B$46-Quesería!$B$47),0)*IF(J$47&gt;2,1-Quesería!$B$48,1)+IF(J$47=2,Quesería!$B$48*(Quesería!$B$44*$C$785*$C$782)*(1-MAX(0,MIN(2-1-Quesería!$B$47,(Quesería!$B$46-Quesería!$B$47)))/(Quesería!$B$46-Quesería!$B$47)),0)))*J784</f>
        <v>53.9487215771831</v>
      </c>
      <c r="K813" s="29" t="n">
        <f aca="false">((IF(AND(K$47&gt;0+Quesería!$B$47,K$47&lt;=0+Quesería!$B$46),(Quesería!$B$44*$B$785*$B$782)/(Quesería!$B$46-Quesería!$B$47),0)*IF(K$47&gt;2,1-Quesería!$B$48,1)+IF(K$47=2,Quesería!$B$48*(Quesería!$B$44*$B$785*$B$782)*(1-MAX(0,MIN(2-0-Quesería!$B$47,(Quesería!$B$46-Quesería!$B$47)))/(Quesería!$B$46-Quesería!$B$47)),0))+(IF(AND(K$47&gt;1+Quesería!$B$47,K$47&lt;=1+Quesería!$B$46),(Quesería!$B$44*$C$785*$C$782)/(Quesería!$B$46-Quesería!$B$47),0)*IF(K$47&gt;2,1-Quesería!$B$48,1)+IF(K$47=2,Quesería!$B$48*(Quesería!$B$44*$C$785*$C$782)*(1-MAX(0,MIN(2-1-Quesería!$B$47,(Quesería!$B$46-Quesería!$B$47)))/(Quesería!$B$46-Quesería!$B$47)),0)))*K784</f>
        <v>0</v>
      </c>
      <c r="L813" s="29" t="n">
        <f aca="false">((IF(AND(L$47&gt;0+Quesería!$B$47,L$47&lt;=0+Quesería!$B$46),(Quesería!$B$44*$B$785*$B$782)/(Quesería!$B$46-Quesería!$B$47),0)*IF(L$47&gt;2,1-Quesería!$B$48,1)+IF(L$47=2,Quesería!$B$48*(Quesería!$B$44*$B$785*$B$782)*(1-MAX(0,MIN(2-0-Quesería!$B$47,(Quesería!$B$46-Quesería!$B$47)))/(Quesería!$B$46-Quesería!$B$47)),0))+(IF(AND(L$47&gt;1+Quesería!$B$47,L$47&lt;=1+Quesería!$B$46),(Quesería!$B$44*$C$785*$C$782)/(Quesería!$B$46-Quesería!$B$47),0)*IF(L$47&gt;2,1-Quesería!$B$48,1)+IF(L$47=2,Quesería!$B$48*(Quesería!$B$44*$C$785*$C$782)*(1-MAX(0,MIN(2-1-Quesería!$B$47,(Quesería!$B$46-Quesería!$B$47)))/(Quesería!$B$46-Quesería!$B$47)),0)))*L784</f>
        <v>0</v>
      </c>
    </row>
    <row r="814" customFormat="false" ht="15" hidden="true" customHeight="false" outlineLevel="1" collapsed="false">
      <c r="A814" s="6" t="s">
        <v>434</v>
      </c>
      <c r="B814" s="29" t="n">
        <f aca="false">$S$13*Quesería!$B$51*(1+0.19)*B810*B784+(1-$S$13)*IF(B$47=0,Quesería!$B$50,0)</f>
        <v>14.327482305488</v>
      </c>
      <c r="C814" s="29" t="n">
        <f aca="false">$S$13*Quesería!$B$51*(1+0.19)*C810*C784+(1-$S$13)*IF(C$47=0,Quesería!$B$50,0)</f>
        <v>23.7808051224691</v>
      </c>
      <c r="D814" s="29" t="n">
        <f aca="false">$S$13*Quesería!$B$51*(1+0.19)*D810*D784+(1-$S$13)*IF(D$47=0,Quesería!$B$50,0)</f>
        <v>20.5804799826942</v>
      </c>
      <c r="E814" s="29" t="n">
        <f aca="false">$S$13*Quesería!$B$51*(1+0.19)*E810*E784+(1-$S$13)*IF(E$47=0,Quesería!$B$50,0)</f>
        <v>16.1420077857048</v>
      </c>
      <c r="F814" s="29" t="n">
        <f aca="false">$S$13*Quesería!$B$51*(1+0.19)*F810*F784+(1-$S$13)*IF(F$47=0,Quesería!$B$50,0)</f>
        <v>12.0145120299295</v>
      </c>
      <c r="G814" s="29" t="n">
        <f aca="false">$S$13*Quesería!$B$51*(1+0.19)*G810*G784+(1-$S$13)*IF(G$47=0,Quesería!$B$50,0)</f>
        <v>8.18063723793316</v>
      </c>
      <c r="H814" s="29" t="n">
        <f aca="false">$S$13*Quesería!$B$51*(1+0.19)*H810*H784+(1-$S$13)*IF(H$47=0,Quesería!$B$50,0)</f>
        <v>4.62390294468519</v>
      </c>
      <c r="I814" s="29" t="n">
        <f aca="false">$S$13*Quesería!$B$51*(1+0.19)*I810*I784+(1-$S$13)*IF(I$47=0,Quesería!$B$50,0)</f>
        <v>1.32866206269604</v>
      </c>
      <c r="J814" s="29" t="n">
        <f aca="false">$S$13*Quesería!$B$51*(1+0.19)*J810*J784+(1-$S$13)*IF(J$47=0,Quesería!$B$50,0)</f>
        <v>0</v>
      </c>
      <c r="K814" s="29" t="n">
        <f aca="false">$S$13*Quesería!$B$51*(1+0.19)*K810*K784+(1-$S$13)*IF(K$47=0,Quesería!$B$50,0)</f>
        <v>0</v>
      </c>
      <c r="L814" s="29" t="n">
        <f aca="false">$S$13*Quesería!$B$51*(1+0.19)*L810*L784+(1-$S$13)*IF(L$47=0,Quesería!$B$50,0)</f>
        <v>0</v>
      </c>
    </row>
    <row r="815" customFormat="false" ht="15" hidden="true" customHeight="false" outlineLevel="1" collapsed="false">
      <c r="A815" s="6" t="s">
        <v>435</v>
      </c>
      <c r="B815" s="29" t="n">
        <f aca="false">Quesería!$B$52*(B812+B813+B814)</f>
        <v>0.057309929221952</v>
      </c>
      <c r="C815" s="29" t="n">
        <f aca="false">Quesería!$B$52*(C812+C813+C814)</f>
        <v>0.420105475514308</v>
      </c>
      <c r="D815" s="29" t="n">
        <f aca="false">Quesería!$B$52*(D812+D813+D814)</f>
        <v>0.991907370859062</v>
      </c>
      <c r="E815" s="29" t="n">
        <f aca="false">Quesería!$B$52*(E812+E813+E814)</f>
        <v>1.15187911193806</v>
      </c>
      <c r="F815" s="29" t="n">
        <f aca="false">Quesería!$B$52*(F812+F813+F814)</f>
        <v>1.01003314213578</v>
      </c>
      <c r="G815" s="29" t="n">
        <f aca="false">Quesería!$B$52*(G812+G813+G814)</f>
        <v>0.877394437596481</v>
      </c>
      <c r="H815" s="29" t="n">
        <f aca="false">Quesería!$B$52*(H812+H813+H814)</f>
        <v>0.753464578462374</v>
      </c>
      <c r="I815" s="29" t="n">
        <f aca="false">Quesería!$B$52*(I812+I813+I814)</f>
        <v>0.637769864649831</v>
      </c>
      <c r="J815" s="29" t="n">
        <f aca="false">Quesería!$B$52*(J812+J813+J814)</f>
        <v>0.246221965278264</v>
      </c>
      <c r="K815" s="29" t="n">
        <f aca="false">Quesería!$B$52*(K812+K813+K814)</f>
        <v>0</v>
      </c>
      <c r="L815" s="29" t="n">
        <f aca="false">Quesería!$B$52*(L812+L813+L814)</f>
        <v>0</v>
      </c>
    </row>
    <row r="816" customFormat="false" ht="15" hidden="true" customHeight="false" outlineLevel="1" collapsed="false">
      <c r="A816" s="6" t="s">
        <v>436</v>
      </c>
      <c r="B816" s="29" t="n">
        <f aca="false">$S$17*(B812+B814+0.5*B815)</f>
        <v>5.02464804453464</v>
      </c>
      <c r="C816" s="29" t="n">
        <f aca="false">$S$17*(C812+C814+0.5*C815)</f>
        <v>36.8327475657169</v>
      </c>
      <c r="D816" s="29" t="n">
        <f aca="false">$S$17*(D812+D814+0.5*D815)</f>
        <v>54.8006645119667</v>
      </c>
      <c r="E816" s="29" t="n">
        <f aca="false">$S$17*(E812+E814+0.5*E815)</f>
        <v>47.090391109933</v>
      </c>
      <c r="F816" s="29" t="n">
        <f aca="false">$S$17*(F812+F814+0.5*F815)</f>
        <v>36.7271460932576</v>
      </c>
      <c r="G816" s="29" t="n">
        <f aca="false">$S$17*(G812+G814+0.5*G815)</f>
        <v>27.091413428294</v>
      </c>
      <c r="H816" s="29" t="n">
        <f aca="false">$S$17*(H812+H814+0.5*H815)</f>
        <v>18.1425608705564</v>
      </c>
      <c r="I816" s="29" t="n">
        <f aca="false">$S$17*(I812+I814+0.5*I815)</f>
        <v>9.84200553112376</v>
      </c>
      <c r="J816" s="29" t="n">
        <f aca="false">$S$17*(J812+J814+0.5*J815)</f>
        <v>2.70545825375768</v>
      </c>
      <c r="K816" s="29" t="n">
        <f aca="false">$S$17*(K812+K814+0.5*K815)</f>
        <v>0</v>
      </c>
      <c r="L816" s="29" t="n">
        <f aca="false">$S$17*(L812+L814+0.5*L815)</f>
        <v>0</v>
      </c>
    </row>
    <row r="817" customFormat="false" ht="15" hidden="true" customHeight="false" outlineLevel="1" collapsed="false">
      <c r="A817" s="5" t="s">
        <v>437</v>
      </c>
      <c r="B817" s="59" t="n">
        <f aca="false">B802+B811-B812-B813-B814-B815+B816</f>
        <v>-365.491868693341</v>
      </c>
      <c r="C817" s="59" t="n">
        <f aca="false">C802+C811-C812-C813-C814-C815+C816</f>
        <v>-40.9938919011885</v>
      </c>
      <c r="D817" s="59" t="n">
        <f aca="false">D802+D811-D812-D813-D814-D815+D816</f>
        <v>260.766295060696</v>
      </c>
      <c r="E817" s="59" t="n">
        <f aca="false">E802+E811-E812-E813-E814-E815+E816</f>
        <v>81.7586649672515</v>
      </c>
      <c r="F817" s="59" t="n">
        <f aca="false">F802+F811-F812-F813-F814-F815+F816</f>
        <v>143.560040268568</v>
      </c>
      <c r="G817" s="59" t="n">
        <f aca="false">G802+G811-G812-G813-G814-G815+G816</f>
        <v>132.86315734998</v>
      </c>
      <c r="H817" s="59" t="n">
        <f aca="false">H802+H811-H812-H813-H814-H815+H816</f>
        <v>133.494919945808</v>
      </c>
      <c r="I817" s="59" t="n">
        <f aca="false">I802+I811-I812-I813-I814-I815+I816</f>
        <v>214.866196360995</v>
      </c>
      <c r="J817" s="59" t="n">
        <f aca="false">J802+J811-J812-J813-J814-J815+J816</f>
        <v>296.140841229455</v>
      </c>
      <c r="K817" s="59" t="n">
        <f aca="false">K802+K811-K812-K813-K814-K815+K816</f>
        <v>353.907172214543</v>
      </c>
      <c r="L817" s="59" t="n">
        <f aca="false">L802+L811-L812-L813-L814-L815+L816</f>
        <v>583.303882844304</v>
      </c>
    </row>
    <row r="818" customFormat="false" ht="15" hidden="true" customHeight="false" outlineLevel="1" collapsed="false">
      <c r="A818" s="9" t="s">
        <v>438</v>
      </c>
      <c r="B818" s="58" t="n">
        <f aca="false">B817*B782</f>
        <v>-387.421380814941</v>
      </c>
      <c r="C818" s="58" t="n">
        <f aca="false">C817*C782</f>
        <v>-45.6262016860228</v>
      </c>
      <c r="D818" s="58" t="n">
        <f aca="false">D817*D782</f>
        <v>303.293366290669</v>
      </c>
      <c r="E818" s="58" t="n">
        <f aca="false">E817*E782</f>
        <v>98.8959679171732</v>
      </c>
      <c r="F818" s="58" t="n">
        <f aca="false">F817*F782</f>
        <v>180.597487837727</v>
      </c>
      <c r="G818" s="58" t="n">
        <f aca="false">G817*G782</f>
        <v>173.826522301431</v>
      </c>
      <c r="H818" s="58" t="n">
        <f aca="false">H817*H782</f>
        <v>181.639187774841</v>
      </c>
      <c r="I818" s="58" t="n">
        <f aca="false">I817*I782</f>
        <v>304.050867697806</v>
      </c>
      <c r="J818" s="58" t="n">
        <f aca="false">J817*J782</f>
        <v>435.82264922076</v>
      </c>
      <c r="K818" s="58" t="n">
        <f aca="false">K817*K782</f>
        <v>541.669265075775</v>
      </c>
      <c r="L818" s="58" t="n">
        <f aca="false">L817*L782</f>
        <v>928.481033321263</v>
      </c>
    </row>
    <row r="819" customFormat="false" ht="15" hidden="true" customHeight="false" outlineLevel="1" collapsed="false">
      <c r="A819" s="9" t="s">
        <v>439</v>
      </c>
      <c r="B819" s="57" t="n">
        <f aca="false">(B782/$B$782)/(1+Quesería!$B$11+$S$28)^B$47</f>
        <v>1</v>
      </c>
      <c r="C819" s="57" t="n">
        <f aca="false">(C782/$B$782)/(1+Quesería!$B$11+$S$28)^C$47</f>
        <v>0.84</v>
      </c>
      <c r="D819" s="57" t="n">
        <f aca="false">(D782/$B$782)/(1+Quesería!$B$11+$S$28)^D$47</f>
        <v>0.70224</v>
      </c>
      <c r="E819" s="57" t="n">
        <f aca="false">(E782/$B$782)/(1+Quesería!$B$11+$S$28)^E$47</f>
        <v>0.58426368</v>
      </c>
      <c r="F819" s="57" t="n">
        <f aca="false">(F782/$B$782)/(1+Quesería!$B$11+$S$28)^F$47</f>
        <v>0.48610738176</v>
      </c>
      <c r="G819" s="57" t="n">
        <f aca="false">(G782/$B$782)/(1+Quesería!$B$11+$S$28)^G$47</f>
        <v>0.40444134162432</v>
      </c>
      <c r="H819" s="57" t="n">
        <f aca="false">(H782/$B$782)/(1+Quesería!$B$11+$S$28)^H$47</f>
        <v>0.336495196231434</v>
      </c>
      <c r="I819" s="57" t="n">
        <f aca="false">(I782/$B$782)/(1+Quesería!$B$11+$S$28)^I$47</f>
        <v>0.279964003264553</v>
      </c>
      <c r="J819" s="57" t="n">
        <f aca="false">(J782/$B$782)/(1+Quesería!$B$11+$S$28)^J$47</f>
        <v>0.232930050716108</v>
      </c>
      <c r="K819" s="57" t="n">
        <f aca="false">(K782/$B$782)/(1+Quesería!$B$11+$S$28)^K$47</f>
        <v>0.193797802195802</v>
      </c>
      <c r="L819" s="57" t="n">
        <f aca="false">(L782/$B$782)/(1+Quesería!$B$11+$S$28)^L$47</f>
        <v>0.161239771426907</v>
      </c>
    </row>
    <row r="820" customFormat="false" ht="15" hidden="true" customHeight="false" outlineLevel="1" collapsed="false">
      <c r="A820" s="9" t="s">
        <v>440</v>
      </c>
      <c r="B820" s="58" t="n">
        <f aca="false">B802+B785+B787+B816</f>
        <v>123.788678902633</v>
      </c>
      <c r="C820" s="58" t="n">
        <f aca="false">C802+C785+C787+C816</f>
        <v>420.025878457132</v>
      </c>
      <c r="D820" s="58" t="n">
        <f aca="false">D802+D785+D787+D816</f>
        <v>509.73504514632</v>
      </c>
      <c r="E820" s="58" t="n">
        <f aca="false">E802+E785+E787+E816</f>
        <v>370.880322063705</v>
      </c>
      <c r="F820" s="58" t="n">
        <f aca="false">F802+F785+F787+F816</f>
        <v>397.078358944648</v>
      </c>
      <c r="G820" s="58" t="n">
        <f aca="false">G802+G785+G787+G816</f>
        <v>358.307552467782</v>
      </c>
      <c r="H820" s="58" t="n">
        <f aca="false">H802+H785+H787+H816</f>
        <v>331.428468724945</v>
      </c>
      <c r="I820" s="58" t="n">
        <f aca="false">I802+I785+I787+I816</f>
        <v>374.946432388103</v>
      </c>
      <c r="J820" s="58" t="n">
        <f aca="false">J802+J785+J787+J816</f>
        <v>357.942554514299</v>
      </c>
      <c r="K820" s="58" t="n">
        <f aca="false">K802+K785+K787+K816</f>
        <v>353.907172214543</v>
      </c>
      <c r="L820" s="58" t="n">
        <f aca="false">L802+L785+L787+L816</f>
        <v>583.303882844304</v>
      </c>
    </row>
    <row r="821" customFormat="false" ht="15" hidden="true" customHeight="false" outlineLevel="1" collapsed="false">
      <c r="A821" s="5" t="s">
        <v>149</v>
      </c>
      <c r="B821" s="12" t="str">
        <f aca="false">IF(AND(B$47&gt;=1,(B812+B813+B814)&gt;0.001),B820/(B812+B813+B814),"")</f>
        <v/>
      </c>
      <c r="C821" s="12" t="n">
        <f aca="false">IF(AND(C$47&gt;=1,(C812+C813+C814)&gt;0.001),C820/(C812+C813+C814),"")</f>
        <v>3.99924212311607</v>
      </c>
      <c r="D821" s="12" t="n">
        <f aca="false">IF(AND(D$47&gt;=1,(D812+D813+D814)&gt;0.001),D820/(D812+D813+D814),"")</f>
        <v>2.05557518825514</v>
      </c>
      <c r="E821" s="12" t="n">
        <f aca="false">IF(AND(E$47&gt;=1,(E812+E813+E814)&gt;0.001),E820/(E812+E813+E814),"")</f>
        <v>1.28791404660404</v>
      </c>
      <c r="F821" s="12" t="n">
        <f aca="false">IF(AND(F$47&gt;=1,(F812+F813+F814)&gt;0.001),F820/(F812+F813+F814),"")</f>
        <v>1.57253595898844</v>
      </c>
      <c r="G821" s="12" t="n">
        <f aca="false">IF(AND(G$47&gt;=1,(G812+G813+G814)&gt;0.001),G820/(G812+G813+G814),"")</f>
        <v>1.63350728983112</v>
      </c>
      <c r="H821" s="12" t="n">
        <f aca="false">IF(AND(H$47&gt;=1,(H812+H813+H814)&gt;0.001),H820/(H812+H813+H814),"")</f>
        <v>1.75949064202224</v>
      </c>
      <c r="I821" s="12" t="n">
        <f aca="false">IF(AND(I$47&gt;=1,(I812+I813+I814)&gt;0.001),I820/(I812+I813+I814),"")</f>
        <v>2.35160958941808</v>
      </c>
      <c r="J821" s="12" t="n">
        <f aca="false">IF(AND(J$47&gt;=1,(J812+J813+J814)&gt;0.001),J820/(J812+J813+J814),"")</f>
        <v>5.81495731479158</v>
      </c>
      <c r="K821" s="12" t="str">
        <f aca="false">IF(AND(K$47&gt;=1,(K812+K813+K814)&gt;0.001),K820/(K812+K813+K814),"")</f>
        <v/>
      </c>
      <c r="L821" s="12" t="str">
        <f aca="false">IF(AND(L$47&gt;=1,(L812+L813+L814)&gt;0.001),L820/(L812+L813+L814),"")</f>
        <v/>
      </c>
    </row>
    <row r="823" customFormat="false" ht="15" hidden="false" customHeight="false" outlineLevel="0" collapsed="false">
      <c r="A823" s="43" t="s">
        <v>168</v>
      </c>
      <c r="B823" s="44"/>
      <c r="C823" s="44"/>
      <c r="D823" s="44"/>
      <c r="E823" s="44"/>
      <c r="F823" s="44"/>
      <c r="G823" s="44"/>
      <c r="H823" s="44"/>
      <c r="I823" s="44"/>
      <c r="J823" s="44"/>
      <c r="K823" s="44"/>
      <c r="L823" s="44"/>
    </row>
    <row r="824" customFormat="false" ht="15" hidden="true" customHeight="false" outlineLevel="1" collapsed="false">
      <c r="A824" s="9" t="s">
        <v>406</v>
      </c>
      <c r="B824" s="56" t="n">
        <f aca="false">CHOOSE($T$15,Entorno!B$7,Entorno!B$8,Entorno!B$9)</f>
        <v>0.06</v>
      </c>
      <c r="C824" s="56" t="n">
        <f aca="false">CHOOSE($T$15,Entorno!C$7,Entorno!C$8,Entorno!C$9)</f>
        <v>0.05</v>
      </c>
      <c r="D824" s="56" t="n">
        <f aca="false">CHOOSE($T$15,Entorno!D$7,Entorno!D$8,Entorno!D$9)</f>
        <v>0.045</v>
      </c>
      <c r="E824" s="56" t="n">
        <f aca="false">CHOOSE($T$15,Entorno!E$7,Entorno!E$8,Entorno!E$9)</f>
        <v>0.04</v>
      </c>
      <c r="F824" s="56" t="n">
        <f aca="false">CHOOSE($T$15,Entorno!F$7,Entorno!F$8,Entorno!F$9)</f>
        <v>0.04</v>
      </c>
      <c r="G824" s="56" t="n">
        <f aca="false">CHOOSE($T$15,Entorno!G$7,Entorno!G$8,Entorno!G$9)</f>
        <v>0.04</v>
      </c>
      <c r="H824" s="56" t="n">
        <f aca="false">CHOOSE($T$15,Entorno!H$7,Entorno!H$8,Entorno!H$9)</f>
        <v>0.04</v>
      </c>
      <c r="I824" s="56" t="n">
        <f aca="false">CHOOSE($T$15,Entorno!I$7,Entorno!I$8,Entorno!I$9)</f>
        <v>0.04</v>
      </c>
      <c r="J824" s="56" t="n">
        <f aca="false">CHOOSE($T$15,Entorno!J$7,Entorno!J$8,Entorno!J$9)</f>
        <v>0.04</v>
      </c>
      <c r="K824" s="56" t="n">
        <f aca="false">CHOOSE($T$15,Entorno!K$7,Entorno!K$8,Entorno!K$9)</f>
        <v>0.04</v>
      </c>
      <c r="L824" s="56" t="n">
        <f aca="false">CHOOSE($T$15,Entorno!L$7,Entorno!L$8,Entorno!L$9)</f>
        <v>0.04</v>
      </c>
    </row>
    <row r="825" customFormat="false" ht="15" hidden="true" customHeight="false" outlineLevel="1" collapsed="false">
      <c r="A825" s="9" t="s">
        <v>407</v>
      </c>
      <c r="B825" s="57" t="n">
        <f aca="false">1+B824</f>
        <v>1.06</v>
      </c>
      <c r="C825" s="57" t="n">
        <f aca="false">B825*(1+C824)</f>
        <v>1.113</v>
      </c>
      <c r="D825" s="57" t="n">
        <f aca="false">C825*(1+D824)</f>
        <v>1.163085</v>
      </c>
      <c r="E825" s="57" t="n">
        <f aca="false">D825*(1+E824)</f>
        <v>1.2096084</v>
      </c>
      <c r="F825" s="57" t="n">
        <f aca="false">E825*(1+F824)</f>
        <v>1.257992736</v>
      </c>
      <c r="G825" s="57" t="n">
        <f aca="false">F825*(1+G824)</f>
        <v>1.30831244544</v>
      </c>
      <c r="H825" s="57" t="n">
        <f aca="false">G825*(1+H824)</f>
        <v>1.3606449432576</v>
      </c>
      <c r="I825" s="57" t="n">
        <f aca="false">H825*(1+I824)</f>
        <v>1.4150707409879</v>
      </c>
      <c r="J825" s="57" t="n">
        <f aca="false">I825*(1+J824)</f>
        <v>1.47167357062742</v>
      </c>
      <c r="K825" s="57" t="n">
        <f aca="false">J825*(1+K824)</f>
        <v>1.53054051345252</v>
      </c>
      <c r="L825" s="57" t="n">
        <f aca="false">K825*(1+L824)</f>
        <v>1.59176213399062</v>
      </c>
    </row>
    <row r="826" customFormat="false" ht="15" hidden="true" customHeight="false" outlineLevel="1" collapsed="false">
      <c r="A826" s="9" t="s">
        <v>408</v>
      </c>
      <c r="B826" s="57" t="n">
        <f aca="false">(1+$T$16)/(1+B824)</f>
        <v>1.02358490566038</v>
      </c>
      <c r="C826" s="57" t="n">
        <f aca="false">B826*(1+Entorno!$B$13)</f>
        <v>1.02870283018868</v>
      </c>
      <c r="D826" s="57" t="n">
        <f aca="false">C826*(1+Entorno!$B$13)</f>
        <v>1.03384634433962</v>
      </c>
      <c r="E826" s="57" t="n">
        <f aca="false">D826*(1+Entorno!$B$13)</f>
        <v>1.03901557606132</v>
      </c>
      <c r="F826" s="57" t="n">
        <f aca="false">E826*(1+Entorno!$B$13)</f>
        <v>1.04421065394163</v>
      </c>
      <c r="G826" s="57" t="n">
        <f aca="false">F826*(1+Entorno!$B$13)</f>
        <v>1.04943170721133</v>
      </c>
      <c r="H826" s="57" t="n">
        <f aca="false">G826*(1+Entorno!$B$13)</f>
        <v>1.05467886574739</v>
      </c>
      <c r="I826" s="57" t="n">
        <f aca="false">H826*(1+Entorno!$B$13)</f>
        <v>1.05995226007613</v>
      </c>
      <c r="J826" s="57" t="n">
        <f aca="false">I826*(1+Entorno!$B$13)</f>
        <v>1.06525202137651</v>
      </c>
      <c r="K826" s="57" t="n">
        <f aca="false">J826*(1+Entorno!$B$13)</f>
        <v>1.07057828148339</v>
      </c>
      <c r="L826" s="57" t="n">
        <f aca="false">K826*(1+Entorno!$B$13)</f>
        <v>1.07593117289081</v>
      </c>
    </row>
    <row r="827" customFormat="false" ht="15" hidden="true" customHeight="false" outlineLevel="1" collapsed="false">
      <c r="A827" s="9" t="s">
        <v>409</v>
      </c>
      <c r="B827" s="57" t="n">
        <f aca="false">1/B825</f>
        <v>0.943396226415094</v>
      </c>
      <c r="C827" s="57" t="n">
        <f aca="false">1/C825</f>
        <v>0.898472596585804</v>
      </c>
      <c r="D827" s="57" t="n">
        <f aca="false">1/D825</f>
        <v>0.859782389077324</v>
      </c>
      <c r="E827" s="57" t="n">
        <f aca="false">1/E825</f>
        <v>0.826713835651273</v>
      </c>
      <c r="F827" s="57" t="n">
        <f aca="false">1/F825</f>
        <v>0.794917149664686</v>
      </c>
      <c r="G827" s="57" t="n">
        <f aca="false">1/G825</f>
        <v>0.764343413139121</v>
      </c>
      <c r="H827" s="57" t="n">
        <f aca="false">1/H825</f>
        <v>0.734945589556847</v>
      </c>
      <c r="I827" s="57" t="n">
        <f aca="false">1/I825</f>
        <v>0.706678451496968</v>
      </c>
      <c r="J827" s="57" t="n">
        <f aca="false">1/J825</f>
        <v>0.679498511054777</v>
      </c>
      <c r="K827" s="57" t="n">
        <f aca="false">1/K825</f>
        <v>0.653363952937286</v>
      </c>
      <c r="L827" s="57" t="n">
        <f aca="false">1/L825</f>
        <v>0.628234570132006</v>
      </c>
    </row>
    <row r="828" customFormat="false" ht="15" hidden="true" customHeight="false" outlineLevel="1" collapsed="false">
      <c r="A828" s="6" t="s">
        <v>323</v>
      </c>
      <c r="B828" s="29" t="n">
        <f aca="false">IF(B$47=0,Quesería!$F$92,IF(B$47=1,(Quesería!$F$93-(-$T$26)*Quesería!$D$86*(1+Quesería!$I$86))*$T$21,0))*$T$11</f>
        <v>930.800239431677</v>
      </c>
      <c r="C828" s="29" t="n">
        <f aca="false">IF(C$47=0,Quesería!$F$92,IF(C$47=1,(Quesería!$F$93-(-$T$26)*Quesería!$D$86*(1+Quesería!$I$86))*$T$21,0))*$T$11</f>
        <v>658.469066674498</v>
      </c>
      <c r="D828" s="29" t="n">
        <f aca="false">IF(D$47=0,Quesería!$F$92,IF(D$47=1,(Quesería!$F$93-(-$T$26)*Quesería!$D$86*(1+Quesería!$I$86))*$T$21,0))*$T$11</f>
        <v>0</v>
      </c>
      <c r="E828" s="29" t="n">
        <f aca="false">IF(E$47=0,Quesería!$F$92,IF(E$47=1,(Quesería!$F$93-(-$T$26)*Quesería!$D$86*(1+Quesería!$I$86))*$T$21,0))*$T$11</f>
        <v>0</v>
      </c>
      <c r="F828" s="29" t="n">
        <f aca="false">IF(F$47=0,Quesería!$F$92,IF(F$47=1,(Quesería!$F$93-(-$T$26)*Quesería!$D$86*(1+Quesería!$I$86))*$T$21,0))*$T$11</f>
        <v>0</v>
      </c>
      <c r="G828" s="29" t="n">
        <f aca="false">IF(G$47=0,Quesería!$F$92,IF(G$47=1,(Quesería!$F$93-(-$T$26)*Quesería!$D$86*(1+Quesería!$I$86))*$T$21,0))*$T$11</f>
        <v>0</v>
      </c>
      <c r="H828" s="29" t="n">
        <f aca="false">IF(H$47=0,Quesería!$F$92,IF(H$47=1,(Quesería!$F$93-(-$T$26)*Quesería!$D$86*(1+Quesería!$I$86))*$T$21,0))*$T$11</f>
        <v>0</v>
      </c>
      <c r="I828" s="29" t="n">
        <f aca="false">IF(I$47=0,Quesería!$F$92,IF(I$47=1,(Quesería!$F$93-(-$T$26)*Quesería!$D$86*(1+Quesería!$I$86))*$T$21,0))*$T$11</f>
        <v>0</v>
      </c>
      <c r="J828" s="29" t="n">
        <f aca="false">IF(J$47=0,Quesería!$F$92,IF(J$47=1,(Quesería!$F$93-(-$T$26)*Quesería!$D$86*(1+Quesería!$I$86))*$T$21,0))*$T$11</f>
        <v>0</v>
      </c>
      <c r="K828" s="29" t="n">
        <f aca="false">IF(K$47=0,Quesería!$F$92,IF(K$47=1,(Quesería!$F$93-(-$T$26)*Quesería!$D$86*(1+Quesería!$I$86))*$T$21,0))*$T$11</f>
        <v>0</v>
      </c>
      <c r="L828" s="29" t="n">
        <f aca="false">IF(L$47=0,Quesería!$F$92,IF(L$47=1,(Quesería!$F$93-(-$T$26)*Quesería!$D$86*(1+Quesería!$I$86))*$T$21,0))*$T$11</f>
        <v>0</v>
      </c>
    </row>
    <row r="829" customFormat="false" ht="15" hidden="true" customHeight="false" outlineLevel="1" collapsed="false">
      <c r="A829" s="6" t="s">
        <v>410</v>
      </c>
      <c r="B829" s="29" t="n">
        <f aca="false">IF(B$47=5,Quesería!$F$99,IF(B$47=6,Quesería!$F$100,0))*$T$11</f>
        <v>0</v>
      </c>
      <c r="C829" s="29" t="n">
        <f aca="false">IF(C$47=5,Quesería!$F$99,IF(C$47=6,Quesería!$F$100,0))*$T$11</f>
        <v>0</v>
      </c>
      <c r="D829" s="29" t="n">
        <f aca="false">IF(D$47=5,Quesería!$F$99,IF(D$47=6,Quesería!$F$100,0))*$T$11</f>
        <v>0</v>
      </c>
      <c r="E829" s="29" t="n">
        <f aca="false">IF(E$47=5,Quesería!$F$99,IF(E$47=6,Quesería!$F$100,0))*$T$11</f>
        <v>0</v>
      </c>
      <c r="F829" s="29" t="n">
        <f aca="false">IF(F$47=5,Quesería!$F$99,IF(F$47=6,Quesería!$F$100,0))*$T$11</f>
        <v>0</v>
      </c>
      <c r="G829" s="29" t="n">
        <f aca="false">IF(G$47=5,Quesería!$F$99,IF(G$47=6,Quesería!$F$100,0))*$T$11</f>
        <v>27.4652172688735</v>
      </c>
      <c r="H829" s="29" t="n">
        <f aca="false">IF(H$47=5,Quesería!$F$99,IF(H$47=6,Quesería!$F$100,0))*$T$11</f>
        <v>46.3891557109552</v>
      </c>
      <c r="I829" s="29" t="n">
        <f aca="false">IF(I$47=5,Quesería!$F$99,IF(I$47=6,Quesería!$F$100,0))*$T$11</f>
        <v>0</v>
      </c>
      <c r="J829" s="29" t="n">
        <f aca="false">IF(J$47=5,Quesería!$F$99,IF(J$47=6,Quesería!$F$100,0))*$T$11</f>
        <v>0</v>
      </c>
      <c r="K829" s="29" t="n">
        <f aca="false">IF(K$47=5,Quesería!$F$99,IF(K$47=6,Quesería!$F$100,0))*$T$11</f>
        <v>0</v>
      </c>
      <c r="L829" s="29" t="n">
        <f aca="false">IF(L$47=5,Quesería!$F$99,IF(L$47=6,Quesería!$F$100,0))*$T$11</f>
        <v>0</v>
      </c>
    </row>
    <row r="830" customFormat="false" ht="15" hidden="true" customHeight="false" outlineLevel="1" collapsed="false">
      <c r="A830" s="6" t="s">
        <v>411</v>
      </c>
      <c r="B830" s="29" t="n">
        <f aca="false">Quesería!$B$55*(IF(B$47=0,SUMPRODUCT((Quesería!$C$70:$C$89=0)*(Quesería!$H$70:$H$89&gt;0)*(Quesería!$J$70:$J$89&gt;0)*Quesería!$F$70:$F$89*(1+Quesería!$I$70:$I$89)),IF(B$47=1,(SUMPRODUCT((Quesería!$C$70:$C$89=1)*(Quesería!$H$70:$H$89&gt;0)*(Quesería!$J$70:$J$89&gt;0)*Quesería!$F$70:$F$89*(1+Quesería!$I$70:$I$89))-(-$T$26)*Quesería!$D$86*(1+Quesería!$I$86))*$T$21,0))*$T$11+B829)</f>
        <v>149.115671560178</v>
      </c>
      <c r="C830" s="29" t="n">
        <f aca="false">Quesería!$B$55*(IF(C$47=0,SUMPRODUCT((Quesería!$C$70:$C$89=0)*(Quesería!$H$70:$H$89&gt;0)*(Quesería!$J$70:$J$89&gt;0)*Quesería!$F$70:$F$89*(1+Quesería!$I$70:$I$89)),IF(C$47=1,(SUMPRODUCT((Quesería!$C$70:$C$89=1)*(Quesería!$H$70:$H$89&gt;0)*(Quesería!$J$70:$J$89&gt;0)*Quesería!$F$70:$F$89*(1+Quesería!$I$70:$I$89))-(-$T$26)*Quesería!$D$86*(1+Quesería!$I$86))*$T$21,0))*$T$11+C829)</f>
        <v>125.109122668155</v>
      </c>
      <c r="D830" s="29" t="n">
        <f aca="false">Quesería!$B$55*(IF(D$47=0,SUMPRODUCT((Quesería!$C$70:$C$89=0)*(Quesería!$H$70:$H$89&gt;0)*(Quesería!$J$70:$J$89&gt;0)*Quesería!$F$70:$F$89*(1+Quesería!$I$70:$I$89)),IF(D$47=1,(SUMPRODUCT((Quesería!$C$70:$C$89=1)*(Quesería!$H$70:$H$89&gt;0)*(Quesería!$J$70:$J$89&gt;0)*Quesería!$F$70:$F$89*(1+Quesería!$I$70:$I$89))-(-$T$26)*Quesería!$D$86*(1+Quesería!$I$86))*$T$21,0))*$T$11+D829)</f>
        <v>0</v>
      </c>
      <c r="E830" s="29" t="n">
        <f aca="false">Quesería!$B$55*(IF(E$47=0,SUMPRODUCT((Quesería!$C$70:$C$89=0)*(Quesería!$H$70:$H$89&gt;0)*(Quesería!$J$70:$J$89&gt;0)*Quesería!$F$70:$F$89*(1+Quesería!$I$70:$I$89)),IF(E$47=1,(SUMPRODUCT((Quesería!$C$70:$C$89=1)*(Quesería!$H$70:$H$89&gt;0)*(Quesería!$J$70:$J$89&gt;0)*Quesería!$F$70:$F$89*(1+Quesería!$I$70:$I$89))-(-$T$26)*Quesería!$D$86*(1+Quesería!$I$86))*$T$21,0))*$T$11+E829)</f>
        <v>0</v>
      </c>
      <c r="F830" s="29" t="n">
        <f aca="false">Quesería!$B$55*(IF(F$47=0,SUMPRODUCT((Quesería!$C$70:$C$89=0)*(Quesería!$H$70:$H$89&gt;0)*(Quesería!$J$70:$J$89&gt;0)*Quesería!$F$70:$F$89*(1+Quesería!$I$70:$I$89)),IF(F$47=1,(SUMPRODUCT((Quesería!$C$70:$C$89=1)*(Quesería!$H$70:$H$89&gt;0)*(Quesería!$J$70:$J$89&gt;0)*Quesería!$F$70:$F$89*(1+Quesería!$I$70:$I$89))-(-$T$26)*Quesería!$D$86*(1+Quesería!$I$86))*$T$21,0))*$T$11+F829)</f>
        <v>0</v>
      </c>
      <c r="G830" s="29" t="n">
        <f aca="false">Quesería!$B$55*(IF(G$47=0,SUMPRODUCT((Quesería!$C$70:$C$89=0)*(Quesería!$H$70:$H$89&gt;0)*(Quesería!$J$70:$J$89&gt;0)*Quesería!$F$70:$F$89*(1+Quesería!$I$70:$I$89)),IF(G$47=1,(SUMPRODUCT((Quesería!$C$70:$C$89=1)*(Quesería!$H$70:$H$89&gt;0)*(Quesería!$J$70:$J$89&gt;0)*Quesería!$F$70:$F$89*(1+Quesería!$I$70:$I$89))-(-$T$26)*Quesería!$D$86*(1+Quesería!$I$86))*$T$21,0))*$T$11+G829)</f>
        <v>5.21839128108597</v>
      </c>
      <c r="H830" s="29" t="n">
        <f aca="false">Quesería!$B$55*(IF(H$47=0,SUMPRODUCT((Quesería!$C$70:$C$89=0)*(Quesería!$H$70:$H$89&gt;0)*(Quesería!$J$70:$J$89&gt;0)*Quesería!$F$70:$F$89*(1+Quesería!$I$70:$I$89)),IF(H$47=1,(SUMPRODUCT((Quesería!$C$70:$C$89=1)*(Quesería!$H$70:$H$89&gt;0)*(Quesería!$J$70:$J$89&gt;0)*Quesería!$F$70:$F$89*(1+Quesería!$I$70:$I$89))-(-$T$26)*Quesería!$D$86*(1+Quesería!$I$86))*$T$21,0))*$T$11+H829)</f>
        <v>8.8139395850815</v>
      </c>
      <c r="I830" s="29" t="n">
        <f aca="false">Quesería!$B$55*(IF(I$47=0,SUMPRODUCT((Quesería!$C$70:$C$89=0)*(Quesería!$H$70:$H$89&gt;0)*(Quesería!$J$70:$J$89&gt;0)*Quesería!$F$70:$F$89*(1+Quesería!$I$70:$I$89)),IF(I$47=1,(SUMPRODUCT((Quesería!$C$70:$C$89=1)*(Quesería!$H$70:$H$89&gt;0)*(Quesería!$J$70:$J$89&gt;0)*Quesería!$F$70:$F$89*(1+Quesería!$I$70:$I$89))-(-$T$26)*Quesería!$D$86*(1+Quesería!$I$86))*$T$21,0))*$T$11+I829)</f>
        <v>0</v>
      </c>
      <c r="J830" s="29" t="n">
        <f aca="false">Quesería!$B$55*(IF(J$47=0,SUMPRODUCT((Quesería!$C$70:$C$89=0)*(Quesería!$H$70:$H$89&gt;0)*(Quesería!$J$70:$J$89&gt;0)*Quesería!$F$70:$F$89*(1+Quesería!$I$70:$I$89)),IF(J$47=1,(SUMPRODUCT((Quesería!$C$70:$C$89=1)*(Quesería!$H$70:$H$89&gt;0)*(Quesería!$J$70:$J$89&gt;0)*Quesería!$F$70:$F$89*(1+Quesería!$I$70:$I$89))-(-$T$26)*Quesería!$D$86*(1+Quesería!$I$86))*$T$21,0))*$T$11+J829)</f>
        <v>0</v>
      </c>
      <c r="K830" s="29" t="n">
        <f aca="false">Quesería!$B$55*(IF(K$47=0,SUMPRODUCT((Quesería!$C$70:$C$89=0)*(Quesería!$H$70:$H$89&gt;0)*(Quesería!$J$70:$J$89&gt;0)*Quesería!$F$70:$F$89*(1+Quesería!$I$70:$I$89)),IF(K$47=1,(SUMPRODUCT((Quesería!$C$70:$C$89=1)*(Quesería!$H$70:$H$89&gt;0)*(Quesería!$J$70:$J$89&gt;0)*Quesería!$F$70:$F$89*(1+Quesería!$I$70:$I$89))-(-$T$26)*Quesería!$D$86*(1+Quesería!$I$86))*$T$21,0))*$T$11+K829)</f>
        <v>0</v>
      </c>
      <c r="L830" s="29" t="n">
        <f aca="false">Quesería!$B$55*(IF(L$47=0,SUMPRODUCT((Quesería!$C$70:$C$89=0)*(Quesería!$H$70:$H$89&gt;0)*(Quesería!$J$70:$J$89&gt;0)*Quesería!$F$70:$F$89*(1+Quesería!$I$70:$I$89)),IF(L$47=1,(SUMPRODUCT((Quesería!$C$70:$C$89=1)*(Quesería!$H$70:$H$89&gt;0)*(Quesería!$J$70:$J$89&gt;0)*Quesería!$F$70:$F$89*(1+Quesería!$I$70:$I$89))-(-$T$26)*Quesería!$D$86*(1+Quesería!$I$86))*$T$21,0))*$T$11+L829)</f>
        <v>0</v>
      </c>
    </row>
    <row r="831" customFormat="false" ht="15" hidden="true" customHeight="false" outlineLevel="1" collapsed="false">
      <c r="A831" s="6" t="s">
        <v>386</v>
      </c>
      <c r="B831" s="29" t="n">
        <f aca="false">IF(B$47=0,($T$22*Quesería!$J$126+(1-$T$22)*Quesería!$E$122)*Quesería!$B$20*Quesería!$B$21/12*$T$23,(($T$22*Quesería!$J$126+(1-$T$22)*Quesería!$E$122)+($T$22*Quesería!$J$104+(1-$T$22)*Quesería!$E$104)*(B826-1))*IF(B$47=1,Quesería!$B$20,1))*$T$10</f>
        <v>120.716772261203</v>
      </c>
      <c r="C831" s="29" t="n">
        <f aca="false">IF(C$47=0,($T$22*Quesería!$J$126+(1-$T$22)*Quesería!$E$122)*Quesería!$B$20*Quesería!$B$21/12*$T$23,(($T$22*Quesería!$J$126+(1-$T$22)*Quesería!$E$122)+($T$22*Quesería!$J$104+(1-$T$22)*Quesería!$E$104)*(C826-1))*IF(C$47=1,Quesería!$B$20,1))*$T$10</f>
        <v>181.328317354069</v>
      </c>
      <c r="D831" s="29" t="n">
        <f aca="false">IF(D$47=0,($T$22*Quesería!$J$126+(1-$T$22)*Quesería!$E$122)*Quesería!$B$20*Quesería!$B$21/12*$T$23,(($T$22*Quesería!$J$126+(1-$T$22)*Quesería!$E$122)+($T$22*Quesería!$J$104+(1-$T$22)*Quesería!$E$104)*(D826-1))*IF(D$47=1,Quesería!$B$20,1))*$T$10</f>
        <v>241.83157753184</v>
      </c>
      <c r="E831" s="29" t="n">
        <f aca="false">IF(E$47=0,($T$22*Quesería!$J$126+(1-$T$22)*Quesería!$E$122)*Quesería!$B$20*Quesería!$B$21/12*$T$23,(($T$22*Quesería!$J$126+(1-$T$22)*Quesería!$E$122)+($T$22*Quesería!$J$104+(1-$T$22)*Quesería!$E$104)*(E826-1))*IF(E$47=1,Quesería!$B$20,1))*$T$10</f>
        <v>241.892367696887</v>
      </c>
      <c r="F831" s="29" t="n">
        <f aca="false">IF(F$47=0,($T$22*Quesería!$J$126+(1-$T$22)*Quesería!$E$122)*Quesería!$B$20*Quesería!$B$21/12*$T$23,(($T$22*Quesería!$J$126+(1-$T$22)*Quesería!$E$122)+($T$22*Quesería!$J$104+(1-$T$22)*Quesería!$E$104)*(F826-1))*IF(F$47=1,Quesería!$B$20,1))*$T$10</f>
        <v>241.95346181276</v>
      </c>
      <c r="G831" s="29" t="n">
        <f aca="false">IF(G$47=0,($T$22*Quesería!$J$126+(1-$T$22)*Quesería!$E$122)*Quesería!$B$20*Quesería!$B$21/12*$T$23,(($T$22*Quesería!$J$126+(1-$T$22)*Quesería!$E$122)+($T$22*Quesería!$J$104+(1-$T$22)*Quesería!$E$104)*(G826-1))*IF(G$47=1,Quesería!$B$20,1))*$T$10</f>
        <v>242.014861399211</v>
      </c>
      <c r="H831" s="29" t="n">
        <f aca="false">IF(H$47=0,($T$22*Quesería!$J$126+(1-$T$22)*Quesería!$E$122)*Quesería!$B$20*Quesería!$B$21/12*$T$23,(($T$22*Quesería!$J$126+(1-$T$22)*Quesería!$E$122)+($T$22*Quesería!$J$104+(1-$T$22)*Quesería!$E$104)*(H826-1))*IF(H$47=1,Quesería!$B$20,1))*$T$10</f>
        <v>242.076567983595</v>
      </c>
      <c r="I831" s="29" t="n">
        <f aca="false">IF(I$47=0,($T$22*Quesería!$J$126+(1-$T$22)*Quesería!$E$122)*Quesería!$B$20*Quesería!$B$21/12*$T$23,(($T$22*Quesería!$J$126+(1-$T$22)*Quesería!$E$122)+($T$22*Quesería!$J$104+(1-$T$22)*Quesería!$E$104)*(I826-1))*IF(I$47=1,Quesería!$B$20,1))*$T$10</f>
        <v>242.138583100901</v>
      </c>
      <c r="J831" s="29" t="n">
        <f aca="false">IF(J$47=0,($T$22*Quesería!$J$126+(1-$T$22)*Quesería!$E$122)*Quesería!$B$20*Quesería!$B$21/12*$T$23,(($T$22*Quesería!$J$126+(1-$T$22)*Quesería!$E$122)+($T$22*Quesería!$J$104+(1-$T$22)*Quesería!$E$104)*(J826-1))*IF(J$47=1,Quesería!$B$20,1))*$T$10</f>
        <v>242.200908293794</v>
      </c>
      <c r="K831" s="29" t="n">
        <f aca="false">IF(K$47=0,($T$22*Quesería!$J$126+(1-$T$22)*Quesería!$E$122)*Quesería!$B$20*Quesería!$B$21/12*$T$23,(($T$22*Quesería!$J$126+(1-$T$22)*Quesería!$E$122)+($T$22*Quesería!$J$104+(1-$T$22)*Quesería!$E$104)*(K826-1))*IF(K$47=1,Quesería!$B$20,1))*$T$10</f>
        <v>242.263545112651</v>
      </c>
      <c r="L831" s="29" t="n">
        <f aca="false">IF(L$47=0,($T$22*Quesería!$J$126+(1-$T$22)*Quesería!$E$122)*Quesería!$B$20*Quesería!$B$21/12*$T$23,(($T$22*Quesería!$J$126+(1-$T$22)*Quesería!$E$122)+($T$22*Quesería!$J$104+(1-$T$22)*Quesería!$E$104)*(L826-1))*IF(L$47=1,Quesería!$B$20,1))*$T$10</f>
        <v>242.326495115602</v>
      </c>
    </row>
    <row r="832" customFormat="false" ht="15" hidden="true" customHeight="false" outlineLevel="1" collapsed="false">
      <c r="A832" s="6" t="s">
        <v>387</v>
      </c>
      <c r="B832" s="29" t="n">
        <f aca="false">IF(B$47&lt;=1,0,((($T$22*Quesería!$J$127+(1-$T$22)*Quesería!$E$123)-($T$22*Quesería!$J$113+(1-$T$22)*Quesería!$E$113)+$T$6*($T$22*Quesería!$J$113+(1-$T$22)*Quesería!$E$113)-(1-$T$9)*(($T$22*Quesería!$J$119+(1-$T$22)*Quesería!$E$119)+($T$22*Quesería!$J$118+(1-$T$22)*Quesería!$E$118))-(1-$T$24)*($T$22*Quesería!$J$117+(1-$T$22)*Quesería!$E$117)+$T$24*(1-$T$25)*'Beneficios y costos'!$B$144-(-$T$26*$T$27)*'Beneficios y costos'!$C$167)+($T$6*($T$22*Quesería!$J$113+(1-$T$22)*Quesería!$E$113)+$T$9*($T$22*Quesería!$J$119+(1-$T$22)*Quesería!$E$119))*(B826-1))*IF(B$47=2,Quesería!$B$20,1)+IF(B$47=2,Quesería!$B$24*$T$9*($T$22*Quesería!$J$119+(1-$T$22)*Quesería!$E$119)*B826,0))*$T$10*$T$21</f>
        <v>0</v>
      </c>
      <c r="C832" s="29" t="n">
        <f aca="false">IF(C$47&lt;=1,0,((($T$22*Quesería!$J$127+(1-$T$22)*Quesería!$E$123)-($T$22*Quesería!$J$113+(1-$T$22)*Quesería!$E$113)+$T$6*($T$22*Quesería!$J$113+(1-$T$22)*Quesería!$E$113)-(1-$T$9)*(($T$22*Quesería!$J$119+(1-$T$22)*Quesería!$E$119)+($T$22*Quesería!$J$118+(1-$T$22)*Quesería!$E$118))-(1-$T$24)*($T$22*Quesería!$J$117+(1-$T$22)*Quesería!$E$117)+$T$24*(1-$T$25)*'Beneficios y costos'!$B$144-(-$T$26*$T$27)*'Beneficios y costos'!$C$167)+($T$6*($T$22*Quesería!$J$113+(1-$T$22)*Quesería!$E$113)+$T$9*($T$22*Quesería!$J$119+(1-$T$22)*Quesería!$E$119))*(C826-1))*IF(C$47=2,Quesería!$B$20,1)+IF(C$47=2,Quesería!$B$24*$T$9*($T$22*Quesería!$J$119+(1-$T$22)*Quesería!$E$119)*C826,0))*$T$10*$T$21</f>
        <v>0</v>
      </c>
      <c r="D832" s="29" t="n">
        <f aca="false">IF(D$47&lt;=1,0,((($T$22*Quesería!$J$127+(1-$T$22)*Quesería!$E$123)-($T$22*Quesería!$J$113+(1-$T$22)*Quesería!$E$113)+$T$6*($T$22*Quesería!$J$113+(1-$T$22)*Quesería!$E$113)-(1-$T$9)*(($T$22*Quesería!$J$119+(1-$T$22)*Quesería!$E$119)+($T$22*Quesería!$J$118+(1-$T$22)*Quesería!$E$118))-(1-$T$24)*($T$22*Quesería!$J$117+(1-$T$22)*Quesería!$E$117)+$T$24*(1-$T$25)*'Beneficios y costos'!$B$144-(-$T$26*$T$27)*'Beneficios y costos'!$C$167)+($T$6*($T$22*Quesería!$J$113+(1-$T$22)*Quesería!$E$113)+$T$9*($T$22*Quesería!$J$119+(1-$T$22)*Quesería!$E$119))*(D826-1))*IF(D$47=2,Quesería!$B$20,1)+IF(D$47=2,Quesería!$B$24*$T$9*($T$22*Quesería!$J$119+(1-$T$22)*Quesería!$E$119)*D826,0))*$T$10*$T$21</f>
        <v>257.351493734688</v>
      </c>
      <c r="E832" s="29" t="n">
        <f aca="false">IF(E$47&lt;=1,0,((($T$22*Quesería!$J$127+(1-$T$22)*Quesería!$E$123)-($T$22*Quesería!$J$113+(1-$T$22)*Quesería!$E$113)+$T$6*($T$22*Quesería!$J$113+(1-$T$22)*Quesería!$E$113)-(1-$T$9)*(($T$22*Quesería!$J$119+(1-$T$22)*Quesería!$E$119)+($T$22*Quesería!$J$118+(1-$T$22)*Quesería!$E$118))-(1-$T$24)*($T$22*Quesería!$J$117+(1-$T$22)*Quesería!$E$117)+$T$24*(1-$T$25)*'Beneficios y costos'!$B$144-(-$T$26*$T$27)*'Beneficios y costos'!$C$167)+($T$6*($T$22*Quesería!$J$113+(1-$T$22)*Quesería!$E$113)+$T$9*($T$22*Quesería!$J$119+(1-$T$22)*Quesería!$E$119))*(E826-1))*IF(E$47=2,Quesería!$B$20,1)+IF(E$47=2,Quesería!$B$24*$T$9*($T$22*Quesería!$J$119+(1-$T$22)*Quesería!$E$119)*E826,0))*$T$10*$T$21</f>
        <v>328.494820128122</v>
      </c>
      <c r="F832" s="29" t="n">
        <f aca="false">IF(F$47&lt;=1,0,((($T$22*Quesería!$J$127+(1-$T$22)*Quesería!$E$123)-($T$22*Quesería!$J$113+(1-$T$22)*Quesería!$E$113)+$T$6*($T$22*Quesería!$J$113+(1-$T$22)*Quesería!$E$113)-(1-$T$9)*(($T$22*Quesería!$J$119+(1-$T$22)*Quesería!$E$119)+($T$22*Quesería!$J$118+(1-$T$22)*Quesería!$E$118))-(1-$T$24)*($T$22*Quesería!$J$117+(1-$T$22)*Quesería!$E$117)+$T$24*(1-$T$25)*'Beneficios y costos'!$B$144-(-$T$26*$T$27)*'Beneficios y costos'!$C$167)+($T$6*($T$22*Quesería!$J$113+(1-$T$22)*Quesería!$E$113)+$T$9*($T$22*Quesería!$J$119+(1-$T$22)*Quesería!$E$119))*(F826-1))*IF(F$47=2,Quesería!$B$20,1)+IF(F$47=2,Quesería!$B$24*$T$9*($T$22*Quesería!$J$119+(1-$T$22)*Quesería!$E$119)*F826,0))*$T$10*$T$21</f>
        <v>328.742937047686</v>
      </c>
      <c r="G832" s="29" t="n">
        <f aca="false">IF(G$47&lt;=1,0,((($T$22*Quesería!$J$127+(1-$T$22)*Quesería!$E$123)-($T$22*Quesería!$J$113+(1-$T$22)*Quesería!$E$113)+$T$6*($T$22*Quesería!$J$113+(1-$T$22)*Quesería!$E$113)-(1-$T$9)*(($T$22*Quesería!$J$119+(1-$T$22)*Quesería!$E$119)+($T$22*Quesería!$J$118+(1-$T$22)*Quesería!$E$118))-(1-$T$24)*($T$22*Quesería!$J$117+(1-$T$22)*Quesería!$E$117)+$T$24*(1-$T$25)*'Beneficios y costos'!$B$144-(-$T$26*$T$27)*'Beneficios y costos'!$C$167)+($T$6*($T$22*Quesería!$J$113+(1-$T$22)*Quesería!$E$113)+$T$9*($T$22*Quesería!$J$119+(1-$T$22)*Quesería!$E$119))*(G826-1))*IF(G$47=2,Quesería!$B$20,1)+IF(G$47=2,Quesería!$B$24*$T$9*($T$22*Quesería!$J$119+(1-$T$22)*Quesería!$E$119)*G826,0))*$T$10*$T$21</f>
        <v>328.992294551847</v>
      </c>
      <c r="H832" s="29" t="n">
        <f aca="false">IF(H$47&lt;=1,0,((($T$22*Quesería!$J$127+(1-$T$22)*Quesería!$E$123)-($T$22*Quesería!$J$113+(1-$T$22)*Quesería!$E$113)+$T$6*($T$22*Quesería!$J$113+(1-$T$22)*Quesería!$E$113)-(1-$T$9)*(($T$22*Quesería!$J$119+(1-$T$22)*Quesería!$E$119)+($T$22*Quesería!$J$118+(1-$T$22)*Quesería!$E$118))-(1-$T$24)*($T$22*Quesería!$J$117+(1-$T$22)*Quesería!$E$117)+$T$24*(1-$T$25)*'Beneficios y costos'!$B$144-(-$T$26*$T$27)*'Beneficios y costos'!$C$167)+($T$6*($T$22*Quesería!$J$113+(1-$T$22)*Quesería!$E$113)+$T$9*($T$22*Quesería!$J$119+(1-$T$22)*Quesería!$E$119))*(H826-1))*IF(H$47=2,Quesería!$B$20,1)+IF(H$47=2,Quesería!$B$24*$T$9*($T$22*Quesería!$J$119+(1-$T$22)*Quesería!$E$119)*H826,0))*$T$10*$T$21</f>
        <v>329.242898843529</v>
      </c>
      <c r="I832" s="29" t="n">
        <f aca="false">IF(I$47&lt;=1,0,((($T$22*Quesería!$J$127+(1-$T$22)*Quesería!$E$123)-($T$22*Quesería!$J$113+(1-$T$22)*Quesería!$E$113)+$T$6*($T$22*Quesería!$J$113+(1-$T$22)*Quesería!$E$113)-(1-$T$9)*(($T$22*Quesería!$J$119+(1-$T$22)*Quesería!$E$119)+($T$22*Quesería!$J$118+(1-$T$22)*Quesería!$E$118))-(1-$T$24)*($T$22*Quesería!$J$117+(1-$T$22)*Quesería!$E$117)+$T$24*(1-$T$25)*'Beneficios y costos'!$B$144-(-$T$26*$T$27)*'Beneficios y costos'!$C$167)+($T$6*($T$22*Quesería!$J$113+(1-$T$22)*Quesería!$E$113)+$T$9*($T$22*Quesería!$J$119+(1-$T$22)*Quesería!$E$119))*(I826-1))*IF(I$47=2,Quesería!$B$20,1)+IF(I$47=2,Quesería!$B$24*$T$9*($T$22*Quesería!$J$119+(1-$T$22)*Quesería!$E$119)*I826,0))*$T$10*$T$21</f>
        <v>329.49475615667</v>
      </c>
      <c r="J832" s="29" t="n">
        <f aca="false">IF(J$47&lt;=1,0,((($T$22*Quesería!$J$127+(1-$T$22)*Quesería!$E$123)-($T$22*Quesería!$J$113+(1-$T$22)*Quesería!$E$113)+$T$6*($T$22*Quesería!$J$113+(1-$T$22)*Quesería!$E$113)-(1-$T$9)*(($T$22*Quesería!$J$119+(1-$T$22)*Quesería!$E$119)+($T$22*Quesería!$J$118+(1-$T$22)*Quesería!$E$118))-(1-$T$24)*($T$22*Quesería!$J$117+(1-$T$22)*Quesería!$E$117)+$T$24*(1-$T$25)*'Beneficios y costos'!$B$144-(-$T$26*$T$27)*'Beneficios y costos'!$C$167)+($T$6*($T$22*Quesería!$J$113+(1-$T$22)*Quesería!$E$113)+$T$9*($T$22*Quesería!$J$119+(1-$T$22)*Quesería!$E$119))*(J826-1))*IF(J$47=2,Quesería!$B$20,1)+IF(J$47=2,Quesería!$B$24*$T$9*($T$22*Quesería!$J$119+(1-$T$22)*Quesería!$E$119)*J826,0))*$T$10*$T$21</f>
        <v>329.747872756376</v>
      </c>
      <c r="K832" s="29" t="n">
        <f aca="false">IF(K$47&lt;=1,0,((($T$22*Quesería!$J$127+(1-$T$22)*Quesería!$E$123)-($T$22*Quesería!$J$113+(1-$T$22)*Quesería!$E$113)+$T$6*($T$22*Quesería!$J$113+(1-$T$22)*Quesería!$E$113)-(1-$T$9)*(($T$22*Quesería!$J$119+(1-$T$22)*Quesería!$E$119)+($T$22*Quesería!$J$118+(1-$T$22)*Quesería!$E$118))-(1-$T$24)*($T$22*Quesería!$J$117+(1-$T$22)*Quesería!$E$117)+$T$24*(1-$T$25)*'Beneficios y costos'!$B$144-(-$T$26*$T$27)*'Beneficios y costos'!$C$167)+($T$6*($T$22*Quesería!$J$113+(1-$T$22)*Quesería!$E$113)+$T$9*($T$22*Quesería!$J$119+(1-$T$22)*Quesería!$E$119))*(K826-1))*IF(K$47=2,Quesería!$B$20,1)+IF(K$47=2,Quesería!$B$24*$T$9*($T$22*Quesería!$J$119+(1-$T$22)*Quesería!$E$119)*K826,0))*$T$10*$T$21</f>
        <v>330.00225493908</v>
      </c>
      <c r="L832" s="29" t="n">
        <f aca="false">IF(L$47&lt;=1,0,((($T$22*Quesería!$J$127+(1-$T$22)*Quesería!$E$123)-($T$22*Quesería!$J$113+(1-$T$22)*Quesería!$E$113)+$T$6*($T$22*Quesería!$J$113+(1-$T$22)*Quesería!$E$113)-(1-$T$9)*(($T$22*Quesería!$J$119+(1-$T$22)*Quesería!$E$119)+($T$22*Quesería!$J$118+(1-$T$22)*Quesería!$E$118))-(1-$T$24)*($T$22*Quesería!$J$117+(1-$T$22)*Quesería!$E$117)+$T$24*(1-$T$25)*'Beneficios y costos'!$B$144-(-$T$26*$T$27)*'Beneficios y costos'!$C$167)+($T$6*($T$22*Quesería!$J$113+(1-$T$22)*Quesería!$E$113)+$T$9*($T$22*Quesería!$J$119+(1-$T$22)*Quesería!$E$119))*(L826-1))*IF(L$47=2,Quesería!$B$20,1)+IF(L$47=2,Quesería!$B$24*$T$9*($T$22*Quesería!$J$119+(1-$T$22)*Quesería!$E$119)*L826,0))*$T$10*$T$21</f>
        <v>330.257909032699</v>
      </c>
    </row>
    <row r="833" customFormat="false" ht="15" hidden="true" customHeight="false" outlineLevel="1" collapsed="false">
      <c r="A833" s="5" t="s">
        <v>412</v>
      </c>
      <c r="B833" s="10" t="n">
        <f aca="false">B831+B832</f>
        <v>120.716772261203</v>
      </c>
      <c r="C833" s="10" t="n">
        <f aca="false">C831+C832</f>
        <v>181.328317354069</v>
      </c>
      <c r="D833" s="10" t="n">
        <f aca="false">D831+D832</f>
        <v>499.183071266528</v>
      </c>
      <c r="E833" s="10" t="n">
        <f aca="false">E831+E832</f>
        <v>570.38718782501</v>
      </c>
      <c r="F833" s="10" t="n">
        <f aca="false">F831+F832</f>
        <v>570.696398860445</v>
      </c>
      <c r="G833" s="10" t="n">
        <f aca="false">G831+G832</f>
        <v>571.007155951058</v>
      </c>
      <c r="H833" s="10" t="n">
        <f aca="false">H831+H832</f>
        <v>571.319466827124</v>
      </c>
      <c r="I833" s="10" t="n">
        <f aca="false">I831+I832</f>
        <v>571.633339257571</v>
      </c>
      <c r="J833" s="10" t="n">
        <f aca="false">J831+J832</f>
        <v>571.94878105017</v>
      </c>
      <c r="K833" s="10" t="n">
        <f aca="false">K831+K832</f>
        <v>572.265800051731</v>
      </c>
      <c r="L833" s="10" t="n">
        <f aca="false">L831+L832</f>
        <v>572.584404148301</v>
      </c>
    </row>
    <row r="834" customFormat="false" ht="15" hidden="true" customHeight="false" outlineLevel="1" collapsed="false">
      <c r="A834" s="6" t="s">
        <v>413</v>
      </c>
      <c r="B834" s="29" t="n">
        <f aca="false">(IF(B$47&gt;=1,(Quesería!$B$31+Quesería!$B$33)*Quesería!$F$94*$T$11+Quesería!$B$32+'Beneficios y costos'!$B$249,0)+IF(B$47&gt;=2,((Quesería!$B$31+Quesería!$B$33)*(Quesería!$F$95-(-$T$26)*Quesería!$D$86)*$T$11+'Beneficios y costos'!$C$249-(-$T$26)*'Beneficios y costos'!$H$235)*$T$21,0))*$T$12</f>
        <v>0</v>
      </c>
      <c r="C834" s="29" t="n">
        <f aca="false">(IF(C$47&gt;=1,(Quesería!$B$31+Quesería!$B$33)*Quesería!$F$94*$T$11+Quesería!$B$32+'Beneficios y costos'!$B$249,0)+IF(C$47&gt;=2,((Quesería!$B$31+Quesería!$B$33)*(Quesería!$F$95-(-$T$26)*Quesería!$D$86)*$T$11+'Beneficios y costos'!$C$249-(-$T$26)*'Beneficios y costos'!$H$235)*$T$21,0))*$T$12</f>
        <v>42.0946487260605</v>
      </c>
      <c r="D834" s="29" t="n">
        <f aca="false">(IF(D$47&gt;=1,(Quesería!$B$31+Quesería!$B$33)*Quesería!$F$94*$T$11+Quesería!$B$32+'Beneficios y costos'!$B$249,0)+IF(D$47&gt;=2,((Quesería!$B$31+Quesería!$B$33)*(Quesería!$F$95-(-$T$26)*Quesería!$D$86)*$T$11+'Beneficios y costos'!$C$249-(-$T$26)*'Beneficios y costos'!$H$235)*$T$21,0))*$T$12</f>
        <v>76.4964821173776</v>
      </c>
      <c r="E834" s="29" t="n">
        <f aca="false">(IF(E$47&gt;=1,(Quesería!$B$31+Quesería!$B$33)*Quesería!$F$94*$T$11+Quesería!$B$32+'Beneficios y costos'!$B$249,0)+IF(E$47&gt;=2,((Quesería!$B$31+Quesería!$B$33)*(Quesería!$F$95-(-$T$26)*Quesería!$D$86)*$T$11+'Beneficios y costos'!$C$249-(-$T$26)*'Beneficios y costos'!$H$235)*$T$21,0))*$T$12</f>
        <v>76.4964821173776</v>
      </c>
      <c r="F834" s="29" t="n">
        <f aca="false">(IF(F$47&gt;=1,(Quesería!$B$31+Quesería!$B$33)*Quesería!$F$94*$T$11+Quesería!$B$32+'Beneficios y costos'!$B$249,0)+IF(F$47&gt;=2,((Quesería!$B$31+Quesería!$B$33)*(Quesería!$F$95-(-$T$26)*Quesería!$D$86)*$T$11+'Beneficios y costos'!$C$249-(-$T$26)*'Beneficios y costos'!$H$235)*$T$21,0))*$T$12</f>
        <v>76.4964821173776</v>
      </c>
      <c r="G834" s="29" t="n">
        <f aca="false">(IF(G$47&gt;=1,(Quesería!$B$31+Quesería!$B$33)*Quesería!$F$94*$T$11+Quesería!$B$32+'Beneficios y costos'!$B$249,0)+IF(G$47&gt;=2,((Quesería!$B$31+Quesería!$B$33)*(Quesería!$F$95-(-$T$26)*Quesería!$D$86)*$T$11+'Beneficios y costos'!$C$249-(-$T$26)*'Beneficios y costos'!$H$235)*$T$21,0))*$T$12</f>
        <v>76.4964821173776</v>
      </c>
      <c r="H834" s="29" t="n">
        <f aca="false">(IF(H$47&gt;=1,(Quesería!$B$31+Quesería!$B$33)*Quesería!$F$94*$T$11+Quesería!$B$32+'Beneficios y costos'!$B$249,0)+IF(H$47&gt;=2,((Quesería!$B$31+Quesería!$B$33)*(Quesería!$F$95-(-$T$26)*Quesería!$D$86)*$T$11+'Beneficios y costos'!$C$249-(-$T$26)*'Beneficios y costos'!$H$235)*$T$21,0))*$T$12</f>
        <v>76.4964821173776</v>
      </c>
      <c r="I834" s="29" t="n">
        <f aca="false">(IF(I$47&gt;=1,(Quesería!$B$31+Quesería!$B$33)*Quesería!$F$94*$T$11+Quesería!$B$32+'Beneficios y costos'!$B$249,0)+IF(I$47&gt;=2,((Quesería!$B$31+Quesería!$B$33)*(Quesería!$F$95-(-$T$26)*Quesería!$D$86)*$T$11+'Beneficios y costos'!$C$249-(-$T$26)*'Beneficios y costos'!$H$235)*$T$21,0))*$T$12</f>
        <v>76.4964821173776</v>
      </c>
      <c r="J834" s="29" t="n">
        <f aca="false">(IF(J$47&gt;=1,(Quesería!$B$31+Quesería!$B$33)*Quesería!$F$94*$T$11+Quesería!$B$32+'Beneficios y costos'!$B$249,0)+IF(J$47&gt;=2,((Quesería!$B$31+Quesería!$B$33)*(Quesería!$F$95-(-$T$26)*Quesería!$D$86)*$T$11+'Beneficios y costos'!$C$249-(-$T$26)*'Beneficios y costos'!$H$235)*$T$21,0))*$T$12</f>
        <v>76.4964821173776</v>
      </c>
      <c r="K834" s="29" t="n">
        <f aca="false">(IF(K$47&gt;=1,(Quesería!$B$31+Quesería!$B$33)*Quesería!$F$94*$T$11+Quesería!$B$32+'Beneficios y costos'!$B$249,0)+IF(K$47&gt;=2,((Quesería!$B$31+Quesería!$B$33)*(Quesería!$F$95-(-$T$26)*Quesería!$D$86)*$T$11+'Beneficios y costos'!$C$249-(-$T$26)*'Beneficios y costos'!$H$235)*$T$21,0))*$T$12</f>
        <v>76.4964821173776</v>
      </c>
      <c r="L834" s="29" t="n">
        <f aca="false">(IF(L$47&gt;=1,(Quesería!$B$31+Quesería!$B$33)*Quesería!$F$94*$T$11+Quesería!$B$32+'Beneficios y costos'!$B$249,0)+IF(L$47&gt;=2,((Quesería!$B$31+Quesería!$B$33)*(Quesería!$F$95-(-$T$26)*Quesería!$D$86)*$T$11+'Beneficios y costos'!$C$249-(-$T$26)*'Beneficios y costos'!$H$235)*$T$21,0))*$T$12</f>
        <v>76.4964821173776</v>
      </c>
    </row>
    <row r="835" customFormat="false" ht="15" hidden="true" customHeight="false" outlineLevel="1" collapsed="false">
      <c r="A835" s="6" t="s">
        <v>414</v>
      </c>
      <c r="B835" s="29" t="n">
        <f aca="false">IF(B$47=1,2*Quesería!$B$22*Quesería!$B$23/12*B826,0)*$T$21</f>
        <v>0</v>
      </c>
      <c r="C835" s="29" t="n">
        <f aca="false">IF(C$47=1,2*Quesería!$B$22*Quesería!$B$23/12*C826,0)*$T$21</f>
        <v>18.5166509433962</v>
      </c>
      <c r="D835" s="29" t="n">
        <f aca="false">IF(D$47=1,2*Quesería!$B$22*Quesería!$B$23/12*D826,0)*$T$21</f>
        <v>0</v>
      </c>
      <c r="E835" s="29" t="n">
        <f aca="false">IF(E$47=1,2*Quesería!$B$22*Quesería!$B$23/12*E826,0)*$T$21</f>
        <v>0</v>
      </c>
      <c r="F835" s="29" t="n">
        <f aca="false">IF(F$47=1,2*Quesería!$B$22*Quesería!$B$23/12*F826,0)*$T$21</f>
        <v>0</v>
      </c>
      <c r="G835" s="29" t="n">
        <f aca="false">IF(G$47=1,2*Quesería!$B$22*Quesería!$B$23/12*G826,0)*$T$21</f>
        <v>0</v>
      </c>
      <c r="H835" s="29" t="n">
        <f aca="false">IF(H$47=1,2*Quesería!$B$22*Quesería!$B$23/12*H826,0)*$T$21</f>
        <v>0</v>
      </c>
      <c r="I835" s="29" t="n">
        <f aca="false">IF(I$47=1,2*Quesería!$B$22*Quesería!$B$23/12*I826,0)*$T$21</f>
        <v>0</v>
      </c>
      <c r="J835" s="29" t="n">
        <f aca="false">IF(J$47=1,2*Quesería!$B$22*Quesería!$B$23/12*J826,0)*$T$21</f>
        <v>0</v>
      </c>
      <c r="K835" s="29" t="n">
        <f aca="false">IF(K$47=1,2*Quesería!$B$22*Quesería!$B$23/12*K826,0)*$T$21</f>
        <v>0</v>
      </c>
      <c r="L835" s="29" t="n">
        <f aca="false">IF(L$47=1,2*Quesería!$B$22*Quesería!$B$23/12*L826,0)*$T$21</f>
        <v>0</v>
      </c>
    </row>
    <row r="836" customFormat="false" ht="15" hidden="true" customHeight="false" outlineLevel="1" collapsed="false">
      <c r="A836" s="6" t="s">
        <v>415</v>
      </c>
      <c r="B836" s="29" t="n">
        <f aca="false">Quesería!$B$52*(B828+B829+B830+B834+B835)</f>
        <v>4.31966364396742</v>
      </c>
      <c r="C836" s="29" t="n">
        <f aca="false">Quesería!$B$52*(C828+C829+C830+C834+C835)</f>
        <v>3.37675795604844</v>
      </c>
      <c r="D836" s="29" t="n">
        <f aca="false">Quesería!$B$52*(D828+D829+D830+D834+D835)</f>
        <v>0.305985928469511</v>
      </c>
      <c r="E836" s="29" t="n">
        <f aca="false">Quesería!$B$52*(E828+E829+E830+E834+E835)</f>
        <v>0.305985928469511</v>
      </c>
      <c r="F836" s="29" t="n">
        <f aca="false">Quesería!$B$52*(F828+F829+F830+F834+F835)</f>
        <v>0.305985928469511</v>
      </c>
      <c r="G836" s="29" t="n">
        <f aca="false">Quesería!$B$52*(G828+G829+G830+G834+G835)</f>
        <v>0.436720362669349</v>
      </c>
      <c r="H836" s="29" t="n">
        <f aca="false">Quesería!$B$52*(H828+H829+H830+H834+H835)</f>
        <v>0.526798309653658</v>
      </c>
      <c r="I836" s="29" t="n">
        <f aca="false">Quesería!$B$52*(I828+I829+I830+I834+I835)</f>
        <v>0.305985928469511</v>
      </c>
      <c r="J836" s="29" t="n">
        <f aca="false">Quesería!$B$52*(J828+J829+J830+J834+J835)</f>
        <v>0.305985928469511</v>
      </c>
      <c r="K836" s="29" t="n">
        <f aca="false">Quesería!$B$52*(K828+K829+K830+K834+K835)</f>
        <v>0.305985928469511</v>
      </c>
      <c r="L836" s="29" t="n">
        <f aca="false">Quesería!$B$52*(L828+L829+L830+L834+L835)</f>
        <v>0.305985928469511</v>
      </c>
    </row>
    <row r="837" customFormat="false" ht="15" hidden="true" customHeight="false" outlineLevel="1" collapsed="false">
      <c r="A837" s="6" t="s">
        <v>416</v>
      </c>
      <c r="B837" s="29" t="n">
        <f aca="false">(IF($T$19=1,(SUMPRODUCT((Quesería!$C$70:$C$89=0)*(Quesería!$J$70:$J$89&gt;0)*(B$47&gt;=1)*(B$47&lt;=Quesería!$J$70:$J$89)*(Quesería!$H$70:$H$89&gt;0)*Quesería!$F$70:$F$89*(1+Quesería!$I$70:$I$89)/(Quesería!$J$70:$J$89+(Quesería!$J$70:$J$89=0)))+SUMPRODUCT((Quesería!$C$70:$C$89=0)*(Quesería!$J$70:$J$89=0)*(B$47=0)*(Quesería!$H$70:$H$89&gt;0)*Quesería!$F$70:$F$89*(1+Quesería!$I$70:$I$89)))*$B$825+((SUMPRODUCT((Quesería!$C$70:$C$89=1)*(Quesería!$J$70:$J$89&gt;0)*(B$47&gt;=2)*(B$47&lt;=Quesería!$J$70:$J$89+1)*(Quesería!$H$70:$H$89&gt;0)*Quesería!$F$70:$F$89*(1+Quesería!$I$70:$I$89)/(Quesería!$J$70:$J$89+(Quesería!$J$70:$J$89=0)))+SUMPRODUCT((Quesería!$C$70:$C$89=1)*(Quesería!$J$70:$J$89=0)*(B$47=1)*(Quesería!$H$70:$H$89&gt;0)*Quesería!$F$70:$F$89*(1+Quesería!$I$70:$I$89)))-(-$T$26)*IF(AND(B$47&gt;=2,B$47&lt;=Quesería!$J$86+1),Quesería!$D$86*(1+Quesería!$I$86)/Quesería!$J$86,0))*$C$825*$T$21,IF(AND(B$47&gt;=1,B$47&lt;=Quesería!$B$30),Quesería!$F$92/Quesería!$B$30,0)*$B$825+IF(AND(B$47&gt;=2,B$47&lt;=Quesería!$B$30+1),(Quesería!$F$93-(-$T$26)*Quesería!$D$86*(1+Quesería!$I$86))/Quesería!$B$30,0)*$C$825*$T$21)*$T$11+IF(AND(B$47&gt;=6,B$47&lt;=10),$G829*$G825/5,0)+IF(AND(B$47&gt;=7,B$47&lt;=11),$H829*$H825/5,0))*B827</f>
        <v>145.980915430742</v>
      </c>
      <c r="C837" s="29" t="n">
        <f aca="false">(IF($T$19=1,(SUMPRODUCT((Quesería!$C$70:$C$89=0)*(Quesería!$J$70:$J$89&gt;0)*(C$47&gt;=1)*(C$47&lt;=Quesería!$J$70:$J$89)*(Quesería!$H$70:$H$89&gt;0)*Quesería!$F$70:$F$89*(1+Quesería!$I$70:$I$89)/(Quesería!$J$70:$J$89+(Quesería!$J$70:$J$89=0)))+SUMPRODUCT((Quesería!$C$70:$C$89=0)*(Quesería!$J$70:$J$89=0)*(C$47=0)*(Quesería!$H$70:$H$89&gt;0)*Quesería!$F$70:$F$89*(1+Quesería!$I$70:$I$89)))*$B$825+((SUMPRODUCT((Quesería!$C$70:$C$89=1)*(Quesería!$J$70:$J$89&gt;0)*(C$47&gt;=2)*(C$47&lt;=Quesería!$J$70:$J$89+1)*(Quesería!$H$70:$H$89&gt;0)*Quesería!$F$70:$F$89*(1+Quesería!$I$70:$I$89)/(Quesería!$J$70:$J$89+(Quesería!$J$70:$J$89=0)))+SUMPRODUCT((Quesería!$C$70:$C$89=1)*(Quesería!$J$70:$J$89=0)*(C$47=1)*(Quesería!$H$70:$H$89&gt;0)*Quesería!$F$70:$F$89*(1+Quesería!$I$70:$I$89)))-(-$T$26)*IF(AND(C$47&gt;=2,C$47&lt;=Quesería!$J$86+1),Quesería!$D$86*(1+Quesería!$I$86)/Quesería!$J$86,0))*$C$825*$T$21,IF(AND(C$47&gt;=1,C$47&lt;=Quesería!$B$30),Quesería!$F$92/Quesería!$B$30,0)*$B$825+IF(AND(C$47&gt;=2,C$47&lt;=Quesería!$B$30+1),(Quesería!$F$93-(-$T$26)*Quesería!$D$86*(1+Quesería!$I$86))/Quesería!$B$30,0)*$C$825*$T$21)*$T$11+IF(AND(C$47&gt;=6,C$47&lt;=10),$G829*$G825/5,0)+IF(AND(C$47&gt;=7,C$47&lt;=11),$H829*$H825/5,0))*C827</f>
        <v>82.2633269524265</v>
      </c>
      <c r="D837" s="29" t="n">
        <f aca="false">(IF($T$19=1,(SUMPRODUCT((Quesería!$C$70:$C$89=0)*(Quesería!$J$70:$J$89&gt;0)*(D$47&gt;=1)*(D$47&lt;=Quesería!$J$70:$J$89)*(Quesería!$H$70:$H$89&gt;0)*Quesería!$F$70:$F$89*(1+Quesería!$I$70:$I$89)/(Quesería!$J$70:$J$89+(Quesería!$J$70:$J$89=0)))+SUMPRODUCT((Quesería!$C$70:$C$89=0)*(Quesería!$J$70:$J$89=0)*(D$47=0)*(Quesería!$H$70:$H$89&gt;0)*Quesería!$F$70:$F$89*(1+Quesería!$I$70:$I$89)))*$B$825+((SUMPRODUCT((Quesería!$C$70:$C$89=1)*(Quesería!$J$70:$J$89&gt;0)*(D$47&gt;=2)*(D$47&lt;=Quesería!$J$70:$J$89+1)*(Quesería!$H$70:$H$89&gt;0)*Quesería!$F$70:$F$89*(1+Quesería!$I$70:$I$89)/(Quesería!$J$70:$J$89+(Quesería!$J$70:$J$89=0)))+SUMPRODUCT((Quesería!$C$70:$C$89=1)*(Quesería!$J$70:$J$89=0)*(D$47=1)*(Quesería!$H$70:$H$89&gt;0)*Quesería!$F$70:$F$89*(1+Quesería!$I$70:$I$89)))-(-$T$26)*IF(AND(D$47&gt;=2,D$47&lt;=Quesería!$J$86+1),Quesería!$D$86*(1+Quesería!$I$86)/Quesería!$J$86,0))*$C$825*$T$21,IF(AND(D$47&gt;=1,D$47&lt;=Quesería!$B$30),Quesería!$F$92/Quesería!$B$30,0)*$B$825+IF(AND(D$47&gt;=2,D$47&lt;=Quesería!$B$30+1),(Quesería!$F$93-(-$T$26)*Quesería!$D$86*(1+Quesería!$I$86))/Quesería!$B$30,0)*$C$825*$T$21)*$T$11+IF(AND(D$47&gt;=6,D$47&lt;=10),$G829*$G825/5,0)+IF(AND(D$47&gt;=7,D$47&lt;=11),$H829*$H825/5,0))*D827</f>
        <v>141.732280975958</v>
      </c>
      <c r="E837" s="29" t="n">
        <f aca="false">(IF($T$19=1,(SUMPRODUCT((Quesería!$C$70:$C$89=0)*(Quesería!$J$70:$J$89&gt;0)*(E$47&gt;=1)*(E$47&lt;=Quesería!$J$70:$J$89)*(Quesería!$H$70:$H$89&gt;0)*Quesería!$F$70:$F$89*(1+Quesería!$I$70:$I$89)/(Quesería!$J$70:$J$89+(Quesería!$J$70:$J$89=0)))+SUMPRODUCT((Quesería!$C$70:$C$89=0)*(Quesería!$J$70:$J$89=0)*(E$47=0)*(Quesería!$H$70:$H$89&gt;0)*Quesería!$F$70:$F$89*(1+Quesería!$I$70:$I$89)))*$B$825+((SUMPRODUCT((Quesería!$C$70:$C$89=1)*(Quesería!$J$70:$J$89&gt;0)*(E$47&gt;=2)*(E$47&lt;=Quesería!$J$70:$J$89+1)*(Quesería!$H$70:$H$89&gt;0)*Quesería!$F$70:$F$89*(1+Quesería!$I$70:$I$89)/(Quesería!$J$70:$J$89+(Quesería!$J$70:$J$89=0)))+SUMPRODUCT((Quesería!$C$70:$C$89=1)*(Quesería!$J$70:$J$89=0)*(E$47=1)*(Quesería!$H$70:$H$89&gt;0)*Quesería!$F$70:$F$89*(1+Quesería!$I$70:$I$89)))-(-$T$26)*IF(AND(E$47&gt;=2,E$47&lt;=Quesería!$J$86+1),Quesería!$D$86*(1+Quesería!$I$86)/Quesería!$J$86,0))*$C$825*$T$21,IF(AND(E$47&gt;=1,E$47&lt;=Quesería!$B$30),Quesería!$F$92/Quesería!$B$30,0)*$B$825+IF(AND(E$47&gt;=2,E$47&lt;=Quesería!$B$30+1),(Quesería!$F$93-(-$T$26)*Quesería!$D$86*(1+Quesería!$I$86))/Quesería!$B$30,0)*$C$825*$T$21)*$T$11+IF(AND(E$47&gt;=6,E$47&lt;=10),$G829*$G825/5,0)+IF(AND(E$47&gt;=7,E$47&lt;=11),$H829*$H825/5,0))*E827</f>
        <v>136.28103939996</v>
      </c>
      <c r="F837" s="29" t="n">
        <f aca="false">(IF($T$19=1,(SUMPRODUCT((Quesería!$C$70:$C$89=0)*(Quesería!$J$70:$J$89&gt;0)*(F$47&gt;=1)*(F$47&lt;=Quesería!$J$70:$J$89)*(Quesería!$H$70:$H$89&gt;0)*Quesería!$F$70:$F$89*(1+Quesería!$I$70:$I$89)/(Quesería!$J$70:$J$89+(Quesería!$J$70:$J$89=0)))+SUMPRODUCT((Quesería!$C$70:$C$89=0)*(Quesería!$J$70:$J$89=0)*(F$47=0)*(Quesería!$H$70:$H$89&gt;0)*Quesería!$F$70:$F$89*(1+Quesería!$I$70:$I$89)))*$B$825+((SUMPRODUCT((Quesería!$C$70:$C$89=1)*(Quesería!$J$70:$J$89&gt;0)*(F$47&gt;=2)*(F$47&lt;=Quesería!$J$70:$J$89+1)*(Quesería!$H$70:$H$89&gt;0)*Quesería!$F$70:$F$89*(1+Quesería!$I$70:$I$89)/(Quesería!$J$70:$J$89+(Quesería!$J$70:$J$89=0)))+SUMPRODUCT((Quesería!$C$70:$C$89=1)*(Quesería!$J$70:$J$89=0)*(F$47=1)*(Quesería!$H$70:$H$89&gt;0)*Quesería!$F$70:$F$89*(1+Quesería!$I$70:$I$89)))-(-$T$26)*IF(AND(F$47&gt;=2,F$47&lt;=Quesería!$J$86+1),Quesería!$D$86*(1+Quesería!$I$86)/Quesería!$J$86,0))*$C$825*$T$21,IF(AND(F$47&gt;=1,F$47&lt;=Quesería!$B$30),Quesería!$F$92/Quesería!$B$30,0)*$B$825+IF(AND(F$47&gt;=2,F$47&lt;=Quesería!$B$30+1),(Quesería!$F$93-(-$T$26)*Quesería!$D$86*(1+Quesería!$I$86))/Quesería!$B$30,0)*$C$825*$T$21)*$T$11+IF(AND(F$47&gt;=6,F$47&lt;=10),$G829*$G825/5,0)+IF(AND(F$47&gt;=7,F$47&lt;=11),$H829*$H825/5,0))*F827</f>
        <v>131.0394609615</v>
      </c>
      <c r="G837" s="29" t="n">
        <f aca="false">(IF($T$19=1,(SUMPRODUCT((Quesería!$C$70:$C$89=0)*(Quesería!$J$70:$J$89&gt;0)*(G$47&gt;=1)*(G$47&lt;=Quesería!$J$70:$J$89)*(Quesería!$H$70:$H$89&gt;0)*Quesería!$F$70:$F$89*(1+Quesería!$I$70:$I$89)/(Quesería!$J$70:$J$89+(Quesería!$J$70:$J$89=0)))+SUMPRODUCT((Quesería!$C$70:$C$89=0)*(Quesería!$J$70:$J$89=0)*(G$47=0)*(Quesería!$H$70:$H$89&gt;0)*Quesería!$F$70:$F$89*(1+Quesería!$I$70:$I$89)))*$B$825+((SUMPRODUCT((Quesería!$C$70:$C$89=1)*(Quesería!$J$70:$J$89&gt;0)*(G$47&gt;=2)*(G$47&lt;=Quesería!$J$70:$J$89+1)*(Quesería!$H$70:$H$89&gt;0)*Quesería!$F$70:$F$89*(1+Quesería!$I$70:$I$89)/(Quesería!$J$70:$J$89+(Quesería!$J$70:$J$89=0)))+SUMPRODUCT((Quesería!$C$70:$C$89=1)*(Quesería!$J$70:$J$89=0)*(G$47=1)*(Quesería!$H$70:$H$89&gt;0)*Quesería!$F$70:$F$89*(1+Quesería!$I$70:$I$89)))-(-$T$26)*IF(AND(G$47&gt;=2,G$47&lt;=Quesería!$J$86+1),Quesería!$D$86*(1+Quesería!$I$86)/Quesería!$J$86,0))*$C$825*$T$21,IF(AND(G$47&gt;=1,G$47&lt;=Quesería!$B$30),Quesería!$F$92/Quesería!$B$30,0)*$B$825+IF(AND(G$47&gt;=2,G$47&lt;=Quesería!$B$30+1),(Quesería!$F$93-(-$T$26)*Quesería!$D$86*(1+Quesería!$I$86))/Quesería!$B$30,0)*$C$825*$T$21)*$T$11+IF(AND(G$47&gt;=6,G$47&lt;=10),$G829*$G825/5,0)+IF(AND(G$47&gt;=7,G$47&lt;=11),$H829*$H825/5,0))*G827</f>
        <v>125.99948169375</v>
      </c>
      <c r="H837" s="29" t="n">
        <f aca="false">(IF($T$19=1,(SUMPRODUCT((Quesería!$C$70:$C$89=0)*(Quesería!$J$70:$J$89&gt;0)*(H$47&gt;=1)*(H$47&lt;=Quesería!$J$70:$J$89)*(Quesería!$H$70:$H$89&gt;0)*Quesería!$F$70:$F$89*(1+Quesería!$I$70:$I$89)/(Quesería!$J$70:$J$89+(Quesería!$J$70:$J$89=0)))+SUMPRODUCT((Quesería!$C$70:$C$89=0)*(Quesería!$J$70:$J$89=0)*(H$47=0)*(Quesería!$H$70:$H$89&gt;0)*Quesería!$F$70:$F$89*(1+Quesería!$I$70:$I$89)))*$B$825+((SUMPRODUCT((Quesería!$C$70:$C$89=1)*(Quesería!$J$70:$J$89&gt;0)*(H$47&gt;=2)*(H$47&lt;=Quesería!$J$70:$J$89+1)*(Quesería!$H$70:$H$89&gt;0)*Quesería!$F$70:$F$89*(1+Quesería!$I$70:$I$89)/(Quesería!$J$70:$J$89+(Quesería!$J$70:$J$89=0)))+SUMPRODUCT((Quesería!$C$70:$C$89=1)*(Quesería!$J$70:$J$89=0)*(H$47=1)*(Quesería!$H$70:$H$89&gt;0)*Quesería!$F$70:$F$89*(1+Quesería!$I$70:$I$89)))-(-$T$26)*IF(AND(H$47&gt;=2,H$47&lt;=Quesería!$J$86+1),Quesería!$D$86*(1+Quesería!$I$86)/Quesería!$J$86,0))*$C$825*$T$21,IF(AND(H$47&gt;=1,H$47&lt;=Quesería!$B$30),Quesería!$F$92/Quesería!$B$30,0)*$B$825+IF(AND(H$47&gt;=2,H$47&lt;=Quesería!$B$30+1),(Quesería!$F$93-(-$T$26)*Quesería!$D$86*(1+Quesería!$I$86))/Quesería!$B$30,0)*$C$825*$T$21)*$T$11+IF(AND(H$47&gt;=6,H$47&lt;=10),$G829*$G825/5,0)+IF(AND(H$47&gt;=7,H$47&lt;=11),$H829*$H825/5,0))*H827</f>
        <v>114.13472617855</v>
      </c>
      <c r="I837" s="29" t="n">
        <f aca="false">(IF($T$19=1,(SUMPRODUCT((Quesería!$C$70:$C$89=0)*(Quesería!$J$70:$J$89&gt;0)*(I$47&gt;=1)*(I$47&lt;=Quesería!$J$70:$J$89)*(Quesería!$H$70:$H$89&gt;0)*Quesería!$F$70:$F$89*(1+Quesería!$I$70:$I$89)/(Quesería!$J$70:$J$89+(Quesería!$J$70:$J$89=0)))+SUMPRODUCT((Quesería!$C$70:$C$89=0)*(Quesería!$J$70:$J$89=0)*(I$47=0)*(Quesería!$H$70:$H$89&gt;0)*Quesería!$F$70:$F$89*(1+Quesería!$I$70:$I$89)))*$B$825+((SUMPRODUCT((Quesería!$C$70:$C$89=1)*(Quesería!$J$70:$J$89&gt;0)*(I$47&gt;=2)*(I$47&lt;=Quesería!$J$70:$J$89+1)*(Quesería!$H$70:$H$89&gt;0)*Quesería!$F$70:$F$89*(1+Quesería!$I$70:$I$89)/(Quesería!$J$70:$J$89+(Quesería!$J$70:$J$89=0)))+SUMPRODUCT((Quesería!$C$70:$C$89=1)*(Quesería!$J$70:$J$89=0)*(I$47=1)*(Quesería!$H$70:$H$89&gt;0)*Quesería!$F$70:$F$89*(1+Quesería!$I$70:$I$89)))-(-$T$26)*IF(AND(I$47&gt;=2,I$47&lt;=Quesería!$J$86+1),Quesería!$D$86*(1+Quesería!$I$86)/Quesería!$J$86,0))*$C$825*$T$21,IF(AND(I$47&gt;=1,I$47&lt;=Quesería!$B$30),Quesería!$F$92/Quesería!$B$30,0)*$B$825+IF(AND(I$47&gt;=2,I$47&lt;=Quesería!$B$30+1),(Quesería!$F$93-(-$T$26)*Quesería!$D$86*(1+Quesería!$I$86))/Quesería!$B$30,0)*$C$825*$T$21)*$T$11+IF(AND(I$47&gt;=6,I$47&lt;=10),$G829*$G825/5,0)+IF(AND(I$47&gt;=7,I$47&lt;=11),$H829*$H825/5,0))*I827</f>
        <v>118.665920500713</v>
      </c>
      <c r="J837" s="29" t="n">
        <f aca="false">(IF($T$19=1,(SUMPRODUCT((Quesería!$C$70:$C$89=0)*(Quesería!$J$70:$J$89&gt;0)*(J$47&gt;=1)*(J$47&lt;=Quesería!$J$70:$J$89)*(Quesería!$H$70:$H$89&gt;0)*Quesería!$F$70:$F$89*(1+Quesería!$I$70:$I$89)/(Quesería!$J$70:$J$89+(Quesería!$J$70:$J$89=0)))+SUMPRODUCT((Quesería!$C$70:$C$89=0)*(Quesería!$J$70:$J$89=0)*(J$47=0)*(Quesería!$H$70:$H$89&gt;0)*Quesería!$F$70:$F$89*(1+Quesería!$I$70:$I$89)))*$B$825+((SUMPRODUCT((Quesería!$C$70:$C$89=1)*(Quesería!$J$70:$J$89&gt;0)*(J$47&gt;=2)*(J$47&lt;=Quesería!$J$70:$J$89+1)*(Quesería!$H$70:$H$89&gt;0)*Quesería!$F$70:$F$89*(1+Quesería!$I$70:$I$89)/(Quesería!$J$70:$J$89+(Quesería!$J$70:$J$89=0)))+SUMPRODUCT((Quesería!$C$70:$C$89=1)*(Quesería!$J$70:$J$89=0)*(J$47=1)*(Quesería!$H$70:$H$89&gt;0)*Quesería!$F$70:$F$89*(1+Quesería!$I$70:$I$89)))-(-$T$26)*IF(AND(J$47&gt;=2,J$47&lt;=Quesería!$J$86+1),Quesería!$D$86*(1+Quesería!$I$86)/Quesería!$J$86,0))*$C$825*$T$21,IF(AND(J$47&gt;=1,J$47&lt;=Quesería!$B$30),Quesería!$F$92/Quesería!$B$30,0)*$B$825+IF(AND(J$47&gt;=2,J$47&lt;=Quesería!$B$30+1),(Quesería!$F$93-(-$T$26)*Quesería!$D$86*(1+Quesería!$I$86))/Quesería!$B$30,0)*$C$825*$T$21)*$T$11+IF(AND(J$47&gt;=6,J$47&lt;=10),$G829*$G825/5,0)+IF(AND(J$47&gt;=7,J$47&lt;=11),$H829*$H825/5,0))*J827</f>
        <v>114.101846635301</v>
      </c>
      <c r="K837" s="29" t="n">
        <f aca="false">(IF($T$19=1,(SUMPRODUCT((Quesería!$C$70:$C$89=0)*(Quesería!$J$70:$J$89&gt;0)*(K$47&gt;=1)*(K$47&lt;=Quesería!$J$70:$J$89)*(Quesería!$H$70:$H$89&gt;0)*Quesería!$F$70:$F$89*(1+Quesería!$I$70:$I$89)/(Quesería!$J$70:$J$89+(Quesería!$J$70:$J$89=0)))+SUMPRODUCT((Quesería!$C$70:$C$89=0)*(Quesería!$J$70:$J$89=0)*(K$47=0)*(Quesería!$H$70:$H$89&gt;0)*Quesería!$F$70:$F$89*(1+Quesería!$I$70:$I$89)))*$B$825+((SUMPRODUCT((Quesería!$C$70:$C$89=1)*(Quesería!$J$70:$J$89&gt;0)*(K$47&gt;=2)*(K$47&lt;=Quesería!$J$70:$J$89+1)*(Quesería!$H$70:$H$89&gt;0)*Quesería!$F$70:$F$89*(1+Quesería!$I$70:$I$89)/(Quesería!$J$70:$J$89+(Quesería!$J$70:$J$89=0)))+SUMPRODUCT((Quesería!$C$70:$C$89=1)*(Quesería!$J$70:$J$89=0)*(K$47=1)*(Quesería!$H$70:$H$89&gt;0)*Quesería!$F$70:$F$89*(1+Quesería!$I$70:$I$89)))-(-$T$26)*IF(AND(K$47&gt;=2,K$47&lt;=Quesería!$J$86+1),Quesería!$D$86*(1+Quesería!$I$86)/Quesería!$J$86,0))*$C$825*$T$21,IF(AND(K$47&gt;=1,K$47&lt;=Quesería!$B$30),Quesería!$F$92/Quesería!$B$30,0)*$B$825+IF(AND(K$47&gt;=2,K$47&lt;=Quesería!$B$30+1),(Quesería!$F$93-(-$T$26)*Quesería!$D$86*(1+Quesería!$I$86))/Quesería!$B$30,0)*$C$825*$T$21)*$T$11+IF(AND(K$47&gt;=6,K$47&lt;=10),$G829*$G825/5,0)+IF(AND(K$47&gt;=7,K$47&lt;=11),$H829*$H825/5,0))*K827</f>
        <v>109.713314072405</v>
      </c>
      <c r="L837" s="29" t="n">
        <f aca="false">(IF($T$19=1,(SUMPRODUCT((Quesería!$C$70:$C$89=0)*(Quesería!$J$70:$J$89&gt;0)*(L$47&gt;=1)*(L$47&lt;=Quesería!$J$70:$J$89)*(Quesería!$H$70:$H$89&gt;0)*Quesería!$F$70:$F$89*(1+Quesería!$I$70:$I$89)/(Quesería!$J$70:$J$89+(Quesería!$J$70:$J$89=0)))+SUMPRODUCT((Quesería!$C$70:$C$89=0)*(Quesería!$J$70:$J$89=0)*(L$47=0)*(Quesería!$H$70:$H$89&gt;0)*Quesería!$F$70:$F$89*(1+Quesería!$I$70:$I$89)))*$B$825+((SUMPRODUCT((Quesería!$C$70:$C$89=1)*(Quesería!$J$70:$J$89&gt;0)*(L$47&gt;=2)*(L$47&lt;=Quesería!$J$70:$J$89+1)*(Quesería!$H$70:$H$89&gt;0)*Quesería!$F$70:$F$89*(1+Quesería!$I$70:$I$89)/(Quesería!$J$70:$J$89+(Quesería!$J$70:$J$89=0)))+SUMPRODUCT((Quesería!$C$70:$C$89=1)*(Quesería!$J$70:$J$89=0)*(L$47=1)*(Quesería!$H$70:$H$89&gt;0)*Quesería!$F$70:$F$89*(1+Quesería!$I$70:$I$89)))-(-$T$26)*IF(AND(L$47&gt;=2,L$47&lt;=Quesería!$J$86+1),Quesería!$D$86*(1+Quesería!$I$86)/Quesería!$J$86,0))*$C$825*$T$21,IF(AND(L$47&gt;=1,L$47&lt;=Quesería!$B$30),Quesería!$F$92/Quesería!$B$30,0)*$B$825+IF(AND(L$47&gt;=2,L$47&lt;=Quesería!$B$30+1),(Quesería!$F$93-(-$T$26)*Quesería!$D$86*(1+Quesería!$I$86))/Quesería!$B$30,0)*$C$825*$T$21)*$T$11+IF(AND(L$47&gt;=6,L$47&lt;=10),$G829*$G825/5,0)+IF(AND(L$47&gt;=7,L$47&lt;=11),$H829*$H825/5,0))*L827</f>
        <v>105.493571223466</v>
      </c>
    </row>
    <row r="838" customFormat="false" ht="15" hidden="true" customHeight="false" outlineLevel="1" collapsed="false">
      <c r="A838" s="9" t="s">
        <v>417</v>
      </c>
      <c r="B838" s="58" t="n">
        <f aca="false">IF(B$47=1,MIN($T$7*$T$26*Quesería!$B$56*Quesería!$D$86*$T$11*$T$21,Quesería!$B$57*Quesería!$B$58),0)</f>
        <v>0</v>
      </c>
      <c r="C838" s="58" t="n">
        <f aca="false">IF(C$47=1,MIN($T$7*$T$26*Quesería!$B$56*Quesería!$D$86*$T$11*$T$21,Quesería!$B$57*Quesería!$B$58),0)</f>
        <v>0</v>
      </c>
      <c r="D838" s="58" t="n">
        <f aca="false">IF(D$47=1,MIN($T$7*$T$26*Quesería!$B$56*Quesería!$D$86*$T$11*$T$21,Quesería!$B$57*Quesería!$B$58),0)</f>
        <v>0</v>
      </c>
      <c r="E838" s="58" t="n">
        <f aca="false">IF(E$47=1,MIN($T$7*$T$26*Quesería!$B$56*Quesería!$D$86*$T$11*$T$21,Quesería!$B$57*Quesería!$B$58),0)</f>
        <v>0</v>
      </c>
      <c r="F838" s="58" t="n">
        <f aca="false">IF(F$47=1,MIN($T$7*$T$26*Quesería!$B$56*Quesería!$D$86*$T$11*$T$21,Quesería!$B$57*Quesería!$B$58),0)</f>
        <v>0</v>
      </c>
      <c r="G838" s="58" t="n">
        <f aca="false">IF(G$47=1,MIN($T$7*$T$26*Quesería!$B$56*Quesería!$D$86*$T$11*$T$21,Quesería!$B$57*Quesería!$B$58),0)</f>
        <v>0</v>
      </c>
      <c r="H838" s="58" t="n">
        <f aca="false">IF(H$47=1,MIN($T$7*$T$26*Quesería!$B$56*Quesería!$D$86*$T$11*$T$21,Quesería!$B$57*Quesería!$B$58),0)</f>
        <v>0</v>
      </c>
      <c r="I838" s="58" t="n">
        <f aca="false">IF(I$47=1,MIN($T$7*$T$26*Quesería!$B$56*Quesería!$D$86*$T$11*$T$21,Quesería!$B$57*Quesería!$B$58),0)</f>
        <v>0</v>
      </c>
      <c r="J838" s="58" t="n">
        <f aca="false">IF(J$47=1,MIN($T$7*$T$26*Quesería!$B$56*Quesería!$D$86*$T$11*$T$21,Quesería!$B$57*Quesería!$B$58),0)</f>
        <v>0</v>
      </c>
      <c r="K838" s="58" t="n">
        <f aca="false">IF(K$47=1,MIN($T$7*$T$26*Quesería!$B$56*Quesería!$D$86*$T$11*$T$21,Quesería!$B$57*Quesería!$B$58),0)</f>
        <v>0</v>
      </c>
      <c r="L838" s="58" t="n">
        <f aca="false">IF(L$47=1,MIN($T$7*$T$26*Quesería!$B$56*Quesería!$D$86*$T$11*$T$21,Quesería!$B$57*Quesería!$B$58),0)</f>
        <v>0</v>
      </c>
    </row>
    <row r="839" customFormat="false" ht="15" hidden="true" customHeight="false" outlineLevel="1" collapsed="false">
      <c r="A839" s="9" t="s">
        <v>418</v>
      </c>
      <c r="B839" s="58" t="n">
        <v>0</v>
      </c>
      <c r="C839" s="58" t="n">
        <f aca="false">$T$20*Quesería!$B$60*Quesería!$F$98*$T$11*$B$825/C825/2</f>
        <v>0</v>
      </c>
      <c r="D839" s="58" t="n">
        <f aca="false">$T$20*Quesería!$B$60*Quesería!$F$98*$T$11*$B$825/D825/2</f>
        <v>0</v>
      </c>
      <c r="E839" s="58" t="n">
        <v>0</v>
      </c>
      <c r="F839" s="58" t="n">
        <v>0</v>
      </c>
      <c r="G839" s="58" t="n">
        <v>0</v>
      </c>
      <c r="H839" s="58" t="n">
        <v>0</v>
      </c>
      <c r="I839" s="58" t="n">
        <v>0</v>
      </c>
      <c r="J839" s="58" t="n">
        <v>0</v>
      </c>
      <c r="K839" s="58" t="n">
        <v>0</v>
      </c>
      <c r="L839" s="58" t="n">
        <v>0</v>
      </c>
    </row>
    <row r="840" customFormat="false" ht="15" hidden="true" customHeight="false" outlineLevel="1" collapsed="false">
      <c r="A840" s="9" t="s">
        <v>419</v>
      </c>
      <c r="B840" s="58" t="n">
        <f aca="false">0</f>
        <v>0</v>
      </c>
      <c r="C840" s="58" t="n">
        <f aca="false">B830*B825/C825</f>
        <v>142.014925295407</v>
      </c>
      <c r="D840" s="58" t="n">
        <f aca="false">C830*C825/D825</f>
        <v>119.721648486272</v>
      </c>
      <c r="E840" s="58" t="n">
        <f aca="false">D830*D825/E825</f>
        <v>0</v>
      </c>
      <c r="F840" s="58" t="n">
        <f aca="false">E830*E825/F825</f>
        <v>0</v>
      </c>
      <c r="G840" s="58" t="n">
        <f aca="false">F830*F825/G825</f>
        <v>0</v>
      </c>
      <c r="H840" s="58" t="n">
        <f aca="false">G830*G825/H825</f>
        <v>5.01768392412113</v>
      </c>
      <c r="I840" s="58" t="n">
        <f aca="false">H830*H825/I825</f>
        <v>8.47494190873221</v>
      </c>
      <c r="J840" s="58" t="n">
        <f aca="false">I830*I825/J825</f>
        <v>0</v>
      </c>
      <c r="K840" s="58" t="n">
        <f aca="false">J830*J825/K825</f>
        <v>0</v>
      </c>
      <c r="L840" s="58" t="n">
        <f aca="false">K830*K825/L825</f>
        <v>0</v>
      </c>
    </row>
    <row r="841" customFormat="false" ht="15" hidden="true" customHeight="false" outlineLevel="1" collapsed="false">
      <c r="A841" s="6" t="s">
        <v>295</v>
      </c>
      <c r="B841" s="29" t="n">
        <f aca="false">$T$17*(B833-B834-B835-0.5*B836-B837)-B838-B839-B840</f>
        <v>-9.59839124703308</v>
      </c>
      <c r="C841" s="29" t="n">
        <f aca="false">$T$17*(C833-C834-C835-0.5*C836-C837)-C838-C839-C840</f>
        <v>-129.147066181451</v>
      </c>
      <c r="D841" s="29" t="n">
        <f aca="false">$T$17*(D833-D834-D835-0.5*D836-D837)-D838-D839-D840</f>
        <v>-21.4411881631372</v>
      </c>
      <c r="E841" s="29" t="n">
        <f aca="false">$T$17*(E833-E834-E835-0.5*E836-E837)-E838-E839-E840</f>
        <v>125.109835670203</v>
      </c>
      <c r="F841" s="29" t="n">
        <f aca="false">$T$17*(F833-F834-F835-0.5*F836-F837)-F838-F839-F840</f>
        <v>127.052611986067</v>
      </c>
      <c r="G841" s="29" t="n">
        <f aca="false">$T$17*(G833-G834-G835-0.5*G836-G837)-G838-G839-G840</f>
        <v>128.902491185509</v>
      </c>
      <c r="H841" s="29" t="n">
        <f aca="false">$T$17*(H833-H834-H835-0.5*H836-H837)-H838-H839-H840</f>
        <v>128.131016857608</v>
      </c>
      <c r="I841" s="29" t="n">
        <f aca="false">$T$17*(I833-I834-I835-0.5*I836-I837)-I838-I839-I840</f>
        <v>123.236338377604</v>
      </c>
      <c r="J841" s="29" t="n">
        <f aca="false">$T$17*(J833-J834-J835-0.5*J836-J837)-J838-J839-J840</f>
        <v>133.41911076664</v>
      </c>
      <c r="K841" s="29" t="n">
        <f aca="false">$T$17*(K833-K834-K835-0.5*K836-K837)-K838-K839-K840</f>
        <v>135.0660538142</v>
      </c>
      <c r="L841" s="29" t="n">
        <f aca="false">$T$17*(L833-L834-L835-0.5*L836-L837)-L838-L839-L840</f>
        <v>136.654475245128</v>
      </c>
    </row>
    <row r="842" customFormat="false" ht="15" hidden="true" customHeight="false" outlineLevel="1" collapsed="false">
      <c r="A842" s="9" t="s">
        <v>420</v>
      </c>
      <c r="B842" s="58" t="n">
        <f aca="false">(IF(B$47&gt;=1,Quesería!$G$124*IF(B$47=1,Quesería!$B$20,1),Quesería!$G$124*Quesería!$B$20*Quesería!$B$21/12*$T$23)+IF(B$47&gt;=2,(Quesería!$G$125-(1-$T$24)*Quesería!$G$117-(-$T$26*$T$27)*'Beneficios y costos'!$D$167)*$T$21*IF(B$47=2,Quesería!$B$20,1),0))*$T$10</f>
        <v>77.4042870161869</v>
      </c>
      <c r="C842" s="58" t="n">
        <f aca="false">(IF(C$47&gt;=1,Quesería!$G$124*IF(C$47=1,Quesería!$B$20,1),Quesería!$G$124*Quesería!$B$20*Quesería!$B$21/12*$T$23)+IF(C$47&gt;=2,(Quesería!$G$125-(1-$T$24)*Quesería!$G$117-(-$T$26*$T$27)*'Beneficios y costos'!$D$167)*$T$21*IF(C$47=2,Quesería!$B$20,1),0))*$T$10</f>
        <v>116.10643052428</v>
      </c>
      <c r="D842" s="58" t="n">
        <f aca="false">(IF(D$47&gt;=1,Quesería!$G$124*IF(D$47=1,Quesería!$B$20,1),Quesería!$G$124*Quesería!$B$20*Quesería!$B$21/12*$T$23)+IF(D$47&gt;=2,(Quesería!$G$125-(1-$T$24)*Quesería!$G$117-(-$T$26*$T$27)*'Beneficios y costos'!$D$167)*$T$21*IF(D$47=2,Quesería!$B$20,1),0))*$T$10</f>
        <v>2023.78917421887</v>
      </c>
      <c r="E842" s="58" t="n">
        <f aca="false">(IF(E$47&gt;=1,Quesería!$G$124*IF(E$47=1,Quesería!$B$20,1),Quesería!$G$124*Quesería!$B$20*Quesería!$B$21/12*$T$23)+IF(E$47&gt;=2,(Quesería!$G$125-(1-$T$24)*Quesería!$G$117-(-$T$26*$T$27)*'Beneficios y costos'!$D$167)*$T$21*IF(E$47=2,Quesería!$B$20,1),0))*$T$10</f>
        <v>2646.78270761437</v>
      </c>
      <c r="F842" s="58" t="n">
        <f aca="false">(IF(F$47&gt;=1,Quesería!$G$124*IF(F$47=1,Quesería!$B$20,1),Quesería!$G$124*Quesería!$B$20*Quesería!$B$21/12*$T$23)+IF(F$47&gt;=2,(Quesería!$G$125-(1-$T$24)*Quesería!$G$117-(-$T$26*$T$27)*'Beneficios y costos'!$D$167)*$T$21*IF(F$47=2,Quesería!$B$20,1),0))*$T$10</f>
        <v>2646.78270761437</v>
      </c>
      <c r="G842" s="58" t="n">
        <f aca="false">(IF(G$47&gt;=1,Quesería!$G$124*IF(G$47=1,Quesería!$B$20,1),Quesería!$G$124*Quesería!$B$20*Quesería!$B$21/12*$T$23)+IF(G$47&gt;=2,(Quesería!$G$125-(1-$T$24)*Quesería!$G$117-(-$T$26*$T$27)*'Beneficios y costos'!$D$167)*$T$21*IF(G$47=2,Quesería!$B$20,1),0))*$T$10</f>
        <v>2646.78270761437</v>
      </c>
      <c r="H842" s="58" t="n">
        <f aca="false">(IF(H$47&gt;=1,Quesería!$G$124*IF(H$47=1,Quesería!$B$20,1),Quesería!$G$124*Quesería!$B$20*Quesería!$B$21/12*$T$23)+IF(H$47&gt;=2,(Quesería!$G$125-(1-$T$24)*Quesería!$G$117-(-$T$26*$T$27)*'Beneficios y costos'!$D$167)*$T$21*IF(H$47=2,Quesería!$B$20,1),0))*$T$10</f>
        <v>2646.78270761437</v>
      </c>
      <c r="I842" s="58" t="n">
        <f aca="false">(IF(I$47&gt;=1,Quesería!$G$124*IF(I$47=1,Quesería!$B$20,1),Quesería!$G$124*Quesería!$B$20*Quesería!$B$21/12*$T$23)+IF(I$47&gt;=2,(Quesería!$G$125-(1-$T$24)*Quesería!$G$117-(-$T$26*$T$27)*'Beneficios y costos'!$D$167)*$T$21*IF(I$47=2,Quesería!$B$20,1),0))*$T$10</f>
        <v>2646.78270761437</v>
      </c>
      <c r="J842" s="58" t="n">
        <f aca="false">(IF(J$47&gt;=1,Quesería!$G$124*IF(J$47=1,Quesería!$B$20,1),Quesería!$G$124*Quesería!$B$20*Quesería!$B$21/12*$T$23)+IF(J$47&gt;=2,(Quesería!$G$125-(1-$T$24)*Quesería!$G$117-(-$T$26*$T$27)*'Beneficios y costos'!$D$167)*$T$21*IF(J$47=2,Quesería!$B$20,1),0))*$T$10</f>
        <v>2646.78270761437</v>
      </c>
      <c r="K842" s="58" t="n">
        <f aca="false">(IF(K$47&gt;=1,Quesería!$G$124*IF(K$47=1,Quesería!$B$20,1),Quesería!$G$124*Quesería!$B$20*Quesería!$B$21/12*$T$23)+IF(K$47&gt;=2,(Quesería!$G$125-(1-$T$24)*Quesería!$G$117-(-$T$26*$T$27)*'Beneficios y costos'!$D$167)*$T$21*IF(K$47=2,Quesería!$B$20,1),0))*$T$10</f>
        <v>2646.78270761437</v>
      </c>
      <c r="L842" s="58" t="n">
        <f aca="false">(IF(L$47&gt;=1,Quesería!$G$124*IF(L$47=1,Quesería!$B$20,1),Quesería!$G$124*Quesería!$B$20*Quesería!$B$21/12*$T$23)+IF(L$47&gt;=2,(Quesería!$G$125-(1-$T$24)*Quesería!$G$117-(-$T$26*$T$27)*'Beneficios y costos'!$D$167)*$T$21*IF(L$47=2,Quesería!$B$20,1),0))*$T$10</f>
        <v>2646.78270761437</v>
      </c>
    </row>
    <row r="843" customFormat="false" ht="15" hidden="true" customHeight="false" outlineLevel="1" collapsed="false">
      <c r="A843" s="6" t="s">
        <v>421</v>
      </c>
      <c r="B843" s="29" t="n">
        <f aca="false">(B842*(Quesería!$B$38+Quesería!$B$40*Quesería!$B$39)/365-B834*Quesería!$B$42/365+IF(B$47&gt;=2,($T$25*'Beneficios y costos'!$B$147+(1-$T$25)*'Beneficios y costos'!$B$148)*$T$24*$T$21*$T$10*IF(B$47=2,Quesería!$B$20,1),0))</f>
        <v>7.23146900616979</v>
      </c>
      <c r="C843" s="29" t="n">
        <f aca="false">(C842*(Quesería!$B$38+Quesería!$B$40*Quesería!$B$39)/365-C834*Quesería!$B$42/365+IF(C$47&gt;=2,($T$25*'Beneficios y costos'!$B$147+(1-$T$25)*'Beneficios y costos'!$B$148)*$T$24*$T$21*$T$10*IF(C$47=2,Quesería!$B$20,1),0))-(B842*(Quesería!$B$38+Quesería!$B$40*Quesería!$B$39)/365-B834*Quesería!$B$42/365+IF(B$47&gt;=2,($T$25*'Beneficios y costos'!$B$147+(1-$T$25)*'Beneficios y costos'!$B$148)*$T$24*$T$21*$T$10*IF(B$47=2,Quesería!$B$20,1),0))*B825/C825</f>
        <v>1.42287846600884</v>
      </c>
      <c r="D843" s="29" t="n">
        <f aca="false">(D842*(Quesería!$B$38+Quesería!$B$40*Quesería!$B$39)/365-D834*Quesería!$B$42/365+IF(D$47&gt;=2,($T$25*'Beneficios y costos'!$B$147+(1-$T$25)*'Beneficios y costos'!$B$148)*$T$24*$T$21*$T$10*IF(D$47=2,Quesería!$B$20,1),0))-(C842*(Quesería!$B$38+Quesería!$B$40*Quesería!$B$39)/365-C834*Quesería!$B$42/365+IF(C$47&gt;=2,($T$25*'Beneficios y costos'!$B$147+(1-$T$25)*'Beneficios y costos'!$B$148)*$T$24*$T$21*$T$10*IF(C$47=2,Quesería!$B$20,1),0))*C825/D825</f>
        <v>121.067969072345</v>
      </c>
      <c r="E843" s="29" t="n">
        <f aca="false">(E842*(Quesería!$B$38+Quesería!$B$40*Quesería!$B$39)/365-E834*Quesería!$B$42/365+IF(E$47&gt;=2,($T$25*'Beneficios y costos'!$B$147+(1-$T$25)*'Beneficios y costos'!$B$148)*$T$24*$T$21*$T$10*IF(E$47=2,Quesería!$B$20,1),0))-(D842*(Quesería!$B$38+Quesería!$B$40*Quesería!$B$39)/365-D834*Quesería!$B$42/365+IF(D$47&gt;=2,($T$25*'Beneficios y costos'!$B$147+(1-$T$25)*'Beneficios y costos'!$B$148)*$T$24*$T$21*$T$10*IF(D$47=2,Quesería!$B$20,1),0))*D825/E825</f>
        <v>44.6849531551876</v>
      </c>
      <c r="F843" s="29" t="n">
        <f aca="false">(F842*(Quesería!$B$38+Quesería!$B$40*Quesería!$B$39)/365-F834*Quesería!$B$42/365+IF(F$47&gt;=2,($T$25*'Beneficios y costos'!$B$147+(1-$T$25)*'Beneficios y costos'!$B$148)*$T$24*$T$21*$T$10*IF(F$47=2,Quesería!$B$20,1),0))-(E842*(Quesería!$B$38+Quesería!$B$40*Quesería!$B$39)/365-E834*Quesería!$B$42/365+IF(E$47&gt;=2,($T$25*'Beneficios y costos'!$B$147+(1-$T$25)*'Beneficios y costos'!$B$148)*$T$24*$T$21*$T$10*IF(E$47=2,Quesería!$B$20,1),0))*E825/F825</f>
        <v>6.49010597714096</v>
      </c>
      <c r="G843" s="29" t="n">
        <f aca="false">(G842*(Quesería!$B$38+Quesería!$B$40*Quesería!$B$39)/365-G834*Quesería!$B$42/365+IF(G$47&gt;=2,($T$25*'Beneficios y costos'!$B$147+(1-$T$25)*'Beneficios y costos'!$B$148)*$T$24*$T$21*$T$10*IF(G$47=2,Quesería!$B$20,1),0))-(F842*(Quesería!$B$38+Quesería!$B$40*Quesería!$B$39)/365-F834*Quesería!$B$42/365+IF(F$47&gt;=2,($T$25*'Beneficios y costos'!$B$147+(1-$T$25)*'Beneficios y costos'!$B$148)*$T$24*$T$21*$T$10*IF(F$47=2,Quesería!$B$20,1),0))*F825/G825</f>
        <v>6.49010597714096</v>
      </c>
      <c r="H843" s="29" t="n">
        <f aca="false">(H842*(Quesería!$B$38+Quesería!$B$40*Quesería!$B$39)/365-H834*Quesería!$B$42/365+IF(H$47&gt;=2,($T$25*'Beneficios y costos'!$B$147+(1-$T$25)*'Beneficios y costos'!$B$148)*$T$24*$T$21*$T$10*IF(H$47=2,Quesería!$B$20,1),0))-(G842*(Quesería!$B$38+Quesería!$B$40*Quesería!$B$39)/365-G834*Quesería!$B$42/365+IF(G$47&gt;=2,($T$25*'Beneficios y costos'!$B$147+(1-$T$25)*'Beneficios y costos'!$B$148)*$T$24*$T$21*$T$10*IF(G$47=2,Quesería!$B$20,1),0))*G825/H825</f>
        <v>6.49010597714096</v>
      </c>
      <c r="I843" s="29" t="n">
        <f aca="false">(I842*(Quesería!$B$38+Quesería!$B$40*Quesería!$B$39)/365-I834*Quesería!$B$42/365+IF(I$47&gt;=2,($T$25*'Beneficios y costos'!$B$147+(1-$T$25)*'Beneficios y costos'!$B$148)*$T$24*$T$21*$T$10*IF(I$47=2,Quesería!$B$20,1),0))-(H842*(Quesería!$B$38+Quesería!$B$40*Quesería!$B$39)/365-H834*Quesería!$B$42/365+IF(H$47&gt;=2,($T$25*'Beneficios y costos'!$B$147+(1-$T$25)*'Beneficios y costos'!$B$148)*$T$24*$T$21*$T$10*IF(H$47=2,Quesería!$B$20,1),0))*H825/I825</f>
        <v>6.49010597714096</v>
      </c>
      <c r="J843" s="29" t="n">
        <f aca="false">(J842*(Quesería!$B$38+Quesería!$B$40*Quesería!$B$39)/365-J834*Quesería!$B$42/365+IF(J$47&gt;=2,($T$25*'Beneficios y costos'!$B$147+(1-$T$25)*'Beneficios y costos'!$B$148)*$T$24*$T$21*$T$10*IF(J$47=2,Quesería!$B$20,1),0))-(I842*(Quesería!$B$38+Quesería!$B$40*Quesería!$B$39)/365-I834*Quesería!$B$42/365+IF(I$47&gt;=2,($T$25*'Beneficios y costos'!$B$147+(1-$T$25)*'Beneficios y costos'!$B$148)*$T$24*$T$21*$T$10*IF(I$47=2,Quesería!$B$20,1),0))*I825/J825</f>
        <v>6.49010597714096</v>
      </c>
      <c r="K843" s="29" t="n">
        <f aca="false">(K842*(Quesería!$B$38+Quesería!$B$40*Quesería!$B$39)/365-K834*Quesería!$B$42/365+IF(K$47&gt;=2,($T$25*'Beneficios y costos'!$B$147+(1-$T$25)*'Beneficios y costos'!$B$148)*$T$24*$T$21*$T$10*IF(K$47=2,Quesería!$B$20,1),0))-(J842*(Quesería!$B$38+Quesería!$B$40*Quesería!$B$39)/365-J834*Quesería!$B$42/365+IF(J$47&gt;=2,($T$25*'Beneficios y costos'!$B$147+(1-$T$25)*'Beneficios y costos'!$B$148)*$T$24*$T$21*$T$10*IF(J$47=2,Quesería!$B$20,1),0))*J825/K825</f>
        <v>6.49010597714099</v>
      </c>
      <c r="L843" s="29" t="n">
        <f aca="false">-(K842*(Quesería!$B$38+Quesería!$B$40*Quesería!$B$39)/365-K834*Quesería!$B$42/365+IF(K$47&gt;=2,($T$25*'Beneficios y costos'!$B$147+(1-$T$25)*'Beneficios y costos'!$B$148)*$T$24*$T$21*$T$10*IF(K$47=2,Quesería!$B$20,1),0))*K825/L825</f>
        <v>-162.252649428524</v>
      </c>
    </row>
    <row r="844" customFormat="false" ht="15" hidden="true" customHeight="false" outlineLevel="1" collapsed="false">
      <c r="A844" s="6" t="s">
        <v>422</v>
      </c>
      <c r="B844" s="29" t="n">
        <v>0</v>
      </c>
      <c r="C844" s="29" t="n">
        <v>0</v>
      </c>
      <c r="D844" s="29" t="n">
        <v>0</v>
      </c>
      <c r="E844" s="29" t="n">
        <v>0</v>
      </c>
      <c r="F844" s="29" t="n">
        <v>0</v>
      </c>
      <c r="G844" s="29" t="n">
        <v>0</v>
      </c>
      <c r="H844" s="29" t="n">
        <v>0</v>
      </c>
      <c r="I844" s="29" t="n">
        <v>0</v>
      </c>
      <c r="J844" s="29" t="n">
        <v>0</v>
      </c>
      <c r="K844" s="29" t="n">
        <v>0</v>
      </c>
      <c r="L844" s="29" t="n">
        <f aca="false">$T$8*Quesería!$B$36*(Quesería!$F$94+(Quesería!$F$95-(-$T$26)*Quesería!$D$86)*$T$21)*$T$11*(1-$T$17)</f>
        <v>61.9237725584542</v>
      </c>
    </row>
    <row r="845" customFormat="false" ht="15" hidden="true" customHeight="false" outlineLevel="1" collapsed="false">
      <c r="A845" s="5" t="s">
        <v>147</v>
      </c>
      <c r="B845" s="59" t="n">
        <f aca="false">B833-B834-B835-B836-B841-B828-B829-B830-B843+B844</f>
        <v>-961.151880133756</v>
      </c>
      <c r="C845" s="59" t="n">
        <f aca="false">C833-C834-C835-C836-C841-C828-C829-C830-C843+C844</f>
        <v>-538.513741898648</v>
      </c>
      <c r="D845" s="59" t="n">
        <f aca="false">D833-D834-D835-D836-D841-D828-D829-D830-D843+D844</f>
        <v>322.753822311474</v>
      </c>
      <c r="E845" s="59" t="n">
        <f aca="false">E833-E834-E835-E836-E841-E828-E829-E830-E843+E844</f>
        <v>323.789930953772</v>
      </c>
      <c r="F845" s="59" t="n">
        <f aca="false">F833-F834-F835-F836-F841-F828-F829-F830-F843+F844</f>
        <v>360.351212851391</v>
      </c>
      <c r="G845" s="59" t="n">
        <f aca="false">G833-G834-G835-G836-G841-G828-G829-G830-G843+G844</f>
        <v>325.997747758402</v>
      </c>
      <c r="H845" s="59" t="n">
        <f aca="false">H833-H834-H835-H836-H841-H828-H829-H830-H843+H844</f>
        <v>304.471968269307</v>
      </c>
      <c r="I845" s="59" t="n">
        <f aca="false">I833-I834-I835-I836-I841-I828-I829-I830-I843+I844</f>
        <v>365.104426856979</v>
      </c>
      <c r="J845" s="59" t="n">
        <f aca="false">J833-J834-J835-J836-J841-J828-J829-J830-J843+J844</f>
        <v>355.237096260542</v>
      </c>
      <c r="K845" s="59" t="n">
        <f aca="false">K833-K834-K835-K836-K841-K828-K829-K830-K843+K844</f>
        <v>353.907172214543</v>
      </c>
      <c r="L845" s="59" t="n">
        <f aca="false">L833-L834-L835-L836-L841-L828-L829-L830-L843+L844</f>
        <v>583.303882844304</v>
      </c>
    </row>
    <row r="846" customFormat="false" ht="15" hidden="true" customHeight="false" outlineLevel="1" collapsed="false">
      <c r="A846" s="9" t="s">
        <v>423</v>
      </c>
      <c r="B846" s="58" t="n">
        <f aca="false">B845*B825</f>
        <v>-1018.82099294178</v>
      </c>
      <c r="C846" s="58" t="n">
        <f aca="false">C845*C825</f>
        <v>-599.365794733195</v>
      </c>
      <c r="D846" s="58" t="n">
        <f aca="false">D845*D825</f>
        <v>375.39012942314</v>
      </c>
      <c r="E846" s="58" t="n">
        <f aca="false">E845*E825</f>
        <v>391.659020317102</v>
      </c>
      <c r="F846" s="58" t="n">
        <f aca="false">F845*F825</f>
        <v>453.319208175839</v>
      </c>
      <c r="G846" s="58" t="n">
        <f aca="false">G845*G825</f>
        <v>426.506910577728</v>
      </c>
      <c r="H846" s="58" t="n">
        <f aca="false">H845*H825</f>
        <v>414.278243989321</v>
      </c>
      <c r="I846" s="58" t="n">
        <f aca="false">I845*I825</f>
        <v>516.648591850469</v>
      </c>
      <c r="J846" s="58" t="n">
        <f aca="false">J845*J825</f>
        <v>522.793045873068</v>
      </c>
      <c r="K846" s="58" t="n">
        <f aca="false">K845*K825</f>
        <v>541.669265075775</v>
      </c>
      <c r="L846" s="58" t="n">
        <f aca="false">L845*L825</f>
        <v>928.481033321263</v>
      </c>
    </row>
    <row r="847" customFormat="false" ht="15" hidden="true" customHeight="false" outlineLevel="1" collapsed="false">
      <c r="A847" s="6" t="s">
        <v>424</v>
      </c>
      <c r="B847" s="29" t="n">
        <f aca="false">B845</f>
        <v>-961.151880133756</v>
      </c>
      <c r="C847" s="29" t="n">
        <f aca="false">B847+C845</f>
        <v>-1499.6656220324</v>
      </c>
      <c r="D847" s="29" t="n">
        <f aca="false">C847+D845</f>
        <v>-1176.91179972093</v>
      </c>
      <c r="E847" s="29" t="n">
        <f aca="false">D847+E845</f>
        <v>-853.121868767158</v>
      </c>
      <c r="F847" s="29" t="n">
        <f aca="false">E847+F845</f>
        <v>-492.770655915767</v>
      </c>
      <c r="G847" s="29" t="n">
        <f aca="false">F847+G845</f>
        <v>-166.772908157365</v>
      </c>
      <c r="H847" s="29" t="n">
        <f aca="false">G847+H845</f>
        <v>137.699060111942</v>
      </c>
      <c r="I847" s="29" t="n">
        <f aca="false">H847+I845</f>
        <v>502.803486968921</v>
      </c>
      <c r="J847" s="29" t="n">
        <f aca="false">I847+J845</f>
        <v>858.040583229463</v>
      </c>
      <c r="K847" s="29" t="n">
        <f aca="false">J847+K845</f>
        <v>1211.94775544401</v>
      </c>
      <c r="L847" s="29" t="n">
        <f aca="false">K847+L845</f>
        <v>1795.25163828831</v>
      </c>
    </row>
    <row r="848" customFormat="false" ht="15" hidden="true" customHeight="false" outlineLevel="1" collapsed="false">
      <c r="A848" s="9" t="s">
        <v>425</v>
      </c>
      <c r="B848" s="60" t="n">
        <v>0</v>
      </c>
      <c r="C848" s="60" t="n">
        <f aca="false">IF(AND(B847&lt;0,C847&gt;=0),B$47+(-B847)/C845,0)</f>
        <v>0</v>
      </c>
      <c r="D848" s="60" t="n">
        <f aca="false">IF(AND(C847&lt;0,D847&gt;=0),C$47+(-C847)/D845,0)</f>
        <v>0</v>
      </c>
      <c r="E848" s="60" t="n">
        <f aca="false">IF(AND(D847&lt;0,E847&gt;=0),D$47+(-D847)/E845,0)</f>
        <v>0</v>
      </c>
      <c r="F848" s="60" t="n">
        <f aca="false">IF(AND(E847&lt;0,F847&gt;=0),E$47+(-E847)/F845,0)</f>
        <v>0</v>
      </c>
      <c r="G848" s="60" t="n">
        <f aca="false">IF(AND(F847&lt;0,G847&gt;=0),F$47+(-F847)/G845,0)</f>
        <v>0</v>
      </c>
      <c r="H848" s="60" t="n">
        <f aca="false">IF(AND(G847&lt;0,H847&gt;=0),G$47+(-G847)/H845,0)</f>
        <v>5.54774470407027</v>
      </c>
      <c r="I848" s="60" t="n">
        <f aca="false">IF(AND(H847&lt;0,I847&gt;=0),H$47+(-H847)/I845,0)</f>
        <v>0</v>
      </c>
      <c r="J848" s="60" t="n">
        <f aca="false">IF(AND(I847&lt;0,J847&gt;=0),I$47+(-I847)/J845,0)</f>
        <v>0</v>
      </c>
      <c r="K848" s="60" t="n">
        <f aca="false">IF(AND(J847&lt;0,K847&gt;=0),J$47+(-J847)/K845,0)</f>
        <v>0</v>
      </c>
      <c r="L848" s="60" t="n">
        <f aca="false">IF(AND(K847&lt;0,L847&gt;=0),K$47+(-K847)/L845,0)</f>
        <v>0</v>
      </c>
    </row>
    <row r="849" customFormat="false" ht="15" hidden="true" customHeight="false" outlineLevel="1" collapsed="false">
      <c r="A849" s="9" t="s">
        <v>426</v>
      </c>
      <c r="B849" s="57" t="n">
        <f aca="false">(B825/$B$825)/(1+$T$29)^B$47</f>
        <v>1</v>
      </c>
      <c r="C849" s="57" t="n">
        <f aca="false">(C825/$B$825)/(1+$T$29)^C$47</f>
        <v>0.915373701313561</v>
      </c>
      <c r="D849" s="57" t="n">
        <f aca="false">(D825/$B$825)/(1+$T$29)^D$47</f>
        <v>0.833918970137172</v>
      </c>
      <c r="E849" s="57" t="n">
        <f aca="false">(E825/$B$825)/(1+$T$29)^E$47</f>
        <v>0.756077518153961</v>
      </c>
      <c r="F849" s="57" t="n">
        <f aca="false">(F825/$B$825)/(1+$T$29)^F$47</f>
        <v>0.685502109831871</v>
      </c>
      <c r="G849" s="57" t="n">
        <f aca="false">(G825/$B$825)/(1+$T$29)^G$47</f>
        <v>0.621514502549008</v>
      </c>
      <c r="H849" s="57" t="n">
        <f aca="false">(H825/$B$825)/(1+$T$29)^H$47</f>
        <v>0.563499763660072</v>
      </c>
      <c r="I849" s="57" t="n">
        <f aca="false">(I825/$B$825)/(1+$T$29)^I$47</f>
        <v>0.510900360880829</v>
      </c>
      <c r="J849" s="57" t="n">
        <f aca="false">(J825/$B$825)/(1+$T$29)^J$47</f>
        <v>0.463210804300567</v>
      </c>
      <c r="K849" s="57" t="n">
        <f aca="false">(K825/$B$825)/(1+$T$29)^K$47</f>
        <v>0.419972788531318</v>
      </c>
      <c r="L849" s="57" t="n">
        <f aca="false">(L825/$B$825)/(1+$T$29)^L$47</f>
        <v>0.380770788308996</v>
      </c>
    </row>
    <row r="850" customFormat="false" ht="15" hidden="true" customHeight="false" outlineLevel="1" collapsed="false">
      <c r="A850" s="9" t="s">
        <v>427</v>
      </c>
      <c r="B850" s="58" t="n">
        <f aca="false">B845*B849</f>
        <v>-961.151880133756</v>
      </c>
      <c r="C850" s="58" t="n">
        <f aca="false">C845*C849</f>
        <v>-492.941317129981</v>
      </c>
      <c r="D850" s="58" t="n">
        <f aca="false">D845*D849</f>
        <v>269.15053510982</v>
      </c>
      <c r="E850" s="58" t="n">
        <f aca="false">E845*E849</f>
        <v>244.81028739877</v>
      </c>
      <c r="F850" s="58" t="n">
        <f aca="false">F845*F849</f>
        <v>247.021516690102</v>
      </c>
      <c r="G850" s="58" t="n">
        <f aca="false">G845*G849</f>
        <v>202.61232803016</v>
      </c>
      <c r="H850" s="58" t="n">
        <f aca="false">H845*H849</f>
        <v>171.569882160872</v>
      </c>
      <c r="I850" s="58" t="n">
        <f aca="false">I845*I849</f>
        <v>186.531983440419</v>
      </c>
      <c r="J850" s="58" t="n">
        <f aca="false">J845*J849</f>
        <v>164.549661076244</v>
      </c>
      <c r="K850" s="58" t="n">
        <f aca="false">K845*K849</f>
        <v>148.631381996175</v>
      </c>
      <c r="L850" s="58" t="n">
        <f aca="false">L845*L849</f>
        <v>222.105079294324</v>
      </c>
    </row>
    <row r="851" customFormat="false" ht="15" hidden="true" customHeight="false" outlineLevel="1" collapsed="false">
      <c r="A851" s="9" t="s">
        <v>428</v>
      </c>
      <c r="B851" s="58" t="n">
        <f aca="false">B850</f>
        <v>-961.151880133756</v>
      </c>
      <c r="C851" s="58" t="n">
        <f aca="false">B851+C850</f>
        <v>-1454.09319726374</v>
      </c>
      <c r="D851" s="58" t="n">
        <f aca="false">C851+D850</f>
        <v>-1184.94266215392</v>
      </c>
      <c r="E851" s="58" t="n">
        <f aca="false">D851+E850</f>
        <v>-940.132374755146</v>
      </c>
      <c r="F851" s="58" t="n">
        <f aca="false">E851+F850</f>
        <v>-693.110858065044</v>
      </c>
      <c r="G851" s="58" t="n">
        <f aca="false">F851+G850</f>
        <v>-490.498530034884</v>
      </c>
      <c r="H851" s="58" t="n">
        <f aca="false">G851+H850</f>
        <v>-318.928647874013</v>
      </c>
      <c r="I851" s="58" t="n">
        <f aca="false">H851+I850</f>
        <v>-132.396664433594</v>
      </c>
      <c r="J851" s="58" t="n">
        <f aca="false">I851+J850</f>
        <v>32.1529966426498</v>
      </c>
      <c r="K851" s="58" t="n">
        <f aca="false">J851+K850</f>
        <v>180.784378638825</v>
      </c>
      <c r="L851" s="58" t="n">
        <f aca="false">K851+L850</f>
        <v>402.889457933148</v>
      </c>
    </row>
    <row r="852" customFormat="false" ht="15" hidden="true" customHeight="false" outlineLevel="1" collapsed="false">
      <c r="A852" s="9" t="s">
        <v>429</v>
      </c>
      <c r="B852" s="60" t="n">
        <v>0</v>
      </c>
      <c r="C852" s="60" t="n">
        <f aca="false">IF(AND(B851&lt;0,C851&gt;=0),B$47+(-B851)/C850,0)</f>
        <v>0</v>
      </c>
      <c r="D852" s="60" t="n">
        <f aca="false">IF(AND(C851&lt;0,D851&gt;=0),C$47+(-C851)/D850,0)</f>
        <v>0</v>
      </c>
      <c r="E852" s="60" t="n">
        <f aca="false">IF(AND(D851&lt;0,E851&gt;=0),D$47+(-D851)/E850,0)</f>
        <v>0</v>
      </c>
      <c r="F852" s="60" t="n">
        <f aca="false">IF(AND(E851&lt;0,F851&gt;=0),E$47+(-E851)/F850,0)</f>
        <v>0</v>
      </c>
      <c r="G852" s="60" t="n">
        <f aca="false">IF(AND(F851&lt;0,G851&gt;=0),F$47+(-F851)/G850,0)</f>
        <v>0</v>
      </c>
      <c r="H852" s="60" t="n">
        <f aca="false">IF(AND(G851&lt;0,H851&gt;=0),G$47+(-G851)/H850,0)</f>
        <v>0</v>
      </c>
      <c r="I852" s="60" t="n">
        <f aca="false">IF(AND(H851&lt;0,I851&gt;=0),H$47+(-H851)/I850,0)</f>
        <v>0</v>
      </c>
      <c r="J852" s="60" t="n">
        <f aca="false">IF(AND(I851&lt;0,J851&gt;=0),I$47+(-I851)/J850,0)</f>
        <v>7.8046000433404</v>
      </c>
      <c r="K852" s="60" t="n">
        <f aca="false">IF(AND(J851&lt;0,K851&gt;=0),J$47+(-J851)/K850,0)</f>
        <v>0</v>
      </c>
      <c r="L852" s="60" t="n">
        <f aca="false">IF(AND(K851&lt;0,L851&gt;=0),K$47+(-K851)/L850,0)</f>
        <v>0</v>
      </c>
    </row>
    <row r="853" customFormat="false" ht="15" hidden="true" customHeight="false" outlineLevel="1" collapsed="false">
      <c r="A853" s="9" t="s">
        <v>430</v>
      </c>
      <c r="B853" s="58" t="n">
        <f aca="false">IF(B$47&lt;0,0,(Quesería!$B$44*$B$828*$B$825)*(1-MAX(0,MIN(B$47-0-Quesería!$B$47,(Quesería!$B$46-Quesería!$B$47)))/(Quesería!$B$46-Quesería!$B$47))*IF(B$47&gt;=2,1-Quesería!$B$48,1))+IF(B$47&lt;1,0,(Quesería!$B$44*$C$828*$C$825)*(1-MAX(0,MIN(B$47-1-Quesería!$B$47,(Quesería!$B$46-Quesería!$B$47)))/(Quesería!$B$46-Quesería!$B$47))*IF(B$47&gt;=2,1-Quesería!$B$48,1))</f>
        <v>641.321364968425</v>
      </c>
      <c r="C853" s="58" t="n">
        <f aca="false">IF(C$47&lt;0,0,(Quesería!$B$44*$B$828*$B$825)*(1-MAX(0,MIN(C$47-0-Quesería!$B$47,(Quesería!$B$46-Quesería!$B$47)))/(Quesería!$B$46-Quesería!$B$47))*IF(C$47&gt;=2,1-Quesería!$B$48,1))+IF(C$47&lt;1,0,(Quesería!$B$44*$C$828*$C$825)*(1-MAX(0,MIN(C$47-1-Quesería!$B$47,(Quesería!$B$46-Quesería!$B$47)))/(Quesería!$B$46-Quesería!$B$47))*IF(C$47&gt;=2,1-Quesería!$B$48,1))</f>
        <v>1117.69081125409</v>
      </c>
      <c r="D853" s="58" t="n">
        <f aca="false">IF(D$47&lt;0,0,(Quesería!$B$44*$B$828*$B$825)*(1-MAX(0,MIN(D$47-0-Quesería!$B$47,(Quesería!$B$46-Quesería!$B$47)))/(Quesería!$B$46-Quesería!$B$47))*IF(D$47&gt;=2,1-Quesería!$B$48,1))+IF(D$47&lt;1,0,(Quesería!$B$44*$C$828*$C$825)*(1-MAX(0,MIN(D$47-1-Quesería!$B$47,(Quesería!$B$46-Quesería!$B$47)))/(Quesería!$B$46-Quesería!$B$47))*IF(D$47&gt;=2,1-Quesería!$B$48,1))</f>
        <v>1010.80391709269</v>
      </c>
      <c r="E853" s="58" t="n">
        <f aca="false">IF(E$47&lt;0,0,(Quesería!$B$44*$B$828*$B$825)*(1-MAX(0,MIN(E$47-0-Quesería!$B$47,(Quesería!$B$46-Quesería!$B$47)))/(Quesería!$B$46-Quesería!$B$47))*IF(E$47&gt;=2,1-Quesería!$B$48,1))+IF(E$47&lt;1,0,(Quesería!$B$44*$C$828*$C$825)*(1-MAX(0,MIN(E$47-1-Quesería!$B$47,(Quesería!$B$46-Quesería!$B$47)))/(Quesería!$B$46-Quesería!$B$47))*IF(E$47&gt;=2,1-Quesería!$B$48,1))</f>
        <v>824.522115217005</v>
      </c>
      <c r="F853" s="58" t="n">
        <f aca="false">IF(F$47&lt;0,0,(Quesería!$B$44*$B$828*$B$825)*(1-MAX(0,MIN(F$47-0-Quesería!$B$47,(Quesería!$B$46-Quesería!$B$47)))/(Quesería!$B$46-Quesería!$B$47))*IF(F$47&gt;=2,1-Quesería!$B$48,1))+IF(F$47&lt;1,0,(Quesería!$B$44*$C$828*$C$825)*(1-MAX(0,MIN(F$47-1-Quesería!$B$47,(Quesería!$B$46-Quesería!$B$47)))/(Quesería!$B$46-Quesería!$B$47))*IF(F$47&gt;=2,1-Quesería!$B$48,1))</f>
        <v>638.240313341323</v>
      </c>
      <c r="G853" s="58" t="n">
        <f aca="false">IF(G$47&lt;0,0,(Quesería!$B$44*$B$828*$B$825)*(1-MAX(0,MIN(G$47-0-Quesería!$B$47,(Quesería!$B$46-Quesería!$B$47)))/(Quesería!$B$46-Quesería!$B$47))*IF(G$47&gt;=2,1-Quesería!$B$48,1))+IF(G$47&lt;1,0,(Quesería!$B$44*$C$828*$C$825)*(1-MAX(0,MIN(G$47-1-Quesería!$B$47,(Quesería!$B$46-Quesería!$B$47)))/(Quesería!$B$46-Quesería!$B$47))*IF(G$47&gt;=2,1-Quesería!$B$48,1))</f>
        <v>451.958511465641</v>
      </c>
      <c r="H853" s="58" t="n">
        <f aca="false">IF(H$47&lt;0,0,(Quesería!$B$44*$B$828*$B$825)*(1-MAX(0,MIN(H$47-0-Quesería!$B$47,(Quesería!$B$46-Quesería!$B$47)))/(Quesería!$B$46-Quesería!$B$47))*IF(H$47&gt;=2,1-Quesería!$B$48,1))+IF(H$47&lt;1,0,(Quesería!$B$44*$C$828*$C$825)*(1-MAX(0,MIN(H$47-1-Quesería!$B$47,(Quesería!$B$46-Quesería!$B$47)))/(Quesería!$B$46-Quesería!$B$47))*IF(H$47&gt;=2,1-Quesería!$B$48,1))</f>
        <v>265.67670958996</v>
      </c>
      <c r="I853" s="58" t="n">
        <f aca="false">IF(I$47&lt;0,0,(Quesería!$B$44*$B$828*$B$825)*(1-MAX(0,MIN(I$47-0-Quesería!$B$47,(Quesería!$B$46-Quesería!$B$47)))/(Quesería!$B$46-Quesería!$B$47))*IF(I$47&gt;=2,1-Quesería!$B$48,1))+IF(I$47&lt;1,0,(Quesería!$B$44*$C$828*$C$825)*(1-MAX(0,MIN(I$47-1-Quesería!$B$47,(Quesería!$B$46-Quesería!$B$47)))/(Quesería!$B$46-Quesería!$B$47))*IF(I$47&gt;=2,1-Quesería!$B$48,1))</f>
        <v>79.3949077142776</v>
      </c>
      <c r="J853" s="58" t="n">
        <f aca="false">IF(J$47&lt;0,0,(Quesería!$B$44*$B$828*$B$825)*(1-MAX(0,MIN(J$47-0-Quesería!$B$47,(Quesería!$B$46-Quesería!$B$47)))/(Quesería!$B$46-Quesería!$B$47))*IF(J$47&gt;=2,1-Quesería!$B$48,1))+IF(J$47&lt;1,0,(Quesería!$B$44*$C$828*$C$825)*(1-MAX(0,MIN(J$47-1-Quesería!$B$47,(Quesería!$B$46-Quesería!$B$47)))/(Quesería!$B$46-Quesería!$B$47))*IF(J$47&gt;=2,1-Quesería!$B$48,1))</f>
        <v>0</v>
      </c>
      <c r="K853" s="58" t="n">
        <f aca="false">IF(K$47&lt;0,0,(Quesería!$B$44*$B$828*$B$825)*(1-MAX(0,MIN(K$47-0-Quesería!$B$47,(Quesería!$B$46-Quesería!$B$47)))/(Quesería!$B$46-Quesería!$B$47))*IF(K$47&gt;=2,1-Quesería!$B$48,1))+IF(K$47&lt;1,0,(Quesería!$B$44*$C$828*$C$825)*(1-MAX(0,MIN(K$47-1-Quesería!$B$47,(Quesería!$B$46-Quesería!$B$47)))/(Quesería!$B$46-Quesería!$B$47))*IF(K$47&gt;=2,1-Quesería!$B$48,1))</f>
        <v>0</v>
      </c>
      <c r="L853" s="58" t="n">
        <f aca="false">IF(L$47&lt;0,0,(Quesería!$B$44*$B$828*$B$825)*(1-MAX(0,MIN(L$47-0-Quesería!$B$47,(Quesería!$B$46-Quesería!$B$47)))/(Quesería!$B$46-Quesería!$B$47))*IF(L$47&gt;=2,1-Quesería!$B$48,1))+IF(L$47&lt;1,0,(Quesería!$B$44*$C$828*$C$825)*(1-MAX(0,MIN(L$47-1-Quesería!$B$47,(Quesería!$B$46-Quesería!$B$47)))/(Quesería!$B$46-Quesería!$B$47))*IF(L$47&gt;=2,1-Quesería!$B$48,1))</f>
        <v>0</v>
      </c>
    </row>
    <row r="854" customFormat="false" ht="15" hidden="true" customHeight="false" outlineLevel="1" collapsed="false">
      <c r="A854" s="6" t="s">
        <v>431</v>
      </c>
      <c r="B854" s="29" t="n">
        <f aca="false">Quesería!$B$44*B828</f>
        <v>605.02015563059</v>
      </c>
      <c r="C854" s="29" t="n">
        <f aca="false">Quesería!$B$44*C828</f>
        <v>428.004893338424</v>
      </c>
      <c r="D854" s="29" t="n">
        <f aca="false">Quesería!$B$44*D828</f>
        <v>0</v>
      </c>
      <c r="E854" s="29" t="n">
        <f aca="false">Quesería!$B$44*E828</f>
        <v>0</v>
      </c>
      <c r="F854" s="29" t="n">
        <f aca="false">Quesería!$B$44*F828</f>
        <v>0</v>
      </c>
      <c r="G854" s="29" t="n">
        <f aca="false">Quesería!$B$44*G828</f>
        <v>0</v>
      </c>
      <c r="H854" s="29" t="n">
        <f aca="false">Quesería!$B$44*H828</f>
        <v>0</v>
      </c>
      <c r="I854" s="29" t="n">
        <f aca="false">Quesería!$B$44*I828</f>
        <v>0</v>
      </c>
      <c r="J854" s="29" t="n">
        <f aca="false">Quesería!$B$44*J828</f>
        <v>0</v>
      </c>
      <c r="K854" s="29" t="n">
        <f aca="false">Quesería!$B$44*K828</f>
        <v>0</v>
      </c>
      <c r="L854" s="29" t="n">
        <f aca="false">Quesería!$B$44*L828</f>
        <v>0</v>
      </c>
    </row>
    <row r="855" customFormat="false" ht="15" hidden="true" customHeight="false" outlineLevel="1" collapsed="false">
      <c r="A855" s="6" t="s">
        <v>432</v>
      </c>
      <c r="B855" s="29" t="n">
        <f aca="false">(IF(AND(B$47&gt;0,B$47&lt;=0+Quesería!$B$46),($T$14+$T$28)*(Quesería!$B$44*$B$828*$B$825)*(1-MAX(0,MIN((B$47-1)-0-Quesería!$B$47,(Quesería!$B$46-Quesería!$B$47)))/(Quesería!$B$46-Quesería!$B$47))*IF(B$47&gt;2,1-Quesería!$B$48,1),0)+IF(AND(B$47&gt;1,B$47&lt;=1+Quesería!$B$46),($T$14+$T$28)*(Quesería!$B$44*$C$828*$C$825)*(1-MAX(0,MIN((B$47-1)-1-Quesería!$B$47,(Quesería!$B$46-Quesería!$B$47)))/(Quesería!$B$46-Quesería!$B$47))*IF(B$47&gt;2,1-Quesería!$B$48,1),0))*B827</f>
        <v>0</v>
      </c>
      <c r="C855" s="29" t="n">
        <f aca="false">(IF(AND(C$47&gt;0,C$47&lt;=0+Quesería!$B$46),($T$14+$T$28)*(Quesería!$B$44*$B$828*$B$825)*(1-MAX(0,MIN((C$47-1)-0-Quesería!$B$47,(Quesería!$B$46-Quesería!$B$47)))/(Quesería!$B$46-Quesería!$B$47))*IF(C$47&gt;2,1-Quesería!$B$48,1),0)+IF(AND(C$47&gt;1,C$47&lt;=1+Quesería!$B$46),($T$14+$T$28)*(Quesería!$B$44*$C$828*$C$825)*(1-MAX(0,MIN((C$47-1)-1-Quesería!$B$47,(Quesería!$B$46-Quesería!$B$47)))/(Quesería!$B$46-Quesería!$B$47))*IF(C$47&gt;2,1-Quesería!$B$48,1),0))*C827</f>
        <v>81.2455637561078</v>
      </c>
      <c r="D855" s="29" t="n">
        <f aca="false">(IF(AND(D$47&gt;0,D$47&lt;=0+Quesería!$B$46),($T$14+$T$28)*(Quesería!$B$44*$B$828*$B$825)*(1-MAX(0,MIN((D$47-1)-0-Quesería!$B$47,(Quesería!$B$46-Quesería!$B$47)))/(Quesería!$B$46-Quesería!$B$47))*IF(D$47&gt;2,1-Quesería!$B$48,1),0)+IF(AND(D$47&gt;1,D$47&lt;=1+Quesería!$B$46),($T$14+$T$28)*(Quesería!$B$44*$C$828*$C$825)*(1-MAX(0,MIN((D$47-1)-1-Quesería!$B$47,(Quesería!$B$46-Quesería!$B$47)))/(Quesería!$B$46-Quesería!$B$47))*IF(D$47&gt;2,1-Quesería!$B$48,1),0))*D827</f>
        <v>135.496893508924</v>
      </c>
      <c r="E855" s="29" t="n">
        <f aca="false">(IF(AND(E$47&gt;0,E$47&lt;=0+Quesería!$B$46),($T$14+$T$28)*(Quesería!$B$44*$B$828*$B$825)*(1-MAX(0,MIN((E$47-1)-0-Quesería!$B$47,(Quesería!$B$46-Quesería!$B$47)))/(Quesería!$B$46-Quesería!$B$47))*IF(E$47&gt;2,1-Quesería!$B$48,1),0)+IF(AND(E$47&gt;1,E$47&lt;=1+Quesería!$B$46),($T$14+$T$28)*(Quesería!$B$44*$C$828*$C$825)*(1-MAX(0,MIN((E$47-1)-1-Quesería!$B$47,(Quesería!$B$46-Quesería!$B$47)))/(Quesería!$B$46-Quesería!$B$47))*IF(E$47&gt;2,1-Quesería!$B$48,1),0))*E827</f>
        <v>117.826027258135</v>
      </c>
      <c r="F855" s="29" t="n">
        <f aca="false">(IF(AND(F$47&gt;0,F$47&lt;=0+Quesería!$B$46),($T$14+$T$28)*(Quesería!$B$44*$B$828*$B$825)*(1-MAX(0,MIN((F$47-1)-0-Quesería!$B$47,(Quesería!$B$46-Quesería!$B$47)))/(Quesería!$B$46-Quesería!$B$47))*IF(F$47&gt;2,1-Quesería!$B$48,1),0)+IF(AND(F$47&gt;1,F$47&lt;=1+Quesería!$B$46),($T$14+$T$28)*(Quesería!$B$44*$C$828*$C$825)*(1-MAX(0,MIN((F$47-1)-1-Quesería!$B$47,(Quesería!$B$46-Quesería!$B$47)))/(Quesería!$B$46-Quesería!$B$47))*IF(F$47&gt;2,1-Quesería!$B$48,1),0))*F827</f>
        <v>92.4151745225957</v>
      </c>
      <c r="G855" s="29" t="n">
        <f aca="false">(IF(AND(G$47&gt;0,G$47&lt;=0+Quesería!$B$46),($T$14+$T$28)*(Quesería!$B$44*$B$828*$B$825)*(1-MAX(0,MIN((G$47-1)-0-Quesería!$B$47,(Quesería!$B$46-Quesería!$B$47)))/(Quesería!$B$46-Quesería!$B$47))*IF(G$47&gt;2,1-Quesería!$B$48,1),0)+IF(AND(G$47&gt;1,G$47&lt;=1+Quesería!$B$46),($T$14+$T$28)*(Quesería!$B$44*$C$828*$C$825)*(1-MAX(0,MIN((G$47-1)-1-Quesería!$B$47,(Quesería!$B$46-Quesería!$B$47)))/(Quesería!$B$46-Quesería!$B$47))*IF(G$47&gt;2,1-Quesería!$B$48,1),0))*G827</f>
        <v>68.7847039098228</v>
      </c>
      <c r="H855" s="29" t="n">
        <f aca="false">(IF(AND(H$47&gt;0,H$47&lt;=0+Quesería!$B$46),($T$14+$T$28)*(Quesería!$B$44*$B$828*$B$825)*(1-MAX(0,MIN((H$47-1)-0-Quesería!$B$47,(Quesería!$B$46-Quesería!$B$47)))/(Quesería!$B$46-Quesería!$B$47))*IF(H$47&gt;2,1-Quesería!$B$48,1),0)+IF(AND(H$47&gt;1,H$47&lt;=1+Quesería!$B$46),($T$14+$T$28)*(Quesería!$B$44*$C$828*$C$825)*(1-MAX(0,MIN((H$47-1)-1-Quesería!$B$47,(Quesería!$B$46-Quesería!$B$47)))/(Quesería!$B$46-Quesería!$B$47))*IF(H$47&gt;2,1-Quesería!$B$48,1),0))*H827</f>
        <v>46.8352529676735</v>
      </c>
      <c r="I855" s="29" t="n">
        <f aca="false">(IF(AND(I$47&gt;0,I$47&lt;=0+Quesería!$B$46),($T$14+$T$28)*(Quesería!$B$44*$B$828*$B$825)*(1-MAX(0,MIN((I$47-1)-0-Quesería!$B$47,(Quesería!$B$46-Quesería!$B$47)))/(Quesería!$B$46-Quesería!$B$47))*IF(I$47&gt;2,1-Quesería!$B$48,1),0)+IF(AND(I$47&gt;1,I$47&lt;=1+Quesería!$B$46),($T$14+$T$28)*(Quesería!$B$44*$C$828*$C$825)*(1-MAX(0,MIN((I$47-1)-1-Quesería!$B$47,(Quesería!$B$46-Quesería!$B$47)))/(Quesería!$B$46-Quesería!$B$47))*IF(I$47&gt;2,1-Quesería!$B$48,1),0))*I827</f>
        <v>26.4724688081898</v>
      </c>
      <c r="J855" s="29" t="n">
        <f aca="false">(IF(AND(J$47&gt;0,J$47&lt;=0+Quesería!$B$46),($T$14+$T$28)*(Quesería!$B$44*$B$828*$B$825)*(1-MAX(0,MIN((J$47-1)-0-Quesería!$B$47,(Quesería!$B$46-Quesería!$B$47)))/(Quesería!$B$46-Quesería!$B$47))*IF(J$47&gt;2,1-Quesería!$B$48,1),0)+IF(AND(J$47&gt;1,J$47&lt;=1+Quesería!$B$46),($T$14+$T$28)*(Quesería!$B$44*$C$828*$C$825)*(1-MAX(0,MIN((J$47-1)-1-Quesería!$B$47,(Quesería!$B$46-Quesería!$B$47)))/(Quesería!$B$46-Quesería!$B$47))*IF(J$47&gt;2,1-Quesería!$B$48,1),0))*J827</f>
        <v>7.60676974238282</v>
      </c>
      <c r="K855" s="29" t="n">
        <f aca="false">(IF(AND(K$47&gt;0,K$47&lt;=0+Quesería!$B$46),($T$14+$T$28)*(Quesería!$B$44*$B$828*$B$825)*(1-MAX(0,MIN((K$47-1)-0-Quesería!$B$47,(Quesería!$B$46-Quesería!$B$47)))/(Quesería!$B$46-Quesería!$B$47))*IF(K$47&gt;2,1-Quesería!$B$48,1),0)+IF(AND(K$47&gt;1,K$47&lt;=1+Quesería!$B$46),($T$14+$T$28)*(Quesería!$B$44*$C$828*$C$825)*(1-MAX(0,MIN((K$47-1)-1-Quesería!$B$47,(Quesería!$B$46-Quesería!$B$47)))/(Quesería!$B$46-Quesería!$B$47))*IF(K$47&gt;2,1-Quesería!$B$48,1),0))*K827</f>
        <v>0</v>
      </c>
      <c r="L855" s="29" t="n">
        <f aca="false">(IF(AND(L$47&gt;0,L$47&lt;=0+Quesería!$B$46),($T$14+$T$28)*(Quesería!$B$44*$B$828*$B$825)*(1-MAX(0,MIN((L$47-1)-0-Quesería!$B$47,(Quesería!$B$46-Quesería!$B$47)))/(Quesería!$B$46-Quesería!$B$47))*IF(L$47&gt;2,1-Quesería!$B$48,1),0)+IF(AND(L$47&gt;1,L$47&lt;=1+Quesería!$B$46),($T$14+$T$28)*(Quesería!$B$44*$C$828*$C$825)*(1-MAX(0,MIN((L$47-1)-1-Quesería!$B$47,(Quesería!$B$46-Quesería!$B$47)))/(Quesería!$B$46-Quesería!$B$47))*IF(L$47&gt;2,1-Quesería!$B$48,1),0))*L827</f>
        <v>0</v>
      </c>
    </row>
    <row r="856" customFormat="false" ht="15" hidden="true" customHeight="false" outlineLevel="1" collapsed="false">
      <c r="A856" s="6" t="s">
        <v>433</v>
      </c>
      <c r="B856" s="29" t="n">
        <f aca="false">((IF(AND(B$47&gt;0+Quesería!$B$47,B$47&lt;=0+Quesería!$B$46),(Quesería!$B$44*$B$828*$B$825)/(Quesería!$B$46-Quesería!$B$47),0)*IF(B$47&gt;2,1-Quesería!$B$48,1)+IF(B$47=2,Quesería!$B$48*(Quesería!$B$44*$B$828*$B$825)*(1-MAX(0,MIN(2-0-Quesería!$B$47,(Quesería!$B$46-Quesería!$B$47)))/(Quesería!$B$46-Quesería!$B$47)),0))+(IF(AND(B$47&gt;1+Quesería!$B$47,B$47&lt;=1+Quesería!$B$46),(Quesería!$B$44*$C$828*$C$825)/(Quesería!$B$46-Quesería!$B$47),0)*IF(B$47&gt;2,1-Quesería!$B$48,1)+IF(B$47=2,Quesería!$B$48*(Quesería!$B$44*$C$828*$C$825)*(1-MAX(0,MIN(2-1-Quesería!$B$47,(Quesería!$B$46-Quesería!$B$47)))/(Quesería!$B$46-Quesería!$B$47)),0)))*B827</f>
        <v>0</v>
      </c>
      <c r="C856" s="29" t="n">
        <f aca="false">((IF(AND(C$47&gt;0+Quesería!$B$47,C$47&lt;=0+Quesería!$B$46),(Quesería!$B$44*$B$828*$B$825)/(Quesería!$B$46-Quesería!$B$47),0)*IF(C$47&gt;2,1-Quesería!$B$48,1)+IF(C$47=2,Quesería!$B$48*(Quesería!$B$44*$B$828*$B$825)*(1-MAX(0,MIN(2-0-Quesería!$B$47,(Quesería!$B$46-Quesería!$B$47)))/(Quesería!$B$46-Quesería!$B$47)),0))+(IF(AND(C$47&gt;1+Quesería!$B$47,C$47&lt;=1+Quesería!$B$46),(Quesería!$B$44*$C$828*$C$825)/(Quesería!$B$46-Quesería!$B$47),0)*IF(C$47&gt;2,1-Quesería!$B$48,1)+IF(C$47=2,Quesería!$B$48*(Quesería!$B$44*$C$828*$C$825)*(1-MAX(0,MIN(2-1-Quesería!$B$47,(Quesería!$B$46-Quesería!$B$47)))/(Quesería!$B$46-Quesería!$B$47)),0)))*C827</f>
        <v>0</v>
      </c>
      <c r="D856" s="29" t="n">
        <f aca="false">((IF(AND(D$47&gt;0+Quesería!$B$47,D$47&lt;=0+Quesería!$B$46),(Quesería!$B$44*$B$828*$B$825)/(Quesería!$B$46-Quesería!$B$47),0)*IF(D$47&gt;2,1-Quesería!$B$48,1)+IF(D$47=2,Quesería!$B$48*(Quesería!$B$44*$B$828*$B$825)*(1-MAX(0,MIN(2-0-Quesería!$B$47,(Quesería!$B$46-Quesería!$B$47)))/(Quesería!$B$46-Quesería!$B$47)),0))+(IF(AND(D$47&gt;1+Quesería!$B$47,D$47&lt;=1+Quesería!$B$46),(Quesería!$B$44*$C$828*$C$825)/(Quesería!$B$46-Quesería!$B$47),0)*IF(D$47&gt;2,1-Quesería!$B$48,1)+IF(D$47=2,Quesería!$B$48*(Quesería!$B$44*$C$828*$C$825)*(1-MAX(0,MIN(2-1-Quesería!$B$47,(Quesería!$B$46-Quesería!$B$47)))/(Quesería!$B$46-Quesería!$B$47)),0)))*D827</f>
        <v>91.8994692231472</v>
      </c>
      <c r="E856" s="29" t="n">
        <f aca="false">((IF(AND(E$47&gt;0+Quesería!$B$47,E$47&lt;=0+Quesería!$B$46),(Quesería!$B$44*$B$828*$B$825)/(Quesería!$B$46-Quesería!$B$47),0)*IF(E$47&gt;2,1-Quesería!$B$48,1)+IF(E$47=2,Quesería!$B$48*(Quesería!$B$44*$B$828*$B$825)*(1-MAX(0,MIN(2-0-Quesería!$B$47,(Quesería!$B$46-Quesería!$B$47)))/(Quesería!$B$46-Quesería!$B$47)),0))+(IF(AND(E$47&gt;1+Quesería!$B$47,E$47&lt;=1+Quesería!$B$46),(Quesería!$B$44*$C$828*$C$825)/(Quesería!$B$46-Quesería!$B$47),0)*IF(E$47&gt;2,1-Quesería!$B$48,1)+IF(E$47=2,Quesería!$B$48*(Quesería!$B$44*$C$828*$C$825)*(1-MAX(0,MIN(2-1-Quesería!$B$47,(Quesería!$B$46-Quesería!$B$47)))/(Quesería!$B$46-Quesería!$B$47)),0)))*E827</f>
        <v>154.001742940676</v>
      </c>
      <c r="F856" s="29" t="n">
        <f aca="false">((IF(AND(F$47&gt;0+Quesería!$B$47,F$47&lt;=0+Quesería!$B$46),(Quesería!$B$44*$B$828*$B$825)/(Quesería!$B$46-Quesería!$B$47),0)*IF(F$47&gt;2,1-Quesería!$B$48,1)+IF(F$47=2,Quesería!$B$48*(Quesería!$B$44*$B$828*$B$825)*(1-MAX(0,MIN(2-0-Quesería!$B$47,(Quesería!$B$46-Quesería!$B$47)))/(Quesería!$B$46-Quesería!$B$47)),0))+(IF(AND(F$47&gt;1+Quesería!$B$47,F$47&lt;=1+Quesería!$B$46),(Quesería!$B$44*$C$828*$C$825)/(Quesería!$B$46-Quesería!$B$47),0)*IF(F$47&gt;2,1-Quesería!$B$48,1)+IF(F$47=2,Quesería!$B$48*(Quesería!$B$44*$C$828*$C$825)*(1-MAX(0,MIN(2-1-Quesería!$B$47,(Quesería!$B$46-Quesería!$B$47)))/(Quesería!$B$46-Quesería!$B$47)),0)))*F827</f>
        <v>148.078598981419</v>
      </c>
      <c r="G856" s="29" t="n">
        <f aca="false">((IF(AND(G$47&gt;0+Quesería!$B$47,G$47&lt;=0+Quesería!$B$46),(Quesería!$B$44*$B$828*$B$825)/(Quesería!$B$46-Quesería!$B$47),0)*IF(G$47&gt;2,1-Quesería!$B$48,1)+IF(G$47=2,Quesería!$B$48*(Quesería!$B$44*$B$828*$B$825)*(1-MAX(0,MIN(2-0-Quesería!$B$47,(Quesería!$B$46-Quesería!$B$47)))/(Quesería!$B$46-Quesería!$B$47)),0))+(IF(AND(G$47&gt;1+Quesería!$B$47,G$47&lt;=1+Quesería!$B$46),(Quesería!$B$44*$C$828*$C$825)/(Quesería!$B$46-Quesería!$B$47),0)*IF(G$47&gt;2,1-Quesería!$B$48,1)+IF(G$47=2,Quesería!$B$48*(Quesería!$B$44*$C$828*$C$825)*(1-MAX(0,MIN(2-1-Quesería!$B$47,(Quesería!$B$46-Quesería!$B$47)))/(Quesería!$B$46-Quesería!$B$47)),0)))*G827</f>
        <v>142.383268251364</v>
      </c>
      <c r="H856" s="29" t="n">
        <f aca="false">((IF(AND(H$47&gt;0+Quesería!$B$47,H$47&lt;=0+Quesería!$B$46),(Quesería!$B$44*$B$828*$B$825)/(Quesería!$B$46-Quesería!$B$47),0)*IF(H$47&gt;2,1-Quesería!$B$48,1)+IF(H$47=2,Quesería!$B$48*(Quesería!$B$44*$B$828*$B$825)*(1-MAX(0,MIN(2-0-Quesería!$B$47,(Quesería!$B$46-Quesería!$B$47)))/(Quesería!$B$46-Quesería!$B$47)),0))+(IF(AND(H$47&gt;1+Quesería!$B$47,H$47&lt;=1+Quesería!$B$46),(Quesería!$B$44*$C$828*$C$825)/(Quesería!$B$46-Quesería!$B$47),0)*IF(H$47&gt;2,1-Quesería!$B$48,1)+IF(H$47=2,Quesería!$B$48*(Quesería!$B$44*$C$828*$C$825)*(1-MAX(0,MIN(2-1-Quesería!$B$47,(Quesería!$B$46-Quesería!$B$47)))/(Quesería!$B$46-Quesería!$B$47)),0)))*H827</f>
        <v>136.906988703235</v>
      </c>
      <c r="I856" s="29" t="n">
        <f aca="false">((IF(AND(I$47&gt;0+Quesería!$B$47,I$47&lt;=0+Quesería!$B$46),(Quesería!$B$44*$B$828*$B$825)/(Quesería!$B$46-Quesería!$B$47),0)*IF(I$47&gt;2,1-Quesería!$B$48,1)+IF(I$47=2,Quesería!$B$48*(Quesería!$B$44*$B$828*$B$825)*(1-MAX(0,MIN(2-0-Quesería!$B$47,(Quesería!$B$46-Quesería!$B$47)))/(Quesería!$B$46-Quesería!$B$47)),0))+(IF(AND(I$47&gt;1+Quesería!$B$47,I$47&lt;=1+Quesería!$B$46),(Quesería!$B$44*$C$828*$C$825)/(Quesería!$B$46-Quesería!$B$47),0)*IF(I$47&gt;2,1-Quesería!$B$48,1)+IF(I$47=2,Quesería!$B$48*(Quesería!$B$44*$C$828*$C$825)*(1-MAX(0,MIN(2-1-Quesería!$B$47,(Quesería!$B$46-Quesería!$B$47)))/(Quesería!$B$46-Quesería!$B$47)),0)))*I827</f>
        <v>131.641335291572</v>
      </c>
      <c r="J856" s="29" t="n">
        <f aca="false">((IF(AND(J$47&gt;0+Quesería!$B$47,J$47&lt;=0+Quesería!$B$46),(Quesería!$B$44*$B$828*$B$825)/(Quesería!$B$46-Quesería!$B$47),0)*IF(J$47&gt;2,1-Quesería!$B$48,1)+IF(J$47=2,Quesería!$B$48*(Quesería!$B$44*$B$828*$B$825)*(1-MAX(0,MIN(2-0-Quesería!$B$47,(Quesería!$B$46-Quesería!$B$47)))/(Quesería!$B$46-Quesería!$B$47)),0))+(IF(AND(J$47&gt;1+Quesería!$B$47,J$47&lt;=1+Quesería!$B$46),(Quesería!$B$44*$C$828*$C$825)/(Quesería!$B$46-Quesería!$B$47),0)*IF(J$47&gt;2,1-Quesería!$B$48,1)+IF(J$47=2,Quesería!$B$48*(Quesería!$B$44*$C$828*$C$825)*(1-MAX(0,MIN(2-1-Quesería!$B$47,(Quesería!$B$46-Quesería!$B$47)))/(Quesería!$B$46-Quesería!$B$47)),0)))*J827</f>
        <v>53.9487215771831</v>
      </c>
      <c r="K856" s="29" t="n">
        <f aca="false">((IF(AND(K$47&gt;0+Quesería!$B$47,K$47&lt;=0+Quesería!$B$46),(Quesería!$B$44*$B$828*$B$825)/(Quesería!$B$46-Quesería!$B$47),0)*IF(K$47&gt;2,1-Quesería!$B$48,1)+IF(K$47=2,Quesería!$B$48*(Quesería!$B$44*$B$828*$B$825)*(1-MAX(0,MIN(2-0-Quesería!$B$47,(Quesería!$B$46-Quesería!$B$47)))/(Quesería!$B$46-Quesería!$B$47)),0))+(IF(AND(K$47&gt;1+Quesería!$B$47,K$47&lt;=1+Quesería!$B$46),(Quesería!$B$44*$C$828*$C$825)/(Quesería!$B$46-Quesería!$B$47),0)*IF(K$47&gt;2,1-Quesería!$B$48,1)+IF(K$47=2,Quesería!$B$48*(Quesería!$B$44*$C$828*$C$825)*(1-MAX(0,MIN(2-1-Quesería!$B$47,(Quesería!$B$46-Quesería!$B$47)))/(Quesería!$B$46-Quesería!$B$47)),0)))*K827</f>
        <v>0</v>
      </c>
      <c r="L856" s="29" t="n">
        <f aca="false">((IF(AND(L$47&gt;0+Quesería!$B$47,L$47&lt;=0+Quesería!$B$46),(Quesería!$B$44*$B$828*$B$825)/(Quesería!$B$46-Quesería!$B$47),0)*IF(L$47&gt;2,1-Quesería!$B$48,1)+IF(L$47=2,Quesería!$B$48*(Quesería!$B$44*$B$828*$B$825)*(1-MAX(0,MIN(2-0-Quesería!$B$47,(Quesería!$B$46-Quesería!$B$47)))/(Quesería!$B$46-Quesería!$B$47)),0))+(IF(AND(L$47&gt;1+Quesería!$B$47,L$47&lt;=1+Quesería!$B$46),(Quesería!$B$44*$C$828*$C$825)/(Quesería!$B$46-Quesería!$B$47),0)*IF(L$47&gt;2,1-Quesería!$B$48,1)+IF(L$47=2,Quesería!$B$48*(Quesería!$B$44*$C$828*$C$825)*(1-MAX(0,MIN(2-1-Quesería!$B$47,(Quesería!$B$46-Quesería!$B$47)))/(Quesería!$B$46-Quesería!$B$47)),0)))*L827</f>
        <v>0</v>
      </c>
    </row>
    <row r="857" customFormat="false" ht="15" hidden="true" customHeight="false" outlineLevel="1" collapsed="false">
      <c r="A857" s="6" t="s">
        <v>434</v>
      </c>
      <c r="B857" s="29" t="n">
        <f aca="false">$T$13*Quesería!$B$51*(1+0.19)*B853*B827+(1-$T$13)*IF(B$47=0,Quesería!$B$50,0)</f>
        <v>4</v>
      </c>
      <c r="C857" s="29" t="n">
        <f aca="false">$T$13*Quesería!$B$51*(1+0.19)*C853*C827+(1-$T$13)*IF(C$47=0,Quesería!$B$50,0)</f>
        <v>0</v>
      </c>
      <c r="D857" s="29" t="n">
        <f aca="false">$T$13*Quesería!$B$51*(1+0.19)*D853*D827+(1-$T$13)*IF(D$47=0,Quesería!$B$50,0)</f>
        <v>0</v>
      </c>
      <c r="E857" s="29" t="n">
        <f aca="false">$T$13*Quesería!$B$51*(1+0.19)*E853*E827+(1-$T$13)*IF(E$47=0,Quesería!$B$50,0)</f>
        <v>0</v>
      </c>
      <c r="F857" s="29" t="n">
        <f aca="false">$T$13*Quesería!$B$51*(1+0.19)*F853*F827+(1-$T$13)*IF(F$47=0,Quesería!$B$50,0)</f>
        <v>0</v>
      </c>
      <c r="G857" s="29" t="n">
        <f aca="false">$T$13*Quesería!$B$51*(1+0.19)*G853*G827+(1-$T$13)*IF(G$47=0,Quesería!$B$50,0)</f>
        <v>0</v>
      </c>
      <c r="H857" s="29" t="n">
        <f aca="false">$T$13*Quesería!$B$51*(1+0.19)*H853*H827+(1-$T$13)*IF(H$47=0,Quesería!$B$50,0)</f>
        <v>0</v>
      </c>
      <c r="I857" s="29" t="n">
        <f aca="false">$T$13*Quesería!$B$51*(1+0.19)*I853*I827+(1-$T$13)*IF(I$47=0,Quesería!$B$50,0)</f>
        <v>0</v>
      </c>
      <c r="J857" s="29" t="n">
        <f aca="false">$T$13*Quesería!$B$51*(1+0.19)*J853*J827+(1-$T$13)*IF(J$47=0,Quesería!$B$50,0)</f>
        <v>0</v>
      </c>
      <c r="K857" s="29" t="n">
        <f aca="false">$T$13*Quesería!$B$51*(1+0.19)*K853*K827+(1-$T$13)*IF(K$47=0,Quesería!$B$50,0)</f>
        <v>0</v>
      </c>
      <c r="L857" s="29" t="n">
        <f aca="false">$T$13*Quesería!$B$51*(1+0.19)*L853*L827+(1-$T$13)*IF(L$47=0,Quesería!$B$50,0)</f>
        <v>0</v>
      </c>
    </row>
    <row r="858" customFormat="false" ht="15" hidden="true" customHeight="false" outlineLevel="1" collapsed="false">
      <c r="A858" s="6" t="s">
        <v>435</v>
      </c>
      <c r="B858" s="29" t="n">
        <f aca="false">Quesería!$B$52*(B855+B856+B857)</f>
        <v>0.016</v>
      </c>
      <c r="C858" s="29" t="n">
        <f aca="false">Quesería!$B$52*(C855+C856+C857)</f>
        <v>0.324982255024431</v>
      </c>
      <c r="D858" s="29" t="n">
        <f aca="false">Quesería!$B$52*(D855+D856+D857)</f>
        <v>0.909585450928285</v>
      </c>
      <c r="E858" s="29" t="n">
        <f aca="false">Quesería!$B$52*(E855+E856+E857)</f>
        <v>1.08731108079524</v>
      </c>
      <c r="F858" s="29" t="n">
        <f aca="false">Quesería!$B$52*(F855+F856+F857)</f>
        <v>0.961975094016058</v>
      </c>
      <c r="G858" s="29" t="n">
        <f aca="false">Quesería!$B$52*(G855+G856+G857)</f>
        <v>0.844671888644748</v>
      </c>
      <c r="H858" s="29" t="n">
        <f aca="false">Quesería!$B$52*(H855+H856+H857)</f>
        <v>0.734968966683633</v>
      </c>
      <c r="I858" s="29" t="n">
        <f aca="false">Quesería!$B$52*(I855+I856+I857)</f>
        <v>0.632455216399047</v>
      </c>
      <c r="J858" s="29" t="n">
        <f aca="false">Quesería!$B$52*(J855+J856+J857)</f>
        <v>0.246221965278264</v>
      </c>
      <c r="K858" s="29" t="n">
        <f aca="false">Quesería!$B$52*(K855+K856+K857)</f>
        <v>0</v>
      </c>
      <c r="L858" s="29" t="n">
        <f aca="false">Quesería!$B$52*(L855+L856+L857)</f>
        <v>0</v>
      </c>
    </row>
    <row r="859" customFormat="false" ht="15" hidden="true" customHeight="false" outlineLevel="1" collapsed="false">
      <c r="A859" s="6" t="s">
        <v>436</v>
      </c>
      <c r="B859" s="29" t="n">
        <f aca="false">$T$17*(B855+B857+0.5*B858)</f>
        <v>1.4028</v>
      </c>
      <c r="C859" s="29" t="n">
        <f aca="false">$T$17*(C855+C857+0.5*C858)</f>
        <v>28.492819209267</v>
      </c>
      <c r="D859" s="29" t="n">
        <f aca="false">$T$17*(D855+D857+0.5*D858)</f>
        <v>47.5830901820358</v>
      </c>
      <c r="E859" s="29" t="n">
        <f aca="false">$T$17*(E855+E857+0.5*E858)</f>
        <v>41.4293889794864</v>
      </c>
      <c r="F859" s="29" t="n">
        <f aca="false">$T$17*(F855+F857+0.5*F858)</f>
        <v>32.5136567243613</v>
      </c>
      <c r="G859" s="29" t="n">
        <f aca="false">$T$17*(G855+G857+0.5*G858)</f>
        <v>24.2224639489508</v>
      </c>
      <c r="H859" s="29" t="n">
        <f aca="false">$T$17*(H855+H857+0.5*H858)</f>
        <v>16.5209581078554</v>
      </c>
      <c r="I859" s="29" t="n">
        <f aca="false">$T$17*(I855+I857+0.5*I858)</f>
        <v>9.37604374573625</v>
      </c>
      <c r="J859" s="29" t="n">
        <f aca="false">$T$17*(J855+J857+0.5*J858)</f>
        <v>2.70545825375768</v>
      </c>
      <c r="K859" s="29" t="n">
        <f aca="false">$T$17*(K855+K857+0.5*K858)</f>
        <v>0</v>
      </c>
      <c r="L859" s="29" t="n">
        <f aca="false">$T$17*(L855+L857+0.5*L858)</f>
        <v>0</v>
      </c>
    </row>
    <row r="860" customFormat="false" ht="15" hidden="true" customHeight="false" outlineLevel="1" collapsed="false">
      <c r="A860" s="5" t="s">
        <v>437</v>
      </c>
      <c r="B860" s="59" t="n">
        <f aca="false">B845+B854-B855-B856-B857-B858+B859</f>
        <v>-358.744924503166</v>
      </c>
      <c r="C860" s="59" t="n">
        <f aca="false">C845+C854-C855-C856-C857-C858+C859</f>
        <v>-163.586575362089</v>
      </c>
      <c r="D860" s="59" t="n">
        <f aca="false">D845+D854-D855-D856-D857-D858+D859</f>
        <v>142.03096431051</v>
      </c>
      <c r="E860" s="59" t="n">
        <f aca="false">E845+E854-E855-E856-E857-E858+E859</f>
        <v>92.3042386536525</v>
      </c>
      <c r="F860" s="59" t="n">
        <f aca="false">F845+F854-F855-F856-F857-F858+F859</f>
        <v>151.409120977721</v>
      </c>
      <c r="G860" s="59" t="n">
        <f aca="false">G845+G854-G855-G856-G857-G858+G859</f>
        <v>138.207567657521</v>
      </c>
      <c r="H860" s="59" t="n">
        <f aca="false">H845+H854-H855-H856-H857-H858+H859</f>
        <v>136.515715739571</v>
      </c>
      <c r="I860" s="59" t="n">
        <f aca="false">I845+I854-I855-I856-I857-I858+I859</f>
        <v>215.734211286554</v>
      </c>
      <c r="J860" s="59" t="n">
        <f aca="false">J845+J854-J855-J856-J857-J858+J859</f>
        <v>296.140841229455</v>
      </c>
      <c r="K860" s="59" t="n">
        <f aca="false">K845+K854-K855-K856-K857-K858+K859</f>
        <v>353.907172214543</v>
      </c>
      <c r="L860" s="59" t="n">
        <f aca="false">L845+L854-L855-L856-L857-L858+L859</f>
        <v>583.303882844304</v>
      </c>
    </row>
    <row r="861" customFormat="false" ht="15" hidden="true" customHeight="false" outlineLevel="1" collapsed="false">
      <c r="A861" s="9" t="s">
        <v>438</v>
      </c>
      <c r="B861" s="58" t="n">
        <f aca="false">B860*B825</f>
        <v>-380.269619973356</v>
      </c>
      <c r="C861" s="58" t="n">
        <f aca="false">C860*C825</f>
        <v>-182.071858378005</v>
      </c>
      <c r="D861" s="58" t="n">
        <f aca="false">D860*D825</f>
        <v>165.19408412509</v>
      </c>
      <c r="E861" s="58" t="n">
        <f aca="false">E860*E825</f>
        <v>111.651982431063</v>
      </c>
      <c r="F861" s="58" t="n">
        <f aca="false">F860*F825</f>
        <v>190.471574354119</v>
      </c>
      <c r="G861" s="58" t="n">
        <f aca="false">G860*G825</f>
        <v>180.818680820326</v>
      </c>
      <c r="H861" s="58" t="n">
        <f aca="false">H860*H825</f>
        <v>185.749418296239</v>
      </c>
      <c r="I861" s="58" t="n">
        <f aca="false">I860*I825</f>
        <v>305.279170221706</v>
      </c>
      <c r="J861" s="58" t="n">
        <f aca="false">J860*J825</f>
        <v>435.82264922076</v>
      </c>
      <c r="K861" s="58" t="n">
        <f aca="false">K860*K825</f>
        <v>541.669265075775</v>
      </c>
      <c r="L861" s="58" t="n">
        <f aca="false">L860*L825</f>
        <v>928.481033321263</v>
      </c>
    </row>
    <row r="862" customFormat="false" ht="15" hidden="true" customHeight="false" outlineLevel="1" collapsed="false">
      <c r="A862" s="9" t="s">
        <v>439</v>
      </c>
      <c r="B862" s="57" t="n">
        <f aca="false">(B825/$B$825)/(1+Quesería!$B$11+$T$28)^B$47</f>
        <v>1</v>
      </c>
      <c r="C862" s="57" t="n">
        <f aca="false">(C825/$B$825)/(1+Quesería!$B$11+$T$28)^C$47</f>
        <v>0.84</v>
      </c>
      <c r="D862" s="57" t="n">
        <f aca="false">(D825/$B$825)/(1+Quesería!$B$11+$T$28)^D$47</f>
        <v>0.70224</v>
      </c>
      <c r="E862" s="57" t="n">
        <f aca="false">(E825/$B$825)/(1+Quesería!$B$11+$T$28)^E$47</f>
        <v>0.58426368</v>
      </c>
      <c r="F862" s="57" t="n">
        <f aca="false">(F825/$B$825)/(1+Quesería!$B$11+$T$28)^F$47</f>
        <v>0.48610738176</v>
      </c>
      <c r="G862" s="57" t="n">
        <f aca="false">(G825/$B$825)/(1+Quesería!$B$11+$T$28)^G$47</f>
        <v>0.40444134162432</v>
      </c>
      <c r="H862" s="57" t="n">
        <f aca="false">(H825/$B$825)/(1+Quesería!$B$11+$T$28)^H$47</f>
        <v>0.336495196231434</v>
      </c>
      <c r="I862" s="57" t="n">
        <f aca="false">(I825/$B$825)/(1+Quesería!$B$11+$T$28)^I$47</f>
        <v>0.279964003264553</v>
      </c>
      <c r="J862" s="57" t="n">
        <f aca="false">(J825/$B$825)/(1+Quesería!$B$11+$T$28)^J$47</f>
        <v>0.232930050716108</v>
      </c>
      <c r="K862" s="57" t="n">
        <f aca="false">(K825/$B$825)/(1+Quesería!$B$11+$T$28)^K$47</f>
        <v>0.193797802195802</v>
      </c>
      <c r="L862" s="57" t="n">
        <f aca="false">(L825/$B$825)/(1+Quesería!$B$11+$T$28)^L$47</f>
        <v>0.161239771426907</v>
      </c>
    </row>
    <row r="863" customFormat="false" ht="15" hidden="true" customHeight="false" outlineLevel="1" collapsed="false">
      <c r="A863" s="9" t="s">
        <v>440</v>
      </c>
      <c r="B863" s="58" t="n">
        <f aca="false">B845+B828+B830+B859</f>
        <v>120.166830858099</v>
      </c>
      <c r="C863" s="58" t="n">
        <f aca="false">C845+C828+C830+C859</f>
        <v>273.557266653273</v>
      </c>
      <c r="D863" s="58" t="n">
        <f aca="false">D845+D828+D830+D859</f>
        <v>370.336912493509</v>
      </c>
      <c r="E863" s="58" t="n">
        <f aca="false">E845+E828+E830+E859</f>
        <v>365.219319933258</v>
      </c>
      <c r="F863" s="58" t="n">
        <f aca="false">F845+F828+F830+F859</f>
        <v>392.864869575752</v>
      </c>
      <c r="G863" s="58" t="n">
        <f aca="false">G845+G828+G830+G859</f>
        <v>355.438602988439</v>
      </c>
      <c r="H863" s="58" t="n">
        <f aca="false">H845+H828+H830+H859</f>
        <v>329.806865962244</v>
      </c>
      <c r="I863" s="58" t="n">
        <f aca="false">I845+I828+I830+I859</f>
        <v>374.480470602715</v>
      </c>
      <c r="J863" s="58" t="n">
        <f aca="false">J845+J828+J830+J859</f>
        <v>357.942554514299</v>
      </c>
      <c r="K863" s="58" t="n">
        <f aca="false">K845+K828+K830+K859</f>
        <v>353.907172214543</v>
      </c>
      <c r="L863" s="58" t="n">
        <f aca="false">L845+L828+L830+L859</f>
        <v>583.303882844304</v>
      </c>
    </row>
    <row r="864" customFormat="false" ht="15" hidden="true" customHeight="false" outlineLevel="1" collapsed="false">
      <c r="A864" s="5" t="s">
        <v>149</v>
      </c>
      <c r="B864" s="12" t="str">
        <f aca="false">IF(AND(B$47&gt;=1,(B855+B856+B857)&gt;0.001),B863/(B855+B856+B857),"")</f>
        <v/>
      </c>
      <c r="C864" s="12" t="n">
        <f aca="false">IF(AND(C$47&gt;=1,(C855+C856+C857)&gt;0.001),C863/(C855+C856+C857),"")</f>
        <v>3.36704250676958</v>
      </c>
      <c r="D864" s="12" t="n">
        <f aca="false">IF(AND(D$47&gt;=1,(D855+D856+D857)&gt;0.001),D863/(D855+D856+D857),"")</f>
        <v>1.6285964649745</v>
      </c>
      <c r="E864" s="12" t="n">
        <f aca="false">IF(AND(E$47&gt;=1,(E855+E856+E857)&gt;0.001),E863/(E855+E856+E857),"")</f>
        <v>1.34356883281698</v>
      </c>
      <c r="F864" s="12" t="n">
        <f aca="false">IF(AND(F$47&gt;=1,(F855+F856+F857)&gt;0.001),F863/(F855+F856+F857),"")</f>
        <v>1.63357605418085</v>
      </c>
      <c r="G864" s="12" t="n">
        <f aca="false">IF(AND(G$47&gt;=1,(G855+G856+G857)&gt;0.001),G863/(G855+G856+G857),"")</f>
        <v>1.68320318346917</v>
      </c>
      <c r="H864" s="12" t="n">
        <f aca="false">IF(AND(H$47&gt;=1,(H855+H856+H857)&gt;0.001),H863/(H855+H856+H857),"")</f>
        <v>1.79494308419805</v>
      </c>
      <c r="I864" s="12" t="n">
        <f aca="false">IF(AND(I$47&gt;=1,(I855+I856+I857)&gt;0.001),I863/(I855+I856+I857),"")</f>
        <v>2.36842363470325</v>
      </c>
      <c r="J864" s="12" t="n">
        <f aca="false">IF(AND(J$47&gt;=1,(J855+J856+J857)&gt;0.001),J863/(J855+J856+J857),"")</f>
        <v>5.81495731479158</v>
      </c>
      <c r="K864" s="12" t="str">
        <f aca="false">IF(AND(K$47&gt;=1,(K855+K856+K857)&gt;0.001),K863/(K855+K856+K857),"")</f>
        <v/>
      </c>
      <c r="L864" s="12" t="str">
        <f aca="false">IF(AND(L$47&gt;=1,(L855+L856+L857)&gt;0.001),L863/(L855+L856+L857),"")</f>
        <v/>
      </c>
    </row>
    <row r="866" customFormat="false" ht="15" hidden="false" customHeight="false" outlineLevel="0" collapsed="false">
      <c r="A866" s="43" t="s">
        <v>1255</v>
      </c>
      <c r="B866" s="44"/>
      <c r="C866" s="44"/>
      <c r="D866" s="44"/>
      <c r="E866" s="44"/>
      <c r="F866" s="44"/>
      <c r="G866" s="44"/>
      <c r="H866" s="44"/>
      <c r="I866" s="44"/>
      <c r="J866" s="44"/>
      <c r="K866" s="44"/>
      <c r="L866" s="44"/>
    </row>
    <row r="867" customFormat="false" ht="15" hidden="true" customHeight="false" outlineLevel="1" collapsed="false">
      <c r="A867" s="9" t="s">
        <v>406</v>
      </c>
      <c r="B867" s="56" t="n">
        <f aca="false">CHOOSE($U$15,Entorno!B$7,Entorno!B$8,Entorno!B$9)</f>
        <v>0.06</v>
      </c>
      <c r="C867" s="56" t="n">
        <f aca="false">CHOOSE($U$15,Entorno!C$7,Entorno!C$8,Entorno!C$9)</f>
        <v>0.05</v>
      </c>
      <c r="D867" s="56" t="n">
        <f aca="false">CHOOSE($U$15,Entorno!D$7,Entorno!D$8,Entorno!D$9)</f>
        <v>0.045</v>
      </c>
      <c r="E867" s="56" t="n">
        <f aca="false">CHOOSE($U$15,Entorno!E$7,Entorno!E$8,Entorno!E$9)</f>
        <v>0.04</v>
      </c>
      <c r="F867" s="56" t="n">
        <f aca="false">CHOOSE($U$15,Entorno!F$7,Entorno!F$8,Entorno!F$9)</f>
        <v>0.04</v>
      </c>
      <c r="G867" s="56" t="n">
        <f aca="false">CHOOSE($U$15,Entorno!G$7,Entorno!G$8,Entorno!G$9)</f>
        <v>0.04</v>
      </c>
      <c r="H867" s="56" t="n">
        <f aca="false">CHOOSE($U$15,Entorno!H$7,Entorno!H$8,Entorno!H$9)</f>
        <v>0.04</v>
      </c>
      <c r="I867" s="56" t="n">
        <f aca="false">CHOOSE($U$15,Entorno!I$7,Entorno!I$8,Entorno!I$9)</f>
        <v>0.04</v>
      </c>
      <c r="J867" s="56" t="n">
        <f aca="false">CHOOSE($U$15,Entorno!J$7,Entorno!J$8,Entorno!J$9)</f>
        <v>0.04</v>
      </c>
      <c r="K867" s="56" t="n">
        <f aca="false">CHOOSE($U$15,Entorno!K$7,Entorno!K$8,Entorno!K$9)</f>
        <v>0.04</v>
      </c>
      <c r="L867" s="56" t="n">
        <f aca="false">CHOOSE($U$15,Entorno!L$7,Entorno!L$8,Entorno!L$9)</f>
        <v>0.04</v>
      </c>
    </row>
    <row r="868" customFormat="false" ht="15" hidden="true" customHeight="false" outlineLevel="1" collapsed="false">
      <c r="A868" s="9" t="s">
        <v>407</v>
      </c>
      <c r="B868" s="57" t="n">
        <f aca="false">1+B867</f>
        <v>1.06</v>
      </c>
      <c r="C868" s="57" t="n">
        <f aca="false">B868*(1+C867)</f>
        <v>1.113</v>
      </c>
      <c r="D868" s="57" t="n">
        <f aca="false">C868*(1+D867)</f>
        <v>1.163085</v>
      </c>
      <c r="E868" s="57" t="n">
        <f aca="false">D868*(1+E867)</f>
        <v>1.2096084</v>
      </c>
      <c r="F868" s="57" t="n">
        <f aca="false">E868*(1+F867)</f>
        <v>1.257992736</v>
      </c>
      <c r="G868" s="57" t="n">
        <f aca="false">F868*(1+G867)</f>
        <v>1.30831244544</v>
      </c>
      <c r="H868" s="57" t="n">
        <f aca="false">G868*(1+H867)</f>
        <v>1.3606449432576</v>
      </c>
      <c r="I868" s="57" t="n">
        <f aca="false">H868*(1+I867)</f>
        <v>1.4150707409879</v>
      </c>
      <c r="J868" s="57" t="n">
        <f aca="false">I868*(1+J867)</f>
        <v>1.47167357062742</v>
      </c>
      <c r="K868" s="57" t="n">
        <f aca="false">J868*(1+K867)</f>
        <v>1.53054051345252</v>
      </c>
      <c r="L868" s="57" t="n">
        <f aca="false">K868*(1+L867)</f>
        <v>1.59176213399062</v>
      </c>
    </row>
    <row r="869" customFormat="false" ht="15" hidden="true" customHeight="false" outlineLevel="1" collapsed="false">
      <c r="A869" s="9" t="s">
        <v>408</v>
      </c>
      <c r="B869" s="57" t="n">
        <f aca="false">(1+$U$16)/(1+B867)</f>
        <v>1.02358490566038</v>
      </c>
      <c r="C869" s="57" t="n">
        <f aca="false">B869*(1+Entorno!$B$13)</f>
        <v>1.02870283018868</v>
      </c>
      <c r="D869" s="57" t="n">
        <f aca="false">C869*(1+Entorno!$B$13)</f>
        <v>1.03384634433962</v>
      </c>
      <c r="E869" s="57" t="n">
        <f aca="false">D869*(1+Entorno!$B$13)</f>
        <v>1.03901557606132</v>
      </c>
      <c r="F869" s="57" t="n">
        <f aca="false">E869*(1+Entorno!$B$13)</f>
        <v>1.04421065394163</v>
      </c>
      <c r="G869" s="57" t="n">
        <f aca="false">F869*(1+Entorno!$B$13)</f>
        <v>1.04943170721133</v>
      </c>
      <c r="H869" s="57" t="n">
        <f aca="false">G869*(1+Entorno!$B$13)</f>
        <v>1.05467886574739</v>
      </c>
      <c r="I869" s="57" t="n">
        <f aca="false">H869*(1+Entorno!$B$13)</f>
        <v>1.05995226007613</v>
      </c>
      <c r="J869" s="57" t="n">
        <f aca="false">I869*(1+Entorno!$B$13)</f>
        <v>1.06525202137651</v>
      </c>
      <c r="K869" s="57" t="n">
        <f aca="false">J869*(1+Entorno!$B$13)</f>
        <v>1.07057828148339</v>
      </c>
      <c r="L869" s="57" t="n">
        <f aca="false">K869*(1+Entorno!$B$13)</f>
        <v>1.07593117289081</v>
      </c>
    </row>
    <row r="870" customFormat="false" ht="15" hidden="true" customHeight="false" outlineLevel="1" collapsed="false">
      <c r="A870" s="9" t="s">
        <v>409</v>
      </c>
      <c r="B870" s="57" t="n">
        <f aca="false">1/B868</f>
        <v>0.943396226415094</v>
      </c>
      <c r="C870" s="57" t="n">
        <f aca="false">1/C868</f>
        <v>0.898472596585804</v>
      </c>
      <c r="D870" s="57" t="n">
        <f aca="false">1/D868</f>
        <v>0.859782389077324</v>
      </c>
      <c r="E870" s="57" t="n">
        <f aca="false">1/E868</f>
        <v>0.826713835651273</v>
      </c>
      <c r="F870" s="57" t="n">
        <f aca="false">1/F868</f>
        <v>0.794917149664686</v>
      </c>
      <c r="G870" s="57" t="n">
        <f aca="false">1/G868</f>
        <v>0.764343413139121</v>
      </c>
      <c r="H870" s="57" t="n">
        <f aca="false">1/H868</f>
        <v>0.734945589556847</v>
      </c>
      <c r="I870" s="57" t="n">
        <f aca="false">1/I868</f>
        <v>0.706678451496968</v>
      </c>
      <c r="J870" s="57" t="n">
        <f aca="false">1/J868</f>
        <v>0.679498511054777</v>
      </c>
      <c r="K870" s="57" t="n">
        <f aca="false">1/K868</f>
        <v>0.653363952937286</v>
      </c>
      <c r="L870" s="57" t="n">
        <f aca="false">1/L868</f>
        <v>0.628234570132006</v>
      </c>
    </row>
    <row r="871" customFormat="false" ht="15" hidden="true" customHeight="false" outlineLevel="1" collapsed="false">
      <c r="A871" s="6" t="s">
        <v>323</v>
      </c>
      <c r="B871" s="29" t="n">
        <f aca="false">IF(B$47=0,Quesería!$F$92,IF(B$47=1,(Quesería!$F$93-(-$U$26)*Quesería!$D$86*(1+Quesería!$I$86))*$U$21,0))*$U$11</f>
        <v>930.800239431677</v>
      </c>
      <c r="C871" s="29" t="n">
        <f aca="false">IF(C$47=0,Quesería!$F$92,IF(C$47=1,(Quesería!$F$93-(-$U$26)*Quesería!$D$86*(1+Quesería!$I$86))*$U$21,0))*$U$11</f>
        <v>658.469066674498</v>
      </c>
      <c r="D871" s="29" t="n">
        <f aca="false">IF(D$47=0,Quesería!$F$92,IF(D$47=1,(Quesería!$F$93-(-$U$26)*Quesería!$D$86*(1+Quesería!$I$86))*$U$21,0))*$U$11</f>
        <v>0</v>
      </c>
      <c r="E871" s="29" t="n">
        <f aca="false">IF(E$47=0,Quesería!$F$92,IF(E$47=1,(Quesería!$F$93-(-$U$26)*Quesería!$D$86*(1+Quesería!$I$86))*$U$21,0))*$U$11</f>
        <v>0</v>
      </c>
      <c r="F871" s="29" t="n">
        <f aca="false">IF(F$47=0,Quesería!$F$92,IF(F$47=1,(Quesería!$F$93-(-$U$26)*Quesería!$D$86*(1+Quesería!$I$86))*$U$21,0))*$U$11</f>
        <v>0</v>
      </c>
      <c r="G871" s="29" t="n">
        <f aca="false">IF(G$47=0,Quesería!$F$92,IF(G$47=1,(Quesería!$F$93-(-$U$26)*Quesería!$D$86*(1+Quesería!$I$86))*$U$21,0))*$U$11</f>
        <v>0</v>
      </c>
      <c r="H871" s="29" t="n">
        <f aca="false">IF(H$47=0,Quesería!$F$92,IF(H$47=1,(Quesería!$F$93-(-$U$26)*Quesería!$D$86*(1+Quesería!$I$86))*$U$21,0))*$U$11</f>
        <v>0</v>
      </c>
      <c r="I871" s="29" t="n">
        <f aca="false">IF(I$47=0,Quesería!$F$92,IF(I$47=1,(Quesería!$F$93-(-$U$26)*Quesería!$D$86*(1+Quesería!$I$86))*$U$21,0))*$U$11</f>
        <v>0</v>
      </c>
      <c r="J871" s="29" t="n">
        <f aca="false">IF(J$47=0,Quesería!$F$92,IF(J$47=1,(Quesería!$F$93-(-$U$26)*Quesería!$D$86*(1+Quesería!$I$86))*$U$21,0))*$U$11</f>
        <v>0</v>
      </c>
      <c r="K871" s="29" t="n">
        <f aca="false">IF(K$47=0,Quesería!$F$92,IF(K$47=1,(Quesería!$F$93-(-$U$26)*Quesería!$D$86*(1+Quesería!$I$86))*$U$21,0))*$U$11</f>
        <v>0</v>
      </c>
      <c r="L871" s="29" t="n">
        <f aca="false">IF(L$47=0,Quesería!$F$92,IF(L$47=1,(Quesería!$F$93-(-$U$26)*Quesería!$D$86*(1+Quesería!$I$86))*$U$21,0))*$U$11</f>
        <v>0</v>
      </c>
    </row>
    <row r="872" customFormat="false" ht="15" hidden="true" customHeight="false" outlineLevel="1" collapsed="false">
      <c r="A872" s="6" t="s">
        <v>410</v>
      </c>
      <c r="B872" s="29" t="n">
        <f aca="false">IF(B$47=5,Quesería!$F$99,IF(B$47=6,Quesería!$F$100,0))*$U$11</f>
        <v>0</v>
      </c>
      <c r="C872" s="29" t="n">
        <f aca="false">IF(C$47=5,Quesería!$F$99,IF(C$47=6,Quesería!$F$100,0))*$U$11</f>
        <v>0</v>
      </c>
      <c r="D872" s="29" t="n">
        <f aca="false">IF(D$47=5,Quesería!$F$99,IF(D$47=6,Quesería!$F$100,0))*$U$11</f>
        <v>0</v>
      </c>
      <c r="E872" s="29" t="n">
        <f aca="false">IF(E$47=5,Quesería!$F$99,IF(E$47=6,Quesería!$F$100,0))*$U$11</f>
        <v>0</v>
      </c>
      <c r="F872" s="29" t="n">
        <f aca="false">IF(F$47=5,Quesería!$F$99,IF(F$47=6,Quesería!$F$100,0))*$U$11</f>
        <v>0</v>
      </c>
      <c r="G872" s="29" t="n">
        <f aca="false">IF(G$47=5,Quesería!$F$99,IF(G$47=6,Quesería!$F$100,0))*$U$11</f>
        <v>27.4652172688735</v>
      </c>
      <c r="H872" s="29" t="n">
        <f aca="false">IF(H$47=5,Quesería!$F$99,IF(H$47=6,Quesería!$F$100,0))*$U$11</f>
        <v>46.3891557109552</v>
      </c>
      <c r="I872" s="29" t="n">
        <f aca="false">IF(I$47=5,Quesería!$F$99,IF(I$47=6,Quesería!$F$100,0))*$U$11</f>
        <v>0</v>
      </c>
      <c r="J872" s="29" t="n">
        <f aca="false">IF(J$47=5,Quesería!$F$99,IF(J$47=6,Quesería!$F$100,0))*$U$11</f>
        <v>0</v>
      </c>
      <c r="K872" s="29" t="n">
        <f aca="false">IF(K$47=5,Quesería!$F$99,IF(K$47=6,Quesería!$F$100,0))*$U$11</f>
        <v>0</v>
      </c>
      <c r="L872" s="29" t="n">
        <f aca="false">IF(L$47=5,Quesería!$F$99,IF(L$47=6,Quesería!$F$100,0))*$U$11</f>
        <v>0</v>
      </c>
    </row>
    <row r="873" customFormat="false" ht="15" hidden="true" customHeight="false" outlineLevel="1" collapsed="false">
      <c r="A873" s="6" t="s">
        <v>411</v>
      </c>
      <c r="B873" s="29" t="n">
        <f aca="false">Quesería!$B$55*(IF(B$47=0,SUMPRODUCT((Quesería!$C$70:$C$89=0)*(Quesería!$H$70:$H$89&gt;0)*(Quesería!$J$70:$J$89&gt;0)*Quesería!$F$70:$F$89*(1+Quesería!$I$70:$I$89)),IF(B$47=1,(SUMPRODUCT((Quesería!$C$70:$C$89=1)*(Quesería!$H$70:$H$89&gt;0)*(Quesería!$J$70:$J$89&gt;0)*Quesería!$F$70:$F$89*(1+Quesería!$I$70:$I$89))-(-$U$26)*Quesería!$D$86*(1+Quesería!$I$86))*$U$21,0))*$U$11+B872)</f>
        <v>149.115671560178</v>
      </c>
      <c r="C873" s="29" t="n">
        <f aca="false">Quesería!$B$55*(IF(C$47=0,SUMPRODUCT((Quesería!$C$70:$C$89=0)*(Quesería!$H$70:$H$89&gt;0)*(Quesería!$J$70:$J$89&gt;0)*Quesería!$F$70:$F$89*(1+Quesería!$I$70:$I$89)),IF(C$47=1,(SUMPRODUCT((Quesería!$C$70:$C$89=1)*(Quesería!$H$70:$H$89&gt;0)*(Quesería!$J$70:$J$89&gt;0)*Quesería!$F$70:$F$89*(1+Quesería!$I$70:$I$89))-(-$U$26)*Quesería!$D$86*(1+Quesería!$I$86))*$U$21,0))*$U$11+C872)</f>
        <v>125.109122668155</v>
      </c>
      <c r="D873" s="29" t="n">
        <f aca="false">Quesería!$B$55*(IF(D$47=0,SUMPRODUCT((Quesería!$C$70:$C$89=0)*(Quesería!$H$70:$H$89&gt;0)*(Quesería!$J$70:$J$89&gt;0)*Quesería!$F$70:$F$89*(1+Quesería!$I$70:$I$89)),IF(D$47=1,(SUMPRODUCT((Quesería!$C$70:$C$89=1)*(Quesería!$H$70:$H$89&gt;0)*(Quesería!$J$70:$J$89&gt;0)*Quesería!$F$70:$F$89*(1+Quesería!$I$70:$I$89))-(-$U$26)*Quesería!$D$86*(1+Quesería!$I$86))*$U$21,0))*$U$11+D872)</f>
        <v>0</v>
      </c>
      <c r="E873" s="29" t="n">
        <f aca="false">Quesería!$B$55*(IF(E$47=0,SUMPRODUCT((Quesería!$C$70:$C$89=0)*(Quesería!$H$70:$H$89&gt;0)*(Quesería!$J$70:$J$89&gt;0)*Quesería!$F$70:$F$89*(1+Quesería!$I$70:$I$89)),IF(E$47=1,(SUMPRODUCT((Quesería!$C$70:$C$89=1)*(Quesería!$H$70:$H$89&gt;0)*(Quesería!$J$70:$J$89&gt;0)*Quesería!$F$70:$F$89*(1+Quesería!$I$70:$I$89))-(-$U$26)*Quesería!$D$86*(1+Quesería!$I$86))*$U$21,0))*$U$11+E872)</f>
        <v>0</v>
      </c>
      <c r="F873" s="29" t="n">
        <f aca="false">Quesería!$B$55*(IF(F$47=0,SUMPRODUCT((Quesería!$C$70:$C$89=0)*(Quesería!$H$70:$H$89&gt;0)*(Quesería!$J$70:$J$89&gt;0)*Quesería!$F$70:$F$89*(1+Quesería!$I$70:$I$89)),IF(F$47=1,(SUMPRODUCT((Quesería!$C$70:$C$89=1)*(Quesería!$H$70:$H$89&gt;0)*(Quesería!$J$70:$J$89&gt;0)*Quesería!$F$70:$F$89*(1+Quesería!$I$70:$I$89))-(-$U$26)*Quesería!$D$86*(1+Quesería!$I$86))*$U$21,0))*$U$11+F872)</f>
        <v>0</v>
      </c>
      <c r="G873" s="29" t="n">
        <f aca="false">Quesería!$B$55*(IF(G$47=0,SUMPRODUCT((Quesería!$C$70:$C$89=0)*(Quesería!$H$70:$H$89&gt;0)*(Quesería!$J$70:$J$89&gt;0)*Quesería!$F$70:$F$89*(1+Quesería!$I$70:$I$89)),IF(G$47=1,(SUMPRODUCT((Quesería!$C$70:$C$89=1)*(Quesería!$H$70:$H$89&gt;0)*(Quesería!$J$70:$J$89&gt;0)*Quesería!$F$70:$F$89*(1+Quesería!$I$70:$I$89))-(-$U$26)*Quesería!$D$86*(1+Quesería!$I$86))*$U$21,0))*$U$11+G872)</f>
        <v>5.21839128108597</v>
      </c>
      <c r="H873" s="29" t="n">
        <f aca="false">Quesería!$B$55*(IF(H$47=0,SUMPRODUCT((Quesería!$C$70:$C$89=0)*(Quesería!$H$70:$H$89&gt;0)*(Quesería!$J$70:$J$89&gt;0)*Quesería!$F$70:$F$89*(1+Quesería!$I$70:$I$89)),IF(H$47=1,(SUMPRODUCT((Quesería!$C$70:$C$89=1)*(Quesería!$H$70:$H$89&gt;0)*(Quesería!$J$70:$J$89&gt;0)*Quesería!$F$70:$F$89*(1+Quesería!$I$70:$I$89))-(-$U$26)*Quesería!$D$86*(1+Quesería!$I$86))*$U$21,0))*$U$11+H872)</f>
        <v>8.8139395850815</v>
      </c>
      <c r="I873" s="29" t="n">
        <f aca="false">Quesería!$B$55*(IF(I$47=0,SUMPRODUCT((Quesería!$C$70:$C$89=0)*(Quesería!$H$70:$H$89&gt;0)*(Quesería!$J$70:$J$89&gt;0)*Quesería!$F$70:$F$89*(1+Quesería!$I$70:$I$89)),IF(I$47=1,(SUMPRODUCT((Quesería!$C$70:$C$89=1)*(Quesería!$H$70:$H$89&gt;0)*(Quesería!$J$70:$J$89&gt;0)*Quesería!$F$70:$F$89*(1+Quesería!$I$70:$I$89))-(-$U$26)*Quesería!$D$86*(1+Quesería!$I$86))*$U$21,0))*$U$11+I872)</f>
        <v>0</v>
      </c>
      <c r="J873" s="29" t="n">
        <f aca="false">Quesería!$B$55*(IF(J$47=0,SUMPRODUCT((Quesería!$C$70:$C$89=0)*(Quesería!$H$70:$H$89&gt;0)*(Quesería!$J$70:$J$89&gt;0)*Quesería!$F$70:$F$89*(1+Quesería!$I$70:$I$89)),IF(J$47=1,(SUMPRODUCT((Quesería!$C$70:$C$89=1)*(Quesería!$H$70:$H$89&gt;0)*(Quesería!$J$70:$J$89&gt;0)*Quesería!$F$70:$F$89*(1+Quesería!$I$70:$I$89))-(-$U$26)*Quesería!$D$86*(1+Quesería!$I$86))*$U$21,0))*$U$11+J872)</f>
        <v>0</v>
      </c>
      <c r="K873" s="29" t="n">
        <f aca="false">Quesería!$B$55*(IF(K$47=0,SUMPRODUCT((Quesería!$C$70:$C$89=0)*(Quesería!$H$70:$H$89&gt;0)*(Quesería!$J$70:$J$89&gt;0)*Quesería!$F$70:$F$89*(1+Quesería!$I$70:$I$89)),IF(K$47=1,(SUMPRODUCT((Quesería!$C$70:$C$89=1)*(Quesería!$H$70:$H$89&gt;0)*(Quesería!$J$70:$J$89&gt;0)*Quesería!$F$70:$F$89*(1+Quesería!$I$70:$I$89))-(-$U$26)*Quesería!$D$86*(1+Quesería!$I$86))*$U$21,0))*$U$11+K872)</f>
        <v>0</v>
      </c>
      <c r="L873" s="29" t="n">
        <f aca="false">Quesería!$B$55*(IF(L$47=0,SUMPRODUCT((Quesería!$C$70:$C$89=0)*(Quesería!$H$70:$H$89&gt;0)*(Quesería!$J$70:$J$89&gt;0)*Quesería!$F$70:$F$89*(1+Quesería!$I$70:$I$89)),IF(L$47=1,(SUMPRODUCT((Quesería!$C$70:$C$89=1)*(Quesería!$H$70:$H$89&gt;0)*(Quesería!$J$70:$J$89&gt;0)*Quesería!$F$70:$F$89*(1+Quesería!$I$70:$I$89))-(-$U$26)*Quesería!$D$86*(1+Quesería!$I$86))*$U$21,0))*$U$11+L872)</f>
        <v>0</v>
      </c>
    </row>
    <row r="874" customFormat="false" ht="15" hidden="true" customHeight="false" outlineLevel="1" collapsed="false">
      <c r="A874" s="6" t="s">
        <v>386</v>
      </c>
      <c r="B874" s="29" t="n">
        <f aca="false">IF(B$47=0,($U$22*Quesería!$J$126+(1-$U$22)*Quesería!$E$122)*Quesería!$B$20*Quesería!$B$21/12*$U$23,(($U$22*Quesería!$J$126+(1-$U$22)*Quesería!$E$122)+($U$22*Quesería!$J$104+(1-$U$22)*Quesería!$E$104)*(B869-1))*IF(B$47=1,Quesería!$B$20,1))*$U$10</f>
        <v>120.716772261203</v>
      </c>
      <c r="C874" s="29" t="n">
        <f aca="false">IF(C$47=0,($U$22*Quesería!$J$126+(1-$U$22)*Quesería!$E$122)*Quesería!$B$20*Quesería!$B$21/12*$U$23,(($U$22*Quesería!$J$126+(1-$U$22)*Quesería!$E$122)+($U$22*Quesería!$J$104+(1-$U$22)*Quesería!$E$104)*(C869-1))*IF(C$47=1,Quesería!$B$20,1))*$U$10</f>
        <v>181.328317354069</v>
      </c>
      <c r="D874" s="29" t="n">
        <f aca="false">IF(D$47=0,($U$22*Quesería!$J$126+(1-$U$22)*Quesería!$E$122)*Quesería!$B$20*Quesería!$B$21/12*$U$23,(($U$22*Quesería!$J$126+(1-$U$22)*Quesería!$E$122)+($U$22*Quesería!$J$104+(1-$U$22)*Quesería!$E$104)*(D869-1))*IF(D$47=1,Quesería!$B$20,1))*$U$10</f>
        <v>241.83157753184</v>
      </c>
      <c r="E874" s="29" t="n">
        <f aca="false">IF(E$47=0,($U$22*Quesería!$J$126+(1-$U$22)*Quesería!$E$122)*Quesería!$B$20*Quesería!$B$21/12*$U$23,(($U$22*Quesería!$J$126+(1-$U$22)*Quesería!$E$122)+($U$22*Quesería!$J$104+(1-$U$22)*Quesería!$E$104)*(E869-1))*IF(E$47=1,Quesería!$B$20,1))*$U$10</f>
        <v>241.892367696887</v>
      </c>
      <c r="F874" s="29" t="n">
        <f aca="false">IF(F$47=0,($U$22*Quesería!$J$126+(1-$U$22)*Quesería!$E$122)*Quesería!$B$20*Quesería!$B$21/12*$U$23,(($U$22*Quesería!$J$126+(1-$U$22)*Quesería!$E$122)+($U$22*Quesería!$J$104+(1-$U$22)*Quesería!$E$104)*(F869-1))*IF(F$47=1,Quesería!$B$20,1))*$U$10</f>
        <v>241.95346181276</v>
      </c>
      <c r="G874" s="29" t="n">
        <f aca="false">IF(G$47=0,($U$22*Quesería!$J$126+(1-$U$22)*Quesería!$E$122)*Quesería!$B$20*Quesería!$B$21/12*$U$23,(($U$22*Quesería!$J$126+(1-$U$22)*Quesería!$E$122)+($U$22*Quesería!$J$104+(1-$U$22)*Quesería!$E$104)*(G869-1))*IF(G$47=1,Quesería!$B$20,1))*$U$10</f>
        <v>242.014861399211</v>
      </c>
      <c r="H874" s="29" t="n">
        <f aca="false">IF(H$47=0,($U$22*Quesería!$J$126+(1-$U$22)*Quesería!$E$122)*Quesería!$B$20*Quesería!$B$21/12*$U$23,(($U$22*Quesería!$J$126+(1-$U$22)*Quesería!$E$122)+($U$22*Quesería!$J$104+(1-$U$22)*Quesería!$E$104)*(H869-1))*IF(H$47=1,Quesería!$B$20,1))*$U$10</f>
        <v>242.076567983595</v>
      </c>
      <c r="I874" s="29" t="n">
        <f aca="false">IF(I$47=0,($U$22*Quesería!$J$126+(1-$U$22)*Quesería!$E$122)*Quesería!$B$20*Quesería!$B$21/12*$U$23,(($U$22*Quesería!$J$126+(1-$U$22)*Quesería!$E$122)+($U$22*Quesería!$J$104+(1-$U$22)*Quesería!$E$104)*(I869-1))*IF(I$47=1,Quesería!$B$20,1))*$U$10</f>
        <v>242.138583100901</v>
      </c>
      <c r="J874" s="29" t="n">
        <f aca="false">IF(J$47=0,($U$22*Quesería!$J$126+(1-$U$22)*Quesería!$E$122)*Quesería!$B$20*Quesería!$B$21/12*$U$23,(($U$22*Quesería!$J$126+(1-$U$22)*Quesería!$E$122)+($U$22*Quesería!$J$104+(1-$U$22)*Quesería!$E$104)*(J869-1))*IF(J$47=1,Quesería!$B$20,1))*$U$10</f>
        <v>242.200908293794</v>
      </c>
      <c r="K874" s="29" t="n">
        <f aca="false">IF(K$47=0,($U$22*Quesería!$J$126+(1-$U$22)*Quesería!$E$122)*Quesería!$B$20*Quesería!$B$21/12*$U$23,(($U$22*Quesería!$J$126+(1-$U$22)*Quesería!$E$122)+($U$22*Quesería!$J$104+(1-$U$22)*Quesería!$E$104)*(K869-1))*IF(K$47=1,Quesería!$B$20,1))*$U$10</f>
        <v>242.263545112651</v>
      </c>
      <c r="L874" s="29" t="n">
        <f aca="false">IF(L$47=0,($U$22*Quesería!$J$126+(1-$U$22)*Quesería!$E$122)*Quesería!$B$20*Quesería!$B$21/12*$U$23,(($U$22*Quesería!$J$126+(1-$U$22)*Quesería!$E$122)+($U$22*Quesería!$J$104+(1-$U$22)*Quesería!$E$104)*(L869-1))*IF(L$47=1,Quesería!$B$20,1))*$U$10</f>
        <v>242.326495115602</v>
      </c>
    </row>
    <row r="875" customFormat="false" ht="15" hidden="true" customHeight="false" outlineLevel="1" collapsed="false">
      <c r="A875" s="6" t="s">
        <v>387</v>
      </c>
      <c r="B875" s="29" t="n">
        <f aca="false">IF(B$47&lt;=1,0,((($U$22*Quesería!$J$127+(1-$U$22)*Quesería!$E$123)-($U$22*Quesería!$J$113+(1-$U$22)*Quesería!$E$113)+$U$6*($U$22*Quesería!$J$113+(1-$U$22)*Quesería!$E$113)-(1-$U$9)*(($U$22*Quesería!$J$119+(1-$U$22)*Quesería!$E$119)+($U$22*Quesería!$J$118+(1-$U$22)*Quesería!$E$118))-(1-$U$24)*($U$22*Quesería!$J$117+(1-$U$22)*Quesería!$E$117)+$U$24*(1-$U$25)*'Beneficios y costos'!$B$144-(-$U$26*$U$27)*'Beneficios y costos'!$C$167)+($U$6*($U$22*Quesería!$J$113+(1-$U$22)*Quesería!$E$113)+$U$9*($U$22*Quesería!$J$119+(1-$U$22)*Quesería!$E$119))*(B869-1))*IF(B$47=2,Quesería!$B$20,1)+IF(B$47=2,Quesería!$B$24*$U$9*($U$22*Quesería!$J$119+(1-$U$22)*Quesería!$E$119)*B869,0))*$U$10*$U$21</f>
        <v>0</v>
      </c>
      <c r="C875" s="29" t="n">
        <f aca="false">IF(C$47&lt;=1,0,((($U$22*Quesería!$J$127+(1-$U$22)*Quesería!$E$123)-($U$22*Quesería!$J$113+(1-$U$22)*Quesería!$E$113)+$U$6*($U$22*Quesería!$J$113+(1-$U$22)*Quesería!$E$113)-(1-$U$9)*(($U$22*Quesería!$J$119+(1-$U$22)*Quesería!$E$119)+($U$22*Quesería!$J$118+(1-$U$22)*Quesería!$E$118))-(1-$U$24)*($U$22*Quesería!$J$117+(1-$U$22)*Quesería!$E$117)+$U$24*(1-$U$25)*'Beneficios y costos'!$B$144-(-$U$26*$U$27)*'Beneficios y costos'!$C$167)+($U$6*($U$22*Quesería!$J$113+(1-$U$22)*Quesería!$E$113)+$U$9*($U$22*Quesería!$J$119+(1-$U$22)*Quesería!$E$119))*(C869-1))*IF(C$47=2,Quesería!$B$20,1)+IF(C$47=2,Quesería!$B$24*$U$9*($U$22*Quesería!$J$119+(1-$U$22)*Quesería!$E$119)*C869,0))*$U$10*$U$21</f>
        <v>0</v>
      </c>
      <c r="D875" s="29" t="n">
        <f aca="false">IF(D$47&lt;=1,0,((($U$22*Quesería!$J$127+(1-$U$22)*Quesería!$E$123)-($U$22*Quesería!$J$113+(1-$U$22)*Quesería!$E$113)+$U$6*($U$22*Quesería!$J$113+(1-$U$22)*Quesería!$E$113)-(1-$U$9)*(($U$22*Quesería!$J$119+(1-$U$22)*Quesería!$E$119)+($U$22*Quesería!$J$118+(1-$U$22)*Quesería!$E$118))-(1-$U$24)*($U$22*Quesería!$J$117+(1-$U$22)*Quesería!$E$117)+$U$24*(1-$U$25)*'Beneficios y costos'!$B$144-(-$U$26*$U$27)*'Beneficios y costos'!$C$167)+($U$6*($U$22*Quesería!$J$113+(1-$U$22)*Quesería!$E$113)+$U$9*($U$22*Quesería!$J$119+(1-$U$22)*Quesería!$E$119))*(D869-1))*IF(D$47=2,Quesería!$B$20,1)+IF(D$47=2,Quesería!$B$24*$U$9*($U$22*Quesería!$J$119+(1-$U$22)*Quesería!$E$119)*D869,0))*$U$10*$U$21</f>
        <v>257.351493734688</v>
      </c>
      <c r="E875" s="29" t="n">
        <f aca="false">IF(E$47&lt;=1,0,((($U$22*Quesería!$J$127+(1-$U$22)*Quesería!$E$123)-($U$22*Quesería!$J$113+(1-$U$22)*Quesería!$E$113)+$U$6*($U$22*Quesería!$J$113+(1-$U$22)*Quesería!$E$113)-(1-$U$9)*(($U$22*Quesería!$J$119+(1-$U$22)*Quesería!$E$119)+($U$22*Quesería!$J$118+(1-$U$22)*Quesería!$E$118))-(1-$U$24)*($U$22*Quesería!$J$117+(1-$U$22)*Quesería!$E$117)+$U$24*(1-$U$25)*'Beneficios y costos'!$B$144-(-$U$26*$U$27)*'Beneficios y costos'!$C$167)+($U$6*($U$22*Quesería!$J$113+(1-$U$22)*Quesería!$E$113)+$U$9*($U$22*Quesería!$J$119+(1-$U$22)*Quesería!$E$119))*(E869-1))*IF(E$47=2,Quesería!$B$20,1)+IF(E$47=2,Quesería!$B$24*$U$9*($U$22*Quesería!$J$119+(1-$U$22)*Quesería!$E$119)*E869,0))*$U$10*$U$21</f>
        <v>328.494820128122</v>
      </c>
      <c r="F875" s="29" t="n">
        <f aca="false">IF(F$47&lt;=1,0,((($U$22*Quesería!$J$127+(1-$U$22)*Quesería!$E$123)-($U$22*Quesería!$J$113+(1-$U$22)*Quesería!$E$113)+$U$6*($U$22*Quesería!$J$113+(1-$U$22)*Quesería!$E$113)-(1-$U$9)*(($U$22*Quesería!$J$119+(1-$U$22)*Quesería!$E$119)+($U$22*Quesería!$J$118+(1-$U$22)*Quesería!$E$118))-(1-$U$24)*($U$22*Quesería!$J$117+(1-$U$22)*Quesería!$E$117)+$U$24*(1-$U$25)*'Beneficios y costos'!$B$144-(-$U$26*$U$27)*'Beneficios y costos'!$C$167)+($U$6*($U$22*Quesería!$J$113+(1-$U$22)*Quesería!$E$113)+$U$9*($U$22*Quesería!$J$119+(1-$U$22)*Quesería!$E$119))*(F869-1))*IF(F$47=2,Quesería!$B$20,1)+IF(F$47=2,Quesería!$B$24*$U$9*($U$22*Quesería!$J$119+(1-$U$22)*Quesería!$E$119)*F869,0))*$U$10*$U$21</f>
        <v>328.742937047686</v>
      </c>
      <c r="G875" s="29" t="n">
        <f aca="false">IF(G$47&lt;=1,0,((($U$22*Quesería!$J$127+(1-$U$22)*Quesería!$E$123)-($U$22*Quesería!$J$113+(1-$U$22)*Quesería!$E$113)+$U$6*($U$22*Quesería!$J$113+(1-$U$22)*Quesería!$E$113)-(1-$U$9)*(($U$22*Quesería!$J$119+(1-$U$22)*Quesería!$E$119)+($U$22*Quesería!$J$118+(1-$U$22)*Quesería!$E$118))-(1-$U$24)*($U$22*Quesería!$J$117+(1-$U$22)*Quesería!$E$117)+$U$24*(1-$U$25)*'Beneficios y costos'!$B$144-(-$U$26*$U$27)*'Beneficios y costos'!$C$167)+($U$6*($U$22*Quesería!$J$113+(1-$U$22)*Quesería!$E$113)+$U$9*($U$22*Quesería!$J$119+(1-$U$22)*Quesería!$E$119))*(G869-1))*IF(G$47=2,Quesería!$B$20,1)+IF(G$47=2,Quesería!$B$24*$U$9*($U$22*Quesería!$J$119+(1-$U$22)*Quesería!$E$119)*G869,0))*$U$10*$U$21</f>
        <v>328.992294551847</v>
      </c>
      <c r="H875" s="29" t="n">
        <f aca="false">IF(H$47&lt;=1,0,((($U$22*Quesería!$J$127+(1-$U$22)*Quesería!$E$123)-($U$22*Quesería!$J$113+(1-$U$22)*Quesería!$E$113)+$U$6*($U$22*Quesería!$J$113+(1-$U$22)*Quesería!$E$113)-(1-$U$9)*(($U$22*Quesería!$J$119+(1-$U$22)*Quesería!$E$119)+($U$22*Quesería!$J$118+(1-$U$22)*Quesería!$E$118))-(1-$U$24)*($U$22*Quesería!$J$117+(1-$U$22)*Quesería!$E$117)+$U$24*(1-$U$25)*'Beneficios y costos'!$B$144-(-$U$26*$U$27)*'Beneficios y costos'!$C$167)+($U$6*($U$22*Quesería!$J$113+(1-$U$22)*Quesería!$E$113)+$U$9*($U$22*Quesería!$J$119+(1-$U$22)*Quesería!$E$119))*(H869-1))*IF(H$47=2,Quesería!$B$20,1)+IF(H$47=2,Quesería!$B$24*$U$9*($U$22*Quesería!$J$119+(1-$U$22)*Quesería!$E$119)*H869,0))*$U$10*$U$21</f>
        <v>329.242898843529</v>
      </c>
      <c r="I875" s="29" t="n">
        <f aca="false">IF(I$47&lt;=1,0,((($U$22*Quesería!$J$127+(1-$U$22)*Quesería!$E$123)-($U$22*Quesería!$J$113+(1-$U$22)*Quesería!$E$113)+$U$6*($U$22*Quesería!$J$113+(1-$U$22)*Quesería!$E$113)-(1-$U$9)*(($U$22*Quesería!$J$119+(1-$U$22)*Quesería!$E$119)+($U$22*Quesería!$J$118+(1-$U$22)*Quesería!$E$118))-(1-$U$24)*($U$22*Quesería!$J$117+(1-$U$22)*Quesería!$E$117)+$U$24*(1-$U$25)*'Beneficios y costos'!$B$144-(-$U$26*$U$27)*'Beneficios y costos'!$C$167)+($U$6*($U$22*Quesería!$J$113+(1-$U$22)*Quesería!$E$113)+$U$9*($U$22*Quesería!$J$119+(1-$U$22)*Quesería!$E$119))*(I869-1))*IF(I$47=2,Quesería!$B$20,1)+IF(I$47=2,Quesería!$B$24*$U$9*($U$22*Quesería!$J$119+(1-$U$22)*Quesería!$E$119)*I869,0))*$U$10*$U$21</f>
        <v>329.49475615667</v>
      </c>
      <c r="J875" s="29" t="n">
        <f aca="false">IF(J$47&lt;=1,0,((($U$22*Quesería!$J$127+(1-$U$22)*Quesería!$E$123)-($U$22*Quesería!$J$113+(1-$U$22)*Quesería!$E$113)+$U$6*($U$22*Quesería!$J$113+(1-$U$22)*Quesería!$E$113)-(1-$U$9)*(($U$22*Quesería!$J$119+(1-$U$22)*Quesería!$E$119)+($U$22*Quesería!$J$118+(1-$U$22)*Quesería!$E$118))-(1-$U$24)*($U$22*Quesería!$J$117+(1-$U$22)*Quesería!$E$117)+$U$24*(1-$U$25)*'Beneficios y costos'!$B$144-(-$U$26*$U$27)*'Beneficios y costos'!$C$167)+($U$6*($U$22*Quesería!$J$113+(1-$U$22)*Quesería!$E$113)+$U$9*($U$22*Quesería!$J$119+(1-$U$22)*Quesería!$E$119))*(J869-1))*IF(J$47=2,Quesería!$B$20,1)+IF(J$47=2,Quesería!$B$24*$U$9*($U$22*Quesería!$J$119+(1-$U$22)*Quesería!$E$119)*J869,0))*$U$10*$U$21</f>
        <v>329.747872756376</v>
      </c>
      <c r="K875" s="29" t="n">
        <f aca="false">IF(K$47&lt;=1,0,((($U$22*Quesería!$J$127+(1-$U$22)*Quesería!$E$123)-($U$22*Quesería!$J$113+(1-$U$22)*Quesería!$E$113)+$U$6*($U$22*Quesería!$J$113+(1-$U$22)*Quesería!$E$113)-(1-$U$9)*(($U$22*Quesería!$J$119+(1-$U$22)*Quesería!$E$119)+($U$22*Quesería!$J$118+(1-$U$22)*Quesería!$E$118))-(1-$U$24)*($U$22*Quesería!$J$117+(1-$U$22)*Quesería!$E$117)+$U$24*(1-$U$25)*'Beneficios y costos'!$B$144-(-$U$26*$U$27)*'Beneficios y costos'!$C$167)+($U$6*($U$22*Quesería!$J$113+(1-$U$22)*Quesería!$E$113)+$U$9*($U$22*Quesería!$J$119+(1-$U$22)*Quesería!$E$119))*(K869-1))*IF(K$47=2,Quesería!$B$20,1)+IF(K$47=2,Quesería!$B$24*$U$9*($U$22*Quesería!$J$119+(1-$U$22)*Quesería!$E$119)*K869,0))*$U$10*$U$21</f>
        <v>330.00225493908</v>
      </c>
      <c r="L875" s="29" t="n">
        <f aca="false">IF(L$47&lt;=1,0,((($U$22*Quesería!$J$127+(1-$U$22)*Quesería!$E$123)-($U$22*Quesería!$J$113+(1-$U$22)*Quesería!$E$113)+$U$6*($U$22*Quesería!$J$113+(1-$U$22)*Quesería!$E$113)-(1-$U$9)*(($U$22*Quesería!$J$119+(1-$U$22)*Quesería!$E$119)+($U$22*Quesería!$J$118+(1-$U$22)*Quesería!$E$118))-(1-$U$24)*($U$22*Quesería!$J$117+(1-$U$22)*Quesería!$E$117)+$U$24*(1-$U$25)*'Beneficios y costos'!$B$144-(-$U$26*$U$27)*'Beneficios y costos'!$C$167)+($U$6*($U$22*Quesería!$J$113+(1-$U$22)*Quesería!$E$113)+$U$9*($U$22*Quesería!$J$119+(1-$U$22)*Quesería!$E$119))*(L869-1))*IF(L$47=2,Quesería!$B$20,1)+IF(L$47=2,Quesería!$B$24*$U$9*($U$22*Quesería!$J$119+(1-$U$22)*Quesería!$E$119)*L869,0))*$U$10*$U$21</f>
        <v>330.257909032699</v>
      </c>
    </row>
    <row r="876" customFormat="false" ht="15" hidden="true" customHeight="false" outlineLevel="1" collapsed="false">
      <c r="A876" s="5" t="s">
        <v>412</v>
      </c>
      <c r="B876" s="10" t="n">
        <f aca="false">B874+B875</f>
        <v>120.716772261203</v>
      </c>
      <c r="C876" s="10" t="n">
        <f aca="false">C874+C875</f>
        <v>181.328317354069</v>
      </c>
      <c r="D876" s="10" t="n">
        <f aca="false">D874+D875</f>
        <v>499.183071266528</v>
      </c>
      <c r="E876" s="10" t="n">
        <f aca="false">E874+E875</f>
        <v>570.38718782501</v>
      </c>
      <c r="F876" s="10" t="n">
        <f aca="false">F874+F875</f>
        <v>570.696398860445</v>
      </c>
      <c r="G876" s="10" t="n">
        <f aca="false">G874+G875</f>
        <v>571.007155951058</v>
      </c>
      <c r="H876" s="10" t="n">
        <f aca="false">H874+H875</f>
        <v>571.319466827124</v>
      </c>
      <c r="I876" s="10" t="n">
        <f aca="false">I874+I875</f>
        <v>571.633339257571</v>
      </c>
      <c r="J876" s="10" t="n">
        <f aca="false">J874+J875</f>
        <v>571.94878105017</v>
      </c>
      <c r="K876" s="10" t="n">
        <f aca="false">K874+K875</f>
        <v>572.265800051731</v>
      </c>
      <c r="L876" s="10" t="n">
        <f aca="false">L874+L875</f>
        <v>572.584404148301</v>
      </c>
    </row>
    <row r="877" customFormat="false" ht="15" hidden="true" customHeight="false" outlineLevel="1" collapsed="false">
      <c r="A877" s="6" t="s">
        <v>413</v>
      </c>
      <c r="B877" s="29" t="n">
        <f aca="false">(IF(B$47&gt;=1,(Quesería!$B$31+Quesería!$B$33)*Quesería!$F$94*$U$11+Quesería!$B$32+'Beneficios y costos'!$B$249,0)+IF(B$47&gt;=2,((Quesería!$B$31+Quesería!$B$33)*(Quesería!$F$95-(-$U$26)*Quesería!$D$86)*$U$11+'Beneficios y costos'!$C$249-(-$U$26)*'Beneficios y costos'!$H$235)*$U$21,0))*$U$12</f>
        <v>0</v>
      </c>
      <c r="C877" s="29" t="n">
        <f aca="false">(IF(C$47&gt;=1,(Quesería!$B$31+Quesería!$B$33)*Quesería!$F$94*$U$11+Quesería!$B$32+'Beneficios y costos'!$B$249,0)+IF(C$47&gt;=2,((Quesería!$B$31+Quesería!$B$33)*(Quesería!$F$95-(-$U$26)*Quesería!$D$86)*$U$11+'Beneficios y costos'!$C$249-(-$U$26)*'Beneficios y costos'!$H$235)*$U$21,0))*$U$12</f>
        <v>42.0946487260605</v>
      </c>
      <c r="D877" s="29" t="n">
        <f aca="false">(IF(D$47&gt;=1,(Quesería!$B$31+Quesería!$B$33)*Quesería!$F$94*$U$11+Quesería!$B$32+'Beneficios y costos'!$B$249,0)+IF(D$47&gt;=2,((Quesería!$B$31+Quesería!$B$33)*(Quesería!$F$95-(-$U$26)*Quesería!$D$86)*$U$11+'Beneficios y costos'!$C$249-(-$U$26)*'Beneficios y costos'!$H$235)*$U$21,0))*$U$12</f>
        <v>76.4964821173776</v>
      </c>
      <c r="E877" s="29" t="n">
        <f aca="false">(IF(E$47&gt;=1,(Quesería!$B$31+Quesería!$B$33)*Quesería!$F$94*$U$11+Quesería!$B$32+'Beneficios y costos'!$B$249,0)+IF(E$47&gt;=2,((Quesería!$B$31+Quesería!$B$33)*(Quesería!$F$95-(-$U$26)*Quesería!$D$86)*$U$11+'Beneficios y costos'!$C$249-(-$U$26)*'Beneficios y costos'!$H$235)*$U$21,0))*$U$12</f>
        <v>76.4964821173776</v>
      </c>
      <c r="F877" s="29" t="n">
        <f aca="false">(IF(F$47&gt;=1,(Quesería!$B$31+Quesería!$B$33)*Quesería!$F$94*$U$11+Quesería!$B$32+'Beneficios y costos'!$B$249,0)+IF(F$47&gt;=2,((Quesería!$B$31+Quesería!$B$33)*(Quesería!$F$95-(-$U$26)*Quesería!$D$86)*$U$11+'Beneficios y costos'!$C$249-(-$U$26)*'Beneficios y costos'!$H$235)*$U$21,0))*$U$12</f>
        <v>76.4964821173776</v>
      </c>
      <c r="G877" s="29" t="n">
        <f aca="false">(IF(G$47&gt;=1,(Quesería!$B$31+Quesería!$B$33)*Quesería!$F$94*$U$11+Quesería!$B$32+'Beneficios y costos'!$B$249,0)+IF(G$47&gt;=2,((Quesería!$B$31+Quesería!$B$33)*(Quesería!$F$95-(-$U$26)*Quesería!$D$86)*$U$11+'Beneficios y costos'!$C$249-(-$U$26)*'Beneficios y costos'!$H$235)*$U$21,0))*$U$12</f>
        <v>76.4964821173776</v>
      </c>
      <c r="H877" s="29" t="n">
        <f aca="false">(IF(H$47&gt;=1,(Quesería!$B$31+Quesería!$B$33)*Quesería!$F$94*$U$11+Quesería!$B$32+'Beneficios y costos'!$B$249,0)+IF(H$47&gt;=2,((Quesería!$B$31+Quesería!$B$33)*(Quesería!$F$95-(-$U$26)*Quesería!$D$86)*$U$11+'Beneficios y costos'!$C$249-(-$U$26)*'Beneficios y costos'!$H$235)*$U$21,0))*$U$12</f>
        <v>76.4964821173776</v>
      </c>
      <c r="I877" s="29" t="n">
        <f aca="false">(IF(I$47&gt;=1,(Quesería!$B$31+Quesería!$B$33)*Quesería!$F$94*$U$11+Quesería!$B$32+'Beneficios y costos'!$B$249,0)+IF(I$47&gt;=2,((Quesería!$B$31+Quesería!$B$33)*(Quesería!$F$95-(-$U$26)*Quesería!$D$86)*$U$11+'Beneficios y costos'!$C$249-(-$U$26)*'Beneficios y costos'!$H$235)*$U$21,0))*$U$12</f>
        <v>76.4964821173776</v>
      </c>
      <c r="J877" s="29" t="n">
        <f aca="false">(IF(J$47&gt;=1,(Quesería!$B$31+Quesería!$B$33)*Quesería!$F$94*$U$11+Quesería!$B$32+'Beneficios y costos'!$B$249,0)+IF(J$47&gt;=2,((Quesería!$B$31+Quesería!$B$33)*(Quesería!$F$95-(-$U$26)*Quesería!$D$86)*$U$11+'Beneficios y costos'!$C$249-(-$U$26)*'Beneficios y costos'!$H$235)*$U$21,0))*$U$12</f>
        <v>76.4964821173776</v>
      </c>
      <c r="K877" s="29" t="n">
        <f aca="false">(IF(K$47&gt;=1,(Quesería!$B$31+Quesería!$B$33)*Quesería!$F$94*$U$11+Quesería!$B$32+'Beneficios y costos'!$B$249,0)+IF(K$47&gt;=2,((Quesería!$B$31+Quesería!$B$33)*(Quesería!$F$95-(-$U$26)*Quesería!$D$86)*$U$11+'Beneficios y costos'!$C$249-(-$U$26)*'Beneficios y costos'!$H$235)*$U$21,0))*$U$12</f>
        <v>76.4964821173776</v>
      </c>
      <c r="L877" s="29" t="n">
        <f aca="false">(IF(L$47&gt;=1,(Quesería!$B$31+Quesería!$B$33)*Quesería!$F$94*$U$11+Quesería!$B$32+'Beneficios y costos'!$B$249,0)+IF(L$47&gt;=2,((Quesería!$B$31+Quesería!$B$33)*(Quesería!$F$95-(-$U$26)*Quesería!$D$86)*$U$11+'Beneficios y costos'!$C$249-(-$U$26)*'Beneficios y costos'!$H$235)*$U$21,0))*$U$12</f>
        <v>76.4964821173776</v>
      </c>
    </row>
    <row r="878" customFormat="false" ht="15" hidden="true" customHeight="false" outlineLevel="1" collapsed="false">
      <c r="A878" s="6" t="s">
        <v>414</v>
      </c>
      <c r="B878" s="29" t="n">
        <f aca="false">IF(B$47=1,2*Quesería!$B$22*Quesería!$B$23/12*B869,0)*$U$21</f>
        <v>0</v>
      </c>
      <c r="C878" s="29" t="n">
        <f aca="false">IF(C$47=1,2*Quesería!$B$22*Quesería!$B$23/12*C869,0)*$U$21</f>
        <v>18.5166509433962</v>
      </c>
      <c r="D878" s="29" t="n">
        <f aca="false">IF(D$47=1,2*Quesería!$B$22*Quesería!$B$23/12*D869,0)*$U$21</f>
        <v>0</v>
      </c>
      <c r="E878" s="29" t="n">
        <f aca="false">IF(E$47=1,2*Quesería!$B$22*Quesería!$B$23/12*E869,0)*$U$21</f>
        <v>0</v>
      </c>
      <c r="F878" s="29" t="n">
        <f aca="false">IF(F$47=1,2*Quesería!$B$22*Quesería!$B$23/12*F869,0)*$U$21</f>
        <v>0</v>
      </c>
      <c r="G878" s="29" t="n">
        <f aca="false">IF(G$47=1,2*Quesería!$B$22*Quesería!$B$23/12*G869,0)*$U$21</f>
        <v>0</v>
      </c>
      <c r="H878" s="29" t="n">
        <f aca="false">IF(H$47=1,2*Quesería!$B$22*Quesería!$B$23/12*H869,0)*$U$21</f>
        <v>0</v>
      </c>
      <c r="I878" s="29" t="n">
        <f aca="false">IF(I$47=1,2*Quesería!$B$22*Quesería!$B$23/12*I869,0)*$U$21</f>
        <v>0</v>
      </c>
      <c r="J878" s="29" t="n">
        <f aca="false">IF(J$47=1,2*Quesería!$B$22*Quesería!$B$23/12*J869,0)*$U$21</f>
        <v>0</v>
      </c>
      <c r="K878" s="29" t="n">
        <f aca="false">IF(K$47=1,2*Quesería!$B$22*Quesería!$B$23/12*K869,0)*$U$21</f>
        <v>0</v>
      </c>
      <c r="L878" s="29" t="n">
        <f aca="false">IF(L$47=1,2*Quesería!$B$22*Quesería!$B$23/12*L869,0)*$U$21</f>
        <v>0</v>
      </c>
    </row>
    <row r="879" customFormat="false" ht="15" hidden="true" customHeight="false" outlineLevel="1" collapsed="false">
      <c r="A879" s="6" t="s">
        <v>415</v>
      </c>
      <c r="B879" s="29" t="n">
        <f aca="false">Quesería!$B$52*(B871+B872+B873+B877+B878)</f>
        <v>4.31966364396742</v>
      </c>
      <c r="C879" s="29" t="n">
        <f aca="false">Quesería!$B$52*(C871+C872+C873+C877+C878)</f>
        <v>3.37675795604844</v>
      </c>
      <c r="D879" s="29" t="n">
        <f aca="false">Quesería!$B$52*(D871+D872+D873+D877+D878)</f>
        <v>0.305985928469511</v>
      </c>
      <c r="E879" s="29" t="n">
        <f aca="false">Quesería!$B$52*(E871+E872+E873+E877+E878)</f>
        <v>0.305985928469511</v>
      </c>
      <c r="F879" s="29" t="n">
        <f aca="false">Quesería!$B$52*(F871+F872+F873+F877+F878)</f>
        <v>0.305985928469511</v>
      </c>
      <c r="G879" s="29" t="n">
        <f aca="false">Quesería!$B$52*(G871+G872+G873+G877+G878)</f>
        <v>0.436720362669349</v>
      </c>
      <c r="H879" s="29" t="n">
        <f aca="false">Quesería!$B$52*(H871+H872+H873+H877+H878)</f>
        <v>0.526798309653658</v>
      </c>
      <c r="I879" s="29" t="n">
        <f aca="false">Quesería!$B$52*(I871+I872+I873+I877+I878)</f>
        <v>0.305985928469511</v>
      </c>
      <c r="J879" s="29" t="n">
        <f aca="false">Quesería!$B$52*(J871+J872+J873+J877+J878)</f>
        <v>0.305985928469511</v>
      </c>
      <c r="K879" s="29" t="n">
        <f aca="false">Quesería!$B$52*(K871+K872+K873+K877+K878)</f>
        <v>0.305985928469511</v>
      </c>
      <c r="L879" s="29" t="n">
        <f aca="false">Quesería!$B$52*(L871+L872+L873+L877+L878)</f>
        <v>0.305985928469511</v>
      </c>
    </row>
    <row r="880" customFormat="false" ht="15" hidden="true" customHeight="false" outlineLevel="1" collapsed="false">
      <c r="A880" s="6" t="s">
        <v>416</v>
      </c>
      <c r="B880" s="29" t="n">
        <f aca="false">(IF($U$19=1,(SUMPRODUCT((Quesería!$C$70:$C$89=0)*(Quesería!$J$70:$J$89&gt;0)*(B$47&gt;=1)*(B$47&lt;=Quesería!$J$70:$J$89)*(Quesería!$H$70:$H$89&gt;0)*Quesería!$F$70:$F$89*(1+Quesería!$I$70:$I$89)/(Quesería!$J$70:$J$89+(Quesería!$J$70:$J$89=0)))+SUMPRODUCT((Quesería!$C$70:$C$89=0)*(Quesería!$J$70:$J$89=0)*(B$47=0)*(Quesería!$H$70:$H$89&gt;0)*Quesería!$F$70:$F$89*(1+Quesería!$I$70:$I$89)))*$B$868+((SUMPRODUCT((Quesería!$C$70:$C$89=1)*(Quesería!$J$70:$J$89&gt;0)*(B$47&gt;=2)*(B$47&lt;=Quesería!$J$70:$J$89+1)*(Quesería!$H$70:$H$89&gt;0)*Quesería!$F$70:$F$89*(1+Quesería!$I$70:$I$89)/(Quesería!$J$70:$J$89+(Quesería!$J$70:$J$89=0)))+SUMPRODUCT((Quesería!$C$70:$C$89=1)*(Quesería!$J$70:$J$89=0)*(B$47=1)*(Quesería!$H$70:$H$89&gt;0)*Quesería!$F$70:$F$89*(1+Quesería!$I$70:$I$89)))-(-$U$26)*IF(AND(B$47&gt;=2,B$47&lt;=Quesería!$J$86+1),Quesería!$D$86*(1+Quesería!$I$86)/Quesería!$J$86,0))*$C$868*$U$21,IF(AND(B$47&gt;=1,B$47&lt;=Quesería!$B$30),Quesería!$F$92/Quesería!$B$30,0)*$B$868+IF(AND(B$47&gt;=2,B$47&lt;=Quesería!$B$30+1),(Quesería!$F$93-(-$U$26)*Quesería!$D$86*(1+Quesería!$I$86))/Quesería!$B$30,0)*$C$868*$U$21)*$U$11+IF(AND(B$47&gt;=6,B$47&lt;=10),$G872*$G868/5,0)+IF(AND(B$47&gt;=7,B$47&lt;=11),$H872*$H868/5,0))*B870</f>
        <v>145.980915430742</v>
      </c>
      <c r="C880" s="29" t="n">
        <f aca="false">(IF($U$19=1,(SUMPRODUCT((Quesería!$C$70:$C$89=0)*(Quesería!$J$70:$J$89&gt;0)*(C$47&gt;=1)*(C$47&lt;=Quesería!$J$70:$J$89)*(Quesería!$H$70:$H$89&gt;0)*Quesería!$F$70:$F$89*(1+Quesería!$I$70:$I$89)/(Quesería!$J$70:$J$89+(Quesería!$J$70:$J$89=0)))+SUMPRODUCT((Quesería!$C$70:$C$89=0)*(Quesería!$J$70:$J$89=0)*(C$47=0)*(Quesería!$H$70:$H$89&gt;0)*Quesería!$F$70:$F$89*(1+Quesería!$I$70:$I$89)))*$B$868+((SUMPRODUCT((Quesería!$C$70:$C$89=1)*(Quesería!$J$70:$J$89&gt;0)*(C$47&gt;=2)*(C$47&lt;=Quesería!$J$70:$J$89+1)*(Quesería!$H$70:$H$89&gt;0)*Quesería!$F$70:$F$89*(1+Quesería!$I$70:$I$89)/(Quesería!$J$70:$J$89+(Quesería!$J$70:$J$89=0)))+SUMPRODUCT((Quesería!$C$70:$C$89=1)*(Quesería!$J$70:$J$89=0)*(C$47=1)*(Quesería!$H$70:$H$89&gt;0)*Quesería!$F$70:$F$89*(1+Quesería!$I$70:$I$89)))-(-$U$26)*IF(AND(C$47&gt;=2,C$47&lt;=Quesería!$J$86+1),Quesería!$D$86*(1+Quesería!$I$86)/Quesería!$J$86,0))*$C$868*$U$21,IF(AND(C$47&gt;=1,C$47&lt;=Quesería!$B$30),Quesería!$F$92/Quesería!$B$30,0)*$B$868+IF(AND(C$47&gt;=2,C$47&lt;=Quesería!$B$30+1),(Quesería!$F$93-(-$U$26)*Quesería!$D$86*(1+Quesería!$I$86))/Quesería!$B$30,0)*$C$868*$U$21)*$U$11+IF(AND(C$47&gt;=6,C$47&lt;=10),$G872*$G868/5,0)+IF(AND(C$47&gt;=7,C$47&lt;=11),$H872*$H868/5,0))*C870</f>
        <v>82.2633269524265</v>
      </c>
      <c r="D880" s="29" t="n">
        <f aca="false">(IF($U$19=1,(SUMPRODUCT((Quesería!$C$70:$C$89=0)*(Quesería!$J$70:$J$89&gt;0)*(D$47&gt;=1)*(D$47&lt;=Quesería!$J$70:$J$89)*(Quesería!$H$70:$H$89&gt;0)*Quesería!$F$70:$F$89*(1+Quesería!$I$70:$I$89)/(Quesería!$J$70:$J$89+(Quesería!$J$70:$J$89=0)))+SUMPRODUCT((Quesería!$C$70:$C$89=0)*(Quesería!$J$70:$J$89=0)*(D$47=0)*(Quesería!$H$70:$H$89&gt;0)*Quesería!$F$70:$F$89*(1+Quesería!$I$70:$I$89)))*$B$868+((SUMPRODUCT((Quesería!$C$70:$C$89=1)*(Quesería!$J$70:$J$89&gt;0)*(D$47&gt;=2)*(D$47&lt;=Quesería!$J$70:$J$89+1)*(Quesería!$H$70:$H$89&gt;0)*Quesería!$F$70:$F$89*(1+Quesería!$I$70:$I$89)/(Quesería!$J$70:$J$89+(Quesería!$J$70:$J$89=0)))+SUMPRODUCT((Quesería!$C$70:$C$89=1)*(Quesería!$J$70:$J$89=0)*(D$47=1)*(Quesería!$H$70:$H$89&gt;0)*Quesería!$F$70:$F$89*(1+Quesería!$I$70:$I$89)))-(-$U$26)*IF(AND(D$47&gt;=2,D$47&lt;=Quesería!$J$86+1),Quesería!$D$86*(1+Quesería!$I$86)/Quesería!$J$86,0))*$C$868*$U$21,IF(AND(D$47&gt;=1,D$47&lt;=Quesería!$B$30),Quesería!$F$92/Quesería!$B$30,0)*$B$868+IF(AND(D$47&gt;=2,D$47&lt;=Quesería!$B$30+1),(Quesería!$F$93-(-$U$26)*Quesería!$D$86*(1+Quesería!$I$86))/Quesería!$B$30,0)*$C$868*$U$21)*$U$11+IF(AND(D$47&gt;=6,D$47&lt;=10),$G872*$G868/5,0)+IF(AND(D$47&gt;=7,D$47&lt;=11),$H872*$H868/5,0))*D870</f>
        <v>141.732280975958</v>
      </c>
      <c r="E880" s="29" t="n">
        <f aca="false">(IF($U$19=1,(SUMPRODUCT((Quesería!$C$70:$C$89=0)*(Quesería!$J$70:$J$89&gt;0)*(E$47&gt;=1)*(E$47&lt;=Quesería!$J$70:$J$89)*(Quesería!$H$70:$H$89&gt;0)*Quesería!$F$70:$F$89*(1+Quesería!$I$70:$I$89)/(Quesería!$J$70:$J$89+(Quesería!$J$70:$J$89=0)))+SUMPRODUCT((Quesería!$C$70:$C$89=0)*(Quesería!$J$70:$J$89=0)*(E$47=0)*(Quesería!$H$70:$H$89&gt;0)*Quesería!$F$70:$F$89*(1+Quesería!$I$70:$I$89)))*$B$868+((SUMPRODUCT((Quesería!$C$70:$C$89=1)*(Quesería!$J$70:$J$89&gt;0)*(E$47&gt;=2)*(E$47&lt;=Quesería!$J$70:$J$89+1)*(Quesería!$H$70:$H$89&gt;0)*Quesería!$F$70:$F$89*(1+Quesería!$I$70:$I$89)/(Quesería!$J$70:$J$89+(Quesería!$J$70:$J$89=0)))+SUMPRODUCT((Quesería!$C$70:$C$89=1)*(Quesería!$J$70:$J$89=0)*(E$47=1)*(Quesería!$H$70:$H$89&gt;0)*Quesería!$F$70:$F$89*(1+Quesería!$I$70:$I$89)))-(-$U$26)*IF(AND(E$47&gt;=2,E$47&lt;=Quesería!$J$86+1),Quesería!$D$86*(1+Quesería!$I$86)/Quesería!$J$86,0))*$C$868*$U$21,IF(AND(E$47&gt;=1,E$47&lt;=Quesería!$B$30),Quesería!$F$92/Quesería!$B$30,0)*$B$868+IF(AND(E$47&gt;=2,E$47&lt;=Quesería!$B$30+1),(Quesería!$F$93-(-$U$26)*Quesería!$D$86*(1+Quesería!$I$86))/Quesería!$B$30,0)*$C$868*$U$21)*$U$11+IF(AND(E$47&gt;=6,E$47&lt;=10),$G872*$G868/5,0)+IF(AND(E$47&gt;=7,E$47&lt;=11),$H872*$H868/5,0))*E870</f>
        <v>136.28103939996</v>
      </c>
      <c r="F880" s="29" t="n">
        <f aca="false">(IF($U$19=1,(SUMPRODUCT((Quesería!$C$70:$C$89=0)*(Quesería!$J$70:$J$89&gt;0)*(F$47&gt;=1)*(F$47&lt;=Quesería!$J$70:$J$89)*(Quesería!$H$70:$H$89&gt;0)*Quesería!$F$70:$F$89*(1+Quesería!$I$70:$I$89)/(Quesería!$J$70:$J$89+(Quesería!$J$70:$J$89=0)))+SUMPRODUCT((Quesería!$C$70:$C$89=0)*(Quesería!$J$70:$J$89=0)*(F$47=0)*(Quesería!$H$70:$H$89&gt;0)*Quesería!$F$70:$F$89*(1+Quesería!$I$70:$I$89)))*$B$868+((SUMPRODUCT((Quesería!$C$70:$C$89=1)*(Quesería!$J$70:$J$89&gt;0)*(F$47&gt;=2)*(F$47&lt;=Quesería!$J$70:$J$89+1)*(Quesería!$H$70:$H$89&gt;0)*Quesería!$F$70:$F$89*(1+Quesería!$I$70:$I$89)/(Quesería!$J$70:$J$89+(Quesería!$J$70:$J$89=0)))+SUMPRODUCT((Quesería!$C$70:$C$89=1)*(Quesería!$J$70:$J$89=0)*(F$47=1)*(Quesería!$H$70:$H$89&gt;0)*Quesería!$F$70:$F$89*(1+Quesería!$I$70:$I$89)))-(-$U$26)*IF(AND(F$47&gt;=2,F$47&lt;=Quesería!$J$86+1),Quesería!$D$86*(1+Quesería!$I$86)/Quesería!$J$86,0))*$C$868*$U$21,IF(AND(F$47&gt;=1,F$47&lt;=Quesería!$B$30),Quesería!$F$92/Quesería!$B$30,0)*$B$868+IF(AND(F$47&gt;=2,F$47&lt;=Quesería!$B$30+1),(Quesería!$F$93-(-$U$26)*Quesería!$D$86*(1+Quesería!$I$86))/Quesería!$B$30,0)*$C$868*$U$21)*$U$11+IF(AND(F$47&gt;=6,F$47&lt;=10),$G872*$G868/5,0)+IF(AND(F$47&gt;=7,F$47&lt;=11),$H872*$H868/5,0))*F870</f>
        <v>131.0394609615</v>
      </c>
      <c r="G880" s="29" t="n">
        <f aca="false">(IF($U$19=1,(SUMPRODUCT((Quesería!$C$70:$C$89=0)*(Quesería!$J$70:$J$89&gt;0)*(G$47&gt;=1)*(G$47&lt;=Quesería!$J$70:$J$89)*(Quesería!$H$70:$H$89&gt;0)*Quesería!$F$70:$F$89*(1+Quesería!$I$70:$I$89)/(Quesería!$J$70:$J$89+(Quesería!$J$70:$J$89=0)))+SUMPRODUCT((Quesería!$C$70:$C$89=0)*(Quesería!$J$70:$J$89=0)*(G$47=0)*(Quesería!$H$70:$H$89&gt;0)*Quesería!$F$70:$F$89*(1+Quesería!$I$70:$I$89)))*$B$868+((SUMPRODUCT((Quesería!$C$70:$C$89=1)*(Quesería!$J$70:$J$89&gt;0)*(G$47&gt;=2)*(G$47&lt;=Quesería!$J$70:$J$89+1)*(Quesería!$H$70:$H$89&gt;0)*Quesería!$F$70:$F$89*(1+Quesería!$I$70:$I$89)/(Quesería!$J$70:$J$89+(Quesería!$J$70:$J$89=0)))+SUMPRODUCT((Quesería!$C$70:$C$89=1)*(Quesería!$J$70:$J$89=0)*(G$47=1)*(Quesería!$H$70:$H$89&gt;0)*Quesería!$F$70:$F$89*(1+Quesería!$I$70:$I$89)))-(-$U$26)*IF(AND(G$47&gt;=2,G$47&lt;=Quesería!$J$86+1),Quesería!$D$86*(1+Quesería!$I$86)/Quesería!$J$86,0))*$C$868*$U$21,IF(AND(G$47&gt;=1,G$47&lt;=Quesería!$B$30),Quesería!$F$92/Quesería!$B$30,0)*$B$868+IF(AND(G$47&gt;=2,G$47&lt;=Quesería!$B$30+1),(Quesería!$F$93-(-$U$26)*Quesería!$D$86*(1+Quesería!$I$86))/Quesería!$B$30,0)*$C$868*$U$21)*$U$11+IF(AND(G$47&gt;=6,G$47&lt;=10),$G872*$G868/5,0)+IF(AND(G$47&gt;=7,G$47&lt;=11),$H872*$H868/5,0))*G870</f>
        <v>125.99948169375</v>
      </c>
      <c r="H880" s="29" t="n">
        <f aca="false">(IF($U$19=1,(SUMPRODUCT((Quesería!$C$70:$C$89=0)*(Quesería!$J$70:$J$89&gt;0)*(H$47&gt;=1)*(H$47&lt;=Quesería!$J$70:$J$89)*(Quesería!$H$70:$H$89&gt;0)*Quesería!$F$70:$F$89*(1+Quesería!$I$70:$I$89)/(Quesería!$J$70:$J$89+(Quesería!$J$70:$J$89=0)))+SUMPRODUCT((Quesería!$C$70:$C$89=0)*(Quesería!$J$70:$J$89=0)*(H$47=0)*(Quesería!$H$70:$H$89&gt;0)*Quesería!$F$70:$F$89*(1+Quesería!$I$70:$I$89)))*$B$868+((SUMPRODUCT((Quesería!$C$70:$C$89=1)*(Quesería!$J$70:$J$89&gt;0)*(H$47&gt;=2)*(H$47&lt;=Quesería!$J$70:$J$89+1)*(Quesería!$H$70:$H$89&gt;0)*Quesería!$F$70:$F$89*(1+Quesería!$I$70:$I$89)/(Quesería!$J$70:$J$89+(Quesería!$J$70:$J$89=0)))+SUMPRODUCT((Quesería!$C$70:$C$89=1)*(Quesería!$J$70:$J$89=0)*(H$47=1)*(Quesería!$H$70:$H$89&gt;0)*Quesería!$F$70:$F$89*(1+Quesería!$I$70:$I$89)))-(-$U$26)*IF(AND(H$47&gt;=2,H$47&lt;=Quesería!$J$86+1),Quesería!$D$86*(1+Quesería!$I$86)/Quesería!$J$86,0))*$C$868*$U$21,IF(AND(H$47&gt;=1,H$47&lt;=Quesería!$B$30),Quesería!$F$92/Quesería!$B$30,0)*$B$868+IF(AND(H$47&gt;=2,H$47&lt;=Quesería!$B$30+1),(Quesería!$F$93-(-$U$26)*Quesería!$D$86*(1+Quesería!$I$86))/Quesería!$B$30,0)*$C$868*$U$21)*$U$11+IF(AND(H$47&gt;=6,H$47&lt;=10),$G872*$G868/5,0)+IF(AND(H$47&gt;=7,H$47&lt;=11),$H872*$H868/5,0))*H870</f>
        <v>114.13472617855</v>
      </c>
      <c r="I880" s="29" t="n">
        <f aca="false">(IF($U$19=1,(SUMPRODUCT((Quesería!$C$70:$C$89=0)*(Quesería!$J$70:$J$89&gt;0)*(I$47&gt;=1)*(I$47&lt;=Quesería!$J$70:$J$89)*(Quesería!$H$70:$H$89&gt;0)*Quesería!$F$70:$F$89*(1+Quesería!$I$70:$I$89)/(Quesería!$J$70:$J$89+(Quesería!$J$70:$J$89=0)))+SUMPRODUCT((Quesería!$C$70:$C$89=0)*(Quesería!$J$70:$J$89=0)*(I$47=0)*(Quesería!$H$70:$H$89&gt;0)*Quesería!$F$70:$F$89*(1+Quesería!$I$70:$I$89)))*$B$868+((SUMPRODUCT((Quesería!$C$70:$C$89=1)*(Quesería!$J$70:$J$89&gt;0)*(I$47&gt;=2)*(I$47&lt;=Quesería!$J$70:$J$89+1)*(Quesería!$H$70:$H$89&gt;0)*Quesería!$F$70:$F$89*(1+Quesería!$I$70:$I$89)/(Quesería!$J$70:$J$89+(Quesería!$J$70:$J$89=0)))+SUMPRODUCT((Quesería!$C$70:$C$89=1)*(Quesería!$J$70:$J$89=0)*(I$47=1)*(Quesería!$H$70:$H$89&gt;0)*Quesería!$F$70:$F$89*(1+Quesería!$I$70:$I$89)))-(-$U$26)*IF(AND(I$47&gt;=2,I$47&lt;=Quesería!$J$86+1),Quesería!$D$86*(1+Quesería!$I$86)/Quesería!$J$86,0))*$C$868*$U$21,IF(AND(I$47&gt;=1,I$47&lt;=Quesería!$B$30),Quesería!$F$92/Quesería!$B$30,0)*$B$868+IF(AND(I$47&gt;=2,I$47&lt;=Quesería!$B$30+1),(Quesería!$F$93-(-$U$26)*Quesería!$D$86*(1+Quesería!$I$86))/Quesería!$B$30,0)*$C$868*$U$21)*$U$11+IF(AND(I$47&gt;=6,I$47&lt;=10),$G872*$G868/5,0)+IF(AND(I$47&gt;=7,I$47&lt;=11),$H872*$H868/5,0))*I870</f>
        <v>118.665920500713</v>
      </c>
      <c r="J880" s="29" t="n">
        <f aca="false">(IF($U$19=1,(SUMPRODUCT((Quesería!$C$70:$C$89=0)*(Quesería!$J$70:$J$89&gt;0)*(J$47&gt;=1)*(J$47&lt;=Quesería!$J$70:$J$89)*(Quesería!$H$70:$H$89&gt;0)*Quesería!$F$70:$F$89*(1+Quesería!$I$70:$I$89)/(Quesería!$J$70:$J$89+(Quesería!$J$70:$J$89=0)))+SUMPRODUCT((Quesería!$C$70:$C$89=0)*(Quesería!$J$70:$J$89=0)*(J$47=0)*(Quesería!$H$70:$H$89&gt;0)*Quesería!$F$70:$F$89*(1+Quesería!$I$70:$I$89)))*$B$868+((SUMPRODUCT((Quesería!$C$70:$C$89=1)*(Quesería!$J$70:$J$89&gt;0)*(J$47&gt;=2)*(J$47&lt;=Quesería!$J$70:$J$89+1)*(Quesería!$H$70:$H$89&gt;0)*Quesería!$F$70:$F$89*(1+Quesería!$I$70:$I$89)/(Quesería!$J$70:$J$89+(Quesería!$J$70:$J$89=0)))+SUMPRODUCT((Quesería!$C$70:$C$89=1)*(Quesería!$J$70:$J$89=0)*(J$47=1)*(Quesería!$H$70:$H$89&gt;0)*Quesería!$F$70:$F$89*(1+Quesería!$I$70:$I$89)))-(-$U$26)*IF(AND(J$47&gt;=2,J$47&lt;=Quesería!$J$86+1),Quesería!$D$86*(1+Quesería!$I$86)/Quesería!$J$86,0))*$C$868*$U$21,IF(AND(J$47&gt;=1,J$47&lt;=Quesería!$B$30),Quesería!$F$92/Quesería!$B$30,0)*$B$868+IF(AND(J$47&gt;=2,J$47&lt;=Quesería!$B$30+1),(Quesería!$F$93-(-$U$26)*Quesería!$D$86*(1+Quesería!$I$86))/Quesería!$B$30,0)*$C$868*$U$21)*$U$11+IF(AND(J$47&gt;=6,J$47&lt;=10),$G872*$G868/5,0)+IF(AND(J$47&gt;=7,J$47&lt;=11),$H872*$H868/5,0))*J870</f>
        <v>114.101846635301</v>
      </c>
      <c r="K880" s="29" t="n">
        <f aca="false">(IF($U$19=1,(SUMPRODUCT((Quesería!$C$70:$C$89=0)*(Quesería!$J$70:$J$89&gt;0)*(K$47&gt;=1)*(K$47&lt;=Quesería!$J$70:$J$89)*(Quesería!$H$70:$H$89&gt;0)*Quesería!$F$70:$F$89*(1+Quesería!$I$70:$I$89)/(Quesería!$J$70:$J$89+(Quesería!$J$70:$J$89=0)))+SUMPRODUCT((Quesería!$C$70:$C$89=0)*(Quesería!$J$70:$J$89=0)*(K$47=0)*(Quesería!$H$70:$H$89&gt;0)*Quesería!$F$70:$F$89*(1+Quesería!$I$70:$I$89)))*$B$868+((SUMPRODUCT((Quesería!$C$70:$C$89=1)*(Quesería!$J$70:$J$89&gt;0)*(K$47&gt;=2)*(K$47&lt;=Quesería!$J$70:$J$89+1)*(Quesería!$H$70:$H$89&gt;0)*Quesería!$F$70:$F$89*(1+Quesería!$I$70:$I$89)/(Quesería!$J$70:$J$89+(Quesería!$J$70:$J$89=0)))+SUMPRODUCT((Quesería!$C$70:$C$89=1)*(Quesería!$J$70:$J$89=0)*(K$47=1)*(Quesería!$H$70:$H$89&gt;0)*Quesería!$F$70:$F$89*(1+Quesería!$I$70:$I$89)))-(-$U$26)*IF(AND(K$47&gt;=2,K$47&lt;=Quesería!$J$86+1),Quesería!$D$86*(1+Quesería!$I$86)/Quesería!$J$86,0))*$C$868*$U$21,IF(AND(K$47&gt;=1,K$47&lt;=Quesería!$B$30),Quesería!$F$92/Quesería!$B$30,0)*$B$868+IF(AND(K$47&gt;=2,K$47&lt;=Quesería!$B$30+1),(Quesería!$F$93-(-$U$26)*Quesería!$D$86*(1+Quesería!$I$86))/Quesería!$B$30,0)*$C$868*$U$21)*$U$11+IF(AND(K$47&gt;=6,K$47&lt;=10),$G872*$G868/5,0)+IF(AND(K$47&gt;=7,K$47&lt;=11),$H872*$H868/5,0))*K870</f>
        <v>109.713314072405</v>
      </c>
      <c r="L880" s="29" t="n">
        <f aca="false">(IF($U$19=1,(SUMPRODUCT((Quesería!$C$70:$C$89=0)*(Quesería!$J$70:$J$89&gt;0)*(L$47&gt;=1)*(L$47&lt;=Quesería!$J$70:$J$89)*(Quesería!$H$70:$H$89&gt;0)*Quesería!$F$70:$F$89*(1+Quesería!$I$70:$I$89)/(Quesería!$J$70:$J$89+(Quesería!$J$70:$J$89=0)))+SUMPRODUCT((Quesería!$C$70:$C$89=0)*(Quesería!$J$70:$J$89=0)*(L$47=0)*(Quesería!$H$70:$H$89&gt;0)*Quesería!$F$70:$F$89*(1+Quesería!$I$70:$I$89)))*$B$868+((SUMPRODUCT((Quesería!$C$70:$C$89=1)*(Quesería!$J$70:$J$89&gt;0)*(L$47&gt;=2)*(L$47&lt;=Quesería!$J$70:$J$89+1)*(Quesería!$H$70:$H$89&gt;0)*Quesería!$F$70:$F$89*(1+Quesería!$I$70:$I$89)/(Quesería!$J$70:$J$89+(Quesería!$J$70:$J$89=0)))+SUMPRODUCT((Quesería!$C$70:$C$89=1)*(Quesería!$J$70:$J$89=0)*(L$47=1)*(Quesería!$H$70:$H$89&gt;0)*Quesería!$F$70:$F$89*(1+Quesería!$I$70:$I$89)))-(-$U$26)*IF(AND(L$47&gt;=2,L$47&lt;=Quesería!$J$86+1),Quesería!$D$86*(1+Quesería!$I$86)/Quesería!$J$86,0))*$C$868*$U$21,IF(AND(L$47&gt;=1,L$47&lt;=Quesería!$B$30),Quesería!$F$92/Quesería!$B$30,0)*$B$868+IF(AND(L$47&gt;=2,L$47&lt;=Quesería!$B$30+1),(Quesería!$F$93-(-$U$26)*Quesería!$D$86*(1+Quesería!$I$86))/Quesería!$B$30,0)*$C$868*$U$21)*$U$11+IF(AND(L$47&gt;=6,L$47&lt;=10),$G872*$G868/5,0)+IF(AND(L$47&gt;=7,L$47&lt;=11),$H872*$H868/5,0))*L870</f>
        <v>105.493571223466</v>
      </c>
    </row>
    <row r="881" customFormat="false" ht="15" hidden="true" customHeight="false" outlineLevel="1" collapsed="false">
      <c r="A881" s="9" t="s">
        <v>417</v>
      </c>
      <c r="B881" s="58" t="n">
        <f aca="false">IF(B$47=1,MIN($U$7*$U$26*Quesería!$B$56*Quesería!$D$86*$U$11*$U$21,Quesería!$B$57*Quesería!$B$58),0)</f>
        <v>0</v>
      </c>
      <c r="C881" s="58" t="n">
        <f aca="false">IF(C$47=1,MIN($U$7*$U$26*Quesería!$B$56*Quesería!$D$86*$U$11*$U$21,Quesería!$B$57*Quesería!$B$58),0)</f>
        <v>0</v>
      </c>
      <c r="D881" s="58" t="n">
        <f aca="false">IF(D$47=1,MIN($U$7*$U$26*Quesería!$B$56*Quesería!$D$86*$U$11*$U$21,Quesería!$B$57*Quesería!$B$58),0)</f>
        <v>0</v>
      </c>
      <c r="E881" s="58" t="n">
        <f aca="false">IF(E$47=1,MIN($U$7*$U$26*Quesería!$B$56*Quesería!$D$86*$U$11*$U$21,Quesería!$B$57*Quesería!$B$58),0)</f>
        <v>0</v>
      </c>
      <c r="F881" s="58" t="n">
        <f aca="false">IF(F$47=1,MIN($U$7*$U$26*Quesería!$B$56*Quesería!$D$86*$U$11*$U$21,Quesería!$B$57*Quesería!$B$58),0)</f>
        <v>0</v>
      </c>
      <c r="G881" s="58" t="n">
        <f aca="false">IF(G$47=1,MIN($U$7*$U$26*Quesería!$B$56*Quesería!$D$86*$U$11*$U$21,Quesería!$B$57*Quesería!$B$58),0)</f>
        <v>0</v>
      </c>
      <c r="H881" s="58" t="n">
        <f aca="false">IF(H$47=1,MIN($U$7*$U$26*Quesería!$B$56*Quesería!$D$86*$U$11*$U$21,Quesería!$B$57*Quesería!$B$58),0)</f>
        <v>0</v>
      </c>
      <c r="I881" s="58" t="n">
        <f aca="false">IF(I$47=1,MIN($U$7*$U$26*Quesería!$B$56*Quesería!$D$86*$U$11*$U$21,Quesería!$B$57*Quesería!$B$58),0)</f>
        <v>0</v>
      </c>
      <c r="J881" s="58" t="n">
        <f aca="false">IF(J$47=1,MIN($U$7*$U$26*Quesería!$B$56*Quesería!$D$86*$U$11*$U$21,Quesería!$B$57*Quesería!$B$58),0)</f>
        <v>0</v>
      </c>
      <c r="K881" s="58" t="n">
        <f aca="false">IF(K$47=1,MIN($U$7*$U$26*Quesería!$B$56*Quesería!$D$86*$U$11*$U$21,Quesería!$B$57*Quesería!$B$58),0)</f>
        <v>0</v>
      </c>
      <c r="L881" s="58" t="n">
        <f aca="false">IF(L$47=1,MIN($U$7*$U$26*Quesería!$B$56*Quesería!$D$86*$U$11*$U$21,Quesería!$B$57*Quesería!$B$58),0)</f>
        <v>0</v>
      </c>
    </row>
    <row r="882" customFormat="false" ht="15" hidden="true" customHeight="false" outlineLevel="1" collapsed="false">
      <c r="A882" s="9" t="s">
        <v>418</v>
      </c>
      <c r="B882" s="58" t="n">
        <v>0</v>
      </c>
      <c r="C882" s="58" t="n">
        <f aca="false">$U$20*Quesería!$B$60*Quesería!$F$98*$U$11*$B$868/C868/2</f>
        <v>0</v>
      </c>
      <c r="D882" s="58" t="n">
        <f aca="false">$U$20*Quesería!$B$60*Quesería!$F$98*$U$11*$B$868/D868/2</f>
        <v>0</v>
      </c>
      <c r="E882" s="58" t="n">
        <v>0</v>
      </c>
      <c r="F882" s="58" t="n">
        <v>0</v>
      </c>
      <c r="G882" s="58" t="n">
        <v>0</v>
      </c>
      <c r="H882" s="58" t="n">
        <v>0</v>
      </c>
      <c r="I882" s="58" t="n">
        <v>0</v>
      </c>
      <c r="J882" s="58" t="n">
        <v>0</v>
      </c>
      <c r="K882" s="58" t="n">
        <v>0</v>
      </c>
      <c r="L882" s="58" t="n">
        <v>0</v>
      </c>
    </row>
    <row r="883" customFormat="false" ht="15" hidden="true" customHeight="false" outlineLevel="1" collapsed="false">
      <c r="A883" s="9" t="s">
        <v>419</v>
      </c>
      <c r="B883" s="58" t="n">
        <f aca="false">0</f>
        <v>0</v>
      </c>
      <c r="C883" s="58" t="n">
        <f aca="false">B873*B868/C868</f>
        <v>142.014925295407</v>
      </c>
      <c r="D883" s="58" t="n">
        <f aca="false">C873*C868/D868</f>
        <v>119.721648486272</v>
      </c>
      <c r="E883" s="58" t="n">
        <f aca="false">D873*D868/E868</f>
        <v>0</v>
      </c>
      <c r="F883" s="58" t="n">
        <f aca="false">E873*E868/F868</f>
        <v>0</v>
      </c>
      <c r="G883" s="58" t="n">
        <f aca="false">F873*F868/G868</f>
        <v>0</v>
      </c>
      <c r="H883" s="58" t="n">
        <f aca="false">G873*G868/H868</f>
        <v>5.01768392412113</v>
      </c>
      <c r="I883" s="58" t="n">
        <f aca="false">H873*H868/I868</f>
        <v>8.47494190873221</v>
      </c>
      <c r="J883" s="58" t="n">
        <f aca="false">I873*I868/J868</f>
        <v>0</v>
      </c>
      <c r="K883" s="58" t="n">
        <f aca="false">J873*J868/K868</f>
        <v>0</v>
      </c>
      <c r="L883" s="58" t="n">
        <f aca="false">K873*K868/L868</f>
        <v>0</v>
      </c>
    </row>
    <row r="884" customFormat="false" ht="15" hidden="true" customHeight="false" outlineLevel="1" collapsed="false">
      <c r="A884" s="6" t="s">
        <v>295</v>
      </c>
      <c r="B884" s="29" t="n">
        <f aca="false">$U$17*(B876-B877-B878-0.5*B879-B880)-B881-B882-B883</f>
        <v>-9.59839124703308</v>
      </c>
      <c r="C884" s="29" t="n">
        <f aca="false">$U$17*(C876-C877-C878-0.5*C879-C880)-C881-C882-C883</f>
        <v>-129.147066181451</v>
      </c>
      <c r="D884" s="29" t="n">
        <f aca="false">$U$17*(D876-D877-D878-0.5*D879-D880)-D881-D882-D883</f>
        <v>-21.4411881631372</v>
      </c>
      <c r="E884" s="29" t="n">
        <f aca="false">$U$17*(E876-E877-E878-0.5*E879-E880)-E881-E882-E883</f>
        <v>125.109835670203</v>
      </c>
      <c r="F884" s="29" t="n">
        <f aca="false">$U$17*(F876-F877-F878-0.5*F879-F880)-F881-F882-F883</f>
        <v>127.052611986067</v>
      </c>
      <c r="G884" s="29" t="n">
        <f aca="false">$U$17*(G876-G877-G878-0.5*G879-G880)-G881-G882-G883</f>
        <v>128.902491185509</v>
      </c>
      <c r="H884" s="29" t="n">
        <f aca="false">$U$17*(H876-H877-H878-0.5*H879-H880)-H881-H882-H883</f>
        <v>128.131016857608</v>
      </c>
      <c r="I884" s="29" t="n">
        <f aca="false">$U$17*(I876-I877-I878-0.5*I879-I880)-I881-I882-I883</f>
        <v>123.236338377604</v>
      </c>
      <c r="J884" s="29" t="n">
        <f aca="false">$U$17*(J876-J877-J878-0.5*J879-J880)-J881-J882-J883</f>
        <v>133.41911076664</v>
      </c>
      <c r="K884" s="29" t="n">
        <f aca="false">$U$17*(K876-K877-K878-0.5*K879-K880)-K881-K882-K883</f>
        <v>135.0660538142</v>
      </c>
      <c r="L884" s="29" t="n">
        <f aca="false">$U$17*(L876-L877-L878-0.5*L879-L880)-L881-L882-L883</f>
        <v>136.654475245128</v>
      </c>
    </row>
    <row r="885" customFormat="false" ht="15" hidden="true" customHeight="false" outlineLevel="1" collapsed="false">
      <c r="A885" s="9" t="s">
        <v>420</v>
      </c>
      <c r="B885" s="58" t="n">
        <f aca="false">(IF(B$47&gt;=1,Quesería!$G$124*IF(B$47=1,Quesería!$B$20,1),Quesería!$G$124*Quesería!$B$20*Quesería!$B$21/12*$U$23)+IF(B$47&gt;=2,(Quesería!$G$125-(1-$U$24)*Quesería!$G$117-(-$U$26*$U$27)*'Beneficios y costos'!$D$167)*$U$21*IF(B$47=2,Quesería!$B$20,1),0))*$U$10</f>
        <v>77.4042870161869</v>
      </c>
      <c r="C885" s="58" t="n">
        <f aca="false">(IF(C$47&gt;=1,Quesería!$G$124*IF(C$47=1,Quesería!$B$20,1),Quesería!$G$124*Quesería!$B$20*Quesería!$B$21/12*$U$23)+IF(C$47&gt;=2,(Quesería!$G$125-(1-$U$24)*Quesería!$G$117-(-$U$26*$U$27)*'Beneficios y costos'!$D$167)*$U$21*IF(C$47=2,Quesería!$B$20,1),0))*$U$10</f>
        <v>116.10643052428</v>
      </c>
      <c r="D885" s="58" t="n">
        <f aca="false">(IF(D$47&gt;=1,Quesería!$G$124*IF(D$47=1,Quesería!$B$20,1),Quesería!$G$124*Quesería!$B$20*Quesería!$B$21/12*$U$23)+IF(D$47&gt;=2,(Quesería!$G$125-(1-$U$24)*Quesería!$G$117-(-$U$26*$U$27)*'Beneficios y costos'!$D$167)*$U$21*IF(D$47=2,Quesería!$B$20,1),0))*$U$10</f>
        <v>2023.78917421887</v>
      </c>
      <c r="E885" s="58" t="n">
        <f aca="false">(IF(E$47&gt;=1,Quesería!$G$124*IF(E$47=1,Quesería!$B$20,1),Quesería!$G$124*Quesería!$B$20*Quesería!$B$21/12*$U$23)+IF(E$47&gt;=2,(Quesería!$G$125-(1-$U$24)*Quesería!$G$117-(-$U$26*$U$27)*'Beneficios y costos'!$D$167)*$U$21*IF(E$47=2,Quesería!$B$20,1),0))*$U$10</f>
        <v>2646.78270761437</v>
      </c>
      <c r="F885" s="58" t="n">
        <f aca="false">(IF(F$47&gt;=1,Quesería!$G$124*IF(F$47=1,Quesería!$B$20,1),Quesería!$G$124*Quesería!$B$20*Quesería!$B$21/12*$U$23)+IF(F$47&gt;=2,(Quesería!$G$125-(1-$U$24)*Quesería!$G$117-(-$U$26*$U$27)*'Beneficios y costos'!$D$167)*$U$21*IF(F$47=2,Quesería!$B$20,1),0))*$U$10</f>
        <v>2646.78270761437</v>
      </c>
      <c r="G885" s="58" t="n">
        <f aca="false">(IF(G$47&gt;=1,Quesería!$G$124*IF(G$47=1,Quesería!$B$20,1),Quesería!$G$124*Quesería!$B$20*Quesería!$B$21/12*$U$23)+IF(G$47&gt;=2,(Quesería!$G$125-(1-$U$24)*Quesería!$G$117-(-$U$26*$U$27)*'Beneficios y costos'!$D$167)*$U$21*IF(G$47=2,Quesería!$B$20,1),0))*$U$10</f>
        <v>2646.78270761437</v>
      </c>
      <c r="H885" s="58" t="n">
        <f aca="false">(IF(H$47&gt;=1,Quesería!$G$124*IF(H$47=1,Quesería!$B$20,1),Quesería!$G$124*Quesería!$B$20*Quesería!$B$21/12*$U$23)+IF(H$47&gt;=2,(Quesería!$G$125-(1-$U$24)*Quesería!$G$117-(-$U$26*$U$27)*'Beneficios y costos'!$D$167)*$U$21*IF(H$47=2,Quesería!$B$20,1),0))*$U$10</f>
        <v>2646.78270761437</v>
      </c>
      <c r="I885" s="58" t="n">
        <f aca="false">(IF(I$47&gt;=1,Quesería!$G$124*IF(I$47=1,Quesería!$B$20,1),Quesería!$G$124*Quesería!$B$20*Quesería!$B$21/12*$U$23)+IF(I$47&gt;=2,(Quesería!$G$125-(1-$U$24)*Quesería!$G$117-(-$U$26*$U$27)*'Beneficios y costos'!$D$167)*$U$21*IF(I$47=2,Quesería!$B$20,1),0))*$U$10</f>
        <v>2646.78270761437</v>
      </c>
      <c r="J885" s="58" t="n">
        <f aca="false">(IF(J$47&gt;=1,Quesería!$G$124*IF(J$47=1,Quesería!$B$20,1),Quesería!$G$124*Quesería!$B$20*Quesería!$B$21/12*$U$23)+IF(J$47&gt;=2,(Quesería!$G$125-(1-$U$24)*Quesería!$G$117-(-$U$26*$U$27)*'Beneficios y costos'!$D$167)*$U$21*IF(J$47=2,Quesería!$B$20,1),0))*$U$10</f>
        <v>2646.78270761437</v>
      </c>
      <c r="K885" s="58" t="n">
        <f aca="false">(IF(K$47&gt;=1,Quesería!$G$124*IF(K$47=1,Quesería!$B$20,1),Quesería!$G$124*Quesería!$B$20*Quesería!$B$21/12*$U$23)+IF(K$47&gt;=2,(Quesería!$G$125-(1-$U$24)*Quesería!$G$117-(-$U$26*$U$27)*'Beneficios y costos'!$D$167)*$U$21*IF(K$47=2,Quesería!$B$20,1),0))*$U$10</f>
        <v>2646.78270761437</v>
      </c>
      <c r="L885" s="58" t="n">
        <f aca="false">(IF(L$47&gt;=1,Quesería!$G$124*IF(L$47=1,Quesería!$B$20,1),Quesería!$G$124*Quesería!$B$20*Quesería!$B$21/12*$U$23)+IF(L$47&gt;=2,(Quesería!$G$125-(1-$U$24)*Quesería!$G$117-(-$U$26*$U$27)*'Beneficios y costos'!$D$167)*$U$21*IF(L$47=2,Quesería!$B$20,1),0))*$U$10</f>
        <v>2646.78270761437</v>
      </c>
    </row>
    <row r="886" customFormat="false" ht="15" hidden="true" customHeight="false" outlineLevel="1" collapsed="false">
      <c r="A886" s="6" t="s">
        <v>421</v>
      </c>
      <c r="B886" s="29" t="n">
        <f aca="false">(B885*(Quesería!$B$38+Quesería!$B$40*Quesería!$B$39)/365-B877*Quesería!$B$42/365+IF(B$47&gt;=2,($U$25*'Beneficios y costos'!$B$147+(1-$U$25)*'Beneficios y costos'!$B$148)*$U$24*$U$21*$U$10*IF(B$47=2,Quesería!$B$20,1),0))</f>
        <v>7.23146900616979</v>
      </c>
      <c r="C886" s="29" t="n">
        <f aca="false">(C885*(Quesería!$B$38+Quesería!$B$40*Quesería!$B$39)/365-C877*Quesería!$B$42/365+IF(C$47&gt;=2,($U$25*'Beneficios y costos'!$B$147+(1-$U$25)*'Beneficios y costos'!$B$148)*$U$24*$U$21*$U$10*IF(C$47=2,Quesería!$B$20,1),0))-(B885*(Quesería!$B$38+Quesería!$B$40*Quesería!$B$39)/365-B877*Quesería!$B$42/365+IF(B$47&gt;=2,($U$25*'Beneficios y costos'!$B$147+(1-$U$25)*'Beneficios y costos'!$B$148)*$U$24*$U$21*$U$10*IF(B$47=2,Quesería!$B$20,1),0))*B868/C868</f>
        <v>1.42287846600884</v>
      </c>
      <c r="D886" s="29" t="n">
        <f aca="false">(D885*(Quesería!$B$38+Quesería!$B$40*Quesería!$B$39)/365-D877*Quesería!$B$42/365+IF(D$47&gt;=2,($U$25*'Beneficios y costos'!$B$147+(1-$U$25)*'Beneficios y costos'!$B$148)*$U$24*$U$21*$U$10*IF(D$47=2,Quesería!$B$20,1),0))-(C885*(Quesería!$B$38+Quesería!$B$40*Quesería!$B$39)/365-C877*Quesería!$B$42/365+IF(C$47&gt;=2,($U$25*'Beneficios y costos'!$B$147+(1-$U$25)*'Beneficios y costos'!$B$148)*$U$24*$U$21*$U$10*IF(C$47=2,Quesería!$B$20,1),0))*C868/D868</f>
        <v>121.067969072345</v>
      </c>
      <c r="E886" s="29" t="n">
        <f aca="false">(E885*(Quesería!$B$38+Quesería!$B$40*Quesería!$B$39)/365-E877*Quesería!$B$42/365+IF(E$47&gt;=2,($U$25*'Beneficios y costos'!$B$147+(1-$U$25)*'Beneficios y costos'!$B$148)*$U$24*$U$21*$U$10*IF(E$47=2,Quesería!$B$20,1),0))-(D885*(Quesería!$B$38+Quesería!$B$40*Quesería!$B$39)/365-D877*Quesería!$B$42/365+IF(D$47&gt;=2,($U$25*'Beneficios y costos'!$B$147+(1-$U$25)*'Beneficios y costos'!$B$148)*$U$24*$U$21*$U$10*IF(D$47=2,Quesería!$B$20,1),0))*D868/E868</f>
        <v>44.6849531551876</v>
      </c>
      <c r="F886" s="29" t="n">
        <f aca="false">(F885*(Quesería!$B$38+Quesería!$B$40*Quesería!$B$39)/365-F877*Quesería!$B$42/365+IF(F$47&gt;=2,($U$25*'Beneficios y costos'!$B$147+(1-$U$25)*'Beneficios y costos'!$B$148)*$U$24*$U$21*$U$10*IF(F$47=2,Quesería!$B$20,1),0))-(E885*(Quesería!$B$38+Quesería!$B$40*Quesería!$B$39)/365-E877*Quesería!$B$42/365+IF(E$47&gt;=2,($U$25*'Beneficios y costos'!$B$147+(1-$U$25)*'Beneficios y costos'!$B$148)*$U$24*$U$21*$U$10*IF(E$47=2,Quesería!$B$20,1),0))*E868/F868</f>
        <v>6.49010597714096</v>
      </c>
      <c r="G886" s="29" t="n">
        <f aca="false">(G885*(Quesería!$B$38+Quesería!$B$40*Quesería!$B$39)/365-G877*Quesería!$B$42/365+IF(G$47&gt;=2,($U$25*'Beneficios y costos'!$B$147+(1-$U$25)*'Beneficios y costos'!$B$148)*$U$24*$U$21*$U$10*IF(G$47=2,Quesería!$B$20,1),0))-(F885*(Quesería!$B$38+Quesería!$B$40*Quesería!$B$39)/365-F877*Quesería!$B$42/365+IF(F$47&gt;=2,($U$25*'Beneficios y costos'!$B$147+(1-$U$25)*'Beneficios y costos'!$B$148)*$U$24*$U$21*$U$10*IF(F$47=2,Quesería!$B$20,1),0))*F868/G868</f>
        <v>6.49010597714096</v>
      </c>
      <c r="H886" s="29" t="n">
        <f aca="false">(H885*(Quesería!$B$38+Quesería!$B$40*Quesería!$B$39)/365-H877*Quesería!$B$42/365+IF(H$47&gt;=2,($U$25*'Beneficios y costos'!$B$147+(1-$U$25)*'Beneficios y costos'!$B$148)*$U$24*$U$21*$U$10*IF(H$47=2,Quesería!$B$20,1),0))-(G885*(Quesería!$B$38+Quesería!$B$40*Quesería!$B$39)/365-G877*Quesería!$B$42/365+IF(G$47&gt;=2,($U$25*'Beneficios y costos'!$B$147+(1-$U$25)*'Beneficios y costos'!$B$148)*$U$24*$U$21*$U$10*IF(G$47=2,Quesería!$B$20,1),0))*G868/H868</f>
        <v>6.49010597714096</v>
      </c>
      <c r="I886" s="29" t="n">
        <f aca="false">(I885*(Quesería!$B$38+Quesería!$B$40*Quesería!$B$39)/365-I877*Quesería!$B$42/365+IF(I$47&gt;=2,($U$25*'Beneficios y costos'!$B$147+(1-$U$25)*'Beneficios y costos'!$B$148)*$U$24*$U$21*$U$10*IF(I$47=2,Quesería!$B$20,1),0))-(H885*(Quesería!$B$38+Quesería!$B$40*Quesería!$B$39)/365-H877*Quesería!$B$42/365+IF(H$47&gt;=2,($U$25*'Beneficios y costos'!$B$147+(1-$U$25)*'Beneficios y costos'!$B$148)*$U$24*$U$21*$U$10*IF(H$47=2,Quesería!$B$20,1),0))*H868/I868</f>
        <v>6.49010597714096</v>
      </c>
      <c r="J886" s="29" t="n">
        <f aca="false">(J885*(Quesería!$B$38+Quesería!$B$40*Quesería!$B$39)/365-J877*Quesería!$B$42/365+IF(J$47&gt;=2,($U$25*'Beneficios y costos'!$B$147+(1-$U$25)*'Beneficios y costos'!$B$148)*$U$24*$U$21*$U$10*IF(J$47=2,Quesería!$B$20,1),0))-(I885*(Quesería!$B$38+Quesería!$B$40*Quesería!$B$39)/365-I877*Quesería!$B$42/365+IF(I$47&gt;=2,($U$25*'Beneficios y costos'!$B$147+(1-$U$25)*'Beneficios y costos'!$B$148)*$U$24*$U$21*$U$10*IF(I$47=2,Quesería!$B$20,1),0))*I868/J868</f>
        <v>6.49010597714096</v>
      </c>
      <c r="K886" s="29" t="n">
        <f aca="false">(K885*(Quesería!$B$38+Quesería!$B$40*Quesería!$B$39)/365-K877*Quesería!$B$42/365+IF(K$47&gt;=2,($U$25*'Beneficios y costos'!$B$147+(1-$U$25)*'Beneficios y costos'!$B$148)*$U$24*$U$21*$U$10*IF(K$47=2,Quesería!$B$20,1),0))-(J885*(Quesería!$B$38+Quesería!$B$40*Quesería!$B$39)/365-J877*Quesería!$B$42/365+IF(J$47&gt;=2,($U$25*'Beneficios y costos'!$B$147+(1-$U$25)*'Beneficios y costos'!$B$148)*$U$24*$U$21*$U$10*IF(J$47=2,Quesería!$B$20,1),0))*J868/K868</f>
        <v>6.49010597714099</v>
      </c>
      <c r="L886" s="29" t="n">
        <f aca="false">-(K885*(Quesería!$B$38+Quesería!$B$40*Quesería!$B$39)/365-K877*Quesería!$B$42/365+IF(K$47&gt;=2,($U$25*'Beneficios y costos'!$B$147+(1-$U$25)*'Beneficios y costos'!$B$148)*$U$24*$U$21*$U$10*IF(K$47=2,Quesería!$B$20,1),0))*K868/L868</f>
        <v>-162.252649428524</v>
      </c>
    </row>
    <row r="887" customFormat="false" ht="15" hidden="true" customHeight="false" outlineLevel="1" collapsed="false">
      <c r="A887" s="6" t="s">
        <v>422</v>
      </c>
      <c r="B887" s="29" t="n">
        <v>0</v>
      </c>
      <c r="C887" s="29" t="n">
        <v>0</v>
      </c>
      <c r="D887" s="29" t="n">
        <v>0</v>
      </c>
      <c r="E887" s="29" t="n">
        <v>0</v>
      </c>
      <c r="F887" s="29" t="n">
        <v>0</v>
      </c>
      <c r="G887" s="29" t="n">
        <v>0</v>
      </c>
      <c r="H887" s="29" t="n">
        <v>0</v>
      </c>
      <c r="I887" s="29" t="n">
        <v>0</v>
      </c>
      <c r="J887" s="29" t="n">
        <v>0</v>
      </c>
      <c r="K887" s="29" t="n">
        <v>0</v>
      </c>
      <c r="L887" s="29" t="n">
        <f aca="false">$U$8*Quesería!$B$36*(Quesería!$F$94+(Quesería!$F$95-(-$U$26)*Quesería!$D$86)*$U$21)*$U$11*(1-$U$17)</f>
        <v>61.9237725584542</v>
      </c>
    </row>
    <row r="888" customFormat="false" ht="15" hidden="true" customHeight="false" outlineLevel="1" collapsed="false">
      <c r="A888" s="5" t="s">
        <v>147</v>
      </c>
      <c r="B888" s="59" t="n">
        <f aca="false">B876-B877-B878-B879-B884-B871-B872-B873-B886+B887</f>
        <v>-961.151880133756</v>
      </c>
      <c r="C888" s="59" t="n">
        <f aca="false">C876-C877-C878-C879-C884-C871-C872-C873-C886+C887</f>
        <v>-538.513741898648</v>
      </c>
      <c r="D888" s="59" t="n">
        <f aca="false">D876-D877-D878-D879-D884-D871-D872-D873-D886+D887</f>
        <v>322.753822311474</v>
      </c>
      <c r="E888" s="59" t="n">
        <f aca="false">E876-E877-E878-E879-E884-E871-E872-E873-E886+E887</f>
        <v>323.789930953772</v>
      </c>
      <c r="F888" s="59" t="n">
        <f aca="false">F876-F877-F878-F879-F884-F871-F872-F873-F886+F887</f>
        <v>360.351212851391</v>
      </c>
      <c r="G888" s="59" t="n">
        <f aca="false">G876-G877-G878-G879-G884-G871-G872-G873-G886+G887</f>
        <v>325.997747758402</v>
      </c>
      <c r="H888" s="59" t="n">
        <f aca="false">H876-H877-H878-H879-H884-H871-H872-H873-H886+H887</f>
        <v>304.471968269307</v>
      </c>
      <c r="I888" s="59" t="n">
        <f aca="false">I876-I877-I878-I879-I884-I871-I872-I873-I886+I887</f>
        <v>365.104426856979</v>
      </c>
      <c r="J888" s="59" t="n">
        <f aca="false">J876-J877-J878-J879-J884-J871-J872-J873-J886+J887</f>
        <v>355.237096260542</v>
      </c>
      <c r="K888" s="59" t="n">
        <f aca="false">K876-K877-K878-K879-K884-K871-K872-K873-K886+K887</f>
        <v>353.907172214543</v>
      </c>
      <c r="L888" s="59" t="n">
        <f aca="false">L876-L877-L878-L879-L884-L871-L872-L873-L886+L887</f>
        <v>583.303882844304</v>
      </c>
    </row>
    <row r="889" customFormat="false" ht="15" hidden="true" customHeight="false" outlineLevel="1" collapsed="false">
      <c r="A889" s="9" t="s">
        <v>423</v>
      </c>
      <c r="B889" s="58" t="n">
        <f aca="false">B888*B868</f>
        <v>-1018.82099294178</v>
      </c>
      <c r="C889" s="58" t="n">
        <f aca="false">C888*C868</f>
        <v>-599.365794733195</v>
      </c>
      <c r="D889" s="58" t="n">
        <f aca="false">D888*D868</f>
        <v>375.39012942314</v>
      </c>
      <c r="E889" s="58" t="n">
        <f aca="false">E888*E868</f>
        <v>391.659020317102</v>
      </c>
      <c r="F889" s="58" t="n">
        <f aca="false">F888*F868</f>
        <v>453.319208175839</v>
      </c>
      <c r="G889" s="58" t="n">
        <f aca="false">G888*G868</f>
        <v>426.506910577728</v>
      </c>
      <c r="H889" s="58" t="n">
        <f aca="false">H888*H868</f>
        <v>414.278243989321</v>
      </c>
      <c r="I889" s="58" t="n">
        <f aca="false">I888*I868</f>
        <v>516.648591850469</v>
      </c>
      <c r="J889" s="58" t="n">
        <f aca="false">J888*J868</f>
        <v>522.793045873068</v>
      </c>
      <c r="K889" s="58" t="n">
        <f aca="false">K888*K868</f>
        <v>541.669265075775</v>
      </c>
      <c r="L889" s="58" t="n">
        <f aca="false">L888*L868</f>
        <v>928.481033321263</v>
      </c>
    </row>
    <row r="890" customFormat="false" ht="15" hidden="true" customHeight="false" outlineLevel="1" collapsed="false">
      <c r="A890" s="6" t="s">
        <v>424</v>
      </c>
      <c r="B890" s="29" t="n">
        <f aca="false">B888</f>
        <v>-961.151880133756</v>
      </c>
      <c r="C890" s="29" t="n">
        <f aca="false">B890+C888</f>
        <v>-1499.6656220324</v>
      </c>
      <c r="D890" s="29" t="n">
        <f aca="false">C890+D888</f>
        <v>-1176.91179972093</v>
      </c>
      <c r="E890" s="29" t="n">
        <f aca="false">D890+E888</f>
        <v>-853.121868767158</v>
      </c>
      <c r="F890" s="29" t="n">
        <f aca="false">E890+F888</f>
        <v>-492.770655915767</v>
      </c>
      <c r="G890" s="29" t="n">
        <f aca="false">F890+G888</f>
        <v>-166.772908157365</v>
      </c>
      <c r="H890" s="29" t="n">
        <f aca="false">G890+H888</f>
        <v>137.699060111942</v>
      </c>
      <c r="I890" s="29" t="n">
        <f aca="false">H890+I888</f>
        <v>502.803486968921</v>
      </c>
      <c r="J890" s="29" t="n">
        <f aca="false">I890+J888</f>
        <v>858.040583229463</v>
      </c>
      <c r="K890" s="29" t="n">
        <f aca="false">J890+K888</f>
        <v>1211.94775544401</v>
      </c>
      <c r="L890" s="29" t="n">
        <f aca="false">K890+L888</f>
        <v>1795.25163828831</v>
      </c>
    </row>
    <row r="891" customFormat="false" ht="15" hidden="true" customHeight="false" outlineLevel="1" collapsed="false">
      <c r="A891" s="9" t="s">
        <v>425</v>
      </c>
      <c r="B891" s="60" t="n">
        <v>0</v>
      </c>
      <c r="C891" s="60" t="n">
        <f aca="false">IF(AND(B890&lt;0,C890&gt;=0),B$47+(-B890)/C888,0)</f>
        <v>0</v>
      </c>
      <c r="D891" s="60" t="n">
        <f aca="false">IF(AND(C890&lt;0,D890&gt;=0),C$47+(-C890)/D888,0)</f>
        <v>0</v>
      </c>
      <c r="E891" s="60" t="n">
        <f aca="false">IF(AND(D890&lt;0,E890&gt;=0),D$47+(-D890)/E888,0)</f>
        <v>0</v>
      </c>
      <c r="F891" s="60" t="n">
        <f aca="false">IF(AND(E890&lt;0,F890&gt;=0),E$47+(-E890)/F888,0)</f>
        <v>0</v>
      </c>
      <c r="G891" s="60" t="n">
        <f aca="false">IF(AND(F890&lt;0,G890&gt;=0),F$47+(-F890)/G888,0)</f>
        <v>0</v>
      </c>
      <c r="H891" s="60" t="n">
        <f aca="false">IF(AND(G890&lt;0,H890&gt;=0),G$47+(-G890)/H888,0)</f>
        <v>5.54774470407027</v>
      </c>
      <c r="I891" s="60" t="n">
        <f aca="false">IF(AND(H890&lt;0,I890&gt;=0),H$47+(-H890)/I888,0)</f>
        <v>0</v>
      </c>
      <c r="J891" s="60" t="n">
        <f aca="false">IF(AND(I890&lt;0,J890&gt;=0),I$47+(-I890)/J888,0)</f>
        <v>0</v>
      </c>
      <c r="K891" s="60" t="n">
        <f aca="false">IF(AND(J890&lt;0,K890&gt;=0),J$47+(-J890)/K888,0)</f>
        <v>0</v>
      </c>
      <c r="L891" s="60" t="n">
        <f aca="false">IF(AND(K890&lt;0,L890&gt;=0),K$47+(-K890)/L888,0)</f>
        <v>0</v>
      </c>
    </row>
    <row r="892" customFormat="false" ht="15" hidden="true" customHeight="false" outlineLevel="1" collapsed="false">
      <c r="A892" s="9" t="s">
        <v>426</v>
      </c>
      <c r="B892" s="57" t="n">
        <f aca="false">(B868/$B$868)/(1+$U$29)^B$47</f>
        <v>1</v>
      </c>
      <c r="C892" s="57" t="n">
        <f aca="false">(C868/$B$868)/(1+$U$29)^C$47</f>
        <v>0.907458487517462</v>
      </c>
      <c r="D892" s="57" t="n">
        <f aca="false">(D868/$B$868)/(1+$U$29)^D$47</f>
        <v>0.819559568917159</v>
      </c>
      <c r="E892" s="57" t="n">
        <f aca="false">(E868/$B$868)/(1+$U$29)^E$47</f>
        <v>0.73663327458441</v>
      </c>
      <c r="F892" s="57" t="n">
        <f aca="false">(F868/$B$868)/(1+$U$29)^F$47</f>
        <v>0.6620977922836</v>
      </c>
      <c r="G892" s="57" t="n">
        <f aca="false">(G868/$B$868)/(1+$U$29)^G$47</f>
        <v>0.595104106306</v>
      </c>
      <c r="H892" s="57" t="n">
        <f aca="false">(H868/$B$868)/(1+$U$29)^H$47</f>
        <v>0.534889107726503</v>
      </c>
      <c r="I892" s="57" t="n">
        <f aca="false">(I868/$B$868)/(1+$U$29)^I$47</f>
        <v>0.480766902013848</v>
      </c>
      <c r="J892" s="57" t="n">
        <f aca="false">(J868/$B$868)/(1+$U$29)^J$47</f>
        <v>0.432120996171371</v>
      </c>
      <c r="K892" s="57" t="n">
        <f aca="false">(K868/$B$868)/(1+$U$29)^K$47</f>
        <v>0.388397276413924</v>
      </c>
      <c r="L892" s="57" t="n">
        <f aca="false">(L868/$B$868)/(1+$U$29)^L$47</f>
        <v>0.349097696391334</v>
      </c>
    </row>
    <row r="893" customFormat="false" ht="15" hidden="true" customHeight="false" outlineLevel="1" collapsed="false">
      <c r="A893" s="9" t="s">
        <v>427</v>
      </c>
      <c r="B893" s="58" t="n">
        <f aca="false">B888*B892</f>
        <v>-961.151880133756</v>
      </c>
      <c r="C893" s="58" t="n">
        <f aca="false">C888*C892</f>
        <v>-488.678865730716</v>
      </c>
      <c r="D893" s="58" t="n">
        <f aca="false">D888*D892</f>
        <v>264.515983479957</v>
      </c>
      <c r="E893" s="58" t="n">
        <f aca="false">E888*E892</f>
        <v>238.514437115937</v>
      </c>
      <c r="F893" s="58" t="n">
        <f aca="false">F888*F892</f>
        <v>238.587742475623</v>
      </c>
      <c r="G893" s="58" t="n">
        <f aca="false">G888*G892</f>
        <v>194.002598337533</v>
      </c>
      <c r="H893" s="58" t="n">
        <f aca="false">H888*H892</f>
        <v>162.858739435302</v>
      </c>
      <c r="I893" s="58" t="n">
        <f aca="false">I888*I892</f>
        <v>175.530124211571</v>
      </c>
      <c r="J893" s="58" t="n">
        <f aca="false">J888*J892</f>
        <v>153.505407913131</v>
      </c>
      <c r="K893" s="58" t="n">
        <f aca="false">K888*K892</f>
        <v>137.456581791482</v>
      </c>
      <c r="L893" s="58" t="n">
        <f aca="false">L888*L892</f>
        <v>203.630041797067</v>
      </c>
    </row>
    <row r="894" customFormat="false" ht="15" hidden="true" customHeight="false" outlineLevel="1" collapsed="false">
      <c r="A894" s="9" t="s">
        <v>428</v>
      </c>
      <c r="B894" s="58" t="n">
        <f aca="false">B893</f>
        <v>-961.151880133756</v>
      </c>
      <c r="C894" s="58" t="n">
        <f aca="false">B894+C893</f>
        <v>-1449.83074586447</v>
      </c>
      <c r="D894" s="58" t="n">
        <f aca="false">C894+D893</f>
        <v>-1185.31476238451</v>
      </c>
      <c r="E894" s="58" t="n">
        <f aca="false">D894+E893</f>
        <v>-946.800325268578</v>
      </c>
      <c r="F894" s="58" t="n">
        <f aca="false">E894+F893</f>
        <v>-708.212582792955</v>
      </c>
      <c r="G894" s="58" t="n">
        <f aca="false">F894+G893</f>
        <v>-514.209984455422</v>
      </c>
      <c r="H894" s="58" t="n">
        <f aca="false">G894+H893</f>
        <v>-351.35124502012</v>
      </c>
      <c r="I894" s="58" t="n">
        <f aca="false">H894+I893</f>
        <v>-175.821120808549</v>
      </c>
      <c r="J894" s="58" t="n">
        <f aca="false">I894+J893</f>
        <v>-22.3157128954181</v>
      </c>
      <c r="K894" s="58" t="n">
        <f aca="false">J894+K893</f>
        <v>115.140868896064</v>
      </c>
      <c r="L894" s="58" t="n">
        <f aca="false">K894+L893</f>
        <v>318.770910693131</v>
      </c>
    </row>
    <row r="895" customFormat="false" ht="15" hidden="true" customHeight="false" outlineLevel="1" collapsed="false">
      <c r="A895" s="9" t="s">
        <v>429</v>
      </c>
      <c r="B895" s="60" t="n">
        <v>0</v>
      </c>
      <c r="C895" s="60" t="n">
        <f aca="false">IF(AND(B894&lt;0,C894&gt;=0),B$47+(-B894)/C893,0)</f>
        <v>0</v>
      </c>
      <c r="D895" s="60" t="n">
        <f aca="false">IF(AND(C894&lt;0,D894&gt;=0),C$47+(-C894)/D893,0)</f>
        <v>0</v>
      </c>
      <c r="E895" s="60" t="n">
        <f aca="false">IF(AND(D894&lt;0,E894&gt;=0),D$47+(-D894)/E893,0)</f>
        <v>0</v>
      </c>
      <c r="F895" s="60" t="n">
        <f aca="false">IF(AND(E894&lt;0,F894&gt;=0),E$47+(-E894)/F893,0)</f>
        <v>0</v>
      </c>
      <c r="G895" s="60" t="n">
        <f aca="false">IF(AND(F894&lt;0,G894&gt;=0),F$47+(-F894)/G893,0)</f>
        <v>0</v>
      </c>
      <c r="H895" s="60" t="n">
        <f aca="false">IF(AND(G894&lt;0,H894&gt;=0),G$47+(-G894)/H893,0)</f>
        <v>0</v>
      </c>
      <c r="I895" s="60" t="n">
        <f aca="false">IF(AND(H894&lt;0,I894&gt;=0),H$47+(-H894)/I893,0)</f>
        <v>0</v>
      </c>
      <c r="J895" s="60" t="n">
        <f aca="false">IF(AND(I894&lt;0,J894&gt;=0),I$47+(-I894)/J893,0)</f>
        <v>0</v>
      </c>
      <c r="K895" s="60" t="n">
        <f aca="false">IF(AND(J894&lt;0,K894&gt;=0),J$47+(-J894)/K893,0)</f>
        <v>8.16234735801353</v>
      </c>
      <c r="L895" s="60" t="n">
        <f aca="false">IF(AND(K894&lt;0,L894&gt;=0),K$47+(-K894)/L893,0)</f>
        <v>0</v>
      </c>
    </row>
    <row r="896" customFormat="false" ht="15" hidden="true" customHeight="false" outlineLevel="1" collapsed="false">
      <c r="A896" s="9" t="s">
        <v>430</v>
      </c>
      <c r="B896" s="58" t="n">
        <f aca="false">IF(B$47&lt;0,0,(Quesería!$B$44*$B$871*$B$868)*(1-MAX(0,MIN(B$47-0-Quesería!$B$47,(Quesería!$B$46-Quesería!$B$47)))/(Quesería!$B$46-Quesería!$B$47))*IF(B$47&gt;=2,1-Quesería!$B$48,1))+IF(B$47&lt;1,0,(Quesería!$B$44*$C$871*$C$868)*(1-MAX(0,MIN(B$47-1-Quesería!$B$47,(Quesería!$B$46-Quesería!$B$47)))/(Quesería!$B$46-Quesería!$B$47))*IF(B$47&gt;=2,1-Quesería!$B$48,1))</f>
        <v>641.321364968425</v>
      </c>
      <c r="C896" s="58" t="n">
        <f aca="false">IF(C$47&lt;0,0,(Quesería!$B$44*$B$871*$B$868)*(1-MAX(0,MIN(C$47-0-Quesería!$B$47,(Quesería!$B$46-Quesería!$B$47)))/(Quesería!$B$46-Quesería!$B$47))*IF(C$47&gt;=2,1-Quesería!$B$48,1))+IF(C$47&lt;1,0,(Quesería!$B$44*$C$871*$C$868)*(1-MAX(0,MIN(C$47-1-Quesería!$B$47,(Quesería!$B$46-Quesería!$B$47)))/(Quesería!$B$46-Quesería!$B$47))*IF(C$47&gt;=2,1-Quesería!$B$48,1))</f>
        <v>1117.69081125409</v>
      </c>
      <c r="D896" s="58" t="n">
        <f aca="false">IF(D$47&lt;0,0,(Quesería!$B$44*$B$871*$B$868)*(1-MAX(0,MIN(D$47-0-Quesería!$B$47,(Quesería!$B$46-Quesería!$B$47)))/(Quesería!$B$46-Quesería!$B$47))*IF(D$47&gt;=2,1-Quesería!$B$48,1))+IF(D$47&lt;1,0,(Quesería!$B$44*$C$871*$C$868)*(1-MAX(0,MIN(D$47-1-Quesería!$B$47,(Quesería!$B$46-Quesería!$B$47)))/(Quesería!$B$46-Quesería!$B$47))*IF(D$47&gt;=2,1-Quesería!$B$48,1))</f>
        <v>1010.80391709269</v>
      </c>
      <c r="E896" s="58" t="n">
        <f aca="false">IF(E$47&lt;0,0,(Quesería!$B$44*$B$871*$B$868)*(1-MAX(0,MIN(E$47-0-Quesería!$B$47,(Quesería!$B$46-Quesería!$B$47)))/(Quesería!$B$46-Quesería!$B$47))*IF(E$47&gt;=2,1-Quesería!$B$48,1))+IF(E$47&lt;1,0,(Quesería!$B$44*$C$871*$C$868)*(1-MAX(0,MIN(E$47-1-Quesería!$B$47,(Quesería!$B$46-Quesería!$B$47)))/(Quesería!$B$46-Quesería!$B$47))*IF(E$47&gt;=2,1-Quesería!$B$48,1))</f>
        <v>824.522115217005</v>
      </c>
      <c r="F896" s="58" t="n">
        <f aca="false">IF(F$47&lt;0,0,(Quesería!$B$44*$B$871*$B$868)*(1-MAX(0,MIN(F$47-0-Quesería!$B$47,(Quesería!$B$46-Quesería!$B$47)))/(Quesería!$B$46-Quesería!$B$47))*IF(F$47&gt;=2,1-Quesería!$B$48,1))+IF(F$47&lt;1,0,(Quesería!$B$44*$C$871*$C$868)*(1-MAX(0,MIN(F$47-1-Quesería!$B$47,(Quesería!$B$46-Quesería!$B$47)))/(Quesería!$B$46-Quesería!$B$47))*IF(F$47&gt;=2,1-Quesería!$B$48,1))</f>
        <v>638.240313341323</v>
      </c>
      <c r="G896" s="58" t="n">
        <f aca="false">IF(G$47&lt;0,0,(Quesería!$B$44*$B$871*$B$868)*(1-MAX(0,MIN(G$47-0-Quesería!$B$47,(Quesería!$B$46-Quesería!$B$47)))/(Quesería!$B$46-Quesería!$B$47))*IF(G$47&gt;=2,1-Quesería!$B$48,1))+IF(G$47&lt;1,0,(Quesería!$B$44*$C$871*$C$868)*(1-MAX(0,MIN(G$47-1-Quesería!$B$47,(Quesería!$B$46-Quesería!$B$47)))/(Quesería!$B$46-Quesería!$B$47))*IF(G$47&gt;=2,1-Quesería!$B$48,1))</f>
        <v>451.958511465641</v>
      </c>
      <c r="H896" s="58" t="n">
        <f aca="false">IF(H$47&lt;0,0,(Quesería!$B$44*$B$871*$B$868)*(1-MAX(0,MIN(H$47-0-Quesería!$B$47,(Quesería!$B$46-Quesería!$B$47)))/(Quesería!$B$46-Quesería!$B$47))*IF(H$47&gt;=2,1-Quesería!$B$48,1))+IF(H$47&lt;1,0,(Quesería!$B$44*$C$871*$C$868)*(1-MAX(0,MIN(H$47-1-Quesería!$B$47,(Quesería!$B$46-Quesería!$B$47)))/(Quesería!$B$46-Quesería!$B$47))*IF(H$47&gt;=2,1-Quesería!$B$48,1))</f>
        <v>265.67670958996</v>
      </c>
      <c r="I896" s="58" t="n">
        <f aca="false">IF(I$47&lt;0,0,(Quesería!$B$44*$B$871*$B$868)*(1-MAX(0,MIN(I$47-0-Quesería!$B$47,(Quesería!$B$46-Quesería!$B$47)))/(Quesería!$B$46-Quesería!$B$47))*IF(I$47&gt;=2,1-Quesería!$B$48,1))+IF(I$47&lt;1,0,(Quesería!$B$44*$C$871*$C$868)*(1-MAX(0,MIN(I$47-1-Quesería!$B$47,(Quesería!$B$46-Quesería!$B$47)))/(Quesería!$B$46-Quesería!$B$47))*IF(I$47&gt;=2,1-Quesería!$B$48,1))</f>
        <v>79.3949077142776</v>
      </c>
      <c r="J896" s="58" t="n">
        <f aca="false">IF(J$47&lt;0,0,(Quesería!$B$44*$B$871*$B$868)*(1-MAX(0,MIN(J$47-0-Quesería!$B$47,(Quesería!$B$46-Quesería!$B$47)))/(Quesería!$B$46-Quesería!$B$47))*IF(J$47&gt;=2,1-Quesería!$B$48,1))+IF(J$47&lt;1,0,(Quesería!$B$44*$C$871*$C$868)*(1-MAX(0,MIN(J$47-1-Quesería!$B$47,(Quesería!$B$46-Quesería!$B$47)))/(Quesería!$B$46-Quesería!$B$47))*IF(J$47&gt;=2,1-Quesería!$B$48,1))</f>
        <v>0</v>
      </c>
      <c r="K896" s="58" t="n">
        <f aca="false">IF(K$47&lt;0,0,(Quesería!$B$44*$B$871*$B$868)*(1-MAX(0,MIN(K$47-0-Quesería!$B$47,(Quesería!$B$46-Quesería!$B$47)))/(Quesería!$B$46-Quesería!$B$47))*IF(K$47&gt;=2,1-Quesería!$B$48,1))+IF(K$47&lt;1,0,(Quesería!$B$44*$C$871*$C$868)*(1-MAX(0,MIN(K$47-1-Quesería!$B$47,(Quesería!$B$46-Quesería!$B$47)))/(Quesería!$B$46-Quesería!$B$47))*IF(K$47&gt;=2,1-Quesería!$B$48,1))</f>
        <v>0</v>
      </c>
      <c r="L896" s="58" t="n">
        <f aca="false">IF(L$47&lt;0,0,(Quesería!$B$44*$B$871*$B$868)*(1-MAX(0,MIN(L$47-0-Quesería!$B$47,(Quesería!$B$46-Quesería!$B$47)))/(Quesería!$B$46-Quesería!$B$47))*IF(L$47&gt;=2,1-Quesería!$B$48,1))+IF(L$47&lt;1,0,(Quesería!$B$44*$C$871*$C$868)*(1-MAX(0,MIN(L$47-1-Quesería!$B$47,(Quesería!$B$46-Quesería!$B$47)))/(Quesería!$B$46-Quesería!$B$47))*IF(L$47&gt;=2,1-Quesería!$B$48,1))</f>
        <v>0</v>
      </c>
    </row>
    <row r="897" customFormat="false" ht="15" hidden="true" customHeight="false" outlineLevel="1" collapsed="false">
      <c r="A897" s="6" t="s">
        <v>431</v>
      </c>
      <c r="B897" s="29" t="n">
        <f aca="false">Quesería!$B$44*B871</f>
        <v>605.02015563059</v>
      </c>
      <c r="C897" s="29" t="n">
        <f aca="false">Quesería!$B$44*C871</f>
        <v>428.004893338424</v>
      </c>
      <c r="D897" s="29" t="n">
        <f aca="false">Quesería!$B$44*D871</f>
        <v>0</v>
      </c>
      <c r="E897" s="29" t="n">
        <f aca="false">Quesería!$B$44*E871</f>
        <v>0</v>
      </c>
      <c r="F897" s="29" t="n">
        <f aca="false">Quesería!$B$44*F871</f>
        <v>0</v>
      </c>
      <c r="G897" s="29" t="n">
        <f aca="false">Quesería!$B$44*G871</f>
        <v>0</v>
      </c>
      <c r="H897" s="29" t="n">
        <f aca="false">Quesería!$B$44*H871</f>
        <v>0</v>
      </c>
      <c r="I897" s="29" t="n">
        <f aca="false">Quesería!$B$44*I871</f>
        <v>0</v>
      </c>
      <c r="J897" s="29" t="n">
        <f aca="false">Quesería!$B$44*J871</f>
        <v>0</v>
      </c>
      <c r="K897" s="29" t="n">
        <f aca="false">Quesería!$B$44*K871</f>
        <v>0</v>
      </c>
      <c r="L897" s="29" t="n">
        <f aca="false">Quesería!$B$44*L871</f>
        <v>0</v>
      </c>
    </row>
    <row r="898" customFormat="false" ht="15" hidden="true" customHeight="false" outlineLevel="1" collapsed="false">
      <c r="A898" s="6" t="s">
        <v>432</v>
      </c>
      <c r="B898" s="29" t="n">
        <f aca="false">(IF(AND(B$47&gt;0,B$47&lt;=0+Quesería!$B$46),($U$14+$U$28)*(Quesería!$B$44*$B$871*$B$868)*(1-MAX(0,MIN((B$47-1)-0-Quesería!$B$47,(Quesería!$B$46-Quesería!$B$47)))/(Quesería!$B$46-Quesería!$B$47))*IF(B$47&gt;2,1-Quesería!$B$48,1),0)+IF(AND(B$47&gt;1,B$47&lt;=1+Quesería!$B$46),($U$14+$U$28)*(Quesería!$B$44*$C$871*$C$868)*(1-MAX(0,MIN((B$47-1)-1-Quesería!$B$47,(Quesería!$B$46-Quesería!$B$47)))/(Quesería!$B$46-Quesería!$B$47))*IF(B$47&gt;2,1-Quesería!$B$48,1),0))*B870</f>
        <v>0</v>
      </c>
      <c r="C898" s="29" t="n">
        <f aca="false">(IF(AND(C$47&gt;0,C$47&lt;=0+Quesería!$B$46),($U$14+$U$28)*(Quesería!$B$44*$B$871*$B$868)*(1-MAX(0,MIN((C$47-1)-0-Quesería!$B$47,(Quesería!$B$46-Quesería!$B$47)))/(Quesería!$B$46-Quesería!$B$47))*IF(C$47&gt;2,1-Quesería!$B$48,1),0)+IF(AND(C$47&gt;1,C$47&lt;=1+Quesería!$B$46),($U$14+$U$28)*(Quesería!$B$44*$C$871*$C$868)*(1-MAX(0,MIN((C$47-1)-1-Quesería!$B$47,(Quesería!$B$46-Quesería!$B$47)))/(Quesería!$B$46-Quesería!$B$47))*IF(C$47&gt;2,1-Quesería!$B$48,1),0))*C870</f>
        <v>81.2455637561078</v>
      </c>
      <c r="D898" s="29" t="n">
        <f aca="false">(IF(AND(D$47&gt;0,D$47&lt;=0+Quesería!$B$46),($U$14+$U$28)*(Quesería!$B$44*$B$871*$B$868)*(1-MAX(0,MIN((D$47-1)-0-Quesería!$B$47,(Quesería!$B$46-Quesería!$B$47)))/(Quesería!$B$46-Quesería!$B$47))*IF(D$47&gt;2,1-Quesería!$B$48,1),0)+IF(AND(D$47&gt;1,D$47&lt;=1+Quesería!$B$46),($U$14+$U$28)*(Quesería!$B$44*$C$871*$C$868)*(1-MAX(0,MIN((D$47-1)-1-Quesería!$B$47,(Quesería!$B$46-Quesería!$B$47)))/(Quesería!$B$46-Quesería!$B$47))*IF(D$47&gt;2,1-Quesería!$B$48,1),0))*D870</f>
        <v>135.496893508924</v>
      </c>
      <c r="E898" s="29" t="n">
        <f aca="false">(IF(AND(E$47&gt;0,E$47&lt;=0+Quesería!$B$46),($U$14+$U$28)*(Quesería!$B$44*$B$871*$B$868)*(1-MAX(0,MIN((E$47-1)-0-Quesería!$B$47,(Quesería!$B$46-Quesería!$B$47)))/(Quesería!$B$46-Quesería!$B$47))*IF(E$47&gt;2,1-Quesería!$B$48,1),0)+IF(AND(E$47&gt;1,E$47&lt;=1+Quesería!$B$46),($U$14+$U$28)*(Quesería!$B$44*$C$871*$C$868)*(1-MAX(0,MIN((E$47-1)-1-Quesería!$B$47,(Quesería!$B$46-Quesería!$B$47)))/(Quesería!$B$46-Quesería!$B$47))*IF(E$47&gt;2,1-Quesería!$B$48,1),0))*E870</f>
        <v>117.826027258135</v>
      </c>
      <c r="F898" s="29" t="n">
        <f aca="false">(IF(AND(F$47&gt;0,F$47&lt;=0+Quesería!$B$46),($U$14+$U$28)*(Quesería!$B$44*$B$871*$B$868)*(1-MAX(0,MIN((F$47-1)-0-Quesería!$B$47,(Quesería!$B$46-Quesería!$B$47)))/(Quesería!$B$46-Quesería!$B$47))*IF(F$47&gt;2,1-Quesería!$B$48,1),0)+IF(AND(F$47&gt;1,F$47&lt;=1+Quesería!$B$46),($U$14+$U$28)*(Quesería!$B$44*$C$871*$C$868)*(1-MAX(0,MIN((F$47-1)-1-Quesería!$B$47,(Quesería!$B$46-Quesería!$B$47)))/(Quesería!$B$46-Quesería!$B$47))*IF(F$47&gt;2,1-Quesería!$B$48,1),0))*F870</f>
        <v>92.4151745225957</v>
      </c>
      <c r="G898" s="29" t="n">
        <f aca="false">(IF(AND(G$47&gt;0,G$47&lt;=0+Quesería!$B$46),($U$14+$U$28)*(Quesería!$B$44*$B$871*$B$868)*(1-MAX(0,MIN((G$47-1)-0-Quesería!$B$47,(Quesería!$B$46-Quesería!$B$47)))/(Quesería!$B$46-Quesería!$B$47))*IF(G$47&gt;2,1-Quesería!$B$48,1),0)+IF(AND(G$47&gt;1,G$47&lt;=1+Quesería!$B$46),($U$14+$U$28)*(Quesería!$B$44*$C$871*$C$868)*(1-MAX(0,MIN((G$47-1)-1-Quesería!$B$47,(Quesería!$B$46-Quesería!$B$47)))/(Quesería!$B$46-Quesería!$B$47))*IF(G$47&gt;2,1-Quesería!$B$48,1),0))*G870</f>
        <v>68.7847039098228</v>
      </c>
      <c r="H898" s="29" t="n">
        <f aca="false">(IF(AND(H$47&gt;0,H$47&lt;=0+Quesería!$B$46),($U$14+$U$28)*(Quesería!$B$44*$B$871*$B$868)*(1-MAX(0,MIN((H$47-1)-0-Quesería!$B$47,(Quesería!$B$46-Quesería!$B$47)))/(Quesería!$B$46-Quesería!$B$47))*IF(H$47&gt;2,1-Quesería!$B$48,1),0)+IF(AND(H$47&gt;1,H$47&lt;=1+Quesería!$B$46),($U$14+$U$28)*(Quesería!$B$44*$C$871*$C$868)*(1-MAX(0,MIN((H$47-1)-1-Quesería!$B$47,(Quesería!$B$46-Quesería!$B$47)))/(Quesería!$B$46-Quesería!$B$47))*IF(H$47&gt;2,1-Quesería!$B$48,1),0))*H870</f>
        <v>46.8352529676735</v>
      </c>
      <c r="I898" s="29" t="n">
        <f aca="false">(IF(AND(I$47&gt;0,I$47&lt;=0+Quesería!$B$46),($U$14+$U$28)*(Quesería!$B$44*$B$871*$B$868)*(1-MAX(0,MIN((I$47-1)-0-Quesería!$B$47,(Quesería!$B$46-Quesería!$B$47)))/(Quesería!$B$46-Quesería!$B$47))*IF(I$47&gt;2,1-Quesería!$B$48,1),0)+IF(AND(I$47&gt;1,I$47&lt;=1+Quesería!$B$46),($U$14+$U$28)*(Quesería!$B$44*$C$871*$C$868)*(1-MAX(0,MIN((I$47-1)-1-Quesería!$B$47,(Quesería!$B$46-Quesería!$B$47)))/(Quesería!$B$46-Quesería!$B$47))*IF(I$47&gt;2,1-Quesería!$B$48,1),0))*I870</f>
        <v>26.4724688081898</v>
      </c>
      <c r="J898" s="29" t="n">
        <f aca="false">(IF(AND(J$47&gt;0,J$47&lt;=0+Quesería!$B$46),($U$14+$U$28)*(Quesería!$B$44*$B$871*$B$868)*(1-MAX(0,MIN((J$47-1)-0-Quesería!$B$47,(Quesería!$B$46-Quesería!$B$47)))/(Quesería!$B$46-Quesería!$B$47))*IF(J$47&gt;2,1-Quesería!$B$48,1),0)+IF(AND(J$47&gt;1,J$47&lt;=1+Quesería!$B$46),($U$14+$U$28)*(Quesería!$B$44*$C$871*$C$868)*(1-MAX(0,MIN((J$47-1)-1-Quesería!$B$47,(Quesería!$B$46-Quesería!$B$47)))/(Quesería!$B$46-Quesería!$B$47))*IF(J$47&gt;2,1-Quesería!$B$48,1),0))*J870</f>
        <v>7.60676974238282</v>
      </c>
      <c r="K898" s="29" t="n">
        <f aca="false">(IF(AND(K$47&gt;0,K$47&lt;=0+Quesería!$B$46),($U$14+$U$28)*(Quesería!$B$44*$B$871*$B$868)*(1-MAX(0,MIN((K$47-1)-0-Quesería!$B$47,(Quesería!$B$46-Quesería!$B$47)))/(Quesería!$B$46-Quesería!$B$47))*IF(K$47&gt;2,1-Quesería!$B$48,1),0)+IF(AND(K$47&gt;1,K$47&lt;=1+Quesería!$B$46),($U$14+$U$28)*(Quesería!$B$44*$C$871*$C$868)*(1-MAX(0,MIN((K$47-1)-1-Quesería!$B$47,(Quesería!$B$46-Quesería!$B$47)))/(Quesería!$B$46-Quesería!$B$47))*IF(K$47&gt;2,1-Quesería!$B$48,1),0))*K870</f>
        <v>0</v>
      </c>
      <c r="L898" s="29" t="n">
        <f aca="false">(IF(AND(L$47&gt;0,L$47&lt;=0+Quesería!$B$46),($U$14+$U$28)*(Quesería!$B$44*$B$871*$B$868)*(1-MAX(0,MIN((L$47-1)-0-Quesería!$B$47,(Quesería!$B$46-Quesería!$B$47)))/(Quesería!$B$46-Quesería!$B$47))*IF(L$47&gt;2,1-Quesería!$B$48,1),0)+IF(AND(L$47&gt;1,L$47&lt;=1+Quesería!$B$46),($U$14+$U$28)*(Quesería!$B$44*$C$871*$C$868)*(1-MAX(0,MIN((L$47-1)-1-Quesería!$B$47,(Quesería!$B$46-Quesería!$B$47)))/(Quesería!$B$46-Quesería!$B$47))*IF(L$47&gt;2,1-Quesería!$B$48,1),0))*L870</f>
        <v>0</v>
      </c>
    </row>
    <row r="899" customFormat="false" ht="15" hidden="true" customHeight="false" outlineLevel="1" collapsed="false">
      <c r="A899" s="6" t="s">
        <v>433</v>
      </c>
      <c r="B899" s="29" t="n">
        <f aca="false">((IF(AND(B$47&gt;0+Quesería!$B$47,B$47&lt;=0+Quesería!$B$46),(Quesería!$B$44*$B$871*$B$868)/(Quesería!$B$46-Quesería!$B$47),0)*IF(B$47&gt;2,1-Quesería!$B$48,1)+IF(B$47=2,Quesería!$B$48*(Quesería!$B$44*$B$871*$B$868)*(1-MAX(0,MIN(2-0-Quesería!$B$47,(Quesería!$B$46-Quesería!$B$47)))/(Quesería!$B$46-Quesería!$B$47)),0))+(IF(AND(B$47&gt;1+Quesería!$B$47,B$47&lt;=1+Quesería!$B$46),(Quesería!$B$44*$C$871*$C$868)/(Quesería!$B$46-Quesería!$B$47),0)*IF(B$47&gt;2,1-Quesería!$B$48,1)+IF(B$47=2,Quesería!$B$48*(Quesería!$B$44*$C$871*$C$868)*(1-MAX(0,MIN(2-1-Quesería!$B$47,(Quesería!$B$46-Quesería!$B$47)))/(Quesería!$B$46-Quesería!$B$47)),0)))*B870</f>
        <v>0</v>
      </c>
      <c r="C899" s="29" t="n">
        <f aca="false">((IF(AND(C$47&gt;0+Quesería!$B$47,C$47&lt;=0+Quesería!$B$46),(Quesería!$B$44*$B$871*$B$868)/(Quesería!$B$46-Quesería!$B$47),0)*IF(C$47&gt;2,1-Quesería!$B$48,1)+IF(C$47=2,Quesería!$B$48*(Quesería!$B$44*$B$871*$B$868)*(1-MAX(0,MIN(2-0-Quesería!$B$47,(Quesería!$B$46-Quesería!$B$47)))/(Quesería!$B$46-Quesería!$B$47)),0))+(IF(AND(C$47&gt;1+Quesería!$B$47,C$47&lt;=1+Quesería!$B$46),(Quesería!$B$44*$C$871*$C$868)/(Quesería!$B$46-Quesería!$B$47),0)*IF(C$47&gt;2,1-Quesería!$B$48,1)+IF(C$47=2,Quesería!$B$48*(Quesería!$B$44*$C$871*$C$868)*(1-MAX(0,MIN(2-1-Quesería!$B$47,(Quesería!$B$46-Quesería!$B$47)))/(Quesería!$B$46-Quesería!$B$47)),0)))*C870</f>
        <v>0</v>
      </c>
      <c r="D899" s="29" t="n">
        <f aca="false">((IF(AND(D$47&gt;0+Quesería!$B$47,D$47&lt;=0+Quesería!$B$46),(Quesería!$B$44*$B$871*$B$868)/(Quesería!$B$46-Quesería!$B$47),0)*IF(D$47&gt;2,1-Quesería!$B$48,1)+IF(D$47=2,Quesería!$B$48*(Quesería!$B$44*$B$871*$B$868)*(1-MAX(0,MIN(2-0-Quesería!$B$47,(Quesería!$B$46-Quesería!$B$47)))/(Quesería!$B$46-Quesería!$B$47)),0))+(IF(AND(D$47&gt;1+Quesería!$B$47,D$47&lt;=1+Quesería!$B$46),(Quesería!$B$44*$C$871*$C$868)/(Quesería!$B$46-Quesería!$B$47),0)*IF(D$47&gt;2,1-Quesería!$B$48,1)+IF(D$47=2,Quesería!$B$48*(Quesería!$B$44*$C$871*$C$868)*(1-MAX(0,MIN(2-1-Quesería!$B$47,(Quesería!$B$46-Quesería!$B$47)))/(Quesería!$B$46-Quesería!$B$47)),0)))*D870</f>
        <v>91.8994692231472</v>
      </c>
      <c r="E899" s="29" t="n">
        <f aca="false">((IF(AND(E$47&gt;0+Quesería!$B$47,E$47&lt;=0+Quesería!$B$46),(Quesería!$B$44*$B$871*$B$868)/(Quesería!$B$46-Quesería!$B$47),0)*IF(E$47&gt;2,1-Quesería!$B$48,1)+IF(E$47=2,Quesería!$B$48*(Quesería!$B$44*$B$871*$B$868)*(1-MAX(0,MIN(2-0-Quesería!$B$47,(Quesería!$B$46-Quesería!$B$47)))/(Quesería!$B$46-Quesería!$B$47)),0))+(IF(AND(E$47&gt;1+Quesería!$B$47,E$47&lt;=1+Quesería!$B$46),(Quesería!$B$44*$C$871*$C$868)/(Quesería!$B$46-Quesería!$B$47),0)*IF(E$47&gt;2,1-Quesería!$B$48,1)+IF(E$47=2,Quesería!$B$48*(Quesería!$B$44*$C$871*$C$868)*(1-MAX(0,MIN(2-1-Quesería!$B$47,(Quesería!$B$46-Quesería!$B$47)))/(Quesería!$B$46-Quesería!$B$47)),0)))*E870</f>
        <v>154.001742940676</v>
      </c>
      <c r="F899" s="29" t="n">
        <f aca="false">((IF(AND(F$47&gt;0+Quesería!$B$47,F$47&lt;=0+Quesería!$B$46),(Quesería!$B$44*$B$871*$B$868)/(Quesería!$B$46-Quesería!$B$47),0)*IF(F$47&gt;2,1-Quesería!$B$48,1)+IF(F$47=2,Quesería!$B$48*(Quesería!$B$44*$B$871*$B$868)*(1-MAX(0,MIN(2-0-Quesería!$B$47,(Quesería!$B$46-Quesería!$B$47)))/(Quesería!$B$46-Quesería!$B$47)),0))+(IF(AND(F$47&gt;1+Quesería!$B$47,F$47&lt;=1+Quesería!$B$46),(Quesería!$B$44*$C$871*$C$868)/(Quesería!$B$46-Quesería!$B$47),0)*IF(F$47&gt;2,1-Quesería!$B$48,1)+IF(F$47=2,Quesería!$B$48*(Quesería!$B$44*$C$871*$C$868)*(1-MAX(0,MIN(2-1-Quesería!$B$47,(Quesería!$B$46-Quesería!$B$47)))/(Quesería!$B$46-Quesería!$B$47)),0)))*F870</f>
        <v>148.078598981419</v>
      </c>
      <c r="G899" s="29" t="n">
        <f aca="false">((IF(AND(G$47&gt;0+Quesería!$B$47,G$47&lt;=0+Quesería!$B$46),(Quesería!$B$44*$B$871*$B$868)/(Quesería!$B$46-Quesería!$B$47),0)*IF(G$47&gt;2,1-Quesería!$B$48,1)+IF(G$47=2,Quesería!$B$48*(Quesería!$B$44*$B$871*$B$868)*(1-MAX(0,MIN(2-0-Quesería!$B$47,(Quesería!$B$46-Quesería!$B$47)))/(Quesería!$B$46-Quesería!$B$47)),0))+(IF(AND(G$47&gt;1+Quesería!$B$47,G$47&lt;=1+Quesería!$B$46),(Quesería!$B$44*$C$871*$C$868)/(Quesería!$B$46-Quesería!$B$47),0)*IF(G$47&gt;2,1-Quesería!$B$48,1)+IF(G$47=2,Quesería!$B$48*(Quesería!$B$44*$C$871*$C$868)*(1-MAX(0,MIN(2-1-Quesería!$B$47,(Quesería!$B$46-Quesería!$B$47)))/(Quesería!$B$46-Quesería!$B$47)),0)))*G870</f>
        <v>142.383268251364</v>
      </c>
      <c r="H899" s="29" t="n">
        <f aca="false">((IF(AND(H$47&gt;0+Quesería!$B$47,H$47&lt;=0+Quesería!$B$46),(Quesería!$B$44*$B$871*$B$868)/(Quesería!$B$46-Quesería!$B$47),0)*IF(H$47&gt;2,1-Quesería!$B$48,1)+IF(H$47=2,Quesería!$B$48*(Quesería!$B$44*$B$871*$B$868)*(1-MAX(0,MIN(2-0-Quesería!$B$47,(Quesería!$B$46-Quesería!$B$47)))/(Quesería!$B$46-Quesería!$B$47)),0))+(IF(AND(H$47&gt;1+Quesería!$B$47,H$47&lt;=1+Quesería!$B$46),(Quesería!$B$44*$C$871*$C$868)/(Quesería!$B$46-Quesería!$B$47),0)*IF(H$47&gt;2,1-Quesería!$B$48,1)+IF(H$47=2,Quesería!$B$48*(Quesería!$B$44*$C$871*$C$868)*(1-MAX(0,MIN(2-1-Quesería!$B$47,(Quesería!$B$46-Quesería!$B$47)))/(Quesería!$B$46-Quesería!$B$47)),0)))*H870</f>
        <v>136.906988703235</v>
      </c>
      <c r="I899" s="29" t="n">
        <f aca="false">((IF(AND(I$47&gt;0+Quesería!$B$47,I$47&lt;=0+Quesería!$B$46),(Quesería!$B$44*$B$871*$B$868)/(Quesería!$B$46-Quesería!$B$47),0)*IF(I$47&gt;2,1-Quesería!$B$48,1)+IF(I$47=2,Quesería!$B$48*(Quesería!$B$44*$B$871*$B$868)*(1-MAX(0,MIN(2-0-Quesería!$B$47,(Quesería!$B$46-Quesería!$B$47)))/(Quesería!$B$46-Quesería!$B$47)),0))+(IF(AND(I$47&gt;1+Quesería!$B$47,I$47&lt;=1+Quesería!$B$46),(Quesería!$B$44*$C$871*$C$868)/(Quesería!$B$46-Quesería!$B$47),0)*IF(I$47&gt;2,1-Quesería!$B$48,1)+IF(I$47=2,Quesería!$B$48*(Quesería!$B$44*$C$871*$C$868)*(1-MAX(0,MIN(2-1-Quesería!$B$47,(Quesería!$B$46-Quesería!$B$47)))/(Quesería!$B$46-Quesería!$B$47)),0)))*I870</f>
        <v>131.641335291572</v>
      </c>
      <c r="J899" s="29" t="n">
        <f aca="false">((IF(AND(J$47&gt;0+Quesería!$B$47,J$47&lt;=0+Quesería!$B$46),(Quesería!$B$44*$B$871*$B$868)/(Quesería!$B$46-Quesería!$B$47),0)*IF(J$47&gt;2,1-Quesería!$B$48,1)+IF(J$47=2,Quesería!$B$48*(Quesería!$B$44*$B$871*$B$868)*(1-MAX(0,MIN(2-0-Quesería!$B$47,(Quesería!$B$46-Quesería!$B$47)))/(Quesería!$B$46-Quesería!$B$47)),0))+(IF(AND(J$47&gt;1+Quesería!$B$47,J$47&lt;=1+Quesería!$B$46),(Quesería!$B$44*$C$871*$C$868)/(Quesería!$B$46-Quesería!$B$47),0)*IF(J$47&gt;2,1-Quesería!$B$48,1)+IF(J$47=2,Quesería!$B$48*(Quesería!$B$44*$C$871*$C$868)*(1-MAX(0,MIN(2-1-Quesería!$B$47,(Quesería!$B$46-Quesería!$B$47)))/(Quesería!$B$46-Quesería!$B$47)),0)))*J870</f>
        <v>53.9487215771831</v>
      </c>
      <c r="K899" s="29" t="n">
        <f aca="false">((IF(AND(K$47&gt;0+Quesería!$B$47,K$47&lt;=0+Quesería!$B$46),(Quesería!$B$44*$B$871*$B$868)/(Quesería!$B$46-Quesería!$B$47),0)*IF(K$47&gt;2,1-Quesería!$B$48,1)+IF(K$47=2,Quesería!$B$48*(Quesería!$B$44*$B$871*$B$868)*(1-MAX(0,MIN(2-0-Quesería!$B$47,(Quesería!$B$46-Quesería!$B$47)))/(Quesería!$B$46-Quesería!$B$47)),0))+(IF(AND(K$47&gt;1+Quesería!$B$47,K$47&lt;=1+Quesería!$B$46),(Quesería!$B$44*$C$871*$C$868)/(Quesería!$B$46-Quesería!$B$47),0)*IF(K$47&gt;2,1-Quesería!$B$48,1)+IF(K$47=2,Quesería!$B$48*(Quesería!$B$44*$C$871*$C$868)*(1-MAX(0,MIN(2-1-Quesería!$B$47,(Quesería!$B$46-Quesería!$B$47)))/(Quesería!$B$46-Quesería!$B$47)),0)))*K870</f>
        <v>0</v>
      </c>
      <c r="L899" s="29" t="n">
        <f aca="false">((IF(AND(L$47&gt;0+Quesería!$B$47,L$47&lt;=0+Quesería!$B$46),(Quesería!$B$44*$B$871*$B$868)/(Quesería!$B$46-Quesería!$B$47),0)*IF(L$47&gt;2,1-Quesería!$B$48,1)+IF(L$47=2,Quesería!$B$48*(Quesería!$B$44*$B$871*$B$868)*(1-MAX(0,MIN(2-0-Quesería!$B$47,(Quesería!$B$46-Quesería!$B$47)))/(Quesería!$B$46-Quesería!$B$47)),0))+(IF(AND(L$47&gt;1+Quesería!$B$47,L$47&lt;=1+Quesería!$B$46),(Quesería!$B$44*$C$871*$C$868)/(Quesería!$B$46-Quesería!$B$47),0)*IF(L$47&gt;2,1-Quesería!$B$48,1)+IF(L$47=2,Quesería!$B$48*(Quesería!$B$44*$C$871*$C$868)*(1-MAX(0,MIN(2-1-Quesería!$B$47,(Quesería!$B$46-Quesería!$B$47)))/(Quesería!$B$46-Quesería!$B$47)),0)))*L870</f>
        <v>0</v>
      </c>
    </row>
    <row r="900" customFormat="false" ht="15" hidden="true" customHeight="false" outlineLevel="1" collapsed="false">
      <c r="A900" s="6" t="s">
        <v>434</v>
      </c>
      <c r="B900" s="29" t="n">
        <f aca="false">$U$13*Quesería!$B$51*(1+0.19)*B896*B870+(1-$U$13)*IF(B$47=0,Quesería!$B$50,0)</f>
        <v>14.327482305488</v>
      </c>
      <c r="C900" s="29" t="n">
        <f aca="false">$U$13*Quesería!$B$51*(1+0.19)*C896*C870+(1-$U$13)*IF(C$47=0,Quesería!$B$50,0)</f>
        <v>23.7808051224691</v>
      </c>
      <c r="D900" s="29" t="n">
        <f aca="false">$U$13*Quesería!$B$51*(1+0.19)*D896*D870+(1-$U$13)*IF(D$47=0,Quesería!$B$50,0)</f>
        <v>20.5804799826942</v>
      </c>
      <c r="E900" s="29" t="n">
        <f aca="false">$U$13*Quesería!$B$51*(1+0.19)*E896*E870+(1-$U$13)*IF(E$47=0,Quesería!$B$50,0)</f>
        <v>16.1420077857048</v>
      </c>
      <c r="F900" s="29" t="n">
        <f aca="false">$U$13*Quesería!$B$51*(1+0.19)*F896*F870+(1-$U$13)*IF(F$47=0,Quesería!$B$50,0)</f>
        <v>12.0145120299295</v>
      </c>
      <c r="G900" s="29" t="n">
        <f aca="false">$U$13*Quesería!$B$51*(1+0.19)*G896*G870+(1-$U$13)*IF(G$47=0,Quesería!$B$50,0)</f>
        <v>8.18063723793316</v>
      </c>
      <c r="H900" s="29" t="n">
        <f aca="false">$U$13*Quesería!$B$51*(1+0.19)*H896*H870+(1-$U$13)*IF(H$47=0,Quesería!$B$50,0)</f>
        <v>4.62390294468519</v>
      </c>
      <c r="I900" s="29" t="n">
        <f aca="false">$U$13*Quesería!$B$51*(1+0.19)*I896*I870+(1-$U$13)*IF(I$47=0,Quesería!$B$50,0)</f>
        <v>1.32866206269604</v>
      </c>
      <c r="J900" s="29" t="n">
        <f aca="false">$U$13*Quesería!$B$51*(1+0.19)*J896*J870+(1-$U$13)*IF(J$47=0,Quesería!$B$50,0)</f>
        <v>0</v>
      </c>
      <c r="K900" s="29" t="n">
        <f aca="false">$U$13*Quesería!$B$51*(1+0.19)*K896*K870+(1-$U$13)*IF(K$47=0,Quesería!$B$50,0)</f>
        <v>0</v>
      </c>
      <c r="L900" s="29" t="n">
        <f aca="false">$U$13*Quesería!$B$51*(1+0.19)*L896*L870+(1-$U$13)*IF(L$47=0,Quesería!$B$50,0)</f>
        <v>0</v>
      </c>
    </row>
    <row r="901" customFormat="false" ht="15" hidden="true" customHeight="false" outlineLevel="1" collapsed="false">
      <c r="A901" s="6" t="s">
        <v>435</v>
      </c>
      <c r="B901" s="29" t="n">
        <f aca="false">Quesería!$B$52*(B898+B899+B900)</f>
        <v>0.057309929221952</v>
      </c>
      <c r="C901" s="29" t="n">
        <f aca="false">Quesería!$B$52*(C898+C899+C900)</f>
        <v>0.420105475514308</v>
      </c>
      <c r="D901" s="29" t="n">
        <f aca="false">Quesería!$B$52*(D898+D899+D900)</f>
        <v>0.991907370859062</v>
      </c>
      <c r="E901" s="29" t="n">
        <f aca="false">Quesería!$B$52*(E898+E899+E900)</f>
        <v>1.15187911193806</v>
      </c>
      <c r="F901" s="29" t="n">
        <f aca="false">Quesería!$B$52*(F898+F899+F900)</f>
        <v>1.01003314213578</v>
      </c>
      <c r="G901" s="29" t="n">
        <f aca="false">Quesería!$B$52*(G898+G899+G900)</f>
        <v>0.877394437596481</v>
      </c>
      <c r="H901" s="29" t="n">
        <f aca="false">Quesería!$B$52*(H898+H899+H900)</f>
        <v>0.753464578462374</v>
      </c>
      <c r="I901" s="29" t="n">
        <f aca="false">Quesería!$B$52*(I898+I899+I900)</f>
        <v>0.637769864649831</v>
      </c>
      <c r="J901" s="29" t="n">
        <f aca="false">Quesería!$B$52*(J898+J899+J900)</f>
        <v>0.246221965278264</v>
      </c>
      <c r="K901" s="29" t="n">
        <f aca="false">Quesería!$B$52*(K898+K899+K900)</f>
        <v>0</v>
      </c>
      <c r="L901" s="29" t="n">
        <f aca="false">Quesería!$B$52*(L898+L899+L900)</f>
        <v>0</v>
      </c>
    </row>
    <row r="902" customFormat="false" ht="15" hidden="true" customHeight="false" outlineLevel="1" collapsed="false">
      <c r="A902" s="6" t="s">
        <v>436</v>
      </c>
      <c r="B902" s="29" t="n">
        <f aca="false">$U$17*(B898+B900+0.5*B901)</f>
        <v>5.02464804453464</v>
      </c>
      <c r="C902" s="29" t="n">
        <f aca="false">$U$17*(C898+C900+0.5*C901)</f>
        <v>36.8327475657169</v>
      </c>
      <c r="D902" s="29" t="n">
        <f aca="false">$U$17*(D898+D900+0.5*D901)</f>
        <v>54.8006645119667</v>
      </c>
      <c r="E902" s="29" t="n">
        <f aca="false">$U$17*(E898+E900+0.5*E901)</f>
        <v>47.090391109933</v>
      </c>
      <c r="F902" s="29" t="n">
        <f aca="false">$U$17*(F898+F900+0.5*F901)</f>
        <v>36.7271460932576</v>
      </c>
      <c r="G902" s="29" t="n">
        <f aca="false">$U$17*(G898+G900+0.5*G901)</f>
        <v>27.091413428294</v>
      </c>
      <c r="H902" s="29" t="n">
        <f aca="false">$U$17*(H898+H900+0.5*H901)</f>
        <v>18.1425608705564</v>
      </c>
      <c r="I902" s="29" t="n">
        <f aca="false">$U$17*(I898+I900+0.5*I901)</f>
        <v>9.84200553112376</v>
      </c>
      <c r="J902" s="29" t="n">
        <f aca="false">$U$17*(J898+J900+0.5*J901)</f>
        <v>2.70545825375768</v>
      </c>
      <c r="K902" s="29" t="n">
        <f aca="false">$U$17*(K898+K900+0.5*K901)</f>
        <v>0</v>
      </c>
      <c r="L902" s="29" t="n">
        <f aca="false">$U$17*(L898+L900+0.5*L901)</f>
        <v>0</v>
      </c>
    </row>
    <row r="903" customFormat="false" ht="15" hidden="true" customHeight="false" outlineLevel="1" collapsed="false">
      <c r="A903" s="5" t="s">
        <v>437</v>
      </c>
      <c r="B903" s="59" t="n">
        <f aca="false">B888+B897-B898-B899-B900-B901+B902</f>
        <v>-365.491868693341</v>
      </c>
      <c r="C903" s="59" t="n">
        <f aca="false">C888+C897-C898-C899-C900-C901+C902</f>
        <v>-179.122575348598</v>
      </c>
      <c r="D903" s="59" t="n">
        <f aca="false">D888+D897-D898-D899-D900-D901+D902</f>
        <v>128.585736737816</v>
      </c>
      <c r="E903" s="59" t="n">
        <f aca="false">E888+E897-E898-E899-E900-E901+E902</f>
        <v>81.7586649672515</v>
      </c>
      <c r="F903" s="59" t="n">
        <f aca="false">F888+F897-F898-F899-F900-F901+F902</f>
        <v>143.560040268568</v>
      </c>
      <c r="G903" s="59" t="n">
        <f aca="false">G888+G897-G898-G899-G900-G901+G902</f>
        <v>132.86315734998</v>
      </c>
      <c r="H903" s="59" t="n">
        <f aca="false">H888+H897-H898-H899-H900-H901+H902</f>
        <v>133.494919945808</v>
      </c>
      <c r="I903" s="59" t="n">
        <f aca="false">I888+I897-I898-I899-I900-I901+I902</f>
        <v>214.866196360995</v>
      </c>
      <c r="J903" s="59" t="n">
        <f aca="false">J888+J897-J898-J899-J900-J901+J902</f>
        <v>296.140841229455</v>
      </c>
      <c r="K903" s="59" t="n">
        <f aca="false">K888+K897-K898-K899-K900-K901+K902</f>
        <v>353.907172214543</v>
      </c>
      <c r="L903" s="59" t="n">
        <f aca="false">L888+L897-L898-L899-L900-L901+L902</f>
        <v>583.303882844304</v>
      </c>
    </row>
    <row r="904" customFormat="false" ht="15" hidden="true" customHeight="false" outlineLevel="1" collapsed="false">
      <c r="A904" s="9" t="s">
        <v>438</v>
      </c>
      <c r="B904" s="58" t="n">
        <f aca="false">B903*B868</f>
        <v>-387.421380814941</v>
      </c>
      <c r="C904" s="58" t="n">
        <f aca="false">C903*C868</f>
        <v>-199.36342636299</v>
      </c>
      <c r="D904" s="58" t="n">
        <f aca="false">D903*D868</f>
        <v>149.556141613703</v>
      </c>
      <c r="E904" s="58" t="n">
        <f aca="false">E903*E868</f>
        <v>98.8959679171732</v>
      </c>
      <c r="F904" s="58" t="n">
        <f aca="false">F903*F868</f>
        <v>180.597487837727</v>
      </c>
      <c r="G904" s="58" t="n">
        <f aca="false">G903*G868</f>
        <v>173.826522301431</v>
      </c>
      <c r="H904" s="58" t="n">
        <f aca="false">H903*H868</f>
        <v>181.639187774841</v>
      </c>
      <c r="I904" s="58" t="n">
        <f aca="false">I903*I868</f>
        <v>304.050867697806</v>
      </c>
      <c r="J904" s="58" t="n">
        <f aca="false">J903*J868</f>
        <v>435.82264922076</v>
      </c>
      <c r="K904" s="58" t="n">
        <f aca="false">K903*K868</f>
        <v>541.669265075775</v>
      </c>
      <c r="L904" s="58" t="n">
        <f aca="false">L903*L868</f>
        <v>928.481033321263</v>
      </c>
    </row>
    <row r="905" customFormat="false" ht="15" hidden="true" customHeight="false" outlineLevel="1" collapsed="false">
      <c r="A905" s="9" t="s">
        <v>439</v>
      </c>
      <c r="B905" s="57" t="n">
        <f aca="false">(B868/$B$868)/(1+Quesería!$B$11+$U$28)^B$47</f>
        <v>1</v>
      </c>
      <c r="C905" s="57" t="n">
        <f aca="false">(C868/$B$868)/(1+Quesería!$B$11+$U$28)^C$47</f>
        <v>0.84</v>
      </c>
      <c r="D905" s="57" t="n">
        <f aca="false">(D868/$B$868)/(1+Quesería!$B$11+$U$28)^D$47</f>
        <v>0.70224</v>
      </c>
      <c r="E905" s="57" t="n">
        <f aca="false">(E868/$B$868)/(1+Quesería!$B$11+$U$28)^E$47</f>
        <v>0.58426368</v>
      </c>
      <c r="F905" s="57" t="n">
        <f aca="false">(F868/$B$868)/(1+Quesería!$B$11+$U$28)^F$47</f>
        <v>0.48610738176</v>
      </c>
      <c r="G905" s="57" t="n">
        <f aca="false">(G868/$B$868)/(1+Quesería!$B$11+$U$28)^G$47</f>
        <v>0.40444134162432</v>
      </c>
      <c r="H905" s="57" t="n">
        <f aca="false">(H868/$B$868)/(1+Quesería!$B$11+$U$28)^H$47</f>
        <v>0.336495196231434</v>
      </c>
      <c r="I905" s="57" t="n">
        <f aca="false">(I868/$B$868)/(1+Quesería!$B$11+$U$28)^I$47</f>
        <v>0.279964003264553</v>
      </c>
      <c r="J905" s="57" t="n">
        <f aca="false">(J868/$B$868)/(1+Quesería!$B$11+$U$28)^J$47</f>
        <v>0.232930050716108</v>
      </c>
      <c r="K905" s="57" t="n">
        <f aca="false">(K868/$B$868)/(1+Quesería!$B$11+$U$28)^K$47</f>
        <v>0.193797802195802</v>
      </c>
      <c r="L905" s="57" t="n">
        <f aca="false">(L868/$B$868)/(1+Quesería!$B$11+$U$28)^L$47</f>
        <v>0.161239771426907</v>
      </c>
    </row>
    <row r="906" customFormat="false" ht="15" hidden="true" customHeight="false" outlineLevel="1" collapsed="false">
      <c r="A906" s="9" t="s">
        <v>440</v>
      </c>
      <c r="B906" s="58" t="n">
        <f aca="false">B888+B871+B873+B902</f>
        <v>123.788678902633</v>
      </c>
      <c r="C906" s="58" t="n">
        <f aca="false">C888+C871+C873+C902</f>
        <v>281.897195009722</v>
      </c>
      <c r="D906" s="58" t="n">
        <f aca="false">D888+D871+D873+D902</f>
        <v>377.55448682344</v>
      </c>
      <c r="E906" s="58" t="n">
        <f aca="false">E888+E871+E873+E902</f>
        <v>370.880322063705</v>
      </c>
      <c r="F906" s="58" t="n">
        <f aca="false">F888+F871+F873+F902</f>
        <v>397.078358944648</v>
      </c>
      <c r="G906" s="58" t="n">
        <f aca="false">G888+G871+G873+G902</f>
        <v>358.307552467782</v>
      </c>
      <c r="H906" s="58" t="n">
        <f aca="false">H888+H871+H873+H902</f>
        <v>331.428468724945</v>
      </c>
      <c r="I906" s="58" t="n">
        <f aca="false">I888+I871+I873+I902</f>
        <v>374.946432388103</v>
      </c>
      <c r="J906" s="58" t="n">
        <f aca="false">J888+J871+J873+J902</f>
        <v>357.942554514299</v>
      </c>
      <c r="K906" s="58" t="n">
        <f aca="false">K888+K871+K873+K902</f>
        <v>353.907172214543</v>
      </c>
      <c r="L906" s="58" t="n">
        <f aca="false">L888+L871+L873+L902</f>
        <v>583.303882844304</v>
      </c>
    </row>
    <row r="907" customFormat="false" ht="15" hidden="true" customHeight="false" outlineLevel="1" collapsed="false">
      <c r="A907" s="5" t="s">
        <v>149</v>
      </c>
      <c r="B907" s="12" t="str">
        <f aca="false">IF(AND(B$47&gt;=1,(B898+B899+B900)&gt;0.001),B906/(B898+B899+B900),"")</f>
        <v/>
      </c>
      <c r="C907" s="12" t="n">
        <f aca="false">IF(AND(C$47&gt;=1,(C898+C899+C900)&gt;0.001),C906/(C898+C899+C900),"")</f>
        <v>2.68406113645259</v>
      </c>
      <c r="D907" s="12" t="n">
        <f aca="false">IF(AND(D$47&gt;=1,(D898+D899+D900)&gt;0.001),D906/(D898+D899+D900),"")</f>
        <v>1.5225392931457</v>
      </c>
      <c r="E907" s="12" t="n">
        <f aca="false">IF(AND(E$47&gt;=1,(E898+E899+E900)&gt;0.001),E906/(E898+E899+E900),"")</f>
        <v>1.28791404660404</v>
      </c>
      <c r="F907" s="12" t="n">
        <f aca="false">IF(AND(F$47&gt;=1,(F898+F899+F900)&gt;0.001),F906/(F898+F899+F900),"")</f>
        <v>1.57253595898844</v>
      </c>
      <c r="G907" s="12" t="n">
        <f aca="false">IF(AND(G$47&gt;=1,(G898+G899+G900)&gt;0.001),G906/(G898+G899+G900),"")</f>
        <v>1.63350728983112</v>
      </c>
      <c r="H907" s="12" t="n">
        <f aca="false">IF(AND(H$47&gt;=1,(H898+H899+H900)&gt;0.001),H906/(H898+H899+H900),"")</f>
        <v>1.75949064202224</v>
      </c>
      <c r="I907" s="12" t="n">
        <f aca="false">IF(AND(I$47&gt;=1,(I898+I899+I900)&gt;0.001),I906/(I898+I899+I900),"")</f>
        <v>2.35160958941808</v>
      </c>
      <c r="J907" s="12" t="n">
        <f aca="false">IF(AND(J$47&gt;=1,(J898+J899+J900)&gt;0.001),J906/(J898+J899+J900),"")</f>
        <v>5.81495731479158</v>
      </c>
      <c r="K907" s="12" t="str">
        <f aca="false">IF(AND(K$47&gt;=1,(K898+K899+K900)&gt;0.001),K906/(K898+K899+K900),"")</f>
        <v/>
      </c>
      <c r="L907" s="12" t="str">
        <f aca="false">IF(AND(L$47&gt;=1,(L898+L899+L900)&gt;0.001),L906/(L898+L899+L900),"")</f>
        <v/>
      </c>
    </row>
    <row r="909" customFormat="false" ht="15" hidden="false" customHeight="false" outlineLevel="0" collapsed="false">
      <c r="A909" s="43" t="s">
        <v>1256</v>
      </c>
      <c r="B909" s="44"/>
      <c r="C909" s="44"/>
      <c r="D909" s="44"/>
      <c r="E909" s="44"/>
      <c r="F909" s="44"/>
      <c r="G909" s="44"/>
      <c r="H909" s="44"/>
      <c r="I909" s="44"/>
      <c r="J909" s="44"/>
      <c r="K909" s="44"/>
      <c r="L909" s="44"/>
    </row>
    <row r="910" customFormat="false" ht="15" hidden="true" customHeight="false" outlineLevel="1" collapsed="false">
      <c r="A910" s="9" t="s">
        <v>406</v>
      </c>
      <c r="B910" s="56" t="n">
        <f aca="false">CHOOSE($V$15,Entorno!B$7,Entorno!B$8,Entorno!B$9)</f>
        <v>0.06</v>
      </c>
      <c r="C910" s="56" t="n">
        <f aca="false">CHOOSE($V$15,Entorno!C$7,Entorno!C$8,Entorno!C$9)</f>
        <v>0.05</v>
      </c>
      <c r="D910" s="56" t="n">
        <f aca="false">CHOOSE($V$15,Entorno!D$7,Entorno!D$8,Entorno!D$9)</f>
        <v>0.045</v>
      </c>
      <c r="E910" s="56" t="n">
        <f aca="false">CHOOSE($V$15,Entorno!E$7,Entorno!E$8,Entorno!E$9)</f>
        <v>0.04</v>
      </c>
      <c r="F910" s="56" t="n">
        <f aca="false">CHOOSE($V$15,Entorno!F$7,Entorno!F$8,Entorno!F$9)</f>
        <v>0.04</v>
      </c>
      <c r="G910" s="56" t="n">
        <f aca="false">CHOOSE($V$15,Entorno!G$7,Entorno!G$8,Entorno!G$9)</f>
        <v>0.04</v>
      </c>
      <c r="H910" s="56" t="n">
        <f aca="false">CHOOSE($V$15,Entorno!H$7,Entorno!H$8,Entorno!H$9)</f>
        <v>0.04</v>
      </c>
      <c r="I910" s="56" t="n">
        <f aca="false">CHOOSE($V$15,Entorno!I$7,Entorno!I$8,Entorno!I$9)</f>
        <v>0.04</v>
      </c>
      <c r="J910" s="56" t="n">
        <f aca="false">CHOOSE($V$15,Entorno!J$7,Entorno!J$8,Entorno!J$9)</f>
        <v>0.04</v>
      </c>
      <c r="K910" s="56" t="n">
        <f aca="false">CHOOSE($V$15,Entorno!K$7,Entorno!K$8,Entorno!K$9)</f>
        <v>0.04</v>
      </c>
      <c r="L910" s="56" t="n">
        <f aca="false">CHOOSE($V$15,Entorno!L$7,Entorno!L$8,Entorno!L$9)</f>
        <v>0.04</v>
      </c>
    </row>
    <row r="911" customFormat="false" ht="15" hidden="true" customHeight="false" outlineLevel="1" collapsed="false">
      <c r="A911" s="9" t="s">
        <v>407</v>
      </c>
      <c r="B911" s="57" t="n">
        <f aca="false">1+B910</f>
        <v>1.06</v>
      </c>
      <c r="C911" s="57" t="n">
        <f aca="false">B911*(1+C910)</f>
        <v>1.113</v>
      </c>
      <c r="D911" s="57" t="n">
        <f aca="false">C911*(1+D910)</f>
        <v>1.163085</v>
      </c>
      <c r="E911" s="57" t="n">
        <f aca="false">D911*(1+E910)</f>
        <v>1.2096084</v>
      </c>
      <c r="F911" s="57" t="n">
        <f aca="false">E911*(1+F910)</f>
        <v>1.257992736</v>
      </c>
      <c r="G911" s="57" t="n">
        <f aca="false">F911*(1+G910)</f>
        <v>1.30831244544</v>
      </c>
      <c r="H911" s="57" t="n">
        <f aca="false">G911*(1+H910)</f>
        <v>1.3606449432576</v>
      </c>
      <c r="I911" s="57" t="n">
        <f aca="false">H911*(1+I910)</f>
        <v>1.4150707409879</v>
      </c>
      <c r="J911" s="57" t="n">
        <f aca="false">I911*(1+J910)</f>
        <v>1.47167357062742</v>
      </c>
      <c r="K911" s="57" t="n">
        <f aca="false">J911*(1+K910)</f>
        <v>1.53054051345252</v>
      </c>
      <c r="L911" s="57" t="n">
        <f aca="false">K911*(1+L910)</f>
        <v>1.59176213399062</v>
      </c>
    </row>
    <row r="912" customFormat="false" ht="15" hidden="true" customHeight="false" outlineLevel="1" collapsed="false">
      <c r="A912" s="9" t="s">
        <v>408</v>
      </c>
      <c r="B912" s="57" t="n">
        <f aca="false">(1+$V$16)/(1+B910)</f>
        <v>1.02358490566038</v>
      </c>
      <c r="C912" s="57" t="n">
        <f aca="false">B912*(1+Entorno!$B$13)</f>
        <v>1.02870283018868</v>
      </c>
      <c r="D912" s="57" t="n">
        <f aca="false">C912*(1+Entorno!$B$13)</f>
        <v>1.03384634433962</v>
      </c>
      <c r="E912" s="57" t="n">
        <f aca="false">D912*(1+Entorno!$B$13)</f>
        <v>1.03901557606132</v>
      </c>
      <c r="F912" s="57" t="n">
        <f aca="false">E912*(1+Entorno!$B$13)</f>
        <v>1.04421065394163</v>
      </c>
      <c r="G912" s="57" t="n">
        <f aca="false">F912*(1+Entorno!$B$13)</f>
        <v>1.04943170721133</v>
      </c>
      <c r="H912" s="57" t="n">
        <f aca="false">G912*(1+Entorno!$B$13)</f>
        <v>1.05467886574739</v>
      </c>
      <c r="I912" s="57" t="n">
        <f aca="false">H912*(1+Entorno!$B$13)</f>
        <v>1.05995226007613</v>
      </c>
      <c r="J912" s="57" t="n">
        <f aca="false">I912*(1+Entorno!$B$13)</f>
        <v>1.06525202137651</v>
      </c>
      <c r="K912" s="57" t="n">
        <f aca="false">J912*(1+Entorno!$B$13)</f>
        <v>1.07057828148339</v>
      </c>
      <c r="L912" s="57" t="n">
        <f aca="false">K912*(1+Entorno!$B$13)</f>
        <v>1.07593117289081</v>
      </c>
    </row>
    <row r="913" customFormat="false" ht="15" hidden="true" customHeight="false" outlineLevel="1" collapsed="false">
      <c r="A913" s="9" t="s">
        <v>409</v>
      </c>
      <c r="B913" s="57" t="n">
        <f aca="false">1/B911</f>
        <v>0.943396226415094</v>
      </c>
      <c r="C913" s="57" t="n">
        <f aca="false">1/C911</f>
        <v>0.898472596585804</v>
      </c>
      <c r="D913" s="57" t="n">
        <f aca="false">1/D911</f>
        <v>0.859782389077324</v>
      </c>
      <c r="E913" s="57" t="n">
        <f aca="false">1/E911</f>
        <v>0.826713835651273</v>
      </c>
      <c r="F913" s="57" t="n">
        <f aca="false">1/F911</f>
        <v>0.794917149664686</v>
      </c>
      <c r="G913" s="57" t="n">
        <f aca="false">1/G911</f>
        <v>0.764343413139121</v>
      </c>
      <c r="H913" s="57" t="n">
        <f aca="false">1/H911</f>
        <v>0.734945589556847</v>
      </c>
      <c r="I913" s="57" t="n">
        <f aca="false">1/I911</f>
        <v>0.706678451496968</v>
      </c>
      <c r="J913" s="57" t="n">
        <f aca="false">1/J911</f>
        <v>0.679498511054777</v>
      </c>
      <c r="K913" s="57" t="n">
        <f aca="false">1/K911</f>
        <v>0.653363952937286</v>
      </c>
      <c r="L913" s="57" t="n">
        <f aca="false">1/L911</f>
        <v>0.628234570132006</v>
      </c>
    </row>
    <row r="914" customFormat="false" ht="15" hidden="true" customHeight="false" outlineLevel="1" collapsed="false">
      <c r="A914" s="6" t="s">
        <v>323</v>
      </c>
      <c r="B914" s="29" t="n">
        <f aca="false">IF(B$47=0,Quesería!$F$92,IF(B$47=1,(Quesería!$F$93-(-$V$26)*Quesería!$D$86*(1+Quesería!$I$86))*$V$21,0))*$V$11</f>
        <v>1116.96028731801</v>
      </c>
      <c r="C914" s="29" t="n">
        <f aca="false">IF(C$47=0,Quesería!$F$92,IF(C$47=1,(Quesería!$F$93-(-$V$26)*Quesería!$D$86*(1+Quesería!$I$86))*$V$21,0))*$V$11</f>
        <v>790.162880009398</v>
      </c>
      <c r="D914" s="29" t="n">
        <f aca="false">IF(D$47=0,Quesería!$F$92,IF(D$47=1,(Quesería!$F$93-(-$V$26)*Quesería!$D$86*(1+Quesería!$I$86))*$V$21,0))*$V$11</f>
        <v>0</v>
      </c>
      <c r="E914" s="29" t="n">
        <f aca="false">IF(E$47=0,Quesería!$F$92,IF(E$47=1,(Quesería!$F$93-(-$V$26)*Quesería!$D$86*(1+Quesería!$I$86))*$V$21,0))*$V$11</f>
        <v>0</v>
      </c>
      <c r="F914" s="29" t="n">
        <f aca="false">IF(F$47=0,Quesería!$F$92,IF(F$47=1,(Quesería!$F$93-(-$V$26)*Quesería!$D$86*(1+Quesería!$I$86))*$V$21,0))*$V$11</f>
        <v>0</v>
      </c>
      <c r="G914" s="29" t="n">
        <f aca="false">IF(G$47=0,Quesería!$F$92,IF(G$47=1,(Quesería!$F$93-(-$V$26)*Quesería!$D$86*(1+Quesería!$I$86))*$V$21,0))*$V$11</f>
        <v>0</v>
      </c>
      <c r="H914" s="29" t="n">
        <f aca="false">IF(H$47=0,Quesería!$F$92,IF(H$47=1,(Quesería!$F$93-(-$V$26)*Quesería!$D$86*(1+Quesería!$I$86))*$V$21,0))*$V$11</f>
        <v>0</v>
      </c>
      <c r="I914" s="29" t="n">
        <f aca="false">IF(I$47=0,Quesería!$F$92,IF(I$47=1,(Quesería!$F$93-(-$V$26)*Quesería!$D$86*(1+Quesería!$I$86))*$V$21,0))*$V$11</f>
        <v>0</v>
      </c>
      <c r="J914" s="29" t="n">
        <f aca="false">IF(J$47=0,Quesería!$F$92,IF(J$47=1,(Quesería!$F$93-(-$V$26)*Quesería!$D$86*(1+Quesería!$I$86))*$V$21,0))*$V$11</f>
        <v>0</v>
      </c>
      <c r="K914" s="29" t="n">
        <f aca="false">IF(K$47=0,Quesería!$F$92,IF(K$47=1,(Quesería!$F$93-(-$V$26)*Quesería!$D$86*(1+Quesería!$I$86))*$V$21,0))*$V$11</f>
        <v>0</v>
      </c>
      <c r="L914" s="29" t="n">
        <f aca="false">IF(L$47=0,Quesería!$F$92,IF(L$47=1,(Quesería!$F$93-(-$V$26)*Quesería!$D$86*(1+Quesería!$I$86))*$V$21,0))*$V$11</f>
        <v>0</v>
      </c>
    </row>
    <row r="915" customFormat="false" ht="15" hidden="true" customHeight="false" outlineLevel="1" collapsed="false">
      <c r="A915" s="6" t="s">
        <v>410</v>
      </c>
      <c r="B915" s="29" t="n">
        <f aca="false">IF(B$47=5,Quesería!$F$99,IF(B$47=6,Quesería!$F$100,0))*$V$11</f>
        <v>0</v>
      </c>
      <c r="C915" s="29" t="n">
        <f aca="false">IF(C$47=5,Quesería!$F$99,IF(C$47=6,Quesería!$F$100,0))*$V$11</f>
        <v>0</v>
      </c>
      <c r="D915" s="29" t="n">
        <f aca="false">IF(D$47=5,Quesería!$F$99,IF(D$47=6,Quesería!$F$100,0))*$V$11</f>
        <v>0</v>
      </c>
      <c r="E915" s="29" t="n">
        <f aca="false">IF(E$47=5,Quesería!$F$99,IF(E$47=6,Quesería!$F$100,0))*$V$11</f>
        <v>0</v>
      </c>
      <c r="F915" s="29" t="n">
        <f aca="false">IF(F$47=5,Quesería!$F$99,IF(F$47=6,Quesería!$F$100,0))*$V$11</f>
        <v>0</v>
      </c>
      <c r="G915" s="29" t="n">
        <f aca="false">IF(G$47=5,Quesería!$F$99,IF(G$47=6,Quesería!$F$100,0))*$V$11</f>
        <v>32.9582607226482</v>
      </c>
      <c r="H915" s="29" t="n">
        <f aca="false">IF(H$47=5,Quesería!$F$99,IF(H$47=6,Quesería!$F$100,0))*$V$11</f>
        <v>55.6669868531463</v>
      </c>
      <c r="I915" s="29" t="n">
        <f aca="false">IF(I$47=5,Quesería!$F$99,IF(I$47=6,Quesería!$F$100,0))*$V$11</f>
        <v>0</v>
      </c>
      <c r="J915" s="29" t="n">
        <f aca="false">IF(J$47=5,Quesería!$F$99,IF(J$47=6,Quesería!$F$100,0))*$V$11</f>
        <v>0</v>
      </c>
      <c r="K915" s="29" t="n">
        <f aca="false">IF(K$47=5,Quesería!$F$99,IF(K$47=6,Quesería!$F$100,0))*$V$11</f>
        <v>0</v>
      </c>
      <c r="L915" s="29" t="n">
        <f aca="false">IF(L$47=5,Quesería!$F$99,IF(L$47=6,Quesería!$F$100,0))*$V$11</f>
        <v>0</v>
      </c>
    </row>
    <row r="916" customFormat="false" ht="15" hidden="true" customHeight="false" outlineLevel="1" collapsed="false">
      <c r="A916" s="6" t="s">
        <v>411</v>
      </c>
      <c r="B916" s="29" t="n">
        <f aca="false">Quesería!$B$55*(IF(B$47=0,SUMPRODUCT((Quesería!$C$70:$C$89=0)*(Quesería!$H$70:$H$89&gt;0)*(Quesería!$J$70:$J$89&gt;0)*Quesería!$F$70:$F$89*(1+Quesería!$I$70:$I$89)),IF(B$47=1,(SUMPRODUCT((Quesería!$C$70:$C$89=1)*(Quesería!$H$70:$H$89&gt;0)*(Quesería!$J$70:$J$89&gt;0)*Quesería!$F$70:$F$89*(1+Quesería!$I$70:$I$89))-(-$V$26)*Quesería!$D$86*(1+Quesería!$I$86))*$V$21,0))*$V$11+B915)</f>
        <v>178.938805872213</v>
      </c>
      <c r="C916" s="29" t="n">
        <f aca="false">Quesería!$B$55*(IF(C$47=0,SUMPRODUCT((Quesería!$C$70:$C$89=0)*(Quesería!$H$70:$H$89&gt;0)*(Quesería!$J$70:$J$89&gt;0)*Quesería!$F$70:$F$89*(1+Quesería!$I$70:$I$89)),IF(C$47=1,(SUMPRODUCT((Quesería!$C$70:$C$89=1)*(Quesería!$H$70:$H$89&gt;0)*(Quesería!$J$70:$J$89&gt;0)*Quesería!$F$70:$F$89*(1+Quesería!$I$70:$I$89))-(-$V$26)*Quesería!$D$86*(1+Quesería!$I$86))*$V$21,0))*$V$11+C915)</f>
        <v>150.130947201786</v>
      </c>
      <c r="D916" s="29" t="n">
        <f aca="false">Quesería!$B$55*(IF(D$47=0,SUMPRODUCT((Quesería!$C$70:$C$89=0)*(Quesería!$H$70:$H$89&gt;0)*(Quesería!$J$70:$J$89&gt;0)*Quesería!$F$70:$F$89*(1+Quesería!$I$70:$I$89)),IF(D$47=1,(SUMPRODUCT((Quesería!$C$70:$C$89=1)*(Quesería!$H$70:$H$89&gt;0)*(Quesería!$J$70:$J$89&gt;0)*Quesería!$F$70:$F$89*(1+Quesería!$I$70:$I$89))-(-$V$26)*Quesería!$D$86*(1+Quesería!$I$86))*$V$21,0))*$V$11+D915)</f>
        <v>0</v>
      </c>
      <c r="E916" s="29" t="n">
        <f aca="false">Quesería!$B$55*(IF(E$47=0,SUMPRODUCT((Quesería!$C$70:$C$89=0)*(Quesería!$H$70:$H$89&gt;0)*(Quesería!$J$70:$J$89&gt;0)*Quesería!$F$70:$F$89*(1+Quesería!$I$70:$I$89)),IF(E$47=1,(SUMPRODUCT((Quesería!$C$70:$C$89=1)*(Quesería!$H$70:$H$89&gt;0)*(Quesería!$J$70:$J$89&gt;0)*Quesería!$F$70:$F$89*(1+Quesería!$I$70:$I$89))-(-$V$26)*Quesería!$D$86*(1+Quesería!$I$86))*$V$21,0))*$V$11+E915)</f>
        <v>0</v>
      </c>
      <c r="F916" s="29" t="n">
        <f aca="false">Quesería!$B$55*(IF(F$47=0,SUMPRODUCT((Quesería!$C$70:$C$89=0)*(Quesería!$H$70:$H$89&gt;0)*(Quesería!$J$70:$J$89&gt;0)*Quesería!$F$70:$F$89*(1+Quesería!$I$70:$I$89)),IF(F$47=1,(SUMPRODUCT((Quesería!$C$70:$C$89=1)*(Quesería!$H$70:$H$89&gt;0)*(Quesería!$J$70:$J$89&gt;0)*Quesería!$F$70:$F$89*(1+Quesería!$I$70:$I$89))-(-$V$26)*Quesería!$D$86*(1+Quesería!$I$86))*$V$21,0))*$V$11+F915)</f>
        <v>0</v>
      </c>
      <c r="G916" s="29" t="n">
        <f aca="false">Quesería!$B$55*(IF(G$47=0,SUMPRODUCT((Quesería!$C$70:$C$89=0)*(Quesería!$H$70:$H$89&gt;0)*(Quesería!$J$70:$J$89&gt;0)*Quesería!$F$70:$F$89*(1+Quesería!$I$70:$I$89)),IF(G$47=1,(SUMPRODUCT((Quesería!$C$70:$C$89=1)*(Quesería!$H$70:$H$89&gt;0)*(Quesería!$J$70:$J$89&gt;0)*Quesería!$F$70:$F$89*(1+Quesería!$I$70:$I$89))-(-$V$26)*Quesería!$D$86*(1+Quesería!$I$86))*$V$21,0))*$V$11+G915)</f>
        <v>6.26206953730317</v>
      </c>
      <c r="H916" s="29" t="n">
        <f aca="false">Quesería!$B$55*(IF(H$47=0,SUMPRODUCT((Quesería!$C$70:$C$89=0)*(Quesería!$H$70:$H$89&gt;0)*(Quesería!$J$70:$J$89&gt;0)*Quesería!$F$70:$F$89*(1+Quesería!$I$70:$I$89)),IF(H$47=1,(SUMPRODUCT((Quesería!$C$70:$C$89=1)*(Quesería!$H$70:$H$89&gt;0)*(Quesería!$J$70:$J$89&gt;0)*Quesería!$F$70:$F$89*(1+Quesería!$I$70:$I$89))-(-$V$26)*Quesería!$D$86*(1+Quesería!$I$86))*$V$21,0))*$V$11+H915)</f>
        <v>10.5767275020978</v>
      </c>
      <c r="I916" s="29" t="n">
        <f aca="false">Quesería!$B$55*(IF(I$47=0,SUMPRODUCT((Quesería!$C$70:$C$89=0)*(Quesería!$H$70:$H$89&gt;0)*(Quesería!$J$70:$J$89&gt;0)*Quesería!$F$70:$F$89*(1+Quesería!$I$70:$I$89)),IF(I$47=1,(SUMPRODUCT((Quesería!$C$70:$C$89=1)*(Quesería!$H$70:$H$89&gt;0)*(Quesería!$J$70:$J$89&gt;0)*Quesería!$F$70:$F$89*(1+Quesería!$I$70:$I$89))-(-$V$26)*Quesería!$D$86*(1+Quesería!$I$86))*$V$21,0))*$V$11+I915)</f>
        <v>0</v>
      </c>
      <c r="J916" s="29" t="n">
        <f aca="false">Quesería!$B$55*(IF(J$47=0,SUMPRODUCT((Quesería!$C$70:$C$89=0)*(Quesería!$H$70:$H$89&gt;0)*(Quesería!$J$70:$J$89&gt;0)*Quesería!$F$70:$F$89*(1+Quesería!$I$70:$I$89)),IF(J$47=1,(SUMPRODUCT((Quesería!$C$70:$C$89=1)*(Quesería!$H$70:$H$89&gt;0)*(Quesería!$J$70:$J$89&gt;0)*Quesería!$F$70:$F$89*(1+Quesería!$I$70:$I$89))-(-$V$26)*Quesería!$D$86*(1+Quesería!$I$86))*$V$21,0))*$V$11+J915)</f>
        <v>0</v>
      </c>
      <c r="K916" s="29" t="n">
        <f aca="false">Quesería!$B$55*(IF(K$47=0,SUMPRODUCT((Quesería!$C$70:$C$89=0)*(Quesería!$H$70:$H$89&gt;0)*(Quesería!$J$70:$J$89&gt;0)*Quesería!$F$70:$F$89*(1+Quesería!$I$70:$I$89)),IF(K$47=1,(SUMPRODUCT((Quesería!$C$70:$C$89=1)*(Quesería!$H$70:$H$89&gt;0)*(Quesería!$J$70:$J$89&gt;0)*Quesería!$F$70:$F$89*(1+Quesería!$I$70:$I$89))-(-$V$26)*Quesería!$D$86*(1+Quesería!$I$86))*$V$21,0))*$V$11+K915)</f>
        <v>0</v>
      </c>
      <c r="L916" s="29" t="n">
        <f aca="false">Quesería!$B$55*(IF(L$47=0,SUMPRODUCT((Quesería!$C$70:$C$89=0)*(Quesería!$H$70:$H$89&gt;0)*(Quesería!$J$70:$J$89&gt;0)*Quesería!$F$70:$F$89*(1+Quesería!$I$70:$I$89)),IF(L$47=1,(SUMPRODUCT((Quesería!$C$70:$C$89=1)*(Quesería!$H$70:$H$89&gt;0)*(Quesería!$J$70:$J$89&gt;0)*Quesería!$F$70:$F$89*(1+Quesería!$I$70:$I$89))-(-$V$26)*Quesería!$D$86*(1+Quesería!$I$86))*$V$21,0))*$V$11+L915)</f>
        <v>0</v>
      </c>
    </row>
    <row r="917" customFormat="false" ht="15" hidden="true" customHeight="false" outlineLevel="1" collapsed="false">
      <c r="A917" s="6" t="s">
        <v>386</v>
      </c>
      <c r="B917" s="29" t="n">
        <f aca="false">IF(B$47=0,($V$22*Quesería!$J$126+(1-$V$22)*Quesería!$E$122)*Quesería!$B$20*Quesería!$B$21/12*$V$23,(($V$22*Quesería!$J$126+(1-$V$22)*Quesería!$E$122)+($V$22*Quesería!$J$104+(1-$V$22)*Quesería!$E$104)*(B912-1))*IF(B$47=1,Quesería!$B$20,1))*$V$10</f>
        <v>96.5734178089624</v>
      </c>
      <c r="C917" s="29" t="n">
        <f aca="false">IF(C$47=0,($V$22*Quesería!$J$126+(1-$V$22)*Quesería!$E$122)*Quesería!$B$20*Quesería!$B$21/12*$V$23,(($V$22*Quesería!$J$126+(1-$V$22)*Quesería!$E$122)+($V$22*Quesería!$J$104+(1-$V$22)*Quesería!$E$104)*(C912-1))*IF(C$47=1,Quesería!$B$20,1))*$V$10</f>
        <v>145.062653883255</v>
      </c>
      <c r="D917" s="29" t="n">
        <f aca="false">IF(D$47=0,($V$22*Quesería!$J$126+(1-$V$22)*Quesería!$E$122)*Quesería!$B$20*Quesería!$B$21/12*$V$23,(($V$22*Quesería!$J$126+(1-$V$22)*Quesería!$E$122)+($V$22*Quesería!$J$104+(1-$V$22)*Quesería!$E$104)*(D912-1))*IF(D$47=1,Quesería!$B$20,1))*$V$10</f>
        <v>193.465262025472</v>
      </c>
      <c r="E917" s="29" t="n">
        <f aca="false">IF(E$47=0,($V$22*Quesería!$J$126+(1-$V$22)*Quesería!$E$122)*Quesería!$B$20*Quesería!$B$21/12*$V$23,(($V$22*Quesería!$J$126+(1-$V$22)*Quesería!$E$122)+($V$22*Quesería!$J$104+(1-$V$22)*Quesería!$E$104)*(E912-1))*IF(E$47=1,Quesería!$B$20,1))*$V$10</f>
        <v>193.51389415751</v>
      </c>
      <c r="F917" s="29" t="n">
        <f aca="false">IF(F$47=0,($V$22*Quesería!$J$126+(1-$V$22)*Quesería!$E$122)*Quesería!$B$20*Quesería!$B$21/12*$V$23,(($V$22*Quesería!$J$126+(1-$V$22)*Quesería!$E$122)+($V$22*Quesería!$J$104+(1-$V$22)*Quesería!$E$104)*(F912-1))*IF(F$47=1,Quesería!$B$20,1))*$V$10</f>
        <v>193.562769450208</v>
      </c>
      <c r="G917" s="29" t="n">
        <f aca="false">IF(G$47=0,($V$22*Quesería!$J$126+(1-$V$22)*Quesería!$E$122)*Quesería!$B$20*Quesería!$B$21/12*$V$23,(($V$22*Quesería!$J$126+(1-$V$22)*Quesería!$E$122)+($V$22*Quesería!$J$104+(1-$V$22)*Quesería!$E$104)*(G912-1))*IF(G$47=1,Quesería!$B$20,1))*$V$10</f>
        <v>193.611889119369</v>
      </c>
      <c r="H917" s="29" t="n">
        <f aca="false">IF(H$47=0,($V$22*Quesería!$J$126+(1-$V$22)*Quesería!$E$122)*Quesería!$B$20*Quesería!$B$21/12*$V$23,(($V$22*Quesería!$J$126+(1-$V$22)*Quesería!$E$122)+($V$22*Quesería!$J$104+(1-$V$22)*Quesería!$E$104)*(H912-1))*IF(H$47=1,Quesería!$B$20,1))*$V$10</f>
        <v>193.661254386876</v>
      </c>
      <c r="I917" s="29" t="n">
        <f aca="false">IF(I$47=0,($V$22*Quesería!$J$126+(1-$V$22)*Quesería!$E$122)*Quesería!$B$20*Quesería!$B$21/12*$V$23,(($V$22*Quesería!$J$126+(1-$V$22)*Quesería!$E$122)+($V$22*Quesería!$J$104+(1-$V$22)*Quesería!$E$104)*(I912-1))*IF(I$47=1,Quesería!$B$20,1))*$V$10</f>
        <v>193.710866480721</v>
      </c>
      <c r="J917" s="29" t="n">
        <f aca="false">IF(J$47=0,($V$22*Quesería!$J$126+(1-$V$22)*Quesería!$E$122)*Quesería!$B$20*Quesería!$B$21/12*$V$23,(($V$22*Quesería!$J$126+(1-$V$22)*Quesería!$E$122)+($V$22*Quesería!$J$104+(1-$V$22)*Quesería!$E$104)*(J912-1))*IF(J$47=1,Quesería!$B$20,1))*$V$10</f>
        <v>193.760726635035</v>
      </c>
      <c r="K917" s="29" t="n">
        <f aca="false">IF(K$47=0,($V$22*Quesería!$J$126+(1-$V$22)*Quesería!$E$122)*Quesería!$B$20*Quesería!$B$21/12*$V$23,(($V$22*Quesería!$J$126+(1-$V$22)*Quesería!$E$122)+($V$22*Quesería!$J$104+(1-$V$22)*Quesería!$E$104)*(K912-1))*IF(K$47=1,Quesería!$B$20,1))*$V$10</f>
        <v>193.810836090121</v>
      </c>
      <c r="L917" s="29" t="n">
        <f aca="false">IF(L$47=0,($V$22*Quesería!$J$126+(1-$V$22)*Quesería!$E$122)*Quesería!$B$20*Quesería!$B$21/12*$V$23,(($V$22*Quesería!$J$126+(1-$V$22)*Quesería!$E$122)+($V$22*Quesería!$J$104+(1-$V$22)*Quesería!$E$104)*(L912-1))*IF(L$47=1,Quesería!$B$20,1))*$V$10</f>
        <v>193.861196092482</v>
      </c>
    </row>
    <row r="918" customFormat="false" ht="15" hidden="true" customHeight="false" outlineLevel="1" collapsed="false">
      <c r="A918" s="6" t="s">
        <v>387</v>
      </c>
      <c r="B918" s="29" t="n">
        <f aca="false">IF(B$47&lt;=1,0,((($V$22*Quesería!$J$127+(1-$V$22)*Quesería!$E$123)-($V$22*Quesería!$J$113+(1-$V$22)*Quesería!$E$113)+$V$6*($V$22*Quesería!$J$113+(1-$V$22)*Quesería!$E$113)-(1-$V$9)*(($V$22*Quesería!$J$119+(1-$V$22)*Quesería!$E$119)+($V$22*Quesería!$J$118+(1-$V$22)*Quesería!$E$118))-(1-$V$24)*($V$22*Quesería!$J$117+(1-$V$22)*Quesería!$E$117)+$V$24*(1-$V$25)*'Beneficios y costos'!$B$144-(-$V$26*$V$27)*'Beneficios y costos'!$C$167)+($V$6*($V$22*Quesería!$J$113+(1-$V$22)*Quesería!$E$113)+$V$9*($V$22*Quesería!$J$119+(1-$V$22)*Quesería!$E$119))*(B912-1))*IF(B$47=2,Quesería!$B$20,1)+IF(B$47=2,Quesería!$B$24*$V$9*($V$22*Quesería!$J$119+(1-$V$22)*Quesería!$E$119)*B912,0))*$V$10*$V$21</f>
        <v>0</v>
      </c>
      <c r="C918" s="29" t="n">
        <f aca="false">IF(C$47&lt;=1,0,((($V$22*Quesería!$J$127+(1-$V$22)*Quesería!$E$123)-($V$22*Quesería!$J$113+(1-$V$22)*Quesería!$E$113)+$V$6*($V$22*Quesería!$J$113+(1-$V$22)*Quesería!$E$113)-(1-$V$9)*(($V$22*Quesería!$J$119+(1-$V$22)*Quesería!$E$119)+($V$22*Quesería!$J$118+(1-$V$22)*Quesería!$E$118))-(1-$V$24)*($V$22*Quesería!$J$117+(1-$V$22)*Quesería!$E$117)+$V$24*(1-$V$25)*'Beneficios y costos'!$B$144-(-$V$26*$V$27)*'Beneficios y costos'!$C$167)+($V$6*($V$22*Quesería!$J$113+(1-$V$22)*Quesería!$E$113)+$V$9*($V$22*Quesería!$J$119+(1-$V$22)*Quesería!$E$119))*(C912-1))*IF(C$47=2,Quesería!$B$20,1)+IF(C$47=2,Quesería!$B$24*$V$9*($V$22*Quesería!$J$119+(1-$V$22)*Quesería!$E$119)*C912,0))*$V$10*$V$21</f>
        <v>0</v>
      </c>
      <c r="D918" s="29" t="n">
        <f aca="false">IF(D$47&lt;=1,0,((($V$22*Quesería!$J$127+(1-$V$22)*Quesería!$E$123)-($V$22*Quesería!$J$113+(1-$V$22)*Quesería!$E$113)+$V$6*($V$22*Quesería!$J$113+(1-$V$22)*Quesería!$E$113)-(1-$V$9)*(($V$22*Quesería!$J$119+(1-$V$22)*Quesería!$E$119)+($V$22*Quesería!$J$118+(1-$V$22)*Quesería!$E$118))-(1-$V$24)*($V$22*Quesería!$J$117+(1-$V$22)*Quesería!$E$117)+$V$24*(1-$V$25)*'Beneficios y costos'!$B$144-(-$V$26*$V$27)*'Beneficios y costos'!$C$167)+($V$6*($V$22*Quesería!$J$113+(1-$V$22)*Quesería!$E$113)+$V$9*($V$22*Quesería!$J$119+(1-$V$22)*Quesería!$E$119))*(D912-1))*IF(D$47=2,Quesería!$B$20,1)+IF(D$47=2,Quesería!$B$24*$V$9*($V$22*Quesería!$J$119+(1-$V$22)*Quesería!$E$119)*D912,0))*$V$10*$V$21</f>
        <v>205.881194987751</v>
      </c>
      <c r="E918" s="29" t="n">
        <f aca="false">IF(E$47&lt;=1,0,((($V$22*Quesería!$J$127+(1-$V$22)*Quesería!$E$123)-($V$22*Quesería!$J$113+(1-$V$22)*Quesería!$E$113)+$V$6*($V$22*Quesería!$J$113+(1-$V$22)*Quesería!$E$113)-(1-$V$9)*(($V$22*Quesería!$J$119+(1-$V$22)*Quesería!$E$119)+($V$22*Quesería!$J$118+(1-$V$22)*Quesería!$E$118))-(1-$V$24)*($V$22*Quesería!$J$117+(1-$V$22)*Quesería!$E$117)+$V$24*(1-$V$25)*'Beneficios y costos'!$B$144-(-$V$26*$V$27)*'Beneficios y costos'!$C$167)+($V$6*($V$22*Quesería!$J$113+(1-$V$22)*Quesería!$E$113)+$V$9*($V$22*Quesería!$J$119+(1-$V$22)*Quesería!$E$119))*(E912-1))*IF(E$47=2,Quesería!$B$20,1)+IF(E$47=2,Quesería!$B$24*$V$9*($V$22*Quesería!$J$119+(1-$V$22)*Quesería!$E$119)*E912,0))*$V$10*$V$21</f>
        <v>262.795856102498</v>
      </c>
      <c r="F918" s="29" t="n">
        <f aca="false">IF(F$47&lt;=1,0,((($V$22*Quesería!$J$127+(1-$V$22)*Quesería!$E$123)-($V$22*Quesería!$J$113+(1-$V$22)*Quesería!$E$113)+$V$6*($V$22*Quesería!$J$113+(1-$V$22)*Quesería!$E$113)-(1-$V$9)*(($V$22*Quesería!$J$119+(1-$V$22)*Quesería!$E$119)+($V$22*Quesería!$J$118+(1-$V$22)*Quesería!$E$118))-(1-$V$24)*($V$22*Quesería!$J$117+(1-$V$22)*Quesería!$E$117)+$V$24*(1-$V$25)*'Beneficios y costos'!$B$144-(-$V$26*$V$27)*'Beneficios y costos'!$C$167)+($V$6*($V$22*Quesería!$J$113+(1-$V$22)*Quesería!$E$113)+$V$9*($V$22*Quesería!$J$119+(1-$V$22)*Quesería!$E$119))*(F912-1))*IF(F$47=2,Quesería!$B$20,1)+IF(F$47=2,Quesería!$B$24*$V$9*($V$22*Quesería!$J$119+(1-$V$22)*Quesería!$E$119)*F912,0))*$V$10*$V$21</f>
        <v>262.994349638149</v>
      </c>
      <c r="G918" s="29" t="n">
        <f aca="false">IF(G$47&lt;=1,0,((($V$22*Quesería!$J$127+(1-$V$22)*Quesería!$E$123)-($V$22*Quesería!$J$113+(1-$V$22)*Quesería!$E$113)+$V$6*($V$22*Quesería!$J$113+(1-$V$22)*Quesería!$E$113)-(1-$V$9)*(($V$22*Quesería!$J$119+(1-$V$22)*Quesería!$E$119)+($V$22*Quesería!$J$118+(1-$V$22)*Quesería!$E$118))-(1-$V$24)*($V$22*Quesería!$J$117+(1-$V$22)*Quesería!$E$117)+$V$24*(1-$V$25)*'Beneficios y costos'!$B$144-(-$V$26*$V$27)*'Beneficios y costos'!$C$167)+($V$6*($V$22*Quesería!$J$113+(1-$V$22)*Quesería!$E$113)+$V$9*($V$22*Quesería!$J$119+(1-$V$22)*Quesería!$E$119))*(G912-1))*IF(G$47=2,Quesería!$B$20,1)+IF(G$47=2,Quesería!$B$24*$V$9*($V$22*Quesería!$J$119+(1-$V$22)*Quesería!$E$119)*G912,0))*$V$10*$V$21</f>
        <v>263.193835641478</v>
      </c>
      <c r="H918" s="29" t="n">
        <f aca="false">IF(H$47&lt;=1,0,((($V$22*Quesería!$J$127+(1-$V$22)*Quesería!$E$123)-($V$22*Quesería!$J$113+(1-$V$22)*Quesería!$E$113)+$V$6*($V$22*Quesería!$J$113+(1-$V$22)*Quesería!$E$113)-(1-$V$9)*(($V$22*Quesería!$J$119+(1-$V$22)*Quesería!$E$119)+($V$22*Quesería!$J$118+(1-$V$22)*Quesería!$E$118))-(1-$V$24)*($V$22*Quesería!$J$117+(1-$V$22)*Quesería!$E$117)+$V$24*(1-$V$25)*'Beneficios y costos'!$B$144-(-$V$26*$V$27)*'Beneficios y costos'!$C$167)+($V$6*($V$22*Quesería!$J$113+(1-$V$22)*Quesería!$E$113)+$V$9*($V$22*Quesería!$J$119+(1-$V$22)*Quesería!$E$119))*(H912-1))*IF(H$47=2,Quesería!$B$20,1)+IF(H$47=2,Quesería!$B$24*$V$9*($V$22*Quesería!$J$119+(1-$V$22)*Quesería!$E$119)*H912,0))*$V$10*$V$21</f>
        <v>263.394319074823</v>
      </c>
      <c r="I918" s="29" t="n">
        <f aca="false">IF(I$47&lt;=1,0,((($V$22*Quesería!$J$127+(1-$V$22)*Quesería!$E$123)-($V$22*Quesería!$J$113+(1-$V$22)*Quesería!$E$113)+$V$6*($V$22*Quesería!$J$113+(1-$V$22)*Quesería!$E$113)-(1-$V$9)*(($V$22*Quesería!$J$119+(1-$V$22)*Quesería!$E$119)+($V$22*Quesería!$J$118+(1-$V$22)*Quesería!$E$118))-(1-$V$24)*($V$22*Quesería!$J$117+(1-$V$22)*Quesería!$E$117)+$V$24*(1-$V$25)*'Beneficios y costos'!$B$144-(-$V$26*$V$27)*'Beneficios y costos'!$C$167)+($V$6*($V$22*Quesería!$J$113+(1-$V$22)*Quesería!$E$113)+$V$9*($V$22*Quesería!$J$119+(1-$V$22)*Quesería!$E$119))*(I912-1))*IF(I$47=2,Quesería!$B$20,1)+IF(I$47=2,Quesería!$B$24*$V$9*($V$22*Quesería!$J$119+(1-$V$22)*Quesería!$E$119)*I912,0))*$V$10*$V$21</f>
        <v>263.595804925336</v>
      </c>
      <c r="J918" s="29" t="n">
        <f aca="false">IF(J$47&lt;=1,0,((($V$22*Quesería!$J$127+(1-$V$22)*Quesería!$E$123)-($V$22*Quesería!$J$113+(1-$V$22)*Quesería!$E$113)+$V$6*($V$22*Quesería!$J$113+(1-$V$22)*Quesería!$E$113)-(1-$V$9)*(($V$22*Quesería!$J$119+(1-$V$22)*Quesería!$E$119)+($V$22*Quesería!$J$118+(1-$V$22)*Quesería!$E$118))-(1-$V$24)*($V$22*Quesería!$J$117+(1-$V$22)*Quesería!$E$117)+$V$24*(1-$V$25)*'Beneficios y costos'!$B$144-(-$V$26*$V$27)*'Beneficios y costos'!$C$167)+($V$6*($V$22*Quesería!$J$113+(1-$V$22)*Quesería!$E$113)+$V$9*($V$22*Quesería!$J$119+(1-$V$22)*Quesería!$E$119))*(J912-1))*IF(J$47=2,Quesería!$B$20,1)+IF(J$47=2,Quesería!$B$24*$V$9*($V$22*Quesería!$J$119+(1-$V$22)*Quesería!$E$119)*J912,0))*$V$10*$V$21</f>
        <v>263.798298205101</v>
      </c>
      <c r="K918" s="29" t="n">
        <f aca="false">IF(K$47&lt;=1,0,((($V$22*Quesería!$J$127+(1-$V$22)*Quesería!$E$123)-($V$22*Quesería!$J$113+(1-$V$22)*Quesería!$E$113)+$V$6*($V$22*Quesería!$J$113+(1-$V$22)*Quesería!$E$113)-(1-$V$9)*(($V$22*Quesería!$J$119+(1-$V$22)*Quesería!$E$119)+($V$22*Quesería!$J$118+(1-$V$22)*Quesería!$E$118))-(1-$V$24)*($V$22*Quesería!$J$117+(1-$V$22)*Quesería!$E$117)+$V$24*(1-$V$25)*'Beneficios y costos'!$B$144-(-$V$26*$V$27)*'Beneficios y costos'!$C$167)+($V$6*($V$22*Quesería!$J$113+(1-$V$22)*Quesería!$E$113)+$V$9*($V$22*Quesería!$J$119+(1-$V$22)*Quesería!$E$119))*(K912-1))*IF(K$47=2,Quesería!$B$20,1)+IF(K$47=2,Quesería!$B$24*$V$9*($V$22*Quesería!$J$119+(1-$V$22)*Quesería!$E$119)*K912,0))*$V$10*$V$21</f>
        <v>264.001803951264</v>
      </c>
      <c r="L918" s="29" t="n">
        <f aca="false">IF(L$47&lt;=1,0,((($V$22*Quesería!$J$127+(1-$V$22)*Quesería!$E$123)-($V$22*Quesería!$J$113+(1-$V$22)*Quesería!$E$113)+$V$6*($V$22*Quesería!$J$113+(1-$V$22)*Quesería!$E$113)-(1-$V$9)*(($V$22*Quesería!$J$119+(1-$V$22)*Quesería!$E$119)+($V$22*Quesería!$J$118+(1-$V$22)*Quesería!$E$118))-(1-$V$24)*($V$22*Quesería!$J$117+(1-$V$22)*Quesería!$E$117)+$V$24*(1-$V$25)*'Beneficios y costos'!$B$144-(-$V$26*$V$27)*'Beneficios y costos'!$C$167)+($V$6*($V$22*Quesería!$J$113+(1-$V$22)*Quesería!$E$113)+$V$9*($V$22*Quesería!$J$119+(1-$V$22)*Quesería!$E$119))*(L912-1))*IF(L$47=2,Quesería!$B$20,1)+IF(L$47=2,Quesería!$B$24*$V$9*($V$22*Quesería!$J$119+(1-$V$22)*Quesería!$E$119)*L912,0))*$V$10*$V$21</f>
        <v>264.206327226159</v>
      </c>
    </row>
    <row r="919" customFormat="false" ht="15" hidden="true" customHeight="false" outlineLevel="1" collapsed="false">
      <c r="A919" s="5" t="s">
        <v>412</v>
      </c>
      <c r="B919" s="10" t="n">
        <f aca="false">B917+B918</f>
        <v>96.5734178089624</v>
      </c>
      <c r="C919" s="10" t="n">
        <f aca="false">C917+C918</f>
        <v>145.062653883255</v>
      </c>
      <c r="D919" s="10" t="n">
        <f aca="false">D917+D918</f>
        <v>399.346457013223</v>
      </c>
      <c r="E919" s="10" t="n">
        <f aca="false">E917+E918</f>
        <v>456.309750260008</v>
      </c>
      <c r="F919" s="10" t="n">
        <f aca="false">F917+F918</f>
        <v>456.557119088356</v>
      </c>
      <c r="G919" s="10" t="n">
        <f aca="false">G917+G918</f>
        <v>456.805724760847</v>
      </c>
      <c r="H919" s="10" t="n">
        <f aca="false">H917+H918</f>
        <v>457.0555734617</v>
      </c>
      <c r="I919" s="10" t="n">
        <f aca="false">I917+I918</f>
        <v>457.306671406057</v>
      </c>
      <c r="J919" s="10" t="n">
        <f aca="false">J917+J918</f>
        <v>457.559024840136</v>
      </c>
      <c r="K919" s="10" t="n">
        <f aca="false">K917+K918</f>
        <v>457.812640041385</v>
      </c>
      <c r="L919" s="10" t="n">
        <f aca="false">L917+L918</f>
        <v>458.067523318641</v>
      </c>
    </row>
    <row r="920" customFormat="false" ht="15" hidden="true" customHeight="false" outlineLevel="1" collapsed="false">
      <c r="A920" s="6" t="s">
        <v>413</v>
      </c>
      <c r="B920" s="29" t="n">
        <f aca="false">(IF(B$47&gt;=1,(Quesería!$B$31+Quesería!$B$33)*Quesería!$F$94*$V$11+Quesería!$B$32+'Beneficios y costos'!$B$249,0)+IF(B$47&gt;=2,((Quesería!$B$31+Quesería!$B$33)*(Quesería!$F$95-(-$V$26)*Quesería!$D$86)*$V$11+'Beneficios y costos'!$C$249-(-$V$26)*'Beneficios y costos'!$H$235)*$V$21,0))*$V$12</f>
        <v>0</v>
      </c>
      <c r="C920" s="29" t="n">
        <f aca="false">(IF(C$47&gt;=1,(Quesería!$B$31+Quesería!$B$33)*Quesería!$F$94*$V$11+Quesería!$B$32+'Beneficios y costos'!$B$249,0)+IF(C$47&gt;=2,((Quesería!$B$31+Quesería!$B$33)*(Quesería!$F$95-(-$V$26)*Quesería!$D$86)*$V$11+'Beneficios y costos'!$C$249-(-$V$26)*'Beneficios y costos'!$H$235)*$V$21,0))*$V$12</f>
        <v>58.6429270014543</v>
      </c>
      <c r="D920" s="29" t="n">
        <f aca="false">(IF(D$47&gt;=1,(Quesería!$B$31+Quesería!$B$33)*Quesería!$F$94*$V$11+Quesería!$B$32+'Beneficios y costos'!$B$249,0)+IF(D$47&gt;=2,((Quesería!$B$31+Quesería!$B$33)*(Quesería!$F$95-(-$V$26)*Quesería!$D$86)*$V$11+'Beneficios y costos'!$C$249-(-$V$26)*'Beneficios y costos'!$H$235)*$V$21,0))*$V$12</f>
        <v>107.49551718519</v>
      </c>
      <c r="E920" s="29" t="n">
        <f aca="false">(IF(E$47&gt;=1,(Quesería!$B$31+Quesería!$B$33)*Quesería!$F$94*$V$11+Quesería!$B$32+'Beneficios y costos'!$B$249,0)+IF(E$47&gt;=2,((Quesería!$B$31+Quesería!$B$33)*(Quesería!$F$95-(-$V$26)*Quesería!$D$86)*$V$11+'Beneficios y costos'!$C$249-(-$V$26)*'Beneficios y costos'!$H$235)*$V$21,0))*$V$12</f>
        <v>107.49551718519</v>
      </c>
      <c r="F920" s="29" t="n">
        <f aca="false">(IF(F$47&gt;=1,(Quesería!$B$31+Quesería!$B$33)*Quesería!$F$94*$V$11+Quesería!$B$32+'Beneficios y costos'!$B$249,0)+IF(F$47&gt;=2,((Quesería!$B$31+Quesería!$B$33)*(Quesería!$F$95-(-$V$26)*Quesería!$D$86)*$V$11+'Beneficios y costos'!$C$249-(-$V$26)*'Beneficios y costos'!$H$235)*$V$21,0))*$V$12</f>
        <v>107.49551718519</v>
      </c>
      <c r="G920" s="29" t="n">
        <f aca="false">(IF(G$47&gt;=1,(Quesería!$B$31+Quesería!$B$33)*Quesería!$F$94*$V$11+Quesería!$B$32+'Beneficios y costos'!$B$249,0)+IF(G$47&gt;=2,((Quesería!$B$31+Quesería!$B$33)*(Quesería!$F$95-(-$V$26)*Quesería!$D$86)*$V$11+'Beneficios y costos'!$C$249-(-$V$26)*'Beneficios y costos'!$H$235)*$V$21,0))*$V$12</f>
        <v>107.49551718519</v>
      </c>
      <c r="H920" s="29" t="n">
        <f aca="false">(IF(H$47&gt;=1,(Quesería!$B$31+Quesería!$B$33)*Quesería!$F$94*$V$11+Quesería!$B$32+'Beneficios y costos'!$B$249,0)+IF(H$47&gt;=2,((Quesería!$B$31+Quesería!$B$33)*(Quesería!$F$95-(-$V$26)*Quesería!$D$86)*$V$11+'Beneficios y costos'!$C$249-(-$V$26)*'Beneficios y costos'!$H$235)*$V$21,0))*$V$12</f>
        <v>107.49551718519</v>
      </c>
      <c r="I920" s="29" t="n">
        <f aca="false">(IF(I$47&gt;=1,(Quesería!$B$31+Quesería!$B$33)*Quesería!$F$94*$V$11+Quesería!$B$32+'Beneficios y costos'!$B$249,0)+IF(I$47&gt;=2,((Quesería!$B$31+Quesería!$B$33)*(Quesería!$F$95-(-$V$26)*Quesería!$D$86)*$V$11+'Beneficios y costos'!$C$249-(-$V$26)*'Beneficios y costos'!$H$235)*$V$21,0))*$V$12</f>
        <v>107.49551718519</v>
      </c>
      <c r="J920" s="29" t="n">
        <f aca="false">(IF(J$47&gt;=1,(Quesería!$B$31+Quesería!$B$33)*Quesería!$F$94*$V$11+Quesería!$B$32+'Beneficios y costos'!$B$249,0)+IF(J$47&gt;=2,((Quesería!$B$31+Quesería!$B$33)*(Quesería!$F$95-(-$V$26)*Quesería!$D$86)*$V$11+'Beneficios y costos'!$C$249-(-$V$26)*'Beneficios y costos'!$H$235)*$V$21,0))*$V$12</f>
        <v>107.49551718519</v>
      </c>
      <c r="K920" s="29" t="n">
        <f aca="false">(IF(K$47&gt;=1,(Quesería!$B$31+Quesería!$B$33)*Quesería!$F$94*$V$11+Quesería!$B$32+'Beneficios y costos'!$B$249,0)+IF(K$47&gt;=2,((Quesería!$B$31+Quesería!$B$33)*(Quesería!$F$95-(-$V$26)*Quesería!$D$86)*$V$11+'Beneficios y costos'!$C$249-(-$V$26)*'Beneficios y costos'!$H$235)*$V$21,0))*$V$12</f>
        <v>107.49551718519</v>
      </c>
      <c r="L920" s="29" t="n">
        <f aca="false">(IF(L$47&gt;=1,(Quesería!$B$31+Quesería!$B$33)*Quesería!$F$94*$V$11+Quesería!$B$32+'Beneficios y costos'!$B$249,0)+IF(L$47&gt;=2,((Quesería!$B$31+Quesería!$B$33)*(Quesería!$F$95-(-$V$26)*Quesería!$D$86)*$V$11+'Beneficios y costos'!$C$249-(-$V$26)*'Beneficios y costos'!$H$235)*$V$21,0))*$V$12</f>
        <v>107.49551718519</v>
      </c>
    </row>
    <row r="921" customFormat="false" ht="15" hidden="true" customHeight="false" outlineLevel="1" collapsed="false">
      <c r="A921" s="6" t="s">
        <v>414</v>
      </c>
      <c r="B921" s="29" t="n">
        <f aca="false">IF(B$47=1,2*Quesería!$B$22*Quesería!$B$23/12*B912,0)*$V$21</f>
        <v>0</v>
      </c>
      <c r="C921" s="29" t="n">
        <f aca="false">IF(C$47=1,2*Quesería!$B$22*Quesería!$B$23/12*C912,0)*$V$21</f>
        <v>18.5166509433962</v>
      </c>
      <c r="D921" s="29" t="n">
        <f aca="false">IF(D$47=1,2*Quesería!$B$22*Quesería!$B$23/12*D912,0)*$V$21</f>
        <v>0</v>
      </c>
      <c r="E921" s="29" t="n">
        <f aca="false">IF(E$47=1,2*Quesería!$B$22*Quesería!$B$23/12*E912,0)*$V$21</f>
        <v>0</v>
      </c>
      <c r="F921" s="29" t="n">
        <f aca="false">IF(F$47=1,2*Quesería!$B$22*Quesería!$B$23/12*F912,0)*$V$21</f>
        <v>0</v>
      </c>
      <c r="G921" s="29" t="n">
        <f aca="false">IF(G$47=1,2*Quesería!$B$22*Quesería!$B$23/12*G912,0)*$V$21</f>
        <v>0</v>
      </c>
      <c r="H921" s="29" t="n">
        <f aca="false">IF(H$47=1,2*Quesería!$B$22*Quesería!$B$23/12*H912,0)*$V$21</f>
        <v>0</v>
      </c>
      <c r="I921" s="29" t="n">
        <f aca="false">IF(I$47=1,2*Quesería!$B$22*Quesería!$B$23/12*I912,0)*$V$21</f>
        <v>0</v>
      </c>
      <c r="J921" s="29" t="n">
        <f aca="false">IF(J$47=1,2*Quesería!$B$22*Quesería!$B$23/12*J912,0)*$V$21</f>
        <v>0</v>
      </c>
      <c r="K921" s="29" t="n">
        <f aca="false">IF(K$47=1,2*Quesería!$B$22*Quesería!$B$23/12*K912,0)*$V$21</f>
        <v>0</v>
      </c>
      <c r="L921" s="29" t="n">
        <f aca="false">IF(L$47=1,2*Quesería!$B$22*Quesería!$B$23/12*L912,0)*$V$21</f>
        <v>0</v>
      </c>
    </row>
    <row r="922" customFormat="false" ht="15" hidden="true" customHeight="false" outlineLevel="1" collapsed="false">
      <c r="A922" s="6" t="s">
        <v>415</v>
      </c>
      <c r="B922" s="29" t="n">
        <f aca="false">Quesería!$B$52*(B914+B915+B916+B920+B921)</f>
        <v>5.1835963727609</v>
      </c>
      <c r="C922" s="29" t="n">
        <f aca="false">Quesería!$B$52*(C914+C915+C916+C920+C921)</f>
        <v>4.06981362062414</v>
      </c>
      <c r="D922" s="29" t="n">
        <f aca="false">Quesería!$B$52*(D914+D915+D916+D920+D921)</f>
        <v>0.42998206874076</v>
      </c>
      <c r="E922" s="29" t="n">
        <f aca="false">Quesería!$B$52*(E914+E915+E916+E920+E921)</f>
        <v>0.42998206874076</v>
      </c>
      <c r="F922" s="29" t="n">
        <f aca="false">Quesería!$B$52*(F914+F915+F916+F920+F921)</f>
        <v>0.42998206874076</v>
      </c>
      <c r="G922" s="29" t="n">
        <f aca="false">Quesería!$B$52*(G914+G915+G916+G920+G921)</f>
        <v>0.586863389780566</v>
      </c>
      <c r="H922" s="29" t="n">
        <f aca="false">Quesería!$B$52*(H914+H915+H916+H920+H921)</f>
        <v>0.694956926161736</v>
      </c>
      <c r="I922" s="29" t="n">
        <f aca="false">Quesería!$B$52*(I914+I915+I916+I920+I921)</f>
        <v>0.42998206874076</v>
      </c>
      <c r="J922" s="29" t="n">
        <f aca="false">Quesería!$B$52*(J914+J915+J916+J920+J921)</f>
        <v>0.42998206874076</v>
      </c>
      <c r="K922" s="29" t="n">
        <f aca="false">Quesería!$B$52*(K914+K915+K916+K920+K921)</f>
        <v>0.42998206874076</v>
      </c>
      <c r="L922" s="29" t="n">
        <f aca="false">Quesería!$B$52*(L914+L915+L916+L920+L921)</f>
        <v>0.42998206874076</v>
      </c>
    </row>
    <row r="923" customFormat="false" ht="15" hidden="true" customHeight="false" outlineLevel="1" collapsed="false">
      <c r="A923" s="6" t="s">
        <v>416</v>
      </c>
      <c r="B923" s="29" t="n">
        <f aca="false">(IF($V$19=1,(SUMPRODUCT((Quesería!$C$70:$C$89=0)*(Quesería!$J$70:$J$89&gt;0)*(B$47&gt;=1)*(B$47&lt;=Quesería!$J$70:$J$89)*(Quesería!$H$70:$H$89&gt;0)*Quesería!$F$70:$F$89*(1+Quesería!$I$70:$I$89)/(Quesería!$J$70:$J$89+(Quesería!$J$70:$J$89=0)))+SUMPRODUCT((Quesería!$C$70:$C$89=0)*(Quesería!$J$70:$J$89=0)*(B$47=0)*(Quesería!$H$70:$H$89&gt;0)*Quesería!$F$70:$F$89*(1+Quesería!$I$70:$I$89)))*$B$911+((SUMPRODUCT((Quesería!$C$70:$C$89=1)*(Quesería!$J$70:$J$89&gt;0)*(B$47&gt;=2)*(B$47&lt;=Quesería!$J$70:$J$89+1)*(Quesería!$H$70:$H$89&gt;0)*Quesería!$F$70:$F$89*(1+Quesería!$I$70:$I$89)/(Quesería!$J$70:$J$89+(Quesería!$J$70:$J$89=0)))+SUMPRODUCT((Quesería!$C$70:$C$89=1)*(Quesería!$J$70:$J$89=0)*(B$47=1)*(Quesería!$H$70:$H$89&gt;0)*Quesería!$F$70:$F$89*(1+Quesería!$I$70:$I$89)))-(-$V$26)*IF(AND(B$47&gt;=2,B$47&lt;=Quesería!$J$86+1),Quesería!$D$86*(1+Quesería!$I$86)/Quesería!$J$86,0))*$C$911*$V$21,IF(AND(B$47&gt;=1,B$47&lt;=Quesería!$B$30),Quesería!$F$92/Quesería!$B$30,0)*$B$911+IF(AND(B$47&gt;=2,B$47&lt;=Quesería!$B$30+1),(Quesería!$F$93-(-$V$26)*Quesería!$D$86*(1+Quesería!$I$86))/Quesería!$B$30,0)*$C$911*$V$21)*$V$11+IF(AND(B$47&gt;=6,B$47&lt;=10),$G915*$G911/5,0)+IF(AND(B$47&gt;=7,B$47&lt;=11),$H915*$H911/5,0))*B913</f>
        <v>175.177098516891</v>
      </c>
      <c r="C923" s="29" t="n">
        <f aca="false">(IF($V$19=1,(SUMPRODUCT((Quesería!$C$70:$C$89=0)*(Quesería!$J$70:$J$89&gt;0)*(C$47&gt;=1)*(C$47&lt;=Quesería!$J$70:$J$89)*(Quesería!$H$70:$H$89&gt;0)*Quesería!$F$70:$F$89*(1+Quesería!$I$70:$I$89)/(Quesería!$J$70:$J$89+(Quesería!$J$70:$J$89=0)))+SUMPRODUCT((Quesería!$C$70:$C$89=0)*(Quesería!$J$70:$J$89=0)*(C$47=0)*(Quesería!$H$70:$H$89&gt;0)*Quesería!$F$70:$F$89*(1+Quesería!$I$70:$I$89)))*$B$911+((SUMPRODUCT((Quesería!$C$70:$C$89=1)*(Quesería!$J$70:$J$89&gt;0)*(C$47&gt;=2)*(C$47&lt;=Quesería!$J$70:$J$89+1)*(Quesería!$H$70:$H$89&gt;0)*Quesería!$F$70:$F$89*(1+Quesería!$I$70:$I$89)/(Quesería!$J$70:$J$89+(Quesería!$J$70:$J$89=0)))+SUMPRODUCT((Quesería!$C$70:$C$89=1)*(Quesería!$J$70:$J$89=0)*(C$47=1)*(Quesería!$H$70:$H$89&gt;0)*Quesería!$F$70:$F$89*(1+Quesería!$I$70:$I$89)))-(-$V$26)*IF(AND(C$47&gt;=2,C$47&lt;=Quesería!$J$86+1),Quesería!$D$86*(1+Quesería!$I$86)/Quesería!$J$86,0))*$C$911*$V$21,IF(AND(C$47&gt;=1,C$47&lt;=Quesería!$B$30),Quesería!$F$92/Quesería!$B$30,0)*$B$911+IF(AND(C$47&gt;=2,C$47&lt;=Quesería!$B$30+1),(Quesería!$F$93-(-$V$26)*Quesería!$D$86*(1+Quesería!$I$86))/Quesería!$B$30,0)*$C$911*$V$21)*$V$11+IF(AND(C$47&gt;=6,C$47&lt;=10),$G915*$G911/5,0)+IF(AND(C$47&gt;=7,C$47&lt;=11),$H915*$H911/5,0))*C913</f>
        <v>98.7159923429119</v>
      </c>
      <c r="D923" s="29" t="n">
        <f aca="false">(IF($V$19=1,(SUMPRODUCT((Quesería!$C$70:$C$89=0)*(Quesería!$J$70:$J$89&gt;0)*(D$47&gt;=1)*(D$47&lt;=Quesería!$J$70:$J$89)*(Quesería!$H$70:$H$89&gt;0)*Quesería!$F$70:$F$89*(1+Quesería!$I$70:$I$89)/(Quesería!$J$70:$J$89+(Quesería!$J$70:$J$89=0)))+SUMPRODUCT((Quesería!$C$70:$C$89=0)*(Quesería!$J$70:$J$89=0)*(D$47=0)*(Quesería!$H$70:$H$89&gt;0)*Quesería!$F$70:$F$89*(1+Quesería!$I$70:$I$89)))*$B$911+((SUMPRODUCT((Quesería!$C$70:$C$89=1)*(Quesería!$J$70:$J$89&gt;0)*(D$47&gt;=2)*(D$47&lt;=Quesería!$J$70:$J$89+1)*(Quesería!$H$70:$H$89&gt;0)*Quesería!$F$70:$F$89*(1+Quesería!$I$70:$I$89)/(Quesería!$J$70:$J$89+(Quesería!$J$70:$J$89=0)))+SUMPRODUCT((Quesería!$C$70:$C$89=1)*(Quesería!$J$70:$J$89=0)*(D$47=1)*(Quesería!$H$70:$H$89&gt;0)*Quesería!$F$70:$F$89*(1+Quesería!$I$70:$I$89)))-(-$V$26)*IF(AND(D$47&gt;=2,D$47&lt;=Quesería!$J$86+1),Quesería!$D$86*(1+Quesería!$I$86)/Quesería!$J$86,0))*$C$911*$V$21,IF(AND(D$47&gt;=1,D$47&lt;=Quesería!$B$30),Quesería!$F$92/Quesería!$B$30,0)*$B$911+IF(AND(D$47&gt;=2,D$47&lt;=Quesería!$B$30+1),(Quesería!$F$93-(-$V$26)*Quesería!$D$86*(1+Quesería!$I$86))/Quesería!$B$30,0)*$C$911*$V$21)*$V$11+IF(AND(D$47&gt;=6,D$47&lt;=10),$G915*$G911/5,0)+IF(AND(D$47&gt;=7,D$47&lt;=11),$H915*$H911/5,0))*D913</f>
        <v>170.07873717115</v>
      </c>
      <c r="E923" s="29" t="n">
        <f aca="false">(IF($V$19=1,(SUMPRODUCT((Quesería!$C$70:$C$89=0)*(Quesería!$J$70:$J$89&gt;0)*(E$47&gt;=1)*(E$47&lt;=Quesería!$J$70:$J$89)*(Quesería!$H$70:$H$89&gt;0)*Quesería!$F$70:$F$89*(1+Quesería!$I$70:$I$89)/(Quesería!$J$70:$J$89+(Quesería!$J$70:$J$89=0)))+SUMPRODUCT((Quesería!$C$70:$C$89=0)*(Quesería!$J$70:$J$89=0)*(E$47=0)*(Quesería!$H$70:$H$89&gt;0)*Quesería!$F$70:$F$89*(1+Quesería!$I$70:$I$89)))*$B$911+((SUMPRODUCT((Quesería!$C$70:$C$89=1)*(Quesería!$J$70:$J$89&gt;0)*(E$47&gt;=2)*(E$47&lt;=Quesería!$J$70:$J$89+1)*(Quesería!$H$70:$H$89&gt;0)*Quesería!$F$70:$F$89*(1+Quesería!$I$70:$I$89)/(Quesería!$J$70:$J$89+(Quesería!$J$70:$J$89=0)))+SUMPRODUCT((Quesería!$C$70:$C$89=1)*(Quesería!$J$70:$J$89=0)*(E$47=1)*(Quesería!$H$70:$H$89&gt;0)*Quesería!$F$70:$F$89*(1+Quesería!$I$70:$I$89)))-(-$V$26)*IF(AND(E$47&gt;=2,E$47&lt;=Quesería!$J$86+1),Quesería!$D$86*(1+Quesería!$I$86)/Quesería!$J$86,0))*$C$911*$V$21,IF(AND(E$47&gt;=1,E$47&lt;=Quesería!$B$30),Quesería!$F$92/Quesería!$B$30,0)*$B$911+IF(AND(E$47&gt;=2,E$47&lt;=Quesería!$B$30+1),(Quesería!$F$93-(-$V$26)*Quesería!$D$86*(1+Quesería!$I$86))/Quesería!$B$30,0)*$C$911*$V$21)*$V$11+IF(AND(E$47&gt;=6,E$47&lt;=10),$G915*$G911/5,0)+IF(AND(E$47&gt;=7,E$47&lt;=11),$H915*$H911/5,0))*E913</f>
        <v>163.537247279952</v>
      </c>
      <c r="F923" s="29" t="n">
        <f aca="false">(IF($V$19=1,(SUMPRODUCT((Quesería!$C$70:$C$89=0)*(Quesería!$J$70:$J$89&gt;0)*(F$47&gt;=1)*(F$47&lt;=Quesería!$J$70:$J$89)*(Quesería!$H$70:$H$89&gt;0)*Quesería!$F$70:$F$89*(1+Quesería!$I$70:$I$89)/(Quesería!$J$70:$J$89+(Quesería!$J$70:$J$89=0)))+SUMPRODUCT((Quesería!$C$70:$C$89=0)*(Quesería!$J$70:$J$89=0)*(F$47=0)*(Quesería!$H$70:$H$89&gt;0)*Quesería!$F$70:$F$89*(1+Quesería!$I$70:$I$89)))*$B$911+((SUMPRODUCT((Quesería!$C$70:$C$89=1)*(Quesería!$J$70:$J$89&gt;0)*(F$47&gt;=2)*(F$47&lt;=Quesería!$J$70:$J$89+1)*(Quesería!$H$70:$H$89&gt;0)*Quesería!$F$70:$F$89*(1+Quesería!$I$70:$I$89)/(Quesería!$J$70:$J$89+(Quesería!$J$70:$J$89=0)))+SUMPRODUCT((Quesería!$C$70:$C$89=1)*(Quesería!$J$70:$J$89=0)*(F$47=1)*(Quesería!$H$70:$H$89&gt;0)*Quesería!$F$70:$F$89*(1+Quesería!$I$70:$I$89)))-(-$V$26)*IF(AND(F$47&gt;=2,F$47&lt;=Quesería!$J$86+1),Quesería!$D$86*(1+Quesería!$I$86)/Quesería!$J$86,0))*$C$911*$V$21,IF(AND(F$47&gt;=1,F$47&lt;=Quesería!$B$30),Quesería!$F$92/Quesería!$B$30,0)*$B$911+IF(AND(F$47&gt;=2,F$47&lt;=Quesería!$B$30+1),(Quesería!$F$93-(-$V$26)*Quesería!$D$86*(1+Quesería!$I$86))/Quesería!$B$30,0)*$C$911*$V$21)*$V$11+IF(AND(F$47&gt;=6,F$47&lt;=10),$G915*$G911/5,0)+IF(AND(F$47&gt;=7,F$47&lt;=11),$H915*$H911/5,0))*F913</f>
        <v>157.2473531538</v>
      </c>
      <c r="G923" s="29" t="n">
        <f aca="false">(IF($V$19=1,(SUMPRODUCT((Quesería!$C$70:$C$89=0)*(Quesería!$J$70:$J$89&gt;0)*(G$47&gt;=1)*(G$47&lt;=Quesería!$J$70:$J$89)*(Quesería!$H$70:$H$89&gt;0)*Quesería!$F$70:$F$89*(1+Quesería!$I$70:$I$89)/(Quesería!$J$70:$J$89+(Quesería!$J$70:$J$89=0)))+SUMPRODUCT((Quesería!$C$70:$C$89=0)*(Quesería!$J$70:$J$89=0)*(G$47=0)*(Quesería!$H$70:$H$89&gt;0)*Quesería!$F$70:$F$89*(1+Quesería!$I$70:$I$89)))*$B$911+((SUMPRODUCT((Quesería!$C$70:$C$89=1)*(Quesería!$J$70:$J$89&gt;0)*(G$47&gt;=2)*(G$47&lt;=Quesería!$J$70:$J$89+1)*(Quesería!$H$70:$H$89&gt;0)*Quesería!$F$70:$F$89*(1+Quesería!$I$70:$I$89)/(Quesería!$J$70:$J$89+(Quesería!$J$70:$J$89=0)))+SUMPRODUCT((Quesería!$C$70:$C$89=1)*(Quesería!$J$70:$J$89=0)*(G$47=1)*(Quesería!$H$70:$H$89&gt;0)*Quesería!$F$70:$F$89*(1+Quesería!$I$70:$I$89)))-(-$V$26)*IF(AND(G$47&gt;=2,G$47&lt;=Quesería!$J$86+1),Quesería!$D$86*(1+Quesería!$I$86)/Quesería!$J$86,0))*$C$911*$V$21,IF(AND(G$47&gt;=1,G$47&lt;=Quesería!$B$30),Quesería!$F$92/Quesería!$B$30,0)*$B$911+IF(AND(G$47&gt;=2,G$47&lt;=Quesería!$B$30+1),(Quesería!$F$93-(-$V$26)*Quesería!$D$86*(1+Quesería!$I$86))/Quesería!$B$30,0)*$C$911*$V$21)*$V$11+IF(AND(G$47&gt;=6,G$47&lt;=10),$G915*$G911/5,0)+IF(AND(G$47&gt;=7,G$47&lt;=11),$H915*$H911/5,0))*G913</f>
        <v>151.1993780325</v>
      </c>
      <c r="H923" s="29" t="n">
        <f aca="false">(IF($V$19=1,(SUMPRODUCT((Quesería!$C$70:$C$89=0)*(Quesería!$J$70:$J$89&gt;0)*(H$47&gt;=1)*(H$47&lt;=Quesería!$J$70:$J$89)*(Quesería!$H$70:$H$89&gt;0)*Quesería!$F$70:$F$89*(1+Quesería!$I$70:$I$89)/(Quesería!$J$70:$J$89+(Quesería!$J$70:$J$89=0)))+SUMPRODUCT((Quesería!$C$70:$C$89=0)*(Quesería!$J$70:$J$89=0)*(H$47=0)*(Quesería!$H$70:$H$89&gt;0)*Quesería!$F$70:$F$89*(1+Quesería!$I$70:$I$89)))*$B$911+((SUMPRODUCT((Quesería!$C$70:$C$89=1)*(Quesería!$J$70:$J$89&gt;0)*(H$47&gt;=2)*(H$47&lt;=Quesería!$J$70:$J$89+1)*(Quesería!$H$70:$H$89&gt;0)*Quesería!$F$70:$F$89*(1+Quesería!$I$70:$I$89)/(Quesería!$J$70:$J$89+(Quesería!$J$70:$J$89=0)))+SUMPRODUCT((Quesería!$C$70:$C$89=1)*(Quesería!$J$70:$J$89=0)*(H$47=1)*(Quesería!$H$70:$H$89&gt;0)*Quesería!$F$70:$F$89*(1+Quesería!$I$70:$I$89)))-(-$V$26)*IF(AND(H$47&gt;=2,H$47&lt;=Quesería!$J$86+1),Quesería!$D$86*(1+Quesería!$I$86)/Quesería!$J$86,0))*$C$911*$V$21,IF(AND(H$47&gt;=1,H$47&lt;=Quesería!$B$30),Quesería!$F$92/Quesería!$B$30,0)*$B$911+IF(AND(H$47&gt;=2,H$47&lt;=Quesería!$B$30+1),(Quesería!$F$93-(-$V$26)*Quesería!$D$86*(1+Quesería!$I$86))/Quesería!$B$30,0)*$C$911*$V$21)*$V$11+IF(AND(H$47&gt;=6,H$47&lt;=10),$G915*$G911/5,0)+IF(AND(H$47&gt;=7,H$47&lt;=11),$H915*$H911/5,0))*H913</f>
        <v>136.96167141426</v>
      </c>
      <c r="I923" s="29" t="n">
        <f aca="false">(IF($V$19=1,(SUMPRODUCT((Quesería!$C$70:$C$89=0)*(Quesería!$J$70:$J$89&gt;0)*(I$47&gt;=1)*(I$47&lt;=Quesería!$J$70:$J$89)*(Quesería!$H$70:$H$89&gt;0)*Quesería!$F$70:$F$89*(1+Quesería!$I$70:$I$89)/(Quesería!$J$70:$J$89+(Quesería!$J$70:$J$89=0)))+SUMPRODUCT((Quesería!$C$70:$C$89=0)*(Quesería!$J$70:$J$89=0)*(I$47=0)*(Quesería!$H$70:$H$89&gt;0)*Quesería!$F$70:$F$89*(1+Quesería!$I$70:$I$89)))*$B$911+((SUMPRODUCT((Quesería!$C$70:$C$89=1)*(Quesería!$J$70:$J$89&gt;0)*(I$47&gt;=2)*(I$47&lt;=Quesería!$J$70:$J$89+1)*(Quesería!$H$70:$H$89&gt;0)*Quesería!$F$70:$F$89*(1+Quesería!$I$70:$I$89)/(Quesería!$J$70:$J$89+(Quesería!$J$70:$J$89=0)))+SUMPRODUCT((Quesería!$C$70:$C$89=1)*(Quesería!$J$70:$J$89=0)*(I$47=1)*(Quesería!$H$70:$H$89&gt;0)*Quesería!$F$70:$F$89*(1+Quesería!$I$70:$I$89)))-(-$V$26)*IF(AND(I$47&gt;=2,I$47&lt;=Quesería!$J$86+1),Quesería!$D$86*(1+Quesería!$I$86)/Quesería!$J$86,0))*$C$911*$V$21,IF(AND(I$47&gt;=1,I$47&lt;=Quesería!$B$30),Quesería!$F$92/Quesería!$B$30,0)*$B$911+IF(AND(I$47&gt;=2,I$47&lt;=Quesería!$B$30+1),(Quesería!$F$93-(-$V$26)*Quesería!$D$86*(1+Quesería!$I$86))/Quesería!$B$30,0)*$C$911*$V$21)*$V$11+IF(AND(I$47&gt;=6,I$47&lt;=10),$G915*$G911/5,0)+IF(AND(I$47&gt;=7,I$47&lt;=11),$H915*$H911/5,0))*I913</f>
        <v>142.399104600855</v>
      </c>
      <c r="J923" s="29" t="n">
        <f aca="false">(IF($V$19=1,(SUMPRODUCT((Quesería!$C$70:$C$89=0)*(Quesería!$J$70:$J$89&gt;0)*(J$47&gt;=1)*(J$47&lt;=Quesería!$J$70:$J$89)*(Quesería!$H$70:$H$89&gt;0)*Quesería!$F$70:$F$89*(1+Quesería!$I$70:$I$89)/(Quesería!$J$70:$J$89+(Quesería!$J$70:$J$89=0)))+SUMPRODUCT((Quesería!$C$70:$C$89=0)*(Quesería!$J$70:$J$89=0)*(J$47=0)*(Quesería!$H$70:$H$89&gt;0)*Quesería!$F$70:$F$89*(1+Quesería!$I$70:$I$89)))*$B$911+((SUMPRODUCT((Quesería!$C$70:$C$89=1)*(Quesería!$J$70:$J$89&gt;0)*(J$47&gt;=2)*(J$47&lt;=Quesería!$J$70:$J$89+1)*(Quesería!$H$70:$H$89&gt;0)*Quesería!$F$70:$F$89*(1+Quesería!$I$70:$I$89)/(Quesería!$J$70:$J$89+(Quesería!$J$70:$J$89=0)))+SUMPRODUCT((Quesería!$C$70:$C$89=1)*(Quesería!$J$70:$J$89=0)*(J$47=1)*(Quesería!$H$70:$H$89&gt;0)*Quesería!$F$70:$F$89*(1+Quesería!$I$70:$I$89)))-(-$V$26)*IF(AND(J$47&gt;=2,J$47&lt;=Quesería!$J$86+1),Quesería!$D$86*(1+Quesería!$I$86)/Quesería!$J$86,0))*$C$911*$V$21,IF(AND(J$47&gt;=1,J$47&lt;=Quesería!$B$30),Quesería!$F$92/Quesería!$B$30,0)*$B$911+IF(AND(J$47&gt;=2,J$47&lt;=Quesería!$B$30+1),(Quesería!$F$93-(-$V$26)*Quesería!$D$86*(1+Quesería!$I$86))/Quesería!$B$30,0)*$C$911*$V$21)*$V$11+IF(AND(J$47&gt;=6,J$47&lt;=10),$G915*$G911/5,0)+IF(AND(J$47&gt;=7,J$47&lt;=11),$H915*$H911/5,0))*J913</f>
        <v>136.922215962361</v>
      </c>
      <c r="K923" s="29" t="n">
        <f aca="false">(IF($V$19=1,(SUMPRODUCT((Quesería!$C$70:$C$89=0)*(Quesería!$J$70:$J$89&gt;0)*(K$47&gt;=1)*(K$47&lt;=Quesería!$J$70:$J$89)*(Quesería!$H$70:$H$89&gt;0)*Quesería!$F$70:$F$89*(1+Quesería!$I$70:$I$89)/(Quesería!$J$70:$J$89+(Quesería!$J$70:$J$89=0)))+SUMPRODUCT((Quesería!$C$70:$C$89=0)*(Quesería!$J$70:$J$89=0)*(K$47=0)*(Quesería!$H$70:$H$89&gt;0)*Quesería!$F$70:$F$89*(1+Quesería!$I$70:$I$89)))*$B$911+((SUMPRODUCT((Quesería!$C$70:$C$89=1)*(Quesería!$J$70:$J$89&gt;0)*(K$47&gt;=2)*(K$47&lt;=Quesería!$J$70:$J$89+1)*(Quesería!$H$70:$H$89&gt;0)*Quesería!$F$70:$F$89*(1+Quesería!$I$70:$I$89)/(Quesería!$J$70:$J$89+(Quesería!$J$70:$J$89=0)))+SUMPRODUCT((Quesería!$C$70:$C$89=1)*(Quesería!$J$70:$J$89=0)*(K$47=1)*(Quesería!$H$70:$H$89&gt;0)*Quesería!$F$70:$F$89*(1+Quesería!$I$70:$I$89)))-(-$V$26)*IF(AND(K$47&gt;=2,K$47&lt;=Quesería!$J$86+1),Quesería!$D$86*(1+Quesería!$I$86)/Quesería!$J$86,0))*$C$911*$V$21,IF(AND(K$47&gt;=1,K$47&lt;=Quesería!$B$30),Quesería!$F$92/Quesería!$B$30,0)*$B$911+IF(AND(K$47&gt;=2,K$47&lt;=Quesería!$B$30+1),(Quesería!$F$93-(-$V$26)*Quesería!$D$86*(1+Quesería!$I$86))/Quesería!$B$30,0)*$C$911*$V$21)*$V$11+IF(AND(K$47&gt;=6,K$47&lt;=10),$G915*$G911/5,0)+IF(AND(K$47&gt;=7,K$47&lt;=11),$H915*$H911/5,0))*K913</f>
        <v>131.655976886885</v>
      </c>
      <c r="L923" s="29" t="n">
        <f aca="false">(IF($V$19=1,(SUMPRODUCT((Quesería!$C$70:$C$89=0)*(Quesería!$J$70:$J$89&gt;0)*(L$47&gt;=1)*(L$47&lt;=Quesería!$J$70:$J$89)*(Quesería!$H$70:$H$89&gt;0)*Quesería!$F$70:$F$89*(1+Quesería!$I$70:$I$89)/(Quesería!$J$70:$J$89+(Quesería!$J$70:$J$89=0)))+SUMPRODUCT((Quesería!$C$70:$C$89=0)*(Quesería!$J$70:$J$89=0)*(L$47=0)*(Quesería!$H$70:$H$89&gt;0)*Quesería!$F$70:$F$89*(1+Quesería!$I$70:$I$89)))*$B$911+((SUMPRODUCT((Quesería!$C$70:$C$89=1)*(Quesería!$J$70:$J$89&gt;0)*(L$47&gt;=2)*(L$47&lt;=Quesería!$J$70:$J$89+1)*(Quesería!$H$70:$H$89&gt;0)*Quesería!$F$70:$F$89*(1+Quesería!$I$70:$I$89)/(Quesería!$J$70:$J$89+(Quesería!$J$70:$J$89=0)))+SUMPRODUCT((Quesería!$C$70:$C$89=1)*(Quesería!$J$70:$J$89=0)*(L$47=1)*(Quesería!$H$70:$H$89&gt;0)*Quesería!$F$70:$F$89*(1+Quesería!$I$70:$I$89)))-(-$V$26)*IF(AND(L$47&gt;=2,L$47&lt;=Quesería!$J$86+1),Quesería!$D$86*(1+Quesería!$I$86)/Quesería!$J$86,0))*$C$911*$V$21,IF(AND(L$47&gt;=1,L$47&lt;=Quesería!$B$30),Quesería!$F$92/Quesería!$B$30,0)*$B$911+IF(AND(L$47&gt;=2,L$47&lt;=Quesería!$B$30+1),(Quesería!$F$93-(-$V$26)*Quesería!$D$86*(1+Quesería!$I$86))/Quesería!$B$30,0)*$C$911*$V$21)*$V$11+IF(AND(L$47&gt;=6,L$47&lt;=10),$G915*$G911/5,0)+IF(AND(L$47&gt;=7,L$47&lt;=11),$H915*$H911/5,0))*L913</f>
        <v>126.592285468159</v>
      </c>
    </row>
    <row r="924" customFormat="false" ht="15" hidden="true" customHeight="false" outlineLevel="1" collapsed="false">
      <c r="A924" s="9" t="s">
        <v>417</v>
      </c>
      <c r="B924" s="58" t="n">
        <f aca="false">IF(B$47=1,MIN($V$7*$V$26*Quesería!$B$56*Quesería!$D$86*$V$11*$V$21,Quesería!$B$57*Quesería!$B$58),0)</f>
        <v>0</v>
      </c>
      <c r="C924" s="58" t="n">
        <f aca="false">IF(C$47=1,MIN($V$7*$V$26*Quesería!$B$56*Quesería!$D$86*$V$11*$V$21,Quesería!$B$57*Quesería!$B$58),0)</f>
        <v>0</v>
      </c>
      <c r="D924" s="58" t="n">
        <f aca="false">IF(D$47=1,MIN($V$7*$V$26*Quesería!$B$56*Quesería!$D$86*$V$11*$V$21,Quesería!$B$57*Quesería!$B$58),0)</f>
        <v>0</v>
      </c>
      <c r="E924" s="58" t="n">
        <f aca="false">IF(E$47=1,MIN($V$7*$V$26*Quesería!$B$56*Quesería!$D$86*$V$11*$V$21,Quesería!$B$57*Quesería!$B$58),0)</f>
        <v>0</v>
      </c>
      <c r="F924" s="58" t="n">
        <f aca="false">IF(F$47=1,MIN($V$7*$V$26*Quesería!$B$56*Quesería!$D$86*$V$11*$V$21,Quesería!$B$57*Quesería!$B$58),0)</f>
        <v>0</v>
      </c>
      <c r="G924" s="58" t="n">
        <f aca="false">IF(G$47=1,MIN($V$7*$V$26*Quesería!$B$56*Quesería!$D$86*$V$11*$V$21,Quesería!$B$57*Quesería!$B$58),0)</f>
        <v>0</v>
      </c>
      <c r="H924" s="58" t="n">
        <f aca="false">IF(H$47=1,MIN($V$7*$V$26*Quesería!$B$56*Quesería!$D$86*$V$11*$V$21,Quesería!$B$57*Quesería!$B$58),0)</f>
        <v>0</v>
      </c>
      <c r="I924" s="58" t="n">
        <f aca="false">IF(I$47=1,MIN($V$7*$V$26*Quesería!$B$56*Quesería!$D$86*$V$11*$V$21,Quesería!$B$57*Quesería!$B$58),0)</f>
        <v>0</v>
      </c>
      <c r="J924" s="58" t="n">
        <f aca="false">IF(J$47=1,MIN($V$7*$V$26*Quesería!$B$56*Quesería!$D$86*$V$11*$V$21,Quesería!$B$57*Quesería!$B$58),0)</f>
        <v>0</v>
      </c>
      <c r="K924" s="58" t="n">
        <f aca="false">IF(K$47=1,MIN($V$7*$V$26*Quesería!$B$56*Quesería!$D$86*$V$11*$V$21,Quesería!$B$57*Quesería!$B$58),0)</f>
        <v>0</v>
      </c>
      <c r="L924" s="58" t="n">
        <f aca="false">IF(L$47=1,MIN($V$7*$V$26*Quesería!$B$56*Quesería!$D$86*$V$11*$V$21,Quesería!$B$57*Quesería!$B$58),0)</f>
        <v>0</v>
      </c>
    </row>
    <row r="925" customFormat="false" ht="15" hidden="true" customHeight="false" outlineLevel="1" collapsed="false">
      <c r="A925" s="9" t="s">
        <v>418</v>
      </c>
      <c r="B925" s="58" t="n">
        <v>0</v>
      </c>
      <c r="C925" s="58" t="n">
        <f aca="false">$V$20*Quesería!$B$60*Quesería!$F$98*$V$11*$B$911/C911/2</f>
        <v>165.754420136891</v>
      </c>
      <c r="D925" s="58" t="n">
        <f aca="false">$V$20*Quesería!$B$60*Quesería!$F$98*$V$11*$B$911/D911/2</f>
        <v>158.616669987456</v>
      </c>
      <c r="E925" s="58" t="n">
        <v>0</v>
      </c>
      <c r="F925" s="58" t="n">
        <v>0</v>
      </c>
      <c r="G925" s="58" t="n">
        <v>0</v>
      </c>
      <c r="H925" s="58" t="n">
        <v>0</v>
      </c>
      <c r="I925" s="58" t="n">
        <v>0</v>
      </c>
      <c r="J925" s="58" t="n">
        <v>0</v>
      </c>
      <c r="K925" s="58" t="n">
        <v>0</v>
      </c>
      <c r="L925" s="58" t="n">
        <v>0</v>
      </c>
    </row>
    <row r="926" customFormat="false" ht="15" hidden="true" customHeight="false" outlineLevel="1" collapsed="false">
      <c r="A926" s="9" t="s">
        <v>419</v>
      </c>
      <c r="B926" s="58" t="n">
        <f aca="false">0</f>
        <v>0</v>
      </c>
      <c r="C926" s="58" t="n">
        <f aca="false">B916*B911/C911</f>
        <v>170.417910354489</v>
      </c>
      <c r="D926" s="58" t="n">
        <f aca="false">C916*C911/D911</f>
        <v>143.665978183527</v>
      </c>
      <c r="E926" s="58" t="n">
        <f aca="false">D916*D911/E911</f>
        <v>0</v>
      </c>
      <c r="F926" s="58" t="n">
        <f aca="false">E916*E911/F911</f>
        <v>0</v>
      </c>
      <c r="G926" s="58" t="n">
        <f aca="false">F916*F911/G911</f>
        <v>0</v>
      </c>
      <c r="H926" s="58" t="n">
        <f aca="false">G916*G911/H911</f>
        <v>6.02122070894535</v>
      </c>
      <c r="I926" s="58" t="n">
        <f aca="false">H916*H911/I911</f>
        <v>10.1699302904787</v>
      </c>
      <c r="J926" s="58" t="n">
        <f aca="false">I916*I911/J911</f>
        <v>0</v>
      </c>
      <c r="K926" s="58" t="n">
        <f aca="false">J916*J911/K911</f>
        <v>0</v>
      </c>
      <c r="L926" s="58" t="n">
        <f aca="false">K916*K911/L911</f>
        <v>0</v>
      </c>
    </row>
    <row r="927" customFormat="false" ht="15" hidden="true" customHeight="false" outlineLevel="1" collapsed="false">
      <c r="A927" s="6" t="s">
        <v>295</v>
      </c>
      <c r="B927" s="29" t="n">
        <f aca="false">$V$17*(B919-B920-B921-0.5*B922-B923)-B924-B925-B926</f>
        <v>-28.4184176130081</v>
      </c>
      <c r="C927" s="29" t="n">
        <f aca="false">$V$17*(C919-C920-C921-0.5*C922-C923)-C924-C925-C926</f>
        <v>-347.669068616567</v>
      </c>
      <c r="D927" s="29" t="n">
        <f aca="false">$V$17*(D919-D920-D921-0.5*D922-D923)-D924-D925-D926</f>
        <v>-259.737624103103</v>
      </c>
      <c r="E927" s="29" t="n">
        <f aca="false">$V$17*(E919-E920-E921-0.5*E922-E923)-E924-E925-E926</f>
        <v>64.7716981661734</v>
      </c>
      <c r="F927" s="29" t="n">
        <f aca="false">$V$17*(F919-F920-F921-0.5*F922-F923)-F924-F925-F926</f>
        <v>67.0597402002486</v>
      </c>
      <c r="G927" s="29" t="n">
        <f aca="false">$V$17*(G919-G920-G921-0.5*G922-G923)-G924-G925-G926</f>
        <v>69.2360892468933</v>
      </c>
      <c r="H927" s="29" t="n">
        <f aca="false">$V$17*(H919-H920-H921-0.5*H922-H923)-H924-H925-H926</f>
        <v>68.2665965307636</v>
      </c>
      <c r="I927" s="29" t="n">
        <f aca="false">$V$17*(I919-I920-I921-0.5*I922-I923)-I924-I925-I926</f>
        <v>62.3490402144957</v>
      </c>
      <c r="J927" s="29" t="n">
        <f aca="false">$V$17*(J919-J920-J921-0.5*J922-J923)-J924-J925-J926</f>
        <v>74.5242052303751</v>
      </c>
      <c r="K927" s="29" t="n">
        <f aca="false">$V$17*(K919-K920-K921-0.5*K922-K923)-K924-K925-K926</f>
        <v>76.4561542272287</v>
      </c>
      <c r="L927" s="29" t="n">
        <f aca="false">$V$17*(L919-L920-L921-0.5*L922-L923)-L924-L925-L926</f>
        <v>78.3176553708224</v>
      </c>
    </row>
    <row r="928" customFormat="false" ht="15" hidden="true" customHeight="false" outlineLevel="1" collapsed="false">
      <c r="A928" s="9" t="s">
        <v>420</v>
      </c>
      <c r="B928" s="58" t="n">
        <f aca="false">(IF(B$47&gt;=1,Quesería!$G$124*IF(B$47=1,Quesería!$B$20,1),Quesería!$G$124*Quesería!$B$20*Quesería!$B$21/12*$V$23)+IF(B$47&gt;=2,(Quesería!$G$125-(1-$V$24)*Quesería!$G$117-(-$V$26*$V$27)*'Beneficios y costos'!$D$167)*$V$21*IF(B$47=2,Quesería!$B$20,1),0))*$V$10</f>
        <v>61.9234296129496</v>
      </c>
      <c r="C928" s="58" t="n">
        <f aca="false">(IF(C$47&gt;=1,Quesería!$G$124*IF(C$47=1,Quesería!$B$20,1),Quesería!$G$124*Quesería!$B$20*Quesería!$B$21/12*$V$23)+IF(C$47&gt;=2,(Quesería!$G$125-(1-$V$24)*Quesería!$G$117-(-$V$26*$V$27)*'Beneficios y costos'!$D$167)*$V$21*IF(C$47=2,Quesería!$B$20,1),0))*$V$10</f>
        <v>92.8851444194243</v>
      </c>
      <c r="D928" s="58" t="n">
        <f aca="false">(IF(D$47&gt;=1,Quesería!$G$124*IF(D$47=1,Quesería!$B$20,1),Quesería!$G$124*Quesería!$B$20*Quesería!$B$21/12*$V$23)+IF(D$47&gt;=2,(Quesería!$G$125-(1-$V$24)*Quesería!$G$117-(-$V$26*$V$27)*'Beneficios y costos'!$D$167)*$V$21*IF(D$47=2,Quesería!$B$20,1),0))*$V$10</f>
        <v>1619.0313393751</v>
      </c>
      <c r="E928" s="58" t="n">
        <f aca="false">(IF(E$47&gt;=1,Quesería!$G$124*IF(E$47=1,Quesería!$B$20,1),Quesería!$G$124*Quesería!$B$20*Quesería!$B$21/12*$V$23)+IF(E$47&gt;=2,(Quesería!$G$125-(1-$V$24)*Quesería!$G$117-(-$V$26*$V$27)*'Beneficios y costos'!$D$167)*$V$21*IF(E$47=2,Quesería!$B$20,1),0))*$V$10</f>
        <v>2117.42616609149</v>
      </c>
      <c r="F928" s="58" t="n">
        <f aca="false">(IF(F$47&gt;=1,Quesería!$G$124*IF(F$47=1,Quesería!$B$20,1),Quesería!$G$124*Quesería!$B$20*Quesería!$B$21/12*$V$23)+IF(F$47&gt;=2,(Quesería!$G$125-(1-$V$24)*Quesería!$G$117-(-$V$26*$V$27)*'Beneficios y costos'!$D$167)*$V$21*IF(F$47=2,Quesería!$B$20,1),0))*$V$10</f>
        <v>2117.42616609149</v>
      </c>
      <c r="G928" s="58" t="n">
        <f aca="false">(IF(G$47&gt;=1,Quesería!$G$124*IF(G$47=1,Quesería!$B$20,1),Quesería!$G$124*Quesería!$B$20*Quesería!$B$21/12*$V$23)+IF(G$47&gt;=2,(Quesería!$G$125-(1-$V$24)*Quesería!$G$117-(-$V$26*$V$27)*'Beneficios y costos'!$D$167)*$V$21*IF(G$47=2,Quesería!$B$20,1),0))*$V$10</f>
        <v>2117.42616609149</v>
      </c>
      <c r="H928" s="58" t="n">
        <f aca="false">(IF(H$47&gt;=1,Quesería!$G$124*IF(H$47=1,Quesería!$B$20,1),Quesería!$G$124*Quesería!$B$20*Quesería!$B$21/12*$V$23)+IF(H$47&gt;=2,(Quesería!$G$125-(1-$V$24)*Quesería!$G$117-(-$V$26*$V$27)*'Beneficios y costos'!$D$167)*$V$21*IF(H$47=2,Quesería!$B$20,1),0))*$V$10</f>
        <v>2117.42616609149</v>
      </c>
      <c r="I928" s="58" t="n">
        <f aca="false">(IF(I$47&gt;=1,Quesería!$G$124*IF(I$47=1,Quesería!$B$20,1),Quesería!$G$124*Quesería!$B$20*Quesería!$B$21/12*$V$23)+IF(I$47&gt;=2,(Quesería!$G$125-(1-$V$24)*Quesería!$G$117-(-$V$26*$V$27)*'Beneficios y costos'!$D$167)*$V$21*IF(I$47=2,Quesería!$B$20,1),0))*$V$10</f>
        <v>2117.42616609149</v>
      </c>
      <c r="J928" s="58" t="n">
        <f aca="false">(IF(J$47&gt;=1,Quesería!$G$124*IF(J$47=1,Quesería!$B$20,1),Quesería!$G$124*Quesería!$B$20*Quesería!$B$21/12*$V$23)+IF(J$47&gt;=2,(Quesería!$G$125-(1-$V$24)*Quesería!$G$117-(-$V$26*$V$27)*'Beneficios y costos'!$D$167)*$V$21*IF(J$47=2,Quesería!$B$20,1),0))*$V$10</f>
        <v>2117.42616609149</v>
      </c>
      <c r="K928" s="58" t="n">
        <f aca="false">(IF(K$47&gt;=1,Quesería!$G$124*IF(K$47=1,Quesería!$B$20,1),Quesería!$G$124*Quesería!$B$20*Quesería!$B$21/12*$V$23)+IF(K$47&gt;=2,(Quesería!$G$125-(1-$V$24)*Quesería!$G$117-(-$V$26*$V$27)*'Beneficios y costos'!$D$167)*$V$21*IF(K$47=2,Quesería!$B$20,1),0))*$V$10</f>
        <v>2117.42616609149</v>
      </c>
      <c r="L928" s="58" t="n">
        <f aca="false">(IF(L$47&gt;=1,Quesería!$G$124*IF(L$47=1,Quesería!$B$20,1),Quesería!$G$124*Quesería!$B$20*Quesería!$B$21/12*$V$23)+IF(L$47&gt;=2,(Quesería!$G$125-(1-$V$24)*Quesería!$G$117-(-$V$26*$V$27)*'Beneficios y costos'!$D$167)*$V$21*IF(L$47=2,Quesería!$B$20,1),0))*$V$10</f>
        <v>2117.42616609149</v>
      </c>
    </row>
    <row r="929" customFormat="false" ht="15" hidden="true" customHeight="false" outlineLevel="1" collapsed="false">
      <c r="A929" s="6" t="s">
        <v>421</v>
      </c>
      <c r="B929" s="29" t="n">
        <f aca="false">(B928*(Quesería!$B$38+Quesería!$B$40*Quesería!$B$39)/365-B920*Quesería!$B$42/365+IF(B$47&gt;=2,($V$25*'Beneficios y costos'!$B$147+(1-$V$25)*'Beneficios y costos'!$B$148)*$V$24*$V$21*$V$10*IF(B$47=2,Quesería!$B$20,1),0))</f>
        <v>5.78517520493583</v>
      </c>
      <c r="C929" s="29" t="n">
        <f aca="false">(C928*(Quesería!$B$38+Quesería!$B$40*Quesería!$B$39)/365-C920*Quesería!$B$42/365+IF(C$47&gt;=2,($V$25*'Beneficios y costos'!$B$147+(1-$V$25)*'Beneficios y costos'!$B$148)*$V$24*$V$21*$V$10*IF(C$47=2,Quesería!$B$20,1),0))-(B928*(Quesería!$B$38+Quesería!$B$40*Quesería!$B$39)/365-B920*Quesería!$B$42/365+IF(B$47&gt;=2,($V$25*'Beneficios y costos'!$B$147+(1-$V$25)*'Beneficios y costos'!$B$148)*$V$24*$V$21*$V$10*IF(B$47=2,Quesería!$B$20,1),0))*B911/C911</f>
        <v>-0.36657003939383</v>
      </c>
      <c r="D929" s="29" t="n">
        <f aca="false">(D928*(Quesería!$B$38+Quesería!$B$40*Quesería!$B$39)/365-D920*Quesería!$B$42/365+IF(D$47&gt;=2,($V$25*'Beneficios y costos'!$B$147+(1-$V$25)*'Beneficios y costos'!$B$148)*$V$24*$V$21*$V$10*IF(D$47=2,Quesería!$B$20,1),0))-(C928*(Quesería!$B$38+Quesería!$B$40*Quesería!$B$39)/365-C920*Quesería!$B$42/365+IF(C$47&gt;=2,($V$25*'Beneficios y costos'!$B$147+(1-$V$25)*'Beneficios y costos'!$B$148)*$V$24*$V$21*$V$10*IF(C$47=2,Quesería!$B$20,1),0))*C911/D911</f>
        <v>95.5038605707648</v>
      </c>
      <c r="E929" s="29" t="n">
        <f aca="false">(E928*(Quesería!$B$38+Quesería!$B$40*Quesería!$B$39)/365-E920*Quesería!$B$42/365+IF(E$47&gt;=2,($V$25*'Beneficios y costos'!$B$147+(1-$V$25)*'Beneficios y costos'!$B$148)*$V$24*$V$21*$V$10*IF(E$47=2,Quesería!$B$20,1),0))-(D928*(Quesería!$B$38+Quesería!$B$40*Quesería!$B$39)/365-D920*Quesería!$B$42/365+IF(D$47&gt;=2,($V$25*'Beneficios y costos'!$B$147+(1-$V$25)*'Beneficios y costos'!$B$148)*$V$24*$V$21*$V$10*IF(D$47=2,Quesería!$B$20,1),0))*D911/E911</f>
        <v>35.6406323563094</v>
      </c>
      <c r="F929" s="29" t="n">
        <f aca="false">(F928*(Quesería!$B$38+Quesería!$B$40*Quesería!$B$39)/365-F920*Quesería!$B$42/365+IF(F$47&gt;=2,($V$25*'Beneficios y costos'!$B$147+(1-$V$25)*'Beneficios y costos'!$B$148)*$V$24*$V$21*$V$10*IF(F$47=2,Quesería!$B$20,1),0))-(E928*(Quesería!$B$38+Quesería!$B$40*Quesería!$B$39)/365-E920*Quesería!$B$42/365+IF(E$47&gt;=2,($V$25*'Beneficios y costos'!$B$147+(1-$V$25)*'Beneficios y costos'!$B$148)*$V$24*$V$21*$V$10*IF(E$47=2,Quesería!$B$20,1),0))*E911/F911</f>
        <v>5.08475461387205</v>
      </c>
      <c r="G929" s="29" t="n">
        <f aca="false">(G928*(Quesería!$B$38+Quesería!$B$40*Quesería!$B$39)/365-G920*Quesería!$B$42/365+IF(G$47&gt;=2,($V$25*'Beneficios y costos'!$B$147+(1-$V$25)*'Beneficios y costos'!$B$148)*$V$24*$V$21*$V$10*IF(G$47=2,Quesería!$B$20,1),0))-(F928*(Quesería!$B$38+Quesería!$B$40*Quesería!$B$39)/365-F920*Quesería!$B$42/365+IF(F$47&gt;=2,($V$25*'Beneficios y costos'!$B$147+(1-$V$25)*'Beneficios y costos'!$B$148)*$V$24*$V$21*$V$10*IF(F$47=2,Quesería!$B$20,1),0))*F911/G911</f>
        <v>5.08475461387206</v>
      </c>
      <c r="H929" s="29" t="n">
        <f aca="false">(H928*(Quesería!$B$38+Quesería!$B$40*Quesería!$B$39)/365-H920*Quesería!$B$42/365+IF(H$47&gt;=2,($V$25*'Beneficios y costos'!$B$147+(1-$V$25)*'Beneficios y costos'!$B$148)*$V$24*$V$21*$V$10*IF(H$47=2,Quesería!$B$20,1),0))-(G928*(Quesería!$B$38+Quesería!$B$40*Quesería!$B$39)/365-G920*Quesería!$B$42/365+IF(G$47&gt;=2,($V$25*'Beneficios y costos'!$B$147+(1-$V$25)*'Beneficios y costos'!$B$148)*$V$24*$V$21*$V$10*IF(G$47=2,Quesería!$B$20,1),0))*G911/H911</f>
        <v>5.08475461387205</v>
      </c>
      <c r="I929" s="29" t="n">
        <f aca="false">(I928*(Quesería!$B$38+Quesería!$B$40*Quesería!$B$39)/365-I920*Quesería!$B$42/365+IF(I$47&gt;=2,($V$25*'Beneficios y costos'!$B$147+(1-$V$25)*'Beneficios y costos'!$B$148)*$V$24*$V$21*$V$10*IF(I$47=2,Quesería!$B$20,1),0))-(H928*(Quesería!$B$38+Quesería!$B$40*Quesería!$B$39)/365-H920*Quesería!$B$42/365+IF(H$47&gt;=2,($V$25*'Beneficios y costos'!$B$147+(1-$V$25)*'Beneficios y costos'!$B$148)*$V$24*$V$21*$V$10*IF(H$47=2,Quesería!$B$20,1),0))*H911/I911</f>
        <v>5.08475461387205</v>
      </c>
      <c r="J929" s="29" t="n">
        <f aca="false">(J928*(Quesería!$B$38+Quesería!$B$40*Quesería!$B$39)/365-J920*Quesería!$B$42/365+IF(J$47&gt;=2,($V$25*'Beneficios y costos'!$B$147+(1-$V$25)*'Beneficios y costos'!$B$148)*$V$24*$V$21*$V$10*IF(J$47=2,Quesería!$B$20,1),0))-(I928*(Quesería!$B$38+Quesería!$B$40*Quesería!$B$39)/365-I920*Quesería!$B$42/365+IF(I$47&gt;=2,($V$25*'Beneficios y costos'!$B$147+(1-$V$25)*'Beneficios y costos'!$B$148)*$V$24*$V$21*$V$10*IF(I$47=2,Quesería!$B$20,1),0))*I911/J911</f>
        <v>5.08475461387206</v>
      </c>
      <c r="K929" s="29" t="n">
        <f aca="false">(K928*(Quesería!$B$38+Quesería!$B$40*Quesería!$B$39)/365-K920*Quesería!$B$42/365+IF(K$47&gt;=2,($V$25*'Beneficios y costos'!$B$147+(1-$V$25)*'Beneficios y costos'!$B$148)*$V$24*$V$21*$V$10*IF(K$47=2,Quesería!$B$20,1),0))-(J928*(Quesería!$B$38+Quesería!$B$40*Quesería!$B$39)/365-J920*Quesería!$B$42/365+IF(J$47&gt;=2,($V$25*'Beneficios y costos'!$B$147+(1-$V$25)*'Beneficios y costos'!$B$148)*$V$24*$V$21*$V$10*IF(J$47=2,Quesería!$B$20,1),0))*J911/K911</f>
        <v>5.08475461387206</v>
      </c>
      <c r="L929" s="29" t="n">
        <f aca="false">-(K928*(Quesería!$B$38+Quesería!$B$40*Quesería!$B$39)/365-K920*Quesería!$B$42/365+IF(K$47&gt;=2,($V$25*'Beneficios y costos'!$B$147+(1-$V$25)*'Beneficios y costos'!$B$148)*$V$24*$V$21*$V$10*IF(K$47=2,Quesería!$B$20,1),0))*K911/L911</f>
        <v>-127.118865346801</v>
      </c>
    </row>
    <row r="930" customFormat="false" ht="15" hidden="true" customHeight="false" outlineLevel="1" collapsed="false">
      <c r="A930" s="6" t="s">
        <v>422</v>
      </c>
      <c r="B930" s="29" t="n">
        <v>0</v>
      </c>
      <c r="C930" s="29" t="n">
        <v>0</v>
      </c>
      <c r="D930" s="29" t="n">
        <v>0</v>
      </c>
      <c r="E930" s="29" t="n">
        <v>0</v>
      </c>
      <c r="F930" s="29" t="n">
        <v>0</v>
      </c>
      <c r="G930" s="29" t="n">
        <v>0</v>
      </c>
      <c r="H930" s="29" t="n">
        <v>0</v>
      </c>
      <c r="I930" s="29" t="n">
        <v>0</v>
      </c>
      <c r="J930" s="29" t="n">
        <v>0</v>
      </c>
      <c r="K930" s="29" t="n">
        <v>0</v>
      </c>
      <c r="L930" s="29" t="n">
        <f aca="false">$V$8*Quesería!$B$36*(Quesería!$F$94+(Quesería!$F$95-(-$V$26)*Quesería!$D$86)*$V$21)*$V$11*(1-$V$17)</f>
        <v>74.3085270701451</v>
      </c>
    </row>
    <row r="931" customFormat="false" ht="15" hidden="true" customHeight="false" outlineLevel="1" collapsed="false">
      <c r="A931" s="5" t="s">
        <v>147</v>
      </c>
      <c r="B931" s="59" t="n">
        <f aca="false">B919-B920-B921-B922-B927-B914-B915-B916-B929+B930</f>
        <v>-1181.87602934595</v>
      </c>
      <c r="C931" s="59" t="n">
        <f aca="false">C919-C920-C921-C922-C927-C914-C915-C916-C929+C930</f>
        <v>-528.424926237443</v>
      </c>
      <c r="D931" s="59" t="n">
        <f aca="false">D919-D920-D921-D922-D927-D914-D915-D916-D929+D930</f>
        <v>455.654721291631</v>
      </c>
      <c r="E931" s="59" t="n">
        <f aca="false">E919-E920-E921-E922-E927-E914-E915-E916-E929+E930</f>
        <v>247.971920483594</v>
      </c>
      <c r="F931" s="59" t="n">
        <f aca="false">F919-F920-F921-F922-F927-F914-F915-F916-F929+F930</f>
        <v>276.487125020305</v>
      </c>
      <c r="G931" s="59" t="n">
        <f aca="false">G919-G920-G921-G922-G927-G914-G915-G916-G929+G930</f>
        <v>235.182170065159</v>
      </c>
      <c r="H931" s="59" t="n">
        <f aca="false">H919-H920-H921-H922-H927-H914-H915-H916-H929+H930</f>
        <v>209.270033850468</v>
      </c>
      <c r="I931" s="59" t="n">
        <f aca="false">I919-I920-I921-I922-I927-I914-I915-I916-I929+I930</f>
        <v>281.947377323758</v>
      </c>
      <c r="J931" s="59" t="n">
        <f aca="false">J919-J920-J921-J922-J927-J914-J915-J916-J929+J930</f>
        <v>270.024565741958</v>
      </c>
      <c r="K931" s="59" t="n">
        <f aca="false">K919-K920-K921-K922-K927-K914-K915-K916-K929+K930</f>
        <v>268.346231946353</v>
      </c>
      <c r="L931" s="59" t="n">
        <f aca="false">L919-L920-L921-L922-L927-L914-L915-L916-L929+L930</f>
        <v>473.251761110834</v>
      </c>
    </row>
    <row r="932" customFormat="false" ht="15" hidden="true" customHeight="false" outlineLevel="1" collapsed="false">
      <c r="A932" s="9" t="s">
        <v>423</v>
      </c>
      <c r="B932" s="58" t="n">
        <f aca="false">B931*B911</f>
        <v>-1252.78859110671</v>
      </c>
      <c r="C932" s="58" t="n">
        <f aca="false">C931*C911</f>
        <v>-588.136942902274</v>
      </c>
      <c r="D932" s="58" t="n">
        <f aca="false">D931*D911</f>
        <v>529.965171513476</v>
      </c>
      <c r="E932" s="58" t="n">
        <f aca="false">E931*E911</f>
        <v>299.948917981088</v>
      </c>
      <c r="F932" s="58" t="n">
        <f aca="false">F931*F911</f>
        <v>347.818794873067</v>
      </c>
      <c r="G932" s="58" t="n">
        <f aca="false">G931*G911</f>
        <v>307.691760041835</v>
      </c>
      <c r="H932" s="58" t="n">
        <f aca="false">H931*H911</f>
        <v>284.742213333986</v>
      </c>
      <c r="I932" s="58" t="n">
        <f aca="false">I931*I911</f>
        <v>398.975484149127</v>
      </c>
      <c r="J932" s="58" t="n">
        <f aca="false">J931*J911</f>
        <v>397.388016822586</v>
      </c>
      <c r="K932" s="58" t="n">
        <f aca="false">K931*K911</f>
        <v>410.71477962622</v>
      </c>
      <c r="L932" s="58" t="n">
        <f aca="false">L931*L911</f>
        <v>753.304233180599</v>
      </c>
    </row>
    <row r="933" customFormat="false" ht="15" hidden="true" customHeight="false" outlineLevel="1" collapsed="false">
      <c r="A933" s="6" t="s">
        <v>424</v>
      </c>
      <c r="B933" s="29" t="n">
        <f aca="false">B931</f>
        <v>-1181.87602934595</v>
      </c>
      <c r="C933" s="29" t="n">
        <f aca="false">B933+C931</f>
        <v>-1710.30095558339</v>
      </c>
      <c r="D933" s="29" t="n">
        <f aca="false">C933+D931</f>
        <v>-1254.64623429176</v>
      </c>
      <c r="E933" s="29" t="n">
        <f aca="false">D933+E931</f>
        <v>-1006.67431380817</v>
      </c>
      <c r="F933" s="29" t="n">
        <f aca="false">E933+F931</f>
        <v>-730.187188787865</v>
      </c>
      <c r="G933" s="29" t="n">
        <f aca="false">F933+G931</f>
        <v>-495.005018722705</v>
      </c>
      <c r="H933" s="29" t="n">
        <f aca="false">G933+H931</f>
        <v>-285.734984872237</v>
      </c>
      <c r="I933" s="29" t="n">
        <f aca="false">H933+I931</f>
        <v>-3.787607548479</v>
      </c>
      <c r="J933" s="29" t="n">
        <f aca="false">I933+J931</f>
        <v>266.236958193479</v>
      </c>
      <c r="K933" s="29" t="n">
        <f aca="false">J933+K931</f>
        <v>534.583190139832</v>
      </c>
      <c r="L933" s="29" t="n">
        <f aca="false">K933+L931</f>
        <v>1007.83495125067</v>
      </c>
    </row>
    <row r="934" customFormat="false" ht="15" hidden="true" customHeight="false" outlineLevel="1" collapsed="false">
      <c r="A934" s="9" t="s">
        <v>425</v>
      </c>
      <c r="B934" s="60" t="n">
        <v>0</v>
      </c>
      <c r="C934" s="60" t="n">
        <f aca="false">IF(AND(B933&lt;0,C933&gt;=0),B$47+(-B933)/C931,0)</f>
        <v>0</v>
      </c>
      <c r="D934" s="60" t="n">
        <f aca="false">IF(AND(C933&lt;0,D933&gt;=0),C$47+(-C933)/D931,0)</f>
        <v>0</v>
      </c>
      <c r="E934" s="60" t="n">
        <f aca="false">IF(AND(D933&lt;0,E933&gt;=0),D$47+(-D933)/E931,0)</f>
        <v>0</v>
      </c>
      <c r="F934" s="60" t="n">
        <f aca="false">IF(AND(E933&lt;0,F933&gt;=0),E$47+(-E933)/F931,0)</f>
        <v>0</v>
      </c>
      <c r="G934" s="60" t="n">
        <f aca="false">IF(AND(F933&lt;0,G933&gt;=0),F$47+(-F933)/G931,0)</f>
        <v>0</v>
      </c>
      <c r="H934" s="60" t="n">
        <f aca="false">IF(AND(G933&lt;0,H933&gt;=0),G$47+(-G933)/H931,0)</f>
        <v>0</v>
      </c>
      <c r="I934" s="60" t="n">
        <f aca="false">IF(AND(H933&lt;0,I933&gt;=0),H$47+(-H933)/I931,0)</f>
        <v>0</v>
      </c>
      <c r="J934" s="60" t="n">
        <f aca="false">IF(AND(I933&lt;0,J933&gt;=0),I$47+(-I933)/J931,0)</f>
        <v>7.0140268998788</v>
      </c>
      <c r="K934" s="60" t="n">
        <f aca="false">IF(AND(J933&lt;0,K933&gt;=0),J$47+(-J933)/K931,0)</f>
        <v>0</v>
      </c>
      <c r="L934" s="60" t="n">
        <f aca="false">IF(AND(K933&lt;0,L933&gt;=0),K$47+(-K933)/L931,0)</f>
        <v>0</v>
      </c>
    </row>
    <row r="935" customFormat="false" ht="15" hidden="true" customHeight="false" outlineLevel="1" collapsed="false">
      <c r="A935" s="9" t="s">
        <v>426</v>
      </c>
      <c r="B935" s="57" t="n">
        <f aca="false">(B911/$B$911)/(1+$V$29)^B$47</f>
        <v>1</v>
      </c>
      <c r="C935" s="57" t="n">
        <f aca="false">(C911/$B$911)/(1+$V$29)^C$47</f>
        <v>0.915373701313561</v>
      </c>
      <c r="D935" s="57" t="n">
        <f aca="false">(D911/$B$911)/(1+$V$29)^D$47</f>
        <v>0.833918970137172</v>
      </c>
      <c r="E935" s="57" t="n">
        <f aca="false">(E911/$B$911)/(1+$V$29)^E$47</f>
        <v>0.756077518153961</v>
      </c>
      <c r="F935" s="57" t="n">
        <f aca="false">(F911/$B$911)/(1+$V$29)^F$47</f>
        <v>0.685502109831871</v>
      </c>
      <c r="G935" s="57" t="n">
        <f aca="false">(G911/$B$911)/(1+$V$29)^G$47</f>
        <v>0.621514502549008</v>
      </c>
      <c r="H935" s="57" t="n">
        <f aca="false">(H911/$B$911)/(1+$V$29)^H$47</f>
        <v>0.563499763660072</v>
      </c>
      <c r="I935" s="57" t="n">
        <f aca="false">(I911/$B$911)/(1+$V$29)^I$47</f>
        <v>0.510900360880829</v>
      </c>
      <c r="J935" s="57" t="n">
        <f aca="false">(J911/$B$911)/(1+$V$29)^J$47</f>
        <v>0.463210804300567</v>
      </c>
      <c r="K935" s="57" t="n">
        <f aca="false">(K911/$B$911)/(1+$V$29)^K$47</f>
        <v>0.419972788531318</v>
      </c>
      <c r="L935" s="57" t="n">
        <f aca="false">(L911/$B$911)/(1+$V$29)^L$47</f>
        <v>0.380770788308996</v>
      </c>
    </row>
    <row r="936" customFormat="false" ht="15" hidden="true" customHeight="false" outlineLevel="1" collapsed="false">
      <c r="A936" s="9" t="s">
        <v>427</v>
      </c>
      <c r="B936" s="58" t="n">
        <f aca="false">B931*B935</f>
        <v>-1181.87602934595</v>
      </c>
      <c r="C936" s="58" t="n">
        <f aca="false">C931*C935</f>
        <v>-483.706280596314</v>
      </c>
      <c r="D936" s="58" t="n">
        <f aca="false">D931*D935</f>
        <v>379.979115917657</v>
      </c>
      <c r="E936" s="58" t="n">
        <f aca="false">E931*E935</f>
        <v>187.485994211107</v>
      </c>
      <c r="F936" s="58" t="n">
        <f aca="false">F931*F935</f>
        <v>189.532507542767</v>
      </c>
      <c r="G936" s="58" t="n">
        <f aca="false">G931*G935</f>
        <v>146.169129436444</v>
      </c>
      <c r="H936" s="58" t="n">
        <f aca="false">H931*H935</f>
        <v>117.923614615874</v>
      </c>
      <c r="I936" s="58" t="n">
        <f aca="false">I931*I935</f>
        <v>144.047016824111</v>
      </c>
      <c r="J936" s="58" t="n">
        <f aca="false">J931*J935</f>
        <v>125.078296278244</v>
      </c>
      <c r="K936" s="58" t="n">
        <f aca="false">K931*K935</f>
        <v>112.698115322382</v>
      </c>
      <c r="L936" s="58" t="n">
        <f aca="false">L931*L935</f>
        <v>180.200446146793</v>
      </c>
    </row>
    <row r="937" customFormat="false" ht="15" hidden="true" customHeight="false" outlineLevel="1" collapsed="false">
      <c r="A937" s="9" t="s">
        <v>428</v>
      </c>
      <c r="B937" s="58" t="n">
        <f aca="false">B936</f>
        <v>-1181.87602934595</v>
      </c>
      <c r="C937" s="58" t="n">
        <f aca="false">B937+C936</f>
        <v>-1665.58230994227</v>
      </c>
      <c r="D937" s="58" t="n">
        <f aca="false">C937+D936</f>
        <v>-1285.60319402461</v>
      </c>
      <c r="E937" s="58" t="n">
        <f aca="false">D937+E936</f>
        <v>-1098.1171998135</v>
      </c>
      <c r="F937" s="58" t="n">
        <f aca="false">E937+F936</f>
        <v>-908.584692270733</v>
      </c>
      <c r="G937" s="58" t="n">
        <f aca="false">F937+G936</f>
        <v>-762.41556283429</v>
      </c>
      <c r="H937" s="58" t="n">
        <f aca="false">G937+H936</f>
        <v>-644.491948218416</v>
      </c>
      <c r="I937" s="58" t="n">
        <f aca="false">H937+I936</f>
        <v>-500.444931394305</v>
      </c>
      <c r="J937" s="58" t="n">
        <f aca="false">I937+J936</f>
        <v>-375.366635116061</v>
      </c>
      <c r="K937" s="58" t="n">
        <f aca="false">J937+K936</f>
        <v>-262.668519793679</v>
      </c>
      <c r="L937" s="58" t="n">
        <f aca="false">K937+L936</f>
        <v>-82.4680736468863</v>
      </c>
    </row>
    <row r="938" customFormat="false" ht="15" hidden="true" customHeight="false" outlineLevel="1" collapsed="false">
      <c r="A938" s="9" t="s">
        <v>429</v>
      </c>
      <c r="B938" s="60" t="n">
        <v>0</v>
      </c>
      <c r="C938" s="60" t="n">
        <f aca="false">IF(AND(B937&lt;0,C937&gt;=0),B$47+(-B937)/C936,0)</f>
        <v>0</v>
      </c>
      <c r="D938" s="60" t="n">
        <f aca="false">IF(AND(C937&lt;0,D937&gt;=0),C$47+(-C937)/D936,0)</f>
        <v>0</v>
      </c>
      <c r="E938" s="60" t="n">
        <f aca="false">IF(AND(D937&lt;0,E937&gt;=0),D$47+(-D937)/E936,0)</f>
        <v>0</v>
      </c>
      <c r="F938" s="60" t="n">
        <f aca="false">IF(AND(E937&lt;0,F937&gt;=0),E$47+(-E937)/F936,0)</f>
        <v>0</v>
      </c>
      <c r="G938" s="60" t="n">
        <f aca="false">IF(AND(F937&lt;0,G937&gt;=0),F$47+(-F937)/G936,0)</f>
        <v>0</v>
      </c>
      <c r="H938" s="60" t="n">
        <f aca="false">IF(AND(G937&lt;0,H937&gt;=0),G$47+(-G937)/H936,0)</f>
        <v>0</v>
      </c>
      <c r="I938" s="60" t="n">
        <f aca="false">IF(AND(H937&lt;0,I937&gt;=0),H$47+(-H937)/I936,0)</f>
        <v>0</v>
      </c>
      <c r="J938" s="60" t="n">
        <f aca="false">IF(AND(I937&lt;0,J937&gt;=0),I$47+(-I937)/J936,0)</f>
        <v>0</v>
      </c>
      <c r="K938" s="60" t="n">
        <f aca="false">IF(AND(J937&lt;0,K937&gt;=0),J$47+(-J937)/K936,0)</f>
        <v>0</v>
      </c>
      <c r="L938" s="60" t="n">
        <f aca="false">IF(AND(K937&lt;0,L937&gt;=0),K$47+(-K937)/L936,0)</f>
        <v>0</v>
      </c>
    </row>
    <row r="939" customFormat="false" ht="15" hidden="true" customHeight="false" outlineLevel="1" collapsed="false">
      <c r="A939" s="9" t="s">
        <v>430</v>
      </c>
      <c r="B939" s="58" t="n">
        <f aca="false">IF(B$47&lt;0,0,(Quesería!$B$44*$B$914*$B$911)*(1-MAX(0,MIN(B$47-0-Quesería!$B$47,(Quesería!$B$46-Quesería!$B$47)))/(Quesería!$B$46-Quesería!$B$47))*IF(B$47&gt;=2,1-Quesería!$B$48,1))+IF(B$47&lt;1,0,(Quesería!$B$44*$C$914*$C$911)*(1-MAX(0,MIN(B$47-1-Quesería!$B$47,(Quesería!$B$46-Quesería!$B$47)))/(Quesería!$B$46-Quesería!$B$47))*IF(B$47&gt;=2,1-Quesería!$B$48,1))</f>
        <v>769.585637962111</v>
      </c>
      <c r="C939" s="58" t="n">
        <f aca="false">IF(C$47&lt;0,0,(Quesería!$B$44*$B$914*$B$911)*(1-MAX(0,MIN(C$47-0-Quesería!$B$47,(Quesería!$B$46-Quesería!$B$47)))/(Quesería!$B$46-Quesería!$B$47))*IF(C$47&gt;=2,1-Quesería!$B$48,1))+IF(C$47&lt;1,0,(Quesería!$B$44*$C$914*$C$911)*(1-MAX(0,MIN(C$47-1-Quesería!$B$47,(Quesería!$B$46-Quesería!$B$47)))/(Quesería!$B$46-Quesería!$B$47))*IF(C$47&gt;=2,1-Quesería!$B$48,1))</f>
        <v>1341.22897350491</v>
      </c>
      <c r="D939" s="58" t="n">
        <f aca="false">IF(D$47&lt;0,0,(Quesería!$B$44*$B$914*$B$911)*(1-MAX(0,MIN(D$47-0-Quesería!$B$47,(Quesería!$B$46-Quesería!$B$47)))/(Quesería!$B$46-Quesería!$B$47))*IF(D$47&gt;=2,1-Quesería!$B$48,1))+IF(D$47&lt;1,0,(Quesería!$B$44*$C$914*$C$911)*(1-MAX(0,MIN(D$47-1-Quesería!$B$47,(Quesería!$B$46-Quesería!$B$47)))/(Quesería!$B$46-Quesería!$B$47))*IF(D$47&gt;=2,1-Quesería!$B$48,1))</f>
        <v>1212.96470051122</v>
      </c>
      <c r="E939" s="58" t="n">
        <f aca="false">IF(E$47&lt;0,0,(Quesería!$B$44*$B$914*$B$911)*(1-MAX(0,MIN(E$47-0-Quesería!$B$47,(Quesería!$B$46-Quesería!$B$47)))/(Quesería!$B$46-Quesería!$B$47))*IF(E$47&gt;=2,1-Quesería!$B$48,1))+IF(E$47&lt;1,0,(Quesería!$B$44*$C$914*$C$911)*(1-MAX(0,MIN(E$47-1-Quesería!$B$47,(Quesería!$B$46-Quesería!$B$47)))/(Quesería!$B$46-Quesería!$B$47))*IF(E$47&gt;=2,1-Quesería!$B$48,1))</f>
        <v>989.426538260407</v>
      </c>
      <c r="F939" s="58" t="n">
        <f aca="false">IF(F$47&lt;0,0,(Quesería!$B$44*$B$914*$B$911)*(1-MAX(0,MIN(F$47-0-Quesería!$B$47,(Quesería!$B$46-Quesería!$B$47)))/(Quesería!$B$46-Quesería!$B$47))*IF(F$47&gt;=2,1-Quesería!$B$48,1))+IF(F$47&lt;1,0,(Quesería!$B$44*$C$914*$C$911)*(1-MAX(0,MIN(F$47-1-Quesería!$B$47,(Quesería!$B$46-Quesería!$B$47)))/(Quesería!$B$46-Quesería!$B$47))*IF(F$47&gt;=2,1-Quesería!$B$48,1))</f>
        <v>765.888376009588</v>
      </c>
      <c r="G939" s="58" t="n">
        <f aca="false">IF(G$47&lt;0,0,(Quesería!$B$44*$B$914*$B$911)*(1-MAX(0,MIN(G$47-0-Quesería!$B$47,(Quesería!$B$46-Quesería!$B$47)))/(Quesería!$B$46-Quesería!$B$47))*IF(G$47&gt;=2,1-Quesería!$B$48,1))+IF(G$47&lt;1,0,(Quesería!$B$44*$C$914*$C$911)*(1-MAX(0,MIN(G$47-1-Quesería!$B$47,(Quesería!$B$46-Quesería!$B$47)))/(Quesería!$B$46-Quesería!$B$47))*IF(G$47&gt;=2,1-Quesería!$B$48,1))</f>
        <v>542.35021375877</v>
      </c>
      <c r="H939" s="58" t="n">
        <f aca="false">IF(H$47&lt;0,0,(Quesería!$B$44*$B$914*$B$911)*(1-MAX(0,MIN(H$47-0-Quesería!$B$47,(Quesería!$B$46-Quesería!$B$47)))/(Quesería!$B$46-Quesería!$B$47))*IF(H$47&gt;=2,1-Quesería!$B$48,1))+IF(H$47&lt;1,0,(Quesería!$B$44*$C$914*$C$911)*(1-MAX(0,MIN(H$47-1-Quesería!$B$47,(Quesería!$B$46-Quesería!$B$47)))/(Quesería!$B$46-Quesería!$B$47))*IF(H$47&gt;=2,1-Quesería!$B$48,1))</f>
        <v>318.812051507952</v>
      </c>
      <c r="I939" s="58" t="n">
        <f aca="false">IF(I$47&lt;0,0,(Quesería!$B$44*$B$914*$B$911)*(1-MAX(0,MIN(I$47-0-Quesería!$B$47,(Quesería!$B$46-Quesería!$B$47)))/(Quesería!$B$46-Quesería!$B$47))*IF(I$47&gt;=2,1-Quesería!$B$48,1))+IF(I$47&lt;1,0,(Quesería!$B$44*$C$914*$C$911)*(1-MAX(0,MIN(I$47-1-Quesería!$B$47,(Quesería!$B$46-Quesería!$B$47)))/(Quesería!$B$46-Quesería!$B$47))*IF(I$47&gt;=2,1-Quesería!$B$48,1))</f>
        <v>95.2738892571332</v>
      </c>
      <c r="J939" s="58" t="n">
        <f aca="false">IF(J$47&lt;0,0,(Quesería!$B$44*$B$914*$B$911)*(1-MAX(0,MIN(J$47-0-Quesería!$B$47,(Quesería!$B$46-Quesería!$B$47)))/(Quesería!$B$46-Quesería!$B$47))*IF(J$47&gt;=2,1-Quesería!$B$48,1))+IF(J$47&lt;1,0,(Quesería!$B$44*$C$914*$C$911)*(1-MAX(0,MIN(J$47-1-Quesería!$B$47,(Quesería!$B$46-Quesería!$B$47)))/(Quesería!$B$46-Quesería!$B$47))*IF(J$47&gt;=2,1-Quesería!$B$48,1))</f>
        <v>0</v>
      </c>
      <c r="K939" s="58" t="n">
        <f aca="false">IF(K$47&lt;0,0,(Quesería!$B$44*$B$914*$B$911)*(1-MAX(0,MIN(K$47-0-Quesería!$B$47,(Quesería!$B$46-Quesería!$B$47)))/(Quesería!$B$46-Quesería!$B$47))*IF(K$47&gt;=2,1-Quesería!$B$48,1))+IF(K$47&lt;1,0,(Quesería!$B$44*$C$914*$C$911)*(1-MAX(0,MIN(K$47-1-Quesería!$B$47,(Quesería!$B$46-Quesería!$B$47)))/(Quesería!$B$46-Quesería!$B$47))*IF(K$47&gt;=2,1-Quesería!$B$48,1))</f>
        <v>0</v>
      </c>
      <c r="L939" s="58" t="n">
        <f aca="false">IF(L$47&lt;0,0,(Quesería!$B$44*$B$914*$B$911)*(1-MAX(0,MIN(L$47-0-Quesería!$B$47,(Quesería!$B$46-Quesería!$B$47)))/(Quesería!$B$46-Quesería!$B$47))*IF(L$47&gt;=2,1-Quesería!$B$48,1))+IF(L$47&lt;1,0,(Quesería!$B$44*$C$914*$C$911)*(1-MAX(0,MIN(L$47-1-Quesería!$B$47,(Quesería!$B$46-Quesería!$B$47)))/(Quesería!$B$46-Quesería!$B$47))*IF(L$47&gt;=2,1-Quesería!$B$48,1))</f>
        <v>0</v>
      </c>
    </row>
    <row r="940" customFormat="false" ht="15" hidden="true" customHeight="false" outlineLevel="1" collapsed="false">
      <c r="A940" s="6" t="s">
        <v>431</v>
      </c>
      <c r="B940" s="29" t="n">
        <f aca="false">Quesería!$B$44*B914</f>
        <v>726.024186756708</v>
      </c>
      <c r="C940" s="29" t="n">
        <f aca="false">Quesería!$B$44*C914</f>
        <v>513.605872006109</v>
      </c>
      <c r="D940" s="29" t="n">
        <f aca="false">Quesería!$B$44*D914</f>
        <v>0</v>
      </c>
      <c r="E940" s="29" t="n">
        <f aca="false">Quesería!$B$44*E914</f>
        <v>0</v>
      </c>
      <c r="F940" s="29" t="n">
        <f aca="false">Quesería!$B$44*F914</f>
        <v>0</v>
      </c>
      <c r="G940" s="29" t="n">
        <f aca="false">Quesería!$B$44*G914</f>
        <v>0</v>
      </c>
      <c r="H940" s="29" t="n">
        <f aca="false">Quesería!$B$44*H914</f>
        <v>0</v>
      </c>
      <c r="I940" s="29" t="n">
        <f aca="false">Quesería!$B$44*I914</f>
        <v>0</v>
      </c>
      <c r="J940" s="29" t="n">
        <f aca="false">Quesería!$B$44*J914</f>
        <v>0</v>
      </c>
      <c r="K940" s="29" t="n">
        <f aca="false">Quesería!$B$44*K914</f>
        <v>0</v>
      </c>
      <c r="L940" s="29" t="n">
        <f aca="false">Quesería!$B$44*L914</f>
        <v>0</v>
      </c>
    </row>
    <row r="941" customFormat="false" ht="15" hidden="true" customHeight="false" outlineLevel="1" collapsed="false">
      <c r="A941" s="6" t="s">
        <v>432</v>
      </c>
      <c r="B941" s="29" t="n">
        <f aca="false">(IF(AND(B$47&gt;0,B$47&lt;=0+Quesería!$B$46),($V$14+$V$28)*(Quesería!$B$44*$B$914*$B$911)*(1-MAX(0,MIN((B$47-1)-0-Quesería!$B$47,(Quesería!$B$46-Quesería!$B$47)))/(Quesería!$B$46-Quesería!$B$47))*IF(B$47&gt;2,1-Quesería!$B$48,1),0)+IF(AND(B$47&gt;1,B$47&lt;=1+Quesería!$B$46),($V$14+$V$28)*(Quesería!$B$44*$C$914*$C$911)*(1-MAX(0,MIN((B$47-1)-1-Quesería!$B$47,(Quesería!$B$46-Quesería!$B$47)))/(Quesería!$B$46-Quesería!$B$47))*IF(B$47&gt;2,1-Quesería!$B$48,1),0))*B913</f>
        <v>0</v>
      </c>
      <c r="C941" s="29" t="n">
        <f aca="false">(IF(AND(C$47&gt;0,C$47&lt;=0+Quesería!$B$46),($V$14+$V$28)*(Quesería!$B$44*$B$914*$B$911)*(1-MAX(0,MIN((C$47-1)-0-Quesería!$B$47,(Quesería!$B$46-Quesería!$B$47)))/(Quesería!$B$46-Quesería!$B$47))*IF(C$47&gt;2,1-Quesería!$B$48,1),0)+IF(AND(C$47&gt;1,C$47&lt;=1+Quesería!$B$46),($V$14+$V$28)*(Quesería!$B$44*$C$914*$C$911)*(1-MAX(0,MIN((C$47-1)-1-Quesería!$B$47,(Quesería!$B$46-Quesería!$B$47)))/(Quesería!$B$46-Quesería!$B$47))*IF(C$47&gt;2,1-Quesería!$B$48,1),0))*C913</f>
        <v>97.4946765073293</v>
      </c>
      <c r="D941" s="29" t="n">
        <f aca="false">(IF(AND(D$47&gt;0,D$47&lt;=0+Quesería!$B$46),($V$14+$V$28)*(Quesería!$B$44*$B$914*$B$911)*(1-MAX(0,MIN((D$47-1)-0-Quesería!$B$47,(Quesería!$B$46-Quesería!$B$47)))/(Quesería!$B$46-Quesería!$B$47))*IF(D$47&gt;2,1-Quesería!$B$48,1),0)+IF(AND(D$47&gt;1,D$47&lt;=1+Quesería!$B$46),($V$14+$V$28)*(Quesería!$B$44*$C$914*$C$911)*(1-MAX(0,MIN((D$47-1)-1-Quesería!$B$47,(Quesería!$B$46-Quesería!$B$47)))/(Quesería!$B$46-Quesería!$B$47))*IF(D$47&gt;2,1-Quesería!$B$48,1),0))*D913</f>
        <v>162.596272210709</v>
      </c>
      <c r="E941" s="29" t="n">
        <f aca="false">(IF(AND(E$47&gt;0,E$47&lt;=0+Quesería!$B$46),($V$14+$V$28)*(Quesería!$B$44*$B$914*$B$911)*(1-MAX(0,MIN((E$47-1)-0-Quesería!$B$47,(Quesería!$B$46-Quesería!$B$47)))/(Quesería!$B$46-Quesería!$B$47))*IF(E$47&gt;2,1-Quesería!$B$48,1),0)+IF(AND(E$47&gt;1,E$47&lt;=1+Quesería!$B$46),($V$14+$V$28)*(Quesería!$B$44*$C$914*$C$911)*(1-MAX(0,MIN((E$47-1)-1-Quesería!$B$47,(Quesería!$B$46-Quesería!$B$47)))/(Quesería!$B$46-Quesería!$B$47))*IF(E$47&gt;2,1-Quesería!$B$48,1),0))*E913</f>
        <v>141.391232709762</v>
      </c>
      <c r="F941" s="29" t="n">
        <f aca="false">(IF(AND(F$47&gt;0,F$47&lt;=0+Quesería!$B$46),($V$14+$V$28)*(Quesería!$B$44*$B$914*$B$911)*(1-MAX(0,MIN((F$47-1)-0-Quesería!$B$47,(Quesería!$B$46-Quesería!$B$47)))/(Quesería!$B$46-Quesería!$B$47))*IF(F$47&gt;2,1-Quesería!$B$48,1),0)+IF(AND(F$47&gt;1,F$47&lt;=1+Quesería!$B$46),($V$14+$V$28)*(Quesería!$B$44*$C$914*$C$911)*(1-MAX(0,MIN((F$47-1)-1-Quesería!$B$47,(Quesería!$B$46-Quesería!$B$47)))/(Quesería!$B$46-Quesería!$B$47))*IF(F$47&gt;2,1-Quesería!$B$48,1),0))*F913</f>
        <v>110.898209427115</v>
      </c>
      <c r="G941" s="29" t="n">
        <f aca="false">(IF(AND(G$47&gt;0,G$47&lt;=0+Quesería!$B$46),($V$14+$V$28)*(Quesería!$B$44*$B$914*$B$911)*(1-MAX(0,MIN((G$47-1)-0-Quesería!$B$47,(Quesería!$B$46-Quesería!$B$47)))/(Quesería!$B$46-Quesería!$B$47))*IF(G$47&gt;2,1-Quesería!$B$48,1),0)+IF(AND(G$47&gt;1,G$47&lt;=1+Quesería!$B$46),($V$14+$V$28)*(Quesería!$B$44*$C$914*$C$911)*(1-MAX(0,MIN((G$47-1)-1-Quesería!$B$47,(Quesería!$B$46-Quesería!$B$47)))/(Quesería!$B$46-Quesería!$B$47))*IF(G$47&gt;2,1-Quesería!$B$48,1),0))*G913</f>
        <v>82.5416446917873</v>
      </c>
      <c r="H941" s="29" t="n">
        <f aca="false">(IF(AND(H$47&gt;0,H$47&lt;=0+Quesería!$B$46),($V$14+$V$28)*(Quesería!$B$44*$B$914*$B$911)*(1-MAX(0,MIN((H$47-1)-0-Quesería!$B$47,(Quesería!$B$46-Quesería!$B$47)))/(Quesería!$B$46-Quesería!$B$47))*IF(H$47&gt;2,1-Quesería!$B$48,1),0)+IF(AND(H$47&gt;1,H$47&lt;=1+Quesería!$B$46),($V$14+$V$28)*(Quesería!$B$44*$C$914*$C$911)*(1-MAX(0,MIN((H$47-1)-1-Quesería!$B$47,(Quesería!$B$46-Quesería!$B$47)))/(Quesería!$B$46-Quesería!$B$47))*IF(H$47&gt;2,1-Quesería!$B$48,1),0))*H913</f>
        <v>56.2023035612082</v>
      </c>
      <c r="I941" s="29" t="n">
        <f aca="false">(IF(AND(I$47&gt;0,I$47&lt;=0+Quesería!$B$46),($V$14+$V$28)*(Quesería!$B$44*$B$914*$B$911)*(1-MAX(0,MIN((I$47-1)-0-Quesería!$B$47,(Quesería!$B$46-Quesería!$B$47)))/(Quesería!$B$46-Quesería!$B$47))*IF(I$47&gt;2,1-Quesería!$B$48,1),0)+IF(AND(I$47&gt;1,I$47&lt;=1+Quesería!$B$46),($V$14+$V$28)*(Quesería!$B$44*$C$914*$C$911)*(1-MAX(0,MIN((I$47-1)-1-Quesería!$B$47,(Quesería!$B$46-Quesería!$B$47)))/(Quesería!$B$46-Quesería!$B$47))*IF(I$47&gt;2,1-Quesería!$B$48,1),0))*I913</f>
        <v>31.7669625698277</v>
      </c>
      <c r="J941" s="29" t="n">
        <f aca="false">(IF(AND(J$47&gt;0,J$47&lt;=0+Quesería!$B$46),($V$14+$V$28)*(Quesería!$B$44*$B$914*$B$911)*(1-MAX(0,MIN((J$47-1)-0-Quesería!$B$47,(Quesería!$B$46-Quesería!$B$47)))/(Quesería!$B$46-Quesería!$B$47))*IF(J$47&gt;2,1-Quesería!$B$48,1),0)+IF(AND(J$47&gt;1,J$47&lt;=1+Quesería!$B$46),($V$14+$V$28)*(Quesería!$B$44*$C$914*$C$911)*(1-MAX(0,MIN((J$47-1)-1-Quesería!$B$47,(Quesería!$B$46-Quesería!$B$47)))/(Quesería!$B$46-Quesería!$B$47))*IF(J$47&gt;2,1-Quesería!$B$48,1),0))*J913</f>
        <v>9.12812369085938</v>
      </c>
      <c r="K941" s="29" t="n">
        <f aca="false">(IF(AND(K$47&gt;0,K$47&lt;=0+Quesería!$B$46),($V$14+$V$28)*(Quesería!$B$44*$B$914*$B$911)*(1-MAX(0,MIN((K$47-1)-0-Quesería!$B$47,(Quesería!$B$46-Quesería!$B$47)))/(Quesería!$B$46-Quesería!$B$47))*IF(K$47&gt;2,1-Quesería!$B$48,1),0)+IF(AND(K$47&gt;1,K$47&lt;=1+Quesería!$B$46),($V$14+$V$28)*(Quesería!$B$44*$C$914*$C$911)*(1-MAX(0,MIN((K$47-1)-1-Quesería!$B$47,(Quesería!$B$46-Quesería!$B$47)))/(Quesería!$B$46-Quesería!$B$47))*IF(K$47&gt;2,1-Quesería!$B$48,1),0))*K913</f>
        <v>0</v>
      </c>
      <c r="L941" s="29" t="n">
        <f aca="false">(IF(AND(L$47&gt;0,L$47&lt;=0+Quesería!$B$46),($V$14+$V$28)*(Quesería!$B$44*$B$914*$B$911)*(1-MAX(0,MIN((L$47-1)-0-Quesería!$B$47,(Quesería!$B$46-Quesería!$B$47)))/(Quesería!$B$46-Quesería!$B$47))*IF(L$47&gt;2,1-Quesería!$B$48,1),0)+IF(AND(L$47&gt;1,L$47&lt;=1+Quesería!$B$46),($V$14+$V$28)*(Quesería!$B$44*$C$914*$C$911)*(1-MAX(0,MIN((L$47-1)-1-Quesería!$B$47,(Quesería!$B$46-Quesería!$B$47)))/(Quesería!$B$46-Quesería!$B$47))*IF(L$47&gt;2,1-Quesería!$B$48,1),0))*L913</f>
        <v>0</v>
      </c>
    </row>
    <row r="942" customFormat="false" ht="15" hidden="true" customHeight="false" outlineLevel="1" collapsed="false">
      <c r="A942" s="6" t="s">
        <v>433</v>
      </c>
      <c r="B942" s="29" t="n">
        <f aca="false">((IF(AND(B$47&gt;0+Quesería!$B$47,B$47&lt;=0+Quesería!$B$46),(Quesería!$B$44*$B$914*$B$911)/(Quesería!$B$46-Quesería!$B$47),0)*IF(B$47&gt;2,1-Quesería!$B$48,1)+IF(B$47=2,Quesería!$B$48*(Quesería!$B$44*$B$914*$B$911)*(1-MAX(0,MIN(2-0-Quesería!$B$47,(Quesería!$B$46-Quesería!$B$47)))/(Quesería!$B$46-Quesería!$B$47)),0))+(IF(AND(B$47&gt;1+Quesería!$B$47,B$47&lt;=1+Quesería!$B$46),(Quesería!$B$44*$C$914*$C$911)/(Quesería!$B$46-Quesería!$B$47),0)*IF(B$47&gt;2,1-Quesería!$B$48,1)+IF(B$47=2,Quesería!$B$48*(Quesería!$B$44*$C$914*$C$911)*(1-MAX(0,MIN(2-1-Quesería!$B$47,(Quesería!$B$46-Quesería!$B$47)))/(Quesería!$B$46-Quesería!$B$47)),0)))*B913</f>
        <v>0</v>
      </c>
      <c r="C942" s="29" t="n">
        <f aca="false">((IF(AND(C$47&gt;0+Quesería!$B$47,C$47&lt;=0+Quesería!$B$46),(Quesería!$B$44*$B$914*$B$911)/(Quesería!$B$46-Quesería!$B$47),0)*IF(C$47&gt;2,1-Quesería!$B$48,1)+IF(C$47=2,Quesería!$B$48*(Quesería!$B$44*$B$914*$B$911)*(1-MAX(0,MIN(2-0-Quesería!$B$47,(Quesería!$B$46-Quesería!$B$47)))/(Quesería!$B$46-Quesería!$B$47)),0))+(IF(AND(C$47&gt;1+Quesería!$B$47,C$47&lt;=1+Quesería!$B$46),(Quesería!$B$44*$C$914*$C$911)/(Quesería!$B$46-Quesería!$B$47),0)*IF(C$47&gt;2,1-Quesería!$B$48,1)+IF(C$47=2,Quesería!$B$48*(Quesería!$B$44*$C$914*$C$911)*(1-MAX(0,MIN(2-1-Quesería!$B$47,(Quesería!$B$46-Quesería!$B$47)))/(Quesería!$B$46-Quesería!$B$47)),0)))*C913</f>
        <v>0</v>
      </c>
      <c r="D942" s="29" t="n">
        <f aca="false">((IF(AND(D$47&gt;0+Quesería!$B$47,D$47&lt;=0+Quesería!$B$46),(Quesería!$B$44*$B$914*$B$911)/(Quesería!$B$46-Quesería!$B$47),0)*IF(D$47&gt;2,1-Quesería!$B$48,1)+IF(D$47=2,Quesería!$B$48*(Quesería!$B$44*$B$914*$B$911)*(1-MAX(0,MIN(2-0-Quesería!$B$47,(Quesería!$B$46-Quesería!$B$47)))/(Quesería!$B$46-Quesería!$B$47)),0))+(IF(AND(D$47&gt;1+Quesería!$B$47,D$47&lt;=1+Quesería!$B$46),(Quesería!$B$44*$C$914*$C$911)/(Quesería!$B$46-Quesería!$B$47),0)*IF(D$47&gt;2,1-Quesería!$B$48,1)+IF(D$47=2,Quesería!$B$48*(Quesería!$B$44*$C$914*$C$911)*(1-MAX(0,MIN(2-1-Quesería!$B$47,(Quesería!$B$46-Quesería!$B$47)))/(Quesería!$B$46-Quesería!$B$47)),0)))*D913</f>
        <v>110.279363067777</v>
      </c>
      <c r="E942" s="29" t="n">
        <f aca="false">((IF(AND(E$47&gt;0+Quesería!$B$47,E$47&lt;=0+Quesería!$B$46),(Quesería!$B$44*$B$914*$B$911)/(Quesería!$B$46-Quesería!$B$47),0)*IF(E$47&gt;2,1-Quesería!$B$48,1)+IF(E$47=2,Quesería!$B$48*(Quesería!$B$44*$B$914*$B$911)*(1-MAX(0,MIN(2-0-Quesería!$B$47,(Quesería!$B$46-Quesería!$B$47)))/(Quesería!$B$46-Quesería!$B$47)),0))+(IF(AND(E$47&gt;1+Quesería!$B$47,E$47&lt;=1+Quesería!$B$46),(Quesería!$B$44*$C$914*$C$911)/(Quesería!$B$46-Quesería!$B$47),0)*IF(E$47&gt;2,1-Quesería!$B$48,1)+IF(E$47=2,Quesería!$B$48*(Quesería!$B$44*$C$914*$C$911)*(1-MAX(0,MIN(2-1-Quesería!$B$47,(Quesería!$B$46-Quesería!$B$47)))/(Quesería!$B$46-Quesería!$B$47)),0)))*E913</f>
        <v>184.802091528811</v>
      </c>
      <c r="F942" s="29" t="n">
        <f aca="false">((IF(AND(F$47&gt;0+Quesería!$B$47,F$47&lt;=0+Quesería!$B$46),(Quesería!$B$44*$B$914*$B$911)/(Quesería!$B$46-Quesería!$B$47),0)*IF(F$47&gt;2,1-Quesería!$B$48,1)+IF(F$47=2,Quesería!$B$48*(Quesería!$B$44*$B$914*$B$911)*(1-MAX(0,MIN(2-0-Quesería!$B$47,(Quesería!$B$46-Quesería!$B$47)))/(Quesería!$B$46-Quesería!$B$47)),0))+(IF(AND(F$47&gt;1+Quesería!$B$47,F$47&lt;=1+Quesería!$B$46),(Quesería!$B$44*$C$914*$C$911)/(Quesería!$B$46-Quesería!$B$47),0)*IF(F$47&gt;2,1-Quesería!$B$48,1)+IF(F$47=2,Quesería!$B$48*(Quesería!$B$44*$C$914*$C$911)*(1-MAX(0,MIN(2-1-Quesería!$B$47,(Quesería!$B$46-Quesería!$B$47)))/(Quesería!$B$46-Quesería!$B$47)),0)))*F913</f>
        <v>177.694318777703</v>
      </c>
      <c r="G942" s="29" t="n">
        <f aca="false">((IF(AND(G$47&gt;0+Quesería!$B$47,G$47&lt;=0+Quesería!$B$46),(Quesería!$B$44*$B$914*$B$911)/(Quesería!$B$46-Quesería!$B$47),0)*IF(G$47&gt;2,1-Quesería!$B$48,1)+IF(G$47=2,Quesería!$B$48*(Quesería!$B$44*$B$914*$B$911)*(1-MAX(0,MIN(2-0-Quesería!$B$47,(Quesería!$B$46-Quesería!$B$47)))/(Quesería!$B$46-Quesería!$B$47)),0))+(IF(AND(G$47&gt;1+Quesería!$B$47,G$47&lt;=1+Quesería!$B$46),(Quesería!$B$44*$C$914*$C$911)/(Quesería!$B$46-Quesería!$B$47),0)*IF(G$47&gt;2,1-Quesería!$B$48,1)+IF(G$47=2,Quesería!$B$48*(Quesería!$B$44*$C$914*$C$911)*(1-MAX(0,MIN(2-1-Quesería!$B$47,(Quesería!$B$46-Quesería!$B$47)))/(Quesería!$B$46-Quesería!$B$47)),0)))*G913</f>
        <v>170.859921901637</v>
      </c>
      <c r="H942" s="29" t="n">
        <f aca="false">((IF(AND(H$47&gt;0+Quesería!$B$47,H$47&lt;=0+Quesería!$B$46),(Quesería!$B$44*$B$914*$B$911)/(Quesería!$B$46-Quesería!$B$47),0)*IF(H$47&gt;2,1-Quesería!$B$48,1)+IF(H$47=2,Quesería!$B$48*(Quesería!$B$44*$B$914*$B$911)*(1-MAX(0,MIN(2-0-Quesería!$B$47,(Quesería!$B$46-Quesería!$B$47)))/(Quesería!$B$46-Quesería!$B$47)),0))+(IF(AND(H$47&gt;1+Quesería!$B$47,H$47&lt;=1+Quesería!$B$46),(Quesería!$B$44*$C$914*$C$911)/(Quesería!$B$46-Quesería!$B$47),0)*IF(H$47&gt;2,1-Quesería!$B$48,1)+IF(H$47=2,Quesería!$B$48*(Quesería!$B$44*$C$914*$C$911)*(1-MAX(0,MIN(2-1-Quesería!$B$47,(Quesería!$B$46-Quesería!$B$47)))/(Quesería!$B$46-Quesería!$B$47)),0)))*H913</f>
        <v>164.288386443882</v>
      </c>
      <c r="I942" s="29" t="n">
        <f aca="false">((IF(AND(I$47&gt;0+Quesería!$B$47,I$47&lt;=0+Quesería!$B$46),(Quesería!$B$44*$B$914*$B$911)/(Quesería!$B$46-Quesería!$B$47),0)*IF(I$47&gt;2,1-Quesería!$B$48,1)+IF(I$47=2,Quesería!$B$48*(Quesería!$B$44*$B$914*$B$911)*(1-MAX(0,MIN(2-0-Quesería!$B$47,(Quesería!$B$46-Quesería!$B$47)))/(Quesería!$B$46-Quesería!$B$47)),0))+(IF(AND(I$47&gt;1+Quesería!$B$47,I$47&lt;=1+Quesería!$B$46),(Quesería!$B$44*$C$914*$C$911)/(Quesería!$B$46-Quesería!$B$47),0)*IF(I$47&gt;2,1-Quesería!$B$48,1)+IF(I$47=2,Quesería!$B$48*(Quesería!$B$44*$C$914*$C$911)*(1-MAX(0,MIN(2-1-Quesería!$B$47,(Quesería!$B$46-Quesería!$B$47)))/(Quesería!$B$46-Quesería!$B$47)),0)))*I913</f>
        <v>157.969602349886</v>
      </c>
      <c r="J942" s="29" t="n">
        <f aca="false">((IF(AND(J$47&gt;0+Quesería!$B$47,J$47&lt;=0+Quesería!$B$46),(Quesería!$B$44*$B$914*$B$911)/(Quesería!$B$46-Quesería!$B$47),0)*IF(J$47&gt;2,1-Quesería!$B$48,1)+IF(J$47=2,Quesería!$B$48*(Quesería!$B$44*$B$914*$B$911)*(1-MAX(0,MIN(2-0-Quesería!$B$47,(Quesería!$B$46-Quesería!$B$47)))/(Quesería!$B$46-Quesería!$B$47)),0))+(IF(AND(J$47&gt;1+Quesería!$B$47,J$47&lt;=1+Quesería!$B$46),(Quesería!$B$44*$C$914*$C$911)/(Quesería!$B$46-Quesería!$B$47),0)*IF(J$47&gt;2,1-Quesería!$B$48,1)+IF(J$47=2,Quesería!$B$48*(Quesería!$B$44*$C$914*$C$911)*(1-MAX(0,MIN(2-1-Quesería!$B$47,(Quesería!$B$46-Quesería!$B$47)))/(Quesería!$B$46-Quesería!$B$47)),0)))*J913</f>
        <v>64.7384658926198</v>
      </c>
      <c r="K942" s="29" t="n">
        <f aca="false">((IF(AND(K$47&gt;0+Quesería!$B$47,K$47&lt;=0+Quesería!$B$46),(Quesería!$B$44*$B$914*$B$911)/(Quesería!$B$46-Quesería!$B$47),0)*IF(K$47&gt;2,1-Quesería!$B$48,1)+IF(K$47=2,Quesería!$B$48*(Quesería!$B$44*$B$914*$B$911)*(1-MAX(0,MIN(2-0-Quesería!$B$47,(Quesería!$B$46-Quesería!$B$47)))/(Quesería!$B$46-Quesería!$B$47)),0))+(IF(AND(K$47&gt;1+Quesería!$B$47,K$47&lt;=1+Quesería!$B$46),(Quesería!$B$44*$C$914*$C$911)/(Quesería!$B$46-Quesería!$B$47),0)*IF(K$47&gt;2,1-Quesería!$B$48,1)+IF(K$47=2,Quesería!$B$48*(Quesería!$B$44*$C$914*$C$911)*(1-MAX(0,MIN(2-1-Quesería!$B$47,(Quesería!$B$46-Quesería!$B$47)))/(Quesería!$B$46-Quesería!$B$47)),0)))*K913</f>
        <v>0</v>
      </c>
      <c r="L942" s="29" t="n">
        <f aca="false">((IF(AND(L$47&gt;0+Quesería!$B$47,L$47&lt;=0+Quesería!$B$46),(Quesería!$B$44*$B$914*$B$911)/(Quesería!$B$46-Quesería!$B$47),0)*IF(L$47&gt;2,1-Quesería!$B$48,1)+IF(L$47=2,Quesería!$B$48*(Quesería!$B$44*$B$914*$B$911)*(1-MAX(0,MIN(2-0-Quesería!$B$47,(Quesería!$B$46-Quesería!$B$47)))/(Quesería!$B$46-Quesería!$B$47)),0))+(IF(AND(L$47&gt;1+Quesería!$B$47,L$47&lt;=1+Quesería!$B$46),(Quesería!$B$44*$C$914*$C$911)/(Quesería!$B$46-Quesería!$B$47),0)*IF(L$47&gt;2,1-Quesería!$B$48,1)+IF(L$47=2,Quesería!$B$48*(Quesería!$B$44*$C$914*$C$911)*(1-MAX(0,MIN(2-1-Quesería!$B$47,(Quesería!$B$46-Quesería!$B$47)))/(Quesería!$B$46-Quesería!$B$47)),0)))*L913</f>
        <v>0</v>
      </c>
    </row>
    <row r="943" customFormat="false" ht="15" hidden="true" customHeight="false" outlineLevel="1" collapsed="false">
      <c r="A943" s="6" t="s">
        <v>434</v>
      </c>
      <c r="B943" s="29" t="n">
        <f aca="false">$V$13*Quesería!$B$51*(1+0.19)*B939*B913+(1-$V$13)*IF(B$47=0,Quesería!$B$50,0)</f>
        <v>4</v>
      </c>
      <c r="C943" s="29" t="n">
        <f aca="false">$V$13*Quesería!$B$51*(1+0.19)*C939*C913+(1-$V$13)*IF(C$47=0,Quesería!$B$50,0)</f>
        <v>0</v>
      </c>
      <c r="D943" s="29" t="n">
        <f aca="false">$V$13*Quesería!$B$51*(1+0.19)*D939*D913+(1-$V$13)*IF(D$47=0,Quesería!$B$50,0)</f>
        <v>0</v>
      </c>
      <c r="E943" s="29" t="n">
        <f aca="false">$V$13*Quesería!$B$51*(1+0.19)*E939*E913+(1-$V$13)*IF(E$47=0,Quesería!$B$50,0)</f>
        <v>0</v>
      </c>
      <c r="F943" s="29" t="n">
        <f aca="false">$V$13*Quesería!$B$51*(1+0.19)*F939*F913+(1-$V$13)*IF(F$47=0,Quesería!$B$50,0)</f>
        <v>0</v>
      </c>
      <c r="G943" s="29" t="n">
        <f aca="false">$V$13*Quesería!$B$51*(1+0.19)*G939*G913+(1-$V$13)*IF(G$47=0,Quesería!$B$50,0)</f>
        <v>0</v>
      </c>
      <c r="H943" s="29" t="n">
        <f aca="false">$V$13*Quesería!$B$51*(1+0.19)*H939*H913+(1-$V$13)*IF(H$47=0,Quesería!$B$50,0)</f>
        <v>0</v>
      </c>
      <c r="I943" s="29" t="n">
        <f aca="false">$V$13*Quesería!$B$51*(1+0.19)*I939*I913+(1-$V$13)*IF(I$47=0,Quesería!$B$50,0)</f>
        <v>0</v>
      </c>
      <c r="J943" s="29" t="n">
        <f aca="false">$V$13*Quesería!$B$51*(1+0.19)*J939*J913+(1-$V$13)*IF(J$47=0,Quesería!$B$50,0)</f>
        <v>0</v>
      </c>
      <c r="K943" s="29" t="n">
        <f aca="false">$V$13*Quesería!$B$51*(1+0.19)*K939*K913+(1-$V$13)*IF(K$47=0,Quesería!$B$50,0)</f>
        <v>0</v>
      </c>
      <c r="L943" s="29" t="n">
        <f aca="false">$V$13*Quesería!$B$51*(1+0.19)*L939*L913+(1-$V$13)*IF(L$47=0,Quesería!$B$50,0)</f>
        <v>0</v>
      </c>
    </row>
    <row r="944" customFormat="false" ht="15" hidden="true" customHeight="false" outlineLevel="1" collapsed="false">
      <c r="A944" s="6" t="s">
        <v>435</v>
      </c>
      <c r="B944" s="29" t="n">
        <f aca="false">Quesería!$B$52*(B941+B942+B943)</f>
        <v>0.016</v>
      </c>
      <c r="C944" s="29" t="n">
        <f aca="false">Quesería!$B$52*(C941+C942+C943)</f>
        <v>0.389978706029317</v>
      </c>
      <c r="D944" s="29" t="n">
        <f aca="false">Quesería!$B$52*(D941+D942+D943)</f>
        <v>1.09150254111394</v>
      </c>
      <c r="E944" s="29" t="n">
        <f aca="false">Quesería!$B$52*(E941+E942+E943)</f>
        <v>1.30477329695429</v>
      </c>
      <c r="F944" s="29" t="n">
        <f aca="false">Quesería!$B$52*(F941+F942+F943)</f>
        <v>1.15437011281927</v>
      </c>
      <c r="G944" s="29" t="n">
        <f aca="false">Quesería!$B$52*(G941+G942+G943)</f>
        <v>1.0136062663737</v>
      </c>
      <c r="H944" s="29" t="n">
        <f aca="false">Quesería!$B$52*(H941+H942+H943)</f>
        <v>0.88196276002036</v>
      </c>
      <c r="I944" s="29" t="n">
        <f aca="false">Quesería!$B$52*(I941+I942+I943)</f>
        <v>0.758946259678856</v>
      </c>
      <c r="J944" s="29" t="n">
        <f aca="false">Quesería!$B$52*(J941+J942+J943)</f>
        <v>0.295466358333917</v>
      </c>
      <c r="K944" s="29" t="n">
        <f aca="false">Quesería!$B$52*(K941+K942+K943)</f>
        <v>0</v>
      </c>
      <c r="L944" s="29" t="n">
        <f aca="false">Quesería!$B$52*(L941+L942+L943)</f>
        <v>0</v>
      </c>
    </row>
    <row r="945" customFormat="false" ht="15" hidden="true" customHeight="false" outlineLevel="1" collapsed="false">
      <c r="A945" s="6" t="s">
        <v>436</v>
      </c>
      <c r="B945" s="29" t="n">
        <f aca="false">$V$17*(B941+B943+0.5*B944)</f>
        <v>1.4028</v>
      </c>
      <c r="C945" s="29" t="n">
        <f aca="false">$V$17*(C941+C943+0.5*C944)</f>
        <v>34.1913830511204</v>
      </c>
      <c r="D945" s="29" t="n">
        <f aca="false">$V$17*(D941+D943+0.5*D944)</f>
        <v>57.099708218443</v>
      </c>
      <c r="E945" s="29" t="n">
        <f aca="false">$V$17*(E941+E943+0.5*E944)</f>
        <v>49.7152667753836</v>
      </c>
      <c r="F945" s="29" t="n">
        <f aca="false">$V$17*(F941+F943+0.5*F944)</f>
        <v>39.0163880692336</v>
      </c>
      <c r="G945" s="29" t="n">
        <f aca="false">$V$17*(G941+G943+0.5*G944)</f>
        <v>29.066956738741</v>
      </c>
      <c r="H945" s="29" t="n">
        <f aca="false">$V$17*(H941+H943+0.5*H944)</f>
        <v>19.8251497294264</v>
      </c>
      <c r="I945" s="29" t="n">
        <f aca="false">$V$17*(I941+I943+0.5*I944)</f>
        <v>11.2512524948835</v>
      </c>
      <c r="J945" s="29" t="n">
        <f aca="false">$V$17*(J941+J943+0.5*J944)</f>
        <v>3.24654990450922</v>
      </c>
      <c r="K945" s="29" t="n">
        <f aca="false">$V$17*(K941+K943+0.5*K944)</f>
        <v>0</v>
      </c>
      <c r="L945" s="29" t="n">
        <f aca="false">$V$17*(L941+L943+0.5*L944)</f>
        <v>0</v>
      </c>
    </row>
    <row r="946" customFormat="false" ht="15" hidden="true" customHeight="false" outlineLevel="1" collapsed="false">
      <c r="A946" s="5" t="s">
        <v>437</v>
      </c>
      <c r="B946" s="59" t="n">
        <f aca="false">B931+B940-B941-B942-B943-B944+B945</f>
        <v>-458.465042589243</v>
      </c>
      <c r="C946" s="59" t="n">
        <f aca="false">C931+C940-C941-C942-C943-C944+C945</f>
        <v>-78.5123263935723</v>
      </c>
      <c r="D946" s="59" t="n">
        <f aca="false">D931+D940-D941-D942-D943-D944+D945</f>
        <v>238.787291690474</v>
      </c>
      <c r="E946" s="59" t="n">
        <f aca="false">E931+E940-E941-E942-E943-E944+E945</f>
        <v>-29.8109102765491</v>
      </c>
      <c r="F946" s="59" t="n">
        <f aca="false">F931+F940-F941-F942-F943-F944+F945</f>
        <v>25.7566147719017</v>
      </c>
      <c r="G946" s="59" t="n">
        <f aca="false">G931+G940-G941-G942-G943-G944+G945</f>
        <v>9.83395394410214</v>
      </c>
      <c r="H946" s="59" t="n">
        <f aca="false">H931+H940-H941-H942-H943-H944+H945</f>
        <v>7.72253081478419</v>
      </c>
      <c r="I946" s="59" t="n">
        <f aca="false">I931+I940-I941-I942-I943-I944+I945</f>
        <v>102.703118639249</v>
      </c>
      <c r="J946" s="59" t="n">
        <f aca="false">J931+J940-J941-J942-J943-J944+J945</f>
        <v>199.109059704654</v>
      </c>
      <c r="K946" s="59" t="n">
        <f aca="false">K931+K940-K941-K942-K943-K944+K945</f>
        <v>268.346231946353</v>
      </c>
      <c r="L946" s="59" t="n">
        <f aca="false">L931+L940-L941-L942-L943-L944+L945</f>
        <v>473.251761110834</v>
      </c>
    </row>
    <row r="947" customFormat="false" ht="15" hidden="true" customHeight="false" outlineLevel="1" collapsed="false">
      <c r="A947" s="9" t="s">
        <v>438</v>
      </c>
      <c r="B947" s="58" t="n">
        <f aca="false">B946*B911</f>
        <v>-485.972945144598</v>
      </c>
      <c r="C947" s="58" t="n">
        <f aca="false">C946*C911</f>
        <v>-87.3842192760459</v>
      </c>
      <c r="D947" s="58" t="n">
        <f aca="false">D946*D911</f>
        <v>277.729917155815</v>
      </c>
      <c r="E947" s="58" t="n">
        <f aca="false">E946*E911</f>
        <v>-36.0595274821601</v>
      </c>
      <c r="F947" s="58" t="n">
        <f aca="false">F946*F911</f>
        <v>32.4016342870026</v>
      </c>
      <c r="G947" s="58" t="n">
        <f aca="false">G946*G911</f>
        <v>12.8658843329526</v>
      </c>
      <c r="H947" s="58" t="n">
        <f aca="false">H946*H911</f>
        <v>10.5076225022871</v>
      </c>
      <c r="I947" s="58" t="n">
        <f aca="false">I946*I911</f>
        <v>145.33217819461</v>
      </c>
      <c r="J947" s="58" t="n">
        <f aca="false">J946*J911</f>
        <v>293.023540839816</v>
      </c>
      <c r="K947" s="58" t="n">
        <f aca="false">K946*K911</f>
        <v>410.71477962622</v>
      </c>
      <c r="L947" s="58" t="n">
        <f aca="false">L946*L911</f>
        <v>753.304233180599</v>
      </c>
    </row>
    <row r="948" customFormat="false" ht="15" hidden="true" customHeight="false" outlineLevel="1" collapsed="false">
      <c r="A948" s="9" t="s">
        <v>439</v>
      </c>
      <c r="B948" s="57" t="n">
        <f aca="false">(B911/$B$911)/(1+Quesería!$B$11+$V$28)^B$47</f>
        <v>1</v>
      </c>
      <c r="C948" s="57" t="n">
        <f aca="false">(C911/$B$911)/(1+Quesería!$B$11+$V$28)^C$47</f>
        <v>0.84</v>
      </c>
      <c r="D948" s="57" t="n">
        <f aca="false">(D911/$B$911)/(1+Quesería!$B$11+$V$28)^D$47</f>
        <v>0.70224</v>
      </c>
      <c r="E948" s="57" t="n">
        <f aca="false">(E911/$B$911)/(1+Quesería!$B$11+$V$28)^E$47</f>
        <v>0.58426368</v>
      </c>
      <c r="F948" s="57" t="n">
        <f aca="false">(F911/$B$911)/(1+Quesería!$B$11+$V$28)^F$47</f>
        <v>0.48610738176</v>
      </c>
      <c r="G948" s="57" t="n">
        <f aca="false">(G911/$B$911)/(1+Quesería!$B$11+$V$28)^G$47</f>
        <v>0.40444134162432</v>
      </c>
      <c r="H948" s="57" t="n">
        <f aca="false">(H911/$B$911)/(1+Quesería!$B$11+$V$28)^H$47</f>
        <v>0.336495196231434</v>
      </c>
      <c r="I948" s="57" t="n">
        <f aca="false">(I911/$B$911)/(1+Quesería!$B$11+$V$28)^I$47</f>
        <v>0.279964003264553</v>
      </c>
      <c r="J948" s="57" t="n">
        <f aca="false">(J911/$B$911)/(1+Quesería!$B$11+$V$28)^J$47</f>
        <v>0.232930050716108</v>
      </c>
      <c r="K948" s="57" t="n">
        <f aca="false">(K911/$B$911)/(1+Quesería!$B$11+$V$28)^K$47</f>
        <v>0.193797802195802</v>
      </c>
      <c r="L948" s="57" t="n">
        <f aca="false">(L911/$B$911)/(1+Quesería!$B$11+$V$28)^L$47</f>
        <v>0.161239771426907</v>
      </c>
    </row>
    <row r="949" customFormat="false" ht="15" hidden="true" customHeight="false" outlineLevel="1" collapsed="false">
      <c r="A949" s="9" t="s">
        <v>440</v>
      </c>
      <c r="B949" s="58" t="n">
        <f aca="false">B931+B914+B916+B945</f>
        <v>115.425863844274</v>
      </c>
      <c r="C949" s="58" t="n">
        <f aca="false">C931+C914+C916+C945</f>
        <v>446.060284024861</v>
      </c>
      <c r="D949" s="58" t="n">
        <f aca="false">D931+D914+D916+D945</f>
        <v>512.754429510074</v>
      </c>
      <c r="E949" s="58" t="n">
        <f aca="false">E931+E914+E916+E945</f>
        <v>297.687187258978</v>
      </c>
      <c r="F949" s="58" t="n">
        <f aca="false">F931+F914+F916+F945</f>
        <v>315.503513089538</v>
      </c>
      <c r="G949" s="58" t="n">
        <f aca="false">G931+G914+G916+G945</f>
        <v>270.511196341203</v>
      </c>
      <c r="H949" s="58" t="n">
        <f aca="false">H931+H914+H916+H945</f>
        <v>239.671911081992</v>
      </c>
      <c r="I949" s="58" t="n">
        <f aca="false">I931+I914+I916+I945</f>
        <v>293.198629818642</v>
      </c>
      <c r="J949" s="58" t="n">
        <f aca="false">J931+J914+J916+J945</f>
        <v>273.271115646467</v>
      </c>
      <c r="K949" s="58" t="n">
        <f aca="false">K931+K914+K916+K945</f>
        <v>268.346231946353</v>
      </c>
      <c r="L949" s="58" t="n">
        <f aca="false">L931+L914+L916+L945</f>
        <v>473.251761110834</v>
      </c>
    </row>
    <row r="950" customFormat="false" ht="15" hidden="true" customHeight="false" outlineLevel="1" collapsed="false">
      <c r="A950" s="5" t="s">
        <v>149</v>
      </c>
      <c r="B950" s="12" t="str">
        <f aca="false">IF(AND(B$47&gt;=1,(B941+B942+B943)&gt;0.001),B949/(B941+B942+B943),"")</f>
        <v/>
      </c>
      <c r="C950" s="12" t="n">
        <f aca="false">IF(AND(C$47&gt;=1,(C941+C942+C943)&gt;0.001),C949/(C941+C942+C943),"")</f>
        <v>4.57522707910445</v>
      </c>
      <c r="D950" s="12" t="n">
        <f aca="false">IF(AND(D$47&gt;=1,(D941+D942+D943)&gt;0.001),D949/(D941+D942+D943),"")</f>
        <v>1.87907736426075</v>
      </c>
      <c r="E950" s="12" t="n">
        <f aca="false">IF(AND(E$47&gt;=1,(E941+E942+E943)&gt;0.001),E949/(E941+E942+E943),"")</f>
        <v>0.912609686154258</v>
      </c>
      <c r="F950" s="12" t="n">
        <f aca="false">IF(AND(F$47&gt;=1,(F941+F942+F943)&gt;0.001),F949/(F941+F942+F943),"")</f>
        <v>1.09324907007163</v>
      </c>
      <c r="G950" s="12" t="n">
        <f aca="false">IF(AND(G$47&gt;=1,(G941+G942+G943)&gt;0.001),G949/(G941+G942+G943),"")</f>
        <v>1.06751982624966</v>
      </c>
      <c r="H950" s="12" t="n">
        <f aca="false">IF(AND(H$47&gt;=1,(H941+H942+H943)&gt;0.001),H949/(H941+H942+H943),"")</f>
        <v>1.08699333779789</v>
      </c>
      <c r="I950" s="12" t="n">
        <f aca="false">IF(AND(I$47&gt;=1,(I941+I942+I943)&gt;0.001),I949/(I941+I942+I943),"")</f>
        <v>1.54529323297651</v>
      </c>
      <c r="J950" s="12" t="n">
        <f aca="false">IF(AND(J$47&gt;=1,(J941+J942+J943)&gt;0.001),J949/(J941+J942+J943),"")</f>
        <v>3.69952257424358</v>
      </c>
      <c r="K950" s="12" t="str">
        <f aca="false">IF(AND(K$47&gt;=1,(K941+K942+K943)&gt;0.001),K949/(K941+K942+K943),"")</f>
        <v/>
      </c>
      <c r="L950" s="12" t="str">
        <f aca="false">IF(AND(L$47&gt;=1,(L941+L942+L943)&gt;0.001),L949/(L941+L942+L943),"")</f>
        <v/>
      </c>
    </row>
    <row r="952" customFormat="false" ht="15" hidden="false" customHeight="false" outlineLevel="0" collapsed="false">
      <c r="A952" s="43" t="s">
        <v>1257</v>
      </c>
      <c r="B952" s="44"/>
      <c r="C952" s="44"/>
      <c r="D952" s="44"/>
      <c r="E952" s="44"/>
      <c r="F952" s="44"/>
      <c r="G952" s="44"/>
      <c r="H952" s="44"/>
      <c r="I952" s="44"/>
      <c r="J952" s="44"/>
      <c r="K952" s="44"/>
      <c r="L952" s="44"/>
    </row>
    <row r="953" customFormat="false" ht="15" hidden="true" customHeight="false" outlineLevel="1" collapsed="false">
      <c r="A953" s="9" t="s">
        <v>406</v>
      </c>
      <c r="B953" s="56" t="n">
        <f aca="false">CHOOSE($W$15,Entorno!B$7,Entorno!B$8,Entorno!B$9)</f>
        <v>0.06</v>
      </c>
      <c r="C953" s="56" t="n">
        <f aca="false">CHOOSE($W$15,Entorno!C$7,Entorno!C$8,Entorno!C$9)</f>
        <v>0.05</v>
      </c>
      <c r="D953" s="56" t="n">
        <f aca="false">CHOOSE($W$15,Entorno!D$7,Entorno!D$8,Entorno!D$9)</f>
        <v>0.045</v>
      </c>
      <c r="E953" s="56" t="n">
        <f aca="false">CHOOSE($W$15,Entorno!E$7,Entorno!E$8,Entorno!E$9)</f>
        <v>0.04</v>
      </c>
      <c r="F953" s="56" t="n">
        <f aca="false">CHOOSE($W$15,Entorno!F$7,Entorno!F$8,Entorno!F$9)</f>
        <v>0.04</v>
      </c>
      <c r="G953" s="56" t="n">
        <f aca="false">CHOOSE($W$15,Entorno!G$7,Entorno!G$8,Entorno!G$9)</f>
        <v>0.04</v>
      </c>
      <c r="H953" s="56" t="n">
        <f aca="false">CHOOSE($W$15,Entorno!H$7,Entorno!H$8,Entorno!H$9)</f>
        <v>0.04</v>
      </c>
      <c r="I953" s="56" t="n">
        <f aca="false">CHOOSE($W$15,Entorno!I$7,Entorno!I$8,Entorno!I$9)</f>
        <v>0.04</v>
      </c>
      <c r="J953" s="56" t="n">
        <f aca="false">CHOOSE($W$15,Entorno!J$7,Entorno!J$8,Entorno!J$9)</f>
        <v>0.04</v>
      </c>
      <c r="K953" s="56" t="n">
        <f aca="false">CHOOSE($W$15,Entorno!K$7,Entorno!K$8,Entorno!K$9)</f>
        <v>0.04</v>
      </c>
      <c r="L953" s="56" t="n">
        <f aca="false">CHOOSE($W$15,Entorno!L$7,Entorno!L$8,Entorno!L$9)</f>
        <v>0.04</v>
      </c>
    </row>
    <row r="954" customFormat="false" ht="15" hidden="true" customHeight="false" outlineLevel="1" collapsed="false">
      <c r="A954" s="9" t="s">
        <v>407</v>
      </c>
      <c r="B954" s="57" t="n">
        <f aca="false">1+B953</f>
        <v>1.06</v>
      </c>
      <c r="C954" s="57" t="n">
        <f aca="false">B954*(1+C953)</f>
        <v>1.113</v>
      </c>
      <c r="D954" s="57" t="n">
        <f aca="false">C954*(1+D953)</f>
        <v>1.163085</v>
      </c>
      <c r="E954" s="57" t="n">
        <f aca="false">D954*(1+E953)</f>
        <v>1.2096084</v>
      </c>
      <c r="F954" s="57" t="n">
        <f aca="false">E954*(1+F953)</f>
        <v>1.257992736</v>
      </c>
      <c r="G954" s="57" t="n">
        <f aca="false">F954*(1+G953)</f>
        <v>1.30831244544</v>
      </c>
      <c r="H954" s="57" t="n">
        <f aca="false">G954*(1+H953)</f>
        <v>1.3606449432576</v>
      </c>
      <c r="I954" s="57" t="n">
        <f aca="false">H954*(1+I953)</f>
        <v>1.4150707409879</v>
      </c>
      <c r="J954" s="57" t="n">
        <f aca="false">I954*(1+J953)</f>
        <v>1.47167357062742</v>
      </c>
      <c r="K954" s="57" t="n">
        <f aca="false">J954*(1+K953)</f>
        <v>1.53054051345252</v>
      </c>
      <c r="L954" s="57" t="n">
        <f aca="false">K954*(1+L953)</f>
        <v>1.59176213399062</v>
      </c>
    </row>
    <row r="955" customFormat="false" ht="15" hidden="true" customHeight="false" outlineLevel="1" collapsed="false">
      <c r="A955" s="9" t="s">
        <v>408</v>
      </c>
      <c r="B955" s="57" t="n">
        <f aca="false">(1+$W$16)/(1+B953)</f>
        <v>1.02358490566038</v>
      </c>
      <c r="C955" s="57" t="n">
        <f aca="false">B955*(1+Entorno!$B$13)</f>
        <v>1.02870283018868</v>
      </c>
      <c r="D955" s="57" t="n">
        <f aca="false">C955*(1+Entorno!$B$13)</f>
        <v>1.03384634433962</v>
      </c>
      <c r="E955" s="57" t="n">
        <f aca="false">D955*(1+Entorno!$B$13)</f>
        <v>1.03901557606132</v>
      </c>
      <c r="F955" s="57" t="n">
        <f aca="false">E955*(1+Entorno!$B$13)</f>
        <v>1.04421065394163</v>
      </c>
      <c r="G955" s="57" t="n">
        <f aca="false">F955*(1+Entorno!$B$13)</f>
        <v>1.04943170721133</v>
      </c>
      <c r="H955" s="57" t="n">
        <f aca="false">G955*(1+Entorno!$B$13)</f>
        <v>1.05467886574739</v>
      </c>
      <c r="I955" s="57" t="n">
        <f aca="false">H955*(1+Entorno!$B$13)</f>
        <v>1.05995226007613</v>
      </c>
      <c r="J955" s="57" t="n">
        <f aca="false">I955*(1+Entorno!$B$13)</f>
        <v>1.06525202137651</v>
      </c>
      <c r="K955" s="57" t="n">
        <f aca="false">J955*(1+Entorno!$B$13)</f>
        <v>1.07057828148339</v>
      </c>
      <c r="L955" s="57" t="n">
        <f aca="false">K955*(1+Entorno!$B$13)</f>
        <v>1.07593117289081</v>
      </c>
    </row>
    <row r="956" customFormat="false" ht="15" hidden="true" customHeight="false" outlineLevel="1" collapsed="false">
      <c r="A956" s="9" t="s">
        <v>409</v>
      </c>
      <c r="B956" s="57" t="n">
        <f aca="false">1/B954</f>
        <v>0.943396226415094</v>
      </c>
      <c r="C956" s="57" t="n">
        <f aca="false">1/C954</f>
        <v>0.898472596585804</v>
      </c>
      <c r="D956" s="57" t="n">
        <f aca="false">1/D954</f>
        <v>0.859782389077324</v>
      </c>
      <c r="E956" s="57" t="n">
        <f aca="false">1/E954</f>
        <v>0.826713835651273</v>
      </c>
      <c r="F956" s="57" t="n">
        <f aca="false">1/F954</f>
        <v>0.794917149664686</v>
      </c>
      <c r="G956" s="57" t="n">
        <f aca="false">1/G954</f>
        <v>0.764343413139121</v>
      </c>
      <c r="H956" s="57" t="n">
        <f aca="false">1/H954</f>
        <v>0.734945589556847</v>
      </c>
      <c r="I956" s="57" t="n">
        <f aca="false">1/I954</f>
        <v>0.706678451496968</v>
      </c>
      <c r="J956" s="57" t="n">
        <f aca="false">1/J954</f>
        <v>0.679498511054777</v>
      </c>
      <c r="K956" s="57" t="n">
        <f aca="false">1/K954</f>
        <v>0.653363952937286</v>
      </c>
      <c r="L956" s="57" t="n">
        <f aca="false">1/L954</f>
        <v>0.628234570132006</v>
      </c>
    </row>
    <row r="957" customFormat="false" ht="15" hidden="true" customHeight="false" outlineLevel="1" collapsed="false">
      <c r="A957" s="6" t="s">
        <v>323</v>
      </c>
      <c r="B957" s="29" t="n">
        <f aca="false">IF(B$47=0,Quesería!$F$92,IF(B$47=1,(Quesería!$F$93-(-$W$26)*Quesería!$D$86*(1+Quesería!$I$86))*$W$21,0))*$W$11</f>
        <v>930.800239431677</v>
      </c>
      <c r="C957" s="29" t="n">
        <f aca="false">IF(C$47=0,Quesería!$F$92,IF(C$47=1,(Quesería!$F$93-(-$W$26)*Quesería!$D$86*(1+Quesería!$I$86))*$W$21,0))*$W$11</f>
        <v>658.469066674498</v>
      </c>
      <c r="D957" s="29" t="n">
        <f aca="false">IF(D$47=0,Quesería!$F$92,IF(D$47=1,(Quesería!$F$93-(-$W$26)*Quesería!$D$86*(1+Quesería!$I$86))*$W$21,0))*$W$11</f>
        <v>0</v>
      </c>
      <c r="E957" s="29" t="n">
        <f aca="false">IF(E$47=0,Quesería!$F$92,IF(E$47=1,(Quesería!$F$93-(-$W$26)*Quesería!$D$86*(1+Quesería!$I$86))*$W$21,0))*$W$11</f>
        <v>0</v>
      </c>
      <c r="F957" s="29" t="n">
        <f aca="false">IF(F$47=0,Quesería!$F$92,IF(F$47=1,(Quesería!$F$93-(-$W$26)*Quesería!$D$86*(1+Quesería!$I$86))*$W$21,0))*$W$11</f>
        <v>0</v>
      </c>
      <c r="G957" s="29" t="n">
        <f aca="false">IF(G$47=0,Quesería!$F$92,IF(G$47=1,(Quesería!$F$93-(-$W$26)*Quesería!$D$86*(1+Quesería!$I$86))*$W$21,0))*$W$11</f>
        <v>0</v>
      </c>
      <c r="H957" s="29" t="n">
        <f aca="false">IF(H$47=0,Quesería!$F$92,IF(H$47=1,(Quesería!$F$93-(-$W$26)*Quesería!$D$86*(1+Quesería!$I$86))*$W$21,0))*$W$11</f>
        <v>0</v>
      </c>
      <c r="I957" s="29" t="n">
        <f aca="false">IF(I$47=0,Quesería!$F$92,IF(I$47=1,(Quesería!$F$93-(-$W$26)*Quesería!$D$86*(1+Quesería!$I$86))*$W$21,0))*$W$11</f>
        <v>0</v>
      </c>
      <c r="J957" s="29" t="n">
        <f aca="false">IF(J$47=0,Quesería!$F$92,IF(J$47=1,(Quesería!$F$93-(-$W$26)*Quesería!$D$86*(1+Quesería!$I$86))*$W$21,0))*$W$11</f>
        <v>0</v>
      </c>
      <c r="K957" s="29" t="n">
        <f aca="false">IF(K$47=0,Quesería!$F$92,IF(K$47=1,(Quesería!$F$93-(-$W$26)*Quesería!$D$86*(1+Quesería!$I$86))*$W$21,0))*$W$11</f>
        <v>0</v>
      </c>
      <c r="L957" s="29" t="n">
        <f aca="false">IF(L$47=0,Quesería!$F$92,IF(L$47=1,(Quesería!$F$93-(-$W$26)*Quesería!$D$86*(1+Quesería!$I$86))*$W$21,0))*$W$11</f>
        <v>0</v>
      </c>
    </row>
    <row r="958" customFormat="false" ht="15" hidden="true" customHeight="false" outlineLevel="1" collapsed="false">
      <c r="A958" s="6" t="s">
        <v>410</v>
      </c>
      <c r="B958" s="29" t="n">
        <f aca="false">IF(B$47=5,Quesería!$F$99,IF(B$47=6,Quesería!$F$100,0))*$W$11</f>
        <v>0</v>
      </c>
      <c r="C958" s="29" t="n">
        <f aca="false">IF(C$47=5,Quesería!$F$99,IF(C$47=6,Quesería!$F$100,0))*$W$11</f>
        <v>0</v>
      </c>
      <c r="D958" s="29" t="n">
        <f aca="false">IF(D$47=5,Quesería!$F$99,IF(D$47=6,Quesería!$F$100,0))*$W$11</f>
        <v>0</v>
      </c>
      <c r="E958" s="29" t="n">
        <f aca="false">IF(E$47=5,Quesería!$F$99,IF(E$47=6,Quesería!$F$100,0))*$W$11</f>
        <v>0</v>
      </c>
      <c r="F958" s="29" t="n">
        <f aca="false">IF(F$47=5,Quesería!$F$99,IF(F$47=6,Quesería!$F$100,0))*$W$11</f>
        <v>0</v>
      </c>
      <c r="G958" s="29" t="n">
        <f aca="false">IF(G$47=5,Quesería!$F$99,IF(G$47=6,Quesería!$F$100,0))*$W$11</f>
        <v>27.4652172688735</v>
      </c>
      <c r="H958" s="29" t="n">
        <f aca="false">IF(H$47=5,Quesería!$F$99,IF(H$47=6,Quesería!$F$100,0))*$W$11</f>
        <v>46.3891557109552</v>
      </c>
      <c r="I958" s="29" t="n">
        <f aca="false">IF(I$47=5,Quesería!$F$99,IF(I$47=6,Quesería!$F$100,0))*$W$11</f>
        <v>0</v>
      </c>
      <c r="J958" s="29" t="n">
        <f aca="false">IF(J$47=5,Quesería!$F$99,IF(J$47=6,Quesería!$F$100,0))*$W$11</f>
        <v>0</v>
      </c>
      <c r="K958" s="29" t="n">
        <f aca="false">IF(K$47=5,Quesería!$F$99,IF(K$47=6,Quesería!$F$100,0))*$W$11</f>
        <v>0</v>
      </c>
      <c r="L958" s="29" t="n">
        <f aca="false">IF(L$47=5,Quesería!$F$99,IF(L$47=6,Quesería!$F$100,0))*$W$11</f>
        <v>0</v>
      </c>
    </row>
    <row r="959" customFormat="false" ht="15" hidden="true" customHeight="false" outlineLevel="1" collapsed="false">
      <c r="A959" s="6" t="s">
        <v>411</v>
      </c>
      <c r="B959" s="29" t="n">
        <f aca="false">Quesería!$B$55*(IF(B$47=0,SUMPRODUCT((Quesería!$C$70:$C$89=0)*(Quesería!$H$70:$H$89&gt;0)*(Quesería!$J$70:$J$89&gt;0)*Quesería!$F$70:$F$89*(1+Quesería!$I$70:$I$89)),IF(B$47=1,(SUMPRODUCT((Quesería!$C$70:$C$89=1)*(Quesería!$H$70:$H$89&gt;0)*(Quesería!$J$70:$J$89&gt;0)*Quesería!$F$70:$F$89*(1+Quesería!$I$70:$I$89))-(-$W$26)*Quesería!$D$86*(1+Quesería!$I$86))*$W$21,0))*$W$11+B958)</f>
        <v>149.115671560178</v>
      </c>
      <c r="C959" s="29" t="n">
        <f aca="false">Quesería!$B$55*(IF(C$47=0,SUMPRODUCT((Quesería!$C$70:$C$89=0)*(Quesería!$H$70:$H$89&gt;0)*(Quesería!$J$70:$J$89&gt;0)*Quesería!$F$70:$F$89*(1+Quesería!$I$70:$I$89)),IF(C$47=1,(SUMPRODUCT((Quesería!$C$70:$C$89=1)*(Quesería!$H$70:$H$89&gt;0)*(Quesería!$J$70:$J$89&gt;0)*Quesería!$F$70:$F$89*(1+Quesería!$I$70:$I$89))-(-$W$26)*Quesería!$D$86*(1+Quesería!$I$86))*$W$21,0))*$W$11+C958)</f>
        <v>125.109122668155</v>
      </c>
      <c r="D959" s="29" t="n">
        <f aca="false">Quesería!$B$55*(IF(D$47=0,SUMPRODUCT((Quesería!$C$70:$C$89=0)*(Quesería!$H$70:$H$89&gt;0)*(Quesería!$J$70:$J$89&gt;0)*Quesería!$F$70:$F$89*(1+Quesería!$I$70:$I$89)),IF(D$47=1,(SUMPRODUCT((Quesería!$C$70:$C$89=1)*(Quesería!$H$70:$H$89&gt;0)*(Quesería!$J$70:$J$89&gt;0)*Quesería!$F$70:$F$89*(1+Quesería!$I$70:$I$89))-(-$W$26)*Quesería!$D$86*(1+Quesería!$I$86))*$W$21,0))*$W$11+D958)</f>
        <v>0</v>
      </c>
      <c r="E959" s="29" t="n">
        <f aca="false">Quesería!$B$55*(IF(E$47=0,SUMPRODUCT((Quesería!$C$70:$C$89=0)*(Quesería!$H$70:$H$89&gt;0)*(Quesería!$J$70:$J$89&gt;0)*Quesería!$F$70:$F$89*(1+Quesería!$I$70:$I$89)),IF(E$47=1,(SUMPRODUCT((Quesería!$C$70:$C$89=1)*(Quesería!$H$70:$H$89&gt;0)*(Quesería!$J$70:$J$89&gt;0)*Quesería!$F$70:$F$89*(1+Quesería!$I$70:$I$89))-(-$W$26)*Quesería!$D$86*(1+Quesería!$I$86))*$W$21,0))*$W$11+E958)</f>
        <v>0</v>
      </c>
      <c r="F959" s="29" t="n">
        <f aca="false">Quesería!$B$55*(IF(F$47=0,SUMPRODUCT((Quesería!$C$70:$C$89=0)*(Quesería!$H$70:$H$89&gt;0)*(Quesería!$J$70:$J$89&gt;0)*Quesería!$F$70:$F$89*(1+Quesería!$I$70:$I$89)),IF(F$47=1,(SUMPRODUCT((Quesería!$C$70:$C$89=1)*(Quesería!$H$70:$H$89&gt;0)*(Quesería!$J$70:$J$89&gt;0)*Quesería!$F$70:$F$89*(1+Quesería!$I$70:$I$89))-(-$W$26)*Quesería!$D$86*(1+Quesería!$I$86))*$W$21,0))*$W$11+F958)</f>
        <v>0</v>
      </c>
      <c r="G959" s="29" t="n">
        <f aca="false">Quesería!$B$55*(IF(G$47=0,SUMPRODUCT((Quesería!$C$70:$C$89=0)*(Quesería!$H$70:$H$89&gt;0)*(Quesería!$J$70:$J$89&gt;0)*Quesería!$F$70:$F$89*(1+Quesería!$I$70:$I$89)),IF(G$47=1,(SUMPRODUCT((Quesería!$C$70:$C$89=1)*(Quesería!$H$70:$H$89&gt;0)*(Quesería!$J$70:$J$89&gt;0)*Quesería!$F$70:$F$89*(1+Quesería!$I$70:$I$89))-(-$W$26)*Quesería!$D$86*(1+Quesería!$I$86))*$W$21,0))*$W$11+G958)</f>
        <v>5.21839128108597</v>
      </c>
      <c r="H959" s="29" t="n">
        <f aca="false">Quesería!$B$55*(IF(H$47=0,SUMPRODUCT((Quesería!$C$70:$C$89=0)*(Quesería!$H$70:$H$89&gt;0)*(Quesería!$J$70:$J$89&gt;0)*Quesería!$F$70:$F$89*(1+Quesería!$I$70:$I$89)),IF(H$47=1,(SUMPRODUCT((Quesería!$C$70:$C$89=1)*(Quesería!$H$70:$H$89&gt;0)*(Quesería!$J$70:$J$89&gt;0)*Quesería!$F$70:$F$89*(1+Quesería!$I$70:$I$89))-(-$W$26)*Quesería!$D$86*(1+Quesería!$I$86))*$W$21,0))*$W$11+H958)</f>
        <v>8.8139395850815</v>
      </c>
      <c r="I959" s="29" t="n">
        <f aca="false">Quesería!$B$55*(IF(I$47=0,SUMPRODUCT((Quesería!$C$70:$C$89=0)*(Quesería!$H$70:$H$89&gt;0)*(Quesería!$J$70:$J$89&gt;0)*Quesería!$F$70:$F$89*(1+Quesería!$I$70:$I$89)),IF(I$47=1,(SUMPRODUCT((Quesería!$C$70:$C$89=1)*(Quesería!$H$70:$H$89&gt;0)*(Quesería!$J$70:$J$89&gt;0)*Quesería!$F$70:$F$89*(1+Quesería!$I$70:$I$89))-(-$W$26)*Quesería!$D$86*(1+Quesería!$I$86))*$W$21,0))*$W$11+I958)</f>
        <v>0</v>
      </c>
      <c r="J959" s="29" t="n">
        <f aca="false">Quesería!$B$55*(IF(J$47=0,SUMPRODUCT((Quesería!$C$70:$C$89=0)*(Quesería!$H$70:$H$89&gt;0)*(Quesería!$J$70:$J$89&gt;0)*Quesería!$F$70:$F$89*(1+Quesería!$I$70:$I$89)),IF(J$47=1,(SUMPRODUCT((Quesería!$C$70:$C$89=1)*(Quesería!$H$70:$H$89&gt;0)*(Quesería!$J$70:$J$89&gt;0)*Quesería!$F$70:$F$89*(1+Quesería!$I$70:$I$89))-(-$W$26)*Quesería!$D$86*(1+Quesería!$I$86))*$W$21,0))*$W$11+J958)</f>
        <v>0</v>
      </c>
      <c r="K959" s="29" t="n">
        <f aca="false">Quesería!$B$55*(IF(K$47=0,SUMPRODUCT((Quesería!$C$70:$C$89=0)*(Quesería!$H$70:$H$89&gt;0)*(Quesería!$J$70:$J$89&gt;0)*Quesería!$F$70:$F$89*(1+Quesería!$I$70:$I$89)),IF(K$47=1,(SUMPRODUCT((Quesería!$C$70:$C$89=1)*(Quesería!$H$70:$H$89&gt;0)*(Quesería!$J$70:$J$89&gt;0)*Quesería!$F$70:$F$89*(1+Quesería!$I$70:$I$89))-(-$W$26)*Quesería!$D$86*(1+Quesería!$I$86))*$W$21,0))*$W$11+K958)</f>
        <v>0</v>
      </c>
      <c r="L959" s="29" t="n">
        <f aca="false">Quesería!$B$55*(IF(L$47=0,SUMPRODUCT((Quesería!$C$70:$C$89=0)*(Quesería!$H$70:$H$89&gt;0)*(Quesería!$J$70:$J$89&gt;0)*Quesería!$F$70:$F$89*(1+Quesería!$I$70:$I$89)),IF(L$47=1,(SUMPRODUCT((Quesería!$C$70:$C$89=1)*(Quesería!$H$70:$H$89&gt;0)*(Quesería!$J$70:$J$89&gt;0)*Quesería!$F$70:$F$89*(1+Quesería!$I$70:$I$89))-(-$W$26)*Quesería!$D$86*(1+Quesería!$I$86))*$W$21,0))*$W$11+L958)</f>
        <v>0</v>
      </c>
    </row>
    <row r="960" customFormat="false" ht="15" hidden="true" customHeight="false" outlineLevel="1" collapsed="false">
      <c r="A960" s="6" t="s">
        <v>386</v>
      </c>
      <c r="B960" s="29" t="n">
        <f aca="false">IF(B$47=0,($W$22*Quesería!$J$126+(1-$W$22)*Quesería!$E$122)*Quesería!$B$20*Quesería!$B$21/12*$W$23,(($W$22*Quesería!$J$126+(1-$W$22)*Quesería!$E$122)+($W$22*Quesería!$J$104+(1-$W$22)*Quesería!$E$104)*(B955-1))*IF(B$47=1,Quesería!$B$20,1))*$W$10</f>
        <v>120.716772261203</v>
      </c>
      <c r="C960" s="29" t="n">
        <f aca="false">IF(C$47=0,($W$22*Quesería!$J$126+(1-$W$22)*Quesería!$E$122)*Quesería!$B$20*Quesería!$B$21/12*$W$23,(($W$22*Quesería!$J$126+(1-$W$22)*Quesería!$E$122)+($W$22*Quesería!$J$104+(1-$W$22)*Quesería!$E$104)*(C955-1))*IF(C$47=1,Quesería!$B$20,1))*$W$10</f>
        <v>181.328317354069</v>
      </c>
      <c r="D960" s="29" t="n">
        <f aca="false">IF(D$47=0,($W$22*Quesería!$J$126+(1-$W$22)*Quesería!$E$122)*Quesería!$B$20*Quesería!$B$21/12*$W$23,(($W$22*Quesería!$J$126+(1-$W$22)*Quesería!$E$122)+($W$22*Quesería!$J$104+(1-$W$22)*Quesería!$E$104)*(D955-1))*IF(D$47=1,Quesería!$B$20,1))*$W$10</f>
        <v>241.83157753184</v>
      </c>
      <c r="E960" s="29" t="n">
        <f aca="false">IF(E$47=0,($W$22*Quesería!$J$126+(1-$W$22)*Quesería!$E$122)*Quesería!$B$20*Quesería!$B$21/12*$W$23,(($W$22*Quesería!$J$126+(1-$W$22)*Quesería!$E$122)+($W$22*Quesería!$J$104+(1-$W$22)*Quesería!$E$104)*(E955-1))*IF(E$47=1,Quesería!$B$20,1))*$W$10</f>
        <v>241.892367696887</v>
      </c>
      <c r="F960" s="29" t="n">
        <f aca="false">IF(F$47=0,($W$22*Quesería!$J$126+(1-$W$22)*Quesería!$E$122)*Quesería!$B$20*Quesería!$B$21/12*$W$23,(($W$22*Quesería!$J$126+(1-$W$22)*Quesería!$E$122)+($W$22*Quesería!$J$104+(1-$W$22)*Quesería!$E$104)*(F955-1))*IF(F$47=1,Quesería!$B$20,1))*$W$10</f>
        <v>241.95346181276</v>
      </c>
      <c r="G960" s="29" t="n">
        <f aca="false">IF(G$47=0,($W$22*Quesería!$J$126+(1-$W$22)*Quesería!$E$122)*Quesería!$B$20*Quesería!$B$21/12*$W$23,(($W$22*Quesería!$J$126+(1-$W$22)*Quesería!$E$122)+($W$22*Quesería!$J$104+(1-$W$22)*Quesería!$E$104)*(G955-1))*IF(G$47=1,Quesería!$B$20,1))*$W$10</f>
        <v>242.014861399211</v>
      </c>
      <c r="H960" s="29" t="n">
        <f aca="false">IF(H$47=0,($W$22*Quesería!$J$126+(1-$W$22)*Quesería!$E$122)*Quesería!$B$20*Quesería!$B$21/12*$W$23,(($W$22*Quesería!$J$126+(1-$W$22)*Quesería!$E$122)+($W$22*Quesería!$J$104+(1-$W$22)*Quesería!$E$104)*(H955-1))*IF(H$47=1,Quesería!$B$20,1))*$W$10</f>
        <v>242.076567983595</v>
      </c>
      <c r="I960" s="29" t="n">
        <f aca="false">IF(I$47=0,($W$22*Quesería!$J$126+(1-$W$22)*Quesería!$E$122)*Quesería!$B$20*Quesería!$B$21/12*$W$23,(($W$22*Quesería!$J$126+(1-$W$22)*Quesería!$E$122)+($W$22*Quesería!$J$104+(1-$W$22)*Quesería!$E$104)*(I955-1))*IF(I$47=1,Quesería!$B$20,1))*$W$10</f>
        <v>242.138583100901</v>
      </c>
      <c r="J960" s="29" t="n">
        <f aca="false">IF(J$47=0,($W$22*Quesería!$J$126+(1-$W$22)*Quesería!$E$122)*Quesería!$B$20*Quesería!$B$21/12*$W$23,(($W$22*Quesería!$J$126+(1-$W$22)*Quesería!$E$122)+($W$22*Quesería!$J$104+(1-$W$22)*Quesería!$E$104)*(J955-1))*IF(J$47=1,Quesería!$B$20,1))*$W$10</f>
        <v>242.200908293794</v>
      </c>
      <c r="K960" s="29" t="n">
        <f aca="false">IF(K$47=0,($W$22*Quesería!$J$126+(1-$W$22)*Quesería!$E$122)*Quesería!$B$20*Quesería!$B$21/12*$W$23,(($W$22*Quesería!$J$126+(1-$W$22)*Quesería!$E$122)+($W$22*Quesería!$J$104+(1-$W$22)*Quesería!$E$104)*(K955-1))*IF(K$47=1,Quesería!$B$20,1))*$W$10</f>
        <v>242.263545112651</v>
      </c>
      <c r="L960" s="29" t="n">
        <f aca="false">IF(L$47=0,($W$22*Quesería!$J$126+(1-$W$22)*Quesería!$E$122)*Quesería!$B$20*Quesería!$B$21/12*$W$23,(($W$22*Quesería!$J$126+(1-$W$22)*Quesería!$E$122)+($W$22*Quesería!$J$104+(1-$W$22)*Quesería!$E$104)*(L955-1))*IF(L$47=1,Quesería!$B$20,1))*$W$10</f>
        <v>242.326495115602</v>
      </c>
    </row>
    <row r="961" customFormat="false" ht="15" hidden="true" customHeight="false" outlineLevel="1" collapsed="false">
      <c r="A961" s="6" t="s">
        <v>387</v>
      </c>
      <c r="B961" s="29" t="n">
        <f aca="false">IF(B$47&lt;=1,0,((($W$22*Quesería!$J$127+(1-$W$22)*Quesería!$E$123)-($W$22*Quesería!$J$113+(1-$W$22)*Quesería!$E$113)+$W$6*($W$22*Quesería!$J$113+(1-$W$22)*Quesería!$E$113)-(1-$W$9)*(($W$22*Quesería!$J$119+(1-$W$22)*Quesería!$E$119)+($W$22*Quesería!$J$118+(1-$W$22)*Quesería!$E$118))-(1-$W$24)*($W$22*Quesería!$J$117+(1-$W$22)*Quesería!$E$117)+$W$24*(1-$W$25)*'Beneficios y costos'!$B$144-(-$W$26*$W$27)*'Beneficios y costos'!$C$167)+($W$6*($W$22*Quesería!$J$113+(1-$W$22)*Quesería!$E$113)+$W$9*($W$22*Quesería!$J$119+(1-$W$22)*Quesería!$E$119))*(B955-1))*IF(B$47=2,Quesería!$B$20,1)+IF(B$47=2,Quesería!$B$24*$W$9*($W$22*Quesería!$J$119+(1-$W$22)*Quesería!$E$119)*B955,0))*$W$10*$W$21</f>
        <v>0</v>
      </c>
      <c r="C961" s="29" t="n">
        <f aca="false">IF(C$47&lt;=1,0,((($W$22*Quesería!$J$127+(1-$W$22)*Quesería!$E$123)-($W$22*Quesería!$J$113+(1-$W$22)*Quesería!$E$113)+$W$6*($W$22*Quesería!$J$113+(1-$W$22)*Quesería!$E$113)-(1-$W$9)*(($W$22*Quesería!$J$119+(1-$W$22)*Quesería!$E$119)+($W$22*Quesería!$J$118+(1-$W$22)*Quesería!$E$118))-(1-$W$24)*($W$22*Quesería!$J$117+(1-$W$22)*Quesería!$E$117)+$W$24*(1-$W$25)*'Beneficios y costos'!$B$144-(-$W$26*$W$27)*'Beneficios y costos'!$C$167)+($W$6*($W$22*Quesería!$J$113+(1-$W$22)*Quesería!$E$113)+$W$9*($W$22*Quesería!$J$119+(1-$W$22)*Quesería!$E$119))*(C955-1))*IF(C$47=2,Quesería!$B$20,1)+IF(C$47=2,Quesería!$B$24*$W$9*($W$22*Quesería!$J$119+(1-$W$22)*Quesería!$E$119)*C955,0))*$W$10*$W$21</f>
        <v>0</v>
      </c>
      <c r="D961" s="29" t="n">
        <f aca="false">IF(D$47&lt;=1,0,((($W$22*Quesería!$J$127+(1-$W$22)*Quesería!$E$123)-($W$22*Quesería!$J$113+(1-$W$22)*Quesería!$E$113)+$W$6*($W$22*Quesería!$J$113+(1-$W$22)*Quesería!$E$113)-(1-$W$9)*(($W$22*Quesería!$J$119+(1-$W$22)*Quesería!$E$119)+($W$22*Quesería!$J$118+(1-$W$22)*Quesería!$E$118))-(1-$W$24)*($W$22*Quesería!$J$117+(1-$W$22)*Quesería!$E$117)+$W$24*(1-$W$25)*'Beneficios y costos'!$B$144-(-$W$26*$W$27)*'Beneficios y costos'!$C$167)+($W$6*($W$22*Quesería!$J$113+(1-$W$22)*Quesería!$E$113)+$W$9*($W$22*Quesería!$J$119+(1-$W$22)*Quesería!$E$119))*(D955-1))*IF(D$47=2,Quesería!$B$20,1)+IF(D$47=2,Quesería!$B$24*$W$9*($W$22*Quesería!$J$119+(1-$W$22)*Quesería!$E$119)*D955,0))*$W$10*$W$21</f>
        <v>257.351493734688</v>
      </c>
      <c r="E961" s="29" t="n">
        <f aca="false">IF(E$47&lt;=1,0,((($W$22*Quesería!$J$127+(1-$W$22)*Quesería!$E$123)-($W$22*Quesería!$J$113+(1-$W$22)*Quesería!$E$113)+$W$6*($W$22*Quesería!$J$113+(1-$W$22)*Quesería!$E$113)-(1-$W$9)*(($W$22*Quesería!$J$119+(1-$W$22)*Quesería!$E$119)+($W$22*Quesería!$J$118+(1-$W$22)*Quesería!$E$118))-(1-$W$24)*($W$22*Quesería!$J$117+(1-$W$22)*Quesería!$E$117)+$W$24*(1-$W$25)*'Beneficios y costos'!$B$144-(-$W$26*$W$27)*'Beneficios y costos'!$C$167)+($W$6*($W$22*Quesería!$J$113+(1-$W$22)*Quesería!$E$113)+$W$9*($W$22*Quesería!$J$119+(1-$W$22)*Quesería!$E$119))*(E955-1))*IF(E$47=2,Quesería!$B$20,1)+IF(E$47=2,Quesería!$B$24*$W$9*($W$22*Quesería!$J$119+(1-$W$22)*Quesería!$E$119)*E955,0))*$W$10*$W$21</f>
        <v>328.494820128122</v>
      </c>
      <c r="F961" s="29" t="n">
        <f aca="false">IF(F$47&lt;=1,0,((($W$22*Quesería!$J$127+(1-$W$22)*Quesería!$E$123)-($W$22*Quesería!$J$113+(1-$W$22)*Quesería!$E$113)+$W$6*($W$22*Quesería!$J$113+(1-$W$22)*Quesería!$E$113)-(1-$W$9)*(($W$22*Quesería!$J$119+(1-$W$22)*Quesería!$E$119)+($W$22*Quesería!$J$118+(1-$W$22)*Quesería!$E$118))-(1-$W$24)*($W$22*Quesería!$J$117+(1-$W$22)*Quesería!$E$117)+$W$24*(1-$W$25)*'Beneficios y costos'!$B$144-(-$W$26*$W$27)*'Beneficios y costos'!$C$167)+($W$6*($W$22*Quesería!$J$113+(1-$W$22)*Quesería!$E$113)+$W$9*($W$22*Quesería!$J$119+(1-$W$22)*Quesería!$E$119))*(F955-1))*IF(F$47=2,Quesería!$B$20,1)+IF(F$47=2,Quesería!$B$24*$W$9*($W$22*Quesería!$J$119+(1-$W$22)*Quesería!$E$119)*F955,0))*$W$10*$W$21</f>
        <v>328.742937047686</v>
      </c>
      <c r="G961" s="29" t="n">
        <f aca="false">IF(G$47&lt;=1,0,((($W$22*Quesería!$J$127+(1-$W$22)*Quesería!$E$123)-($W$22*Quesería!$J$113+(1-$W$22)*Quesería!$E$113)+$W$6*($W$22*Quesería!$J$113+(1-$W$22)*Quesería!$E$113)-(1-$W$9)*(($W$22*Quesería!$J$119+(1-$W$22)*Quesería!$E$119)+($W$22*Quesería!$J$118+(1-$W$22)*Quesería!$E$118))-(1-$W$24)*($W$22*Quesería!$J$117+(1-$W$22)*Quesería!$E$117)+$W$24*(1-$W$25)*'Beneficios y costos'!$B$144-(-$W$26*$W$27)*'Beneficios y costos'!$C$167)+($W$6*($W$22*Quesería!$J$113+(1-$W$22)*Quesería!$E$113)+$W$9*($W$22*Quesería!$J$119+(1-$W$22)*Quesería!$E$119))*(G955-1))*IF(G$47=2,Quesería!$B$20,1)+IF(G$47=2,Quesería!$B$24*$W$9*($W$22*Quesería!$J$119+(1-$W$22)*Quesería!$E$119)*G955,0))*$W$10*$W$21</f>
        <v>328.992294551847</v>
      </c>
      <c r="H961" s="29" t="n">
        <f aca="false">IF(H$47&lt;=1,0,((($W$22*Quesería!$J$127+(1-$W$22)*Quesería!$E$123)-($W$22*Quesería!$J$113+(1-$W$22)*Quesería!$E$113)+$W$6*($W$22*Quesería!$J$113+(1-$W$22)*Quesería!$E$113)-(1-$W$9)*(($W$22*Quesería!$J$119+(1-$W$22)*Quesería!$E$119)+($W$22*Quesería!$J$118+(1-$W$22)*Quesería!$E$118))-(1-$W$24)*($W$22*Quesería!$J$117+(1-$W$22)*Quesería!$E$117)+$W$24*(1-$W$25)*'Beneficios y costos'!$B$144-(-$W$26*$W$27)*'Beneficios y costos'!$C$167)+($W$6*($W$22*Quesería!$J$113+(1-$W$22)*Quesería!$E$113)+$W$9*($W$22*Quesería!$J$119+(1-$W$22)*Quesería!$E$119))*(H955-1))*IF(H$47=2,Quesería!$B$20,1)+IF(H$47=2,Quesería!$B$24*$W$9*($W$22*Quesería!$J$119+(1-$W$22)*Quesería!$E$119)*H955,0))*$W$10*$W$21</f>
        <v>329.242898843529</v>
      </c>
      <c r="I961" s="29" t="n">
        <f aca="false">IF(I$47&lt;=1,0,((($W$22*Quesería!$J$127+(1-$W$22)*Quesería!$E$123)-($W$22*Quesería!$J$113+(1-$W$22)*Quesería!$E$113)+$W$6*($W$22*Quesería!$J$113+(1-$W$22)*Quesería!$E$113)-(1-$W$9)*(($W$22*Quesería!$J$119+(1-$W$22)*Quesería!$E$119)+($W$22*Quesería!$J$118+(1-$W$22)*Quesería!$E$118))-(1-$W$24)*($W$22*Quesería!$J$117+(1-$W$22)*Quesería!$E$117)+$W$24*(1-$W$25)*'Beneficios y costos'!$B$144-(-$W$26*$W$27)*'Beneficios y costos'!$C$167)+($W$6*($W$22*Quesería!$J$113+(1-$W$22)*Quesería!$E$113)+$W$9*($W$22*Quesería!$J$119+(1-$W$22)*Quesería!$E$119))*(I955-1))*IF(I$47=2,Quesería!$B$20,1)+IF(I$47=2,Quesería!$B$24*$W$9*($W$22*Quesería!$J$119+(1-$W$22)*Quesería!$E$119)*I955,0))*$W$10*$W$21</f>
        <v>329.49475615667</v>
      </c>
      <c r="J961" s="29" t="n">
        <f aca="false">IF(J$47&lt;=1,0,((($W$22*Quesería!$J$127+(1-$W$22)*Quesería!$E$123)-($W$22*Quesería!$J$113+(1-$W$22)*Quesería!$E$113)+$W$6*($W$22*Quesería!$J$113+(1-$W$22)*Quesería!$E$113)-(1-$W$9)*(($W$22*Quesería!$J$119+(1-$W$22)*Quesería!$E$119)+($W$22*Quesería!$J$118+(1-$W$22)*Quesería!$E$118))-(1-$W$24)*($W$22*Quesería!$J$117+(1-$W$22)*Quesería!$E$117)+$W$24*(1-$W$25)*'Beneficios y costos'!$B$144-(-$W$26*$W$27)*'Beneficios y costos'!$C$167)+($W$6*($W$22*Quesería!$J$113+(1-$W$22)*Quesería!$E$113)+$W$9*($W$22*Quesería!$J$119+(1-$W$22)*Quesería!$E$119))*(J955-1))*IF(J$47=2,Quesería!$B$20,1)+IF(J$47=2,Quesería!$B$24*$W$9*($W$22*Quesería!$J$119+(1-$W$22)*Quesería!$E$119)*J955,0))*$W$10*$W$21</f>
        <v>329.747872756376</v>
      </c>
      <c r="K961" s="29" t="n">
        <f aca="false">IF(K$47&lt;=1,0,((($W$22*Quesería!$J$127+(1-$W$22)*Quesería!$E$123)-($W$22*Quesería!$J$113+(1-$W$22)*Quesería!$E$113)+$W$6*($W$22*Quesería!$J$113+(1-$W$22)*Quesería!$E$113)-(1-$W$9)*(($W$22*Quesería!$J$119+(1-$W$22)*Quesería!$E$119)+($W$22*Quesería!$J$118+(1-$W$22)*Quesería!$E$118))-(1-$W$24)*($W$22*Quesería!$J$117+(1-$W$22)*Quesería!$E$117)+$W$24*(1-$W$25)*'Beneficios y costos'!$B$144-(-$W$26*$W$27)*'Beneficios y costos'!$C$167)+($W$6*($W$22*Quesería!$J$113+(1-$W$22)*Quesería!$E$113)+$W$9*($W$22*Quesería!$J$119+(1-$W$22)*Quesería!$E$119))*(K955-1))*IF(K$47=2,Quesería!$B$20,1)+IF(K$47=2,Quesería!$B$24*$W$9*($W$22*Quesería!$J$119+(1-$W$22)*Quesería!$E$119)*K955,0))*$W$10*$W$21</f>
        <v>330.00225493908</v>
      </c>
      <c r="L961" s="29" t="n">
        <f aca="false">IF(L$47&lt;=1,0,((($W$22*Quesería!$J$127+(1-$W$22)*Quesería!$E$123)-($W$22*Quesería!$J$113+(1-$W$22)*Quesería!$E$113)+$W$6*($W$22*Quesería!$J$113+(1-$W$22)*Quesería!$E$113)-(1-$W$9)*(($W$22*Quesería!$J$119+(1-$W$22)*Quesería!$E$119)+($W$22*Quesería!$J$118+(1-$W$22)*Quesería!$E$118))-(1-$W$24)*($W$22*Quesería!$J$117+(1-$W$22)*Quesería!$E$117)+$W$24*(1-$W$25)*'Beneficios y costos'!$B$144-(-$W$26*$W$27)*'Beneficios y costos'!$C$167)+($W$6*($W$22*Quesería!$J$113+(1-$W$22)*Quesería!$E$113)+$W$9*($W$22*Quesería!$J$119+(1-$W$22)*Quesería!$E$119))*(L955-1))*IF(L$47=2,Quesería!$B$20,1)+IF(L$47=2,Quesería!$B$24*$W$9*($W$22*Quesería!$J$119+(1-$W$22)*Quesería!$E$119)*L955,0))*$W$10*$W$21</f>
        <v>330.257909032699</v>
      </c>
    </row>
    <row r="962" customFormat="false" ht="15" hidden="true" customHeight="false" outlineLevel="1" collapsed="false">
      <c r="A962" s="5" t="s">
        <v>412</v>
      </c>
      <c r="B962" s="10" t="n">
        <f aca="false">B960+B961</f>
        <v>120.716772261203</v>
      </c>
      <c r="C962" s="10" t="n">
        <f aca="false">C960+C961</f>
        <v>181.328317354069</v>
      </c>
      <c r="D962" s="10" t="n">
        <f aca="false">D960+D961</f>
        <v>499.183071266528</v>
      </c>
      <c r="E962" s="10" t="n">
        <f aca="false">E960+E961</f>
        <v>570.38718782501</v>
      </c>
      <c r="F962" s="10" t="n">
        <f aca="false">F960+F961</f>
        <v>570.696398860445</v>
      </c>
      <c r="G962" s="10" t="n">
        <f aca="false">G960+G961</f>
        <v>571.007155951058</v>
      </c>
      <c r="H962" s="10" t="n">
        <f aca="false">H960+H961</f>
        <v>571.319466827124</v>
      </c>
      <c r="I962" s="10" t="n">
        <f aca="false">I960+I961</f>
        <v>571.633339257571</v>
      </c>
      <c r="J962" s="10" t="n">
        <f aca="false">J960+J961</f>
        <v>571.94878105017</v>
      </c>
      <c r="K962" s="10" t="n">
        <f aca="false">K960+K961</f>
        <v>572.265800051731</v>
      </c>
      <c r="L962" s="10" t="n">
        <f aca="false">L960+L961</f>
        <v>572.584404148301</v>
      </c>
    </row>
    <row r="963" customFormat="false" ht="15" hidden="true" customHeight="false" outlineLevel="1" collapsed="false">
      <c r="A963" s="6" t="s">
        <v>413</v>
      </c>
      <c r="B963" s="29" t="n">
        <f aca="false">(IF(B$47&gt;=1,(Quesería!$B$31+Quesería!$B$33)*Quesería!$F$94*$W$11+Quesería!$B$32+'Beneficios y costos'!$B$249,0)+IF(B$47&gt;=2,((Quesería!$B$31+Quesería!$B$33)*(Quesería!$F$95-(-$W$26)*Quesería!$D$86)*$W$11+'Beneficios y costos'!$C$249-(-$W$26)*'Beneficios y costos'!$H$235)*$W$21,0))*$W$12</f>
        <v>0</v>
      </c>
      <c r="C963" s="29" t="n">
        <f aca="false">(IF(C$47&gt;=1,(Quesería!$B$31+Quesería!$B$33)*Quesería!$F$94*$W$11+Quesería!$B$32+'Beneficios y costos'!$B$249,0)+IF(C$47&gt;=2,((Quesería!$B$31+Quesería!$B$33)*(Quesería!$F$95-(-$W$26)*Quesería!$D$86)*$W$11+'Beneficios y costos'!$C$249-(-$W$26)*'Beneficios y costos'!$H$235)*$W$21,0))*$W$12</f>
        <v>42.0946487260605</v>
      </c>
      <c r="D963" s="29" t="n">
        <f aca="false">(IF(D$47&gt;=1,(Quesería!$B$31+Quesería!$B$33)*Quesería!$F$94*$W$11+Quesería!$B$32+'Beneficios y costos'!$B$249,0)+IF(D$47&gt;=2,((Quesería!$B$31+Quesería!$B$33)*(Quesería!$F$95-(-$W$26)*Quesería!$D$86)*$W$11+'Beneficios y costos'!$C$249-(-$W$26)*'Beneficios y costos'!$H$235)*$W$21,0))*$W$12</f>
        <v>76.4964821173776</v>
      </c>
      <c r="E963" s="29" t="n">
        <f aca="false">(IF(E$47&gt;=1,(Quesería!$B$31+Quesería!$B$33)*Quesería!$F$94*$W$11+Quesería!$B$32+'Beneficios y costos'!$B$249,0)+IF(E$47&gt;=2,((Quesería!$B$31+Quesería!$B$33)*(Quesería!$F$95-(-$W$26)*Quesería!$D$86)*$W$11+'Beneficios y costos'!$C$249-(-$W$26)*'Beneficios y costos'!$H$235)*$W$21,0))*$W$12</f>
        <v>76.4964821173776</v>
      </c>
      <c r="F963" s="29" t="n">
        <f aca="false">(IF(F$47&gt;=1,(Quesería!$B$31+Quesería!$B$33)*Quesería!$F$94*$W$11+Quesería!$B$32+'Beneficios y costos'!$B$249,0)+IF(F$47&gt;=2,((Quesería!$B$31+Quesería!$B$33)*(Quesería!$F$95-(-$W$26)*Quesería!$D$86)*$W$11+'Beneficios y costos'!$C$249-(-$W$26)*'Beneficios y costos'!$H$235)*$W$21,0))*$W$12</f>
        <v>76.4964821173776</v>
      </c>
      <c r="G963" s="29" t="n">
        <f aca="false">(IF(G$47&gt;=1,(Quesería!$B$31+Quesería!$B$33)*Quesería!$F$94*$W$11+Quesería!$B$32+'Beneficios y costos'!$B$249,0)+IF(G$47&gt;=2,((Quesería!$B$31+Quesería!$B$33)*(Quesería!$F$95-(-$W$26)*Quesería!$D$86)*$W$11+'Beneficios y costos'!$C$249-(-$W$26)*'Beneficios y costos'!$H$235)*$W$21,0))*$W$12</f>
        <v>76.4964821173776</v>
      </c>
      <c r="H963" s="29" t="n">
        <f aca="false">(IF(H$47&gt;=1,(Quesería!$B$31+Quesería!$B$33)*Quesería!$F$94*$W$11+Quesería!$B$32+'Beneficios y costos'!$B$249,0)+IF(H$47&gt;=2,((Quesería!$B$31+Quesería!$B$33)*(Quesería!$F$95-(-$W$26)*Quesería!$D$86)*$W$11+'Beneficios y costos'!$C$249-(-$W$26)*'Beneficios y costos'!$H$235)*$W$21,0))*$W$12</f>
        <v>76.4964821173776</v>
      </c>
      <c r="I963" s="29" t="n">
        <f aca="false">(IF(I$47&gt;=1,(Quesería!$B$31+Quesería!$B$33)*Quesería!$F$94*$W$11+Quesería!$B$32+'Beneficios y costos'!$B$249,0)+IF(I$47&gt;=2,((Quesería!$B$31+Quesería!$B$33)*(Quesería!$F$95-(-$W$26)*Quesería!$D$86)*$W$11+'Beneficios y costos'!$C$249-(-$W$26)*'Beneficios y costos'!$H$235)*$W$21,0))*$W$12</f>
        <v>76.4964821173776</v>
      </c>
      <c r="J963" s="29" t="n">
        <f aca="false">(IF(J$47&gt;=1,(Quesería!$B$31+Quesería!$B$33)*Quesería!$F$94*$W$11+Quesería!$B$32+'Beneficios y costos'!$B$249,0)+IF(J$47&gt;=2,((Quesería!$B$31+Quesería!$B$33)*(Quesería!$F$95-(-$W$26)*Quesería!$D$86)*$W$11+'Beneficios y costos'!$C$249-(-$W$26)*'Beneficios y costos'!$H$235)*$W$21,0))*$W$12</f>
        <v>76.4964821173776</v>
      </c>
      <c r="K963" s="29" t="n">
        <f aca="false">(IF(K$47&gt;=1,(Quesería!$B$31+Quesería!$B$33)*Quesería!$F$94*$W$11+Quesería!$B$32+'Beneficios y costos'!$B$249,0)+IF(K$47&gt;=2,((Quesería!$B$31+Quesería!$B$33)*(Quesería!$F$95-(-$W$26)*Quesería!$D$86)*$W$11+'Beneficios y costos'!$C$249-(-$W$26)*'Beneficios y costos'!$H$235)*$W$21,0))*$W$12</f>
        <v>76.4964821173776</v>
      </c>
      <c r="L963" s="29" t="n">
        <f aca="false">(IF(L$47&gt;=1,(Quesería!$B$31+Quesería!$B$33)*Quesería!$F$94*$W$11+Quesería!$B$32+'Beneficios y costos'!$B$249,0)+IF(L$47&gt;=2,((Quesería!$B$31+Quesería!$B$33)*(Quesería!$F$95-(-$W$26)*Quesería!$D$86)*$W$11+'Beneficios y costos'!$C$249-(-$W$26)*'Beneficios y costos'!$H$235)*$W$21,0))*$W$12</f>
        <v>76.4964821173776</v>
      </c>
    </row>
    <row r="964" customFormat="false" ht="15" hidden="true" customHeight="false" outlineLevel="1" collapsed="false">
      <c r="A964" s="6" t="s">
        <v>414</v>
      </c>
      <c r="B964" s="29" t="n">
        <f aca="false">IF(B$47=1,2*Quesería!$B$22*Quesería!$B$23/12*B955,0)*$W$21</f>
        <v>0</v>
      </c>
      <c r="C964" s="29" t="n">
        <f aca="false">IF(C$47=1,2*Quesería!$B$22*Quesería!$B$23/12*C955,0)*$W$21</f>
        <v>18.5166509433962</v>
      </c>
      <c r="D964" s="29" t="n">
        <f aca="false">IF(D$47=1,2*Quesería!$B$22*Quesería!$B$23/12*D955,0)*$W$21</f>
        <v>0</v>
      </c>
      <c r="E964" s="29" t="n">
        <f aca="false">IF(E$47=1,2*Quesería!$B$22*Quesería!$B$23/12*E955,0)*$W$21</f>
        <v>0</v>
      </c>
      <c r="F964" s="29" t="n">
        <f aca="false">IF(F$47=1,2*Quesería!$B$22*Quesería!$B$23/12*F955,0)*$W$21</f>
        <v>0</v>
      </c>
      <c r="G964" s="29" t="n">
        <f aca="false">IF(G$47=1,2*Quesería!$B$22*Quesería!$B$23/12*G955,0)*$W$21</f>
        <v>0</v>
      </c>
      <c r="H964" s="29" t="n">
        <f aca="false">IF(H$47=1,2*Quesería!$B$22*Quesería!$B$23/12*H955,0)*$W$21</f>
        <v>0</v>
      </c>
      <c r="I964" s="29" t="n">
        <f aca="false">IF(I$47=1,2*Quesería!$B$22*Quesería!$B$23/12*I955,0)*$W$21</f>
        <v>0</v>
      </c>
      <c r="J964" s="29" t="n">
        <f aca="false">IF(J$47=1,2*Quesería!$B$22*Quesería!$B$23/12*J955,0)*$W$21</f>
        <v>0</v>
      </c>
      <c r="K964" s="29" t="n">
        <f aca="false">IF(K$47=1,2*Quesería!$B$22*Quesería!$B$23/12*K955,0)*$W$21</f>
        <v>0</v>
      </c>
      <c r="L964" s="29" t="n">
        <f aca="false">IF(L$47=1,2*Quesería!$B$22*Quesería!$B$23/12*L955,0)*$W$21</f>
        <v>0</v>
      </c>
    </row>
    <row r="965" customFormat="false" ht="15" hidden="true" customHeight="false" outlineLevel="1" collapsed="false">
      <c r="A965" s="6" t="s">
        <v>415</v>
      </c>
      <c r="B965" s="29" t="n">
        <f aca="false">Quesería!$B$52*(B957+B958+B959+B963+B964)</f>
        <v>4.31966364396742</v>
      </c>
      <c r="C965" s="29" t="n">
        <f aca="false">Quesería!$B$52*(C957+C958+C959+C963+C964)</f>
        <v>3.37675795604844</v>
      </c>
      <c r="D965" s="29" t="n">
        <f aca="false">Quesería!$B$52*(D957+D958+D959+D963+D964)</f>
        <v>0.305985928469511</v>
      </c>
      <c r="E965" s="29" t="n">
        <f aca="false">Quesería!$B$52*(E957+E958+E959+E963+E964)</f>
        <v>0.305985928469511</v>
      </c>
      <c r="F965" s="29" t="n">
        <f aca="false">Quesería!$B$52*(F957+F958+F959+F963+F964)</f>
        <v>0.305985928469511</v>
      </c>
      <c r="G965" s="29" t="n">
        <f aca="false">Quesería!$B$52*(G957+G958+G959+G963+G964)</f>
        <v>0.436720362669349</v>
      </c>
      <c r="H965" s="29" t="n">
        <f aca="false">Quesería!$B$52*(H957+H958+H959+H963+H964)</f>
        <v>0.526798309653658</v>
      </c>
      <c r="I965" s="29" t="n">
        <f aca="false">Quesería!$B$52*(I957+I958+I959+I963+I964)</f>
        <v>0.305985928469511</v>
      </c>
      <c r="J965" s="29" t="n">
        <f aca="false">Quesería!$B$52*(J957+J958+J959+J963+J964)</f>
        <v>0.305985928469511</v>
      </c>
      <c r="K965" s="29" t="n">
        <f aca="false">Quesería!$B$52*(K957+K958+K959+K963+K964)</f>
        <v>0.305985928469511</v>
      </c>
      <c r="L965" s="29" t="n">
        <f aca="false">Quesería!$B$52*(L957+L958+L959+L963+L964)</f>
        <v>0.305985928469511</v>
      </c>
    </row>
    <row r="966" customFormat="false" ht="15" hidden="true" customHeight="false" outlineLevel="1" collapsed="false">
      <c r="A966" s="6" t="s">
        <v>416</v>
      </c>
      <c r="B966" s="29" t="n">
        <f aca="false">(IF($W$19=1,(SUMPRODUCT((Quesería!$C$70:$C$89=0)*(Quesería!$J$70:$J$89&gt;0)*(B$47&gt;=1)*(B$47&lt;=Quesería!$J$70:$J$89)*(Quesería!$H$70:$H$89&gt;0)*Quesería!$F$70:$F$89*(1+Quesería!$I$70:$I$89)/(Quesería!$J$70:$J$89+(Quesería!$J$70:$J$89=0)))+SUMPRODUCT((Quesería!$C$70:$C$89=0)*(Quesería!$J$70:$J$89=0)*(B$47=0)*(Quesería!$H$70:$H$89&gt;0)*Quesería!$F$70:$F$89*(1+Quesería!$I$70:$I$89)))*$B$954+((SUMPRODUCT((Quesería!$C$70:$C$89=1)*(Quesería!$J$70:$J$89&gt;0)*(B$47&gt;=2)*(B$47&lt;=Quesería!$J$70:$J$89+1)*(Quesería!$H$70:$H$89&gt;0)*Quesería!$F$70:$F$89*(1+Quesería!$I$70:$I$89)/(Quesería!$J$70:$J$89+(Quesería!$J$70:$J$89=0)))+SUMPRODUCT((Quesería!$C$70:$C$89=1)*(Quesería!$J$70:$J$89=0)*(B$47=1)*(Quesería!$H$70:$H$89&gt;0)*Quesería!$F$70:$F$89*(1+Quesería!$I$70:$I$89)))-(-$W$26)*IF(AND(B$47&gt;=2,B$47&lt;=Quesería!$J$86+1),Quesería!$D$86*(1+Quesería!$I$86)/Quesería!$J$86,0))*$C$954*$W$21,IF(AND(B$47&gt;=1,B$47&lt;=Quesería!$B$30),Quesería!$F$92/Quesería!$B$30,0)*$B$954+IF(AND(B$47&gt;=2,B$47&lt;=Quesería!$B$30+1),(Quesería!$F$93-(-$W$26)*Quesería!$D$86*(1+Quesería!$I$86))/Quesería!$B$30,0)*$C$954*$W$21)*$W$11+IF(AND(B$47&gt;=6,B$47&lt;=10),$G958*$G954/5,0)+IF(AND(B$47&gt;=7,B$47&lt;=11),$H958*$H954/5,0))*B956</f>
        <v>0</v>
      </c>
      <c r="C966" s="29" t="n">
        <f aca="false">(IF($W$19=1,(SUMPRODUCT((Quesería!$C$70:$C$89=0)*(Quesería!$J$70:$J$89&gt;0)*(C$47&gt;=1)*(C$47&lt;=Quesería!$J$70:$J$89)*(Quesería!$H$70:$H$89&gt;0)*Quesería!$F$70:$F$89*(1+Quesería!$I$70:$I$89)/(Quesería!$J$70:$J$89+(Quesería!$J$70:$J$89=0)))+SUMPRODUCT((Quesería!$C$70:$C$89=0)*(Quesería!$J$70:$J$89=0)*(C$47=0)*(Quesería!$H$70:$H$89&gt;0)*Quesería!$F$70:$F$89*(1+Quesería!$I$70:$I$89)))*$B$954+((SUMPRODUCT((Quesería!$C$70:$C$89=1)*(Quesería!$J$70:$J$89&gt;0)*(C$47&gt;=2)*(C$47&lt;=Quesería!$J$70:$J$89+1)*(Quesería!$H$70:$H$89&gt;0)*Quesería!$F$70:$F$89*(1+Quesería!$I$70:$I$89)/(Quesería!$J$70:$J$89+(Quesería!$J$70:$J$89=0)))+SUMPRODUCT((Quesería!$C$70:$C$89=1)*(Quesería!$J$70:$J$89=0)*(C$47=1)*(Quesería!$H$70:$H$89&gt;0)*Quesería!$F$70:$F$89*(1+Quesería!$I$70:$I$89)))-(-$W$26)*IF(AND(C$47&gt;=2,C$47&lt;=Quesería!$J$86+1),Quesería!$D$86*(1+Quesería!$I$86)/Quesería!$J$86,0))*$C$954*$W$21,IF(AND(C$47&gt;=1,C$47&lt;=Quesería!$B$30),Quesería!$F$92/Quesería!$B$30,0)*$B$954+IF(AND(C$47&gt;=2,C$47&lt;=Quesería!$B$30+1),(Quesería!$F$93-(-$W$26)*Quesería!$D$86*(1+Quesería!$I$86))/Quesería!$B$30,0)*$C$954*$W$21)*$W$11+IF(AND(C$47&gt;=6,C$47&lt;=10),$G958*$G954/5,0)+IF(AND(C$47&gt;=7,C$47&lt;=11),$H958*$H954/5,0))*C956</f>
        <v>88.6476418506359</v>
      </c>
      <c r="D966" s="29" t="n">
        <f aca="false">(IF($W$19=1,(SUMPRODUCT((Quesería!$C$70:$C$89=0)*(Quesería!$J$70:$J$89&gt;0)*(D$47&gt;=1)*(D$47&lt;=Quesería!$J$70:$J$89)*(Quesería!$H$70:$H$89&gt;0)*Quesería!$F$70:$F$89*(1+Quesería!$I$70:$I$89)/(Quesería!$J$70:$J$89+(Quesería!$J$70:$J$89=0)))+SUMPRODUCT((Quesería!$C$70:$C$89=0)*(Quesería!$J$70:$J$89=0)*(D$47=0)*(Quesería!$H$70:$H$89&gt;0)*Quesería!$F$70:$F$89*(1+Quesería!$I$70:$I$89)))*$B$954+((SUMPRODUCT((Quesería!$C$70:$C$89=1)*(Quesería!$J$70:$J$89&gt;0)*(D$47&gt;=2)*(D$47&lt;=Quesería!$J$70:$J$89+1)*(Quesería!$H$70:$H$89&gt;0)*Quesería!$F$70:$F$89*(1+Quesería!$I$70:$I$89)/(Quesería!$J$70:$J$89+(Quesería!$J$70:$J$89=0)))+SUMPRODUCT((Quesería!$C$70:$C$89=1)*(Quesería!$J$70:$J$89=0)*(D$47=1)*(Quesería!$H$70:$H$89&gt;0)*Quesería!$F$70:$F$89*(1+Quesería!$I$70:$I$89)))-(-$W$26)*IF(AND(D$47&gt;=2,D$47&lt;=Quesería!$J$86+1),Quesería!$D$86*(1+Quesería!$I$86)/Quesería!$J$86,0))*$C$954*$W$21,IF(AND(D$47&gt;=1,D$47&lt;=Quesería!$B$30),Quesería!$F$92/Quesería!$B$30,0)*$B$954+IF(AND(D$47&gt;=2,D$47&lt;=Quesería!$B$30+1),(Quesería!$F$93-(-$W$26)*Quesería!$D$86*(1+Quesería!$I$86))/Quesería!$B$30,0)*$C$954*$W$21)*$W$11+IF(AND(D$47&gt;=6,D$47&lt;=10),$G958*$G954/5,0)+IF(AND(D$47&gt;=7,D$47&lt;=11),$H958*$H954/5,0))*D956</f>
        <v>147.841673223049</v>
      </c>
      <c r="E966" s="29" t="n">
        <f aca="false">(IF($W$19=1,(SUMPRODUCT((Quesería!$C$70:$C$89=0)*(Quesería!$J$70:$J$89&gt;0)*(E$47&gt;=1)*(E$47&lt;=Quesería!$J$70:$J$89)*(Quesería!$H$70:$H$89&gt;0)*Quesería!$F$70:$F$89*(1+Quesería!$I$70:$I$89)/(Quesería!$J$70:$J$89+(Quesería!$J$70:$J$89=0)))+SUMPRODUCT((Quesería!$C$70:$C$89=0)*(Quesería!$J$70:$J$89=0)*(E$47=0)*(Quesería!$H$70:$H$89&gt;0)*Quesería!$F$70:$F$89*(1+Quesería!$I$70:$I$89)))*$B$954+((SUMPRODUCT((Quesería!$C$70:$C$89=1)*(Quesería!$J$70:$J$89&gt;0)*(E$47&gt;=2)*(E$47&lt;=Quesería!$J$70:$J$89+1)*(Quesería!$H$70:$H$89&gt;0)*Quesería!$F$70:$F$89*(1+Quesería!$I$70:$I$89)/(Quesería!$J$70:$J$89+(Quesería!$J$70:$J$89=0)))+SUMPRODUCT((Quesería!$C$70:$C$89=1)*(Quesería!$J$70:$J$89=0)*(E$47=1)*(Quesería!$H$70:$H$89&gt;0)*Quesería!$F$70:$F$89*(1+Quesería!$I$70:$I$89)))-(-$W$26)*IF(AND(E$47&gt;=2,E$47&lt;=Quesería!$J$86+1),Quesería!$D$86*(1+Quesería!$I$86)/Quesería!$J$86,0))*$C$954*$W$21,IF(AND(E$47&gt;=1,E$47&lt;=Quesería!$B$30),Quesería!$F$92/Quesería!$B$30,0)*$B$954+IF(AND(E$47&gt;=2,E$47&lt;=Quesería!$B$30+1),(Quesería!$F$93-(-$W$26)*Quesería!$D$86*(1+Quesería!$I$86))/Quesería!$B$30,0)*$C$954*$W$21)*$W$11+IF(AND(E$47&gt;=6,E$47&lt;=10),$G958*$G954/5,0)+IF(AND(E$47&gt;=7,E$47&lt;=11),$H958*$H954/5,0))*E956</f>
        <v>142.155455022162</v>
      </c>
      <c r="F966" s="29" t="n">
        <f aca="false">(IF($W$19=1,(SUMPRODUCT((Quesería!$C$70:$C$89=0)*(Quesería!$J$70:$J$89&gt;0)*(F$47&gt;=1)*(F$47&lt;=Quesería!$J$70:$J$89)*(Quesería!$H$70:$H$89&gt;0)*Quesería!$F$70:$F$89*(1+Quesería!$I$70:$I$89)/(Quesería!$J$70:$J$89+(Quesería!$J$70:$J$89=0)))+SUMPRODUCT((Quesería!$C$70:$C$89=0)*(Quesería!$J$70:$J$89=0)*(F$47=0)*(Quesería!$H$70:$H$89&gt;0)*Quesería!$F$70:$F$89*(1+Quesería!$I$70:$I$89)))*$B$954+((SUMPRODUCT((Quesería!$C$70:$C$89=1)*(Quesería!$J$70:$J$89&gt;0)*(F$47&gt;=2)*(F$47&lt;=Quesería!$J$70:$J$89+1)*(Quesería!$H$70:$H$89&gt;0)*Quesería!$F$70:$F$89*(1+Quesería!$I$70:$I$89)/(Quesería!$J$70:$J$89+(Quesería!$J$70:$J$89=0)))+SUMPRODUCT((Quesería!$C$70:$C$89=1)*(Quesería!$J$70:$J$89=0)*(F$47=1)*(Quesería!$H$70:$H$89&gt;0)*Quesería!$F$70:$F$89*(1+Quesería!$I$70:$I$89)))-(-$W$26)*IF(AND(F$47&gt;=2,F$47&lt;=Quesería!$J$86+1),Quesería!$D$86*(1+Quesería!$I$86)/Quesería!$J$86,0))*$C$954*$W$21,IF(AND(F$47&gt;=1,F$47&lt;=Quesería!$B$30),Quesería!$F$92/Quesería!$B$30,0)*$B$954+IF(AND(F$47&gt;=2,F$47&lt;=Quesería!$B$30+1),(Quesería!$F$93-(-$W$26)*Quesería!$D$86*(1+Quesería!$I$86))/Quesería!$B$30,0)*$C$954*$W$21)*$W$11+IF(AND(F$47&gt;=6,F$47&lt;=10),$G958*$G954/5,0)+IF(AND(F$47&gt;=7,F$47&lt;=11),$H958*$H954/5,0))*F956</f>
        <v>136.68793752131</v>
      </c>
      <c r="G966" s="29" t="n">
        <f aca="false">(IF($W$19=1,(SUMPRODUCT((Quesería!$C$70:$C$89=0)*(Quesería!$J$70:$J$89&gt;0)*(G$47&gt;=1)*(G$47&lt;=Quesería!$J$70:$J$89)*(Quesería!$H$70:$H$89&gt;0)*Quesería!$F$70:$F$89*(1+Quesería!$I$70:$I$89)/(Quesería!$J$70:$J$89+(Quesería!$J$70:$J$89=0)))+SUMPRODUCT((Quesería!$C$70:$C$89=0)*(Quesería!$J$70:$J$89=0)*(G$47=0)*(Quesería!$H$70:$H$89&gt;0)*Quesería!$F$70:$F$89*(1+Quesería!$I$70:$I$89)))*$B$954+((SUMPRODUCT((Quesería!$C$70:$C$89=1)*(Quesería!$J$70:$J$89&gt;0)*(G$47&gt;=2)*(G$47&lt;=Quesería!$J$70:$J$89+1)*(Quesería!$H$70:$H$89&gt;0)*Quesería!$F$70:$F$89*(1+Quesería!$I$70:$I$89)/(Quesería!$J$70:$J$89+(Quesería!$J$70:$J$89=0)))+SUMPRODUCT((Quesería!$C$70:$C$89=1)*(Quesería!$J$70:$J$89=0)*(G$47=1)*(Quesería!$H$70:$H$89&gt;0)*Quesería!$F$70:$F$89*(1+Quesería!$I$70:$I$89)))-(-$W$26)*IF(AND(G$47&gt;=2,G$47&lt;=Quesería!$J$86+1),Quesería!$D$86*(1+Quesería!$I$86)/Quesería!$J$86,0))*$C$954*$W$21,IF(AND(G$47&gt;=1,G$47&lt;=Quesería!$B$30),Quesería!$F$92/Quesería!$B$30,0)*$B$954+IF(AND(G$47&gt;=2,G$47&lt;=Quesería!$B$30+1),(Quesería!$F$93-(-$W$26)*Quesería!$D$86*(1+Quesería!$I$86))/Quesería!$B$30,0)*$C$954*$W$21)*$W$11+IF(AND(G$47&gt;=6,G$47&lt;=10),$G958*$G954/5,0)+IF(AND(G$47&gt;=7,G$47&lt;=11),$H958*$H954/5,0))*G956</f>
        <v>131.430709155105</v>
      </c>
      <c r="H966" s="29" t="n">
        <f aca="false">(IF($W$19=1,(SUMPRODUCT((Quesería!$C$70:$C$89=0)*(Quesería!$J$70:$J$89&gt;0)*(H$47&gt;=1)*(H$47&lt;=Quesería!$J$70:$J$89)*(Quesería!$H$70:$H$89&gt;0)*Quesería!$F$70:$F$89*(1+Quesería!$I$70:$I$89)/(Quesería!$J$70:$J$89+(Quesería!$J$70:$J$89=0)))+SUMPRODUCT((Quesería!$C$70:$C$89=0)*(Quesería!$J$70:$J$89=0)*(H$47=0)*(Quesería!$H$70:$H$89&gt;0)*Quesería!$F$70:$F$89*(1+Quesería!$I$70:$I$89)))*$B$954+((SUMPRODUCT((Quesería!$C$70:$C$89=1)*(Quesería!$J$70:$J$89&gt;0)*(H$47&gt;=2)*(H$47&lt;=Quesería!$J$70:$J$89+1)*(Quesería!$H$70:$H$89&gt;0)*Quesería!$F$70:$F$89*(1+Quesería!$I$70:$I$89)/(Quesería!$J$70:$J$89+(Quesería!$J$70:$J$89=0)))+SUMPRODUCT((Quesería!$C$70:$C$89=1)*(Quesería!$J$70:$J$89=0)*(H$47=1)*(Quesería!$H$70:$H$89&gt;0)*Quesería!$F$70:$F$89*(1+Quesería!$I$70:$I$89)))-(-$W$26)*IF(AND(H$47&gt;=2,H$47&lt;=Quesería!$J$86+1),Quesería!$D$86*(1+Quesería!$I$86)/Quesería!$J$86,0))*$C$954*$W$21,IF(AND(H$47&gt;=1,H$47&lt;=Quesería!$B$30),Quesería!$F$92/Quesería!$B$30,0)*$B$954+IF(AND(H$47&gt;=2,H$47&lt;=Quesería!$B$30+1),(Quesería!$F$93-(-$W$26)*Quesería!$D$86*(1+Quesería!$I$86))/Quesería!$B$30,0)*$C$954*$W$21)*$W$11+IF(AND(H$47&gt;=6,H$47&lt;=10),$G958*$G954/5,0)+IF(AND(H$47&gt;=7,H$47&lt;=11),$H958*$H954/5,0))*H956</f>
        <v>131.657454431616</v>
      </c>
      <c r="I966" s="29" t="n">
        <f aca="false">(IF($W$19=1,(SUMPRODUCT((Quesería!$C$70:$C$89=0)*(Quesería!$J$70:$J$89&gt;0)*(I$47&gt;=1)*(I$47&lt;=Quesería!$J$70:$J$89)*(Quesería!$H$70:$H$89&gt;0)*Quesería!$F$70:$F$89*(1+Quesería!$I$70:$I$89)/(Quesería!$J$70:$J$89+(Quesería!$J$70:$J$89=0)))+SUMPRODUCT((Quesería!$C$70:$C$89=0)*(Quesería!$J$70:$J$89=0)*(I$47=0)*(Quesería!$H$70:$H$89&gt;0)*Quesería!$F$70:$F$89*(1+Quesería!$I$70:$I$89)))*$B$954+((SUMPRODUCT((Quesería!$C$70:$C$89=1)*(Quesería!$J$70:$J$89&gt;0)*(I$47&gt;=2)*(I$47&lt;=Quesería!$J$70:$J$89+1)*(Quesería!$H$70:$H$89&gt;0)*Quesería!$F$70:$F$89*(1+Quesería!$I$70:$I$89)/(Quesería!$J$70:$J$89+(Quesería!$J$70:$J$89=0)))+SUMPRODUCT((Quesería!$C$70:$C$89=1)*(Quesería!$J$70:$J$89=0)*(I$47=1)*(Quesería!$H$70:$H$89&gt;0)*Quesería!$F$70:$F$89*(1+Quesería!$I$70:$I$89)))-(-$W$26)*IF(AND(I$47&gt;=2,I$47&lt;=Quesería!$J$86+1),Quesería!$D$86*(1+Quesería!$I$86)/Quesería!$J$86,0))*$C$954*$W$21,IF(AND(I$47&gt;=1,I$47&lt;=Quesería!$B$30),Quesería!$F$92/Quesería!$B$30,0)*$B$954+IF(AND(I$47&gt;=2,I$47&lt;=Quesería!$B$30+1),(Quesería!$F$93-(-$W$26)*Quesería!$D$86*(1+Quesería!$I$86))/Quesería!$B$30,0)*$C$954*$W$21)*$W$11+IF(AND(I$47&gt;=6,I$47&lt;=10),$G958*$G954/5,0)+IF(AND(I$47&gt;=7,I$47&lt;=11),$H958*$H954/5,0))*I956</f>
        <v>135.514697667122</v>
      </c>
      <c r="J966" s="29" t="n">
        <f aca="false">(IF($W$19=1,(SUMPRODUCT((Quesería!$C$70:$C$89=0)*(Quesería!$J$70:$J$89&gt;0)*(J$47&gt;=1)*(J$47&lt;=Quesería!$J$70:$J$89)*(Quesería!$H$70:$H$89&gt;0)*Quesería!$F$70:$F$89*(1+Quesería!$I$70:$I$89)/(Quesería!$J$70:$J$89+(Quesería!$J$70:$J$89=0)))+SUMPRODUCT((Quesería!$C$70:$C$89=0)*(Quesería!$J$70:$J$89=0)*(J$47=0)*(Quesería!$H$70:$H$89&gt;0)*Quesería!$F$70:$F$89*(1+Quesería!$I$70:$I$89)))*$B$954+((SUMPRODUCT((Quesería!$C$70:$C$89=1)*(Quesería!$J$70:$J$89&gt;0)*(J$47&gt;=2)*(J$47&lt;=Quesería!$J$70:$J$89+1)*(Quesería!$H$70:$H$89&gt;0)*Quesería!$F$70:$F$89*(1+Quesería!$I$70:$I$89)/(Quesería!$J$70:$J$89+(Quesería!$J$70:$J$89=0)))+SUMPRODUCT((Quesería!$C$70:$C$89=1)*(Quesería!$J$70:$J$89=0)*(J$47=1)*(Quesería!$H$70:$H$89&gt;0)*Quesería!$F$70:$F$89*(1+Quesería!$I$70:$I$89)))-(-$W$26)*IF(AND(J$47&gt;=2,J$47&lt;=Quesería!$J$86+1),Quesería!$D$86*(1+Quesería!$I$86)/Quesería!$J$86,0))*$C$954*$W$21,IF(AND(J$47&gt;=1,J$47&lt;=Quesería!$B$30),Quesería!$F$92/Quesería!$B$30,0)*$B$954+IF(AND(J$47&gt;=2,J$47&lt;=Quesería!$B$30+1),(Quesería!$F$93-(-$W$26)*Quesería!$D$86*(1+Quesería!$I$86))/Quesería!$B$30,0)*$C$954*$W$21)*$W$11+IF(AND(J$47&gt;=6,J$47&lt;=10),$G958*$G954/5,0)+IF(AND(J$47&gt;=7,J$47&lt;=11),$H958*$H954/5,0))*J956</f>
        <v>130.302593910694</v>
      </c>
      <c r="K966" s="29" t="n">
        <f aca="false">(IF($W$19=1,(SUMPRODUCT((Quesería!$C$70:$C$89=0)*(Quesería!$J$70:$J$89&gt;0)*(K$47&gt;=1)*(K$47&lt;=Quesería!$J$70:$J$89)*(Quesería!$H$70:$H$89&gt;0)*Quesería!$F$70:$F$89*(1+Quesería!$I$70:$I$89)/(Quesería!$J$70:$J$89+(Quesería!$J$70:$J$89=0)))+SUMPRODUCT((Quesería!$C$70:$C$89=0)*(Quesería!$J$70:$J$89=0)*(K$47=0)*(Quesería!$H$70:$H$89&gt;0)*Quesería!$F$70:$F$89*(1+Quesería!$I$70:$I$89)))*$B$954+((SUMPRODUCT((Quesería!$C$70:$C$89=1)*(Quesería!$J$70:$J$89&gt;0)*(K$47&gt;=2)*(K$47&lt;=Quesería!$J$70:$J$89+1)*(Quesería!$H$70:$H$89&gt;0)*Quesería!$F$70:$F$89*(1+Quesería!$I$70:$I$89)/(Quesería!$J$70:$J$89+(Quesería!$J$70:$J$89=0)))+SUMPRODUCT((Quesería!$C$70:$C$89=1)*(Quesería!$J$70:$J$89=0)*(K$47=1)*(Quesería!$H$70:$H$89&gt;0)*Quesería!$F$70:$F$89*(1+Quesería!$I$70:$I$89)))-(-$W$26)*IF(AND(K$47&gt;=2,K$47&lt;=Quesería!$J$86+1),Quesería!$D$86*(1+Quesería!$I$86)/Quesería!$J$86,0))*$C$954*$W$21,IF(AND(K$47&gt;=1,K$47&lt;=Quesería!$B$30),Quesería!$F$92/Quesería!$B$30,0)*$B$954+IF(AND(K$47&gt;=2,K$47&lt;=Quesería!$B$30+1),(Quesería!$F$93-(-$W$26)*Quesería!$D$86*(1+Quesería!$I$86))/Quesería!$B$30,0)*$C$954*$W$21)*$W$11+IF(AND(K$47&gt;=6,K$47&lt;=10),$G958*$G954/5,0)+IF(AND(K$47&gt;=7,K$47&lt;=11),$H958*$H954/5,0))*K956</f>
        <v>125.29095568336</v>
      </c>
      <c r="L966" s="29" t="n">
        <f aca="false">(IF($W$19=1,(SUMPRODUCT((Quesería!$C$70:$C$89=0)*(Quesería!$J$70:$J$89&gt;0)*(L$47&gt;=1)*(L$47&lt;=Quesería!$J$70:$J$89)*(Quesería!$H$70:$H$89&gt;0)*Quesería!$F$70:$F$89*(1+Quesería!$I$70:$I$89)/(Quesería!$J$70:$J$89+(Quesería!$J$70:$J$89=0)))+SUMPRODUCT((Quesería!$C$70:$C$89=0)*(Quesería!$J$70:$J$89=0)*(L$47=0)*(Quesería!$H$70:$H$89&gt;0)*Quesería!$F$70:$F$89*(1+Quesería!$I$70:$I$89)))*$B$954+((SUMPRODUCT((Quesería!$C$70:$C$89=1)*(Quesería!$J$70:$J$89&gt;0)*(L$47&gt;=2)*(L$47&lt;=Quesería!$J$70:$J$89+1)*(Quesería!$H$70:$H$89&gt;0)*Quesería!$F$70:$F$89*(1+Quesería!$I$70:$I$89)/(Quesería!$J$70:$J$89+(Quesería!$J$70:$J$89=0)))+SUMPRODUCT((Quesería!$C$70:$C$89=1)*(Quesería!$J$70:$J$89=0)*(L$47=1)*(Quesería!$H$70:$H$89&gt;0)*Quesería!$F$70:$F$89*(1+Quesería!$I$70:$I$89)))-(-$W$26)*IF(AND(L$47&gt;=2,L$47&lt;=Quesería!$J$86+1),Quesería!$D$86*(1+Quesería!$I$86)/Quesería!$J$86,0))*$C$954*$W$21,IF(AND(L$47&gt;=1,L$47&lt;=Quesería!$B$30),Quesería!$F$92/Quesería!$B$30,0)*$B$954+IF(AND(L$47&gt;=2,L$47&lt;=Quesería!$B$30+1),(Quesería!$F$93-(-$W$26)*Quesería!$D$86*(1+Quesería!$I$86))/Quesería!$B$30,0)*$C$954*$W$21)*$W$11+IF(AND(L$47&gt;=6,L$47&lt;=10),$G958*$G954/5,0)+IF(AND(L$47&gt;=7,L$47&lt;=11),$H958*$H954/5,0))*L956</f>
        <v>120.472072772461</v>
      </c>
    </row>
    <row r="967" customFormat="false" ht="15" hidden="true" customHeight="false" outlineLevel="1" collapsed="false">
      <c r="A967" s="9" t="s">
        <v>417</v>
      </c>
      <c r="B967" s="58" t="n">
        <f aca="false">IF(B$47=1,MIN($W$7*$W$26*Quesería!$B$56*Quesería!$D$86*$W$11*$W$21,Quesería!$B$57*Quesería!$B$58),0)</f>
        <v>0</v>
      </c>
      <c r="C967" s="58" t="n">
        <f aca="false">IF(C$47=1,MIN($W$7*$W$26*Quesería!$B$56*Quesería!$D$86*$W$11*$W$21,Quesería!$B$57*Quesería!$B$58),0)</f>
        <v>0</v>
      </c>
      <c r="D967" s="58" t="n">
        <f aca="false">IF(D$47=1,MIN($W$7*$W$26*Quesería!$B$56*Quesería!$D$86*$W$11*$W$21,Quesería!$B$57*Quesería!$B$58),0)</f>
        <v>0</v>
      </c>
      <c r="E967" s="58" t="n">
        <f aca="false">IF(E$47=1,MIN($W$7*$W$26*Quesería!$B$56*Quesería!$D$86*$W$11*$W$21,Quesería!$B$57*Quesería!$B$58),0)</f>
        <v>0</v>
      </c>
      <c r="F967" s="58" t="n">
        <f aca="false">IF(F$47=1,MIN($W$7*$W$26*Quesería!$B$56*Quesería!$D$86*$W$11*$W$21,Quesería!$B$57*Quesería!$B$58),0)</f>
        <v>0</v>
      </c>
      <c r="G967" s="58" t="n">
        <f aca="false">IF(G$47=1,MIN($W$7*$W$26*Quesería!$B$56*Quesería!$D$86*$W$11*$W$21,Quesería!$B$57*Quesería!$B$58),0)</f>
        <v>0</v>
      </c>
      <c r="H967" s="58" t="n">
        <f aca="false">IF(H$47=1,MIN($W$7*$W$26*Quesería!$B$56*Quesería!$D$86*$W$11*$W$21,Quesería!$B$57*Quesería!$B$58),0)</f>
        <v>0</v>
      </c>
      <c r="I967" s="58" t="n">
        <f aca="false">IF(I$47=1,MIN($W$7*$W$26*Quesería!$B$56*Quesería!$D$86*$W$11*$W$21,Quesería!$B$57*Quesería!$B$58),0)</f>
        <v>0</v>
      </c>
      <c r="J967" s="58" t="n">
        <f aca="false">IF(J$47=1,MIN($W$7*$W$26*Quesería!$B$56*Quesería!$D$86*$W$11*$W$21,Quesería!$B$57*Quesería!$B$58),0)</f>
        <v>0</v>
      </c>
      <c r="K967" s="58" t="n">
        <f aca="false">IF(K$47=1,MIN($W$7*$W$26*Quesería!$B$56*Quesería!$D$86*$W$11*$W$21,Quesería!$B$57*Quesería!$B$58),0)</f>
        <v>0</v>
      </c>
      <c r="L967" s="58" t="n">
        <f aca="false">IF(L$47=1,MIN($W$7*$W$26*Quesería!$B$56*Quesería!$D$86*$W$11*$W$21,Quesería!$B$57*Quesería!$B$58),0)</f>
        <v>0</v>
      </c>
    </row>
    <row r="968" customFormat="false" ht="15" hidden="true" customHeight="false" outlineLevel="1" collapsed="false">
      <c r="A968" s="9" t="s">
        <v>418</v>
      </c>
      <c r="B968" s="58" t="n">
        <v>0</v>
      </c>
      <c r="C968" s="58" t="n">
        <f aca="false">$W$20*Quesería!$B$60*Quesería!$F$98*$W$11*$B$954/C954/2</f>
        <v>0</v>
      </c>
      <c r="D968" s="58" t="n">
        <f aca="false">$W$20*Quesería!$B$60*Quesería!$F$98*$W$11*$B$954/D954/2</f>
        <v>0</v>
      </c>
      <c r="E968" s="58" t="n">
        <v>0</v>
      </c>
      <c r="F968" s="58" t="n">
        <v>0</v>
      </c>
      <c r="G968" s="58" t="n">
        <v>0</v>
      </c>
      <c r="H968" s="58" t="n">
        <v>0</v>
      </c>
      <c r="I968" s="58" t="n">
        <v>0</v>
      </c>
      <c r="J968" s="58" t="n">
        <v>0</v>
      </c>
      <c r="K968" s="58" t="n">
        <v>0</v>
      </c>
      <c r="L968" s="58" t="n">
        <v>0</v>
      </c>
    </row>
    <row r="969" customFormat="false" ht="15" hidden="true" customHeight="false" outlineLevel="1" collapsed="false">
      <c r="A969" s="9" t="s">
        <v>419</v>
      </c>
      <c r="B969" s="58" t="n">
        <f aca="false">0</f>
        <v>0</v>
      </c>
      <c r="C969" s="58" t="n">
        <f aca="false">B959*B954/C954</f>
        <v>142.014925295407</v>
      </c>
      <c r="D969" s="58" t="n">
        <f aca="false">C959*C954/D954</f>
        <v>119.721648486272</v>
      </c>
      <c r="E969" s="58" t="n">
        <f aca="false">D959*D954/E954</f>
        <v>0</v>
      </c>
      <c r="F969" s="58" t="n">
        <f aca="false">E959*E954/F954</f>
        <v>0</v>
      </c>
      <c r="G969" s="58" t="n">
        <f aca="false">F959*F954/G954</f>
        <v>0</v>
      </c>
      <c r="H969" s="58" t="n">
        <f aca="false">G959*G954/H954</f>
        <v>5.01768392412113</v>
      </c>
      <c r="I969" s="58" t="n">
        <f aca="false">H959*H954/I954</f>
        <v>8.47494190873221</v>
      </c>
      <c r="J969" s="58" t="n">
        <f aca="false">I959*I954/J954</f>
        <v>0</v>
      </c>
      <c r="K969" s="58" t="n">
        <f aca="false">J959*J954/K954</f>
        <v>0</v>
      </c>
      <c r="L969" s="58" t="n">
        <f aca="false">K959*K954/L954</f>
        <v>0</v>
      </c>
    </row>
    <row r="970" customFormat="false" ht="15" hidden="true" customHeight="false" outlineLevel="1" collapsed="false">
      <c r="A970" s="6" t="s">
        <v>295</v>
      </c>
      <c r="B970" s="29" t="n">
        <f aca="false">$W$17*(B962-B963-B964-0.5*B965-B966)-B967-B968-B969</f>
        <v>41.4949291537268</v>
      </c>
      <c r="C970" s="29" t="n">
        <f aca="false">$W$17*(C962-C963-C964-0.5*C965-C966)-C967-C968-C969</f>
        <v>-131.381576395824</v>
      </c>
      <c r="D970" s="29" t="n">
        <f aca="false">$W$17*(D962-D963-D964-0.5*D965-D966)-D967-D968-D969</f>
        <v>-23.5794754496188</v>
      </c>
      <c r="E970" s="29" t="n">
        <f aca="false">$W$17*(E962-E963-E964-0.5*E965-E966)-E967-E968-E969</f>
        <v>123.053790202432</v>
      </c>
      <c r="F970" s="29" t="n">
        <f aca="false">$W$17*(F962-F963-F964-0.5*F965-F966)-F967-F968-F969</f>
        <v>125.075645190133</v>
      </c>
      <c r="G970" s="29" t="n">
        <f aca="false">$W$17*(G962-G963-G964-0.5*G965-G966)-G967-G968-G969</f>
        <v>127.001561574034</v>
      </c>
      <c r="H970" s="29" t="n">
        <f aca="false">$W$17*(H962-H963-H964-0.5*H965-H966)-H967-H968-H969</f>
        <v>121.998061969035</v>
      </c>
      <c r="I970" s="29" t="n">
        <f aca="false">$W$17*(I962-I963-I964-0.5*I965-I966)-I967-I968-I969</f>
        <v>117.339266369361</v>
      </c>
      <c r="J970" s="29" t="n">
        <f aca="false">$W$17*(J962-J963-J964-0.5*J965-J966)-J967-J968-J969</f>
        <v>127.748849220252</v>
      </c>
      <c r="K970" s="29" t="n">
        <f aca="false">$W$17*(K962-K963-K964-0.5*K965-K966)-K967-K968-K969</f>
        <v>129.613879250366</v>
      </c>
      <c r="L970" s="29" t="n">
        <f aca="false">$W$17*(L962-L963-L964-0.5*L965-L966)-L967-L968-L969</f>
        <v>131.411999702979</v>
      </c>
    </row>
    <row r="971" customFormat="false" ht="15" hidden="true" customHeight="false" outlineLevel="1" collapsed="false">
      <c r="A971" s="9" t="s">
        <v>420</v>
      </c>
      <c r="B971" s="58" t="n">
        <f aca="false">(IF(B$47&gt;=1,Quesería!$G$124*IF(B$47=1,Quesería!$B$20,1),Quesería!$G$124*Quesería!$B$20*Quesería!$B$21/12*$W$23)+IF(B$47&gt;=2,(Quesería!$G$125-(1-$W$24)*Quesería!$G$117-(-$W$26*$W$27)*'Beneficios y costos'!$D$167)*$W$21*IF(B$47=2,Quesería!$B$20,1),0))*$W$10</f>
        <v>77.4042870161869</v>
      </c>
      <c r="C971" s="58" t="n">
        <f aca="false">(IF(C$47&gt;=1,Quesería!$G$124*IF(C$47=1,Quesería!$B$20,1),Quesería!$G$124*Quesería!$B$20*Quesería!$B$21/12*$W$23)+IF(C$47&gt;=2,(Quesería!$G$125-(1-$W$24)*Quesería!$G$117-(-$W$26*$W$27)*'Beneficios y costos'!$D$167)*$W$21*IF(C$47=2,Quesería!$B$20,1),0))*$W$10</f>
        <v>116.10643052428</v>
      </c>
      <c r="D971" s="58" t="n">
        <f aca="false">(IF(D$47&gt;=1,Quesería!$G$124*IF(D$47=1,Quesería!$B$20,1),Quesería!$G$124*Quesería!$B$20*Quesería!$B$21/12*$W$23)+IF(D$47&gt;=2,(Quesería!$G$125-(1-$W$24)*Quesería!$G$117-(-$W$26*$W$27)*'Beneficios y costos'!$D$167)*$W$21*IF(D$47=2,Quesería!$B$20,1),0))*$W$10</f>
        <v>2023.78917421887</v>
      </c>
      <c r="E971" s="58" t="n">
        <f aca="false">(IF(E$47&gt;=1,Quesería!$G$124*IF(E$47=1,Quesería!$B$20,1),Quesería!$G$124*Quesería!$B$20*Quesería!$B$21/12*$W$23)+IF(E$47&gt;=2,(Quesería!$G$125-(1-$W$24)*Quesería!$G$117-(-$W$26*$W$27)*'Beneficios y costos'!$D$167)*$W$21*IF(E$47=2,Quesería!$B$20,1),0))*$W$10</f>
        <v>2646.78270761437</v>
      </c>
      <c r="F971" s="58" t="n">
        <f aca="false">(IF(F$47&gt;=1,Quesería!$G$124*IF(F$47=1,Quesería!$B$20,1),Quesería!$G$124*Quesería!$B$20*Quesería!$B$21/12*$W$23)+IF(F$47&gt;=2,(Quesería!$G$125-(1-$W$24)*Quesería!$G$117-(-$W$26*$W$27)*'Beneficios y costos'!$D$167)*$W$21*IF(F$47=2,Quesería!$B$20,1),0))*$W$10</f>
        <v>2646.78270761437</v>
      </c>
      <c r="G971" s="58" t="n">
        <f aca="false">(IF(G$47&gt;=1,Quesería!$G$124*IF(G$47=1,Quesería!$B$20,1),Quesería!$G$124*Quesería!$B$20*Quesería!$B$21/12*$W$23)+IF(G$47&gt;=2,(Quesería!$G$125-(1-$W$24)*Quesería!$G$117-(-$W$26*$W$27)*'Beneficios y costos'!$D$167)*$W$21*IF(G$47=2,Quesería!$B$20,1),0))*$W$10</f>
        <v>2646.78270761437</v>
      </c>
      <c r="H971" s="58" t="n">
        <f aca="false">(IF(H$47&gt;=1,Quesería!$G$124*IF(H$47=1,Quesería!$B$20,1),Quesería!$G$124*Quesería!$B$20*Quesería!$B$21/12*$W$23)+IF(H$47&gt;=2,(Quesería!$G$125-(1-$W$24)*Quesería!$G$117-(-$W$26*$W$27)*'Beneficios y costos'!$D$167)*$W$21*IF(H$47=2,Quesería!$B$20,1),0))*$W$10</f>
        <v>2646.78270761437</v>
      </c>
      <c r="I971" s="58" t="n">
        <f aca="false">(IF(I$47&gt;=1,Quesería!$G$124*IF(I$47=1,Quesería!$B$20,1),Quesería!$G$124*Quesería!$B$20*Quesería!$B$21/12*$W$23)+IF(I$47&gt;=2,(Quesería!$G$125-(1-$W$24)*Quesería!$G$117-(-$W$26*$W$27)*'Beneficios y costos'!$D$167)*$W$21*IF(I$47=2,Quesería!$B$20,1),0))*$W$10</f>
        <v>2646.78270761437</v>
      </c>
      <c r="J971" s="58" t="n">
        <f aca="false">(IF(J$47&gt;=1,Quesería!$G$124*IF(J$47=1,Quesería!$B$20,1),Quesería!$G$124*Quesería!$B$20*Quesería!$B$21/12*$W$23)+IF(J$47&gt;=2,(Quesería!$G$125-(1-$W$24)*Quesería!$G$117-(-$W$26*$W$27)*'Beneficios y costos'!$D$167)*$W$21*IF(J$47=2,Quesería!$B$20,1),0))*$W$10</f>
        <v>2646.78270761437</v>
      </c>
      <c r="K971" s="58" t="n">
        <f aca="false">(IF(K$47&gt;=1,Quesería!$G$124*IF(K$47=1,Quesería!$B$20,1),Quesería!$G$124*Quesería!$B$20*Quesería!$B$21/12*$W$23)+IF(K$47&gt;=2,(Quesería!$G$125-(1-$W$24)*Quesería!$G$117-(-$W$26*$W$27)*'Beneficios y costos'!$D$167)*$W$21*IF(K$47=2,Quesería!$B$20,1),0))*$W$10</f>
        <v>2646.78270761437</v>
      </c>
      <c r="L971" s="58" t="n">
        <f aca="false">(IF(L$47&gt;=1,Quesería!$G$124*IF(L$47=1,Quesería!$B$20,1),Quesería!$G$124*Quesería!$B$20*Quesería!$B$21/12*$W$23)+IF(L$47&gt;=2,(Quesería!$G$125-(1-$W$24)*Quesería!$G$117-(-$W$26*$W$27)*'Beneficios y costos'!$D$167)*$W$21*IF(L$47=2,Quesería!$B$20,1),0))*$W$10</f>
        <v>2646.78270761437</v>
      </c>
    </row>
    <row r="972" customFormat="false" ht="15" hidden="true" customHeight="false" outlineLevel="1" collapsed="false">
      <c r="A972" s="6" t="s">
        <v>421</v>
      </c>
      <c r="B972" s="29" t="n">
        <f aca="false">(B971*(Quesería!$B$38+Quesería!$B$40*Quesería!$B$39)/365-B963*Quesería!$B$42/365+IF(B$47&gt;=2,($W$25*'Beneficios y costos'!$B$147+(1-$W$25)*'Beneficios y costos'!$B$148)*$W$24*$W$21*$W$10*IF(B$47=2,Quesería!$B$20,1),0))</f>
        <v>7.23146900616979</v>
      </c>
      <c r="C972" s="29" t="n">
        <f aca="false">(C971*(Quesería!$B$38+Quesería!$B$40*Quesería!$B$39)/365-C963*Quesería!$B$42/365+IF(C$47&gt;=2,($W$25*'Beneficios y costos'!$B$147+(1-$W$25)*'Beneficios y costos'!$B$148)*$W$24*$W$21*$W$10*IF(C$47=2,Quesería!$B$20,1),0))-(B971*(Quesería!$B$38+Quesería!$B$40*Quesería!$B$39)/365-B963*Quesería!$B$42/365+IF(B$47&gt;=2,($W$25*'Beneficios y costos'!$B$147+(1-$W$25)*'Beneficios y costos'!$B$148)*$W$24*$W$21*$W$10*IF(B$47=2,Quesería!$B$20,1),0))*B954/C954</f>
        <v>1.42287846600884</v>
      </c>
      <c r="D972" s="29" t="n">
        <f aca="false">(D971*(Quesería!$B$38+Quesería!$B$40*Quesería!$B$39)/365-D963*Quesería!$B$42/365+IF(D$47&gt;=2,($W$25*'Beneficios y costos'!$B$147+(1-$W$25)*'Beneficios y costos'!$B$148)*$W$24*$W$21*$W$10*IF(D$47=2,Quesería!$B$20,1),0))-(C971*(Quesería!$B$38+Quesería!$B$40*Quesería!$B$39)/365-C963*Quesería!$B$42/365+IF(C$47&gt;=2,($W$25*'Beneficios y costos'!$B$147+(1-$W$25)*'Beneficios y costos'!$B$148)*$W$24*$W$21*$W$10*IF(C$47=2,Quesería!$B$20,1),0))*C954/D954</f>
        <v>121.067969072345</v>
      </c>
      <c r="E972" s="29" t="n">
        <f aca="false">(E971*(Quesería!$B$38+Quesería!$B$40*Quesería!$B$39)/365-E963*Quesería!$B$42/365+IF(E$47&gt;=2,($W$25*'Beneficios y costos'!$B$147+(1-$W$25)*'Beneficios y costos'!$B$148)*$W$24*$W$21*$W$10*IF(E$47=2,Quesería!$B$20,1),0))-(D971*(Quesería!$B$38+Quesería!$B$40*Quesería!$B$39)/365-D963*Quesería!$B$42/365+IF(D$47&gt;=2,($W$25*'Beneficios y costos'!$B$147+(1-$W$25)*'Beneficios y costos'!$B$148)*$W$24*$W$21*$W$10*IF(D$47=2,Quesería!$B$20,1),0))*D954/E954</f>
        <v>44.6849531551876</v>
      </c>
      <c r="F972" s="29" t="n">
        <f aca="false">(F971*(Quesería!$B$38+Quesería!$B$40*Quesería!$B$39)/365-F963*Quesería!$B$42/365+IF(F$47&gt;=2,($W$25*'Beneficios y costos'!$B$147+(1-$W$25)*'Beneficios y costos'!$B$148)*$W$24*$W$21*$W$10*IF(F$47=2,Quesería!$B$20,1),0))-(E971*(Quesería!$B$38+Quesería!$B$40*Quesería!$B$39)/365-E963*Quesería!$B$42/365+IF(E$47&gt;=2,($W$25*'Beneficios y costos'!$B$147+(1-$W$25)*'Beneficios y costos'!$B$148)*$W$24*$W$21*$W$10*IF(E$47=2,Quesería!$B$20,1),0))*E954/F954</f>
        <v>6.49010597714096</v>
      </c>
      <c r="G972" s="29" t="n">
        <f aca="false">(G971*(Quesería!$B$38+Quesería!$B$40*Quesería!$B$39)/365-G963*Quesería!$B$42/365+IF(G$47&gt;=2,($W$25*'Beneficios y costos'!$B$147+(1-$W$25)*'Beneficios y costos'!$B$148)*$W$24*$W$21*$W$10*IF(G$47=2,Quesería!$B$20,1),0))-(F971*(Quesería!$B$38+Quesería!$B$40*Quesería!$B$39)/365-F963*Quesería!$B$42/365+IF(F$47&gt;=2,($W$25*'Beneficios y costos'!$B$147+(1-$W$25)*'Beneficios y costos'!$B$148)*$W$24*$W$21*$W$10*IF(F$47=2,Quesería!$B$20,1),0))*F954/G954</f>
        <v>6.49010597714096</v>
      </c>
      <c r="H972" s="29" t="n">
        <f aca="false">(H971*(Quesería!$B$38+Quesería!$B$40*Quesería!$B$39)/365-H963*Quesería!$B$42/365+IF(H$47&gt;=2,($W$25*'Beneficios y costos'!$B$147+(1-$W$25)*'Beneficios y costos'!$B$148)*$W$24*$W$21*$W$10*IF(H$47=2,Quesería!$B$20,1),0))-(G971*(Quesería!$B$38+Quesería!$B$40*Quesería!$B$39)/365-G963*Quesería!$B$42/365+IF(G$47&gt;=2,($W$25*'Beneficios y costos'!$B$147+(1-$W$25)*'Beneficios y costos'!$B$148)*$W$24*$W$21*$W$10*IF(G$47=2,Quesería!$B$20,1),0))*G954/H954</f>
        <v>6.49010597714096</v>
      </c>
      <c r="I972" s="29" t="n">
        <f aca="false">(I971*(Quesería!$B$38+Quesería!$B$40*Quesería!$B$39)/365-I963*Quesería!$B$42/365+IF(I$47&gt;=2,($W$25*'Beneficios y costos'!$B$147+(1-$W$25)*'Beneficios y costos'!$B$148)*$W$24*$W$21*$W$10*IF(I$47=2,Quesería!$B$20,1),0))-(H971*(Quesería!$B$38+Quesería!$B$40*Quesería!$B$39)/365-H963*Quesería!$B$42/365+IF(H$47&gt;=2,($W$25*'Beneficios y costos'!$B$147+(1-$W$25)*'Beneficios y costos'!$B$148)*$W$24*$W$21*$W$10*IF(H$47=2,Quesería!$B$20,1),0))*H954/I954</f>
        <v>6.49010597714096</v>
      </c>
      <c r="J972" s="29" t="n">
        <f aca="false">(J971*(Quesería!$B$38+Quesería!$B$40*Quesería!$B$39)/365-J963*Quesería!$B$42/365+IF(J$47&gt;=2,($W$25*'Beneficios y costos'!$B$147+(1-$W$25)*'Beneficios y costos'!$B$148)*$W$24*$W$21*$W$10*IF(J$47=2,Quesería!$B$20,1),0))-(I971*(Quesería!$B$38+Quesería!$B$40*Quesería!$B$39)/365-I963*Quesería!$B$42/365+IF(I$47&gt;=2,($W$25*'Beneficios y costos'!$B$147+(1-$W$25)*'Beneficios y costos'!$B$148)*$W$24*$W$21*$W$10*IF(I$47=2,Quesería!$B$20,1),0))*I954/J954</f>
        <v>6.49010597714096</v>
      </c>
      <c r="K972" s="29" t="n">
        <f aca="false">(K971*(Quesería!$B$38+Quesería!$B$40*Quesería!$B$39)/365-K963*Quesería!$B$42/365+IF(K$47&gt;=2,($W$25*'Beneficios y costos'!$B$147+(1-$W$25)*'Beneficios y costos'!$B$148)*$W$24*$W$21*$W$10*IF(K$47=2,Quesería!$B$20,1),0))-(J971*(Quesería!$B$38+Quesería!$B$40*Quesería!$B$39)/365-J963*Quesería!$B$42/365+IF(J$47&gt;=2,($W$25*'Beneficios y costos'!$B$147+(1-$W$25)*'Beneficios y costos'!$B$148)*$W$24*$W$21*$W$10*IF(J$47=2,Quesería!$B$20,1),0))*J954/K954</f>
        <v>6.49010597714099</v>
      </c>
      <c r="L972" s="29" t="n">
        <f aca="false">-(K971*(Quesería!$B$38+Quesería!$B$40*Quesería!$B$39)/365-K963*Quesería!$B$42/365+IF(K$47&gt;=2,($W$25*'Beneficios y costos'!$B$147+(1-$W$25)*'Beneficios y costos'!$B$148)*$W$24*$W$21*$W$10*IF(K$47=2,Quesería!$B$20,1),0))*K954/L954</f>
        <v>-162.252649428524</v>
      </c>
    </row>
    <row r="973" customFormat="false" ht="15" hidden="true" customHeight="false" outlineLevel="1" collapsed="false">
      <c r="A973" s="6" t="s">
        <v>422</v>
      </c>
      <c r="B973" s="29" t="n">
        <v>0</v>
      </c>
      <c r="C973" s="29" t="n">
        <v>0</v>
      </c>
      <c r="D973" s="29" t="n">
        <v>0</v>
      </c>
      <c r="E973" s="29" t="n">
        <v>0</v>
      </c>
      <c r="F973" s="29" t="n">
        <v>0</v>
      </c>
      <c r="G973" s="29" t="n">
        <v>0</v>
      </c>
      <c r="H973" s="29" t="n">
        <v>0</v>
      </c>
      <c r="I973" s="29" t="n">
        <v>0</v>
      </c>
      <c r="J973" s="29" t="n">
        <v>0</v>
      </c>
      <c r="K973" s="29" t="n">
        <v>0</v>
      </c>
      <c r="L973" s="29" t="n">
        <f aca="false">$W$8*Quesería!$B$36*(Quesería!$F$94+(Quesería!$F$95-(-$W$26)*Quesería!$D$86)*$W$21)*$W$11*(1-$W$17)</f>
        <v>61.9237725584542</v>
      </c>
    </row>
    <row r="974" customFormat="false" ht="15" hidden="true" customHeight="false" outlineLevel="1" collapsed="false">
      <c r="A974" s="5" t="s">
        <v>147</v>
      </c>
      <c r="B974" s="59" t="n">
        <f aca="false">B962-B963-B964-B965-B970-B957-B958-B959-B972+B973</f>
        <v>-1012.24520053452</v>
      </c>
      <c r="C974" s="59" t="n">
        <f aca="false">C962-C963-C964-C965-C970-C957-C958-C959-C972+C973</f>
        <v>-536.279231684274</v>
      </c>
      <c r="D974" s="59" t="n">
        <f aca="false">D962-D963-D964-D965-D970-D957-D958-D959-D972+D973</f>
        <v>324.892109597955</v>
      </c>
      <c r="E974" s="59" t="n">
        <f aca="false">E962-E963-E964-E965-E970-E957-E958-E959-E972+E973</f>
        <v>325.845976421542</v>
      </c>
      <c r="F974" s="59" t="n">
        <f aca="false">F962-F963-F964-F965-F970-F957-F958-F959-F972+F973</f>
        <v>362.328179647324</v>
      </c>
      <c r="G974" s="59" t="n">
        <f aca="false">G962-G963-G964-G965-G970-G957-G958-G959-G972+G973</f>
        <v>327.898677369877</v>
      </c>
      <c r="H974" s="59" t="n">
        <f aca="false">H962-H963-H964-H965-H970-H957-H958-H959-H972+H973</f>
        <v>310.60492315788</v>
      </c>
      <c r="I974" s="59" t="n">
        <f aca="false">I962-I963-I964-I965-I970-I957-I958-I959-I972+I973</f>
        <v>371.001498865222</v>
      </c>
      <c r="J974" s="59" t="n">
        <f aca="false">J962-J963-J964-J965-J970-J957-J958-J959-J972+J973</f>
        <v>360.907357806929</v>
      </c>
      <c r="K974" s="59" t="n">
        <f aca="false">K962-K963-K964-K965-K970-K957-K958-K959-K972+K973</f>
        <v>359.359346778377</v>
      </c>
      <c r="L974" s="59" t="n">
        <f aca="false">L962-L963-L964-L965-L970-L957-L958-L959-L972+L973</f>
        <v>588.546358386452</v>
      </c>
    </row>
    <row r="975" customFormat="false" ht="15" hidden="true" customHeight="false" outlineLevel="1" collapsed="false">
      <c r="A975" s="9" t="s">
        <v>423</v>
      </c>
      <c r="B975" s="58" t="n">
        <f aca="false">B974*B954</f>
        <v>-1072.97991256659</v>
      </c>
      <c r="C975" s="58" t="n">
        <f aca="false">C974*C954</f>
        <v>-596.878784864598</v>
      </c>
      <c r="D975" s="58" t="n">
        <f aca="false">D974*D954</f>
        <v>377.877139291738</v>
      </c>
      <c r="E975" s="58" t="n">
        <f aca="false">E974*E954</f>
        <v>394.1460301857</v>
      </c>
      <c r="F975" s="58" t="n">
        <f aca="false">F974*F954</f>
        <v>455.806218044437</v>
      </c>
      <c r="G975" s="58" t="n">
        <f aca="false">G974*G954</f>
        <v>428.993920446325</v>
      </c>
      <c r="H975" s="58" t="n">
        <f aca="false">H974*H954</f>
        <v>422.623018045685</v>
      </c>
      <c r="I975" s="58" t="n">
        <f aca="false">I974*I954</f>
        <v>524.993365906833</v>
      </c>
      <c r="J975" s="58" t="n">
        <f aca="false">J974*J954</f>
        <v>531.137819929432</v>
      </c>
      <c r="K975" s="58" t="n">
        <f aca="false">K974*K954</f>
        <v>550.014039132139</v>
      </c>
      <c r="L975" s="58" t="n">
        <f aca="false">L974*L954</f>
        <v>936.825807377626</v>
      </c>
    </row>
    <row r="976" customFormat="false" ht="15" hidden="true" customHeight="false" outlineLevel="1" collapsed="false">
      <c r="A976" s="6" t="s">
        <v>424</v>
      </c>
      <c r="B976" s="29" t="n">
        <f aca="false">B974</f>
        <v>-1012.24520053452</v>
      </c>
      <c r="C976" s="29" t="n">
        <f aca="false">B976+C974</f>
        <v>-1548.52443221879</v>
      </c>
      <c r="D976" s="29" t="n">
        <f aca="false">C976+D974</f>
        <v>-1223.63232262083</v>
      </c>
      <c r="E976" s="29" t="n">
        <f aca="false">D976+E974</f>
        <v>-897.786346199292</v>
      </c>
      <c r="F976" s="29" t="n">
        <f aca="false">E976+F974</f>
        <v>-535.458166551968</v>
      </c>
      <c r="G976" s="29" t="n">
        <f aca="false">F976+G974</f>
        <v>-207.559489182091</v>
      </c>
      <c r="H976" s="29" t="n">
        <f aca="false">G976+H974</f>
        <v>103.045433975789</v>
      </c>
      <c r="I976" s="29" t="n">
        <f aca="false">H976+I974</f>
        <v>474.046932841011</v>
      </c>
      <c r="J976" s="29" t="n">
        <f aca="false">I976+J974</f>
        <v>834.95429064794</v>
      </c>
      <c r="K976" s="29" t="n">
        <f aca="false">J976+K974</f>
        <v>1194.31363742632</v>
      </c>
      <c r="L976" s="29" t="n">
        <f aca="false">K976+L974</f>
        <v>1782.85999581277</v>
      </c>
    </row>
    <row r="977" customFormat="false" ht="15" hidden="true" customHeight="false" outlineLevel="1" collapsed="false">
      <c r="A977" s="9" t="s">
        <v>425</v>
      </c>
      <c r="B977" s="60" t="n">
        <v>0</v>
      </c>
      <c r="C977" s="60" t="n">
        <f aca="false">IF(AND(B976&lt;0,C976&gt;=0),B$47+(-B976)/C974,0)</f>
        <v>0</v>
      </c>
      <c r="D977" s="60" t="n">
        <f aca="false">IF(AND(C976&lt;0,D976&gt;=0),C$47+(-C976)/D974,0)</f>
        <v>0</v>
      </c>
      <c r="E977" s="60" t="n">
        <f aca="false">IF(AND(D976&lt;0,E976&gt;=0),D$47+(-D976)/E974,0)</f>
        <v>0</v>
      </c>
      <c r="F977" s="60" t="n">
        <f aca="false">IF(AND(E976&lt;0,F976&gt;=0),E$47+(-E976)/F974,0)</f>
        <v>0</v>
      </c>
      <c r="G977" s="60" t="n">
        <f aca="false">IF(AND(F976&lt;0,G976&gt;=0),F$47+(-F976)/G974,0)</f>
        <v>0</v>
      </c>
      <c r="H977" s="60" t="n">
        <f aca="false">IF(AND(G976&lt;0,H976&gt;=0),G$47+(-G976)/H974,0)</f>
        <v>5.66824275375889</v>
      </c>
      <c r="I977" s="60" t="n">
        <f aca="false">IF(AND(H976&lt;0,I976&gt;=0),H$47+(-H976)/I974,0)</f>
        <v>0</v>
      </c>
      <c r="J977" s="60" t="n">
        <f aca="false">IF(AND(I976&lt;0,J976&gt;=0),I$47+(-I976)/J974,0)</f>
        <v>0</v>
      </c>
      <c r="K977" s="60" t="n">
        <f aca="false">IF(AND(J976&lt;0,K976&gt;=0),J$47+(-J976)/K974,0)</f>
        <v>0</v>
      </c>
      <c r="L977" s="60" t="n">
        <f aca="false">IF(AND(K976&lt;0,L976&gt;=0),K$47+(-K976)/L974,0)</f>
        <v>0</v>
      </c>
    </row>
    <row r="978" customFormat="false" ht="15" hidden="true" customHeight="false" outlineLevel="1" collapsed="false">
      <c r="A978" s="9" t="s">
        <v>426</v>
      </c>
      <c r="B978" s="57" t="n">
        <f aca="false">(B954/$B$954)/(1+$W$29)^B$47</f>
        <v>1</v>
      </c>
      <c r="C978" s="57" t="n">
        <f aca="false">(C954/$B$954)/(1+$W$29)^C$47</f>
        <v>0.905172413793104</v>
      </c>
      <c r="D978" s="57" t="n">
        <f aca="false">(D954/$B$954)/(1+$W$29)^D$47</f>
        <v>0.815435493460167</v>
      </c>
      <c r="E978" s="57" t="n">
        <f aca="false">(E954/$B$954)/(1+$W$29)^E$47</f>
        <v>0.731080097584977</v>
      </c>
      <c r="F978" s="57" t="n">
        <f aca="false">(F954/$B$954)/(1+$W$29)^F$47</f>
        <v>0.655451121972738</v>
      </c>
      <c r="G978" s="57" t="n">
        <f aca="false">(G954/$B$954)/(1+$W$29)^G$47</f>
        <v>0.5876458334928</v>
      </c>
      <c r="H978" s="57" t="n">
        <f aca="false">(H954/$B$954)/(1+$W$29)^H$47</f>
        <v>0.526854885200441</v>
      </c>
      <c r="I978" s="57" t="n">
        <f aca="false">(I954/$B$954)/(1+$W$29)^I$47</f>
        <v>0.472352655696947</v>
      </c>
      <c r="J978" s="57" t="n">
        <f aca="false">(J954/$B$954)/(1+$W$29)^J$47</f>
        <v>0.423488587866229</v>
      </c>
      <c r="K978" s="57" t="n">
        <f aca="false">(K954/$B$954)/(1+$W$29)^K$47</f>
        <v>0.379679423604205</v>
      </c>
      <c r="L978" s="57" t="n">
        <f aca="false">(L954/$B$954)/(1+$W$29)^L$47</f>
        <v>0.340402241852046</v>
      </c>
    </row>
    <row r="979" customFormat="false" ht="15" hidden="true" customHeight="false" outlineLevel="1" collapsed="false">
      <c r="A979" s="9" t="s">
        <v>427</v>
      </c>
      <c r="B979" s="58" t="n">
        <f aca="false">B974*B978</f>
        <v>-1012.24520053452</v>
      </c>
      <c r="C979" s="58" t="n">
        <f aca="false">C974*C978</f>
        <v>-485.425166610766</v>
      </c>
      <c r="D979" s="58" t="n">
        <f aca="false">D974*D978</f>
        <v>264.928557711323</v>
      </c>
      <c r="E979" s="58" t="n">
        <f aca="false">E974*E978</f>
        <v>238.219508239933</v>
      </c>
      <c r="F979" s="58" t="n">
        <f aca="false">F974*F978</f>
        <v>237.488411872178</v>
      </c>
      <c r="G979" s="58" t="n">
        <f aca="false">G974*G978</f>
        <v>192.688291564208</v>
      </c>
      <c r="H979" s="58" t="n">
        <f aca="false">H974*H978</f>
        <v>163.643721133037</v>
      </c>
      <c r="I979" s="58" t="n">
        <f aca="false">I974*I978</f>
        <v>175.243543256536</v>
      </c>
      <c r="J979" s="58" t="n">
        <f aca="false">J974*J978</f>
        <v>152.840147308188</v>
      </c>
      <c r="K979" s="58" t="n">
        <f aca="false">K974*K978</f>
        <v>136.441349651598</v>
      </c>
      <c r="L979" s="58" t="n">
        <f aca="false">L974*L978</f>
        <v>200.342499828606</v>
      </c>
    </row>
    <row r="980" customFormat="false" ht="15" hidden="true" customHeight="false" outlineLevel="1" collapsed="false">
      <c r="A980" s="9" t="s">
        <v>428</v>
      </c>
      <c r="B980" s="58" t="n">
        <f aca="false">B979</f>
        <v>-1012.24520053452</v>
      </c>
      <c r="C980" s="58" t="n">
        <f aca="false">B980+C979</f>
        <v>-1497.67036714528</v>
      </c>
      <c r="D980" s="58" t="n">
        <f aca="false">C980+D979</f>
        <v>-1232.74180943396</v>
      </c>
      <c r="E980" s="58" t="n">
        <f aca="false">D980+E979</f>
        <v>-994.522301194025</v>
      </c>
      <c r="F980" s="58" t="n">
        <f aca="false">E980+F979</f>
        <v>-757.033889321846</v>
      </c>
      <c r="G980" s="58" t="n">
        <f aca="false">F980+G979</f>
        <v>-564.345597757638</v>
      </c>
      <c r="H980" s="58" t="n">
        <f aca="false">G980+H979</f>
        <v>-400.701876624602</v>
      </c>
      <c r="I980" s="58" t="n">
        <f aca="false">H980+I979</f>
        <v>-225.458333368066</v>
      </c>
      <c r="J980" s="58" t="n">
        <f aca="false">I980+J979</f>
        <v>-72.6181860598776</v>
      </c>
      <c r="K980" s="58" t="n">
        <f aca="false">J980+K979</f>
        <v>63.8231635917203</v>
      </c>
      <c r="L980" s="58" t="n">
        <f aca="false">K980+L979</f>
        <v>264.165663420326</v>
      </c>
    </row>
    <row r="981" customFormat="false" ht="15" hidden="true" customHeight="false" outlineLevel="1" collapsed="false">
      <c r="A981" s="9" t="s">
        <v>429</v>
      </c>
      <c r="B981" s="60" t="n">
        <v>0</v>
      </c>
      <c r="C981" s="60" t="n">
        <f aca="false">IF(AND(B980&lt;0,C980&gt;=0),B$47+(-B980)/C979,0)</f>
        <v>0</v>
      </c>
      <c r="D981" s="60" t="n">
        <f aca="false">IF(AND(C980&lt;0,D980&gt;=0),C$47+(-C980)/D979,0)</f>
        <v>0</v>
      </c>
      <c r="E981" s="60" t="n">
        <f aca="false">IF(AND(D980&lt;0,E980&gt;=0),D$47+(-D980)/E979,0)</f>
        <v>0</v>
      </c>
      <c r="F981" s="60" t="n">
        <f aca="false">IF(AND(E980&lt;0,F980&gt;=0),E$47+(-E980)/F979,0)</f>
        <v>0</v>
      </c>
      <c r="G981" s="60" t="n">
        <f aca="false">IF(AND(F980&lt;0,G980&gt;=0),F$47+(-F980)/G979,0)</f>
        <v>0</v>
      </c>
      <c r="H981" s="60" t="n">
        <f aca="false">IF(AND(G980&lt;0,H980&gt;=0),G$47+(-G980)/H979,0)</f>
        <v>0</v>
      </c>
      <c r="I981" s="60" t="n">
        <f aca="false">IF(AND(H980&lt;0,I980&gt;=0),H$47+(-H980)/I979,0)</f>
        <v>0</v>
      </c>
      <c r="J981" s="60" t="n">
        <f aca="false">IF(AND(I980&lt;0,J980&gt;=0),I$47+(-I980)/J979,0)</f>
        <v>0</v>
      </c>
      <c r="K981" s="60" t="n">
        <f aca="false">IF(AND(J980&lt;0,K980&gt;=0),J$47+(-J980)/K979,0)</f>
        <v>8.53223004789463</v>
      </c>
      <c r="L981" s="60" t="n">
        <f aca="false">IF(AND(K980&lt;0,L980&gt;=0),K$47+(-K980)/L979,0)</f>
        <v>0</v>
      </c>
    </row>
    <row r="982" customFormat="false" ht="15" hidden="true" customHeight="false" outlineLevel="1" collapsed="false">
      <c r="A982" s="9" t="s">
        <v>430</v>
      </c>
      <c r="B982" s="58" t="n">
        <f aca="false">IF(B$47&lt;0,0,(Quesería!$B$44*$B$957*$B$954)*(1-MAX(0,MIN(B$47-0-Quesería!$B$47,(Quesería!$B$46-Quesería!$B$47)))/(Quesería!$B$46-Quesería!$B$47))*IF(B$47&gt;=2,1-Quesería!$B$48,1))+IF(B$47&lt;1,0,(Quesería!$B$44*$C$957*$C$954)*(1-MAX(0,MIN(B$47-1-Quesería!$B$47,(Quesería!$B$46-Quesería!$B$47)))/(Quesería!$B$46-Quesería!$B$47))*IF(B$47&gt;=2,1-Quesería!$B$48,1))</f>
        <v>641.321364968425</v>
      </c>
      <c r="C982" s="58" t="n">
        <f aca="false">IF(C$47&lt;0,0,(Quesería!$B$44*$B$957*$B$954)*(1-MAX(0,MIN(C$47-0-Quesería!$B$47,(Quesería!$B$46-Quesería!$B$47)))/(Quesería!$B$46-Quesería!$B$47))*IF(C$47&gt;=2,1-Quesería!$B$48,1))+IF(C$47&lt;1,0,(Quesería!$B$44*$C$957*$C$954)*(1-MAX(0,MIN(C$47-1-Quesería!$B$47,(Quesería!$B$46-Quesería!$B$47)))/(Quesería!$B$46-Quesería!$B$47))*IF(C$47&gt;=2,1-Quesería!$B$48,1))</f>
        <v>1117.69081125409</v>
      </c>
      <c r="D982" s="58" t="n">
        <f aca="false">IF(D$47&lt;0,0,(Quesería!$B$44*$B$957*$B$954)*(1-MAX(0,MIN(D$47-0-Quesería!$B$47,(Quesería!$B$46-Quesería!$B$47)))/(Quesería!$B$46-Quesería!$B$47))*IF(D$47&gt;=2,1-Quesería!$B$48,1))+IF(D$47&lt;1,0,(Quesería!$B$44*$C$957*$C$954)*(1-MAX(0,MIN(D$47-1-Quesería!$B$47,(Quesería!$B$46-Quesería!$B$47)))/(Quesería!$B$46-Quesería!$B$47))*IF(D$47&gt;=2,1-Quesería!$B$48,1))</f>
        <v>1010.80391709269</v>
      </c>
      <c r="E982" s="58" t="n">
        <f aca="false">IF(E$47&lt;0,0,(Quesería!$B$44*$B$957*$B$954)*(1-MAX(0,MIN(E$47-0-Quesería!$B$47,(Quesería!$B$46-Quesería!$B$47)))/(Quesería!$B$46-Quesería!$B$47))*IF(E$47&gt;=2,1-Quesería!$B$48,1))+IF(E$47&lt;1,0,(Quesería!$B$44*$C$957*$C$954)*(1-MAX(0,MIN(E$47-1-Quesería!$B$47,(Quesería!$B$46-Quesería!$B$47)))/(Quesería!$B$46-Quesería!$B$47))*IF(E$47&gt;=2,1-Quesería!$B$48,1))</f>
        <v>824.522115217005</v>
      </c>
      <c r="F982" s="58" t="n">
        <f aca="false">IF(F$47&lt;0,0,(Quesería!$B$44*$B$957*$B$954)*(1-MAX(0,MIN(F$47-0-Quesería!$B$47,(Quesería!$B$46-Quesería!$B$47)))/(Quesería!$B$46-Quesería!$B$47))*IF(F$47&gt;=2,1-Quesería!$B$48,1))+IF(F$47&lt;1,0,(Quesería!$B$44*$C$957*$C$954)*(1-MAX(0,MIN(F$47-1-Quesería!$B$47,(Quesería!$B$46-Quesería!$B$47)))/(Quesería!$B$46-Quesería!$B$47))*IF(F$47&gt;=2,1-Quesería!$B$48,1))</f>
        <v>638.240313341323</v>
      </c>
      <c r="G982" s="58" t="n">
        <f aca="false">IF(G$47&lt;0,0,(Quesería!$B$44*$B$957*$B$954)*(1-MAX(0,MIN(G$47-0-Quesería!$B$47,(Quesería!$B$46-Quesería!$B$47)))/(Quesería!$B$46-Quesería!$B$47))*IF(G$47&gt;=2,1-Quesería!$B$48,1))+IF(G$47&lt;1,0,(Quesería!$B$44*$C$957*$C$954)*(1-MAX(0,MIN(G$47-1-Quesería!$B$47,(Quesería!$B$46-Quesería!$B$47)))/(Quesería!$B$46-Quesería!$B$47))*IF(G$47&gt;=2,1-Quesería!$B$48,1))</f>
        <v>451.958511465641</v>
      </c>
      <c r="H982" s="58" t="n">
        <f aca="false">IF(H$47&lt;0,0,(Quesería!$B$44*$B$957*$B$954)*(1-MAX(0,MIN(H$47-0-Quesería!$B$47,(Quesería!$B$46-Quesería!$B$47)))/(Quesería!$B$46-Quesería!$B$47))*IF(H$47&gt;=2,1-Quesería!$B$48,1))+IF(H$47&lt;1,0,(Quesería!$B$44*$C$957*$C$954)*(1-MAX(0,MIN(H$47-1-Quesería!$B$47,(Quesería!$B$46-Quesería!$B$47)))/(Quesería!$B$46-Quesería!$B$47))*IF(H$47&gt;=2,1-Quesería!$B$48,1))</f>
        <v>265.67670958996</v>
      </c>
      <c r="I982" s="58" t="n">
        <f aca="false">IF(I$47&lt;0,0,(Quesería!$B$44*$B$957*$B$954)*(1-MAX(0,MIN(I$47-0-Quesería!$B$47,(Quesería!$B$46-Quesería!$B$47)))/(Quesería!$B$46-Quesería!$B$47))*IF(I$47&gt;=2,1-Quesería!$B$48,1))+IF(I$47&lt;1,0,(Quesería!$B$44*$C$957*$C$954)*(1-MAX(0,MIN(I$47-1-Quesería!$B$47,(Quesería!$B$46-Quesería!$B$47)))/(Quesería!$B$46-Quesería!$B$47))*IF(I$47&gt;=2,1-Quesería!$B$48,1))</f>
        <v>79.3949077142776</v>
      </c>
      <c r="J982" s="58" t="n">
        <f aca="false">IF(J$47&lt;0,0,(Quesería!$B$44*$B$957*$B$954)*(1-MAX(0,MIN(J$47-0-Quesería!$B$47,(Quesería!$B$46-Quesería!$B$47)))/(Quesería!$B$46-Quesería!$B$47))*IF(J$47&gt;=2,1-Quesería!$B$48,1))+IF(J$47&lt;1,0,(Quesería!$B$44*$C$957*$C$954)*(1-MAX(0,MIN(J$47-1-Quesería!$B$47,(Quesería!$B$46-Quesería!$B$47)))/(Quesería!$B$46-Quesería!$B$47))*IF(J$47&gt;=2,1-Quesería!$B$48,1))</f>
        <v>0</v>
      </c>
      <c r="K982" s="58" t="n">
        <f aca="false">IF(K$47&lt;0,0,(Quesería!$B$44*$B$957*$B$954)*(1-MAX(0,MIN(K$47-0-Quesería!$B$47,(Quesería!$B$46-Quesería!$B$47)))/(Quesería!$B$46-Quesería!$B$47))*IF(K$47&gt;=2,1-Quesería!$B$48,1))+IF(K$47&lt;1,0,(Quesería!$B$44*$C$957*$C$954)*(1-MAX(0,MIN(K$47-1-Quesería!$B$47,(Quesería!$B$46-Quesería!$B$47)))/(Quesería!$B$46-Quesería!$B$47))*IF(K$47&gt;=2,1-Quesería!$B$48,1))</f>
        <v>0</v>
      </c>
      <c r="L982" s="58" t="n">
        <f aca="false">IF(L$47&lt;0,0,(Quesería!$B$44*$B$957*$B$954)*(1-MAX(0,MIN(L$47-0-Quesería!$B$47,(Quesería!$B$46-Quesería!$B$47)))/(Quesería!$B$46-Quesería!$B$47))*IF(L$47&gt;=2,1-Quesería!$B$48,1))+IF(L$47&lt;1,0,(Quesería!$B$44*$C$957*$C$954)*(1-MAX(0,MIN(L$47-1-Quesería!$B$47,(Quesería!$B$46-Quesería!$B$47)))/(Quesería!$B$46-Quesería!$B$47))*IF(L$47&gt;=2,1-Quesería!$B$48,1))</f>
        <v>0</v>
      </c>
    </row>
    <row r="983" customFormat="false" ht="15" hidden="true" customHeight="false" outlineLevel="1" collapsed="false">
      <c r="A983" s="6" t="s">
        <v>431</v>
      </c>
      <c r="B983" s="29" t="n">
        <f aca="false">Quesería!$B$44*B957</f>
        <v>605.02015563059</v>
      </c>
      <c r="C983" s="29" t="n">
        <f aca="false">Quesería!$B$44*C957</f>
        <v>428.004893338424</v>
      </c>
      <c r="D983" s="29" t="n">
        <f aca="false">Quesería!$B$44*D957</f>
        <v>0</v>
      </c>
      <c r="E983" s="29" t="n">
        <f aca="false">Quesería!$B$44*E957</f>
        <v>0</v>
      </c>
      <c r="F983" s="29" t="n">
        <f aca="false">Quesería!$B$44*F957</f>
        <v>0</v>
      </c>
      <c r="G983" s="29" t="n">
        <f aca="false">Quesería!$B$44*G957</f>
        <v>0</v>
      </c>
      <c r="H983" s="29" t="n">
        <f aca="false">Quesería!$B$44*H957</f>
        <v>0</v>
      </c>
      <c r="I983" s="29" t="n">
        <f aca="false">Quesería!$B$44*I957</f>
        <v>0</v>
      </c>
      <c r="J983" s="29" t="n">
        <f aca="false">Quesería!$B$44*J957</f>
        <v>0</v>
      </c>
      <c r="K983" s="29" t="n">
        <f aca="false">Quesería!$B$44*K957</f>
        <v>0</v>
      </c>
      <c r="L983" s="29" t="n">
        <f aca="false">Quesería!$B$44*L957</f>
        <v>0</v>
      </c>
    </row>
    <row r="984" customFormat="false" ht="15" hidden="true" customHeight="false" outlineLevel="1" collapsed="false">
      <c r="A984" s="6" t="s">
        <v>432</v>
      </c>
      <c r="B984" s="29" t="n">
        <f aca="false">(IF(AND(B$47&gt;0,B$47&lt;=0+Quesería!$B$46),($W$14+$W$28)*(Quesería!$B$44*$B$957*$B$954)*(1-MAX(0,MIN((B$47-1)-0-Quesería!$B$47,(Quesería!$B$46-Quesería!$B$47)))/(Quesería!$B$46-Quesería!$B$47))*IF(B$47&gt;2,1-Quesería!$B$48,1),0)+IF(AND(B$47&gt;1,B$47&lt;=1+Quesería!$B$46),($W$14+$W$28)*(Quesería!$B$44*$C$957*$C$954)*(1-MAX(0,MIN((B$47-1)-1-Quesería!$B$47,(Quesería!$B$46-Quesería!$B$47)))/(Quesería!$B$46-Quesería!$B$47))*IF(B$47&gt;2,1-Quesería!$B$48,1),0))*B956</f>
        <v>0</v>
      </c>
      <c r="C984" s="29" t="n">
        <f aca="false">(IF(AND(C$47&gt;0,C$47&lt;=0+Quesería!$B$46),($W$14+$W$28)*(Quesería!$B$44*$B$957*$B$954)*(1-MAX(0,MIN((C$47-1)-0-Quesería!$B$47,(Quesería!$B$46-Quesería!$B$47)))/(Quesería!$B$46-Quesería!$B$47))*IF(C$47&gt;2,1-Quesería!$B$48,1),0)+IF(AND(C$47&gt;1,C$47&lt;=1+Quesería!$B$46),($W$14+$W$28)*(Quesería!$B$44*$C$957*$C$954)*(1-MAX(0,MIN((C$47-1)-1-Quesería!$B$47,(Quesería!$B$46-Quesería!$B$47)))/(Quesería!$B$46-Quesería!$B$47))*IF(C$47&gt;2,1-Quesería!$B$48,1),0))*C956</f>
        <v>81.2455637561078</v>
      </c>
      <c r="D984" s="29" t="n">
        <f aca="false">(IF(AND(D$47&gt;0,D$47&lt;=0+Quesería!$B$46),($W$14+$W$28)*(Quesería!$B$44*$B$957*$B$954)*(1-MAX(0,MIN((D$47-1)-0-Quesería!$B$47,(Quesería!$B$46-Quesería!$B$47)))/(Quesería!$B$46-Quesería!$B$47))*IF(D$47&gt;2,1-Quesería!$B$48,1),0)+IF(AND(D$47&gt;1,D$47&lt;=1+Quesería!$B$46),($W$14+$W$28)*(Quesería!$B$44*$C$957*$C$954)*(1-MAX(0,MIN((D$47-1)-1-Quesería!$B$47,(Quesería!$B$46-Quesería!$B$47)))/(Quesería!$B$46-Quesería!$B$47))*IF(D$47&gt;2,1-Quesería!$B$48,1),0))*D956</f>
        <v>135.496893508924</v>
      </c>
      <c r="E984" s="29" t="n">
        <f aca="false">(IF(AND(E$47&gt;0,E$47&lt;=0+Quesería!$B$46),($W$14+$W$28)*(Quesería!$B$44*$B$957*$B$954)*(1-MAX(0,MIN((E$47-1)-0-Quesería!$B$47,(Quesería!$B$46-Quesería!$B$47)))/(Quesería!$B$46-Quesería!$B$47))*IF(E$47&gt;2,1-Quesería!$B$48,1),0)+IF(AND(E$47&gt;1,E$47&lt;=1+Quesería!$B$46),($W$14+$W$28)*(Quesería!$B$44*$C$957*$C$954)*(1-MAX(0,MIN((E$47-1)-1-Quesería!$B$47,(Quesería!$B$46-Quesería!$B$47)))/(Quesería!$B$46-Quesería!$B$47))*IF(E$47&gt;2,1-Quesería!$B$48,1),0))*E956</f>
        <v>117.826027258135</v>
      </c>
      <c r="F984" s="29" t="n">
        <f aca="false">(IF(AND(F$47&gt;0,F$47&lt;=0+Quesería!$B$46),($W$14+$W$28)*(Quesería!$B$44*$B$957*$B$954)*(1-MAX(0,MIN((F$47-1)-0-Quesería!$B$47,(Quesería!$B$46-Quesería!$B$47)))/(Quesería!$B$46-Quesería!$B$47))*IF(F$47&gt;2,1-Quesería!$B$48,1),0)+IF(AND(F$47&gt;1,F$47&lt;=1+Quesería!$B$46),($W$14+$W$28)*(Quesería!$B$44*$C$957*$C$954)*(1-MAX(0,MIN((F$47-1)-1-Quesería!$B$47,(Quesería!$B$46-Quesería!$B$47)))/(Quesería!$B$46-Quesería!$B$47))*IF(F$47&gt;2,1-Quesería!$B$48,1),0))*F956</f>
        <v>92.4151745225957</v>
      </c>
      <c r="G984" s="29" t="n">
        <f aca="false">(IF(AND(G$47&gt;0,G$47&lt;=0+Quesería!$B$46),($W$14+$W$28)*(Quesería!$B$44*$B$957*$B$954)*(1-MAX(0,MIN((G$47-1)-0-Quesería!$B$47,(Quesería!$B$46-Quesería!$B$47)))/(Quesería!$B$46-Quesería!$B$47))*IF(G$47&gt;2,1-Quesería!$B$48,1),0)+IF(AND(G$47&gt;1,G$47&lt;=1+Quesería!$B$46),($W$14+$W$28)*(Quesería!$B$44*$C$957*$C$954)*(1-MAX(0,MIN((G$47-1)-1-Quesería!$B$47,(Quesería!$B$46-Quesería!$B$47)))/(Quesería!$B$46-Quesería!$B$47))*IF(G$47&gt;2,1-Quesería!$B$48,1),0))*G956</f>
        <v>68.7847039098228</v>
      </c>
      <c r="H984" s="29" t="n">
        <f aca="false">(IF(AND(H$47&gt;0,H$47&lt;=0+Quesería!$B$46),($W$14+$W$28)*(Quesería!$B$44*$B$957*$B$954)*(1-MAX(0,MIN((H$47-1)-0-Quesería!$B$47,(Quesería!$B$46-Quesería!$B$47)))/(Quesería!$B$46-Quesería!$B$47))*IF(H$47&gt;2,1-Quesería!$B$48,1),0)+IF(AND(H$47&gt;1,H$47&lt;=1+Quesería!$B$46),($W$14+$W$28)*(Quesería!$B$44*$C$957*$C$954)*(1-MAX(0,MIN((H$47-1)-1-Quesería!$B$47,(Quesería!$B$46-Quesería!$B$47)))/(Quesería!$B$46-Quesería!$B$47))*IF(H$47&gt;2,1-Quesería!$B$48,1),0))*H956</f>
        <v>46.8352529676735</v>
      </c>
      <c r="I984" s="29" t="n">
        <f aca="false">(IF(AND(I$47&gt;0,I$47&lt;=0+Quesería!$B$46),($W$14+$W$28)*(Quesería!$B$44*$B$957*$B$954)*(1-MAX(0,MIN((I$47-1)-0-Quesería!$B$47,(Quesería!$B$46-Quesería!$B$47)))/(Quesería!$B$46-Quesería!$B$47))*IF(I$47&gt;2,1-Quesería!$B$48,1),0)+IF(AND(I$47&gt;1,I$47&lt;=1+Quesería!$B$46),($W$14+$W$28)*(Quesería!$B$44*$C$957*$C$954)*(1-MAX(0,MIN((I$47-1)-1-Quesería!$B$47,(Quesería!$B$46-Quesería!$B$47)))/(Quesería!$B$46-Quesería!$B$47))*IF(I$47&gt;2,1-Quesería!$B$48,1),0))*I956</f>
        <v>26.4724688081898</v>
      </c>
      <c r="J984" s="29" t="n">
        <f aca="false">(IF(AND(J$47&gt;0,J$47&lt;=0+Quesería!$B$46),($W$14+$W$28)*(Quesería!$B$44*$B$957*$B$954)*(1-MAX(0,MIN((J$47-1)-0-Quesería!$B$47,(Quesería!$B$46-Quesería!$B$47)))/(Quesería!$B$46-Quesería!$B$47))*IF(J$47&gt;2,1-Quesería!$B$48,1),0)+IF(AND(J$47&gt;1,J$47&lt;=1+Quesería!$B$46),($W$14+$W$28)*(Quesería!$B$44*$C$957*$C$954)*(1-MAX(0,MIN((J$47-1)-1-Quesería!$B$47,(Quesería!$B$46-Quesería!$B$47)))/(Quesería!$B$46-Quesería!$B$47))*IF(J$47&gt;2,1-Quesería!$B$48,1),0))*J956</f>
        <v>7.60676974238282</v>
      </c>
      <c r="K984" s="29" t="n">
        <f aca="false">(IF(AND(K$47&gt;0,K$47&lt;=0+Quesería!$B$46),($W$14+$W$28)*(Quesería!$B$44*$B$957*$B$954)*(1-MAX(0,MIN((K$47-1)-0-Quesería!$B$47,(Quesería!$B$46-Quesería!$B$47)))/(Quesería!$B$46-Quesería!$B$47))*IF(K$47&gt;2,1-Quesería!$B$48,1),0)+IF(AND(K$47&gt;1,K$47&lt;=1+Quesería!$B$46),($W$14+$W$28)*(Quesería!$B$44*$C$957*$C$954)*(1-MAX(0,MIN((K$47-1)-1-Quesería!$B$47,(Quesería!$B$46-Quesería!$B$47)))/(Quesería!$B$46-Quesería!$B$47))*IF(K$47&gt;2,1-Quesería!$B$48,1),0))*K956</f>
        <v>0</v>
      </c>
      <c r="L984" s="29" t="n">
        <f aca="false">(IF(AND(L$47&gt;0,L$47&lt;=0+Quesería!$B$46),($W$14+$W$28)*(Quesería!$B$44*$B$957*$B$954)*(1-MAX(0,MIN((L$47-1)-0-Quesería!$B$47,(Quesería!$B$46-Quesería!$B$47)))/(Quesería!$B$46-Quesería!$B$47))*IF(L$47&gt;2,1-Quesería!$B$48,1),0)+IF(AND(L$47&gt;1,L$47&lt;=1+Quesería!$B$46),($W$14+$W$28)*(Quesería!$B$44*$C$957*$C$954)*(1-MAX(0,MIN((L$47-1)-1-Quesería!$B$47,(Quesería!$B$46-Quesería!$B$47)))/(Quesería!$B$46-Quesería!$B$47))*IF(L$47&gt;2,1-Quesería!$B$48,1),0))*L956</f>
        <v>0</v>
      </c>
    </row>
    <row r="985" customFormat="false" ht="15" hidden="true" customHeight="false" outlineLevel="1" collapsed="false">
      <c r="A985" s="6" t="s">
        <v>433</v>
      </c>
      <c r="B985" s="29" t="n">
        <f aca="false">((IF(AND(B$47&gt;0+Quesería!$B$47,B$47&lt;=0+Quesería!$B$46),(Quesería!$B$44*$B$957*$B$954)/(Quesería!$B$46-Quesería!$B$47),0)*IF(B$47&gt;2,1-Quesería!$B$48,1)+IF(B$47=2,Quesería!$B$48*(Quesería!$B$44*$B$957*$B$954)*(1-MAX(0,MIN(2-0-Quesería!$B$47,(Quesería!$B$46-Quesería!$B$47)))/(Quesería!$B$46-Quesería!$B$47)),0))+(IF(AND(B$47&gt;1+Quesería!$B$47,B$47&lt;=1+Quesería!$B$46),(Quesería!$B$44*$C$957*$C$954)/(Quesería!$B$46-Quesería!$B$47),0)*IF(B$47&gt;2,1-Quesería!$B$48,1)+IF(B$47=2,Quesería!$B$48*(Quesería!$B$44*$C$957*$C$954)*(1-MAX(0,MIN(2-1-Quesería!$B$47,(Quesería!$B$46-Quesería!$B$47)))/(Quesería!$B$46-Quesería!$B$47)),0)))*B956</f>
        <v>0</v>
      </c>
      <c r="C985" s="29" t="n">
        <f aca="false">((IF(AND(C$47&gt;0+Quesería!$B$47,C$47&lt;=0+Quesería!$B$46),(Quesería!$B$44*$B$957*$B$954)/(Quesería!$B$46-Quesería!$B$47),0)*IF(C$47&gt;2,1-Quesería!$B$48,1)+IF(C$47=2,Quesería!$B$48*(Quesería!$B$44*$B$957*$B$954)*(1-MAX(0,MIN(2-0-Quesería!$B$47,(Quesería!$B$46-Quesería!$B$47)))/(Quesería!$B$46-Quesería!$B$47)),0))+(IF(AND(C$47&gt;1+Quesería!$B$47,C$47&lt;=1+Quesería!$B$46),(Quesería!$B$44*$C$957*$C$954)/(Quesería!$B$46-Quesería!$B$47),0)*IF(C$47&gt;2,1-Quesería!$B$48,1)+IF(C$47=2,Quesería!$B$48*(Quesería!$B$44*$C$957*$C$954)*(1-MAX(0,MIN(2-1-Quesería!$B$47,(Quesería!$B$46-Quesería!$B$47)))/(Quesería!$B$46-Quesería!$B$47)),0)))*C956</f>
        <v>0</v>
      </c>
      <c r="D985" s="29" t="n">
        <f aca="false">((IF(AND(D$47&gt;0+Quesería!$B$47,D$47&lt;=0+Quesería!$B$46),(Quesería!$B$44*$B$957*$B$954)/(Quesería!$B$46-Quesería!$B$47),0)*IF(D$47&gt;2,1-Quesería!$B$48,1)+IF(D$47=2,Quesería!$B$48*(Quesería!$B$44*$B$957*$B$954)*(1-MAX(0,MIN(2-0-Quesería!$B$47,(Quesería!$B$46-Quesería!$B$47)))/(Quesería!$B$46-Quesería!$B$47)),0))+(IF(AND(D$47&gt;1+Quesería!$B$47,D$47&lt;=1+Quesería!$B$46),(Quesería!$B$44*$C$957*$C$954)/(Quesería!$B$46-Quesería!$B$47),0)*IF(D$47&gt;2,1-Quesería!$B$48,1)+IF(D$47=2,Quesería!$B$48*(Quesería!$B$44*$C$957*$C$954)*(1-MAX(0,MIN(2-1-Quesería!$B$47,(Quesería!$B$46-Quesería!$B$47)))/(Quesería!$B$46-Quesería!$B$47)),0)))*D956</f>
        <v>91.8994692231472</v>
      </c>
      <c r="E985" s="29" t="n">
        <f aca="false">((IF(AND(E$47&gt;0+Quesería!$B$47,E$47&lt;=0+Quesería!$B$46),(Quesería!$B$44*$B$957*$B$954)/(Quesería!$B$46-Quesería!$B$47),0)*IF(E$47&gt;2,1-Quesería!$B$48,1)+IF(E$47=2,Quesería!$B$48*(Quesería!$B$44*$B$957*$B$954)*(1-MAX(0,MIN(2-0-Quesería!$B$47,(Quesería!$B$46-Quesería!$B$47)))/(Quesería!$B$46-Quesería!$B$47)),0))+(IF(AND(E$47&gt;1+Quesería!$B$47,E$47&lt;=1+Quesería!$B$46),(Quesería!$B$44*$C$957*$C$954)/(Quesería!$B$46-Quesería!$B$47),0)*IF(E$47&gt;2,1-Quesería!$B$48,1)+IF(E$47=2,Quesería!$B$48*(Quesería!$B$44*$C$957*$C$954)*(1-MAX(0,MIN(2-1-Quesería!$B$47,(Quesería!$B$46-Quesería!$B$47)))/(Quesería!$B$46-Quesería!$B$47)),0)))*E956</f>
        <v>154.001742940676</v>
      </c>
      <c r="F985" s="29" t="n">
        <f aca="false">((IF(AND(F$47&gt;0+Quesería!$B$47,F$47&lt;=0+Quesería!$B$46),(Quesería!$B$44*$B$957*$B$954)/(Quesería!$B$46-Quesería!$B$47),0)*IF(F$47&gt;2,1-Quesería!$B$48,1)+IF(F$47=2,Quesería!$B$48*(Quesería!$B$44*$B$957*$B$954)*(1-MAX(0,MIN(2-0-Quesería!$B$47,(Quesería!$B$46-Quesería!$B$47)))/(Quesería!$B$46-Quesería!$B$47)),0))+(IF(AND(F$47&gt;1+Quesería!$B$47,F$47&lt;=1+Quesería!$B$46),(Quesería!$B$44*$C$957*$C$954)/(Quesería!$B$46-Quesería!$B$47),0)*IF(F$47&gt;2,1-Quesería!$B$48,1)+IF(F$47=2,Quesería!$B$48*(Quesería!$B$44*$C$957*$C$954)*(1-MAX(0,MIN(2-1-Quesería!$B$47,(Quesería!$B$46-Quesería!$B$47)))/(Quesería!$B$46-Quesería!$B$47)),0)))*F956</f>
        <v>148.078598981419</v>
      </c>
      <c r="G985" s="29" t="n">
        <f aca="false">((IF(AND(G$47&gt;0+Quesería!$B$47,G$47&lt;=0+Quesería!$B$46),(Quesería!$B$44*$B$957*$B$954)/(Quesería!$B$46-Quesería!$B$47),0)*IF(G$47&gt;2,1-Quesería!$B$48,1)+IF(G$47=2,Quesería!$B$48*(Quesería!$B$44*$B$957*$B$954)*(1-MAX(0,MIN(2-0-Quesería!$B$47,(Quesería!$B$46-Quesería!$B$47)))/(Quesería!$B$46-Quesería!$B$47)),0))+(IF(AND(G$47&gt;1+Quesería!$B$47,G$47&lt;=1+Quesería!$B$46),(Quesería!$B$44*$C$957*$C$954)/(Quesería!$B$46-Quesería!$B$47),0)*IF(G$47&gt;2,1-Quesería!$B$48,1)+IF(G$47=2,Quesería!$B$48*(Quesería!$B$44*$C$957*$C$954)*(1-MAX(0,MIN(2-1-Quesería!$B$47,(Quesería!$B$46-Quesería!$B$47)))/(Quesería!$B$46-Quesería!$B$47)),0)))*G956</f>
        <v>142.383268251364</v>
      </c>
      <c r="H985" s="29" t="n">
        <f aca="false">((IF(AND(H$47&gt;0+Quesería!$B$47,H$47&lt;=0+Quesería!$B$46),(Quesería!$B$44*$B$957*$B$954)/(Quesería!$B$46-Quesería!$B$47),0)*IF(H$47&gt;2,1-Quesería!$B$48,1)+IF(H$47=2,Quesería!$B$48*(Quesería!$B$44*$B$957*$B$954)*(1-MAX(0,MIN(2-0-Quesería!$B$47,(Quesería!$B$46-Quesería!$B$47)))/(Quesería!$B$46-Quesería!$B$47)),0))+(IF(AND(H$47&gt;1+Quesería!$B$47,H$47&lt;=1+Quesería!$B$46),(Quesería!$B$44*$C$957*$C$954)/(Quesería!$B$46-Quesería!$B$47),0)*IF(H$47&gt;2,1-Quesería!$B$48,1)+IF(H$47=2,Quesería!$B$48*(Quesería!$B$44*$C$957*$C$954)*(1-MAX(0,MIN(2-1-Quesería!$B$47,(Quesería!$B$46-Quesería!$B$47)))/(Quesería!$B$46-Quesería!$B$47)),0)))*H956</f>
        <v>136.906988703235</v>
      </c>
      <c r="I985" s="29" t="n">
        <f aca="false">((IF(AND(I$47&gt;0+Quesería!$B$47,I$47&lt;=0+Quesería!$B$46),(Quesería!$B$44*$B$957*$B$954)/(Quesería!$B$46-Quesería!$B$47),0)*IF(I$47&gt;2,1-Quesería!$B$48,1)+IF(I$47=2,Quesería!$B$48*(Quesería!$B$44*$B$957*$B$954)*(1-MAX(0,MIN(2-0-Quesería!$B$47,(Quesería!$B$46-Quesería!$B$47)))/(Quesería!$B$46-Quesería!$B$47)),0))+(IF(AND(I$47&gt;1+Quesería!$B$47,I$47&lt;=1+Quesería!$B$46),(Quesería!$B$44*$C$957*$C$954)/(Quesería!$B$46-Quesería!$B$47),0)*IF(I$47&gt;2,1-Quesería!$B$48,1)+IF(I$47=2,Quesería!$B$48*(Quesería!$B$44*$C$957*$C$954)*(1-MAX(0,MIN(2-1-Quesería!$B$47,(Quesería!$B$46-Quesería!$B$47)))/(Quesería!$B$46-Quesería!$B$47)),0)))*I956</f>
        <v>131.641335291572</v>
      </c>
      <c r="J985" s="29" t="n">
        <f aca="false">((IF(AND(J$47&gt;0+Quesería!$B$47,J$47&lt;=0+Quesería!$B$46),(Quesería!$B$44*$B$957*$B$954)/(Quesería!$B$46-Quesería!$B$47),0)*IF(J$47&gt;2,1-Quesería!$B$48,1)+IF(J$47=2,Quesería!$B$48*(Quesería!$B$44*$B$957*$B$954)*(1-MAX(0,MIN(2-0-Quesería!$B$47,(Quesería!$B$46-Quesería!$B$47)))/(Quesería!$B$46-Quesería!$B$47)),0))+(IF(AND(J$47&gt;1+Quesería!$B$47,J$47&lt;=1+Quesería!$B$46),(Quesería!$B$44*$C$957*$C$954)/(Quesería!$B$46-Quesería!$B$47),0)*IF(J$47&gt;2,1-Quesería!$B$48,1)+IF(J$47=2,Quesería!$B$48*(Quesería!$B$44*$C$957*$C$954)*(1-MAX(0,MIN(2-1-Quesería!$B$47,(Quesería!$B$46-Quesería!$B$47)))/(Quesería!$B$46-Quesería!$B$47)),0)))*J956</f>
        <v>53.9487215771831</v>
      </c>
      <c r="K985" s="29" t="n">
        <f aca="false">((IF(AND(K$47&gt;0+Quesería!$B$47,K$47&lt;=0+Quesería!$B$46),(Quesería!$B$44*$B$957*$B$954)/(Quesería!$B$46-Quesería!$B$47),0)*IF(K$47&gt;2,1-Quesería!$B$48,1)+IF(K$47=2,Quesería!$B$48*(Quesería!$B$44*$B$957*$B$954)*(1-MAX(0,MIN(2-0-Quesería!$B$47,(Quesería!$B$46-Quesería!$B$47)))/(Quesería!$B$46-Quesería!$B$47)),0))+(IF(AND(K$47&gt;1+Quesería!$B$47,K$47&lt;=1+Quesería!$B$46),(Quesería!$B$44*$C$957*$C$954)/(Quesería!$B$46-Quesería!$B$47),0)*IF(K$47&gt;2,1-Quesería!$B$48,1)+IF(K$47=2,Quesería!$B$48*(Quesería!$B$44*$C$957*$C$954)*(1-MAX(0,MIN(2-1-Quesería!$B$47,(Quesería!$B$46-Quesería!$B$47)))/(Quesería!$B$46-Quesería!$B$47)),0)))*K956</f>
        <v>0</v>
      </c>
      <c r="L985" s="29" t="n">
        <f aca="false">((IF(AND(L$47&gt;0+Quesería!$B$47,L$47&lt;=0+Quesería!$B$46),(Quesería!$B$44*$B$957*$B$954)/(Quesería!$B$46-Quesería!$B$47),0)*IF(L$47&gt;2,1-Quesería!$B$48,1)+IF(L$47=2,Quesería!$B$48*(Quesería!$B$44*$B$957*$B$954)*(1-MAX(0,MIN(2-0-Quesería!$B$47,(Quesería!$B$46-Quesería!$B$47)))/(Quesería!$B$46-Quesería!$B$47)),0))+(IF(AND(L$47&gt;1+Quesería!$B$47,L$47&lt;=1+Quesería!$B$46),(Quesería!$B$44*$C$957*$C$954)/(Quesería!$B$46-Quesería!$B$47),0)*IF(L$47&gt;2,1-Quesería!$B$48,1)+IF(L$47=2,Quesería!$B$48*(Quesería!$B$44*$C$957*$C$954)*(1-MAX(0,MIN(2-1-Quesería!$B$47,(Quesería!$B$46-Quesería!$B$47)))/(Quesería!$B$46-Quesería!$B$47)),0)))*L956</f>
        <v>0</v>
      </c>
    </row>
    <row r="986" customFormat="false" ht="15" hidden="true" customHeight="false" outlineLevel="1" collapsed="false">
      <c r="A986" s="6" t="s">
        <v>434</v>
      </c>
      <c r="B986" s="29" t="n">
        <f aca="false">$W$13*Quesería!$B$51*(1+0.19)*B982*B956+(1-$W$13)*IF(B$47=0,Quesería!$B$50,0)</f>
        <v>14.327482305488</v>
      </c>
      <c r="C986" s="29" t="n">
        <f aca="false">$W$13*Quesería!$B$51*(1+0.19)*C982*C956+(1-$W$13)*IF(C$47=0,Quesería!$B$50,0)</f>
        <v>23.7808051224691</v>
      </c>
      <c r="D986" s="29" t="n">
        <f aca="false">$W$13*Quesería!$B$51*(1+0.19)*D982*D956+(1-$W$13)*IF(D$47=0,Quesería!$B$50,0)</f>
        <v>20.5804799826942</v>
      </c>
      <c r="E986" s="29" t="n">
        <f aca="false">$W$13*Quesería!$B$51*(1+0.19)*E982*E956+(1-$W$13)*IF(E$47=0,Quesería!$B$50,0)</f>
        <v>16.1420077857048</v>
      </c>
      <c r="F986" s="29" t="n">
        <f aca="false">$W$13*Quesería!$B$51*(1+0.19)*F982*F956+(1-$W$13)*IF(F$47=0,Quesería!$B$50,0)</f>
        <v>12.0145120299295</v>
      </c>
      <c r="G986" s="29" t="n">
        <f aca="false">$W$13*Quesería!$B$51*(1+0.19)*G982*G956+(1-$W$13)*IF(G$47=0,Quesería!$B$50,0)</f>
        <v>8.18063723793316</v>
      </c>
      <c r="H986" s="29" t="n">
        <f aca="false">$W$13*Quesería!$B$51*(1+0.19)*H982*H956+(1-$W$13)*IF(H$47=0,Quesería!$B$50,0)</f>
        <v>4.62390294468519</v>
      </c>
      <c r="I986" s="29" t="n">
        <f aca="false">$W$13*Quesería!$B$51*(1+0.19)*I982*I956+(1-$W$13)*IF(I$47=0,Quesería!$B$50,0)</f>
        <v>1.32866206269604</v>
      </c>
      <c r="J986" s="29" t="n">
        <f aca="false">$W$13*Quesería!$B$51*(1+0.19)*J982*J956+(1-$W$13)*IF(J$47=0,Quesería!$B$50,0)</f>
        <v>0</v>
      </c>
      <c r="K986" s="29" t="n">
        <f aca="false">$W$13*Quesería!$B$51*(1+0.19)*K982*K956+(1-$W$13)*IF(K$47=0,Quesería!$B$50,0)</f>
        <v>0</v>
      </c>
      <c r="L986" s="29" t="n">
        <f aca="false">$W$13*Quesería!$B$51*(1+0.19)*L982*L956+(1-$W$13)*IF(L$47=0,Quesería!$B$50,0)</f>
        <v>0</v>
      </c>
    </row>
    <row r="987" customFormat="false" ht="15" hidden="true" customHeight="false" outlineLevel="1" collapsed="false">
      <c r="A987" s="6" t="s">
        <v>435</v>
      </c>
      <c r="B987" s="29" t="n">
        <f aca="false">Quesería!$B$52*(B984+B985+B986)</f>
        <v>0.057309929221952</v>
      </c>
      <c r="C987" s="29" t="n">
        <f aca="false">Quesería!$B$52*(C984+C985+C986)</f>
        <v>0.420105475514308</v>
      </c>
      <c r="D987" s="29" t="n">
        <f aca="false">Quesería!$B$52*(D984+D985+D986)</f>
        <v>0.991907370859062</v>
      </c>
      <c r="E987" s="29" t="n">
        <f aca="false">Quesería!$B$52*(E984+E985+E986)</f>
        <v>1.15187911193806</v>
      </c>
      <c r="F987" s="29" t="n">
        <f aca="false">Quesería!$B$52*(F984+F985+F986)</f>
        <v>1.01003314213578</v>
      </c>
      <c r="G987" s="29" t="n">
        <f aca="false">Quesería!$B$52*(G984+G985+G986)</f>
        <v>0.877394437596481</v>
      </c>
      <c r="H987" s="29" t="n">
        <f aca="false">Quesería!$B$52*(H984+H985+H986)</f>
        <v>0.753464578462374</v>
      </c>
      <c r="I987" s="29" t="n">
        <f aca="false">Quesería!$B$52*(I984+I985+I986)</f>
        <v>0.637769864649831</v>
      </c>
      <c r="J987" s="29" t="n">
        <f aca="false">Quesería!$B$52*(J984+J985+J986)</f>
        <v>0.246221965278264</v>
      </c>
      <c r="K987" s="29" t="n">
        <f aca="false">Quesería!$B$52*(K984+K985+K986)</f>
        <v>0</v>
      </c>
      <c r="L987" s="29" t="n">
        <f aca="false">Quesería!$B$52*(L984+L985+L986)</f>
        <v>0</v>
      </c>
    </row>
    <row r="988" customFormat="false" ht="15" hidden="true" customHeight="false" outlineLevel="1" collapsed="false">
      <c r="A988" s="6" t="s">
        <v>436</v>
      </c>
      <c r="B988" s="29" t="n">
        <f aca="false">$W$17*(B984+B986+0.5*B987)</f>
        <v>5.02464804453464</v>
      </c>
      <c r="C988" s="29" t="n">
        <f aca="false">$W$17*(C984+C986+0.5*C987)</f>
        <v>36.8327475657169</v>
      </c>
      <c r="D988" s="29" t="n">
        <f aca="false">$W$17*(D984+D986+0.5*D987)</f>
        <v>54.8006645119667</v>
      </c>
      <c r="E988" s="29" t="n">
        <f aca="false">$W$17*(E984+E986+0.5*E987)</f>
        <v>47.090391109933</v>
      </c>
      <c r="F988" s="29" t="n">
        <f aca="false">$W$17*(F984+F986+0.5*F987)</f>
        <v>36.7271460932576</v>
      </c>
      <c r="G988" s="29" t="n">
        <f aca="false">$W$17*(G984+G986+0.5*G987)</f>
        <v>27.091413428294</v>
      </c>
      <c r="H988" s="29" t="n">
        <f aca="false">$W$17*(H984+H986+0.5*H987)</f>
        <v>18.1425608705564</v>
      </c>
      <c r="I988" s="29" t="n">
        <f aca="false">$W$17*(I984+I986+0.5*I987)</f>
        <v>9.84200553112376</v>
      </c>
      <c r="J988" s="29" t="n">
        <f aca="false">$W$17*(J984+J986+0.5*J987)</f>
        <v>2.70545825375768</v>
      </c>
      <c r="K988" s="29" t="n">
        <f aca="false">$W$17*(K984+K986+0.5*K987)</f>
        <v>0</v>
      </c>
      <c r="L988" s="29" t="n">
        <f aca="false">$W$17*(L984+L986+0.5*L987)</f>
        <v>0</v>
      </c>
    </row>
    <row r="989" customFormat="false" ht="15" hidden="true" customHeight="false" outlineLevel="1" collapsed="false">
      <c r="A989" s="5" t="s">
        <v>437</v>
      </c>
      <c r="B989" s="59" t="n">
        <f aca="false">B974+B983-B984-B985-B986-B987+B988</f>
        <v>-416.585189094101</v>
      </c>
      <c r="C989" s="59" t="n">
        <f aca="false">C974+C983-C984-C985-C986-C987+C988</f>
        <v>-176.888065134225</v>
      </c>
      <c r="D989" s="59" t="n">
        <f aca="false">D974+D983-D984-D985-D986-D987+D988</f>
        <v>130.724024024297</v>
      </c>
      <c r="E989" s="59" t="n">
        <f aca="false">E974+E983-E984-E985-E986-E987+E988</f>
        <v>83.8147104350223</v>
      </c>
      <c r="F989" s="59" t="n">
        <f aca="false">F974+F983-F984-F985-F986-F987+F988</f>
        <v>145.537007064502</v>
      </c>
      <c r="G989" s="59" t="n">
        <f aca="false">G974+G983-G984-G985-G986-G987+G988</f>
        <v>134.764086961454</v>
      </c>
      <c r="H989" s="59" t="n">
        <f aca="false">H974+H983-H984-H985-H986-H987+H988</f>
        <v>139.627874834381</v>
      </c>
      <c r="I989" s="59" t="n">
        <f aca="false">I974+I983-I984-I985-I986-I987+I988</f>
        <v>220.763268369238</v>
      </c>
      <c r="J989" s="59" t="n">
        <f aca="false">J974+J983-J984-J985-J986-J987+J988</f>
        <v>301.811102775843</v>
      </c>
      <c r="K989" s="59" t="n">
        <f aca="false">K974+K983-K984-K985-K986-K987+K988</f>
        <v>359.359346778377</v>
      </c>
      <c r="L989" s="59" t="n">
        <f aca="false">L974+L983-L984-L985-L986-L987+L988</f>
        <v>588.546358386452</v>
      </c>
    </row>
    <row r="990" customFormat="false" ht="15" hidden="true" customHeight="false" outlineLevel="1" collapsed="false">
      <c r="A990" s="9" t="s">
        <v>438</v>
      </c>
      <c r="B990" s="58" t="n">
        <f aca="false">B989*B954</f>
        <v>-441.580300439747</v>
      </c>
      <c r="C990" s="58" t="n">
        <f aca="false">C989*C954</f>
        <v>-196.876416494392</v>
      </c>
      <c r="D990" s="58" t="n">
        <f aca="false">D989*D954</f>
        <v>152.0431514823</v>
      </c>
      <c r="E990" s="58" t="n">
        <f aca="false">E989*E954</f>
        <v>101.382977785771</v>
      </c>
      <c r="F990" s="58" t="n">
        <f aca="false">F989*F954</f>
        <v>183.084497706324</v>
      </c>
      <c r="G990" s="58" t="n">
        <f aca="false">G989*G954</f>
        <v>176.313532170029</v>
      </c>
      <c r="H990" s="58" t="n">
        <f aca="false">H989*H954</f>
        <v>189.983961831205</v>
      </c>
      <c r="I990" s="58" t="n">
        <f aca="false">I989*I954</f>
        <v>312.39564175417</v>
      </c>
      <c r="J990" s="58" t="n">
        <f aca="false">J989*J954</f>
        <v>444.167423277124</v>
      </c>
      <c r="K990" s="58" t="n">
        <f aca="false">K989*K954</f>
        <v>550.014039132139</v>
      </c>
      <c r="L990" s="58" t="n">
        <f aca="false">L989*L954</f>
        <v>936.825807377626</v>
      </c>
    </row>
    <row r="991" customFormat="false" ht="15" hidden="true" customHeight="false" outlineLevel="1" collapsed="false">
      <c r="A991" s="9" t="s">
        <v>439</v>
      </c>
      <c r="B991" s="57" t="n">
        <f aca="false">(B954/$B$954)/(1+Quesería!$B$11+$W$28)^B$47</f>
        <v>1</v>
      </c>
      <c r="C991" s="57" t="n">
        <f aca="false">(C954/$B$954)/(1+Quesería!$B$11+$W$28)^C$47</f>
        <v>0.84</v>
      </c>
      <c r="D991" s="57" t="n">
        <f aca="false">(D954/$B$954)/(1+Quesería!$B$11+$W$28)^D$47</f>
        <v>0.70224</v>
      </c>
      <c r="E991" s="57" t="n">
        <f aca="false">(E954/$B$954)/(1+Quesería!$B$11+$W$28)^E$47</f>
        <v>0.58426368</v>
      </c>
      <c r="F991" s="57" t="n">
        <f aca="false">(F954/$B$954)/(1+Quesería!$B$11+$W$28)^F$47</f>
        <v>0.48610738176</v>
      </c>
      <c r="G991" s="57" t="n">
        <f aca="false">(G954/$B$954)/(1+Quesería!$B$11+$W$28)^G$47</f>
        <v>0.40444134162432</v>
      </c>
      <c r="H991" s="57" t="n">
        <f aca="false">(H954/$B$954)/(1+Quesería!$B$11+$W$28)^H$47</f>
        <v>0.336495196231434</v>
      </c>
      <c r="I991" s="57" t="n">
        <f aca="false">(I954/$B$954)/(1+Quesería!$B$11+$W$28)^I$47</f>
        <v>0.279964003264553</v>
      </c>
      <c r="J991" s="57" t="n">
        <f aca="false">(J954/$B$954)/(1+Quesería!$B$11+$W$28)^J$47</f>
        <v>0.232930050716108</v>
      </c>
      <c r="K991" s="57" t="n">
        <f aca="false">(K954/$B$954)/(1+Quesería!$B$11+$W$28)^K$47</f>
        <v>0.193797802195802</v>
      </c>
      <c r="L991" s="57" t="n">
        <f aca="false">(L954/$B$954)/(1+Quesería!$B$11+$W$28)^L$47</f>
        <v>0.161239771426907</v>
      </c>
    </row>
    <row r="992" customFormat="false" ht="15" hidden="true" customHeight="false" outlineLevel="1" collapsed="false">
      <c r="A992" s="9" t="s">
        <v>440</v>
      </c>
      <c r="B992" s="58" t="n">
        <f aca="false">B974+B957+B959+B988</f>
        <v>72.6953585018737</v>
      </c>
      <c r="C992" s="58" t="n">
        <f aca="false">C974+C957+C959+C988</f>
        <v>284.131705224096</v>
      </c>
      <c r="D992" s="58" t="n">
        <f aca="false">D974+D957+D959+D988</f>
        <v>379.692774109922</v>
      </c>
      <c r="E992" s="58" t="n">
        <f aca="false">E974+E957+E959+E988</f>
        <v>372.936367531475</v>
      </c>
      <c r="F992" s="58" t="n">
        <f aca="false">F974+F957+F959+F988</f>
        <v>399.055325740582</v>
      </c>
      <c r="G992" s="58" t="n">
        <f aca="false">G974+G957+G959+G988</f>
        <v>360.208482079257</v>
      </c>
      <c r="H992" s="58" t="n">
        <f aca="false">H974+H957+H959+H988</f>
        <v>337.561423613518</v>
      </c>
      <c r="I992" s="58" t="n">
        <f aca="false">I974+I957+I959+I988</f>
        <v>380.843504396346</v>
      </c>
      <c r="J992" s="58" t="n">
        <f aca="false">J974+J957+J959+J988</f>
        <v>363.612816060687</v>
      </c>
      <c r="K992" s="58" t="n">
        <f aca="false">K974+K957+K959+K988</f>
        <v>359.359346778377</v>
      </c>
      <c r="L992" s="58" t="n">
        <f aca="false">L974+L957+L959+L988</f>
        <v>588.546358386452</v>
      </c>
    </row>
    <row r="993" customFormat="false" ht="15" hidden="true" customHeight="false" outlineLevel="1" collapsed="false">
      <c r="A993" s="5" t="s">
        <v>149</v>
      </c>
      <c r="B993" s="12" t="str">
        <f aca="false">IF(AND(B$47&gt;=1,(B984+B985+B986)&gt;0.001),B992/(B984+B985+B986),"")</f>
        <v/>
      </c>
      <c r="C993" s="12" t="n">
        <f aca="false">IF(AND(C$47&gt;=1,(C984+C985+C986)&gt;0.001),C992/(C984+C985+C986),"")</f>
        <v>2.70533684309877</v>
      </c>
      <c r="D993" s="12" t="n">
        <f aca="false">IF(AND(D$47&gt;=1,(D984+D985+D986)&gt;0.001),D992/(D984+D985+D986),"")</f>
        <v>1.53116222447699</v>
      </c>
      <c r="E993" s="12" t="n">
        <f aca="false">IF(AND(E$47&gt;=1,(E984+E985+E986)&gt;0.001),E992/(E984+E985+E986),"")</f>
        <v>1.29505384259986</v>
      </c>
      <c r="F993" s="12" t="n">
        <f aca="false">IF(AND(F$47&gt;=1,(F984+F985+F986)&gt;0.001),F992/(F984+F985+F986),"")</f>
        <v>1.58036527354639</v>
      </c>
      <c r="G993" s="12" t="n">
        <f aca="false">IF(AND(G$47&gt;=1,(G984+G985+G986)&gt;0.001),G992/(G984+G985+G986),"")</f>
        <v>1.64217353857864</v>
      </c>
      <c r="H993" s="12" t="n">
        <f aca="false">IF(AND(H$47&gt;=1,(H984+H985+H986)&gt;0.001),H992/(H984+H985+H986),"")</f>
        <v>1.79204933191362</v>
      </c>
      <c r="I993" s="12" t="n">
        <f aca="false">IF(AND(I$47&gt;=1,(I984+I985+I986)&gt;0.001),I992/(I984+I985+I986),"")</f>
        <v>2.38859516892005</v>
      </c>
      <c r="J993" s="12" t="n">
        <f aca="false">IF(AND(J$47&gt;=1,(J984+J985+J986)&gt;0.001),J992/(J984+J985+J986),"")</f>
        <v>5.90707357322497</v>
      </c>
      <c r="K993" s="12" t="str">
        <f aca="false">IF(AND(K$47&gt;=1,(K984+K985+K986)&gt;0.001),K992/(K984+K985+K986),"")</f>
        <v/>
      </c>
      <c r="L993" s="12" t="str">
        <f aca="false">IF(AND(L$47&gt;=1,(L984+L985+L986)&gt;0.001),L992/(L984+L985+L986),"")</f>
        <v/>
      </c>
    </row>
    <row r="995" customFormat="false" ht="15" hidden="false" customHeight="false" outlineLevel="0" collapsed="false">
      <c r="A995" s="43" t="s">
        <v>1258</v>
      </c>
      <c r="B995" s="44"/>
      <c r="C995" s="44"/>
      <c r="D995" s="44"/>
      <c r="E995" s="44"/>
      <c r="F995" s="44"/>
      <c r="G995" s="44"/>
      <c r="H995" s="44"/>
      <c r="I995" s="44"/>
      <c r="J995" s="44"/>
      <c r="K995" s="44"/>
      <c r="L995" s="44"/>
    </row>
    <row r="996" customFormat="false" ht="15" hidden="true" customHeight="false" outlineLevel="1" collapsed="false">
      <c r="A996" s="9" t="s">
        <v>406</v>
      </c>
      <c r="B996" s="56" t="n">
        <f aca="false">CHOOSE($X$15,Entorno!B$7,Entorno!B$8,Entorno!B$9)</f>
        <v>0.06</v>
      </c>
      <c r="C996" s="56" t="n">
        <f aca="false">CHOOSE($X$15,Entorno!C$7,Entorno!C$8,Entorno!C$9)</f>
        <v>0.05</v>
      </c>
      <c r="D996" s="56" t="n">
        <f aca="false">CHOOSE($X$15,Entorno!D$7,Entorno!D$8,Entorno!D$9)</f>
        <v>0.045</v>
      </c>
      <c r="E996" s="56" t="n">
        <f aca="false">CHOOSE($X$15,Entorno!E$7,Entorno!E$8,Entorno!E$9)</f>
        <v>0.04</v>
      </c>
      <c r="F996" s="56" t="n">
        <f aca="false">CHOOSE($X$15,Entorno!F$7,Entorno!F$8,Entorno!F$9)</f>
        <v>0.04</v>
      </c>
      <c r="G996" s="56" t="n">
        <f aca="false">CHOOSE($X$15,Entorno!G$7,Entorno!G$8,Entorno!G$9)</f>
        <v>0.04</v>
      </c>
      <c r="H996" s="56" t="n">
        <f aca="false">CHOOSE($X$15,Entorno!H$7,Entorno!H$8,Entorno!H$9)</f>
        <v>0.04</v>
      </c>
      <c r="I996" s="56" t="n">
        <f aca="false">CHOOSE($X$15,Entorno!I$7,Entorno!I$8,Entorno!I$9)</f>
        <v>0.04</v>
      </c>
      <c r="J996" s="56" t="n">
        <f aca="false">CHOOSE($X$15,Entorno!J$7,Entorno!J$8,Entorno!J$9)</f>
        <v>0.04</v>
      </c>
      <c r="K996" s="56" t="n">
        <f aca="false">CHOOSE($X$15,Entorno!K$7,Entorno!K$8,Entorno!K$9)</f>
        <v>0.04</v>
      </c>
      <c r="L996" s="56" t="n">
        <f aca="false">CHOOSE($X$15,Entorno!L$7,Entorno!L$8,Entorno!L$9)</f>
        <v>0.04</v>
      </c>
    </row>
    <row r="997" customFormat="false" ht="15" hidden="true" customHeight="false" outlineLevel="1" collapsed="false">
      <c r="A997" s="9" t="s">
        <v>407</v>
      </c>
      <c r="B997" s="57" t="n">
        <f aca="false">1+B996</f>
        <v>1.06</v>
      </c>
      <c r="C997" s="57" t="n">
        <f aca="false">B997*(1+C996)</f>
        <v>1.113</v>
      </c>
      <c r="D997" s="57" t="n">
        <f aca="false">C997*(1+D996)</f>
        <v>1.163085</v>
      </c>
      <c r="E997" s="57" t="n">
        <f aca="false">D997*(1+E996)</f>
        <v>1.2096084</v>
      </c>
      <c r="F997" s="57" t="n">
        <f aca="false">E997*(1+F996)</f>
        <v>1.257992736</v>
      </c>
      <c r="G997" s="57" t="n">
        <f aca="false">F997*(1+G996)</f>
        <v>1.30831244544</v>
      </c>
      <c r="H997" s="57" t="n">
        <f aca="false">G997*(1+H996)</f>
        <v>1.3606449432576</v>
      </c>
      <c r="I997" s="57" t="n">
        <f aca="false">H997*(1+I996)</f>
        <v>1.4150707409879</v>
      </c>
      <c r="J997" s="57" t="n">
        <f aca="false">I997*(1+J996)</f>
        <v>1.47167357062742</v>
      </c>
      <c r="K997" s="57" t="n">
        <f aca="false">J997*(1+K996)</f>
        <v>1.53054051345252</v>
      </c>
      <c r="L997" s="57" t="n">
        <f aca="false">K997*(1+L996)</f>
        <v>1.59176213399062</v>
      </c>
    </row>
    <row r="998" customFormat="false" ht="15" hidden="true" customHeight="false" outlineLevel="1" collapsed="false">
      <c r="A998" s="9" t="s">
        <v>408</v>
      </c>
      <c r="B998" s="57" t="n">
        <f aca="false">(1+$X$16)/(1+B996)</f>
        <v>1.02358490566038</v>
      </c>
      <c r="C998" s="57" t="n">
        <f aca="false">B998*(1+Entorno!$B$13)</f>
        <v>1.02870283018868</v>
      </c>
      <c r="D998" s="57" t="n">
        <f aca="false">C998*(1+Entorno!$B$13)</f>
        <v>1.03384634433962</v>
      </c>
      <c r="E998" s="57" t="n">
        <f aca="false">D998*(1+Entorno!$B$13)</f>
        <v>1.03901557606132</v>
      </c>
      <c r="F998" s="57" t="n">
        <f aca="false">E998*(1+Entorno!$B$13)</f>
        <v>1.04421065394163</v>
      </c>
      <c r="G998" s="57" t="n">
        <f aca="false">F998*(1+Entorno!$B$13)</f>
        <v>1.04943170721133</v>
      </c>
      <c r="H998" s="57" t="n">
        <f aca="false">G998*(1+Entorno!$B$13)</f>
        <v>1.05467886574739</v>
      </c>
      <c r="I998" s="57" t="n">
        <f aca="false">H998*(1+Entorno!$B$13)</f>
        <v>1.05995226007613</v>
      </c>
      <c r="J998" s="57" t="n">
        <f aca="false">I998*(1+Entorno!$B$13)</f>
        <v>1.06525202137651</v>
      </c>
      <c r="K998" s="57" t="n">
        <f aca="false">J998*(1+Entorno!$B$13)</f>
        <v>1.07057828148339</v>
      </c>
      <c r="L998" s="57" t="n">
        <f aca="false">K998*(1+Entorno!$B$13)</f>
        <v>1.07593117289081</v>
      </c>
    </row>
    <row r="999" customFormat="false" ht="15" hidden="true" customHeight="false" outlineLevel="1" collapsed="false">
      <c r="A999" s="9" t="s">
        <v>409</v>
      </c>
      <c r="B999" s="57" t="n">
        <f aca="false">1/B997</f>
        <v>0.943396226415094</v>
      </c>
      <c r="C999" s="57" t="n">
        <f aca="false">1/C997</f>
        <v>0.898472596585804</v>
      </c>
      <c r="D999" s="57" t="n">
        <f aca="false">1/D997</f>
        <v>0.859782389077324</v>
      </c>
      <c r="E999" s="57" t="n">
        <f aca="false">1/E997</f>
        <v>0.826713835651273</v>
      </c>
      <c r="F999" s="57" t="n">
        <f aca="false">1/F997</f>
        <v>0.794917149664686</v>
      </c>
      <c r="G999" s="57" t="n">
        <f aca="false">1/G997</f>
        <v>0.764343413139121</v>
      </c>
      <c r="H999" s="57" t="n">
        <f aca="false">1/H997</f>
        <v>0.734945589556847</v>
      </c>
      <c r="I999" s="57" t="n">
        <f aca="false">1/I997</f>
        <v>0.706678451496968</v>
      </c>
      <c r="J999" s="57" t="n">
        <f aca="false">1/J997</f>
        <v>0.679498511054777</v>
      </c>
      <c r="K999" s="57" t="n">
        <f aca="false">1/K997</f>
        <v>0.653363952937286</v>
      </c>
      <c r="L999" s="57" t="n">
        <f aca="false">1/L997</f>
        <v>0.628234570132006</v>
      </c>
    </row>
    <row r="1000" customFormat="false" ht="15" hidden="true" customHeight="false" outlineLevel="1" collapsed="false">
      <c r="A1000" s="6" t="s">
        <v>323</v>
      </c>
      <c r="B1000" s="29" t="n">
        <f aca="false">IF(B$47=0,Quesería!$F$92,IF(B$47=1,(Quesería!$F$93-(-$X$26)*Quesería!$D$86*(1+Quesería!$I$86))*$X$21,0))*$X$11</f>
        <v>930.800239431677</v>
      </c>
      <c r="C1000" s="29" t="n">
        <f aca="false">IF(C$47=0,Quesería!$F$92,IF(C$47=1,(Quesería!$F$93-(-$X$26)*Quesería!$D$86*(1+Quesería!$I$86))*$X$21,0))*$X$11</f>
        <v>658.469066674498</v>
      </c>
      <c r="D1000" s="29" t="n">
        <f aca="false">IF(D$47=0,Quesería!$F$92,IF(D$47=1,(Quesería!$F$93-(-$X$26)*Quesería!$D$86*(1+Quesería!$I$86))*$X$21,0))*$X$11</f>
        <v>0</v>
      </c>
      <c r="E1000" s="29" t="n">
        <f aca="false">IF(E$47=0,Quesería!$F$92,IF(E$47=1,(Quesería!$F$93-(-$X$26)*Quesería!$D$86*(1+Quesería!$I$86))*$X$21,0))*$X$11</f>
        <v>0</v>
      </c>
      <c r="F1000" s="29" t="n">
        <f aca="false">IF(F$47=0,Quesería!$F$92,IF(F$47=1,(Quesería!$F$93-(-$X$26)*Quesería!$D$86*(1+Quesería!$I$86))*$X$21,0))*$X$11</f>
        <v>0</v>
      </c>
      <c r="G1000" s="29" t="n">
        <f aca="false">IF(G$47=0,Quesería!$F$92,IF(G$47=1,(Quesería!$F$93-(-$X$26)*Quesería!$D$86*(1+Quesería!$I$86))*$X$21,0))*$X$11</f>
        <v>0</v>
      </c>
      <c r="H1000" s="29" t="n">
        <f aca="false">IF(H$47=0,Quesería!$F$92,IF(H$47=1,(Quesería!$F$93-(-$X$26)*Quesería!$D$86*(1+Quesería!$I$86))*$X$21,0))*$X$11</f>
        <v>0</v>
      </c>
      <c r="I1000" s="29" t="n">
        <f aca="false">IF(I$47=0,Quesería!$F$92,IF(I$47=1,(Quesería!$F$93-(-$X$26)*Quesería!$D$86*(1+Quesería!$I$86))*$X$21,0))*$X$11</f>
        <v>0</v>
      </c>
      <c r="J1000" s="29" t="n">
        <f aca="false">IF(J$47=0,Quesería!$F$92,IF(J$47=1,(Quesería!$F$93-(-$X$26)*Quesería!$D$86*(1+Quesería!$I$86))*$X$21,0))*$X$11</f>
        <v>0</v>
      </c>
      <c r="K1000" s="29" t="n">
        <f aca="false">IF(K$47=0,Quesería!$F$92,IF(K$47=1,(Quesería!$F$93-(-$X$26)*Quesería!$D$86*(1+Quesería!$I$86))*$X$21,0))*$X$11</f>
        <v>0</v>
      </c>
      <c r="L1000" s="29" t="n">
        <f aca="false">IF(L$47=0,Quesería!$F$92,IF(L$47=1,(Quesería!$F$93-(-$X$26)*Quesería!$D$86*(1+Quesería!$I$86))*$X$21,0))*$X$11</f>
        <v>0</v>
      </c>
    </row>
    <row r="1001" customFormat="false" ht="15" hidden="true" customHeight="false" outlineLevel="1" collapsed="false">
      <c r="A1001" s="6" t="s">
        <v>410</v>
      </c>
      <c r="B1001" s="29" t="n">
        <f aca="false">IF(B$47=5,Quesería!$F$99,IF(B$47=6,Quesería!$F$100,0))*$X$11</f>
        <v>0</v>
      </c>
      <c r="C1001" s="29" t="n">
        <f aca="false">IF(C$47=5,Quesería!$F$99,IF(C$47=6,Quesería!$F$100,0))*$X$11</f>
        <v>0</v>
      </c>
      <c r="D1001" s="29" t="n">
        <f aca="false">IF(D$47=5,Quesería!$F$99,IF(D$47=6,Quesería!$F$100,0))*$X$11</f>
        <v>0</v>
      </c>
      <c r="E1001" s="29" t="n">
        <f aca="false">IF(E$47=5,Quesería!$F$99,IF(E$47=6,Quesería!$F$100,0))*$X$11</f>
        <v>0</v>
      </c>
      <c r="F1001" s="29" t="n">
        <f aca="false">IF(F$47=5,Quesería!$F$99,IF(F$47=6,Quesería!$F$100,0))*$X$11</f>
        <v>0</v>
      </c>
      <c r="G1001" s="29" t="n">
        <f aca="false">IF(G$47=5,Quesería!$F$99,IF(G$47=6,Quesería!$F$100,0))*$X$11</f>
        <v>27.4652172688735</v>
      </c>
      <c r="H1001" s="29" t="n">
        <f aca="false">IF(H$47=5,Quesería!$F$99,IF(H$47=6,Quesería!$F$100,0))*$X$11</f>
        <v>46.3891557109552</v>
      </c>
      <c r="I1001" s="29" t="n">
        <f aca="false">IF(I$47=5,Quesería!$F$99,IF(I$47=6,Quesería!$F$100,0))*$X$11</f>
        <v>0</v>
      </c>
      <c r="J1001" s="29" t="n">
        <f aca="false">IF(J$47=5,Quesería!$F$99,IF(J$47=6,Quesería!$F$100,0))*$X$11</f>
        <v>0</v>
      </c>
      <c r="K1001" s="29" t="n">
        <f aca="false">IF(K$47=5,Quesería!$F$99,IF(K$47=6,Quesería!$F$100,0))*$X$11</f>
        <v>0</v>
      </c>
      <c r="L1001" s="29" t="n">
        <f aca="false">IF(L$47=5,Quesería!$F$99,IF(L$47=6,Quesería!$F$100,0))*$X$11</f>
        <v>0</v>
      </c>
    </row>
    <row r="1002" customFormat="false" ht="15" hidden="true" customHeight="false" outlineLevel="1" collapsed="false">
      <c r="A1002" s="6" t="s">
        <v>411</v>
      </c>
      <c r="B1002" s="29" t="n">
        <f aca="false">Quesería!$B$55*(IF(B$47=0,SUMPRODUCT((Quesería!$C$70:$C$89=0)*(Quesería!$H$70:$H$89&gt;0)*(Quesería!$J$70:$J$89&gt;0)*Quesería!$F$70:$F$89*(1+Quesería!$I$70:$I$89)),IF(B$47=1,(SUMPRODUCT((Quesería!$C$70:$C$89=1)*(Quesería!$H$70:$H$89&gt;0)*(Quesería!$J$70:$J$89&gt;0)*Quesería!$F$70:$F$89*(1+Quesería!$I$70:$I$89))-(-$X$26)*Quesería!$D$86*(1+Quesería!$I$86))*$X$21,0))*$X$11+B1001)</f>
        <v>149.115671560178</v>
      </c>
      <c r="C1002" s="29" t="n">
        <f aca="false">Quesería!$B$55*(IF(C$47=0,SUMPRODUCT((Quesería!$C$70:$C$89=0)*(Quesería!$H$70:$H$89&gt;0)*(Quesería!$J$70:$J$89&gt;0)*Quesería!$F$70:$F$89*(1+Quesería!$I$70:$I$89)),IF(C$47=1,(SUMPRODUCT((Quesería!$C$70:$C$89=1)*(Quesería!$H$70:$H$89&gt;0)*(Quesería!$J$70:$J$89&gt;0)*Quesería!$F$70:$F$89*(1+Quesería!$I$70:$I$89))-(-$X$26)*Quesería!$D$86*(1+Quesería!$I$86))*$X$21,0))*$X$11+C1001)</f>
        <v>125.109122668155</v>
      </c>
      <c r="D1002" s="29" t="n">
        <f aca="false">Quesería!$B$55*(IF(D$47=0,SUMPRODUCT((Quesería!$C$70:$C$89=0)*(Quesería!$H$70:$H$89&gt;0)*(Quesería!$J$70:$J$89&gt;0)*Quesería!$F$70:$F$89*(1+Quesería!$I$70:$I$89)),IF(D$47=1,(SUMPRODUCT((Quesería!$C$70:$C$89=1)*(Quesería!$H$70:$H$89&gt;0)*(Quesería!$J$70:$J$89&gt;0)*Quesería!$F$70:$F$89*(1+Quesería!$I$70:$I$89))-(-$X$26)*Quesería!$D$86*(1+Quesería!$I$86))*$X$21,0))*$X$11+D1001)</f>
        <v>0</v>
      </c>
      <c r="E1002" s="29" t="n">
        <f aca="false">Quesería!$B$55*(IF(E$47=0,SUMPRODUCT((Quesería!$C$70:$C$89=0)*(Quesería!$H$70:$H$89&gt;0)*(Quesería!$J$70:$J$89&gt;0)*Quesería!$F$70:$F$89*(1+Quesería!$I$70:$I$89)),IF(E$47=1,(SUMPRODUCT((Quesería!$C$70:$C$89=1)*(Quesería!$H$70:$H$89&gt;0)*(Quesería!$J$70:$J$89&gt;0)*Quesería!$F$70:$F$89*(1+Quesería!$I$70:$I$89))-(-$X$26)*Quesería!$D$86*(1+Quesería!$I$86))*$X$21,0))*$X$11+E1001)</f>
        <v>0</v>
      </c>
      <c r="F1002" s="29" t="n">
        <f aca="false">Quesería!$B$55*(IF(F$47=0,SUMPRODUCT((Quesería!$C$70:$C$89=0)*(Quesería!$H$70:$H$89&gt;0)*(Quesería!$J$70:$J$89&gt;0)*Quesería!$F$70:$F$89*(1+Quesería!$I$70:$I$89)),IF(F$47=1,(SUMPRODUCT((Quesería!$C$70:$C$89=1)*(Quesería!$H$70:$H$89&gt;0)*(Quesería!$J$70:$J$89&gt;0)*Quesería!$F$70:$F$89*(1+Quesería!$I$70:$I$89))-(-$X$26)*Quesería!$D$86*(1+Quesería!$I$86))*$X$21,0))*$X$11+F1001)</f>
        <v>0</v>
      </c>
      <c r="G1002" s="29" t="n">
        <f aca="false">Quesería!$B$55*(IF(G$47=0,SUMPRODUCT((Quesería!$C$70:$C$89=0)*(Quesería!$H$70:$H$89&gt;0)*(Quesería!$J$70:$J$89&gt;0)*Quesería!$F$70:$F$89*(1+Quesería!$I$70:$I$89)),IF(G$47=1,(SUMPRODUCT((Quesería!$C$70:$C$89=1)*(Quesería!$H$70:$H$89&gt;0)*(Quesería!$J$70:$J$89&gt;0)*Quesería!$F$70:$F$89*(1+Quesería!$I$70:$I$89))-(-$X$26)*Quesería!$D$86*(1+Quesería!$I$86))*$X$21,0))*$X$11+G1001)</f>
        <v>5.21839128108597</v>
      </c>
      <c r="H1002" s="29" t="n">
        <f aca="false">Quesería!$B$55*(IF(H$47=0,SUMPRODUCT((Quesería!$C$70:$C$89=0)*(Quesería!$H$70:$H$89&gt;0)*(Quesería!$J$70:$J$89&gt;0)*Quesería!$F$70:$F$89*(1+Quesería!$I$70:$I$89)),IF(H$47=1,(SUMPRODUCT((Quesería!$C$70:$C$89=1)*(Quesería!$H$70:$H$89&gt;0)*(Quesería!$J$70:$J$89&gt;0)*Quesería!$F$70:$F$89*(1+Quesería!$I$70:$I$89))-(-$X$26)*Quesería!$D$86*(1+Quesería!$I$86))*$X$21,0))*$X$11+H1001)</f>
        <v>8.8139395850815</v>
      </c>
      <c r="I1002" s="29" t="n">
        <f aca="false">Quesería!$B$55*(IF(I$47=0,SUMPRODUCT((Quesería!$C$70:$C$89=0)*(Quesería!$H$70:$H$89&gt;0)*(Quesería!$J$70:$J$89&gt;0)*Quesería!$F$70:$F$89*(1+Quesería!$I$70:$I$89)),IF(I$47=1,(SUMPRODUCT((Quesería!$C$70:$C$89=1)*(Quesería!$H$70:$H$89&gt;0)*(Quesería!$J$70:$J$89&gt;0)*Quesería!$F$70:$F$89*(1+Quesería!$I$70:$I$89))-(-$X$26)*Quesería!$D$86*(1+Quesería!$I$86))*$X$21,0))*$X$11+I1001)</f>
        <v>0</v>
      </c>
      <c r="J1002" s="29" t="n">
        <f aca="false">Quesería!$B$55*(IF(J$47=0,SUMPRODUCT((Quesería!$C$70:$C$89=0)*(Quesería!$H$70:$H$89&gt;0)*(Quesería!$J$70:$J$89&gt;0)*Quesería!$F$70:$F$89*(1+Quesería!$I$70:$I$89)),IF(J$47=1,(SUMPRODUCT((Quesería!$C$70:$C$89=1)*(Quesería!$H$70:$H$89&gt;0)*(Quesería!$J$70:$J$89&gt;0)*Quesería!$F$70:$F$89*(1+Quesería!$I$70:$I$89))-(-$X$26)*Quesería!$D$86*(1+Quesería!$I$86))*$X$21,0))*$X$11+J1001)</f>
        <v>0</v>
      </c>
      <c r="K1002" s="29" t="n">
        <f aca="false">Quesería!$B$55*(IF(K$47=0,SUMPRODUCT((Quesería!$C$70:$C$89=0)*(Quesería!$H$70:$H$89&gt;0)*(Quesería!$J$70:$J$89&gt;0)*Quesería!$F$70:$F$89*(1+Quesería!$I$70:$I$89)),IF(K$47=1,(SUMPRODUCT((Quesería!$C$70:$C$89=1)*(Quesería!$H$70:$H$89&gt;0)*(Quesería!$J$70:$J$89&gt;0)*Quesería!$F$70:$F$89*(1+Quesería!$I$70:$I$89))-(-$X$26)*Quesería!$D$86*(1+Quesería!$I$86))*$X$21,0))*$X$11+K1001)</f>
        <v>0</v>
      </c>
      <c r="L1002" s="29" t="n">
        <f aca="false">Quesería!$B$55*(IF(L$47=0,SUMPRODUCT((Quesería!$C$70:$C$89=0)*(Quesería!$H$70:$H$89&gt;0)*(Quesería!$J$70:$J$89&gt;0)*Quesería!$F$70:$F$89*(1+Quesería!$I$70:$I$89)),IF(L$47=1,(SUMPRODUCT((Quesería!$C$70:$C$89=1)*(Quesería!$H$70:$H$89&gt;0)*(Quesería!$J$70:$J$89&gt;0)*Quesería!$F$70:$F$89*(1+Quesería!$I$70:$I$89))-(-$X$26)*Quesería!$D$86*(1+Quesería!$I$86))*$X$21,0))*$X$11+L1001)</f>
        <v>0</v>
      </c>
    </row>
    <row r="1003" customFormat="false" ht="15" hidden="true" customHeight="false" outlineLevel="1" collapsed="false">
      <c r="A1003" s="6" t="s">
        <v>386</v>
      </c>
      <c r="B1003" s="29" t="n">
        <f aca="false">IF(B$47=0,($X$22*Quesería!$J$126+(1-$X$22)*Quesería!$E$122)*Quesería!$B$20*Quesería!$B$21/12*$X$23,(($X$22*Quesería!$J$126+(1-$X$22)*Quesería!$E$122)+($X$22*Quesería!$J$104+(1-$X$22)*Quesería!$E$104)*(B998-1))*IF(B$47=1,Quesería!$B$20,1))*$X$10</f>
        <v>120.716772261203</v>
      </c>
      <c r="C1003" s="29" t="n">
        <f aca="false">IF(C$47=0,($X$22*Quesería!$J$126+(1-$X$22)*Quesería!$E$122)*Quesería!$B$20*Quesería!$B$21/12*$X$23,(($X$22*Quesería!$J$126+(1-$X$22)*Quesería!$E$122)+($X$22*Quesería!$J$104+(1-$X$22)*Quesería!$E$104)*(C998-1))*IF(C$47=1,Quesería!$B$20,1))*$X$10</f>
        <v>181.328317354069</v>
      </c>
      <c r="D1003" s="29" t="n">
        <f aca="false">IF(D$47=0,($X$22*Quesería!$J$126+(1-$X$22)*Quesería!$E$122)*Quesería!$B$20*Quesería!$B$21/12*$X$23,(($X$22*Quesería!$J$126+(1-$X$22)*Quesería!$E$122)+($X$22*Quesería!$J$104+(1-$X$22)*Quesería!$E$104)*(D998-1))*IF(D$47=1,Quesería!$B$20,1))*$X$10</f>
        <v>241.83157753184</v>
      </c>
      <c r="E1003" s="29" t="n">
        <f aca="false">IF(E$47=0,($X$22*Quesería!$J$126+(1-$X$22)*Quesería!$E$122)*Quesería!$B$20*Quesería!$B$21/12*$X$23,(($X$22*Quesería!$J$126+(1-$X$22)*Quesería!$E$122)+($X$22*Quesería!$J$104+(1-$X$22)*Quesería!$E$104)*(E998-1))*IF(E$47=1,Quesería!$B$20,1))*$X$10</f>
        <v>241.892367696887</v>
      </c>
      <c r="F1003" s="29" t="n">
        <f aca="false">IF(F$47=0,($X$22*Quesería!$J$126+(1-$X$22)*Quesería!$E$122)*Quesería!$B$20*Quesería!$B$21/12*$X$23,(($X$22*Quesería!$J$126+(1-$X$22)*Quesería!$E$122)+($X$22*Quesería!$J$104+(1-$X$22)*Quesería!$E$104)*(F998-1))*IF(F$47=1,Quesería!$B$20,1))*$X$10</f>
        <v>241.95346181276</v>
      </c>
      <c r="G1003" s="29" t="n">
        <f aca="false">IF(G$47=0,($X$22*Quesería!$J$126+(1-$X$22)*Quesería!$E$122)*Quesería!$B$20*Quesería!$B$21/12*$X$23,(($X$22*Quesería!$J$126+(1-$X$22)*Quesería!$E$122)+($X$22*Quesería!$J$104+(1-$X$22)*Quesería!$E$104)*(G998-1))*IF(G$47=1,Quesería!$B$20,1))*$X$10</f>
        <v>242.014861399211</v>
      </c>
      <c r="H1003" s="29" t="n">
        <f aca="false">IF(H$47=0,($X$22*Quesería!$J$126+(1-$X$22)*Quesería!$E$122)*Quesería!$B$20*Quesería!$B$21/12*$X$23,(($X$22*Quesería!$J$126+(1-$X$22)*Quesería!$E$122)+($X$22*Quesería!$J$104+(1-$X$22)*Quesería!$E$104)*(H998-1))*IF(H$47=1,Quesería!$B$20,1))*$X$10</f>
        <v>242.076567983595</v>
      </c>
      <c r="I1003" s="29" t="n">
        <f aca="false">IF(I$47=0,($X$22*Quesería!$J$126+(1-$X$22)*Quesería!$E$122)*Quesería!$B$20*Quesería!$B$21/12*$X$23,(($X$22*Quesería!$J$126+(1-$X$22)*Quesería!$E$122)+($X$22*Quesería!$J$104+(1-$X$22)*Quesería!$E$104)*(I998-1))*IF(I$47=1,Quesería!$B$20,1))*$X$10</f>
        <v>242.138583100901</v>
      </c>
      <c r="J1003" s="29" t="n">
        <f aca="false">IF(J$47=0,($X$22*Quesería!$J$126+(1-$X$22)*Quesería!$E$122)*Quesería!$B$20*Quesería!$B$21/12*$X$23,(($X$22*Quesería!$J$126+(1-$X$22)*Quesería!$E$122)+($X$22*Quesería!$J$104+(1-$X$22)*Quesería!$E$104)*(J998-1))*IF(J$47=1,Quesería!$B$20,1))*$X$10</f>
        <v>242.200908293794</v>
      </c>
      <c r="K1003" s="29" t="n">
        <f aca="false">IF(K$47=0,($X$22*Quesería!$J$126+(1-$X$22)*Quesería!$E$122)*Quesería!$B$20*Quesería!$B$21/12*$X$23,(($X$22*Quesería!$J$126+(1-$X$22)*Quesería!$E$122)+($X$22*Quesería!$J$104+(1-$X$22)*Quesería!$E$104)*(K998-1))*IF(K$47=1,Quesería!$B$20,1))*$X$10</f>
        <v>242.263545112651</v>
      </c>
      <c r="L1003" s="29" t="n">
        <f aca="false">IF(L$47=0,($X$22*Quesería!$J$126+(1-$X$22)*Quesería!$E$122)*Quesería!$B$20*Quesería!$B$21/12*$X$23,(($X$22*Quesería!$J$126+(1-$X$22)*Quesería!$E$122)+($X$22*Quesería!$J$104+(1-$X$22)*Quesería!$E$104)*(L998-1))*IF(L$47=1,Quesería!$B$20,1))*$X$10</f>
        <v>242.326495115602</v>
      </c>
    </row>
    <row r="1004" customFormat="false" ht="15" hidden="true" customHeight="false" outlineLevel="1" collapsed="false">
      <c r="A1004" s="6" t="s">
        <v>387</v>
      </c>
      <c r="B1004" s="29" t="n">
        <f aca="false">IF(B$47&lt;=1,0,((($X$22*Quesería!$J$127+(1-$X$22)*Quesería!$E$123)-($X$22*Quesería!$J$113+(1-$X$22)*Quesería!$E$113)+$X$6*($X$22*Quesería!$J$113+(1-$X$22)*Quesería!$E$113)-(1-$X$9)*(($X$22*Quesería!$J$119+(1-$X$22)*Quesería!$E$119)+($X$22*Quesería!$J$118+(1-$X$22)*Quesería!$E$118))-(1-$X$24)*($X$22*Quesería!$J$117+(1-$X$22)*Quesería!$E$117)+$X$24*(1-$X$25)*'Beneficios y costos'!$B$144-(-$X$26*$X$27)*'Beneficios y costos'!$C$167)+($X$6*($X$22*Quesería!$J$113+(1-$X$22)*Quesería!$E$113)+$X$9*($X$22*Quesería!$J$119+(1-$X$22)*Quesería!$E$119))*(B998-1))*IF(B$47=2,Quesería!$B$20,1)+IF(B$47=2,Quesería!$B$24*$X$9*($X$22*Quesería!$J$119+(1-$X$22)*Quesería!$E$119)*B998,0))*$X$10*$X$21</f>
        <v>0</v>
      </c>
      <c r="C1004" s="29" t="n">
        <f aca="false">IF(C$47&lt;=1,0,((($X$22*Quesería!$J$127+(1-$X$22)*Quesería!$E$123)-($X$22*Quesería!$J$113+(1-$X$22)*Quesería!$E$113)+$X$6*($X$22*Quesería!$J$113+(1-$X$22)*Quesería!$E$113)-(1-$X$9)*(($X$22*Quesería!$J$119+(1-$X$22)*Quesería!$E$119)+($X$22*Quesería!$J$118+(1-$X$22)*Quesería!$E$118))-(1-$X$24)*($X$22*Quesería!$J$117+(1-$X$22)*Quesería!$E$117)+$X$24*(1-$X$25)*'Beneficios y costos'!$B$144-(-$X$26*$X$27)*'Beneficios y costos'!$C$167)+($X$6*($X$22*Quesería!$J$113+(1-$X$22)*Quesería!$E$113)+$X$9*($X$22*Quesería!$J$119+(1-$X$22)*Quesería!$E$119))*(C998-1))*IF(C$47=2,Quesería!$B$20,1)+IF(C$47=2,Quesería!$B$24*$X$9*($X$22*Quesería!$J$119+(1-$X$22)*Quesería!$E$119)*C998,0))*$X$10*$X$21</f>
        <v>0</v>
      </c>
      <c r="D1004" s="29" t="n">
        <f aca="false">IF(D$47&lt;=1,0,((($X$22*Quesería!$J$127+(1-$X$22)*Quesería!$E$123)-($X$22*Quesería!$J$113+(1-$X$22)*Quesería!$E$113)+$X$6*($X$22*Quesería!$J$113+(1-$X$22)*Quesería!$E$113)-(1-$X$9)*(($X$22*Quesería!$J$119+(1-$X$22)*Quesería!$E$119)+($X$22*Quesería!$J$118+(1-$X$22)*Quesería!$E$118))-(1-$X$24)*($X$22*Quesería!$J$117+(1-$X$22)*Quesería!$E$117)+$X$24*(1-$X$25)*'Beneficios y costos'!$B$144-(-$X$26*$X$27)*'Beneficios y costos'!$C$167)+($X$6*($X$22*Quesería!$J$113+(1-$X$22)*Quesería!$E$113)+$X$9*($X$22*Quesería!$J$119+(1-$X$22)*Quesería!$E$119))*(D998-1))*IF(D$47=2,Quesería!$B$20,1)+IF(D$47=2,Quesería!$B$24*$X$9*($X$22*Quesería!$J$119+(1-$X$22)*Quesería!$E$119)*D998,0))*$X$10*$X$21</f>
        <v>257.351493734688</v>
      </c>
      <c r="E1004" s="29" t="n">
        <f aca="false">IF(E$47&lt;=1,0,((($X$22*Quesería!$J$127+(1-$X$22)*Quesería!$E$123)-($X$22*Quesería!$J$113+(1-$X$22)*Quesería!$E$113)+$X$6*($X$22*Quesería!$J$113+(1-$X$22)*Quesería!$E$113)-(1-$X$9)*(($X$22*Quesería!$J$119+(1-$X$22)*Quesería!$E$119)+($X$22*Quesería!$J$118+(1-$X$22)*Quesería!$E$118))-(1-$X$24)*($X$22*Quesería!$J$117+(1-$X$22)*Quesería!$E$117)+$X$24*(1-$X$25)*'Beneficios y costos'!$B$144-(-$X$26*$X$27)*'Beneficios y costos'!$C$167)+($X$6*($X$22*Quesería!$J$113+(1-$X$22)*Quesería!$E$113)+$X$9*($X$22*Quesería!$J$119+(1-$X$22)*Quesería!$E$119))*(E998-1))*IF(E$47=2,Quesería!$B$20,1)+IF(E$47=2,Quesería!$B$24*$X$9*($X$22*Quesería!$J$119+(1-$X$22)*Quesería!$E$119)*E998,0))*$X$10*$X$21</f>
        <v>328.494820128122</v>
      </c>
      <c r="F1004" s="29" t="n">
        <f aca="false">IF(F$47&lt;=1,0,((($X$22*Quesería!$J$127+(1-$X$22)*Quesería!$E$123)-($X$22*Quesería!$J$113+(1-$X$22)*Quesería!$E$113)+$X$6*($X$22*Quesería!$J$113+(1-$X$22)*Quesería!$E$113)-(1-$X$9)*(($X$22*Quesería!$J$119+(1-$X$22)*Quesería!$E$119)+($X$22*Quesería!$J$118+(1-$X$22)*Quesería!$E$118))-(1-$X$24)*($X$22*Quesería!$J$117+(1-$X$22)*Quesería!$E$117)+$X$24*(1-$X$25)*'Beneficios y costos'!$B$144-(-$X$26*$X$27)*'Beneficios y costos'!$C$167)+($X$6*($X$22*Quesería!$J$113+(1-$X$22)*Quesería!$E$113)+$X$9*($X$22*Quesería!$J$119+(1-$X$22)*Quesería!$E$119))*(F998-1))*IF(F$47=2,Quesería!$B$20,1)+IF(F$47=2,Quesería!$B$24*$X$9*($X$22*Quesería!$J$119+(1-$X$22)*Quesería!$E$119)*F998,0))*$X$10*$X$21</f>
        <v>328.742937047686</v>
      </c>
      <c r="G1004" s="29" t="n">
        <f aca="false">IF(G$47&lt;=1,0,((($X$22*Quesería!$J$127+(1-$X$22)*Quesería!$E$123)-($X$22*Quesería!$J$113+(1-$X$22)*Quesería!$E$113)+$X$6*($X$22*Quesería!$J$113+(1-$X$22)*Quesería!$E$113)-(1-$X$9)*(($X$22*Quesería!$J$119+(1-$X$22)*Quesería!$E$119)+($X$22*Quesería!$J$118+(1-$X$22)*Quesería!$E$118))-(1-$X$24)*($X$22*Quesería!$J$117+(1-$X$22)*Quesería!$E$117)+$X$24*(1-$X$25)*'Beneficios y costos'!$B$144-(-$X$26*$X$27)*'Beneficios y costos'!$C$167)+($X$6*($X$22*Quesería!$J$113+(1-$X$22)*Quesería!$E$113)+$X$9*($X$22*Quesería!$J$119+(1-$X$22)*Quesería!$E$119))*(G998-1))*IF(G$47=2,Quesería!$B$20,1)+IF(G$47=2,Quesería!$B$24*$X$9*($X$22*Quesería!$J$119+(1-$X$22)*Quesería!$E$119)*G998,0))*$X$10*$X$21</f>
        <v>328.992294551847</v>
      </c>
      <c r="H1004" s="29" t="n">
        <f aca="false">IF(H$47&lt;=1,0,((($X$22*Quesería!$J$127+(1-$X$22)*Quesería!$E$123)-($X$22*Quesería!$J$113+(1-$X$22)*Quesería!$E$113)+$X$6*($X$22*Quesería!$J$113+(1-$X$22)*Quesería!$E$113)-(1-$X$9)*(($X$22*Quesería!$J$119+(1-$X$22)*Quesería!$E$119)+($X$22*Quesería!$J$118+(1-$X$22)*Quesería!$E$118))-(1-$X$24)*($X$22*Quesería!$J$117+(1-$X$22)*Quesería!$E$117)+$X$24*(1-$X$25)*'Beneficios y costos'!$B$144-(-$X$26*$X$27)*'Beneficios y costos'!$C$167)+($X$6*($X$22*Quesería!$J$113+(1-$X$22)*Quesería!$E$113)+$X$9*($X$22*Quesería!$J$119+(1-$X$22)*Quesería!$E$119))*(H998-1))*IF(H$47=2,Quesería!$B$20,1)+IF(H$47=2,Quesería!$B$24*$X$9*($X$22*Quesería!$J$119+(1-$X$22)*Quesería!$E$119)*H998,0))*$X$10*$X$21</f>
        <v>329.242898843529</v>
      </c>
      <c r="I1004" s="29" t="n">
        <f aca="false">IF(I$47&lt;=1,0,((($X$22*Quesería!$J$127+(1-$X$22)*Quesería!$E$123)-($X$22*Quesería!$J$113+(1-$X$22)*Quesería!$E$113)+$X$6*($X$22*Quesería!$J$113+(1-$X$22)*Quesería!$E$113)-(1-$X$9)*(($X$22*Quesería!$J$119+(1-$X$22)*Quesería!$E$119)+($X$22*Quesería!$J$118+(1-$X$22)*Quesería!$E$118))-(1-$X$24)*($X$22*Quesería!$J$117+(1-$X$22)*Quesería!$E$117)+$X$24*(1-$X$25)*'Beneficios y costos'!$B$144-(-$X$26*$X$27)*'Beneficios y costos'!$C$167)+($X$6*($X$22*Quesería!$J$113+(1-$X$22)*Quesería!$E$113)+$X$9*($X$22*Quesería!$J$119+(1-$X$22)*Quesería!$E$119))*(I998-1))*IF(I$47=2,Quesería!$B$20,1)+IF(I$47=2,Quesería!$B$24*$X$9*($X$22*Quesería!$J$119+(1-$X$22)*Quesería!$E$119)*I998,0))*$X$10*$X$21</f>
        <v>329.49475615667</v>
      </c>
      <c r="J1004" s="29" t="n">
        <f aca="false">IF(J$47&lt;=1,0,((($X$22*Quesería!$J$127+(1-$X$22)*Quesería!$E$123)-($X$22*Quesería!$J$113+(1-$X$22)*Quesería!$E$113)+$X$6*($X$22*Quesería!$J$113+(1-$X$22)*Quesería!$E$113)-(1-$X$9)*(($X$22*Quesería!$J$119+(1-$X$22)*Quesería!$E$119)+($X$22*Quesería!$J$118+(1-$X$22)*Quesería!$E$118))-(1-$X$24)*($X$22*Quesería!$J$117+(1-$X$22)*Quesería!$E$117)+$X$24*(1-$X$25)*'Beneficios y costos'!$B$144-(-$X$26*$X$27)*'Beneficios y costos'!$C$167)+($X$6*($X$22*Quesería!$J$113+(1-$X$22)*Quesería!$E$113)+$X$9*($X$22*Quesería!$J$119+(1-$X$22)*Quesería!$E$119))*(J998-1))*IF(J$47=2,Quesería!$B$20,1)+IF(J$47=2,Quesería!$B$24*$X$9*($X$22*Quesería!$J$119+(1-$X$22)*Quesería!$E$119)*J998,0))*$X$10*$X$21</f>
        <v>329.747872756376</v>
      </c>
      <c r="K1004" s="29" t="n">
        <f aca="false">IF(K$47&lt;=1,0,((($X$22*Quesería!$J$127+(1-$X$22)*Quesería!$E$123)-($X$22*Quesería!$J$113+(1-$X$22)*Quesería!$E$113)+$X$6*($X$22*Quesería!$J$113+(1-$X$22)*Quesería!$E$113)-(1-$X$9)*(($X$22*Quesería!$J$119+(1-$X$22)*Quesería!$E$119)+($X$22*Quesería!$J$118+(1-$X$22)*Quesería!$E$118))-(1-$X$24)*($X$22*Quesería!$J$117+(1-$X$22)*Quesería!$E$117)+$X$24*(1-$X$25)*'Beneficios y costos'!$B$144-(-$X$26*$X$27)*'Beneficios y costos'!$C$167)+($X$6*($X$22*Quesería!$J$113+(1-$X$22)*Quesería!$E$113)+$X$9*($X$22*Quesería!$J$119+(1-$X$22)*Quesería!$E$119))*(K998-1))*IF(K$47=2,Quesería!$B$20,1)+IF(K$47=2,Quesería!$B$24*$X$9*($X$22*Quesería!$J$119+(1-$X$22)*Quesería!$E$119)*K998,0))*$X$10*$X$21</f>
        <v>330.00225493908</v>
      </c>
      <c r="L1004" s="29" t="n">
        <f aca="false">IF(L$47&lt;=1,0,((($X$22*Quesería!$J$127+(1-$X$22)*Quesería!$E$123)-($X$22*Quesería!$J$113+(1-$X$22)*Quesería!$E$113)+$X$6*($X$22*Quesería!$J$113+(1-$X$22)*Quesería!$E$113)-(1-$X$9)*(($X$22*Quesería!$J$119+(1-$X$22)*Quesería!$E$119)+($X$22*Quesería!$J$118+(1-$X$22)*Quesería!$E$118))-(1-$X$24)*($X$22*Quesería!$J$117+(1-$X$22)*Quesería!$E$117)+$X$24*(1-$X$25)*'Beneficios y costos'!$B$144-(-$X$26*$X$27)*'Beneficios y costos'!$C$167)+($X$6*($X$22*Quesería!$J$113+(1-$X$22)*Quesería!$E$113)+$X$9*($X$22*Quesería!$J$119+(1-$X$22)*Quesería!$E$119))*(L998-1))*IF(L$47=2,Quesería!$B$20,1)+IF(L$47=2,Quesería!$B$24*$X$9*($X$22*Quesería!$J$119+(1-$X$22)*Quesería!$E$119)*L998,0))*$X$10*$X$21</f>
        <v>330.257909032699</v>
      </c>
    </row>
    <row r="1005" customFormat="false" ht="15" hidden="true" customHeight="false" outlineLevel="1" collapsed="false">
      <c r="A1005" s="5" t="s">
        <v>412</v>
      </c>
      <c r="B1005" s="10" t="n">
        <f aca="false">B1003+B1004</f>
        <v>120.716772261203</v>
      </c>
      <c r="C1005" s="10" t="n">
        <f aca="false">C1003+C1004</f>
        <v>181.328317354069</v>
      </c>
      <c r="D1005" s="10" t="n">
        <f aca="false">D1003+D1004</f>
        <v>499.183071266528</v>
      </c>
      <c r="E1005" s="10" t="n">
        <f aca="false">E1003+E1004</f>
        <v>570.38718782501</v>
      </c>
      <c r="F1005" s="10" t="n">
        <f aca="false">F1003+F1004</f>
        <v>570.696398860445</v>
      </c>
      <c r="G1005" s="10" t="n">
        <f aca="false">G1003+G1004</f>
        <v>571.007155951058</v>
      </c>
      <c r="H1005" s="10" t="n">
        <f aca="false">H1003+H1004</f>
        <v>571.319466827124</v>
      </c>
      <c r="I1005" s="10" t="n">
        <f aca="false">I1003+I1004</f>
        <v>571.633339257571</v>
      </c>
      <c r="J1005" s="10" t="n">
        <f aca="false">J1003+J1004</f>
        <v>571.94878105017</v>
      </c>
      <c r="K1005" s="10" t="n">
        <f aca="false">K1003+K1004</f>
        <v>572.265800051731</v>
      </c>
      <c r="L1005" s="10" t="n">
        <f aca="false">L1003+L1004</f>
        <v>572.584404148301</v>
      </c>
    </row>
    <row r="1006" customFormat="false" ht="15" hidden="true" customHeight="false" outlineLevel="1" collapsed="false">
      <c r="A1006" s="6" t="s">
        <v>413</v>
      </c>
      <c r="B1006" s="29" t="n">
        <f aca="false">(IF(B$47&gt;=1,(Quesería!$B$31+Quesería!$B$33)*Quesería!$F$94*$X$11+Quesería!$B$32+'Beneficios y costos'!$B$249,0)+IF(B$47&gt;=2,((Quesería!$B$31+Quesería!$B$33)*(Quesería!$F$95-(-$X$26)*Quesería!$D$86)*$X$11+'Beneficios y costos'!$C$249-(-$X$26)*'Beneficios y costos'!$H$235)*$X$21,0))*$X$12</f>
        <v>0</v>
      </c>
      <c r="C1006" s="29" t="n">
        <f aca="false">(IF(C$47&gt;=1,(Quesería!$B$31+Quesería!$B$33)*Quesería!$F$94*$X$11+Quesería!$B$32+'Beneficios y costos'!$B$249,0)+IF(C$47&gt;=2,((Quesería!$B$31+Quesería!$B$33)*(Quesería!$F$95-(-$X$26)*Quesería!$D$86)*$X$11+'Beneficios y costos'!$C$249-(-$X$26)*'Beneficios y costos'!$H$235)*$X$21,0))*$X$12</f>
        <v>42.0946487260605</v>
      </c>
      <c r="D1006" s="29" t="n">
        <f aca="false">(IF(D$47&gt;=1,(Quesería!$B$31+Quesería!$B$33)*Quesería!$F$94*$X$11+Quesería!$B$32+'Beneficios y costos'!$B$249,0)+IF(D$47&gt;=2,((Quesería!$B$31+Quesería!$B$33)*(Quesería!$F$95-(-$X$26)*Quesería!$D$86)*$X$11+'Beneficios y costos'!$C$249-(-$X$26)*'Beneficios y costos'!$H$235)*$X$21,0))*$X$12</f>
        <v>76.4964821173776</v>
      </c>
      <c r="E1006" s="29" t="n">
        <f aca="false">(IF(E$47&gt;=1,(Quesería!$B$31+Quesería!$B$33)*Quesería!$F$94*$X$11+Quesería!$B$32+'Beneficios y costos'!$B$249,0)+IF(E$47&gt;=2,((Quesería!$B$31+Quesería!$B$33)*(Quesería!$F$95-(-$X$26)*Quesería!$D$86)*$X$11+'Beneficios y costos'!$C$249-(-$X$26)*'Beneficios y costos'!$H$235)*$X$21,0))*$X$12</f>
        <v>76.4964821173776</v>
      </c>
      <c r="F1006" s="29" t="n">
        <f aca="false">(IF(F$47&gt;=1,(Quesería!$B$31+Quesería!$B$33)*Quesería!$F$94*$X$11+Quesería!$B$32+'Beneficios y costos'!$B$249,0)+IF(F$47&gt;=2,((Quesería!$B$31+Quesería!$B$33)*(Quesería!$F$95-(-$X$26)*Quesería!$D$86)*$X$11+'Beneficios y costos'!$C$249-(-$X$26)*'Beneficios y costos'!$H$235)*$X$21,0))*$X$12</f>
        <v>76.4964821173776</v>
      </c>
      <c r="G1006" s="29" t="n">
        <f aca="false">(IF(G$47&gt;=1,(Quesería!$B$31+Quesería!$B$33)*Quesería!$F$94*$X$11+Quesería!$B$32+'Beneficios y costos'!$B$249,0)+IF(G$47&gt;=2,((Quesería!$B$31+Quesería!$B$33)*(Quesería!$F$95-(-$X$26)*Quesería!$D$86)*$X$11+'Beneficios y costos'!$C$249-(-$X$26)*'Beneficios y costos'!$H$235)*$X$21,0))*$X$12</f>
        <v>76.4964821173776</v>
      </c>
      <c r="H1006" s="29" t="n">
        <f aca="false">(IF(H$47&gt;=1,(Quesería!$B$31+Quesería!$B$33)*Quesería!$F$94*$X$11+Quesería!$B$32+'Beneficios y costos'!$B$249,0)+IF(H$47&gt;=2,((Quesería!$B$31+Quesería!$B$33)*(Quesería!$F$95-(-$X$26)*Quesería!$D$86)*$X$11+'Beneficios y costos'!$C$249-(-$X$26)*'Beneficios y costos'!$H$235)*$X$21,0))*$X$12</f>
        <v>76.4964821173776</v>
      </c>
      <c r="I1006" s="29" t="n">
        <f aca="false">(IF(I$47&gt;=1,(Quesería!$B$31+Quesería!$B$33)*Quesería!$F$94*$X$11+Quesería!$B$32+'Beneficios y costos'!$B$249,0)+IF(I$47&gt;=2,((Quesería!$B$31+Quesería!$B$33)*(Quesería!$F$95-(-$X$26)*Quesería!$D$86)*$X$11+'Beneficios y costos'!$C$249-(-$X$26)*'Beneficios y costos'!$H$235)*$X$21,0))*$X$12</f>
        <v>76.4964821173776</v>
      </c>
      <c r="J1006" s="29" t="n">
        <f aca="false">(IF(J$47&gt;=1,(Quesería!$B$31+Quesería!$B$33)*Quesería!$F$94*$X$11+Quesería!$B$32+'Beneficios y costos'!$B$249,0)+IF(J$47&gt;=2,((Quesería!$B$31+Quesería!$B$33)*(Quesería!$F$95-(-$X$26)*Quesería!$D$86)*$X$11+'Beneficios y costos'!$C$249-(-$X$26)*'Beneficios y costos'!$H$235)*$X$21,0))*$X$12</f>
        <v>76.4964821173776</v>
      </c>
      <c r="K1006" s="29" t="n">
        <f aca="false">(IF(K$47&gt;=1,(Quesería!$B$31+Quesería!$B$33)*Quesería!$F$94*$X$11+Quesería!$B$32+'Beneficios y costos'!$B$249,0)+IF(K$47&gt;=2,((Quesería!$B$31+Quesería!$B$33)*(Quesería!$F$95-(-$X$26)*Quesería!$D$86)*$X$11+'Beneficios y costos'!$C$249-(-$X$26)*'Beneficios y costos'!$H$235)*$X$21,0))*$X$12</f>
        <v>76.4964821173776</v>
      </c>
      <c r="L1006" s="29" t="n">
        <f aca="false">(IF(L$47&gt;=1,(Quesería!$B$31+Quesería!$B$33)*Quesería!$F$94*$X$11+Quesería!$B$32+'Beneficios y costos'!$B$249,0)+IF(L$47&gt;=2,((Quesería!$B$31+Quesería!$B$33)*(Quesería!$F$95-(-$X$26)*Quesería!$D$86)*$X$11+'Beneficios y costos'!$C$249-(-$X$26)*'Beneficios y costos'!$H$235)*$X$21,0))*$X$12</f>
        <v>76.4964821173776</v>
      </c>
    </row>
    <row r="1007" customFormat="false" ht="15" hidden="true" customHeight="false" outlineLevel="1" collapsed="false">
      <c r="A1007" s="6" t="s">
        <v>414</v>
      </c>
      <c r="B1007" s="29" t="n">
        <f aca="false">IF(B$47=1,2*Quesería!$B$22*Quesería!$B$23/12*B998,0)*$X$21</f>
        <v>0</v>
      </c>
      <c r="C1007" s="29" t="n">
        <f aca="false">IF(C$47=1,2*Quesería!$B$22*Quesería!$B$23/12*C998,0)*$X$21</f>
        <v>18.5166509433962</v>
      </c>
      <c r="D1007" s="29" t="n">
        <f aca="false">IF(D$47=1,2*Quesería!$B$22*Quesería!$B$23/12*D998,0)*$X$21</f>
        <v>0</v>
      </c>
      <c r="E1007" s="29" t="n">
        <f aca="false">IF(E$47=1,2*Quesería!$B$22*Quesería!$B$23/12*E998,0)*$X$21</f>
        <v>0</v>
      </c>
      <c r="F1007" s="29" t="n">
        <f aca="false">IF(F$47=1,2*Quesería!$B$22*Quesería!$B$23/12*F998,0)*$X$21</f>
        <v>0</v>
      </c>
      <c r="G1007" s="29" t="n">
        <f aca="false">IF(G$47=1,2*Quesería!$B$22*Quesería!$B$23/12*G998,0)*$X$21</f>
        <v>0</v>
      </c>
      <c r="H1007" s="29" t="n">
        <f aca="false">IF(H$47=1,2*Quesería!$B$22*Quesería!$B$23/12*H998,0)*$X$21</f>
        <v>0</v>
      </c>
      <c r="I1007" s="29" t="n">
        <f aca="false">IF(I$47=1,2*Quesería!$B$22*Quesería!$B$23/12*I998,0)*$X$21</f>
        <v>0</v>
      </c>
      <c r="J1007" s="29" t="n">
        <f aca="false">IF(J$47=1,2*Quesería!$B$22*Quesería!$B$23/12*J998,0)*$X$21</f>
        <v>0</v>
      </c>
      <c r="K1007" s="29" t="n">
        <f aca="false">IF(K$47=1,2*Quesería!$B$22*Quesería!$B$23/12*K998,0)*$X$21</f>
        <v>0</v>
      </c>
      <c r="L1007" s="29" t="n">
        <f aca="false">IF(L$47=1,2*Quesería!$B$22*Quesería!$B$23/12*L998,0)*$X$21</f>
        <v>0</v>
      </c>
    </row>
    <row r="1008" customFormat="false" ht="15" hidden="true" customHeight="false" outlineLevel="1" collapsed="false">
      <c r="A1008" s="6" t="s">
        <v>415</v>
      </c>
      <c r="B1008" s="29" t="n">
        <f aca="false">Quesería!$B$52*(B1000+B1001+B1002+B1006+B1007)</f>
        <v>4.31966364396742</v>
      </c>
      <c r="C1008" s="29" t="n">
        <f aca="false">Quesería!$B$52*(C1000+C1001+C1002+C1006+C1007)</f>
        <v>3.37675795604844</v>
      </c>
      <c r="D1008" s="29" t="n">
        <f aca="false">Quesería!$B$52*(D1000+D1001+D1002+D1006+D1007)</f>
        <v>0.305985928469511</v>
      </c>
      <c r="E1008" s="29" t="n">
        <f aca="false">Quesería!$B$52*(E1000+E1001+E1002+E1006+E1007)</f>
        <v>0.305985928469511</v>
      </c>
      <c r="F1008" s="29" t="n">
        <f aca="false">Quesería!$B$52*(F1000+F1001+F1002+F1006+F1007)</f>
        <v>0.305985928469511</v>
      </c>
      <c r="G1008" s="29" t="n">
        <f aca="false">Quesería!$B$52*(G1000+G1001+G1002+G1006+G1007)</f>
        <v>0.436720362669349</v>
      </c>
      <c r="H1008" s="29" t="n">
        <f aca="false">Quesería!$B$52*(H1000+H1001+H1002+H1006+H1007)</f>
        <v>0.526798309653658</v>
      </c>
      <c r="I1008" s="29" t="n">
        <f aca="false">Quesería!$B$52*(I1000+I1001+I1002+I1006+I1007)</f>
        <v>0.305985928469511</v>
      </c>
      <c r="J1008" s="29" t="n">
        <f aca="false">Quesería!$B$52*(J1000+J1001+J1002+J1006+J1007)</f>
        <v>0.305985928469511</v>
      </c>
      <c r="K1008" s="29" t="n">
        <f aca="false">Quesería!$B$52*(K1000+K1001+K1002+K1006+K1007)</f>
        <v>0.305985928469511</v>
      </c>
      <c r="L1008" s="29" t="n">
        <f aca="false">Quesería!$B$52*(L1000+L1001+L1002+L1006+L1007)</f>
        <v>0.305985928469511</v>
      </c>
    </row>
    <row r="1009" customFormat="false" ht="15" hidden="true" customHeight="false" outlineLevel="1" collapsed="false">
      <c r="A1009" s="6" t="s">
        <v>416</v>
      </c>
      <c r="B1009" s="29" t="n">
        <f aca="false">(IF($X$19=1,(SUMPRODUCT((Quesería!$C$70:$C$89=0)*(Quesería!$J$70:$J$89&gt;0)*(B$47&gt;=1)*(B$47&lt;=Quesería!$J$70:$J$89)*(Quesería!$H$70:$H$89&gt;0)*Quesería!$F$70:$F$89*(1+Quesería!$I$70:$I$89)/(Quesería!$J$70:$J$89+(Quesería!$J$70:$J$89=0)))+SUMPRODUCT((Quesería!$C$70:$C$89=0)*(Quesería!$J$70:$J$89=0)*(B$47=0)*(Quesería!$H$70:$H$89&gt;0)*Quesería!$F$70:$F$89*(1+Quesería!$I$70:$I$89)))*$B$997+((SUMPRODUCT((Quesería!$C$70:$C$89=1)*(Quesería!$J$70:$J$89&gt;0)*(B$47&gt;=2)*(B$47&lt;=Quesería!$J$70:$J$89+1)*(Quesería!$H$70:$H$89&gt;0)*Quesería!$F$70:$F$89*(1+Quesería!$I$70:$I$89)/(Quesería!$J$70:$J$89+(Quesería!$J$70:$J$89=0)))+SUMPRODUCT((Quesería!$C$70:$C$89=1)*(Quesería!$J$70:$J$89=0)*(B$47=1)*(Quesería!$H$70:$H$89&gt;0)*Quesería!$F$70:$F$89*(1+Quesería!$I$70:$I$89)))-(-$X$26)*IF(AND(B$47&gt;=2,B$47&lt;=Quesería!$J$86+1),Quesería!$D$86*(1+Quesería!$I$86)/Quesería!$J$86,0))*$C$997*$X$21,IF(AND(B$47&gt;=1,B$47&lt;=Quesería!$B$30),Quesería!$F$92/Quesería!$B$30,0)*$B$997+IF(AND(B$47&gt;=2,B$47&lt;=Quesería!$B$30+1),(Quesería!$F$93-(-$X$26)*Quesería!$D$86*(1+Quesería!$I$86))/Quesería!$B$30,0)*$C$997*$X$21)*$X$11+IF(AND(B$47&gt;=6,B$47&lt;=10),$G1001*$G997/5,0)+IF(AND(B$47&gt;=7,B$47&lt;=11),$H1001*$H997/5,0))*B999</f>
        <v>0</v>
      </c>
      <c r="C1009" s="29" t="n">
        <f aca="false">(IF($X$19=1,(SUMPRODUCT((Quesería!$C$70:$C$89=0)*(Quesería!$J$70:$J$89&gt;0)*(C$47&gt;=1)*(C$47&lt;=Quesería!$J$70:$J$89)*(Quesería!$H$70:$H$89&gt;0)*Quesería!$F$70:$F$89*(1+Quesería!$I$70:$I$89)/(Quesería!$J$70:$J$89+(Quesería!$J$70:$J$89=0)))+SUMPRODUCT((Quesería!$C$70:$C$89=0)*(Quesería!$J$70:$J$89=0)*(C$47=0)*(Quesería!$H$70:$H$89&gt;0)*Quesería!$F$70:$F$89*(1+Quesería!$I$70:$I$89)))*$B$997+((SUMPRODUCT((Quesería!$C$70:$C$89=1)*(Quesería!$J$70:$J$89&gt;0)*(C$47&gt;=2)*(C$47&lt;=Quesería!$J$70:$J$89+1)*(Quesería!$H$70:$H$89&gt;0)*Quesería!$F$70:$F$89*(1+Quesería!$I$70:$I$89)/(Quesería!$J$70:$J$89+(Quesería!$J$70:$J$89=0)))+SUMPRODUCT((Quesería!$C$70:$C$89=1)*(Quesería!$J$70:$J$89=0)*(C$47=1)*(Quesería!$H$70:$H$89&gt;0)*Quesería!$F$70:$F$89*(1+Quesería!$I$70:$I$89)))-(-$X$26)*IF(AND(C$47&gt;=2,C$47&lt;=Quesería!$J$86+1),Quesería!$D$86*(1+Quesería!$I$86)/Quesería!$J$86,0))*$C$997*$X$21,IF(AND(C$47&gt;=1,C$47&lt;=Quesería!$B$30),Quesería!$F$92/Quesería!$B$30,0)*$B$997+IF(AND(C$47&gt;=2,C$47&lt;=Quesería!$B$30+1),(Quesería!$F$93-(-$X$26)*Quesería!$D$86*(1+Quesería!$I$86))/Quesería!$B$30,0)*$C$997*$X$21)*$X$11+IF(AND(C$47&gt;=6,C$47&lt;=10),$G1001*$G997/5,0)+IF(AND(C$47&gt;=7,C$47&lt;=11),$H1001*$H997/5,0))*C999</f>
        <v>88.6476418506359</v>
      </c>
      <c r="D1009" s="29" t="n">
        <f aca="false">(IF($X$19=1,(SUMPRODUCT((Quesería!$C$70:$C$89=0)*(Quesería!$J$70:$J$89&gt;0)*(D$47&gt;=1)*(D$47&lt;=Quesería!$J$70:$J$89)*(Quesería!$H$70:$H$89&gt;0)*Quesería!$F$70:$F$89*(1+Quesería!$I$70:$I$89)/(Quesería!$J$70:$J$89+(Quesería!$J$70:$J$89=0)))+SUMPRODUCT((Quesería!$C$70:$C$89=0)*(Quesería!$J$70:$J$89=0)*(D$47=0)*(Quesería!$H$70:$H$89&gt;0)*Quesería!$F$70:$F$89*(1+Quesería!$I$70:$I$89)))*$B$997+((SUMPRODUCT((Quesería!$C$70:$C$89=1)*(Quesería!$J$70:$J$89&gt;0)*(D$47&gt;=2)*(D$47&lt;=Quesería!$J$70:$J$89+1)*(Quesería!$H$70:$H$89&gt;0)*Quesería!$F$70:$F$89*(1+Quesería!$I$70:$I$89)/(Quesería!$J$70:$J$89+(Quesería!$J$70:$J$89=0)))+SUMPRODUCT((Quesería!$C$70:$C$89=1)*(Quesería!$J$70:$J$89=0)*(D$47=1)*(Quesería!$H$70:$H$89&gt;0)*Quesería!$F$70:$F$89*(1+Quesería!$I$70:$I$89)))-(-$X$26)*IF(AND(D$47&gt;=2,D$47&lt;=Quesería!$J$86+1),Quesería!$D$86*(1+Quesería!$I$86)/Quesería!$J$86,0))*$C$997*$X$21,IF(AND(D$47&gt;=1,D$47&lt;=Quesería!$B$30),Quesería!$F$92/Quesería!$B$30,0)*$B$997+IF(AND(D$47&gt;=2,D$47&lt;=Quesería!$B$30+1),(Quesería!$F$93-(-$X$26)*Quesería!$D$86*(1+Quesería!$I$86))/Quesería!$B$30,0)*$C$997*$X$21)*$X$11+IF(AND(D$47&gt;=6,D$47&lt;=10),$G1001*$G997/5,0)+IF(AND(D$47&gt;=7,D$47&lt;=11),$H1001*$H997/5,0))*D999</f>
        <v>147.841673223049</v>
      </c>
      <c r="E1009" s="29" t="n">
        <f aca="false">(IF($X$19=1,(SUMPRODUCT((Quesería!$C$70:$C$89=0)*(Quesería!$J$70:$J$89&gt;0)*(E$47&gt;=1)*(E$47&lt;=Quesería!$J$70:$J$89)*(Quesería!$H$70:$H$89&gt;0)*Quesería!$F$70:$F$89*(1+Quesería!$I$70:$I$89)/(Quesería!$J$70:$J$89+(Quesería!$J$70:$J$89=0)))+SUMPRODUCT((Quesería!$C$70:$C$89=0)*(Quesería!$J$70:$J$89=0)*(E$47=0)*(Quesería!$H$70:$H$89&gt;0)*Quesería!$F$70:$F$89*(1+Quesería!$I$70:$I$89)))*$B$997+((SUMPRODUCT((Quesería!$C$70:$C$89=1)*(Quesería!$J$70:$J$89&gt;0)*(E$47&gt;=2)*(E$47&lt;=Quesería!$J$70:$J$89+1)*(Quesería!$H$70:$H$89&gt;0)*Quesería!$F$70:$F$89*(1+Quesería!$I$70:$I$89)/(Quesería!$J$70:$J$89+(Quesería!$J$70:$J$89=0)))+SUMPRODUCT((Quesería!$C$70:$C$89=1)*(Quesería!$J$70:$J$89=0)*(E$47=1)*(Quesería!$H$70:$H$89&gt;0)*Quesería!$F$70:$F$89*(1+Quesería!$I$70:$I$89)))-(-$X$26)*IF(AND(E$47&gt;=2,E$47&lt;=Quesería!$J$86+1),Quesería!$D$86*(1+Quesería!$I$86)/Quesería!$J$86,0))*$C$997*$X$21,IF(AND(E$47&gt;=1,E$47&lt;=Quesería!$B$30),Quesería!$F$92/Quesería!$B$30,0)*$B$997+IF(AND(E$47&gt;=2,E$47&lt;=Quesería!$B$30+1),(Quesería!$F$93-(-$X$26)*Quesería!$D$86*(1+Quesería!$I$86))/Quesería!$B$30,0)*$C$997*$X$21)*$X$11+IF(AND(E$47&gt;=6,E$47&lt;=10),$G1001*$G997/5,0)+IF(AND(E$47&gt;=7,E$47&lt;=11),$H1001*$H997/5,0))*E999</f>
        <v>142.155455022162</v>
      </c>
      <c r="F1009" s="29" t="n">
        <f aca="false">(IF($X$19=1,(SUMPRODUCT((Quesería!$C$70:$C$89=0)*(Quesería!$J$70:$J$89&gt;0)*(F$47&gt;=1)*(F$47&lt;=Quesería!$J$70:$J$89)*(Quesería!$H$70:$H$89&gt;0)*Quesería!$F$70:$F$89*(1+Quesería!$I$70:$I$89)/(Quesería!$J$70:$J$89+(Quesería!$J$70:$J$89=0)))+SUMPRODUCT((Quesería!$C$70:$C$89=0)*(Quesería!$J$70:$J$89=0)*(F$47=0)*(Quesería!$H$70:$H$89&gt;0)*Quesería!$F$70:$F$89*(1+Quesería!$I$70:$I$89)))*$B$997+((SUMPRODUCT((Quesería!$C$70:$C$89=1)*(Quesería!$J$70:$J$89&gt;0)*(F$47&gt;=2)*(F$47&lt;=Quesería!$J$70:$J$89+1)*(Quesería!$H$70:$H$89&gt;0)*Quesería!$F$70:$F$89*(1+Quesería!$I$70:$I$89)/(Quesería!$J$70:$J$89+(Quesería!$J$70:$J$89=0)))+SUMPRODUCT((Quesería!$C$70:$C$89=1)*(Quesería!$J$70:$J$89=0)*(F$47=1)*(Quesería!$H$70:$H$89&gt;0)*Quesería!$F$70:$F$89*(1+Quesería!$I$70:$I$89)))-(-$X$26)*IF(AND(F$47&gt;=2,F$47&lt;=Quesería!$J$86+1),Quesería!$D$86*(1+Quesería!$I$86)/Quesería!$J$86,0))*$C$997*$X$21,IF(AND(F$47&gt;=1,F$47&lt;=Quesería!$B$30),Quesería!$F$92/Quesería!$B$30,0)*$B$997+IF(AND(F$47&gt;=2,F$47&lt;=Quesería!$B$30+1),(Quesería!$F$93-(-$X$26)*Quesería!$D$86*(1+Quesería!$I$86))/Quesería!$B$30,0)*$C$997*$X$21)*$X$11+IF(AND(F$47&gt;=6,F$47&lt;=10),$G1001*$G997/5,0)+IF(AND(F$47&gt;=7,F$47&lt;=11),$H1001*$H997/5,0))*F999</f>
        <v>136.68793752131</v>
      </c>
      <c r="G1009" s="29" t="n">
        <f aca="false">(IF($X$19=1,(SUMPRODUCT((Quesería!$C$70:$C$89=0)*(Quesería!$J$70:$J$89&gt;0)*(G$47&gt;=1)*(G$47&lt;=Quesería!$J$70:$J$89)*(Quesería!$H$70:$H$89&gt;0)*Quesería!$F$70:$F$89*(1+Quesería!$I$70:$I$89)/(Quesería!$J$70:$J$89+(Quesería!$J$70:$J$89=0)))+SUMPRODUCT((Quesería!$C$70:$C$89=0)*(Quesería!$J$70:$J$89=0)*(G$47=0)*(Quesería!$H$70:$H$89&gt;0)*Quesería!$F$70:$F$89*(1+Quesería!$I$70:$I$89)))*$B$997+((SUMPRODUCT((Quesería!$C$70:$C$89=1)*(Quesería!$J$70:$J$89&gt;0)*(G$47&gt;=2)*(G$47&lt;=Quesería!$J$70:$J$89+1)*(Quesería!$H$70:$H$89&gt;0)*Quesería!$F$70:$F$89*(1+Quesería!$I$70:$I$89)/(Quesería!$J$70:$J$89+(Quesería!$J$70:$J$89=0)))+SUMPRODUCT((Quesería!$C$70:$C$89=1)*(Quesería!$J$70:$J$89=0)*(G$47=1)*(Quesería!$H$70:$H$89&gt;0)*Quesería!$F$70:$F$89*(1+Quesería!$I$70:$I$89)))-(-$X$26)*IF(AND(G$47&gt;=2,G$47&lt;=Quesería!$J$86+1),Quesería!$D$86*(1+Quesería!$I$86)/Quesería!$J$86,0))*$C$997*$X$21,IF(AND(G$47&gt;=1,G$47&lt;=Quesería!$B$30),Quesería!$F$92/Quesería!$B$30,0)*$B$997+IF(AND(G$47&gt;=2,G$47&lt;=Quesería!$B$30+1),(Quesería!$F$93-(-$X$26)*Quesería!$D$86*(1+Quesería!$I$86))/Quesería!$B$30,0)*$C$997*$X$21)*$X$11+IF(AND(G$47&gt;=6,G$47&lt;=10),$G1001*$G997/5,0)+IF(AND(G$47&gt;=7,G$47&lt;=11),$H1001*$H997/5,0))*G999</f>
        <v>131.430709155105</v>
      </c>
      <c r="H1009" s="29" t="n">
        <f aca="false">(IF($X$19=1,(SUMPRODUCT((Quesería!$C$70:$C$89=0)*(Quesería!$J$70:$J$89&gt;0)*(H$47&gt;=1)*(H$47&lt;=Quesería!$J$70:$J$89)*(Quesería!$H$70:$H$89&gt;0)*Quesería!$F$70:$F$89*(1+Quesería!$I$70:$I$89)/(Quesería!$J$70:$J$89+(Quesería!$J$70:$J$89=0)))+SUMPRODUCT((Quesería!$C$70:$C$89=0)*(Quesería!$J$70:$J$89=0)*(H$47=0)*(Quesería!$H$70:$H$89&gt;0)*Quesería!$F$70:$F$89*(1+Quesería!$I$70:$I$89)))*$B$997+((SUMPRODUCT((Quesería!$C$70:$C$89=1)*(Quesería!$J$70:$J$89&gt;0)*(H$47&gt;=2)*(H$47&lt;=Quesería!$J$70:$J$89+1)*(Quesería!$H$70:$H$89&gt;0)*Quesería!$F$70:$F$89*(1+Quesería!$I$70:$I$89)/(Quesería!$J$70:$J$89+(Quesería!$J$70:$J$89=0)))+SUMPRODUCT((Quesería!$C$70:$C$89=1)*(Quesería!$J$70:$J$89=0)*(H$47=1)*(Quesería!$H$70:$H$89&gt;0)*Quesería!$F$70:$F$89*(1+Quesería!$I$70:$I$89)))-(-$X$26)*IF(AND(H$47&gt;=2,H$47&lt;=Quesería!$J$86+1),Quesería!$D$86*(1+Quesería!$I$86)/Quesería!$J$86,0))*$C$997*$X$21,IF(AND(H$47&gt;=1,H$47&lt;=Quesería!$B$30),Quesería!$F$92/Quesería!$B$30,0)*$B$997+IF(AND(H$47&gt;=2,H$47&lt;=Quesería!$B$30+1),(Quesería!$F$93-(-$X$26)*Quesería!$D$86*(1+Quesería!$I$86))/Quesería!$B$30,0)*$C$997*$X$21)*$X$11+IF(AND(H$47&gt;=6,H$47&lt;=10),$G1001*$G997/5,0)+IF(AND(H$47&gt;=7,H$47&lt;=11),$H1001*$H997/5,0))*H999</f>
        <v>131.657454431616</v>
      </c>
      <c r="I1009" s="29" t="n">
        <f aca="false">(IF($X$19=1,(SUMPRODUCT((Quesería!$C$70:$C$89=0)*(Quesería!$J$70:$J$89&gt;0)*(I$47&gt;=1)*(I$47&lt;=Quesería!$J$70:$J$89)*(Quesería!$H$70:$H$89&gt;0)*Quesería!$F$70:$F$89*(1+Quesería!$I$70:$I$89)/(Quesería!$J$70:$J$89+(Quesería!$J$70:$J$89=0)))+SUMPRODUCT((Quesería!$C$70:$C$89=0)*(Quesería!$J$70:$J$89=0)*(I$47=0)*(Quesería!$H$70:$H$89&gt;0)*Quesería!$F$70:$F$89*(1+Quesería!$I$70:$I$89)))*$B$997+((SUMPRODUCT((Quesería!$C$70:$C$89=1)*(Quesería!$J$70:$J$89&gt;0)*(I$47&gt;=2)*(I$47&lt;=Quesería!$J$70:$J$89+1)*(Quesería!$H$70:$H$89&gt;0)*Quesería!$F$70:$F$89*(1+Quesería!$I$70:$I$89)/(Quesería!$J$70:$J$89+(Quesería!$J$70:$J$89=0)))+SUMPRODUCT((Quesería!$C$70:$C$89=1)*(Quesería!$J$70:$J$89=0)*(I$47=1)*(Quesería!$H$70:$H$89&gt;0)*Quesería!$F$70:$F$89*(1+Quesería!$I$70:$I$89)))-(-$X$26)*IF(AND(I$47&gt;=2,I$47&lt;=Quesería!$J$86+1),Quesería!$D$86*(1+Quesería!$I$86)/Quesería!$J$86,0))*$C$997*$X$21,IF(AND(I$47&gt;=1,I$47&lt;=Quesería!$B$30),Quesería!$F$92/Quesería!$B$30,0)*$B$997+IF(AND(I$47&gt;=2,I$47&lt;=Quesería!$B$30+1),(Quesería!$F$93-(-$X$26)*Quesería!$D$86*(1+Quesería!$I$86))/Quesería!$B$30,0)*$C$997*$X$21)*$X$11+IF(AND(I$47&gt;=6,I$47&lt;=10),$G1001*$G997/5,0)+IF(AND(I$47&gt;=7,I$47&lt;=11),$H1001*$H997/5,0))*I999</f>
        <v>135.514697667122</v>
      </c>
      <c r="J1009" s="29" t="n">
        <f aca="false">(IF($X$19=1,(SUMPRODUCT((Quesería!$C$70:$C$89=0)*(Quesería!$J$70:$J$89&gt;0)*(J$47&gt;=1)*(J$47&lt;=Quesería!$J$70:$J$89)*(Quesería!$H$70:$H$89&gt;0)*Quesería!$F$70:$F$89*(1+Quesería!$I$70:$I$89)/(Quesería!$J$70:$J$89+(Quesería!$J$70:$J$89=0)))+SUMPRODUCT((Quesería!$C$70:$C$89=0)*(Quesería!$J$70:$J$89=0)*(J$47=0)*(Quesería!$H$70:$H$89&gt;0)*Quesería!$F$70:$F$89*(1+Quesería!$I$70:$I$89)))*$B$997+((SUMPRODUCT((Quesería!$C$70:$C$89=1)*(Quesería!$J$70:$J$89&gt;0)*(J$47&gt;=2)*(J$47&lt;=Quesería!$J$70:$J$89+1)*(Quesería!$H$70:$H$89&gt;0)*Quesería!$F$70:$F$89*(1+Quesería!$I$70:$I$89)/(Quesería!$J$70:$J$89+(Quesería!$J$70:$J$89=0)))+SUMPRODUCT((Quesería!$C$70:$C$89=1)*(Quesería!$J$70:$J$89=0)*(J$47=1)*(Quesería!$H$70:$H$89&gt;0)*Quesería!$F$70:$F$89*(1+Quesería!$I$70:$I$89)))-(-$X$26)*IF(AND(J$47&gt;=2,J$47&lt;=Quesería!$J$86+1),Quesería!$D$86*(1+Quesería!$I$86)/Quesería!$J$86,0))*$C$997*$X$21,IF(AND(J$47&gt;=1,J$47&lt;=Quesería!$B$30),Quesería!$F$92/Quesería!$B$30,0)*$B$997+IF(AND(J$47&gt;=2,J$47&lt;=Quesería!$B$30+1),(Quesería!$F$93-(-$X$26)*Quesería!$D$86*(1+Quesería!$I$86))/Quesería!$B$30,0)*$C$997*$X$21)*$X$11+IF(AND(J$47&gt;=6,J$47&lt;=10),$G1001*$G997/5,0)+IF(AND(J$47&gt;=7,J$47&lt;=11),$H1001*$H997/5,0))*J999</f>
        <v>130.302593910694</v>
      </c>
      <c r="K1009" s="29" t="n">
        <f aca="false">(IF($X$19=1,(SUMPRODUCT((Quesería!$C$70:$C$89=0)*(Quesería!$J$70:$J$89&gt;0)*(K$47&gt;=1)*(K$47&lt;=Quesería!$J$70:$J$89)*(Quesería!$H$70:$H$89&gt;0)*Quesería!$F$70:$F$89*(1+Quesería!$I$70:$I$89)/(Quesería!$J$70:$J$89+(Quesería!$J$70:$J$89=0)))+SUMPRODUCT((Quesería!$C$70:$C$89=0)*(Quesería!$J$70:$J$89=0)*(K$47=0)*(Quesería!$H$70:$H$89&gt;0)*Quesería!$F$70:$F$89*(1+Quesería!$I$70:$I$89)))*$B$997+((SUMPRODUCT((Quesería!$C$70:$C$89=1)*(Quesería!$J$70:$J$89&gt;0)*(K$47&gt;=2)*(K$47&lt;=Quesería!$J$70:$J$89+1)*(Quesería!$H$70:$H$89&gt;0)*Quesería!$F$70:$F$89*(1+Quesería!$I$70:$I$89)/(Quesería!$J$70:$J$89+(Quesería!$J$70:$J$89=0)))+SUMPRODUCT((Quesería!$C$70:$C$89=1)*(Quesería!$J$70:$J$89=0)*(K$47=1)*(Quesería!$H$70:$H$89&gt;0)*Quesería!$F$70:$F$89*(1+Quesería!$I$70:$I$89)))-(-$X$26)*IF(AND(K$47&gt;=2,K$47&lt;=Quesería!$J$86+1),Quesería!$D$86*(1+Quesería!$I$86)/Quesería!$J$86,0))*$C$997*$X$21,IF(AND(K$47&gt;=1,K$47&lt;=Quesería!$B$30),Quesería!$F$92/Quesería!$B$30,0)*$B$997+IF(AND(K$47&gt;=2,K$47&lt;=Quesería!$B$30+1),(Quesería!$F$93-(-$X$26)*Quesería!$D$86*(1+Quesería!$I$86))/Quesería!$B$30,0)*$C$997*$X$21)*$X$11+IF(AND(K$47&gt;=6,K$47&lt;=10),$G1001*$G997/5,0)+IF(AND(K$47&gt;=7,K$47&lt;=11),$H1001*$H997/5,0))*K999</f>
        <v>125.29095568336</v>
      </c>
      <c r="L1009" s="29" t="n">
        <f aca="false">(IF($X$19=1,(SUMPRODUCT((Quesería!$C$70:$C$89=0)*(Quesería!$J$70:$J$89&gt;0)*(L$47&gt;=1)*(L$47&lt;=Quesería!$J$70:$J$89)*(Quesería!$H$70:$H$89&gt;0)*Quesería!$F$70:$F$89*(1+Quesería!$I$70:$I$89)/(Quesería!$J$70:$J$89+(Quesería!$J$70:$J$89=0)))+SUMPRODUCT((Quesería!$C$70:$C$89=0)*(Quesería!$J$70:$J$89=0)*(L$47=0)*(Quesería!$H$70:$H$89&gt;0)*Quesería!$F$70:$F$89*(1+Quesería!$I$70:$I$89)))*$B$997+((SUMPRODUCT((Quesería!$C$70:$C$89=1)*(Quesería!$J$70:$J$89&gt;0)*(L$47&gt;=2)*(L$47&lt;=Quesería!$J$70:$J$89+1)*(Quesería!$H$70:$H$89&gt;0)*Quesería!$F$70:$F$89*(1+Quesería!$I$70:$I$89)/(Quesería!$J$70:$J$89+(Quesería!$J$70:$J$89=0)))+SUMPRODUCT((Quesería!$C$70:$C$89=1)*(Quesería!$J$70:$J$89=0)*(L$47=1)*(Quesería!$H$70:$H$89&gt;0)*Quesería!$F$70:$F$89*(1+Quesería!$I$70:$I$89)))-(-$X$26)*IF(AND(L$47&gt;=2,L$47&lt;=Quesería!$J$86+1),Quesería!$D$86*(1+Quesería!$I$86)/Quesería!$J$86,0))*$C$997*$X$21,IF(AND(L$47&gt;=1,L$47&lt;=Quesería!$B$30),Quesería!$F$92/Quesería!$B$30,0)*$B$997+IF(AND(L$47&gt;=2,L$47&lt;=Quesería!$B$30+1),(Quesería!$F$93-(-$X$26)*Quesería!$D$86*(1+Quesería!$I$86))/Quesería!$B$30,0)*$C$997*$X$21)*$X$11+IF(AND(L$47&gt;=6,L$47&lt;=10),$G1001*$G997/5,0)+IF(AND(L$47&gt;=7,L$47&lt;=11),$H1001*$H997/5,0))*L999</f>
        <v>120.472072772461</v>
      </c>
    </row>
    <row r="1010" customFormat="false" ht="15" hidden="true" customHeight="false" outlineLevel="1" collapsed="false">
      <c r="A1010" s="9" t="s">
        <v>417</v>
      </c>
      <c r="B1010" s="58" t="n">
        <f aca="false">IF(B$47=1,MIN($X$7*$X$26*Quesería!$B$56*Quesería!$D$86*$X$11*$X$21,Quesería!$B$57*Quesería!$B$58),0)</f>
        <v>0</v>
      </c>
      <c r="C1010" s="58" t="n">
        <f aca="false">IF(C$47=1,MIN($X$7*$X$26*Quesería!$B$56*Quesería!$D$86*$X$11*$X$21,Quesería!$B$57*Quesería!$B$58),0)</f>
        <v>0</v>
      </c>
      <c r="D1010" s="58" t="n">
        <f aca="false">IF(D$47=1,MIN($X$7*$X$26*Quesería!$B$56*Quesería!$D$86*$X$11*$X$21,Quesería!$B$57*Quesería!$B$58),0)</f>
        <v>0</v>
      </c>
      <c r="E1010" s="58" t="n">
        <f aca="false">IF(E$47=1,MIN($X$7*$X$26*Quesería!$B$56*Quesería!$D$86*$X$11*$X$21,Quesería!$B$57*Quesería!$B$58),0)</f>
        <v>0</v>
      </c>
      <c r="F1010" s="58" t="n">
        <f aca="false">IF(F$47=1,MIN($X$7*$X$26*Quesería!$B$56*Quesería!$D$86*$X$11*$X$21,Quesería!$B$57*Quesería!$B$58),0)</f>
        <v>0</v>
      </c>
      <c r="G1010" s="58" t="n">
        <f aca="false">IF(G$47=1,MIN($X$7*$X$26*Quesería!$B$56*Quesería!$D$86*$X$11*$X$21,Quesería!$B$57*Quesería!$B$58),0)</f>
        <v>0</v>
      </c>
      <c r="H1010" s="58" t="n">
        <f aca="false">IF(H$47=1,MIN($X$7*$X$26*Quesería!$B$56*Quesería!$D$86*$X$11*$X$21,Quesería!$B$57*Quesería!$B$58),0)</f>
        <v>0</v>
      </c>
      <c r="I1010" s="58" t="n">
        <f aca="false">IF(I$47=1,MIN($X$7*$X$26*Quesería!$B$56*Quesería!$D$86*$X$11*$X$21,Quesería!$B$57*Quesería!$B$58),0)</f>
        <v>0</v>
      </c>
      <c r="J1010" s="58" t="n">
        <f aca="false">IF(J$47=1,MIN($X$7*$X$26*Quesería!$B$56*Quesería!$D$86*$X$11*$X$21,Quesería!$B$57*Quesería!$B$58),0)</f>
        <v>0</v>
      </c>
      <c r="K1010" s="58" t="n">
        <f aca="false">IF(K$47=1,MIN($X$7*$X$26*Quesería!$B$56*Quesería!$D$86*$X$11*$X$21,Quesería!$B$57*Quesería!$B$58),0)</f>
        <v>0</v>
      </c>
      <c r="L1010" s="58" t="n">
        <f aca="false">IF(L$47=1,MIN($X$7*$X$26*Quesería!$B$56*Quesería!$D$86*$X$11*$X$21,Quesería!$B$57*Quesería!$B$58),0)</f>
        <v>0</v>
      </c>
    </row>
    <row r="1011" customFormat="false" ht="15" hidden="true" customHeight="false" outlineLevel="1" collapsed="false">
      <c r="A1011" s="9" t="s">
        <v>418</v>
      </c>
      <c r="B1011" s="58" t="n">
        <v>0</v>
      </c>
      <c r="C1011" s="58" t="n">
        <f aca="false">$X$20*Quesería!$B$60*Quesería!$F$98*$X$11*$B$997/C997/2</f>
        <v>0</v>
      </c>
      <c r="D1011" s="58" t="n">
        <f aca="false">$X$20*Quesería!$B$60*Quesería!$F$98*$X$11*$B$997/D997/2</f>
        <v>0</v>
      </c>
      <c r="E1011" s="58" t="n">
        <v>0</v>
      </c>
      <c r="F1011" s="58" t="n">
        <v>0</v>
      </c>
      <c r="G1011" s="58" t="n">
        <v>0</v>
      </c>
      <c r="H1011" s="58" t="n">
        <v>0</v>
      </c>
      <c r="I1011" s="58" t="n">
        <v>0</v>
      </c>
      <c r="J1011" s="58" t="n">
        <v>0</v>
      </c>
      <c r="K1011" s="58" t="n">
        <v>0</v>
      </c>
      <c r="L1011" s="58" t="n">
        <v>0</v>
      </c>
    </row>
    <row r="1012" customFormat="false" ht="15" hidden="true" customHeight="false" outlineLevel="1" collapsed="false">
      <c r="A1012" s="9" t="s">
        <v>419</v>
      </c>
      <c r="B1012" s="58" t="n">
        <f aca="false">0</f>
        <v>0</v>
      </c>
      <c r="C1012" s="58" t="n">
        <f aca="false">B1002*B997/C997</f>
        <v>142.014925295407</v>
      </c>
      <c r="D1012" s="58" t="n">
        <f aca="false">C1002*C997/D997</f>
        <v>119.721648486272</v>
      </c>
      <c r="E1012" s="58" t="n">
        <f aca="false">D1002*D997/E997</f>
        <v>0</v>
      </c>
      <c r="F1012" s="58" t="n">
        <f aca="false">E1002*E997/F997</f>
        <v>0</v>
      </c>
      <c r="G1012" s="58" t="n">
        <f aca="false">F1002*F997/G997</f>
        <v>0</v>
      </c>
      <c r="H1012" s="58" t="n">
        <f aca="false">G1002*G997/H997</f>
        <v>5.01768392412113</v>
      </c>
      <c r="I1012" s="58" t="n">
        <f aca="false">H1002*H997/I997</f>
        <v>8.47494190873221</v>
      </c>
      <c r="J1012" s="58" t="n">
        <f aca="false">I1002*I997/J997</f>
        <v>0</v>
      </c>
      <c r="K1012" s="58" t="n">
        <f aca="false">J1002*J997/K997</f>
        <v>0</v>
      </c>
      <c r="L1012" s="58" t="n">
        <f aca="false">K1002*K997/L997</f>
        <v>0</v>
      </c>
    </row>
    <row r="1013" customFormat="false" ht="15" hidden="true" customHeight="false" outlineLevel="1" collapsed="false">
      <c r="A1013" s="6" t="s">
        <v>295</v>
      </c>
      <c r="B1013" s="29" t="n">
        <f aca="false">$X$17*(B1005-B1006-B1007-0.5*B1008-B1009)-B1010-B1011-B1012</f>
        <v>41.4949291537268</v>
      </c>
      <c r="C1013" s="29" t="n">
        <f aca="false">$X$17*(C1005-C1006-C1007-0.5*C1008-C1009)-C1010-C1011-C1012</f>
        <v>-131.381576395824</v>
      </c>
      <c r="D1013" s="29" t="n">
        <f aca="false">$X$17*(D1005-D1006-D1007-0.5*D1008-D1009)-D1010-D1011-D1012</f>
        <v>-23.5794754496188</v>
      </c>
      <c r="E1013" s="29" t="n">
        <f aca="false">$X$17*(E1005-E1006-E1007-0.5*E1008-E1009)-E1010-E1011-E1012</f>
        <v>123.053790202432</v>
      </c>
      <c r="F1013" s="29" t="n">
        <f aca="false">$X$17*(F1005-F1006-F1007-0.5*F1008-F1009)-F1010-F1011-F1012</f>
        <v>125.075645190133</v>
      </c>
      <c r="G1013" s="29" t="n">
        <f aca="false">$X$17*(G1005-G1006-G1007-0.5*G1008-G1009)-G1010-G1011-G1012</f>
        <v>127.001561574034</v>
      </c>
      <c r="H1013" s="29" t="n">
        <f aca="false">$X$17*(H1005-H1006-H1007-0.5*H1008-H1009)-H1010-H1011-H1012</f>
        <v>121.998061969035</v>
      </c>
      <c r="I1013" s="29" t="n">
        <f aca="false">$X$17*(I1005-I1006-I1007-0.5*I1008-I1009)-I1010-I1011-I1012</f>
        <v>117.339266369361</v>
      </c>
      <c r="J1013" s="29" t="n">
        <f aca="false">$X$17*(J1005-J1006-J1007-0.5*J1008-J1009)-J1010-J1011-J1012</f>
        <v>127.748849220252</v>
      </c>
      <c r="K1013" s="29" t="n">
        <f aca="false">$X$17*(K1005-K1006-K1007-0.5*K1008-K1009)-K1010-K1011-K1012</f>
        <v>129.613879250366</v>
      </c>
      <c r="L1013" s="29" t="n">
        <f aca="false">$X$17*(L1005-L1006-L1007-0.5*L1008-L1009)-L1010-L1011-L1012</f>
        <v>131.411999702979</v>
      </c>
    </row>
    <row r="1014" customFormat="false" ht="15" hidden="true" customHeight="false" outlineLevel="1" collapsed="false">
      <c r="A1014" s="9" t="s">
        <v>420</v>
      </c>
      <c r="B1014" s="58" t="n">
        <f aca="false">(IF(B$47&gt;=1,Quesería!$G$124*IF(B$47=1,Quesería!$B$20,1),Quesería!$G$124*Quesería!$B$20*Quesería!$B$21/12*$X$23)+IF(B$47&gt;=2,(Quesería!$G$125-(1-$X$24)*Quesería!$G$117-(-$X$26*$X$27)*'Beneficios y costos'!$D$167)*$X$21*IF(B$47=2,Quesería!$B$20,1),0))*$X$10</f>
        <v>77.4042870161869</v>
      </c>
      <c r="C1014" s="58" t="n">
        <f aca="false">(IF(C$47&gt;=1,Quesería!$G$124*IF(C$47=1,Quesería!$B$20,1),Quesería!$G$124*Quesería!$B$20*Quesería!$B$21/12*$X$23)+IF(C$47&gt;=2,(Quesería!$G$125-(1-$X$24)*Quesería!$G$117-(-$X$26*$X$27)*'Beneficios y costos'!$D$167)*$X$21*IF(C$47=2,Quesería!$B$20,1),0))*$X$10</f>
        <v>116.10643052428</v>
      </c>
      <c r="D1014" s="58" t="n">
        <f aca="false">(IF(D$47&gt;=1,Quesería!$G$124*IF(D$47=1,Quesería!$B$20,1),Quesería!$G$124*Quesería!$B$20*Quesería!$B$21/12*$X$23)+IF(D$47&gt;=2,(Quesería!$G$125-(1-$X$24)*Quesería!$G$117-(-$X$26*$X$27)*'Beneficios y costos'!$D$167)*$X$21*IF(D$47=2,Quesería!$B$20,1),0))*$X$10</f>
        <v>2023.78917421887</v>
      </c>
      <c r="E1014" s="58" t="n">
        <f aca="false">(IF(E$47&gt;=1,Quesería!$G$124*IF(E$47=1,Quesería!$B$20,1),Quesería!$G$124*Quesería!$B$20*Quesería!$B$21/12*$X$23)+IF(E$47&gt;=2,(Quesería!$G$125-(1-$X$24)*Quesería!$G$117-(-$X$26*$X$27)*'Beneficios y costos'!$D$167)*$X$21*IF(E$47=2,Quesería!$B$20,1),0))*$X$10</f>
        <v>2646.78270761437</v>
      </c>
      <c r="F1014" s="58" t="n">
        <f aca="false">(IF(F$47&gt;=1,Quesería!$G$124*IF(F$47=1,Quesería!$B$20,1),Quesería!$G$124*Quesería!$B$20*Quesería!$B$21/12*$X$23)+IF(F$47&gt;=2,(Quesería!$G$125-(1-$X$24)*Quesería!$G$117-(-$X$26*$X$27)*'Beneficios y costos'!$D$167)*$X$21*IF(F$47=2,Quesería!$B$20,1),0))*$X$10</f>
        <v>2646.78270761437</v>
      </c>
      <c r="G1014" s="58" t="n">
        <f aca="false">(IF(G$47&gt;=1,Quesería!$G$124*IF(G$47=1,Quesería!$B$20,1),Quesería!$G$124*Quesería!$B$20*Quesería!$B$21/12*$X$23)+IF(G$47&gt;=2,(Quesería!$G$125-(1-$X$24)*Quesería!$G$117-(-$X$26*$X$27)*'Beneficios y costos'!$D$167)*$X$21*IF(G$47=2,Quesería!$B$20,1),0))*$X$10</f>
        <v>2646.78270761437</v>
      </c>
      <c r="H1014" s="58" t="n">
        <f aca="false">(IF(H$47&gt;=1,Quesería!$G$124*IF(H$47=1,Quesería!$B$20,1),Quesería!$G$124*Quesería!$B$20*Quesería!$B$21/12*$X$23)+IF(H$47&gt;=2,(Quesería!$G$125-(1-$X$24)*Quesería!$G$117-(-$X$26*$X$27)*'Beneficios y costos'!$D$167)*$X$21*IF(H$47=2,Quesería!$B$20,1),0))*$X$10</f>
        <v>2646.78270761437</v>
      </c>
      <c r="I1014" s="58" t="n">
        <f aca="false">(IF(I$47&gt;=1,Quesería!$G$124*IF(I$47=1,Quesería!$B$20,1),Quesería!$G$124*Quesería!$B$20*Quesería!$B$21/12*$X$23)+IF(I$47&gt;=2,(Quesería!$G$125-(1-$X$24)*Quesería!$G$117-(-$X$26*$X$27)*'Beneficios y costos'!$D$167)*$X$21*IF(I$47=2,Quesería!$B$20,1),0))*$X$10</f>
        <v>2646.78270761437</v>
      </c>
      <c r="J1014" s="58" t="n">
        <f aca="false">(IF(J$47&gt;=1,Quesería!$G$124*IF(J$47=1,Quesería!$B$20,1),Quesería!$G$124*Quesería!$B$20*Quesería!$B$21/12*$X$23)+IF(J$47&gt;=2,(Quesería!$G$125-(1-$X$24)*Quesería!$G$117-(-$X$26*$X$27)*'Beneficios y costos'!$D$167)*$X$21*IF(J$47=2,Quesería!$B$20,1),0))*$X$10</f>
        <v>2646.78270761437</v>
      </c>
      <c r="K1014" s="58" t="n">
        <f aca="false">(IF(K$47&gt;=1,Quesería!$G$124*IF(K$47=1,Quesería!$B$20,1),Quesería!$G$124*Quesería!$B$20*Quesería!$B$21/12*$X$23)+IF(K$47&gt;=2,(Quesería!$G$125-(1-$X$24)*Quesería!$G$117-(-$X$26*$X$27)*'Beneficios y costos'!$D$167)*$X$21*IF(K$47=2,Quesería!$B$20,1),0))*$X$10</f>
        <v>2646.78270761437</v>
      </c>
      <c r="L1014" s="58" t="n">
        <f aca="false">(IF(L$47&gt;=1,Quesería!$G$124*IF(L$47=1,Quesería!$B$20,1),Quesería!$G$124*Quesería!$B$20*Quesería!$B$21/12*$X$23)+IF(L$47&gt;=2,(Quesería!$G$125-(1-$X$24)*Quesería!$G$117-(-$X$26*$X$27)*'Beneficios y costos'!$D$167)*$X$21*IF(L$47=2,Quesería!$B$20,1),0))*$X$10</f>
        <v>2646.78270761437</v>
      </c>
    </row>
    <row r="1015" customFormat="false" ht="15" hidden="true" customHeight="false" outlineLevel="1" collapsed="false">
      <c r="A1015" s="6" t="s">
        <v>421</v>
      </c>
      <c r="B1015" s="29" t="n">
        <f aca="false">(B1014*(Quesería!$B$38+Quesería!$B$40*Quesería!$B$39)/365-B1006*Quesería!$B$42/365+IF(B$47&gt;=2,($X$25*'Beneficios y costos'!$B$147+(1-$X$25)*'Beneficios y costos'!$B$148)*$X$24*$X$21*$X$10*IF(B$47=2,Quesería!$B$20,1),0))</f>
        <v>7.23146900616979</v>
      </c>
      <c r="C1015" s="29" t="n">
        <f aca="false">(C1014*(Quesería!$B$38+Quesería!$B$40*Quesería!$B$39)/365-C1006*Quesería!$B$42/365+IF(C$47&gt;=2,($X$25*'Beneficios y costos'!$B$147+(1-$X$25)*'Beneficios y costos'!$B$148)*$X$24*$X$21*$X$10*IF(C$47=2,Quesería!$B$20,1),0))-(B1014*(Quesería!$B$38+Quesería!$B$40*Quesería!$B$39)/365-B1006*Quesería!$B$42/365+IF(B$47&gt;=2,($X$25*'Beneficios y costos'!$B$147+(1-$X$25)*'Beneficios y costos'!$B$148)*$X$24*$X$21*$X$10*IF(B$47=2,Quesería!$B$20,1),0))*B997/C997</f>
        <v>1.42287846600884</v>
      </c>
      <c r="D1015" s="29" t="n">
        <f aca="false">(D1014*(Quesería!$B$38+Quesería!$B$40*Quesería!$B$39)/365-D1006*Quesería!$B$42/365+IF(D$47&gt;=2,($X$25*'Beneficios y costos'!$B$147+(1-$X$25)*'Beneficios y costos'!$B$148)*$X$24*$X$21*$X$10*IF(D$47=2,Quesería!$B$20,1),0))-(C1014*(Quesería!$B$38+Quesería!$B$40*Quesería!$B$39)/365-C1006*Quesería!$B$42/365+IF(C$47&gt;=2,($X$25*'Beneficios y costos'!$B$147+(1-$X$25)*'Beneficios y costos'!$B$148)*$X$24*$X$21*$X$10*IF(C$47=2,Quesería!$B$20,1),0))*C997/D997</f>
        <v>121.067969072345</v>
      </c>
      <c r="E1015" s="29" t="n">
        <f aca="false">(E1014*(Quesería!$B$38+Quesería!$B$40*Quesería!$B$39)/365-E1006*Quesería!$B$42/365+IF(E$47&gt;=2,($X$25*'Beneficios y costos'!$B$147+(1-$X$25)*'Beneficios y costos'!$B$148)*$X$24*$X$21*$X$10*IF(E$47=2,Quesería!$B$20,1),0))-(D1014*(Quesería!$B$38+Quesería!$B$40*Quesería!$B$39)/365-D1006*Quesería!$B$42/365+IF(D$47&gt;=2,($X$25*'Beneficios y costos'!$B$147+(1-$X$25)*'Beneficios y costos'!$B$148)*$X$24*$X$21*$X$10*IF(D$47=2,Quesería!$B$20,1),0))*D997/E997</f>
        <v>44.6849531551876</v>
      </c>
      <c r="F1015" s="29" t="n">
        <f aca="false">(F1014*(Quesería!$B$38+Quesería!$B$40*Quesería!$B$39)/365-F1006*Quesería!$B$42/365+IF(F$47&gt;=2,($X$25*'Beneficios y costos'!$B$147+(1-$X$25)*'Beneficios y costos'!$B$148)*$X$24*$X$21*$X$10*IF(F$47=2,Quesería!$B$20,1),0))-(E1014*(Quesería!$B$38+Quesería!$B$40*Quesería!$B$39)/365-E1006*Quesería!$B$42/365+IF(E$47&gt;=2,($X$25*'Beneficios y costos'!$B$147+(1-$X$25)*'Beneficios y costos'!$B$148)*$X$24*$X$21*$X$10*IF(E$47=2,Quesería!$B$20,1),0))*E997/F997</f>
        <v>6.49010597714096</v>
      </c>
      <c r="G1015" s="29" t="n">
        <f aca="false">(G1014*(Quesería!$B$38+Quesería!$B$40*Quesería!$B$39)/365-G1006*Quesería!$B$42/365+IF(G$47&gt;=2,($X$25*'Beneficios y costos'!$B$147+(1-$X$25)*'Beneficios y costos'!$B$148)*$X$24*$X$21*$X$10*IF(G$47=2,Quesería!$B$20,1),0))-(F1014*(Quesería!$B$38+Quesería!$B$40*Quesería!$B$39)/365-F1006*Quesería!$B$42/365+IF(F$47&gt;=2,($X$25*'Beneficios y costos'!$B$147+(1-$X$25)*'Beneficios y costos'!$B$148)*$X$24*$X$21*$X$10*IF(F$47=2,Quesería!$B$20,1),0))*F997/G997</f>
        <v>6.49010597714096</v>
      </c>
      <c r="H1015" s="29" t="n">
        <f aca="false">(H1014*(Quesería!$B$38+Quesería!$B$40*Quesería!$B$39)/365-H1006*Quesería!$B$42/365+IF(H$47&gt;=2,($X$25*'Beneficios y costos'!$B$147+(1-$X$25)*'Beneficios y costos'!$B$148)*$X$24*$X$21*$X$10*IF(H$47=2,Quesería!$B$20,1),0))-(G1014*(Quesería!$B$38+Quesería!$B$40*Quesería!$B$39)/365-G1006*Quesería!$B$42/365+IF(G$47&gt;=2,($X$25*'Beneficios y costos'!$B$147+(1-$X$25)*'Beneficios y costos'!$B$148)*$X$24*$X$21*$X$10*IF(G$47=2,Quesería!$B$20,1),0))*G997/H997</f>
        <v>6.49010597714096</v>
      </c>
      <c r="I1015" s="29" t="n">
        <f aca="false">(I1014*(Quesería!$B$38+Quesería!$B$40*Quesería!$B$39)/365-I1006*Quesería!$B$42/365+IF(I$47&gt;=2,($X$25*'Beneficios y costos'!$B$147+(1-$X$25)*'Beneficios y costos'!$B$148)*$X$24*$X$21*$X$10*IF(I$47=2,Quesería!$B$20,1),0))-(H1014*(Quesería!$B$38+Quesería!$B$40*Quesería!$B$39)/365-H1006*Quesería!$B$42/365+IF(H$47&gt;=2,($X$25*'Beneficios y costos'!$B$147+(1-$X$25)*'Beneficios y costos'!$B$148)*$X$24*$X$21*$X$10*IF(H$47=2,Quesería!$B$20,1),0))*H997/I997</f>
        <v>6.49010597714096</v>
      </c>
      <c r="J1015" s="29" t="n">
        <f aca="false">(J1014*(Quesería!$B$38+Quesería!$B$40*Quesería!$B$39)/365-J1006*Quesería!$B$42/365+IF(J$47&gt;=2,($X$25*'Beneficios y costos'!$B$147+(1-$X$25)*'Beneficios y costos'!$B$148)*$X$24*$X$21*$X$10*IF(J$47=2,Quesería!$B$20,1),0))-(I1014*(Quesería!$B$38+Quesería!$B$40*Quesería!$B$39)/365-I1006*Quesería!$B$42/365+IF(I$47&gt;=2,($X$25*'Beneficios y costos'!$B$147+(1-$X$25)*'Beneficios y costos'!$B$148)*$X$24*$X$21*$X$10*IF(I$47=2,Quesería!$B$20,1),0))*I997/J997</f>
        <v>6.49010597714096</v>
      </c>
      <c r="K1015" s="29" t="n">
        <f aca="false">(K1014*(Quesería!$B$38+Quesería!$B$40*Quesería!$B$39)/365-K1006*Quesería!$B$42/365+IF(K$47&gt;=2,($X$25*'Beneficios y costos'!$B$147+(1-$X$25)*'Beneficios y costos'!$B$148)*$X$24*$X$21*$X$10*IF(K$47=2,Quesería!$B$20,1),0))-(J1014*(Quesería!$B$38+Quesería!$B$40*Quesería!$B$39)/365-J1006*Quesería!$B$42/365+IF(J$47&gt;=2,($X$25*'Beneficios y costos'!$B$147+(1-$X$25)*'Beneficios y costos'!$B$148)*$X$24*$X$21*$X$10*IF(J$47=2,Quesería!$B$20,1),0))*J997/K997</f>
        <v>6.49010597714099</v>
      </c>
      <c r="L1015" s="29" t="n">
        <f aca="false">-(K1014*(Quesería!$B$38+Quesería!$B$40*Quesería!$B$39)/365-K1006*Quesería!$B$42/365+IF(K$47&gt;=2,($X$25*'Beneficios y costos'!$B$147+(1-$X$25)*'Beneficios y costos'!$B$148)*$X$24*$X$21*$X$10*IF(K$47=2,Quesería!$B$20,1),0))*K997/L997</f>
        <v>-162.252649428524</v>
      </c>
    </row>
    <row r="1016" customFormat="false" ht="15" hidden="true" customHeight="false" outlineLevel="1" collapsed="false">
      <c r="A1016" s="6" t="s">
        <v>422</v>
      </c>
      <c r="B1016" s="29" t="n">
        <v>0</v>
      </c>
      <c r="C1016" s="29" t="n">
        <v>0</v>
      </c>
      <c r="D1016" s="29" t="n">
        <v>0</v>
      </c>
      <c r="E1016" s="29" t="n">
        <v>0</v>
      </c>
      <c r="F1016" s="29" t="n">
        <v>0</v>
      </c>
      <c r="G1016" s="29" t="n">
        <v>0</v>
      </c>
      <c r="H1016" s="29" t="n">
        <v>0</v>
      </c>
      <c r="I1016" s="29" t="n">
        <v>0</v>
      </c>
      <c r="J1016" s="29" t="n">
        <v>0</v>
      </c>
      <c r="K1016" s="29" t="n">
        <v>0</v>
      </c>
      <c r="L1016" s="29" t="n">
        <f aca="false">$X$8*Quesería!$B$36*(Quesería!$F$94+(Quesería!$F$95-(-$X$26)*Quesería!$D$86)*$X$21)*$X$11*(1-$X$17)</f>
        <v>61.9237725584542</v>
      </c>
    </row>
    <row r="1017" customFormat="false" ht="15" hidden="true" customHeight="false" outlineLevel="1" collapsed="false">
      <c r="A1017" s="5" t="s">
        <v>147</v>
      </c>
      <c r="B1017" s="59" t="n">
        <f aca="false">B1005-B1006-B1007-B1008-B1013-B1000-B1001-B1002-B1015+B1016</f>
        <v>-1012.24520053452</v>
      </c>
      <c r="C1017" s="59" t="n">
        <f aca="false">C1005-C1006-C1007-C1008-C1013-C1000-C1001-C1002-C1015+C1016</f>
        <v>-536.279231684274</v>
      </c>
      <c r="D1017" s="59" t="n">
        <f aca="false">D1005-D1006-D1007-D1008-D1013-D1000-D1001-D1002-D1015+D1016</f>
        <v>324.892109597955</v>
      </c>
      <c r="E1017" s="59" t="n">
        <f aca="false">E1005-E1006-E1007-E1008-E1013-E1000-E1001-E1002-E1015+E1016</f>
        <v>325.845976421542</v>
      </c>
      <c r="F1017" s="59" t="n">
        <f aca="false">F1005-F1006-F1007-F1008-F1013-F1000-F1001-F1002-F1015+F1016</f>
        <v>362.328179647324</v>
      </c>
      <c r="G1017" s="59" t="n">
        <f aca="false">G1005-G1006-G1007-G1008-G1013-G1000-G1001-G1002-G1015+G1016</f>
        <v>327.898677369877</v>
      </c>
      <c r="H1017" s="59" t="n">
        <f aca="false">H1005-H1006-H1007-H1008-H1013-H1000-H1001-H1002-H1015+H1016</f>
        <v>310.60492315788</v>
      </c>
      <c r="I1017" s="59" t="n">
        <f aca="false">I1005-I1006-I1007-I1008-I1013-I1000-I1001-I1002-I1015+I1016</f>
        <v>371.001498865222</v>
      </c>
      <c r="J1017" s="59" t="n">
        <f aca="false">J1005-J1006-J1007-J1008-J1013-J1000-J1001-J1002-J1015+J1016</f>
        <v>360.907357806929</v>
      </c>
      <c r="K1017" s="59" t="n">
        <f aca="false">K1005-K1006-K1007-K1008-K1013-K1000-K1001-K1002-K1015+K1016</f>
        <v>359.359346778377</v>
      </c>
      <c r="L1017" s="59" t="n">
        <f aca="false">L1005-L1006-L1007-L1008-L1013-L1000-L1001-L1002-L1015+L1016</f>
        <v>588.546358386452</v>
      </c>
    </row>
    <row r="1018" customFormat="false" ht="15" hidden="true" customHeight="false" outlineLevel="1" collapsed="false">
      <c r="A1018" s="9" t="s">
        <v>423</v>
      </c>
      <c r="B1018" s="58" t="n">
        <f aca="false">B1017*B997</f>
        <v>-1072.97991256659</v>
      </c>
      <c r="C1018" s="58" t="n">
        <f aca="false">C1017*C997</f>
        <v>-596.878784864598</v>
      </c>
      <c r="D1018" s="58" t="n">
        <f aca="false">D1017*D997</f>
        <v>377.877139291738</v>
      </c>
      <c r="E1018" s="58" t="n">
        <f aca="false">E1017*E997</f>
        <v>394.1460301857</v>
      </c>
      <c r="F1018" s="58" t="n">
        <f aca="false">F1017*F997</f>
        <v>455.806218044437</v>
      </c>
      <c r="G1018" s="58" t="n">
        <f aca="false">G1017*G997</f>
        <v>428.993920446325</v>
      </c>
      <c r="H1018" s="58" t="n">
        <f aca="false">H1017*H997</f>
        <v>422.623018045685</v>
      </c>
      <c r="I1018" s="58" t="n">
        <f aca="false">I1017*I997</f>
        <v>524.993365906833</v>
      </c>
      <c r="J1018" s="58" t="n">
        <f aca="false">J1017*J997</f>
        <v>531.137819929432</v>
      </c>
      <c r="K1018" s="58" t="n">
        <f aca="false">K1017*K997</f>
        <v>550.014039132139</v>
      </c>
      <c r="L1018" s="58" t="n">
        <f aca="false">L1017*L997</f>
        <v>936.825807377626</v>
      </c>
    </row>
    <row r="1019" customFormat="false" ht="15" hidden="true" customHeight="false" outlineLevel="1" collapsed="false">
      <c r="A1019" s="6" t="s">
        <v>424</v>
      </c>
      <c r="B1019" s="29" t="n">
        <f aca="false">B1017</f>
        <v>-1012.24520053452</v>
      </c>
      <c r="C1019" s="29" t="n">
        <f aca="false">B1019+C1017</f>
        <v>-1548.52443221879</v>
      </c>
      <c r="D1019" s="29" t="n">
        <f aca="false">C1019+D1017</f>
        <v>-1223.63232262083</v>
      </c>
      <c r="E1019" s="29" t="n">
        <f aca="false">D1019+E1017</f>
        <v>-897.786346199292</v>
      </c>
      <c r="F1019" s="29" t="n">
        <f aca="false">E1019+F1017</f>
        <v>-535.458166551968</v>
      </c>
      <c r="G1019" s="29" t="n">
        <f aca="false">F1019+G1017</f>
        <v>-207.559489182091</v>
      </c>
      <c r="H1019" s="29" t="n">
        <f aca="false">G1019+H1017</f>
        <v>103.045433975789</v>
      </c>
      <c r="I1019" s="29" t="n">
        <f aca="false">H1019+I1017</f>
        <v>474.046932841011</v>
      </c>
      <c r="J1019" s="29" t="n">
        <f aca="false">I1019+J1017</f>
        <v>834.95429064794</v>
      </c>
      <c r="K1019" s="29" t="n">
        <f aca="false">J1019+K1017</f>
        <v>1194.31363742632</v>
      </c>
      <c r="L1019" s="29" t="n">
        <f aca="false">K1019+L1017</f>
        <v>1782.85999581277</v>
      </c>
    </row>
    <row r="1020" customFormat="false" ht="15" hidden="true" customHeight="false" outlineLevel="1" collapsed="false">
      <c r="A1020" s="9" t="s">
        <v>425</v>
      </c>
      <c r="B1020" s="60" t="n">
        <v>0</v>
      </c>
      <c r="C1020" s="60" t="n">
        <f aca="false">IF(AND(B1019&lt;0,C1019&gt;=0),B$47+(-B1019)/C1017,0)</f>
        <v>0</v>
      </c>
      <c r="D1020" s="60" t="n">
        <f aca="false">IF(AND(C1019&lt;0,D1019&gt;=0),C$47+(-C1019)/D1017,0)</f>
        <v>0</v>
      </c>
      <c r="E1020" s="60" t="n">
        <f aca="false">IF(AND(D1019&lt;0,E1019&gt;=0),D$47+(-D1019)/E1017,0)</f>
        <v>0</v>
      </c>
      <c r="F1020" s="60" t="n">
        <f aca="false">IF(AND(E1019&lt;0,F1019&gt;=0),E$47+(-E1019)/F1017,0)</f>
        <v>0</v>
      </c>
      <c r="G1020" s="60" t="n">
        <f aca="false">IF(AND(F1019&lt;0,G1019&gt;=0),F$47+(-F1019)/G1017,0)</f>
        <v>0</v>
      </c>
      <c r="H1020" s="60" t="n">
        <f aca="false">IF(AND(G1019&lt;0,H1019&gt;=0),G$47+(-G1019)/H1017,0)</f>
        <v>5.66824275375889</v>
      </c>
      <c r="I1020" s="60" t="n">
        <f aca="false">IF(AND(H1019&lt;0,I1019&gt;=0),H$47+(-H1019)/I1017,0)</f>
        <v>0</v>
      </c>
      <c r="J1020" s="60" t="n">
        <f aca="false">IF(AND(I1019&lt;0,J1019&gt;=0),I$47+(-I1019)/J1017,0)</f>
        <v>0</v>
      </c>
      <c r="K1020" s="60" t="n">
        <f aca="false">IF(AND(J1019&lt;0,K1019&gt;=0),J$47+(-J1019)/K1017,0)</f>
        <v>0</v>
      </c>
      <c r="L1020" s="60" t="n">
        <f aca="false">IF(AND(K1019&lt;0,L1019&gt;=0),K$47+(-K1019)/L1017,0)</f>
        <v>0</v>
      </c>
    </row>
    <row r="1021" customFormat="false" ht="15" hidden="true" customHeight="false" outlineLevel="1" collapsed="false">
      <c r="A1021" s="9" t="s">
        <v>426</v>
      </c>
      <c r="B1021" s="57" t="n">
        <f aca="false">(B997/$B$997)/(1+$X$29)^B$47</f>
        <v>1</v>
      </c>
      <c r="C1021" s="57" t="n">
        <f aca="false">(C997/$B$997)/(1+$X$29)^C$47</f>
        <v>0.907458487517462</v>
      </c>
      <c r="D1021" s="57" t="n">
        <f aca="false">(D997/$B$997)/(1+$X$29)^D$47</f>
        <v>0.819559568917159</v>
      </c>
      <c r="E1021" s="57" t="n">
        <f aca="false">(E997/$B$997)/(1+$X$29)^E$47</f>
        <v>0.73663327458441</v>
      </c>
      <c r="F1021" s="57" t="n">
        <f aca="false">(F997/$B$997)/(1+$X$29)^F$47</f>
        <v>0.6620977922836</v>
      </c>
      <c r="G1021" s="57" t="n">
        <f aca="false">(G997/$B$997)/(1+$X$29)^G$47</f>
        <v>0.595104106306</v>
      </c>
      <c r="H1021" s="57" t="n">
        <f aca="false">(H997/$B$997)/(1+$X$29)^H$47</f>
        <v>0.534889107726503</v>
      </c>
      <c r="I1021" s="57" t="n">
        <f aca="false">(I997/$B$997)/(1+$X$29)^I$47</f>
        <v>0.480766902013848</v>
      </c>
      <c r="J1021" s="57" t="n">
        <f aca="false">(J997/$B$997)/(1+$X$29)^J$47</f>
        <v>0.432120996171371</v>
      </c>
      <c r="K1021" s="57" t="n">
        <f aca="false">(K997/$B$997)/(1+$X$29)^K$47</f>
        <v>0.388397276413924</v>
      </c>
      <c r="L1021" s="57" t="n">
        <f aca="false">(L997/$B$997)/(1+$X$29)^L$47</f>
        <v>0.349097696391334</v>
      </c>
    </row>
    <row r="1022" customFormat="false" ht="15" hidden="true" customHeight="false" outlineLevel="1" collapsed="false">
      <c r="A1022" s="9" t="s">
        <v>427</v>
      </c>
      <c r="B1022" s="58" t="n">
        <f aca="false">B1017*B1021</f>
        <v>-1012.24520053452</v>
      </c>
      <c r="C1022" s="58" t="n">
        <f aca="false">C1017*C1021</f>
        <v>-486.651140471238</v>
      </c>
      <c r="D1022" s="58" t="n">
        <f aca="false">D1017*D1021</f>
        <v>266.268437286687</v>
      </c>
      <c r="E1022" s="58" t="n">
        <f aca="false">E1017*E1021</f>
        <v>240.028988621555</v>
      </c>
      <c r="F1022" s="58" t="n">
        <f aca="false">F1017*F1021</f>
        <v>239.896687826629</v>
      </c>
      <c r="G1022" s="58" t="n">
        <f aca="false">G1017*G1021</f>
        <v>195.13384935512</v>
      </c>
      <c r="H1022" s="58" t="n">
        <f aca="false">H1017*H1021</f>
        <v>166.139190203378</v>
      </c>
      <c r="I1022" s="58" t="n">
        <f aca="false">I1017*I1021</f>
        <v>178.365241251927</v>
      </c>
      <c r="J1022" s="58" t="n">
        <f aca="false">J1017*J1021</f>
        <v>155.955646981108</v>
      </c>
      <c r="K1022" s="58" t="n">
        <f aca="false">K1017*K1021</f>
        <v>139.574191542609</v>
      </c>
      <c r="L1022" s="58" t="n">
        <f aca="false">L1017*L1021</f>
        <v>205.460177932219</v>
      </c>
    </row>
    <row r="1023" customFormat="false" ht="15" hidden="true" customHeight="false" outlineLevel="1" collapsed="false">
      <c r="A1023" s="9" t="s">
        <v>428</v>
      </c>
      <c r="B1023" s="58" t="n">
        <f aca="false">B1022</f>
        <v>-1012.24520053452</v>
      </c>
      <c r="C1023" s="58" t="n">
        <f aca="false">B1023+C1022</f>
        <v>-1498.89634100575</v>
      </c>
      <c r="D1023" s="58" t="n">
        <f aca="false">C1023+D1022</f>
        <v>-1232.62790371907</v>
      </c>
      <c r="E1023" s="58" t="n">
        <f aca="false">D1023+E1022</f>
        <v>-992.598915097512</v>
      </c>
      <c r="F1023" s="58" t="n">
        <f aca="false">E1023+F1022</f>
        <v>-752.702227270883</v>
      </c>
      <c r="G1023" s="58" t="n">
        <f aca="false">F1023+G1022</f>
        <v>-557.568377915764</v>
      </c>
      <c r="H1023" s="58" t="n">
        <f aca="false">G1023+H1022</f>
        <v>-391.429187712386</v>
      </c>
      <c r="I1023" s="58" t="n">
        <f aca="false">H1023+I1022</f>
        <v>-213.063946460459</v>
      </c>
      <c r="J1023" s="58" t="n">
        <f aca="false">I1023+J1022</f>
        <v>-57.1082994793514</v>
      </c>
      <c r="K1023" s="58" t="n">
        <f aca="false">J1023+K1022</f>
        <v>82.4658920632573</v>
      </c>
      <c r="L1023" s="58" t="n">
        <f aca="false">K1023+L1022</f>
        <v>287.926069995476</v>
      </c>
    </row>
    <row r="1024" customFormat="false" ht="15" hidden="true" customHeight="false" outlineLevel="1" collapsed="false">
      <c r="A1024" s="9" t="s">
        <v>429</v>
      </c>
      <c r="B1024" s="60" t="n">
        <v>0</v>
      </c>
      <c r="C1024" s="60" t="n">
        <f aca="false">IF(AND(B1023&lt;0,C1023&gt;=0),B$47+(-B1023)/C1022,0)</f>
        <v>0</v>
      </c>
      <c r="D1024" s="60" t="n">
        <f aca="false">IF(AND(C1023&lt;0,D1023&gt;=0),C$47+(-C1023)/D1022,0)</f>
        <v>0</v>
      </c>
      <c r="E1024" s="60" t="n">
        <f aca="false">IF(AND(D1023&lt;0,E1023&gt;=0),D$47+(-D1023)/E1022,0)</f>
        <v>0</v>
      </c>
      <c r="F1024" s="60" t="n">
        <f aca="false">IF(AND(E1023&lt;0,F1023&gt;=0),E$47+(-E1023)/F1022,0)</f>
        <v>0</v>
      </c>
      <c r="G1024" s="60" t="n">
        <f aca="false">IF(AND(F1023&lt;0,G1023&gt;=0),F$47+(-F1023)/G1022,0)</f>
        <v>0</v>
      </c>
      <c r="H1024" s="60" t="n">
        <f aca="false">IF(AND(G1023&lt;0,H1023&gt;=0),G$47+(-G1023)/H1022,0)</f>
        <v>0</v>
      </c>
      <c r="I1024" s="60" t="n">
        <f aca="false">IF(AND(H1023&lt;0,I1023&gt;=0),H$47+(-H1023)/I1022,0)</f>
        <v>0</v>
      </c>
      <c r="J1024" s="60" t="n">
        <f aca="false">IF(AND(I1023&lt;0,J1023&gt;=0),I$47+(-I1023)/J1022,0)</f>
        <v>0</v>
      </c>
      <c r="K1024" s="60" t="n">
        <f aca="false">IF(AND(J1023&lt;0,K1023&gt;=0),J$47+(-J1023)/K1022,0)</f>
        <v>8.40916088317028</v>
      </c>
      <c r="L1024" s="60" t="n">
        <f aca="false">IF(AND(K1023&lt;0,L1023&gt;=0),K$47+(-K1023)/L1022,0)</f>
        <v>0</v>
      </c>
    </row>
    <row r="1025" customFormat="false" ht="15" hidden="true" customHeight="false" outlineLevel="1" collapsed="false">
      <c r="A1025" s="9" t="s">
        <v>430</v>
      </c>
      <c r="B1025" s="58" t="n">
        <f aca="false">IF(B$47&lt;0,0,(Quesería!$B$44*$B$1000*$B$997)*(1-MAX(0,MIN(B$47-0-Quesería!$B$47,(Quesería!$B$46-Quesería!$B$47)))/(Quesería!$B$46-Quesería!$B$47))*IF(B$47&gt;=2,1-Quesería!$B$48,1))+IF(B$47&lt;1,0,(Quesería!$B$44*$C$1000*$C$997)*(1-MAX(0,MIN(B$47-1-Quesería!$B$47,(Quesería!$B$46-Quesería!$B$47)))/(Quesería!$B$46-Quesería!$B$47))*IF(B$47&gt;=2,1-Quesería!$B$48,1))</f>
        <v>641.321364968425</v>
      </c>
      <c r="C1025" s="58" t="n">
        <f aca="false">IF(C$47&lt;0,0,(Quesería!$B$44*$B$1000*$B$997)*(1-MAX(0,MIN(C$47-0-Quesería!$B$47,(Quesería!$B$46-Quesería!$B$47)))/(Quesería!$B$46-Quesería!$B$47))*IF(C$47&gt;=2,1-Quesería!$B$48,1))+IF(C$47&lt;1,0,(Quesería!$B$44*$C$1000*$C$997)*(1-MAX(0,MIN(C$47-1-Quesería!$B$47,(Quesería!$B$46-Quesería!$B$47)))/(Quesería!$B$46-Quesería!$B$47))*IF(C$47&gt;=2,1-Quesería!$B$48,1))</f>
        <v>1117.69081125409</v>
      </c>
      <c r="D1025" s="58" t="n">
        <f aca="false">IF(D$47&lt;0,0,(Quesería!$B$44*$B$1000*$B$997)*(1-MAX(0,MIN(D$47-0-Quesería!$B$47,(Quesería!$B$46-Quesería!$B$47)))/(Quesería!$B$46-Quesería!$B$47))*IF(D$47&gt;=2,1-Quesería!$B$48,1))+IF(D$47&lt;1,0,(Quesería!$B$44*$C$1000*$C$997)*(1-MAX(0,MIN(D$47-1-Quesería!$B$47,(Quesería!$B$46-Quesería!$B$47)))/(Quesería!$B$46-Quesería!$B$47))*IF(D$47&gt;=2,1-Quesería!$B$48,1))</f>
        <v>1010.80391709269</v>
      </c>
      <c r="E1025" s="58" t="n">
        <f aca="false">IF(E$47&lt;0,0,(Quesería!$B$44*$B$1000*$B$997)*(1-MAX(0,MIN(E$47-0-Quesería!$B$47,(Quesería!$B$46-Quesería!$B$47)))/(Quesería!$B$46-Quesería!$B$47))*IF(E$47&gt;=2,1-Quesería!$B$48,1))+IF(E$47&lt;1,0,(Quesería!$B$44*$C$1000*$C$997)*(1-MAX(0,MIN(E$47-1-Quesería!$B$47,(Quesería!$B$46-Quesería!$B$47)))/(Quesería!$B$46-Quesería!$B$47))*IF(E$47&gt;=2,1-Quesería!$B$48,1))</f>
        <v>824.522115217005</v>
      </c>
      <c r="F1025" s="58" t="n">
        <f aca="false">IF(F$47&lt;0,0,(Quesería!$B$44*$B$1000*$B$997)*(1-MAX(0,MIN(F$47-0-Quesería!$B$47,(Quesería!$B$46-Quesería!$B$47)))/(Quesería!$B$46-Quesería!$B$47))*IF(F$47&gt;=2,1-Quesería!$B$48,1))+IF(F$47&lt;1,0,(Quesería!$B$44*$C$1000*$C$997)*(1-MAX(0,MIN(F$47-1-Quesería!$B$47,(Quesería!$B$46-Quesería!$B$47)))/(Quesería!$B$46-Quesería!$B$47))*IF(F$47&gt;=2,1-Quesería!$B$48,1))</f>
        <v>638.240313341323</v>
      </c>
      <c r="G1025" s="58" t="n">
        <f aca="false">IF(G$47&lt;0,0,(Quesería!$B$44*$B$1000*$B$997)*(1-MAX(0,MIN(G$47-0-Quesería!$B$47,(Quesería!$B$46-Quesería!$B$47)))/(Quesería!$B$46-Quesería!$B$47))*IF(G$47&gt;=2,1-Quesería!$B$48,1))+IF(G$47&lt;1,0,(Quesería!$B$44*$C$1000*$C$997)*(1-MAX(0,MIN(G$47-1-Quesería!$B$47,(Quesería!$B$46-Quesería!$B$47)))/(Quesería!$B$46-Quesería!$B$47))*IF(G$47&gt;=2,1-Quesería!$B$48,1))</f>
        <v>451.958511465641</v>
      </c>
      <c r="H1025" s="58" t="n">
        <f aca="false">IF(H$47&lt;0,0,(Quesería!$B$44*$B$1000*$B$997)*(1-MAX(0,MIN(H$47-0-Quesería!$B$47,(Quesería!$B$46-Quesería!$B$47)))/(Quesería!$B$46-Quesería!$B$47))*IF(H$47&gt;=2,1-Quesería!$B$48,1))+IF(H$47&lt;1,0,(Quesería!$B$44*$C$1000*$C$997)*(1-MAX(0,MIN(H$47-1-Quesería!$B$47,(Quesería!$B$46-Quesería!$B$47)))/(Quesería!$B$46-Quesería!$B$47))*IF(H$47&gt;=2,1-Quesería!$B$48,1))</f>
        <v>265.67670958996</v>
      </c>
      <c r="I1025" s="58" t="n">
        <f aca="false">IF(I$47&lt;0,0,(Quesería!$B$44*$B$1000*$B$997)*(1-MAX(0,MIN(I$47-0-Quesería!$B$47,(Quesería!$B$46-Quesería!$B$47)))/(Quesería!$B$46-Quesería!$B$47))*IF(I$47&gt;=2,1-Quesería!$B$48,1))+IF(I$47&lt;1,0,(Quesería!$B$44*$C$1000*$C$997)*(1-MAX(0,MIN(I$47-1-Quesería!$B$47,(Quesería!$B$46-Quesería!$B$47)))/(Quesería!$B$46-Quesería!$B$47))*IF(I$47&gt;=2,1-Quesería!$B$48,1))</f>
        <v>79.3949077142776</v>
      </c>
      <c r="J1025" s="58" t="n">
        <f aca="false">IF(J$47&lt;0,0,(Quesería!$B$44*$B$1000*$B$997)*(1-MAX(0,MIN(J$47-0-Quesería!$B$47,(Quesería!$B$46-Quesería!$B$47)))/(Quesería!$B$46-Quesería!$B$47))*IF(J$47&gt;=2,1-Quesería!$B$48,1))+IF(J$47&lt;1,0,(Quesería!$B$44*$C$1000*$C$997)*(1-MAX(0,MIN(J$47-1-Quesería!$B$47,(Quesería!$B$46-Quesería!$B$47)))/(Quesería!$B$46-Quesería!$B$47))*IF(J$47&gt;=2,1-Quesería!$B$48,1))</f>
        <v>0</v>
      </c>
      <c r="K1025" s="58" t="n">
        <f aca="false">IF(K$47&lt;0,0,(Quesería!$B$44*$B$1000*$B$997)*(1-MAX(0,MIN(K$47-0-Quesería!$B$47,(Quesería!$B$46-Quesería!$B$47)))/(Quesería!$B$46-Quesería!$B$47))*IF(K$47&gt;=2,1-Quesería!$B$48,1))+IF(K$47&lt;1,0,(Quesería!$B$44*$C$1000*$C$997)*(1-MAX(0,MIN(K$47-1-Quesería!$B$47,(Quesería!$B$46-Quesería!$B$47)))/(Quesería!$B$46-Quesería!$B$47))*IF(K$47&gt;=2,1-Quesería!$B$48,1))</f>
        <v>0</v>
      </c>
      <c r="L1025" s="58" t="n">
        <f aca="false">IF(L$47&lt;0,0,(Quesería!$B$44*$B$1000*$B$997)*(1-MAX(0,MIN(L$47-0-Quesería!$B$47,(Quesería!$B$46-Quesería!$B$47)))/(Quesería!$B$46-Quesería!$B$47))*IF(L$47&gt;=2,1-Quesería!$B$48,1))+IF(L$47&lt;1,0,(Quesería!$B$44*$C$1000*$C$997)*(1-MAX(0,MIN(L$47-1-Quesería!$B$47,(Quesería!$B$46-Quesería!$B$47)))/(Quesería!$B$46-Quesería!$B$47))*IF(L$47&gt;=2,1-Quesería!$B$48,1))</f>
        <v>0</v>
      </c>
    </row>
    <row r="1026" customFormat="false" ht="15" hidden="true" customHeight="false" outlineLevel="1" collapsed="false">
      <c r="A1026" s="6" t="s">
        <v>431</v>
      </c>
      <c r="B1026" s="29" t="n">
        <f aca="false">Quesería!$B$44*B1000</f>
        <v>605.02015563059</v>
      </c>
      <c r="C1026" s="29" t="n">
        <f aca="false">Quesería!$B$44*C1000</f>
        <v>428.004893338424</v>
      </c>
      <c r="D1026" s="29" t="n">
        <f aca="false">Quesería!$B$44*D1000</f>
        <v>0</v>
      </c>
      <c r="E1026" s="29" t="n">
        <f aca="false">Quesería!$B$44*E1000</f>
        <v>0</v>
      </c>
      <c r="F1026" s="29" t="n">
        <f aca="false">Quesería!$B$44*F1000</f>
        <v>0</v>
      </c>
      <c r="G1026" s="29" t="n">
        <f aca="false">Quesería!$B$44*G1000</f>
        <v>0</v>
      </c>
      <c r="H1026" s="29" t="n">
        <f aca="false">Quesería!$B$44*H1000</f>
        <v>0</v>
      </c>
      <c r="I1026" s="29" t="n">
        <f aca="false">Quesería!$B$44*I1000</f>
        <v>0</v>
      </c>
      <c r="J1026" s="29" t="n">
        <f aca="false">Quesería!$B$44*J1000</f>
        <v>0</v>
      </c>
      <c r="K1026" s="29" t="n">
        <f aca="false">Quesería!$B$44*K1000</f>
        <v>0</v>
      </c>
      <c r="L1026" s="29" t="n">
        <f aca="false">Quesería!$B$44*L1000</f>
        <v>0</v>
      </c>
    </row>
    <row r="1027" customFormat="false" ht="15" hidden="true" customHeight="false" outlineLevel="1" collapsed="false">
      <c r="A1027" s="6" t="s">
        <v>432</v>
      </c>
      <c r="B1027" s="29" t="n">
        <f aca="false">(IF(AND(B$47&gt;0,B$47&lt;=0+Quesería!$B$46),($X$14+$X$28)*(Quesería!$B$44*$B$1000*$B$997)*(1-MAX(0,MIN((B$47-1)-0-Quesería!$B$47,(Quesería!$B$46-Quesería!$B$47)))/(Quesería!$B$46-Quesería!$B$47))*IF(B$47&gt;2,1-Quesería!$B$48,1),0)+IF(AND(B$47&gt;1,B$47&lt;=1+Quesería!$B$46),($X$14+$X$28)*(Quesería!$B$44*$C$1000*$C$997)*(1-MAX(0,MIN((B$47-1)-1-Quesería!$B$47,(Quesería!$B$46-Quesería!$B$47)))/(Quesería!$B$46-Quesería!$B$47))*IF(B$47&gt;2,1-Quesería!$B$48,1),0))*B999</f>
        <v>0</v>
      </c>
      <c r="C1027" s="29" t="n">
        <f aca="false">(IF(AND(C$47&gt;0,C$47&lt;=0+Quesería!$B$46),($X$14+$X$28)*(Quesería!$B$44*$B$1000*$B$997)*(1-MAX(0,MIN((C$47-1)-0-Quesería!$B$47,(Quesería!$B$46-Quesería!$B$47)))/(Quesería!$B$46-Quesería!$B$47))*IF(C$47&gt;2,1-Quesería!$B$48,1),0)+IF(AND(C$47&gt;1,C$47&lt;=1+Quesería!$B$46),($X$14+$X$28)*(Quesería!$B$44*$C$1000*$C$997)*(1-MAX(0,MIN((C$47-1)-1-Quesería!$B$47,(Quesería!$B$46-Quesería!$B$47)))/(Quesería!$B$46-Quesería!$B$47))*IF(C$47&gt;2,1-Quesería!$B$48,1),0))*C999</f>
        <v>81.2455637561078</v>
      </c>
      <c r="D1027" s="29" t="n">
        <f aca="false">(IF(AND(D$47&gt;0,D$47&lt;=0+Quesería!$B$46),($X$14+$X$28)*(Quesería!$B$44*$B$1000*$B$997)*(1-MAX(0,MIN((D$47-1)-0-Quesería!$B$47,(Quesería!$B$46-Quesería!$B$47)))/(Quesería!$B$46-Quesería!$B$47))*IF(D$47&gt;2,1-Quesería!$B$48,1),0)+IF(AND(D$47&gt;1,D$47&lt;=1+Quesería!$B$46),($X$14+$X$28)*(Quesería!$B$44*$C$1000*$C$997)*(1-MAX(0,MIN((D$47-1)-1-Quesería!$B$47,(Quesería!$B$46-Quesería!$B$47)))/(Quesería!$B$46-Quesería!$B$47))*IF(D$47&gt;2,1-Quesería!$B$48,1),0))*D999</f>
        <v>135.496893508924</v>
      </c>
      <c r="E1027" s="29" t="n">
        <f aca="false">(IF(AND(E$47&gt;0,E$47&lt;=0+Quesería!$B$46),($X$14+$X$28)*(Quesería!$B$44*$B$1000*$B$997)*(1-MAX(0,MIN((E$47-1)-0-Quesería!$B$47,(Quesería!$B$46-Quesería!$B$47)))/(Quesería!$B$46-Quesería!$B$47))*IF(E$47&gt;2,1-Quesería!$B$48,1),0)+IF(AND(E$47&gt;1,E$47&lt;=1+Quesería!$B$46),($X$14+$X$28)*(Quesería!$B$44*$C$1000*$C$997)*(1-MAX(0,MIN((E$47-1)-1-Quesería!$B$47,(Quesería!$B$46-Quesería!$B$47)))/(Quesería!$B$46-Quesería!$B$47))*IF(E$47&gt;2,1-Quesería!$B$48,1),0))*E999</f>
        <v>117.826027258135</v>
      </c>
      <c r="F1027" s="29" t="n">
        <f aca="false">(IF(AND(F$47&gt;0,F$47&lt;=0+Quesería!$B$46),($X$14+$X$28)*(Quesería!$B$44*$B$1000*$B$997)*(1-MAX(0,MIN((F$47-1)-0-Quesería!$B$47,(Quesería!$B$46-Quesería!$B$47)))/(Quesería!$B$46-Quesería!$B$47))*IF(F$47&gt;2,1-Quesería!$B$48,1),0)+IF(AND(F$47&gt;1,F$47&lt;=1+Quesería!$B$46),($X$14+$X$28)*(Quesería!$B$44*$C$1000*$C$997)*(1-MAX(0,MIN((F$47-1)-1-Quesería!$B$47,(Quesería!$B$46-Quesería!$B$47)))/(Quesería!$B$46-Quesería!$B$47))*IF(F$47&gt;2,1-Quesería!$B$48,1),0))*F999</f>
        <v>92.4151745225957</v>
      </c>
      <c r="G1027" s="29" t="n">
        <f aca="false">(IF(AND(G$47&gt;0,G$47&lt;=0+Quesería!$B$46),($X$14+$X$28)*(Quesería!$B$44*$B$1000*$B$997)*(1-MAX(0,MIN((G$47-1)-0-Quesería!$B$47,(Quesería!$B$46-Quesería!$B$47)))/(Quesería!$B$46-Quesería!$B$47))*IF(G$47&gt;2,1-Quesería!$B$48,1),0)+IF(AND(G$47&gt;1,G$47&lt;=1+Quesería!$B$46),($X$14+$X$28)*(Quesería!$B$44*$C$1000*$C$997)*(1-MAX(0,MIN((G$47-1)-1-Quesería!$B$47,(Quesería!$B$46-Quesería!$B$47)))/(Quesería!$B$46-Quesería!$B$47))*IF(G$47&gt;2,1-Quesería!$B$48,1),0))*G999</f>
        <v>68.7847039098228</v>
      </c>
      <c r="H1027" s="29" t="n">
        <f aca="false">(IF(AND(H$47&gt;0,H$47&lt;=0+Quesería!$B$46),($X$14+$X$28)*(Quesería!$B$44*$B$1000*$B$997)*(1-MAX(0,MIN((H$47-1)-0-Quesería!$B$47,(Quesería!$B$46-Quesería!$B$47)))/(Quesería!$B$46-Quesería!$B$47))*IF(H$47&gt;2,1-Quesería!$B$48,1),0)+IF(AND(H$47&gt;1,H$47&lt;=1+Quesería!$B$46),($X$14+$X$28)*(Quesería!$B$44*$C$1000*$C$997)*(1-MAX(0,MIN((H$47-1)-1-Quesería!$B$47,(Quesería!$B$46-Quesería!$B$47)))/(Quesería!$B$46-Quesería!$B$47))*IF(H$47&gt;2,1-Quesería!$B$48,1),0))*H999</f>
        <v>46.8352529676735</v>
      </c>
      <c r="I1027" s="29" t="n">
        <f aca="false">(IF(AND(I$47&gt;0,I$47&lt;=0+Quesería!$B$46),($X$14+$X$28)*(Quesería!$B$44*$B$1000*$B$997)*(1-MAX(0,MIN((I$47-1)-0-Quesería!$B$47,(Quesería!$B$46-Quesería!$B$47)))/(Quesería!$B$46-Quesería!$B$47))*IF(I$47&gt;2,1-Quesería!$B$48,1),0)+IF(AND(I$47&gt;1,I$47&lt;=1+Quesería!$B$46),($X$14+$X$28)*(Quesería!$B$44*$C$1000*$C$997)*(1-MAX(0,MIN((I$47-1)-1-Quesería!$B$47,(Quesería!$B$46-Quesería!$B$47)))/(Quesería!$B$46-Quesería!$B$47))*IF(I$47&gt;2,1-Quesería!$B$48,1),0))*I999</f>
        <v>26.4724688081898</v>
      </c>
      <c r="J1027" s="29" t="n">
        <f aca="false">(IF(AND(J$47&gt;0,J$47&lt;=0+Quesería!$B$46),($X$14+$X$28)*(Quesería!$B$44*$B$1000*$B$997)*(1-MAX(0,MIN((J$47-1)-0-Quesería!$B$47,(Quesería!$B$46-Quesería!$B$47)))/(Quesería!$B$46-Quesería!$B$47))*IF(J$47&gt;2,1-Quesería!$B$48,1),0)+IF(AND(J$47&gt;1,J$47&lt;=1+Quesería!$B$46),($X$14+$X$28)*(Quesería!$B$44*$C$1000*$C$997)*(1-MAX(0,MIN((J$47-1)-1-Quesería!$B$47,(Quesería!$B$46-Quesería!$B$47)))/(Quesería!$B$46-Quesería!$B$47))*IF(J$47&gt;2,1-Quesería!$B$48,1),0))*J999</f>
        <v>7.60676974238282</v>
      </c>
      <c r="K1027" s="29" t="n">
        <f aca="false">(IF(AND(K$47&gt;0,K$47&lt;=0+Quesería!$B$46),($X$14+$X$28)*(Quesería!$B$44*$B$1000*$B$997)*(1-MAX(0,MIN((K$47-1)-0-Quesería!$B$47,(Quesería!$B$46-Quesería!$B$47)))/(Quesería!$B$46-Quesería!$B$47))*IF(K$47&gt;2,1-Quesería!$B$48,1),0)+IF(AND(K$47&gt;1,K$47&lt;=1+Quesería!$B$46),($X$14+$X$28)*(Quesería!$B$44*$C$1000*$C$997)*(1-MAX(0,MIN((K$47-1)-1-Quesería!$B$47,(Quesería!$B$46-Quesería!$B$47)))/(Quesería!$B$46-Quesería!$B$47))*IF(K$47&gt;2,1-Quesería!$B$48,1),0))*K999</f>
        <v>0</v>
      </c>
      <c r="L1027" s="29" t="n">
        <f aca="false">(IF(AND(L$47&gt;0,L$47&lt;=0+Quesería!$B$46),($X$14+$X$28)*(Quesería!$B$44*$B$1000*$B$997)*(1-MAX(0,MIN((L$47-1)-0-Quesería!$B$47,(Quesería!$B$46-Quesería!$B$47)))/(Quesería!$B$46-Quesería!$B$47))*IF(L$47&gt;2,1-Quesería!$B$48,1),0)+IF(AND(L$47&gt;1,L$47&lt;=1+Quesería!$B$46),($X$14+$X$28)*(Quesería!$B$44*$C$1000*$C$997)*(1-MAX(0,MIN((L$47-1)-1-Quesería!$B$47,(Quesería!$B$46-Quesería!$B$47)))/(Quesería!$B$46-Quesería!$B$47))*IF(L$47&gt;2,1-Quesería!$B$48,1),0))*L999</f>
        <v>0</v>
      </c>
    </row>
    <row r="1028" customFormat="false" ht="15" hidden="true" customHeight="false" outlineLevel="1" collapsed="false">
      <c r="A1028" s="6" t="s">
        <v>433</v>
      </c>
      <c r="B1028" s="29" t="n">
        <f aca="false">((IF(AND(B$47&gt;0+Quesería!$B$47,B$47&lt;=0+Quesería!$B$46),(Quesería!$B$44*$B$1000*$B$997)/(Quesería!$B$46-Quesería!$B$47),0)*IF(B$47&gt;2,1-Quesería!$B$48,1)+IF(B$47=2,Quesería!$B$48*(Quesería!$B$44*$B$1000*$B$997)*(1-MAX(0,MIN(2-0-Quesería!$B$47,(Quesería!$B$46-Quesería!$B$47)))/(Quesería!$B$46-Quesería!$B$47)),0))+(IF(AND(B$47&gt;1+Quesería!$B$47,B$47&lt;=1+Quesería!$B$46),(Quesería!$B$44*$C$1000*$C$997)/(Quesería!$B$46-Quesería!$B$47),0)*IF(B$47&gt;2,1-Quesería!$B$48,1)+IF(B$47=2,Quesería!$B$48*(Quesería!$B$44*$C$1000*$C$997)*(1-MAX(0,MIN(2-1-Quesería!$B$47,(Quesería!$B$46-Quesería!$B$47)))/(Quesería!$B$46-Quesería!$B$47)),0)))*B999</f>
        <v>0</v>
      </c>
      <c r="C1028" s="29" t="n">
        <f aca="false">((IF(AND(C$47&gt;0+Quesería!$B$47,C$47&lt;=0+Quesería!$B$46),(Quesería!$B$44*$B$1000*$B$997)/(Quesería!$B$46-Quesería!$B$47),0)*IF(C$47&gt;2,1-Quesería!$B$48,1)+IF(C$47=2,Quesería!$B$48*(Quesería!$B$44*$B$1000*$B$997)*(1-MAX(0,MIN(2-0-Quesería!$B$47,(Quesería!$B$46-Quesería!$B$47)))/(Quesería!$B$46-Quesería!$B$47)),0))+(IF(AND(C$47&gt;1+Quesería!$B$47,C$47&lt;=1+Quesería!$B$46),(Quesería!$B$44*$C$1000*$C$997)/(Quesería!$B$46-Quesería!$B$47),0)*IF(C$47&gt;2,1-Quesería!$B$48,1)+IF(C$47=2,Quesería!$B$48*(Quesería!$B$44*$C$1000*$C$997)*(1-MAX(0,MIN(2-1-Quesería!$B$47,(Quesería!$B$46-Quesería!$B$47)))/(Quesería!$B$46-Quesería!$B$47)),0)))*C999</f>
        <v>0</v>
      </c>
      <c r="D1028" s="29" t="n">
        <f aca="false">((IF(AND(D$47&gt;0+Quesería!$B$47,D$47&lt;=0+Quesería!$B$46),(Quesería!$B$44*$B$1000*$B$997)/(Quesería!$B$46-Quesería!$B$47),0)*IF(D$47&gt;2,1-Quesería!$B$48,1)+IF(D$47=2,Quesería!$B$48*(Quesería!$B$44*$B$1000*$B$997)*(1-MAX(0,MIN(2-0-Quesería!$B$47,(Quesería!$B$46-Quesería!$B$47)))/(Quesería!$B$46-Quesería!$B$47)),0))+(IF(AND(D$47&gt;1+Quesería!$B$47,D$47&lt;=1+Quesería!$B$46),(Quesería!$B$44*$C$1000*$C$997)/(Quesería!$B$46-Quesería!$B$47),0)*IF(D$47&gt;2,1-Quesería!$B$48,1)+IF(D$47=2,Quesería!$B$48*(Quesería!$B$44*$C$1000*$C$997)*(1-MAX(0,MIN(2-1-Quesería!$B$47,(Quesería!$B$46-Quesería!$B$47)))/(Quesería!$B$46-Quesería!$B$47)),0)))*D999</f>
        <v>91.8994692231472</v>
      </c>
      <c r="E1028" s="29" t="n">
        <f aca="false">((IF(AND(E$47&gt;0+Quesería!$B$47,E$47&lt;=0+Quesería!$B$46),(Quesería!$B$44*$B$1000*$B$997)/(Quesería!$B$46-Quesería!$B$47),0)*IF(E$47&gt;2,1-Quesería!$B$48,1)+IF(E$47=2,Quesería!$B$48*(Quesería!$B$44*$B$1000*$B$997)*(1-MAX(0,MIN(2-0-Quesería!$B$47,(Quesería!$B$46-Quesería!$B$47)))/(Quesería!$B$46-Quesería!$B$47)),0))+(IF(AND(E$47&gt;1+Quesería!$B$47,E$47&lt;=1+Quesería!$B$46),(Quesería!$B$44*$C$1000*$C$997)/(Quesería!$B$46-Quesería!$B$47),0)*IF(E$47&gt;2,1-Quesería!$B$48,1)+IF(E$47=2,Quesería!$B$48*(Quesería!$B$44*$C$1000*$C$997)*(1-MAX(0,MIN(2-1-Quesería!$B$47,(Quesería!$B$46-Quesería!$B$47)))/(Quesería!$B$46-Quesería!$B$47)),0)))*E999</f>
        <v>154.001742940676</v>
      </c>
      <c r="F1028" s="29" t="n">
        <f aca="false">((IF(AND(F$47&gt;0+Quesería!$B$47,F$47&lt;=0+Quesería!$B$46),(Quesería!$B$44*$B$1000*$B$997)/(Quesería!$B$46-Quesería!$B$47),0)*IF(F$47&gt;2,1-Quesería!$B$48,1)+IF(F$47=2,Quesería!$B$48*(Quesería!$B$44*$B$1000*$B$997)*(1-MAX(0,MIN(2-0-Quesería!$B$47,(Quesería!$B$46-Quesería!$B$47)))/(Quesería!$B$46-Quesería!$B$47)),0))+(IF(AND(F$47&gt;1+Quesería!$B$47,F$47&lt;=1+Quesería!$B$46),(Quesería!$B$44*$C$1000*$C$997)/(Quesería!$B$46-Quesería!$B$47),0)*IF(F$47&gt;2,1-Quesería!$B$48,1)+IF(F$47=2,Quesería!$B$48*(Quesería!$B$44*$C$1000*$C$997)*(1-MAX(0,MIN(2-1-Quesería!$B$47,(Quesería!$B$46-Quesería!$B$47)))/(Quesería!$B$46-Quesería!$B$47)),0)))*F999</f>
        <v>148.078598981419</v>
      </c>
      <c r="G1028" s="29" t="n">
        <f aca="false">((IF(AND(G$47&gt;0+Quesería!$B$47,G$47&lt;=0+Quesería!$B$46),(Quesería!$B$44*$B$1000*$B$997)/(Quesería!$B$46-Quesería!$B$47),0)*IF(G$47&gt;2,1-Quesería!$B$48,1)+IF(G$47=2,Quesería!$B$48*(Quesería!$B$44*$B$1000*$B$997)*(1-MAX(0,MIN(2-0-Quesería!$B$47,(Quesería!$B$46-Quesería!$B$47)))/(Quesería!$B$46-Quesería!$B$47)),0))+(IF(AND(G$47&gt;1+Quesería!$B$47,G$47&lt;=1+Quesería!$B$46),(Quesería!$B$44*$C$1000*$C$997)/(Quesería!$B$46-Quesería!$B$47),0)*IF(G$47&gt;2,1-Quesería!$B$48,1)+IF(G$47=2,Quesería!$B$48*(Quesería!$B$44*$C$1000*$C$997)*(1-MAX(0,MIN(2-1-Quesería!$B$47,(Quesería!$B$46-Quesería!$B$47)))/(Quesería!$B$46-Quesería!$B$47)),0)))*G999</f>
        <v>142.383268251364</v>
      </c>
      <c r="H1028" s="29" t="n">
        <f aca="false">((IF(AND(H$47&gt;0+Quesería!$B$47,H$47&lt;=0+Quesería!$B$46),(Quesería!$B$44*$B$1000*$B$997)/(Quesería!$B$46-Quesería!$B$47),0)*IF(H$47&gt;2,1-Quesería!$B$48,1)+IF(H$47=2,Quesería!$B$48*(Quesería!$B$44*$B$1000*$B$997)*(1-MAX(0,MIN(2-0-Quesería!$B$47,(Quesería!$B$46-Quesería!$B$47)))/(Quesería!$B$46-Quesería!$B$47)),0))+(IF(AND(H$47&gt;1+Quesería!$B$47,H$47&lt;=1+Quesería!$B$46),(Quesería!$B$44*$C$1000*$C$997)/(Quesería!$B$46-Quesería!$B$47),0)*IF(H$47&gt;2,1-Quesería!$B$48,1)+IF(H$47=2,Quesería!$B$48*(Quesería!$B$44*$C$1000*$C$997)*(1-MAX(0,MIN(2-1-Quesería!$B$47,(Quesería!$B$46-Quesería!$B$47)))/(Quesería!$B$46-Quesería!$B$47)),0)))*H999</f>
        <v>136.906988703235</v>
      </c>
      <c r="I1028" s="29" t="n">
        <f aca="false">((IF(AND(I$47&gt;0+Quesería!$B$47,I$47&lt;=0+Quesería!$B$46),(Quesería!$B$44*$B$1000*$B$997)/(Quesería!$B$46-Quesería!$B$47),0)*IF(I$47&gt;2,1-Quesería!$B$48,1)+IF(I$47=2,Quesería!$B$48*(Quesería!$B$44*$B$1000*$B$997)*(1-MAX(0,MIN(2-0-Quesería!$B$47,(Quesería!$B$46-Quesería!$B$47)))/(Quesería!$B$46-Quesería!$B$47)),0))+(IF(AND(I$47&gt;1+Quesería!$B$47,I$47&lt;=1+Quesería!$B$46),(Quesería!$B$44*$C$1000*$C$997)/(Quesería!$B$46-Quesería!$B$47),0)*IF(I$47&gt;2,1-Quesería!$B$48,1)+IF(I$47=2,Quesería!$B$48*(Quesería!$B$44*$C$1000*$C$997)*(1-MAX(0,MIN(2-1-Quesería!$B$47,(Quesería!$B$46-Quesería!$B$47)))/(Quesería!$B$46-Quesería!$B$47)),0)))*I999</f>
        <v>131.641335291572</v>
      </c>
      <c r="J1028" s="29" t="n">
        <f aca="false">((IF(AND(J$47&gt;0+Quesería!$B$47,J$47&lt;=0+Quesería!$B$46),(Quesería!$B$44*$B$1000*$B$997)/(Quesería!$B$46-Quesería!$B$47),0)*IF(J$47&gt;2,1-Quesería!$B$48,1)+IF(J$47=2,Quesería!$B$48*(Quesería!$B$44*$B$1000*$B$997)*(1-MAX(0,MIN(2-0-Quesería!$B$47,(Quesería!$B$46-Quesería!$B$47)))/(Quesería!$B$46-Quesería!$B$47)),0))+(IF(AND(J$47&gt;1+Quesería!$B$47,J$47&lt;=1+Quesería!$B$46),(Quesería!$B$44*$C$1000*$C$997)/(Quesería!$B$46-Quesería!$B$47),0)*IF(J$47&gt;2,1-Quesería!$B$48,1)+IF(J$47=2,Quesería!$B$48*(Quesería!$B$44*$C$1000*$C$997)*(1-MAX(0,MIN(2-1-Quesería!$B$47,(Quesería!$B$46-Quesería!$B$47)))/(Quesería!$B$46-Quesería!$B$47)),0)))*J999</f>
        <v>53.9487215771831</v>
      </c>
      <c r="K1028" s="29" t="n">
        <f aca="false">((IF(AND(K$47&gt;0+Quesería!$B$47,K$47&lt;=0+Quesería!$B$46),(Quesería!$B$44*$B$1000*$B$997)/(Quesería!$B$46-Quesería!$B$47),0)*IF(K$47&gt;2,1-Quesería!$B$48,1)+IF(K$47=2,Quesería!$B$48*(Quesería!$B$44*$B$1000*$B$997)*(1-MAX(0,MIN(2-0-Quesería!$B$47,(Quesería!$B$46-Quesería!$B$47)))/(Quesería!$B$46-Quesería!$B$47)),0))+(IF(AND(K$47&gt;1+Quesería!$B$47,K$47&lt;=1+Quesería!$B$46),(Quesería!$B$44*$C$1000*$C$997)/(Quesería!$B$46-Quesería!$B$47),0)*IF(K$47&gt;2,1-Quesería!$B$48,1)+IF(K$47=2,Quesería!$B$48*(Quesería!$B$44*$C$1000*$C$997)*(1-MAX(0,MIN(2-1-Quesería!$B$47,(Quesería!$B$46-Quesería!$B$47)))/(Quesería!$B$46-Quesería!$B$47)),0)))*K999</f>
        <v>0</v>
      </c>
      <c r="L1028" s="29" t="n">
        <f aca="false">((IF(AND(L$47&gt;0+Quesería!$B$47,L$47&lt;=0+Quesería!$B$46),(Quesería!$B$44*$B$1000*$B$997)/(Quesería!$B$46-Quesería!$B$47),0)*IF(L$47&gt;2,1-Quesería!$B$48,1)+IF(L$47=2,Quesería!$B$48*(Quesería!$B$44*$B$1000*$B$997)*(1-MAX(0,MIN(2-0-Quesería!$B$47,(Quesería!$B$46-Quesería!$B$47)))/(Quesería!$B$46-Quesería!$B$47)),0))+(IF(AND(L$47&gt;1+Quesería!$B$47,L$47&lt;=1+Quesería!$B$46),(Quesería!$B$44*$C$1000*$C$997)/(Quesería!$B$46-Quesería!$B$47),0)*IF(L$47&gt;2,1-Quesería!$B$48,1)+IF(L$47=2,Quesería!$B$48*(Quesería!$B$44*$C$1000*$C$997)*(1-MAX(0,MIN(2-1-Quesería!$B$47,(Quesería!$B$46-Quesería!$B$47)))/(Quesería!$B$46-Quesería!$B$47)),0)))*L999</f>
        <v>0</v>
      </c>
    </row>
    <row r="1029" customFormat="false" ht="15" hidden="true" customHeight="false" outlineLevel="1" collapsed="false">
      <c r="A1029" s="6" t="s">
        <v>434</v>
      </c>
      <c r="B1029" s="29" t="n">
        <f aca="false">$X$13*Quesería!$B$51*(1+0.19)*B1025*B999+(1-$X$13)*IF(B$47=0,Quesería!$B$50,0)</f>
        <v>14.327482305488</v>
      </c>
      <c r="C1029" s="29" t="n">
        <f aca="false">$X$13*Quesería!$B$51*(1+0.19)*C1025*C999+(1-$X$13)*IF(C$47=0,Quesería!$B$50,0)</f>
        <v>23.7808051224691</v>
      </c>
      <c r="D1029" s="29" t="n">
        <f aca="false">$X$13*Quesería!$B$51*(1+0.19)*D1025*D999+(1-$X$13)*IF(D$47=0,Quesería!$B$50,0)</f>
        <v>20.5804799826942</v>
      </c>
      <c r="E1029" s="29" t="n">
        <f aca="false">$X$13*Quesería!$B$51*(1+0.19)*E1025*E999+(1-$X$13)*IF(E$47=0,Quesería!$B$50,0)</f>
        <v>16.1420077857048</v>
      </c>
      <c r="F1029" s="29" t="n">
        <f aca="false">$X$13*Quesería!$B$51*(1+0.19)*F1025*F999+(1-$X$13)*IF(F$47=0,Quesería!$B$50,0)</f>
        <v>12.0145120299295</v>
      </c>
      <c r="G1029" s="29" t="n">
        <f aca="false">$X$13*Quesería!$B$51*(1+0.19)*G1025*G999+(1-$X$13)*IF(G$47=0,Quesería!$B$50,0)</f>
        <v>8.18063723793316</v>
      </c>
      <c r="H1029" s="29" t="n">
        <f aca="false">$X$13*Quesería!$B$51*(1+0.19)*H1025*H999+(1-$X$13)*IF(H$47=0,Quesería!$B$50,0)</f>
        <v>4.62390294468519</v>
      </c>
      <c r="I1029" s="29" t="n">
        <f aca="false">$X$13*Quesería!$B$51*(1+0.19)*I1025*I999+(1-$X$13)*IF(I$47=0,Quesería!$B$50,0)</f>
        <v>1.32866206269604</v>
      </c>
      <c r="J1029" s="29" t="n">
        <f aca="false">$X$13*Quesería!$B$51*(1+0.19)*J1025*J999+(1-$X$13)*IF(J$47=0,Quesería!$B$50,0)</f>
        <v>0</v>
      </c>
      <c r="K1029" s="29" t="n">
        <f aca="false">$X$13*Quesería!$B$51*(1+0.19)*K1025*K999+(1-$X$13)*IF(K$47=0,Quesería!$B$50,0)</f>
        <v>0</v>
      </c>
      <c r="L1029" s="29" t="n">
        <f aca="false">$X$13*Quesería!$B$51*(1+0.19)*L1025*L999+(1-$X$13)*IF(L$47=0,Quesería!$B$50,0)</f>
        <v>0</v>
      </c>
    </row>
    <row r="1030" customFormat="false" ht="15" hidden="true" customHeight="false" outlineLevel="1" collapsed="false">
      <c r="A1030" s="6" t="s">
        <v>435</v>
      </c>
      <c r="B1030" s="29" t="n">
        <f aca="false">Quesería!$B$52*(B1027+B1028+B1029)</f>
        <v>0.057309929221952</v>
      </c>
      <c r="C1030" s="29" t="n">
        <f aca="false">Quesería!$B$52*(C1027+C1028+C1029)</f>
        <v>0.420105475514308</v>
      </c>
      <c r="D1030" s="29" t="n">
        <f aca="false">Quesería!$B$52*(D1027+D1028+D1029)</f>
        <v>0.991907370859062</v>
      </c>
      <c r="E1030" s="29" t="n">
        <f aca="false">Quesería!$B$52*(E1027+E1028+E1029)</f>
        <v>1.15187911193806</v>
      </c>
      <c r="F1030" s="29" t="n">
        <f aca="false">Quesería!$B$52*(F1027+F1028+F1029)</f>
        <v>1.01003314213578</v>
      </c>
      <c r="G1030" s="29" t="n">
        <f aca="false">Quesería!$B$52*(G1027+G1028+G1029)</f>
        <v>0.877394437596481</v>
      </c>
      <c r="H1030" s="29" t="n">
        <f aca="false">Quesería!$B$52*(H1027+H1028+H1029)</f>
        <v>0.753464578462374</v>
      </c>
      <c r="I1030" s="29" t="n">
        <f aca="false">Quesería!$B$52*(I1027+I1028+I1029)</f>
        <v>0.637769864649831</v>
      </c>
      <c r="J1030" s="29" t="n">
        <f aca="false">Quesería!$B$52*(J1027+J1028+J1029)</f>
        <v>0.246221965278264</v>
      </c>
      <c r="K1030" s="29" t="n">
        <f aca="false">Quesería!$B$52*(K1027+K1028+K1029)</f>
        <v>0</v>
      </c>
      <c r="L1030" s="29" t="n">
        <f aca="false">Quesería!$B$52*(L1027+L1028+L1029)</f>
        <v>0</v>
      </c>
    </row>
    <row r="1031" customFormat="false" ht="15" hidden="true" customHeight="false" outlineLevel="1" collapsed="false">
      <c r="A1031" s="6" t="s">
        <v>436</v>
      </c>
      <c r="B1031" s="29" t="n">
        <f aca="false">$X$17*(B1027+B1029+0.5*B1030)</f>
        <v>5.02464804453464</v>
      </c>
      <c r="C1031" s="29" t="n">
        <f aca="false">$X$17*(C1027+C1029+0.5*C1030)</f>
        <v>36.8327475657169</v>
      </c>
      <c r="D1031" s="29" t="n">
        <f aca="false">$X$17*(D1027+D1029+0.5*D1030)</f>
        <v>54.8006645119667</v>
      </c>
      <c r="E1031" s="29" t="n">
        <f aca="false">$X$17*(E1027+E1029+0.5*E1030)</f>
        <v>47.090391109933</v>
      </c>
      <c r="F1031" s="29" t="n">
        <f aca="false">$X$17*(F1027+F1029+0.5*F1030)</f>
        <v>36.7271460932576</v>
      </c>
      <c r="G1031" s="29" t="n">
        <f aca="false">$X$17*(G1027+G1029+0.5*G1030)</f>
        <v>27.091413428294</v>
      </c>
      <c r="H1031" s="29" t="n">
        <f aca="false">$X$17*(H1027+H1029+0.5*H1030)</f>
        <v>18.1425608705564</v>
      </c>
      <c r="I1031" s="29" t="n">
        <f aca="false">$X$17*(I1027+I1029+0.5*I1030)</f>
        <v>9.84200553112376</v>
      </c>
      <c r="J1031" s="29" t="n">
        <f aca="false">$X$17*(J1027+J1029+0.5*J1030)</f>
        <v>2.70545825375768</v>
      </c>
      <c r="K1031" s="29" t="n">
        <f aca="false">$X$17*(K1027+K1029+0.5*K1030)</f>
        <v>0</v>
      </c>
      <c r="L1031" s="29" t="n">
        <f aca="false">$X$17*(L1027+L1029+0.5*L1030)</f>
        <v>0</v>
      </c>
    </row>
    <row r="1032" customFormat="false" ht="15" hidden="true" customHeight="false" outlineLevel="1" collapsed="false">
      <c r="A1032" s="5" t="s">
        <v>437</v>
      </c>
      <c r="B1032" s="59" t="n">
        <f aca="false">B1017+B1026-B1027-B1028-B1029-B1030+B1031</f>
        <v>-416.585189094101</v>
      </c>
      <c r="C1032" s="59" t="n">
        <f aca="false">C1017+C1026-C1027-C1028-C1029-C1030+C1031</f>
        <v>-176.888065134225</v>
      </c>
      <c r="D1032" s="59" t="n">
        <f aca="false">D1017+D1026-D1027-D1028-D1029-D1030+D1031</f>
        <v>130.724024024297</v>
      </c>
      <c r="E1032" s="59" t="n">
        <f aca="false">E1017+E1026-E1027-E1028-E1029-E1030+E1031</f>
        <v>83.8147104350223</v>
      </c>
      <c r="F1032" s="59" t="n">
        <f aca="false">F1017+F1026-F1027-F1028-F1029-F1030+F1031</f>
        <v>145.537007064502</v>
      </c>
      <c r="G1032" s="59" t="n">
        <f aca="false">G1017+G1026-G1027-G1028-G1029-G1030+G1031</f>
        <v>134.764086961454</v>
      </c>
      <c r="H1032" s="59" t="n">
        <f aca="false">H1017+H1026-H1027-H1028-H1029-H1030+H1031</f>
        <v>139.627874834381</v>
      </c>
      <c r="I1032" s="59" t="n">
        <f aca="false">I1017+I1026-I1027-I1028-I1029-I1030+I1031</f>
        <v>220.763268369238</v>
      </c>
      <c r="J1032" s="59" t="n">
        <f aca="false">J1017+J1026-J1027-J1028-J1029-J1030+J1031</f>
        <v>301.811102775843</v>
      </c>
      <c r="K1032" s="59" t="n">
        <f aca="false">K1017+K1026-K1027-K1028-K1029-K1030+K1031</f>
        <v>359.359346778377</v>
      </c>
      <c r="L1032" s="59" t="n">
        <f aca="false">L1017+L1026-L1027-L1028-L1029-L1030+L1031</f>
        <v>588.546358386452</v>
      </c>
    </row>
    <row r="1033" customFormat="false" ht="15" hidden="true" customHeight="false" outlineLevel="1" collapsed="false">
      <c r="A1033" s="9" t="s">
        <v>438</v>
      </c>
      <c r="B1033" s="58" t="n">
        <f aca="false">B1032*B997</f>
        <v>-441.580300439747</v>
      </c>
      <c r="C1033" s="58" t="n">
        <f aca="false">C1032*C997</f>
        <v>-196.876416494392</v>
      </c>
      <c r="D1033" s="58" t="n">
        <f aca="false">D1032*D997</f>
        <v>152.0431514823</v>
      </c>
      <c r="E1033" s="58" t="n">
        <f aca="false">E1032*E997</f>
        <v>101.382977785771</v>
      </c>
      <c r="F1033" s="58" t="n">
        <f aca="false">F1032*F997</f>
        <v>183.084497706324</v>
      </c>
      <c r="G1033" s="58" t="n">
        <f aca="false">G1032*G997</f>
        <v>176.313532170029</v>
      </c>
      <c r="H1033" s="58" t="n">
        <f aca="false">H1032*H997</f>
        <v>189.983961831205</v>
      </c>
      <c r="I1033" s="58" t="n">
        <f aca="false">I1032*I997</f>
        <v>312.39564175417</v>
      </c>
      <c r="J1033" s="58" t="n">
        <f aca="false">J1032*J997</f>
        <v>444.167423277124</v>
      </c>
      <c r="K1033" s="58" t="n">
        <f aca="false">K1032*K997</f>
        <v>550.014039132139</v>
      </c>
      <c r="L1033" s="58" t="n">
        <f aca="false">L1032*L997</f>
        <v>936.825807377626</v>
      </c>
    </row>
    <row r="1034" customFormat="false" ht="15" hidden="true" customHeight="false" outlineLevel="1" collapsed="false">
      <c r="A1034" s="9" t="s">
        <v>439</v>
      </c>
      <c r="B1034" s="57" t="n">
        <f aca="false">(B997/$B$997)/(1+Quesería!$B$11+$X$28)^B$47</f>
        <v>1</v>
      </c>
      <c r="C1034" s="57" t="n">
        <f aca="false">(C997/$B$997)/(1+Quesería!$B$11+$X$28)^C$47</f>
        <v>0.84</v>
      </c>
      <c r="D1034" s="57" t="n">
        <f aca="false">(D997/$B$997)/(1+Quesería!$B$11+$X$28)^D$47</f>
        <v>0.70224</v>
      </c>
      <c r="E1034" s="57" t="n">
        <f aca="false">(E997/$B$997)/(1+Quesería!$B$11+$X$28)^E$47</f>
        <v>0.58426368</v>
      </c>
      <c r="F1034" s="57" t="n">
        <f aca="false">(F997/$B$997)/(1+Quesería!$B$11+$X$28)^F$47</f>
        <v>0.48610738176</v>
      </c>
      <c r="G1034" s="57" t="n">
        <f aca="false">(G997/$B$997)/(1+Quesería!$B$11+$X$28)^G$47</f>
        <v>0.40444134162432</v>
      </c>
      <c r="H1034" s="57" t="n">
        <f aca="false">(H997/$B$997)/(1+Quesería!$B$11+$X$28)^H$47</f>
        <v>0.336495196231434</v>
      </c>
      <c r="I1034" s="57" t="n">
        <f aca="false">(I997/$B$997)/(1+Quesería!$B$11+$X$28)^I$47</f>
        <v>0.279964003264553</v>
      </c>
      <c r="J1034" s="57" t="n">
        <f aca="false">(J997/$B$997)/(1+Quesería!$B$11+$X$28)^J$47</f>
        <v>0.232930050716108</v>
      </c>
      <c r="K1034" s="57" t="n">
        <f aca="false">(K997/$B$997)/(1+Quesería!$B$11+$X$28)^K$47</f>
        <v>0.193797802195802</v>
      </c>
      <c r="L1034" s="57" t="n">
        <f aca="false">(L997/$B$997)/(1+Quesería!$B$11+$X$28)^L$47</f>
        <v>0.161239771426907</v>
      </c>
    </row>
    <row r="1035" customFormat="false" ht="15" hidden="true" customHeight="false" outlineLevel="1" collapsed="false">
      <c r="A1035" s="9" t="s">
        <v>440</v>
      </c>
      <c r="B1035" s="58" t="n">
        <f aca="false">B1017+B1000+B1002+B1031</f>
        <v>72.6953585018737</v>
      </c>
      <c r="C1035" s="58" t="n">
        <f aca="false">C1017+C1000+C1002+C1031</f>
        <v>284.131705224096</v>
      </c>
      <c r="D1035" s="58" t="n">
        <f aca="false">D1017+D1000+D1002+D1031</f>
        <v>379.692774109922</v>
      </c>
      <c r="E1035" s="58" t="n">
        <f aca="false">E1017+E1000+E1002+E1031</f>
        <v>372.936367531475</v>
      </c>
      <c r="F1035" s="58" t="n">
        <f aca="false">F1017+F1000+F1002+F1031</f>
        <v>399.055325740582</v>
      </c>
      <c r="G1035" s="58" t="n">
        <f aca="false">G1017+G1000+G1002+G1031</f>
        <v>360.208482079257</v>
      </c>
      <c r="H1035" s="58" t="n">
        <f aca="false">H1017+H1000+H1002+H1031</f>
        <v>337.561423613518</v>
      </c>
      <c r="I1035" s="58" t="n">
        <f aca="false">I1017+I1000+I1002+I1031</f>
        <v>380.843504396346</v>
      </c>
      <c r="J1035" s="58" t="n">
        <f aca="false">J1017+J1000+J1002+J1031</f>
        <v>363.612816060687</v>
      </c>
      <c r="K1035" s="58" t="n">
        <f aca="false">K1017+K1000+K1002+K1031</f>
        <v>359.359346778377</v>
      </c>
      <c r="L1035" s="58" t="n">
        <f aca="false">L1017+L1000+L1002+L1031</f>
        <v>588.546358386452</v>
      </c>
    </row>
    <row r="1036" customFormat="false" ht="15" hidden="true" customHeight="false" outlineLevel="1" collapsed="false">
      <c r="A1036" s="5" t="s">
        <v>149</v>
      </c>
      <c r="B1036" s="12" t="str">
        <f aca="false">IF(AND(B$47&gt;=1,(B1027+B1028+B1029)&gt;0.001),B1035/(B1027+B1028+B1029),"")</f>
        <v/>
      </c>
      <c r="C1036" s="12" t="n">
        <f aca="false">IF(AND(C$47&gt;=1,(C1027+C1028+C1029)&gt;0.001),C1035/(C1027+C1028+C1029),"")</f>
        <v>2.70533684309877</v>
      </c>
      <c r="D1036" s="12" t="n">
        <f aca="false">IF(AND(D$47&gt;=1,(D1027+D1028+D1029)&gt;0.001),D1035/(D1027+D1028+D1029),"")</f>
        <v>1.53116222447699</v>
      </c>
      <c r="E1036" s="12" t="n">
        <f aca="false">IF(AND(E$47&gt;=1,(E1027+E1028+E1029)&gt;0.001),E1035/(E1027+E1028+E1029),"")</f>
        <v>1.29505384259986</v>
      </c>
      <c r="F1036" s="12" t="n">
        <f aca="false">IF(AND(F$47&gt;=1,(F1027+F1028+F1029)&gt;0.001),F1035/(F1027+F1028+F1029),"")</f>
        <v>1.58036527354639</v>
      </c>
      <c r="G1036" s="12" t="n">
        <f aca="false">IF(AND(G$47&gt;=1,(G1027+G1028+G1029)&gt;0.001),G1035/(G1027+G1028+G1029),"")</f>
        <v>1.64217353857864</v>
      </c>
      <c r="H1036" s="12" t="n">
        <f aca="false">IF(AND(H$47&gt;=1,(H1027+H1028+H1029)&gt;0.001),H1035/(H1027+H1028+H1029),"")</f>
        <v>1.79204933191362</v>
      </c>
      <c r="I1036" s="12" t="n">
        <f aca="false">IF(AND(I$47&gt;=1,(I1027+I1028+I1029)&gt;0.001),I1035/(I1027+I1028+I1029),"")</f>
        <v>2.38859516892005</v>
      </c>
      <c r="J1036" s="12" t="n">
        <f aca="false">IF(AND(J$47&gt;=1,(J1027+J1028+J1029)&gt;0.001),J1035/(J1027+J1028+J1029),"")</f>
        <v>5.90707357322497</v>
      </c>
      <c r="K1036" s="12" t="str">
        <f aca="false">IF(AND(K$47&gt;=1,(K1027+K1028+K1029)&gt;0.001),K1035/(K1027+K1028+K1029),"")</f>
        <v/>
      </c>
      <c r="L1036" s="12" t="str">
        <f aca="false">IF(AND(L$47&gt;=1,(L1027+L1028+L1029)&gt;0.001),L1035/(L1027+L1028+L1029),"")</f>
        <v/>
      </c>
    </row>
    <row r="1038" customFormat="false" ht="15" hidden="false" customHeight="false" outlineLevel="0" collapsed="false">
      <c r="A1038" s="43" t="s">
        <v>172</v>
      </c>
      <c r="B1038" s="44"/>
      <c r="C1038" s="44"/>
      <c r="D1038" s="44"/>
      <c r="E1038" s="44"/>
      <c r="F1038" s="44"/>
      <c r="G1038" s="44"/>
      <c r="H1038" s="44"/>
      <c r="I1038" s="44"/>
      <c r="J1038" s="44"/>
      <c r="K1038" s="44"/>
      <c r="L1038" s="44"/>
    </row>
    <row r="1039" customFormat="false" ht="15" hidden="true" customHeight="false" outlineLevel="1" collapsed="false">
      <c r="A1039" s="9" t="s">
        <v>406</v>
      </c>
      <c r="B1039" s="56" t="n">
        <f aca="false">CHOOSE($Y$15,Entorno!B$7,Entorno!B$8,Entorno!B$9)</f>
        <v>0.06</v>
      </c>
      <c r="C1039" s="56" t="n">
        <f aca="false">CHOOSE($Y$15,Entorno!C$7,Entorno!C$8,Entorno!C$9)</f>
        <v>0.05</v>
      </c>
      <c r="D1039" s="56" t="n">
        <f aca="false">CHOOSE($Y$15,Entorno!D$7,Entorno!D$8,Entorno!D$9)</f>
        <v>0.045</v>
      </c>
      <c r="E1039" s="56" t="n">
        <f aca="false">CHOOSE($Y$15,Entorno!E$7,Entorno!E$8,Entorno!E$9)</f>
        <v>0.04</v>
      </c>
      <c r="F1039" s="56" t="n">
        <f aca="false">CHOOSE($Y$15,Entorno!F$7,Entorno!F$8,Entorno!F$9)</f>
        <v>0.04</v>
      </c>
      <c r="G1039" s="56" t="n">
        <f aca="false">CHOOSE($Y$15,Entorno!G$7,Entorno!G$8,Entorno!G$9)</f>
        <v>0.04</v>
      </c>
      <c r="H1039" s="56" t="n">
        <f aca="false">CHOOSE($Y$15,Entorno!H$7,Entorno!H$8,Entorno!H$9)</f>
        <v>0.04</v>
      </c>
      <c r="I1039" s="56" t="n">
        <f aca="false">CHOOSE($Y$15,Entorno!I$7,Entorno!I$8,Entorno!I$9)</f>
        <v>0.04</v>
      </c>
      <c r="J1039" s="56" t="n">
        <f aca="false">CHOOSE($Y$15,Entorno!J$7,Entorno!J$8,Entorno!J$9)</f>
        <v>0.04</v>
      </c>
      <c r="K1039" s="56" t="n">
        <f aca="false">CHOOSE($Y$15,Entorno!K$7,Entorno!K$8,Entorno!K$9)</f>
        <v>0.04</v>
      </c>
      <c r="L1039" s="56" t="n">
        <f aca="false">CHOOSE($Y$15,Entorno!L$7,Entorno!L$8,Entorno!L$9)</f>
        <v>0.04</v>
      </c>
    </row>
    <row r="1040" customFormat="false" ht="15" hidden="true" customHeight="false" outlineLevel="1" collapsed="false">
      <c r="A1040" s="9" t="s">
        <v>407</v>
      </c>
      <c r="B1040" s="57" t="n">
        <f aca="false">1+B1039</f>
        <v>1.06</v>
      </c>
      <c r="C1040" s="57" t="n">
        <f aca="false">B1040*(1+C1039)</f>
        <v>1.113</v>
      </c>
      <c r="D1040" s="57" t="n">
        <f aca="false">C1040*(1+D1039)</f>
        <v>1.163085</v>
      </c>
      <c r="E1040" s="57" t="n">
        <f aca="false">D1040*(1+E1039)</f>
        <v>1.2096084</v>
      </c>
      <c r="F1040" s="57" t="n">
        <f aca="false">E1040*(1+F1039)</f>
        <v>1.257992736</v>
      </c>
      <c r="G1040" s="57" t="n">
        <f aca="false">F1040*(1+G1039)</f>
        <v>1.30831244544</v>
      </c>
      <c r="H1040" s="57" t="n">
        <f aca="false">G1040*(1+H1039)</f>
        <v>1.3606449432576</v>
      </c>
      <c r="I1040" s="57" t="n">
        <f aca="false">H1040*(1+I1039)</f>
        <v>1.4150707409879</v>
      </c>
      <c r="J1040" s="57" t="n">
        <f aca="false">I1040*(1+J1039)</f>
        <v>1.47167357062742</v>
      </c>
      <c r="K1040" s="57" t="n">
        <f aca="false">J1040*(1+K1039)</f>
        <v>1.53054051345252</v>
      </c>
      <c r="L1040" s="57" t="n">
        <f aca="false">K1040*(1+L1039)</f>
        <v>1.59176213399062</v>
      </c>
    </row>
    <row r="1041" customFormat="false" ht="15" hidden="true" customHeight="false" outlineLevel="1" collapsed="false">
      <c r="A1041" s="9" t="s">
        <v>408</v>
      </c>
      <c r="B1041" s="57" t="n">
        <f aca="false">(1+$Y$16)/(1+B1039)</f>
        <v>1.02358490566038</v>
      </c>
      <c r="C1041" s="57" t="n">
        <f aca="false">B1041*(1+Entorno!$B$13)</f>
        <v>1.02870283018868</v>
      </c>
      <c r="D1041" s="57" t="n">
        <f aca="false">C1041*(1+Entorno!$B$13)</f>
        <v>1.03384634433962</v>
      </c>
      <c r="E1041" s="57" t="n">
        <f aca="false">D1041*(1+Entorno!$B$13)</f>
        <v>1.03901557606132</v>
      </c>
      <c r="F1041" s="57" t="n">
        <f aca="false">E1041*(1+Entorno!$B$13)</f>
        <v>1.04421065394163</v>
      </c>
      <c r="G1041" s="57" t="n">
        <f aca="false">F1041*(1+Entorno!$B$13)</f>
        <v>1.04943170721133</v>
      </c>
      <c r="H1041" s="57" t="n">
        <f aca="false">G1041*(1+Entorno!$B$13)</f>
        <v>1.05467886574739</v>
      </c>
      <c r="I1041" s="57" t="n">
        <f aca="false">H1041*(1+Entorno!$B$13)</f>
        <v>1.05995226007613</v>
      </c>
      <c r="J1041" s="57" t="n">
        <f aca="false">I1041*(1+Entorno!$B$13)</f>
        <v>1.06525202137651</v>
      </c>
      <c r="K1041" s="57" t="n">
        <f aca="false">J1041*(1+Entorno!$B$13)</f>
        <v>1.07057828148339</v>
      </c>
      <c r="L1041" s="57" t="n">
        <f aca="false">K1041*(1+Entorno!$B$13)</f>
        <v>1.07593117289081</v>
      </c>
    </row>
    <row r="1042" customFormat="false" ht="15" hidden="true" customHeight="false" outlineLevel="1" collapsed="false">
      <c r="A1042" s="9" t="s">
        <v>409</v>
      </c>
      <c r="B1042" s="57" t="n">
        <f aca="false">1/B1040</f>
        <v>0.943396226415094</v>
      </c>
      <c r="C1042" s="57" t="n">
        <f aca="false">1/C1040</f>
        <v>0.898472596585804</v>
      </c>
      <c r="D1042" s="57" t="n">
        <f aca="false">1/D1040</f>
        <v>0.859782389077324</v>
      </c>
      <c r="E1042" s="57" t="n">
        <f aca="false">1/E1040</f>
        <v>0.826713835651273</v>
      </c>
      <c r="F1042" s="57" t="n">
        <f aca="false">1/F1040</f>
        <v>0.794917149664686</v>
      </c>
      <c r="G1042" s="57" t="n">
        <f aca="false">1/G1040</f>
        <v>0.764343413139121</v>
      </c>
      <c r="H1042" s="57" t="n">
        <f aca="false">1/H1040</f>
        <v>0.734945589556847</v>
      </c>
      <c r="I1042" s="57" t="n">
        <f aca="false">1/I1040</f>
        <v>0.706678451496968</v>
      </c>
      <c r="J1042" s="57" t="n">
        <f aca="false">1/J1040</f>
        <v>0.679498511054777</v>
      </c>
      <c r="K1042" s="57" t="n">
        <f aca="false">1/K1040</f>
        <v>0.653363952937286</v>
      </c>
      <c r="L1042" s="57" t="n">
        <f aca="false">1/L1040</f>
        <v>0.628234570132006</v>
      </c>
    </row>
    <row r="1043" customFormat="false" ht="15" hidden="true" customHeight="false" outlineLevel="1" collapsed="false">
      <c r="A1043" s="6" t="s">
        <v>323</v>
      </c>
      <c r="B1043" s="29" t="n">
        <f aca="false">IF(B$47=0,Quesería!$F$92,IF(B$47=1,(Quesería!$F$93-(-$Y$26)*Quesería!$D$86*(1+Quesería!$I$86))*$Y$21,0))*$Y$11</f>
        <v>930.800239431677</v>
      </c>
      <c r="C1043" s="29" t="n">
        <f aca="false">IF(C$47=0,Quesería!$F$92,IF(C$47=1,(Quesería!$F$93-(-$Y$26)*Quesería!$D$86*(1+Quesería!$I$86))*$Y$21,0))*$Y$11</f>
        <v>0</v>
      </c>
      <c r="D1043" s="29" t="n">
        <f aca="false">IF(D$47=0,Quesería!$F$92,IF(D$47=1,(Quesería!$F$93-(-$Y$26)*Quesería!$D$86*(1+Quesería!$I$86))*$Y$21,0))*$Y$11</f>
        <v>0</v>
      </c>
      <c r="E1043" s="29" t="n">
        <f aca="false">IF(E$47=0,Quesería!$F$92,IF(E$47=1,(Quesería!$F$93-(-$Y$26)*Quesería!$D$86*(1+Quesería!$I$86))*$Y$21,0))*$Y$11</f>
        <v>0</v>
      </c>
      <c r="F1043" s="29" t="n">
        <f aca="false">IF(F$47=0,Quesería!$F$92,IF(F$47=1,(Quesería!$F$93-(-$Y$26)*Quesería!$D$86*(1+Quesería!$I$86))*$Y$21,0))*$Y$11</f>
        <v>0</v>
      </c>
      <c r="G1043" s="29" t="n">
        <f aca="false">IF(G$47=0,Quesería!$F$92,IF(G$47=1,(Quesería!$F$93-(-$Y$26)*Quesería!$D$86*(1+Quesería!$I$86))*$Y$21,0))*$Y$11</f>
        <v>0</v>
      </c>
      <c r="H1043" s="29" t="n">
        <f aca="false">IF(H$47=0,Quesería!$F$92,IF(H$47=1,(Quesería!$F$93-(-$Y$26)*Quesería!$D$86*(1+Quesería!$I$86))*$Y$21,0))*$Y$11</f>
        <v>0</v>
      </c>
      <c r="I1043" s="29" t="n">
        <f aca="false">IF(I$47=0,Quesería!$F$92,IF(I$47=1,(Quesería!$F$93-(-$Y$26)*Quesería!$D$86*(1+Quesería!$I$86))*$Y$21,0))*$Y$11</f>
        <v>0</v>
      </c>
      <c r="J1043" s="29" t="n">
        <f aca="false">IF(J$47=0,Quesería!$F$92,IF(J$47=1,(Quesería!$F$93-(-$Y$26)*Quesería!$D$86*(1+Quesería!$I$86))*$Y$21,0))*$Y$11</f>
        <v>0</v>
      </c>
      <c r="K1043" s="29" t="n">
        <f aca="false">IF(K$47=0,Quesería!$F$92,IF(K$47=1,(Quesería!$F$93-(-$Y$26)*Quesería!$D$86*(1+Quesería!$I$86))*$Y$21,0))*$Y$11</f>
        <v>0</v>
      </c>
      <c r="L1043" s="29" t="n">
        <f aca="false">IF(L$47=0,Quesería!$F$92,IF(L$47=1,(Quesería!$F$93-(-$Y$26)*Quesería!$D$86*(1+Quesería!$I$86))*$Y$21,0))*$Y$11</f>
        <v>0</v>
      </c>
    </row>
    <row r="1044" customFormat="false" ht="15" hidden="true" customHeight="false" outlineLevel="1" collapsed="false">
      <c r="A1044" s="6" t="s">
        <v>410</v>
      </c>
      <c r="B1044" s="29" t="n">
        <f aca="false">IF(B$47=5,Quesería!$F$99,IF(B$47=6,Quesería!$F$100,0))*$Y$11</f>
        <v>0</v>
      </c>
      <c r="C1044" s="29" t="n">
        <f aca="false">IF(C$47=5,Quesería!$F$99,IF(C$47=6,Quesería!$F$100,0))*$Y$11</f>
        <v>0</v>
      </c>
      <c r="D1044" s="29" t="n">
        <f aca="false">IF(D$47=5,Quesería!$F$99,IF(D$47=6,Quesería!$F$100,0))*$Y$11</f>
        <v>0</v>
      </c>
      <c r="E1044" s="29" t="n">
        <f aca="false">IF(E$47=5,Quesería!$F$99,IF(E$47=6,Quesería!$F$100,0))*$Y$11</f>
        <v>0</v>
      </c>
      <c r="F1044" s="29" t="n">
        <f aca="false">IF(F$47=5,Quesería!$F$99,IF(F$47=6,Quesería!$F$100,0))*$Y$11</f>
        <v>0</v>
      </c>
      <c r="G1044" s="29" t="n">
        <f aca="false">IF(G$47=5,Quesería!$F$99,IF(G$47=6,Quesería!$F$100,0))*$Y$11</f>
        <v>27.4652172688735</v>
      </c>
      <c r="H1044" s="29" t="n">
        <f aca="false">IF(H$47=5,Quesería!$F$99,IF(H$47=6,Quesería!$F$100,0))*$Y$11</f>
        <v>46.3891557109552</v>
      </c>
      <c r="I1044" s="29" t="n">
        <f aca="false">IF(I$47=5,Quesería!$F$99,IF(I$47=6,Quesería!$F$100,0))*$Y$11</f>
        <v>0</v>
      </c>
      <c r="J1044" s="29" t="n">
        <f aca="false">IF(J$47=5,Quesería!$F$99,IF(J$47=6,Quesería!$F$100,0))*$Y$11</f>
        <v>0</v>
      </c>
      <c r="K1044" s="29" t="n">
        <f aca="false">IF(K$47=5,Quesería!$F$99,IF(K$47=6,Quesería!$F$100,0))*$Y$11</f>
        <v>0</v>
      </c>
      <c r="L1044" s="29" t="n">
        <f aca="false">IF(L$47=5,Quesería!$F$99,IF(L$47=6,Quesería!$F$100,0))*$Y$11</f>
        <v>0</v>
      </c>
    </row>
    <row r="1045" customFormat="false" ht="15" hidden="true" customHeight="false" outlineLevel="1" collapsed="false">
      <c r="A1045" s="6" t="s">
        <v>411</v>
      </c>
      <c r="B1045" s="29" t="n">
        <f aca="false">Quesería!$B$55*(IF(B$47=0,SUMPRODUCT((Quesería!$C$70:$C$89=0)*(Quesería!$H$70:$H$89&gt;0)*(Quesería!$J$70:$J$89&gt;0)*Quesería!$F$70:$F$89*(1+Quesería!$I$70:$I$89)),IF(B$47=1,(SUMPRODUCT((Quesería!$C$70:$C$89=1)*(Quesería!$H$70:$H$89&gt;0)*(Quesería!$J$70:$J$89&gt;0)*Quesería!$F$70:$F$89*(1+Quesería!$I$70:$I$89))-(-$Y$26)*Quesería!$D$86*(1+Quesería!$I$86))*$Y$21,0))*$Y$11+B1044)</f>
        <v>149.115671560178</v>
      </c>
      <c r="C1045" s="29" t="n">
        <f aca="false">Quesería!$B$55*(IF(C$47=0,SUMPRODUCT((Quesería!$C$70:$C$89=0)*(Quesería!$H$70:$H$89&gt;0)*(Quesería!$J$70:$J$89&gt;0)*Quesería!$F$70:$F$89*(1+Quesería!$I$70:$I$89)),IF(C$47=1,(SUMPRODUCT((Quesería!$C$70:$C$89=1)*(Quesería!$H$70:$H$89&gt;0)*(Quesería!$J$70:$J$89&gt;0)*Quesería!$F$70:$F$89*(1+Quesería!$I$70:$I$89))-(-$Y$26)*Quesería!$D$86*(1+Quesería!$I$86))*$Y$21,0))*$Y$11+C1044)</f>
        <v>0</v>
      </c>
      <c r="D1045" s="29" t="n">
        <f aca="false">Quesería!$B$55*(IF(D$47=0,SUMPRODUCT((Quesería!$C$70:$C$89=0)*(Quesería!$H$70:$H$89&gt;0)*(Quesería!$J$70:$J$89&gt;0)*Quesería!$F$70:$F$89*(1+Quesería!$I$70:$I$89)),IF(D$47=1,(SUMPRODUCT((Quesería!$C$70:$C$89=1)*(Quesería!$H$70:$H$89&gt;0)*(Quesería!$J$70:$J$89&gt;0)*Quesería!$F$70:$F$89*(1+Quesería!$I$70:$I$89))-(-$Y$26)*Quesería!$D$86*(1+Quesería!$I$86))*$Y$21,0))*$Y$11+D1044)</f>
        <v>0</v>
      </c>
      <c r="E1045" s="29" t="n">
        <f aca="false">Quesería!$B$55*(IF(E$47=0,SUMPRODUCT((Quesería!$C$70:$C$89=0)*(Quesería!$H$70:$H$89&gt;0)*(Quesería!$J$70:$J$89&gt;0)*Quesería!$F$70:$F$89*(1+Quesería!$I$70:$I$89)),IF(E$47=1,(SUMPRODUCT((Quesería!$C$70:$C$89=1)*(Quesería!$H$70:$H$89&gt;0)*(Quesería!$J$70:$J$89&gt;0)*Quesería!$F$70:$F$89*(1+Quesería!$I$70:$I$89))-(-$Y$26)*Quesería!$D$86*(1+Quesería!$I$86))*$Y$21,0))*$Y$11+E1044)</f>
        <v>0</v>
      </c>
      <c r="F1045" s="29" t="n">
        <f aca="false">Quesería!$B$55*(IF(F$47=0,SUMPRODUCT((Quesería!$C$70:$C$89=0)*(Quesería!$H$70:$H$89&gt;0)*(Quesería!$J$70:$J$89&gt;0)*Quesería!$F$70:$F$89*(1+Quesería!$I$70:$I$89)),IF(F$47=1,(SUMPRODUCT((Quesería!$C$70:$C$89=1)*(Quesería!$H$70:$H$89&gt;0)*(Quesería!$J$70:$J$89&gt;0)*Quesería!$F$70:$F$89*(1+Quesería!$I$70:$I$89))-(-$Y$26)*Quesería!$D$86*(1+Quesería!$I$86))*$Y$21,0))*$Y$11+F1044)</f>
        <v>0</v>
      </c>
      <c r="G1045" s="29" t="n">
        <f aca="false">Quesería!$B$55*(IF(G$47=0,SUMPRODUCT((Quesería!$C$70:$C$89=0)*(Quesería!$H$70:$H$89&gt;0)*(Quesería!$J$70:$J$89&gt;0)*Quesería!$F$70:$F$89*(1+Quesería!$I$70:$I$89)),IF(G$47=1,(SUMPRODUCT((Quesería!$C$70:$C$89=1)*(Quesería!$H$70:$H$89&gt;0)*(Quesería!$J$70:$J$89&gt;0)*Quesería!$F$70:$F$89*(1+Quesería!$I$70:$I$89))-(-$Y$26)*Quesería!$D$86*(1+Quesería!$I$86))*$Y$21,0))*$Y$11+G1044)</f>
        <v>5.21839128108597</v>
      </c>
      <c r="H1045" s="29" t="n">
        <f aca="false">Quesería!$B$55*(IF(H$47=0,SUMPRODUCT((Quesería!$C$70:$C$89=0)*(Quesería!$H$70:$H$89&gt;0)*(Quesería!$J$70:$J$89&gt;0)*Quesería!$F$70:$F$89*(1+Quesería!$I$70:$I$89)),IF(H$47=1,(SUMPRODUCT((Quesería!$C$70:$C$89=1)*(Quesería!$H$70:$H$89&gt;0)*(Quesería!$J$70:$J$89&gt;0)*Quesería!$F$70:$F$89*(1+Quesería!$I$70:$I$89))-(-$Y$26)*Quesería!$D$86*(1+Quesería!$I$86))*$Y$21,0))*$Y$11+H1044)</f>
        <v>8.8139395850815</v>
      </c>
      <c r="I1045" s="29" t="n">
        <f aca="false">Quesería!$B$55*(IF(I$47=0,SUMPRODUCT((Quesería!$C$70:$C$89=0)*(Quesería!$H$70:$H$89&gt;0)*(Quesería!$J$70:$J$89&gt;0)*Quesería!$F$70:$F$89*(1+Quesería!$I$70:$I$89)),IF(I$47=1,(SUMPRODUCT((Quesería!$C$70:$C$89=1)*(Quesería!$H$70:$H$89&gt;0)*(Quesería!$J$70:$J$89&gt;0)*Quesería!$F$70:$F$89*(1+Quesería!$I$70:$I$89))-(-$Y$26)*Quesería!$D$86*(1+Quesería!$I$86))*$Y$21,0))*$Y$11+I1044)</f>
        <v>0</v>
      </c>
      <c r="J1045" s="29" t="n">
        <f aca="false">Quesería!$B$55*(IF(J$47=0,SUMPRODUCT((Quesería!$C$70:$C$89=0)*(Quesería!$H$70:$H$89&gt;0)*(Quesería!$J$70:$J$89&gt;0)*Quesería!$F$70:$F$89*(1+Quesería!$I$70:$I$89)),IF(J$47=1,(SUMPRODUCT((Quesería!$C$70:$C$89=1)*(Quesería!$H$70:$H$89&gt;0)*(Quesería!$J$70:$J$89&gt;0)*Quesería!$F$70:$F$89*(1+Quesería!$I$70:$I$89))-(-$Y$26)*Quesería!$D$86*(1+Quesería!$I$86))*$Y$21,0))*$Y$11+J1044)</f>
        <v>0</v>
      </c>
      <c r="K1045" s="29" t="n">
        <f aca="false">Quesería!$B$55*(IF(K$47=0,SUMPRODUCT((Quesería!$C$70:$C$89=0)*(Quesería!$H$70:$H$89&gt;0)*(Quesería!$J$70:$J$89&gt;0)*Quesería!$F$70:$F$89*(1+Quesería!$I$70:$I$89)),IF(K$47=1,(SUMPRODUCT((Quesería!$C$70:$C$89=1)*(Quesería!$H$70:$H$89&gt;0)*(Quesería!$J$70:$J$89&gt;0)*Quesería!$F$70:$F$89*(1+Quesería!$I$70:$I$89))-(-$Y$26)*Quesería!$D$86*(1+Quesería!$I$86))*$Y$21,0))*$Y$11+K1044)</f>
        <v>0</v>
      </c>
      <c r="L1045" s="29" t="n">
        <f aca="false">Quesería!$B$55*(IF(L$47=0,SUMPRODUCT((Quesería!$C$70:$C$89=0)*(Quesería!$H$70:$H$89&gt;0)*(Quesería!$J$70:$J$89&gt;0)*Quesería!$F$70:$F$89*(1+Quesería!$I$70:$I$89)),IF(L$47=1,(SUMPRODUCT((Quesería!$C$70:$C$89=1)*(Quesería!$H$70:$H$89&gt;0)*(Quesería!$J$70:$J$89&gt;0)*Quesería!$F$70:$F$89*(1+Quesería!$I$70:$I$89))-(-$Y$26)*Quesería!$D$86*(1+Quesería!$I$86))*$Y$21,0))*$Y$11+L1044)</f>
        <v>0</v>
      </c>
    </row>
    <row r="1046" customFormat="false" ht="15" hidden="true" customHeight="false" outlineLevel="1" collapsed="false">
      <c r="A1046" s="6" t="s">
        <v>386</v>
      </c>
      <c r="B1046" s="29" t="n">
        <f aca="false">IF(B$47=0,($Y$22*Quesería!$J$126+(1-$Y$22)*Quesería!$E$122)*Quesería!$B$20*Quesería!$B$21/12*$Y$23,(($Y$22*Quesería!$J$126+(1-$Y$22)*Quesería!$E$122)+($Y$22*Quesería!$J$104+(1-$Y$22)*Quesería!$E$104)*(B1041-1))*IF(B$47=1,Quesería!$B$20,1))*$Y$10</f>
        <v>120.716772261203</v>
      </c>
      <c r="C1046" s="29" t="n">
        <f aca="false">IF(C$47=0,($Y$22*Quesería!$J$126+(1-$Y$22)*Quesería!$E$122)*Quesería!$B$20*Quesería!$B$21/12*$Y$23,(($Y$22*Quesería!$J$126+(1-$Y$22)*Quesería!$E$122)+($Y$22*Quesería!$J$104+(1-$Y$22)*Quesería!$E$104)*(C1041-1))*IF(C$47=1,Quesería!$B$20,1))*$Y$10</f>
        <v>181.328317354069</v>
      </c>
      <c r="D1046" s="29" t="n">
        <f aca="false">IF(D$47=0,($Y$22*Quesería!$J$126+(1-$Y$22)*Quesería!$E$122)*Quesería!$B$20*Quesería!$B$21/12*$Y$23,(($Y$22*Quesería!$J$126+(1-$Y$22)*Quesería!$E$122)+($Y$22*Quesería!$J$104+(1-$Y$22)*Quesería!$E$104)*(D1041-1))*IF(D$47=1,Quesería!$B$20,1))*$Y$10</f>
        <v>241.83157753184</v>
      </c>
      <c r="E1046" s="29" t="n">
        <f aca="false">IF(E$47=0,($Y$22*Quesería!$J$126+(1-$Y$22)*Quesería!$E$122)*Quesería!$B$20*Quesería!$B$21/12*$Y$23,(($Y$22*Quesería!$J$126+(1-$Y$22)*Quesería!$E$122)+($Y$22*Quesería!$J$104+(1-$Y$22)*Quesería!$E$104)*(E1041-1))*IF(E$47=1,Quesería!$B$20,1))*$Y$10</f>
        <v>241.892367696887</v>
      </c>
      <c r="F1046" s="29" t="n">
        <f aca="false">IF(F$47=0,($Y$22*Quesería!$J$126+(1-$Y$22)*Quesería!$E$122)*Quesería!$B$20*Quesería!$B$21/12*$Y$23,(($Y$22*Quesería!$J$126+(1-$Y$22)*Quesería!$E$122)+($Y$22*Quesería!$J$104+(1-$Y$22)*Quesería!$E$104)*(F1041-1))*IF(F$47=1,Quesería!$B$20,1))*$Y$10</f>
        <v>241.95346181276</v>
      </c>
      <c r="G1046" s="29" t="n">
        <f aca="false">IF(G$47=0,($Y$22*Quesería!$J$126+(1-$Y$22)*Quesería!$E$122)*Quesería!$B$20*Quesería!$B$21/12*$Y$23,(($Y$22*Quesería!$J$126+(1-$Y$22)*Quesería!$E$122)+($Y$22*Quesería!$J$104+(1-$Y$22)*Quesería!$E$104)*(G1041-1))*IF(G$47=1,Quesería!$B$20,1))*$Y$10</f>
        <v>242.014861399211</v>
      </c>
      <c r="H1046" s="29" t="n">
        <f aca="false">IF(H$47=0,($Y$22*Quesería!$J$126+(1-$Y$22)*Quesería!$E$122)*Quesería!$B$20*Quesería!$B$21/12*$Y$23,(($Y$22*Quesería!$J$126+(1-$Y$22)*Quesería!$E$122)+($Y$22*Quesería!$J$104+(1-$Y$22)*Quesería!$E$104)*(H1041-1))*IF(H$47=1,Quesería!$B$20,1))*$Y$10</f>
        <v>242.076567983595</v>
      </c>
      <c r="I1046" s="29" t="n">
        <f aca="false">IF(I$47=0,($Y$22*Quesería!$J$126+(1-$Y$22)*Quesería!$E$122)*Quesería!$B$20*Quesería!$B$21/12*$Y$23,(($Y$22*Quesería!$J$126+(1-$Y$22)*Quesería!$E$122)+($Y$22*Quesería!$J$104+(1-$Y$22)*Quesería!$E$104)*(I1041-1))*IF(I$47=1,Quesería!$B$20,1))*$Y$10</f>
        <v>242.138583100901</v>
      </c>
      <c r="J1046" s="29" t="n">
        <f aca="false">IF(J$47=0,($Y$22*Quesería!$J$126+(1-$Y$22)*Quesería!$E$122)*Quesería!$B$20*Quesería!$B$21/12*$Y$23,(($Y$22*Quesería!$J$126+(1-$Y$22)*Quesería!$E$122)+($Y$22*Quesería!$J$104+(1-$Y$22)*Quesería!$E$104)*(J1041-1))*IF(J$47=1,Quesería!$B$20,1))*$Y$10</f>
        <v>242.200908293794</v>
      </c>
      <c r="K1046" s="29" t="n">
        <f aca="false">IF(K$47=0,($Y$22*Quesería!$J$126+(1-$Y$22)*Quesería!$E$122)*Quesería!$B$20*Quesería!$B$21/12*$Y$23,(($Y$22*Quesería!$J$126+(1-$Y$22)*Quesería!$E$122)+($Y$22*Quesería!$J$104+(1-$Y$22)*Quesería!$E$104)*(K1041-1))*IF(K$47=1,Quesería!$B$20,1))*$Y$10</f>
        <v>242.263545112651</v>
      </c>
      <c r="L1046" s="29" t="n">
        <f aca="false">IF(L$47=0,($Y$22*Quesería!$J$126+(1-$Y$22)*Quesería!$E$122)*Quesería!$B$20*Quesería!$B$21/12*$Y$23,(($Y$22*Quesería!$J$126+(1-$Y$22)*Quesería!$E$122)+($Y$22*Quesería!$J$104+(1-$Y$22)*Quesería!$E$104)*(L1041-1))*IF(L$47=1,Quesería!$B$20,1))*$Y$10</f>
        <v>242.326495115602</v>
      </c>
    </row>
    <row r="1047" customFormat="false" ht="15" hidden="true" customHeight="false" outlineLevel="1" collapsed="false">
      <c r="A1047" s="6" t="s">
        <v>387</v>
      </c>
      <c r="B1047" s="29" t="n">
        <f aca="false">IF(B$47&lt;=1,0,((($Y$22*Quesería!$J$127+(1-$Y$22)*Quesería!$E$123)-($Y$22*Quesería!$J$113+(1-$Y$22)*Quesería!$E$113)+$Y$6*($Y$22*Quesería!$J$113+(1-$Y$22)*Quesería!$E$113)-(1-$Y$9)*(($Y$22*Quesería!$J$119+(1-$Y$22)*Quesería!$E$119)+($Y$22*Quesería!$J$118+(1-$Y$22)*Quesería!$E$118))-(1-$Y$24)*($Y$22*Quesería!$J$117+(1-$Y$22)*Quesería!$E$117)+$Y$24*(1-$Y$25)*'Beneficios y costos'!$B$144-(-$Y$26*$Y$27)*'Beneficios y costos'!$C$167)+($Y$6*($Y$22*Quesería!$J$113+(1-$Y$22)*Quesería!$E$113)+$Y$9*($Y$22*Quesería!$J$119+(1-$Y$22)*Quesería!$E$119))*(B1041-1))*IF(B$47=2,Quesería!$B$20,1)+IF(B$47=2,Quesería!$B$24*$Y$9*($Y$22*Quesería!$J$119+(1-$Y$22)*Quesería!$E$119)*B1041,0))*$Y$10*$Y$21</f>
        <v>0</v>
      </c>
      <c r="C1047" s="29" t="n">
        <f aca="false">IF(C$47&lt;=1,0,((($Y$22*Quesería!$J$127+(1-$Y$22)*Quesería!$E$123)-($Y$22*Quesería!$J$113+(1-$Y$22)*Quesería!$E$113)+$Y$6*($Y$22*Quesería!$J$113+(1-$Y$22)*Quesería!$E$113)-(1-$Y$9)*(($Y$22*Quesería!$J$119+(1-$Y$22)*Quesería!$E$119)+($Y$22*Quesería!$J$118+(1-$Y$22)*Quesería!$E$118))-(1-$Y$24)*($Y$22*Quesería!$J$117+(1-$Y$22)*Quesería!$E$117)+$Y$24*(1-$Y$25)*'Beneficios y costos'!$B$144-(-$Y$26*$Y$27)*'Beneficios y costos'!$C$167)+($Y$6*($Y$22*Quesería!$J$113+(1-$Y$22)*Quesería!$E$113)+$Y$9*($Y$22*Quesería!$J$119+(1-$Y$22)*Quesería!$E$119))*(C1041-1))*IF(C$47=2,Quesería!$B$20,1)+IF(C$47=2,Quesería!$B$24*$Y$9*($Y$22*Quesería!$J$119+(1-$Y$22)*Quesería!$E$119)*C1041,0))*$Y$10*$Y$21</f>
        <v>0</v>
      </c>
      <c r="D1047" s="29" t="n">
        <f aca="false">IF(D$47&lt;=1,0,((($Y$22*Quesería!$J$127+(1-$Y$22)*Quesería!$E$123)-($Y$22*Quesería!$J$113+(1-$Y$22)*Quesería!$E$113)+$Y$6*($Y$22*Quesería!$J$113+(1-$Y$22)*Quesería!$E$113)-(1-$Y$9)*(($Y$22*Quesería!$J$119+(1-$Y$22)*Quesería!$E$119)+($Y$22*Quesería!$J$118+(1-$Y$22)*Quesería!$E$118))-(1-$Y$24)*($Y$22*Quesería!$J$117+(1-$Y$22)*Quesería!$E$117)+$Y$24*(1-$Y$25)*'Beneficios y costos'!$B$144-(-$Y$26*$Y$27)*'Beneficios y costos'!$C$167)+($Y$6*($Y$22*Quesería!$J$113+(1-$Y$22)*Quesería!$E$113)+$Y$9*($Y$22*Quesería!$J$119+(1-$Y$22)*Quesería!$E$119))*(D1041-1))*IF(D$47=2,Quesería!$B$20,1)+IF(D$47=2,Quesería!$B$24*$Y$9*($Y$22*Quesería!$J$119+(1-$Y$22)*Quesería!$E$119)*D1041,0))*$Y$10*$Y$21</f>
        <v>0</v>
      </c>
      <c r="E1047" s="29" t="n">
        <f aca="false">IF(E$47&lt;=1,0,((($Y$22*Quesería!$J$127+(1-$Y$22)*Quesería!$E$123)-($Y$22*Quesería!$J$113+(1-$Y$22)*Quesería!$E$113)+$Y$6*($Y$22*Quesería!$J$113+(1-$Y$22)*Quesería!$E$113)-(1-$Y$9)*(($Y$22*Quesería!$J$119+(1-$Y$22)*Quesería!$E$119)+($Y$22*Quesería!$J$118+(1-$Y$22)*Quesería!$E$118))-(1-$Y$24)*($Y$22*Quesería!$J$117+(1-$Y$22)*Quesería!$E$117)+$Y$24*(1-$Y$25)*'Beneficios y costos'!$B$144-(-$Y$26*$Y$27)*'Beneficios y costos'!$C$167)+($Y$6*($Y$22*Quesería!$J$113+(1-$Y$22)*Quesería!$E$113)+$Y$9*($Y$22*Quesería!$J$119+(1-$Y$22)*Quesería!$E$119))*(E1041-1))*IF(E$47=2,Quesería!$B$20,1)+IF(E$47=2,Quesería!$B$24*$Y$9*($Y$22*Quesería!$J$119+(1-$Y$22)*Quesería!$E$119)*E1041,0))*$Y$10*$Y$21</f>
        <v>0</v>
      </c>
      <c r="F1047" s="29" t="n">
        <f aca="false">IF(F$47&lt;=1,0,((($Y$22*Quesería!$J$127+(1-$Y$22)*Quesería!$E$123)-($Y$22*Quesería!$J$113+(1-$Y$22)*Quesería!$E$113)+$Y$6*($Y$22*Quesería!$J$113+(1-$Y$22)*Quesería!$E$113)-(1-$Y$9)*(($Y$22*Quesería!$J$119+(1-$Y$22)*Quesería!$E$119)+($Y$22*Quesería!$J$118+(1-$Y$22)*Quesería!$E$118))-(1-$Y$24)*($Y$22*Quesería!$J$117+(1-$Y$22)*Quesería!$E$117)+$Y$24*(1-$Y$25)*'Beneficios y costos'!$B$144-(-$Y$26*$Y$27)*'Beneficios y costos'!$C$167)+($Y$6*($Y$22*Quesería!$J$113+(1-$Y$22)*Quesería!$E$113)+$Y$9*($Y$22*Quesería!$J$119+(1-$Y$22)*Quesería!$E$119))*(F1041-1))*IF(F$47=2,Quesería!$B$20,1)+IF(F$47=2,Quesería!$B$24*$Y$9*($Y$22*Quesería!$J$119+(1-$Y$22)*Quesería!$E$119)*F1041,0))*$Y$10*$Y$21</f>
        <v>0</v>
      </c>
      <c r="G1047" s="29" t="n">
        <f aca="false">IF(G$47&lt;=1,0,((($Y$22*Quesería!$J$127+(1-$Y$22)*Quesería!$E$123)-($Y$22*Quesería!$J$113+(1-$Y$22)*Quesería!$E$113)+$Y$6*($Y$22*Quesería!$J$113+(1-$Y$22)*Quesería!$E$113)-(1-$Y$9)*(($Y$22*Quesería!$J$119+(1-$Y$22)*Quesería!$E$119)+($Y$22*Quesería!$J$118+(1-$Y$22)*Quesería!$E$118))-(1-$Y$24)*($Y$22*Quesería!$J$117+(1-$Y$22)*Quesería!$E$117)+$Y$24*(1-$Y$25)*'Beneficios y costos'!$B$144-(-$Y$26*$Y$27)*'Beneficios y costos'!$C$167)+($Y$6*($Y$22*Quesería!$J$113+(1-$Y$22)*Quesería!$E$113)+$Y$9*($Y$22*Quesería!$J$119+(1-$Y$22)*Quesería!$E$119))*(G1041-1))*IF(G$47=2,Quesería!$B$20,1)+IF(G$47=2,Quesería!$B$24*$Y$9*($Y$22*Quesería!$J$119+(1-$Y$22)*Quesería!$E$119)*G1041,0))*$Y$10*$Y$21</f>
        <v>0</v>
      </c>
      <c r="H1047" s="29" t="n">
        <f aca="false">IF(H$47&lt;=1,0,((($Y$22*Quesería!$J$127+(1-$Y$22)*Quesería!$E$123)-($Y$22*Quesería!$J$113+(1-$Y$22)*Quesería!$E$113)+$Y$6*($Y$22*Quesería!$J$113+(1-$Y$22)*Quesería!$E$113)-(1-$Y$9)*(($Y$22*Quesería!$J$119+(1-$Y$22)*Quesería!$E$119)+($Y$22*Quesería!$J$118+(1-$Y$22)*Quesería!$E$118))-(1-$Y$24)*($Y$22*Quesería!$J$117+(1-$Y$22)*Quesería!$E$117)+$Y$24*(1-$Y$25)*'Beneficios y costos'!$B$144-(-$Y$26*$Y$27)*'Beneficios y costos'!$C$167)+($Y$6*($Y$22*Quesería!$J$113+(1-$Y$22)*Quesería!$E$113)+$Y$9*($Y$22*Quesería!$J$119+(1-$Y$22)*Quesería!$E$119))*(H1041-1))*IF(H$47=2,Quesería!$B$20,1)+IF(H$47=2,Quesería!$B$24*$Y$9*($Y$22*Quesería!$J$119+(1-$Y$22)*Quesería!$E$119)*H1041,0))*$Y$10*$Y$21</f>
        <v>0</v>
      </c>
      <c r="I1047" s="29" t="n">
        <f aca="false">IF(I$47&lt;=1,0,((($Y$22*Quesería!$J$127+(1-$Y$22)*Quesería!$E$123)-($Y$22*Quesería!$J$113+(1-$Y$22)*Quesería!$E$113)+$Y$6*($Y$22*Quesería!$J$113+(1-$Y$22)*Quesería!$E$113)-(1-$Y$9)*(($Y$22*Quesería!$J$119+(1-$Y$22)*Quesería!$E$119)+($Y$22*Quesería!$J$118+(1-$Y$22)*Quesería!$E$118))-(1-$Y$24)*($Y$22*Quesería!$J$117+(1-$Y$22)*Quesería!$E$117)+$Y$24*(1-$Y$25)*'Beneficios y costos'!$B$144-(-$Y$26*$Y$27)*'Beneficios y costos'!$C$167)+($Y$6*($Y$22*Quesería!$J$113+(1-$Y$22)*Quesería!$E$113)+$Y$9*($Y$22*Quesería!$J$119+(1-$Y$22)*Quesería!$E$119))*(I1041-1))*IF(I$47=2,Quesería!$B$20,1)+IF(I$47=2,Quesería!$B$24*$Y$9*($Y$22*Quesería!$J$119+(1-$Y$22)*Quesería!$E$119)*I1041,0))*$Y$10*$Y$21</f>
        <v>0</v>
      </c>
      <c r="J1047" s="29" t="n">
        <f aca="false">IF(J$47&lt;=1,0,((($Y$22*Quesería!$J$127+(1-$Y$22)*Quesería!$E$123)-($Y$22*Quesería!$J$113+(1-$Y$22)*Quesería!$E$113)+$Y$6*($Y$22*Quesería!$J$113+(1-$Y$22)*Quesería!$E$113)-(1-$Y$9)*(($Y$22*Quesería!$J$119+(1-$Y$22)*Quesería!$E$119)+($Y$22*Quesería!$J$118+(1-$Y$22)*Quesería!$E$118))-(1-$Y$24)*($Y$22*Quesería!$J$117+(1-$Y$22)*Quesería!$E$117)+$Y$24*(1-$Y$25)*'Beneficios y costos'!$B$144-(-$Y$26*$Y$27)*'Beneficios y costos'!$C$167)+($Y$6*($Y$22*Quesería!$J$113+(1-$Y$22)*Quesería!$E$113)+$Y$9*($Y$22*Quesería!$J$119+(1-$Y$22)*Quesería!$E$119))*(J1041-1))*IF(J$47=2,Quesería!$B$20,1)+IF(J$47=2,Quesería!$B$24*$Y$9*($Y$22*Quesería!$J$119+(1-$Y$22)*Quesería!$E$119)*J1041,0))*$Y$10*$Y$21</f>
        <v>0</v>
      </c>
      <c r="K1047" s="29" t="n">
        <f aca="false">IF(K$47&lt;=1,0,((($Y$22*Quesería!$J$127+(1-$Y$22)*Quesería!$E$123)-($Y$22*Quesería!$J$113+(1-$Y$22)*Quesería!$E$113)+$Y$6*($Y$22*Quesería!$J$113+(1-$Y$22)*Quesería!$E$113)-(1-$Y$9)*(($Y$22*Quesería!$J$119+(1-$Y$22)*Quesería!$E$119)+($Y$22*Quesería!$J$118+(1-$Y$22)*Quesería!$E$118))-(1-$Y$24)*($Y$22*Quesería!$J$117+(1-$Y$22)*Quesería!$E$117)+$Y$24*(1-$Y$25)*'Beneficios y costos'!$B$144-(-$Y$26*$Y$27)*'Beneficios y costos'!$C$167)+($Y$6*($Y$22*Quesería!$J$113+(1-$Y$22)*Quesería!$E$113)+$Y$9*($Y$22*Quesería!$J$119+(1-$Y$22)*Quesería!$E$119))*(K1041-1))*IF(K$47=2,Quesería!$B$20,1)+IF(K$47=2,Quesería!$B$24*$Y$9*($Y$22*Quesería!$J$119+(1-$Y$22)*Quesería!$E$119)*K1041,0))*$Y$10*$Y$21</f>
        <v>0</v>
      </c>
      <c r="L1047" s="29" t="n">
        <f aca="false">IF(L$47&lt;=1,0,((($Y$22*Quesería!$J$127+(1-$Y$22)*Quesería!$E$123)-($Y$22*Quesería!$J$113+(1-$Y$22)*Quesería!$E$113)+$Y$6*($Y$22*Quesería!$J$113+(1-$Y$22)*Quesería!$E$113)-(1-$Y$9)*(($Y$22*Quesería!$J$119+(1-$Y$22)*Quesería!$E$119)+($Y$22*Quesería!$J$118+(1-$Y$22)*Quesería!$E$118))-(1-$Y$24)*($Y$22*Quesería!$J$117+(1-$Y$22)*Quesería!$E$117)+$Y$24*(1-$Y$25)*'Beneficios y costos'!$B$144-(-$Y$26*$Y$27)*'Beneficios y costos'!$C$167)+($Y$6*($Y$22*Quesería!$J$113+(1-$Y$22)*Quesería!$E$113)+$Y$9*($Y$22*Quesería!$J$119+(1-$Y$22)*Quesería!$E$119))*(L1041-1))*IF(L$47=2,Quesería!$B$20,1)+IF(L$47=2,Quesería!$B$24*$Y$9*($Y$22*Quesería!$J$119+(1-$Y$22)*Quesería!$E$119)*L1041,0))*$Y$10*$Y$21</f>
        <v>0</v>
      </c>
    </row>
    <row r="1048" customFormat="false" ht="15" hidden="true" customHeight="false" outlineLevel="1" collapsed="false">
      <c r="A1048" s="5" t="s">
        <v>412</v>
      </c>
      <c r="B1048" s="10" t="n">
        <f aca="false">B1046+B1047</f>
        <v>120.716772261203</v>
      </c>
      <c r="C1048" s="10" t="n">
        <f aca="false">C1046+C1047</f>
        <v>181.328317354069</v>
      </c>
      <c r="D1048" s="10" t="n">
        <f aca="false">D1046+D1047</f>
        <v>241.83157753184</v>
      </c>
      <c r="E1048" s="10" t="n">
        <f aca="false">E1046+E1047</f>
        <v>241.892367696887</v>
      </c>
      <c r="F1048" s="10" t="n">
        <f aca="false">F1046+F1047</f>
        <v>241.95346181276</v>
      </c>
      <c r="G1048" s="10" t="n">
        <f aca="false">G1046+G1047</f>
        <v>242.014861399211</v>
      </c>
      <c r="H1048" s="10" t="n">
        <f aca="false">H1046+H1047</f>
        <v>242.076567983595</v>
      </c>
      <c r="I1048" s="10" t="n">
        <f aca="false">I1046+I1047</f>
        <v>242.138583100901</v>
      </c>
      <c r="J1048" s="10" t="n">
        <f aca="false">J1046+J1047</f>
        <v>242.200908293794</v>
      </c>
      <c r="K1048" s="10" t="n">
        <f aca="false">K1046+K1047</f>
        <v>242.263545112651</v>
      </c>
      <c r="L1048" s="10" t="n">
        <f aca="false">L1046+L1047</f>
        <v>242.326495115602</v>
      </c>
    </row>
    <row r="1049" customFormat="false" ht="15" hidden="true" customHeight="false" outlineLevel="1" collapsed="false">
      <c r="A1049" s="6" t="s">
        <v>413</v>
      </c>
      <c r="B1049" s="29" t="n">
        <f aca="false">(IF(B$47&gt;=1,(Quesería!$B$31+Quesería!$B$33)*Quesería!$F$94*$Y$11+Quesería!$B$32+'Beneficios y costos'!$B$249,0)+IF(B$47&gt;=2,((Quesería!$B$31+Quesería!$B$33)*(Quesería!$F$95-(-$Y$26)*Quesería!$D$86)*$Y$11+'Beneficios y costos'!$C$249-(-$Y$26)*'Beneficios y costos'!$H$235)*$Y$21,0))*$Y$12</f>
        <v>0</v>
      </c>
      <c r="C1049" s="29" t="n">
        <f aca="false">(IF(C$47&gt;=1,(Quesería!$B$31+Quesería!$B$33)*Quesería!$F$94*$Y$11+Quesería!$B$32+'Beneficios y costos'!$B$249,0)+IF(C$47&gt;=2,((Quesería!$B$31+Quesería!$B$33)*(Quesería!$F$95-(-$Y$26)*Quesería!$D$86)*$Y$11+'Beneficios y costos'!$C$249-(-$Y$26)*'Beneficios y costos'!$H$235)*$Y$21,0))*$Y$12</f>
        <v>42.0946487260605</v>
      </c>
      <c r="D1049" s="29" t="n">
        <f aca="false">(IF(D$47&gt;=1,(Quesería!$B$31+Quesería!$B$33)*Quesería!$F$94*$Y$11+Quesería!$B$32+'Beneficios y costos'!$B$249,0)+IF(D$47&gt;=2,((Quesería!$B$31+Quesería!$B$33)*(Quesería!$F$95-(-$Y$26)*Quesería!$D$86)*$Y$11+'Beneficios y costos'!$C$249-(-$Y$26)*'Beneficios y costos'!$H$235)*$Y$21,0))*$Y$12</f>
        <v>42.0946487260605</v>
      </c>
      <c r="E1049" s="29" t="n">
        <f aca="false">(IF(E$47&gt;=1,(Quesería!$B$31+Quesería!$B$33)*Quesería!$F$94*$Y$11+Quesería!$B$32+'Beneficios y costos'!$B$249,0)+IF(E$47&gt;=2,((Quesería!$B$31+Quesería!$B$33)*(Quesería!$F$95-(-$Y$26)*Quesería!$D$86)*$Y$11+'Beneficios y costos'!$C$249-(-$Y$26)*'Beneficios y costos'!$H$235)*$Y$21,0))*$Y$12</f>
        <v>42.0946487260605</v>
      </c>
      <c r="F1049" s="29" t="n">
        <f aca="false">(IF(F$47&gt;=1,(Quesería!$B$31+Quesería!$B$33)*Quesería!$F$94*$Y$11+Quesería!$B$32+'Beneficios y costos'!$B$249,0)+IF(F$47&gt;=2,((Quesería!$B$31+Quesería!$B$33)*(Quesería!$F$95-(-$Y$26)*Quesería!$D$86)*$Y$11+'Beneficios y costos'!$C$249-(-$Y$26)*'Beneficios y costos'!$H$235)*$Y$21,0))*$Y$12</f>
        <v>42.0946487260605</v>
      </c>
      <c r="G1049" s="29" t="n">
        <f aca="false">(IF(G$47&gt;=1,(Quesería!$B$31+Quesería!$B$33)*Quesería!$F$94*$Y$11+Quesería!$B$32+'Beneficios y costos'!$B$249,0)+IF(G$47&gt;=2,((Quesería!$B$31+Quesería!$B$33)*(Quesería!$F$95-(-$Y$26)*Quesería!$D$86)*$Y$11+'Beneficios y costos'!$C$249-(-$Y$26)*'Beneficios y costos'!$H$235)*$Y$21,0))*$Y$12</f>
        <v>42.0946487260605</v>
      </c>
      <c r="H1049" s="29" t="n">
        <f aca="false">(IF(H$47&gt;=1,(Quesería!$B$31+Quesería!$B$33)*Quesería!$F$94*$Y$11+Quesería!$B$32+'Beneficios y costos'!$B$249,0)+IF(H$47&gt;=2,((Quesería!$B$31+Quesería!$B$33)*(Quesería!$F$95-(-$Y$26)*Quesería!$D$86)*$Y$11+'Beneficios y costos'!$C$249-(-$Y$26)*'Beneficios y costos'!$H$235)*$Y$21,0))*$Y$12</f>
        <v>42.0946487260605</v>
      </c>
      <c r="I1049" s="29" t="n">
        <f aca="false">(IF(I$47&gt;=1,(Quesería!$B$31+Quesería!$B$33)*Quesería!$F$94*$Y$11+Quesería!$B$32+'Beneficios y costos'!$B$249,0)+IF(I$47&gt;=2,((Quesería!$B$31+Quesería!$B$33)*(Quesería!$F$95-(-$Y$26)*Quesería!$D$86)*$Y$11+'Beneficios y costos'!$C$249-(-$Y$26)*'Beneficios y costos'!$H$235)*$Y$21,0))*$Y$12</f>
        <v>42.0946487260605</v>
      </c>
      <c r="J1049" s="29" t="n">
        <f aca="false">(IF(J$47&gt;=1,(Quesería!$B$31+Quesería!$B$33)*Quesería!$F$94*$Y$11+Quesería!$B$32+'Beneficios y costos'!$B$249,0)+IF(J$47&gt;=2,((Quesería!$B$31+Quesería!$B$33)*(Quesería!$F$95-(-$Y$26)*Quesería!$D$86)*$Y$11+'Beneficios y costos'!$C$249-(-$Y$26)*'Beneficios y costos'!$H$235)*$Y$21,0))*$Y$12</f>
        <v>42.0946487260605</v>
      </c>
      <c r="K1049" s="29" t="n">
        <f aca="false">(IF(K$47&gt;=1,(Quesería!$B$31+Quesería!$B$33)*Quesería!$F$94*$Y$11+Quesería!$B$32+'Beneficios y costos'!$B$249,0)+IF(K$47&gt;=2,((Quesería!$B$31+Quesería!$B$33)*(Quesería!$F$95-(-$Y$26)*Quesería!$D$86)*$Y$11+'Beneficios y costos'!$C$249-(-$Y$26)*'Beneficios y costos'!$H$235)*$Y$21,0))*$Y$12</f>
        <v>42.0946487260605</v>
      </c>
      <c r="L1049" s="29" t="n">
        <f aca="false">(IF(L$47&gt;=1,(Quesería!$B$31+Quesería!$B$33)*Quesería!$F$94*$Y$11+Quesería!$B$32+'Beneficios y costos'!$B$249,0)+IF(L$47&gt;=2,((Quesería!$B$31+Quesería!$B$33)*(Quesería!$F$95-(-$Y$26)*Quesería!$D$86)*$Y$11+'Beneficios y costos'!$C$249-(-$Y$26)*'Beneficios y costos'!$H$235)*$Y$21,0))*$Y$12</f>
        <v>42.0946487260605</v>
      </c>
    </row>
    <row r="1050" customFormat="false" ht="15" hidden="true" customHeight="false" outlineLevel="1" collapsed="false">
      <c r="A1050" s="6" t="s">
        <v>414</v>
      </c>
      <c r="B1050" s="29" t="n">
        <f aca="false">IF(B$47=1,2*Quesería!$B$22*Quesería!$B$23/12*B1041,0)*$Y$21</f>
        <v>0</v>
      </c>
      <c r="C1050" s="29" t="n">
        <f aca="false">IF(C$47=1,2*Quesería!$B$22*Quesería!$B$23/12*C1041,0)*$Y$21</f>
        <v>0</v>
      </c>
      <c r="D1050" s="29" t="n">
        <f aca="false">IF(D$47=1,2*Quesería!$B$22*Quesería!$B$23/12*D1041,0)*$Y$21</f>
        <v>0</v>
      </c>
      <c r="E1050" s="29" t="n">
        <f aca="false">IF(E$47=1,2*Quesería!$B$22*Quesería!$B$23/12*E1041,0)*$Y$21</f>
        <v>0</v>
      </c>
      <c r="F1050" s="29" t="n">
        <f aca="false">IF(F$47=1,2*Quesería!$B$22*Quesería!$B$23/12*F1041,0)*$Y$21</f>
        <v>0</v>
      </c>
      <c r="G1050" s="29" t="n">
        <f aca="false">IF(G$47=1,2*Quesería!$B$22*Quesería!$B$23/12*G1041,0)*$Y$21</f>
        <v>0</v>
      </c>
      <c r="H1050" s="29" t="n">
        <f aca="false">IF(H$47=1,2*Quesería!$B$22*Quesería!$B$23/12*H1041,0)*$Y$21</f>
        <v>0</v>
      </c>
      <c r="I1050" s="29" t="n">
        <f aca="false">IF(I$47=1,2*Quesería!$B$22*Quesería!$B$23/12*I1041,0)*$Y$21</f>
        <v>0</v>
      </c>
      <c r="J1050" s="29" t="n">
        <f aca="false">IF(J$47=1,2*Quesería!$B$22*Quesería!$B$23/12*J1041,0)*$Y$21</f>
        <v>0</v>
      </c>
      <c r="K1050" s="29" t="n">
        <f aca="false">IF(K$47=1,2*Quesería!$B$22*Quesería!$B$23/12*K1041,0)*$Y$21</f>
        <v>0</v>
      </c>
      <c r="L1050" s="29" t="n">
        <f aca="false">IF(L$47=1,2*Quesería!$B$22*Quesería!$B$23/12*L1041,0)*$Y$21</f>
        <v>0</v>
      </c>
    </row>
    <row r="1051" customFormat="false" ht="15" hidden="true" customHeight="false" outlineLevel="1" collapsed="false">
      <c r="A1051" s="6" t="s">
        <v>415</v>
      </c>
      <c r="B1051" s="29" t="n">
        <f aca="false">Quesería!$B$52*(B1043+B1044+B1045+B1049+B1050)</f>
        <v>4.31966364396742</v>
      </c>
      <c r="C1051" s="29" t="n">
        <f aca="false">Quesería!$B$52*(C1043+C1044+C1045+C1049+C1050)</f>
        <v>0.168378594904242</v>
      </c>
      <c r="D1051" s="29" t="n">
        <f aca="false">Quesería!$B$52*(D1043+D1044+D1045+D1049+D1050)</f>
        <v>0.168378594904242</v>
      </c>
      <c r="E1051" s="29" t="n">
        <f aca="false">Quesería!$B$52*(E1043+E1044+E1045+E1049+E1050)</f>
        <v>0.168378594904242</v>
      </c>
      <c r="F1051" s="29" t="n">
        <f aca="false">Quesería!$B$52*(F1043+F1044+F1045+F1049+F1050)</f>
        <v>0.168378594904242</v>
      </c>
      <c r="G1051" s="29" t="n">
        <f aca="false">Quesería!$B$52*(G1043+G1044+G1045+G1049+G1050)</f>
        <v>0.29911302910408</v>
      </c>
      <c r="H1051" s="29" t="n">
        <f aca="false">Quesería!$B$52*(H1043+H1044+H1045+H1049+H1050)</f>
        <v>0.389190976088389</v>
      </c>
      <c r="I1051" s="29" t="n">
        <f aca="false">Quesería!$B$52*(I1043+I1044+I1045+I1049+I1050)</f>
        <v>0.168378594904242</v>
      </c>
      <c r="J1051" s="29" t="n">
        <f aca="false">Quesería!$B$52*(J1043+J1044+J1045+J1049+J1050)</f>
        <v>0.168378594904242</v>
      </c>
      <c r="K1051" s="29" t="n">
        <f aca="false">Quesería!$B$52*(K1043+K1044+K1045+K1049+K1050)</f>
        <v>0.168378594904242</v>
      </c>
      <c r="L1051" s="29" t="n">
        <f aca="false">Quesería!$B$52*(L1043+L1044+L1045+L1049+L1050)</f>
        <v>0.168378594904242</v>
      </c>
    </row>
    <row r="1052" customFormat="false" ht="15" hidden="true" customHeight="false" outlineLevel="1" collapsed="false">
      <c r="A1052" s="6" t="s">
        <v>416</v>
      </c>
      <c r="B1052" s="29" t="n">
        <f aca="false">(IF($Y$19=1,(SUMPRODUCT((Quesería!$C$70:$C$89=0)*(Quesería!$J$70:$J$89&gt;0)*(B$47&gt;=1)*(B$47&lt;=Quesería!$J$70:$J$89)*(Quesería!$H$70:$H$89&gt;0)*Quesería!$F$70:$F$89*(1+Quesería!$I$70:$I$89)/(Quesería!$J$70:$J$89+(Quesería!$J$70:$J$89=0)))+SUMPRODUCT((Quesería!$C$70:$C$89=0)*(Quesería!$J$70:$J$89=0)*(B$47=0)*(Quesería!$H$70:$H$89&gt;0)*Quesería!$F$70:$F$89*(1+Quesería!$I$70:$I$89)))*$B$1040+((SUMPRODUCT((Quesería!$C$70:$C$89=1)*(Quesería!$J$70:$J$89&gt;0)*(B$47&gt;=2)*(B$47&lt;=Quesería!$J$70:$J$89+1)*(Quesería!$H$70:$H$89&gt;0)*Quesería!$F$70:$F$89*(1+Quesería!$I$70:$I$89)/(Quesería!$J$70:$J$89+(Quesería!$J$70:$J$89=0)))+SUMPRODUCT((Quesería!$C$70:$C$89=1)*(Quesería!$J$70:$J$89=0)*(B$47=1)*(Quesería!$H$70:$H$89&gt;0)*Quesería!$F$70:$F$89*(1+Quesería!$I$70:$I$89)))-(-$Y$26)*IF(AND(B$47&gt;=2,B$47&lt;=Quesería!$J$86+1),Quesería!$D$86*(1+Quesería!$I$86)/Quesería!$J$86,0))*$C$1040*$Y$21,IF(AND(B$47&gt;=1,B$47&lt;=Quesería!$B$30),Quesería!$F$92/Quesería!$B$30,0)*$B$1040+IF(AND(B$47&gt;=2,B$47&lt;=Quesería!$B$30+1),(Quesería!$F$93-(-$Y$26)*Quesería!$D$86*(1+Quesería!$I$86))/Quesería!$B$30,0)*$C$1040*$Y$21)*$Y$11+IF(AND(B$47&gt;=6,B$47&lt;=10),$G1044*$G1040/5,0)+IF(AND(B$47&gt;=7,B$47&lt;=11),$H1044*$H1040/5,0))*B1042</f>
        <v>145.980915430742</v>
      </c>
      <c r="C1052" s="29" t="n">
        <f aca="false">(IF($Y$19=1,(SUMPRODUCT((Quesería!$C$70:$C$89=0)*(Quesería!$J$70:$J$89&gt;0)*(C$47&gt;=1)*(C$47&lt;=Quesería!$J$70:$J$89)*(Quesería!$H$70:$H$89&gt;0)*Quesería!$F$70:$F$89*(1+Quesería!$I$70:$I$89)/(Quesería!$J$70:$J$89+(Quesería!$J$70:$J$89=0)))+SUMPRODUCT((Quesería!$C$70:$C$89=0)*(Quesería!$J$70:$J$89=0)*(C$47=0)*(Quesería!$H$70:$H$89&gt;0)*Quesería!$F$70:$F$89*(1+Quesería!$I$70:$I$89)))*$B$1040+((SUMPRODUCT((Quesería!$C$70:$C$89=1)*(Quesería!$J$70:$J$89&gt;0)*(C$47&gt;=2)*(C$47&lt;=Quesería!$J$70:$J$89+1)*(Quesería!$H$70:$H$89&gt;0)*Quesería!$F$70:$F$89*(1+Quesería!$I$70:$I$89)/(Quesería!$J$70:$J$89+(Quesería!$J$70:$J$89=0)))+SUMPRODUCT((Quesería!$C$70:$C$89=1)*(Quesería!$J$70:$J$89=0)*(C$47=1)*(Quesería!$H$70:$H$89&gt;0)*Quesería!$F$70:$F$89*(1+Quesería!$I$70:$I$89)))-(-$Y$26)*IF(AND(C$47&gt;=2,C$47&lt;=Quesería!$J$86+1),Quesería!$D$86*(1+Quesería!$I$86)/Quesería!$J$86,0))*$C$1040*$Y$21,IF(AND(C$47&gt;=1,C$47&lt;=Quesería!$B$30),Quesería!$F$92/Quesería!$B$30,0)*$B$1040+IF(AND(C$47&gt;=2,C$47&lt;=Quesería!$B$30+1),(Quesería!$F$93-(-$Y$26)*Quesería!$D$86*(1+Quesería!$I$86))/Quesería!$B$30,0)*$C$1040*$Y$21)*$Y$11+IF(AND(C$47&gt;=6,C$47&lt;=10),$G1044*$G1040/5,0)+IF(AND(C$47&gt;=7,C$47&lt;=11),$H1044*$H1040/5,0))*C1042</f>
        <v>82.2633269524265</v>
      </c>
      <c r="D1052" s="29" t="n">
        <f aca="false">(IF($Y$19=1,(SUMPRODUCT((Quesería!$C$70:$C$89=0)*(Quesería!$J$70:$J$89&gt;0)*(D$47&gt;=1)*(D$47&lt;=Quesería!$J$70:$J$89)*(Quesería!$H$70:$H$89&gt;0)*Quesería!$F$70:$F$89*(1+Quesería!$I$70:$I$89)/(Quesería!$J$70:$J$89+(Quesería!$J$70:$J$89=0)))+SUMPRODUCT((Quesería!$C$70:$C$89=0)*(Quesería!$J$70:$J$89=0)*(D$47=0)*(Quesería!$H$70:$H$89&gt;0)*Quesería!$F$70:$F$89*(1+Quesería!$I$70:$I$89)))*$B$1040+((SUMPRODUCT((Quesería!$C$70:$C$89=1)*(Quesería!$J$70:$J$89&gt;0)*(D$47&gt;=2)*(D$47&lt;=Quesería!$J$70:$J$89+1)*(Quesería!$H$70:$H$89&gt;0)*Quesería!$F$70:$F$89*(1+Quesería!$I$70:$I$89)/(Quesería!$J$70:$J$89+(Quesería!$J$70:$J$89=0)))+SUMPRODUCT((Quesería!$C$70:$C$89=1)*(Quesería!$J$70:$J$89=0)*(D$47=1)*(Quesería!$H$70:$H$89&gt;0)*Quesería!$F$70:$F$89*(1+Quesería!$I$70:$I$89)))-(-$Y$26)*IF(AND(D$47&gt;=2,D$47&lt;=Quesería!$J$86+1),Quesería!$D$86*(1+Quesería!$I$86)/Quesería!$J$86,0))*$C$1040*$Y$21,IF(AND(D$47&gt;=1,D$47&lt;=Quesería!$B$30),Quesería!$F$92/Quesería!$B$30,0)*$B$1040+IF(AND(D$47&gt;=2,D$47&lt;=Quesería!$B$30+1),(Quesería!$F$93-(-$Y$26)*Quesería!$D$86*(1+Quesería!$I$86))/Quesería!$B$30,0)*$C$1040*$Y$21)*$Y$11+IF(AND(D$47&gt;=6,D$47&lt;=10),$G1044*$G1040/5,0)+IF(AND(D$47&gt;=7,D$47&lt;=11),$H1044*$H1040/5,0))*D1042</f>
        <v>78.7208870358149</v>
      </c>
      <c r="E1052" s="29" t="n">
        <f aca="false">(IF($Y$19=1,(SUMPRODUCT((Quesería!$C$70:$C$89=0)*(Quesería!$J$70:$J$89&gt;0)*(E$47&gt;=1)*(E$47&lt;=Quesería!$J$70:$J$89)*(Quesería!$H$70:$H$89&gt;0)*Quesería!$F$70:$F$89*(1+Quesería!$I$70:$I$89)/(Quesería!$J$70:$J$89+(Quesería!$J$70:$J$89=0)))+SUMPRODUCT((Quesería!$C$70:$C$89=0)*(Quesería!$J$70:$J$89=0)*(E$47=0)*(Quesería!$H$70:$H$89&gt;0)*Quesería!$F$70:$F$89*(1+Quesería!$I$70:$I$89)))*$B$1040+((SUMPRODUCT((Quesería!$C$70:$C$89=1)*(Quesería!$J$70:$J$89&gt;0)*(E$47&gt;=2)*(E$47&lt;=Quesería!$J$70:$J$89+1)*(Quesería!$H$70:$H$89&gt;0)*Quesería!$F$70:$F$89*(1+Quesería!$I$70:$I$89)/(Quesería!$J$70:$J$89+(Quesería!$J$70:$J$89=0)))+SUMPRODUCT((Quesería!$C$70:$C$89=1)*(Quesería!$J$70:$J$89=0)*(E$47=1)*(Quesería!$H$70:$H$89&gt;0)*Quesería!$F$70:$F$89*(1+Quesería!$I$70:$I$89)))-(-$Y$26)*IF(AND(E$47&gt;=2,E$47&lt;=Quesería!$J$86+1),Quesería!$D$86*(1+Quesería!$I$86)/Quesería!$J$86,0))*$C$1040*$Y$21,IF(AND(E$47&gt;=1,E$47&lt;=Quesería!$B$30),Quesería!$F$92/Quesería!$B$30,0)*$B$1040+IF(AND(E$47&gt;=2,E$47&lt;=Quesería!$B$30+1),(Quesería!$F$93-(-$Y$26)*Quesería!$D$86*(1+Quesería!$I$86))/Quesería!$B$30,0)*$C$1040*$Y$21)*$Y$11+IF(AND(E$47&gt;=6,E$47&lt;=10),$G1044*$G1040/5,0)+IF(AND(E$47&gt;=7,E$47&lt;=11),$H1044*$H1040/5,0))*E1042</f>
        <v>75.6931606113605</v>
      </c>
      <c r="F1052" s="29" t="n">
        <f aca="false">(IF($Y$19=1,(SUMPRODUCT((Quesería!$C$70:$C$89=0)*(Quesería!$J$70:$J$89&gt;0)*(F$47&gt;=1)*(F$47&lt;=Quesería!$J$70:$J$89)*(Quesería!$H$70:$H$89&gt;0)*Quesería!$F$70:$F$89*(1+Quesería!$I$70:$I$89)/(Quesería!$J$70:$J$89+(Quesería!$J$70:$J$89=0)))+SUMPRODUCT((Quesería!$C$70:$C$89=0)*(Quesería!$J$70:$J$89=0)*(F$47=0)*(Quesería!$H$70:$H$89&gt;0)*Quesería!$F$70:$F$89*(1+Quesería!$I$70:$I$89)))*$B$1040+((SUMPRODUCT((Quesería!$C$70:$C$89=1)*(Quesería!$J$70:$J$89&gt;0)*(F$47&gt;=2)*(F$47&lt;=Quesería!$J$70:$J$89+1)*(Quesería!$H$70:$H$89&gt;0)*Quesería!$F$70:$F$89*(1+Quesería!$I$70:$I$89)/(Quesería!$J$70:$J$89+(Quesería!$J$70:$J$89=0)))+SUMPRODUCT((Quesería!$C$70:$C$89=1)*(Quesería!$J$70:$J$89=0)*(F$47=1)*(Quesería!$H$70:$H$89&gt;0)*Quesería!$F$70:$F$89*(1+Quesería!$I$70:$I$89)))-(-$Y$26)*IF(AND(F$47&gt;=2,F$47&lt;=Quesería!$J$86+1),Quesería!$D$86*(1+Quesería!$I$86)/Quesería!$J$86,0))*$C$1040*$Y$21,IF(AND(F$47&gt;=1,F$47&lt;=Quesería!$B$30),Quesería!$F$92/Quesería!$B$30,0)*$B$1040+IF(AND(F$47&gt;=2,F$47&lt;=Quesería!$B$30+1),(Quesería!$F$93-(-$Y$26)*Quesería!$D$86*(1+Quesería!$I$86))/Quesería!$B$30,0)*$C$1040*$Y$21)*$Y$11+IF(AND(F$47&gt;=6,F$47&lt;=10),$G1044*$G1040/5,0)+IF(AND(F$47&gt;=7,F$47&lt;=11),$H1044*$H1040/5,0))*F1042</f>
        <v>72.7818852032312</v>
      </c>
      <c r="G1052" s="29" t="n">
        <f aca="false">(IF($Y$19=1,(SUMPRODUCT((Quesería!$C$70:$C$89=0)*(Quesería!$J$70:$J$89&gt;0)*(G$47&gt;=1)*(G$47&lt;=Quesería!$J$70:$J$89)*(Quesería!$H$70:$H$89&gt;0)*Quesería!$F$70:$F$89*(1+Quesería!$I$70:$I$89)/(Quesería!$J$70:$J$89+(Quesería!$J$70:$J$89=0)))+SUMPRODUCT((Quesería!$C$70:$C$89=0)*(Quesería!$J$70:$J$89=0)*(G$47=0)*(Quesería!$H$70:$H$89&gt;0)*Quesería!$F$70:$F$89*(1+Quesería!$I$70:$I$89)))*$B$1040+((SUMPRODUCT((Quesería!$C$70:$C$89=1)*(Quesería!$J$70:$J$89&gt;0)*(G$47&gt;=2)*(G$47&lt;=Quesería!$J$70:$J$89+1)*(Quesería!$H$70:$H$89&gt;0)*Quesería!$F$70:$F$89*(1+Quesería!$I$70:$I$89)/(Quesería!$J$70:$J$89+(Quesería!$J$70:$J$89=0)))+SUMPRODUCT((Quesería!$C$70:$C$89=1)*(Quesería!$J$70:$J$89=0)*(G$47=1)*(Quesería!$H$70:$H$89&gt;0)*Quesería!$F$70:$F$89*(1+Quesería!$I$70:$I$89)))-(-$Y$26)*IF(AND(G$47&gt;=2,G$47&lt;=Quesería!$J$86+1),Quesería!$D$86*(1+Quesería!$I$86)/Quesería!$J$86,0))*$C$1040*$Y$21,IF(AND(G$47&gt;=1,G$47&lt;=Quesería!$B$30),Quesería!$F$92/Quesería!$B$30,0)*$B$1040+IF(AND(G$47&gt;=2,G$47&lt;=Quesería!$B$30+1),(Quesería!$F$93-(-$Y$26)*Quesería!$D$86*(1+Quesería!$I$86))/Quesería!$B$30,0)*$C$1040*$Y$21)*$Y$11+IF(AND(G$47&gt;=6,G$47&lt;=10),$G1044*$G1040/5,0)+IF(AND(G$47&gt;=7,G$47&lt;=11),$H1044*$H1040/5,0))*G1042</f>
        <v>69.9825819261839</v>
      </c>
      <c r="H1052" s="29" t="n">
        <f aca="false">(IF($Y$19=1,(SUMPRODUCT((Quesería!$C$70:$C$89=0)*(Quesería!$J$70:$J$89&gt;0)*(H$47&gt;=1)*(H$47&lt;=Quesería!$J$70:$J$89)*(Quesería!$H$70:$H$89&gt;0)*Quesería!$F$70:$F$89*(1+Quesería!$I$70:$I$89)/(Quesería!$J$70:$J$89+(Quesería!$J$70:$J$89=0)))+SUMPRODUCT((Quesería!$C$70:$C$89=0)*(Quesería!$J$70:$J$89=0)*(H$47=0)*(Quesería!$H$70:$H$89&gt;0)*Quesería!$F$70:$F$89*(1+Quesería!$I$70:$I$89)))*$B$1040+((SUMPRODUCT((Quesería!$C$70:$C$89=1)*(Quesería!$J$70:$J$89&gt;0)*(H$47&gt;=2)*(H$47&lt;=Quesería!$J$70:$J$89+1)*(Quesería!$H$70:$H$89&gt;0)*Quesería!$F$70:$F$89*(1+Quesería!$I$70:$I$89)/(Quesería!$J$70:$J$89+(Quesería!$J$70:$J$89=0)))+SUMPRODUCT((Quesería!$C$70:$C$89=1)*(Quesería!$J$70:$J$89=0)*(H$47=1)*(Quesería!$H$70:$H$89&gt;0)*Quesería!$F$70:$F$89*(1+Quesería!$I$70:$I$89)))-(-$Y$26)*IF(AND(H$47&gt;=2,H$47&lt;=Quesería!$J$86+1),Quesería!$D$86*(1+Quesería!$I$86)/Quesería!$J$86,0))*$C$1040*$Y$21,IF(AND(H$47&gt;=1,H$47&lt;=Quesería!$B$30),Quesería!$F$92/Quesería!$B$30,0)*$B$1040+IF(AND(H$47&gt;=2,H$47&lt;=Quesería!$B$30+1),(Quesería!$F$93-(-$Y$26)*Quesería!$D$86*(1+Quesería!$I$86))/Quesería!$B$30,0)*$C$1040*$Y$21)*$Y$11+IF(AND(H$47&gt;=6,H$47&lt;=10),$G1044*$G1040/5,0)+IF(AND(H$47&gt;=7,H$47&lt;=11),$H1044*$H1040/5,0))*H1042</f>
        <v>60.2723225558906</v>
      </c>
      <c r="I1052" s="29" t="n">
        <f aca="false">(IF($Y$19=1,(SUMPRODUCT((Quesería!$C$70:$C$89=0)*(Quesería!$J$70:$J$89&gt;0)*(I$47&gt;=1)*(I$47&lt;=Quesería!$J$70:$J$89)*(Quesería!$H$70:$H$89&gt;0)*Quesería!$F$70:$F$89*(1+Quesería!$I$70:$I$89)/(Quesería!$J$70:$J$89+(Quesería!$J$70:$J$89=0)))+SUMPRODUCT((Quesería!$C$70:$C$89=0)*(Quesería!$J$70:$J$89=0)*(I$47=0)*(Quesería!$H$70:$H$89&gt;0)*Quesería!$F$70:$F$89*(1+Quesería!$I$70:$I$89)))*$B$1040+((SUMPRODUCT((Quesería!$C$70:$C$89=1)*(Quesería!$J$70:$J$89&gt;0)*(I$47&gt;=2)*(I$47&lt;=Quesería!$J$70:$J$89+1)*(Quesería!$H$70:$H$89&gt;0)*Quesería!$F$70:$F$89*(1+Quesería!$I$70:$I$89)/(Quesería!$J$70:$J$89+(Quesería!$J$70:$J$89=0)))+SUMPRODUCT((Quesería!$C$70:$C$89=1)*(Quesería!$J$70:$J$89=0)*(I$47=1)*(Quesería!$H$70:$H$89&gt;0)*Quesería!$F$70:$F$89*(1+Quesería!$I$70:$I$89)))-(-$Y$26)*IF(AND(I$47&gt;=2,I$47&lt;=Quesería!$J$86+1),Quesería!$D$86*(1+Quesería!$I$86)/Quesería!$J$86,0))*$C$1040*$Y$21,IF(AND(I$47&gt;=1,I$47&lt;=Quesería!$B$30),Quesería!$F$92/Quesería!$B$30,0)*$B$1040+IF(AND(I$47&gt;=2,I$47&lt;=Quesería!$B$30+1),(Quesería!$F$93-(-$Y$26)*Quesería!$D$86*(1+Quesería!$I$86))/Quesería!$B$30,0)*$C$1040*$Y$21)*$Y$11+IF(AND(I$47&gt;=6,I$47&lt;=10),$G1044*$G1040/5,0)+IF(AND(I$47&gt;=7,I$47&lt;=11),$H1044*$H1040/5,0))*I1042</f>
        <v>66.875147786617</v>
      </c>
      <c r="J1052" s="29" t="n">
        <f aca="false">(IF($Y$19=1,(SUMPRODUCT((Quesería!$C$70:$C$89=0)*(Quesería!$J$70:$J$89&gt;0)*(J$47&gt;=1)*(J$47&lt;=Quesería!$J$70:$J$89)*(Quesería!$H$70:$H$89&gt;0)*Quesería!$F$70:$F$89*(1+Quesería!$I$70:$I$89)/(Quesería!$J$70:$J$89+(Quesería!$J$70:$J$89=0)))+SUMPRODUCT((Quesería!$C$70:$C$89=0)*(Quesería!$J$70:$J$89=0)*(J$47=0)*(Quesería!$H$70:$H$89&gt;0)*Quesería!$F$70:$F$89*(1+Quesería!$I$70:$I$89)))*$B$1040+((SUMPRODUCT((Quesería!$C$70:$C$89=1)*(Quesería!$J$70:$J$89&gt;0)*(J$47&gt;=2)*(J$47&lt;=Quesería!$J$70:$J$89+1)*(Quesería!$H$70:$H$89&gt;0)*Quesería!$F$70:$F$89*(1+Quesería!$I$70:$I$89)/(Quesería!$J$70:$J$89+(Quesería!$J$70:$J$89=0)))+SUMPRODUCT((Quesería!$C$70:$C$89=1)*(Quesería!$J$70:$J$89=0)*(J$47=1)*(Quesería!$H$70:$H$89&gt;0)*Quesería!$F$70:$F$89*(1+Quesería!$I$70:$I$89)))-(-$Y$26)*IF(AND(J$47&gt;=2,J$47&lt;=Quesería!$J$86+1),Quesería!$D$86*(1+Quesería!$I$86)/Quesería!$J$86,0))*$C$1040*$Y$21,IF(AND(J$47&gt;=1,J$47&lt;=Quesería!$B$30),Quesería!$F$92/Quesería!$B$30,0)*$B$1040+IF(AND(J$47&gt;=2,J$47&lt;=Quesería!$B$30+1),(Quesería!$F$93-(-$Y$26)*Quesería!$D$86*(1+Quesería!$I$86))/Quesería!$B$30,0)*$C$1040*$Y$21)*$Y$11+IF(AND(J$47&gt;=6,J$47&lt;=10),$G1044*$G1040/5,0)+IF(AND(J$47&gt;=7,J$47&lt;=11),$H1044*$H1040/5,0))*J1042</f>
        <v>64.3030267179009</v>
      </c>
      <c r="K1052" s="29" t="n">
        <f aca="false">(IF($Y$19=1,(SUMPRODUCT((Quesería!$C$70:$C$89=0)*(Quesería!$J$70:$J$89&gt;0)*(K$47&gt;=1)*(K$47&lt;=Quesería!$J$70:$J$89)*(Quesería!$H$70:$H$89&gt;0)*Quesería!$F$70:$F$89*(1+Quesería!$I$70:$I$89)/(Quesería!$J$70:$J$89+(Quesería!$J$70:$J$89=0)))+SUMPRODUCT((Quesería!$C$70:$C$89=0)*(Quesería!$J$70:$J$89=0)*(K$47=0)*(Quesería!$H$70:$H$89&gt;0)*Quesería!$F$70:$F$89*(1+Quesería!$I$70:$I$89)))*$B$1040+((SUMPRODUCT((Quesería!$C$70:$C$89=1)*(Quesería!$J$70:$J$89&gt;0)*(K$47&gt;=2)*(K$47&lt;=Quesería!$J$70:$J$89+1)*(Quesería!$H$70:$H$89&gt;0)*Quesería!$F$70:$F$89*(1+Quesería!$I$70:$I$89)/(Quesería!$J$70:$J$89+(Quesería!$J$70:$J$89=0)))+SUMPRODUCT((Quesería!$C$70:$C$89=1)*(Quesería!$J$70:$J$89=0)*(K$47=1)*(Quesería!$H$70:$H$89&gt;0)*Quesería!$F$70:$F$89*(1+Quesería!$I$70:$I$89)))-(-$Y$26)*IF(AND(K$47&gt;=2,K$47&lt;=Quesería!$J$86+1),Quesería!$D$86*(1+Quesería!$I$86)/Quesería!$J$86,0))*$C$1040*$Y$21,IF(AND(K$47&gt;=1,K$47&lt;=Quesería!$B$30),Quesería!$F$92/Quesería!$B$30,0)*$B$1040+IF(AND(K$47&gt;=2,K$47&lt;=Quesería!$B$30+1),(Quesería!$F$93-(-$Y$26)*Quesería!$D$86*(1+Quesería!$I$86))/Quesería!$B$30,0)*$C$1040*$Y$21)*$Y$11+IF(AND(K$47&gt;=6,K$47&lt;=10),$G1044*$G1040/5,0)+IF(AND(K$47&gt;=7,K$47&lt;=11),$H1044*$H1040/5,0))*K1042</f>
        <v>61.829833382597</v>
      </c>
      <c r="L1052" s="29" t="n">
        <f aca="false">(IF($Y$19=1,(SUMPRODUCT((Quesería!$C$70:$C$89=0)*(Quesería!$J$70:$J$89&gt;0)*(L$47&gt;=1)*(L$47&lt;=Quesería!$J$70:$J$89)*(Quesería!$H$70:$H$89&gt;0)*Quesería!$F$70:$F$89*(1+Quesería!$I$70:$I$89)/(Quesería!$J$70:$J$89+(Quesería!$J$70:$J$89=0)))+SUMPRODUCT((Quesería!$C$70:$C$89=0)*(Quesería!$J$70:$J$89=0)*(L$47=0)*(Quesería!$H$70:$H$89&gt;0)*Quesería!$F$70:$F$89*(1+Quesería!$I$70:$I$89)))*$B$1040+((SUMPRODUCT((Quesería!$C$70:$C$89=1)*(Quesería!$J$70:$J$89&gt;0)*(L$47&gt;=2)*(L$47&lt;=Quesería!$J$70:$J$89+1)*(Quesería!$H$70:$H$89&gt;0)*Quesería!$F$70:$F$89*(1+Quesería!$I$70:$I$89)/(Quesería!$J$70:$J$89+(Quesería!$J$70:$J$89=0)))+SUMPRODUCT((Quesería!$C$70:$C$89=1)*(Quesería!$J$70:$J$89=0)*(L$47=1)*(Quesería!$H$70:$H$89&gt;0)*Quesería!$F$70:$F$89*(1+Quesería!$I$70:$I$89)))-(-$Y$26)*IF(AND(L$47&gt;=2,L$47&lt;=Quesería!$J$86+1),Quesería!$D$86*(1+Quesería!$I$86)/Quesería!$J$86,0))*$C$1040*$Y$21,IF(AND(L$47&gt;=1,L$47&lt;=Quesería!$B$30),Quesería!$F$92/Quesería!$B$30,0)*$B$1040+IF(AND(L$47&gt;=2,L$47&lt;=Quesería!$B$30+1),(Quesería!$F$93-(-$Y$26)*Quesería!$D$86*(1+Quesería!$I$86))/Quesería!$B$30,0)*$C$1040*$Y$21)*$Y$11+IF(AND(L$47&gt;=6,L$47&lt;=10),$G1044*$G1040/5,0)+IF(AND(L$47&gt;=7,L$47&lt;=11),$H1044*$H1040/5,0))*L1042</f>
        <v>59.4517628678818</v>
      </c>
    </row>
    <row r="1053" customFormat="false" ht="15" hidden="true" customHeight="false" outlineLevel="1" collapsed="false">
      <c r="A1053" s="9" t="s">
        <v>417</v>
      </c>
      <c r="B1053" s="58" t="n">
        <f aca="false">IF(B$47=1,MIN($Y$7*$Y$26*Quesería!$B$56*Quesería!$D$86*$Y$11*$Y$21,Quesería!$B$57*Quesería!$B$58),0)</f>
        <v>0</v>
      </c>
      <c r="C1053" s="58" t="n">
        <f aca="false">IF(C$47=1,MIN($Y$7*$Y$26*Quesería!$B$56*Quesería!$D$86*$Y$11*$Y$21,Quesería!$B$57*Quesería!$B$58),0)</f>
        <v>0</v>
      </c>
      <c r="D1053" s="58" t="n">
        <f aca="false">IF(D$47=1,MIN($Y$7*$Y$26*Quesería!$B$56*Quesería!$D$86*$Y$11*$Y$21,Quesería!$B$57*Quesería!$B$58),0)</f>
        <v>0</v>
      </c>
      <c r="E1053" s="58" t="n">
        <f aca="false">IF(E$47=1,MIN($Y$7*$Y$26*Quesería!$B$56*Quesería!$D$86*$Y$11*$Y$21,Quesería!$B$57*Quesería!$B$58),0)</f>
        <v>0</v>
      </c>
      <c r="F1053" s="58" t="n">
        <f aca="false">IF(F$47=1,MIN($Y$7*$Y$26*Quesería!$B$56*Quesería!$D$86*$Y$11*$Y$21,Quesería!$B$57*Quesería!$B$58),0)</f>
        <v>0</v>
      </c>
      <c r="G1053" s="58" t="n">
        <f aca="false">IF(G$47=1,MIN($Y$7*$Y$26*Quesería!$B$56*Quesería!$D$86*$Y$11*$Y$21,Quesería!$B$57*Quesería!$B$58),0)</f>
        <v>0</v>
      </c>
      <c r="H1053" s="58" t="n">
        <f aca="false">IF(H$47=1,MIN($Y$7*$Y$26*Quesería!$B$56*Quesería!$D$86*$Y$11*$Y$21,Quesería!$B$57*Quesería!$B$58),0)</f>
        <v>0</v>
      </c>
      <c r="I1053" s="58" t="n">
        <f aca="false">IF(I$47=1,MIN($Y$7*$Y$26*Quesería!$B$56*Quesería!$D$86*$Y$11*$Y$21,Quesería!$B$57*Quesería!$B$58),0)</f>
        <v>0</v>
      </c>
      <c r="J1053" s="58" t="n">
        <f aca="false">IF(J$47=1,MIN($Y$7*$Y$26*Quesería!$B$56*Quesería!$D$86*$Y$11*$Y$21,Quesería!$B$57*Quesería!$B$58),0)</f>
        <v>0</v>
      </c>
      <c r="K1053" s="58" t="n">
        <f aca="false">IF(K$47=1,MIN($Y$7*$Y$26*Quesería!$B$56*Quesería!$D$86*$Y$11*$Y$21,Quesería!$B$57*Quesería!$B$58),0)</f>
        <v>0</v>
      </c>
      <c r="L1053" s="58" t="n">
        <f aca="false">IF(L$47=1,MIN($Y$7*$Y$26*Quesería!$B$56*Quesería!$D$86*$Y$11*$Y$21,Quesería!$B$57*Quesería!$B$58),0)</f>
        <v>0</v>
      </c>
    </row>
    <row r="1054" customFormat="false" ht="15" hidden="true" customHeight="false" outlineLevel="1" collapsed="false">
      <c r="A1054" s="9" t="s">
        <v>418</v>
      </c>
      <c r="B1054" s="58" t="n">
        <v>0</v>
      </c>
      <c r="C1054" s="58" t="n">
        <f aca="false">$Y$20*Quesería!$B$60*Quesería!$F$98*$Y$11*$B$1040/C1040/2</f>
        <v>138.12868344741</v>
      </c>
      <c r="D1054" s="58" t="n">
        <f aca="false">$Y$20*Quesería!$B$60*Quesería!$F$98*$Y$11*$B$1040/D1040/2</f>
        <v>132.18055832288</v>
      </c>
      <c r="E1054" s="58" t="n">
        <v>0</v>
      </c>
      <c r="F1054" s="58" t="n">
        <v>0</v>
      </c>
      <c r="G1054" s="58" t="n">
        <v>0</v>
      </c>
      <c r="H1054" s="58" t="n">
        <v>0</v>
      </c>
      <c r="I1054" s="58" t="n">
        <v>0</v>
      </c>
      <c r="J1054" s="58" t="n">
        <v>0</v>
      </c>
      <c r="K1054" s="58" t="n">
        <v>0</v>
      </c>
      <c r="L1054" s="58" t="n">
        <v>0</v>
      </c>
    </row>
    <row r="1055" customFormat="false" ht="15" hidden="true" customHeight="false" outlineLevel="1" collapsed="false">
      <c r="A1055" s="9" t="s">
        <v>419</v>
      </c>
      <c r="B1055" s="58" t="n">
        <f aca="false">0</f>
        <v>0</v>
      </c>
      <c r="C1055" s="58" t="n">
        <f aca="false">B1045*B1040/C1040</f>
        <v>142.014925295407</v>
      </c>
      <c r="D1055" s="58" t="n">
        <f aca="false">C1045*C1040/D1040</f>
        <v>0</v>
      </c>
      <c r="E1055" s="58" t="n">
        <f aca="false">D1045*D1040/E1040</f>
        <v>0</v>
      </c>
      <c r="F1055" s="58" t="n">
        <f aca="false">E1045*E1040/F1040</f>
        <v>0</v>
      </c>
      <c r="G1055" s="58" t="n">
        <f aca="false">F1045*F1040/G1040</f>
        <v>0</v>
      </c>
      <c r="H1055" s="58" t="n">
        <f aca="false">G1045*G1040/H1040</f>
        <v>5.01768392412113</v>
      </c>
      <c r="I1055" s="58" t="n">
        <f aca="false">H1045*H1040/I1040</f>
        <v>8.47494190873221</v>
      </c>
      <c r="J1055" s="58" t="n">
        <f aca="false">I1045*I1040/J1040</f>
        <v>0</v>
      </c>
      <c r="K1055" s="58" t="n">
        <f aca="false">J1045*J1040/K1040</f>
        <v>0</v>
      </c>
      <c r="L1055" s="58" t="n">
        <f aca="false">K1045*K1040/L1040</f>
        <v>0</v>
      </c>
    </row>
    <row r="1056" customFormat="false" ht="15" hidden="true" customHeight="false" outlineLevel="1" collapsed="false">
      <c r="A1056" s="6" t="s">
        <v>295</v>
      </c>
      <c r="B1056" s="29" t="n">
        <f aca="false">$Y$17*(B1048-B1049-B1050-0.5*B1051-B1052)-B1053-B1054-B1055</f>
        <v>-9.59839124703308</v>
      </c>
      <c r="C1056" s="29" t="n">
        <f aca="false">$Y$17*(C1048-C1049-C1050-0.5*C1051-C1052)-C1053-C1054-C1055</f>
        <v>-260.233455410471</v>
      </c>
      <c r="D1056" s="29" t="n">
        <f aca="false">$Y$17*(D1048-D1049-D1050-0.5*D1051-D1052)-D1053-D1054-D1055</f>
        <v>-89.8544099575005</v>
      </c>
      <c r="E1056" s="29" t="n">
        <f aca="false">$Y$17*(E1048-E1049-E1050-0.5*E1051-E1052)-E1053-E1054-E1055</f>
        <v>43.4071291717049</v>
      </c>
      <c r="F1056" s="29" t="n">
        <f aca="false">$Y$17*(F1048-F1049-F1050-0.5*F1051-F1052)-F1053-F1054-F1055</f>
        <v>44.4474585051055</v>
      </c>
      <c r="G1056" s="29" t="n">
        <f aca="false">$Y$17*(G1048-G1049-G1050-0.5*G1051-G1052)-G1053-G1054-G1055</f>
        <v>45.4258259813452</v>
      </c>
      <c r="H1056" s="29" t="n">
        <f aca="false">$Y$17*(H1048-H1049-H1050-0.5*H1051-H1052)-H1053-H1054-H1055</f>
        <v>43.8125665006389</v>
      </c>
      <c r="I1056" s="29" t="n">
        <f aca="false">$Y$17*(I1048-I1049-I1050-0.5*I1051-I1052)-I1053-I1054-I1055</f>
        <v>38.1046671430379</v>
      </c>
      <c r="J1056" s="29" t="n">
        <f aca="false">$Y$17*(J1048-J1049-J1050-0.5*J1051-J1052)-J1053-J1054-J1055</f>
        <v>47.5016652433331</v>
      </c>
      <c r="K1056" s="29" t="n">
        <f aca="false">$Y$17*(K1048-K1049-K1050-0.5*K1051-K1052)-K1053-K1054-K1055</f>
        <v>48.3892057972894</v>
      </c>
      <c r="L1056" s="29" t="n">
        <f aca="false">$Y$17*(L1048-L1049-L1050-0.5*L1051-L1052)-L1053-L1054-L1055</f>
        <v>49.2435629784726</v>
      </c>
    </row>
    <row r="1057" customFormat="false" ht="15" hidden="true" customHeight="false" outlineLevel="1" collapsed="false">
      <c r="A1057" s="9" t="s">
        <v>420</v>
      </c>
      <c r="B1057" s="58" t="n">
        <f aca="false">(IF(B$47&gt;=1,Quesería!$G$124*IF(B$47=1,Quesería!$B$20,1),Quesería!$G$124*Quesería!$B$20*Quesería!$B$21/12*$Y$23)+IF(B$47&gt;=2,(Quesería!$G$125-(1-$Y$24)*Quesería!$G$117-(-$Y$26*$Y$27)*'Beneficios y costos'!$D$167)*$Y$21*IF(B$47=2,Quesería!$B$20,1),0))*$Y$10</f>
        <v>77.4042870161869</v>
      </c>
      <c r="C1057" s="58" t="n">
        <f aca="false">(IF(C$47&gt;=1,Quesería!$G$124*IF(C$47=1,Quesería!$B$20,1),Quesería!$G$124*Quesería!$B$20*Quesería!$B$21/12*$Y$23)+IF(C$47&gt;=2,(Quesería!$G$125-(1-$Y$24)*Quesería!$G$117-(-$Y$26*$Y$27)*'Beneficios y costos'!$D$167)*$Y$21*IF(C$47=2,Quesería!$B$20,1),0))*$Y$10</f>
        <v>116.10643052428</v>
      </c>
      <c r="D1057" s="58" t="n">
        <f aca="false">(IF(D$47&gt;=1,Quesería!$G$124*IF(D$47=1,Quesería!$B$20,1),Quesería!$G$124*Quesería!$B$20*Quesería!$B$21/12*$Y$23)+IF(D$47&gt;=2,(Quesería!$G$125-(1-$Y$24)*Quesería!$G$117-(-$Y$26*$Y$27)*'Beneficios y costos'!$D$167)*$Y$21*IF(D$47=2,Quesería!$B$20,1),0))*$Y$10</f>
        <v>154.808574032374</v>
      </c>
      <c r="E1057" s="58" t="n">
        <f aca="false">(IF(E$47&gt;=1,Quesería!$G$124*IF(E$47=1,Quesería!$B$20,1),Quesería!$G$124*Quesería!$B$20*Quesería!$B$21/12*$Y$23)+IF(E$47&gt;=2,(Quesería!$G$125-(1-$Y$24)*Quesería!$G$117-(-$Y$26*$Y$27)*'Beneficios y costos'!$D$167)*$Y$21*IF(E$47=2,Quesería!$B$20,1),0))*$Y$10</f>
        <v>154.808574032374</v>
      </c>
      <c r="F1057" s="58" t="n">
        <f aca="false">(IF(F$47&gt;=1,Quesería!$G$124*IF(F$47=1,Quesería!$B$20,1),Quesería!$G$124*Quesería!$B$20*Quesería!$B$21/12*$Y$23)+IF(F$47&gt;=2,(Quesería!$G$125-(1-$Y$24)*Quesería!$G$117-(-$Y$26*$Y$27)*'Beneficios y costos'!$D$167)*$Y$21*IF(F$47=2,Quesería!$B$20,1),0))*$Y$10</f>
        <v>154.808574032374</v>
      </c>
      <c r="G1057" s="58" t="n">
        <f aca="false">(IF(G$47&gt;=1,Quesería!$G$124*IF(G$47=1,Quesería!$B$20,1),Quesería!$G$124*Quesería!$B$20*Quesería!$B$21/12*$Y$23)+IF(G$47&gt;=2,(Quesería!$G$125-(1-$Y$24)*Quesería!$G$117-(-$Y$26*$Y$27)*'Beneficios y costos'!$D$167)*$Y$21*IF(G$47=2,Quesería!$B$20,1),0))*$Y$10</f>
        <v>154.808574032374</v>
      </c>
      <c r="H1057" s="58" t="n">
        <f aca="false">(IF(H$47&gt;=1,Quesería!$G$124*IF(H$47=1,Quesería!$B$20,1),Quesería!$G$124*Quesería!$B$20*Quesería!$B$21/12*$Y$23)+IF(H$47&gt;=2,(Quesería!$G$125-(1-$Y$24)*Quesería!$G$117-(-$Y$26*$Y$27)*'Beneficios y costos'!$D$167)*$Y$21*IF(H$47=2,Quesería!$B$20,1),0))*$Y$10</f>
        <v>154.808574032374</v>
      </c>
      <c r="I1057" s="58" t="n">
        <f aca="false">(IF(I$47&gt;=1,Quesería!$G$124*IF(I$47=1,Quesería!$B$20,1),Quesería!$G$124*Quesería!$B$20*Quesería!$B$21/12*$Y$23)+IF(I$47&gt;=2,(Quesería!$G$125-(1-$Y$24)*Quesería!$G$117-(-$Y$26*$Y$27)*'Beneficios y costos'!$D$167)*$Y$21*IF(I$47=2,Quesería!$B$20,1),0))*$Y$10</f>
        <v>154.808574032374</v>
      </c>
      <c r="J1057" s="58" t="n">
        <f aca="false">(IF(J$47&gt;=1,Quesería!$G$124*IF(J$47=1,Quesería!$B$20,1),Quesería!$G$124*Quesería!$B$20*Quesería!$B$21/12*$Y$23)+IF(J$47&gt;=2,(Quesería!$G$125-(1-$Y$24)*Quesería!$G$117-(-$Y$26*$Y$27)*'Beneficios y costos'!$D$167)*$Y$21*IF(J$47=2,Quesería!$B$20,1),0))*$Y$10</f>
        <v>154.808574032374</v>
      </c>
      <c r="K1057" s="58" t="n">
        <f aca="false">(IF(K$47&gt;=1,Quesería!$G$124*IF(K$47=1,Quesería!$B$20,1),Quesería!$G$124*Quesería!$B$20*Quesería!$B$21/12*$Y$23)+IF(K$47&gt;=2,(Quesería!$G$125-(1-$Y$24)*Quesería!$G$117-(-$Y$26*$Y$27)*'Beneficios y costos'!$D$167)*$Y$21*IF(K$47=2,Quesería!$B$20,1),0))*$Y$10</f>
        <v>154.808574032374</v>
      </c>
      <c r="L1057" s="58" t="n">
        <f aca="false">(IF(L$47&gt;=1,Quesería!$G$124*IF(L$47=1,Quesería!$B$20,1),Quesería!$G$124*Quesería!$B$20*Quesería!$B$21/12*$Y$23)+IF(L$47&gt;=2,(Quesería!$G$125-(1-$Y$24)*Quesería!$G$117-(-$Y$26*$Y$27)*'Beneficios y costos'!$D$167)*$Y$21*IF(L$47=2,Quesería!$B$20,1),0))*$Y$10</f>
        <v>154.808574032374</v>
      </c>
    </row>
    <row r="1058" customFormat="false" ht="15" hidden="true" customHeight="false" outlineLevel="1" collapsed="false">
      <c r="A1058" s="6" t="s">
        <v>421</v>
      </c>
      <c r="B1058" s="29" t="n">
        <f aca="false">(B1057*(Quesería!$B$38+Quesería!$B$40*Quesería!$B$39)/365-B1049*Quesería!$B$42/365+IF(B$47&gt;=2,($Y$25*'Beneficios y costos'!$B$147+(1-$Y$25)*'Beneficios y costos'!$B$148)*$Y$24*$Y$21*$Y$10*IF(B$47=2,Quesería!$B$20,1),0))</f>
        <v>7.23146900616979</v>
      </c>
      <c r="C1058" s="29" t="n">
        <f aca="false">(C1057*(Quesería!$B$38+Quesería!$B$40*Quesería!$B$39)/365-C1049*Quesería!$B$42/365+IF(C$47&gt;=2,($Y$25*'Beneficios y costos'!$B$147+(1-$Y$25)*'Beneficios y costos'!$B$148)*$Y$24*$Y$21*$Y$10*IF(C$47=2,Quesería!$B$20,1),0))-(B1057*(Quesería!$B$38+Quesería!$B$40*Quesería!$B$39)/365-B1049*Quesería!$B$42/365+IF(B$47&gt;=2,($Y$25*'Beneficios y costos'!$B$147+(1-$Y$25)*'Beneficios y costos'!$B$148)*$Y$24*$Y$21*$Y$10*IF(B$47=2,Quesería!$B$20,1),0))*B1040/C1040</f>
        <v>1.42287846600884</v>
      </c>
      <c r="D1058" s="29" t="n">
        <f aca="false">(D1057*(Quesería!$B$38+Quesería!$B$40*Quesería!$B$39)/365-D1049*Quesería!$B$42/365+IF(D$47&gt;=2,($Y$25*'Beneficios y costos'!$B$147+(1-$Y$25)*'Beneficios y costos'!$B$148)*$Y$24*$Y$21*$Y$10*IF(D$47=2,Quesería!$B$20,1),0))-(C1057*(Quesería!$B$38+Quesería!$B$40*Quesería!$B$39)/365-C1049*Quesería!$B$42/365+IF(C$47&gt;=2,($Y$25*'Beneficios y costos'!$B$147+(1-$Y$25)*'Beneficios y costos'!$B$148)*$Y$24*$Y$21*$Y$10*IF(C$47=2,Quesería!$B$20,1),0))*C1040/D1040</f>
        <v>3.97358104015171</v>
      </c>
      <c r="E1058" s="29" t="n">
        <f aca="false">(E1057*(Quesería!$B$38+Quesería!$B$40*Quesería!$B$39)/365-E1049*Quesería!$B$42/365+IF(E$47&gt;=2,($Y$25*'Beneficios y costos'!$B$147+(1-$Y$25)*'Beneficios y costos'!$B$148)*$Y$24*$Y$21*$Y$10*IF(E$47=2,Quesería!$B$20,1),0))-(D1057*(Quesería!$B$38+Quesería!$B$40*Quesería!$B$39)/365-D1049*Quesería!$B$42/365+IF(D$47&gt;=2,($Y$25*'Beneficios y costos'!$B$147+(1-$Y$25)*'Beneficios y costos'!$B$148)*$Y$24*$Y$21*$Y$10*IF(D$47=2,Quesería!$B$20,1),0))*D1040/E1040</f>
        <v>0.458681781088581</v>
      </c>
      <c r="F1058" s="29" t="n">
        <f aca="false">(F1057*(Quesería!$B$38+Quesería!$B$40*Quesería!$B$39)/365-F1049*Quesería!$B$42/365+IF(F$47&gt;=2,($Y$25*'Beneficios y costos'!$B$147+(1-$Y$25)*'Beneficios y costos'!$B$148)*$Y$24*$Y$21*$Y$10*IF(F$47=2,Quesería!$B$20,1),0))-(E1057*(Quesería!$B$38+Quesería!$B$40*Quesería!$B$39)/365-E1049*Quesería!$B$42/365+IF(E$47&gt;=2,($Y$25*'Beneficios y costos'!$B$147+(1-$Y$25)*'Beneficios y costos'!$B$148)*$Y$24*$Y$21*$Y$10*IF(E$47=2,Quesería!$B$20,1),0))*E1040/F1040</f>
        <v>0.458681781088579</v>
      </c>
      <c r="G1058" s="29" t="n">
        <f aca="false">(G1057*(Quesería!$B$38+Quesería!$B$40*Quesería!$B$39)/365-G1049*Quesería!$B$42/365+IF(G$47&gt;=2,($Y$25*'Beneficios y costos'!$B$147+(1-$Y$25)*'Beneficios y costos'!$B$148)*$Y$24*$Y$21*$Y$10*IF(G$47=2,Quesería!$B$20,1),0))-(F1057*(Quesería!$B$38+Quesería!$B$40*Quesería!$B$39)/365-F1049*Quesería!$B$42/365+IF(F$47&gt;=2,($Y$25*'Beneficios y costos'!$B$147+(1-$Y$25)*'Beneficios y costos'!$B$148)*$Y$24*$Y$21*$Y$10*IF(F$47=2,Quesería!$B$20,1),0))*F1040/G1040</f>
        <v>0.458681781088581</v>
      </c>
      <c r="H1058" s="29" t="n">
        <f aca="false">(H1057*(Quesería!$B$38+Quesería!$B$40*Quesería!$B$39)/365-H1049*Quesería!$B$42/365+IF(H$47&gt;=2,($Y$25*'Beneficios y costos'!$B$147+(1-$Y$25)*'Beneficios y costos'!$B$148)*$Y$24*$Y$21*$Y$10*IF(H$47=2,Quesería!$B$20,1),0))-(G1057*(Quesería!$B$38+Quesería!$B$40*Quesería!$B$39)/365-G1049*Quesería!$B$42/365+IF(G$47&gt;=2,($Y$25*'Beneficios y costos'!$B$147+(1-$Y$25)*'Beneficios y costos'!$B$148)*$Y$24*$Y$21*$Y$10*IF(G$47=2,Quesería!$B$20,1),0))*G1040/H1040</f>
        <v>0.458681781088581</v>
      </c>
      <c r="I1058" s="29" t="n">
        <f aca="false">(I1057*(Quesería!$B$38+Quesería!$B$40*Quesería!$B$39)/365-I1049*Quesería!$B$42/365+IF(I$47&gt;=2,($Y$25*'Beneficios y costos'!$B$147+(1-$Y$25)*'Beneficios y costos'!$B$148)*$Y$24*$Y$21*$Y$10*IF(I$47=2,Quesería!$B$20,1),0))-(H1057*(Quesería!$B$38+Quesería!$B$40*Quesería!$B$39)/365-H1049*Quesería!$B$42/365+IF(H$47&gt;=2,($Y$25*'Beneficios y costos'!$B$147+(1-$Y$25)*'Beneficios y costos'!$B$148)*$Y$24*$Y$21*$Y$10*IF(H$47=2,Quesería!$B$20,1),0))*H1040/I1040</f>
        <v>0.458681781088579</v>
      </c>
      <c r="J1058" s="29" t="n">
        <f aca="false">(J1057*(Quesería!$B$38+Quesería!$B$40*Quesería!$B$39)/365-J1049*Quesería!$B$42/365+IF(J$47&gt;=2,($Y$25*'Beneficios y costos'!$B$147+(1-$Y$25)*'Beneficios y costos'!$B$148)*$Y$24*$Y$21*$Y$10*IF(J$47=2,Quesería!$B$20,1),0))-(I1057*(Quesería!$B$38+Quesería!$B$40*Quesería!$B$39)/365-I1049*Quesería!$B$42/365+IF(I$47&gt;=2,($Y$25*'Beneficios y costos'!$B$147+(1-$Y$25)*'Beneficios y costos'!$B$148)*$Y$24*$Y$21*$Y$10*IF(I$47=2,Quesería!$B$20,1),0))*I1040/J1040</f>
        <v>0.458681781088579</v>
      </c>
      <c r="K1058" s="29" t="n">
        <f aca="false">(K1057*(Quesería!$B$38+Quesería!$B$40*Quesería!$B$39)/365-K1049*Quesería!$B$42/365+IF(K$47&gt;=2,($Y$25*'Beneficios y costos'!$B$147+(1-$Y$25)*'Beneficios y costos'!$B$148)*$Y$24*$Y$21*$Y$10*IF(K$47=2,Quesería!$B$20,1),0))-(J1057*(Quesería!$B$38+Quesería!$B$40*Quesería!$B$39)/365-J1049*Quesería!$B$42/365+IF(J$47&gt;=2,($Y$25*'Beneficios y costos'!$B$147+(1-$Y$25)*'Beneficios y costos'!$B$148)*$Y$24*$Y$21*$Y$10*IF(J$47=2,Quesería!$B$20,1),0))*J1040/K1040</f>
        <v>0.458681781088579</v>
      </c>
      <c r="L1058" s="29" t="n">
        <f aca="false">-(K1057*(Quesería!$B$38+Quesería!$B$40*Quesería!$B$39)/365-K1049*Quesería!$B$42/365+IF(K$47&gt;=2,($Y$25*'Beneficios y costos'!$B$147+(1-$Y$25)*'Beneficios y costos'!$B$148)*$Y$24*$Y$21*$Y$10*IF(K$47=2,Quesería!$B$20,1),0))*K1040/L1040</f>
        <v>-11.4670445272145</v>
      </c>
    </row>
    <row r="1059" customFormat="false" ht="15" hidden="true" customHeight="false" outlineLevel="1" collapsed="false">
      <c r="A1059" s="6" t="s">
        <v>422</v>
      </c>
      <c r="B1059" s="29" t="n">
        <v>0</v>
      </c>
      <c r="C1059" s="29" t="n">
        <v>0</v>
      </c>
      <c r="D1059" s="29" t="n">
        <v>0</v>
      </c>
      <c r="E1059" s="29" t="n">
        <v>0</v>
      </c>
      <c r="F1059" s="29" t="n">
        <v>0</v>
      </c>
      <c r="G1059" s="29" t="n">
        <v>0</v>
      </c>
      <c r="H1059" s="29" t="n">
        <v>0</v>
      </c>
      <c r="I1059" s="29" t="n">
        <v>0</v>
      </c>
      <c r="J1059" s="29" t="n">
        <v>0</v>
      </c>
      <c r="K1059" s="29" t="n">
        <v>0</v>
      </c>
      <c r="L1059" s="29" t="n">
        <f aca="false">$Y$8*Quesería!$B$36*(Quesería!$F$94+(Quesería!$F$95-(-$Y$26)*Quesería!$D$86)*$Y$21)*$Y$11*(1-$Y$17)</f>
        <v>30.1529512121209</v>
      </c>
    </row>
    <row r="1060" customFormat="false" ht="15" hidden="true" customHeight="false" outlineLevel="1" collapsed="false">
      <c r="A1060" s="5" t="s">
        <v>147</v>
      </c>
      <c r="B1060" s="59" t="n">
        <f aca="false">B1048-B1049-B1050-B1051-B1056-B1043-B1044-B1045-B1058+B1059</f>
        <v>-961.151880133756</v>
      </c>
      <c r="C1060" s="59" t="n">
        <f aca="false">C1048-C1049-C1050-C1051-C1056-C1043-C1044-C1045-C1058+C1059</f>
        <v>397.875866977566</v>
      </c>
      <c r="D1060" s="59" t="n">
        <f aca="false">D1048-D1049-D1050-D1051-D1056-D1043-D1044-D1045-D1058+D1059</f>
        <v>285.449379128224</v>
      </c>
      <c r="E1060" s="59" t="n">
        <f aca="false">E1048-E1049-E1050-E1051-E1056-E1043-E1044-E1045-E1058+E1059</f>
        <v>155.763529423129</v>
      </c>
      <c r="F1060" s="59" t="n">
        <f aca="false">F1048-F1049-F1050-F1051-F1056-F1043-F1044-F1045-F1058+F1059</f>
        <v>154.784294205601</v>
      </c>
      <c r="G1060" s="59" t="n">
        <f aca="false">G1048-G1049-G1050-G1051-G1056-G1043-G1044-G1045-G1058+G1059</f>
        <v>121.052983331653</v>
      </c>
      <c r="H1060" s="59" t="n">
        <f aca="false">H1048-H1049-H1050-H1051-H1056-H1043-H1044-H1045-H1058+H1059</f>
        <v>100.118384703682</v>
      </c>
      <c r="I1060" s="59" t="n">
        <f aca="false">I1048-I1049-I1050-I1051-I1056-I1043-I1044-I1045-I1058+I1059</f>
        <v>161.31220685581</v>
      </c>
      <c r="J1060" s="59" t="n">
        <f aca="false">J1048-J1049-J1050-J1051-J1056-J1043-J1044-J1045-J1058+J1059</f>
        <v>151.977533948407</v>
      </c>
      <c r="K1060" s="59" t="n">
        <f aca="false">K1048-K1049-K1050-K1051-K1056-K1043-K1044-K1045-K1058+K1059</f>
        <v>151.152630213308</v>
      </c>
      <c r="L1060" s="59" t="n">
        <f aca="false">L1048-L1049-L1050-L1051-L1056-L1043-L1044-L1045-L1058+L1059</f>
        <v>192.4399005555</v>
      </c>
    </row>
    <row r="1061" customFormat="false" ht="15" hidden="true" customHeight="false" outlineLevel="1" collapsed="false">
      <c r="A1061" s="9" t="s">
        <v>423</v>
      </c>
      <c r="B1061" s="58" t="n">
        <f aca="false">B1060*B1040</f>
        <v>-1018.82099294178</v>
      </c>
      <c r="C1061" s="58" t="n">
        <f aca="false">C1060*C1040</f>
        <v>442.835839946032</v>
      </c>
      <c r="D1061" s="58" t="n">
        <f aca="false">D1060*D1040</f>
        <v>332.001891123351</v>
      </c>
      <c r="E1061" s="58" t="n">
        <f aca="false">E1060*E1040</f>
        <v>188.412873603864</v>
      </c>
      <c r="F1061" s="58" t="n">
        <f aca="false">F1060*F1040</f>
        <v>194.717517757533</v>
      </c>
      <c r="G1061" s="58" t="n">
        <f aca="false">G1060*G1040</f>
        <v>158.375124650443</v>
      </c>
      <c r="H1061" s="58" t="n">
        <f aca="false">H1060*H1040</f>
        <v>136.225573874184</v>
      </c>
      <c r="I1061" s="58" t="n">
        <f aca="false">I1060*I1040</f>
        <v>228.268184085845</v>
      </c>
      <c r="J1061" s="58" t="n">
        <f aca="false">J1060*J1040</f>
        <v>223.661320041003</v>
      </c>
      <c r="K1061" s="58" t="n">
        <f aca="false">K1060*K1040</f>
        <v>231.345224256375</v>
      </c>
      <c r="L1061" s="58" t="n">
        <f aca="false">L1060*L1040</f>
        <v>306.318546773165</v>
      </c>
    </row>
    <row r="1062" customFormat="false" ht="15" hidden="true" customHeight="false" outlineLevel="1" collapsed="false">
      <c r="A1062" s="6" t="s">
        <v>424</v>
      </c>
      <c r="B1062" s="29" t="n">
        <f aca="false">B1060</f>
        <v>-961.151880133756</v>
      </c>
      <c r="C1062" s="29" t="n">
        <f aca="false">B1062+C1060</f>
        <v>-563.276013156189</v>
      </c>
      <c r="D1062" s="29" t="n">
        <f aca="false">C1062+D1060</f>
        <v>-277.826634027965</v>
      </c>
      <c r="E1062" s="29" t="n">
        <f aca="false">D1062+E1060</f>
        <v>-122.063104604836</v>
      </c>
      <c r="F1062" s="29" t="n">
        <f aca="false">E1062+F1060</f>
        <v>32.7211896007647</v>
      </c>
      <c r="G1062" s="29" t="n">
        <f aca="false">F1062+G1060</f>
        <v>153.774172932418</v>
      </c>
      <c r="H1062" s="29" t="n">
        <f aca="false">G1062+H1060</f>
        <v>253.8925576361</v>
      </c>
      <c r="I1062" s="29" t="n">
        <f aca="false">H1062+I1060</f>
        <v>415.204764491911</v>
      </c>
      <c r="J1062" s="29" t="n">
        <f aca="false">I1062+J1060</f>
        <v>567.182298440318</v>
      </c>
      <c r="K1062" s="29" t="n">
        <f aca="false">J1062+K1060</f>
        <v>718.334928653626</v>
      </c>
      <c r="L1062" s="29" t="n">
        <f aca="false">K1062+L1060</f>
        <v>910.774829209126</v>
      </c>
    </row>
    <row r="1063" customFormat="false" ht="15" hidden="true" customHeight="false" outlineLevel="1" collapsed="false">
      <c r="A1063" s="9" t="s">
        <v>425</v>
      </c>
      <c r="B1063" s="60" t="n">
        <v>0</v>
      </c>
      <c r="C1063" s="60" t="n">
        <f aca="false">IF(AND(B1062&lt;0,C1062&gt;=0),B$47+(-B1062)/C1060,0)</f>
        <v>0</v>
      </c>
      <c r="D1063" s="60" t="n">
        <f aca="false">IF(AND(C1062&lt;0,D1062&gt;=0),C$47+(-C1062)/D1060,0)</f>
        <v>0</v>
      </c>
      <c r="E1063" s="60" t="n">
        <f aca="false">IF(AND(D1062&lt;0,E1062&gt;=0),D$47+(-D1062)/E1060,0)</f>
        <v>0</v>
      </c>
      <c r="F1063" s="60" t="n">
        <f aca="false">IF(AND(E1062&lt;0,F1062&gt;=0),E$47+(-E1062)/F1060,0)</f>
        <v>3.78860135798209</v>
      </c>
      <c r="G1063" s="60" t="n">
        <f aca="false">IF(AND(F1062&lt;0,G1062&gt;=0),F$47+(-F1062)/G1060,0)</f>
        <v>0</v>
      </c>
      <c r="H1063" s="60" t="n">
        <f aca="false">IF(AND(G1062&lt;0,H1062&gt;=0),G$47+(-G1062)/H1060,0)</f>
        <v>0</v>
      </c>
      <c r="I1063" s="60" t="n">
        <f aca="false">IF(AND(H1062&lt;0,I1062&gt;=0),H$47+(-H1062)/I1060,0)</f>
        <v>0</v>
      </c>
      <c r="J1063" s="60" t="n">
        <f aca="false">IF(AND(I1062&lt;0,J1062&gt;=0),I$47+(-I1062)/J1060,0)</f>
        <v>0</v>
      </c>
      <c r="K1063" s="60" t="n">
        <f aca="false">IF(AND(J1062&lt;0,K1062&gt;=0),J$47+(-J1062)/K1060,0)</f>
        <v>0</v>
      </c>
      <c r="L1063" s="60" t="n">
        <f aca="false">IF(AND(K1062&lt;0,L1062&gt;=0),K$47+(-K1062)/L1060,0)</f>
        <v>0</v>
      </c>
    </row>
    <row r="1064" customFormat="false" ht="15" hidden="true" customHeight="false" outlineLevel="1" collapsed="false">
      <c r="A1064" s="9" t="s">
        <v>426</v>
      </c>
      <c r="B1064" s="57" t="n">
        <f aca="false">(B1040/$B$1040)/(1+$Y$29)^B$47</f>
        <v>1</v>
      </c>
      <c r="C1064" s="57" t="n">
        <f aca="false">(C1040/$B$1040)/(1+$Y$29)^C$47</f>
        <v>0.915373701313561</v>
      </c>
      <c r="D1064" s="57" t="n">
        <f aca="false">(D1040/$B$1040)/(1+$Y$29)^D$47</f>
        <v>0.833918970137172</v>
      </c>
      <c r="E1064" s="57" t="n">
        <f aca="false">(E1040/$B$1040)/(1+$Y$29)^E$47</f>
        <v>0.756077518153961</v>
      </c>
      <c r="F1064" s="57" t="n">
        <f aca="false">(F1040/$B$1040)/(1+$Y$29)^F$47</f>
        <v>0.685502109831871</v>
      </c>
      <c r="G1064" s="57" t="n">
        <f aca="false">(G1040/$B$1040)/(1+$Y$29)^G$47</f>
        <v>0.621514502549008</v>
      </c>
      <c r="H1064" s="57" t="n">
        <f aca="false">(H1040/$B$1040)/(1+$Y$29)^H$47</f>
        <v>0.563499763660072</v>
      </c>
      <c r="I1064" s="57" t="n">
        <f aca="false">(I1040/$B$1040)/(1+$Y$29)^I$47</f>
        <v>0.510900360880829</v>
      </c>
      <c r="J1064" s="57" t="n">
        <f aca="false">(J1040/$B$1040)/(1+$Y$29)^J$47</f>
        <v>0.463210804300567</v>
      </c>
      <c r="K1064" s="57" t="n">
        <f aca="false">(K1040/$B$1040)/(1+$Y$29)^K$47</f>
        <v>0.419972788531318</v>
      </c>
      <c r="L1064" s="57" t="n">
        <f aca="false">(L1040/$B$1040)/(1+$Y$29)^L$47</f>
        <v>0.380770788308996</v>
      </c>
    </row>
    <row r="1065" customFormat="false" ht="15" hidden="true" customHeight="false" outlineLevel="1" collapsed="false">
      <c r="A1065" s="9" t="s">
        <v>427</v>
      </c>
      <c r="B1065" s="58" t="n">
        <f aca="false">B1060*B1064</f>
        <v>-961.151880133756</v>
      </c>
      <c r="C1065" s="58" t="n">
        <f aca="false">C1060*C1064</f>
        <v>364.205105018597</v>
      </c>
      <c r="D1065" s="58" t="n">
        <f aca="false">D1060*D1064</f>
        <v>238.041652268904</v>
      </c>
      <c r="E1065" s="58" t="n">
        <f aca="false">E1060*E1064</f>
        <v>117.769302745141</v>
      </c>
      <c r="F1065" s="58" t="n">
        <f aca="false">F1060*F1064</f>
        <v>106.104960246776</v>
      </c>
      <c r="G1065" s="58" t="n">
        <f aca="false">G1060*G1064</f>
        <v>75.2361847174459</v>
      </c>
      <c r="H1065" s="58" t="n">
        <f aca="false">H1060*H1064</f>
        <v>56.4166861185531</v>
      </c>
      <c r="I1065" s="58" t="n">
        <f aca="false">I1060*I1064</f>
        <v>82.4144646971164</v>
      </c>
      <c r="J1065" s="58" t="n">
        <f aca="false">J1060*J1064</f>
        <v>70.3976357358586</v>
      </c>
      <c r="K1065" s="58" t="n">
        <f aca="false">K1060*K1064</f>
        <v>63.4799916045261</v>
      </c>
      <c r="L1065" s="58" t="n">
        <f aca="false">L1060*L1064</f>
        <v>73.2754926366225</v>
      </c>
    </row>
    <row r="1066" customFormat="false" ht="15" hidden="true" customHeight="false" outlineLevel="1" collapsed="false">
      <c r="A1066" s="9" t="s">
        <v>428</v>
      </c>
      <c r="B1066" s="58" t="n">
        <f aca="false">B1065</f>
        <v>-961.151880133756</v>
      </c>
      <c r="C1066" s="58" t="n">
        <f aca="false">B1066+C1065</f>
        <v>-596.946775115158</v>
      </c>
      <c r="D1066" s="58" t="n">
        <f aca="false">C1066+D1065</f>
        <v>-358.905122846254</v>
      </c>
      <c r="E1066" s="58" t="n">
        <f aca="false">D1066+E1065</f>
        <v>-241.135820101114</v>
      </c>
      <c r="F1066" s="58" t="n">
        <f aca="false">E1066+F1065</f>
        <v>-135.030859854337</v>
      </c>
      <c r="G1066" s="58" t="n">
        <f aca="false">F1066+G1065</f>
        <v>-59.7946751368913</v>
      </c>
      <c r="H1066" s="58" t="n">
        <f aca="false">G1066+H1065</f>
        <v>-3.37798901833816</v>
      </c>
      <c r="I1066" s="58" t="n">
        <f aca="false">H1066+I1065</f>
        <v>79.0364756787782</v>
      </c>
      <c r="J1066" s="58" t="n">
        <f aca="false">I1066+J1065</f>
        <v>149.434111414637</v>
      </c>
      <c r="K1066" s="58" t="n">
        <f aca="false">J1066+K1065</f>
        <v>212.914103019163</v>
      </c>
      <c r="L1066" s="58" t="n">
        <f aca="false">K1066+L1065</f>
        <v>286.189595655785</v>
      </c>
    </row>
    <row r="1067" customFormat="false" ht="15" hidden="true" customHeight="false" outlineLevel="1" collapsed="false">
      <c r="A1067" s="9" t="s">
        <v>429</v>
      </c>
      <c r="B1067" s="60" t="n">
        <v>0</v>
      </c>
      <c r="C1067" s="60" t="n">
        <f aca="false">IF(AND(B1066&lt;0,C1066&gt;=0),B$47+(-B1066)/C1065,0)</f>
        <v>0</v>
      </c>
      <c r="D1067" s="60" t="n">
        <f aca="false">IF(AND(C1066&lt;0,D1066&gt;=0),C$47+(-C1066)/D1065,0)</f>
        <v>0</v>
      </c>
      <c r="E1067" s="60" t="n">
        <f aca="false">IF(AND(D1066&lt;0,E1066&gt;=0),D$47+(-D1066)/E1065,0)</f>
        <v>0</v>
      </c>
      <c r="F1067" s="60" t="n">
        <f aca="false">IF(AND(E1066&lt;0,F1066&gt;=0),E$47+(-E1066)/F1065,0)</f>
        <v>0</v>
      </c>
      <c r="G1067" s="60" t="n">
        <f aca="false">IF(AND(F1066&lt;0,G1066&gt;=0),F$47+(-F1066)/G1065,0)</f>
        <v>0</v>
      </c>
      <c r="H1067" s="60" t="n">
        <f aca="false">IF(AND(G1066&lt;0,H1066&gt;=0),G$47+(-G1066)/H1065,0)</f>
        <v>0</v>
      </c>
      <c r="I1067" s="60" t="n">
        <f aca="false">IF(AND(H1066&lt;0,I1066&gt;=0),H$47+(-H1066)/I1065,0)</f>
        <v>6.04098781725699</v>
      </c>
      <c r="J1067" s="60" t="n">
        <f aca="false">IF(AND(I1066&lt;0,J1066&gt;=0),I$47+(-I1066)/J1065,0)</f>
        <v>0</v>
      </c>
      <c r="K1067" s="60" t="n">
        <f aca="false">IF(AND(J1066&lt;0,K1066&gt;=0),J$47+(-J1066)/K1065,0)</f>
        <v>0</v>
      </c>
      <c r="L1067" s="60" t="n">
        <f aca="false">IF(AND(K1066&lt;0,L1066&gt;=0),K$47+(-K1066)/L1065,0)</f>
        <v>0</v>
      </c>
    </row>
    <row r="1068" customFormat="false" ht="15" hidden="true" customHeight="false" outlineLevel="1" collapsed="false">
      <c r="A1068" s="9" t="s">
        <v>430</v>
      </c>
      <c r="B1068" s="58" t="n">
        <f aca="false">IF(B$47&lt;0,0,(Quesería!$B$44*$B$1043*$B$1040)*(1-MAX(0,MIN(B$47-0-Quesería!$B$47,(Quesería!$B$46-Quesería!$B$47)))/(Quesería!$B$46-Quesería!$B$47))*IF(B$47&gt;=2,1-Quesería!$B$48,1))+IF(B$47&lt;1,0,(Quesería!$B$44*$C$1043*$C$1040)*(1-MAX(0,MIN(B$47-1-Quesería!$B$47,(Quesería!$B$46-Quesería!$B$47)))/(Quesería!$B$46-Quesería!$B$47))*IF(B$47&gt;=2,1-Quesería!$B$48,1))</f>
        <v>641.321364968425</v>
      </c>
      <c r="C1068" s="58" t="n">
        <f aca="false">IF(C$47&lt;0,0,(Quesería!$B$44*$B$1043*$B$1040)*(1-MAX(0,MIN(C$47-0-Quesería!$B$47,(Quesería!$B$46-Quesería!$B$47)))/(Quesería!$B$46-Quesería!$B$47))*IF(C$47&gt;=2,1-Quesería!$B$48,1))+IF(C$47&lt;1,0,(Quesería!$B$44*$C$1043*$C$1040)*(1-MAX(0,MIN(C$47-1-Quesería!$B$47,(Quesería!$B$46-Quesería!$B$47)))/(Quesería!$B$46-Quesería!$B$47))*IF(C$47&gt;=2,1-Quesería!$B$48,1))</f>
        <v>641.321364968425</v>
      </c>
      <c r="D1068" s="58" t="n">
        <f aca="false">IF(D$47&lt;0,0,(Quesería!$B$44*$B$1043*$B$1040)*(1-MAX(0,MIN(D$47-0-Quesería!$B$47,(Quesería!$B$46-Quesería!$B$47)))/(Quesería!$B$46-Quesería!$B$47))*IF(D$47&gt;=2,1-Quesería!$B$48,1))+IF(D$47&lt;1,0,(Quesería!$B$44*$C$1043*$C$1040)*(1-MAX(0,MIN(D$47-1-Quesería!$B$47,(Quesería!$B$46-Quesería!$B$47)))/(Quesería!$B$46-Quesería!$B$47))*IF(D$47&gt;=2,1-Quesería!$B$48,1))</f>
        <v>534.434470807021</v>
      </c>
      <c r="E1068" s="58" t="n">
        <f aca="false">IF(E$47&lt;0,0,(Quesería!$B$44*$B$1043*$B$1040)*(1-MAX(0,MIN(E$47-0-Quesería!$B$47,(Quesería!$B$46-Quesería!$B$47)))/(Quesería!$B$46-Quesería!$B$47))*IF(E$47&gt;=2,1-Quesería!$B$48,1))+IF(E$47&lt;1,0,(Quesería!$B$44*$C$1043*$C$1040)*(1-MAX(0,MIN(E$47-1-Quesería!$B$47,(Quesería!$B$46-Quesería!$B$47)))/(Quesería!$B$46-Quesería!$B$47))*IF(E$47&gt;=2,1-Quesería!$B$48,1))</f>
        <v>427.547576645617</v>
      </c>
      <c r="F1068" s="58" t="n">
        <f aca="false">IF(F$47&lt;0,0,(Quesería!$B$44*$B$1043*$B$1040)*(1-MAX(0,MIN(F$47-0-Quesería!$B$47,(Quesería!$B$46-Quesería!$B$47)))/(Quesería!$B$46-Quesería!$B$47))*IF(F$47&gt;=2,1-Quesería!$B$48,1))+IF(F$47&lt;1,0,(Quesería!$B$44*$C$1043*$C$1040)*(1-MAX(0,MIN(F$47-1-Quesería!$B$47,(Quesería!$B$46-Quesería!$B$47)))/(Quesería!$B$46-Quesería!$B$47))*IF(F$47&gt;=2,1-Quesería!$B$48,1))</f>
        <v>320.660682484213</v>
      </c>
      <c r="G1068" s="58" t="n">
        <f aca="false">IF(G$47&lt;0,0,(Quesería!$B$44*$B$1043*$B$1040)*(1-MAX(0,MIN(G$47-0-Quesería!$B$47,(Quesería!$B$46-Quesería!$B$47)))/(Quesería!$B$46-Quesería!$B$47))*IF(G$47&gt;=2,1-Quesería!$B$48,1))+IF(G$47&lt;1,0,(Quesería!$B$44*$C$1043*$C$1040)*(1-MAX(0,MIN(G$47-1-Quesería!$B$47,(Quesería!$B$46-Quesería!$B$47)))/(Quesería!$B$46-Quesería!$B$47))*IF(G$47&gt;=2,1-Quesería!$B$48,1))</f>
        <v>213.773788322808</v>
      </c>
      <c r="H1068" s="58" t="n">
        <f aca="false">IF(H$47&lt;0,0,(Quesería!$B$44*$B$1043*$B$1040)*(1-MAX(0,MIN(H$47-0-Quesería!$B$47,(Quesería!$B$46-Quesería!$B$47)))/(Quesería!$B$46-Quesería!$B$47))*IF(H$47&gt;=2,1-Quesería!$B$48,1))+IF(H$47&lt;1,0,(Quesería!$B$44*$C$1043*$C$1040)*(1-MAX(0,MIN(H$47-1-Quesería!$B$47,(Quesería!$B$46-Quesería!$B$47)))/(Quesería!$B$46-Quesería!$B$47))*IF(H$47&gt;=2,1-Quesería!$B$48,1))</f>
        <v>106.886894161404</v>
      </c>
      <c r="I1068" s="58" t="n">
        <f aca="false">IF(I$47&lt;0,0,(Quesería!$B$44*$B$1043*$B$1040)*(1-MAX(0,MIN(I$47-0-Quesería!$B$47,(Quesería!$B$46-Quesería!$B$47)))/(Quesería!$B$46-Quesería!$B$47))*IF(I$47&gt;=2,1-Quesería!$B$48,1))+IF(I$47&lt;1,0,(Quesería!$B$44*$C$1043*$C$1040)*(1-MAX(0,MIN(I$47-1-Quesería!$B$47,(Quesería!$B$46-Quesería!$B$47)))/(Quesería!$B$46-Quesería!$B$47))*IF(I$47&gt;=2,1-Quesería!$B$48,1))</f>
        <v>0</v>
      </c>
      <c r="J1068" s="58" t="n">
        <f aca="false">IF(J$47&lt;0,0,(Quesería!$B$44*$B$1043*$B$1040)*(1-MAX(0,MIN(J$47-0-Quesería!$B$47,(Quesería!$B$46-Quesería!$B$47)))/(Quesería!$B$46-Quesería!$B$47))*IF(J$47&gt;=2,1-Quesería!$B$48,1))+IF(J$47&lt;1,0,(Quesería!$B$44*$C$1043*$C$1040)*(1-MAX(0,MIN(J$47-1-Quesería!$B$47,(Quesería!$B$46-Quesería!$B$47)))/(Quesería!$B$46-Quesería!$B$47))*IF(J$47&gt;=2,1-Quesería!$B$48,1))</f>
        <v>0</v>
      </c>
      <c r="K1068" s="58" t="n">
        <f aca="false">IF(K$47&lt;0,0,(Quesería!$B$44*$B$1043*$B$1040)*(1-MAX(0,MIN(K$47-0-Quesería!$B$47,(Quesería!$B$46-Quesería!$B$47)))/(Quesería!$B$46-Quesería!$B$47))*IF(K$47&gt;=2,1-Quesería!$B$48,1))+IF(K$47&lt;1,0,(Quesería!$B$44*$C$1043*$C$1040)*(1-MAX(0,MIN(K$47-1-Quesería!$B$47,(Quesería!$B$46-Quesería!$B$47)))/(Quesería!$B$46-Quesería!$B$47))*IF(K$47&gt;=2,1-Quesería!$B$48,1))</f>
        <v>0</v>
      </c>
      <c r="L1068" s="58" t="n">
        <f aca="false">IF(L$47&lt;0,0,(Quesería!$B$44*$B$1043*$B$1040)*(1-MAX(0,MIN(L$47-0-Quesería!$B$47,(Quesería!$B$46-Quesería!$B$47)))/(Quesería!$B$46-Quesería!$B$47))*IF(L$47&gt;=2,1-Quesería!$B$48,1))+IF(L$47&lt;1,0,(Quesería!$B$44*$C$1043*$C$1040)*(1-MAX(0,MIN(L$47-1-Quesería!$B$47,(Quesería!$B$46-Quesería!$B$47)))/(Quesería!$B$46-Quesería!$B$47))*IF(L$47&gt;=2,1-Quesería!$B$48,1))</f>
        <v>0</v>
      </c>
    </row>
    <row r="1069" customFormat="false" ht="15" hidden="true" customHeight="false" outlineLevel="1" collapsed="false">
      <c r="A1069" s="6" t="s">
        <v>431</v>
      </c>
      <c r="B1069" s="29" t="n">
        <f aca="false">Quesería!$B$44*B1043</f>
        <v>605.02015563059</v>
      </c>
      <c r="C1069" s="29" t="n">
        <f aca="false">Quesería!$B$44*C1043</f>
        <v>0</v>
      </c>
      <c r="D1069" s="29" t="n">
        <f aca="false">Quesería!$B$44*D1043</f>
        <v>0</v>
      </c>
      <c r="E1069" s="29" t="n">
        <f aca="false">Quesería!$B$44*E1043</f>
        <v>0</v>
      </c>
      <c r="F1069" s="29" t="n">
        <f aca="false">Quesería!$B$44*F1043</f>
        <v>0</v>
      </c>
      <c r="G1069" s="29" t="n">
        <f aca="false">Quesería!$B$44*G1043</f>
        <v>0</v>
      </c>
      <c r="H1069" s="29" t="n">
        <f aca="false">Quesería!$B$44*H1043</f>
        <v>0</v>
      </c>
      <c r="I1069" s="29" t="n">
        <f aca="false">Quesería!$B$44*I1043</f>
        <v>0</v>
      </c>
      <c r="J1069" s="29" t="n">
        <f aca="false">Quesería!$B$44*J1043</f>
        <v>0</v>
      </c>
      <c r="K1069" s="29" t="n">
        <f aca="false">Quesería!$B$44*K1043</f>
        <v>0</v>
      </c>
      <c r="L1069" s="29" t="n">
        <f aca="false">Quesería!$B$44*L1043</f>
        <v>0</v>
      </c>
    </row>
    <row r="1070" customFormat="false" ht="15" hidden="true" customHeight="false" outlineLevel="1" collapsed="false">
      <c r="A1070" s="6" t="s">
        <v>432</v>
      </c>
      <c r="B1070" s="29" t="n">
        <f aca="false">(IF(AND(B$47&gt;0,B$47&lt;=0+Quesería!$B$46),($Y$14+$Y$28)*(Quesería!$B$44*$B$1043*$B$1040)*(1-MAX(0,MIN((B$47-1)-0-Quesería!$B$47,(Quesería!$B$46-Quesería!$B$47)))/(Quesería!$B$46-Quesería!$B$47))*IF(B$47&gt;2,1-Quesería!$B$48,1),0)+IF(AND(B$47&gt;1,B$47&lt;=1+Quesería!$B$46),($Y$14+$Y$28)*(Quesería!$B$44*$C$1043*$C$1040)*(1-MAX(0,MIN((B$47-1)-1-Quesería!$B$47,(Quesería!$B$46-Quesería!$B$47)))/(Quesería!$B$46-Quesería!$B$47))*IF(B$47&gt;2,1-Quesería!$B$48,1),0))*B1042</f>
        <v>0</v>
      </c>
      <c r="C1070" s="29" t="n">
        <f aca="false">(IF(AND(C$47&gt;0,C$47&lt;=0+Quesería!$B$46),($Y$14+$Y$28)*(Quesería!$B$44*$B$1043*$B$1040)*(1-MAX(0,MIN((C$47-1)-0-Quesería!$B$47,(Quesería!$B$46-Quesería!$B$47)))/(Quesería!$B$46-Quesería!$B$47))*IF(C$47&gt;2,1-Quesería!$B$48,1),0)+IF(AND(C$47&gt;1,C$47&lt;=1+Quesería!$B$46),($Y$14+$Y$28)*(Quesería!$B$44*$C$1043*$C$1040)*(1-MAX(0,MIN((C$47-1)-1-Quesería!$B$47,(Quesería!$B$46-Quesería!$B$47)))/(Quesería!$B$46-Quesería!$B$47))*IF(C$47&gt;2,1-Quesería!$B$48,1),0))*C1042</f>
        <v>81.2455637561078</v>
      </c>
      <c r="D1070" s="29" t="n">
        <f aca="false">(IF(AND(D$47&gt;0,D$47&lt;=0+Quesería!$B$46),($Y$14+$Y$28)*(Quesería!$B$44*$B$1043*$B$1040)*(1-MAX(0,MIN((D$47-1)-0-Quesería!$B$47,(Quesería!$B$46-Quesería!$B$47)))/(Quesería!$B$46-Quesería!$B$47))*IF(D$47&gt;2,1-Quesería!$B$48,1),0)+IF(AND(D$47&gt;1,D$47&lt;=1+Quesería!$B$46),($Y$14+$Y$28)*(Quesería!$B$44*$C$1043*$C$1040)*(1-MAX(0,MIN((D$47-1)-1-Quesería!$B$47,(Quesería!$B$46-Quesería!$B$47)))/(Quesería!$B$46-Quesería!$B$47))*IF(D$47&gt;2,1-Quesería!$B$48,1),0))*D1042</f>
        <v>77.7469509627826</v>
      </c>
      <c r="E1070" s="29" t="n">
        <f aca="false">(IF(AND(E$47&gt;0,E$47&lt;=0+Quesería!$B$46),($Y$14+$Y$28)*(Quesería!$B$44*$B$1043*$B$1040)*(1-MAX(0,MIN((E$47-1)-0-Quesería!$B$47,(Quesería!$B$46-Quesería!$B$47)))/(Quesería!$B$46-Quesería!$B$47))*IF(E$47&gt;2,1-Quesería!$B$48,1),0)+IF(AND(E$47&gt;1,E$47&lt;=1+Quesería!$B$46),($Y$14+$Y$28)*(Quesería!$B$44*$C$1043*$C$1040)*(1-MAX(0,MIN((E$47-1)-1-Quesería!$B$47,(Quesería!$B$46-Quesería!$B$47)))/(Quesería!$B$46-Quesería!$B$47))*IF(E$47&gt;2,1-Quesería!$B$48,1),0))*E1042</f>
        <v>62.2972363483835</v>
      </c>
      <c r="F1070" s="29" t="n">
        <f aca="false">(IF(AND(F$47&gt;0,F$47&lt;=0+Quesería!$B$46),($Y$14+$Y$28)*(Quesería!$B$44*$B$1043*$B$1040)*(1-MAX(0,MIN((F$47-1)-0-Quesería!$B$47,(Quesería!$B$46-Quesería!$B$47)))/(Quesería!$B$46-Quesería!$B$47))*IF(F$47&gt;2,1-Quesería!$B$48,1),0)+IF(AND(F$47&gt;1,F$47&lt;=1+Quesería!$B$46),($Y$14+$Y$28)*(Quesería!$B$44*$C$1043*$C$1040)*(1-MAX(0,MIN((F$47-1)-1-Quesería!$B$47,(Quesería!$B$46-Quesería!$B$47)))/(Quesería!$B$46-Quesería!$B$47))*IF(F$47&gt;2,1-Quesería!$B$48,1),0))*F1042</f>
        <v>47.920951037218</v>
      </c>
      <c r="G1070" s="29" t="n">
        <f aca="false">(IF(AND(G$47&gt;0,G$47&lt;=0+Quesería!$B$46),($Y$14+$Y$28)*(Quesería!$B$44*$B$1043*$B$1040)*(1-MAX(0,MIN((G$47-1)-0-Quesería!$B$47,(Quesería!$B$46-Quesería!$B$47)))/(Quesería!$B$46-Quesería!$B$47))*IF(G$47&gt;2,1-Quesería!$B$48,1),0)+IF(AND(G$47&gt;1,G$47&lt;=1+Quesería!$B$46),($Y$14+$Y$28)*(Quesería!$B$44*$C$1043*$C$1040)*(1-MAX(0,MIN((G$47-1)-1-Quesería!$B$47,(Quesería!$B$46-Quesería!$B$47)))/(Quesería!$B$46-Quesería!$B$47))*IF(G$47&gt;2,1-Quesería!$B$48,1),0))*G1042</f>
        <v>34.5583781518399</v>
      </c>
      <c r="H1070" s="29" t="n">
        <f aca="false">(IF(AND(H$47&gt;0,H$47&lt;=0+Quesería!$B$46),($Y$14+$Y$28)*(Quesería!$B$44*$B$1043*$B$1040)*(1-MAX(0,MIN((H$47-1)-0-Quesería!$B$47,(Quesería!$B$46-Quesería!$B$47)))/(Quesería!$B$46-Quesería!$B$47))*IF(H$47&gt;2,1-Quesería!$B$48,1),0)+IF(AND(H$47&gt;1,H$47&lt;=1+Quesería!$B$46),($Y$14+$Y$28)*(Quesería!$B$44*$C$1043*$C$1040)*(1-MAX(0,MIN((H$47-1)-1-Quesería!$B$47,(Quesería!$B$46-Quesería!$B$47)))/(Quesería!$B$46-Quesería!$B$47))*IF(H$47&gt;2,1-Quesería!$B$48,1),0))*H1042</f>
        <v>22.1528065075897</v>
      </c>
      <c r="I1070" s="29" t="n">
        <f aca="false">(IF(AND(I$47&gt;0,I$47&lt;=0+Quesería!$B$46),($Y$14+$Y$28)*(Quesería!$B$44*$B$1043*$B$1040)*(1-MAX(0,MIN((I$47-1)-0-Quesería!$B$47,(Quesería!$B$46-Quesería!$B$47)))/(Quesería!$B$46-Quesería!$B$47))*IF(I$47&gt;2,1-Quesería!$B$48,1),0)+IF(AND(I$47&gt;1,I$47&lt;=1+Quesería!$B$46),($Y$14+$Y$28)*(Quesería!$B$44*$C$1043*$C$1040)*(1-MAX(0,MIN((I$47-1)-1-Quesería!$B$47,(Quesería!$B$46-Quesería!$B$47)))/(Quesería!$B$46-Quesería!$B$47))*IF(I$47&gt;2,1-Quesería!$B$48,1),0))*I1042</f>
        <v>10.6503877440335</v>
      </c>
      <c r="J1070" s="29" t="n">
        <f aca="false">(IF(AND(J$47&gt;0,J$47&lt;=0+Quesería!$B$46),($Y$14+$Y$28)*(Quesería!$B$44*$B$1043*$B$1040)*(1-MAX(0,MIN((J$47-1)-0-Quesería!$B$47,(Quesería!$B$46-Quesería!$B$47)))/(Quesería!$B$46-Quesería!$B$47))*IF(J$47&gt;2,1-Quesería!$B$48,1),0)+IF(AND(J$47&gt;1,J$47&lt;=1+Quesería!$B$46),($Y$14+$Y$28)*(Quesería!$B$44*$C$1043*$C$1040)*(1-MAX(0,MIN((J$47-1)-1-Quesería!$B$47,(Quesería!$B$46-Quesería!$B$47)))/(Quesería!$B$46-Quesería!$B$47))*IF(J$47&gt;2,1-Quesería!$B$48,1),0))*J1042</f>
        <v>0</v>
      </c>
      <c r="K1070" s="29" t="n">
        <f aca="false">(IF(AND(K$47&gt;0,K$47&lt;=0+Quesería!$B$46),($Y$14+$Y$28)*(Quesería!$B$44*$B$1043*$B$1040)*(1-MAX(0,MIN((K$47-1)-0-Quesería!$B$47,(Quesería!$B$46-Quesería!$B$47)))/(Quesería!$B$46-Quesería!$B$47))*IF(K$47&gt;2,1-Quesería!$B$48,1),0)+IF(AND(K$47&gt;1,K$47&lt;=1+Quesería!$B$46),($Y$14+$Y$28)*(Quesería!$B$44*$C$1043*$C$1040)*(1-MAX(0,MIN((K$47-1)-1-Quesería!$B$47,(Quesería!$B$46-Quesería!$B$47)))/(Quesería!$B$46-Quesería!$B$47))*IF(K$47&gt;2,1-Quesería!$B$48,1),0))*K1042</f>
        <v>0</v>
      </c>
      <c r="L1070" s="29" t="n">
        <f aca="false">(IF(AND(L$47&gt;0,L$47&lt;=0+Quesería!$B$46),($Y$14+$Y$28)*(Quesería!$B$44*$B$1043*$B$1040)*(1-MAX(0,MIN((L$47-1)-0-Quesería!$B$47,(Quesería!$B$46-Quesería!$B$47)))/(Quesería!$B$46-Quesería!$B$47))*IF(L$47&gt;2,1-Quesería!$B$48,1),0)+IF(AND(L$47&gt;1,L$47&lt;=1+Quesería!$B$46),($Y$14+$Y$28)*(Quesería!$B$44*$C$1043*$C$1040)*(1-MAX(0,MIN((L$47-1)-1-Quesería!$B$47,(Quesería!$B$46-Quesería!$B$47)))/(Quesería!$B$46-Quesería!$B$47))*IF(L$47&gt;2,1-Quesería!$B$48,1),0))*L1042</f>
        <v>0</v>
      </c>
    </row>
    <row r="1071" customFormat="false" ht="15" hidden="true" customHeight="false" outlineLevel="1" collapsed="false">
      <c r="A1071" s="6" t="s">
        <v>433</v>
      </c>
      <c r="B1071" s="29" t="n">
        <f aca="false">((IF(AND(B$47&gt;0+Quesería!$B$47,B$47&lt;=0+Quesería!$B$46),(Quesería!$B$44*$B$1043*$B$1040)/(Quesería!$B$46-Quesería!$B$47),0)*IF(B$47&gt;2,1-Quesería!$B$48,1)+IF(B$47=2,Quesería!$B$48*(Quesería!$B$44*$B$1043*$B$1040)*(1-MAX(0,MIN(2-0-Quesería!$B$47,(Quesería!$B$46-Quesería!$B$47)))/(Quesería!$B$46-Quesería!$B$47)),0))+(IF(AND(B$47&gt;1+Quesería!$B$47,B$47&lt;=1+Quesería!$B$46),(Quesería!$B$44*$C$1043*$C$1040)/(Quesería!$B$46-Quesería!$B$47),0)*IF(B$47&gt;2,1-Quesería!$B$48,1)+IF(B$47=2,Quesería!$B$48*(Quesería!$B$44*$C$1043*$C$1040)*(1-MAX(0,MIN(2-1-Quesería!$B$47,(Quesería!$B$46-Quesería!$B$47)))/(Quesería!$B$46-Quesería!$B$47)),0)))*B1042</f>
        <v>0</v>
      </c>
      <c r="C1071" s="29" t="n">
        <f aca="false">((IF(AND(C$47&gt;0+Quesería!$B$47,C$47&lt;=0+Quesería!$B$46),(Quesería!$B$44*$B$1043*$B$1040)/(Quesería!$B$46-Quesería!$B$47),0)*IF(C$47&gt;2,1-Quesería!$B$48,1)+IF(C$47=2,Quesería!$B$48*(Quesería!$B$44*$B$1043*$B$1040)*(1-MAX(0,MIN(2-0-Quesería!$B$47,(Quesería!$B$46-Quesería!$B$47)))/(Quesería!$B$46-Quesería!$B$47)),0))+(IF(AND(C$47&gt;1+Quesería!$B$47,C$47&lt;=1+Quesería!$B$46),(Quesería!$B$44*$C$1043*$C$1040)/(Quesería!$B$46-Quesería!$B$47),0)*IF(C$47&gt;2,1-Quesería!$B$48,1)+IF(C$47=2,Quesería!$B$48*(Quesería!$B$44*$C$1043*$C$1040)*(1-MAX(0,MIN(2-1-Quesería!$B$47,(Quesería!$B$46-Quesería!$B$47)))/(Quesería!$B$46-Quesería!$B$47)),0)))*C1042</f>
        <v>0</v>
      </c>
      <c r="D1071" s="29" t="n">
        <f aca="false">((IF(AND(D$47&gt;0+Quesería!$B$47,D$47&lt;=0+Quesería!$B$46),(Quesería!$B$44*$B$1043*$B$1040)/(Quesería!$B$46-Quesería!$B$47),0)*IF(D$47&gt;2,1-Quesería!$B$48,1)+IF(D$47=2,Quesería!$B$48*(Quesería!$B$44*$B$1043*$B$1040)*(1-MAX(0,MIN(2-0-Quesería!$B$47,(Quesería!$B$46-Quesería!$B$47)))/(Quesería!$B$46-Quesería!$B$47)),0))+(IF(AND(D$47&gt;1+Quesería!$B$47,D$47&lt;=1+Quesería!$B$46),(Quesería!$B$44*$C$1043*$C$1040)/(Quesería!$B$46-Quesería!$B$47),0)*IF(D$47&gt;2,1-Quesería!$B$48,1)+IF(D$47=2,Quesería!$B$48*(Quesería!$B$44*$C$1043*$C$1040)*(1-MAX(0,MIN(2-1-Quesería!$B$47,(Quesería!$B$46-Quesería!$B$47)))/(Quesería!$B$46-Quesería!$B$47)),0)))*D1042</f>
        <v>91.8994692231472</v>
      </c>
      <c r="E1071" s="29" t="n">
        <f aca="false">((IF(AND(E$47&gt;0+Quesería!$B$47,E$47&lt;=0+Quesería!$B$46),(Quesería!$B$44*$B$1043*$B$1040)/(Quesería!$B$46-Quesería!$B$47),0)*IF(E$47&gt;2,1-Quesería!$B$48,1)+IF(E$47=2,Quesería!$B$48*(Quesería!$B$44*$B$1043*$B$1040)*(1-MAX(0,MIN(2-0-Quesería!$B$47,(Quesería!$B$46-Quesería!$B$47)))/(Quesería!$B$46-Quesería!$B$47)),0))+(IF(AND(E$47&gt;1+Quesería!$B$47,E$47&lt;=1+Quesería!$B$46),(Quesería!$B$44*$C$1043*$C$1040)/(Quesería!$B$46-Quesería!$B$47),0)*IF(E$47&gt;2,1-Quesería!$B$48,1)+IF(E$47=2,Quesería!$B$48*(Quesería!$B$44*$C$1043*$C$1040)*(1-MAX(0,MIN(2-1-Quesería!$B$47,(Quesería!$B$46-Quesería!$B$47)))/(Quesería!$B$46-Quesería!$B$47)),0)))*E1042</f>
        <v>88.3648742530262</v>
      </c>
      <c r="F1071" s="29" t="n">
        <f aca="false">((IF(AND(F$47&gt;0+Quesería!$B$47,F$47&lt;=0+Quesería!$B$46),(Quesería!$B$44*$B$1043*$B$1040)/(Quesería!$B$46-Quesería!$B$47),0)*IF(F$47&gt;2,1-Quesería!$B$48,1)+IF(F$47=2,Quesería!$B$48*(Quesería!$B$44*$B$1043*$B$1040)*(1-MAX(0,MIN(2-0-Quesería!$B$47,(Quesería!$B$46-Quesería!$B$47)))/(Quesería!$B$46-Quesería!$B$47)),0))+(IF(AND(F$47&gt;1+Quesería!$B$47,F$47&lt;=1+Quesería!$B$46),(Quesería!$B$44*$C$1043*$C$1040)/(Quesería!$B$46-Quesería!$B$47),0)*IF(F$47&gt;2,1-Quesería!$B$48,1)+IF(F$47=2,Quesería!$B$48*(Quesería!$B$44*$C$1043*$C$1040)*(1-MAX(0,MIN(2-1-Quesería!$B$47,(Quesería!$B$46-Quesería!$B$47)))/(Quesería!$B$46-Quesería!$B$47)),0)))*F1042</f>
        <v>84.9662252432944</v>
      </c>
      <c r="G1071" s="29" t="n">
        <f aca="false">((IF(AND(G$47&gt;0+Quesería!$B$47,G$47&lt;=0+Quesería!$B$46),(Quesería!$B$44*$B$1043*$B$1040)/(Quesería!$B$46-Quesería!$B$47),0)*IF(G$47&gt;2,1-Quesería!$B$48,1)+IF(G$47=2,Quesería!$B$48*(Quesería!$B$44*$B$1043*$B$1040)*(1-MAX(0,MIN(2-0-Quesería!$B$47,(Quesería!$B$46-Quesería!$B$47)))/(Quesería!$B$46-Quesería!$B$47)),0))+(IF(AND(G$47&gt;1+Quesería!$B$47,G$47&lt;=1+Quesería!$B$46),(Quesería!$B$44*$C$1043*$C$1040)/(Quesería!$B$46-Quesería!$B$47),0)*IF(G$47&gt;2,1-Quesería!$B$48,1)+IF(G$47=2,Quesería!$B$48*(Quesería!$B$44*$C$1043*$C$1040)*(1-MAX(0,MIN(2-1-Quesería!$B$47,(Quesería!$B$46-Quesería!$B$47)))/(Quesería!$B$46-Quesería!$B$47)),0)))*G1042</f>
        <v>81.6982935031677</v>
      </c>
      <c r="H1071" s="29" t="n">
        <f aca="false">((IF(AND(H$47&gt;0+Quesería!$B$47,H$47&lt;=0+Quesería!$B$46),(Quesería!$B$44*$B$1043*$B$1040)/(Quesería!$B$46-Quesería!$B$47),0)*IF(H$47&gt;2,1-Quesería!$B$48,1)+IF(H$47=2,Quesería!$B$48*(Quesería!$B$44*$B$1043*$B$1040)*(1-MAX(0,MIN(2-0-Quesería!$B$47,(Quesería!$B$46-Quesería!$B$47)))/(Quesería!$B$46-Quesería!$B$47)),0))+(IF(AND(H$47&gt;1+Quesería!$B$47,H$47&lt;=1+Quesería!$B$46),(Quesería!$B$44*$C$1043*$C$1040)/(Quesería!$B$46-Quesería!$B$47),0)*IF(H$47&gt;2,1-Quesería!$B$48,1)+IF(H$47=2,Quesería!$B$48*(Quesería!$B$44*$C$1043*$C$1040)*(1-MAX(0,MIN(2-1-Quesería!$B$47,(Quesería!$B$46-Quesería!$B$47)))/(Quesería!$B$46-Quesería!$B$47)),0)))*H1042</f>
        <v>78.5560514453536</v>
      </c>
      <c r="I1071" s="29" t="n">
        <f aca="false">((IF(AND(I$47&gt;0+Quesería!$B$47,I$47&lt;=0+Quesería!$B$46),(Quesería!$B$44*$B$1043*$B$1040)/(Quesería!$B$46-Quesería!$B$47),0)*IF(I$47&gt;2,1-Quesería!$B$48,1)+IF(I$47=2,Quesería!$B$48*(Quesería!$B$44*$B$1043*$B$1040)*(1-MAX(0,MIN(2-0-Quesería!$B$47,(Quesería!$B$46-Quesería!$B$47)))/(Quesería!$B$46-Quesería!$B$47)),0))+(IF(AND(I$47&gt;1+Quesería!$B$47,I$47&lt;=1+Quesería!$B$46),(Quesería!$B$44*$C$1043*$C$1040)/(Quesería!$B$46-Quesería!$B$47),0)*IF(I$47&gt;2,1-Quesería!$B$48,1)+IF(I$47=2,Quesería!$B$48*(Quesería!$B$44*$C$1043*$C$1040)*(1-MAX(0,MIN(2-1-Quesería!$B$47,(Quesería!$B$46-Quesería!$B$47)))/(Quesería!$B$46-Quesería!$B$47)),0)))*I1042</f>
        <v>75.5346648513015</v>
      </c>
      <c r="J1071" s="29" t="n">
        <f aca="false">((IF(AND(J$47&gt;0+Quesería!$B$47,J$47&lt;=0+Quesería!$B$46),(Quesería!$B$44*$B$1043*$B$1040)/(Quesería!$B$46-Quesería!$B$47),0)*IF(J$47&gt;2,1-Quesería!$B$48,1)+IF(J$47=2,Quesería!$B$48*(Quesería!$B$44*$B$1043*$B$1040)*(1-MAX(0,MIN(2-0-Quesería!$B$47,(Quesería!$B$46-Quesería!$B$47)))/(Quesería!$B$46-Quesería!$B$47)),0))+(IF(AND(J$47&gt;1+Quesería!$B$47,J$47&lt;=1+Quesería!$B$46),(Quesería!$B$44*$C$1043*$C$1040)/(Quesería!$B$46-Quesería!$B$47),0)*IF(J$47&gt;2,1-Quesería!$B$48,1)+IF(J$47=2,Quesería!$B$48*(Quesería!$B$44*$C$1043*$C$1040)*(1-MAX(0,MIN(2-1-Quesería!$B$47,(Quesería!$B$46-Quesería!$B$47)))/(Quesería!$B$46-Quesería!$B$47)),0)))*J1042</f>
        <v>0</v>
      </c>
      <c r="K1071" s="29" t="n">
        <f aca="false">((IF(AND(K$47&gt;0+Quesería!$B$47,K$47&lt;=0+Quesería!$B$46),(Quesería!$B$44*$B$1043*$B$1040)/(Quesería!$B$46-Quesería!$B$47),0)*IF(K$47&gt;2,1-Quesería!$B$48,1)+IF(K$47=2,Quesería!$B$48*(Quesería!$B$44*$B$1043*$B$1040)*(1-MAX(0,MIN(2-0-Quesería!$B$47,(Quesería!$B$46-Quesería!$B$47)))/(Quesería!$B$46-Quesería!$B$47)),0))+(IF(AND(K$47&gt;1+Quesería!$B$47,K$47&lt;=1+Quesería!$B$46),(Quesería!$B$44*$C$1043*$C$1040)/(Quesería!$B$46-Quesería!$B$47),0)*IF(K$47&gt;2,1-Quesería!$B$48,1)+IF(K$47=2,Quesería!$B$48*(Quesería!$B$44*$C$1043*$C$1040)*(1-MAX(0,MIN(2-1-Quesería!$B$47,(Quesería!$B$46-Quesería!$B$47)))/(Quesería!$B$46-Quesería!$B$47)),0)))*K1042</f>
        <v>0</v>
      </c>
      <c r="L1071" s="29" t="n">
        <f aca="false">((IF(AND(L$47&gt;0+Quesería!$B$47,L$47&lt;=0+Quesería!$B$46),(Quesería!$B$44*$B$1043*$B$1040)/(Quesería!$B$46-Quesería!$B$47),0)*IF(L$47&gt;2,1-Quesería!$B$48,1)+IF(L$47=2,Quesería!$B$48*(Quesería!$B$44*$B$1043*$B$1040)*(1-MAX(0,MIN(2-0-Quesería!$B$47,(Quesería!$B$46-Quesería!$B$47)))/(Quesería!$B$46-Quesería!$B$47)),0))+(IF(AND(L$47&gt;1+Quesería!$B$47,L$47&lt;=1+Quesería!$B$46),(Quesería!$B$44*$C$1043*$C$1040)/(Quesería!$B$46-Quesería!$B$47),0)*IF(L$47&gt;2,1-Quesería!$B$48,1)+IF(L$47=2,Quesería!$B$48*(Quesería!$B$44*$C$1043*$C$1040)*(1-MAX(0,MIN(2-1-Quesería!$B$47,(Quesería!$B$46-Quesería!$B$47)))/(Quesería!$B$46-Quesería!$B$47)),0)))*L1042</f>
        <v>0</v>
      </c>
    </row>
    <row r="1072" customFormat="false" ht="15" hidden="true" customHeight="false" outlineLevel="1" collapsed="false">
      <c r="A1072" s="6" t="s">
        <v>434</v>
      </c>
      <c r="B1072" s="29" t="n">
        <f aca="false">$Y$13*Quesería!$B$51*(1+0.19)*B1068*B1042+(1-$Y$13)*IF(B$47=0,Quesería!$B$50,0)</f>
        <v>4</v>
      </c>
      <c r="C1072" s="29" t="n">
        <f aca="false">$Y$13*Quesería!$B$51*(1+0.19)*C1068*C1042+(1-$Y$13)*IF(C$47=0,Quesería!$B$50,0)</f>
        <v>0</v>
      </c>
      <c r="D1072" s="29" t="n">
        <f aca="false">$Y$13*Quesería!$B$51*(1+0.19)*D1068*D1042+(1-$Y$13)*IF(D$47=0,Quesería!$B$50,0)</f>
        <v>0</v>
      </c>
      <c r="E1072" s="29" t="n">
        <f aca="false">$Y$13*Quesería!$B$51*(1+0.19)*E1068*E1042+(1-$Y$13)*IF(E$47=0,Quesería!$B$50,0)</f>
        <v>0</v>
      </c>
      <c r="F1072" s="29" t="n">
        <f aca="false">$Y$13*Quesería!$B$51*(1+0.19)*F1068*F1042+(1-$Y$13)*IF(F$47=0,Quesería!$B$50,0)</f>
        <v>0</v>
      </c>
      <c r="G1072" s="29" t="n">
        <f aca="false">$Y$13*Quesería!$B$51*(1+0.19)*G1068*G1042+(1-$Y$13)*IF(G$47=0,Quesería!$B$50,0)</f>
        <v>0</v>
      </c>
      <c r="H1072" s="29" t="n">
        <f aca="false">$Y$13*Quesería!$B$51*(1+0.19)*H1068*H1042+(1-$Y$13)*IF(H$47=0,Quesería!$B$50,0)</f>
        <v>0</v>
      </c>
      <c r="I1072" s="29" t="n">
        <f aca="false">$Y$13*Quesería!$B$51*(1+0.19)*I1068*I1042+(1-$Y$13)*IF(I$47=0,Quesería!$B$50,0)</f>
        <v>0</v>
      </c>
      <c r="J1072" s="29" t="n">
        <f aca="false">$Y$13*Quesería!$B$51*(1+0.19)*J1068*J1042+(1-$Y$13)*IF(J$47=0,Quesería!$B$50,0)</f>
        <v>0</v>
      </c>
      <c r="K1072" s="29" t="n">
        <f aca="false">$Y$13*Quesería!$B$51*(1+0.19)*K1068*K1042+(1-$Y$13)*IF(K$47=0,Quesería!$B$50,0)</f>
        <v>0</v>
      </c>
      <c r="L1072" s="29" t="n">
        <f aca="false">$Y$13*Quesería!$B$51*(1+0.19)*L1068*L1042+(1-$Y$13)*IF(L$47=0,Quesería!$B$50,0)</f>
        <v>0</v>
      </c>
    </row>
    <row r="1073" customFormat="false" ht="15" hidden="true" customHeight="false" outlineLevel="1" collapsed="false">
      <c r="A1073" s="6" t="s">
        <v>435</v>
      </c>
      <c r="B1073" s="29" t="n">
        <f aca="false">Quesería!$B$52*(B1070+B1071+B1072)</f>
        <v>0.016</v>
      </c>
      <c r="C1073" s="29" t="n">
        <f aca="false">Quesería!$B$52*(C1070+C1071+C1072)</f>
        <v>0.324982255024431</v>
      </c>
      <c r="D1073" s="29" t="n">
        <f aca="false">Quesería!$B$52*(D1070+D1071+D1072)</f>
        <v>0.678585680743719</v>
      </c>
      <c r="E1073" s="29" t="n">
        <f aca="false">Quesería!$B$52*(E1070+E1071+E1072)</f>
        <v>0.602648442405639</v>
      </c>
      <c r="F1073" s="29" t="n">
        <f aca="false">Quesería!$B$52*(F1070+F1071+F1072)</f>
        <v>0.53154870512205</v>
      </c>
      <c r="G1073" s="29" t="n">
        <f aca="false">Quesería!$B$52*(G1070+G1071+G1072)</f>
        <v>0.465026686620031</v>
      </c>
      <c r="H1073" s="29" t="n">
        <f aca="false">Quesería!$B$52*(H1070+H1071+H1072)</f>
        <v>0.402835431811773</v>
      </c>
      <c r="I1073" s="29" t="n">
        <f aca="false">Quesería!$B$52*(I1070+I1071+I1072)</f>
        <v>0.34474021038134</v>
      </c>
      <c r="J1073" s="29" t="n">
        <f aca="false">Quesería!$B$52*(J1070+J1071+J1072)</f>
        <v>0</v>
      </c>
      <c r="K1073" s="29" t="n">
        <f aca="false">Quesería!$B$52*(K1070+K1071+K1072)</f>
        <v>0</v>
      </c>
      <c r="L1073" s="29" t="n">
        <f aca="false">Quesería!$B$52*(L1070+L1071+L1072)</f>
        <v>0</v>
      </c>
    </row>
    <row r="1074" customFormat="false" ht="15" hidden="true" customHeight="false" outlineLevel="1" collapsed="false">
      <c r="A1074" s="6" t="s">
        <v>436</v>
      </c>
      <c r="B1074" s="29" t="n">
        <f aca="false">$Y$17*(B1070+B1072+0.5*B1073)</f>
        <v>1.4028</v>
      </c>
      <c r="C1074" s="29" t="n">
        <f aca="false">$Y$17*(C1070+C1072+0.5*C1073)</f>
        <v>28.492819209267</v>
      </c>
      <c r="D1074" s="29" t="n">
        <f aca="false">$Y$17*(D1070+D1072+0.5*D1073)</f>
        <v>27.330185331104</v>
      </c>
      <c r="E1074" s="29" t="n">
        <f aca="false">$Y$17*(E1070+E1072+0.5*E1073)</f>
        <v>21.9094961993552</v>
      </c>
      <c r="F1074" s="29" t="n">
        <f aca="false">$Y$17*(F1070+F1072+0.5*F1073)</f>
        <v>16.8653538864227</v>
      </c>
      <c r="G1074" s="29" t="n">
        <f aca="false">$Y$17*(G1070+G1072+0.5*G1073)</f>
        <v>12.1768120233025</v>
      </c>
      <c r="H1074" s="29" t="n">
        <f aca="false">$Y$17*(H1070+H1072+0.5*H1073)</f>
        <v>7.82397847822346</v>
      </c>
      <c r="I1074" s="29" t="n">
        <f aca="false">$Y$17*(I1070+I1072+0.5*I1073)</f>
        <v>3.78796524722846</v>
      </c>
      <c r="J1074" s="29" t="n">
        <f aca="false">$Y$17*(J1070+J1072+0.5*J1073)</f>
        <v>0</v>
      </c>
      <c r="K1074" s="29" t="n">
        <f aca="false">$Y$17*(K1070+K1072+0.5*K1073)</f>
        <v>0</v>
      </c>
      <c r="L1074" s="29" t="n">
        <f aca="false">$Y$17*(L1070+L1072+0.5*L1073)</f>
        <v>0</v>
      </c>
    </row>
    <row r="1075" customFormat="false" ht="15" hidden="true" customHeight="false" outlineLevel="1" collapsed="false">
      <c r="A1075" s="5" t="s">
        <v>437</v>
      </c>
      <c r="B1075" s="59" t="n">
        <f aca="false">B1060+B1069-B1070-B1071-B1072-B1073+B1074</f>
        <v>-358.744924503166</v>
      </c>
      <c r="C1075" s="59" t="n">
        <f aca="false">C1060+C1069-C1070-C1071-C1072-C1073+C1074</f>
        <v>344.798140175701</v>
      </c>
      <c r="D1075" s="59" t="n">
        <f aca="false">D1060+D1069-D1070-D1071-D1072-D1073+D1074</f>
        <v>142.454558592655</v>
      </c>
      <c r="E1075" s="59" t="n">
        <f aca="false">E1060+E1069-E1070-E1071-E1072-E1073+E1074</f>
        <v>26.4082665786688</v>
      </c>
      <c r="F1075" s="59" t="n">
        <f aca="false">F1060+F1069-F1070-F1071-F1072-F1073+F1074</f>
        <v>38.2309231063889</v>
      </c>
      <c r="G1075" s="59" t="n">
        <f aca="false">G1060+G1069-G1070-G1071-G1072-G1073+G1074</f>
        <v>16.5080970133283</v>
      </c>
      <c r="H1075" s="59" t="n">
        <f aca="false">H1060+H1069-H1070-H1071-H1072-H1073+H1074</f>
        <v>6.8306697971507</v>
      </c>
      <c r="I1075" s="59" t="n">
        <f aca="false">I1060+I1069-I1070-I1071-I1072-I1073+I1074</f>
        <v>78.5703792973222</v>
      </c>
      <c r="J1075" s="59" t="n">
        <f aca="false">J1060+J1069-J1070-J1071-J1072-J1073+J1074</f>
        <v>151.977533948407</v>
      </c>
      <c r="K1075" s="59" t="n">
        <f aca="false">K1060+K1069-K1070-K1071-K1072-K1073+K1074</f>
        <v>151.152630213308</v>
      </c>
      <c r="L1075" s="59" t="n">
        <f aca="false">L1060+L1069-L1070-L1071-L1072-L1073+L1074</f>
        <v>192.4399005555</v>
      </c>
    </row>
    <row r="1076" customFormat="false" ht="15" hidden="true" customHeight="false" outlineLevel="1" collapsed="false">
      <c r="A1076" s="9" t="s">
        <v>438</v>
      </c>
      <c r="B1076" s="58" t="n">
        <f aca="false">B1075*B1040</f>
        <v>-380.269619973356</v>
      </c>
      <c r="C1076" s="58" t="n">
        <f aca="false">C1075*C1040</f>
        <v>383.760330015556</v>
      </c>
      <c r="D1076" s="58" t="n">
        <f aca="false">D1075*D1040</f>
        <v>165.686760280738</v>
      </c>
      <c r="E1076" s="58" t="n">
        <f aca="false">E1075*E1040</f>
        <v>31.9436610829971</v>
      </c>
      <c r="F1076" s="58" t="n">
        <f aca="false">F1075*F1040</f>
        <v>48.0942235584118</v>
      </c>
      <c r="G1076" s="58" t="n">
        <f aca="false">G1075*G1040</f>
        <v>21.5977487730683</v>
      </c>
      <c r="H1076" s="58" t="n">
        <f aca="false">H1075*H1040</f>
        <v>9.29411631855552</v>
      </c>
      <c r="I1076" s="58" t="n">
        <f aca="false">I1075*I1040</f>
        <v>111.182644851962</v>
      </c>
      <c r="J1076" s="58" t="n">
        <f aca="false">J1075*J1040</f>
        <v>223.661320041003</v>
      </c>
      <c r="K1076" s="58" t="n">
        <f aca="false">K1075*K1040</f>
        <v>231.345224256375</v>
      </c>
      <c r="L1076" s="58" t="n">
        <f aca="false">L1075*L1040</f>
        <v>306.318546773165</v>
      </c>
    </row>
    <row r="1077" customFormat="false" ht="15" hidden="true" customHeight="false" outlineLevel="1" collapsed="false">
      <c r="A1077" s="9" t="s">
        <v>439</v>
      </c>
      <c r="B1077" s="57" t="n">
        <f aca="false">(B1040/$B$1040)/(1+Quesería!$B$11+$Y$28)^B$47</f>
        <v>1</v>
      </c>
      <c r="C1077" s="57" t="n">
        <f aca="false">(C1040/$B$1040)/(1+Quesería!$B$11+$Y$28)^C$47</f>
        <v>0.84</v>
      </c>
      <c r="D1077" s="57" t="n">
        <f aca="false">(D1040/$B$1040)/(1+Quesería!$B$11+$Y$28)^D$47</f>
        <v>0.70224</v>
      </c>
      <c r="E1077" s="57" t="n">
        <f aca="false">(E1040/$B$1040)/(1+Quesería!$B$11+$Y$28)^E$47</f>
        <v>0.58426368</v>
      </c>
      <c r="F1077" s="57" t="n">
        <f aca="false">(F1040/$B$1040)/(1+Quesería!$B$11+$Y$28)^F$47</f>
        <v>0.48610738176</v>
      </c>
      <c r="G1077" s="57" t="n">
        <f aca="false">(G1040/$B$1040)/(1+Quesería!$B$11+$Y$28)^G$47</f>
        <v>0.40444134162432</v>
      </c>
      <c r="H1077" s="57" t="n">
        <f aca="false">(H1040/$B$1040)/(1+Quesería!$B$11+$Y$28)^H$47</f>
        <v>0.336495196231434</v>
      </c>
      <c r="I1077" s="57" t="n">
        <f aca="false">(I1040/$B$1040)/(1+Quesería!$B$11+$Y$28)^I$47</f>
        <v>0.279964003264553</v>
      </c>
      <c r="J1077" s="57" t="n">
        <f aca="false">(J1040/$B$1040)/(1+Quesería!$B$11+$Y$28)^J$47</f>
        <v>0.232930050716108</v>
      </c>
      <c r="K1077" s="57" t="n">
        <f aca="false">(K1040/$B$1040)/(1+Quesería!$B$11+$Y$28)^K$47</f>
        <v>0.193797802195802</v>
      </c>
      <c r="L1077" s="57" t="n">
        <f aca="false">(L1040/$B$1040)/(1+Quesería!$B$11+$Y$28)^L$47</f>
        <v>0.161239771426907</v>
      </c>
    </row>
    <row r="1078" customFormat="false" ht="15" hidden="true" customHeight="false" outlineLevel="1" collapsed="false">
      <c r="A1078" s="9" t="s">
        <v>440</v>
      </c>
      <c r="B1078" s="58" t="n">
        <f aca="false">B1060+B1043+B1045+B1074</f>
        <v>120.166830858099</v>
      </c>
      <c r="C1078" s="58" t="n">
        <f aca="false">C1060+C1043+C1045+C1074</f>
        <v>426.368686186833</v>
      </c>
      <c r="D1078" s="58" t="n">
        <f aca="false">D1060+D1043+D1045+D1074</f>
        <v>312.779564459328</v>
      </c>
      <c r="E1078" s="58" t="n">
        <f aca="false">E1060+E1043+E1045+E1074</f>
        <v>177.673025622484</v>
      </c>
      <c r="F1078" s="58" t="n">
        <f aca="false">F1060+F1043+F1045+F1074</f>
        <v>171.649648092023</v>
      </c>
      <c r="G1078" s="58" t="n">
        <f aca="false">G1060+G1043+G1045+G1074</f>
        <v>138.448186636042</v>
      </c>
      <c r="H1078" s="58" t="n">
        <f aca="false">H1060+H1043+H1045+H1074</f>
        <v>116.756302766987</v>
      </c>
      <c r="I1078" s="58" t="n">
        <f aca="false">I1060+I1043+I1045+I1074</f>
        <v>165.100172103039</v>
      </c>
      <c r="J1078" s="58" t="n">
        <f aca="false">J1060+J1043+J1045+J1074</f>
        <v>151.977533948407</v>
      </c>
      <c r="K1078" s="58" t="n">
        <f aca="false">K1060+K1043+K1045+K1074</f>
        <v>151.152630213308</v>
      </c>
      <c r="L1078" s="58" t="n">
        <f aca="false">L1060+L1043+L1045+L1074</f>
        <v>192.4399005555</v>
      </c>
    </row>
    <row r="1079" customFormat="false" ht="15" hidden="true" customHeight="false" outlineLevel="1" collapsed="false">
      <c r="A1079" s="5" t="s">
        <v>149</v>
      </c>
      <c r="B1079" s="12" t="str">
        <f aca="false">IF(AND(B$47&gt;=1,(B1070+B1071+B1072)&gt;0.001),B1078/(B1070+B1071+B1072),"")</f>
        <v/>
      </c>
      <c r="C1079" s="12" t="n">
        <f aca="false">IF(AND(C$47&gt;=1,(C1070+C1071+C1072)&gt;0.001),C1078/(C1070+C1071+C1072),"")</f>
        <v>5.24790113423</v>
      </c>
      <c r="D1079" s="12" t="n">
        <f aca="false">IF(AND(D$47&gt;=1,(D1070+D1071+D1072)&gt;0.001),D1078/(D1070+D1071+D1072),"")</f>
        <v>1.84371449816935</v>
      </c>
      <c r="E1079" s="12" t="n">
        <f aca="false">IF(AND(E$47&gt;=1,(E1070+E1071+E1072)&gt;0.001),E1078/(E1070+E1071+E1072),"")</f>
        <v>1.17928140601013</v>
      </c>
      <c r="F1079" s="12" t="n">
        <f aca="false">IF(AND(F$47&gt;=1,(F1070+F1071+F1072)&gt;0.001),F1078/(F1070+F1071+F1072),"")</f>
        <v>1.29169460061133</v>
      </c>
      <c r="G1079" s="12" t="n">
        <f aca="false">IF(AND(G$47&gt;=1,(G1070+G1071+G1072)&gt;0.001),G1078/(G1070+G1071+G1072),"")</f>
        <v>1.19088379759303</v>
      </c>
      <c r="H1079" s="12" t="n">
        <f aca="false">IF(AND(H$47&gt;=1,(H1070+H1071+H1072)&gt;0.001),H1078/(H1070+H1071+H1072),"")</f>
        <v>1.15934491900943</v>
      </c>
      <c r="I1079" s="12" t="n">
        <f aca="false">IF(AND(I$47&gt;=1,(I1070+I1071+I1072)&gt;0.001),I1078/(I1070+I1071+I1072),"")</f>
        <v>1.91564740208762</v>
      </c>
      <c r="J1079" s="12" t="str">
        <f aca="false">IF(AND(J$47&gt;=1,(J1070+J1071+J1072)&gt;0.001),J1078/(J1070+J1071+J1072),"")</f>
        <v/>
      </c>
      <c r="K1079" s="12" t="str">
        <f aca="false">IF(AND(K$47&gt;=1,(K1070+K1071+K1072)&gt;0.001),K1078/(K1070+K1071+K1072),"")</f>
        <v/>
      </c>
      <c r="L1079" s="12" t="str">
        <f aca="false">IF(AND(L$47&gt;=1,(L1070+L1071+L1072)&gt;0.001),L1078/(L1070+L1071+L1072),"")</f>
        <v/>
      </c>
    </row>
    <row r="1081" customFormat="false" ht="15" hidden="false" customHeight="false" outlineLevel="0" collapsed="false">
      <c r="A1081" s="43" t="s">
        <v>1259</v>
      </c>
      <c r="B1081" s="44"/>
      <c r="C1081" s="44"/>
      <c r="D1081" s="44"/>
      <c r="E1081" s="44"/>
      <c r="F1081" s="44"/>
      <c r="G1081" s="44"/>
      <c r="H1081" s="44"/>
      <c r="I1081" s="44"/>
      <c r="J1081" s="44"/>
      <c r="K1081" s="44"/>
      <c r="L1081" s="44"/>
    </row>
    <row r="1082" customFormat="false" ht="15" hidden="true" customHeight="false" outlineLevel="1" collapsed="false">
      <c r="A1082" s="9" t="s">
        <v>406</v>
      </c>
      <c r="B1082" s="56" t="n">
        <f aca="false">CHOOSE($Z$15,Entorno!B$7,Entorno!B$8,Entorno!B$9)</f>
        <v>0.06</v>
      </c>
      <c r="C1082" s="56" t="n">
        <f aca="false">CHOOSE($Z$15,Entorno!C$7,Entorno!C$8,Entorno!C$9)</f>
        <v>0.05</v>
      </c>
      <c r="D1082" s="56" t="n">
        <f aca="false">CHOOSE($Z$15,Entorno!D$7,Entorno!D$8,Entorno!D$9)</f>
        <v>0.045</v>
      </c>
      <c r="E1082" s="56" t="n">
        <f aca="false">CHOOSE($Z$15,Entorno!E$7,Entorno!E$8,Entorno!E$9)</f>
        <v>0.04</v>
      </c>
      <c r="F1082" s="56" t="n">
        <f aca="false">CHOOSE($Z$15,Entorno!F$7,Entorno!F$8,Entorno!F$9)</f>
        <v>0.04</v>
      </c>
      <c r="G1082" s="56" t="n">
        <f aca="false">CHOOSE($Z$15,Entorno!G$7,Entorno!G$8,Entorno!G$9)</f>
        <v>0.04</v>
      </c>
      <c r="H1082" s="56" t="n">
        <f aca="false">CHOOSE($Z$15,Entorno!H$7,Entorno!H$8,Entorno!H$9)</f>
        <v>0.04</v>
      </c>
      <c r="I1082" s="56" t="n">
        <f aca="false">CHOOSE($Z$15,Entorno!I$7,Entorno!I$8,Entorno!I$9)</f>
        <v>0.04</v>
      </c>
      <c r="J1082" s="56" t="n">
        <f aca="false">CHOOSE($Z$15,Entorno!J$7,Entorno!J$8,Entorno!J$9)</f>
        <v>0.04</v>
      </c>
      <c r="K1082" s="56" t="n">
        <f aca="false">CHOOSE($Z$15,Entorno!K$7,Entorno!K$8,Entorno!K$9)</f>
        <v>0.04</v>
      </c>
      <c r="L1082" s="56" t="n">
        <f aca="false">CHOOSE($Z$15,Entorno!L$7,Entorno!L$8,Entorno!L$9)</f>
        <v>0.04</v>
      </c>
    </row>
    <row r="1083" customFormat="false" ht="15" hidden="true" customHeight="false" outlineLevel="1" collapsed="false">
      <c r="A1083" s="9" t="s">
        <v>407</v>
      </c>
      <c r="B1083" s="57" t="n">
        <f aca="false">1+B1082</f>
        <v>1.06</v>
      </c>
      <c r="C1083" s="57" t="n">
        <f aca="false">B1083*(1+C1082)</f>
        <v>1.113</v>
      </c>
      <c r="D1083" s="57" t="n">
        <f aca="false">C1083*(1+D1082)</f>
        <v>1.163085</v>
      </c>
      <c r="E1083" s="57" t="n">
        <f aca="false">D1083*(1+E1082)</f>
        <v>1.2096084</v>
      </c>
      <c r="F1083" s="57" t="n">
        <f aca="false">E1083*(1+F1082)</f>
        <v>1.257992736</v>
      </c>
      <c r="G1083" s="57" t="n">
        <f aca="false">F1083*(1+G1082)</f>
        <v>1.30831244544</v>
      </c>
      <c r="H1083" s="57" t="n">
        <f aca="false">G1083*(1+H1082)</f>
        <v>1.3606449432576</v>
      </c>
      <c r="I1083" s="57" t="n">
        <f aca="false">H1083*(1+I1082)</f>
        <v>1.4150707409879</v>
      </c>
      <c r="J1083" s="57" t="n">
        <f aca="false">I1083*(1+J1082)</f>
        <v>1.47167357062742</v>
      </c>
      <c r="K1083" s="57" t="n">
        <f aca="false">J1083*(1+K1082)</f>
        <v>1.53054051345252</v>
      </c>
      <c r="L1083" s="57" t="n">
        <f aca="false">K1083*(1+L1082)</f>
        <v>1.59176213399062</v>
      </c>
    </row>
    <row r="1084" customFormat="false" ht="15" hidden="true" customHeight="false" outlineLevel="1" collapsed="false">
      <c r="A1084" s="9" t="s">
        <v>408</v>
      </c>
      <c r="B1084" s="57" t="n">
        <f aca="false">(1+$Z$16)/(1+B1082)</f>
        <v>1.02358490566038</v>
      </c>
      <c r="C1084" s="57" t="n">
        <f aca="false">B1084*(1+Entorno!$B$13)</f>
        <v>1.02870283018868</v>
      </c>
      <c r="D1084" s="57" t="n">
        <f aca="false">C1084*(1+Entorno!$B$13)</f>
        <v>1.03384634433962</v>
      </c>
      <c r="E1084" s="57" t="n">
        <f aca="false">D1084*(1+Entorno!$B$13)</f>
        <v>1.03901557606132</v>
      </c>
      <c r="F1084" s="57" t="n">
        <f aca="false">E1084*(1+Entorno!$B$13)</f>
        <v>1.04421065394163</v>
      </c>
      <c r="G1084" s="57" t="n">
        <f aca="false">F1084*(1+Entorno!$B$13)</f>
        <v>1.04943170721133</v>
      </c>
      <c r="H1084" s="57" t="n">
        <f aca="false">G1084*(1+Entorno!$B$13)</f>
        <v>1.05467886574739</v>
      </c>
      <c r="I1084" s="57" t="n">
        <f aca="false">H1084*(1+Entorno!$B$13)</f>
        <v>1.05995226007613</v>
      </c>
      <c r="J1084" s="57" t="n">
        <f aca="false">I1084*(1+Entorno!$B$13)</f>
        <v>1.06525202137651</v>
      </c>
      <c r="K1084" s="57" t="n">
        <f aca="false">J1084*(1+Entorno!$B$13)</f>
        <v>1.07057828148339</v>
      </c>
      <c r="L1084" s="57" t="n">
        <f aca="false">K1084*(1+Entorno!$B$13)</f>
        <v>1.07593117289081</v>
      </c>
    </row>
    <row r="1085" customFormat="false" ht="15" hidden="true" customHeight="false" outlineLevel="1" collapsed="false">
      <c r="A1085" s="9" t="s">
        <v>409</v>
      </c>
      <c r="B1085" s="57" t="n">
        <f aca="false">1/B1083</f>
        <v>0.943396226415094</v>
      </c>
      <c r="C1085" s="57" t="n">
        <f aca="false">1/C1083</f>
        <v>0.898472596585804</v>
      </c>
      <c r="D1085" s="57" t="n">
        <f aca="false">1/D1083</f>
        <v>0.859782389077324</v>
      </c>
      <c r="E1085" s="57" t="n">
        <f aca="false">1/E1083</f>
        <v>0.826713835651273</v>
      </c>
      <c r="F1085" s="57" t="n">
        <f aca="false">1/F1083</f>
        <v>0.794917149664686</v>
      </c>
      <c r="G1085" s="57" t="n">
        <f aca="false">1/G1083</f>
        <v>0.764343413139121</v>
      </c>
      <c r="H1085" s="57" t="n">
        <f aca="false">1/H1083</f>
        <v>0.734945589556847</v>
      </c>
      <c r="I1085" s="57" t="n">
        <f aca="false">1/I1083</f>
        <v>0.706678451496968</v>
      </c>
      <c r="J1085" s="57" t="n">
        <f aca="false">1/J1083</f>
        <v>0.679498511054777</v>
      </c>
      <c r="K1085" s="57" t="n">
        <f aca="false">1/K1083</f>
        <v>0.653363952937286</v>
      </c>
      <c r="L1085" s="57" t="n">
        <f aca="false">1/L1083</f>
        <v>0.628234570132006</v>
      </c>
    </row>
    <row r="1086" customFormat="false" ht="15" hidden="true" customHeight="false" outlineLevel="1" collapsed="false">
      <c r="A1086" s="6" t="s">
        <v>323</v>
      </c>
      <c r="B1086" s="29" t="n">
        <f aca="false">IF(B$47=0,Quesería!$F$92,IF(B$47=1,(Quesería!$F$93-(-$Z$26)*Quesería!$D$86*(1+Quesería!$I$86))*$Z$21,0))*$Z$11</f>
        <v>930.800239431677</v>
      </c>
      <c r="C1086" s="29" t="n">
        <f aca="false">IF(C$47=0,Quesería!$F$92,IF(C$47=1,(Quesería!$F$93-(-$Z$26)*Quesería!$D$86*(1+Quesería!$I$86))*$Z$21,0))*$Z$11</f>
        <v>658.469066674498</v>
      </c>
      <c r="D1086" s="29" t="n">
        <f aca="false">IF(D$47=0,Quesería!$F$92,IF(D$47=1,(Quesería!$F$93-(-$Z$26)*Quesería!$D$86*(1+Quesería!$I$86))*$Z$21,0))*$Z$11</f>
        <v>0</v>
      </c>
      <c r="E1086" s="29" t="n">
        <f aca="false">IF(E$47=0,Quesería!$F$92,IF(E$47=1,(Quesería!$F$93-(-$Z$26)*Quesería!$D$86*(1+Quesería!$I$86))*$Z$21,0))*$Z$11</f>
        <v>0</v>
      </c>
      <c r="F1086" s="29" t="n">
        <f aca="false">IF(F$47=0,Quesería!$F$92,IF(F$47=1,(Quesería!$F$93-(-$Z$26)*Quesería!$D$86*(1+Quesería!$I$86))*$Z$21,0))*$Z$11</f>
        <v>0</v>
      </c>
      <c r="G1086" s="29" t="n">
        <f aca="false">IF(G$47=0,Quesería!$F$92,IF(G$47=1,(Quesería!$F$93-(-$Z$26)*Quesería!$D$86*(1+Quesería!$I$86))*$Z$21,0))*$Z$11</f>
        <v>0</v>
      </c>
      <c r="H1086" s="29" t="n">
        <f aca="false">IF(H$47=0,Quesería!$F$92,IF(H$47=1,(Quesería!$F$93-(-$Z$26)*Quesería!$D$86*(1+Quesería!$I$86))*$Z$21,0))*$Z$11</f>
        <v>0</v>
      </c>
      <c r="I1086" s="29" t="n">
        <f aca="false">IF(I$47=0,Quesería!$F$92,IF(I$47=1,(Quesería!$F$93-(-$Z$26)*Quesería!$D$86*(1+Quesería!$I$86))*$Z$21,0))*$Z$11</f>
        <v>0</v>
      </c>
      <c r="J1086" s="29" t="n">
        <f aca="false">IF(J$47=0,Quesería!$F$92,IF(J$47=1,(Quesería!$F$93-(-$Z$26)*Quesería!$D$86*(1+Quesería!$I$86))*$Z$21,0))*$Z$11</f>
        <v>0</v>
      </c>
      <c r="K1086" s="29" t="n">
        <f aca="false">IF(K$47=0,Quesería!$F$92,IF(K$47=1,(Quesería!$F$93-(-$Z$26)*Quesería!$D$86*(1+Quesería!$I$86))*$Z$21,0))*$Z$11</f>
        <v>0</v>
      </c>
      <c r="L1086" s="29" t="n">
        <f aca="false">IF(L$47=0,Quesería!$F$92,IF(L$47=1,(Quesería!$F$93-(-$Z$26)*Quesería!$D$86*(1+Quesería!$I$86))*$Z$21,0))*$Z$11</f>
        <v>0</v>
      </c>
    </row>
    <row r="1087" customFormat="false" ht="15" hidden="true" customHeight="false" outlineLevel="1" collapsed="false">
      <c r="A1087" s="6" t="s">
        <v>410</v>
      </c>
      <c r="B1087" s="29" t="n">
        <f aca="false">IF(B$47=5,Quesería!$F$99,IF(B$47=6,Quesería!$F$100,0))*$Z$11</f>
        <v>0</v>
      </c>
      <c r="C1087" s="29" t="n">
        <f aca="false">IF(C$47=5,Quesería!$F$99,IF(C$47=6,Quesería!$F$100,0))*$Z$11</f>
        <v>0</v>
      </c>
      <c r="D1087" s="29" t="n">
        <f aca="false">IF(D$47=5,Quesería!$F$99,IF(D$47=6,Quesería!$F$100,0))*$Z$11</f>
        <v>0</v>
      </c>
      <c r="E1087" s="29" t="n">
        <f aca="false">IF(E$47=5,Quesería!$F$99,IF(E$47=6,Quesería!$F$100,0))*$Z$11</f>
        <v>0</v>
      </c>
      <c r="F1087" s="29" t="n">
        <f aca="false">IF(F$47=5,Quesería!$F$99,IF(F$47=6,Quesería!$F$100,0))*$Z$11</f>
        <v>0</v>
      </c>
      <c r="G1087" s="29" t="n">
        <f aca="false">IF(G$47=5,Quesería!$F$99,IF(G$47=6,Quesería!$F$100,0))*$Z$11</f>
        <v>27.4652172688735</v>
      </c>
      <c r="H1087" s="29" t="n">
        <f aca="false">IF(H$47=5,Quesería!$F$99,IF(H$47=6,Quesería!$F$100,0))*$Z$11</f>
        <v>46.3891557109552</v>
      </c>
      <c r="I1087" s="29" t="n">
        <f aca="false">IF(I$47=5,Quesería!$F$99,IF(I$47=6,Quesería!$F$100,0))*$Z$11</f>
        <v>0</v>
      </c>
      <c r="J1087" s="29" t="n">
        <f aca="false">IF(J$47=5,Quesería!$F$99,IF(J$47=6,Quesería!$F$100,0))*$Z$11</f>
        <v>0</v>
      </c>
      <c r="K1087" s="29" t="n">
        <f aca="false">IF(K$47=5,Quesería!$F$99,IF(K$47=6,Quesería!$F$100,0))*$Z$11</f>
        <v>0</v>
      </c>
      <c r="L1087" s="29" t="n">
        <f aca="false">IF(L$47=5,Quesería!$F$99,IF(L$47=6,Quesería!$F$100,0))*$Z$11</f>
        <v>0</v>
      </c>
    </row>
    <row r="1088" customFormat="false" ht="15" hidden="true" customHeight="false" outlineLevel="1" collapsed="false">
      <c r="A1088" s="6" t="s">
        <v>411</v>
      </c>
      <c r="B1088" s="29" t="n">
        <f aca="false">Quesería!$B$55*(IF(B$47=0,SUMPRODUCT((Quesería!$C$70:$C$89=0)*(Quesería!$H$70:$H$89&gt;0)*(Quesería!$J$70:$J$89&gt;0)*Quesería!$F$70:$F$89*(1+Quesería!$I$70:$I$89)),IF(B$47=1,(SUMPRODUCT((Quesería!$C$70:$C$89=1)*(Quesería!$H$70:$H$89&gt;0)*(Quesería!$J$70:$J$89&gt;0)*Quesería!$F$70:$F$89*(1+Quesería!$I$70:$I$89))-(-$Z$26)*Quesería!$D$86*(1+Quesería!$I$86))*$Z$21,0))*$Z$11+B1087)</f>
        <v>149.115671560178</v>
      </c>
      <c r="C1088" s="29" t="n">
        <f aca="false">Quesería!$B$55*(IF(C$47=0,SUMPRODUCT((Quesería!$C$70:$C$89=0)*(Quesería!$H$70:$H$89&gt;0)*(Quesería!$J$70:$J$89&gt;0)*Quesería!$F$70:$F$89*(1+Quesería!$I$70:$I$89)),IF(C$47=1,(SUMPRODUCT((Quesería!$C$70:$C$89=1)*(Quesería!$H$70:$H$89&gt;0)*(Quesería!$J$70:$J$89&gt;0)*Quesería!$F$70:$F$89*(1+Quesería!$I$70:$I$89))-(-$Z$26)*Quesería!$D$86*(1+Quesería!$I$86))*$Z$21,0))*$Z$11+C1087)</f>
        <v>125.109122668155</v>
      </c>
      <c r="D1088" s="29" t="n">
        <f aca="false">Quesería!$B$55*(IF(D$47=0,SUMPRODUCT((Quesería!$C$70:$C$89=0)*(Quesería!$H$70:$H$89&gt;0)*(Quesería!$J$70:$J$89&gt;0)*Quesería!$F$70:$F$89*(1+Quesería!$I$70:$I$89)),IF(D$47=1,(SUMPRODUCT((Quesería!$C$70:$C$89=1)*(Quesería!$H$70:$H$89&gt;0)*(Quesería!$J$70:$J$89&gt;0)*Quesería!$F$70:$F$89*(1+Quesería!$I$70:$I$89))-(-$Z$26)*Quesería!$D$86*(1+Quesería!$I$86))*$Z$21,0))*$Z$11+D1087)</f>
        <v>0</v>
      </c>
      <c r="E1088" s="29" t="n">
        <f aca="false">Quesería!$B$55*(IF(E$47=0,SUMPRODUCT((Quesería!$C$70:$C$89=0)*(Quesería!$H$70:$H$89&gt;0)*(Quesería!$J$70:$J$89&gt;0)*Quesería!$F$70:$F$89*(1+Quesería!$I$70:$I$89)),IF(E$47=1,(SUMPRODUCT((Quesería!$C$70:$C$89=1)*(Quesería!$H$70:$H$89&gt;0)*(Quesería!$J$70:$J$89&gt;0)*Quesería!$F$70:$F$89*(1+Quesería!$I$70:$I$89))-(-$Z$26)*Quesería!$D$86*(1+Quesería!$I$86))*$Z$21,0))*$Z$11+E1087)</f>
        <v>0</v>
      </c>
      <c r="F1088" s="29" t="n">
        <f aca="false">Quesería!$B$55*(IF(F$47=0,SUMPRODUCT((Quesería!$C$70:$C$89=0)*(Quesería!$H$70:$H$89&gt;0)*(Quesería!$J$70:$J$89&gt;0)*Quesería!$F$70:$F$89*(1+Quesería!$I$70:$I$89)),IF(F$47=1,(SUMPRODUCT((Quesería!$C$70:$C$89=1)*(Quesería!$H$70:$H$89&gt;0)*(Quesería!$J$70:$J$89&gt;0)*Quesería!$F$70:$F$89*(1+Quesería!$I$70:$I$89))-(-$Z$26)*Quesería!$D$86*(1+Quesería!$I$86))*$Z$21,0))*$Z$11+F1087)</f>
        <v>0</v>
      </c>
      <c r="G1088" s="29" t="n">
        <f aca="false">Quesería!$B$55*(IF(G$47=0,SUMPRODUCT((Quesería!$C$70:$C$89=0)*(Quesería!$H$70:$H$89&gt;0)*(Quesería!$J$70:$J$89&gt;0)*Quesería!$F$70:$F$89*(1+Quesería!$I$70:$I$89)),IF(G$47=1,(SUMPRODUCT((Quesería!$C$70:$C$89=1)*(Quesería!$H$70:$H$89&gt;0)*(Quesería!$J$70:$J$89&gt;0)*Quesería!$F$70:$F$89*(1+Quesería!$I$70:$I$89))-(-$Z$26)*Quesería!$D$86*(1+Quesería!$I$86))*$Z$21,0))*$Z$11+G1087)</f>
        <v>5.21839128108597</v>
      </c>
      <c r="H1088" s="29" t="n">
        <f aca="false">Quesería!$B$55*(IF(H$47=0,SUMPRODUCT((Quesería!$C$70:$C$89=0)*(Quesería!$H$70:$H$89&gt;0)*(Quesería!$J$70:$J$89&gt;0)*Quesería!$F$70:$F$89*(1+Quesería!$I$70:$I$89)),IF(H$47=1,(SUMPRODUCT((Quesería!$C$70:$C$89=1)*(Quesería!$H$70:$H$89&gt;0)*(Quesería!$J$70:$J$89&gt;0)*Quesería!$F$70:$F$89*(1+Quesería!$I$70:$I$89))-(-$Z$26)*Quesería!$D$86*(1+Quesería!$I$86))*$Z$21,0))*$Z$11+H1087)</f>
        <v>8.8139395850815</v>
      </c>
      <c r="I1088" s="29" t="n">
        <f aca="false">Quesería!$B$55*(IF(I$47=0,SUMPRODUCT((Quesería!$C$70:$C$89=0)*(Quesería!$H$70:$H$89&gt;0)*(Quesería!$J$70:$J$89&gt;0)*Quesería!$F$70:$F$89*(1+Quesería!$I$70:$I$89)),IF(I$47=1,(SUMPRODUCT((Quesería!$C$70:$C$89=1)*(Quesería!$H$70:$H$89&gt;0)*(Quesería!$J$70:$J$89&gt;0)*Quesería!$F$70:$F$89*(1+Quesería!$I$70:$I$89))-(-$Z$26)*Quesería!$D$86*(1+Quesería!$I$86))*$Z$21,0))*$Z$11+I1087)</f>
        <v>0</v>
      </c>
      <c r="J1088" s="29" t="n">
        <f aca="false">Quesería!$B$55*(IF(J$47=0,SUMPRODUCT((Quesería!$C$70:$C$89=0)*(Quesería!$H$70:$H$89&gt;0)*(Quesería!$J$70:$J$89&gt;0)*Quesería!$F$70:$F$89*(1+Quesería!$I$70:$I$89)),IF(J$47=1,(SUMPRODUCT((Quesería!$C$70:$C$89=1)*(Quesería!$H$70:$H$89&gt;0)*(Quesería!$J$70:$J$89&gt;0)*Quesería!$F$70:$F$89*(1+Quesería!$I$70:$I$89))-(-$Z$26)*Quesería!$D$86*(1+Quesería!$I$86))*$Z$21,0))*$Z$11+J1087)</f>
        <v>0</v>
      </c>
      <c r="K1088" s="29" t="n">
        <f aca="false">Quesería!$B$55*(IF(K$47=0,SUMPRODUCT((Quesería!$C$70:$C$89=0)*(Quesería!$H$70:$H$89&gt;0)*(Quesería!$J$70:$J$89&gt;0)*Quesería!$F$70:$F$89*(1+Quesería!$I$70:$I$89)),IF(K$47=1,(SUMPRODUCT((Quesería!$C$70:$C$89=1)*(Quesería!$H$70:$H$89&gt;0)*(Quesería!$J$70:$J$89&gt;0)*Quesería!$F$70:$F$89*(1+Quesería!$I$70:$I$89))-(-$Z$26)*Quesería!$D$86*(1+Quesería!$I$86))*$Z$21,0))*$Z$11+K1087)</f>
        <v>0</v>
      </c>
      <c r="L1088" s="29" t="n">
        <f aca="false">Quesería!$B$55*(IF(L$47=0,SUMPRODUCT((Quesería!$C$70:$C$89=0)*(Quesería!$H$70:$H$89&gt;0)*(Quesería!$J$70:$J$89&gt;0)*Quesería!$F$70:$F$89*(1+Quesería!$I$70:$I$89)),IF(L$47=1,(SUMPRODUCT((Quesería!$C$70:$C$89=1)*(Quesería!$H$70:$H$89&gt;0)*(Quesería!$J$70:$J$89&gt;0)*Quesería!$F$70:$F$89*(1+Quesería!$I$70:$I$89))-(-$Z$26)*Quesería!$D$86*(1+Quesería!$I$86))*$Z$21,0))*$Z$11+L1087)</f>
        <v>0</v>
      </c>
    </row>
    <row r="1089" customFormat="false" ht="15" hidden="true" customHeight="false" outlineLevel="1" collapsed="false">
      <c r="A1089" s="6" t="s">
        <v>386</v>
      </c>
      <c r="B1089" s="29" t="n">
        <f aca="false">IF(B$47=0,($Z$22*Quesería!$J$126+(1-$Z$22)*Quesería!$E$122)*Quesería!$B$20*Quesería!$B$21/12*$Z$23,(($Z$22*Quesería!$J$126+(1-$Z$22)*Quesería!$E$122)+($Z$22*Quesería!$J$104+(1-$Z$22)*Quesería!$E$104)*(B1084-1))*IF(B$47=1,Quesería!$B$20,1))*$Z$10</f>
        <v>120.716772261203</v>
      </c>
      <c r="C1089" s="29" t="n">
        <f aca="false">IF(C$47=0,($Z$22*Quesería!$J$126+(1-$Z$22)*Quesería!$E$122)*Quesería!$B$20*Quesería!$B$21/12*$Z$23,(($Z$22*Quesería!$J$126+(1-$Z$22)*Quesería!$E$122)+($Z$22*Quesería!$J$104+(1-$Z$22)*Quesería!$E$104)*(C1084-1))*IF(C$47=1,Quesería!$B$20,1))*$Z$10</f>
        <v>181.328317354069</v>
      </c>
      <c r="D1089" s="29" t="n">
        <f aca="false">IF(D$47=0,($Z$22*Quesería!$J$126+(1-$Z$22)*Quesería!$E$122)*Quesería!$B$20*Quesería!$B$21/12*$Z$23,(($Z$22*Quesería!$J$126+(1-$Z$22)*Quesería!$E$122)+($Z$22*Quesería!$J$104+(1-$Z$22)*Quesería!$E$104)*(D1084-1))*IF(D$47=1,Quesería!$B$20,1))*$Z$10</f>
        <v>241.83157753184</v>
      </c>
      <c r="E1089" s="29" t="n">
        <f aca="false">IF(E$47=0,($Z$22*Quesería!$J$126+(1-$Z$22)*Quesería!$E$122)*Quesería!$B$20*Quesería!$B$21/12*$Z$23,(($Z$22*Quesería!$J$126+(1-$Z$22)*Quesería!$E$122)+($Z$22*Quesería!$J$104+(1-$Z$22)*Quesería!$E$104)*(E1084-1))*IF(E$47=1,Quesería!$B$20,1))*$Z$10</f>
        <v>241.892367696887</v>
      </c>
      <c r="F1089" s="29" t="n">
        <f aca="false">IF(F$47=0,($Z$22*Quesería!$J$126+(1-$Z$22)*Quesería!$E$122)*Quesería!$B$20*Quesería!$B$21/12*$Z$23,(($Z$22*Quesería!$J$126+(1-$Z$22)*Quesería!$E$122)+($Z$22*Quesería!$J$104+(1-$Z$22)*Quesería!$E$104)*(F1084-1))*IF(F$47=1,Quesería!$B$20,1))*$Z$10</f>
        <v>241.95346181276</v>
      </c>
      <c r="G1089" s="29" t="n">
        <f aca="false">IF(G$47=0,($Z$22*Quesería!$J$126+(1-$Z$22)*Quesería!$E$122)*Quesería!$B$20*Quesería!$B$21/12*$Z$23,(($Z$22*Quesería!$J$126+(1-$Z$22)*Quesería!$E$122)+($Z$22*Quesería!$J$104+(1-$Z$22)*Quesería!$E$104)*(G1084-1))*IF(G$47=1,Quesería!$B$20,1))*$Z$10</f>
        <v>242.014861399211</v>
      </c>
      <c r="H1089" s="29" t="n">
        <f aca="false">IF(H$47=0,($Z$22*Quesería!$J$126+(1-$Z$22)*Quesería!$E$122)*Quesería!$B$20*Quesería!$B$21/12*$Z$23,(($Z$22*Quesería!$J$126+(1-$Z$22)*Quesería!$E$122)+($Z$22*Quesería!$J$104+(1-$Z$22)*Quesería!$E$104)*(H1084-1))*IF(H$47=1,Quesería!$B$20,1))*$Z$10</f>
        <v>242.076567983595</v>
      </c>
      <c r="I1089" s="29" t="n">
        <f aca="false">IF(I$47=0,($Z$22*Quesería!$J$126+(1-$Z$22)*Quesería!$E$122)*Quesería!$B$20*Quesería!$B$21/12*$Z$23,(($Z$22*Quesería!$J$126+(1-$Z$22)*Quesería!$E$122)+($Z$22*Quesería!$J$104+(1-$Z$22)*Quesería!$E$104)*(I1084-1))*IF(I$47=1,Quesería!$B$20,1))*$Z$10</f>
        <v>242.138583100901</v>
      </c>
      <c r="J1089" s="29" t="n">
        <f aca="false">IF(J$47=0,($Z$22*Quesería!$J$126+(1-$Z$22)*Quesería!$E$122)*Quesería!$B$20*Quesería!$B$21/12*$Z$23,(($Z$22*Quesería!$J$126+(1-$Z$22)*Quesería!$E$122)+($Z$22*Quesería!$J$104+(1-$Z$22)*Quesería!$E$104)*(J1084-1))*IF(J$47=1,Quesería!$B$20,1))*$Z$10</f>
        <v>242.200908293794</v>
      </c>
      <c r="K1089" s="29" t="n">
        <f aca="false">IF(K$47=0,($Z$22*Quesería!$J$126+(1-$Z$22)*Quesería!$E$122)*Quesería!$B$20*Quesería!$B$21/12*$Z$23,(($Z$22*Quesería!$J$126+(1-$Z$22)*Quesería!$E$122)+($Z$22*Quesería!$J$104+(1-$Z$22)*Quesería!$E$104)*(K1084-1))*IF(K$47=1,Quesería!$B$20,1))*$Z$10</f>
        <v>242.263545112651</v>
      </c>
      <c r="L1089" s="29" t="n">
        <f aca="false">IF(L$47=0,($Z$22*Quesería!$J$126+(1-$Z$22)*Quesería!$E$122)*Quesería!$B$20*Quesería!$B$21/12*$Z$23,(($Z$22*Quesería!$J$126+(1-$Z$22)*Quesería!$E$122)+($Z$22*Quesería!$J$104+(1-$Z$22)*Quesería!$E$104)*(L1084-1))*IF(L$47=1,Quesería!$B$20,1))*$Z$10</f>
        <v>242.326495115602</v>
      </c>
    </row>
    <row r="1090" customFormat="false" ht="15" hidden="true" customHeight="false" outlineLevel="1" collapsed="false">
      <c r="A1090" s="6" t="s">
        <v>387</v>
      </c>
      <c r="B1090" s="29" t="n">
        <f aca="false">IF(B$47&lt;=1,0,((($Z$22*Quesería!$J$127+(1-$Z$22)*Quesería!$E$123)-($Z$22*Quesería!$J$113+(1-$Z$22)*Quesería!$E$113)+$Z$6*($Z$22*Quesería!$J$113+(1-$Z$22)*Quesería!$E$113)-(1-$Z$9)*(($Z$22*Quesería!$J$119+(1-$Z$22)*Quesería!$E$119)+($Z$22*Quesería!$J$118+(1-$Z$22)*Quesería!$E$118))-(1-$Z$24)*($Z$22*Quesería!$J$117+(1-$Z$22)*Quesería!$E$117)+$Z$24*(1-$Z$25)*'Beneficios y costos'!$B$144-(-$Z$26*$Z$27)*'Beneficios y costos'!$C$167)+($Z$6*($Z$22*Quesería!$J$113+(1-$Z$22)*Quesería!$E$113)+$Z$9*($Z$22*Quesería!$J$119+(1-$Z$22)*Quesería!$E$119))*(B1084-1))*IF(B$47=2,Quesería!$B$20,1)+IF(B$47=2,Quesería!$B$24*$Z$9*($Z$22*Quesería!$J$119+(1-$Z$22)*Quesería!$E$119)*B1084,0))*$Z$10*$Z$21</f>
        <v>0</v>
      </c>
      <c r="C1090" s="29" t="n">
        <f aca="false">IF(C$47&lt;=1,0,((($Z$22*Quesería!$J$127+(1-$Z$22)*Quesería!$E$123)-($Z$22*Quesería!$J$113+(1-$Z$22)*Quesería!$E$113)+$Z$6*($Z$22*Quesería!$J$113+(1-$Z$22)*Quesería!$E$113)-(1-$Z$9)*(($Z$22*Quesería!$J$119+(1-$Z$22)*Quesería!$E$119)+($Z$22*Quesería!$J$118+(1-$Z$22)*Quesería!$E$118))-(1-$Z$24)*($Z$22*Quesería!$J$117+(1-$Z$22)*Quesería!$E$117)+$Z$24*(1-$Z$25)*'Beneficios y costos'!$B$144-(-$Z$26*$Z$27)*'Beneficios y costos'!$C$167)+($Z$6*($Z$22*Quesería!$J$113+(1-$Z$22)*Quesería!$E$113)+$Z$9*($Z$22*Quesería!$J$119+(1-$Z$22)*Quesería!$E$119))*(C1084-1))*IF(C$47=2,Quesería!$B$20,1)+IF(C$47=2,Quesería!$B$24*$Z$9*($Z$22*Quesería!$J$119+(1-$Z$22)*Quesería!$E$119)*C1084,0))*$Z$10*$Z$21</f>
        <v>0</v>
      </c>
      <c r="D1090" s="29" t="n">
        <f aca="false">IF(D$47&lt;=1,0,((($Z$22*Quesería!$J$127+(1-$Z$22)*Quesería!$E$123)-($Z$22*Quesería!$J$113+(1-$Z$22)*Quesería!$E$113)+$Z$6*($Z$22*Quesería!$J$113+(1-$Z$22)*Quesería!$E$113)-(1-$Z$9)*(($Z$22*Quesería!$J$119+(1-$Z$22)*Quesería!$E$119)+($Z$22*Quesería!$J$118+(1-$Z$22)*Quesería!$E$118))-(1-$Z$24)*($Z$22*Quesería!$J$117+(1-$Z$22)*Quesería!$E$117)+$Z$24*(1-$Z$25)*'Beneficios y costos'!$B$144-(-$Z$26*$Z$27)*'Beneficios y costos'!$C$167)+($Z$6*($Z$22*Quesería!$J$113+(1-$Z$22)*Quesería!$E$113)+$Z$9*($Z$22*Quesería!$J$119+(1-$Z$22)*Quesería!$E$119))*(D1084-1))*IF(D$47=2,Quesería!$B$20,1)+IF(D$47=2,Quesería!$B$24*$Z$9*($Z$22*Quesería!$J$119+(1-$Z$22)*Quesería!$E$119)*D1084,0))*$Z$10*$Z$21</f>
        <v>208.118389634689</v>
      </c>
      <c r="E1090" s="29" t="n">
        <f aca="false">IF(E$47&lt;=1,0,((($Z$22*Quesería!$J$127+(1-$Z$22)*Quesería!$E$123)-($Z$22*Quesería!$J$113+(1-$Z$22)*Quesería!$E$113)+$Z$6*($Z$22*Quesería!$J$113+(1-$Z$22)*Quesería!$E$113)-(1-$Z$9)*(($Z$22*Quesería!$J$119+(1-$Z$22)*Quesería!$E$119)+($Z$22*Quesería!$J$118+(1-$Z$22)*Quesería!$E$118))-(1-$Z$24)*($Z$22*Quesería!$J$117+(1-$Z$22)*Quesería!$E$117)+$Z$24*(1-$Z$25)*'Beneficios y costos'!$B$144-(-$Z$26*$Z$27)*'Beneficios y costos'!$C$167)+($Z$6*($Z$22*Quesería!$J$113+(1-$Z$22)*Quesería!$E$113)+$Z$9*($Z$22*Quesería!$J$119+(1-$Z$22)*Quesería!$E$119))*(E1084-1))*IF(E$47=2,Quesería!$B$20,1)+IF(E$47=2,Quesería!$B$24*$Z$9*($Z$22*Quesería!$J$119+(1-$Z$22)*Quesería!$E$119)*E1084,0))*$Z$10*$Z$21</f>
        <v>262.850681328122</v>
      </c>
      <c r="F1090" s="29" t="n">
        <f aca="false">IF(F$47&lt;=1,0,((($Z$22*Quesería!$J$127+(1-$Z$22)*Quesería!$E$123)-($Z$22*Quesería!$J$113+(1-$Z$22)*Quesería!$E$113)+$Z$6*($Z$22*Quesería!$J$113+(1-$Z$22)*Quesería!$E$113)-(1-$Z$9)*(($Z$22*Quesería!$J$119+(1-$Z$22)*Quesería!$E$119)+($Z$22*Quesería!$J$118+(1-$Z$22)*Quesería!$E$118))-(1-$Z$24)*($Z$22*Quesería!$J$117+(1-$Z$22)*Quesería!$E$117)+$Z$24*(1-$Z$25)*'Beneficios y costos'!$B$144-(-$Z$26*$Z$27)*'Beneficios y costos'!$C$167)+($Z$6*($Z$22*Quesería!$J$113+(1-$Z$22)*Quesería!$E$113)+$Z$9*($Z$22*Quesería!$J$119+(1-$Z$22)*Quesería!$E$119))*(F1084-1))*IF(F$47=2,Quesería!$B$20,1)+IF(F$47=2,Quesería!$B$24*$Z$9*($Z$22*Quesería!$J$119+(1-$Z$22)*Quesería!$E$119)*F1084,0))*$Z$10*$Z$21</f>
        <v>263.098798247686</v>
      </c>
      <c r="G1090" s="29" t="n">
        <f aca="false">IF(G$47&lt;=1,0,((($Z$22*Quesería!$J$127+(1-$Z$22)*Quesería!$E$123)-($Z$22*Quesería!$J$113+(1-$Z$22)*Quesería!$E$113)+$Z$6*($Z$22*Quesería!$J$113+(1-$Z$22)*Quesería!$E$113)-(1-$Z$9)*(($Z$22*Quesería!$J$119+(1-$Z$22)*Quesería!$E$119)+($Z$22*Quesería!$J$118+(1-$Z$22)*Quesería!$E$118))-(1-$Z$24)*($Z$22*Quesería!$J$117+(1-$Z$22)*Quesería!$E$117)+$Z$24*(1-$Z$25)*'Beneficios y costos'!$B$144-(-$Z$26*$Z$27)*'Beneficios y costos'!$C$167)+($Z$6*($Z$22*Quesería!$J$113+(1-$Z$22)*Quesería!$E$113)+$Z$9*($Z$22*Quesería!$J$119+(1-$Z$22)*Quesería!$E$119))*(G1084-1))*IF(G$47=2,Quesería!$B$20,1)+IF(G$47=2,Quesería!$B$24*$Z$9*($Z$22*Quesería!$J$119+(1-$Z$22)*Quesería!$E$119)*G1084,0))*$Z$10*$Z$21</f>
        <v>263.348155751847</v>
      </c>
      <c r="H1090" s="29" t="n">
        <f aca="false">IF(H$47&lt;=1,0,((($Z$22*Quesería!$J$127+(1-$Z$22)*Quesería!$E$123)-($Z$22*Quesería!$J$113+(1-$Z$22)*Quesería!$E$113)+$Z$6*($Z$22*Quesería!$J$113+(1-$Z$22)*Quesería!$E$113)-(1-$Z$9)*(($Z$22*Quesería!$J$119+(1-$Z$22)*Quesería!$E$119)+($Z$22*Quesería!$J$118+(1-$Z$22)*Quesería!$E$118))-(1-$Z$24)*($Z$22*Quesería!$J$117+(1-$Z$22)*Quesería!$E$117)+$Z$24*(1-$Z$25)*'Beneficios y costos'!$B$144-(-$Z$26*$Z$27)*'Beneficios y costos'!$C$167)+($Z$6*($Z$22*Quesería!$J$113+(1-$Z$22)*Quesería!$E$113)+$Z$9*($Z$22*Quesería!$J$119+(1-$Z$22)*Quesería!$E$119))*(H1084-1))*IF(H$47=2,Quesería!$B$20,1)+IF(H$47=2,Quesería!$B$24*$Z$9*($Z$22*Quesería!$J$119+(1-$Z$22)*Quesería!$E$119)*H1084,0))*$Z$10*$Z$21</f>
        <v>263.598760043529</v>
      </c>
      <c r="I1090" s="29" t="n">
        <f aca="false">IF(I$47&lt;=1,0,((($Z$22*Quesería!$J$127+(1-$Z$22)*Quesería!$E$123)-($Z$22*Quesería!$J$113+(1-$Z$22)*Quesería!$E$113)+$Z$6*($Z$22*Quesería!$J$113+(1-$Z$22)*Quesería!$E$113)-(1-$Z$9)*(($Z$22*Quesería!$J$119+(1-$Z$22)*Quesería!$E$119)+($Z$22*Quesería!$J$118+(1-$Z$22)*Quesería!$E$118))-(1-$Z$24)*($Z$22*Quesería!$J$117+(1-$Z$22)*Quesería!$E$117)+$Z$24*(1-$Z$25)*'Beneficios y costos'!$B$144-(-$Z$26*$Z$27)*'Beneficios y costos'!$C$167)+($Z$6*($Z$22*Quesería!$J$113+(1-$Z$22)*Quesería!$E$113)+$Z$9*($Z$22*Quesería!$J$119+(1-$Z$22)*Quesería!$E$119))*(I1084-1))*IF(I$47=2,Quesería!$B$20,1)+IF(I$47=2,Quesería!$B$24*$Z$9*($Z$22*Quesería!$J$119+(1-$Z$22)*Quesería!$E$119)*I1084,0))*$Z$10*$Z$21</f>
        <v>263.85061735667</v>
      </c>
      <c r="J1090" s="29" t="n">
        <f aca="false">IF(J$47&lt;=1,0,((($Z$22*Quesería!$J$127+(1-$Z$22)*Quesería!$E$123)-($Z$22*Quesería!$J$113+(1-$Z$22)*Quesería!$E$113)+$Z$6*($Z$22*Quesería!$J$113+(1-$Z$22)*Quesería!$E$113)-(1-$Z$9)*(($Z$22*Quesería!$J$119+(1-$Z$22)*Quesería!$E$119)+($Z$22*Quesería!$J$118+(1-$Z$22)*Quesería!$E$118))-(1-$Z$24)*($Z$22*Quesería!$J$117+(1-$Z$22)*Quesería!$E$117)+$Z$24*(1-$Z$25)*'Beneficios y costos'!$B$144-(-$Z$26*$Z$27)*'Beneficios y costos'!$C$167)+($Z$6*($Z$22*Quesería!$J$113+(1-$Z$22)*Quesería!$E$113)+$Z$9*($Z$22*Quesería!$J$119+(1-$Z$22)*Quesería!$E$119))*(J1084-1))*IF(J$47=2,Quesería!$B$20,1)+IF(J$47=2,Quesería!$B$24*$Z$9*($Z$22*Quesería!$J$119+(1-$Z$22)*Quesería!$E$119)*J1084,0))*$Z$10*$Z$21</f>
        <v>264.103733956376</v>
      </c>
      <c r="K1090" s="29" t="n">
        <f aca="false">IF(K$47&lt;=1,0,((($Z$22*Quesería!$J$127+(1-$Z$22)*Quesería!$E$123)-($Z$22*Quesería!$J$113+(1-$Z$22)*Quesería!$E$113)+$Z$6*($Z$22*Quesería!$J$113+(1-$Z$22)*Quesería!$E$113)-(1-$Z$9)*(($Z$22*Quesería!$J$119+(1-$Z$22)*Quesería!$E$119)+($Z$22*Quesería!$J$118+(1-$Z$22)*Quesería!$E$118))-(1-$Z$24)*($Z$22*Quesería!$J$117+(1-$Z$22)*Quesería!$E$117)+$Z$24*(1-$Z$25)*'Beneficios y costos'!$B$144-(-$Z$26*$Z$27)*'Beneficios y costos'!$C$167)+($Z$6*($Z$22*Quesería!$J$113+(1-$Z$22)*Quesería!$E$113)+$Z$9*($Z$22*Quesería!$J$119+(1-$Z$22)*Quesería!$E$119))*(K1084-1))*IF(K$47=2,Quesería!$B$20,1)+IF(K$47=2,Quesería!$B$24*$Z$9*($Z$22*Quesería!$J$119+(1-$Z$22)*Quesería!$E$119)*K1084,0))*$Z$10*$Z$21</f>
        <v>264.358116139081</v>
      </c>
      <c r="L1090" s="29" t="n">
        <f aca="false">IF(L$47&lt;=1,0,((($Z$22*Quesería!$J$127+(1-$Z$22)*Quesería!$E$123)-($Z$22*Quesería!$J$113+(1-$Z$22)*Quesería!$E$113)+$Z$6*($Z$22*Quesería!$J$113+(1-$Z$22)*Quesería!$E$113)-(1-$Z$9)*(($Z$22*Quesería!$J$119+(1-$Z$22)*Quesería!$E$119)+($Z$22*Quesería!$J$118+(1-$Z$22)*Quesería!$E$118))-(1-$Z$24)*($Z$22*Quesería!$J$117+(1-$Z$22)*Quesería!$E$117)+$Z$24*(1-$Z$25)*'Beneficios y costos'!$B$144-(-$Z$26*$Z$27)*'Beneficios y costos'!$C$167)+($Z$6*($Z$22*Quesería!$J$113+(1-$Z$22)*Quesería!$E$113)+$Z$9*($Z$22*Quesería!$J$119+(1-$Z$22)*Quesería!$E$119))*(L1084-1))*IF(L$47=2,Quesería!$B$20,1)+IF(L$47=2,Quesería!$B$24*$Z$9*($Z$22*Quesería!$J$119+(1-$Z$22)*Quesería!$E$119)*L1084,0))*$Z$10*$Z$21</f>
        <v>264.613770232699</v>
      </c>
    </row>
    <row r="1091" customFormat="false" ht="15" hidden="true" customHeight="false" outlineLevel="1" collapsed="false">
      <c r="A1091" s="5" t="s">
        <v>412</v>
      </c>
      <c r="B1091" s="10" t="n">
        <f aca="false">B1089+B1090</f>
        <v>120.716772261203</v>
      </c>
      <c r="C1091" s="10" t="n">
        <f aca="false">C1089+C1090</f>
        <v>181.328317354069</v>
      </c>
      <c r="D1091" s="10" t="n">
        <f aca="false">D1089+D1090</f>
        <v>449.949967166529</v>
      </c>
      <c r="E1091" s="10" t="n">
        <f aca="false">E1089+E1090</f>
        <v>504.74304902501</v>
      </c>
      <c r="F1091" s="10" t="n">
        <f aca="false">F1089+F1090</f>
        <v>505.052260060445</v>
      </c>
      <c r="G1091" s="10" t="n">
        <f aca="false">G1089+G1090</f>
        <v>505.363017151058</v>
      </c>
      <c r="H1091" s="10" t="n">
        <f aca="false">H1089+H1090</f>
        <v>505.675328027125</v>
      </c>
      <c r="I1091" s="10" t="n">
        <f aca="false">I1089+I1090</f>
        <v>505.989200457571</v>
      </c>
      <c r="J1091" s="10" t="n">
        <f aca="false">J1089+J1090</f>
        <v>506.30464225017</v>
      </c>
      <c r="K1091" s="10" t="n">
        <f aca="false">K1089+K1090</f>
        <v>506.621661251731</v>
      </c>
      <c r="L1091" s="10" t="n">
        <f aca="false">L1089+L1090</f>
        <v>506.940265348301</v>
      </c>
    </row>
    <row r="1092" customFormat="false" ht="15" hidden="true" customHeight="false" outlineLevel="1" collapsed="false">
      <c r="A1092" s="6" t="s">
        <v>413</v>
      </c>
      <c r="B1092" s="29" t="n">
        <f aca="false">(IF(B$47&gt;=1,(Quesería!$B$31+Quesería!$B$33)*Quesería!$F$94*$Z$11+Quesería!$B$32+'Beneficios y costos'!$B$249,0)+IF(B$47&gt;=2,((Quesería!$B$31+Quesería!$B$33)*(Quesería!$F$95-(-$Z$26)*Quesería!$D$86)*$Z$11+'Beneficios y costos'!$C$249-(-$Z$26)*'Beneficios y costos'!$H$235)*$Z$21,0))*$Z$12</f>
        <v>0</v>
      </c>
      <c r="C1092" s="29" t="n">
        <f aca="false">(IF(C$47&gt;=1,(Quesería!$B$31+Quesería!$B$33)*Quesería!$F$94*$Z$11+Quesería!$B$32+'Beneficios y costos'!$B$249,0)+IF(C$47&gt;=2,((Quesería!$B$31+Quesería!$B$33)*(Quesería!$F$95-(-$Z$26)*Quesería!$D$86)*$Z$11+'Beneficios y costos'!$C$249-(-$Z$26)*'Beneficios y costos'!$H$235)*$Z$21,0))*$Z$12</f>
        <v>42.0946487260605</v>
      </c>
      <c r="D1092" s="29" t="n">
        <f aca="false">(IF(D$47&gt;=1,(Quesería!$B$31+Quesería!$B$33)*Quesería!$F$94*$Z$11+Quesería!$B$32+'Beneficios y costos'!$B$249,0)+IF(D$47&gt;=2,((Quesería!$B$31+Quesería!$B$33)*(Quesería!$F$95-(-$Z$26)*Quesería!$D$86)*$Z$11+'Beneficios y costos'!$C$249-(-$Z$26)*'Beneficios y costos'!$H$235)*$Z$21,0))*$Z$12</f>
        <v>76.4964821173776</v>
      </c>
      <c r="E1092" s="29" t="n">
        <f aca="false">(IF(E$47&gt;=1,(Quesería!$B$31+Quesería!$B$33)*Quesería!$F$94*$Z$11+Quesería!$B$32+'Beneficios y costos'!$B$249,0)+IF(E$47&gt;=2,((Quesería!$B$31+Quesería!$B$33)*(Quesería!$F$95-(-$Z$26)*Quesería!$D$86)*$Z$11+'Beneficios y costos'!$C$249-(-$Z$26)*'Beneficios y costos'!$H$235)*$Z$21,0))*$Z$12</f>
        <v>76.4964821173776</v>
      </c>
      <c r="F1092" s="29" t="n">
        <f aca="false">(IF(F$47&gt;=1,(Quesería!$B$31+Quesería!$B$33)*Quesería!$F$94*$Z$11+Quesería!$B$32+'Beneficios y costos'!$B$249,0)+IF(F$47&gt;=2,((Quesería!$B$31+Quesería!$B$33)*(Quesería!$F$95-(-$Z$26)*Quesería!$D$86)*$Z$11+'Beneficios y costos'!$C$249-(-$Z$26)*'Beneficios y costos'!$H$235)*$Z$21,0))*$Z$12</f>
        <v>76.4964821173776</v>
      </c>
      <c r="G1092" s="29" t="n">
        <f aca="false">(IF(G$47&gt;=1,(Quesería!$B$31+Quesería!$B$33)*Quesería!$F$94*$Z$11+Quesería!$B$32+'Beneficios y costos'!$B$249,0)+IF(G$47&gt;=2,((Quesería!$B$31+Quesería!$B$33)*(Quesería!$F$95-(-$Z$26)*Quesería!$D$86)*$Z$11+'Beneficios y costos'!$C$249-(-$Z$26)*'Beneficios y costos'!$H$235)*$Z$21,0))*$Z$12</f>
        <v>76.4964821173776</v>
      </c>
      <c r="H1092" s="29" t="n">
        <f aca="false">(IF(H$47&gt;=1,(Quesería!$B$31+Quesería!$B$33)*Quesería!$F$94*$Z$11+Quesería!$B$32+'Beneficios y costos'!$B$249,0)+IF(H$47&gt;=2,((Quesería!$B$31+Quesería!$B$33)*(Quesería!$F$95-(-$Z$26)*Quesería!$D$86)*$Z$11+'Beneficios y costos'!$C$249-(-$Z$26)*'Beneficios y costos'!$H$235)*$Z$21,0))*$Z$12</f>
        <v>76.4964821173776</v>
      </c>
      <c r="I1092" s="29" t="n">
        <f aca="false">(IF(I$47&gt;=1,(Quesería!$B$31+Quesería!$B$33)*Quesería!$F$94*$Z$11+Quesería!$B$32+'Beneficios y costos'!$B$249,0)+IF(I$47&gt;=2,((Quesería!$B$31+Quesería!$B$33)*(Quesería!$F$95-(-$Z$26)*Quesería!$D$86)*$Z$11+'Beneficios y costos'!$C$249-(-$Z$26)*'Beneficios y costos'!$H$235)*$Z$21,0))*$Z$12</f>
        <v>76.4964821173776</v>
      </c>
      <c r="J1092" s="29" t="n">
        <f aca="false">(IF(J$47&gt;=1,(Quesería!$B$31+Quesería!$B$33)*Quesería!$F$94*$Z$11+Quesería!$B$32+'Beneficios y costos'!$B$249,0)+IF(J$47&gt;=2,((Quesería!$B$31+Quesería!$B$33)*(Quesería!$F$95-(-$Z$26)*Quesería!$D$86)*$Z$11+'Beneficios y costos'!$C$249-(-$Z$26)*'Beneficios y costos'!$H$235)*$Z$21,0))*$Z$12</f>
        <v>76.4964821173776</v>
      </c>
      <c r="K1092" s="29" t="n">
        <f aca="false">(IF(K$47&gt;=1,(Quesería!$B$31+Quesería!$B$33)*Quesería!$F$94*$Z$11+Quesería!$B$32+'Beneficios y costos'!$B$249,0)+IF(K$47&gt;=2,((Quesería!$B$31+Quesería!$B$33)*(Quesería!$F$95-(-$Z$26)*Quesería!$D$86)*$Z$11+'Beneficios y costos'!$C$249-(-$Z$26)*'Beneficios y costos'!$H$235)*$Z$21,0))*$Z$12</f>
        <v>76.4964821173776</v>
      </c>
      <c r="L1092" s="29" t="n">
        <f aca="false">(IF(L$47&gt;=1,(Quesería!$B$31+Quesería!$B$33)*Quesería!$F$94*$Z$11+Quesería!$B$32+'Beneficios y costos'!$B$249,0)+IF(L$47&gt;=2,((Quesería!$B$31+Quesería!$B$33)*(Quesería!$F$95-(-$Z$26)*Quesería!$D$86)*$Z$11+'Beneficios y costos'!$C$249-(-$Z$26)*'Beneficios y costos'!$H$235)*$Z$21,0))*$Z$12</f>
        <v>76.4964821173776</v>
      </c>
    </row>
    <row r="1093" customFormat="false" ht="15" hidden="true" customHeight="false" outlineLevel="1" collapsed="false">
      <c r="A1093" s="6" t="s">
        <v>414</v>
      </c>
      <c r="B1093" s="29" t="n">
        <f aca="false">IF(B$47=1,2*Quesería!$B$22*Quesería!$B$23/12*B1084,0)*$Z$21</f>
        <v>0</v>
      </c>
      <c r="C1093" s="29" t="n">
        <f aca="false">IF(C$47=1,2*Quesería!$B$22*Quesería!$B$23/12*C1084,0)*$Z$21</f>
        <v>18.5166509433962</v>
      </c>
      <c r="D1093" s="29" t="n">
        <f aca="false">IF(D$47=1,2*Quesería!$B$22*Quesería!$B$23/12*D1084,0)*$Z$21</f>
        <v>0</v>
      </c>
      <c r="E1093" s="29" t="n">
        <f aca="false">IF(E$47=1,2*Quesería!$B$22*Quesería!$B$23/12*E1084,0)*$Z$21</f>
        <v>0</v>
      </c>
      <c r="F1093" s="29" t="n">
        <f aca="false">IF(F$47=1,2*Quesería!$B$22*Quesería!$B$23/12*F1084,0)*$Z$21</f>
        <v>0</v>
      </c>
      <c r="G1093" s="29" t="n">
        <f aca="false">IF(G$47=1,2*Quesería!$B$22*Quesería!$B$23/12*G1084,0)*$Z$21</f>
        <v>0</v>
      </c>
      <c r="H1093" s="29" t="n">
        <f aca="false">IF(H$47=1,2*Quesería!$B$22*Quesería!$B$23/12*H1084,0)*$Z$21</f>
        <v>0</v>
      </c>
      <c r="I1093" s="29" t="n">
        <f aca="false">IF(I$47=1,2*Quesería!$B$22*Quesería!$B$23/12*I1084,0)*$Z$21</f>
        <v>0</v>
      </c>
      <c r="J1093" s="29" t="n">
        <f aca="false">IF(J$47=1,2*Quesería!$B$22*Quesería!$B$23/12*J1084,0)*$Z$21</f>
        <v>0</v>
      </c>
      <c r="K1093" s="29" t="n">
        <f aca="false">IF(K$47=1,2*Quesería!$B$22*Quesería!$B$23/12*K1084,0)*$Z$21</f>
        <v>0</v>
      </c>
      <c r="L1093" s="29" t="n">
        <f aca="false">IF(L$47=1,2*Quesería!$B$22*Quesería!$B$23/12*L1084,0)*$Z$21</f>
        <v>0</v>
      </c>
    </row>
    <row r="1094" customFormat="false" ht="15" hidden="true" customHeight="false" outlineLevel="1" collapsed="false">
      <c r="A1094" s="6" t="s">
        <v>415</v>
      </c>
      <c r="B1094" s="29" t="n">
        <f aca="false">Quesería!$B$52*(B1086+B1087+B1088+B1092+B1093)</f>
        <v>4.31966364396742</v>
      </c>
      <c r="C1094" s="29" t="n">
        <f aca="false">Quesería!$B$52*(C1086+C1087+C1088+C1092+C1093)</f>
        <v>3.37675795604844</v>
      </c>
      <c r="D1094" s="29" t="n">
        <f aca="false">Quesería!$B$52*(D1086+D1087+D1088+D1092+D1093)</f>
        <v>0.305985928469511</v>
      </c>
      <c r="E1094" s="29" t="n">
        <f aca="false">Quesería!$B$52*(E1086+E1087+E1088+E1092+E1093)</f>
        <v>0.305985928469511</v>
      </c>
      <c r="F1094" s="29" t="n">
        <f aca="false">Quesería!$B$52*(F1086+F1087+F1088+F1092+F1093)</f>
        <v>0.305985928469511</v>
      </c>
      <c r="G1094" s="29" t="n">
        <f aca="false">Quesería!$B$52*(G1086+G1087+G1088+G1092+G1093)</f>
        <v>0.436720362669349</v>
      </c>
      <c r="H1094" s="29" t="n">
        <f aca="false">Quesería!$B$52*(H1086+H1087+H1088+H1092+H1093)</f>
        <v>0.526798309653658</v>
      </c>
      <c r="I1094" s="29" t="n">
        <f aca="false">Quesería!$B$52*(I1086+I1087+I1088+I1092+I1093)</f>
        <v>0.305985928469511</v>
      </c>
      <c r="J1094" s="29" t="n">
        <f aca="false">Quesería!$B$52*(J1086+J1087+J1088+J1092+J1093)</f>
        <v>0.305985928469511</v>
      </c>
      <c r="K1094" s="29" t="n">
        <f aca="false">Quesería!$B$52*(K1086+K1087+K1088+K1092+K1093)</f>
        <v>0.305985928469511</v>
      </c>
      <c r="L1094" s="29" t="n">
        <f aca="false">Quesería!$B$52*(L1086+L1087+L1088+L1092+L1093)</f>
        <v>0.305985928469511</v>
      </c>
    </row>
    <row r="1095" customFormat="false" ht="15" hidden="true" customHeight="false" outlineLevel="1" collapsed="false">
      <c r="A1095" s="6" t="s">
        <v>416</v>
      </c>
      <c r="B1095" s="29" t="n">
        <f aca="false">(IF($Z$19=1,(SUMPRODUCT((Quesería!$C$70:$C$89=0)*(Quesería!$J$70:$J$89&gt;0)*(B$47&gt;=1)*(B$47&lt;=Quesería!$J$70:$J$89)*(Quesería!$H$70:$H$89&gt;0)*Quesería!$F$70:$F$89*(1+Quesería!$I$70:$I$89)/(Quesería!$J$70:$J$89+(Quesería!$J$70:$J$89=0)))+SUMPRODUCT((Quesería!$C$70:$C$89=0)*(Quesería!$J$70:$J$89=0)*(B$47=0)*(Quesería!$H$70:$H$89&gt;0)*Quesería!$F$70:$F$89*(1+Quesería!$I$70:$I$89)))*$B$1083+((SUMPRODUCT((Quesería!$C$70:$C$89=1)*(Quesería!$J$70:$J$89&gt;0)*(B$47&gt;=2)*(B$47&lt;=Quesería!$J$70:$J$89+1)*(Quesería!$H$70:$H$89&gt;0)*Quesería!$F$70:$F$89*(1+Quesería!$I$70:$I$89)/(Quesería!$J$70:$J$89+(Quesería!$J$70:$J$89=0)))+SUMPRODUCT((Quesería!$C$70:$C$89=1)*(Quesería!$J$70:$J$89=0)*(B$47=1)*(Quesería!$H$70:$H$89&gt;0)*Quesería!$F$70:$F$89*(1+Quesería!$I$70:$I$89)))-(-$Z$26)*IF(AND(B$47&gt;=2,B$47&lt;=Quesería!$J$86+1),Quesería!$D$86*(1+Quesería!$I$86)/Quesería!$J$86,0))*$C$1083*$Z$21,IF(AND(B$47&gt;=1,B$47&lt;=Quesería!$B$30),Quesería!$F$92/Quesería!$B$30,0)*$B$1083+IF(AND(B$47&gt;=2,B$47&lt;=Quesería!$B$30+1),(Quesería!$F$93-(-$Z$26)*Quesería!$D$86*(1+Quesería!$I$86))/Quesería!$B$30,0)*$C$1083*$Z$21)*$Z$11+IF(AND(B$47&gt;=6,B$47&lt;=10),$G1087*$G1083/5,0)+IF(AND(B$47&gt;=7,B$47&lt;=11),$H1087*$H1083/5,0))*B1085</f>
        <v>145.980915430742</v>
      </c>
      <c r="C1095" s="29" t="n">
        <f aca="false">(IF($Z$19=1,(SUMPRODUCT((Quesería!$C$70:$C$89=0)*(Quesería!$J$70:$J$89&gt;0)*(C$47&gt;=1)*(C$47&lt;=Quesería!$J$70:$J$89)*(Quesería!$H$70:$H$89&gt;0)*Quesería!$F$70:$F$89*(1+Quesería!$I$70:$I$89)/(Quesería!$J$70:$J$89+(Quesería!$J$70:$J$89=0)))+SUMPRODUCT((Quesería!$C$70:$C$89=0)*(Quesería!$J$70:$J$89=0)*(C$47=0)*(Quesería!$H$70:$H$89&gt;0)*Quesería!$F$70:$F$89*(1+Quesería!$I$70:$I$89)))*$B$1083+((SUMPRODUCT((Quesería!$C$70:$C$89=1)*(Quesería!$J$70:$J$89&gt;0)*(C$47&gt;=2)*(C$47&lt;=Quesería!$J$70:$J$89+1)*(Quesería!$H$70:$H$89&gt;0)*Quesería!$F$70:$F$89*(1+Quesería!$I$70:$I$89)/(Quesería!$J$70:$J$89+(Quesería!$J$70:$J$89=0)))+SUMPRODUCT((Quesería!$C$70:$C$89=1)*(Quesería!$J$70:$J$89=0)*(C$47=1)*(Quesería!$H$70:$H$89&gt;0)*Quesería!$F$70:$F$89*(1+Quesería!$I$70:$I$89)))-(-$Z$26)*IF(AND(C$47&gt;=2,C$47&lt;=Quesería!$J$86+1),Quesería!$D$86*(1+Quesería!$I$86)/Quesería!$J$86,0))*$C$1083*$Z$21,IF(AND(C$47&gt;=1,C$47&lt;=Quesería!$B$30),Quesería!$F$92/Quesería!$B$30,0)*$B$1083+IF(AND(C$47&gt;=2,C$47&lt;=Quesería!$B$30+1),(Quesería!$F$93-(-$Z$26)*Quesería!$D$86*(1+Quesería!$I$86))/Quesería!$B$30,0)*$C$1083*$Z$21)*$Z$11+IF(AND(C$47&gt;=6,C$47&lt;=10),$G1087*$G1083/5,0)+IF(AND(C$47&gt;=7,C$47&lt;=11),$H1087*$H1083/5,0))*C1085</f>
        <v>82.2633269524265</v>
      </c>
      <c r="D1095" s="29" t="n">
        <f aca="false">(IF($Z$19=1,(SUMPRODUCT((Quesería!$C$70:$C$89=0)*(Quesería!$J$70:$J$89&gt;0)*(D$47&gt;=1)*(D$47&lt;=Quesería!$J$70:$J$89)*(Quesería!$H$70:$H$89&gt;0)*Quesería!$F$70:$F$89*(1+Quesería!$I$70:$I$89)/(Quesería!$J$70:$J$89+(Quesería!$J$70:$J$89=0)))+SUMPRODUCT((Quesería!$C$70:$C$89=0)*(Quesería!$J$70:$J$89=0)*(D$47=0)*(Quesería!$H$70:$H$89&gt;0)*Quesería!$F$70:$F$89*(1+Quesería!$I$70:$I$89)))*$B$1083+((SUMPRODUCT((Quesería!$C$70:$C$89=1)*(Quesería!$J$70:$J$89&gt;0)*(D$47&gt;=2)*(D$47&lt;=Quesería!$J$70:$J$89+1)*(Quesería!$H$70:$H$89&gt;0)*Quesería!$F$70:$F$89*(1+Quesería!$I$70:$I$89)/(Quesería!$J$70:$J$89+(Quesería!$J$70:$J$89=0)))+SUMPRODUCT((Quesería!$C$70:$C$89=1)*(Quesería!$J$70:$J$89=0)*(D$47=1)*(Quesería!$H$70:$H$89&gt;0)*Quesería!$F$70:$F$89*(1+Quesería!$I$70:$I$89)))-(-$Z$26)*IF(AND(D$47&gt;=2,D$47&lt;=Quesería!$J$86+1),Quesería!$D$86*(1+Quesería!$I$86)/Quesería!$J$86,0))*$C$1083*$Z$21,IF(AND(D$47&gt;=1,D$47&lt;=Quesería!$B$30),Quesería!$F$92/Quesería!$B$30,0)*$B$1083+IF(AND(D$47&gt;=2,D$47&lt;=Quesería!$B$30+1),(Quesería!$F$93-(-$Z$26)*Quesería!$D$86*(1+Quesería!$I$86))/Quesería!$B$30,0)*$C$1083*$Z$21)*$Z$11+IF(AND(D$47&gt;=6,D$47&lt;=10),$G1087*$G1083/5,0)+IF(AND(D$47&gt;=7,D$47&lt;=11),$H1087*$H1083/5,0))*D1085</f>
        <v>141.732280975958</v>
      </c>
      <c r="E1095" s="29" t="n">
        <f aca="false">(IF($Z$19=1,(SUMPRODUCT((Quesería!$C$70:$C$89=0)*(Quesería!$J$70:$J$89&gt;0)*(E$47&gt;=1)*(E$47&lt;=Quesería!$J$70:$J$89)*(Quesería!$H$70:$H$89&gt;0)*Quesería!$F$70:$F$89*(1+Quesería!$I$70:$I$89)/(Quesería!$J$70:$J$89+(Quesería!$J$70:$J$89=0)))+SUMPRODUCT((Quesería!$C$70:$C$89=0)*(Quesería!$J$70:$J$89=0)*(E$47=0)*(Quesería!$H$70:$H$89&gt;0)*Quesería!$F$70:$F$89*(1+Quesería!$I$70:$I$89)))*$B$1083+((SUMPRODUCT((Quesería!$C$70:$C$89=1)*(Quesería!$J$70:$J$89&gt;0)*(E$47&gt;=2)*(E$47&lt;=Quesería!$J$70:$J$89+1)*(Quesería!$H$70:$H$89&gt;0)*Quesería!$F$70:$F$89*(1+Quesería!$I$70:$I$89)/(Quesería!$J$70:$J$89+(Quesería!$J$70:$J$89=0)))+SUMPRODUCT((Quesería!$C$70:$C$89=1)*(Quesería!$J$70:$J$89=0)*(E$47=1)*(Quesería!$H$70:$H$89&gt;0)*Quesería!$F$70:$F$89*(1+Quesería!$I$70:$I$89)))-(-$Z$26)*IF(AND(E$47&gt;=2,E$47&lt;=Quesería!$J$86+1),Quesería!$D$86*(1+Quesería!$I$86)/Quesería!$J$86,0))*$C$1083*$Z$21,IF(AND(E$47&gt;=1,E$47&lt;=Quesería!$B$30),Quesería!$F$92/Quesería!$B$30,0)*$B$1083+IF(AND(E$47&gt;=2,E$47&lt;=Quesería!$B$30+1),(Quesería!$F$93-(-$Z$26)*Quesería!$D$86*(1+Quesería!$I$86))/Quesería!$B$30,0)*$C$1083*$Z$21)*$Z$11+IF(AND(E$47&gt;=6,E$47&lt;=10),$G1087*$G1083/5,0)+IF(AND(E$47&gt;=7,E$47&lt;=11),$H1087*$H1083/5,0))*E1085</f>
        <v>136.28103939996</v>
      </c>
      <c r="F1095" s="29" t="n">
        <f aca="false">(IF($Z$19=1,(SUMPRODUCT((Quesería!$C$70:$C$89=0)*(Quesería!$J$70:$J$89&gt;0)*(F$47&gt;=1)*(F$47&lt;=Quesería!$J$70:$J$89)*(Quesería!$H$70:$H$89&gt;0)*Quesería!$F$70:$F$89*(1+Quesería!$I$70:$I$89)/(Quesería!$J$70:$J$89+(Quesería!$J$70:$J$89=0)))+SUMPRODUCT((Quesería!$C$70:$C$89=0)*(Quesería!$J$70:$J$89=0)*(F$47=0)*(Quesería!$H$70:$H$89&gt;0)*Quesería!$F$70:$F$89*(1+Quesería!$I$70:$I$89)))*$B$1083+((SUMPRODUCT((Quesería!$C$70:$C$89=1)*(Quesería!$J$70:$J$89&gt;0)*(F$47&gt;=2)*(F$47&lt;=Quesería!$J$70:$J$89+1)*(Quesería!$H$70:$H$89&gt;0)*Quesería!$F$70:$F$89*(1+Quesería!$I$70:$I$89)/(Quesería!$J$70:$J$89+(Quesería!$J$70:$J$89=0)))+SUMPRODUCT((Quesería!$C$70:$C$89=1)*(Quesería!$J$70:$J$89=0)*(F$47=1)*(Quesería!$H$70:$H$89&gt;0)*Quesería!$F$70:$F$89*(1+Quesería!$I$70:$I$89)))-(-$Z$26)*IF(AND(F$47&gt;=2,F$47&lt;=Quesería!$J$86+1),Quesería!$D$86*(1+Quesería!$I$86)/Quesería!$J$86,0))*$C$1083*$Z$21,IF(AND(F$47&gt;=1,F$47&lt;=Quesería!$B$30),Quesería!$F$92/Quesería!$B$30,0)*$B$1083+IF(AND(F$47&gt;=2,F$47&lt;=Quesería!$B$30+1),(Quesería!$F$93-(-$Z$26)*Quesería!$D$86*(1+Quesería!$I$86))/Quesería!$B$30,0)*$C$1083*$Z$21)*$Z$11+IF(AND(F$47&gt;=6,F$47&lt;=10),$G1087*$G1083/5,0)+IF(AND(F$47&gt;=7,F$47&lt;=11),$H1087*$H1083/5,0))*F1085</f>
        <v>131.0394609615</v>
      </c>
      <c r="G1095" s="29" t="n">
        <f aca="false">(IF($Z$19=1,(SUMPRODUCT((Quesería!$C$70:$C$89=0)*(Quesería!$J$70:$J$89&gt;0)*(G$47&gt;=1)*(G$47&lt;=Quesería!$J$70:$J$89)*(Quesería!$H$70:$H$89&gt;0)*Quesería!$F$70:$F$89*(1+Quesería!$I$70:$I$89)/(Quesería!$J$70:$J$89+(Quesería!$J$70:$J$89=0)))+SUMPRODUCT((Quesería!$C$70:$C$89=0)*(Quesería!$J$70:$J$89=0)*(G$47=0)*(Quesería!$H$70:$H$89&gt;0)*Quesería!$F$70:$F$89*(1+Quesería!$I$70:$I$89)))*$B$1083+((SUMPRODUCT((Quesería!$C$70:$C$89=1)*(Quesería!$J$70:$J$89&gt;0)*(G$47&gt;=2)*(G$47&lt;=Quesería!$J$70:$J$89+1)*(Quesería!$H$70:$H$89&gt;0)*Quesería!$F$70:$F$89*(1+Quesería!$I$70:$I$89)/(Quesería!$J$70:$J$89+(Quesería!$J$70:$J$89=0)))+SUMPRODUCT((Quesería!$C$70:$C$89=1)*(Quesería!$J$70:$J$89=0)*(G$47=1)*(Quesería!$H$70:$H$89&gt;0)*Quesería!$F$70:$F$89*(1+Quesería!$I$70:$I$89)))-(-$Z$26)*IF(AND(G$47&gt;=2,G$47&lt;=Quesería!$J$86+1),Quesería!$D$86*(1+Quesería!$I$86)/Quesería!$J$86,0))*$C$1083*$Z$21,IF(AND(G$47&gt;=1,G$47&lt;=Quesería!$B$30),Quesería!$F$92/Quesería!$B$30,0)*$B$1083+IF(AND(G$47&gt;=2,G$47&lt;=Quesería!$B$30+1),(Quesería!$F$93-(-$Z$26)*Quesería!$D$86*(1+Quesería!$I$86))/Quesería!$B$30,0)*$C$1083*$Z$21)*$Z$11+IF(AND(G$47&gt;=6,G$47&lt;=10),$G1087*$G1083/5,0)+IF(AND(G$47&gt;=7,G$47&lt;=11),$H1087*$H1083/5,0))*G1085</f>
        <v>125.99948169375</v>
      </c>
      <c r="H1095" s="29" t="n">
        <f aca="false">(IF($Z$19=1,(SUMPRODUCT((Quesería!$C$70:$C$89=0)*(Quesería!$J$70:$J$89&gt;0)*(H$47&gt;=1)*(H$47&lt;=Quesería!$J$70:$J$89)*(Quesería!$H$70:$H$89&gt;0)*Quesería!$F$70:$F$89*(1+Quesería!$I$70:$I$89)/(Quesería!$J$70:$J$89+(Quesería!$J$70:$J$89=0)))+SUMPRODUCT((Quesería!$C$70:$C$89=0)*(Quesería!$J$70:$J$89=0)*(H$47=0)*(Quesería!$H$70:$H$89&gt;0)*Quesería!$F$70:$F$89*(1+Quesería!$I$70:$I$89)))*$B$1083+((SUMPRODUCT((Quesería!$C$70:$C$89=1)*(Quesería!$J$70:$J$89&gt;0)*(H$47&gt;=2)*(H$47&lt;=Quesería!$J$70:$J$89+1)*(Quesería!$H$70:$H$89&gt;0)*Quesería!$F$70:$F$89*(1+Quesería!$I$70:$I$89)/(Quesería!$J$70:$J$89+(Quesería!$J$70:$J$89=0)))+SUMPRODUCT((Quesería!$C$70:$C$89=1)*(Quesería!$J$70:$J$89=0)*(H$47=1)*(Quesería!$H$70:$H$89&gt;0)*Quesería!$F$70:$F$89*(1+Quesería!$I$70:$I$89)))-(-$Z$26)*IF(AND(H$47&gt;=2,H$47&lt;=Quesería!$J$86+1),Quesería!$D$86*(1+Quesería!$I$86)/Quesería!$J$86,0))*$C$1083*$Z$21,IF(AND(H$47&gt;=1,H$47&lt;=Quesería!$B$30),Quesería!$F$92/Quesería!$B$30,0)*$B$1083+IF(AND(H$47&gt;=2,H$47&lt;=Quesería!$B$30+1),(Quesería!$F$93-(-$Z$26)*Quesería!$D$86*(1+Quesería!$I$86))/Quesería!$B$30,0)*$C$1083*$Z$21)*$Z$11+IF(AND(H$47&gt;=6,H$47&lt;=10),$G1087*$G1083/5,0)+IF(AND(H$47&gt;=7,H$47&lt;=11),$H1087*$H1083/5,0))*H1085</f>
        <v>114.13472617855</v>
      </c>
      <c r="I1095" s="29" t="n">
        <f aca="false">(IF($Z$19=1,(SUMPRODUCT((Quesería!$C$70:$C$89=0)*(Quesería!$J$70:$J$89&gt;0)*(I$47&gt;=1)*(I$47&lt;=Quesería!$J$70:$J$89)*(Quesería!$H$70:$H$89&gt;0)*Quesería!$F$70:$F$89*(1+Quesería!$I$70:$I$89)/(Quesería!$J$70:$J$89+(Quesería!$J$70:$J$89=0)))+SUMPRODUCT((Quesería!$C$70:$C$89=0)*(Quesería!$J$70:$J$89=0)*(I$47=0)*(Quesería!$H$70:$H$89&gt;0)*Quesería!$F$70:$F$89*(1+Quesería!$I$70:$I$89)))*$B$1083+((SUMPRODUCT((Quesería!$C$70:$C$89=1)*(Quesería!$J$70:$J$89&gt;0)*(I$47&gt;=2)*(I$47&lt;=Quesería!$J$70:$J$89+1)*(Quesería!$H$70:$H$89&gt;0)*Quesería!$F$70:$F$89*(1+Quesería!$I$70:$I$89)/(Quesería!$J$70:$J$89+(Quesería!$J$70:$J$89=0)))+SUMPRODUCT((Quesería!$C$70:$C$89=1)*(Quesería!$J$70:$J$89=0)*(I$47=1)*(Quesería!$H$70:$H$89&gt;0)*Quesería!$F$70:$F$89*(1+Quesería!$I$70:$I$89)))-(-$Z$26)*IF(AND(I$47&gt;=2,I$47&lt;=Quesería!$J$86+1),Quesería!$D$86*(1+Quesería!$I$86)/Quesería!$J$86,0))*$C$1083*$Z$21,IF(AND(I$47&gt;=1,I$47&lt;=Quesería!$B$30),Quesería!$F$92/Quesería!$B$30,0)*$B$1083+IF(AND(I$47&gt;=2,I$47&lt;=Quesería!$B$30+1),(Quesería!$F$93-(-$Z$26)*Quesería!$D$86*(1+Quesería!$I$86))/Quesería!$B$30,0)*$C$1083*$Z$21)*$Z$11+IF(AND(I$47&gt;=6,I$47&lt;=10),$G1087*$G1083/5,0)+IF(AND(I$47&gt;=7,I$47&lt;=11),$H1087*$H1083/5,0))*I1085</f>
        <v>118.665920500713</v>
      </c>
      <c r="J1095" s="29" t="n">
        <f aca="false">(IF($Z$19=1,(SUMPRODUCT((Quesería!$C$70:$C$89=0)*(Quesería!$J$70:$J$89&gt;0)*(J$47&gt;=1)*(J$47&lt;=Quesería!$J$70:$J$89)*(Quesería!$H$70:$H$89&gt;0)*Quesería!$F$70:$F$89*(1+Quesería!$I$70:$I$89)/(Quesería!$J$70:$J$89+(Quesería!$J$70:$J$89=0)))+SUMPRODUCT((Quesería!$C$70:$C$89=0)*(Quesería!$J$70:$J$89=0)*(J$47=0)*(Quesería!$H$70:$H$89&gt;0)*Quesería!$F$70:$F$89*(1+Quesería!$I$70:$I$89)))*$B$1083+((SUMPRODUCT((Quesería!$C$70:$C$89=1)*(Quesería!$J$70:$J$89&gt;0)*(J$47&gt;=2)*(J$47&lt;=Quesería!$J$70:$J$89+1)*(Quesería!$H$70:$H$89&gt;0)*Quesería!$F$70:$F$89*(1+Quesería!$I$70:$I$89)/(Quesería!$J$70:$J$89+(Quesería!$J$70:$J$89=0)))+SUMPRODUCT((Quesería!$C$70:$C$89=1)*(Quesería!$J$70:$J$89=0)*(J$47=1)*(Quesería!$H$70:$H$89&gt;0)*Quesería!$F$70:$F$89*(1+Quesería!$I$70:$I$89)))-(-$Z$26)*IF(AND(J$47&gt;=2,J$47&lt;=Quesería!$J$86+1),Quesería!$D$86*(1+Quesería!$I$86)/Quesería!$J$86,0))*$C$1083*$Z$21,IF(AND(J$47&gt;=1,J$47&lt;=Quesería!$B$30),Quesería!$F$92/Quesería!$B$30,0)*$B$1083+IF(AND(J$47&gt;=2,J$47&lt;=Quesería!$B$30+1),(Quesería!$F$93-(-$Z$26)*Quesería!$D$86*(1+Quesería!$I$86))/Quesería!$B$30,0)*$C$1083*$Z$21)*$Z$11+IF(AND(J$47&gt;=6,J$47&lt;=10),$G1087*$G1083/5,0)+IF(AND(J$47&gt;=7,J$47&lt;=11),$H1087*$H1083/5,0))*J1085</f>
        <v>114.101846635301</v>
      </c>
      <c r="K1095" s="29" t="n">
        <f aca="false">(IF($Z$19=1,(SUMPRODUCT((Quesería!$C$70:$C$89=0)*(Quesería!$J$70:$J$89&gt;0)*(K$47&gt;=1)*(K$47&lt;=Quesería!$J$70:$J$89)*(Quesería!$H$70:$H$89&gt;0)*Quesería!$F$70:$F$89*(1+Quesería!$I$70:$I$89)/(Quesería!$J$70:$J$89+(Quesería!$J$70:$J$89=0)))+SUMPRODUCT((Quesería!$C$70:$C$89=0)*(Quesería!$J$70:$J$89=0)*(K$47=0)*(Quesería!$H$70:$H$89&gt;0)*Quesería!$F$70:$F$89*(1+Quesería!$I$70:$I$89)))*$B$1083+((SUMPRODUCT((Quesería!$C$70:$C$89=1)*(Quesería!$J$70:$J$89&gt;0)*(K$47&gt;=2)*(K$47&lt;=Quesería!$J$70:$J$89+1)*(Quesería!$H$70:$H$89&gt;0)*Quesería!$F$70:$F$89*(1+Quesería!$I$70:$I$89)/(Quesería!$J$70:$J$89+(Quesería!$J$70:$J$89=0)))+SUMPRODUCT((Quesería!$C$70:$C$89=1)*(Quesería!$J$70:$J$89=0)*(K$47=1)*(Quesería!$H$70:$H$89&gt;0)*Quesería!$F$70:$F$89*(1+Quesería!$I$70:$I$89)))-(-$Z$26)*IF(AND(K$47&gt;=2,K$47&lt;=Quesería!$J$86+1),Quesería!$D$86*(1+Quesería!$I$86)/Quesería!$J$86,0))*$C$1083*$Z$21,IF(AND(K$47&gt;=1,K$47&lt;=Quesería!$B$30),Quesería!$F$92/Quesería!$B$30,0)*$B$1083+IF(AND(K$47&gt;=2,K$47&lt;=Quesería!$B$30+1),(Quesería!$F$93-(-$Z$26)*Quesería!$D$86*(1+Quesería!$I$86))/Quesería!$B$30,0)*$C$1083*$Z$21)*$Z$11+IF(AND(K$47&gt;=6,K$47&lt;=10),$G1087*$G1083/5,0)+IF(AND(K$47&gt;=7,K$47&lt;=11),$H1087*$H1083/5,0))*K1085</f>
        <v>109.713314072405</v>
      </c>
      <c r="L1095" s="29" t="n">
        <f aca="false">(IF($Z$19=1,(SUMPRODUCT((Quesería!$C$70:$C$89=0)*(Quesería!$J$70:$J$89&gt;0)*(L$47&gt;=1)*(L$47&lt;=Quesería!$J$70:$J$89)*(Quesería!$H$70:$H$89&gt;0)*Quesería!$F$70:$F$89*(1+Quesería!$I$70:$I$89)/(Quesería!$J$70:$J$89+(Quesería!$J$70:$J$89=0)))+SUMPRODUCT((Quesería!$C$70:$C$89=0)*(Quesería!$J$70:$J$89=0)*(L$47=0)*(Quesería!$H$70:$H$89&gt;0)*Quesería!$F$70:$F$89*(1+Quesería!$I$70:$I$89)))*$B$1083+((SUMPRODUCT((Quesería!$C$70:$C$89=1)*(Quesería!$J$70:$J$89&gt;0)*(L$47&gt;=2)*(L$47&lt;=Quesería!$J$70:$J$89+1)*(Quesería!$H$70:$H$89&gt;0)*Quesería!$F$70:$F$89*(1+Quesería!$I$70:$I$89)/(Quesería!$J$70:$J$89+(Quesería!$J$70:$J$89=0)))+SUMPRODUCT((Quesería!$C$70:$C$89=1)*(Quesería!$J$70:$J$89=0)*(L$47=1)*(Quesería!$H$70:$H$89&gt;0)*Quesería!$F$70:$F$89*(1+Quesería!$I$70:$I$89)))-(-$Z$26)*IF(AND(L$47&gt;=2,L$47&lt;=Quesería!$J$86+1),Quesería!$D$86*(1+Quesería!$I$86)/Quesería!$J$86,0))*$C$1083*$Z$21,IF(AND(L$47&gt;=1,L$47&lt;=Quesería!$B$30),Quesería!$F$92/Quesería!$B$30,0)*$B$1083+IF(AND(L$47&gt;=2,L$47&lt;=Quesería!$B$30+1),(Quesería!$F$93-(-$Z$26)*Quesería!$D$86*(1+Quesería!$I$86))/Quesería!$B$30,0)*$C$1083*$Z$21)*$Z$11+IF(AND(L$47&gt;=6,L$47&lt;=10),$G1087*$G1083/5,0)+IF(AND(L$47&gt;=7,L$47&lt;=11),$H1087*$H1083/5,0))*L1085</f>
        <v>105.493571223466</v>
      </c>
    </row>
    <row r="1096" customFormat="false" ht="15" hidden="true" customHeight="false" outlineLevel="1" collapsed="false">
      <c r="A1096" s="9" t="s">
        <v>417</v>
      </c>
      <c r="B1096" s="58" t="n">
        <f aca="false">IF(B$47=1,MIN($Z$7*$Z$26*Quesería!$B$56*Quesería!$D$86*$Z$11*$Z$21,Quesería!$B$57*Quesería!$B$58),0)</f>
        <v>0</v>
      </c>
      <c r="C1096" s="58" t="n">
        <f aca="false">IF(C$47=1,MIN($Z$7*$Z$26*Quesería!$B$56*Quesería!$D$86*$Z$11*$Z$21,Quesería!$B$57*Quesería!$B$58),0)</f>
        <v>0</v>
      </c>
      <c r="D1096" s="58" t="n">
        <f aca="false">IF(D$47=1,MIN($Z$7*$Z$26*Quesería!$B$56*Quesería!$D$86*$Z$11*$Z$21,Quesería!$B$57*Quesería!$B$58),0)</f>
        <v>0</v>
      </c>
      <c r="E1096" s="58" t="n">
        <f aca="false">IF(E$47=1,MIN($Z$7*$Z$26*Quesería!$B$56*Quesería!$D$86*$Z$11*$Z$21,Quesería!$B$57*Quesería!$B$58),0)</f>
        <v>0</v>
      </c>
      <c r="F1096" s="58" t="n">
        <f aca="false">IF(F$47=1,MIN($Z$7*$Z$26*Quesería!$B$56*Quesería!$D$86*$Z$11*$Z$21,Quesería!$B$57*Quesería!$B$58),0)</f>
        <v>0</v>
      </c>
      <c r="G1096" s="58" t="n">
        <f aca="false">IF(G$47=1,MIN($Z$7*$Z$26*Quesería!$B$56*Quesería!$D$86*$Z$11*$Z$21,Quesería!$B$57*Quesería!$B$58),0)</f>
        <v>0</v>
      </c>
      <c r="H1096" s="58" t="n">
        <f aca="false">IF(H$47=1,MIN($Z$7*$Z$26*Quesería!$B$56*Quesería!$D$86*$Z$11*$Z$21,Quesería!$B$57*Quesería!$B$58),0)</f>
        <v>0</v>
      </c>
      <c r="I1096" s="58" t="n">
        <f aca="false">IF(I$47=1,MIN($Z$7*$Z$26*Quesería!$B$56*Quesería!$D$86*$Z$11*$Z$21,Quesería!$B$57*Quesería!$B$58),0)</f>
        <v>0</v>
      </c>
      <c r="J1096" s="58" t="n">
        <f aca="false">IF(J$47=1,MIN($Z$7*$Z$26*Quesería!$B$56*Quesería!$D$86*$Z$11*$Z$21,Quesería!$B$57*Quesería!$B$58),0)</f>
        <v>0</v>
      </c>
      <c r="K1096" s="58" t="n">
        <f aca="false">IF(K$47=1,MIN($Z$7*$Z$26*Quesería!$B$56*Quesería!$D$86*$Z$11*$Z$21,Quesería!$B$57*Quesería!$B$58),0)</f>
        <v>0</v>
      </c>
      <c r="L1096" s="58" t="n">
        <f aca="false">IF(L$47=1,MIN($Z$7*$Z$26*Quesería!$B$56*Quesería!$D$86*$Z$11*$Z$21,Quesería!$B$57*Quesería!$B$58),0)</f>
        <v>0</v>
      </c>
    </row>
    <row r="1097" customFormat="false" ht="15" hidden="true" customHeight="false" outlineLevel="1" collapsed="false">
      <c r="A1097" s="9" t="s">
        <v>418</v>
      </c>
      <c r="B1097" s="58" t="n">
        <v>0</v>
      </c>
      <c r="C1097" s="58" t="n">
        <f aca="false">$Z$20*Quesería!$B$60*Quesería!$F$98*$Z$11*$B$1083/C1083/2</f>
        <v>138.12868344741</v>
      </c>
      <c r="D1097" s="58" t="n">
        <f aca="false">$Z$20*Quesería!$B$60*Quesería!$F$98*$Z$11*$B$1083/D1083/2</f>
        <v>132.18055832288</v>
      </c>
      <c r="E1097" s="58" t="n">
        <v>0</v>
      </c>
      <c r="F1097" s="58" t="n">
        <v>0</v>
      </c>
      <c r="G1097" s="58" t="n">
        <v>0</v>
      </c>
      <c r="H1097" s="58" t="n">
        <v>0</v>
      </c>
      <c r="I1097" s="58" t="n">
        <v>0</v>
      </c>
      <c r="J1097" s="58" t="n">
        <v>0</v>
      </c>
      <c r="K1097" s="58" t="n">
        <v>0</v>
      </c>
      <c r="L1097" s="58" t="n">
        <v>0</v>
      </c>
    </row>
    <row r="1098" customFormat="false" ht="15" hidden="true" customHeight="false" outlineLevel="1" collapsed="false">
      <c r="A1098" s="9" t="s">
        <v>419</v>
      </c>
      <c r="B1098" s="58" t="n">
        <f aca="false">0</f>
        <v>0</v>
      </c>
      <c r="C1098" s="58" t="n">
        <f aca="false">B1088*B1083/C1083</f>
        <v>142.014925295407</v>
      </c>
      <c r="D1098" s="58" t="n">
        <f aca="false">C1088*C1083/D1083</f>
        <v>119.721648486272</v>
      </c>
      <c r="E1098" s="58" t="n">
        <f aca="false">D1088*D1083/E1083</f>
        <v>0</v>
      </c>
      <c r="F1098" s="58" t="n">
        <f aca="false">E1088*E1083/F1083</f>
        <v>0</v>
      </c>
      <c r="G1098" s="58" t="n">
        <f aca="false">F1088*F1083/G1083</f>
        <v>0</v>
      </c>
      <c r="H1098" s="58" t="n">
        <f aca="false">G1088*G1083/H1083</f>
        <v>5.01768392412113</v>
      </c>
      <c r="I1098" s="58" t="n">
        <f aca="false">H1088*H1083/I1083</f>
        <v>8.47494190873221</v>
      </c>
      <c r="J1098" s="58" t="n">
        <f aca="false">I1088*I1083/J1083</f>
        <v>0</v>
      </c>
      <c r="K1098" s="58" t="n">
        <f aca="false">J1088*J1083/K1083</f>
        <v>0</v>
      </c>
      <c r="L1098" s="58" t="n">
        <f aca="false">K1088*K1083/L1083</f>
        <v>0</v>
      </c>
    </row>
    <row r="1099" customFormat="false" ht="15" hidden="true" customHeight="false" outlineLevel="1" collapsed="false">
      <c r="A1099" s="6" t="s">
        <v>295</v>
      </c>
      <c r="B1099" s="29" t="n">
        <f aca="false">$Z$17*(B1091-B1092-B1093-0.5*B1094-B1095)-B1096-B1097-B1098</f>
        <v>-9.59839124703308</v>
      </c>
      <c r="C1099" s="29" t="n">
        <f aca="false">$Z$17*(C1091-C1092-C1093-0.5*C1094-C1095)-C1096-C1097-C1098</f>
        <v>-267.27574962886</v>
      </c>
      <c r="D1099" s="29" t="n">
        <f aca="false">$Z$17*(D1091-D1092-D1093-0.5*D1094-D1095)-D1096-D1097-D1098</f>
        <v>-170.853332921017</v>
      </c>
      <c r="E1099" s="29" t="n">
        <f aca="false">$Z$17*(E1091-E1092-E1093-0.5*E1094-E1095)-E1096-E1097-E1098</f>
        <v>102.134387090203</v>
      </c>
      <c r="F1099" s="29" t="n">
        <f aca="false">$Z$17*(F1091-F1092-F1093-0.5*F1094-F1095)-F1096-F1097-F1098</f>
        <v>104.077163406067</v>
      </c>
      <c r="G1099" s="29" t="n">
        <f aca="false">$Z$17*(G1091-G1092-G1093-0.5*G1094-G1095)-G1096-G1097-G1098</f>
        <v>105.927042605509</v>
      </c>
      <c r="H1099" s="29" t="n">
        <f aca="false">$Z$17*(H1091-H1092-H1093-0.5*H1094-H1095)-H1096-H1097-H1098</f>
        <v>105.155568277608</v>
      </c>
      <c r="I1099" s="29" t="n">
        <f aca="false">$Z$17*(I1091-I1092-I1093-0.5*I1094-I1095)-I1096-I1097-I1098</f>
        <v>100.260889797604</v>
      </c>
      <c r="J1099" s="29" t="n">
        <f aca="false">$Z$17*(J1091-J1092-J1093-0.5*J1094-J1095)-J1096-J1097-J1098</f>
        <v>110.44366218664</v>
      </c>
      <c r="K1099" s="29" t="n">
        <f aca="false">$Z$17*(K1091-K1092-K1093-0.5*K1094-K1095)-K1096-K1097-K1098</f>
        <v>112.0906052342</v>
      </c>
      <c r="L1099" s="29" t="n">
        <f aca="false">$Z$17*(L1091-L1092-L1093-0.5*L1094-L1095)-L1096-L1097-L1098</f>
        <v>113.679026665128</v>
      </c>
    </row>
    <row r="1100" customFormat="false" ht="15" hidden="true" customHeight="false" outlineLevel="1" collapsed="false">
      <c r="A1100" s="9" t="s">
        <v>420</v>
      </c>
      <c r="B1100" s="58" t="n">
        <f aca="false">(IF(B$47&gt;=1,Quesería!$G$124*IF(B$47=1,Quesería!$B$20,1),Quesería!$G$124*Quesería!$B$20*Quesería!$B$21/12*$Z$23)+IF(B$47&gt;=2,(Quesería!$G$125-(1-$Z$24)*Quesería!$G$117-(-$Z$26*$Z$27)*'Beneficios y costos'!$D$167)*$Z$21*IF(B$47=2,Quesería!$B$20,1),0))*$Z$10</f>
        <v>77.4042870161869</v>
      </c>
      <c r="C1100" s="58" t="n">
        <f aca="false">(IF(C$47&gt;=1,Quesería!$G$124*IF(C$47=1,Quesería!$B$20,1),Quesería!$G$124*Quesería!$B$20*Quesería!$B$21/12*$Z$23)+IF(C$47&gt;=2,(Quesería!$G$125-(1-$Z$24)*Quesería!$G$117-(-$Z$26*$Z$27)*'Beneficios y costos'!$D$167)*$Z$21*IF(C$47=2,Quesería!$B$20,1),0))*$Z$10</f>
        <v>116.10643052428</v>
      </c>
      <c r="D1100" s="58" t="n">
        <f aca="false">(IF(D$47&gt;=1,Quesería!$G$124*IF(D$47=1,Quesería!$B$20,1),Quesería!$G$124*Quesería!$B$20*Quesería!$B$21/12*$Z$23)+IF(D$47&gt;=2,(Quesería!$G$125-(1-$Z$24)*Quesería!$G$117-(-$Z$26*$Z$27)*'Beneficios y costos'!$D$167)*$Z$21*IF(D$47=2,Quesería!$B$20,1),0))*$Z$10</f>
        <v>270.007144218869</v>
      </c>
      <c r="E1100" s="58" t="n">
        <f aca="false">(IF(E$47&gt;=1,Quesería!$G$124*IF(E$47=1,Quesería!$B$20,1),Quesería!$G$124*Quesería!$B$20*Quesería!$B$21/12*$Z$23)+IF(E$47&gt;=2,(Quesería!$G$125-(1-$Z$24)*Quesería!$G$117-(-$Z$26*$Z$27)*'Beneficios y costos'!$D$167)*$Z$21*IF(E$47=2,Quesería!$B$20,1),0))*$Z$10</f>
        <v>308.406667614367</v>
      </c>
      <c r="F1100" s="58" t="n">
        <f aca="false">(IF(F$47&gt;=1,Quesería!$G$124*IF(F$47=1,Quesería!$B$20,1),Quesería!$G$124*Quesería!$B$20*Quesería!$B$21/12*$Z$23)+IF(F$47&gt;=2,(Quesería!$G$125-(1-$Z$24)*Quesería!$G$117-(-$Z$26*$Z$27)*'Beneficios y costos'!$D$167)*$Z$21*IF(F$47=2,Quesería!$B$20,1),0))*$Z$10</f>
        <v>308.406667614367</v>
      </c>
      <c r="G1100" s="58" t="n">
        <f aca="false">(IF(G$47&gt;=1,Quesería!$G$124*IF(G$47=1,Quesería!$B$20,1),Quesería!$G$124*Quesería!$B$20*Quesería!$B$21/12*$Z$23)+IF(G$47&gt;=2,(Quesería!$G$125-(1-$Z$24)*Quesería!$G$117-(-$Z$26*$Z$27)*'Beneficios y costos'!$D$167)*$Z$21*IF(G$47=2,Quesería!$B$20,1),0))*$Z$10</f>
        <v>308.406667614367</v>
      </c>
      <c r="H1100" s="58" t="n">
        <f aca="false">(IF(H$47&gt;=1,Quesería!$G$124*IF(H$47=1,Quesería!$B$20,1),Quesería!$G$124*Quesería!$B$20*Quesería!$B$21/12*$Z$23)+IF(H$47&gt;=2,(Quesería!$G$125-(1-$Z$24)*Quesería!$G$117-(-$Z$26*$Z$27)*'Beneficios y costos'!$D$167)*$Z$21*IF(H$47=2,Quesería!$B$20,1),0))*$Z$10</f>
        <v>308.406667614367</v>
      </c>
      <c r="I1100" s="58" t="n">
        <f aca="false">(IF(I$47&gt;=1,Quesería!$G$124*IF(I$47=1,Quesería!$B$20,1),Quesería!$G$124*Quesería!$B$20*Quesería!$B$21/12*$Z$23)+IF(I$47&gt;=2,(Quesería!$G$125-(1-$Z$24)*Quesería!$G$117-(-$Z$26*$Z$27)*'Beneficios y costos'!$D$167)*$Z$21*IF(I$47=2,Quesería!$B$20,1),0))*$Z$10</f>
        <v>308.406667614367</v>
      </c>
      <c r="J1100" s="58" t="n">
        <f aca="false">(IF(J$47&gt;=1,Quesería!$G$124*IF(J$47=1,Quesería!$B$20,1),Quesería!$G$124*Quesería!$B$20*Quesería!$B$21/12*$Z$23)+IF(J$47&gt;=2,(Quesería!$G$125-(1-$Z$24)*Quesería!$G$117-(-$Z$26*$Z$27)*'Beneficios y costos'!$D$167)*$Z$21*IF(J$47=2,Quesería!$B$20,1),0))*$Z$10</f>
        <v>308.406667614367</v>
      </c>
      <c r="K1100" s="58" t="n">
        <f aca="false">(IF(K$47&gt;=1,Quesería!$G$124*IF(K$47=1,Quesería!$B$20,1),Quesería!$G$124*Quesería!$B$20*Quesería!$B$21/12*$Z$23)+IF(K$47&gt;=2,(Quesería!$G$125-(1-$Z$24)*Quesería!$G$117-(-$Z$26*$Z$27)*'Beneficios y costos'!$D$167)*$Z$21*IF(K$47=2,Quesería!$B$20,1),0))*$Z$10</f>
        <v>308.406667614367</v>
      </c>
      <c r="L1100" s="58" t="n">
        <f aca="false">(IF(L$47&gt;=1,Quesería!$G$124*IF(L$47=1,Quesería!$B$20,1),Quesería!$G$124*Quesería!$B$20*Quesería!$B$21/12*$Z$23)+IF(L$47&gt;=2,(Quesería!$G$125-(1-$Z$24)*Quesería!$G$117-(-$Z$26*$Z$27)*'Beneficios y costos'!$D$167)*$Z$21*IF(L$47=2,Quesería!$B$20,1),0))*$Z$10</f>
        <v>308.406667614367</v>
      </c>
    </row>
    <row r="1101" customFormat="false" ht="15" hidden="true" customHeight="false" outlineLevel="1" collapsed="false">
      <c r="A1101" s="6" t="s">
        <v>421</v>
      </c>
      <c r="B1101" s="29" t="n">
        <f aca="false">(B1100*(Quesería!$B$38+Quesería!$B$40*Quesería!$B$39)/365-B1092*Quesería!$B$42/365+IF(B$47&gt;=2,($Z$25*'Beneficios y costos'!$B$147+(1-$Z$25)*'Beneficios y costos'!$B$148)*$Z$24*$Z$21*$Z$10*IF(B$47=2,Quesería!$B$20,1),0))</f>
        <v>7.23146900616979</v>
      </c>
      <c r="C1101" s="29" t="n">
        <f aca="false">(C1100*(Quesería!$B$38+Quesería!$B$40*Quesería!$B$39)/365-C1092*Quesería!$B$42/365+IF(C$47&gt;=2,($Z$25*'Beneficios y costos'!$B$147+(1-$Z$25)*'Beneficios y costos'!$B$148)*$Z$24*$Z$21*$Z$10*IF(C$47=2,Quesería!$B$20,1),0))-(B1100*(Quesería!$B$38+Quesería!$B$40*Quesería!$B$39)/365-B1092*Quesería!$B$42/365+IF(B$47&gt;=2,($Z$25*'Beneficios y costos'!$B$147+(1-$Z$25)*'Beneficios y costos'!$B$148)*$Z$24*$Z$21*$Z$10*IF(B$47=2,Quesería!$B$20,1),0))*B1083/C1083</f>
        <v>1.42287846600884</v>
      </c>
      <c r="D1101" s="29" t="n">
        <f aca="false">(D1100*(Quesería!$B$38+Quesería!$B$40*Quesería!$B$39)/365-D1092*Quesería!$B$42/365+IF(D$47&gt;=2,($Z$25*'Beneficios y costos'!$B$147+(1-$Z$25)*'Beneficios y costos'!$B$148)*$Z$24*$Z$21*$Z$10*IF(D$47=2,Quesería!$B$20,1),0))-(C1100*(Quesería!$B$38+Quesería!$B$40*Quesería!$B$39)/365-C1092*Quesería!$B$42/365+IF(C$47&gt;=2,($Z$25*'Beneficios y costos'!$B$147+(1-$Z$25)*'Beneficios y costos'!$B$148)*$Z$24*$Z$21*$Z$10*IF(C$47=2,Quesería!$B$20,1),0))*C1083/D1083</f>
        <v>12.6624328449476</v>
      </c>
      <c r="E1101" s="29" t="n">
        <f aca="false">(E1100*(Quesería!$B$38+Quesería!$B$40*Quesería!$B$39)/365-E1092*Quesería!$B$42/365+IF(E$47&gt;=2,($Z$25*'Beneficios y costos'!$B$147+(1-$Z$25)*'Beneficios y costos'!$B$148)*$Z$24*$Z$21*$Z$10*IF(E$47=2,Quesería!$B$20,1),0))-(D1100*(Quesería!$B$38+Quesería!$B$40*Quesería!$B$39)/365-D1092*Quesería!$B$42/365+IF(D$47&gt;=2,($Z$25*'Beneficios y costos'!$B$147+(1-$Z$25)*'Beneficios y costos'!$B$148)*$Z$24*$Z$21*$Z$10*IF(D$47=2,Quesería!$B$20,1),0))*D1083/E1083</f>
        <v>4.38033071166807</v>
      </c>
      <c r="F1101" s="29" t="n">
        <f aca="false">(F1100*(Quesería!$B$38+Quesería!$B$40*Quesería!$B$39)/365-F1092*Quesería!$B$42/365+IF(F$47&gt;=2,($Z$25*'Beneficios y costos'!$B$147+(1-$Z$25)*'Beneficios y costos'!$B$148)*$Z$24*$Z$21*$Z$10*IF(F$47=2,Quesería!$B$20,1),0))-(E1100*(Quesería!$B$38+Quesería!$B$40*Quesería!$B$39)/365-E1092*Quesería!$B$42/365+IF(E$47&gt;=2,($Z$25*'Beneficios y costos'!$B$147+(1-$Z$25)*'Beneficios y costos'!$B$148)*$Z$24*$Z$21*$Z$10*IF(E$47=2,Quesería!$B$20,1),0))*E1083/F1083</f>
        <v>0.930847709069298</v>
      </c>
      <c r="G1101" s="29" t="n">
        <f aca="false">(G1100*(Quesería!$B$38+Quesería!$B$40*Quesería!$B$39)/365-G1092*Quesería!$B$42/365+IF(G$47&gt;=2,($Z$25*'Beneficios y costos'!$B$147+(1-$Z$25)*'Beneficios y costos'!$B$148)*$Z$24*$Z$21*$Z$10*IF(G$47=2,Quesería!$B$20,1),0))-(F1100*(Quesería!$B$38+Quesería!$B$40*Quesería!$B$39)/365-F1092*Quesería!$B$42/365+IF(F$47&gt;=2,($Z$25*'Beneficios y costos'!$B$147+(1-$Z$25)*'Beneficios y costos'!$B$148)*$Z$24*$Z$21*$Z$10*IF(F$47=2,Quesería!$B$20,1),0))*F1083/G1083</f>
        <v>0.930847709069298</v>
      </c>
      <c r="H1101" s="29" t="n">
        <f aca="false">(H1100*(Quesería!$B$38+Quesería!$B$40*Quesería!$B$39)/365-H1092*Quesería!$B$42/365+IF(H$47&gt;=2,($Z$25*'Beneficios y costos'!$B$147+(1-$Z$25)*'Beneficios y costos'!$B$148)*$Z$24*$Z$21*$Z$10*IF(H$47=2,Quesería!$B$20,1),0))-(G1100*(Quesería!$B$38+Quesería!$B$40*Quesería!$B$39)/365-G1092*Quesería!$B$42/365+IF(G$47&gt;=2,($Z$25*'Beneficios y costos'!$B$147+(1-$Z$25)*'Beneficios y costos'!$B$148)*$Z$24*$Z$21*$Z$10*IF(G$47=2,Quesería!$B$20,1),0))*G1083/H1083</f>
        <v>0.930847709069294</v>
      </c>
      <c r="I1101" s="29" t="n">
        <f aca="false">(I1100*(Quesería!$B$38+Quesería!$B$40*Quesería!$B$39)/365-I1092*Quesería!$B$42/365+IF(I$47&gt;=2,($Z$25*'Beneficios y costos'!$B$147+(1-$Z$25)*'Beneficios y costos'!$B$148)*$Z$24*$Z$21*$Z$10*IF(I$47=2,Quesería!$B$20,1),0))-(H1100*(Quesería!$B$38+Quesería!$B$40*Quesería!$B$39)/365-H1092*Quesería!$B$42/365+IF(H$47&gt;=2,($Z$25*'Beneficios y costos'!$B$147+(1-$Z$25)*'Beneficios y costos'!$B$148)*$Z$24*$Z$21*$Z$10*IF(H$47=2,Quesería!$B$20,1),0))*H1083/I1083</f>
        <v>0.930847709069298</v>
      </c>
      <c r="J1101" s="29" t="n">
        <f aca="false">(J1100*(Quesería!$B$38+Quesería!$B$40*Quesería!$B$39)/365-J1092*Quesería!$B$42/365+IF(J$47&gt;=2,($Z$25*'Beneficios y costos'!$B$147+(1-$Z$25)*'Beneficios y costos'!$B$148)*$Z$24*$Z$21*$Z$10*IF(J$47=2,Quesería!$B$20,1),0))-(I1100*(Quesería!$B$38+Quesería!$B$40*Quesería!$B$39)/365-I1092*Quesería!$B$42/365+IF(I$47&gt;=2,($Z$25*'Beneficios y costos'!$B$147+(1-$Z$25)*'Beneficios y costos'!$B$148)*$Z$24*$Z$21*$Z$10*IF(I$47=2,Quesería!$B$20,1),0))*I1083/J1083</f>
        <v>0.930847709069294</v>
      </c>
      <c r="K1101" s="29" t="n">
        <f aca="false">(K1100*(Quesería!$B$38+Quesería!$B$40*Quesería!$B$39)/365-K1092*Quesería!$B$42/365+IF(K$47&gt;=2,($Z$25*'Beneficios y costos'!$B$147+(1-$Z$25)*'Beneficios y costos'!$B$148)*$Z$24*$Z$21*$Z$10*IF(K$47=2,Quesería!$B$20,1),0))-(J1100*(Quesería!$B$38+Quesería!$B$40*Quesería!$B$39)/365-J1092*Quesería!$B$42/365+IF(J$47&gt;=2,($Z$25*'Beneficios y costos'!$B$147+(1-$Z$25)*'Beneficios y costos'!$B$148)*$Z$24*$Z$21*$Z$10*IF(J$47=2,Quesería!$B$20,1),0))*J1083/K1083</f>
        <v>0.930847709069301</v>
      </c>
      <c r="L1101" s="29" t="n">
        <f aca="false">-(K1100*(Quesería!$B$38+Quesería!$B$40*Quesería!$B$39)/365-K1092*Quesería!$B$42/365+IF(K$47&gt;=2,($Z$25*'Beneficios y costos'!$B$147+(1-$Z$25)*'Beneficios y costos'!$B$148)*$Z$24*$Z$21*$Z$10*IF(K$47=2,Quesería!$B$20,1),0))*K1083/L1083</f>
        <v>-23.2711927267324</v>
      </c>
    </row>
    <row r="1102" customFormat="false" ht="15" hidden="true" customHeight="false" outlineLevel="1" collapsed="false">
      <c r="A1102" s="6" t="s">
        <v>422</v>
      </c>
      <c r="B1102" s="29" t="n">
        <v>0</v>
      </c>
      <c r="C1102" s="29" t="n">
        <v>0</v>
      </c>
      <c r="D1102" s="29" t="n">
        <v>0</v>
      </c>
      <c r="E1102" s="29" t="n">
        <v>0</v>
      </c>
      <c r="F1102" s="29" t="n">
        <v>0</v>
      </c>
      <c r="G1102" s="29" t="n">
        <v>0</v>
      </c>
      <c r="H1102" s="29" t="n">
        <v>0</v>
      </c>
      <c r="I1102" s="29" t="n">
        <v>0</v>
      </c>
      <c r="J1102" s="29" t="n">
        <v>0</v>
      </c>
      <c r="K1102" s="29" t="n">
        <v>0</v>
      </c>
      <c r="L1102" s="29" t="n">
        <f aca="false">$Z$8*Quesería!$B$36*(Quesería!$F$94+(Quesería!$F$95-(-$Z$26)*Quesería!$D$86)*$Z$21)*$Z$11*(1-$Z$17)</f>
        <v>61.9237725584542</v>
      </c>
    </row>
    <row r="1103" customFormat="false" ht="15" hidden="true" customHeight="false" outlineLevel="1" collapsed="false">
      <c r="A1103" s="5" t="s">
        <v>147</v>
      </c>
      <c r="B1103" s="59" t="n">
        <f aca="false">B1091-B1092-B1093-B1094-B1099-B1086-B1087-B1088-B1101+B1102</f>
        <v>-961.151880133756</v>
      </c>
      <c r="C1103" s="59" t="n">
        <f aca="false">C1091-C1092-C1093-C1094-C1099-C1086-C1087-C1088-C1101+C1102</f>
        <v>-400.385058451238</v>
      </c>
      <c r="D1103" s="59" t="n">
        <f aca="false">D1091-D1092-D1093-D1094-D1099-D1086-D1087-D1088-D1101+D1102</f>
        <v>531.338399196751</v>
      </c>
      <c r="E1103" s="59" t="n">
        <f aca="false">E1091-E1092-E1093-E1094-E1099-E1086-E1087-E1088-E1101+E1102</f>
        <v>321.425863177291</v>
      </c>
      <c r="F1103" s="59" t="n">
        <f aca="false">F1091-F1092-F1093-F1094-F1099-F1086-F1087-F1088-F1101+F1102</f>
        <v>323.241780899462</v>
      </c>
      <c r="G1103" s="59" t="n">
        <f aca="false">G1091-G1092-G1093-G1094-G1099-G1086-G1087-G1088-G1101+G1102</f>
        <v>288.888315806474</v>
      </c>
      <c r="H1103" s="59" t="n">
        <f aca="false">H1091-H1092-H1093-H1094-H1099-H1086-H1087-H1088-H1101+H1102</f>
        <v>267.362536317379</v>
      </c>
      <c r="I1103" s="59" t="n">
        <f aca="false">I1091-I1092-I1093-I1094-I1099-I1086-I1087-I1088-I1101+I1102</f>
        <v>327.994994905051</v>
      </c>
      <c r="J1103" s="59" t="n">
        <f aca="false">J1091-J1092-J1093-J1094-J1099-J1086-J1087-J1088-J1101+J1102</f>
        <v>318.127664308613</v>
      </c>
      <c r="K1103" s="59" t="n">
        <f aca="false">K1091-K1092-K1093-K1094-K1099-K1086-K1087-K1088-K1101+K1102</f>
        <v>316.797740262615</v>
      </c>
      <c r="L1103" s="59" t="n">
        <f aca="false">L1091-L1092-L1093-L1094-L1099-L1086-L1087-L1088-L1101+L1102</f>
        <v>401.653735922512</v>
      </c>
    </row>
    <row r="1104" customFormat="false" ht="15" hidden="true" customHeight="false" outlineLevel="1" collapsed="false">
      <c r="A1104" s="9" t="s">
        <v>423</v>
      </c>
      <c r="B1104" s="58" t="n">
        <f aca="false">B1103*B1083</f>
        <v>-1018.82099294178</v>
      </c>
      <c r="C1104" s="58" t="n">
        <f aca="false">C1103*C1083</f>
        <v>-445.628570056228</v>
      </c>
      <c r="D1104" s="58" t="n">
        <f aca="false">D1103*D1083</f>
        <v>617.991722029753</v>
      </c>
      <c r="E1104" s="58" t="n">
        <f aca="false">E1103*E1083</f>
        <v>388.799424076502</v>
      </c>
      <c r="F1104" s="58" t="n">
        <f aca="false">F1103*F1083</f>
        <v>406.635812343227</v>
      </c>
      <c r="G1104" s="58" t="n">
        <f aca="false">G1103*G1083</f>
        <v>377.956178911811</v>
      </c>
      <c r="H1104" s="58" t="n">
        <f aca="false">H1103*H1083</f>
        <v>363.785483056768</v>
      </c>
      <c r="I1104" s="58" t="n">
        <f aca="false">I1103*I1083</f>
        <v>464.136120480614</v>
      </c>
      <c r="J1104" s="58" t="n">
        <f aca="false">J1103*J1083</f>
        <v>468.180075648419</v>
      </c>
      <c r="K1104" s="58" t="n">
        <f aca="false">K1103*K1083</f>
        <v>484.87177604214</v>
      </c>
      <c r="L1104" s="58" t="n">
        <f aca="false">L1103*L1083</f>
        <v>639.337207817323</v>
      </c>
    </row>
    <row r="1105" customFormat="false" ht="15" hidden="true" customHeight="false" outlineLevel="1" collapsed="false">
      <c r="A1105" s="6" t="s">
        <v>424</v>
      </c>
      <c r="B1105" s="29" t="n">
        <f aca="false">B1103</f>
        <v>-961.151880133756</v>
      </c>
      <c r="C1105" s="29" t="n">
        <f aca="false">B1105+C1103</f>
        <v>-1361.53693858499</v>
      </c>
      <c r="D1105" s="29" t="n">
        <f aca="false">C1105+D1103</f>
        <v>-830.198539388243</v>
      </c>
      <c r="E1105" s="29" t="n">
        <f aca="false">D1105+E1103</f>
        <v>-508.772676210952</v>
      </c>
      <c r="F1105" s="29" t="n">
        <f aca="false">E1105+F1103</f>
        <v>-185.530895311489</v>
      </c>
      <c r="G1105" s="29" t="n">
        <f aca="false">F1105+G1103</f>
        <v>103.357420494985</v>
      </c>
      <c r="H1105" s="29" t="n">
        <f aca="false">G1105+H1103</f>
        <v>370.719956812364</v>
      </c>
      <c r="I1105" s="29" t="n">
        <f aca="false">H1105+I1103</f>
        <v>698.714951717414</v>
      </c>
      <c r="J1105" s="29" t="n">
        <f aca="false">I1105+J1103</f>
        <v>1016.84261602603</v>
      </c>
      <c r="K1105" s="29" t="n">
        <f aca="false">J1105+K1103</f>
        <v>1333.64035628864</v>
      </c>
      <c r="L1105" s="29" t="n">
        <f aca="false">K1105+L1103</f>
        <v>1735.29409221116</v>
      </c>
    </row>
    <row r="1106" customFormat="false" ht="15" hidden="true" customHeight="false" outlineLevel="1" collapsed="false">
      <c r="A1106" s="9" t="s">
        <v>425</v>
      </c>
      <c r="B1106" s="60" t="n">
        <v>0</v>
      </c>
      <c r="C1106" s="60" t="n">
        <f aca="false">IF(AND(B1105&lt;0,C1105&gt;=0),B$47+(-B1105)/C1103,0)</f>
        <v>0</v>
      </c>
      <c r="D1106" s="60" t="n">
        <f aca="false">IF(AND(C1105&lt;0,D1105&gt;=0),C$47+(-C1105)/D1103,0)</f>
        <v>0</v>
      </c>
      <c r="E1106" s="60" t="n">
        <f aca="false">IF(AND(D1105&lt;0,E1105&gt;=0),D$47+(-D1105)/E1103,0)</f>
        <v>0</v>
      </c>
      <c r="F1106" s="60" t="n">
        <f aca="false">IF(AND(E1105&lt;0,F1105&gt;=0),E$47+(-E1105)/F1103,0)</f>
        <v>0</v>
      </c>
      <c r="G1106" s="60" t="n">
        <f aca="false">IF(AND(F1105&lt;0,G1105&gt;=0),F$47+(-F1105)/G1103,0)</f>
        <v>4.64222360393342</v>
      </c>
      <c r="H1106" s="60" t="n">
        <f aca="false">IF(AND(G1105&lt;0,H1105&gt;=0),G$47+(-G1105)/H1103,0)</f>
        <v>0</v>
      </c>
      <c r="I1106" s="60" t="n">
        <f aca="false">IF(AND(H1105&lt;0,I1105&gt;=0),H$47+(-H1105)/I1103,0)</f>
        <v>0</v>
      </c>
      <c r="J1106" s="60" t="n">
        <f aca="false">IF(AND(I1105&lt;0,J1105&gt;=0),I$47+(-I1105)/J1103,0)</f>
        <v>0</v>
      </c>
      <c r="K1106" s="60" t="n">
        <f aca="false">IF(AND(J1105&lt;0,K1105&gt;=0),J$47+(-J1105)/K1103,0)</f>
        <v>0</v>
      </c>
      <c r="L1106" s="60" t="n">
        <f aca="false">IF(AND(K1105&lt;0,L1105&gt;=0),K$47+(-K1105)/L1103,0)</f>
        <v>0</v>
      </c>
    </row>
    <row r="1107" customFormat="false" ht="15" hidden="true" customHeight="false" outlineLevel="1" collapsed="false">
      <c r="A1107" s="9" t="s">
        <v>426</v>
      </c>
      <c r="B1107" s="57" t="n">
        <f aca="false">(B1083/$B$1083)/(1+$Z$29)^B$47</f>
        <v>1</v>
      </c>
      <c r="C1107" s="57" t="n">
        <f aca="false">(C1083/$B$1083)/(1+$Z$29)^C$47</f>
        <v>0.915373701313561</v>
      </c>
      <c r="D1107" s="57" t="n">
        <f aca="false">(D1083/$B$1083)/(1+$Z$29)^D$47</f>
        <v>0.833918970137172</v>
      </c>
      <c r="E1107" s="57" t="n">
        <f aca="false">(E1083/$B$1083)/(1+$Z$29)^E$47</f>
        <v>0.756077518153961</v>
      </c>
      <c r="F1107" s="57" t="n">
        <f aca="false">(F1083/$B$1083)/(1+$Z$29)^F$47</f>
        <v>0.685502109831871</v>
      </c>
      <c r="G1107" s="57" t="n">
        <f aca="false">(G1083/$B$1083)/(1+$Z$29)^G$47</f>
        <v>0.621514502549008</v>
      </c>
      <c r="H1107" s="57" t="n">
        <f aca="false">(H1083/$B$1083)/(1+$Z$29)^H$47</f>
        <v>0.563499763660072</v>
      </c>
      <c r="I1107" s="57" t="n">
        <f aca="false">(I1083/$B$1083)/(1+$Z$29)^I$47</f>
        <v>0.510900360880829</v>
      </c>
      <c r="J1107" s="57" t="n">
        <f aca="false">(J1083/$B$1083)/(1+$Z$29)^J$47</f>
        <v>0.463210804300567</v>
      </c>
      <c r="K1107" s="57" t="n">
        <f aca="false">(K1083/$B$1083)/(1+$Z$29)^K$47</f>
        <v>0.419972788531318</v>
      </c>
      <c r="L1107" s="57" t="n">
        <f aca="false">(L1083/$B$1083)/(1+$Z$29)^L$47</f>
        <v>0.380770788308996</v>
      </c>
    </row>
    <row r="1108" customFormat="false" ht="15" hidden="true" customHeight="false" outlineLevel="1" collapsed="false">
      <c r="A1108" s="9" t="s">
        <v>427</v>
      </c>
      <c r="B1108" s="58" t="n">
        <f aca="false">B1103*B1107</f>
        <v>-961.151880133756</v>
      </c>
      <c r="C1108" s="58" t="n">
        <f aca="false">C1103*C1107</f>
        <v>-366.501952905157</v>
      </c>
      <c r="D1108" s="58" t="n">
        <f aca="false">D1103*D1107</f>
        <v>443.093170652488</v>
      </c>
      <c r="E1108" s="58" t="n">
        <f aca="false">E1103*E1107</f>
        <v>243.022868901581</v>
      </c>
      <c r="F1108" s="58" t="n">
        <f aca="false">F1103*F1107</f>
        <v>221.582922792393</v>
      </c>
      <c r="G1108" s="58" t="n">
        <f aca="false">G1103*G1107</f>
        <v>179.548277890681</v>
      </c>
      <c r="H1108" s="58" t="n">
        <f aca="false">H1103*H1107</f>
        <v>150.6587260264</v>
      </c>
      <c r="I1108" s="58" t="n">
        <f aca="false">I1103*I1107</f>
        <v>167.572761264096</v>
      </c>
      <c r="J1108" s="58" t="n">
        <f aca="false">J1103*J1107</f>
        <v>147.360171254654</v>
      </c>
      <c r="K1108" s="58" t="n">
        <f aca="false">K1103*K1107</f>
        <v>133.04643037851</v>
      </c>
      <c r="L1108" s="58" t="n">
        <f aca="false">L1103*L1107</f>
        <v>152.938009654468</v>
      </c>
    </row>
    <row r="1109" customFormat="false" ht="15" hidden="true" customHeight="false" outlineLevel="1" collapsed="false">
      <c r="A1109" s="9" t="s">
        <v>428</v>
      </c>
      <c r="B1109" s="58" t="n">
        <f aca="false">B1108</f>
        <v>-961.151880133756</v>
      </c>
      <c r="C1109" s="58" t="n">
        <f aca="false">B1109+C1108</f>
        <v>-1327.65383303891</v>
      </c>
      <c r="D1109" s="58" t="n">
        <f aca="false">C1109+D1108</f>
        <v>-884.560662386424</v>
      </c>
      <c r="E1109" s="58" t="n">
        <f aca="false">D1109+E1108</f>
        <v>-641.537793484843</v>
      </c>
      <c r="F1109" s="58" t="n">
        <f aca="false">E1109+F1108</f>
        <v>-419.95487069245</v>
      </c>
      <c r="G1109" s="58" t="n">
        <f aca="false">F1109+G1108</f>
        <v>-240.406592801769</v>
      </c>
      <c r="H1109" s="58" t="n">
        <f aca="false">G1109+H1108</f>
        <v>-89.7478667753682</v>
      </c>
      <c r="I1109" s="58" t="n">
        <f aca="false">H1109+I1108</f>
        <v>77.824894488728</v>
      </c>
      <c r="J1109" s="58" t="n">
        <f aca="false">I1109+J1108</f>
        <v>225.185065743382</v>
      </c>
      <c r="K1109" s="58" t="n">
        <f aca="false">J1109+K1108</f>
        <v>358.231496121892</v>
      </c>
      <c r="L1109" s="58" t="n">
        <f aca="false">K1109+L1108</f>
        <v>511.16950577636</v>
      </c>
    </row>
    <row r="1110" customFormat="false" ht="15" hidden="true" customHeight="false" outlineLevel="1" collapsed="false">
      <c r="A1110" s="9" t="s">
        <v>429</v>
      </c>
      <c r="B1110" s="60" t="n">
        <v>0</v>
      </c>
      <c r="C1110" s="60" t="n">
        <f aca="false">IF(AND(B1109&lt;0,C1109&gt;=0),B$47+(-B1109)/C1108,0)</f>
        <v>0</v>
      </c>
      <c r="D1110" s="60" t="n">
        <f aca="false">IF(AND(C1109&lt;0,D1109&gt;=0),C$47+(-C1109)/D1108,0)</f>
        <v>0</v>
      </c>
      <c r="E1110" s="60" t="n">
        <f aca="false">IF(AND(D1109&lt;0,E1109&gt;=0),D$47+(-D1109)/E1108,0)</f>
        <v>0</v>
      </c>
      <c r="F1110" s="60" t="n">
        <f aca="false">IF(AND(E1109&lt;0,F1109&gt;=0),E$47+(-E1109)/F1108,0)</f>
        <v>0</v>
      </c>
      <c r="G1110" s="60" t="n">
        <f aca="false">IF(AND(F1109&lt;0,G1109&gt;=0),F$47+(-F1109)/G1108,0)</f>
        <v>0</v>
      </c>
      <c r="H1110" s="60" t="n">
        <f aca="false">IF(AND(G1109&lt;0,H1109&gt;=0),G$47+(-G1109)/H1108,0)</f>
        <v>0</v>
      </c>
      <c r="I1110" s="60" t="n">
        <f aca="false">IF(AND(H1109&lt;0,I1109&gt;=0),H$47+(-H1109)/I1108,0)</f>
        <v>6.53557550820521</v>
      </c>
      <c r="J1110" s="60" t="n">
        <f aca="false">IF(AND(I1109&lt;0,J1109&gt;=0),I$47+(-I1109)/J1108,0)</f>
        <v>0</v>
      </c>
      <c r="K1110" s="60" t="n">
        <f aca="false">IF(AND(J1109&lt;0,K1109&gt;=0),J$47+(-J1109)/K1108,0)</f>
        <v>0</v>
      </c>
      <c r="L1110" s="60" t="n">
        <f aca="false">IF(AND(K1109&lt;0,L1109&gt;=0),K$47+(-K1109)/L1108,0)</f>
        <v>0</v>
      </c>
    </row>
    <row r="1111" customFormat="false" ht="15" hidden="true" customHeight="false" outlineLevel="1" collapsed="false">
      <c r="A1111" s="9" t="s">
        <v>430</v>
      </c>
      <c r="B1111" s="58" t="n">
        <f aca="false">IF(B$47&lt;0,0,(Quesería!$B$44*$B$1086*$B$1083)*(1-MAX(0,MIN(B$47-0-Quesería!$B$47,(Quesería!$B$46-Quesería!$B$47)))/(Quesería!$B$46-Quesería!$B$47))*IF(B$47&gt;=2,1-Quesería!$B$48,1))+IF(B$47&lt;1,0,(Quesería!$B$44*$C$1086*$C$1083)*(1-MAX(0,MIN(B$47-1-Quesería!$B$47,(Quesería!$B$46-Quesería!$B$47)))/(Quesería!$B$46-Quesería!$B$47))*IF(B$47&gt;=2,1-Quesería!$B$48,1))</f>
        <v>641.321364968425</v>
      </c>
      <c r="C1111" s="58" t="n">
        <f aca="false">IF(C$47&lt;0,0,(Quesería!$B$44*$B$1086*$B$1083)*(1-MAX(0,MIN(C$47-0-Quesería!$B$47,(Quesería!$B$46-Quesería!$B$47)))/(Quesería!$B$46-Quesería!$B$47))*IF(C$47&gt;=2,1-Quesería!$B$48,1))+IF(C$47&lt;1,0,(Quesería!$B$44*$C$1086*$C$1083)*(1-MAX(0,MIN(C$47-1-Quesería!$B$47,(Quesería!$B$46-Quesería!$B$47)))/(Quesería!$B$46-Quesería!$B$47))*IF(C$47&gt;=2,1-Quesería!$B$48,1))</f>
        <v>1117.69081125409</v>
      </c>
      <c r="D1111" s="58" t="n">
        <f aca="false">IF(D$47&lt;0,0,(Quesería!$B$44*$B$1086*$B$1083)*(1-MAX(0,MIN(D$47-0-Quesería!$B$47,(Quesería!$B$46-Quesería!$B$47)))/(Quesería!$B$46-Quesería!$B$47))*IF(D$47&gt;=2,1-Quesería!$B$48,1))+IF(D$47&lt;1,0,(Quesería!$B$44*$C$1086*$C$1083)*(1-MAX(0,MIN(D$47-1-Quesería!$B$47,(Quesería!$B$46-Quesería!$B$47)))/(Quesería!$B$46-Quesería!$B$47))*IF(D$47&gt;=2,1-Quesería!$B$48,1))</f>
        <v>1010.80391709269</v>
      </c>
      <c r="E1111" s="58" t="n">
        <f aca="false">IF(E$47&lt;0,0,(Quesería!$B$44*$B$1086*$B$1083)*(1-MAX(0,MIN(E$47-0-Quesería!$B$47,(Quesería!$B$46-Quesería!$B$47)))/(Quesería!$B$46-Quesería!$B$47))*IF(E$47&gt;=2,1-Quesería!$B$48,1))+IF(E$47&lt;1,0,(Quesería!$B$44*$C$1086*$C$1083)*(1-MAX(0,MIN(E$47-1-Quesería!$B$47,(Quesería!$B$46-Quesería!$B$47)))/(Quesería!$B$46-Quesería!$B$47))*IF(E$47&gt;=2,1-Quesería!$B$48,1))</f>
        <v>824.522115217005</v>
      </c>
      <c r="F1111" s="58" t="n">
        <f aca="false">IF(F$47&lt;0,0,(Quesería!$B$44*$B$1086*$B$1083)*(1-MAX(0,MIN(F$47-0-Quesería!$B$47,(Quesería!$B$46-Quesería!$B$47)))/(Quesería!$B$46-Quesería!$B$47))*IF(F$47&gt;=2,1-Quesería!$B$48,1))+IF(F$47&lt;1,0,(Quesería!$B$44*$C$1086*$C$1083)*(1-MAX(0,MIN(F$47-1-Quesería!$B$47,(Quesería!$B$46-Quesería!$B$47)))/(Quesería!$B$46-Quesería!$B$47))*IF(F$47&gt;=2,1-Quesería!$B$48,1))</f>
        <v>638.240313341323</v>
      </c>
      <c r="G1111" s="58" t="n">
        <f aca="false">IF(G$47&lt;0,0,(Quesería!$B$44*$B$1086*$B$1083)*(1-MAX(0,MIN(G$47-0-Quesería!$B$47,(Quesería!$B$46-Quesería!$B$47)))/(Quesería!$B$46-Quesería!$B$47))*IF(G$47&gt;=2,1-Quesería!$B$48,1))+IF(G$47&lt;1,0,(Quesería!$B$44*$C$1086*$C$1083)*(1-MAX(0,MIN(G$47-1-Quesería!$B$47,(Quesería!$B$46-Quesería!$B$47)))/(Quesería!$B$46-Quesería!$B$47))*IF(G$47&gt;=2,1-Quesería!$B$48,1))</f>
        <v>451.958511465641</v>
      </c>
      <c r="H1111" s="58" t="n">
        <f aca="false">IF(H$47&lt;0,0,(Quesería!$B$44*$B$1086*$B$1083)*(1-MAX(0,MIN(H$47-0-Quesería!$B$47,(Quesería!$B$46-Quesería!$B$47)))/(Quesería!$B$46-Quesería!$B$47))*IF(H$47&gt;=2,1-Quesería!$B$48,1))+IF(H$47&lt;1,0,(Quesería!$B$44*$C$1086*$C$1083)*(1-MAX(0,MIN(H$47-1-Quesería!$B$47,(Quesería!$B$46-Quesería!$B$47)))/(Quesería!$B$46-Quesería!$B$47))*IF(H$47&gt;=2,1-Quesería!$B$48,1))</f>
        <v>265.67670958996</v>
      </c>
      <c r="I1111" s="58" t="n">
        <f aca="false">IF(I$47&lt;0,0,(Quesería!$B$44*$B$1086*$B$1083)*(1-MAX(0,MIN(I$47-0-Quesería!$B$47,(Quesería!$B$46-Quesería!$B$47)))/(Quesería!$B$46-Quesería!$B$47))*IF(I$47&gt;=2,1-Quesería!$B$48,1))+IF(I$47&lt;1,0,(Quesería!$B$44*$C$1086*$C$1083)*(1-MAX(0,MIN(I$47-1-Quesería!$B$47,(Quesería!$B$46-Quesería!$B$47)))/(Quesería!$B$46-Quesería!$B$47))*IF(I$47&gt;=2,1-Quesería!$B$48,1))</f>
        <v>79.3949077142776</v>
      </c>
      <c r="J1111" s="58" t="n">
        <f aca="false">IF(J$47&lt;0,0,(Quesería!$B$44*$B$1086*$B$1083)*(1-MAX(0,MIN(J$47-0-Quesería!$B$47,(Quesería!$B$46-Quesería!$B$47)))/(Quesería!$B$46-Quesería!$B$47))*IF(J$47&gt;=2,1-Quesería!$B$48,1))+IF(J$47&lt;1,0,(Quesería!$B$44*$C$1086*$C$1083)*(1-MAX(0,MIN(J$47-1-Quesería!$B$47,(Quesería!$B$46-Quesería!$B$47)))/(Quesería!$B$46-Quesería!$B$47))*IF(J$47&gt;=2,1-Quesería!$B$48,1))</f>
        <v>0</v>
      </c>
      <c r="K1111" s="58" t="n">
        <f aca="false">IF(K$47&lt;0,0,(Quesería!$B$44*$B$1086*$B$1083)*(1-MAX(0,MIN(K$47-0-Quesería!$B$47,(Quesería!$B$46-Quesería!$B$47)))/(Quesería!$B$46-Quesería!$B$47))*IF(K$47&gt;=2,1-Quesería!$B$48,1))+IF(K$47&lt;1,0,(Quesería!$B$44*$C$1086*$C$1083)*(1-MAX(0,MIN(K$47-1-Quesería!$B$47,(Quesería!$B$46-Quesería!$B$47)))/(Quesería!$B$46-Quesería!$B$47))*IF(K$47&gt;=2,1-Quesería!$B$48,1))</f>
        <v>0</v>
      </c>
      <c r="L1111" s="58" t="n">
        <f aca="false">IF(L$47&lt;0,0,(Quesería!$B$44*$B$1086*$B$1083)*(1-MAX(0,MIN(L$47-0-Quesería!$B$47,(Quesería!$B$46-Quesería!$B$47)))/(Quesería!$B$46-Quesería!$B$47))*IF(L$47&gt;=2,1-Quesería!$B$48,1))+IF(L$47&lt;1,0,(Quesería!$B$44*$C$1086*$C$1083)*(1-MAX(0,MIN(L$47-1-Quesería!$B$47,(Quesería!$B$46-Quesería!$B$47)))/(Quesería!$B$46-Quesería!$B$47))*IF(L$47&gt;=2,1-Quesería!$B$48,1))</f>
        <v>0</v>
      </c>
    </row>
    <row r="1112" customFormat="false" ht="15" hidden="true" customHeight="false" outlineLevel="1" collapsed="false">
      <c r="A1112" s="6" t="s">
        <v>431</v>
      </c>
      <c r="B1112" s="29" t="n">
        <f aca="false">Quesería!$B$44*B1086</f>
        <v>605.02015563059</v>
      </c>
      <c r="C1112" s="29" t="n">
        <f aca="false">Quesería!$B$44*C1086</f>
        <v>428.004893338424</v>
      </c>
      <c r="D1112" s="29" t="n">
        <f aca="false">Quesería!$B$44*D1086</f>
        <v>0</v>
      </c>
      <c r="E1112" s="29" t="n">
        <f aca="false">Quesería!$B$44*E1086</f>
        <v>0</v>
      </c>
      <c r="F1112" s="29" t="n">
        <f aca="false">Quesería!$B$44*F1086</f>
        <v>0</v>
      </c>
      <c r="G1112" s="29" t="n">
        <f aca="false">Quesería!$B$44*G1086</f>
        <v>0</v>
      </c>
      <c r="H1112" s="29" t="n">
        <f aca="false">Quesería!$B$44*H1086</f>
        <v>0</v>
      </c>
      <c r="I1112" s="29" t="n">
        <f aca="false">Quesería!$B$44*I1086</f>
        <v>0</v>
      </c>
      <c r="J1112" s="29" t="n">
        <f aca="false">Quesería!$B$44*J1086</f>
        <v>0</v>
      </c>
      <c r="K1112" s="29" t="n">
        <f aca="false">Quesería!$B$44*K1086</f>
        <v>0</v>
      </c>
      <c r="L1112" s="29" t="n">
        <f aca="false">Quesería!$B$44*L1086</f>
        <v>0</v>
      </c>
    </row>
    <row r="1113" customFormat="false" ht="15" hidden="true" customHeight="false" outlineLevel="1" collapsed="false">
      <c r="A1113" s="6" t="s">
        <v>432</v>
      </c>
      <c r="B1113" s="29" t="n">
        <f aca="false">(IF(AND(B$47&gt;0,B$47&lt;=0+Quesería!$B$46),($Z$14+$Z$28)*(Quesería!$B$44*$B$1086*$B$1083)*(1-MAX(0,MIN((B$47-1)-0-Quesería!$B$47,(Quesería!$B$46-Quesería!$B$47)))/(Quesería!$B$46-Quesería!$B$47))*IF(B$47&gt;2,1-Quesería!$B$48,1),0)+IF(AND(B$47&gt;1,B$47&lt;=1+Quesería!$B$46),($Z$14+$Z$28)*(Quesería!$B$44*$C$1086*$C$1083)*(1-MAX(0,MIN((B$47-1)-1-Quesería!$B$47,(Quesería!$B$46-Quesería!$B$47)))/(Quesería!$B$46-Quesería!$B$47))*IF(B$47&gt;2,1-Quesería!$B$48,1),0))*B1085</f>
        <v>0</v>
      </c>
      <c r="C1113" s="29" t="n">
        <f aca="false">(IF(AND(C$47&gt;0,C$47&lt;=0+Quesería!$B$46),($Z$14+$Z$28)*(Quesería!$B$44*$B$1086*$B$1083)*(1-MAX(0,MIN((C$47-1)-0-Quesería!$B$47,(Quesería!$B$46-Quesería!$B$47)))/(Quesería!$B$46-Quesería!$B$47))*IF(C$47&gt;2,1-Quesería!$B$48,1),0)+IF(AND(C$47&gt;1,C$47&lt;=1+Quesería!$B$46),($Z$14+$Z$28)*(Quesería!$B$44*$C$1086*$C$1083)*(1-MAX(0,MIN((C$47-1)-1-Quesería!$B$47,(Quesería!$B$46-Quesería!$B$47)))/(Quesería!$B$46-Quesería!$B$47))*IF(C$47&gt;2,1-Quesería!$B$48,1),0))*C1085</f>
        <v>81.2455637561078</v>
      </c>
      <c r="D1113" s="29" t="n">
        <f aca="false">(IF(AND(D$47&gt;0,D$47&lt;=0+Quesería!$B$46),($Z$14+$Z$28)*(Quesería!$B$44*$B$1086*$B$1083)*(1-MAX(0,MIN((D$47-1)-0-Quesería!$B$47,(Quesería!$B$46-Quesería!$B$47)))/(Quesería!$B$46-Quesería!$B$47))*IF(D$47&gt;2,1-Quesería!$B$48,1),0)+IF(AND(D$47&gt;1,D$47&lt;=1+Quesería!$B$46),($Z$14+$Z$28)*(Quesería!$B$44*$C$1086*$C$1083)*(1-MAX(0,MIN((D$47-1)-1-Quesería!$B$47,(Quesería!$B$46-Quesería!$B$47)))/(Quesería!$B$46-Quesería!$B$47))*IF(D$47&gt;2,1-Quesería!$B$48,1),0))*D1085</f>
        <v>135.496893508924</v>
      </c>
      <c r="E1113" s="29" t="n">
        <f aca="false">(IF(AND(E$47&gt;0,E$47&lt;=0+Quesería!$B$46),($Z$14+$Z$28)*(Quesería!$B$44*$B$1086*$B$1083)*(1-MAX(0,MIN((E$47-1)-0-Quesería!$B$47,(Quesería!$B$46-Quesería!$B$47)))/(Quesería!$B$46-Quesería!$B$47))*IF(E$47&gt;2,1-Quesería!$B$48,1),0)+IF(AND(E$47&gt;1,E$47&lt;=1+Quesería!$B$46),($Z$14+$Z$28)*(Quesería!$B$44*$C$1086*$C$1083)*(1-MAX(0,MIN((E$47-1)-1-Quesería!$B$47,(Quesería!$B$46-Quesería!$B$47)))/(Quesería!$B$46-Quesería!$B$47))*IF(E$47&gt;2,1-Quesería!$B$48,1),0))*E1085</f>
        <v>117.826027258135</v>
      </c>
      <c r="F1113" s="29" t="n">
        <f aca="false">(IF(AND(F$47&gt;0,F$47&lt;=0+Quesería!$B$46),($Z$14+$Z$28)*(Quesería!$B$44*$B$1086*$B$1083)*(1-MAX(0,MIN((F$47-1)-0-Quesería!$B$47,(Quesería!$B$46-Quesería!$B$47)))/(Quesería!$B$46-Quesería!$B$47))*IF(F$47&gt;2,1-Quesería!$B$48,1),0)+IF(AND(F$47&gt;1,F$47&lt;=1+Quesería!$B$46),($Z$14+$Z$28)*(Quesería!$B$44*$C$1086*$C$1083)*(1-MAX(0,MIN((F$47-1)-1-Quesería!$B$47,(Quesería!$B$46-Quesería!$B$47)))/(Quesería!$B$46-Quesería!$B$47))*IF(F$47&gt;2,1-Quesería!$B$48,1),0))*F1085</f>
        <v>92.4151745225957</v>
      </c>
      <c r="G1113" s="29" t="n">
        <f aca="false">(IF(AND(G$47&gt;0,G$47&lt;=0+Quesería!$B$46),($Z$14+$Z$28)*(Quesería!$B$44*$B$1086*$B$1083)*(1-MAX(0,MIN((G$47-1)-0-Quesería!$B$47,(Quesería!$B$46-Quesería!$B$47)))/(Quesería!$B$46-Quesería!$B$47))*IF(G$47&gt;2,1-Quesería!$B$48,1),0)+IF(AND(G$47&gt;1,G$47&lt;=1+Quesería!$B$46),($Z$14+$Z$28)*(Quesería!$B$44*$C$1086*$C$1083)*(1-MAX(0,MIN((G$47-1)-1-Quesería!$B$47,(Quesería!$B$46-Quesería!$B$47)))/(Quesería!$B$46-Quesería!$B$47))*IF(G$47&gt;2,1-Quesería!$B$48,1),0))*G1085</f>
        <v>68.7847039098228</v>
      </c>
      <c r="H1113" s="29" t="n">
        <f aca="false">(IF(AND(H$47&gt;0,H$47&lt;=0+Quesería!$B$46),($Z$14+$Z$28)*(Quesería!$B$44*$B$1086*$B$1083)*(1-MAX(0,MIN((H$47-1)-0-Quesería!$B$47,(Quesería!$B$46-Quesería!$B$47)))/(Quesería!$B$46-Quesería!$B$47))*IF(H$47&gt;2,1-Quesería!$B$48,1),0)+IF(AND(H$47&gt;1,H$47&lt;=1+Quesería!$B$46),($Z$14+$Z$28)*(Quesería!$B$44*$C$1086*$C$1083)*(1-MAX(0,MIN((H$47-1)-1-Quesería!$B$47,(Quesería!$B$46-Quesería!$B$47)))/(Quesería!$B$46-Quesería!$B$47))*IF(H$47&gt;2,1-Quesería!$B$48,1),0))*H1085</f>
        <v>46.8352529676735</v>
      </c>
      <c r="I1113" s="29" t="n">
        <f aca="false">(IF(AND(I$47&gt;0,I$47&lt;=0+Quesería!$B$46),($Z$14+$Z$28)*(Quesería!$B$44*$B$1086*$B$1083)*(1-MAX(0,MIN((I$47-1)-0-Quesería!$B$47,(Quesería!$B$46-Quesería!$B$47)))/(Quesería!$B$46-Quesería!$B$47))*IF(I$47&gt;2,1-Quesería!$B$48,1),0)+IF(AND(I$47&gt;1,I$47&lt;=1+Quesería!$B$46),($Z$14+$Z$28)*(Quesería!$B$44*$C$1086*$C$1083)*(1-MAX(0,MIN((I$47-1)-1-Quesería!$B$47,(Quesería!$B$46-Quesería!$B$47)))/(Quesería!$B$46-Quesería!$B$47))*IF(I$47&gt;2,1-Quesería!$B$48,1),0))*I1085</f>
        <v>26.4724688081898</v>
      </c>
      <c r="J1113" s="29" t="n">
        <f aca="false">(IF(AND(J$47&gt;0,J$47&lt;=0+Quesería!$B$46),($Z$14+$Z$28)*(Quesería!$B$44*$B$1086*$B$1083)*(1-MAX(0,MIN((J$47-1)-0-Quesería!$B$47,(Quesería!$B$46-Quesería!$B$47)))/(Quesería!$B$46-Quesería!$B$47))*IF(J$47&gt;2,1-Quesería!$B$48,1),0)+IF(AND(J$47&gt;1,J$47&lt;=1+Quesería!$B$46),($Z$14+$Z$28)*(Quesería!$B$44*$C$1086*$C$1083)*(1-MAX(0,MIN((J$47-1)-1-Quesería!$B$47,(Quesería!$B$46-Quesería!$B$47)))/(Quesería!$B$46-Quesería!$B$47))*IF(J$47&gt;2,1-Quesería!$B$48,1),0))*J1085</f>
        <v>7.60676974238282</v>
      </c>
      <c r="K1113" s="29" t="n">
        <f aca="false">(IF(AND(K$47&gt;0,K$47&lt;=0+Quesería!$B$46),($Z$14+$Z$28)*(Quesería!$B$44*$B$1086*$B$1083)*(1-MAX(0,MIN((K$47-1)-0-Quesería!$B$47,(Quesería!$B$46-Quesería!$B$47)))/(Quesería!$B$46-Quesería!$B$47))*IF(K$47&gt;2,1-Quesería!$B$48,1),0)+IF(AND(K$47&gt;1,K$47&lt;=1+Quesería!$B$46),($Z$14+$Z$28)*(Quesería!$B$44*$C$1086*$C$1083)*(1-MAX(0,MIN((K$47-1)-1-Quesería!$B$47,(Quesería!$B$46-Quesería!$B$47)))/(Quesería!$B$46-Quesería!$B$47))*IF(K$47&gt;2,1-Quesería!$B$48,1),0))*K1085</f>
        <v>0</v>
      </c>
      <c r="L1113" s="29" t="n">
        <f aca="false">(IF(AND(L$47&gt;0,L$47&lt;=0+Quesería!$B$46),($Z$14+$Z$28)*(Quesería!$B$44*$B$1086*$B$1083)*(1-MAX(0,MIN((L$47-1)-0-Quesería!$B$47,(Quesería!$B$46-Quesería!$B$47)))/(Quesería!$B$46-Quesería!$B$47))*IF(L$47&gt;2,1-Quesería!$B$48,1),0)+IF(AND(L$47&gt;1,L$47&lt;=1+Quesería!$B$46),($Z$14+$Z$28)*(Quesería!$B$44*$C$1086*$C$1083)*(1-MAX(0,MIN((L$47-1)-1-Quesería!$B$47,(Quesería!$B$46-Quesería!$B$47)))/(Quesería!$B$46-Quesería!$B$47))*IF(L$47&gt;2,1-Quesería!$B$48,1),0))*L1085</f>
        <v>0</v>
      </c>
    </row>
    <row r="1114" customFormat="false" ht="15" hidden="true" customHeight="false" outlineLevel="1" collapsed="false">
      <c r="A1114" s="6" t="s">
        <v>433</v>
      </c>
      <c r="B1114" s="29" t="n">
        <f aca="false">((IF(AND(B$47&gt;0+Quesería!$B$47,B$47&lt;=0+Quesería!$B$46),(Quesería!$B$44*$B$1086*$B$1083)/(Quesería!$B$46-Quesería!$B$47),0)*IF(B$47&gt;2,1-Quesería!$B$48,1)+IF(B$47=2,Quesería!$B$48*(Quesería!$B$44*$B$1086*$B$1083)*(1-MAX(0,MIN(2-0-Quesería!$B$47,(Quesería!$B$46-Quesería!$B$47)))/(Quesería!$B$46-Quesería!$B$47)),0))+(IF(AND(B$47&gt;1+Quesería!$B$47,B$47&lt;=1+Quesería!$B$46),(Quesería!$B$44*$C$1086*$C$1083)/(Quesería!$B$46-Quesería!$B$47),0)*IF(B$47&gt;2,1-Quesería!$B$48,1)+IF(B$47=2,Quesería!$B$48*(Quesería!$B$44*$C$1086*$C$1083)*(1-MAX(0,MIN(2-1-Quesería!$B$47,(Quesería!$B$46-Quesería!$B$47)))/(Quesería!$B$46-Quesería!$B$47)),0)))*B1085</f>
        <v>0</v>
      </c>
      <c r="C1114" s="29" t="n">
        <f aca="false">((IF(AND(C$47&gt;0+Quesería!$B$47,C$47&lt;=0+Quesería!$B$46),(Quesería!$B$44*$B$1086*$B$1083)/(Quesería!$B$46-Quesería!$B$47),0)*IF(C$47&gt;2,1-Quesería!$B$48,1)+IF(C$47=2,Quesería!$B$48*(Quesería!$B$44*$B$1086*$B$1083)*(1-MAX(0,MIN(2-0-Quesería!$B$47,(Quesería!$B$46-Quesería!$B$47)))/(Quesería!$B$46-Quesería!$B$47)),0))+(IF(AND(C$47&gt;1+Quesería!$B$47,C$47&lt;=1+Quesería!$B$46),(Quesería!$B$44*$C$1086*$C$1083)/(Quesería!$B$46-Quesería!$B$47),0)*IF(C$47&gt;2,1-Quesería!$B$48,1)+IF(C$47=2,Quesería!$B$48*(Quesería!$B$44*$C$1086*$C$1083)*(1-MAX(0,MIN(2-1-Quesería!$B$47,(Quesería!$B$46-Quesería!$B$47)))/(Quesería!$B$46-Quesería!$B$47)),0)))*C1085</f>
        <v>0</v>
      </c>
      <c r="D1114" s="29" t="n">
        <f aca="false">((IF(AND(D$47&gt;0+Quesería!$B$47,D$47&lt;=0+Quesería!$B$46),(Quesería!$B$44*$B$1086*$B$1083)/(Quesería!$B$46-Quesería!$B$47),0)*IF(D$47&gt;2,1-Quesería!$B$48,1)+IF(D$47=2,Quesería!$B$48*(Quesería!$B$44*$B$1086*$B$1083)*(1-MAX(0,MIN(2-0-Quesería!$B$47,(Quesería!$B$46-Quesería!$B$47)))/(Quesería!$B$46-Quesería!$B$47)),0))+(IF(AND(D$47&gt;1+Quesería!$B$47,D$47&lt;=1+Quesería!$B$46),(Quesería!$B$44*$C$1086*$C$1083)/(Quesería!$B$46-Quesería!$B$47),0)*IF(D$47&gt;2,1-Quesería!$B$48,1)+IF(D$47=2,Quesería!$B$48*(Quesería!$B$44*$C$1086*$C$1083)*(1-MAX(0,MIN(2-1-Quesería!$B$47,(Quesería!$B$46-Quesería!$B$47)))/(Quesería!$B$46-Quesería!$B$47)),0)))*D1085</f>
        <v>91.8994692231472</v>
      </c>
      <c r="E1114" s="29" t="n">
        <f aca="false">((IF(AND(E$47&gt;0+Quesería!$B$47,E$47&lt;=0+Quesería!$B$46),(Quesería!$B$44*$B$1086*$B$1083)/(Quesería!$B$46-Quesería!$B$47),0)*IF(E$47&gt;2,1-Quesería!$B$48,1)+IF(E$47=2,Quesería!$B$48*(Quesería!$B$44*$B$1086*$B$1083)*(1-MAX(0,MIN(2-0-Quesería!$B$47,(Quesería!$B$46-Quesería!$B$47)))/(Quesería!$B$46-Quesería!$B$47)),0))+(IF(AND(E$47&gt;1+Quesería!$B$47,E$47&lt;=1+Quesería!$B$46),(Quesería!$B$44*$C$1086*$C$1083)/(Quesería!$B$46-Quesería!$B$47),0)*IF(E$47&gt;2,1-Quesería!$B$48,1)+IF(E$47=2,Quesería!$B$48*(Quesería!$B$44*$C$1086*$C$1083)*(1-MAX(0,MIN(2-1-Quesería!$B$47,(Quesería!$B$46-Quesería!$B$47)))/(Quesería!$B$46-Quesería!$B$47)),0)))*E1085</f>
        <v>154.001742940676</v>
      </c>
      <c r="F1114" s="29" t="n">
        <f aca="false">((IF(AND(F$47&gt;0+Quesería!$B$47,F$47&lt;=0+Quesería!$B$46),(Quesería!$B$44*$B$1086*$B$1083)/(Quesería!$B$46-Quesería!$B$47),0)*IF(F$47&gt;2,1-Quesería!$B$48,1)+IF(F$47=2,Quesería!$B$48*(Quesería!$B$44*$B$1086*$B$1083)*(1-MAX(0,MIN(2-0-Quesería!$B$47,(Quesería!$B$46-Quesería!$B$47)))/(Quesería!$B$46-Quesería!$B$47)),0))+(IF(AND(F$47&gt;1+Quesería!$B$47,F$47&lt;=1+Quesería!$B$46),(Quesería!$B$44*$C$1086*$C$1083)/(Quesería!$B$46-Quesería!$B$47),0)*IF(F$47&gt;2,1-Quesería!$B$48,1)+IF(F$47=2,Quesería!$B$48*(Quesería!$B$44*$C$1086*$C$1083)*(1-MAX(0,MIN(2-1-Quesería!$B$47,(Quesería!$B$46-Quesería!$B$47)))/(Quesería!$B$46-Quesería!$B$47)),0)))*F1085</f>
        <v>148.078598981419</v>
      </c>
      <c r="G1114" s="29" t="n">
        <f aca="false">((IF(AND(G$47&gt;0+Quesería!$B$47,G$47&lt;=0+Quesería!$B$46),(Quesería!$B$44*$B$1086*$B$1083)/(Quesería!$B$46-Quesería!$B$47),0)*IF(G$47&gt;2,1-Quesería!$B$48,1)+IF(G$47=2,Quesería!$B$48*(Quesería!$B$44*$B$1086*$B$1083)*(1-MAX(0,MIN(2-0-Quesería!$B$47,(Quesería!$B$46-Quesería!$B$47)))/(Quesería!$B$46-Quesería!$B$47)),0))+(IF(AND(G$47&gt;1+Quesería!$B$47,G$47&lt;=1+Quesería!$B$46),(Quesería!$B$44*$C$1086*$C$1083)/(Quesería!$B$46-Quesería!$B$47),0)*IF(G$47&gt;2,1-Quesería!$B$48,1)+IF(G$47=2,Quesería!$B$48*(Quesería!$B$44*$C$1086*$C$1083)*(1-MAX(0,MIN(2-1-Quesería!$B$47,(Quesería!$B$46-Quesería!$B$47)))/(Quesería!$B$46-Quesería!$B$47)),0)))*G1085</f>
        <v>142.383268251364</v>
      </c>
      <c r="H1114" s="29" t="n">
        <f aca="false">((IF(AND(H$47&gt;0+Quesería!$B$47,H$47&lt;=0+Quesería!$B$46),(Quesería!$B$44*$B$1086*$B$1083)/(Quesería!$B$46-Quesería!$B$47),0)*IF(H$47&gt;2,1-Quesería!$B$48,1)+IF(H$47=2,Quesería!$B$48*(Quesería!$B$44*$B$1086*$B$1083)*(1-MAX(0,MIN(2-0-Quesería!$B$47,(Quesería!$B$46-Quesería!$B$47)))/(Quesería!$B$46-Quesería!$B$47)),0))+(IF(AND(H$47&gt;1+Quesería!$B$47,H$47&lt;=1+Quesería!$B$46),(Quesería!$B$44*$C$1086*$C$1083)/(Quesería!$B$46-Quesería!$B$47),0)*IF(H$47&gt;2,1-Quesería!$B$48,1)+IF(H$47=2,Quesería!$B$48*(Quesería!$B$44*$C$1086*$C$1083)*(1-MAX(0,MIN(2-1-Quesería!$B$47,(Quesería!$B$46-Quesería!$B$47)))/(Quesería!$B$46-Quesería!$B$47)),0)))*H1085</f>
        <v>136.906988703235</v>
      </c>
      <c r="I1114" s="29" t="n">
        <f aca="false">((IF(AND(I$47&gt;0+Quesería!$B$47,I$47&lt;=0+Quesería!$B$46),(Quesería!$B$44*$B$1086*$B$1083)/(Quesería!$B$46-Quesería!$B$47),0)*IF(I$47&gt;2,1-Quesería!$B$48,1)+IF(I$47=2,Quesería!$B$48*(Quesería!$B$44*$B$1086*$B$1083)*(1-MAX(0,MIN(2-0-Quesería!$B$47,(Quesería!$B$46-Quesería!$B$47)))/(Quesería!$B$46-Quesería!$B$47)),0))+(IF(AND(I$47&gt;1+Quesería!$B$47,I$47&lt;=1+Quesería!$B$46),(Quesería!$B$44*$C$1086*$C$1083)/(Quesería!$B$46-Quesería!$B$47),0)*IF(I$47&gt;2,1-Quesería!$B$48,1)+IF(I$47=2,Quesería!$B$48*(Quesería!$B$44*$C$1086*$C$1083)*(1-MAX(0,MIN(2-1-Quesería!$B$47,(Quesería!$B$46-Quesería!$B$47)))/(Quesería!$B$46-Quesería!$B$47)),0)))*I1085</f>
        <v>131.641335291572</v>
      </c>
      <c r="J1114" s="29" t="n">
        <f aca="false">((IF(AND(J$47&gt;0+Quesería!$B$47,J$47&lt;=0+Quesería!$B$46),(Quesería!$B$44*$B$1086*$B$1083)/(Quesería!$B$46-Quesería!$B$47),0)*IF(J$47&gt;2,1-Quesería!$B$48,1)+IF(J$47=2,Quesería!$B$48*(Quesería!$B$44*$B$1086*$B$1083)*(1-MAX(0,MIN(2-0-Quesería!$B$47,(Quesería!$B$46-Quesería!$B$47)))/(Quesería!$B$46-Quesería!$B$47)),0))+(IF(AND(J$47&gt;1+Quesería!$B$47,J$47&lt;=1+Quesería!$B$46),(Quesería!$B$44*$C$1086*$C$1083)/(Quesería!$B$46-Quesería!$B$47),0)*IF(J$47&gt;2,1-Quesería!$B$48,1)+IF(J$47=2,Quesería!$B$48*(Quesería!$B$44*$C$1086*$C$1083)*(1-MAX(0,MIN(2-1-Quesería!$B$47,(Quesería!$B$46-Quesería!$B$47)))/(Quesería!$B$46-Quesería!$B$47)),0)))*J1085</f>
        <v>53.9487215771831</v>
      </c>
      <c r="K1114" s="29" t="n">
        <f aca="false">((IF(AND(K$47&gt;0+Quesería!$B$47,K$47&lt;=0+Quesería!$B$46),(Quesería!$B$44*$B$1086*$B$1083)/(Quesería!$B$46-Quesería!$B$47),0)*IF(K$47&gt;2,1-Quesería!$B$48,1)+IF(K$47=2,Quesería!$B$48*(Quesería!$B$44*$B$1086*$B$1083)*(1-MAX(0,MIN(2-0-Quesería!$B$47,(Quesería!$B$46-Quesería!$B$47)))/(Quesería!$B$46-Quesería!$B$47)),0))+(IF(AND(K$47&gt;1+Quesería!$B$47,K$47&lt;=1+Quesería!$B$46),(Quesería!$B$44*$C$1086*$C$1083)/(Quesería!$B$46-Quesería!$B$47),0)*IF(K$47&gt;2,1-Quesería!$B$48,1)+IF(K$47=2,Quesería!$B$48*(Quesería!$B$44*$C$1086*$C$1083)*(1-MAX(0,MIN(2-1-Quesería!$B$47,(Quesería!$B$46-Quesería!$B$47)))/(Quesería!$B$46-Quesería!$B$47)),0)))*K1085</f>
        <v>0</v>
      </c>
      <c r="L1114" s="29" t="n">
        <f aca="false">((IF(AND(L$47&gt;0+Quesería!$B$47,L$47&lt;=0+Quesería!$B$46),(Quesería!$B$44*$B$1086*$B$1083)/(Quesería!$B$46-Quesería!$B$47),0)*IF(L$47&gt;2,1-Quesería!$B$48,1)+IF(L$47=2,Quesería!$B$48*(Quesería!$B$44*$B$1086*$B$1083)*(1-MAX(0,MIN(2-0-Quesería!$B$47,(Quesería!$B$46-Quesería!$B$47)))/(Quesería!$B$46-Quesería!$B$47)),0))+(IF(AND(L$47&gt;1+Quesería!$B$47,L$47&lt;=1+Quesería!$B$46),(Quesería!$B$44*$C$1086*$C$1083)/(Quesería!$B$46-Quesería!$B$47),0)*IF(L$47&gt;2,1-Quesería!$B$48,1)+IF(L$47=2,Quesería!$B$48*(Quesería!$B$44*$C$1086*$C$1083)*(1-MAX(0,MIN(2-1-Quesería!$B$47,(Quesería!$B$46-Quesería!$B$47)))/(Quesería!$B$46-Quesería!$B$47)),0)))*L1085</f>
        <v>0</v>
      </c>
    </row>
    <row r="1115" customFormat="false" ht="15" hidden="true" customHeight="false" outlineLevel="1" collapsed="false">
      <c r="A1115" s="6" t="s">
        <v>434</v>
      </c>
      <c r="B1115" s="29" t="n">
        <f aca="false">$Z$13*Quesería!$B$51*(1+0.19)*B1111*B1085+(1-$Z$13)*IF(B$47=0,Quesería!$B$50,0)</f>
        <v>4</v>
      </c>
      <c r="C1115" s="29" t="n">
        <f aca="false">$Z$13*Quesería!$B$51*(1+0.19)*C1111*C1085+(1-$Z$13)*IF(C$47=0,Quesería!$B$50,0)</f>
        <v>0</v>
      </c>
      <c r="D1115" s="29" t="n">
        <f aca="false">$Z$13*Quesería!$B$51*(1+0.19)*D1111*D1085+(1-$Z$13)*IF(D$47=0,Quesería!$B$50,0)</f>
        <v>0</v>
      </c>
      <c r="E1115" s="29" t="n">
        <f aca="false">$Z$13*Quesería!$B$51*(1+0.19)*E1111*E1085+(1-$Z$13)*IF(E$47=0,Quesería!$B$50,0)</f>
        <v>0</v>
      </c>
      <c r="F1115" s="29" t="n">
        <f aca="false">$Z$13*Quesería!$B$51*(1+0.19)*F1111*F1085+(1-$Z$13)*IF(F$47=0,Quesería!$B$50,0)</f>
        <v>0</v>
      </c>
      <c r="G1115" s="29" t="n">
        <f aca="false">$Z$13*Quesería!$B$51*(1+0.19)*G1111*G1085+(1-$Z$13)*IF(G$47=0,Quesería!$B$50,0)</f>
        <v>0</v>
      </c>
      <c r="H1115" s="29" t="n">
        <f aca="false">$Z$13*Quesería!$B$51*(1+0.19)*H1111*H1085+(1-$Z$13)*IF(H$47=0,Quesería!$B$50,0)</f>
        <v>0</v>
      </c>
      <c r="I1115" s="29" t="n">
        <f aca="false">$Z$13*Quesería!$B$51*(1+0.19)*I1111*I1085+(1-$Z$13)*IF(I$47=0,Quesería!$B$50,0)</f>
        <v>0</v>
      </c>
      <c r="J1115" s="29" t="n">
        <f aca="false">$Z$13*Quesería!$B$51*(1+0.19)*J1111*J1085+(1-$Z$13)*IF(J$47=0,Quesería!$B$50,0)</f>
        <v>0</v>
      </c>
      <c r="K1115" s="29" t="n">
        <f aca="false">$Z$13*Quesería!$B$51*(1+0.19)*K1111*K1085+(1-$Z$13)*IF(K$47=0,Quesería!$B$50,0)</f>
        <v>0</v>
      </c>
      <c r="L1115" s="29" t="n">
        <f aca="false">$Z$13*Quesería!$B$51*(1+0.19)*L1111*L1085+(1-$Z$13)*IF(L$47=0,Quesería!$B$50,0)</f>
        <v>0</v>
      </c>
    </row>
    <row r="1116" customFormat="false" ht="15" hidden="true" customHeight="false" outlineLevel="1" collapsed="false">
      <c r="A1116" s="6" t="s">
        <v>435</v>
      </c>
      <c r="B1116" s="29" t="n">
        <f aca="false">Quesería!$B$52*(B1113+B1114+B1115)</f>
        <v>0.016</v>
      </c>
      <c r="C1116" s="29" t="n">
        <f aca="false">Quesería!$B$52*(C1113+C1114+C1115)</f>
        <v>0.324982255024431</v>
      </c>
      <c r="D1116" s="29" t="n">
        <f aca="false">Quesería!$B$52*(D1113+D1114+D1115)</f>
        <v>0.909585450928285</v>
      </c>
      <c r="E1116" s="29" t="n">
        <f aca="false">Quesería!$B$52*(E1113+E1114+E1115)</f>
        <v>1.08731108079524</v>
      </c>
      <c r="F1116" s="29" t="n">
        <f aca="false">Quesería!$B$52*(F1113+F1114+F1115)</f>
        <v>0.961975094016058</v>
      </c>
      <c r="G1116" s="29" t="n">
        <f aca="false">Quesería!$B$52*(G1113+G1114+G1115)</f>
        <v>0.844671888644748</v>
      </c>
      <c r="H1116" s="29" t="n">
        <f aca="false">Quesería!$B$52*(H1113+H1114+H1115)</f>
        <v>0.734968966683633</v>
      </c>
      <c r="I1116" s="29" t="n">
        <f aca="false">Quesería!$B$52*(I1113+I1114+I1115)</f>
        <v>0.632455216399047</v>
      </c>
      <c r="J1116" s="29" t="n">
        <f aca="false">Quesería!$B$52*(J1113+J1114+J1115)</f>
        <v>0.246221965278264</v>
      </c>
      <c r="K1116" s="29" t="n">
        <f aca="false">Quesería!$B$52*(K1113+K1114+K1115)</f>
        <v>0</v>
      </c>
      <c r="L1116" s="29" t="n">
        <f aca="false">Quesería!$B$52*(L1113+L1114+L1115)</f>
        <v>0</v>
      </c>
    </row>
    <row r="1117" customFormat="false" ht="15" hidden="true" customHeight="false" outlineLevel="1" collapsed="false">
      <c r="A1117" s="6" t="s">
        <v>436</v>
      </c>
      <c r="B1117" s="29" t="n">
        <f aca="false">$Z$17*(B1113+B1115+0.5*B1116)</f>
        <v>1.4028</v>
      </c>
      <c r="C1117" s="29" t="n">
        <f aca="false">$Z$17*(C1113+C1115+0.5*C1116)</f>
        <v>28.492819209267</v>
      </c>
      <c r="D1117" s="29" t="n">
        <f aca="false">$Z$17*(D1113+D1115+0.5*D1116)</f>
        <v>47.5830901820358</v>
      </c>
      <c r="E1117" s="29" t="n">
        <f aca="false">$Z$17*(E1113+E1115+0.5*E1116)</f>
        <v>41.4293889794864</v>
      </c>
      <c r="F1117" s="29" t="n">
        <f aca="false">$Z$17*(F1113+F1115+0.5*F1116)</f>
        <v>32.5136567243613</v>
      </c>
      <c r="G1117" s="29" t="n">
        <f aca="false">$Z$17*(G1113+G1115+0.5*G1116)</f>
        <v>24.2224639489508</v>
      </c>
      <c r="H1117" s="29" t="n">
        <f aca="false">$Z$17*(H1113+H1115+0.5*H1116)</f>
        <v>16.5209581078554</v>
      </c>
      <c r="I1117" s="29" t="n">
        <f aca="false">$Z$17*(I1113+I1115+0.5*I1116)</f>
        <v>9.37604374573625</v>
      </c>
      <c r="J1117" s="29" t="n">
        <f aca="false">$Z$17*(J1113+J1115+0.5*J1116)</f>
        <v>2.70545825375768</v>
      </c>
      <c r="K1117" s="29" t="n">
        <f aca="false">$Z$17*(K1113+K1115+0.5*K1116)</f>
        <v>0</v>
      </c>
      <c r="L1117" s="29" t="n">
        <f aca="false">$Z$17*(L1113+L1115+0.5*L1116)</f>
        <v>0</v>
      </c>
    </row>
    <row r="1118" customFormat="false" ht="15" hidden="true" customHeight="false" outlineLevel="1" collapsed="false">
      <c r="A1118" s="5" t="s">
        <v>437</v>
      </c>
      <c r="B1118" s="59" t="n">
        <f aca="false">B1103+B1112-B1113-B1114-B1115-B1116+B1117</f>
        <v>-358.744924503166</v>
      </c>
      <c r="C1118" s="59" t="n">
        <f aca="false">C1103+C1112-C1113-C1114-C1115-C1116+C1117</f>
        <v>-25.4578919146794</v>
      </c>
      <c r="D1118" s="59" t="n">
        <f aca="false">D1103+D1112-D1113-D1114-D1115-D1116+D1117</f>
        <v>350.615541195787</v>
      </c>
      <c r="E1118" s="59" t="n">
        <f aca="false">E1103+E1112-E1113-E1114-E1115-E1116+E1117</f>
        <v>89.9401708771721</v>
      </c>
      <c r="F1118" s="59" t="n">
        <f aca="false">F1103+F1112-F1113-F1114-F1115-F1116+F1117</f>
        <v>114.299689025793</v>
      </c>
      <c r="G1118" s="59" t="n">
        <f aca="false">G1103+G1112-G1113-G1114-G1115-G1116+G1117</f>
        <v>101.098135705593</v>
      </c>
      <c r="H1118" s="59" t="n">
        <f aca="false">H1103+H1112-H1113-H1114-H1115-H1116+H1117</f>
        <v>99.4062837876423</v>
      </c>
      <c r="I1118" s="59" t="n">
        <f aca="false">I1103+I1112-I1113-I1114-I1115-I1116+I1117</f>
        <v>178.624779334626</v>
      </c>
      <c r="J1118" s="59" t="n">
        <f aca="false">J1103+J1112-J1113-J1114-J1115-J1116+J1117</f>
        <v>259.031409277527</v>
      </c>
      <c r="K1118" s="59" t="n">
        <f aca="false">K1103+K1112-K1113-K1114-K1115-K1116+K1117</f>
        <v>316.797740262615</v>
      </c>
      <c r="L1118" s="59" t="n">
        <f aca="false">L1103+L1112-L1113-L1114-L1115-L1116+L1117</f>
        <v>401.653735922512</v>
      </c>
    </row>
    <row r="1119" customFormat="false" ht="15" hidden="true" customHeight="false" outlineLevel="1" collapsed="false">
      <c r="A1119" s="9" t="s">
        <v>438</v>
      </c>
      <c r="B1119" s="58" t="n">
        <f aca="false">B1118*B1083</f>
        <v>-380.269619973356</v>
      </c>
      <c r="C1119" s="58" t="n">
        <f aca="false">C1118*C1083</f>
        <v>-28.3346337010382</v>
      </c>
      <c r="D1119" s="58" t="n">
        <f aca="false">D1118*D1083</f>
        <v>407.795676731702</v>
      </c>
      <c r="E1119" s="58" t="n">
        <f aca="false">E1118*E1083</f>
        <v>108.792386190463</v>
      </c>
      <c r="F1119" s="58" t="n">
        <f aca="false">F1118*F1083</f>
        <v>143.788178521507</v>
      </c>
      <c r="G1119" s="58" t="n">
        <f aca="false">G1118*G1083</f>
        <v>132.267949154409</v>
      </c>
      <c r="H1119" s="58" t="n">
        <f aca="false">H1118*H1083</f>
        <v>135.256657363686</v>
      </c>
      <c r="I1119" s="58" t="n">
        <f aca="false">I1118*I1083</f>
        <v>252.76669885185</v>
      </c>
      <c r="J1119" s="58" t="n">
        <f aca="false">J1118*J1083</f>
        <v>381.209678996111</v>
      </c>
      <c r="K1119" s="58" t="n">
        <f aca="false">K1118*K1083</f>
        <v>484.87177604214</v>
      </c>
      <c r="L1119" s="58" t="n">
        <f aca="false">L1118*L1083</f>
        <v>639.337207817323</v>
      </c>
    </row>
    <row r="1120" customFormat="false" ht="15" hidden="true" customHeight="false" outlineLevel="1" collapsed="false">
      <c r="A1120" s="9" t="s">
        <v>439</v>
      </c>
      <c r="B1120" s="57" t="n">
        <f aca="false">(B1083/$B$1083)/(1+Quesería!$B$11+$Z$28)^B$47</f>
        <v>1</v>
      </c>
      <c r="C1120" s="57" t="n">
        <f aca="false">(C1083/$B$1083)/(1+Quesería!$B$11+$Z$28)^C$47</f>
        <v>0.84</v>
      </c>
      <c r="D1120" s="57" t="n">
        <f aca="false">(D1083/$B$1083)/(1+Quesería!$B$11+$Z$28)^D$47</f>
        <v>0.70224</v>
      </c>
      <c r="E1120" s="57" t="n">
        <f aca="false">(E1083/$B$1083)/(1+Quesería!$B$11+$Z$28)^E$47</f>
        <v>0.58426368</v>
      </c>
      <c r="F1120" s="57" t="n">
        <f aca="false">(F1083/$B$1083)/(1+Quesería!$B$11+$Z$28)^F$47</f>
        <v>0.48610738176</v>
      </c>
      <c r="G1120" s="57" t="n">
        <f aca="false">(G1083/$B$1083)/(1+Quesería!$B$11+$Z$28)^G$47</f>
        <v>0.40444134162432</v>
      </c>
      <c r="H1120" s="57" t="n">
        <f aca="false">(H1083/$B$1083)/(1+Quesería!$B$11+$Z$28)^H$47</f>
        <v>0.336495196231434</v>
      </c>
      <c r="I1120" s="57" t="n">
        <f aca="false">(I1083/$B$1083)/(1+Quesería!$B$11+$Z$28)^I$47</f>
        <v>0.279964003264553</v>
      </c>
      <c r="J1120" s="57" t="n">
        <f aca="false">(J1083/$B$1083)/(1+Quesería!$B$11+$Z$28)^J$47</f>
        <v>0.232930050716108</v>
      </c>
      <c r="K1120" s="57" t="n">
        <f aca="false">(K1083/$B$1083)/(1+Quesería!$B$11+$Z$28)^K$47</f>
        <v>0.193797802195802</v>
      </c>
      <c r="L1120" s="57" t="n">
        <f aca="false">(L1083/$B$1083)/(1+Quesería!$B$11+$Z$28)^L$47</f>
        <v>0.161239771426907</v>
      </c>
    </row>
    <row r="1121" customFormat="false" ht="15" hidden="true" customHeight="false" outlineLevel="1" collapsed="false">
      <c r="A1121" s="9" t="s">
        <v>440</v>
      </c>
      <c r="B1121" s="58" t="n">
        <f aca="false">B1103+B1086+B1088+B1117</f>
        <v>120.166830858099</v>
      </c>
      <c r="C1121" s="58" t="n">
        <f aca="false">C1103+C1086+C1088+C1117</f>
        <v>411.685950100682</v>
      </c>
      <c r="D1121" s="58" t="n">
        <f aca="false">D1103+D1086+D1088+D1117</f>
        <v>578.921489378787</v>
      </c>
      <c r="E1121" s="58" t="n">
        <f aca="false">E1103+E1086+E1088+E1117</f>
        <v>362.855252156778</v>
      </c>
      <c r="F1121" s="58" t="n">
        <f aca="false">F1103+F1086+F1088+F1117</f>
        <v>355.755437623824</v>
      </c>
      <c r="G1121" s="58" t="n">
        <f aca="false">G1103+G1086+G1088+G1117</f>
        <v>318.329171036511</v>
      </c>
      <c r="H1121" s="58" t="n">
        <f aca="false">H1103+H1086+H1088+H1117</f>
        <v>292.697434010316</v>
      </c>
      <c r="I1121" s="58" t="n">
        <f aca="false">I1103+I1086+I1088+I1117</f>
        <v>337.371038650787</v>
      </c>
      <c r="J1121" s="58" t="n">
        <f aca="false">J1103+J1086+J1088+J1117</f>
        <v>320.833122562371</v>
      </c>
      <c r="K1121" s="58" t="n">
        <f aca="false">K1103+K1086+K1088+K1117</f>
        <v>316.797740262615</v>
      </c>
      <c r="L1121" s="58" t="n">
        <f aca="false">L1103+L1086+L1088+L1117</f>
        <v>401.653735922512</v>
      </c>
    </row>
    <row r="1122" customFormat="false" ht="15" hidden="true" customHeight="false" outlineLevel="1" collapsed="false">
      <c r="A1122" s="5" t="s">
        <v>149</v>
      </c>
      <c r="B1122" s="12" t="str">
        <f aca="false">IF(AND(B$47&gt;=1,(B1113+B1114+B1115)&gt;0.001),B1121/(B1113+B1114+B1115),"")</f>
        <v/>
      </c>
      <c r="C1122" s="12" t="n">
        <f aca="false">IF(AND(C$47&gt;=1,(C1113+C1114+C1115)&gt;0.001),C1121/(C1113+C1114+C1115),"")</f>
        <v>5.06718066892277</v>
      </c>
      <c r="D1122" s="12" t="n">
        <f aca="false">IF(AND(D$47&gt;=1,(D1113+D1114+D1115)&gt;0.001),D1121/(D1113+D1114+D1115),"")</f>
        <v>2.54586961032837</v>
      </c>
      <c r="E1122" s="12" t="n">
        <f aca="false">IF(AND(E$47&gt;=1,(E1113+E1114+E1115)&gt;0.001),E1121/(E1113+E1114+E1115),"")</f>
        <v>1.33487190028963</v>
      </c>
      <c r="F1122" s="12" t="n">
        <f aca="false">IF(AND(F$47&gt;=1,(F1113+F1114+F1115)&gt;0.001),F1121/(F1113+F1114+F1115),"")</f>
        <v>1.47927088689423</v>
      </c>
      <c r="G1122" s="12" t="n">
        <f aca="false">IF(AND(G$47&gt;=1,(G1113+G1114+G1115)&gt;0.001),G1121/(G1113+G1114+G1115),"")</f>
        <v>1.50746899626202</v>
      </c>
      <c r="H1122" s="12" t="n">
        <f aca="false">IF(AND(H$47&gt;=1,(H1113+H1114+H1115)&gt;0.001),H1121/(H1113+H1114+H1115),"")</f>
        <v>1.59297846455227</v>
      </c>
      <c r="I1122" s="12" t="n">
        <f aca="false">IF(AND(I$47&gt;=1,(I1113+I1114+I1115)&gt;0.001),I1121/(I1113+I1114+I1115),"")</f>
        <v>2.13372286228673</v>
      </c>
      <c r="J1122" s="12" t="n">
        <f aca="false">IF(AND(J$47&gt;=1,(J1113+J1114+J1115)&gt;0.001),J1121/(J1113+J1114+J1115),"")</f>
        <v>5.21209587779525</v>
      </c>
      <c r="K1122" s="12" t="str">
        <f aca="false">IF(AND(K$47&gt;=1,(K1113+K1114+K1115)&gt;0.001),K1121/(K1113+K1114+K1115),"")</f>
        <v/>
      </c>
      <c r="L1122" s="12" t="str">
        <f aca="false">IF(AND(L$47&gt;=1,(L1113+L1114+L1115)&gt;0.001),L1121/(L1113+L1114+L1115),"")</f>
        <v/>
      </c>
    </row>
    <row r="1124" customFormat="false" ht="15" hidden="false" customHeight="false" outlineLevel="0" collapsed="false">
      <c r="A1124" s="43" t="s">
        <v>1260</v>
      </c>
      <c r="B1124" s="44"/>
      <c r="C1124" s="44"/>
      <c r="D1124" s="44"/>
      <c r="E1124" s="44"/>
      <c r="F1124" s="44"/>
      <c r="G1124" s="44"/>
      <c r="H1124" s="44"/>
      <c r="I1124" s="44"/>
      <c r="J1124" s="44"/>
      <c r="K1124" s="44"/>
      <c r="L1124" s="44"/>
    </row>
    <row r="1125" customFormat="false" ht="15" hidden="true" customHeight="false" outlineLevel="1" collapsed="false">
      <c r="A1125" s="9" t="s">
        <v>406</v>
      </c>
      <c r="B1125" s="56" t="n">
        <f aca="false">CHOOSE($AA$15,Entorno!B$7,Entorno!B$8,Entorno!B$9)</f>
        <v>0.06</v>
      </c>
      <c r="C1125" s="56" t="n">
        <f aca="false">CHOOSE($AA$15,Entorno!C$7,Entorno!C$8,Entorno!C$9)</f>
        <v>0.05</v>
      </c>
      <c r="D1125" s="56" t="n">
        <f aca="false">CHOOSE($AA$15,Entorno!D$7,Entorno!D$8,Entorno!D$9)</f>
        <v>0.045</v>
      </c>
      <c r="E1125" s="56" t="n">
        <f aca="false">CHOOSE($AA$15,Entorno!E$7,Entorno!E$8,Entorno!E$9)</f>
        <v>0.04</v>
      </c>
      <c r="F1125" s="56" t="n">
        <f aca="false">CHOOSE($AA$15,Entorno!F$7,Entorno!F$8,Entorno!F$9)</f>
        <v>0.04</v>
      </c>
      <c r="G1125" s="56" t="n">
        <f aca="false">CHOOSE($AA$15,Entorno!G$7,Entorno!G$8,Entorno!G$9)</f>
        <v>0.04</v>
      </c>
      <c r="H1125" s="56" t="n">
        <f aca="false">CHOOSE($AA$15,Entorno!H$7,Entorno!H$8,Entorno!H$9)</f>
        <v>0.04</v>
      </c>
      <c r="I1125" s="56" t="n">
        <f aca="false">CHOOSE($AA$15,Entorno!I$7,Entorno!I$8,Entorno!I$9)</f>
        <v>0.04</v>
      </c>
      <c r="J1125" s="56" t="n">
        <f aca="false">CHOOSE($AA$15,Entorno!J$7,Entorno!J$8,Entorno!J$9)</f>
        <v>0.04</v>
      </c>
      <c r="K1125" s="56" t="n">
        <f aca="false">CHOOSE($AA$15,Entorno!K$7,Entorno!K$8,Entorno!K$9)</f>
        <v>0.04</v>
      </c>
      <c r="L1125" s="56" t="n">
        <f aca="false">CHOOSE($AA$15,Entorno!L$7,Entorno!L$8,Entorno!L$9)</f>
        <v>0.04</v>
      </c>
    </row>
    <row r="1126" customFormat="false" ht="15" hidden="true" customHeight="false" outlineLevel="1" collapsed="false">
      <c r="A1126" s="9" t="s">
        <v>407</v>
      </c>
      <c r="B1126" s="57" t="n">
        <f aca="false">1+B1125</f>
        <v>1.06</v>
      </c>
      <c r="C1126" s="57" t="n">
        <f aca="false">B1126*(1+C1125)</f>
        <v>1.113</v>
      </c>
      <c r="D1126" s="57" t="n">
        <f aca="false">C1126*(1+D1125)</f>
        <v>1.163085</v>
      </c>
      <c r="E1126" s="57" t="n">
        <f aca="false">D1126*(1+E1125)</f>
        <v>1.2096084</v>
      </c>
      <c r="F1126" s="57" t="n">
        <f aca="false">E1126*(1+F1125)</f>
        <v>1.257992736</v>
      </c>
      <c r="G1126" s="57" t="n">
        <f aca="false">F1126*(1+G1125)</f>
        <v>1.30831244544</v>
      </c>
      <c r="H1126" s="57" t="n">
        <f aca="false">G1126*(1+H1125)</f>
        <v>1.3606449432576</v>
      </c>
      <c r="I1126" s="57" t="n">
        <f aca="false">H1126*(1+I1125)</f>
        <v>1.4150707409879</v>
      </c>
      <c r="J1126" s="57" t="n">
        <f aca="false">I1126*(1+J1125)</f>
        <v>1.47167357062742</v>
      </c>
      <c r="K1126" s="57" t="n">
        <f aca="false">J1126*(1+K1125)</f>
        <v>1.53054051345252</v>
      </c>
      <c r="L1126" s="57" t="n">
        <f aca="false">K1126*(1+L1125)</f>
        <v>1.59176213399062</v>
      </c>
    </row>
    <row r="1127" customFormat="false" ht="15" hidden="true" customHeight="false" outlineLevel="1" collapsed="false">
      <c r="A1127" s="9" t="s">
        <v>408</v>
      </c>
      <c r="B1127" s="57" t="n">
        <f aca="false">(1+$AA$16)/(1+B1125)</f>
        <v>1.02358490566038</v>
      </c>
      <c r="C1127" s="57" t="n">
        <f aca="false">B1127*(1+Entorno!$B$13)</f>
        <v>1.02870283018868</v>
      </c>
      <c r="D1127" s="57" t="n">
        <f aca="false">C1127*(1+Entorno!$B$13)</f>
        <v>1.03384634433962</v>
      </c>
      <c r="E1127" s="57" t="n">
        <f aca="false">D1127*(1+Entorno!$B$13)</f>
        <v>1.03901557606132</v>
      </c>
      <c r="F1127" s="57" t="n">
        <f aca="false">E1127*(1+Entorno!$B$13)</f>
        <v>1.04421065394163</v>
      </c>
      <c r="G1127" s="57" t="n">
        <f aca="false">F1127*(1+Entorno!$B$13)</f>
        <v>1.04943170721133</v>
      </c>
      <c r="H1127" s="57" t="n">
        <f aca="false">G1127*(1+Entorno!$B$13)</f>
        <v>1.05467886574739</v>
      </c>
      <c r="I1127" s="57" t="n">
        <f aca="false">H1127*(1+Entorno!$B$13)</f>
        <v>1.05995226007613</v>
      </c>
      <c r="J1127" s="57" t="n">
        <f aca="false">I1127*(1+Entorno!$B$13)</f>
        <v>1.06525202137651</v>
      </c>
      <c r="K1127" s="57" t="n">
        <f aca="false">J1127*(1+Entorno!$B$13)</f>
        <v>1.07057828148339</v>
      </c>
      <c r="L1127" s="57" t="n">
        <f aca="false">K1127*(1+Entorno!$B$13)</f>
        <v>1.07593117289081</v>
      </c>
    </row>
    <row r="1128" customFormat="false" ht="15" hidden="true" customHeight="false" outlineLevel="1" collapsed="false">
      <c r="A1128" s="9" t="s">
        <v>409</v>
      </c>
      <c r="B1128" s="57" t="n">
        <f aca="false">1/B1126</f>
        <v>0.943396226415094</v>
      </c>
      <c r="C1128" s="57" t="n">
        <f aca="false">1/C1126</f>
        <v>0.898472596585804</v>
      </c>
      <c r="D1128" s="57" t="n">
        <f aca="false">1/D1126</f>
        <v>0.859782389077324</v>
      </c>
      <c r="E1128" s="57" t="n">
        <f aca="false">1/E1126</f>
        <v>0.826713835651273</v>
      </c>
      <c r="F1128" s="57" t="n">
        <f aca="false">1/F1126</f>
        <v>0.794917149664686</v>
      </c>
      <c r="G1128" s="57" t="n">
        <f aca="false">1/G1126</f>
        <v>0.764343413139121</v>
      </c>
      <c r="H1128" s="57" t="n">
        <f aca="false">1/H1126</f>
        <v>0.734945589556847</v>
      </c>
      <c r="I1128" s="57" t="n">
        <f aca="false">1/I1126</f>
        <v>0.706678451496968</v>
      </c>
      <c r="J1128" s="57" t="n">
        <f aca="false">1/J1126</f>
        <v>0.679498511054777</v>
      </c>
      <c r="K1128" s="57" t="n">
        <f aca="false">1/K1126</f>
        <v>0.653363952937286</v>
      </c>
      <c r="L1128" s="57" t="n">
        <f aca="false">1/L1126</f>
        <v>0.628234570132006</v>
      </c>
    </row>
    <row r="1129" customFormat="false" ht="15" hidden="true" customHeight="false" outlineLevel="1" collapsed="false">
      <c r="A1129" s="6" t="s">
        <v>323</v>
      </c>
      <c r="B1129" s="29" t="n">
        <f aca="false">IF(B$47=0,Quesería!$F$92,IF(B$47=1,(Quesería!$F$93-(-$AA$26)*Quesería!$D$86*(1+Quesería!$I$86))*$AA$21,0))*$AA$11</f>
        <v>930.800239431677</v>
      </c>
      <c r="C1129" s="29" t="n">
        <f aca="false">IF(C$47=0,Quesería!$F$92,IF(C$47=1,(Quesería!$F$93-(-$AA$26)*Quesería!$D$86*(1+Quesería!$I$86))*$AA$21,0))*$AA$11</f>
        <v>658.469066674498</v>
      </c>
      <c r="D1129" s="29" t="n">
        <f aca="false">IF(D$47=0,Quesería!$F$92,IF(D$47=1,(Quesería!$F$93-(-$AA$26)*Quesería!$D$86*(1+Quesería!$I$86))*$AA$21,0))*$AA$11</f>
        <v>0</v>
      </c>
      <c r="E1129" s="29" t="n">
        <f aca="false">IF(E$47=0,Quesería!$F$92,IF(E$47=1,(Quesería!$F$93-(-$AA$26)*Quesería!$D$86*(1+Quesería!$I$86))*$AA$21,0))*$AA$11</f>
        <v>0</v>
      </c>
      <c r="F1129" s="29" t="n">
        <f aca="false">IF(F$47=0,Quesería!$F$92,IF(F$47=1,(Quesería!$F$93-(-$AA$26)*Quesería!$D$86*(1+Quesería!$I$86))*$AA$21,0))*$AA$11</f>
        <v>0</v>
      </c>
      <c r="G1129" s="29" t="n">
        <f aca="false">IF(G$47=0,Quesería!$F$92,IF(G$47=1,(Quesería!$F$93-(-$AA$26)*Quesería!$D$86*(1+Quesería!$I$86))*$AA$21,0))*$AA$11</f>
        <v>0</v>
      </c>
      <c r="H1129" s="29" t="n">
        <f aca="false">IF(H$47=0,Quesería!$F$92,IF(H$47=1,(Quesería!$F$93-(-$AA$26)*Quesería!$D$86*(1+Quesería!$I$86))*$AA$21,0))*$AA$11</f>
        <v>0</v>
      </c>
      <c r="I1129" s="29" t="n">
        <f aca="false">IF(I$47=0,Quesería!$F$92,IF(I$47=1,(Quesería!$F$93-(-$AA$26)*Quesería!$D$86*(1+Quesería!$I$86))*$AA$21,0))*$AA$11</f>
        <v>0</v>
      </c>
      <c r="J1129" s="29" t="n">
        <f aca="false">IF(J$47=0,Quesería!$F$92,IF(J$47=1,(Quesería!$F$93-(-$AA$26)*Quesería!$D$86*(1+Quesería!$I$86))*$AA$21,0))*$AA$11</f>
        <v>0</v>
      </c>
      <c r="K1129" s="29" t="n">
        <f aca="false">IF(K$47=0,Quesería!$F$92,IF(K$47=1,(Quesería!$F$93-(-$AA$26)*Quesería!$D$86*(1+Quesería!$I$86))*$AA$21,0))*$AA$11</f>
        <v>0</v>
      </c>
      <c r="L1129" s="29" t="n">
        <f aca="false">IF(L$47=0,Quesería!$F$92,IF(L$47=1,(Quesería!$F$93-(-$AA$26)*Quesería!$D$86*(1+Quesería!$I$86))*$AA$21,0))*$AA$11</f>
        <v>0</v>
      </c>
    </row>
    <row r="1130" customFormat="false" ht="15" hidden="true" customHeight="false" outlineLevel="1" collapsed="false">
      <c r="A1130" s="6" t="s">
        <v>410</v>
      </c>
      <c r="B1130" s="29" t="n">
        <f aca="false">IF(B$47=5,Quesería!$F$99,IF(B$47=6,Quesería!$F$100,0))*$AA$11</f>
        <v>0</v>
      </c>
      <c r="C1130" s="29" t="n">
        <f aca="false">IF(C$47=5,Quesería!$F$99,IF(C$47=6,Quesería!$F$100,0))*$AA$11</f>
        <v>0</v>
      </c>
      <c r="D1130" s="29" t="n">
        <f aca="false">IF(D$47=5,Quesería!$F$99,IF(D$47=6,Quesería!$F$100,0))*$AA$11</f>
        <v>0</v>
      </c>
      <c r="E1130" s="29" t="n">
        <f aca="false">IF(E$47=5,Quesería!$F$99,IF(E$47=6,Quesería!$F$100,0))*$AA$11</f>
        <v>0</v>
      </c>
      <c r="F1130" s="29" t="n">
        <f aca="false">IF(F$47=5,Quesería!$F$99,IF(F$47=6,Quesería!$F$100,0))*$AA$11</f>
        <v>0</v>
      </c>
      <c r="G1130" s="29" t="n">
        <f aca="false">IF(G$47=5,Quesería!$F$99,IF(G$47=6,Quesería!$F$100,0))*$AA$11</f>
        <v>27.4652172688735</v>
      </c>
      <c r="H1130" s="29" t="n">
        <f aca="false">IF(H$47=5,Quesería!$F$99,IF(H$47=6,Quesería!$F$100,0))*$AA$11</f>
        <v>46.3891557109552</v>
      </c>
      <c r="I1130" s="29" t="n">
        <f aca="false">IF(I$47=5,Quesería!$F$99,IF(I$47=6,Quesería!$F$100,0))*$AA$11</f>
        <v>0</v>
      </c>
      <c r="J1130" s="29" t="n">
        <f aca="false">IF(J$47=5,Quesería!$F$99,IF(J$47=6,Quesería!$F$100,0))*$AA$11</f>
        <v>0</v>
      </c>
      <c r="K1130" s="29" t="n">
        <f aca="false">IF(K$47=5,Quesería!$F$99,IF(K$47=6,Quesería!$F$100,0))*$AA$11</f>
        <v>0</v>
      </c>
      <c r="L1130" s="29" t="n">
        <f aca="false">IF(L$47=5,Quesería!$F$99,IF(L$47=6,Quesería!$F$100,0))*$AA$11</f>
        <v>0</v>
      </c>
    </row>
    <row r="1131" customFormat="false" ht="15" hidden="true" customHeight="false" outlineLevel="1" collapsed="false">
      <c r="A1131" s="6" t="s">
        <v>411</v>
      </c>
      <c r="B1131" s="29" t="n">
        <f aca="false">Quesería!$B$55*(IF(B$47=0,SUMPRODUCT((Quesería!$C$70:$C$89=0)*(Quesería!$H$70:$H$89&gt;0)*(Quesería!$J$70:$J$89&gt;0)*Quesería!$F$70:$F$89*(1+Quesería!$I$70:$I$89)),IF(B$47=1,(SUMPRODUCT((Quesería!$C$70:$C$89=1)*(Quesería!$H$70:$H$89&gt;0)*(Quesería!$J$70:$J$89&gt;0)*Quesería!$F$70:$F$89*(1+Quesería!$I$70:$I$89))-(-$AA$26)*Quesería!$D$86*(1+Quesería!$I$86))*$AA$21,0))*$AA$11+B1130)</f>
        <v>149.115671560178</v>
      </c>
      <c r="C1131" s="29" t="n">
        <f aca="false">Quesería!$B$55*(IF(C$47=0,SUMPRODUCT((Quesería!$C$70:$C$89=0)*(Quesería!$H$70:$H$89&gt;0)*(Quesería!$J$70:$J$89&gt;0)*Quesería!$F$70:$F$89*(1+Quesería!$I$70:$I$89)),IF(C$47=1,(SUMPRODUCT((Quesería!$C$70:$C$89=1)*(Quesería!$H$70:$H$89&gt;0)*(Quesería!$J$70:$J$89&gt;0)*Quesería!$F$70:$F$89*(1+Quesería!$I$70:$I$89))-(-$AA$26)*Quesería!$D$86*(1+Quesería!$I$86))*$AA$21,0))*$AA$11+C1130)</f>
        <v>125.109122668155</v>
      </c>
      <c r="D1131" s="29" t="n">
        <f aca="false">Quesería!$B$55*(IF(D$47=0,SUMPRODUCT((Quesería!$C$70:$C$89=0)*(Quesería!$H$70:$H$89&gt;0)*(Quesería!$J$70:$J$89&gt;0)*Quesería!$F$70:$F$89*(1+Quesería!$I$70:$I$89)),IF(D$47=1,(SUMPRODUCT((Quesería!$C$70:$C$89=1)*(Quesería!$H$70:$H$89&gt;0)*(Quesería!$J$70:$J$89&gt;0)*Quesería!$F$70:$F$89*(1+Quesería!$I$70:$I$89))-(-$AA$26)*Quesería!$D$86*(1+Quesería!$I$86))*$AA$21,0))*$AA$11+D1130)</f>
        <v>0</v>
      </c>
      <c r="E1131" s="29" t="n">
        <f aca="false">Quesería!$B$55*(IF(E$47=0,SUMPRODUCT((Quesería!$C$70:$C$89=0)*(Quesería!$H$70:$H$89&gt;0)*(Quesería!$J$70:$J$89&gt;0)*Quesería!$F$70:$F$89*(1+Quesería!$I$70:$I$89)),IF(E$47=1,(SUMPRODUCT((Quesería!$C$70:$C$89=1)*(Quesería!$H$70:$H$89&gt;0)*(Quesería!$J$70:$J$89&gt;0)*Quesería!$F$70:$F$89*(1+Quesería!$I$70:$I$89))-(-$AA$26)*Quesería!$D$86*(1+Quesería!$I$86))*$AA$21,0))*$AA$11+E1130)</f>
        <v>0</v>
      </c>
      <c r="F1131" s="29" t="n">
        <f aca="false">Quesería!$B$55*(IF(F$47=0,SUMPRODUCT((Quesería!$C$70:$C$89=0)*(Quesería!$H$70:$H$89&gt;0)*(Quesería!$J$70:$J$89&gt;0)*Quesería!$F$70:$F$89*(1+Quesería!$I$70:$I$89)),IF(F$47=1,(SUMPRODUCT((Quesería!$C$70:$C$89=1)*(Quesería!$H$70:$H$89&gt;0)*(Quesería!$J$70:$J$89&gt;0)*Quesería!$F$70:$F$89*(1+Quesería!$I$70:$I$89))-(-$AA$26)*Quesería!$D$86*(1+Quesería!$I$86))*$AA$21,0))*$AA$11+F1130)</f>
        <v>0</v>
      </c>
      <c r="G1131" s="29" t="n">
        <f aca="false">Quesería!$B$55*(IF(G$47=0,SUMPRODUCT((Quesería!$C$70:$C$89=0)*(Quesería!$H$70:$H$89&gt;0)*(Quesería!$J$70:$J$89&gt;0)*Quesería!$F$70:$F$89*(1+Quesería!$I$70:$I$89)),IF(G$47=1,(SUMPRODUCT((Quesería!$C$70:$C$89=1)*(Quesería!$H$70:$H$89&gt;0)*(Quesería!$J$70:$J$89&gt;0)*Quesería!$F$70:$F$89*(1+Quesería!$I$70:$I$89))-(-$AA$26)*Quesería!$D$86*(1+Quesería!$I$86))*$AA$21,0))*$AA$11+G1130)</f>
        <v>5.21839128108597</v>
      </c>
      <c r="H1131" s="29" t="n">
        <f aca="false">Quesería!$B$55*(IF(H$47=0,SUMPRODUCT((Quesería!$C$70:$C$89=0)*(Quesería!$H$70:$H$89&gt;0)*(Quesería!$J$70:$J$89&gt;0)*Quesería!$F$70:$F$89*(1+Quesería!$I$70:$I$89)),IF(H$47=1,(SUMPRODUCT((Quesería!$C$70:$C$89=1)*(Quesería!$H$70:$H$89&gt;0)*(Quesería!$J$70:$J$89&gt;0)*Quesería!$F$70:$F$89*(1+Quesería!$I$70:$I$89))-(-$AA$26)*Quesería!$D$86*(1+Quesería!$I$86))*$AA$21,0))*$AA$11+H1130)</f>
        <v>8.8139395850815</v>
      </c>
      <c r="I1131" s="29" t="n">
        <f aca="false">Quesería!$B$55*(IF(I$47=0,SUMPRODUCT((Quesería!$C$70:$C$89=0)*(Quesería!$H$70:$H$89&gt;0)*(Quesería!$J$70:$J$89&gt;0)*Quesería!$F$70:$F$89*(1+Quesería!$I$70:$I$89)),IF(I$47=1,(SUMPRODUCT((Quesería!$C$70:$C$89=1)*(Quesería!$H$70:$H$89&gt;0)*(Quesería!$J$70:$J$89&gt;0)*Quesería!$F$70:$F$89*(1+Quesería!$I$70:$I$89))-(-$AA$26)*Quesería!$D$86*(1+Quesería!$I$86))*$AA$21,0))*$AA$11+I1130)</f>
        <v>0</v>
      </c>
      <c r="J1131" s="29" t="n">
        <f aca="false">Quesería!$B$55*(IF(J$47=0,SUMPRODUCT((Quesería!$C$70:$C$89=0)*(Quesería!$H$70:$H$89&gt;0)*(Quesería!$J$70:$J$89&gt;0)*Quesería!$F$70:$F$89*(1+Quesería!$I$70:$I$89)),IF(J$47=1,(SUMPRODUCT((Quesería!$C$70:$C$89=1)*(Quesería!$H$70:$H$89&gt;0)*(Quesería!$J$70:$J$89&gt;0)*Quesería!$F$70:$F$89*(1+Quesería!$I$70:$I$89))-(-$AA$26)*Quesería!$D$86*(1+Quesería!$I$86))*$AA$21,0))*$AA$11+J1130)</f>
        <v>0</v>
      </c>
      <c r="K1131" s="29" t="n">
        <f aca="false">Quesería!$B$55*(IF(K$47=0,SUMPRODUCT((Quesería!$C$70:$C$89=0)*(Quesería!$H$70:$H$89&gt;0)*(Quesería!$J$70:$J$89&gt;0)*Quesería!$F$70:$F$89*(1+Quesería!$I$70:$I$89)),IF(K$47=1,(SUMPRODUCT((Quesería!$C$70:$C$89=1)*(Quesería!$H$70:$H$89&gt;0)*(Quesería!$J$70:$J$89&gt;0)*Quesería!$F$70:$F$89*(1+Quesería!$I$70:$I$89))-(-$AA$26)*Quesería!$D$86*(1+Quesería!$I$86))*$AA$21,0))*$AA$11+K1130)</f>
        <v>0</v>
      </c>
      <c r="L1131" s="29" t="n">
        <f aca="false">Quesería!$B$55*(IF(L$47=0,SUMPRODUCT((Quesería!$C$70:$C$89=0)*(Quesería!$H$70:$H$89&gt;0)*(Quesería!$J$70:$J$89&gt;0)*Quesería!$F$70:$F$89*(1+Quesería!$I$70:$I$89)),IF(L$47=1,(SUMPRODUCT((Quesería!$C$70:$C$89=1)*(Quesería!$H$70:$H$89&gt;0)*(Quesería!$J$70:$J$89&gt;0)*Quesería!$F$70:$F$89*(1+Quesería!$I$70:$I$89))-(-$AA$26)*Quesería!$D$86*(1+Quesería!$I$86))*$AA$21,0))*$AA$11+L1130)</f>
        <v>0</v>
      </c>
    </row>
    <row r="1132" customFormat="false" ht="15" hidden="true" customHeight="false" outlineLevel="1" collapsed="false">
      <c r="A1132" s="6" t="s">
        <v>386</v>
      </c>
      <c r="B1132" s="29" t="n">
        <f aca="false">IF(B$47=0,($AA$22*Quesería!$J$126+(1-$AA$22)*Quesería!$E$122)*Quesería!$B$20*Quesería!$B$21/12*$AA$23,(($AA$22*Quesería!$J$126+(1-$AA$22)*Quesería!$E$122)+($AA$22*Quesería!$J$104+(1-$AA$22)*Quesería!$E$104)*(B1127-1))*IF(B$47=1,Quesería!$B$20,1))*$AA$10</f>
        <v>120.716772261203</v>
      </c>
      <c r="C1132" s="29" t="n">
        <f aca="false">IF(C$47=0,($AA$22*Quesería!$J$126+(1-$AA$22)*Quesería!$E$122)*Quesería!$B$20*Quesería!$B$21/12*$AA$23,(($AA$22*Quesería!$J$126+(1-$AA$22)*Quesería!$E$122)+($AA$22*Quesería!$J$104+(1-$AA$22)*Quesería!$E$104)*(C1127-1))*IF(C$47=1,Quesería!$B$20,1))*$AA$10</f>
        <v>181.328317354069</v>
      </c>
      <c r="D1132" s="29" t="n">
        <f aca="false">IF(D$47=0,($AA$22*Quesería!$J$126+(1-$AA$22)*Quesería!$E$122)*Quesería!$B$20*Quesería!$B$21/12*$AA$23,(($AA$22*Quesería!$J$126+(1-$AA$22)*Quesería!$E$122)+($AA$22*Quesería!$J$104+(1-$AA$22)*Quesería!$E$104)*(D1127-1))*IF(D$47=1,Quesería!$B$20,1))*$AA$10</f>
        <v>241.83157753184</v>
      </c>
      <c r="E1132" s="29" t="n">
        <f aca="false">IF(E$47=0,($AA$22*Quesería!$J$126+(1-$AA$22)*Quesería!$E$122)*Quesería!$B$20*Quesería!$B$21/12*$AA$23,(($AA$22*Quesería!$J$126+(1-$AA$22)*Quesería!$E$122)+($AA$22*Quesería!$J$104+(1-$AA$22)*Quesería!$E$104)*(E1127-1))*IF(E$47=1,Quesería!$B$20,1))*$AA$10</f>
        <v>241.892367696887</v>
      </c>
      <c r="F1132" s="29" t="n">
        <f aca="false">IF(F$47=0,($AA$22*Quesería!$J$126+(1-$AA$22)*Quesería!$E$122)*Quesería!$B$20*Quesería!$B$21/12*$AA$23,(($AA$22*Quesería!$J$126+(1-$AA$22)*Quesería!$E$122)+($AA$22*Quesería!$J$104+(1-$AA$22)*Quesería!$E$104)*(F1127-1))*IF(F$47=1,Quesería!$B$20,1))*$AA$10</f>
        <v>241.95346181276</v>
      </c>
      <c r="G1132" s="29" t="n">
        <f aca="false">IF(G$47=0,($AA$22*Quesería!$J$126+(1-$AA$22)*Quesería!$E$122)*Quesería!$B$20*Quesería!$B$21/12*$AA$23,(($AA$22*Quesería!$J$126+(1-$AA$22)*Quesería!$E$122)+($AA$22*Quesería!$J$104+(1-$AA$22)*Quesería!$E$104)*(G1127-1))*IF(G$47=1,Quesería!$B$20,1))*$AA$10</f>
        <v>242.014861399211</v>
      </c>
      <c r="H1132" s="29" t="n">
        <f aca="false">IF(H$47=0,($AA$22*Quesería!$J$126+(1-$AA$22)*Quesería!$E$122)*Quesería!$B$20*Quesería!$B$21/12*$AA$23,(($AA$22*Quesería!$J$126+(1-$AA$22)*Quesería!$E$122)+($AA$22*Quesería!$J$104+(1-$AA$22)*Quesería!$E$104)*(H1127-1))*IF(H$47=1,Quesería!$B$20,1))*$AA$10</f>
        <v>242.076567983595</v>
      </c>
      <c r="I1132" s="29" t="n">
        <f aca="false">IF(I$47=0,($AA$22*Quesería!$J$126+(1-$AA$22)*Quesería!$E$122)*Quesería!$B$20*Quesería!$B$21/12*$AA$23,(($AA$22*Quesería!$J$126+(1-$AA$22)*Quesería!$E$122)+($AA$22*Quesería!$J$104+(1-$AA$22)*Quesería!$E$104)*(I1127-1))*IF(I$47=1,Quesería!$B$20,1))*$AA$10</f>
        <v>242.138583100901</v>
      </c>
      <c r="J1132" s="29" t="n">
        <f aca="false">IF(J$47=0,($AA$22*Quesería!$J$126+(1-$AA$22)*Quesería!$E$122)*Quesería!$B$20*Quesería!$B$21/12*$AA$23,(($AA$22*Quesería!$J$126+(1-$AA$22)*Quesería!$E$122)+($AA$22*Quesería!$J$104+(1-$AA$22)*Quesería!$E$104)*(J1127-1))*IF(J$47=1,Quesería!$B$20,1))*$AA$10</f>
        <v>242.200908293794</v>
      </c>
      <c r="K1132" s="29" t="n">
        <f aca="false">IF(K$47=0,($AA$22*Quesería!$J$126+(1-$AA$22)*Quesería!$E$122)*Quesería!$B$20*Quesería!$B$21/12*$AA$23,(($AA$22*Quesería!$J$126+(1-$AA$22)*Quesería!$E$122)+($AA$22*Quesería!$J$104+(1-$AA$22)*Quesería!$E$104)*(K1127-1))*IF(K$47=1,Quesería!$B$20,1))*$AA$10</f>
        <v>242.263545112651</v>
      </c>
      <c r="L1132" s="29" t="n">
        <f aca="false">IF(L$47=0,($AA$22*Quesería!$J$126+(1-$AA$22)*Quesería!$E$122)*Quesería!$B$20*Quesería!$B$21/12*$AA$23,(($AA$22*Quesería!$J$126+(1-$AA$22)*Quesería!$E$122)+($AA$22*Quesería!$J$104+(1-$AA$22)*Quesería!$E$104)*(L1127-1))*IF(L$47=1,Quesería!$B$20,1))*$AA$10</f>
        <v>242.326495115602</v>
      </c>
    </row>
    <row r="1133" customFormat="false" ht="15" hidden="true" customHeight="false" outlineLevel="1" collapsed="false">
      <c r="A1133" s="6" t="s">
        <v>387</v>
      </c>
      <c r="B1133" s="29" t="n">
        <f aca="false">IF(B$47&lt;=1,0,((($AA$22*Quesería!$J$127+(1-$AA$22)*Quesería!$E$123)-($AA$22*Quesería!$J$113+(1-$AA$22)*Quesería!$E$113)+$AA$6*($AA$22*Quesería!$J$113+(1-$AA$22)*Quesería!$E$113)-(1-$AA$9)*(($AA$22*Quesería!$J$119+(1-$AA$22)*Quesería!$E$119)+($AA$22*Quesería!$J$118+(1-$AA$22)*Quesería!$E$118))-(1-$AA$24)*($AA$22*Quesería!$J$117+(1-$AA$22)*Quesería!$E$117)+$AA$24*(1-$AA$25)*'Beneficios y costos'!$B$144-(-$AA$26*$AA$27)*'Beneficios y costos'!$C$167)+($AA$6*($AA$22*Quesería!$J$113+(1-$AA$22)*Quesería!$E$113)+$AA$9*($AA$22*Quesería!$J$119+(1-$AA$22)*Quesería!$E$119))*(B1127-1))*IF(B$47=2,Quesería!$B$20,1)+IF(B$47=2,Quesería!$B$24*$AA$9*($AA$22*Quesería!$J$119+(1-$AA$22)*Quesería!$E$119)*B1127,0))*$AA$10*$AA$21</f>
        <v>0</v>
      </c>
      <c r="C1133" s="29" t="n">
        <f aca="false">IF(C$47&lt;=1,0,((($AA$22*Quesería!$J$127+(1-$AA$22)*Quesería!$E$123)-($AA$22*Quesería!$J$113+(1-$AA$22)*Quesería!$E$113)+$AA$6*($AA$22*Quesería!$J$113+(1-$AA$22)*Quesería!$E$113)-(1-$AA$9)*(($AA$22*Quesería!$J$119+(1-$AA$22)*Quesería!$E$119)+($AA$22*Quesería!$J$118+(1-$AA$22)*Quesería!$E$118))-(1-$AA$24)*($AA$22*Quesería!$J$117+(1-$AA$22)*Quesería!$E$117)+$AA$24*(1-$AA$25)*'Beneficios y costos'!$B$144-(-$AA$26*$AA$27)*'Beneficios y costos'!$C$167)+($AA$6*($AA$22*Quesería!$J$113+(1-$AA$22)*Quesería!$E$113)+$AA$9*($AA$22*Quesería!$J$119+(1-$AA$22)*Quesería!$E$119))*(C1127-1))*IF(C$47=2,Quesería!$B$20,1)+IF(C$47=2,Quesería!$B$24*$AA$9*($AA$22*Quesería!$J$119+(1-$AA$22)*Quesería!$E$119)*C1127,0))*$AA$10*$AA$21</f>
        <v>0</v>
      </c>
      <c r="D1133" s="29" t="n">
        <f aca="false">IF(D$47&lt;=1,0,((($AA$22*Quesería!$J$127+(1-$AA$22)*Quesería!$E$123)-($AA$22*Quesería!$J$113+(1-$AA$22)*Quesería!$E$113)+$AA$6*($AA$22*Quesería!$J$113+(1-$AA$22)*Quesería!$E$113)-(1-$AA$9)*(($AA$22*Quesería!$J$119+(1-$AA$22)*Quesería!$E$119)+($AA$22*Quesería!$J$118+(1-$AA$22)*Quesería!$E$118))-(1-$AA$24)*($AA$22*Quesería!$J$117+(1-$AA$22)*Quesería!$E$117)+$AA$24*(1-$AA$25)*'Beneficios y costos'!$B$144-(-$AA$26*$AA$27)*'Beneficios y costos'!$C$167)+($AA$6*($AA$22*Quesería!$J$113+(1-$AA$22)*Quesería!$E$113)+$AA$9*($AA$22*Quesería!$J$119+(1-$AA$22)*Quesería!$E$119))*(D1127-1))*IF(D$47=2,Quesería!$B$20,1)+IF(D$47=2,Quesería!$B$24*$AA$9*($AA$22*Quesería!$J$119+(1-$AA$22)*Quesería!$E$119)*D1127,0))*$AA$10*$AA$21</f>
        <v>274.889314034688</v>
      </c>
      <c r="E1133" s="29" t="n">
        <f aca="false">IF(E$47&lt;=1,0,((($AA$22*Quesería!$J$127+(1-$AA$22)*Quesería!$E$123)-($AA$22*Quesería!$J$113+(1-$AA$22)*Quesería!$E$113)+$AA$6*($AA$22*Quesería!$J$113+(1-$AA$22)*Quesería!$E$113)-(1-$AA$9)*(($AA$22*Quesería!$J$119+(1-$AA$22)*Quesería!$E$119)+($AA$22*Quesería!$J$118+(1-$AA$22)*Quesería!$E$118))-(1-$AA$24)*($AA$22*Quesería!$J$117+(1-$AA$22)*Quesería!$E$117)+$AA$24*(1-$AA$25)*'Beneficios y costos'!$B$144-(-$AA$26*$AA$27)*'Beneficios y costos'!$C$167)+($AA$6*($AA$22*Quesería!$J$113+(1-$AA$22)*Quesería!$E$113)+$AA$9*($AA$22*Quesería!$J$119+(1-$AA$22)*Quesería!$E$119))*(E1127-1))*IF(E$47=2,Quesería!$B$20,1)+IF(E$47=2,Quesería!$B$24*$AA$9*($AA$22*Quesería!$J$119+(1-$AA$22)*Quesería!$E$119)*E1127,0))*$AA$10*$AA$21</f>
        <v>351.878580528122</v>
      </c>
      <c r="F1133" s="29" t="n">
        <f aca="false">IF(F$47&lt;=1,0,((($AA$22*Quesería!$J$127+(1-$AA$22)*Quesería!$E$123)-($AA$22*Quesería!$J$113+(1-$AA$22)*Quesería!$E$113)+$AA$6*($AA$22*Quesería!$J$113+(1-$AA$22)*Quesería!$E$113)-(1-$AA$9)*(($AA$22*Quesería!$J$119+(1-$AA$22)*Quesería!$E$119)+($AA$22*Quesería!$J$118+(1-$AA$22)*Quesería!$E$118))-(1-$AA$24)*($AA$22*Quesería!$J$117+(1-$AA$22)*Quesería!$E$117)+$AA$24*(1-$AA$25)*'Beneficios y costos'!$B$144-(-$AA$26*$AA$27)*'Beneficios y costos'!$C$167)+($AA$6*($AA$22*Quesería!$J$113+(1-$AA$22)*Quesería!$E$113)+$AA$9*($AA$22*Quesería!$J$119+(1-$AA$22)*Quesería!$E$119))*(F1127-1))*IF(F$47=2,Quesería!$B$20,1)+IF(F$47=2,Quesería!$B$24*$AA$9*($AA$22*Quesería!$J$119+(1-$AA$22)*Quesería!$E$119)*F1127,0))*$AA$10*$AA$21</f>
        <v>352.126697447686</v>
      </c>
      <c r="G1133" s="29" t="n">
        <f aca="false">IF(G$47&lt;=1,0,((($AA$22*Quesería!$J$127+(1-$AA$22)*Quesería!$E$123)-($AA$22*Quesería!$J$113+(1-$AA$22)*Quesería!$E$113)+$AA$6*($AA$22*Quesería!$J$113+(1-$AA$22)*Quesería!$E$113)-(1-$AA$9)*(($AA$22*Quesería!$J$119+(1-$AA$22)*Quesería!$E$119)+($AA$22*Quesería!$J$118+(1-$AA$22)*Quesería!$E$118))-(1-$AA$24)*($AA$22*Quesería!$J$117+(1-$AA$22)*Quesería!$E$117)+$AA$24*(1-$AA$25)*'Beneficios y costos'!$B$144-(-$AA$26*$AA$27)*'Beneficios y costos'!$C$167)+($AA$6*($AA$22*Quesería!$J$113+(1-$AA$22)*Quesería!$E$113)+$AA$9*($AA$22*Quesería!$J$119+(1-$AA$22)*Quesería!$E$119))*(G1127-1))*IF(G$47=2,Quesería!$B$20,1)+IF(G$47=2,Quesería!$B$24*$AA$9*($AA$22*Quesería!$J$119+(1-$AA$22)*Quesería!$E$119)*G1127,0))*$AA$10*$AA$21</f>
        <v>352.376054951847</v>
      </c>
      <c r="H1133" s="29" t="n">
        <f aca="false">IF(H$47&lt;=1,0,((($AA$22*Quesería!$J$127+(1-$AA$22)*Quesería!$E$123)-($AA$22*Quesería!$J$113+(1-$AA$22)*Quesería!$E$113)+$AA$6*($AA$22*Quesería!$J$113+(1-$AA$22)*Quesería!$E$113)-(1-$AA$9)*(($AA$22*Quesería!$J$119+(1-$AA$22)*Quesería!$E$119)+($AA$22*Quesería!$J$118+(1-$AA$22)*Quesería!$E$118))-(1-$AA$24)*($AA$22*Quesería!$J$117+(1-$AA$22)*Quesería!$E$117)+$AA$24*(1-$AA$25)*'Beneficios y costos'!$B$144-(-$AA$26*$AA$27)*'Beneficios y costos'!$C$167)+($AA$6*($AA$22*Quesería!$J$113+(1-$AA$22)*Quesería!$E$113)+$AA$9*($AA$22*Quesería!$J$119+(1-$AA$22)*Quesería!$E$119))*(H1127-1))*IF(H$47=2,Quesería!$B$20,1)+IF(H$47=2,Quesería!$B$24*$AA$9*($AA$22*Quesería!$J$119+(1-$AA$22)*Quesería!$E$119)*H1127,0))*$AA$10*$AA$21</f>
        <v>352.626659243529</v>
      </c>
      <c r="I1133" s="29" t="n">
        <f aca="false">IF(I$47&lt;=1,0,((($AA$22*Quesería!$J$127+(1-$AA$22)*Quesería!$E$123)-($AA$22*Quesería!$J$113+(1-$AA$22)*Quesería!$E$113)+$AA$6*($AA$22*Quesería!$J$113+(1-$AA$22)*Quesería!$E$113)-(1-$AA$9)*(($AA$22*Quesería!$J$119+(1-$AA$22)*Quesería!$E$119)+($AA$22*Quesería!$J$118+(1-$AA$22)*Quesería!$E$118))-(1-$AA$24)*($AA$22*Quesería!$J$117+(1-$AA$22)*Quesería!$E$117)+$AA$24*(1-$AA$25)*'Beneficios y costos'!$B$144-(-$AA$26*$AA$27)*'Beneficios y costos'!$C$167)+($AA$6*($AA$22*Quesería!$J$113+(1-$AA$22)*Quesería!$E$113)+$AA$9*($AA$22*Quesería!$J$119+(1-$AA$22)*Quesería!$E$119))*(I1127-1))*IF(I$47=2,Quesería!$B$20,1)+IF(I$47=2,Quesería!$B$24*$AA$9*($AA$22*Quesería!$J$119+(1-$AA$22)*Quesería!$E$119)*I1127,0))*$AA$10*$AA$21</f>
        <v>352.87851655667</v>
      </c>
      <c r="J1133" s="29" t="n">
        <f aca="false">IF(J$47&lt;=1,0,((($AA$22*Quesería!$J$127+(1-$AA$22)*Quesería!$E$123)-($AA$22*Quesería!$J$113+(1-$AA$22)*Quesería!$E$113)+$AA$6*($AA$22*Quesería!$J$113+(1-$AA$22)*Quesería!$E$113)-(1-$AA$9)*(($AA$22*Quesería!$J$119+(1-$AA$22)*Quesería!$E$119)+($AA$22*Quesería!$J$118+(1-$AA$22)*Quesería!$E$118))-(1-$AA$24)*($AA$22*Quesería!$J$117+(1-$AA$22)*Quesería!$E$117)+$AA$24*(1-$AA$25)*'Beneficios y costos'!$B$144-(-$AA$26*$AA$27)*'Beneficios y costos'!$C$167)+($AA$6*($AA$22*Quesería!$J$113+(1-$AA$22)*Quesería!$E$113)+$AA$9*($AA$22*Quesería!$J$119+(1-$AA$22)*Quesería!$E$119))*(J1127-1))*IF(J$47=2,Quesería!$B$20,1)+IF(J$47=2,Quesería!$B$24*$AA$9*($AA$22*Quesería!$J$119+(1-$AA$22)*Quesería!$E$119)*J1127,0))*$AA$10*$AA$21</f>
        <v>353.131633156376</v>
      </c>
      <c r="K1133" s="29" t="n">
        <f aca="false">IF(K$47&lt;=1,0,((($AA$22*Quesería!$J$127+(1-$AA$22)*Quesería!$E$123)-($AA$22*Quesería!$J$113+(1-$AA$22)*Quesería!$E$113)+$AA$6*($AA$22*Quesería!$J$113+(1-$AA$22)*Quesería!$E$113)-(1-$AA$9)*(($AA$22*Quesería!$J$119+(1-$AA$22)*Quesería!$E$119)+($AA$22*Quesería!$J$118+(1-$AA$22)*Quesería!$E$118))-(1-$AA$24)*($AA$22*Quesería!$J$117+(1-$AA$22)*Quesería!$E$117)+$AA$24*(1-$AA$25)*'Beneficios y costos'!$B$144-(-$AA$26*$AA$27)*'Beneficios y costos'!$C$167)+($AA$6*($AA$22*Quesería!$J$113+(1-$AA$22)*Quesería!$E$113)+$AA$9*($AA$22*Quesería!$J$119+(1-$AA$22)*Quesería!$E$119))*(K1127-1))*IF(K$47=2,Quesería!$B$20,1)+IF(K$47=2,Quesería!$B$24*$AA$9*($AA$22*Quesería!$J$119+(1-$AA$22)*Quesería!$E$119)*K1127,0))*$AA$10*$AA$21</f>
        <v>353.38601533908</v>
      </c>
      <c r="L1133" s="29" t="n">
        <f aca="false">IF(L$47&lt;=1,0,((($AA$22*Quesería!$J$127+(1-$AA$22)*Quesería!$E$123)-($AA$22*Quesería!$J$113+(1-$AA$22)*Quesería!$E$113)+$AA$6*($AA$22*Quesería!$J$113+(1-$AA$22)*Quesería!$E$113)-(1-$AA$9)*(($AA$22*Quesería!$J$119+(1-$AA$22)*Quesería!$E$119)+($AA$22*Quesería!$J$118+(1-$AA$22)*Quesería!$E$118))-(1-$AA$24)*($AA$22*Quesería!$J$117+(1-$AA$22)*Quesería!$E$117)+$AA$24*(1-$AA$25)*'Beneficios y costos'!$B$144-(-$AA$26*$AA$27)*'Beneficios y costos'!$C$167)+($AA$6*($AA$22*Quesería!$J$113+(1-$AA$22)*Quesería!$E$113)+$AA$9*($AA$22*Quesería!$J$119+(1-$AA$22)*Quesería!$E$119))*(L1127-1))*IF(L$47=2,Quesería!$B$20,1)+IF(L$47=2,Quesería!$B$24*$AA$9*($AA$22*Quesería!$J$119+(1-$AA$22)*Quesería!$E$119)*L1127,0))*$AA$10*$AA$21</f>
        <v>353.641669432699</v>
      </c>
    </row>
    <row r="1134" customFormat="false" ht="15" hidden="true" customHeight="false" outlineLevel="1" collapsed="false">
      <c r="A1134" s="5" t="s">
        <v>412</v>
      </c>
      <c r="B1134" s="10" t="n">
        <f aca="false">B1132+B1133</f>
        <v>120.716772261203</v>
      </c>
      <c r="C1134" s="10" t="n">
        <f aca="false">C1132+C1133</f>
        <v>181.328317354069</v>
      </c>
      <c r="D1134" s="10" t="n">
        <f aca="false">D1132+D1133</f>
        <v>516.720891566528</v>
      </c>
      <c r="E1134" s="10" t="n">
        <f aca="false">E1132+E1133</f>
        <v>593.770948225009</v>
      </c>
      <c r="F1134" s="10" t="n">
        <f aca="false">F1132+F1133</f>
        <v>594.080159260445</v>
      </c>
      <c r="G1134" s="10" t="n">
        <f aca="false">G1132+G1133</f>
        <v>594.390916351058</v>
      </c>
      <c r="H1134" s="10" t="n">
        <f aca="false">H1132+H1133</f>
        <v>594.703227227124</v>
      </c>
      <c r="I1134" s="10" t="n">
        <f aca="false">I1132+I1133</f>
        <v>595.017099657571</v>
      </c>
      <c r="J1134" s="10" t="n">
        <f aca="false">J1132+J1133</f>
        <v>595.332541450169</v>
      </c>
      <c r="K1134" s="10" t="n">
        <f aca="false">K1132+K1133</f>
        <v>595.649560451731</v>
      </c>
      <c r="L1134" s="10" t="n">
        <f aca="false">L1132+L1133</f>
        <v>595.968164548301</v>
      </c>
    </row>
    <row r="1135" customFormat="false" ht="15" hidden="true" customHeight="false" outlineLevel="1" collapsed="false">
      <c r="A1135" s="6" t="s">
        <v>413</v>
      </c>
      <c r="B1135" s="29" t="n">
        <f aca="false">(IF(B$47&gt;=1,(Quesería!$B$31+Quesería!$B$33)*Quesería!$F$94*$AA$11+Quesería!$B$32+'Beneficios y costos'!$B$249,0)+IF(B$47&gt;=2,((Quesería!$B$31+Quesería!$B$33)*(Quesería!$F$95-(-$AA$26)*Quesería!$D$86)*$AA$11+'Beneficios y costos'!$C$249-(-$AA$26)*'Beneficios y costos'!$H$235)*$AA$21,0))*$AA$12</f>
        <v>0</v>
      </c>
      <c r="C1135" s="29" t="n">
        <f aca="false">(IF(C$47&gt;=1,(Quesería!$B$31+Quesería!$B$33)*Quesería!$F$94*$AA$11+Quesería!$B$32+'Beneficios y costos'!$B$249,0)+IF(C$47&gt;=2,((Quesería!$B$31+Quesería!$B$33)*(Quesería!$F$95-(-$AA$26)*Quesería!$D$86)*$AA$11+'Beneficios y costos'!$C$249-(-$AA$26)*'Beneficios y costos'!$H$235)*$AA$21,0))*$AA$12</f>
        <v>42.0946487260605</v>
      </c>
      <c r="D1135" s="29" t="n">
        <f aca="false">(IF(D$47&gt;=1,(Quesería!$B$31+Quesería!$B$33)*Quesería!$F$94*$AA$11+Quesería!$B$32+'Beneficios y costos'!$B$249,0)+IF(D$47&gt;=2,((Quesería!$B$31+Quesería!$B$33)*(Quesería!$F$95-(-$AA$26)*Quesería!$D$86)*$AA$11+'Beneficios y costos'!$C$249-(-$AA$26)*'Beneficios y costos'!$H$235)*$AA$21,0))*$AA$12</f>
        <v>76.4964821173776</v>
      </c>
      <c r="E1135" s="29" t="n">
        <f aca="false">(IF(E$47&gt;=1,(Quesería!$B$31+Quesería!$B$33)*Quesería!$F$94*$AA$11+Quesería!$B$32+'Beneficios y costos'!$B$249,0)+IF(E$47&gt;=2,((Quesería!$B$31+Quesería!$B$33)*(Quesería!$F$95-(-$AA$26)*Quesería!$D$86)*$AA$11+'Beneficios y costos'!$C$249-(-$AA$26)*'Beneficios y costos'!$H$235)*$AA$21,0))*$AA$12</f>
        <v>76.4964821173776</v>
      </c>
      <c r="F1135" s="29" t="n">
        <f aca="false">(IF(F$47&gt;=1,(Quesería!$B$31+Quesería!$B$33)*Quesería!$F$94*$AA$11+Quesería!$B$32+'Beneficios y costos'!$B$249,0)+IF(F$47&gt;=2,((Quesería!$B$31+Quesería!$B$33)*(Quesería!$F$95-(-$AA$26)*Quesería!$D$86)*$AA$11+'Beneficios y costos'!$C$249-(-$AA$26)*'Beneficios y costos'!$H$235)*$AA$21,0))*$AA$12</f>
        <v>76.4964821173776</v>
      </c>
      <c r="G1135" s="29" t="n">
        <f aca="false">(IF(G$47&gt;=1,(Quesería!$B$31+Quesería!$B$33)*Quesería!$F$94*$AA$11+Quesería!$B$32+'Beneficios y costos'!$B$249,0)+IF(G$47&gt;=2,((Quesería!$B$31+Quesería!$B$33)*(Quesería!$F$95-(-$AA$26)*Quesería!$D$86)*$AA$11+'Beneficios y costos'!$C$249-(-$AA$26)*'Beneficios y costos'!$H$235)*$AA$21,0))*$AA$12</f>
        <v>76.4964821173776</v>
      </c>
      <c r="H1135" s="29" t="n">
        <f aca="false">(IF(H$47&gt;=1,(Quesería!$B$31+Quesería!$B$33)*Quesería!$F$94*$AA$11+Quesería!$B$32+'Beneficios y costos'!$B$249,0)+IF(H$47&gt;=2,((Quesería!$B$31+Quesería!$B$33)*(Quesería!$F$95-(-$AA$26)*Quesería!$D$86)*$AA$11+'Beneficios y costos'!$C$249-(-$AA$26)*'Beneficios y costos'!$H$235)*$AA$21,0))*$AA$12</f>
        <v>76.4964821173776</v>
      </c>
      <c r="I1135" s="29" t="n">
        <f aca="false">(IF(I$47&gt;=1,(Quesería!$B$31+Quesería!$B$33)*Quesería!$F$94*$AA$11+Quesería!$B$32+'Beneficios y costos'!$B$249,0)+IF(I$47&gt;=2,((Quesería!$B$31+Quesería!$B$33)*(Quesería!$F$95-(-$AA$26)*Quesería!$D$86)*$AA$11+'Beneficios y costos'!$C$249-(-$AA$26)*'Beneficios y costos'!$H$235)*$AA$21,0))*$AA$12</f>
        <v>76.4964821173776</v>
      </c>
      <c r="J1135" s="29" t="n">
        <f aca="false">(IF(J$47&gt;=1,(Quesería!$B$31+Quesería!$B$33)*Quesería!$F$94*$AA$11+Quesería!$B$32+'Beneficios y costos'!$B$249,0)+IF(J$47&gt;=2,((Quesería!$B$31+Quesería!$B$33)*(Quesería!$F$95-(-$AA$26)*Quesería!$D$86)*$AA$11+'Beneficios y costos'!$C$249-(-$AA$26)*'Beneficios y costos'!$H$235)*$AA$21,0))*$AA$12</f>
        <v>76.4964821173776</v>
      </c>
      <c r="K1135" s="29" t="n">
        <f aca="false">(IF(K$47&gt;=1,(Quesería!$B$31+Quesería!$B$33)*Quesería!$F$94*$AA$11+Quesería!$B$32+'Beneficios y costos'!$B$249,0)+IF(K$47&gt;=2,((Quesería!$B$31+Quesería!$B$33)*(Quesería!$F$95-(-$AA$26)*Quesería!$D$86)*$AA$11+'Beneficios y costos'!$C$249-(-$AA$26)*'Beneficios y costos'!$H$235)*$AA$21,0))*$AA$12</f>
        <v>76.4964821173776</v>
      </c>
      <c r="L1135" s="29" t="n">
        <f aca="false">(IF(L$47&gt;=1,(Quesería!$B$31+Quesería!$B$33)*Quesería!$F$94*$AA$11+Quesería!$B$32+'Beneficios y costos'!$B$249,0)+IF(L$47&gt;=2,((Quesería!$B$31+Quesería!$B$33)*(Quesería!$F$95-(-$AA$26)*Quesería!$D$86)*$AA$11+'Beneficios y costos'!$C$249-(-$AA$26)*'Beneficios y costos'!$H$235)*$AA$21,0))*$AA$12</f>
        <v>76.4964821173776</v>
      </c>
    </row>
    <row r="1136" customFormat="false" ht="15" hidden="true" customHeight="false" outlineLevel="1" collapsed="false">
      <c r="A1136" s="6" t="s">
        <v>414</v>
      </c>
      <c r="B1136" s="29" t="n">
        <f aca="false">IF(B$47=1,2*Quesería!$B$22*Quesería!$B$23/12*B1127,0)*$AA$21</f>
        <v>0</v>
      </c>
      <c r="C1136" s="29" t="n">
        <f aca="false">IF(C$47=1,2*Quesería!$B$22*Quesería!$B$23/12*C1127,0)*$AA$21</f>
        <v>18.5166509433962</v>
      </c>
      <c r="D1136" s="29" t="n">
        <f aca="false">IF(D$47=1,2*Quesería!$B$22*Quesería!$B$23/12*D1127,0)*$AA$21</f>
        <v>0</v>
      </c>
      <c r="E1136" s="29" t="n">
        <f aca="false">IF(E$47=1,2*Quesería!$B$22*Quesería!$B$23/12*E1127,0)*$AA$21</f>
        <v>0</v>
      </c>
      <c r="F1136" s="29" t="n">
        <f aca="false">IF(F$47=1,2*Quesería!$B$22*Quesería!$B$23/12*F1127,0)*$AA$21</f>
        <v>0</v>
      </c>
      <c r="G1136" s="29" t="n">
        <f aca="false">IF(G$47=1,2*Quesería!$B$22*Quesería!$B$23/12*G1127,0)*$AA$21</f>
        <v>0</v>
      </c>
      <c r="H1136" s="29" t="n">
        <f aca="false">IF(H$47=1,2*Quesería!$B$22*Quesería!$B$23/12*H1127,0)*$AA$21</f>
        <v>0</v>
      </c>
      <c r="I1136" s="29" t="n">
        <f aca="false">IF(I$47=1,2*Quesería!$B$22*Quesería!$B$23/12*I1127,0)*$AA$21</f>
        <v>0</v>
      </c>
      <c r="J1136" s="29" t="n">
        <f aca="false">IF(J$47=1,2*Quesería!$B$22*Quesería!$B$23/12*J1127,0)*$AA$21</f>
        <v>0</v>
      </c>
      <c r="K1136" s="29" t="n">
        <f aca="false">IF(K$47=1,2*Quesería!$B$22*Quesería!$B$23/12*K1127,0)*$AA$21</f>
        <v>0</v>
      </c>
      <c r="L1136" s="29" t="n">
        <f aca="false">IF(L$47=1,2*Quesería!$B$22*Quesería!$B$23/12*L1127,0)*$AA$21</f>
        <v>0</v>
      </c>
    </row>
    <row r="1137" customFormat="false" ht="15" hidden="true" customHeight="false" outlineLevel="1" collapsed="false">
      <c r="A1137" s="6" t="s">
        <v>415</v>
      </c>
      <c r="B1137" s="29" t="n">
        <f aca="false">Quesería!$B$52*(B1129+B1130+B1131+B1135+B1136)</f>
        <v>4.31966364396742</v>
      </c>
      <c r="C1137" s="29" t="n">
        <f aca="false">Quesería!$B$52*(C1129+C1130+C1131+C1135+C1136)</f>
        <v>3.37675795604844</v>
      </c>
      <c r="D1137" s="29" t="n">
        <f aca="false">Quesería!$B$52*(D1129+D1130+D1131+D1135+D1136)</f>
        <v>0.305985928469511</v>
      </c>
      <c r="E1137" s="29" t="n">
        <f aca="false">Quesería!$B$52*(E1129+E1130+E1131+E1135+E1136)</f>
        <v>0.305985928469511</v>
      </c>
      <c r="F1137" s="29" t="n">
        <f aca="false">Quesería!$B$52*(F1129+F1130+F1131+F1135+F1136)</f>
        <v>0.305985928469511</v>
      </c>
      <c r="G1137" s="29" t="n">
        <f aca="false">Quesería!$B$52*(G1129+G1130+G1131+G1135+G1136)</f>
        <v>0.436720362669349</v>
      </c>
      <c r="H1137" s="29" t="n">
        <f aca="false">Quesería!$B$52*(H1129+H1130+H1131+H1135+H1136)</f>
        <v>0.526798309653658</v>
      </c>
      <c r="I1137" s="29" t="n">
        <f aca="false">Quesería!$B$52*(I1129+I1130+I1131+I1135+I1136)</f>
        <v>0.305985928469511</v>
      </c>
      <c r="J1137" s="29" t="n">
        <f aca="false">Quesería!$B$52*(J1129+J1130+J1131+J1135+J1136)</f>
        <v>0.305985928469511</v>
      </c>
      <c r="K1137" s="29" t="n">
        <f aca="false">Quesería!$B$52*(K1129+K1130+K1131+K1135+K1136)</f>
        <v>0.305985928469511</v>
      </c>
      <c r="L1137" s="29" t="n">
        <f aca="false">Quesería!$B$52*(L1129+L1130+L1131+L1135+L1136)</f>
        <v>0.305985928469511</v>
      </c>
    </row>
    <row r="1138" customFormat="false" ht="15" hidden="true" customHeight="false" outlineLevel="1" collapsed="false">
      <c r="A1138" s="6" t="s">
        <v>416</v>
      </c>
      <c r="B1138" s="29" t="n">
        <f aca="false">(IF($AA$19=1,(SUMPRODUCT((Quesería!$C$70:$C$89=0)*(Quesería!$J$70:$J$89&gt;0)*(B$47&gt;=1)*(B$47&lt;=Quesería!$J$70:$J$89)*(Quesería!$H$70:$H$89&gt;0)*Quesería!$F$70:$F$89*(1+Quesería!$I$70:$I$89)/(Quesería!$J$70:$J$89+(Quesería!$J$70:$J$89=0)))+SUMPRODUCT((Quesería!$C$70:$C$89=0)*(Quesería!$J$70:$J$89=0)*(B$47=0)*(Quesería!$H$70:$H$89&gt;0)*Quesería!$F$70:$F$89*(1+Quesería!$I$70:$I$89)))*$B$1126+((SUMPRODUCT((Quesería!$C$70:$C$89=1)*(Quesería!$J$70:$J$89&gt;0)*(B$47&gt;=2)*(B$47&lt;=Quesería!$J$70:$J$89+1)*(Quesería!$H$70:$H$89&gt;0)*Quesería!$F$70:$F$89*(1+Quesería!$I$70:$I$89)/(Quesería!$J$70:$J$89+(Quesería!$J$70:$J$89=0)))+SUMPRODUCT((Quesería!$C$70:$C$89=1)*(Quesería!$J$70:$J$89=0)*(B$47=1)*(Quesería!$H$70:$H$89&gt;0)*Quesería!$F$70:$F$89*(1+Quesería!$I$70:$I$89)))-(-$AA$26)*IF(AND(B$47&gt;=2,B$47&lt;=Quesería!$J$86+1),Quesería!$D$86*(1+Quesería!$I$86)/Quesería!$J$86,0))*$C$1126*$AA$21,IF(AND(B$47&gt;=1,B$47&lt;=Quesería!$B$30),Quesería!$F$92/Quesería!$B$30,0)*$B$1126+IF(AND(B$47&gt;=2,B$47&lt;=Quesería!$B$30+1),(Quesería!$F$93-(-$AA$26)*Quesería!$D$86*(1+Quesería!$I$86))/Quesería!$B$30,0)*$C$1126*$AA$21)*$AA$11+IF(AND(B$47&gt;=6,B$47&lt;=10),$G1130*$G1126/5,0)+IF(AND(B$47&gt;=7,B$47&lt;=11),$H1130*$H1126/5,0))*B1128</f>
        <v>145.980915430742</v>
      </c>
      <c r="C1138" s="29" t="n">
        <f aca="false">(IF($AA$19=1,(SUMPRODUCT((Quesería!$C$70:$C$89=0)*(Quesería!$J$70:$J$89&gt;0)*(C$47&gt;=1)*(C$47&lt;=Quesería!$J$70:$J$89)*(Quesería!$H$70:$H$89&gt;0)*Quesería!$F$70:$F$89*(1+Quesería!$I$70:$I$89)/(Quesería!$J$70:$J$89+(Quesería!$J$70:$J$89=0)))+SUMPRODUCT((Quesería!$C$70:$C$89=0)*(Quesería!$J$70:$J$89=0)*(C$47=0)*(Quesería!$H$70:$H$89&gt;0)*Quesería!$F$70:$F$89*(1+Quesería!$I$70:$I$89)))*$B$1126+((SUMPRODUCT((Quesería!$C$70:$C$89=1)*(Quesería!$J$70:$J$89&gt;0)*(C$47&gt;=2)*(C$47&lt;=Quesería!$J$70:$J$89+1)*(Quesería!$H$70:$H$89&gt;0)*Quesería!$F$70:$F$89*(1+Quesería!$I$70:$I$89)/(Quesería!$J$70:$J$89+(Quesería!$J$70:$J$89=0)))+SUMPRODUCT((Quesería!$C$70:$C$89=1)*(Quesería!$J$70:$J$89=0)*(C$47=1)*(Quesería!$H$70:$H$89&gt;0)*Quesería!$F$70:$F$89*(1+Quesería!$I$70:$I$89)))-(-$AA$26)*IF(AND(C$47&gt;=2,C$47&lt;=Quesería!$J$86+1),Quesería!$D$86*(1+Quesería!$I$86)/Quesería!$J$86,0))*$C$1126*$AA$21,IF(AND(C$47&gt;=1,C$47&lt;=Quesería!$B$30),Quesería!$F$92/Quesería!$B$30,0)*$B$1126+IF(AND(C$47&gt;=2,C$47&lt;=Quesería!$B$30+1),(Quesería!$F$93-(-$AA$26)*Quesería!$D$86*(1+Quesería!$I$86))/Quesería!$B$30,0)*$C$1126*$AA$21)*$AA$11+IF(AND(C$47&gt;=6,C$47&lt;=10),$G1130*$G1126/5,0)+IF(AND(C$47&gt;=7,C$47&lt;=11),$H1130*$H1126/5,0))*C1128</f>
        <v>82.2633269524265</v>
      </c>
      <c r="D1138" s="29" t="n">
        <f aca="false">(IF($AA$19=1,(SUMPRODUCT((Quesería!$C$70:$C$89=0)*(Quesería!$J$70:$J$89&gt;0)*(D$47&gt;=1)*(D$47&lt;=Quesería!$J$70:$J$89)*(Quesería!$H$70:$H$89&gt;0)*Quesería!$F$70:$F$89*(1+Quesería!$I$70:$I$89)/(Quesería!$J$70:$J$89+(Quesería!$J$70:$J$89=0)))+SUMPRODUCT((Quesería!$C$70:$C$89=0)*(Quesería!$J$70:$J$89=0)*(D$47=0)*(Quesería!$H$70:$H$89&gt;0)*Quesería!$F$70:$F$89*(1+Quesería!$I$70:$I$89)))*$B$1126+((SUMPRODUCT((Quesería!$C$70:$C$89=1)*(Quesería!$J$70:$J$89&gt;0)*(D$47&gt;=2)*(D$47&lt;=Quesería!$J$70:$J$89+1)*(Quesería!$H$70:$H$89&gt;0)*Quesería!$F$70:$F$89*(1+Quesería!$I$70:$I$89)/(Quesería!$J$70:$J$89+(Quesería!$J$70:$J$89=0)))+SUMPRODUCT((Quesería!$C$70:$C$89=1)*(Quesería!$J$70:$J$89=0)*(D$47=1)*(Quesería!$H$70:$H$89&gt;0)*Quesería!$F$70:$F$89*(1+Quesería!$I$70:$I$89)))-(-$AA$26)*IF(AND(D$47&gt;=2,D$47&lt;=Quesería!$J$86+1),Quesería!$D$86*(1+Quesería!$I$86)/Quesería!$J$86,0))*$C$1126*$AA$21,IF(AND(D$47&gt;=1,D$47&lt;=Quesería!$B$30),Quesería!$F$92/Quesería!$B$30,0)*$B$1126+IF(AND(D$47&gt;=2,D$47&lt;=Quesería!$B$30+1),(Quesería!$F$93-(-$AA$26)*Quesería!$D$86*(1+Quesería!$I$86))/Quesería!$B$30,0)*$C$1126*$AA$21)*$AA$11+IF(AND(D$47&gt;=6,D$47&lt;=10),$G1130*$G1126/5,0)+IF(AND(D$47&gt;=7,D$47&lt;=11),$H1130*$H1126/5,0))*D1128</f>
        <v>141.732280975958</v>
      </c>
      <c r="E1138" s="29" t="n">
        <f aca="false">(IF($AA$19=1,(SUMPRODUCT((Quesería!$C$70:$C$89=0)*(Quesería!$J$70:$J$89&gt;0)*(E$47&gt;=1)*(E$47&lt;=Quesería!$J$70:$J$89)*(Quesería!$H$70:$H$89&gt;0)*Quesería!$F$70:$F$89*(1+Quesería!$I$70:$I$89)/(Quesería!$J$70:$J$89+(Quesería!$J$70:$J$89=0)))+SUMPRODUCT((Quesería!$C$70:$C$89=0)*(Quesería!$J$70:$J$89=0)*(E$47=0)*(Quesería!$H$70:$H$89&gt;0)*Quesería!$F$70:$F$89*(1+Quesería!$I$70:$I$89)))*$B$1126+((SUMPRODUCT((Quesería!$C$70:$C$89=1)*(Quesería!$J$70:$J$89&gt;0)*(E$47&gt;=2)*(E$47&lt;=Quesería!$J$70:$J$89+1)*(Quesería!$H$70:$H$89&gt;0)*Quesería!$F$70:$F$89*(1+Quesería!$I$70:$I$89)/(Quesería!$J$70:$J$89+(Quesería!$J$70:$J$89=0)))+SUMPRODUCT((Quesería!$C$70:$C$89=1)*(Quesería!$J$70:$J$89=0)*(E$47=1)*(Quesería!$H$70:$H$89&gt;0)*Quesería!$F$70:$F$89*(1+Quesería!$I$70:$I$89)))-(-$AA$26)*IF(AND(E$47&gt;=2,E$47&lt;=Quesería!$J$86+1),Quesería!$D$86*(1+Quesería!$I$86)/Quesería!$J$86,0))*$C$1126*$AA$21,IF(AND(E$47&gt;=1,E$47&lt;=Quesería!$B$30),Quesería!$F$92/Quesería!$B$30,0)*$B$1126+IF(AND(E$47&gt;=2,E$47&lt;=Quesería!$B$30+1),(Quesería!$F$93-(-$AA$26)*Quesería!$D$86*(1+Quesería!$I$86))/Quesería!$B$30,0)*$C$1126*$AA$21)*$AA$11+IF(AND(E$47&gt;=6,E$47&lt;=10),$G1130*$G1126/5,0)+IF(AND(E$47&gt;=7,E$47&lt;=11),$H1130*$H1126/5,0))*E1128</f>
        <v>136.28103939996</v>
      </c>
      <c r="F1138" s="29" t="n">
        <f aca="false">(IF($AA$19=1,(SUMPRODUCT((Quesería!$C$70:$C$89=0)*(Quesería!$J$70:$J$89&gt;0)*(F$47&gt;=1)*(F$47&lt;=Quesería!$J$70:$J$89)*(Quesería!$H$70:$H$89&gt;0)*Quesería!$F$70:$F$89*(1+Quesería!$I$70:$I$89)/(Quesería!$J$70:$J$89+(Quesería!$J$70:$J$89=0)))+SUMPRODUCT((Quesería!$C$70:$C$89=0)*(Quesería!$J$70:$J$89=0)*(F$47=0)*(Quesería!$H$70:$H$89&gt;0)*Quesería!$F$70:$F$89*(1+Quesería!$I$70:$I$89)))*$B$1126+((SUMPRODUCT((Quesería!$C$70:$C$89=1)*(Quesería!$J$70:$J$89&gt;0)*(F$47&gt;=2)*(F$47&lt;=Quesería!$J$70:$J$89+1)*(Quesería!$H$70:$H$89&gt;0)*Quesería!$F$70:$F$89*(1+Quesería!$I$70:$I$89)/(Quesería!$J$70:$J$89+(Quesería!$J$70:$J$89=0)))+SUMPRODUCT((Quesería!$C$70:$C$89=1)*(Quesería!$J$70:$J$89=0)*(F$47=1)*(Quesería!$H$70:$H$89&gt;0)*Quesería!$F$70:$F$89*(1+Quesería!$I$70:$I$89)))-(-$AA$26)*IF(AND(F$47&gt;=2,F$47&lt;=Quesería!$J$86+1),Quesería!$D$86*(1+Quesería!$I$86)/Quesería!$J$86,0))*$C$1126*$AA$21,IF(AND(F$47&gt;=1,F$47&lt;=Quesería!$B$30),Quesería!$F$92/Quesería!$B$30,0)*$B$1126+IF(AND(F$47&gt;=2,F$47&lt;=Quesería!$B$30+1),(Quesería!$F$93-(-$AA$26)*Quesería!$D$86*(1+Quesería!$I$86))/Quesería!$B$30,0)*$C$1126*$AA$21)*$AA$11+IF(AND(F$47&gt;=6,F$47&lt;=10),$G1130*$G1126/5,0)+IF(AND(F$47&gt;=7,F$47&lt;=11),$H1130*$H1126/5,0))*F1128</f>
        <v>131.0394609615</v>
      </c>
      <c r="G1138" s="29" t="n">
        <f aca="false">(IF($AA$19=1,(SUMPRODUCT((Quesería!$C$70:$C$89=0)*(Quesería!$J$70:$J$89&gt;0)*(G$47&gt;=1)*(G$47&lt;=Quesería!$J$70:$J$89)*(Quesería!$H$70:$H$89&gt;0)*Quesería!$F$70:$F$89*(1+Quesería!$I$70:$I$89)/(Quesería!$J$70:$J$89+(Quesería!$J$70:$J$89=0)))+SUMPRODUCT((Quesería!$C$70:$C$89=0)*(Quesería!$J$70:$J$89=0)*(G$47=0)*(Quesería!$H$70:$H$89&gt;0)*Quesería!$F$70:$F$89*(1+Quesería!$I$70:$I$89)))*$B$1126+((SUMPRODUCT((Quesería!$C$70:$C$89=1)*(Quesería!$J$70:$J$89&gt;0)*(G$47&gt;=2)*(G$47&lt;=Quesería!$J$70:$J$89+1)*(Quesería!$H$70:$H$89&gt;0)*Quesería!$F$70:$F$89*(1+Quesería!$I$70:$I$89)/(Quesería!$J$70:$J$89+(Quesería!$J$70:$J$89=0)))+SUMPRODUCT((Quesería!$C$70:$C$89=1)*(Quesería!$J$70:$J$89=0)*(G$47=1)*(Quesería!$H$70:$H$89&gt;0)*Quesería!$F$70:$F$89*(1+Quesería!$I$70:$I$89)))-(-$AA$26)*IF(AND(G$47&gt;=2,G$47&lt;=Quesería!$J$86+1),Quesería!$D$86*(1+Quesería!$I$86)/Quesería!$J$86,0))*$C$1126*$AA$21,IF(AND(G$47&gt;=1,G$47&lt;=Quesería!$B$30),Quesería!$F$92/Quesería!$B$30,0)*$B$1126+IF(AND(G$47&gt;=2,G$47&lt;=Quesería!$B$30+1),(Quesería!$F$93-(-$AA$26)*Quesería!$D$86*(1+Quesería!$I$86))/Quesería!$B$30,0)*$C$1126*$AA$21)*$AA$11+IF(AND(G$47&gt;=6,G$47&lt;=10),$G1130*$G1126/5,0)+IF(AND(G$47&gt;=7,G$47&lt;=11),$H1130*$H1126/5,0))*G1128</f>
        <v>125.99948169375</v>
      </c>
      <c r="H1138" s="29" t="n">
        <f aca="false">(IF($AA$19=1,(SUMPRODUCT((Quesería!$C$70:$C$89=0)*(Quesería!$J$70:$J$89&gt;0)*(H$47&gt;=1)*(H$47&lt;=Quesería!$J$70:$J$89)*(Quesería!$H$70:$H$89&gt;0)*Quesería!$F$70:$F$89*(1+Quesería!$I$70:$I$89)/(Quesería!$J$70:$J$89+(Quesería!$J$70:$J$89=0)))+SUMPRODUCT((Quesería!$C$70:$C$89=0)*(Quesería!$J$70:$J$89=0)*(H$47=0)*(Quesería!$H$70:$H$89&gt;0)*Quesería!$F$70:$F$89*(1+Quesería!$I$70:$I$89)))*$B$1126+((SUMPRODUCT((Quesería!$C$70:$C$89=1)*(Quesería!$J$70:$J$89&gt;0)*(H$47&gt;=2)*(H$47&lt;=Quesería!$J$70:$J$89+1)*(Quesería!$H$70:$H$89&gt;0)*Quesería!$F$70:$F$89*(1+Quesería!$I$70:$I$89)/(Quesería!$J$70:$J$89+(Quesería!$J$70:$J$89=0)))+SUMPRODUCT((Quesería!$C$70:$C$89=1)*(Quesería!$J$70:$J$89=0)*(H$47=1)*(Quesería!$H$70:$H$89&gt;0)*Quesería!$F$70:$F$89*(1+Quesería!$I$70:$I$89)))-(-$AA$26)*IF(AND(H$47&gt;=2,H$47&lt;=Quesería!$J$86+1),Quesería!$D$86*(1+Quesería!$I$86)/Quesería!$J$86,0))*$C$1126*$AA$21,IF(AND(H$47&gt;=1,H$47&lt;=Quesería!$B$30),Quesería!$F$92/Quesería!$B$30,0)*$B$1126+IF(AND(H$47&gt;=2,H$47&lt;=Quesería!$B$30+1),(Quesería!$F$93-(-$AA$26)*Quesería!$D$86*(1+Quesería!$I$86))/Quesería!$B$30,0)*$C$1126*$AA$21)*$AA$11+IF(AND(H$47&gt;=6,H$47&lt;=10),$G1130*$G1126/5,0)+IF(AND(H$47&gt;=7,H$47&lt;=11),$H1130*$H1126/5,0))*H1128</f>
        <v>114.13472617855</v>
      </c>
      <c r="I1138" s="29" t="n">
        <f aca="false">(IF($AA$19=1,(SUMPRODUCT((Quesería!$C$70:$C$89=0)*(Quesería!$J$70:$J$89&gt;0)*(I$47&gt;=1)*(I$47&lt;=Quesería!$J$70:$J$89)*(Quesería!$H$70:$H$89&gt;0)*Quesería!$F$70:$F$89*(1+Quesería!$I$70:$I$89)/(Quesería!$J$70:$J$89+(Quesería!$J$70:$J$89=0)))+SUMPRODUCT((Quesería!$C$70:$C$89=0)*(Quesería!$J$70:$J$89=0)*(I$47=0)*(Quesería!$H$70:$H$89&gt;0)*Quesería!$F$70:$F$89*(1+Quesería!$I$70:$I$89)))*$B$1126+((SUMPRODUCT((Quesería!$C$70:$C$89=1)*(Quesería!$J$70:$J$89&gt;0)*(I$47&gt;=2)*(I$47&lt;=Quesería!$J$70:$J$89+1)*(Quesería!$H$70:$H$89&gt;0)*Quesería!$F$70:$F$89*(1+Quesería!$I$70:$I$89)/(Quesería!$J$70:$J$89+(Quesería!$J$70:$J$89=0)))+SUMPRODUCT((Quesería!$C$70:$C$89=1)*(Quesería!$J$70:$J$89=0)*(I$47=1)*(Quesería!$H$70:$H$89&gt;0)*Quesería!$F$70:$F$89*(1+Quesería!$I$70:$I$89)))-(-$AA$26)*IF(AND(I$47&gt;=2,I$47&lt;=Quesería!$J$86+1),Quesería!$D$86*(1+Quesería!$I$86)/Quesería!$J$86,0))*$C$1126*$AA$21,IF(AND(I$47&gt;=1,I$47&lt;=Quesería!$B$30),Quesería!$F$92/Quesería!$B$30,0)*$B$1126+IF(AND(I$47&gt;=2,I$47&lt;=Quesería!$B$30+1),(Quesería!$F$93-(-$AA$26)*Quesería!$D$86*(1+Quesería!$I$86))/Quesería!$B$30,0)*$C$1126*$AA$21)*$AA$11+IF(AND(I$47&gt;=6,I$47&lt;=10),$G1130*$G1126/5,0)+IF(AND(I$47&gt;=7,I$47&lt;=11),$H1130*$H1126/5,0))*I1128</f>
        <v>118.665920500713</v>
      </c>
      <c r="J1138" s="29" t="n">
        <f aca="false">(IF($AA$19=1,(SUMPRODUCT((Quesería!$C$70:$C$89=0)*(Quesería!$J$70:$J$89&gt;0)*(J$47&gt;=1)*(J$47&lt;=Quesería!$J$70:$J$89)*(Quesería!$H$70:$H$89&gt;0)*Quesería!$F$70:$F$89*(1+Quesería!$I$70:$I$89)/(Quesería!$J$70:$J$89+(Quesería!$J$70:$J$89=0)))+SUMPRODUCT((Quesería!$C$70:$C$89=0)*(Quesería!$J$70:$J$89=0)*(J$47=0)*(Quesería!$H$70:$H$89&gt;0)*Quesería!$F$70:$F$89*(1+Quesería!$I$70:$I$89)))*$B$1126+((SUMPRODUCT((Quesería!$C$70:$C$89=1)*(Quesería!$J$70:$J$89&gt;0)*(J$47&gt;=2)*(J$47&lt;=Quesería!$J$70:$J$89+1)*(Quesería!$H$70:$H$89&gt;0)*Quesería!$F$70:$F$89*(1+Quesería!$I$70:$I$89)/(Quesería!$J$70:$J$89+(Quesería!$J$70:$J$89=0)))+SUMPRODUCT((Quesería!$C$70:$C$89=1)*(Quesería!$J$70:$J$89=0)*(J$47=1)*(Quesería!$H$70:$H$89&gt;0)*Quesería!$F$70:$F$89*(1+Quesería!$I$70:$I$89)))-(-$AA$26)*IF(AND(J$47&gt;=2,J$47&lt;=Quesería!$J$86+1),Quesería!$D$86*(1+Quesería!$I$86)/Quesería!$J$86,0))*$C$1126*$AA$21,IF(AND(J$47&gt;=1,J$47&lt;=Quesería!$B$30),Quesería!$F$92/Quesería!$B$30,0)*$B$1126+IF(AND(J$47&gt;=2,J$47&lt;=Quesería!$B$30+1),(Quesería!$F$93-(-$AA$26)*Quesería!$D$86*(1+Quesería!$I$86))/Quesería!$B$30,0)*$C$1126*$AA$21)*$AA$11+IF(AND(J$47&gt;=6,J$47&lt;=10),$G1130*$G1126/5,0)+IF(AND(J$47&gt;=7,J$47&lt;=11),$H1130*$H1126/5,0))*J1128</f>
        <v>114.101846635301</v>
      </c>
      <c r="K1138" s="29" t="n">
        <f aca="false">(IF($AA$19=1,(SUMPRODUCT((Quesería!$C$70:$C$89=0)*(Quesería!$J$70:$J$89&gt;0)*(K$47&gt;=1)*(K$47&lt;=Quesería!$J$70:$J$89)*(Quesería!$H$70:$H$89&gt;0)*Quesería!$F$70:$F$89*(1+Quesería!$I$70:$I$89)/(Quesería!$J$70:$J$89+(Quesería!$J$70:$J$89=0)))+SUMPRODUCT((Quesería!$C$70:$C$89=0)*(Quesería!$J$70:$J$89=0)*(K$47=0)*(Quesería!$H$70:$H$89&gt;0)*Quesería!$F$70:$F$89*(1+Quesería!$I$70:$I$89)))*$B$1126+((SUMPRODUCT((Quesería!$C$70:$C$89=1)*(Quesería!$J$70:$J$89&gt;0)*(K$47&gt;=2)*(K$47&lt;=Quesería!$J$70:$J$89+1)*(Quesería!$H$70:$H$89&gt;0)*Quesería!$F$70:$F$89*(1+Quesería!$I$70:$I$89)/(Quesería!$J$70:$J$89+(Quesería!$J$70:$J$89=0)))+SUMPRODUCT((Quesería!$C$70:$C$89=1)*(Quesería!$J$70:$J$89=0)*(K$47=1)*(Quesería!$H$70:$H$89&gt;0)*Quesería!$F$70:$F$89*(1+Quesería!$I$70:$I$89)))-(-$AA$26)*IF(AND(K$47&gt;=2,K$47&lt;=Quesería!$J$86+1),Quesería!$D$86*(1+Quesería!$I$86)/Quesería!$J$86,0))*$C$1126*$AA$21,IF(AND(K$47&gt;=1,K$47&lt;=Quesería!$B$30),Quesería!$F$92/Quesería!$B$30,0)*$B$1126+IF(AND(K$47&gt;=2,K$47&lt;=Quesería!$B$30+1),(Quesería!$F$93-(-$AA$26)*Quesería!$D$86*(1+Quesería!$I$86))/Quesería!$B$30,0)*$C$1126*$AA$21)*$AA$11+IF(AND(K$47&gt;=6,K$47&lt;=10),$G1130*$G1126/5,0)+IF(AND(K$47&gt;=7,K$47&lt;=11),$H1130*$H1126/5,0))*K1128</f>
        <v>109.713314072405</v>
      </c>
      <c r="L1138" s="29" t="n">
        <f aca="false">(IF($AA$19=1,(SUMPRODUCT((Quesería!$C$70:$C$89=0)*(Quesería!$J$70:$J$89&gt;0)*(L$47&gt;=1)*(L$47&lt;=Quesería!$J$70:$J$89)*(Quesería!$H$70:$H$89&gt;0)*Quesería!$F$70:$F$89*(1+Quesería!$I$70:$I$89)/(Quesería!$J$70:$J$89+(Quesería!$J$70:$J$89=0)))+SUMPRODUCT((Quesería!$C$70:$C$89=0)*(Quesería!$J$70:$J$89=0)*(L$47=0)*(Quesería!$H$70:$H$89&gt;0)*Quesería!$F$70:$F$89*(1+Quesería!$I$70:$I$89)))*$B$1126+((SUMPRODUCT((Quesería!$C$70:$C$89=1)*(Quesería!$J$70:$J$89&gt;0)*(L$47&gt;=2)*(L$47&lt;=Quesería!$J$70:$J$89+1)*(Quesería!$H$70:$H$89&gt;0)*Quesería!$F$70:$F$89*(1+Quesería!$I$70:$I$89)/(Quesería!$J$70:$J$89+(Quesería!$J$70:$J$89=0)))+SUMPRODUCT((Quesería!$C$70:$C$89=1)*(Quesería!$J$70:$J$89=0)*(L$47=1)*(Quesería!$H$70:$H$89&gt;0)*Quesería!$F$70:$F$89*(1+Quesería!$I$70:$I$89)))-(-$AA$26)*IF(AND(L$47&gt;=2,L$47&lt;=Quesería!$J$86+1),Quesería!$D$86*(1+Quesería!$I$86)/Quesería!$J$86,0))*$C$1126*$AA$21,IF(AND(L$47&gt;=1,L$47&lt;=Quesería!$B$30),Quesería!$F$92/Quesería!$B$30,0)*$B$1126+IF(AND(L$47&gt;=2,L$47&lt;=Quesería!$B$30+1),(Quesería!$F$93-(-$AA$26)*Quesería!$D$86*(1+Quesería!$I$86))/Quesería!$B$30,0)*$C$1126*$AA$21)*$AA$11+IF(AND(L$47&gt;=6,L$47&lt;=10),$G1130*$G1126/5,0)+IF(AND(L$47&gt;=7,L$47&lt;=11),$H1130*$H1126/5,0))*L1128</f>
        <v>105.493571223466</v>
      </c>
    </row>
    <row r="1139" customFormat="false" ht="15" hidden="true" customHeight="false" outlineLevel="1" collapsed="false">
      <c r="A1139" s="9" t="s">
        <v>417</v>
      </c>
      <c r="B1139" s="58" t="n">
        <f aca="false">IF(B$47=1,MIN($AA$7*$AA$26*Quesería!$B$56*Quesería!$D$86*$AA$11*$AA$21,Quesería!$B$57*Quesería!$B$58),0)</f>
        <v>0</v>
      </c>
      <c r="C1139" s="58" t="n">
        <f aca="false">IF(C$47=1,MIN($AA$7*$AA$26*Quesería!$B$56*Quesería!$D$86*$AA$11*$AA$21,Quesería!$B$57*Quesería!$B$58),0)</f>
        <v>0</v>
      </c>
      <c r="D1139" s="58" t="n">
        <f aca="false">IF(D$47=1,MIN($AA$7*$AA$26*Quesería!$B$56*Quesería!$D$86*$AA$11*$AA$21,Quesería!$B$57*Quesería!$B$58),0)</f>
        <v>0</v>
      </c>
      <c r="E1139" s="58" t="n">
        <f aca="false">IF(E$47=1,MIN($AA$7*$AA$26*Quesería!$B$56*Quesería!$D$86*$AA$11*$AA$21,Quesería!$B$57*Quesería!$B$58),0)</f>
        <v>0</v>
      </c>
      <c r="F1139" s="58" t="n">
        <f aca="false">IF(F$47=1,MIN($AA$7*$AA$26*Quesería!$B$56*Quesería!$D$86*$AA$11*$AA$21,Quesería!$B$57*Quesería!$B$58),0)</f>
        <v>0</v>
      </c>
      <c r="G1139" s="58" t="n">
        <f aca="false">IF(G$47=1,MIN($AA$7*$AA$26*Quesería!$B$56*Quesería!$D$86*$AA$11*$AA$21,Quesería!$B$57*Quesería!$B$58),0)</f>
        <v>0</v>
      </c>
      <c r="H1139" s="58" t="n">
        <f aca="false">IF(H$47=1,MIN($AA$7*$AA$26*Quesería!$B$56*Quesería!$D$86*$AA$11*$AA$21,Quesería!$B$57*Quesería!$B$58),0)</f>
        <v>0</v>
      </c>
      <c r="I1139" s="58" t="n">
        <f aca="false">IF(I$47=1,MIN($AA$7*$AA$26*Quesería!$B$56*Quesería!$D$86*$AA$11*$AA$21,Quesería!$B$57*Quesería!$B$58),0)</f>
        <v>0</v>
      </c>
      <c r="J1139" s="58" t="n">
        <f aca="false">IF(J$47=1,MIN($AA$7*$AA$26*Quesería!$B$56*Quesería!$D$86*$AA$11*$AA$21,Quesería!$B$57*Quesería!$B$58),0)</f>
        <v>0</v>
      </c>
      <c r="K1139" s="58" t="n">
        <f aca="false">IF(K$47=1,MIN($AA$7*$AA$26*Quesería!$B$56*Quesería!$D$86*$AA$11*$AA$21,Quesería!$B$57*Quesería!$B$58),0)</f>
        <v>0</v>
      </c>
      <c r="L1139" s="58" t="n">
        <f aca="false">IF(L$47=1,MIN($AA$7*$AA$26*Quesería!$B$56*Quesería!$D$86*$AA$11*$AA$21,Quesería!$B$57*Quesería!$B$58),0)</f>
        <v>0</v>
      </c>
    </row>
    <row r="1140" customFormat="false" ht="15" hidden="true" customHeight="false" outlineLevel="1" collapsed="false">
      <c r="A1140" s="9" t="s">
        <v>418</v>
      </c>
      <c r="B1140" s="58" t="n">
        <v>0</v>
      </c>
      <c r="C1140" s="58" t="n">
        <f aca="false">$AA$20*Quesería!$B$60*Quesería!$F$98*$AA$11*$B$1126/C1126/2</f>
        <v>138.12868344741</v>
      </c>
      <c r="D1140" s="58" t="n">
        <f aca="false">$AA$20*Quesería!$B$60*Quesería!$F$98*$AA$11*$B$1126/D1126/2</f>
        <v>132.18055832288</v>
      </c>
      <c r="E1140" s="58" t="n">
        <v>0</v>
      </c>
      <c r="F1140" s="58" t="n">
        <v>0</v>
      </c>
      <c r="G1140" s="58" t="n">
        <v>0</v>
      </c>
      <c r="H1140" s="58" t="n">
        <v>0</v>
      </c>
      <c r="I1140" s="58" t="n">
        <v>0</v>
      </c>
      <c r="J1140" s="58" t="n">
        <v>0</v>
      </c>
      <c r="K1140" s="58" t="n">
        <v>0</v>
      </c>
      <c r="L1140" s="58" t="n">
        <v>0</v>
      </c>
    </row>
    <row r="1141" customFormat="false" ht="15" hidden="true" customHeight="false" outlineLevel="1" collapsed="false">
      <c r="A1141" s="9" t="s">
        <v>419</v>
      </c>
      <c r="B1141" s="58" t="n">
        <f aca="false">0</f>
        <v>0</v>
      </c>
      <c r="C1141" s="58" t="n">
        <f aca="false">B1131*B1126/C1126</f>
        <v>142.014925295407</v>
      </c>
      <c r="D1141" s="58" t="n">
        <f aca="false">C1131*C1126/D1126</f>
        <v>119.721648486272</v>
      </c>
      <c r="E1141" s="58" t="n">
        <f aca="false">D1131*D1126/E1126</f>
        <v>0</v>
      </c>
      <c r="F1141" s="58" t="n">
        <f aca="false">E1131*E1126/F1126</f>
        <v>0</v>
      </c>
      <c r="G1141" s="58" t="n">
        <f aca="false">F1131*F1126/G1126</f>
        <v>0</v>
      </c>
      <c r="H1141" s="58" t="n">
        <f aca="false">G1131*G1126/H1126</f>
        <v>5.01768392412113</v>
      </c>
      <c r="I1141" s="58" t="n">
        <f aca="false">H1131*H1126/I1126</f>
        <v>8.47494190873221</v>
      </c>
      <c r="J1141" s="58" t="n">
        <f aca="false">I1131*I1126/J1126</f>
        <v>0</v>
      </c>
      <c r="K1141" s="58" t="n">
        <f aca="false">J1131*J1126/K1126</f>
        <v>0</v>
      </c>
      <c r="L1141" s="58" t="n">
        <f aca="false">K1131*K1126/L1126</f>
        <v>0</v>
      </c>
    </row>
    <row r="1142" customFormat="false" ht="15" hidden="true" customHeight="false" outlineLevel="1" collapsed="false">
      <c r="A1142" s="6" t="s">
        <v>295</v>
      </c>
      <c r="B1142" s="29" t="n">
        <f aca="false">$AA$17*(B1134-B1135-B1136-0.5*B1137-B1138)-B1139-B1140-B1141</f>
        <v>-9.59839124703308</v>
      </c>
      <c r="C1142" s="29" t="n">
        <f aca="false">$AA$17*(C1134-C1135-C1136-0.5*C1137-C1138)-C1139-C1140-C1141</f>
        <v>-267.27574962886</v>
      </c>
      <c r="D1142" s="29" t="n">
        <f aca="false">$AA$17*(D1134-D1135-D1136-0.5*D1137-D1138)-D1139-D1140-D1141</f>
        <v>-147.483509381017</v>
      </c>
      <c r="E1142" s="29" t="n">
        <f aca="false">$AA$17*(E1134-E1135-E1136-0.5*E1137-E1138)-E1139-E1140-E1141</f>
        <v>133.294151810203</v>
      </c>
      <c r="F1142" s="29" t="n">
        <f aca="false">$AA$17*(F1134-F1135-F1136-0.5*F1137-F1138)-F1139-F1140-F1141</f>
        <v>135.236928126067</v>
      </c>
      <c r="G1142" s="29" t="n">
        <f aca="false">$AA$17*(G1134-G1135-G1136-0.5*G1137-G1138)-G1139-G1140-G1141</f>
        <v>137.086807325509</v>
      </c>
      <c r="H1142" s="29" t="n">
        <f aca="false">$AA$17*(H1134-H1135-H1136-0.5*H1137-H1138)-H1139-H1140-H1141</f>
        <v>136.315332997608</v>
      </c>
      <c r="I1142" s="29" t="n">
        <f aca="false">$AA$17*(I1134-I1135-I1136-0.5*I1137-I1138)-I1139-I1140-I1141</f>
        <v>131.420654517604</v>
      </c>
      <c r="J1142" s="29" t="n">
        <f aca="false">$AA$17*(J1134-J1135-J1136-0.5*J1137-J1138)-J1139-J1140-J1141</f>
        <v>141.60342690664</v>
      </c>
      <c r="K1142" s="29" t="n">
        <f aca="false">$AA$17*(K1134-K1135-K1136-0.5*K1137-K1138)-K1139-K1140-K1141</f>
        <v>143.2503699542</v>
      </c>
      <c r="L1142" s="29" t="n">
        <f aca="false">$AA$17*(L1134-L1135-L1136-0.5*L1137-L1138)-L1139-L1140-L1141</f>
        <v>144.838791385128</v>
      </c>
    </row>
    <row r="1143" customFormat="false" ht="15" hidden="true" customHeight="false" outlineLevel="1" collapsed="false">
      <c r="A1143" s="9" t="s">
        <v>420</v>
      </c>
      <c r="B1143" s="58" t="n">
        <f aca="false">(IF(B$47&gt;=1,Quesería!$G$124*IF(B$47=1,Quesería!$B$20,1),Quesería!$G$124*Quesería!$B$20*Quesería!$B$21/12*$AA$23)+IF(B$47&gt;=2,(Quesería!$G$125-(1-$AA$24)*Quesería!$G$117-(-$AA$26*$AA$27)*'Beneficios y costos'!$D$167)*$AA$21*IF(B$47=2,Quesería!$B$20,1),0))*$AA$10</f>
        <v>77.4042870161869</v>
      </c>
      <c r="C1143" s="58" t="n">
        <f aca="false">(IF(C$47&gt;=1,Quesería!$G$124*IF(C$47=1,Quesería!$B$20,1),Quesería!$G$124*Quesería!$B$20*Quesería!$B$21/12*$AA$23)+IF(C$47&gt;=2,(Quesería!$G$125-(1-$AA$24)*Quesería!$G$117-(-$AA$26*$AA$27)*'Beneficios y costos'!$D$167)*$AA$21*IF(C$47=2,Quesería!$B$20,1),0))*$AA$10</f>
        <v>116.10643052428</v>
      </c>
      <c r="D1143" s="58" t="n">
        <f aca="false">(IF(D$47&gt;=1,Quesería!$G$124*IF(D$47=1,Quesería!$B$20,1),Quesería!$G$124*Quesería!$B$20*Quesería!$B$21/12*$AA$23)+IF(D$47&gt;=2,(Quesería!$G$125-(1-$AA$24)*Quesería!$G$117-(-$AA$26*$AA$27)*'Beneficios y costos'!$D$167)*$AA$21*IF(D$47=2,Quesería!$B$20,1),0))*$AA$10</f>
        <v>2023.78917421887</v>
      </c>
      <c r="E1143" s="58" t="n">
        <f aca="false">(IF(E$47&gt;=1,Quesería!$G$124*IF(E$47=1,Quesería!$B$20,1),Quesería!$G$124*Quesería!$B$20*Quesería!$B$21/12*$AA$23)+IF(E$47&gt;=2,(Quesería!$G$125-(1-$AA$24)*Quesería!$G$117-(-$AA$26*$AA$27)*'Beneficios y costos'!$D$167)*$AA$21*IF(E$47=2,Quesería!$B$20,1),0))*$AA$10</f>
        <v>2646.78270761437</v>
      </c>
      <c r="F1143" s="58" t="n">
        <f aca="false">(IF(F$47&gt;=1,Quesería!$G$124*IF(F$47=1,Quesería!$B$20,1),Quesería!$G$124*Quesería!$B$20*Quesería!$B$21/12*$AA$23)+IF(F$47&gt;=2,(Quesería!$G$125-(1-$AA$24)*Quesería!$G$117-(-$AA$26*$AA$27)*'Beneficios y costos'!$D$167)*$AA$21*IF(F$47=2,Quesería!$B$20,1),0))*$AA$10</f>
        <v>2646.78270761437</v>
      </c>
      <c r="G1143" s="58" t="n">
        <f aca="false">(IF(G$47&gt;=1,Quesería!$G$124*IF(G$47=1,Quesería!$B$20,1),Quesería!$G$124*Quesería!$B$20*Quesería!$B$21/12*$AA$23)+IF(G$47&gt;=2,(Quesería!$G$125-(1-$AA$24)*Quesería!$G$117-(-$AA$26*$AA$27)*'Beneficios y costos'!$D$167)*$AA$21*IF(G$47=2,Quesería!$B$20,1),0))*$AA$10</f>
        <v>2646.78270761437</v>
      </c>
      <c r="H1143" s="58" t="n">
        <f aca="false">(IF(H$47&gt;=1,Quesería!$G$124*IF(H$47=1,Quesería!$B$20,1),Quesería!$G$124*Quesería!$B$20*Quesería!$B$21/12*$AA$23)+IF(H$47&gt;=2,(Quesería!$G$125-(1-$AA$24)*Quesería!$G$117-(-$AA$26*$AA$27)*'Beneficios y costos'!$D$167)*$AA$21*IF(H$47=2,Quesería!$B$20,1),0))*$AA$10</f>
        <v>2646.78270761437</v>
      </c>
      <c r="I1143" s="58" t="n">
        <f aca="false">(IF(I$47&gt;=1,Quesería!$G$124*IF(I$47=1,Quesería!$B$20,1),Quesería!$G$124*Quesería!$B$20*Quesería!$B$21/12*$AA$23)+IF(I$47&gt;=2,(Quesería!$G$125-(1-$AA$24)*Quesería!$G$117-(-$AA$26*$AA$27)*'Beneficios y costos'!$D$167)*$AA$21*IF(I$47=2,Quesería!$B$20,1),0))*$AA$10</f>
        <v>2646.78270761437</v>
      </c>
      <c r="J1143" s="58" t="n">
        <f aca="false">(IF(J$47&gt;=1,Quesería!$G$124*IF(J$47=1,Quesería!$B$20,1),Quesería!$G$124*Quesería!$B$20*Quesería!$B$21/12*$AA$23)+IF(J$47&gt;=2,(Quesería!$G$125-(1-$AA$24)*Quesería!$G$117-(-$AA$26*$AA$27)*'Beneficios y costos'!$D$167)*$AA$21*IF(J$47=2,Quesería!$B$20,1),0))*$AA$10</f>
        <v>2646.78270761437</v>
      </c>
      <c r="K1143" s="58" t="n">
        <f aca="false">(IF(K$47&gt;=1,Quesería!$G$124*IF(K$47=1,Quesería!$B$20,1),Quesería!$G$124*Quesería!$B$20*Quesería!$B$21/12*$AA$23)+IF(K$47&gt;=2,(Quesería!$G$125-(1-$AA$24)*Quesería!$G$117-(-$AA$26*$AA$27)*'Beneficios y costos'!$D$167)*$AA$21*IF(K$47=2,Quesería!$B$20,1),0))*$AA$10</f>
        <v>2646.78270761437</v>
      </c>
      <c r="L1143" s="58" t="n">
        <f aca="false">(IF(L$47&gt;=1,Quesería!$G$124*IF(L$47=1,Quesería!$B$20,1),Quesería!$G$124*Quesería!$B$20*Quesería!$B$21/12*$AA$23)+IF(L$47&gt;=2,(Quesería!$G$125-(1-$AA$24)*Quesería!$G$117-(-$AA$26*$AA$27)*'Beneficios y costos'!$D$167)*$AA$21*IF(L$47=2,Quesería!$B$20,1),0))*$AA$10</f>
        <v>2646.78270761437</v>
      </c>
    </row>
    <row r="1144" customFormat="false" ht="15" hidden="true" customHeight="false" outlineLevel="1" collapsed="false">
      <c r="A1144" s="6" t="s">
        <v>421</v>
      </c>
      <c r="B1144" s="29" t="n">
        <f aca="false">(B1143*(Quesería!$B$38+Quesería!$B$40*Quesería!$B$39)/365-B1135*Quesería!$B$42/365+IF(B$47&gt;=2,($AA$25*'Beneficios y costos'!$B$147+(1-$AA$25)*'Beneficios y costos'!$B$148)*$AA$24*$AA$21*$AA$10*IF(B$47=2,Quesería!$B$20,1),0))</f>
        <v>7.23146900616979</v>
      </c>
      <c r="C1144" s="29" t="n">
        <f aca="false">(C1143*(Quesería!$B$38+Quesería!$B$40*Quesería!$B$39)/365-C1135*Quesería!$B$42/365+IF(C$47&gt;=2,($AA$25*'Beneficios y costos'!$B$147+(1-$AA$25)*'Beneficios y costos'!$B$148)*$AA$24*$AA$21*$AA$10*IF(C$47=2,Quesería!$B$20,1),0))-(B1143*(Quesería!$B$38+Quesería!$B$40*Quesería!$B$39)/365-B1135*Quesería!$B$42/365+IF(B$47&gt;=2,($AA$25*'Beneficios y costos'!$B$147+(1-$AA$25)*'Beneficios y costos'!$B$148)*$AA$24*$AA$21*$AA$10*IF(B$47=2,Quesería!$B$20,1),0))*B1126/C1126</f>
        <v>1.42287846600884</v>
      </c>
      <c r="D1144" s="29" t="n">
        <f aca="false">(D1143*(Quesería!$B$38+Quesería!$B$40*Quesería!$B$39)/365-D1135*Quesería!$B$42/365+IF(D$47&gt;=2,($AA$25*'Beneficios y costos'!$B$147+(1-$AA$25)*'Beneficios y costos'!$B$148)*$AA$24*$AA$21*$AA$10*IF(D$47=2,Quesería!$B$20,1),0))-(C1143*(Quesería!$B$38+Quesería!$B$40*Quesería!$B$39)/365-C1135*Quesería!$B$42/365+IF(C$47&gt;=2,($AA$25*'Beneficios y costos'!$B$147+(1-$AA$25)*'Beneficios y costos'!$B$148)*$AA$24*$AA$21*$AA$10*IF(C$47=2,Quesería!$B$20,1),0))*C1126/D1126</f>
        <v>265.214437291523</v>
      </c>
      <c r="E1144" s="29" t="n">
        <f aca="false">(E1143*(Quesería!$B$38+Quesería!$B$40*Quesería!$B$39)/365-E1135*Quesería!$B$42/365+IF(E$47&gt;=2,($AA$25*'Beneficios y costos'!$B$147+(1-$AA$25)*'Beneficios y costos'!$B$148)*$AA$24*$AA$21*$AA$10*IF(E$47=2,Quesería!$B$20,1),0))-(D1143*(Quesería!$B$38+Quesería!$B$40*Quesería!$B$39)/365-D1135*Quesería!$B$42/365+IF(D$47&gt;=2,($AA$25*'Beneficios y costos'!$B$147+(1-$AA$25)*'Beneficios y costos'!$B$148)*$AA$24*$AA$21*$AA$10*IF(D$47=2,Quesería!$B$20,1),0))*D1126/E1126</f>
        <v>98.2778708264206</v>
      </c>
      <c r="F1144" s="29" t="n">
        <f aca="false">(F1143*(Quesería!$B$38+Quesería!$B$40*Quesería!$B$39)/365-F1135*Quesería!$B$42/365+IF(F$47&gt;=2,($AA$25*'Beneficios y costos'!$B$147+(1-$AA$25)*'Beneficios y costos'!$B$148)*$AA$24*$AA$21*$AA$10*IF(F$47=2,Quesería!$B$20,1),0))-(E1143*(Quesería!$B$38+Quesería!$B$40*Quesería!$B$39)/365-E1135*Quesería!$B$42/365+IF(E$47&gt;=2,($AA$25*'Beneficios y costos'!$B$147+(1-$AA$25)*'Beneficios y costos'!$B$148)*$AA$24*$AA$21*$AA$10*IF(E$47=2,Quesería!$B$20,1),0))*E1126/F1126</f>
        <v>13.8822325524834</v>
      </c>
      <c r="G1144" s="29" t="n">
        <f aca="false">(G1143*(Quesería!$B$38+Quesería!$B$40*Quesería!$B$39)/365-G1135*Quesería!$B$42/365+IF(G$47&gt;=2,($AA$25*'Beneficios y costos'!$B$147+(1-$AA$25)*'Beneficios y costos'!$B$148)*$AA$24*$AA$21*$AA$10*IF(G$47=2,Quesería!$B$20,1),0))-(F1143*(Quesería!$B$38+Quesería!$B$40*Quesería!$B$39)/365-F1135*Quesería!$B$42/365+IF(F$47&gt;=2,($AA$25*'Beneficios y costos'!$B$147+(1-$AA$25)*'Beneficios y costos'!$B$148)*$AA$24*$AA$21*$AA$10*IF(F$47=2,Quesería!$B$20,1),0))*F1126/G1126</f>
        <v>13.8822325524835</v>
      </c>
      <c r="H1144" s="29" t="n">
        <f aca="false">(H1143*(Quesería!$B$38+Quesería!$B$40*Quesería!$B$39)/365-H1135*Quesería!$B$42/365+IF(H$47&gt;=2,($AA$25*'Beneficios y costos'!$B$147+(1-$AA$25)*'Beneficios y costos'!$B$148)*$AA$24*$AA$21*$AA$10*IF(H$47=2,Quesería!$B$20,1),0))-(G1143*(Quesería!$B$38+Quesería!$B$40*Quesería!$B$39)/365-G1135*Quesería!$B$42/365+IF(G$47&gt;=2,($AA$25*'Beneficios y costos'!$B$147+(1-$AA$25)*'Beneficios y costos'!$B$148)*$AA$24*$AA$21*$AA$10*IF(G$47=2,Quesería!$B$20,1),0))*G1126/H1126</f>
        <v>13.8822325524834</v>
      </c>
      <c r="I1144" s="29" t="n">
        <f aca="false">(I1143*(Quesería!$B$38+Quesería!$B$40*Quesería!$B$39)/365-I1135*Quesería!$B$42/365+IF(I$47&gt;=2,($AA$25*'Beneficios y costos'!$B$147+(1-$AA$25)*'Beneficios y costos'!$B$148)*$AA$24*$AA$21*$AA$10*IF(I$47=2,Quesería!$B$20,1),0))-(H1143*(Quesería!$B$38+Quesería!$B$40*Quesería!$B$39)/365-H1135*Quesería!$B$42/365+IF(H$47&gt;=2,($AA$25*'Beneficios y costos'!$B$147+(1-$AA$25)*'Beneficios y costos'!$B$148)*$AA$24*$AA$21*$AA$10*IF(H$47=2,Quesería!$B$20,1),0))*H1126/I1126</f>
        <v>13.8822325524834</v>
      </c>
      <c r="J1144" s="29" t="n">
        <f aca="false">(J1143*(Quesería!$B$38+Quesería!$B$40*Quesería!$B$39)/365-J1135*Quesería!$B$42/365+IF(J$47&gt;=2,($AA$25*'Beneficios y costos'!$B$147+(1-$AA$25)*'Beneficios y costos'!$B$148)*$AA$24*$AA$21*$AA$10*IF(J$47=2,Quesería!$B$20,1),0))-(I1143*(Quesería!$B$38+Quesería!$B$40*Quesería!$B$39)/365-I1135*Quesería!$B$42/365+IF(I$47&gt;=2,($AA$25*'Beneficios y costos'!$B$147+(1-$AA$25)*'Beneficios y costos'!$B$148)*$AA$24*$AA$21*$AA$10*IF(I$47=2,Quesería!$B$20,1),0))*I1126/J1126</f>
        <v>13.8822325524834</v>
      </c>
      <c r="K1144" s="29" t="n">
        <f aca="false">(K1143*(Quesería!$B$38+Quesería!$B$40*Quesería!$B$39)/365-K1135*Quesería!$B$42/365+IF(K$47&gt;=2,($AA$25*'Beneficios y costos'!$B$147+(1-$AA$25)*'Beneficios y costos'!$B$148)*$AA$24*$AA$21*$AA$10*IF(K$47=2,Quesería!$B$20,1),0))-(J1143*(Quesería!$B$38+Quesería!$B$40*Quesería!$B$39)/365-J1135*Quesería!$B$42/365+IF(J$47&gt;=2,($AA$25*'Beneficios y costos'!$B$147+(1-$AA$25)*'Beneficios y costos'!$B$148)*$AA$24*$AA$21*$AA$10*IF(J$47=2,Quesería!$B$20,1),0))*J1126/K1126</f>
        <v>13.8822325524835</v>
      </c>
      <c r="L1144" s="29" t="n">
        <f aca="false">-(K1143*(Quesería!$B$38+Quesería!$B$40*Quesería!$B$39)/365-K1135*Quesería!$B$42/365+IF(K$47&gt;=2,($AA$25*'Beneficios y costos'!$B$147+(1-$AA$25)*'Beneficios y costos'!$B$148)*$AA$24*$AA$21*$AA$10*IF(K$47=2,Quesería!$B$20,1),0))*K1126/L1126</f>
        <v>-347.055813812086</v>
      </c>
    </row>
    <row r="1145" customFormat="false" ht="15" hidden="true" customHeight="false" outlineLevel="1" collapsed="false">
      <c r="A1145" s="6" t="s">
        <v>422</v>
      </c>
      <c r="B1145" s="29" t="n">
        <v>0</v>
      </c>
      <c r="C1145" s="29" t="n">
        <v>0</v>
      </c>
      <c r="D1145" s="29" t="n">
        <v>0</v>
      </c>
      <c r="E1145" s="29" t="n">
        <v>0</v>
      </c>
      <c r="F1145" s="29" t="n">
        <v>0</v>
      </c>
      <c r="G1145" s="29" t="n">
        <v>0</v>
      </c>
      <c r="H1145" s="29" t="n">
        <v>0</v>
      </c>
      <c r="I1145" s="29" t="n">
        <v>0</v>
      </c>
      <c r="J1145" s="29" t="n">
        <v>0</v>
      </c>
      <c r="K1145" s="29" t="n">
        <v>0</v>
      </c>
      <c r="L1145" s="29" t="n">
        <f aca="false">$AA$8*Quesería!$B$36*(Quesería!$F$94+(Quesería!$F$95-(-$AA$26)*Quesería!$D$86)*$AA$21)*$AA$11*(1-$AA$17)</f>
        <v>61.9237725584542</v>
      </c>
    </row>
    <row r="1146" customFormat="false" ht="15" hidden="true" customHeight="false" outlineLevel="1" collapsed="false">
      <c r="A1146" s="5" t="s">
        <v>147</v>
      </c>
      <c r="B1146" s="59" t="n">
        <f aca="false">B1134-B1135-B1136-B1137-B1142-B1129-B1130-B1131-B1144+B1145</f>
        <v>-961.151880133756</v>
      </c>
      <c r="C1146" s="59" t="n">
        <f aca="false">C1134-C1135-C1136-C1137-C1142-C1129-C1130-C1131-C1144+C1145</f>
        <v>-400.385058451238</v>
      </c>
      <c r="D1146" s="59" t="n">
        <f aca="false">D1134-D1135-D1136-D1137-D1142-D1129-D1130-D1131-D1144+D1145</f>
        <v>322.187495610175</v>
      </c>
      <c r="E1146" s="59" t="n">
        <f aca="false">E1134-E1135-E1136-E1137-E1142-E1129-E1130-E1131-E1144+E1145</f>
        <v>285.396457542539</v>
      </c>
      <c r="F1146" s="59" t="n">
        <f aca="false">F1134-F1135-F1136-F1137-F1142-F1129-F1130-F1131-F1144+F1145</f>
        <v>368.158530536048</v>
      </c>
      <c r="G1146" s="59" t="n">
        <f aca="false">G1134-G1135-G1136-G1137-G1142-G1129-G1130-G1131-G1144+G1145</f>
        <v>333.80506544306</v>
      </c>
      <c r="H1146" s="59" t="n">
        <f aca="false">H1134-H1135-H1136-H1137-H1142-H1129-H1130-H1131-H1144+H1145</f>
        <v>312.279285953965</v>
      </c>
      <c r="I1146" s="59" t="n">
        <f aca="false">I1134-I1135-I1136-I1137-I1142-I1129-I1130-I1131-I1144+I1145</f>
        <v>372.911744541637</v>
      </c>
      <c r="J1146" s="59" t="n">
        <f aca="false">J1134-J1135-J1136-J1137-J1142-J1129-J1130-J1131-J1144+J1145</f>
        <v>363.044413945199</v>
      </c>
      <c r="K1146" s="59" t="n">
        <f aca="false">K1134-K1135-K1136-K1137-K1142-K1129-K1130-K1131-K1144+K1145</f>
        <v>361.714489899201</v>
      </c>
      <c r="L1146" s="59" t="n">
        <f aca="false">L1134-L1135-L1136-L1137-L1142-L1129-L1130-L1131-L1144+L1145</f>
        <v>783.306491487866</v>
      </c>
    </row>
    <row r="1147" customFormat="false" ht="15" hidden="true" customHeight="false" outlineLevel="1" collapsed="false">
      <c r="A1147" s="9" t="s">
        <v>423</v>
      </c>
      <c r="B1147" s="58" t="n">
        <f aca="false">B1146*B1126</f>
        <v>-1018.82099294178</v>
      </c>
      <c r="C1147" s="58" t="n">
        <f aca="false">C1146*C1126</f>
        <v>-445.628570056228</v>
      </c>
      <c r="D1147" s="58" t="n">
        <f aca="false">D1146*D1126</f>
        <v>374.731443331761</v>
      </c>
      <c r="E1147" s="58" t="n">
        <f aca="false">E1146*E1126</f>
        <v>345.217952373698</v>
      </c>
      <c r="F1147" s="58" t="n">
        <f aca="false">F1146*F1126</f>
        <v>463.140757110783</v>
      </c>
      <c r="G1147" s="58" t="n">
        <f aca="false">G1146*G1126</f>
        <v>436.721321470069</v>
      </c>
      <c r="H1147" s="58" t="n">
        <f aca="false">H1146*H1126</f>
        <v>424.901231317356</v>
      </c>
      <c r="I1147" s="58" t="n">
        <f aca="false">I1146*I1126</f>
        <v>527.696498671626</v>
      </c>
      <c r="J1147" s="58" t="n">
        <f aca="false">J1146*J1126</f>
        <v>534.282868967071</v>
      </c>
      <c r="K1147" s="58" t="n">
        <f aca="false">K1146*K1126</f>
        <v>553.618681093538</v>
      </c>
      <c r="L1147" s="58" t="n">
        <f aca="false">L1146*L1126</f>
        <v>1246.83761245943</v>
      </c>
    </row>
    <row r="1148" customFormat="false" ht="15" hidden="true" customHeight="false" outlineLevel="1" collapsed="false">
      <c r="A1148" s="6" t="s">
        <v>424</v>
      </c>
      <c r="B1148" s="29" t="n">
        <f aca="false">B1146</f>
        <v>-961.151880133756</v>
      </c>
      <c r="C1148" s="29" t="n">
        <f aca="false">B1148+C1146</f>
        <v>-1361.53693858499</v>
      </c>
      <c r="D1148" s="29" t="n">
        <f aca="false">C1148+D1146</f>
        <v>-1039.34944297482</v>
      </c>
      <c r="E1148" s="29" t="n">
        <f aca="false">D1148+E1146</f>
        <v>-753.95298543228</v>
      </c>
      <c r="F1148" s="29" t="n">
        <f aca="false">E1148+F1146</f>
        <v>-385.794454896231</v>
      </c>
      <c r="G1148" s="29" t="n">
        <f aca="false">F1148+G1146</f>
        <v>-51.9893894531717</v>
      </c>
      <c r="H1148" s="29" t="n">
        <f aca="false">G1148+H1146</f>
        <v>260.289896500793</v>
      </c>
      <c r="I1148" s="29" t="n">
        <f aca="false">H1148+I1146</f>
        <v>633.20164104243</v>
      </c>
      <c r="J1148" s="29" t="n">
        <f aca="false">I1148+J1146</f>
        <v>996.246054987629</v>
      </c>
      <c r="K1148" s="29" t="n">
        <f aca="false">J1148+K1146</f>
        <v>1357.96054488683</v>
      </c>
      <c r="L1148" s="29" t="n">
        <f aca="false">K1148+L1146</f>
        <v>2141.2670363747</v>
      </c>
    </row>
    <row r="1149" customFormat="false" ht="15" hidden="true" customHeight="false" outlineLevel="1" collapsed="false">
      <c r="A1149" s="9" t="s">
        <v>425</v>
      </c>
      <c r="B1149" s="60" t="n">
        <v>0</v>
      </c>
      <c r="C1149" s="60" t="n">
        <f aca="false">IF(AND(B1148&lt;0,C1148&gt;=0),B$47+(-B1148)/C1146,0)</f>
        <v>0</v>
      </c>
      <c r="D1149" s="60" t="n">
        <f aca="false">IF(AND(C1148&lt;0,D1148&gt;=0),C$47+(-C1148)/D1146,0)</f>
        <v>0</v>
      </c>
      <c r="E1149" s="60" t="n">
        <f aca="false">IF(AND(D1148&lt;0,E1148&gt;=0),D$47+(-D1148)/E1146,0)</f>
        <v>0</v>
      </c>
      <c r="F1149" s="60" t="n">
        <f aca="false">IF(AND(E1148&lt;0,F1148&gt;=0),E$47+(-E1148)/F1146,0)</f>
        <v>0</v>
      </c>
      <c r="G1149" s="60" t="n">
        <f aca="false">IF(AND(F1148&lt;0,G1148&gt;=0),F$47+(-F1148)/G1146,0)</f>
        <v>0</v>
      </c>
      <c r="H1149" s="60" t="n">
        <f aca="false">IF(AND(G1148&lt;0,H1148&gt;=0),G$47+(-G1148)/H1146,0)</f>
        <v>5.16648363113279</v>
      </c>
      <c r="I1149" s="60" t="n">
        <f aca="false">IF(AND(H1148&lt;0,I1148&gt;=0),H$47+(-H1148)/I1146,0)</f>
        <v>0</v>
      </c>
      <c r="J1149" s="60" t="n">
        <f aca="false">IF(AND(I1148&lt;0,J1148&gt;=0),I$47+(-I1148)/J1146,0)</f>
        <v>0</v>
      </c>
      <c r="K1149" s="60" t="n">
        <f aca="false">IF(AND(J1148&lt;0,K1148&gt;=0),J$47+(-J1148)/K1146,0)</f>
        <v>0</v>
      </c>
      <c r="L1149" s="60" t="n">
        <f aca="false">IF(AND(K1148&lt;0,L1148&gt;=0),K$47+(-K1148)/L1146,0)</f>
        <v>0</v>
      </c>
    </row>
    <row r="1150" customFormat="false" ht="15" hidden="true" customHeight="false" outlineLevel="1" collapsed="false">
      <c r="A1150" s="9" t="s">
        <v>426</v>
      </c>
      <c r="B1150" s="57" t="n">
        <f aca="false">(B1126/$B$1126)/(1+$AA$29)^B$47</f>
        <v>1</v>
      </c>
      <c r="C1150" s="57" t="n">
        <f aca="false">(C1126/$B$1126)/(1+$AA$29)^C$47</f>
        <v>0.915373701313561</v>
      </c>
      <c r="D1150" s="57" t="n">
        <f aca="false">(D1126/$B$1126)/(1+$AA$29)^D$47</f>
        <v>0.833918970137172</v>
      </c>
      <c r="E1150" s="57" t="n">
        <f aca="false">(E1126/$B$1126)/(1+$AA$29)^E$47</f>
        <v>0.756077518153961</v>
      </c>
      <c r="F1150" s="57" t="n">
        <f aca="false">(F1126/$B$1126)/(1+$AA$29)^F$47</f>
        <v>0.685502109831871</v>
      </c>
      <c r="G1150" s="57" t="n">
        <f aca="false">(G1126/$B$1126)/(1+$AA$29)^G$47</f>
        <v>0.621514502549008</v>
      </c>
      <c r="H1150" s="57" t="n">
        <f aca="false">(H1126/$B$1126)/(1+$AA$29)^H$47</f>
        <v>0.563499763660072</v>
      </c>
      <c r="I1150" s="57" t="n">
        <f aca="false">(I1126/$B$1126)/(1+$AA$29)^I$47</f>
        <v>0.510900360880829</v>
      </c>
      <c r="J1150" s="57" t="n">
        <f aca="false">(J1126/$B$1126)/(1+$AA$29)^J$47</f>
        <v>0.463210804300567</v>
      </c>
      <c r="K1150" s="57" t="n">
        <f aca="false">(K1126/$B$1126)/(1+$AA$29)^K$47</f>
        <v>0.419972788531318</v>
      </c>
      <c r="L1150" s="57" t="n">
        <f aca="false">(L1126/$B$1126)/(1+$AA$29)^L$47</f>
        <v>0.380770788308996</v>
      </c>
    </row>
    <row r="1151" customFormat="false" ht="15" hidden="true" customHeight="false" outlineLevel="1" collapsed="false">
      <c r="A1151" s="9" t="s">
        <v>427</v>
      </c>
      <c r="B1151" s="58" t="n">
        <f aca="false">B1146*B1150</f>
        <v>-961.151880133756</v>
      </c>
      <c r="C1151" s="58" t="n">
        <f aca="false">C1146*C1150</f>
        <v>-366.501952905157</v>
      </c>
      <c r="D1151" s="58" t="n">
        <f aca="false">D1146*D1150</f>
        <v>268.678264530312</v>
      </c>
      <c r="E1151" s="58" t="n">
        <f aca="false">E1146*E1150</f>
        <v>215.781845308695</v>
      </c>
      <c r="F1151" s="58" t="n">
        <f aca="false">F1146*F1150</f>
        <v>252.373449435063</v>
      </c>
      <c r="G1151" s="58" t="n">
        <f aca="false">G1146*G1150</f>
        <v>207.464689197182</v>
      </c>
      <c r="H1151" s="58" t="n">
        <f aca="false">H1146*H1150</f>
        <v>175.969303830995</v>
      </c>
      <c r="I1151" s="58" t="n">
        <f aca="false">I1146*I1150</f>
        <v>190.520744863022</v>
      </c>
      <c r="J1151" s="58" t="n">
        <f aca="false">J1146*J1150</f>
        <v>168.166094980384</v>
      </c>
      <c r="K1151" s="58" t="n">
        <f aca="false">K1146*K1150</f>
        <v>151.91024297515</v>
      </c>
      <c r="L1151" s="58" t="n">
        <f aca="false">L1146*L1150</f>
        <v>298.260230251388</v>
      </c>
    </row>
    <row r="1152" customFormat="false" ht="15" hidden="true" customHeight="false" outlineLevel="1" collapsed="false">
      <c r="A1152" s="9" t="s">
        <v>428</v>
      </c>
      <c r="B1152" s="58" t="n">
        <f aca="false">B1151</f>
        <v>-961.151880133756</v>
      </c>
      <c r="C1152" s="58" t="n">
        <f aca="false">B1152+C1151</f>
        <v>-1327.65383303891</v>
      </c>
      <c r="D1152" s="58" t="n">
        <f aca="false">C1152+D1151</f>
        <v>-1058.9755685086</v>
      </c>
      <c r="E1152" s="58" t="n">
        <f aca="false">D1152+E1151</f>
        <v>-843.193723199905</v>
      </c>
      <c r="F1152" s="58" t="n">
        <f aca="false">E1152+F1151</f>
        <v>-590.820273764843</v>
      </c>
      <c r="G1152" s="58" t="n">
        <f aca="false">F1152+G1151</f>
        <v>-383.35558456766</v>
      </c>
      <c r="H1152" s="58" t="n">
        <f aca="false">G1152+H1151</f>
        <v>-207.386280736665</v>
      </c>
      <c r="I1152" s="58" t="n">
        <f aca="false">H1152+I1151</f>
        <v>-16.8655358736434</v>
      </c>
      <c r="J1152" s="58" t="n">
        <f aca="false">I1152+J1151</f>
        <v>151.30055910674</v>
      </c>
      <c r="K1152" s="58" t="n">
        <f aca="false">J1152+K1151</f>
        <v>303.210802081891</v>
      </c>
      <c r="L1152" s="58" t="n">
        <f aca="false">K1152+L1151</f>
        <v>601.471032333279</v>
      </c>
    </row>
    <row r="1153" customFormat="false" ht="15" hidden="true" customHeight="false" outlineLevel="1" collapsed="false">
      <c r="A1153" s="9" t="s">
        <v>429</v>
      </c>
      <c r="B1153" s="60" t="n">
        <v>0</v>
      </c>
      <c r="C1153" s="60" t="n">
        <f aca="false">IF(AND(B1152&lt;0,C1152&gt;=0),B$47+(-B1152)/C1151,0)</f>
        <v>0</v>
      </c>
      <c r="D1153" s="60" t="n">
        <f aca="false">IF(AND(C1152&lt;0,D1152&gt;=0),C$47+(-C1152)/D1151,0)</f>
        <v>0</v>
      </c>
      <c r="E1153" s="60" t="n">
        <f aca="false">IF(AND(D1152&lt;0,E1152&gt;=0),D$47+(-D1152)/E1151,0)</f>
        <v>0</v>
      </c>
      <c r="F1153" s="60" t="n">
        <f aca="false">IF(AND(E1152&lt;0,F1152&gt;=0),E$47+(-E1152)/F1151,0)</f>
        <v>0</v>
      </c>
      <c r="G1153" s="60" t="n">
        <f aca="false">IF(AND(F1152&lt;0,G1152&gt;=0),F$47+(-F1152)/G1151,0)</f>
        <v>0</v>
      </c>
      <c r="H1153" s="60" t="n">
        <f aca="false">IF(AND(G1152&lt;0,H1152&gt;=0),G$47+(-G1152)/H1151,0)</f>
        <v>0</v>
      </c>
      <c r="I1153" s="60" t="n">
        <f aca="false">IF(AND(H1152&lt;0,I1152&gt;=0),H$47+(-H1152)/I1151,0)</f>
        <v>0</v>
      </c>
      <c r="J1153" s="60" t="n">
        <f aca="false">IF(AND(I1152&lt;0,J1152&gt;=0),I$47+(-I1152)/J1151,0)</f>
        <v>7.10029094078453</v>
      </c>
      <c r="K1153" s="60" t="n">
        <f aca="false">IF(AND(J1152&lt;0,K1152&gt;=0),J$47+(-J1152)/K1151,0)</f>
        <v>0</v>
      </c>
      <c r="L1153" s="60" t="n">
        <f aca="false">IF(AND(K1152&lt;0,L1152&gt;=0),K$47+(-K1152)/L1151,0)</f>
        <v>0</v>
      </c>
    </row>
    <row r="1154" customFormat="false" ht="15" hidden="true" customHeight="false" outlineLevel="1" collapsed="false">
      <c r="A1154" s="9" t="s">
        <v>430</v>
      </c>
      <c r="B1154" s="58" t="n">
        <f aca="false">IF(B$47&lt;0,0,(Quesería!$B$44*$B$1129*$B$1126)*(1-MAX(0,MIN(B$47-0-Quesería!$B$47,(Quesería!$B$46-Quesería!$B$47)))/(Quesería!$B$46-Quesería!$B$47))*IF(B$47&gt;=2,1-Quesería!$B$48,1))+IF(B$47&lt;1,0,(Quesería!$B$44*$C$1129*$C$1126)*(1-MAX(0,MIN(B$47-1-Quesería!$B$47,(Quesería!$B$46-Quesería!$B$47)))/(Quesería!$B$46-Quesería!$B$47))*IF(B$47&gt;=2,1-Quesería!$B$48,1))</f>
        <v>641.321364968425</v>
      </c>
      <c r="C1154" s="58" t="n">
        <f aca="false">IF(C$47&lt;0,0,(Quesería!$B$44*$B$1129*$B$1126)*(1-MAX(0,MIN(C$47-0-Quesería!$B$47,(Quesería!$B$46-Quesería!$B$47)))/(Quesería!$B$46-Quesería!$B$47))*IF(C$47&gt;=2,1-Quesería!$B$48,1))+IF(C$47&lt;1,0,(Quesería!$B$44*$C$1129*$C$1126)*(1-MAX(0,MIN(C$47-1-Quesería!$B$47,(Quesería!$B$46-Quesería!$B$47)))/(Quesería!$B$46-Quesería!$B$47))*IF(C$47&gt;=2,1-Quesería!$B$48,1))</f>
        <v>1117.69081125409</v>
      </c>
      <c r="D1154" s="58" t="n">
        <f aca="false">IF(D$47&lt;0,0,(Quesería!$B$44*$B$1129*$B$1126)*(1-MAX(0,MIN(D$47-0-Quesería!$B$47,(Quesería!$B$46-Quesería!$B$47)))/(Quesería!$B$46-Quesería!$B$47))*IF(D$47&gt;=2,1-Quesería!$B$48,1))+IF(D$47&lt;1,0,(Quesería!$B$44*$C$1129*$C$1126)*(1-MAX(0,MIN(D$47-1-Quesería!$B$47,(Quesería!$B$46-Quesería!$B$47)))/(Quesería!$B$46-Quesería!$B$47))*IF(D$47&gt;=2,1-Quesería!$B$48,1))</f>
        <v>1010.80391709269</v>
      </c>
      <c r="E1154" s="58" t="n">
        <f aca="false">IF(E$47&lt;0,0,(Quesería!$B$44*$B$1129*$B$1126)*(1-MAX(0,MIN(E$47-0-Quesería!$B$47,(Quesería!$B$46-Quesería!$B$47)))/(Quesería!$B$46-Quesería!$B$47))*IF(E$47&gt;=2,1-Quesería!$B$48,1))+IF(E$47&lt;1,0,(Quesería!$B$44*$C$1129*$C$1126)*(1-MAX(0,MIN(E$47-1-Quesería!$B$47,(Quesería!$B$46-Quesería!$B$47)))/(Quesería!$B$46-Quesería!$B$47))*IF(E$47&gt;=2,1-Quesería!$B$48,1))</f>
        <v>824.522115217005</v>
      </c>
      <c r="F1154" s="58" t="n">
        <f aca="false">IF(F$47&lt;0,0,(Quesería!$B$44*$B$1129*$B$1126)*(1-MAX(0,MIN(F$47-0-Quesería!$B$47,(Quesería!$B$46-Quesería!$B$47)))/(Quesería!$B$46-Quesería!$B$47))*IF(F$47&gt;=2,1-Quesería!$B$48,1))+IF(F$47&lt;1,0,(Quesería!$B$44*$C$1129*$C$1126)*(1-MAX(0,MIN(F$47-1-Quesería!$B$47,(Quesería!$B$46-Quesería!$B$47)))/(Quesería!$B$46-Quesería!$B$47))*IF(F$47&gt;=2,1-Quesería!$B$48,1))</f>
        <v>638.240313341323</v>
      </c>
      <c r="G1154" s="58" t="n">
        <f aca="false">IF(G$47&lt;0,0,(Quesería!$B$44*$B$1129*$B$1126)*(1-MAX(0,MIN(G$47-0-Quesería!$B$47,(Quesería!$B$46-Quesería!$B$47)))/(Quesería!$B$46-Quesería!$B$47))*IF(G$47&gt;=2,1-Quesería!$B$48,1))+IF(G$47&lt;1,0,(Quesería!$B$44*$C$1129*$C$1126)*(1-MAX(0,MIN(G$47-1-Quesería!$B$47,(Quesería!$B$46-Quesería!$B$47)))/(Quesería!$B$46-Quesería!$B$47))*IF(G$47&gt;=2,1-Quesería!$B$48,1))</f>
        <v>451.958511465641</v>
      </c>
      <c r="H1154" s="58" t="n">
        <f aca="false">IF(H$47&lt;0,0,(Quesería!$B$44*$B$1129*$B$1126)*(1-MAX(0,MIN(H$47-0-Quesería!$B$47,(Quesería!$B$46-Quesería!$B$47)))/(Quesería!$B$46-Quesería!$B$47))*IF(H$47&gt;=2,1-Quesería!$B$48,1))+IF(H$47&lt;1,0,(Quesería!$B$44*$C$1129*$C$1126)*(1-MAX(0,MIN(H$47-1-Quesería!$B$47,(Quesería!$B$46-Quesería!$B$47)))/(Quesería!$B$46-Quesería!$B$47))*IF(H$47&gt;=2,1-Quesería!$B$48,1))</f>
        <v>265.67670958996</v>
      </c>
      <c r="I1154" s="58" t="n">
        <f aca="false">IF(I$47&lt;0,0,(Quesería!$B$44*$B$1129*$B$1126)*(1-MAX(0,MIN(I$47-0-Quesería!$B$47,(Quesería!$B$46-Quesería!$B$47)))/(Quesería!$B$46-Quesería!$B$47))*IF(I$47&gt;=2,1-Quesería!$B$48,1))+IF(I$47&lt;1,0,(Quesería!$B$44*$C$1129*$C$1126)*(1-MAX(0,MIN(I$47-1-Quesería!$B$47,(Quesería!$B$46-Quesería!$B$47)))/(Quesería!$B$46-Quesería!$B$47))*IF(I$47&gt;=2,1-Quesería!$B$48,1))</f>
        <v>79.3949077142776</v>
      </c>
      <c r="J1154" s="58" t="n">
        <f aca="false">IF(J$47&lt;0,0,(Quesería!$B$44*$B$1129*$B$1126)*(1-MAX(0,MIN(J$47-0-Quesería!$B$47,(Quesería!$B$46-Quesería!$B$47)))/(Quesería!$B$46-Quesería!$B$47))*IF(J$47&gt;=2,1-Quesería!$B$48,1))+IF(J$47&lt;1,0,(Quesería!$B$44*$C$1129*$C$1126)*(1-MAX(0,MIN(J$47-1-Quesería!$B$47,(Quesería!$B$46-Quesería!$B$47)))/(Quesería!$B$46-Quesería!$B$47))*IF(J$47&gt;=2,1-Quesería!$B$48,1))</f>
        <v>0</v>
      </c>
      <c r="K1154" s="58" t="n">
        <f aca="false">IF(K$47&lt;0,0,(Quesería!$B$44*$B$1129*$B$1126)*(1-MAX(0,MIN(K$47-0-Quesería!$B$47,(Quesería!$B$46-Quesería!$B$47)))/(Quesería!$B$46-Quesería!$B$47))*IF(K$47&gt;=2,1-Quesería!$B$48,1))+IF(K$47&lt;1,0,(Quesería!$B$44*$C$1129*$C$1126)*(1-MAX(0,MIN(K$47-1-Quesería!$B$47,(Quesería!$B$46-Quesería!$B$47)))/(Quesería!$B$46-Quesería!$B$47))*IF(K$47&gt;=2,1-Quesería!$B$48,1))</f>
        <v>0</v>
      </c>
      <c r="L1154" s="58" t="n">
        <f aca="false">IF(L$47&lt;0,0,(Quesería!$B$44*$B$1129*$B$1126)*(1-MAX(0,MIN(L$47-0-Quesería!$B$47,(Quesería!$B$46-Quesería!$B$47)))/(Quesería!$B$46-Quesería!$B$47))*IF(L$47&gt;=2,1-Quesería!$B$48,1))+IF(L$47&lt;1,0,(Quesería!$B$44*$C$1129*$C$1126)*(1-MAX(0,MIN(L$47-1-Quesería!$B$47,(Quesería!$B$46-Quesería!$B$47)))/(Quesería!$B$46-Quesería!$B$47))*IF(L$47&gt;=2,1-Quesería!$B$48,1))</f>
        <v>0</v>
      </c>
    </row>
    <row r="1155" customFormat="false" ht="15" hidden="true" customHeight="false" outlineLevel="1" collapsed="false">
      <c r="A1155" s="6" t="s">
        <v>431</v>
      </c>
      <c r="B1155" s="29" t="n">
        <f aca="false">Quesería!$B$44*B1129</f>
        <v>605.02015563059</v>
      </c>
      <c r="C1155" s="29" t="n">
        <f aca="false">Quesería!$B$44*C1129</f>
        <v>428.004893338424</v>
      </c>
      <c r="D1155" s="29" t="n">
        <f aca="false">Quesería!$B$44*D1129</f>
        <v>0</v>
      </c>
      <c r="E1155" s="29" t="n">
        <f aca="false">Quesería!$B$44*E1129</f>
        <v>0</v>
      </c>
      <c r="F1155" s="29" t="n">
        <f aca="false">Quesería!$B$44*F1129</f>
        <v>0</v>
      </c>
      <c r="G1155" s="29" t="n">
        <f aca="false">Quesería!$B$44*G1129</f>
        <v>0</v>
      </c>
      <c r="H1155" s="29" t="n">
        <f aca="false">Quesería!$B$44*H1129</f>
        <v>0</v>
      </c>
      <c r="I1155" s="29" t="n">
        <f aca="false">Quesería!$B$44*I1129</f>
        <v>0</v>
      </c>
      <c r="J1155" s="29" t="n">
        <f aca="false">Quesería!$B$44*J1129</f>
        <v>0</v>
      </c>
      <c r="K1155" s="29" t="n">
        <f aca="false">Quesería!$B$44*K1129</f>
        <v>0</v>
      </c>
      <c r="L1155" s="29" t="n">
        <f aca="false">Quesería!$B$44*L1129</f>
        <v>0</v>
      </c>
    </row>
    <row r="1156" customFormat="false" ht="15" hidden="true" customHeight="false" outlineLevel="1" collapsed="false">
      <c r="A1156" s="6" t="s">
        <v>432</v>
      </c>
      <c r="B1156" s="29" t="n">
        <f aca="false">(IF(AND(B$47&gt;0,B$47&lt;=0+Quesería!$B$46),($AA$14+$AA$28)*(Quesería!$B$44*$B$1129*$B$1126)*(1-MAX(0,MIN((B$47-1)-0-Quesería!$B$47,(Quesería!$B$46-Quesería!$B$47)))/(Quesería!$B$46-Quesería!$B$47))*IF(B$47&gt;2,1-Quesería!$B$48,1),0)+IF(AND(B$47&gt;1,B$47&lt;=1+Quesería!$B$46),($AA$14+$AA$28)*(Quesería!$B$44*$C$1129*$C$1126)*(1-MAX(0,MIN((B$47-1)-1-Quesería!$B$47,(Quesería!$B$46-Quesería!$B$47)))/(Quesería!$B$46-Quesería!$B$47))*IF(B$47&gt;2,1-Quesería!$B$48,1),0))*B1128</f>
        <v>0</v>
      </c>
      <c r="C1156" s="29" t="n">
        <f aca="false">(IF(AND(C$47&gt;0,C$47&lt;=0+Quesería!$B$46),($AA$14+$AA$28)*(Quesería!$B$44*$B$1129*$B$1126)*(1-MAX(0,MIN((C$47-1)-0-Quesería!$B$47,(Quesería!$B$46-Quesería!$B$47)))/(Quesería!$B$46-Quesería!$B$47))*IF(C$47&gt;2,1-Quesería!$B$48,1),0)+IF(AND(C$47&gt;1,C$47&lt;=1+Quesería!$B$46),($AA$14+$AA$28)*(Quesería!$B$44*$C$1129*$C$1126)*(1-MAX(0,MIN((C$47-1)-1-Quesería!$B$47,(Quesería!$B$46-Quesería!$B$47)))/(Quesería!$B$46-Quesería!$B$47))*IF(C$47&gt;2,1-Quesería!$B$48,1),0))*C1128</f>
        <v>81.2455637561078</v>
      </c>
      <c r="D1156" s="29" t="n">
        <f aca="false">(IF(AND(D$47&gt;0,D$47&lt;=0+Quesería!$B$46),($AA$14+$AA$28)*(Quesería!$B$44*$B$1129*$B$1126)*(1-MAX(0,MIN((D$47-1)-0-Quesería!$B$47,(Quesería!$B$46-Quesería!$B$47)))/(Quesería!$B$46-Quesería!$B$47))*IF(D$47&gt;2,1-Quesería!$B$48,1),0)+IF(AND(D$47&gt;1,D$47&lt;=1+Quesería!$B$46),($AA$14+$AA$28)*(Quesería!$B$44*$C$1129*$C$1126)*(1-MAX(0,MIN((D$47-1)-1-Quesería!$B$47,(Quesería!$B$46-Quesería!$B$47)))/(Quesería!$B$46-Quesería!$B$47))*IF(D$47&gt;2,1-Quesería!$B$48,1),0))*D1128</f>
        <v>135.496893508924</v>
      </c>
      <c r="E1156" s="29" t="n">
        <f aca="false">(IF(AND(E$47&gt;0,E$47&lt;=0+Quesería!$B$46),($AA$14+$AA$28)*(Quesería!$B$44*$B$1129*$B$1126)*(1-MAX(0,MIN((E$47-1)-0-Quesería!$B$47,(Quesería!$B$46-Quesería!$B$47)))/(Quesería!$B$46-Quesería!$B$47))*IF(E$47&gt;2,1-Quesería!$B$48,1),0)+IF(AND(E$47&gt;1,E$47&lt;=1+Quesería!$B$46),($AA$14+$AA$28)*(Quesería!$B$44*$C$1129*$C$1126)*(1-MAX(0,MIN((E$47-1)-1-Quesería!$B$47,(Quesería!$B$46-Quesería!$B$47)))/(Quesería!$B$46-Quesería!$B$47))*IF(E$47&gt;2,1-Quesería!$B$48,1),0))*E1128</f>
        <v>117.826027258135</v>
      </c>
      <c r="F1156" s="29" t="n">
        <f aca="false">(IF(AND(F$47&gt;0,F$47&lt;=0+Quesería!$B$46),($AA$14+$AA$28)*(Quesería!$B$44*$B$1129*$B$1126)*(1-MAX(0,MIN((F$47-1)-0-Quesería!$B$47,(Quesería!$B$46-Quesería!$B$47)))/(Quesería!$B$46-Quesería!$B$47))*IF(F$47&gt;2,1-Quesería!$B$48,1),0)+IF(AND(F$47&gt;1,F$47&lt;=1+Quesería!$B$46),($AA$14+$AA$28)*(Quesería!$B$44*$C$1129*$C$1126)*(1-MAX(0,MIN((F$47-1)-1-Quesería!$B$47,(Quesería!$B$46-Quesería!$B$47)))/(Quesería!$B$46-Quesería!$B$47))*IF(F$47&gt;2,1-Quesería!$B$48,1),0))*F1128</f>
        <v>92.4151745225957</v>
      </c>
      <c r="G1156" s="29" t="n">
        <f aca="false">(IF(AND(G$47&gt;0,G$47&lt;=0+Quesería!$B$46),($AA$14+$AA$28)*(Quesería!$B$44*$B$1129*$B$1126)*(1-MAX(0,MIN((G$47-1)-0-Quesería!$B$47,(Quesería!$B$46-Quesería!$B$47)))/(Quesería!$B$46-Quesería!$B$47))*IF(G$47&gt;2,1-Quesería!$B$48,1),0)+IF(AND(G$47&gt;1,G$47&lt;=1+Quesería!$B$46),($AA$14+$AA$28)*(Quesería!$B$44*$C$1129*$C$1126)*(1-MAX(0,MIN((G$47-1)-1-Quesería!$B$47,(Quesería!$B$46-Quesería!$B$47)))/(Quesería!$B$46-Quesería!$B$47))*IF(G$47&gt;2,1-Quesería!$B$48,1),0))*G1128</f>
        <v>68.7847039098228</v>
      </c>
      <c r="H1156" s="29" t="n">
        <f aca="false">(IF(AND(H$47&gt;0,H$47&lt;=0+Quesería!$B$46),($AA$14+$AA$28)*(Quesería!$B$44*$B$1129*$B$1126)*(1-MAX(0,MIN((H$47-1)-0-Quesería!$B$47,(Quesería!$B$46-Quesería!$B$47)))/(Quesería!$B$46-Quesería!$B$47))*IF(H$47&gt;2,1-Quesería!$B$48,1),0)+IF(AND(H$47&gt;1,H$47&lt;=1+Quesería!$B$46),($AA$14+$AA$28)*(Quesería!$B$44*$C$1129*$C$1126)*(1-MAX(0,MIN((H$47-1)-1-Quesería!$B$47,(Quesería!$B$46-Quesería!$B$47)))/(Quesería!$B$46-Quesería!$B$47))*IF(H$47&gt;2,1-Quesería!$B$48,1),0))*H1128</f>
        <v>46.8352529676735</v>
      </c>
      <c r="I1156" s="29" t="n">
        <f aca="false">(IF(AND(I$47&gt;0,I$47&lt;=0+Quesería!$B$46),($AA$14+$AA$28)*(Quesería!$B$44*$B$1129*$B$1126)*(1-MAX(0,MIN((I$47-1)-0-Quesería!$B$47,(Quesería!$B$46-Quesería!$B$47)))/(Quesería!$B$46-Quesería!$B$47))*IF(I$47&gt;2,1-Quesería!$B$48,1),0)+IF(AND(I$47&gt;1,I$47&lt;=1+Quesería!$B$46),($AA$14+$AA$28)*(Quesería!$B$44*$C$1129*$C$1126)*(1-MAX(0,MIN((I$47-1)-1-Quesería!$B$47,(Quesería!$B$46-Quesería!$B$47)))/(Quesería!$B$46-Quesería!$B$47))*IF(I$47&gt;2,1-Quesería!$B$48,1),0))*I1128</f>
        <v>26.4724688081898</v>
      </c>
      <c r="J1156" s="29" t="n">
        <f aca="false">(IF(AND(J$47&gt;0,J$47&lt;=0+Quesería!$B$46),($AA$14+$AA$28)*(Quesería!$B$44*$B$1129*$B$1126)*(1-MAX(0,MIN((J$47-1)-0-Quesería!$B$47,(Quesería!$B$46-Quesería!$B$47)))/(Quesería!$B$46-Quesería!$B$47))*IF(J$47&gt;2,1-Quesería!$B$48,1),0)+IF(AND(J$47&gt;1,J$47&lt;=1+Quesería!$B$46),($AA$14+$AA$28)*(Quesería!$B$44*$C$1129*$C$1126)*(1-MAX(0,MIN((J$47-1)-1-Quesería!$B$47,(Quesería!$B$46-Quesería!$B$47)))/(Quesería!$B$46-Quesería!$B$47))*IF(J$47&gt;2,1-Quesería!$B$48,1),0))*J1128</f>
        <v>7.60676974238282</v>
      </c>
      <c r="K1156" s="29" t="n">
        <f aca="false">(IF(AND(K$47&gt;0,K$47&lt;=0+Quesería!$B$46),($AA$14+$AA$28)*(Quesería!$B$44*$B$1129*$B$1126)*(1-MAX(0,MIN((K$47-1)-0-Quesería!$B$47,(Quesería!$B$46-Quesería!$B$47)))/(Quesería!$B$46-Quesería!$B$47))*IF(K$47&gt;2,1-Quesería!$B$48,1),0)+IF(AND(K$47&gt;1,K$47&lt;=1+Quesería!$B$46),($AA$14+$AA$28)*(Quesería!$B$44*$C$1129*$C$1126)*(1-MAX(0,MIN((K$47-1)-1-Quesería!$B$47,(Quesería!$B$46-Quesería!$B$47)))/(Quesería!$B$46-Quesería!$B$47))*IF(K$47&gt;2,1-Quesería!$B$48,1),0))*K1128</f>
        <v>0</v>
      </c>
      <c r="L1156" s="29" t="n">
        <f aca="false">(IF(AND(L$47&gt;0,L$47&lt;=0+Quesería!$B$46),($AA$14+$AA$28)*(Quesería!$B$44*$B$1129*$B$1126)*(1-MAX(0,MIN((L$47-1)-0-Quesería!$B$47,(Quesería!$B$46-Quesería!$B$47)))/(Quesería!$B$46-Quesería!$B$47))*IF(L$47&gt;2,1-Quesería!$B$48,1),0)+IF(AND(L$47&gt;1,L$47&lt;=1+Quesería!$B$46),($AA$14+$AA$28)*(Quesería!$B$44*$C$1129*$C$1126)*(1-MAX(0,MIN((L$47-1)-1-Quesería!$B$47,(Quesería!$B$46-Quesería!$B$47)))/(Quesería!$B$46-Quesería!$B$47))*IF(L$47&gt;2,1-Quesería!$B$48,1),0))*L1128</f>
        <v>0</v>
      </c>
    </row>
    <row r="1157" customFormat="false" ht="15" hidden="true" customHeight="false" outlineLevel="1" collapsed="false">
      <c r="A1157" s="6" t="s">
        <v>433</v>
      </c>
      <c r="B1157" s="29" t="n">
        <f aca="false">((IF(AND(B$47&gt;0+Quesería!$B$47,B$47&lt;=0+Quesería!$B$46),(Quesería!$B$44*$B$1129*$B$1126)/(Quesería!$B$46-Quesería!$B$47),0)*IF(B$47&gt;2,1-Quesería!$B$48,1)+IF(B$47=2,Quesería!$B$48*(Quesería!$B$44*$B$1129*$B$1126)*(1-MAX(0,MIN(2-0-Quesería!$B$47,(Quesería!$B$46-Quesería!$B$47)))/(Quesería!$B$46-Quesería!$B$47)),0))+(IF(AND(B$47&gt;1+Quesería!$B$47,B$47&lt;=1+Quesería!$B$46),(Quesería!$B$44*$C$1129*$C$1126)/(Quesería!$B$46-Quesería!$B$47),0)*IF(B$47&gt;2,1-Quesería!$B$48,1)+IF(B$47=2,Quesería!$B$48*(Quesería!$B$44*$C$1129*$C$1126)*(1-MAX(0,MIN(2-1-Quesería!$B$47,(Quesería!$B$46-Quesería!$B$47)))/(Quesería!$B$46-Quesería!$B$47)),0)))*B1128</f>
        <v>0</v>
      </c>
      <c r="C1157" s="29" t="n">
        <f aca="false">((IF(AND(C$47&gt;0+Quesería!$B$47,C$47&lt;=0+Quesería!$B$46),(Quesería!$B$44*$B$1129*$B$1126)/(Quesería!$B$46-Quesería!$B$47),0)*IF(C$47&gt;2,1-Quesería!$B$48,1)+IF(C$47=2,Quesería!$B$48*(Quesería!$B$44*$B$1129*$B$1126)*(1-MAX(0,MIN(2-0-Quesería!$B$47,(Quesería!$B$46-Quesería!$B$47)))/(Quesería!$B$46-Quesería!$B$47)),0))+(IF(AND(C$47&gt;1+Quesería!$B$47,C$47&lt;=1+Quesería!$B$46),(Quesería!$B$44*$C$1129*$C$1126)/(Quesería!$B$46-Quesería!$B$47),0)*IF(C$47&gt;2,1-Quesería!$B$48,1)+IF(C$47=2,Quesería!$B$48*(Quesería!$B$44*$C$1129*$C$1126)*(1-MAX(0,MIN(2-1-Quesería!$B$47,(Quesería!$B$46-Quesería!$B$47)))/(Quesería!$B$46-Quesería!$B$47)),0)))*C1128</f>
        <v>0</v>
      </c>
      <c r="D1157" s="29" t="n">
        <f aca="false">((IF(AND(D$47&gt;0+Quesería!$B$47,D$47&lt;=0+Quesería!$B$46),(Quesería!$B$44*$B$1129*$B$1126)/(Quesería!$B$46-Quesería!$B$47),0)*IF(D$47&gt;2,1-Quesería!$B$48,1)+IF(D$47=2,Quesería!$B$48*(Quesería!$B$44*$B$1129*$B$1126)*(1-MAX(0,MIN(2-0-Quesería!$B$47,(Quesería!$B$46-Quesería!$B$47)))/(Quesería!$B$46-Quesería!$B$47)),0))+(IF(AND(D$47&gt;1+Quesería!$B$47,D$47&lt;=1+Quesería!$B$46),(Quesería!$B$44*$C$1129*$C$1126)/(Quesería!$B$46-Quesería!$B$47),0)*IF(D$47&gt;2,1-Quesería!$B$48,1)+IF(D$47=2,Quesería!$B$48*(Quesería!$B$44*$C$1129*$C$1126)*(1-MAX(0,MIN(2-1-Quesería!$B$47,(Quesería!$B$46-Quesería!$B$47)))/(Quesería!$B$46-Quesería!$B$47)),0)))*D1128</f>
        <v>91.8994692231472</v>
      </c>
      <c r="E1157" s="29" t="n">
        <f aca="false">((IF(AND(E$47&gt;0+Quesería!$B$47,E$47&lt;=0+Quesería!$B$46),(Quesería!$B$44*$B$1129*$B$1126)/(Quesería!$B$46-Quesería!$B$47),0)*IF(E$47&gt;2,1-Quesería!$B$48,1)+IF(E$47=2,Quesería!$B$48*(Quesería!$B$44*$B$1129*$B$1126)*(1-MAX(0,MIN(2-0-Quesería!$B$47,(Quesería!$B$46-Quesería!$B$47)))/(Quesería!$B$46-Quesería!$B$47)),0))+(IF(AND(E$47&gt;1+Quesería!$B$47,E$47&lt;=1+Quesería!$B$46),(Quesería!$B$44*$C$1129*$C$1126)/(Quesería!$B$46-Quesería!$B$47),0)*IF(E$47&gt;2,1-Quesería!$B$48,1)+IF(E$47=2,Quesería!$B$48*(Quesería!$B$44*$C$1129*$C$1126)*(1-MAX(0,MIN(2-1-Quesería!$B$47,(Quesería!$B$46-Quesería!$B$47)))/(Quesería!$B$46-Quesería!$B$47)),0)))*E1128</f>
        <v>154.001742940676</v>
      </c>
      <c r="F1157" s="29" t="n">
        <f aca="false">((IF(AND(F$47&gt;0+Quesería!$B$47,F$47&lt;=0+Quesería!$B$46),(Quesería!$B$44*$B$1129*$B$1126)/(Quesería!$B$46-Quesería!$B$47),0)*IF(F$47&gt;2,1-Quesería!$B$48,1)+IF(F$47=2,Quesería!$B$48*(Quesería!$B$44*$B$1129*$B$1126)*(1-MAX(0,MIN(2-0-Quesería!$B$47,(Quesería!$B$46-Quesería!$B$47)))/(Quesería!$B$46-Quesería!$B$47)),0))+(IF(AND(F$47&gt;1+Quesería!$B$47,F$47&lt;=1+Quesería!$B$46),(Quesería!$B$44*$C$1129*$C$1126)/(Quesería!$B$46-Quesería!$B$47),0)*IF(F$47&gt;2,1-Quesería!$B$48,1)+IF(F$47=2,Quesería!$B$48*(Quesería!$B$44*$C$1129*$C$1126)*(1-MAX(0,MIN(2-1-Quesería!$B$47,(Quesería!$B$46-Quesería!$B$47)))/(Quesería!$B$46-Quesería!$B$47)),0)))*F1128</f>
        <v>148.078598981419</v>
      </c>
      <c r="G1157" s="29" t="n">
        <f aca="false">((IF(AND(G$47&gt;0+Quesería!$B$47,G$47&lt;=0+Quesería!$B$46),(Quesería!$B$44*$B$1129*$B$1126)/(Quesería!$B$46-Quesería!$B$47),0)*IF(G$47&gt;2,1-Quesería!$B$48,1)+IF(G$47=2,Quesería!$B$48*(Quesería!$B$44*$B$1129*$B$1126)*(1-MAX(0,MIN(2-0-Quesería!$B$47,(Quesería!$B$46-Quesería!$B$47)))/(Quesería!$B$46-Quesería!$B$47)),0))+(IF(AND(G$47&gt;1+Quesería!$B$47,G$47&lt;=1+Quesería!$B$46),(Quesería!$B$44*$C$1129*$C$1126)/(Quesería!$B$46-Quesería!$B$47),0)*IF(G$47&gt;2,1-Quesería!$B$48,1)+IF(G$47=2,Quesería!$B$48*(Quesería!$B$44*$C$1129*$C$1126)*(1-MAX(0,MIN(2-1-Quesería!$B$47,(Quesería!$B$46-Quesería!$B$47)))/(Quesería!$B$46-Quesería!$B$47)),0)))*G1128</f>
        <v>142.383268251364</v>
      </c>
      <c r="H1157" s="29" t="n">
        <f aca="false">((IF(AND(H$47&gt;0+Quesería!$B$47,H$47&lt;=0+Quesería!$B$46),(Quesería!$B$44*$B$1129*$B$1126)/(Quesería!$B$46-Quesería!$B$47),0)*IF(H$47&gt;2,1-Quesería!$B$48,1)+IF(H$47=2,Quesería!$B$48*(Quesería!$B$44*$B$1129*$B$1126)*(1-MAX(0,MIN(2-0-Quesería!$B$47,(Quesería!$B$46-Quesería!$B$47)))/(Quesería!$B$46-Quesería!$B$47)),0))+(IF(AND(H$47&gt;1+Quesería!$B$47,H$47&lt;=1+Quesería!$B$46),(Quesería!$B$44*$C$1129*$C$1126)/(Quesería!$B$46-Quesería!$B$47),0)*IF(H$47&gt;2,1-Quesería!$B$48,1)+IF(H$47=2,Quesería!$B$48*(Quesería!$B$44*$C$1129*$C$1126)*(1-MAX(0,MIN(2-1-Quesería!$B$47,(Quesería!$B$46-Quesería!$B$47)))/(Quesería!$B$46-Quesería!$B$47)),0)))*H1128</f>
        <v>136.906988703235</v>
      </c>
      <c r="I1157" s="29" t="n">
        <f aca="false">((IF(AND(I$47&gt;0+Quesería!$B$47,I$47&lt;=0+Quesería!$B$46),(Quesería!$B$44*$B$1129*$B$1126)/(Quesería!$B$46-Quesería!$B$47),0)*IF(I$47&gt;2,1-Quesería!$B$48,1)+IF(I$47=2,Quesería!$B$48*(Quesería!$B$44*$B$1129*$B$1126)*(1-MAX(0,MIN(2-0-Quesería!$B$47,(Quesería!$B$46-Quesería!$B$47)))/(Quesería!$B$46-Quesería!$B$47)),0))+(IF(AND(I$47&gt;1+Quesería!$B$47,I$47&lt;=1+Quesería!$B$46),(Quesería!$B$44*$C$1129*$C$1126)/(Quesería!$B$46-Quesería!$B$47),0)*IF(I$47&gt;2,1-Quesería!$B$48,1)+IF(I$47=2,Quesería!$B$48*(Quesería!$B$44*$C$1129*$C$1126)*(1-MAX(0,MIN(2-1-Quesería!$B$47,(Quesería!$B$46-Quesería!$B$47)))/(Quesería!$B$46-Quesería!$B$47)),0)))*I1128</f>
        <v>131.641335291572</v>
      </c>
      <c r="J1157" s="29" t="n">
        <f aca="false">((IF(AND(J$47&gt;0+Quesería!$B$47,J$47&lt;=0+Quesería!$B$46),(Quesería!$B$44*$B$1129*$B$1126)/(Quesería!$B$46-Quesería!$B$47),0)*IF(J$47&gt;2,1-Quesería!$B$48,1)+IF(J$47=2,Quesería!$B$48*(Quesería!$B$44*$B$1129*$B$1126)*(1-MAX(0,MIN(2-0-Quesería!$B$47,(Quesería!$B$46-Quesería!$B$47)))/(Quesería!$B$46-Quesería!$B$47)),0))+(IF(AND(J$47&gt;1+Quesería!$B$47,J$47&lt;=1+Quesería!$B$46),(Quesería!$B$44*$C$1129*$C$1126)/(Quesería!$B$46-Quesería!$B$47),0)*IF(J$47&gt;2,1-Quesería!$B$48,1)+IF(J$47=2,Quesería!$B$48*(Quesería!$B$44*$C$1129*$C$1126)*(1-MAX(0,MIN(2-1-Quesería!$B$47,(Quesería!$B$46-Quesería!$B$47)))/(Quesería!$B$46-Quesería!$B$47)),0)))*J1128</f>
        <v>53.9487215771831</v>
      </c>
      <c r="K1157" s="29" t="n">
        <f aca="false">((IF(AND(K$47&gt;0+Quesería!$B$47,K$47&lt;=0+Quesería!$B$46),(Quesería!$B$44*$B$1129*$B$1126)/(Quesería!$B$46-Quesería!$B$47),0)*IF(K$47&gt;2,1-Quesería!$B$48,1)+IF(K$47=2,Quesería!$B$48*(Quesería!$B$44*$B$1129*$B$1126)*(1-MAX(0,MIN(2-0-Quesería!$B$47,(Quesería!$B$46-Quesería!$B$47)))/(Quesería!$B$46-Quesería!$B$47)),0))+(IF(AND(K$47&gt;1+Quesería!$B$47,K$47&lt;=1+Quesería!$B$46),(Quesería!$B$44*$C$1129*$C$1126)/(Quesería!$B$46-Quesería!$B$47),0)*IF(K$47&gt;2,1-Quesería!$B$48,1)+IF(K$47=2,Quesería!$B$48*(Quesería!$B$44*$C$1129*$C$1126)*(1-MAX(0,MIN(2-1-Quesería!$B$47,(Quesería!$B$46-Quesería!$B$47)))/(Quesería!$B$46-Quesería!$B$47)),0)))*K1128</f>
        <v>0</v>
      </c>
      <c r="L1157" s="29" t="n">
        <f aca="false">((IF(AND(L$47&gt;0+Quesería!$B$47,L$47&lt;=0+Quesería!$B$46),(Quesería!$B$44*$B$1129*$B$1126)/(Quesería!$B$46-Quesería!$B$47),0)*IF(L$47&gt;2,1-Quesería!$B$48,1)+IF(L$47=2,Quesería!$B$48*(Quesería!$B$44*$B$1129*$B$1126)*(1-MAX(0,MIN(2-0-Quesería!$B$47,(Quesería!$B$46-Quesería!$B$47)))/(Quesería!$B$46-Quesería!$B$47)),0))+(IF(AND(L$47&gt;1+Quesería!$B$47,L$47&lt;=1+Quesería!$B$46),(Quesería!$B$44*$C$1129*$C$1126)/(Quesería!$B$46-Quesería!$B$47),0)*IF(L$47&gt;2,1-Quesería!$B$48,1)+IF(L$47=2,Quesería!$B$48*(Quesería!$B$44*$C$1129*$C$1126)*(1-MAX(0,MIN(2-1-Quesería!$B$47,(Quesería!$B$46-Quesería!$B$47)))/(Quesería!$B$46-Quesería!$B$47)),0)))*L1128</f>
        <v>0</v>
      </c>
    </row>
    <row r="1158" customFormat="false" ht="15" hidden="true" customHeight="false" outlineLevel="1" collapsed="false">
      <c r="A1158" s="6" t="s">
        <v>434</v>
      </c>
      <c r="B1158" s="29" t="n">
        <f aca="false">$AA$13*Quesería!$B$51*(1+0.19)*B1154*B1128+(1-$AA$13)*IF(B$47=0,Quesería!$B$50,0)</f>
        <v>4</v>
      </c>
      <c r="C1158" s="29" t="n">
        <f aca="false">$AA$13*Quesería!$B$51*(1+0.19)*C1154*C1128+(1-$AA$13)*IF(C$47=0,Quesería!$B$50,0)</f>
        <v>0</v>
      </c>
      <c r="D1158" s="29" t="n">
        <f aca="false">$AA$13*Quesería!$B$51*(1+0.19)*D1154*D1128+(1-$AA$13)*IF(D$47=0,Quesería!$B$50,0)</f>
        <v>0</v>
      </c>
      <c r="E1158" s="29" t="n">
        <f aca="false">$AA$13*Quesería!$B$51*(1+0.19)*E1154*E1128+(1-$AA$13)*IF(E$47=0,Quesería!$B$50,0)</f>
        <v>0</v>
      </c>
      <c r="F1158" s="29" t="n">
        <f aca="false">$AA$13*Quesería!$B$51*(1+0.19)*F1154*F1128+(1-$AA$13)*IF(F$47=0,Quesería!$B$50,0)</f>
        <v>0</v>
      </c>
      <c r="G1158" s="29" t="n">
        <f aca="false">$AA$13*Quesería!$B$51*(1+0.19)*G1154*G1128+(1-$AA$13)*IF(G$47=0,Quesería!$B$50,0)</f>
        <v>0</v>
      </c>
      <c r="H1158" s="29" t="n">
        <f aca="false">$AA$13*Quesería!$B$51*(1+0.19)*H1154*H1128+(1-$AA$13)*IF(H$47=0,Quesería!$B$50,0)</f>
        <v>0</v>
      </c>
      <c r="I1158" s="29" t="n">
        <f aca="false">$AA$13*Quesería!$B$51*(1+0.19)*I1154*I1128+(1-$AA$13)*IF(I$47=0,Quesería!$B$50,0)</f>
        <v>0</v>
      </c>
      <c r="J1158" s="29" t="n">
        <f aca="false">$AA$13*Quesería!$B$51*(1+0.19)*J1154*J1128+(1-$AA$13)*IF(J$47=0,Quesería!$B$50,0)</f>
        <v>0</v>
      </c>
      <c r="K1158" s="29" t="n">
        <f aca="false">$AA$13*Quesería!$B$51*(1+0.19)*K1154*K1128+(1-$AA$13)*IF(K$47=0,Quesería!$B$50,0)</f>
        <v>0</v>
      </c>
      <c r="L1158" s="29" t="n">
        <f aca="false">$AA$13*Quesería!$B$51*(1+0.19)*L1154*L1128+(1-$AA$13)*IF(L$47=0,Quesería!$B$50,0)</f>
        <v>0</v>
      </c>
    </row>
    <row r="1159" customFormat="false" ht="15" hidden="true" customHeight="false" outlineLevel="1" collapsed="false">
      <c r="A1159" s="6" t="s">
        <v>435</v>
      </c>
      <c r="B1159" s="29" t="n">
        <f aca="false">Quesería!$B$52*(B1156+B1157+B1158)</f>
        <v>0.016</v>
      </c>
      <c r="C1159" s="29" t="n">
        <f aca="false">Quesería!$B$52*(C1156+C1157+C1158)</f>
        <v>0.324982255024431</v>
      </c>
      <c r="D1159" s="29" t="n">
        <f aca="false">Quesería!$B$52*(D1156+D1157+D1158)</f>
        <v>0.909585450928285</v>
      </c>
      <c r="E1159" s="29" t="n">
        <f aca="false">Quesería!$B$52*(E1156+E1157+E1158)</f>
        <v>1.08731108079524</v>
      </c>
      <c r="F1159" s="29" t="n">
        <f aca="false">Quesería!$B$52*(F1156+F1157+F1158)</f>
        <v>0.961975094016058</v>
      </c>
      <c r="G1159" s="29" t="n">
        <f aca="false">Quesería!$B$52*(G1156+G1157+G1158)</f>
        <v>0.844671888644748</v>
      </c>
      <c r="H1159" s="29" t="n">
        <f aca="false">Quesería!$B$52*(H1156+H1157+H1158)</f>
        <v>0.734968966683633</v>
      </c>
      <c r="I1159" s="29" t="n">
        <f aca="false">Quesería!$B$52*(I1156+I1157+I1158)</f>
        <v>0.632455216399047</v>
      </c>
      <c r="J1159" s="29" t="n">
        <f aca="false">Quesería!$B$52*(J1156+J1157+J1158)</f>
        <v>0.246221965278264</v>
      </c>
      <c r="K1159" s="29" t="n">
        <f aca="false">Quesería!$B$52*(K1156+K1157+K1158)</f>
        <v>0</v>
      </c>
      <c r="L1159" s="29" t="n">
        <f aca="false">Quesería!$B$52*(L1156+L1157+L1158)</f>
        <v>0</v>
      </c>
    </row>
    <row r="1160" customFormat="false" ht="15" hidden="true" customHeight="false" outlineLevel="1" collapsed="false">
      <c r="A1160" s="6" t="s">
        <v>436</v>
      </c>
      <c r="B1160" s="29" t="n">
        <f aca="false">$AA$17*(B1156+B1158+0.5*B1159)</f>
        <v>1.4028</v>
      </c>
      <c r="C1160" s="29" t="n">
        <f aca="false">$AA$17*(C1156+C1158+0.5*C1159)</f>
        <v>28.492819209267</v>
      </c>
      <c r="D1160" s="29" t="n">
        <f aca="false">$AA$17*(D1156+D1158+0.5*D1159)</f>
        <v>47.5830901820358</v>
      </c>
      <c r="E1160" s="29" t="n">
        <f aca="false">$AA$17*(E1156+E1158+0.5*E1159)</f>
        <v>41.4293889794864</v>
      </c>
      <c r="F1160" s="29" t="n">
        <f aca="false">$AA$17*(F1156+F1158+0.5*F1159)</f>
        <v>32.5136567243613</v>
      </c>
      <c r="G1160" s="29" t="n">
        <f aca="false">$AA$17*(G1156+G1158+0.5*G1159)</f>
        <v>24.2224639489508</v>
      </c>
      <c r="H1160" s="29" t="n">
        <f aca="false">$AA$17*(H1156+H1158+0.5*H1159)</f>
        <v>16.5209581078554</v>
      </c>
      <c r="I1160" s="29" t="n">
        <f aca="false">$AA$17*(I1156+I1158+0.5*I1159)</f>
        <v>9.37604374573625</v>
      </c>
      <c r="J1160" s="29" t="n">
        <f aca="false">$AA$17*(J1156+J1158+0.5*J1159)</f>
        <v>2.70545825375768</v>
      </c>
      <c r="K1160" s="29" t="n">
        <f aca="false">$AA$17*(K1156+K1158+0.5*K1159)</f>
        <v>0</v>
      </c>
      <c r="L1160" s="29" t="n">
        <f aca="false">$AA$17*(L1156+L1158+0.5*L1159)</f>
        <v>0</v>
      </c>
    </row>
    <row r="1161" customFormat="false" ht="15" hidden="true" customHeight="false" outlineLevel="1" collapsed="false">
      <c r="A1161" s="5" t="s">
        <v>437</v>
      </c>
      <c r="B1161" s="59" t="n">
        <f aca="false">B1146+B1155-B1156-B1157-B1158-B1159+B1160</f>
        <v>-358.744924503166</v>
      </c>
      <c r="C1161" s="59" t="n">
        <f aca="false">C1146+C1155-C1156-C1157-C1158-C1159+C1160</f>
        <v>-25.4578919146794</v>
      </c>
      <c r="D1161" s="59" t="n">
        <f aca="false">D1146+D1155-D1156-D1157-D1158-D1159+D1160</f>
        <v>141.464637609212</v>
      </c>
      <c r="E1161" s="59" t="n">
        <f aca="false">E1146+E1155-E1156-E1157-E1158-E1159+E1160</f>
        <v>53.9107652424195</v>
      </c>
      <c r="F1161" s="59" t="n">
        <f aca="false">F1146+F1155-F1156-F1157-F1158-F1159+F1160</f>
        <v>159.216438662379</v>
      </c>
      <c r="G1161" s="59" t="n">
        <f aca="false">G1146+G1155-G1156-G1157-G1158-G1159+G1160</f>
        <v>146.014885342179</v>
      </c>
      <c r="H1161" s="59" t="n">
        <f aca="false">H1146+H1155-H1156-H1157-H1158-H1159+H1160</f>
        <v>144.323033424228</v>
      </c>
      <c r="I1161" s="59" t="n">
        <f aca="false">I1146+I1155-I1156-I1157-I1158-I1159+I1160</f>
        <v>223.541528971212</v>
      </c>
      <c r="J1161" s="59" t="n">
        <f aca="false">J1146+J1155-J1156-J1157-J1158-J1159+J1160</f>
        <v>303.948158914113</v>
      </c>
      <c r="K1161" s="59" t="n">
        <f aca="false">K1146+K1155-K1156-K1157-K1158-K1159+K1160</f>
        <v>361.714489899201</v>
      </c>
      <c r="L1161" s="59" t="n">
        <f aca="false">L1146+L1155-L1156-L1157-L1158-L1159+L1160</f>
        <v>783.306491487866</v>
      </c>
    </row>
    <row r="1162" customFormat="false" ht="15" hidden="true" customHeight="false" outlineLevel="1" collapsed="false">
      <c r="A1162" s="9" t="s">
        <v>438</v>
      </c>
      <c r="B1162" s="58" t="n">
        <f aca="false">B1161*B1126</f>
        <v>-380.269619973356</v>
      </c>
      <c r="C1162" s="58" t="n">
        <f aca="false">C1161*C1126</f>
        <v>-28.3346337010382</v>
      </c>
      <c r="D1162" s="58" t="n">
        <f aca="false">D1161*D1126</f>
        <v>164.53539803371</v>
      </c>
      <c r="E1162" s="58" t="n">
        <f aca="false">E1161*E1126</f>
        <v>65.2109144876587</v>
      </c>
      <c r="F1162" s="58" t="n">
        <f aca="false">F1161*F1126</f>
        <v>200.293123289062</v>
      </c>
      <c r="G1162" s="58" t="n">
        <f aca="false">G1161*G1126</f>
        <v>191.033091712667</v>
      </c>
      <c r="H1162" s="58" t="n">
        <f aca="false">H1161*H1126</f>
        <v>196.372405624274</v>
      </c>
      <c r="I1162" s="58" t="n">
        <f aca="false">I1161*I1126</f>
        <v>316.327077042862</v>
      </c>
      <c r="J1162" s="58" t="n">
        <f aca="false">J1161*J1126</f>
        <v>447.312472314763</v>
      </c>
      <c r="K1162" s="58" t="n">
        <f aca="false">K1161*K1126</f>
        <v>553.618681093538</v>
      </c>
      <c r="L1162" s="58" t="n">
        <f aca="false">L1161*L1126</f>
        <v>1246.83761245943</v>
      </c>
    </row>
    <row r="1163" customFormat="false" ht="15" hidden="true" customHeight="false" outlineLevel="1" collapsed="false">
      <c r="A1163" s="9" t="s">
        <v>439</v>
      </c>
      <c r="B1163" s="57" t="n">
        <f aca="false">(B1126/$B$1126)/(1+Quesería!$B$11+$AA$28)^B$47</f>
        <v>1</v>
      </c>
      <c r="C1163" s="57" t="n">
        <f aca="false">(C1126/$B$1126)/(1+Quesería!$B$11+$AA$28)^C$47</f>
        <v>0.84</v>
      </c>
      <c r="D1163" s="57" t="n">
        <f aca="false">(D1126/$B$1126)/(1+Quesería!$B$11+$AA$28)^D$47</f>
        <v>0.70224</v>
      </c>
      <c r="E1163" s="57" t="n">
        <f aca="false">(E1126/$B$1126)/(1+Quesería!$B$11+$AA$28)^E$47</f>
        <v>0.58426368</v>
      </c>
      <c r="F1163" s="57" t="n">
        <f aca="false">(F1126/$B$1126)/(1+Quesería!$B$11+$AA$28)^F$47</f>
        <v>0.48610738176</v>
      </c>
      <c r="G1163" s="57" t="n">
        <f aca="false">(G1126/$B$1126)/(1+Quesería!$B$11+$AA$28)^G$47</f>
        <v>0.40444134162432</v>
      </c>
      <c r="H1163" s="57" t="n">
        <f aca="false">(H1126/$B$1126)/(1+Quesería!$B$11+$AA$28)^H$47</f>
        <v>0.336495196231434</v>
      </c>
      <c r="I1163" s="57" t="n">
        <f aca="false">(I1126/$B$1126)/(1+Quesería!$B$11+$AA$28)^I$47</f>
        <v>0.279964003264553</v>
      </c>
      <c r="J1163" s="57" t="n">
        <f aca="false">(J1126/$B$1126)/(1+Quesería!$B$11+$AA$28)^J$47</f>
        <v>0.232930050716108</v>
      </c>
      <c r="K1163" s="57" t="n">
        <f aca="false">(K1126/$B$1126)/(1+Quesería!$B$11+$AA$28)^K$47</f>
        <v>0.193797802195802</v>
      </c>
      <c r="L1163" s="57" t="n">
        <f aca="false">(L1126/$B$1126)/(1+Quesería!$B$11+$AA$28)^L$47</f>
        <v>0.161239771426907</v>
      </c>
    </row>
    <row r="1164" customFormat="false" ht="15" hidden="true" customHeight="false" outlineLevel="1" collapsed="false">
      <c r="A1164" s="9" t="s">
        <v>440</v>
      </c>
      <c r="B1164" s="58" t="n">
        <f aca="false">B1146+B1129+B1131+B1160</f>
        <v>120.166830858099</v>
      </c>
      <c r="C1164" s="58" t="n">
        <f aca="false">C1146+C1129+C1131+C1160</f>
        <v>411.685950100682</v>
      </c>
      <c r="D1164" s="58" t="n">
        <f aca="false">D1146+D1129+D1131+D1160</f>
        <v>369.770585792211</v>
      </c>
      <c r="E1164" s="58" t="n">
        <f aca="false">E1146+E1129+E1131+E1160</f>
        <v>326.825846522025</v>
      </c>
      <c r="F1164" s="58" t="n">
        <f aca="false">F1146+F1129+F1131+F1160</f>
        <v>400.67218726041</v>
      </c>
      <c r="G1164" s="58" t="n">
        <f aca="false">G1146+G1129+G1131+G1160</f>
        <v>363.245920673096</v>
      </c>
      <c r="H1164" s="58" t="n">
        <f aca="false">H1146+H1129+H1131+H1160</f>
        <v>337.614183646902</v>
      </c>
      <c r="I1164" s="58" t="n">
        <f aca="false">I1146+I1129+I1131+I1160</f>
        <v>382.287788287373</v>
      </c>
      <c r="J1164" s="58" t="n">
        <f aca="false">J1146+J1129+J1131+J1160</f>
        <v>365.749872198957</v>
      </c>
      <c r="K1164" s="58" t="n">
        <f aca="false">K1146+K1129+K1131+K1160</f>
        <v>361.714489899201</v>
      </c>
      <c r="L1164" s="58" t="n">
        <f aca="false">L1146+L1129+L1131+L1160</f>
        <v>783.306491487866</v>
      </c>
    </row>
    <row r="1165" customFormat="false" ht="15" hidden="true" customHeight="false" outlineLevel="1" collapsed="false">
      <c r="A1165" s="5" t="s">
        <v>149</v>
      </c>
      <c r="B1165" s="12" t="str">
        <f aca="false">IF(AND(B$47&gt;=1,(B1156+B1157+B1158)&gt;0.001),B1164/(B1156+B1157+B1158),"")</f>
        <v/>
      </c>
      <c r="C1165" s="12" t="n">
        <f aca="false">IF(AND(C$47&gt;=1,(C1156+C1157+C1158)&gt;0.001),C1164/(C1156+C1157+C1158),"")</f>
        <v>5.06718066892277</v>
      </c>
      <c r="D1165" s="12" t="n">
        <f aca="false">IF(AND(D$47&gt;=1,(D1156+D1157+D1158)&gt;0.001),D1164/(D1156+D1157+D1158),"")</f>
        <v>1.62610598230145</v>
      </c>
      <c r="E1165" s="12" t="n">
        <f aca="false">IF(AND(E$47&gt;=1,(E1156+E1157+E1158)&gt;0.001),E1164/(E1156+E1157+E1158),"")</f>
        <v>1.20232692297402</v>
      </c>
      <c r="F1165" s="12" t="n">
        <f aca="false">IF(AND(F$47&gt;=1,(F1156+F1157+F1158)&gt;0.001),F1164/(F1156+F1157+F1158),"")</f>
        <v>1.66603975405509</v>
      </c>
      <c r="G1165" s="12" t="n">
        <f aca="false">IF(AND(G$47&gt;=1,(G1156+G1157+G1158)&gt;0.001),G1164/(G1156+G1157+G1158),"")</f>
        <v>1.72017525648173</v>
      </c>
      <c r="H1165" s="12" t="n">
        <f aca="false">IF(AND(H$47&gt;=1,(H1156+H1157+H1158)&gt;0.001),H1164/(H1156+H1157+H1158),"")</f>
        <v>1.83743368197056</v>
      </c>
      <c r="I1165" s="12" t="n">
        <f aca="false">IF(AND(I$47&gt;=1,(I1156+I1157+I1158)&gt;0.001),I1164/(I1156+I1157+I1158),"")</f>
        <v>2.41780147194592</v>
      </c>
      <c r="J1165" s="12" t="n">
        <f aca="false">IF(AND(J$47&gt;=1,(J1156+J1157+J1158)&gt;0.001),J1164/(J1156+J1157+J1158),"")</f>
        <v>5.94179112794605</v>
      </c>
      <c r="K1165" s="12" t="str">
        <f aca="false">IF(AND(K$47&gt;=1,(K1156+K1157+K1158)&gt;0.001),K1164/(K1156+K1157+K1158),"")</f>
        <v/>
      </c>
      <c r="L1165" s="12" t="str">
        <f aca="false">IF(AND(L$47&gt;=1,(L1156+L1157+L1158)&gt;0.001),L1164/(L1156+L1157+L1158),"")</f>
        <v/>
      </c>
    </row>
    <row r="1167" customFormat="false" ht="15" hidden="false" customHeight="false" outlineLevel="0" collapsed="false">
      <c r="A1167" s="43" t="s">
        <v>1261</v>
      </c>
      <c r="B1167" s="44"/>
      <c r="C1167" s="44"/>
      <c r="D1167" s="44"/>
      <c r="E1167" s="44"/>
      <c r="F1167" s="44"/>
      <c r="G1167" s="44"/>
      <c r="H1167" s="44"/>
      <c r="I1167" s="44"/>
      <c r="J1167" s="44"/>
      <c r="K1167" s="44"/>
      <c r="L1167" s="44"/>
    </row>
    <row r="1168" customFormat="false" ht="15" hidden="true" customHeight="false" outlineLevel="1" collapsed="false">
      <c r="A1168" s="9" t="s">
        <v>406</v>
      </c>
      <c r="B1168" s="56" t="n">
        <f aca="false">CHOOSE($AB$15,Entorno!B$7,Entorno!B$8,Entorno!B$9)</f>
        <v>0.06</v>
      </c>
      <c r="C1168" s="56" t="n">
        <f aca="false">CHOOSE($AB$15,Entorno!C$7,Entorno!C$8,Entorno!C$9)</f>
        <v>0.05</v>
      </c>
      <c r="D1168" s="56" t="n">
        <f aca="false">CHOOSE($AB$15,Entorno!D$7,Entorno!D$8,Entorno!D$9)</f>
        <v>0.045</v>
      </c>
      <c r="E1168" s="56" t="n">
        <f aca="false">CHOOSE($AB$15,Entorno!E$7,Entorno!E$8,Entorno!E$9)</f>
        <v>0.04</v>
      </c>
      <c r="F1168" s="56" t="n">
        <f aca="false">CHOOSE($AB$15,Entorno!F$7,Entorno!F$8,Entorno!F$9)</f>
        <v>0.04</v>
      </c>
      <c r="G1168" s="56" t="n">
        <f aca="false">CHOOSE($AB$15,Entorno!G$7,Entorno!G$8,Entorno!G$9)</f>
        <v>0.04</v>
      </c>
      <c r="H1168" s="56" t="n">
        <f aca="false">CHOOSE($AB$15,Entorno!H$7,Entorno!H$8,Entorno!H$9)</f>
        <v>0.04</v>
      </c>
      <c r="I1168" s="56" t="n">
        <f aca="false">CHOOSE($AB$15,Entorno!I$7,Entorno!I$8,Entorno!I$9)</f>
        <v>0.04</v>
      </c>
      <c r="J1168" s="56" t="n">
        <f aca="false">CHOOSE($AB$15,Entorno!J$7,Entorno!J$8,Entorno!J$9)</f>
        <v>0.04</v>
      </c>
      <c r="K1168" s="56" t="n">
        <f aca="false">CHOOSE($AB$15,Entorno!K$7,Entorno!K$8,Entorno!K$9)</f>
        <v>0.04</v>
      </c>
      <c r="L1168" s="56" t="n">
        <f aca="false">CHOOSE($AB$15,Entorno!L$7,Entorno!L$8,Entorno!L$9)</f>
        <v>0.04</v>
      </c>
    </row>
    <row r="1169" customFormat="false" ht="15" hidden="true" customHeight="false" outlineLevel="1" collapsed="false">
      <c r="A1169" s="9" t="s">
        <v>407</v>
      </c>
      <c r="B1169" s="57" t="n">
        <f aca="false">1+B1168</f>
        <v>1.06</v>
      </c>
      <c r="C1169" s="57" t="n">
        <f aca="false">B1169*(1+C1168)</f>
        <v>1.113</v>
      </c>
      <c r="D1169" s="57" t="n">
        <f aca="false">C1169*(1+D1168)</f>
        <v>1.163085</v>
      </c>
      <c r="E1169" s="57" t="n">
        <f aca="false">D1169*(1+E1168)</f>
        <v>1.2096084</v>
      </c>
      <c r="F1169" s="57" t="n">
        <f aca="false">E1169*(1+F1168)</f>
        <v>1.257992736</v>
      </c>
      <c r="G1169" s="57" t="n">
        <f aca="false">F1169*(1+G1168)</f>
        <v>1.30831244544</v>
      </c>
      <c r="H1169" s="57" t="n">
        <f aca="false">G1169*(1+H1168)</f>
        <v>1.3606449432576</v>
      </c>
      <c r="I1169" s="57" t="n">
        <f aca="false">H1169*(1+I1168)</f>
        <v>1.4150707409879</v>
      </c>
      <c r="J1169" s="57" t="n">
        <f aca="false">I1169*(1+J1168)</f>
        <v>1.47167357062742</v>
      </c>
      <c r="K1169" s="57" t="n">
        <f aca="false">J1169*(1+K1168)</f>
        <v>1.53054051345252</v>
      </c>
      <c r="L1169" s="57" t="n">
        <f aca="false">K1169*(1+L1168)</f>
        <v>1.59176213399062</v>
      </c>
    </row>
    <row r="1170" customFormat="false" ht="15" hidden="true" customHeight="false" outlineLevel="1" collapsed="false">
      <c r="A1170" s="9" t="s">
        <v>408</v>
      </c>
      <c r="B1170" s="57" t="n">
        <f aca="false">(1+$AB$16)/(1+B1168)</f>
        <v>1.02358490566038</v>
      </c>
      <c r="C1170" s="57" t="n">
        <f aca="false">B1170*(1+Entorno!$B$13)</f>
        <v>1.02870283018868</v>
      </c>
      <c r="D1170" s="57" t="n">
        <f aca="false">C1170*(1+Entorno!$B$13)</f>
        <v>1.03384634433962</v>
      </c>
      <c r="E1170" s="57" t="n">
        <f aca="false">D1170*(1+Entorno!$B$13)</f>
        <v>1.03901557606132</v>
      </c>
      <c r="F1170" s="57" t="n">
        <f aca="false">E1170*(1+Entorno!$B$13)</f>
        <v>1.04421065394163</v>
      </c>
      <c r="G1170" s="57" t="n">
        <f aca="false">F1170*(1+Entorno!$B$13)</f>
        <v>1.04943170721133</v>
      </c>
      <c r="H1170" s="57" t="n">
        <f aca="false">G1170*(1+Entorno!$B$13)</f>
        <v>1.05467886574739</v>
      </c>
      <c r="I1170" s="57" t="n">
        <f aca="false">H1170*(1+Entorno!$B$13)</f>
        <v>1.05995226007613</v>
      </c>
      <c r="J1170" s="57" t="n">
        <f aca="false">I1170*(1+Entorno!$B$13)</f>
        <v>1.06525202137651</v>
      </c>
      <c r="K1170" s="57" t="n">
        <f aca="false">J1170*(1+Entorno!$B$13)</f>
        <v>1.07057828148339</v>
      </c>
      <c r="L1170" s="57" t="n">
        <f aca="false">K1170*(1+Entorno!$B$13)</f>
        <v>1.07593117289081</v>
      </c>
    </row>
    <row r="1171" customFormat="false" ht="15" hidden="true" customHeight="false" outlineLevel="1" collapsed="false">
      <c r="A1171" s="9" t="s">
        <v>409</v>
      </c>
      <c r="B1171" s="57" t="n">
        <f aca="false">1/B1169</f>
        <v>0.943396226415094</v>
      </c>
      <c r="C1171" s="57" t="n">
        <f aca="false">1/C1169</f>
        <v>0.898472596585804</v>
      </c>
      <c r="D1171" s="57" t="n">
        <f aca="false">1/D1169</f>
        <v>0.859782389077324</v>
      </c>
      <c r="E1171" s="57" t="n">
        <f aca="false">1/E1169</f>
        <v>0.826713835651273</v>
      </c>
      <c r="F1171" s="57" t="n">
        <f aca="false">1/F1169</f>
        <v>0.794917149664686</v>
      </c>
      <c r="G1171" s="57" t="n">
        <f aca="false">1/G1169</f>
        <v>0.764343413139121</v>
      </c>
      <c r="H1171" s="57" t="n">
        <f aca="false">1/H1169</f>
        <v>0.734945589556847</v>
      </c>
      <c r="I1171" s="57" t="n">
        <f aca="false">1/I1169</f>
        <v>0.706678451496968</v>
      </c>
      <c r="J1171" s="57" t="n">
        <f aca="false">1/J1169</f>
        <v>0.679498511054777</v>
      </c>
      <c r="K1171" s="57" t="n">
        <f aca="false">1/K1169</f>
        <v>0.653363952937286</v>
      </c>
      <c r="L1171" s="57" t="n">
        <f aca="false">1/L1169</f>
        <v>0.628234570132006</v>
      </c>
    </row>
    <row r="1172" customFormat="false" ht="15" hidden="true" customHeight="false" outlineLevel="1" collapsed="false">
      <c r="A1172" s="6" t="s">
        <v>323</v>
      </c>
      <c r="B1172" s="29" t="n">
        <f aca="false">IF(B$47=0,Quesería!$F$92,IF(B$47=1,(Quesería!$F$93-(-$AB$26)*Quesería!$D$86*(1+Quesería!$I$86))*$AB$21,0))*$AB$11</f>
        <v>930.800239431677</v>
      </c>
      <c r="C1172" s="29" t="n">
        <f aca="false">IF(C$47=0,Quesería!$F$92,IF(C$47=1,(Quesería!$F$93-(-$AB$26)*Quesería!$D$86*(1+Quesería!$I$86))*$AB$21,0))*$AB$11</f>
        <v>758.469066674498</v>
      </c>
      <c r="D1172" s="29" t="n">
        <f aca="false">IF(D$47=0,Quesería!$F$92,IF(D$47=1,(Quesería!$F$93-(-$AB$26)*Quesería!$D$86*(1+Quesería!$I$86))*$AB$21,0))*$AB$11</f>
        <v>0</v>
      </c>
      <c r="E1172" s="29" t="n">
        <f aca="false">IF(E$47=0,Quesería!$F$92,IF(E$47=1,(Quesería!$F$93-(-$AB$26)*Quesería!$D$86*(1+Quesería!$I$86))*$AB$21,0))*$AB$11</f>
        <v>0</v>
      </c>
      <c r="F1172" s="29" t="n">
        <f aca="false">IF(F$47=0,Quesería!$F$92,IF(F$47=1,(Quesería!$F$93-(-$AB$26)*Quesería!$D$86*(1+Quesería!$I$86))*$AB$21,0))*$AB$11</f>
        <v>0</v>
      </c>
      <c r="G1172" s="29" t="n">
        <f aca="false">IF(G$47=0,Quesería!$F$92,IF(G$47=1,(Quesería!$F$93-(-$AB$26)*Quesería!$D$86*(1+Quesería!$I$86))*$AB$21,0))*$AB$11</f>
        <v>0</v>
      </c>
      <c r="H1172" s="29" t="n">
        <f aca="false">IF(H$47=0,Quesería!$F$92,IF(H$47=1,(Quesería!$F$93-(-$AB$26)*Quesería!$D$86*(1+Quesería!$I$86))*$AB$21,0))*$AB$11</f>
        <v>0</v>
      </c>
      <c r="I1172" s="29" t="n">
        <f aca="false">IF(I$47=0,Quesería!$F$92,IF(I$47=1,(Quesería!$F$93-(-$AB$26)*Quesería!$D$86*(1+Quesería!$I$86))*$AB$21,0))*$AB$11</f>
        <v>0</v>
      </c>
      <c r="J1172" s="29" t="n">
        <f aca="false">IF(J$47=0,Quesería!$F$92,IF(J$47=1,(Quesería!$F$93-(-$AB$26)*Quesería!$D$86*(1+Quesería!$I$86))*$AB$21,0))*$AB$11</f>
        <v>0</v>
      </c>
      <c r="K1172" s="29" t="n">
        <f aca="false">IF(K$47=0,Quesería!$F$92,IF(K$47=1,(Quesería!$F$93-(-$AB$26)*Quesería!$D$86*(1+Quesería!$I$86))*$AB$21,0))*$AB$11</f>
        <v>0</v>
      </c>
      <c r="L1172" s="29" t="n">
        <f aca="false">IF(L$47=0,Quesería!$F$92,IF(L$47=1,(Quesería!$F$93-(-$AB$26)*Quesería!$D$86*(1+Quesería!$I$86))*$AB$21,0))*$AB$11</f>
        <v>0</v>
      </c>
    </row>
    <row r="1173" customFormat="false" ht="15" hidden="true" customHeight="false" outlineLevel="1" collapsed="false">
      <c r="A1173" s="6" t="s">
        <v>410</v>
      </c>
      <c r="B1173" s="29" t="n">
        <f aca="false">IF(B$47=5,Quesería!$F$99,IF(B$47=6,Quesería!$F$100,0))*$AB$11</f>
        <v>0</v>
      </c>
      <c r="C1173" s="29" t="n">
        <f aca="false">IF(C$47=5,Quesería!$F$99,IF(C$47=6,Quesería!$F$100,0))*$AB$11</f>
        <v>0</v>
      </c>
      <c r="D1173" s="29" t="n">
        <f aca="false">IF(D$47=5,Quesería!$F$99,IF(D$47=6,Quesería!$F$100,0))*$AB$11</f>
        <v>0</v>
      </c>
      <c r="E1173" s="29" t="n">
        <f aca="false">IF(E$47=5,Quesería!$F$99,IF(E$47=6,Quesería!$F$100,0))*$AB$11</f>
        <v>0</v>
      </c>
      <c r="F1173" s="29" t="n">
        <f aca="false">IF(F$47=5,Quesería!$F$99,IF(F$47=6,Quesería!$F$100,0))*$AB$11</f>
        <v>0</v>
      </c>
      <c r="G1173" s="29" t="n">
        <f aca="false">IF(G$47=5,Quesería!$F$99,IF(G$47=6,Quesería!$F$100,0))*$AB$11</f>
        <v>27.4652172688735</v>
      </c>
      <c r="H1173" s="29" t="n">
        <f aca="false">IF(H$47=5,Quesería!$F$99,IF(H$47=6,Quesería!$F$100,0))*$AB$11</f>
        <v>46.3891557109552</v>
      </c>
      <c r="I1173" s="29" t="n">
        <f aca="false">IF(I$47=5,Quesería!$F$99,IF(I$47=6,Quesería!$F$100,0))*$AB$11</f>
        <v>0</v>
      </c>
      <c r="J1173" s="29" t="n">
        <f aca="false">IF(J$47=5,Quesería!$F$99,IF(J$47=6,Quesería!$F$100,0))*$AB$11</f>
        <v>0</v>
      </c>
      <c r="K1173" s="29" t="n">
        <f aca="false">IF(K$47=5,Quesería!$F$99,IF(K$47=6,Quesería!$F$100,0))*$AB$11</f>
        <v>0</v>
      </c>
      <c r="L1173" s="29" t="n">
        <f aca="false">IF(L$47=5,Quesería!$F$99,IF(L$47=6,Quesería!$F$100,0))*$AB$11</f>
        <v>0</v>
      </c>
    </row>
    <row r="1174" customFormat="false" ht="15" hidden="true" customHeight="false" outlineLevel="1" collapsed="false">
      <c r="A1174" s="6" t="s">
        <v>411</v>
      </c>
      <c r="B1174" s="29" t="n">
        <f aca="false">Quesería!$B$55*(IF(B$47=0,SUMPRODUCT((Quesería!$C$70:$C$89=0)*(Quesería!$H$70:$H$89&gt;0)*(Quesería!$J$70:$J$89&gt;0)*Quesería!$F$70:$F$89*(1+Quesería!$I$70:$I$89)),IF(B$47=1,(SUMPRODUCT((Quesería!$C$70:$C$89=1)*(Quesería!$H$70:$H$89&gt;0)*(Quesería!$J$70:$J$89&gt;0)*Quesería!$F$70:$F$89*(1+Quesería!$I$70:$I$89))-(-$AB$26)*Quesería!$D$86*(1+Quesería!$I$86))*$AB$21,0))*$AB$11+B1173)</f>
        <v>149.115671560178</v>
      </c>
      <c r="C1174" s="29" t="n">
        <f aca="false">Quesería!$B$55*(IF(C$47=0,SUMPRODUCT((Quesería!$C$70:$C$89=0)*(Quesería!$H$70:$H$89&gt;0)*(Quesería!$J$70:$J$89&gt;0)*Quesería!$F$70:$F$89*(1+Quesería!$I$70:$I$89)),IF(C$47=1,(SUMPRODUCT((Quesería!$C$70:$C$89=1)*(Quesería!$H$70:$H$89&gt;0)*(Quesería!$J$70:$J$89&gt;0)*Quesería!$F$70:$F$89*(1+Quesería!$I$70:$I$89))-(-$AB$26)*Quesería!$D$86*(1+Quesería!$I$86))*$AB$21,0))*$AB$11+C1173)</f>
        <v>144.109122668155</v>
      </c>
      <c r="D1174" s="29" t="n">
        <f aca="false">Quesería!$B$55*(IF(D$47=0,SUMPRODUCT((Quesería!$C$70:$C$89=0)*(Quesería!$H$70:$H$89&gt;0)*(Quesería!$J$70:$J$89&gt;0)*Quesería!$F$70:$F$89*(1+Quesería!$I$70:$I$89)),IF(D$47=1,(SUMPRODUCT((Quesería!$C$70:$C$89=1)*(Quesería!$H$70:$H$89&gt;0)*(Quesería!$J$70:$J$89&gt;0)*Quesería!$F$70:$F$89*(1+Quesería!$I$70:$I$89))-(-$AB$26)*Quesería!$D$86*(1+Quesería!$I$86))*$AB$21,0))*$AB$11+D1173)</f>
        <v>0</v>
      </c>
      <c r="E1174" s="29" t="n">
        <f aca="false">Quesería!$B$55*(IF(E$47=0,SUMPRODUCT((Quesería!$C$70:$C$89=0)*(Quesería!$H$70:$H$89&gt;0)*(Quesería!$J$70:$J$89&gt;0)*Quesería!$F$70:$F$89*(1+Quesería!$I$70:$I$89)),IF(E$47=1,(SUMPRODUCT((Quesería!$C$70:$C$89=1)*(Quesería!$H$70:$H$89&gt;0)*(Quesería!$J$70:$J$89&gt;0)*Quesería!$F$70:$F$89*(1+Quesería!$I$70:$I$89))-(-$AB$26)*Quesería!$D$86*(1+Quesería!$I$86))*$AB$21,0))*$AB$11+E1173)</f>
        <v>0</v>
      </c>
      <c r="F1174" s="29" t="n">
        <f aca="false">Quesería!$B$55*(IF(F$47=0,SUMPRODUCT((Quesería!$C$70:$C$89=0)*(Quesería!$H$70:$H$89&gt;0)*(Quesería!$J$70:$J$89&gt;0)*Quesería!$F$70:$F$89*(1+Quesería!$I$70:$I$89)),IF(F$47=1,(SUMPRODUCT((Quesería!$C$70:$C$89=1)*(Quesería!$H$70:$H$89&gt;0)*(Quesería!$J$70:$J$89&gt;0)*Quesería!$F$70:$F$89*(1+Quesería!$I$70:$I$89))-(-$AB$26)*Quesería!$D$86*(1+Quesería!$I$86))*$AB$21,0))*$AB$11+F1173)</f>
        <v>0</v>
      </c>
      <c r="G1174" s="29" t="n">
        <f aca="false">Quesería!$B$55*(IF(G$47=0,SUMPRODUCT((Quesería!$C$70:$C$89=0)*(Quesería!$H$70:$H$89&gt;0)*(Quesería!$J$70:$J$89&gt;0)*Quesería!$F$70:$F$89*(1+Quesería!$I$70:$I$89)),IF(G$47=1,(SUMPRODUCT((Quesería!$C$70:$C$89=1)*(Quesería!$H$70:$H$89&gt;0)*(Quesería!$J$70:$J$89&gt;0)*Quesería!$F$70:$F$89*(1+Quesería!$I$70:$I$89))-(-$AB$26)*Quesería!$D$86*(1+Quesería!$I$86))*$AB$21,0))*$AB$11+G1173)</f>
        <v>5.21839128108597</v>
      </c>
      <c r="H1174" s="29" t="n">
        <f aca="false">Quesería!$B$55*(IF(H$47=0,SUMPRODUCT((Quesería!$C$70:$C$89=0)*(Quesería!$H$70:$H$89&gt;0)*(Quesería!$J$70:$J$89&gt;0)*Quesería!$F$70:$F$89*(1+Quesería!$I$70:$I$89)),IF(H$47=1,(SUMPRODUCT((Quesería!$C$70:$C$89=1)*(Quesería!$H$70:$H$89&gt;0)*(Quesería!$J$70:$J$89&gt;0)*Quesería!$F$70:$F$89*(1+Quesería!$I$70:$I$89))-(-$AB$26)*Quesería!$D$86*(1+Quesería!$I$86))*$AB$21,0))*$AB$11+H1173)</f>
        <v>8.8139395850815</v>
      </c>
      <c r="I1174" s="29" t="n">
        <f aca="false">Quesería!$B$55*(IF(I$47=0,SUMPRODUCT((Quesería!$C$70:$C$89=0)*(Quesería!$H$70:$H$89&gt;0)*(Quesería!$J$70:$J$89&gt;0)*Quesería!$F$70:$F$89*(1+Quesería!$I$70:$I$89)),IF(I$47=1,(SUMPRODUCT((Quesería!$C$70:$C$89=1)*(Quesería!$H$70:$H$89&gt;0)*(Quesería!$J$70:$J$89&gt;0)*Quesería!$F$70:$F$89*(1+Quesería!$I$70:$I$89))-(-$AB$26)*Quesería!$D$86*(1+Quesería!$I$86))*$AB$21,0))*$AB$11+I1173)</f>
        <v>0</v>
      </c>
      <c r="J1174" s="29" t="n">
        <f aca="false">Quesería!$B$55*(IF(J$47=0,SUMPRODUCT((Quesería!$C$70:$C$89=0)*(Quesería!$H$70:$H$89&gt;0)*(Quesería!$J$70:$J$89&gt;0)*Quesería!$F$70:$F$89*(1+Quesería!$I$70:$I$89)),IF(J$47=1,(SUMPRODUCT((Quesería!$C$70:$C$89=1)*(Quesería!$H$70:$H$89&gt;0)*(Quesería!$J$70:$J$89&gt;0)*Quesería!$F$70:$F$89*(1+Quesería!$I$70:$I$89))-(-$AB$26)*Quesería!$D$86*(1+Quesería!$I$86))*$AB$21,0))*$AB$11+J1173)</f>
        <v>0</v>
      </c>
      <c r="K1174" s="29" t="n">
        <f aca="false">Quesería!$B$55*(IF(K$47=0,SUMPRODUCT((Quesería!$C$70:$C$89=0)*(Quesería!$H$70:$H$89&gt;0)*(Quesería!$J$70:$J$89&gt;0)*Quesería!$F$70:$F$89*(1+Quesería!$I$70:$I$89)),IF(K$47=1,(SUMPRODUCT((Quesería!$C$70:$C$89=1)*(Quesería!$H$70:$H$89&gt;0)*(Quesería!$J$70:$J$89&gt;0)*Quesería!$F$70:$F$89*(1+Quesería!$I$70:$I$89))-(-$AB$26)*Quesería!$D$86*(1+Quesería!$I$86))*$AB$21,0))*$AB$11+K1173)</f>
        <v>0</v>
      </c>
      <c r="L1174" s="29" t="n">
        <f aca="false">Quesería!$B$55*(IF(L$47=0,SUMPRODUCT((Quesería!$C$70:$C$89=0)*(Quesería!$H$70:$H$89&gt;0)*(Quesería!$J$70:$J$89&gt;0)*Quesería!$F$70:$F$89*(1+Quesería!$I$70:$I$89)),IF(L$47=1,(SUMPRODUCT((Quesería!$C$70:$C$89=1)*(Quesería!$H$70:$H$89&gt;0)*(Quesería!$J$70:$J$89&gt;0)*Quesería!$F$70:$F$89*(1+Quesería!$I$70:$I$89))-(-$AB$26)*Quesería!$D$86*(1+Quesería!$I$86))*$AB$21,0))*$AB$11+L1173)</f>
        <v>0</v>
      </c>
    </row>
    <row r="1175" customFormat="false" ht="15" hidden="true" customHeight="false" outlineLevel="1" collapsed="false">
      <c r="A1175" s="6" t="s">
        <v>386</v>
      </c>
      <c r="B1175" s="29" t="n">
        <f aca="false">IF(B$47=0,($AB$22*Quesería!$J$126+(1-$AB$22)*Quesería!$E$122)*Quesería!$B$20*Quesería!$B$21/12*$AB$23,(($AB$22*Quesería!$J$126+(1-$AB$22)*Quesería!$E$122)+($AB$22*Quesería!$J$104+(1-$AB$22)*Quesería!$E$104)*(B1170-1))*IF(B$47=1,Quesería!$B$20,1))*$AB$10</f>
        <v>120.716772261203</v>
      </c>
      <c r="C1175" s="29" t="n">
        <f aca="false">IF(C$47=0,($AB$22*Quesería!$J$126+(1-$AB$22)*Quesería!$E$122)*Quesería!$B$20*Quesería!$B$21/12*$AB$23,(($AB$22*Quesería!$J$126+(1-$AB$22)*Quesería!$E$122)+($AB$22*Quesería!$J$104+(1-$AB$22)*Quesería!$E$104)*(C1170-1))*IF(C$47=1,Quesería!$B$20,1))*$AB$10</f>
        <v>181.328317354069</v>
      </c>
      <c r="D1175" s="29" t="n">
        <f aca="false">IF(D$47=0,($AB$22*Quesería!$J$126+(1-$AB$22)*Quesería!$E$122)*Quesería!$B$20*Quesería!$B$21/12*$AB$23,(($AB$22*Quesería!$J$126+(1-$AB$22)*Quesería!$E$122)+($AB$22*Quesería!$J$104+(1-$AB$22)*Quesería!$E$104)*(D1170-1))*IF(D$47=1,Quesería!$B$20,1))*$AB$10</f>
        <v>241.83157753184</v>
      </c>
      <c r="E1175" s="29" t="n">
        <f aca="false">IF(E$47=0,($AB$22*Quesería!$J$126+(1-$AB$22)*Quesería!$E$122)*Quesería!$B$20*Quesería!$B$21/12*$AB$23,(($AB$22*Quesería!$J$126+(1-$AB$22)*Quesería!$E$122)+($AB$22*Quesería!$J$104+(1-$AB$22)*Quesería!$E$104)*(E1170-1))*IF(E$47=1,Quesería!$B$20,1))*$AB$10</f>
        <v>241.892367696887</v>
      </c>
      <c r="F1175" s="29" t="n">
        <f aca="false">IF(F$47=0,($AB$22*Quesería!$J$126+(1-$AB$22)*Quesería!$E$122)*Quesería!$B$20*Quesería!$B$21/12*$AB$23,(($AB$22*Quesería!$J$126+(1-$AB$22)*Quesería!$E$122)+($AB$22*Quesería!$J$104+(1-$AB$22)*Quesería!$E$104)*(F1170-1))*IF(F$47=1,Quesería!$B$20,1))*$AB$10</f>
        <v>241.95346181276</v>
      </c>
      <c r="G1175" s="29" t="n">
        <f aca="false">IF(G$47=0,($AB$22*Quesería!$J$126+(1-$AB$22)*Quesería!$E$122)*Quesería!$B$20*Quesería!$B$21/12*$AB$23,(($AB$22*Quesería!$J$126+(1-$AB$22)*Quesería!$E$122)+($AB$22*Quesería!$J$104+(1-$AB$22)*Quesería!$E$104)*(G1170-1))*IF(G$47=1,Quesería!$B$20,1))*$AB$10</f>
        <v>242.014861399211</v>
      </c>
      <c r="H1175" s="29" t="n">
        <f aca="false">IF(H$47=0,($AB$22*Quesería!$J$126+(1-$AB$22)*Quesería!$E$122)*Quesería!$B$20*Quesería!$B$21/12*$AB$23,(($AB$22*Quesería!$J$126+(1-$AB$22)*Quesería!$E$122)+($AB$22*Quesería!$J$104+(1-$AB$22)*Quesería!$E$104)*(H1170-1))*IF(H$47=1,Quesería!$B$20,1))*$AB$10</f>
        <v>242.076567983595</v>
      </c>
      <c r="I1175" s="29" t="n">
        <f aca="false">IF(I$47=0,($AB$22*Quesería!$J$126+(1-$AB$22)*Quesería!$E$122)*Quesería!$B$20*Quesería!$B$21/12*$AB$23,(($AB$22*Quesería!$J$126+(1-$AB$22)*Quesería!$E$122)+($AB$22*Quesería!$J$104+(1-$AB$22)*Quesería!$E$104)*(I1170-1))*IF(I$47=1,Quesería!$B$20,1))*$AB$10</f>
        <v>242.138583100901</v>
      </c>
      <c r="J1175" s="29" t="n">
        <f aca="false">IF(J$47=0,($AB$22*Quesería!$J$126+(1-$AB$22)*Quesería!$E$122)*Quesería!$B$20*Quesería!$B$21/12*$AB$23,(($AB$22*Quesería!$J$126+(1-$AB$22)*Quesería!$E$122)+($AB$22*Quesería!$J$104+(1-$AB$22)*Quesería!$E$104)*(J1170-1))*IF(J$47=1,Quesería!$B$20,1))*$AB$10</f>
        <v>242.200908293794</v>
      </c>
      <c r="K1175" s="29" t="n">
        <f aca="false">IF(K$47=0,($AB$22*Quesería!$J$126+(1-$AB$22)*Quesería!$E$122)*Quesería!$B$20*Quesería!$B$21/12*$AB$23,(($AB$22*Quesería!$J$126+(1-$AB$22)*Quesería!$E$122)+($AB$22*Quesería!$J$104+(1-$AB$22)*Quesería!$E$104)*(K1170-1))*IF(K$47=1,Quesería!$B$20,1))*$AB$10</f>
        <v>242.263545112651</v>
      </c>
      <c r="L1175" s="29" t="n">
        <f aca="false">IF(L$47=0,($AB$22*Quesería!$J$126+(1-$AB$22)*Quesería!$E$122)*Quesería!$B$20*Quesería!$B$21/12*$AB$23,(($AB$22*Quesería!$J$126+(1-$AB$22)*Quesería!$E$122)+($AB$22*Quesería!$J$104+(1-$AB$22)*Quesería!$E$104)*(L1170-1))*IF(L$47=1,Quesería!$B$20,1))*$AB$10</f>
        <v>242.326495115602</v>
      </c>
    </row>
    <row r="1176" customFormat="false" ht="15" hidden="true" customHeight="false" outlineLevel="1" collapsed="false">
      <c r="A1176" s="6" t="s">
        <v>387</v>
      </c>
      <c r="B1176" s="29" t="n">
        <f aca="false">IF(B$47&lt;=1,0,((($AB$22*Quesería!$J$127+(1-$AB$22)*Quesería!$E$123)-($AB$22*Quesería!$J$113+(1-$AB$22)*Quesería!$E$113)+$AB$6*($AB$22*Quesería!$J$113+(1-$AB$22)*Quesería!$E$113)-(1-$AB$9)*(($AB$22*Quesería!$J$119+(1-$AB$22)*Quesería!$E$119)+($AB$22*Quesería!$J$118+(1-$AB$22)*Quesería!$E$118))-(1-$AB$24)*($AB$22*Quesería!$J$117+(1-$AB$22)*Quesería!$E$117)+$AB$24*(1-$AB$25)*'Beneficios y costos'!$B$144-(-$AB$26*$AB$27)*'Beneficios y costos'!$C$167)+($AB$6*($AB$22*Quesería!$J$113+(1-$AB$22)*Quesería!$E$113)+$AB$9*($AB$22*Quesería!$J$119+(1-$AB$22)*Quesería!$E$119))*(B1170-1))*IF(B$47=2,Quesería!$B$20,1)+IF(B$47=2,Quesería!$B$24*$AB$9*($AB$22*Quesería!$J$119+(1-$AB$22)*Quesería!$E$119)*B1170,0))*$AB$10*$AB$21</f>
        <v>0</v>
      </c>
      <c r="C1176" s="29" t="n">
        <f aca="false">IF(C$47&lt;=1,0,((($AB$22*Quesería!$J$127+(1-$AB$22)*Quesería!$E$123)-($AB$22*Quesería!$J$113+(1-$AB$22)*Quesería!$E$113)+$AB$6*($AB$22*Quesería!$J$113+(1-$AB$22)*Quesería!$E$113)-(1-$AB$9)*(($AB$22*Quesería!$J$119+(1-$AB$22)*Quesería!$E$119)+($AB$22*Quesería!$J$118+(1-$AB$22)*Quesería!$E$118))-(1-$AB$24)*($AB$22*Quesería!$J$117+(1-$AB$22)*Quesería!$E$117)+$AB$24*(1-$AB$25)*'Beneficios y costos'!$B$144-(-$AB$26*$AB$27)*'Beneficios y costos'!$C$167)+($AB$6*($AB$22*Quesería!$J$113+(1-$AB$22)*Quesería!$E$113)+$AB$9*($AB$22*Quesería!$J$119+(1-$AB$22)*Quesería!$E$119))*(C1170-1))*IF(C$47=2,Quesería!$B$20,1)+IF(C$47=2,Quesería!$B$24*$AB$9*($AB$22*Quesería!$J$119+(1-$AB$22)*Quesería!$E$119)*C1170,0))*$AB$10*$AB$21</f>
        <v>0</v>
      </c>
      <c r="D1176" s="29" t="n">
        <f aca="false">IF(D$47&lt;=1,0,((($AB$22*Quesería!$J$127+(1-$AB$22)*Quesería!$E$123)-($AB$22*Quesería!$J$113+(1-$AB$22)*Quesería!$E$113)+$AB$6*($AB$22*Quesería!$J$113+(1-$AB$22)*Quesería!$E$113)-(1-$AB$9)*(($AB$22*Quesería!$J$119+(1-$AB$22)*Quesería!$E$119)+($AB$22*Quesería!$J$118+(1-$AB$22)*Quesería!$E$118))-(1-$AB$24)*($AB$22*Quesería!$J$117+(1-$AB$22)*Quesería!$E$117)+$AB$24*(1-$AB$25)*'Beneficios y costos'!$B$144-(-$AB$26*$AB$27)*'Beneficios y costos'!$C$167)+($AB$6*($AB$22*Quesería!$J$113+(1-$AB$22)*Quesería!$E$113)+$AB$9*($AB$22*Quesería!$J$119+(1-$AB$22)*Quesería!$E$119))*(D1170-1))*IF(D$47=2,Quesería!$B$20,1)+IF(D$47=2,Quesería!$B$24*$AB$9*($AB$22*Quesería!$J$119+(1-$AB$22)*Quesería!$E$119)*D1170,0))*$AB$10*$AB$21</f>
        <v>284.434609718611</v>
      </c>
      <c r="E1176" s="29" t="n">
        <f aca="false">IF(E$47&lt;=1,0,((($AB$22*Quesería!$J$127+(1-$AB$22)*Quesería!$E$123)-($AB$22*Quesería!$J$113+(1-$AB$22)*Quesería!$E$113)+$AB$6*($AB$22*Quesería!$J$113+(1-$AB$22)*Quesería!$E$113)-(1-$AB$9)*(($AB$22*Quesería!$J$119+(1-$AB$22)*Quesería!$E$119)+($AB$22*Quesería!$J$118+(1-$AB$22)*Quesería!$E$118))-(1-$AB$24)*($AB$22*Quesería!$J$117+(1-$AB$22)*Quesería!$E$117)+$AB$24*(1-$AB$25)*'Beneficios y costos'!$B$144-(-$AB$26*$AB$27)*'Beneficios y costos'!$C$167)+($AB$6*($AB$22*Quesería!$J$113+(1-$AB$22)*Quesería!$E$113)+$AB$9*($AB$22*Quesería!$J$119+(1-$AB$22)*Quesería!$E$119))*(E1170-1))*IF(E$47=2,Quesería!$B$20,1)+IF(E$47=2,Quesería!$B$24*$AB$9*($AB$22*Quesería!$J$119+(1-$AB$22)*Quesería!$E$119)*E1170,0))*$AB$10*$AB$21</f>
        <v>364.605641440019</v>
      </c>
      <c r="F1176" s="29" t="n">
        <f aca="false">IF(F$47&lt;=1,0,((($AB$22*Quesería!$J$127+(1-$AB$22)*Quesería!$E$123)-($AB$22*Quesería!$J$113+(1-$AB$22)*Quesería!$E$113)+$AB$6*($AB$22*Quesería!$J$113+(1-$AB$22)*Quesería!$E$113)-(1-$AB$9)*(($AB$22*Quesería!$J$119+(1-$AB$22)*Quesería!$E$119)+($AB$22*Quesería!$J$118+(1-$AB$22)*Quesería!$E$118))-(1-$AB$24)*($AB$22*Quesería!$J$117+(1-$AB$22)*Quesería!$E$117)+$AB$24*(1-$AB$25)*'Beneficios y costos'!$B$144-(-$AB$26*$AB$27)*'Beneficios y costos'!$C$167)+($AB$6*($AB$22*Quesería!$J$113+(1-$AB$22)*Quesería!$E$113)+$AB$9*($AB$22*Quesería!$J$119+(1-$AB$22)*Quesería!$E$119))*(F1170-1))*IF(F$47=2,Quesería!$B$20,1)+IF(F$47=2,Quesería!$B$24*$AB$9*($AB$22*Quesería!$J$119+(1-$AB$22)*Quesería!$E$119)*F1170,0))*$AB$10*$AB$21</f>
        <v>364.853758359583</v>
      </c>
      <c r="G1176" s="29" t="n">
        <f aca="false">IF(G$47&lt;=1,0,((($AB$22*Quesería!$J$127+(1-$AB$22)*Quesería!$E$123)-($AB$22*Quesería!$J$113+(1-$AB$22)*Quesería!$E$113)+$AB$6*($AB$22*Quesería!$J$113+(1-$AB$22)*Quesería!$E$113)-(1-$AB$9)*(($AB$22*Quesería!$J$119+(1-$AB$22)*Quesería!$E$119)+($AB$22*Quesería!$J$118+(1-$AB$22)*Quesería!$E$118))-(1-$AB$24)*($AB$22*Quesería!$J$117+(1-$AB$22)*Quesería!$E$117)+$AB$24*(1-$AB$25)*'Beneficios y costos'!$B$144-(-$AB$26*$AB$27)*'Beneficios y costos'!$C$167)+($AB$6*($AB$22*Quesería!$J$113+(1-$AB$22)*Quesería!$E$113)+$AB$9*($AB$22*Quesería!$J$119+(1-$AB$22)*Quesería!$E$119))*(G1170-1))*IF(G$47=2,Quesería!$B$20,1)+IF(G$47=2,Quesería!$B$24*$AB$9*($AB$22*Quesería!$J$119+(1-$AB$22)*Quesería!$E$119)*G1170,0))*$AB$10*$AB$21</f>
        <v>365.103115863744</v>
      </c>
      <c r="H1176" s="29" t="n">
        <f aca="false">IF(H$47&lt;=1,0,((($AB$22*Quesería!$J$127+(1-$AB$22)*Quesería!$E$123)-($AB$22*Quesería!$J$113+(1-$AB$22)*Quesería!$E$113)+$AB$6*($AB$22*Quesería!$J$113+(1-$AB$22)*Quesería!$E$113)-(1-$AB$9)*(($AB$22*Quesería!$J$119+(1-$AB$22)*Quesería!$E$119)+($AB$22*Quesería!$J$118+(1-$AB$22)*Quesería!$E$118))-(1-$AB$24)*($AB$22*Quesería!$J$117+(1-$AB$22)*Quesería!$E$117)+$AB$24*(1-$AB$25)*'Beneficios y costos'!$B$144-(-$AB$26*$AB$27)*'Beneficios y costos'!$C$167)+($AB$6*($AB$22*Quesería!$J$113+(1-$AB$22)*Quesería!$E$113)+$AB$9*($AB$22*Quesería!$J$119+(1-$AB$22)*Quesería!$E$119))*(H1170-1))*IF(H$47=2,Quesería!$B$20,1)+IF(H$47=2,Quesería!$B$24*$AB$9*($AB$22*Quesería!$J$119+(1-$AB$22)*Quesería!$E$119)*H1170,0))*$AB$10*$AB$21</f>
        <v>365.353720155426</v>
      </c>
      <c r="I1176" s="29" t="n">
        <f aca="false">IF(I$47&lt;=1,0,((($AB$22*Quesería!$J$127+(1-$AB$22)*Quesería!$E$123)-($AB$22*Quesería!$J$113+(1-$AB$22)*Quesería!$E$113)+$AB$6*($AB$22*Quesería!$J$113+(1-$AB$22)*Quesería!$E$113)-(1-$AB$9)*(($AB$22*Quesería!$J$119+(1-$AB$22)*Quesería!$E$119)+($AB$22*Quesería!$J$118+(1-$AB$22)*Quesería!$E$118))-(1-$AB$24)*($AB$22*Quesería!$J$117+(1-$AB$22)*Quesería!$E$117)+$AB$24*(1-$AB$25)*'Beneficios y costos'!$B$144-(-$AB$26*$AB$27)*'Beneficios y costos'!$C$167)+($AB$6*($AB$22*Quesería!$J$113+(1-$AB$22)*Quesería!$E$113)+$AB$9*($AB$22*Quesería!$J$119+(1-$AB$22)*Quesería!$E$119))*(I1170-1))*IF(I$47=2,Quesería!$B$20,1)+IF(I$47=2,Quesería!$B$24*$AB$9*($AB$22*Quesería!$J$119+(1-$AB$22)*Quesería!$E$119)*I1170,0))*$AB$10*$AB$21</f>
        <v>365.605577468567</v>
      </c>
      <c r="J1176" s="29" t="n">
        <f aca="false">IF(J$47&lt;=1,0,((($AB$22*Quesería!$J$127+(1-$AB$22)*Quesería!$E$123)-($AB$22*Quesería!$J$113+(1-$AB$22)*Quesería!$E$113)+$AB$6*($AB$22*Quesería!$J$113+(1-$AB$22)*Quesería!$E$113)-(1-$AB$9)*(($AB$22*Quesería!$J$119+(1-$AB$22)*Quesería!$E$119)+($AB$22*Quesería!$J$118+(1-$AB$22)*Quesería!$E$118))-(1-$AB$24)*($AB$22*Quesería!$J$117+(1-$AB$22)*Quesería!$E$117)+$AB$24*(1-$AB$25)*'Beneficios y costos'!$B$144-(-$AB$26*$AB$27)*'Beneficios y costos'!$C$167)+($AB$6*($AB$22*Quesería!$J$113+(1-$AB$22)*Quesería!$E$113)+$AB$9*($AB$22*Quesería!$J$119+(1-$AB$22)*Quesería!$E$119))*(J1170-1))*IF(J$47=2,Quesería!$B$20,1)+IF(J$47=2,Quesería!$B$24*$AB$9*($AB$22*Quesería!$J$119+(1-$AB$22)*Quesería!$E$119)*J1170,0))*$AB$10*$AB$21</f>
        <v>365.858694068273</v>
      </c>
      <c r="K1176" s="29" t="n">
        <f aca="false">IF(K$47&lt;=1,0,((($AB$22*Quesería!$J$127+(1-$AB$22)*Quesería!$E$123)-($AB$22*Quesería!$J$113+(1-$AB$22)*Quesería!$E$113)+$AB$6*($AB$22*Quesería!$J$113+(1-$AB$22)*Quesería!$E$113)-(1-$AB$9)*(($AB$22*Quesería!$J$119+(1-$AB$22)*Quesería!$E$119)+($AB$22*Quesería!$J$118+(1-$AB$22)*Quesería!$E$118))-(1-$AB$24)*($AB$22*Quesería!$J$117+(1-$AB$22)*Quesería!$E$117)+$AB$24*(1-$AB$25)*'Beneficios y costos'!$B$144-(-$AB$26*$AB$27)*'Beneficios y costos'!$C$167)+($AB$6*($AB$22*Quesería!$J$113+(1-$AB$22)*Quesería!$E$113)+$AB$9*($AB$22*Quesería!$J$119+(1-$AB$22)*Quesería!$E$119))*(K1170-1))*IF(K$47=2,Quesería!$B$20,1)+IF(K$47=2,Quesería!$B$24*$AB$9*($AB$22*Quesería!$J$119+(1-$AB$22)*Quesería!$E$119)*K1170,0))*$AB$10*$AB$21</f>
        <v>366.113076250978</v>
      </c>
      <c r="L1176" s="29" t="n">
        <f aca="false">IF(L$47&lt;=1,0,((($AB$22*Quesería!$J$127+(1-$AB$22)*Quesería!$E$123)-($AB$22*Quesería!$J$113+(1-$AB$22)*Quesería!$E$113)+$AB$6*($AB$22*Quesería!$J$113+(1-$AB$22)*Quesería!$E$113)-(1-$AB$9)*(($AB$22*Quesería!$J$119+(1-$AB$22)*Quesería!$E$119)+($AB$22*Quesería!$J$118+(1-$AB$22)*Quesería!$E$118))-(1-$AB$24)*($AB$22*Quesería!$J$117+(1-$AB$22)*Quesería!$E$117)+$AB$24*(1-$AB$25)*'Beneficios y costos'!$B$144-(-$AB$26*$AB$27)*'Beneficios y costos'!$C$167)+($AB$6*($AB$22*Quesería!$J$113+(1-$AB$22)*Quesería!$E$113)+$AB$9*($AB$22*Quesería!$J$119+(1-$AB$22)*Quesería!$E$119))*(L1170-1))*IF(L$47=2,Quesería!$B$20,1)+IF(L$47=2,Quesería!$B$24*$AB$9*($AB$22*Quesería!$J$119+(1-$AB$22)*Quesería!$E$119)*L1170,0))*$AB$10*$AB$21</f>
        <v>366.368730344596</v>
      </c>
    </row>
    <row r="1177" customFormat="false" ht="15" hidden="true" customHeight="false" outlineLevel="1" collapsed="false">
      <c r="A1177" s="5" t="s">
        <v>412</v>
      </c>
      <c r="B1177" s="10" t="n">
        <f aca="false">B1175+B1176</f>
        <v>120.716772261203</v>
      </c>
      <c r="C1177" s="10" t="n">
        <f aca="false">C1175+C1176</f>
        <v>181.328317354069</v>
      </c>
      <c r="D1177" s="10" t="n">
        <f aca="false">D1175+D1176</f>
        <v>526.266187250451</v>
      </c>
      <c r="E1177" s="10" t="n">
        <f aca="false">E1175+E1176</f>
        <v>606.498009136907</v>
      </c>
      <c r="F1177" s="10" t="n">
        <f aca="false">F1175+F1176</f>
        <v>606.807220172342</v>
      </c>
      <c r="G1177" s="10" t="n">
        <f aca="false">G1175+G1176</f>
        <v>607.117977262955</v>
      </c>
      <c r="H1177" s="10" t="n">
        <f aca="false">H1175+H1176</f>
        <v>607.430288139022</v>
      </c>
      <c r="I1177" s="10" t="n">
        <f aca="false">I1175+I1176</f>
        <v>607.744160569468</v>
      </c>
      <c r="J1177" s="10" t="n">
        <f aca="false">J1175+J1176</f>
        <v>608.059602362067</v>
      </c>
      <c r="K1177" s="10" t="n">
        <f aca="false">K1175+K1176</f>
        <v>608.376621363628</v>
      </c>
      <c r="L1177" s="10" t="n">
        <f aca="false">L1175+L1176</f>
        <v>608.695225460198</v>
      </c>
    </row>
    <row r="1178" customFormat="false" ht="15" hidden="true" customHeight="false" outlineLevel="1" collapsed="false">
      <c r="A1178" s="6" t="s">
        <v>413</v>
      </c>
      <c r="B1178" s="29" t="n">
        <f aca="false">(IF(B$47&gt;=1,(Quesería!$B$31+Quesería!$B$33)*Quesería!$F$94*$AB$11+Quesería!$B$32+'Beneficios y costos'!$B$249,0)+IF(B$47&gt;=2,((Quesería!$B$31+Quesería!$B$33)*(Quesería!$F$95-(-$AB$26)*Quesería!$D$86)*$AB$11+'Beneficios y costos'!$C$249-(-$AB$26)*'Beneficios y costos'!$H$235)*$AB$21,0))*$AB$12</f>
        <v>0</v>
      </c>
      <c r="C1178" s="29" t="n">
        <f aca="false">(IF(C$47&gt;=1,(Quesería!$B$31+Quesería!$B$33)*Quesería!$F$94*$AB$11+Quesería!$B$32+'Beneficios y costos'!$B$249,0)+IF(C$47&gt;=2,((Quesería!$B$31+Quesería!$B$33)*(Quesería!$F$95-(-$AB$26)*Quesería!$D$86)*$AB$11+'Beneficios y costos'!$C$249-(-$AB$26)*'Beneficios y costos'!$H$235)*$AB$21,0))*$AB$12</f>
        <v>42.0946487260605</v>
      </c>
      <c r="D1178" s="29" t="n">
        <f aca="false">(IF(D$47&gt;=1,(Quesería!$B$31+Quesería!$B$33)*Quesería!$F$94*$AB$11+Quesería!$B$32+'Beneficios y costos'!$B$249,0)+IF(D$47&gt;=2,((Quesería!$B$31+Quesería!$B$33)*(Quesería!$F$95-(-$AB$26)*Quesería!$D$86)*$AB$11+'Beneficios y costos'!$C$249-(-$AB$26)*'Beneficios y costos'!$H$235)*$AB$21,0))*$AB$12</f>
        <v>95.9432442337815</v>
      </c>
      <c r="E1178" s="29" t="n">
        <f aca="false">(IF(E$47&gt;=1,(Quesería!$B$31+Quesería!$B$33)*Quesería!$F$94*$AB$11+Quesería!$B$32+'Beneficios y costos'!$B$249,0)+IF(E$47&gt;=2,((Quesería!$B$31+Quesería!$B$33)*(Quesería!$F$95-(-$AB$26)*Quesería!$D$86)*$AB$11+'Beneficios y costos'!$C$249-(-$AB$26)*'Beneficios y costos'!$H$235)*$AB$21,0))*$AB$12</f>
        <v>95.9432442337815</v>
      </c>
      <c r="F1178" s="29" t="n">
        <f aca="false">(IF(F$47&gt;=1,(Quesería!$B$31+Quesería!$B$33)*Quesería!$F$94*$AB$11+Quesería!$B$32+'Beneficios y costos'!$B$249,0)+IF(F$47&gt;=2,((Quesería!$B$31+Quesería!$B$33)*(Quesería!$F$95-(-$AB$26)*Quesería!$D$86)*$AB$11+'Beneficios y costos'!$C$249-(-$AB$26)*'Beneficios y costos'!$H$235)*$AB$21,0))*$AB$12</f>
        <v>95.9432442337815</v>
      </c>
      <c r="G1178" s="29" t="n">
        <f aca="false">(IF(G$47&gt;=1,(Quesería!$B$31+Quesería!$B$33)*Quesería!$F$94*$AB$11+Quesería!$B$32+'Beneficios y costos'!$B$249,0)+IF(G$47&gt;=2,((Quesería!$B$31+Quesería!$B$33)*(Quesería!$F$95-(-$AB$26)*Quesería!$D$86)*$AB$11+'Beneficios y costos'!$C$249-(-$AB$26)*'Beneficios y costos'!$H$235)*$AB$21,0))*$AB$12</f>
        <v>95.9432442337815</v>
      </c>
      <c r="H1178" s="29" t="n">
        <f aca="false">(IF(H$47&gt;=1,(Quesería!$B$31+Quesería!$B$33)*Quesería!$F$94*$AB$11+Quesería!$B$32+'Beneficios y costos'!$B$249,0)+IF(H$47&gt;=2,((Quesería!$B$31+Quesería!$B$33)*(Quesería!$F$95-(-$AB$26)*Quesería!$D$86)*$AB$11+'Beneficios y costos'!$C$249-(-$AB$26)*'Beneficios y costos'!$H$235)*$AB$21,0))*$AB$12</f>
        <v>95.9432442337815</v>
      </c>
      <c r="I1178" s="29" t="n">
        <f aca="false">(IF(I$47&gt;=1,(Quesería!$B$31+Quesería!$B$33)*Quesería!$F$94*$AB$11+Quesería!$B$32+'Beneficios y costos'!$B$249,0)+IF(I$47&gt;=2,((Quesería!$B$31+Quesería!$B$33)*(Quesería!$F$95-(-$AB$26)*Quesería!$D$86)*$AB$11+'Beneficios y costos'!$C$249-(-$AB$26)*'Beneficios y costos'!$H$235)*$AB$21,0))*$AB$12</f>
        <v>95.9432442337815</v>
      </c>
      <c r="J1178" s="29" t="n">
        <f aca="false">(IF(J$47&gt;=1,(Quesería!$B$31+Quesería!$B$33)*Quesería!$F$94*$AB$11+Quesería!$B$32+'Beneficios y costos'!$B$249,0)+IF(J$47&gt;=2,((Quesería!$B$31+Quesería!$B$33)*(Quesería!$F$95-(-$AB$26)*Quesería!$D$86)*$AB$11+'Beneficios y costos'!$C$249-(-$AB$26)*'Beneficios y costos'!$H$235)*$AB$21,0))*$AB$12</f>
        <v>95.9432442337815</v>
      </c>
      <c r="K1178" s="29" t="n">
        <f aca="false">(IF(K$47&gt;=1,(Quesería!$B$31+Quesería!$B$33)*Quesería!$F$94*$AB$11+Quesería!$B$32+'Beneficios y costos'!$B$249,0)+IF(K$47&gt;=2,((Quesería!$B$31+Quesería!$B$33)*(Quesería!$F$95-(-$AB$26)*Quesería!$D$86)*$AB$11+'Beneficios y costos'!$C$249-(-$AB$26)*'Beneficios y costos'!$H$235)*$AB$21,0))*$AB$12</f>
        <v>95.9432442337815</v>
      </c>
      <c r="L1178" s="29" t="n">
        <f aca="false">(IF(L$47&gt;=1,(Quesería!$B$31+Quesería!$B$33)*Quesería!$F$94*$AB$11+Quesería!$B$32+'Beneficios y costos'!$B$249,0)+IF(L$47&gt;=2,((Quesería!$B$31+Quesería!$B$33)*(Quesería!$F$95-(-$AB$26)*Quesería!$D$86)*$AB$11+'Beneficios y costos'!$C$249-(-$AB$26)*'Beneficios y costos'!$H$235)*$AB$21,0))*$AB$12</f>
        <v>95.9432442337815</v>
      </c>
    </row>
    <row r="1179" customFormat="false" ht="15" hidden="true" customHeight="false" outlineLevel="1" collapsed="false">
      <c r="A1179" s="6" t="s">
        <v>414</v>
      </c>
      <c r="B1179" s="29" t="n">
        <f aca="false">IF(B$47=1,2*Quesería!$B$22*Quesería!$B$23/12*B1170,0)*$AB$21</f>
        <v>0</v>
      </c>
      <c r="C1179" s="29" t="n">
        <f aca="false">IF(C$47=1,2*Quesería!$B$22*Quesería!$B$23/12*C1170,0)*$AB$21</f>
        <v>18.5166509433962</v>
      </c>
      <c r="D1179" s="29" t="n">
        <f aca="false">IF(D$47=1,2*Quesería!$B$22*Quesería!$B$23/12*D1170,0)*$AB$21</f>
        <v>0</v>
      </c>
      <c r="E1179" s="29" t="n">
        <f aca="false">IF(E$47=1,2*Quesería!$B$22*Quesería!$B$23/12*E1170,0)*$AB$21</f>
        <v>0</v>
      </c>
      <c r="F1179" s="29" t="n">
        <f aca="false">IF(F$47=1,2*Quesería!$B$22*Quesería!$B$23/12*F1170,0)*$AB$21</f>
        <v>0</v>
      </c>
      <c r="G1179" s="29" t="n">
        <f aca="false">IF(G$47=1,2*Quesería!$B$22*Quesería!$B$23/12*G1170,0)*$AB$21</f>
        <v>0</v>
      </c>
      <c r="H1179" s="29" t="n">
        <f aca="false">IF(H$47=1,2*Quesería!$B$22*Quesería!$B$23/12*H1170,0)*$AB$21</f>
        <v>0</v>
      </c>
      <c r="I1179" s="29" t="n">
        <f aca="false">IF(I$47=1,2*Quesería!$B$22*Quesería!$B$23/12*I1170,0)*$AB$21</f>
        <v>0</v>
      </c>
      <c r="J1179" s="29" t="n">
        <f aca="false">IF(J$47=1,2*Quesería!$B$22*Quesería!$B$23/12*J1170,0)*$AB$21</f>
        <v>0</v>
      </c>
      <c r="K1179" s="29" t="n">
        <f aca="false">IF(K$47=1,2*Quesería!$B$22*Quesería!$B$23/12*K1170,0)*$AB$21</f>
        <v>0</v>
      </c>
      <c r="L1179" s="29" t="n">
        <f aca="false">IF(L$47=1,2*Quesería!$B$22*Quesería!$B$23/12*L1170,0)*$AB$21</f>
        <v>0</v>
      </c>
    </row>
    <row r="1180" customFormat="false" ht="15" hidden="true" customHeight="false" outlineLevel="1" collapsed="false">
      <c r="A1180" s="6" t="s">
        <v>415</v>
      </c>
      <c r="B1180" s="29" t="n">
        <f aca="false">Quesería!$B$52*(B1172+B1173+B1174+B1178+B1179)</f>
        <v>4.31966364396742</v>
      </c>
      <c r="C1180" s="29" t="n">
        <f aca="false">Quesería!$B$52*(C1172+C1173+C1174+C1178+C1179)</f>
        <v>3.85275795604844</v>
      </c>
      <c r="D1180" s="29" t="n">
        <f aca="false">Quesería!$B$52*(D1172+D1173+D1174+D1178+D1179)</f>
        <v>0.383772976935126</v>
      </c>
      <c r="E1180" s="29" t="n">
        <f aca="false">Quesería!$B$52*(E1172+E1173+E1174+E1178+E1179)</f>
        <v>0.383772976935126</v>
      </c>
      <c r="F1180" s="29" t="n">
        <f aca="false">Quesería!$B$52*(F1172+F1173+F1174+F1178+F1179)</f>
        <v>0.383772976935126</v>
      </c>
      <c r="G1180" s="29" t="n">
        <f aca="false">Quesería!$B$52*(G1172+G1173+G1174+G1178+G1179)</f>
        <v>0.514507411134964</v>
      </c>
      <c r="H1180" s="29" t="n">
        <f aca="false">Quesería!$B$52*(H1172+H1173+H1174+H1178+H1179)</f>
        <v>0.604585358119273</v>
      </c>
      <c r="I1180" s="29" t="n">
        <f aca="false">Quesería!$B$52*(I1172+I1173+I1174+I1178+I1179)</f>
        <v>0.383772976935126</v>
      </c>
      <c r="J1180" s="29" t="n">
        <f aca="false">Quesería!$B$52*(J1172+J1173+J1174+J1178+J1179)</f>
        <v>0.383772976935126</v>
      </c>
      <c r="K1180" s="29" t="n">
        <f aca="false">Quesería!$B$52*(K1172+K1173+K1174+K1178+K1179)</f>
        <v>0.383772976935126</v>
      </c>
      <c r="L1180" s="29" t="n">
        <f aca="false">Quesería!$B$52*(L1172+L1173+L1174+L1178+L1179)</f>
        <v>0.383772976935126</v>
      </c>
    </row>
    <row r="1181" customFormat="false" ht="15" hidden="true" customHeight="false" outlineLevel="1" collapsed="false">
      <c r="A1181" s="6" t="s">
        <v>416</v>
      </c>
      <c r="B1181" s="29" t="n">
        <f aca="false">(IF($AB$19=1,(SUMPRODUCT((Quesería!$C$70:$C$89=0)*(Quesería!$J$70:$J$89&gt;0)*(B$47&gt;=1)*(B$47&lt;=Quesería!$J$70:$J$89)*(Quesería!$H$70:$H$89&gt;0)*Quesería!$F$70:$F$89*(1+Quesería!$I$70:$I$89)/(Quesería!$J$70:$J$89+(Quesería!$J$70:$J$89=0)))+SUMPRODUCT((Quesería!$C$70:$C$89=0)*(Quesería!$J$70:$J$89=0)*(B$47=0)*(Quesería!$H$70:$H$89&gt;0)*Quesería!$F$70:$F$89*(1+Quesería!$I$70:$I$89)))*$B$1169+((SUMPRODUCT((Quesería!$C$70:$C$89=1)*(Quesería!$J$70:$J$89&gt;0)*(B$47&gt;=2)*(B$47&lt;=Quesería!$J$70:$J$89+1)*(Quesería!$H$70:$H$89&gt;0)*Quesería!$F$70:$F$89*(1+Quesería!$I$70:$I$89)/(Quesería!$J$70:$J$89+(Quesería!$J$70:$J$89=0)))+SUMPRODUCT((Quesería!$C$70:$C$89=1)*(Quesería!$J$70:$J$89=0)*(B$47=1)*(Quesería!$H$70:$H$89&gt;0)*Quesería!$F$70:$F$89*(1+Quesería!$I$70:$I$89)))-(-$AB$26)*IF(AND(B$47&gt;=2,B$47&lt;=Quesería!$J$86+1),Quesería!$D$86*(1+Quesería!$I$86)/Quesería!$J$86,0))*$C$1169*$AB$21,IF(AND(B$47&gt;=1,B$47&lt;=Quesería!$B$30),Quesería!$F$92/Quesería!$B$30,0)*$B$1169+IF(AND(B$47&gt;=2,B$47&lt;=Quesería!$B$30+1),(Quesería!$F$93-(-$AB$26)*Quesería!$D$86*(1+Quesería!$I$86))/Quesería!$B$30,0)*$C$1169*$AB$21)*$AB$11+IF(AND(B$47&gt;=6,B$47&lt;=10),$G1173*$G1169/5,0)+IF(AND(B$47&gt;=7,B$47&lt;=11),$H1173*$H1169/5,0))*B1171</f>
        <v>145.980915430742</v>
      </c>
      <c r="C1181" s="29" t="n">
        <f aca="false">(IF($AB$19=1,(SUMPRODUCT((Quesería!$C$70:$C$89=0)*(Quesería!$J$70:$J$89&gt;0)*(C$47&gt;=1)*(C$47&lt;=Quesería!$J$70:$J$89)*(Quesería!$H$70:$H$89&gt;0)*Quesería!$F$70:$F$89*(1+Quesería!$I$70:$I$89)/(Quesería!$J$70:$J$89+(Quesería!$J$70:$J$89=0)))+SUMPRODUCT((Quesería!$C$70:$C$89=0)*(Quesería!$J$70:$J$89=0)*(C$47=0)*(Quesería!$H$70:$H$89&gt;0)*Quesería!$F$70:$F$89*(1+Quesería!$I$70:$I$89)))*$B$1169+((SUMPRODUCT((Quesería!$C$70:$C$89=1)*(Quesería!$J$70:$J$89&gt;0)*(C$47&gt;=2)*(C$47&lt;=Quesería!$J$70:$J$89+1)*(Quesería!$H$70:$H$89&gt;0)*Quesería!$F$70:$F$89*(1+Quesería!$I$70:$I$89)/(Quesería!$J$70:$J$89+(Quesería!$J$70:$J$89=0)))+SUMPRODUCT((Quesería!$C$70:$C$89=1)*(Quesería!$J$70:$J$89=0)*(C$47=1)*(Quesería!$H$70:$H$89&gt;0)*Quesería!$F$70:$F$89*(1+Quesería!$I$70:$I$89)))-(-$AB$26)*IF(AND(C$47&gt;=2,C$47&lt;=Quesería!$J$86+1),Quesería!$D$86*(1+Quesería!$I$86)/Quesería!$J$86,0))*$C$1169*$AB$21,IF(AND(C$47&gt;=1,C$47&lt;=Quesería!$B$30),Quesería!$F$92/Quesería!$B$30,0)*$B$1169+IF(AND(C$47&gt;=2,C$47&lt;=Quesería!$B$30+1),(Quesería!$F$93-(-$AB$26)*Quesería!$D$86*(1+Quesería!$I$86))/Quesería!$B$30,0)*$C$1169*$AB$21)*$AB$11+IF(AND(C$47&gt;=6,C$47&lt;=10),$G1173*$G1169/5,0)+IF(AND(C$47&gt;=7,C$47&lt;=11),$H1173*$H1169/5,0))*C1171</f>
        <v>82.2633269524265</v>
      </c>
      <c r="D1181" s="29" t="n">
        <f aca="false">(IF($AB$19=1,(SUMPRODUCT((Quesería!$C$70:$C$89=0)*(Quesería!$J$70:$J$89&gt;0)*(D$47&gt;=1)*(D$47&lt;=Quesería!$J$70:$J$89)*(Quesería!$H$70:$H$89&gt;0)*Quesería!$F$70:$F$89*(1+Quesería!$I$70:$I$89)/(Quesería!$J$70:$J$89+(Quesería!$J$70:$J$89=0)))+SUMPRODUCT((Quesería!$C$70:$C$89=0)*(Quesería!$J$70:$J$89=0)*(D$47=0)*(Quesería!$H$70:$H$89&gt;0)*Quesería!$F$70:$F$89*(1+Quesería!$I$70:$I$89)))*$B$1169+((SUMPRODUCT((Quesería!$C$70:$C$89=1)*(Quesería!$J$70:$J$89&gt;0)*(D$47&gt;=2)*(D$47&lt;=Quesería!$J$70:$J$89+1)*(Quesería!$H$70:$H$89&gt;0)*Quesería!$F$70:$F$89*(1+Quesería!$I$70:$I$89)/(Quesería!$J$70:$J$89+(Quesería!$J$70:$J$89=0)))+SUMPRODUCT((Quesería!$C$70:$C$89=1)*(Quesería!$J$70:$J$89=0)*(D$47=1)*(Quesería!$H$70:$H$89&gt;0)*Quesería!$F$70:$F$89*(1+Quesería!$I$70:$I$89)))-(-$AB$26)*IF(AND(D$47&gt;=2,D$47&lt;=Quesería!$J$86+1),Quesería!$D$86*(1+Quesería!$I$86)/Quesería!$J$86,0))*$C$1169*$AB$21,IF(AND(D$47&gt;=1,D$47&lt;=Quesería!$B$30),Quesería!$F$92/Quesería!$B$30,0)*$B$1169+IF(AND(D$47&gt;=2,D$47&lt;=Quesería!$B$30+1),(Quesería!$F$93-(-$AB$26)*Quesería!$D$86*(1+Quesería!$I$86))/Quesería!$B$30,0)*$C$1169*$AB$21)*$AB$11+IF(AND(D$47&gt;=6,D$47&lt;=10),$G1173*$G1169/5,0)+IF(AND(D$47&gt;=7,D$47&lt;=11),$H1173*$H1169/5,0))*D1171</f>
        <v>151.301658966389</v>
      </c>
      <c r="E1181" s="29" t="n">
        <f aca="false">(IF($AB$19=1,(SUMPRODUCT((Quesería!$C$70:$C$89=0)*(Quesería!$J$70:$J$89&gt;0)*(E$47&gt;=1)*(E$47&lt;=Quesería!$J$70:$J$89)*(Quesería!$H$70:$H$89&gt;0)*Quesería!$F$70:$F$89*(1+Quesería!$I$70:$I$89)/(Quesería!$J$70:$J$89+(Quesería!$J$70:$J$89=0)))+SUMPRODUCT((Quesería!$C$70:$C$89=0)*(Quesería!$J$70:$J$89=0)*(E$47=0)*(Quesería!$H$70:$H$89&gt;0)*Quesería!$F$70:$F$89*(1+Quesería!$I$70:$I$89)))*$B$1169+((SUMPRODUCT((Quesería!$C$70:$C$89=1)*(Quesería!$J$70:$J$89&gt;0)*(E$47&gt;=2)*(E$47&lt;=Quesería!$J$70:$J$89+1)*(Quesería!$H$70:$H$89&gt;0)*Quesería!$F$70:$F$89*(1+Quesería!$I$70:$I$89)/(Quesería!$J$70:$J$89+(Quesería!$J$70:$J$89=0)))+SUMPRODUCT((Quesería!$C$70:$C$89=1)*(Quesería!$J$70:$J$89=0)*(E$47=1)*(Quesería!$H$70:$H$89&gt;0)*Quesería!$F$70:$F$89*(1+Quesería!$I$70:$I$89)))-(-$AB$26)*IF(AND(E$47&gt;=2,E$47&lt;=Quesería!$J$86+1),Quesería!$D$86*(1+Quesería!$I$86)/Quesería!$J$86,0))*$C$1169*$AB$21,IF(AND(E$47&gt;=1,E$47&lt;=Quesería!$B$30),Quesería!$F$92/Quesería!$B$30,0)*$B$1169+IF(AND(E$47&gt;=2,E$47&lt;=Quesería!$B$30+1),(Quesería!$F$93-(-$AB$26)*Quesería!$D$86*(1+Quesería!$I$86))/Quesería!$B$30,0)*$C$1169*$AB$21)*$AB$11+IF(AND(E$47&gt;=6,E$47&lt;=10),$G1173*$G1169/5,0)+IF(AND(E$47&gt;=7,E$47&lt;=11),$H1173*$H1169/5,0))*E1171</f>
        <v>145.482364390759</v>
      </c>
      <c r="F1181" s="29" t="n">
        <f aca="false">(IF($AB$19=1,(SUMPRODUCT((Quesería!$C$70:$C$89=0)*(Quesería!$J$70:$J$89&gt;0)*(F$47&gt;=1)*(F$47&lt;=Quesería!$J$70:$J$89)*(Quesería!$H$70:$H$89&gt;0)*Quesería!$F$70:$F$89*(1+Quesería!$I$70:$I$89)/(Quesería!$J$70:$J$89+(Quesería!$J$70:$J$89=0)))+SUMPRODUCT((Quesería!$C$70:$C$89=0)*(Quesería!$J$70:$J$89=0)*(F$47=0)*(Quesería!$H$70:$H$89&gt;0)*Quesería!$F$70:$F$89*(1+Quesería!$I$70:$I$89)))*$B$1169+((SUMPRODUCT((Quesería!$C$70:$C$89=1)*(Quesería!$J$70:$J$89&gt;0)*(F$47&gt;=2)*(F$47&lt;=Quesería!$J$70:$J$89+1)*(Quesería!$H$70:$H$89&gt;0)*Quesería!$F$70:$F$89*(1+Quesería!$I$70:$I$89)/(Quesería!$J$70:$J$89+(Quesería!$J$70:$J$89=0)))+SUMPRODUCT((Quesería!$C$70:$C$89=1)*(Quesería!$J$70:$J$89=0)*(F$47=1)*(Quesería!$H$70:$H$89&gt;0)*Quesería!$F$70:$F$89*(1+Quesería!$I$70:$I$89)))-(-$AB$26)*IF(AND(F$47&gt;=2,F$47&lt;=Quesería!$J$86+1),Quesería!$D$86*(1+Quesería!$I$86)/Quesería!$J$86,0))*$C$1169*$AB$21,IF(AND(F$47&gt;=1,F$47&lt;=Quesería!$B$30),Quesería!$F$92/Quesería!$B$30,0)*$B$1169+IF(AND(F$47&gt;=2,F$47&lt;=Quesería!$B$30+1),(Quesería!$F$93-(-$AB$26)*Quesería!$D$86*(1+Quesería!$I$86))/Quesería!$B$30,0)*$C$1169*$AB$21)*$AB$11+IF(AND(F$47&gt;=6,F$47&lt;=10),$G1173*$G1169/5,0)+IF(AND(F$47&gt;=7,F$47&lt;=11),$H1173*$H1169/5,0))*F1171</f>
        <v>139.886888837268</v>
      </c>
      <c r="G1181" s="29" t="n">
        <f aca="false">(IF($AB$19=1,(SUMPRODUCT((Quesería!$C$70:$C$89=0)*(Quesería!$J$70:$J$89&gt;0)*(G$47&gt;=1)*(G$47&lt;=Quesería!$J$70:$J$89)*(Quesería!$H$70:$H$89&gt;0)*Quesería!$F$70:$F$89*(1+Quesería!$I$70:$I$89)/(Quesería!$J$70:$J$89+(Quesería!$J$70:$J$89=0)))+SUMPRODUCT((Quesería!$C$70:$C$89=0)*(Quesería!$J$70:$J$89=0)*(G$47=0)*(Quesería!$H$70:$H$89&gt;0)*Quesería!$F$70:$F$89*(1+Quesería!$I$70:$I$89)))*$B$1169+((SUMPRODUCT((Quesería!$C$70:$C$89=1)*(Quesería!$J$70:$J$89&gt;0)*(G$47&gt;=2)*(G$47&lt;=Quesería!$J$70:$J$89+1)*(Quesería!$H$70:$H$89&gt;0)*Quesería!$F$70:$F$89*(1+Quesería!$I$70:$I$89)/(Quesería!$J$70:$J$89+(Quesería!$J$70:$J$89=0)))+SUMPRODUCT((Quesería!$C$70:$C$89=1)*(Quesería!$J$70:$J$89=0)*(G$47=1)*(Quesería!$H$70:$H$89&gt;0)*Quesería!$F$70:$F$89*(1+Quesería!$I$70:$I$89)))-(-$AB$26)*IF(AND(G$47&gt;=2,G$47&lt;=Quesería!$J$86+1),Quesería!$D$86*(1+Quesería!$I$86)/Quesería!$J$86,0))*$C$1169*$AB$21,IF(AND(G$47&gt;=1,G$47&lt;=Quesería!$B$30),Quesería!$F$92/Quesería!$B$30,0)*$B$1169+IF(AND(G$47&gt;=2,G$47&lt;=Quesería!$B$30+1),(Quesería!$F$93-(-$AB$26)*Quesería!$D$86*(1+Quesería!$I$86))/Quesería!$B$30,0)*$C$1169*$AB$21)*$AB$11+IF(AND(G$47&gt;=6,G$47&lt;=10),$G1173*$G1169/5,0)+IF(AND(G$47&gt;=7,G$47&lt;=11),$H1173*$H1169/5,0))*G1171</f>
        <v>134.506623881988</v>
      </c>
      <c r="H1181" s="29" t="n">
        <f aca="false">(IF($AB$19=1,(SUMPRODUCT((Quesería!$C$70:$C$89=0)*(Quesería!$J$70:$J$89&gt;0)*(H$47&gt;=1)*(H$47&lt;=Quesería!$J$70:$J$89)*(Quesería!$H$70:$H$89&gt;0)*Quesería!$F$70:$F$89*(1+Quesería!$I$70:$I$89)/(Quesería!$J$70:$J$89+(Quesería!$J$70:$J$89=0)))+SUMPRODUCT((Quesería!$C$70:$C$89=0)*(Quesería!$J$70:$J$89=0)*(H$47=0)*(Quesería!$H$70:$H$89&gt;0)*Quesería!$F$70:$F$89*(1+Quesería!$I$70:$I$89)))*$B$1169+((SUMPRODUCT((Quesería!$C$70:$C$89=1)*(Quesería!$J$70:$J$89&gt;0)*(H$47&gt;=2)*(H$47&lt;=Quesería!$J$70:$J$89+1)*(Quesería!$H$70:$H$89&gt;0)*Quesería!$F$70:$F$89*(1+Quesería!$I$70:$I$89)/(Quesería!$J$70:$J$89+(Quesería!$J$70:$J$89=0)))+SUMPRODUCT((Quesería!$C$70:$C$89=1)*(Quesería!$J$70:$J$89=0)*(H$47=1)*(Quesería!$H$70:$H$89&gt;0)*Quesería!$F$70:$F$89*(1+Quesería!$I$70:$I$89)))-(-$AB$26)*IF(AND(H$47&gt;=2,H$47&lt;=Quesería!$J$86+1),Quesería!$D$86*(1+Quesería!$I$86)/Quesería!$J$86,0))*$C$1169*$AB$21,IF(AND(H$47&gt;=1,H$47&lt;=Quesería!$B$30),Quesería!$F$92/Quesería!$B$30,0)*$B$1169+IF(AND(H$47&gt;=2,H$47&lt;=Quesería!$B$30+1),(Quesería!$F$93-(-$AB$26)*Quesería!$D$86*(1+Quesería!$I$86))/Quesería!$B$30,0)*$C$1169*$AB$21)*$AB$11+IF(AND(H$47&gt;=6,H$47&lt;=10),$G1173*$G1169/5,0)+IF(AND(H$47&gt;=7,H$47&lt;=11),$H1173*$H1169/5,0))*H1171</f>
        <v>122.314670590318</v>
      </c>
      <c r="I1181" s="29" t="n">
        <f aca="false">(IF($AB$19=1,(SUMPRODUCT((Quesería!$C$70:$C$89=0)*(Quesería!$J$70:$J$89&gt;0)*(I$47&gt;=1)*(I$47&lt;=Quesería!$J$70:$J$89)*(Quesería!$H$70:$H$89&gt;0)*Quesería!$F$70:$F$89*(1+Quesería!$I$70:$I$89)/(Quesería!$J$70:$J$89+(Quesería!$J$70:$J$89=0)))+SUMPRODUCT((Quesería!$C$70:$C$89=0)*(Quesería!$J$70:$J$89=0)*(I$47=0)*(Quesería!$H$70:$H$89&gt;0)*Quesería!$F$70:$F$89*(1+Quesería!$I$70:$I$89)))*$B$1169+((SUMPRODUCT((Quesería!$C$70:$C$89=1)*(Quesería!$J$70:$J$89&gt;0)*(I$47&gt;=2)*(I$47&lt;=Quesería!$J$70:$J$89+1)*(Quesería!$H$70:$H$89&gt;0)*Quesería!$F$70:$F$89*(1+Quesería!$I$70:$I$89)/(Quesería!$J$70:$J$89+(Quesería!$J$70:$J$89=0)))+SUMPRODUCT((Quesería!$C$70:$C$89=1)*(Quesería!$J$70:$J$89=0)*(I$47=1)*(Quesería!$H$70:$H$89&gt;0)*Quesería!$F$70:$F$89*(1+Quesería!$I$70:$I$89)))-(-$AB$26)*IF(AND(I$47&gt;=2,I$47&lt;=Quesería!$J$86+1),Quesería!$D$86*(1+Quesería!$I$86)/Quesería!$J$86,0))*$C$1169*$AB$21,IF(AND(I$47&gt;=1,I$47&lt;=Quesería!$B$30),Quesería!$F$92/Quesería!$B$30,0)*$B$1169+IF(AND(I$47&gt;=2,I$47&lt;=Quesería!$B$30+1),(Quesería!$F$93-(-$AB$26)*Quesería!$D$86*(1+Quesería!$I$86))/Quesería!$B$30,0)*$C$1169*$AB$21)*$AB$11+IF(AND(I$47&gt;=6,I$47&lt;=10),$G1173*$G1169/5,0)+IF(AND(I$47&gt;=7,I$47&lt;=11),$H1173*$H1169/5,0))*I1171</f>
        <v>126.531251665874</v>
      </c>
      <c r="J1181" s="29" t="n">
        <f aca="false">(IF($AB$19=1,(SUMPRODUCT((Quesería!$C$70:$C$89=0)*(Quesería!$J$70:$J$89&gt;0)*(J$47&gt;=1)*(J$47&lt;=Quesería!$J$70:$J$89)*(Quesería!$H$70:$H$89&gt;0)*Quesería!$F$70:$F$89*(1+Quesería!$I$70:$I$89)/(Quesería!$J$70:$J$89+(Quesería!$J$70:$J$89=0)))+SUMPRODUCT((Quesería!$C$70:$C$89=0)*(Quesería!$J$70:$J$89=0)*(J$47=0)*(Quesería!$H$70:$H$89&gt;0)*Quesería!$F$70:$F$89*(1+Quesería!$I$70:$I$89)))*$B$1169+((SUMPRODUCT((Quesería!$C$70:$C$89=1)*(Quesería!$J$70:$J$89&gt;0)*(J$47&gt;=2)*(J$47&lt;=Quesería!$J$70:$J$89+1)*(Quesería!$H$70:$H$89&gt;0)*Quesería!$F$70:$F$89*(1+Quesería!$I$70:$I$89)/(Quesería!$J$70:$J$89+(Quesería!$J$70:$J$89=0)))+SUMPRODUCT((Quesería!$C$70:$C$89=1)*(Quesería!$J$70:$J$89=0)*(J$47=1)*(Quesería!$H$70:$H$89&gt;0)*Quesería!$F$70:$F$89*(1+Quesería!$I$70:$I$89)))-(-$AB$26)*IF(AND(J$47&gt;=2,J$47&lt;=Quesería!$J$86+1),Quesería!$D$86*(1+Quesería!$I$86)/Quesería!$J$86,0))*$C$1169*$AB$21,IF(AND(J$47&gt;=1,J$47&lt;=Quesería!$B$30),Quesería!$F$92/Quesería!$B$30,0)*$B$1169+IF(AND(J$47&gt;=2,J$47&lt;=Quesería!$B$30+1),(Quesería!$F$93-(-$AB$26)*Quesería!$D$86*(1+Quesería!$I$86))/Quesería!$B$30,0)*$C$1169*$AB$21)*$AB$11+IF(AND(J$47&gt;=6,J$47&lt;=10),$G1173*$G1169/5,0)+IF(AND(J$47&gt;=7,J$47&lt;=11),$H1173*$H1169/5,0))*J1171</f>
        <v>121.66466506334</v>
      </c>
      <c r="K1181" s="29" t="n">
        <f aca="false">(IF($AB$19=1,(SUMPRODUCT((Quesería!$C$70:$C$89=0)*(Quesería!$J$70:$J$89&gt;0)*(K$47&gt;=1)*(K$47&lt;=Quesería!$J$70:$J$89)*(Quesería!$H$70:$H$89&gt;0)*Quesería!$F$70:$F$89*(1+Quesería!$I$70:$I$89)/(Quesería!$J$70:$J$89+(Quesería!$J$70:$J$89=0)))+SUMPRODUCT((Quesería!$C$70:$C$89=0)*(Quesería!$J$70:$J$89=0)*(K$47=0)*(Quesería!$H$70:$H$89&gt;0)*Quesería!$F$70:$F$89*(1+Quesería!$I$70:$I$89)))*$B$1169+((SUMPRODUCT((Quesería!$C$70:$C$89=1)*(Quesería!$J$70:$J$89&gt;0)*(K$47&gt;=2)*(K$47&lt;=Quesería!$J$70:$J$89+1)*(Quesería!$H$70:$H$89&gt;0)*Quesería!$F$70:$F$89*(1+Quesería!$I$70:$I$89)/(Quesería!$J$70:$J$89+(Quesería!$J$70:$J$89=0)))+SUMPRODUCT((Quesería!$C$70:$C$89=1)*(Quesería!$J$70:$J$89=0)*(K$47=1)*(Quesería!$H$70:$H$89&gt;0)*Quesería!$F$70:$F$89*(1+Quesería!$I$70:$I$89)))-(-$AB$26)*IF(AND(K$47&gt;=2,K$47&lt;=Quesería!$J$86+1),Quesería!$D$86*(1+Quesería!$I$86)/Quesería!$J$86,0))*$C$1169*$AB$21,IF(AND(K$47&gt;=1,K$47&lt;=Quesería!$B$30),Quesería!$F$92/Quesería!$B$30,0)*$B$1169+IF(AND(K$47&gt;=2,K$47&lt;=Quesería!$B$30+1),(Quesería!$F$93-(-$AB$26)*Quesería!$D$86*(1+Quesería!$I$86))/Quesería!$B$30,0)*$C$1169*$AB$21)*$AB$11+IF(AND(K$47&gt;=6,K$47&lt;=10),$G1173*$G1169/5,0)+IF(AND(K$47&gt;=7,K$47&lt;=11),$H1173*$H1169/5,0))*K1171</f>
        <v>116.985254868597</v>
      </c>
      <c r="L1181" s="29" t="n">
        <f aca="false">(IF($AB$19=1,(SUMPRODUCT((Quesería!$C$70:$C$89=0)*(Quesería!$J$70:$J$89&gt;0)*(L$47&gt;=1)*(L$47&lt;=Quesería!$J$70:$J$89)*(Quesería!$H$70:$H$89&gt;0)*Quesería!$F$70:$F$89*(1+Quesería!$I$70:$I$89)/(Quesería!$J$70:$J$89+(Quesería!$J$70:$J$89=0)))+SUMPRODUCT((Quesería!$C$70:$C$89=0)*(Quesería!$J$70:$J$89=0)*(L$47=0)*(Quesería!$H$70:$H$89&gt;0)*Quesería!$F$70:$F$89*(1+Quesería!$I$70:$I$89)))*$B$1169+((SUMPRODUCT((Quesería!$C$70:$C$89=1)*(Quesería!$J$70:$J$89&gt;0)*(L$47&gt;=2)*(L$47&lt;=Quesería!$J$70:$J$89+1)*(Quesería!$H$70:$H$89&gt;0)*Quesería!$F$70:$F$89*(1+Quesería!$I$70:$I$89)/(Quesería!$J$70:$J$89+(Quesería!$J$70:$J$89=0)))+SUMPRODUCT((Quesería!$C$70:$C$89=1)*(Quesería!$J$70:$J$89=0)*(L$47=1)*(Quesería!$H$70:$H$89&gt;0)*Quesería!$F$70:$F$89*(1+Quesería!$I$70:$I$89)))-(-$AB$26)*IF(AND(L$47&gt;=2,L$47&lt;=Quesería!$J$86+1),Quesería!$D$86*(1+Quesería!$I$86)/Quesería!$J$86,0))*$C$1169*$AB$21,IF(AND(L$47&gt;=1,L$47&lt;=Quesería!$B$30),Quesería!$F$92/Quesería!$B$30,0)*$B$1169+IF(AND(L$47&gt;=2,L$47&lt;=Quesería!$B$30+1),(Quesería!$F$93-(-$AB$26)*Quesería!$D$86*(1+Quesería!$I$86))/Quesería!$B$30,0)*$C$1169*$AB$21)*$AB$11+IF(AND(L$47&gt;=6,L$47&lt;=10),$G1173*$G1169/5,0)+IF(AND(L$47&gt;=7,L$47&lt;=11),$H1173*$H1169/5,0))*L1171</f>
        <v>112.485821989035</v>
      </c>
    </row>
    <row r="1182" customFormat="false" ht="15" hidden="true" customHeight="false" outlineLevel="1" collapsed="false">
      <c r="A1182" s="9" t="s">
        <v>417</v>
      </c>
      <c r="B1182" s="58" t="n">
        <f aca="false">IF(B$47=1,MIN($AB$7*$AB$26*Quesería!$B$56*Quesería!$D$86*$AB$11*$AB$21,Quesería!$B$57*Quesería!$B$58),0)</f>
        <v>0</v>
      </c>
      <c r="C1182" s="58" t="n">
        <f aca="false">IF(C$47=1,MIN($AB$7*$AB$26*Quesería!$B$56*Quesería!$D$86*$AB$11*$AB$21,Quesería!$B$57*Quesería!$B$58),0)</f>
        <v>20</v>
      </c>
      <c r="D1182" s="58" t="n">
        <f aca="false">IF(D$47=1,MIN($AB$7*$AB$26*Quesería!$B$56*Quesería!$D$86*$AB$11*$AB$21,Quesería!$B$57*Quesería!$B$58),0)</f>
        <v>0</v>
      </c>
      <c r="E1182" s="58" t="n">
        <f aca="false">IF(E$47=1,MIN($AB$7*$AB$26*Quesería!$B$56*Quesería!$D$86*$AB$11*$AB$21,Quesería!$B$57*Quesería!$B$58),0)</f>
        <v>0</v>
      </c>
      <c r="F1182" s="58" t="n">
        <f aca="false">IF(F$47=1,MIN($AB$7*$AB$26*Quesería!$B$56*Quesería!$D$86*$AB$11*$AB$21,Quesería!$B$57*Quesería!$B$58),0)</f>
        <v>0</v>
      </c>
      <c r="G1182" s="58" t="n">
        <f aca="false">IF(G$47=1,MIN($AB$7*$AB$26*Quesería!$B$56*Quesería!$D$86*$AB$11*$AB$21,Quesería!$B$57*Quesería!$B$58),0)</f>
        <v>0</v>
      </c>
      <c r="H1182" s="58" t="n">
        <f aca="false">IF(H$47=1,MIN($AB$7*$AB$26*Quesería!$B$56*Quesería!$D$86*$AB$11*$AB$21,Quesería!$B$57*Quesería!$B$58),0)</f>
        <v>0</v>
      </c>
      <c r="I1182" s="58" t="n">
        <f aca="false">IF(I$47=1,MIN($AB$7*$AB$26*Quesería!$B$56*Quesería!$D$86*$AB$11*$AB$21,Quesería!$B$57*Quesería!$B$58),0)</f>
        <v>0</v>
      </c>
      <c r="J1182" s="58" t="n">
        <f aca="false">IF(J$47=1,MIN($AB$7*$AB$26*Quesería!$B$56*Quesería!$D$86*$AB$11*$AB$21,Quesería!$B$57*Quesería!$B$58),0)</f>
        <v>0</v>
      </c>
      <c r="K1182" s="58" t="n">
        <f aca="false">IF(K$47=1,MIN($AB$7*$AB$26*Quesería!$B$56*Quesería!$D$86*$AB$11*$AB$21,Quesería!$B$57*Quesería!$B$58),0)</f>
        <v>0</v>
      </c>
      <c r="L1182" s="58" t="n">
        <f aca="false">IF(L$47=1,MIN($AB$7*$AB$26*Quesería!$B$56*Quesería!$D$86*$AB$11*$AB$21,Quesería!$B$57*Quesería!$B$58),0)</f>
        <v>0</v>
      </c>
    </row>
    <row r="1183" customFormat="false" ht="15" hidden="true" customHeight="false" outlineLevel="1" collapsed="false">
      <c r="A1183" s="9" t="s">
        <v>418</v>
      </c>
      <c r="B1183" s="58" t="n">
        <v>0</v>
      </c>
      <c r="C1183" s="58" t="n">
        <f aca="false">$AB$20*Quesería!$B$60*Quesería!$F$98*$AB$11*$B$1169/C1169/2</f>
        <v>138.12868344741</v>
      </c>
      <c r="D1183" s="58" t="n">
        <f aca="false">$AB$20*Quesería!$B$60*Quesería!$F$98*$AB$11*$B$1169/D1169/2</f>
        <v>132.18055832288</v>
      </c>
      <c r="E1183" s="58" t="n">
        <v>0</v>
      </c>
      <c r="F1183" s="58" t="n">
        <v>0</v>
      </c>
      <c r="G1183" s="58" t="n">
        <v>0</v>
      </c>
      <c r="H1183" s="58" t="n">
        <v>0</v>
      </c>
      <c r="I1183" s="58" t="n">
        <v>0</v>
      </c>
      <c r="J1183" s="58" t="n">
        <v>0</v>
      </c>
      <c r="K1183" s="58" t="n">
        <v>0</v>
      </c>
      <c r="L1183" s="58" t="n">
        <v>0</v>
      </c>
    </row>
    <row r="1184" customFormat="false" ht="15" hidden="true" customHeight="false" outlineLevel="1" collapsed="false">
      <c r="A1184" s="9" t="s">
        <v>419</v>
      </c>
      <c r="B1184" s="58" t="n">
        <f aca="false">0</f>
        <v>0</v>
      </c>
      <c r="C1184" s="58" t="n">
        <f aca="false">B1174*B1169/C1169</f>
        <v>142.014925295407</v>
      </c>
      <c r="D1184" s="58" t="n">
        <f aca="false">C1174*C1169/D1169</f>
        <v>137.903466668091</v>
      </c>
      <c r="E1184" s="58" t="n">
        <f aca="false">D1174*D1169/E1169</f>
        <v>0</v>
      </c>
      <c r="F1184" s="58" t="n">
        <f aca="false">E1174*E1169/F1169</f>
        <v>0</v>
      </c>
      <c r="G1184" s="58" t="n">
        <f aca="false">F1174*F1169/G1169</f>
        <v>0</v>
      </c>
      <c r="H1184" s="58" t="n">
        <f aca="false">G1174*G1169/H1169</f>
        <v>5.01768392412113</v>
      </c>
      <c r="I1184" s="58" t="n">
        <f aca="false">H1174*H1169/I1169</f>
        <v>8.47494190873221</v>
      </c>
      <c r="J1184" s="58" t="n">
        <f aca="false">I1174*I1169/J1169</f>
        <v>0</v>
      </c>
      <c r="K1184" s="58" t="n">
        <f aca="false">J1174*J1169/K1169</f>
        <v>0</v>
      </c>
      <c r="L1184" s="58" t="n">
        <f aca="false">K1174*K1169/L1169</f>
        <v>0</v>
      </c>
    </row>
    <row r="1185" customFormat="false" ht="15" hidden="true" customHeight="false" outlineLevel="1" collapsed="false">
      <c r="A1185" s="6" t="s">
        <v>295</v>
      </c>
      <c r="B1185" s="29" t="n">
        <f aca="false">$AB$17*(B1177-B1178-B1179-0.5*B1180-B1181)-B1182-B1183-B1184</f>
        <v>-9.59839124703308</v>
      </c>
      <c r="C1185" s="29" t="n">
        <f aca="false">$AB$17*(C1177-C1178-C1179-0.5*C1180-C1181)-C1182-C1183-C1184</f>
        <v>-287.35904962886</v>
      </c>
      <c r="D1185" s="29" t="n">
        <f aca="false">$AB$17*(D1177-D1178-D1179-0.5*D1180-D1181)-D1182-D1183-D1184</f>
        <v>-172.493735844336</v>
      </c>
      <c r="E1185" s="29" t="n">
        <f aca="false">$AB$17*(E1177-E1178-E1179-0.5*E1180-E1181)-E1182-E1183-E1184</f>
        <v>127.708179908365</v>
      </c>
      <c r="F1185" s="29" t="n">
        <f aca="false">$AB$17*(F1177-F1178-F1179-0.5*F1180-F1181)-F1182-F1183-F1184</f>
        <v>129.774820214489</v>
      </c>
      <c r="G1185" s="29" t="n">
        <f aca="false">$AB$17*(G1177-G1178-G1179-0.5*G1180-G1181)-G1182-G1183-G1184</f>
        <v>131.743799404566</v>
      </c>
      <c r="H1185" s="29" t="n">
        <f aca="false">$AB$17*(H1177-H1178-H1179-0.5*H1180-H1181)-H1182-H1183-H1184</f>
        <v>131.086844298431</v>
      </c>
      <c r="I1185" s="29" t="n">
        <f aca="false">$AB$17*(I1177-I1178-I1179-0.5*I1180-I1181)-I1182-I1183-I1184</f>
        <v>126.302280454738</v>
      </c>
      <c r="J1185" s="29" t="n">
        <f aca="false">$AB$17*(J1177-J1178-J1179-0.5*J1180-J1181)-J1182-J1183-J1184</f>
        <v>136.590932301767</v>
      </c>
      <c r="K1185" s="29" t="n">
        <f aca="false">$AB$17*(K1177-K1178-K1179-0.5*K1180-K1181)-K1182-K1183-K1184</f>
        <v>138.339682520474</v>
      </c>
      <c r="L1185" s="29" t="n">
        <f aca="false">$AB$17*(L1177-L1178-L1179-0.5*L1180-L1181)-L1182-L1183-L1184</f>
        <v>140.02599546212</v>
      </c>
    </row>
    <row r="1186" customFormat="false" ht="15" hidden="true" customHeight="false" outlineLevel="1" collapsed="false">
      <c r="A1186" s="9" t="s">
        <v>420</v>
      </c>
      <c r="B1186" s="58" t="n">
        <f aca="false">(IF(B$47&gt;=1,Quesería!$G$124*IF(B$47=1,Quesería!$B$20,1),Quesería!$G$124*Quesería!$B$20*Quesería!$B$21/12*$AB$23)+IF(B$47&gt;=2,(Quesería!$G$125-(1-$AB$24)*Quesería!$G$117-(-$AB$26*$AB$27)*'Beneficios y costos'!$D$167)*$AB$21*IF(B$47=2,Quesería!$B$20,1),0))*$AB$10</f>
        <v>77.4042870161869</v>
      </c>
      <c r="C1186" s="58" t="n">
        <f aca="false">(IF(C$47&gt;=1,Quesería!$G$124*IF(C$47=1,Quesería!$B$20,1),Quesería!$G$124*Quesería!$B$20*Quesería!$B$21/12*$AB$23)+IF(C$47&gt;=2,(Quesería!$G$125-(1-$AB$24)*Quesería!$G$117-(-$AB$26*$AB$27)*'Beneficios y costos'!$D$167)*$AB$21*IF(C$47=2,Quesería!$B$20,1),0))*$AB$10</f>
        <v>116.10643052428</v>
      </c>
      <c r="D1186" s="58" t="n">
        <f aca="false">(IF(D$47&gt;=1,Quesería!$G$124*IF(D$47=1,Quesería!$B$20,1),Quesería!$G$124*Quesería!$B$20*Quesería!$B$21/12*$AB$23)+IF(D$47&gt;=2,(Quesería!$G$125-(1-$AB$24)*Quesería!$G$117-(-$AB$26*$AB$27)*'Beneficios y costos'!$D$167)*$AB$21*IF(D$47=2,Quesería!$B$20,1),0))*$AB$10</f>
        <v>2050.87229020279</v>
      </c>
      <c r="E1186" s="58" t="n">
        <f aca="false">(IF(E$47&gt;=1,Quesería!$G$124*IF(E$47=1,Quesería!$B$20,1),Quesería!$G$124*Quesería!$B$20*Quesería!$B$21/12*$AB$23)+IF(E$47&gt;=2,(Quesería!$G$125-(1-$AB$24)*Quesería!$G$117-(-$AB$26*$AB$27)*'Beneficios y costos'!$D$167)*$AB$21*IF(E$47=2,Quesería!$B$20,1),0))*$AB$10</f>
        <v>2682.89352892626</v>
      </c>
      <c r="F1186" s="58" t="n">
        <f aca="false">(IF(F$47&gt;=1,Quesería!$G$124*IF(F$47=1,Quesería!$B$20,1),Quesería!$G$124*Quesería!$B$20*Quesería!$B$21/12*$AB$23)+IF(F$47&gt;=2,(Quesería!$G$125-(1-$AB$24)*Quesería!$G$117-(-$AB$26*$AB$27)*'Beneficios y costos'!$D$167)*$AB$21*IF(F$47=2,Quesería!$B$20,1),0))*$AB$10</f>
        <v>2682.89352892626</v>
      </c>
      <c r="G1186" s="58" t="n">
        <f aca="false">(IF(G$47&gt;=1,Quesería!$G$124*IF(G$47=1,Quesería!$B$20,1),Quesería!$G$124*Quesería!$B$20*Quesería!$B$21/12*$AB$23)+IF(G$47&gt;=2,(Quesería!$G$125-(1-$AB$24)*Quesería!$G$117-(-$AB$26*$AB$27)*'Beneficios y costos'!$D$167)*$AB$21*IF(G$47=2,Quesería!$B$20,1),0))*$AB$10</f>
        <v>2682.89352892626</v>
      </c>
      <c r="H1186" s="58" t="n">
        <f aca="false">(IF(H$47&gt;=1,Quesería!$G$124*IF(H$47=1,Quesería!$B$20,1),Quesería!$G$124*Quesería!$B$20*Quesería!$B$21/12*$AB$23)+IF(H$47&gt;=2,(Quesería!$G$125-(1-$AB$24)*Quesería!$G$117-(-$AB$26*$AB$27)*'Beneficios y costos'!$D$167)*$AB$21*IF(H$47=2,Quesería!$B$20,1),0))*$AB$10</f>
        <v>2682.89352892626</v>
      </c>
      <c r="I1186" s="58" t="n">
        <f aca="false">(IF(I$47&gt;=1,Quesería!$G$124*IF(I$47=1,Quesería!$B$20,1),Quesería!$G$124*Quesería!$B$20*Quesería!$B$21/12*$AB$23)+IF(I$47&gt;=2,(Quesería!$G$125-(1-$AB$24)*Quesería!$G$117-(-$AB$26*$AB$27)*'Beneficios y costos'!$D$167)*$AB$21*IF(I$47=2,Quesería!$B$20,1),0))*$AB$10</f>
        <v>2682.89352892626</v>
      </c>
      <c r="J1186" s="58" t="n">
        <f aca="false">(IF(J$47&gt;=1,Quesería!$G$124*IF(J$47=1,Quesería!$B$20,1),Quesería!$G$124*Quesería!$B$20*Quesería!$B$21/12*$AB$23)+IF(J$47&gt;=2,(Quesería!$G$125-(1-$AB$24)*Quesería!$G$117-(-$AB$26*$AB$27)*'Beneficios y costos'!$D$167)*$AB$21*IF(J$47=2,Quesería!$B$20,1),0))*$AB$10</f>
        <v>2682.89352892626</v>
      </c>
      <c r="K1186" s="58" t="n">
        <f aca="false">(IF(K$47&gt;=1,Quesería!$G$124*IF(K$47=1,Quesería!$B$20,1),Quesería!$G$124*Quesería!$B$20*Quesería!$B$21/12*$AB$23)+IF(K$47&gt;=2,(Quesería!$G$125-(1-$AB$24)*Quesería!$G$117-(-$AB$26*$AB$27)*'Beneficios y costos'!$D$167)*$AB$21*IF(K$47=2,Quesería!$B$20,1),0))*$AB$10</f>
        <v>2682.89352892626</v>
      </c>
      <c r="L1186" s="58" t="n">
        <f aca="false">(IF(L$47&gt;=1,Quesería!$G$124*IF(L$47=1,Quesería!$B$20,1),Quesería!$G$124*Quesería!$B$20*Quesería!$B$21/12*$AB$23)+IF(L$47&gt;=2,(Quesería!$G$125-(1-$AB$24)*Quesería!$G$117-(-$AB$26*$AB$27)*'Beneficios y costos'!$D$167)*$AB$21*IF(L$47=2,Quesería!$B$20,1),0))*$AB$10</f>
        <v>2682.89352892626</v>
      </c>
    </row>
    <row r="1187" customFormat="false" ht="15" hidden="true" customHeight="false" outlineLevel="1" collapsed="false">
      <c r="A1187" s="6" t="s">
        <v>421</v>
      </c>
      <c r="B1187" s="29" t="n">
        <f aca="false">(B1186*(Quesería!$B$38+Quesería!$B$40*Quesería!$B$39)/365-B1178*Quesería!$B$42/365+IF(B$47&gt;=2,($AB$25*'Beneficios y costos'!$B$147+(1-$AB$25)*'Beneficios y costos'!$B$148)*$AB$24*$AB$21*$AB$10*IF(B$47=2,Quesería!$B$20,1),0))</f>
        <v>7.23146900616979</v>
      </c>
      <c r="C1187" s="29" t="n">
        <f aca="false">(C1186*(Quesería!$B$38+Quesería!$B$40*Quesería!$B$39)/365-C1178*Quesería!$B$42/365+IF(C$47&gt;=2,($AB$25*'Beneficios y costos'!$B$147+(1-$AB$25)*'Beneficios y costos'!$B$148)*$AB$24*$AB$21*$AB$10*IF(C$47=2,Quesería!$B$20,1),0))-(B1186*(Quesería!$B$38+Quesería!$B$40*Quesería!$B$39)/365-B1178*Quesería!$B$42/365+IF(B$47&gt;=2,($AB$25*'Beneficios y costos'!$B$147+(1-$AB$25)*'Beneficios y costos'!$B$148)*$AB$24*$AB$21*$AB$10*IF(B$47=2,Quesería!$B$20,1),0))*B1169/C1169</f>
        <v>1.42287846600884</v>
      </c>
      <c r="D1187" s="29" t="n">
        <f aca="false">(D1186*(Quesería!$B$38+Quesería!$B$40*Quesería!$B$39)/365-D1178*Quesería!$B$42/365+IF(D$47&gt;=2,($AB$25*'Beneficios y costos'!$B$147+(1-$AB$25)*'Beneficios y costos'!$B$148)*$AB$24*$AB$21*$AB$10*IF(D$47=2,Quesería!$B$20,1),0))-(C1186*(Quesería!$B$38+Quesería!$B$40*Quesería!$B$39)/365-C1178*Quesería!$B$42/365+IF(C$47&gt;=2,($AB$25*'Beneficios y costos'!$B$147+(1-$AB$25)*'Beneficios y costos'!$B$148)*$AB$24*$AB$21*$AB$10*IF(C$47=2,Quesería!$B$20,1),0))*C1169/D1169</f>
        <v>122.426066301087</v>
      </c>
      <c r="E1187" s="29" t="n">
        <f aca="false">(E1186*(Quesería!$B$38+Quesería!$B$40*Quesería!$B$39)/365-E1178*Quesería!$B$42/365+IF(E$47&gt;=2,($AB$25*'Beneficios y costos'!$B$147+(1-$AB$25)*'Beneficios y costos'!$B$148)*$AB$24*$AB$21*$AB$10*IF(E$47=2,Quesería!$B$20,1),0))-(D1186*(Quesería!$B$38+Quesería!$B$40*Quesería!$B$39)/365-D1178*Quesería!$B$42/365+IF(D$47&gt;=2,($AB$25*'Beneficios y costos'!$B$147+(1-$AB$25)*'Beneficios y costos'!$B$148)*$AB$24*$AB$21*$AB$10*IF(D$47=2,Quesería!$B$20,1),0))*D1169/E1169</f>
        <v>45.5805979425714</v>
      </c>
      <c r="F1187" s="29" t="n">
        <f aca="false">(F1186*(Quesería!$B$38+Quesería!$B$40*Quesería!$B$39)/365-F1178*Quesería!$B$42/365+IF(F$47&gt;=2,($AB$25*'Beneficios y costos'!$B$147+(1-$AB$25)*'Beneficios y costos'!$B$148)*$AB$24*$AB$21*$AB$10*IF(F$47=2,Quesería!$B$20,1),0))-(E1186*(Quesería!$B$38+Quesería!$B$40*Quesería!$B$39)/365-E1178*Quesería!$B$42/365+IF(E$47&gt;=2,($AB$25*'Beneficios y costos'!$B$147+(1-$AB$25)*'Beneficios y costos'!$B$148)*$AB$24*$AB$21*$AB$10*IF(E$47=2,Quesería!$B$20,1),0))*E1169/F1169</f>
        <v>6.5747793428074</v>
      </c>
      <c r="G1187" s="29" t="n">
        <f aca="false">(G1186*(Quesería!$B$38+Quesería!$B$40*Quesería!$B$39)/365-G1178*Quesería!$B$42/365+IF(G$47&gt;=2,($AB$25*'Beneficios y costos'!$B$147+(1-$AB$25)*'Beneficios y costos'!$B$148)*$AB$24*$AB$21*$AB$10*IF(G$47=2,Quesería!$B$20,1),0))-(F1186*(Quesería!$B$38+Quesería!$B$40*Quesería!$B$39)/365-F1178*Quesería!$B$42/365+IF(F$47&gt;=2,($AB$25*'Beneficios y costos'!$B$147+(1-$AB$25)*'Beneficios y costos'!$B$148)*$AB$24*$AB$21*$AB$10*IF(F$47=2,Quesería!$B$20,1),0))*F1169/G1169</f>
        <v>6.57477934280743</v>
      </c>
      <c r="H1187" s="29" t="n">
        <f aca="false">(H1186*(Quesería!$B$38+Quesería!$B$40*Quesería!$B$39)/365-H1178*Quesería!$B$42/365+IF(H$47&gt;=2,($AB$25*'Beneficios y costos'!$B$147+(1-$AB$25)*'Beneficios y costos'!$B$148)*$AB$24*$AB$21*$AB$10*IF(H$47=2,Quesería!$B$20,1),0))-(G1186*(Quesería!$B$38+Quesería!$B$40*Quesería!$B$39)/365-G1178*Quesería!$B$42/365+IF(G$47&gt;=2,($AB$25*'Beneficios y costos'!$B$147+(1-$AB$25)*'Beneficios y costos'!$B$148)*$AB$24*$AB$21*$AB$10*IF(G$47=2,Quesería!$B$20,1),0))*G1169/H1169</f>
        <v>6.57477934280743</v>
      </c>
      <c r="I1187" s="29" t="n">
        <f aca="false">(I1186*(Quesería!$B$38+Quesería!$B$40*Quesería!$B$39)/365-I1178*Quesería!$B$42/365+IF(I$47&gt;=2,($AB$25*'Beneficios y costos'!$B$147+(1-$AB$25)*'Beneficios y costos'!$B$148)*$AB$24*$AB$21*$AB$10*IF(I$47=2,Quesería!$B$20,1),0))-(H1186*(Quesería!$B$38+Quesería!$B$40*Quesería!$B$39)/365-H1178*Quesería!$B$42/365+IF(H$47&gt;=2,($AB$25*'Beneficios y costos'!$B$147+(1-$AB$25)*'Beneficios y costos'!$B$148)*$AB$24*$AB$21*$AB$10*IF(H$47=2,Quesería!$B$20,1),0))*H1169/I1169</f>
        <v>6.5747793428074</v>
      </c>
      <c r="J1187" s="29" t="n">
        <f aca="false">(J1186*(Quesería!$B$38+Quesería!$B$40*Quesería!$B$39)/365-J1178*Quesería!$B$42/365+IF(J$47&gt;=2,($AB$25*'Beneficios y costos'!$B$147+(1-$AB$25)*'Beneficios y costos'!$B$148)*$AB$24*$AB$21*$AB$10*IF(J$47=2,Quesería!$B$20,1),0))-(I1186*(Quesería!$B$38+Quesería!$B$40*Quesería!$B$39)/365-I1178*Quesería!$B$42/365+IF(I$47&gt;=2,($AB$25*'Beneficios y costos'!$B$147+(1-$AB$25)*'Beneficios y costos'!$B$148)*$AB$24*$AB$21*$AB$10*IF(I$47=2,Quesería!$B$20,1),0))*I1169/J1169</f>
        <v>6.57477934280743</v>
      </c>
      <c r="K1187" s="29" t="n">
        <f aca="false">(K1186*(Quesería!$B$38+Quesería!$B$40*Quesería!$B$39)/365-K1178*Quesería!$B$42/365+IF(K$47&gt;=2,($AB$25*'Beneficios y costos'!$B$147+(1-$AB$25)*'Beneficios y costos'!$B$148)*$AB$24*$AB$21*$AB$10*IF(K$47=2,Quesería!$B$20,1),0))-(J1186*(Quesería!$B$38+Quesería!$B$40*Quesería!$B$39)/365-J1178*Quesería!$B$42/365+IF(J$47&gt;=2,($AB$25*'Beneficios y costos'!$B$147+(1-$AB$25)*'Beneficios y costos'!$B$148)*$AB$24*$AB$21*$AB$10*IF(J$47=2,Quesería!$B$20,1),0))*J1169/K1169</f>
        <v>6.57477934280743</v>
      </c>
      <c r="L1187" s="29" t="n">
        <f aca="false">-(K1186*(Quesería!$B$38+Quesería!$B$40*Quesería!$B$39)/365-K1178*Quesería!$B$42/365+IF(K$47&gt;=2,($AB$25*'Beneficios y costos'!$B$147+(1-$AB$25)*'Beneficios y costos'!$B$148)*$AB$24*$AB$21*$AB$10*IF(K$47=2,Quesería!$B$20,1),0))*K1169/L1169</f>
        <v>-164.369483570186</v>
      </c>
    </row>
    <row r="1188" customFormat="false" ht="15" hidden="true" customHeight="false" outlineLevel="1" collapsed="false">
      <c r="A1188" s="6" t="s">
        <v>422</v>
      </c>
      <c r="B1188" s="29" t="n">
        <v>0</v>
      </c>
      <c r="C1188" s="29" t="n">
        <v>0</v>
      </c>
      <c r="D1188" s="29" t="n">
        <v>0</v>
      </c>
      <c r="E1188" s="29" t="n">
        <v>0</v>
      </c>
      <c r="F1188" s="29" t="n">
        <v>0</v>
      </c>
      <c r="G1188" s="29" t="n">
        <v>0</v>
      </c>
      <c r="H1188" s="29" t="n">
        <v>0</v>
      </c>
      <c r="I1188" s="29" t="n">
        <v>0</v>
      </c>
      <c r="J1188" s="29" t="n">
        <v>0</v>
      </c>
      <c r="K1188" s="29" t="n">
        <v>0</v>
      </c>
      <c r="L1188" s="29" t="n">
        <f aca="false">$AB$8*Quesería!$B$36*(Quesería!$F$94+(Quesería!$F$95-(-$AB$26)*Quesería!$D$86)*$AB$21)*$AB$11*(1-$AB$17)</f>
        <v>67.1237725584543</v>
      </c>
    </row>
    <row r="1189" customFormat="false" ht="15" hidden="true" customHeight="false" outlineLevel="1" collapsed="false">
      <c r="A1189" s="5" t="s">
        <v>147</v>
      </c>
      <c r="B1189" s="59" t="n">
        <f aca="false">B1177-B1178-B1179-B1180-B1185-B1172-B1173-B1174-B1187+B1188</f>
        <v>-961.151880133756</v>
      </c>
      <c r="C1189" s="59" t="n">
        <f aca="false">C1177-C1178-C1179-C1180-C1185-C1172-C1173-C1174-C1187+C1188</f>
        <v>-499.777758451238</v>
      </c>
      <c r="D1189" s="59" t="n">
        <f aca="false">D1177-D1178-D1179-D1180-D1185-D1172-D1173-D1174-D1187+D1188</f>
        <v>480.006839582983</v>
      </c>
      <c r="E1189" s="59" t="n">
        <f aca="false">E1177-E1178-E1179-E1180-E1185-E1172-E1173-E1174-E1187+E1188</f>
        <v>336.882214075254</v>
      </c>
      <c r="F1189" s="59" t="n">
        <f aca="false">F1177-F1178-F1179-F1180-F1185-F1172-F1173-F1174-F1187+F1188</f>
        <v>374.130603404329</v>
      </c>
      <c r="G1189" s="59" t="n">
        <f aca="false">G1177-G1178-G1179-G1180-G1185-G1172-G1173-G1174-G1187+G1188</f>
        <v>339.658038320706</v>
      </c>
      <c r="H1189" s="59" t="n">
        <f aca="false">H1177-H1178-H1179-H1180-H1185-H1172-H1173-H1174-H1187+H1188</f>
        <v>318.017739609846</v>
      </c>
      <c r="I1189" s="59" t="n">
        <f aca="false">I1177-I1178-I1179-I1180-I1185-I1172-I1173-I1174-I1187+I1188</f>
        <v>378.540083561205</v>
      </c>
      <c r="J1189" s="59" t="n">
        <f aca="false">J1177-J1178-J1179-J1180-J1185-J1172-J1173-J1174-J1187+J1188</f>
        <v>368.566873506776</v>
      </c>
      <c r="K1189" s="59" t="n">
        <f aca="false">K1177-K1178-K1179-K1180-K1185-K1172-K1173-K1174-K1187+K1188</f>
        <v>367.13514228963</v>
      </c>
      <c r="L1189" s="59" t="n">
        <f aca="false">L1177-L1178-L1179-L1180-L1185-L1172-L1173-L1174-L1187+L1188</f>
        <v>603.835468916001</v>
      </c>
    </row>
    <row r="1190" customFormat="false" ht="15" hidden="true" customHeight="false" outlineLevel="1" collapsed="false">
      <c r="A1190" s="9" t="s">
        <v>423</v>
      </c>
      <c r="B1190" s="58" t="n">
        <f aca="false">B1189*B1169</f>
        <v>-1018.82099294178</v>
      </c>
      <c r="C1190" s="58" t="n">
        <f aca="false">C1189*C1169</f>
        <v>-556.252645156228</v>
      </c>
      <c r="D1190" s="58" t="n">
        <f aca="false">D1189*D1169</f>
        <v>558.288755016374</v>
      </c>
      <c r="E1190" s="58" t="n">
        <f aca="false">E1189*E1169</f>
        <v>407.495555956025</v>
      </c>
      <c r="F1190" s="58" t="n">
        <f aca="false">F1189*F1169</f>
        <v>470.653581397943</v>
      </c>
      <c r="G1190" s="58" t="n">
        <f aca="false">G1189*G1169</f>
        <v>444.378838728716</v>
      </c>
      <c r="H1190" s="58" t="n">
        <f aca="false">H1189*H1169</f>
        <v>432.709229266349</v>
      </c>
      <c r="I1190" s="58" t="n">
        <f aca="false">I1189*I1169</f>
        <v>535.660996538578</v>
      </c>
      <c r="J1190" s="58" t="n">
        <f aca="false">J1189*J1169</f>
        <v>542.410126748701</v>
      </c>
      <c r="K1190" s="58" t="n">
        <f aca="false">K1189*K1169</f>
        <v>561.915209186434</v>
      </c>
      <c r="L1190" s="58" t="n">
        <f aca="false">L1189*L1169</f>
        <v>961.162434580959</v>
      </c>
    </row>
    <row r="1191" customFormat="false" ht="15" hidden="true" customHeight="false" outlineLevel="1" collapsed="false">
      <c r="A1191" s="6" t="s">
        <v>424</v>
      </c>
      <c r="B1191" s="29" t="n">
        <f aca="false">B1189</f>
        <v>-961.151880133756</v>
      </c>
      <c r="C1191" s="29" t="n">
        <f aca="false">B1191+C1189</f>
        <v>-1460.92963858499</v>
      </c>
      <c r="D1191" s="29" t="n">
        <f aca="false">C1191+D1189</f>
        <v>-980.92279900201</v>
      </c>
      <c r="E1191" s="29" t="n">
        <f aca="false">D1191+E1189</f>
        <v>-644.040584926756</v>
      </c>
      <c r="F1191" s="29" t="n">
        <f aca="false">E1191+F1189</f>
        <v>-269.909981522427</v>
      </c>
      <c r="G1191" s="29" t="n">
        <f aca="false">F1191+G1189</f>
        <v>69.7480567982788</v>
      </c>
      <c r="H1191" s="29" t="n">
        <f aca="false">G1191+H1189</f>
        <v>387.765796408125</v>
      </c>
      <c r="I1191" s="29" t="n">
        <f aca="false">H1191+I1189</f>
        <v>766.30587996933</v>
      </c>
      <c r="J1191" s="29" t="n">
        <f aca="false">I1191+J1189</f>
        <v>1134.87275347611</v>
      </c>
      <c r="K1191" s="29" t="n">
        <f aca="false">J1191+K1189</f>
        <v>1502.00789576574</v>
      </c>
      <c r="L1191" s="29" t="n">
        <f aca="false">K1191+L1189</f>
        <v>2105.84336468174</v>
      </c>
    </row>
    <row r="1192" customFormat="false" ht="15" hidden="true" customHeight="false" outlineLevel="1" collapsed="false">
      <c r="A1192" s="9" t="s">
        <v>425</v>
      </c>
      <c r="B1192" s="60" t="n">
        <v>0</v>
      </c>
      <c r="C1192" s="60" t="n">
        <f aca="false">IF(AND(B1191&lt;0,C1191&gt;=0),B$47+(-B1191)/C1189,0)</f>
        <v>0</v>
      </c>
      <c r="D1192" s="60" t="n">
        <f aca="false">IF(AND(C1191&lt;0,D1191&gt;=0),C$47+(-C1191)/D1189,0)</f>
        <v>0</v>
      </c>
      <c r="E1192" s="60" t="n">
        <f aca="false">IF(AND(D1191&lt;0,E1191&gt;=0),D$47+(-D1191)/E1189,0)</f>
        <v>0</v>
      </c>
      <c r="F1192" s="60" t="n">
        <f aca="false">IF(AND(E1191&lt;0,F1191&gt;=0),E$47+(-E1191)/F1189,0)</f>
        <v>0</v>
      </c>
      <c r="G1192" s="60" t="n">
        <f aca="false">IF(AND(F1191&lt;0,G1191&gt;=0),F$47+(-F1191)/G1189,0)</f>
        <v>4.79465212381512</v>
      </c>
      <c r="H1192" s="60" t="n">
        <f aca="false">IF(AND(G1191&lt;0,H1191&gt;=0),G$47+(-G1191)/H1189,0)</f>
        <v>0</v>
      </c>
      <c r="I1192" s="60" t="n">
        <f aca="false">IF(AND(H1191&lt;0,I1191&gt;=0),H$47+(-H1191)/I1189,0)</f>
        <v>0</v>
      </c>
      <c r="J1192" s="60" t="n">
        <f aca="false">IF(AND(I1191&lt;0,J1191&gt;=0),I$47+(-I1191)/J1189,0)</f>
        <v>0</v>
      </c>
      <c r="K1192" s="60" t="n">
        <f aca="false">IF(AND(J1191&lt;0,K1191&gt;=0),J$47+(-J1191)/K1189,0)</f>
        <v>0</v>
      </c>
      <c r="L1192" s="60" t="n">
        <f aca="false">IF(AND(K1191&lt;0,L1191&gt;=0),K$47+(-K1191)/L1189,0)</f>
        <v>0</v>
      </c>
    </row>
    <row r="1193" customFormat="false" ht="15" hidden="true" customHeight="false" outlineLevel="1" collapsed="false">
      <c r="A1193" s="9" t="s">
        <v>426</v>
      </c>
      <c r="B1193" s="57" t="n">
        <f aca="false">(B1169/$B$1169)/(1+$AB$29)^B$47</f>
        <v>1</v>
      </c>
      <c r="C1193" s="57" t="n">
        <f aca="false">(C1169/$B$1169)/(1+$AB$29)^C$47</f>
        <v>0.915373701313561</v>
      </c>
      <c r="D1193" s="57" t="n">
        <f aca="false">(D1169/$B$1169)/(1+$AB$29)^D$47</f>
        <v>0.833918970137172</v>
      </c>
      <c r="E1193" s="57" t="n">
        <f aca="false">(E1169/$B$1169)/(1+$AB$29)^E$47</f>
        <v>0.756077518153961</v>
      </c>
      <c r="F1193" s="57" t="n">
        <f aca="false">(F1169/$B$1169)/(1+$AB$29)^F$47</f>
        <v>0.685502109831871</v>
      </c>
      <c r="G1193" s="57" t="n">
        <f aca="false">(G1169/$B$1169)/(1+$AB$29)^G$47</f>
        <v>0.621514502549008</v>
      </c>
      <c r="H1193" s="57" t="n">
        <f aca="false">(H1169/$B$1169)/(1+$AB$29)^H$47</f>
        <v>0.563499763660072</v>
      </c>
      <c r="I1193" s="57" t="n">
        <f aca="false">(I1169/$B$1169)/(1+$AB$29)^I$47</f>
        <v>0.510900360880829</v>
      </c>
      <c r="J1193" s="57" t="n">
        <f aca="false">(J1169/$B$1169)/(1+$AB$29)^J$47</f>
        <v>0.463210804300567</v>
      </c>
      <c r="K1193" s="57" t="n">
        <f aca="false">(K1169/$B$1169)/(1+$AB$29)^K$47</f>
        <v>0.419972788531318</v>
      </c>
      <c r="L1193" s="57" t="n">
        <f aca="false">(L1169/$B$1169)/(1+$AB$29)^L$47</f>
        <v>0.380770788308996</v>
      </c>
    </row>
    <row r="1194" customFormat="false" ht="15" hidden="true" customHeight="false" outlineLevel="1" collapsed="false">
      <c r="A1194" s="9" t="s">
        <v>427</v>
      </c>
      <c r="B1194" s="58" t="n">
        <f aca="false">B1189*B1193</f>
        <v>-961.151880133756</v>
      </c>
      <c r="C1194" s="58" t="n">
        <f aca="false">C1189*C1193</f>
        <v>-457.483416587705</v>
      </c>
      <c r="D1194" s="58" t="n">
        <f aca="false">D1189*D1193</f>
        <v>400.28680932384</v>
      </c>
      <c r="E1194" s="58" t="n">
        <f aca="false">E1189*E1193</f>
        <v>254.709068328229</v>
      </c>
      <c r="F1194" s="58" t="n">
        <f aca="false">F1189*F1193</f>
        <v>256.467317986339</v>
      </c>
      <c r="G1194" s="58" t="n">
        <f aca="false">G1189*G1193</f>
        <v>211.102396723665</v>
      </c>
      <c r="H1194" s="58" t="n">
        <f aca="false">H1189*H1193</f>
        <v>179.202921109859</v>
      </c>
      <c r="I1194" s="58" t="n">
        <f aca="false">I1189*I1193</f>
        <v>193.396265299279</v>
      </c>
      <c r="J1194" s="58" t="n">
        <f aca="false">J1189*J1193</f>
        <v>170.724157915619</v>
      </c>
      <c r="K1194" s="58" t="n">
        <f aca="false">K1189*K1193</f>
        <v>154.186769475218</v>
      </c>
      <c r="L1194" s="58" t="n">
        <f aca="false">L1189*L1193</f>
        <v>229.922907508078</v>
      </c>
    </row>
    <row r="1195" customFormat="false" ht="15" hidden="true" customHeight="false" outlineLevel="1" collapsed="false">
      <c r="A1195" s="9" t="s">
        <v>428</v>
      </c>
      <c r="B1195" s="58" t="n">
        <f aca="false">B1194</f>
        <v>-961.151880133756</v>
      </c>
      <c r="C1195" s="58" t="n">
        <f aca="false">B1195+C1194</f>
        <v>-1418.63529672146</v>
      </c>
      <c r="D1195" s="58" t="n">
        <f aca="false">C1195+D1194</f>
        <v>-1018.34848739762</v>
      </c>
      <c r="E1195" s="58" t="n">
        <f aca="false">D1195+E1194</f>
        <v>-763.639419069391</v>
      </c>
      <c r="F1195" s="58" t="n">
        <f aca="false">E1195+F1194</f>
        <v>-507.172101083052</v>
      </c>
      <c r="G1195" s="58" t="n">
        <f aca="false">F1195+G1194</f>
        <v>-296.069704359387</v>
      </c>
      <c r="H1195" s="58" t="n">
        <f aca="false">G1195+H1194</f>
        <v>-116.866783249528</v>
      </c>
      <c r="I1195" s="58" t="n">
        <f aca="false">H1195+I1194</f>
        <v>76.5294820497511</v>
      </c>
      <c r="J1195" s="58" t="n">
        <f aca="false">I1195+J1194</f>
        <v>247.25363996537</v>
      </c>
      <c r="K1195" s="58" t="n">
        <f aca="false">J1195+K1194</f>
        <v>401.440409440588</v>
      </c>
      <c r="L1195" s="58" t="n">
        <f aca="false">K1195+L1194</f>
        <v>631.363316948666</v>
      </c>
    </row>
    <row r="1196" customFormat="false" ht="15" hidden="true" customHeight="false" outlineLevel="1" collapsed="false">
      <c r="A1196" s="9" t="s">
        <v>429</v>
      </c>
      <c r="B1196" s="60" t="n">
        <v>0</v>
      </c>
      <c r="C1196" s="60" t="n">
        <f aca="false">IF(AND(B1195&lt;0,C1195&gt;=0),B$47+(-B1195)/C1194,0)</f>
        <v>0</v>
      </c>
      <c r="D1196" s="60" t="n">
        <f aca="false">IF(AND(C1195&lt;0,D1195&gt;=0),C$47+(-C1195)/D1194,0)</f>
        <v>0</v>
      </c>
      <c r="E1196" s="60" t="n">
        <f aca="false">IF(AND(D1195&lt;0,E1195&gt;=0),D$47+(-D1195)/E1194,0)</f>
        <v>0</v>
      </c>
      <c r="F1196" s="60" t="n">
        <f aca="false">IF(AND(E1195&lt;0,F1195&gt;=0),E$47+(-E1195)/F1194,0)</f>
        <v>0</v>
      </c>
      <c r="G1196" s="60" t="n">
        <f aca="false">IF(AND(F1195&lt;0,G1195&gt;=0),F$47+(-F1195)/G1194,0)</f>
        <v>0</v>
      </c>
      <c r="H1196" s="60" t="n">
        <f aca="false">IF(AND(G1195&lt;0,H1195&gt;=0),G$47+(-G1195)/H1194,0)</f>
        <v>0</v>
      </c>
      <c r="I1196" s="60" t="n">
        <f aca="false">IF(AND(H1195&lt;0,I1195&gt;=0),H$47+(-H1195)/I1194,0)</f>
        <v>6.6042866601828</v>
      </c>
      <c r="J1196" s="60" t="n">
        <f aca="false">IF(AND(I1195&lt;0,J1195&gt;=0),I$47+(-I1195)/J1194,0)</f>
        <v>0</v>
      </c>
      <c r="K1196" s="60" t="n">
        <f aca="false">IF(AND(J1195&lt;0,K1195&gt;=0),J$47+(-J1195)/K1194,0)</f>
        <v>0</v>
      </c>
      <c r="L1196" s="60" t="n">
        <f aca="false">IF(AND(K1195&lt;0,L1195&gt;=0),K$47+(-K1195)/L1194,0)</f>
        <v>0</v>
      </c>
    </row>
    <row r="1197" customFormat="false" ht="15" hidden="true" customHeight="false" outlineLevel="1" collapsed="false">
      <c r="A1197" s="9" t="s">
        <v>430</v>
      </c>
      <c r="B1197" s="58" t="n">
        <f aca="false">IF(B$47&lt;0,0,(Quesería!$B$44*$B$1172*$B$1169)*(1-MAX(0,MIN(B$47-0-Quesería!$B$47,(Quesería!$B$46-Quesería!$B$47)))/(Quesería!$B$46-Quesería!$B$47))*IF(B$47&gt;=2,1-Quesería!$B$48,1))+IF(B$47&lt;1,0,(Quesería!$B$44*$C$1172*$C$1169)*(1-MAX(0,MIN(B$47-1-Quesería!$B$47,(Quesería!$B$46-Quesería!$B$47)))/(Quesería!$B$46-Quesería!$B$47))*IF(B$47&gt;=2,1-Quesería!$B$48,1))</f>
        <v>641.321364968425</v>
      </c>
      <c r="C1197" s="58" t="n">
        <f aca="false">IF(C$47&lt;0,0,(Quesería!$B$44*$B$1172*$B$1169)*(1-MAX(0,MIN(C$47-0-Quesería!$B$47,(Quesería!$B$46-Quesería!$B$47)))/(Quesería!$B$46-Quesería!$B$47))*IF(C$47&gt;=2,1-Quesería!$B$48,1))+IF(C$47&lt;1,0,(Quesería!$B$44*$C$1172*$C$1169)*(1-MAX(0,MIN(C$47-1-Quesería!$B$47,(Quesería!$B$46-Quesería!$B$47)))/(Quesería!$B$46-Quesería!$B$47))*IF(C$47&gt;=2,1-Quesería!$B$48,1))</f>
        <v>1190.03581125409</v>
      </c>
      <c r="D1197" s="58" t="n">
        <f aca="false">IF(D$47&lt;0,0,(Quesería!$B$44*$B$1172*$B$1169)*(1-MAX(0,MIN(D$47-0-Quesería!$B$47,(Quesería!$B$46-Quesería!$B$47)))/(Quesería!$B$46-Quesería!$B$47))*IF(D$47&gt;=2,1-Quesería!$B$48,1))+IF(D$47&lt;1,0,(Quesería!$B$44*$C$1172*$C$1169)*(1-MAX(0,MIN(D$47-1-Quesería!$B$47,(Quesería!$B$46-Quesería!$B$47)))/(Quesería!$B$46-Quesería!$B$47))*IF(D$47&gt;=2,1-Quesería!$B$48,1))</f>
        <v>1083.14891709269</v>
      </c>
      <c r="E1197" s="58" t="n">
        <f aca="false">IF(E$47&lt;0,0,(Quesería!$B$44*$B$1172*$B$1169)*(1-MAX(0,MIN(E$47-0-Quesería!$B$47,(Quesería!$B$46-Quesería!$B$47)))/(Quesería!$B$46-Quesería!$B$47))*IF(E$47&gt;=2,1-Quesería!$B$48,1))+IF(E$47&lt;1,0,(Quesería!$B$44*$C$1172*$C$1169)*(1-MAX(0,MIN(E$47-1-Quesería!$B$47,(Quesería!$B$46-Quesería!$B$47)))/(Quesería!$B$46-Quesería!$B$47))*IF(E$47&gt;=2,1-Quesería!$B$48,1))</f>
        <v>884.809615217005</v>
      </c>
      <c r="F1197" s="58" t="n">
        <f aca="false">IF(F$47&lt;0,0,(Quesería!$B$44*$B$1172*$B$1169)*(1-MAX(0,MIN(F$47-0-Quesería!$B$47,(Quesería!$B$46-Quesería!$B$47)))/(Quesería!$B$46-Quesería!$B$47))*IF(F$47&gt;=2,1-Quesería!$B$48,1))+IF(F$47&lt;1,0,(Quesería!$B$44*$C$1172*$C$1169)*(1-MAX(0,MIN(F$47-1-Quesería!$B$47,(Quesería!$B$46-Quesería!$B$47)))/(Quesería!$B$46-Quesería!$B$47))*IF(F$47&gt;=2,1-Quesería!$B$48,1))</f>
        <v>686.470313341323</v>
      </c>
      <c r="G1197" s="58" t="n">
        <f aca="false">IF(G$47&lt;0,0,(Quesería!$B$44*$B$1172*$B$1169)*(1-MAX(0,MIN(G$47-0-Quesería!$B$47,(Quesería!$B$46-Quesería!$B$47)))/(Quesería!$B$46-Quesería!$B$47))*IF(G$47&gt;=2,1-Quesería!$B$48,1))+IF(G$47&lt;1,0,(Quesería!$B$44*$C$1172*$C$1169)*(1-MAX(0,MIN(G$47-1-Quesería!$B$47,(Quesería!$B$46-Quesería!$B$47)))/(Quesería!$B$46-Quesería!$B$47))*IF(G$47&gt;=2,1-Quesería!$B$48,1))</f>
        <v>488.131011465641</v>
      </c>
      <c r="H1197" s="58" t="n">
        <f aca="false">IF(H$47&lt;0,0,(Quesería!$B$44*$B$1172*$B$1169)*(1-MAX(0,MIN(H$47-0-Quesería!$B$47,(Quesería!$B$46-Quesería!$B$47)))/(Quesería!$B$46-Quesería!$B$47))*IF(H$47&gt;=2,1-Quesería!$B$48,1))+IF(H$47&lt;1,0,(Quesería!$B$44*$C$1172*$C$1169)*(1-MAX(0,MIN(H$47-1-Quesería!$B$47,(Quesería!$B$46-Quesería!$B$47)))/(Quesería!$B$46-Quesería!$B$47))*IF(H$47&gt;=2,1-Quesería!$B$48,1))</f>
        <v>289.79170958996</v>
      </c>
      <c r="I1197" s="58" t="n">
        <f aca="false">IF(I$47&lt;0,0,(Quesería!$B$44*$B$1172*$B$1169)*(1-MAX(0,MIN(I$47-0-Quesería!$B$47,(Quesería!$B$46-Quesería!$B$47)))/(Quesería!$B$46-Quesería!$B$47))*IF(I$47&gt;=2,1-Quesería!$B$48,1))+IF(I$47&lt;1,0,(Quesería!$B$44*$C$1172*$C$1169)*(1-MAX(0,MIN(I$47-1-Quesería!$B$47,(Quesería!$B$46-Quesería!$B$47)))/(Quesería!$B$46-Quesería!$B$47))*IF(I$47&gt;=2,1-Quesería!$B$48,1))</f>
        <v>91.4524077142776</v>
      </c>
      <c r="J1197" s="58" t="n">
        <f aca="false">IF(J$47&lt;0,0,(Quesería!$B$44*$B$1172*$B$1169)*(1-MAX(0,MIN(J$47-0-Quesería!$B$47,(Quesería!$B$46-Quesería!$B$47)))/(Quesería!$B$46-Quesería!$B$47))*IF(J$47&gt;=2,1-Quesería!$B$48,1))+IF(J$47&lt;1,0,(Quesería!$B$44*$C$1172*$C$1169)*(1-MAX(0,MIN(J$47-1-Quesería!$B$47,(Quesería!$B$46-Quesería!$B$47)))/(Quesería!$B$46-Quesería!$B$47))*IF(J$47&gt;=2,1-Quesería!$B$48,1))</f>
        <v>0</v>
      </c>
      <c r="K1197" s="58" t="n">
        <f aca="false">IF(K$47&lt;0,0,(Quesería!$B$44*$B$1172*$B$1169)*(1-MAX(0,MIN(K$47-0-Quesería!$B$47,(Quesería!$B$46-Quesería!$B$47)))/(Quesería!$B$46-Quesería!$B$47))*IF(K$47&gt;=2,1-Quesería!$B$48,1))+IF(K$47&lt;1,0,(Quesería!$B$44*$C$1172*$C$1169)*(1-MAX(0,MIN(K$47-1-Quesería!$B$47,(Quesería!$B$46-Quesería!$B$47)))/(Quesería!$B$46-Quesería!$B$47))*IF(K$47&gt;=2,1-Quesería!$B$48,1))</f>
        <v>0</v>
      </c>
      <c r="L1197" s="58" t="n">
        <f aca="false">IF(L$47&lt;0,0,(Quesería!$B$44*$B$1172*$B$1169)*(1-MAX(0,MIN(L$47-0-Quesería!$B$47,(Quesería!$B$46-Quesería!$B$47)))/(Quesería!$B$46-Quesería!$B$47))*IF(L$47&gt;=2,1-Quesería!$B$48,1))+IF(L$47&lt;1,0,(Quesería!$B$44*$C$1172*$C$1169)*(1-MAX(0,MIN(L$47-1-Quesería!$B$47,(Quesería!$B$46-Quesería!$B$47)))/(Quesería!$B$46-Quesería!$B$47))*IF(L$47&gt;=2,1-Quesería!$B$48,1))</f>
        <v>0</v>
      </c>
    </row>
    <row r="1198" customFormat="false" ht="15" hidden="true" customHeight="false" outlineLevel="1" collapsed="false">
      <c r="A1198" s="6" t="s">
        <v>431</v>
      </c>
      <c r="B1198" s="29" t="n">
        <f aca="false">Quesería!$B$44*B1172</f>
        <v>605.02015563059</v>
      </c>
      <c r="C1198" s="29" t="n">
        <f aca="false">Quesería!$B$44*C1172</f>
        <v>493.004893338424</v>
      </c>
      <c r="D1198" s="29" t="n">
        <f aca="false">Quesería!$B$44*D1172</f>
        <v>0</v>
      </c>
      <c r="E1198" s="29" t="n">
        <f aca="false">Quesería!$B$44*E1172</f>
        <v>0</v>
      </c>
      <c r="F1198" s="29" t="n">
        <f aca="false">Quesería!$B$44*F1172</f>
        <v>0</v>
      </c>
      <c r="G1198" s="29" t="n">
        <f aca="false">Quesería!$B$44*G1172</f>
        <v>0</v>
      </c>
      <c r="H1198" s="29" t="n">
        <f aca="false">Quesería!$B$44*H1172</f>
        <v>0</v>
      </c>
      <c r="I1198" s="29" t="n">
        <f aca="false">Quesería!$B$44*I1172</f>
        <v>0</v>
      </c>
      <c r="J1198" s="29" t="n">
        <f aca="false">Quesería!$B$44*J1172</f>
        <v>0</v>
      </c>
      <c r="K1198" s="29" t="n">
        <f aca="false">Quesería!$B$44*K1172</f>
        <v>0</v>
      </c>
      <c r="L1198" s="29" t="n">
        <f aca="false">Quesería!$B$44*L1172</f>
        <v>0</v>
      </c>
    </row>
    <row r="1199" customFormat="false" ht="15" hidden="true" customHeight="false" outlineLevel="1" collapsed="false">
      <c r="A1199" s="6" t="s">
        <v>432</v>
      </c>
      <c r="B1199" s="29" t="n">
        <f aca="false">(IF(AND(B$47&gt;0,B$47&lt;=0+Quesería!$B$46),($AB$14+$AB$28)*(Quesería!$B$44*$B$1172*$B$1169)*(1-MAX(0,MIN((B$47-1)-0-Quesería!$B$47,(Quesería!$B$46-Quesería!$B$47)))/(Quesería!$B$46-Quesería!$B$47))*IF(B$47&gt;2,1-Quesería!$B$48,1),0)+IF(AND(B$47&gt;1,B$47&lt;=1+Quesería!$B$46),($AB$14+$AB$28)*(Quesería!$B$44*$C$1172*$C$1169)*(1-MAX(0,MIN((B$47-1)-1-Quesería!$B$47,(Quesería!$B$46-Quesería!$B$47)))/(Quesería!$B$46-Quesería!$B$47))*IF(B$47&gt;2,1-Quesería!$B$48,1),0))*B1171</f>
        <v>0</v>
      </c>
      <c r="C1199" s="29" t="n">
        <f aca="false">(IF(AND(C$47&gt;0,C$47&lt;=0+Quesería!$B$46),($AB$14+$AB$28)*(Quesería!$B$44*$B$1172*$B$1169)*(1-MAX(0,MIN((C$47-1)-0-Quesería!$B$47,(Quesería!$B$46-Quesería!$B$47)))/(Quesería!$B$46-Quesería!$B$47))*IF(C$47&gt;2,1-Quesería!$B$48,1),0)+IF(AND(C$47&gt;1,C$47&lt;=1+Quesería!$B$46),($AB$14+$AB$28)*(Quesería!$B$44*$C$1172*$C$1169)*(1-MAX(0,MIN((C$47-1)-1-Quesería!$B$47,(Quesería!$B$46-Quesería!$B$47)))/(Quesería!$B$46-Quesería!$B$47))*IF(C$47&gt;2,1-Quesería!$B$48,1),0))*C1171</f>
        <v>81.2455637561078</v>
      </c>
      <c r="D1199" s="29" t="n">
        <f aca="false">(IF(AND(D$47&gt;0,D$47&lt;=0+Quesería!$B$46),($AB$14+$AB$28)*(Quesería!$B$44*$B$1172*$B$1169)*(1-MAX(0,MIN((D$47-1)-0-Quesería!$B$47,(Quesería!$B$46-Quesería!$B$47)))/(Quesería!$B$46-Quesería!$B$47))*IF(D$47&gt;2,1-Quesería!$B$48,1),0)+IF(AND(D$47&gt;1,D$47&lt;=1+Quesería!$B$46),($AB$14+$AB$28)*(Quesería!$B$44*$C$1172*$C$1169)*(1-MAX(0,MIN((D$47-1)-1-Quesería!$B$47,(Quesería!$B$46-Quesería!$B$47)))/(Quesería!$B$46-Quesería!$B$47))*IF(D$47&gt;2,1-Quesería!$B$48,1),0))*D1171</f>
        <v>144.267228437154</v>
      </c>
      <c r="E1199" s="29" t="n">
        <f aca="false">(IF(AND(E$47&gt;0,E$47&lt;=0+Quesería!$B$46),($AB$14+$AB$28)*(Quesería!$B$44*$B$1172*$B$1169)*(1-MAX(0,MIN((E$47-1)-0-Quesería!$B$47,(Quesería!$B$46-Quesería!$B$47)))/(Quesería!$B$46-Quesería!$B$47))*IF(E$47&gt;2,1-Quesería!$B$48,1),0)+IF(AND(E$47&gt;1,E$47&lt;=1+Quesería!$B$46),($AB$14+$AB$28)*(Quesería!$B$44*$C$1172*$C$1169)*(1-MAX(0,MIN((E$47-1)-1-Quesería!$B$47,(Quesería!$B$46-Quesería!$B$47)))/(Quesería!$B$46-Quesería!$B$47))*IF(E$47&gt;2,1-Quesería!$B$48,1),0))*E1171</f>
        <v>126.259041612202</v>
      </c>
      <c r="F1199" s="29" t="n">
        <f aca="false">(IF(AND(F$47&gt;0,F$47&lt;=0+Quesería!$B$46),($AB$14+$AB$28)*(Quesería!$B$44*$B$1172*$B$1169)*(1-MAX(0,MIN((F$47-1)-0-Quesería!$B$47,(Quesería!$B$46-Quesería!$B$47)))/(Quesería!$B$46-Quesería!$B$47))*IF(F$47&gt;2,1-Quesería!$B$48,1),0)+IF(AND(F$47&gt;1,F$47&lt;=1+Quesería!$B$46),($AB$14+$AB$28)*(Quesería!$B$44*$C$1172*$C$1169)*(1-MAX(0,MIN((F$47-1)-1-Quesería!$B$47,(Quesería!$B$46-Quesería!$B$47)))/(Quesería!$B$46-Quesería!$B$47))*IF(F$47&gt;2,1-Quesería!$B$48,1),0))*F1171</f>
        <v>99.1723975627135</v>
      </c>
      <c r="G1199" s="29" t="n">
        <f aca="false">(IF(AND(G$47&gt;0,G$47&lt;=0+Quesería!$B$46),($AB$14+$AB$28)*(Quesería!$B$44*$B$1172*$B$1169)*(1-MAX(0,MIN((G$47-1)-0-Quesería!$B$47,(Quesería!$B$46-Quesería!$B$47)))/(Quesería!$B$46-Quesería!$B$47))*IF(G$47&gt;2,1-Quesería!$B$48,1),0)+IF(AND(G$47&gt;1,G$47&lt;=1+Quesería!$B$46),($AB$14+$AB$28)*(Quesería!$B$44*$C$1172*$C$1169)*(1-MAX(0,MIN((G$47-1)-1-Quesería!$B$47,(Quesería!$B$46-Quesería!$B$47)))/(Quesería!$B$46-Quesería!$B$47))*IF(G$47&gt;2,1-Quesería!$B$48,1),0))*G1171</f>
        <v>73.9825677868365</v>
      </c>
      <c r="H1199" s="29" t="n">
        <f aca="false">(IF(AND(H$47&gt;0,H$47&lt;=0+Quesería!$B$46),($AB$14+$AB$28)*(Quesería!$B$44*$B$1172*$B$1169)*(1-MAX(0,MIN((H$47-1)-0-Quesería!$B$47,(Quesería!$B$46-Quesería!$B$47)))/(Quesería!$B$46-Quesería!$B$47))*IF(H$47&gt;2,1-Quesería!$B$48,1),0)+IF(AND(H$47&gt;1,H$47&lt;=1+Quesería!$B$46),($AB$14+$AB$28)*(Quesería!$B$44*$C$1172*$C$1169)*(1-MAX(0,MIN((H$47-1)-1-Quesería!$B$47,(Quesería!$B$46-Quesería!$B$47)))/(Quesería!$B$46-Quesería!$B$47))*IF(H$47&gt;2,1-Quesería!$B$48,1),0))*H1171</f>
        <v>50.583712494366</v>
      </c>
      <c r="I1199" s="29" t="n">
        <f aca="false">(IF(AND(I$47&gt;0,I$47&lt;=0+Quesería!$B$46),($AB$14+$AB$28)*(Quesería!$B$44*$B$1172*$B$1169)*(1-MAX(0,MIN((I$47-1)-0-Quesería!$B$47,(Quesería!$B$46-Quesería!$B$47)))/(Quesería!$B$46-Quesería!$B$47))*IF(I$47&gt;2,1-Quesería!$B$48,1),0)+IF(AND(I$47&gt;1,I$47&lt;=1+Quesería!$B$46),($AB$14+$AB$28)*(Quesería!$B$44*$C$1172*$C$1169)*(1-MAX(0,MIN((I$47-1)-1-Quesería!$B$47,(Quesería!$B$46-Quesería!$B$47)))/(Quesería!$B$46-Quesería!$B$47))*IF(I$47&gt;2,1-Quesería!$B$48,1),0))*I1171</f>
        <v>28.8753274791465</v>
      </c>
      <c r="J1199" s="29" t="n">
        <f aca="false">(IF(AND(J$47&gt;0,J$47&lt;=0+Quesería!$B$46),($AB$14+$AB$28)*(Quesería!$B$44*$B$1172*$B$1169)*(1-MAX(0,MIN((J$47-1)-0-Quesería!$B$47,(Quesería!$B$46-Quesería!$B$47)))/(Quesería!$B$46-Quesería!$B$47))*IF(J$47&gt;2,1-Quesería!$B$48,1),0)+IF(AND(J$47&gt;1,J$47&lt;=1+Quesería!$B$46),($AB$14+$AB$28)*(Quesería!$B$44*$C$1172*$C$1169)*(1-MAX(0,MIN((J$47-1)-1-Quesería!$B$47,(Quesería!$B$46-Quesería!$B$47)))/(Quesería!$B$46-Quesería!$B$47))*IF(J$47&gt;2,1-Quesería!$B$48,1),0))*J1171</f>
        <v>8.76199025726588</v>
      </c>
      <c r="K1199" s="29" t="n">
        <f aca="false">(IF(AND(K$47&gt;0,K$47&lt;=0+Quesería!$B$46),($AB$14+$AB$28)*(Quesería!$B$44*$B$1172*$B$1169)*(1-MAX(0,MIN((K$47-1)-0-Quesería!$B$47,(Quesería!$B$46-Quesería!$B$47)))/(Quesería!$B$46-Quesería!$B$47))*IF(K$47&gt;2,1-Quesería!$B$48,1),0)+IF(AND(K$47&gt;1,K$47&lt;=1+Quesería!$B$46),($AB$14+$AB$28)*(Quesería!$B$44*$C$1172*$C$1169)*(1-MAX(0,MIN((K$47-1)-1-Quesería!$B$47,(Quesería!$B$46-Quesería!$B$47)))/(Quesería!$B$46-Quesería!$B$47))*IF(K$47&gt;2,1-Quesería!$B$48,1),0))*K1171</f>
        <v>0</v>
      </c>
      <c r="L1199" s="29" t="n">
        <f aca="false">(IF(AND(L$47&gt;0,L$47&lt;=0+Quesería!$B$46),($AB$14+$AB$28)*(Quesería!$B$44*$B$1172*$B$1169)*(1-MAX(0,MIN((L$47-1)-0-Quesería!$B$47,(Quesería!$B$46-Quesería!$B$47)))/(Quesería!$B$46-Quesería!$B$47))*IF(L$47&gt;2,1-Quesería!$B$48,1),0)+IF(AND(L$47&gt;1,L$47&lt;=1+Quesería!$B$46),($AB$14+$AB$28)*(Quesería!$B$44*$C$1172*$C$1169)*(1-MAX(0,MIN((L$47-1)-1-Quesería!$B$47,(Quesería!$B$46-Quesería!$B$47)))/(Quesería!$B$46-Quesería!$B$47))*IF(L$47&gt;2,1-Quesería!$B$48,1),0))*L1171</f>
        <v>0</v>
      </c>
    </row>
    <row r="1200" customFormat="false" ht="15" hidden="true" customHeight="false" outlineLevel="1" collapsed="false">
      <c r="A1200" s="6" t="s">
        <v>433</v>
      </c>
      <c r="B1200" s="29" t="n">
        <f aca="false">((IF(AND(B$47&gt;0+Quesería!$B$47,B$47&lt;=0+Quesería!$B$46),(Quesería!$B$44*$B$1172*$B$1169)/(Quesería!$B$46-Quesería!$B$47),0)*IF(B$47&gt;2,1-Quesería!$B$48,1)+IF(B$47=2,Quesería!$B$48*(Quesería!$B$44*$B$1172*$B$1169)*(1-MAX(0,MIN(2-0-Quesería!$B$47,(Quesería!$B$46-Quesería!$B$47)))/(Quesería!$B$46-Quesería!$B$47)),0))+(IF(AND(B$47&gt;1+Quesería!$B$47,B$47&lt;=1+Quesería!$B$46),(Quesería!$B$44*$C$1172*$C$1169)/(Quesería!$B$46-Quesería!$B$47),0)*IF(B$47&gt;2,1-Quesería!$B$48,1)+IF(B$47=2,Quesería!$B$48*(Quesería!$B$44*$C$1172*$C$1169)*(1-MAX(0,MIN(2-1-Quesería!$B$47,(Quesería!$B$46-Quesería!$B$47)))/(Quesería!$B$46-Quesería!$B$47)),0)))*B1171</f>
        <v>0</v>
      </c>
      <c r="C1200" s="29" t="n">
        <f aca="false">((IF(AND(C$47&gt;0+Quesería!$B$47,C$47&lt;=0+Quesería!$B$46),(Quesería!$B$44*$B$1172*$B$1169)/(Quesería!$B$46-Quesería!$B$47),0)*IF(C$47&gt;2,1-Quesería!$B$48,1)+IF(C$47=2,Quesería!$B$48*(Quesería!$B$44*$B$1172*$B$1169)*(1-MAX(0,MIN(2-0-Quesería!$B$47,(Quesería!$B$46-Quesería!$B$47)))/(Quesería!$B$46-Quesería!$B$47)),0))+(IF(AND(C$47&gt;1+Quesería!$B$47,C$47&lt;=1+Quesería!$B$46),(Quesería!$B$44*$C$1172*$C$1169)/(Quesería!$B$46-Quesería!$B$47),0)*IF(C$47&gt;2,1-Quesería!$B$48,1)+IF(C$47=2,Quesería!$B$48*(Quesería!$B$44*$C$1172*$C$1169)*(1-MAX(0,MIN(2-1-Quesería!$B$47,(Quesería!$B$46-Quesería!$B$47)))/(Quesería!$B$46-Quesería!$B$47)),0)))*C1171</f>
        <v>0</v>
      </c>
      <c r="D1200" s="29" t="n">
        <f aca="false">((IF(AND(D$47&gt;0+Quesería!$B$47,D$47&lt;=0+Quesería!$B$46),(Quesería!$B$44*$B$1172*$B$1169)/(Quesería!$B$46-Quesería!$B$47),0)*IF(D$47&gt;2,1-Quesería!$B$48,1)+IF(D$47=2,Quesería!$B$48*(Quesería!$B$44*$B$1172*$B$1169)*(1-MAX(0,MIN(2-0-Quesería!$B$47,(Quesería!$B$46-Quesería!$B$47)))/(Quesería!$B$46-Quesería!$B$47)),0))+(IF(AND(D$47&gt;1+Quesería!$B$47,D$47&lt;=1+Quesería!$B$46),(Quesería!$B$44*$C$1172*$C$1169)/(Quesería!$B$46-Quesería!$B$47),0)*IF(D$47&gt;2,1-Quesería!$B$48,1)+IF(D$47=2,Quesería!$B$48*(Quesería!$B$44*$C$1172*$C$1169)*(1-MAX(0,MIN(2-1-Quesería!$B$47,(Quesería!$B$46-Quesería!$B$47)))/(Quesería!$B$46-Quesería!$B$47)),0)))*D1171</f>
        <v>91.8994692231472</v>
      </c>
      <c r="E1200" s="29" t="n">
        <f aca="false">((IF(AND(E$47&gt;0+Quesería!$B$47,E$47&lt;=0+Quesería!$B$46),(Quesería!$B$44*$B$1172*$B$1169)/(Quesería!$B$46-Quesería!$B$47),0)*IF(E$47&gt;2,1-Quesería!$B$48,1)+IF(E$47=2,Quesería!$B$48*(Quesería!$B$44*$B$1172*$B$1169)*(1-MAX(0,MIN(2-0-Quesería!$B$47,(Quesería!$B$46-Quesería!$B$47)))/(Quesería!$B$46-Quesería!$B$47)),0))+(IF(AND(E$47&gt;1+Quesería!$B$47,E$47&lt;=1+Quesería!$B$46),(Quesería!$B$44*$C$1172*$C$1169)/(Quesería!$B$46-Quesería!$B$47),0)*IF(E$47&gt;2,1-Quesería!$B$48,1)+IF(E$47=2,Quesería!$B$48*(Quesería!$B$44*$C$1172*$C$1169)*(1-MAX(0,MIN(2-1-Quesería!$B$47,(Quesería!$B$46-Quesería!$B$47)))/(Quesería!$B$46-Quesería!$B$47)),0)))*E1171</f>
        <v>163.969845014041</v>
      </c>
      <c r="F1200" s="29" t="n">
        <f aca="false">((IF(AND(F$47&gt;0+Quesería!$B$47,F$47&lt;=0+Quesería!$B$46),(Quesería!$B$44*$B$1172*$B$1169)/(Quesería!$B$46-Quesería!$B$47),0)*IF(F$47&gt;2,1-Quesería!$B$48,1)+IF(F$47=2,Quesería!$B$48*(Quesería!$B$44*$B$1172*$B$1169)*(1-MAX(0,MIN(2-0-Quesería!$B$47,(Quesería!$B$46-Quesería!$B$47)))/(Quesería!$B$46-Quesería!$B$47)),0))+(IF(AND(F$47&gt;1+Quesería!$B$47,F$47&lt;=1+Quesería!$B$46),(Quesería!$B$44*$C$1172*$C$1169)/(Quesería!$B$46-Quesería!$B$47),0)*IF(F$47&gt;2,1-Quesería!$B$48,1)+IF(F$47=2,Quesería!$B$48*(Quesería!$B$44*$C$1172*$C$1169)*(1-MAX(0,MIN(2-1-Quesería!$B$47,(Quesería!$B$46-Quesería!$B$47)))/(Quesería!$B$46-Quesería!$B$47)),0)))*F1171</f>
        <v>157.663312513501</v>
      </c>
      <c r="G1200" s="29" t="n">
        <f aca="false">((IF(AND(G$47&gt;0+Quesería!$B$47,G$47&lt;=0+Quesería!$B$46),(Quesería!$B$44*$B$1172*$B$1169)/(Quesería!$B$46-Quesería!$B$47),0)*IF(G$47&gt;2,1-Quesería!$B$48,1)+IF(G$47=2,Quesería!$B$48*(Quesería!$B$44*$B$1172*$B$1169)*(1-MAX(0,MIN(2-0-Quesería!$B$47,(Quesería!$B$46-Quesería!$B$47)))/(Quesería!$B$46-Quesería!$B$47)),0))+(IF(AND(G$47&gt;1+Quesería!$B$47,G$47&lt;=1+Quesería!$B$46),(Quesería!$B$44*$C$1172*$C$1169)/(Quesería!$B$46-Quesería!$B$47),0)*IF(G$47&gt;2,1-Quesería!$B$48,1)+IF(G$47=2,Quesería!$B$48*(Quesería!$B$44*$C$1172*$C$1169)*(1-MAX(0,MIN(2-1-Quesería!$B$47,(Quesería!$B$46-Quesería!$B$47)))/(Quesería!$B$46-Quesería!$B$47)),0)))*G1171</f>
        <v>151.599338955289</v>
      </c>
      <c r="H1200" s="29" t="n">
        <f aca="false">((IF(AND(H$47&gt;0+Quesería!$B$47,H$47&lt;=0+Quesería!$B$46),(Quesería!$B$44*$B$1172*$B$1169)/(Quesería!$B$46-Quesería!$B$47),0)*IF(H$47&gt;2,1-Quesería!$B$48,1)+IF(H$47=2,Quesería!$B$48*(Quesería!$B$44*$B$1172*$B$1169)*(1-MAX(0,MIN(2-0-Quesería!$B$47,(Quesería!$B$46-Quesería!$B$47)))/(Quesería!$B$46-Quesería!$B$47)),0))+(IF(AND(H$47&gt;1+Quesería!$B$47,H$47&lt;=1+Quesería!$B$46),(Quesería!$B$44*$C$1172*$C$1169)/(Quesería!$B$46-Quesería!$B$47),0)*IF(H$47&gt;2,1-Quesería!$B$48,1)+IF(H$47=2,Quesería!$B$48*(Quesería!$B$44*$C$1172*$C$1169)*(1-MAX(0,MIN(2-1-Quesería!$B$47,(Quesería!$B$46-Quesería!$B$47)))/(Quesería!$B$46-Quesería!$B$47)),0)))*H1171</f>
        <v>145.768595149317</v>
      </c>
      <c r="I1200" s="29" t="n">
        <f aca="false">((IF(AND(I$47&gt;0+Quesería!$B$47,I$47&lt;=0+Quesería!$B$46),(Quesería!$B$44*$B$1172*$B$1169)/(Quesería!$B$46-Quesería!$B$47),0)*IF(I$47&gt;2,1-Quesería!$B$48,1)+IF(I$47=2,Quesería!$B$48*(Quesería!$B$44*$B$1172*$B$1169)*(1-MAX(0,MIN(2-0-Quesería!$B$47,(Quesería!$B$46-Quesería!$B$47)))/(Quesería!$B$46-Quesería!$B$47)),0))+(IF(AND(I$47&gt;1+Quesería!$B$47,I$47&lt;=1+Quesería!$B$46),(Quesería!$B$44*$C$1172*$C$1169)/(Quesería!$B$46-Quesería!$B$47),0)*IF(I$47&gt;2,1-Quesería!$B$48,1)+IF(I$47=2,Quesería!$B$48*(Quesería!$B$44*$C$1172*$C$1169)*(1-MAX(0,MIN(2-1-Quesería!$B$47,(Quesería!$B$46-Quesería!$B$47)))/(Quesería!$B$46-Quesería!$B$47)),0)))*I1171</f>
        <v>140.162110720497</v>
      </c>
      <c r="J1200" s="29" t="n">
        <f aca="false">((IF(AND(J$47&gt;0+Quesería!$B$47,J$47&lt;=0+Quesería!$B$46),(Quesería!$B$44*$B$1172*$B$1169)/(Quesería!$B$46-Quesería!$B$47),0)*IF(J$47&gt;2,1-Quesería!$B$48,1)+IF(J$47=2,Quesería!$B$48*(Quesería!$B$44*$B$1172*$B$1169)*(1-MAX(0,MIN(2-0-Quesería!$B$47,(Quesería!$B$46-Quesería!$B$47)))/(Quesería!$B$46-Quesería!$B$47)),0))+(IF(AND(J$47&gt;1+Quesería!$B$47,J$47&lt;=1+Quesería!$B$46),(Quesería!$B$44*$C$1172*$C$1169)/(Quesería!$B$46-Quesería!$B$47),0)*IF(J$47&gt;2,1-Quesería!$B$48,1)+IF(J$47=2,Quesería!$B$48*(Quesería!$B$44*$C$1172*$C$1169)*(1-MAX(0,MIN(2-1-Quesería!$B$47,(Quesería!$B$46-Quesería!$B$47)))/(Quesería!$B$46-Quesería!$B$47)),0)))*J1171</f>
        <v>62.1417748742261</v>
      </c>
      <c r="K1200" s="29" t="n">
        <f aca="false">((IF(AND(K$47&gt;0+Quesería!$B$47,K$47&lt;=0+Quesería!$B$46),(Quesería!$B$44*$B$1172*$B$1169)/(Quesería!$B$46-Quesería!$B$47),0)*IF(K$47&gt;2,1-Quesería!$B$48,1)+IF(K$47=2,Quesería!$B$48*(Quesería!$B$44*$B$1172*$B$1169)*(1-MAX(0,MIN(2-0-Quesería!$B$47,(Quesería!$B$46-Quesería!$B$47)))/(Quesería!$B$46-Quesería!$B$47)),0))+(IF(AND(K$47&gt;1+Quesería!$B$47,K$47&lt;=1+Quesería!$B$46),(Quesería!$B$44*$C$1172*$C$1169)/(Quesería!$B$46-Quesería!$B$47),0)*IF(K$47&gt;2,1-Quesería!$B$48,1)+IF(K$47=2,Quesería!$B$48*(Quesería!$B$44*$C$1172*$C$1169)*(1-MAX(0,MIN(2-1-Quesería!$B$47,(Quesería!$B$46-Quesería!$B$47)))/(Quesería!$B$46-Quesería!$B$47)),0)))*K1171</f>
        <v>0</v>
      </c>
      <c r="L1200" s="29" t="n">
        <f aca="false">((IF(AND(L$47&gt;0+Quesería!$B$47,L$47&lt;=0+Quesería!$B$46),(Quesería!$B$44*$B$1172*$B$1169)/(Quesería!$B$46-Quesería!$B$47),0)*IF(L$47&gt;2,1-Quesería!$B$48,1)+IF(L$47=2,Quesería!$B$48*(Quesería!$B$44*$B$1172*$B$1169)*(1-MAX(0,MIN(2-0-Quesería!$B$47,(Quesería!$B$46-Quesería!$B$47)))/(Quesería!$B$46-Quesería!$B$47)),0))+(IF(AND(L$47&gt;1+Quesería!$B$47,L$47&lt;=1+Quesería!$B$46),(Quesería!$B$44*$C$1172*$C$1169)/(Quesería!$B$46-Quesería!$B$47),0)*IF(L$47&gt;2,1-Quesería!$B$48,1)+IF(L$47=2,Quesería!$B$48*(Quesería!$B$44*$C$1172*$C$1169)*(1-MAX(0,MIN(2-1-Quesería!$B$47,(Quesería!$B$46-Quesería!$B$47)))/(Quesería!$B$46-Quesería!$B$47)),0)))*L1171</f>
        <v>0</v>
      </c>
    </row>
    <row r="1201" customFormat="false" ht="15" hidden="true" customHeight="false" outlineLevel="1" collapsed="false">
      <c r="A1201" s="6" t="s">
        <v>434</v>
      </c>
      <c r="B1201" s="29" t="n">
        <f aca="false">$AB$13*Quesería!$B$51*(1+0.19)*B1197*B1171+(1-$AB$13)*IF(B$47=0,Quesería!$B$50,0)</f>
        <v>4</v>
      </c>
      <c r="C1201" s="29" t="n">
        <f aca="false">$AB$13*Quesería!$B$51*(1+0.19)*C1197*C1171+(1-$AB$13)*IF(C$47=0,Quesería!$B$50,0)</f>
        <v>0</v>
      </c>
      <c r="D1201" s="29" t="n">
        <f aca="false">$AB$13*Quesería!$B$51*(1+0.19)*D1197*D1171+(1-$AB$13)*IF(D$47=0,Quesería!$B$50,0)</f>
        <v>0</v>
      </c>
      <c r="E1201" s="29" t="n">
        <f aca="false">$AB$13*Quesería!$B$51*(1+0.19)*E1197*E1171+(1-$AB$13)*IF(E$47=0,Quesería!$B$50,0)</f>
        <v>0</v>
      </c>
      <c r="F1201" s="29" t="n">
        <f aca="false">$AB$13*Quesería!$B$51*(1+0.19)*F1197*F1171+(1-$AB$13)*IF(F$47=0,Quesería!$B$50,0)</f>
        <v>0</v>
      </c>
      <c r="G1201" s="29" t="n">
        <f aca="false">$AB$13*Quesería!$B$51*(1+0.19)*G1197*G1171+(1-$AB$13)*IF(G$47=0,Quesería!$B$50,0)</f>
        <v>0</v>
      </c>
      <c r="H1201" s="29" t="n">
        <f aca="false">$AB$13*Quesería!$B$51*(1+0.19)*H1197*H1171+(1-$AB$13)*IF(H$47=0,Quesería!$B$50,0)</f>
        <v>0</v>
      </c>
      <c r="I1201" s="29" t="n">
        <f aca="false">$AB$13*Quesería!$B$51*(1+0.19)*I1197*I1171+(1-$AB$13)*IF(I$47=0,Quesería!$B$50,0)</f>
        <v>0</v>
      </c>
      <c r="J1201" s="29" t="n">
        <f aca="false">$AB$13*Quesería!$B$51*(1+0.19)*J1197*J1171+(1-$AB$13)*IF(J$47=0,Quesería!$B$50,0)</f>
        <v>0</v>
      </c>
      <c r="K1201" s="29" t="n">
        <f aca="false">$AB$13*Quesería!$B$51*(1+0.19)*K1197*K1171+(1-$AB$13)*IF(K$47=0,Quesería!$B$50,0)</f>
        <v>0</v>
      </c>
      <c r="L1201" s="29" t="n">
        <f aca="false">$AB$13*Quesería!$B$51*(1+0.19)*L1197*L1171+(1-$AB$13)*IF(L$47=0,Quesería!$B$50,0)</f>
        <v>0</v>
      </c>
    </row>
    <row r="1202" customFormat="false" ht="15" hidden="true" customHeight="false" outlineLevel="1" collapsed="false">
      <c r="A1202" s="6" t="s">
        <v>435</v>
      </c>
      <c r="B1202" s="29" t="n">
        <f aca="false">Quesería!$B$52*(B1199+B1200+B1201)</f>
        <v>0.016</v>
      </c>
      <c r="C1202" s="29" t="n">
        <f aca="false">Quesería!$B$52*(C1199+C1200+C1201)</f>
        <v>0.324982255024431</v>
      </c>
      <c r="D1202" s="29" t="n">
        <f aca="false">Quesería!$B$52*(D1199+D1200+D1201)</f>
        <v>0.944666790641204</v>
      </c>
      <c r="E1202" s="29" t="n">
        <f aca="false">Quesería!$B$52*(E1199+E1200+E1201)</f>
        <v>1.16091554650497</v>
      </c>
      <c r="F1202" s="29" t="n">
        <f aca="false">Quesería!$B$52*(F1199+F1200+F1201)</f>
        <v>1.02734284030486</v>
      </c>
      <c r="G1202" s="29" t="n">
        <f aca="false">Quesería!$B$52*(G1199+G1200+G1201)</f>
        <v>0.902327626968503</v>
      </c>
      <c r="H1202" s="29" t="n">
        <f aca="false">Quesería!$B$52*(H1199+H1200+H1201)</f>
        <v>0.78540923057473</v>
      </c>
      <c r="I1202" s="29" t="n">
        <f aca="false">Quesería!$B$52*(I1199+I1200+I1201)</f>
        <v>0.676149752798573</v>
      </c>
      <c r="J1202" s="29" t="n">
        <f aca="false">Quesería!$B$52*(J1199+J1200+J1201)</f>
        <v>0.283615060525968</v>
      </c>
      <c r="K1202" s="29" t="n">
        <f aca="false">Quesería!$B$52*(K1199+K1200+K1201)</f>
        <v>0</v>
      </c>
      <c r="L1202" s="29" t="n">
        <f aca="false">Quesería!$B$52*(L1199+L1200+L1201)</f>
        <v>0</v>
      </c>
    </row>
    <row r="1203" customFormat="false" ht="15" hidden="true" customHeight="false" outlineLevel="1" collapsed="false">
      <c r="A1203" s="6" t="s">
        <v>436</v>
      </c>
      <c r="B1203" s="29" t="n">
        <f aca="false">$AB$17*(B1199+B1201+0.5*B1202)</f>
        <v>1.4028</v>
      </c>
      <c r="C1203" s="29" t="n">
        <f aca="false">$AB$17*(C1199+C1201+0.5*C1202)</f>
        <v>28.492819209267</v>
      </c>
      <c r="D1203" s="29" t="n">
        <f aca="false">$AB$17*(D1199+D1201+0.5*D1202)</f>
        <v>50.658846641366</v>
      </c>
      <c r="E1203" s="29" t="n">
        <f aca="false">$AB$17*(E1199+E1201+0.5*E1202)</f>
        <v>44.393824784909</v>
      </c>
      <c r="F1203" s="29" t="n">
        <f aca="false">$AB$17*(F1199+F1201+0.5*F1202)</f>
        <v>34.8901241440031</v>
      </c>
      <c r="G1203" s="29" t="n">
        <f aca="false">$AB$17*(G1199+G1201+0.5*G1202)</f>
        <v>26.0518060601123</v>
      </c>
      <c r="H1203" s="29" t="n">
        <f aca="false">$AB$17*(H1199+H1201+0.5*H1202)</f>
        <v>17.8417459883787</v>
      </c>
      <c r="I1203" s="29" t="n">
        <f aca="false">$AB$17*(I1199+I1201+0.5*I1202)</f>
        <v>10.224690824441</v>
      </c>
      <c r="J1203" s="29" t="n">
        <f aca="false">$AB$17*(J1199+J1201+0.5*J1202)</f>
        <v>3.1163292256351</v>
      </c>
      <c r="K1203" s="29" t="n">
        <f aca="false">$AB$17*(K1199+K1201+0.5*K1202)</f>
        <v>0</v>
      </c>
      <c r="L1203" s="29" t="n">
        <f aca="false">$AB$17*(L1199+L1201+0.5*L1202)</f>
        <v>0</v>
      </c>
    </row>
    <row r="1204" customFormat="false" ht="15" hidden="true" customHeight="false" outlineLevel="1" collapsed="false">
      <c r="A1204" s="5" t="s">
        <v>437</v>
      </c>
      <c r="B1204" s="59" t="n">
        <f aca="false">B1189+B1198-B1199-B1200-B1201-B1202+B1203</f>
        <v>-358.744924503166</v>
      </c>
      <c r="C1204" s="59" t="n">
        <f aca="false">C1189+C1198-C1199-C1200-C1201-C1202+C1203</f>
        <v>-59.8505919146794</v>
      </c>
      <c r="D1204" s="59" t="n">
        <f aca="false">D1189+D1198-D1199-D1200-D1201-D1202+D1203</f>
        <v>293.554321773407</v>
      </c>
      <c r="E1204" s="59" t="n">
        <f aca="false">E1189+E1198-E1199-E1200-E1201-E1202+E1203</f>
        <v>89.8862366874154</v>
      </c>
      <c r="F1204" s="59" t="n">
        <f aca="false">F1189+F1198-F1199-F1200-F1201-F1202+F1203</f>
        <v>151.157674631813</v>
      </c>
      <c r="G1204" s="59" t="n">
        <f aca="false">G1189+G1198-G1199-G1200-G1201-G1202+G1203</f>
        <v>139.225610011724</v>
      </c>
      <c r="H1204" s="59" t="n">
        <f aca="false">H1189+H1198-H1199-H1200-H1201-H1202+H1203</f>
        <v>138.721768723967</v>
      </c>
      <c r="I1204" s="59" t="n">
        <f aca="false">I1189+I1198-I1199-I1200-I1201-I1202+I1203</f>
        <v>219.051186433205</v>
      </c>
      <c r="J1204" s="59" t="n">
        <f aca="false">J1189+J1198-J1199-J1200-J1201-J1202+J1203</f>
        <v>300.495822540393</v>
      </c>
      <c r="K1204" s="59" t="n">
        <f aca="false">K1189+K1198-K1199-K1200-K1201-K1202+K1203</f>
        <v>367.13514228963</v>
      </c>
      <c r="L1204" s="59" t="n">
        <f aca="false">L1189+L1198-L1199-L1200-L1201-L1202+L1203</f>
        <v>603.835468916001</v>
      </c>
    </row>
    <row r="1205" customFormat="false" ht="15" hidden="true" customHeight="false" outlineLevel="1" collapsed="false">
      <c r="A1205" s="9" t="s">
        <v>438</v>
      </c>
      <c r="B1205" s="58" t="n">
        <f aca="false">B1204*B1169</f>
        <v>-380.269619973356</v>
      </c>
      <c r="C1205" s="58" t="n">
        <f aca="false">C1204*C1169</f>
        <v>-66.6137088010382</v>
      </c>
      <c r="D1205" s="58" t="n">
        <f aca="false">D1204*D1169</f>
        <v>341.428628339823</v>
      </c>
      <c r="E1205" s="58" t="n">
        <f aca="false">E1204*E1169</f>
        <v>108.727146941486</v>
      </c>
      <c r="F1205" s="58" t="n">
        <f aca="false">F1204*F1169</f>
        <v>190.155256677473</v>
      </c>
      <c r="G1205" s="58" t="n">
        <f aca="false">G1204*G1169</f>
        <v>182.150598302314</v>
      </c>
      <c r="H1205" s="58" t="n">
        <f aca="false">H1204*H1169</f>
        <v>188.751073134017</v>
      </c>
      <c r="I1205" s="58" t="n">
        <f aca="false">I1204*I1169</f>
        <v>309.972924700315</v>
      </c>
      <c r="J1205" s="58" t="n">
        <f aca="false">J1204*J1169</f>
        <v>442.231760116644</v>
      </c>
      <c r="K1205" s="58" t="n">
        <f aca="false">K1204*K1169</f>
        <v>561.915209186434</v>
      </c>
      <c r="L1205" s="58" t="n">
        <f aca="false">L1204*L1169</f>
        <v>961.162434580959</v>
      </c>
    </row>
    <row r="1206" customFormat="false" ht="15" hidden="true" customHeight="false" outlineLevel="1" collapsed="false">
      <c r="A1206" s="9" t="s">
        <v>439</v>
      </c>
      <c r="B1206" s="57" t="n">
        <f aca="false">(B1169/$B$1169)/(1+Quesería!$B$11+$AB$28)^B$47</f>
        <v>1</v>
      </c>
      <c r="C1206" s="57" t="n">
        <f aca="false">(C1169/$B$1169)/(1+Quesería!$B$11+$AB$28)^C$47</f>
        <v>0.84</v>
      </c>
      <c r="D1206" s="57" t="n">
        <f aca="false">(D1169/$B$1169)/(1+Quesería!$B$11+$AB$28)^D$47</f>
        <v>0.70224</v>
      </c>
      <c r="E1206" s="57" t="n">
        <f aca="false">(E1169/$B$1169)/(1+Quesería!$B$11+$AB$28)^E$47</f>
        <v>0.58426368</v>
      </c>
      <c r="F1206" s="57" t="n">
        <f aca="false">(F1169/$B$1169)/(1+Quesería!$B$11+$AB$28)^F$47</f>
        <v>0.48610738176</v>
      </c>
      <c r="G1206" s="57" t="n">
        <f aca="false">(G1169/$B$1169)/(1+Quesería!$B$11+$AB$28)^G$47</f>
        <v>0.40444134162432</v>
      </c>
      <c r="H1206" s="57" t="n">
        <f aca="false">(H1169/$B$1169)/(1+Quesería!$B$11+$AB$28)^H$47</f>
        <v>0.336495196231434</v>
      </c>
      <c r="I1206" s="57" t="n">
        <f aca="false">(I1169/$B$1169)/(1+Quesería!$B$11+$AB$28)^I$47</f>
        <v>0.279964003264553</v>
      </c>
      <c r="J1206" s="57" t="n">
        <f aca="false">(J1169/$B$1169)/(1+Quesería!$B$11+$AB$28)^J$47</f>
        <v>0.232930050716108</v>
      </c>
      <c r="K1206" s="57" t="n">
        <f aca="false">(K1169/$B$1169)/(1+Quesería!$B$11+$AB$28)^K$47</f>
        <v>0.193797802195802</v>
      </c>
      <c r="L1206" s="57" t="n">
        <f aca="false">(L1169/$B$1169)/(1+Quesería!$B$11+$AB$28)^L$47</f>
        <v>0.161239771426907</v>
      </c>
    </row>
    <row r="1207" customFormat="false" ht="15" hidden="true" customHeight="false" outlineLevel="1" collapsed="false">
      <c r="A1207" s="9" t="s">
        <v>440</v>
      </c>
      <c r="B1207" s="58" t="n">
        <f aca="false">B1189+B1172+B1174+B1203</f>
        <v>120.166830858099</v>
      </c>
      <c r="C1207" s="58" t="n">
        <f aca="false">C1189+C1172+C1174+C1203</f>
        <v>431.293250100682</v>
      </c>
      <c r="D1207" s="58" t="n">
        <f aca="false">D1189+D1172+D1174+D1203</f>
        <v>530.665686224349</v>
      </c>
      <c r="E1207" s="58" t="n">
        <f aca="false">E1189+E1172+E1174+E1203</f>
        <v>381.276038860163</v>
      </c>
      <c r="F1207" s="58" t="n">
        <f aca="false">F1189+F1172+F1174+F1203</f>
        <v>409.020727548333</v>
      </c>
      <c r="G1207" s="58" t="n">
        <f aca="false">G1189+G1172+G1174+G1203</f>
        <v>370.928235661904</v>
      </c>
      <c r="H1207" s="58" t="n">
        <f aca="false">H1189+H1172+H1174+H1203</f>
        <v>344.673425183306</v>
      </c>
      <c r="I1207" s="58" t="n">
        <f aca="false">I1189+I1172+I1174+I1203</f>
        <v>388.764774385646</v>
      </c>
      <c r="J1207" s="58" t="n">
        <f aca="false">J1189+J1172+J1174+J1203</f>
        <v>371.683202732411</v>
      </c>
      <c r="K1207" s="58" t="n">
        <f aca="false">K1189+K1172+K1174+K1203</f>
        <v>367.13514228963</v>
      </c>
      <c r="L1207" s="58" t="n">
        <f aca="false">L1189+L1172+L1174+L1203</f>
        <v>603.835468916001</v>
      </c>
    </row>
    <row r="1208" customFormat="false" ht="15" hidden="true" customHeight="false" outlineLevel="1" collapsed="false">
      <c r="A1208" s="5" t="s">
        <v>149</v>
      </c>
      <c r="B1208" s="12" t="str">
        <f aca="false">IF(AND(B$47&gt;=1,(B1199+B1200+B1201)&gt;0.001),B1207/(B1199+B1200+B1201),"")</f>
        <v/>
      </c>
      <c r="C1208" s="12" t="n">
        <f aca="false">IF(AND(C$47&gt;=1,(C1199+C1200+C1201)&gt;0.001),C1207/(C1199+C1200+C1201),"")</f>
        <v>5.3085144611143</v>
      </c>
      <c r="D1208" s="12" t="n">
        <f aca="false">IF(AND(D$47&gt;=1,(D1199+D1200+D1201)&gt;0.001),D1207/(D1199+D1200+D1201),"")</f>
        <v>2.24699625934412</v>
      </c>
      <c r="E1208" s="12" t="n">
        <f aca="false">IF(AND(E$47&gt;=1,(E1199+E1200+E1201)&gt;0.001),E1207/(E1199+E1200+E1201),"")</f>
        <v>1.31370809877781</v>
      </c>
      <c r="F1208" s="12" t="n">
        <f aca="false">IF(AND(F$47&gt;=1,(F1199+F1200+F1201)&gt;0.001),F1207/(F1199+F1200+F1201),"")</f>
        <v>1.59253838738764</v>
      </c>
      <c r="G1208" s="12" t="n">
        <f aca="false">IF(AND(G$47&gt;=1,(G1199+G1200+G1201)&gt;0.001),G1207/(G1199+G1200+G1201),"")</f>
        <v>1.6443173170175</v>
      </c>
      <c r="H1208" s="12" t="n">
        <f aca="false">IF(AND(H$47&gt;=1,(H1199+H1200+H1201)&gt;0.001),H1207/(H1199+H1200+H1201),"")</f>
        <v>1.75538260446004</v>
      </c>
      <c r="I1208" s="12" t="n">
        <f aca="false">IF(AND(I$47&gt;=1,(I1199+I1200+I1201)&gt;0.001),I1207/(I1199+I1200+I1201),"")</f>
        <v>2.29987379438685</v>
      </c>
      <c r="J1208" s="12" t="n">
        <f aca="false">IF(AND(J$47&gt;=1,(J1199+J1200+J1201)&gt;0.001),J1207/(J1199+J1200+J1201),"")</f>
        <v>5.24207990990491</v>
      </c>
      <c r="K1208" s="12" t="str">
        <f aca="false">IF(AND(K$47&gt;=1,(K1199+K1200+K1201)&gt;0.001),K1207/(K1199+K1200+K1201),"")</f>
        <v/>
      </c>
      <c r="L1208" s="12" t="str">
        <f aca="false">IF(AND(L$47&gt;=1,(L1199+L1200+L1201)&gt;0.001),L1207/(L1199+L1200+L1201),"")</f>
        <v/>
      </c>
    </row>
    <row r="1210" customFormat="false" ht="15" hidden="false" customHeight="false" outlineLevel="0" collapsed="false">
      <c r="A1210" s="43" t="s">
        <v>1262</v>
      </c>
      <c r="B1210" s="44"/>
      <c r="C1210" s="44"/>
      <c r="D1210" s="44"/>
      <c r="E1210" s="44"/>
      <c r="F1210" s="44"/>
      <c r="G1210" s="44"/>
      <c r="H1210" s="44"/>
      <c r="I1210" s="44"/>
      <c r="J1210" s="44"/>
      <c r="K1210" s="44"/>
      <c r="L1210" s="44"/>
    </row>
    <row r="1211" customFormat="false" ht="15" hidden="true" customHeight="false" outlineLevel="1" collapsed="false">
      <c r="A1211" s="9" t="s">
        <v>406</v>
      </c>
      <c r="B1211" s="56" t="n">
        <f aca="false">CHOOSE($AC$15,Entorno!B$7,Entorno!B$8,Entorno!B$9)</f>
        <v>0.06</v>
      </c>
      <c r="C1211" s="56" t="n">
        <f aca="false">CHOOSE($AC$15,Entorno!C$7,Entorno!C$8,Entorno!C$9)</f>
        <v>0.05</v>
      </c>
      <c r="D1211" s="56" t="n">
        <f aca="false">CHOOSE($AC$15,Entorno!D$7,Entorno!D$8,Entorno!D$9)</f>
        <v>0.045</v>
      </c>
      <c r="E1211" s="56" t="n">
        <f aca="false">CHOOSE($AC$15,Entorno!E$7,Entorno!E$8,Entorno!E$9)</f>
        <v>0.04</v>
      </c>
      <c r="F1211" s="56" t="n">
        <f aca="false">CHOOSE($AC$15,Entorno!F$7,Entorno!F$8,Entorno!F$9)</f>
        <v>0.04</v>
      </c>
      <c r="G1211" s="56" t="n">
        <f aca="false">CHOOSE($AC$15,Entorno!G$7,Entorno!G$8,Entorno!G$9)</f>
        <v>0.04</v>
      </c>
      <c r="H1211" s="56" t="n">
        <f aca="false">CHOOSE($AC$15,Entorno!H$7,Entorno!H$8,Entorno!H$9)</f>
        <v>0.04</v>
      </c>
      <c r="I1211" s="56" t="n">
        <f aca="false">CHOOSE($AC$15,Entorno!I$7,Entorno!I$8,Entorno!I$9)</f>
        <v>0.04</v>
      </c>
      <c r="J1211" s="56" t="n">
        <f aca="false">CHOOSE($AC$15,Entorno!J$7,Entorno!J$8,Entorno!J$9)</f>
        <v>0.04</v>
      </c>
      <c r="K1211" s="56" t="n">
        <f aca="false">CHOOSE($AC$15,Entorno!K$7,Entorno!K$8,Entorno!K$9)</f>
        <v>0.04</v>
      </c>
      <c r="L1211" s="56" t="n">
        <f aca="false">CHOOSE($AC$15,Entorno!L$7,Entorno!L$8,Entorno!L$9)</f>
        <v>0.04</v>
      </c>
    </row>
    <row r="1212" customFormat="false" ht="15" hidden="true" customHeight="false" outlineLevel="1" collapsed="false">
      <c r="A1212" s="9" t="s">
        <v>407</v>
      </c>
      <c r="B1212" s="57" t="n">
        <f aca="false">1+B1211</f>
        <v>1.06</v>
      </c>
      <c r="C1212" s="57" t="n">
        <f aca="false">B1212*(1+C1211)</f>
        <v>1.113</v>
      </c>
      <c r="D1212" s="57" t="n">
        <f aca="false">C1212*(1+D1211)</f>
        <v>1.163085</v>
      </c>
      <c r="E1212" s="57" t="n">
        <f aca="false">D1212*(1+E1211)</f>
        <v>1.2096084</v>
      </c>
      <c r="F1212" s="57" t="n">
        <f aca="false">E1212*(1+F1211)</f>
        <v>1.257992736</v>
      </c>
      <c r="G1212" s="57" t="n">
        <f aca="false">F1212*(1+G1211)</f>
        <v>1.30831244544</v>
      </c>
      <c r="H1212" s="57" t="n">
        <f aca="false">G1212*(1+H1211)</f>
        <v>1.3606449432576</v>
      </c>
      <c r="I1212" s="57" t="n">
        <f aca="false">H1212*(1+I1211)</f>
        <v>1.4150707409879</v>
      </c>
      <c r="J1212" s="57" t="n">
        <f aca="false">I1212*(1+J1211)</f>
        <v>1.47167357062742</v>
      </c>
      <c r="K1212" s="57" t="n">
        <f aca="false">J1212*(1+K1211)</f>
        <v>1.53054051345252</v>
      </c>
      <c r="L1212" s="57" t="n">
        <f aca="false">K1212*(1+L1211)</f>
        <v>1.59176213399062</v>
      </c>
    </row>
    <row r="1213" customFormat="false" ht="15" hidden="true" customHeight="false" outlineLevel="1" collapsed="false">
      <c r="A1213" s="9" t="s">
        <v>408</v>
      </c>
      <c r="B1213" s="57" t="n">
        <f aca="false">(1+$AC$16)/(1+B1211)</f>
        <v>1.02358490566038</v>
      </c>
      <c r="C1213" s="57" t="n">
        <f aca="false">B1213*(1+Entorno!$B$13)</f>
        <v>1.02870283018868</v>
      </c>
      <c r="D1213" s="57" t="n">
        <f aca="false">C1213*(1+Entorno!$B$13)</f>
        <v>1.03384634433962</v>
      </c>
      <c r="E1213" s="57" t="n">
        <f aca="false">D1213*(1+Entorno!$B$13)</f>
        <v>1.03901557606132</v>
      </c>
      <c r="F1213" s="57" t="n">
        <f aca="false">E1213*(1+Entorno!$B$13)</f>
        <v>1.04421065394163</v>
      </c>
      <c r="G1213" s="57" t="n">
        <f aca="false">F1213*(1+Entorno!$B$13)</f>
        <v>1.04943170721133</v>
      </c>
      <c r="H1213" s="57" t="n">
        <f aca="false">G1213*(1+Entorno!$B$13)</f>
        <v>1.05467886574739</v>
      </c>
      <c r="I1213" s="57" t="n">
        <f aca="false">H1213*(1+Entorno!$B$13)</f>
        <v>1.05995226007613</v>
      </c>
      <c r="J1213" s="57" t="n">
        <f aca="false">I1213*(1+Entorno!$B$13)</f>
        <v>1.06525202137651</v>
      </c>
      <c r="K1213" s="57" t="n">
        <f aca="false">J1213*(1+Entorno!$B$13)</f>
        <v>1.07057828148339</v>
      </c>
      <c r="L1213" s="57" t="n">
        <f aca="false">K1213*(1+Entorno!$B$13)</f>
        <v>1.07593117289081</v>
      </c>
    </row>
    <row r="1214" customFormat="false" ht="15" hidden="true" customHeight="false" outlineLevel="1" collapsed="false">
      <c r="A1214" s="9" t="s">
        <v>409</v>
      </c>
      <c r="B1214" s="57" t="n">
        <f aca="false">1/B1212</f>
        <v>0.943396226415094</v>
      </c>
      <c r="C1214" s="57" t="n">
        <f aca="false">1/C1212</f>
        <v>0.898472596585804</v>
      </c>
      <c r="D1214" s="57" t="n">
        <f aca="false">1/D1212</f>
        <v>0.859782389077324</v>
      </c>
      <c r="E1214" s="57" t="n">
        <f aca="false">1/E1212</f>
        <v>0.826713835651273</v>
      </c>
      <c r="F1214" s="57" t="n">
        <f aca="false">1/F1212</f>
        <v>0.794917149664686</v>
      </c>
      <c r="G1214" s="57" t="n">
        <f aca="false">1/G1212</f>
        <v>0.764343413139121</v>
      </c>
      <c r="H1214" s="57" t="n">
        <f aca="false">1/H1212</f>
        <v>0.734945589556847</v>
      </c>
      <c r="I1214" s="57" t="n">
        <f aca="false">1/I1212</f>
        <v>0.706678451496968</v>
      </c>
      <c r="J1214" s="57" t="n">
        <f aca="false">1/J1212</f>
        <v>0.679498511054777</v>
      </c>
      <c r="K1214" s="57" t="n">
        <f aca="false">1/K1212</f>
        <v>0.653363952937286</v>
      </c>
      <c r="L1214" s="57" t="n">
        <f aca="false">1/L1212</f>
        <v>0.628234570132006</v>
      </c>
    </row>
    <row r="1215" customFormat="false" ht="15" hidden="true" customHeight="false" outlineLevel="1" collapsed="false">
      <c r="A1215" s="6" t="s">
        <v>323</v>
      </c>
      <c r="B1215" s="29" t="n">
        <f aca="false">IF(B$47=0,Quesería!$F$92,IF(B$47=1,(Quesería!$F$93-(-$AC$26)*Quesería!$D$86*(1+Quesería!$I$86))*$AC$21,0))*$AC$11</f>
        <v>930.800239431677</v>
      </c>
      <c r="C1215" s="29" t="n">
        <f aca="false">IF(C$47=0,Quesería!$F$92,IF(C$47=1,(Quesería!$F$93-(-$AC$26)*Quesería!$D$86*(1+Quesería!$I$86))*$AC$21,0))*$AC$11</f>
        <v>758.469066674498</v>
      </c>
      <c r="D1215" s="29" t="n">
        <f aca="false">IF(D$47=0,Quesería!$F$92,IF(D$47=1,(Quesería!$F$93-(-$AC$26)*Quesería!$D$86*(1+Quesería!$I$86))*$AC$21,0))*$AC$11</f>
        <v>0</v>
      </c>
      <c r="E1215" s="29" t="n">
        <f aca="false">IF(E$47=0,Quesería!$F$92,IF(E$47=1,(Quesería!$F$93-(-$AC$26)*Quesería!$D$86*(1+Quesería!$I$86))*$AC$21,0))*$AC$11</f>
        <v>0</v>
      </c>
      <c r="F1215" s="29" t="n">
        <f aca="false">IF(F$47=0,Quesería!$F$92,IF(F$47=1,(Quesería!$F$93-(-$AC$26)*Quesería!$D$86*(1+Quesería!$I$86))*$AC$21,0))*$AC$11</f>
        <v>0</v>
      </c>
      <c r="G1215" s="29" t="n">
        <f aca="false">IF(G$47=0,Quesería!$F$92,IF(G$47=1,(Quesería!$F$93-(-$AC$26)*Quesería!$D$86*(1+Quesería!$I$86))*$AC$21,0))*$AC$11</f>
        <v>0</v>
      </c>
      <c r="H1215" s="29" t="n">
        <f aca="false">IF(H$47=0,Quesería!$F$92,IF(H$47=1,(Quesería!$F$93-(-$AC$26)*Quesería!$D$86*(1+Quesería!$I$86))*$AC$21,0))*$AC$11</f>
        <v>0</v>
      </c>
      <c r="I1215" s="29" t="n">
        <f aca="false">IF(I$47=0,Quesería!$F$92,IF(I$47=1,(Quesería!$F$93-(-$AC$26)*Quesería!$D$86*(1+Quesería!$I$86))*$AC$21,0))*$AC$11</f>
        <v>0</v>
      </c>
      <c r="J1215" s="29" t="n">
        <f aca="false">IF(J$47=0,Quesería!$F$92,IF(J$47=1,(Quesería!$F$93-(-$AC$26)*Quesería!$D$86*(1+Quesería!$I$86))*$AC$21,0))*$AC$11</f>
        <v>0</v>
      </c>
      <c r="K1215" s="29" t="n">
        <f aca="false">IF(K$47=0,Quesería!$F$92,IF(K$47=1,(Quesería!$F$93-(-$AC$26)*Quesería!$D$86*(1+Quesería!$I$86))*$AC$21,0))*$AC$11</f>
        <v>0</v>
      </c>
      <c r="L1215" s="29" t="n">
        <f aca="false">IF(L$47=0,Quesería!$F$92,IF(L$47=1,(Quesería!$F$93-(-$AC$26)*Quesería!$D$86*(1+Quesería!$I$86))*$AC$21,0))*$AC$11</f>
        <v>0</v>
      </c>
    </row>
    <row r="1216" customFormat="false" ht="15" hidden="true" customHeight="false" outlineLevel="1" collapsed="false">
      <c r="A1216" s="6" t="s">
        <v>410</v>
      </c>
      <c r="B1216" s="29" t="n">
        <f aca="false">IF(B$47=5,Quesería!$F$99,IF(B$47=6,Quesería!$F$100,0))*$AC$11</f>
        <v>0</v>
      </c>
      <c r="C1216" s="29" t="n">
        <f aca="false">IF(C$47=5,Quesería!$F$99,IF(C$47=6,Quesería!$F$100,0))*$AC$11</f>
        <v>0</v>
      </c>
      <c r="D1216" s="29" t="n">
        <f aca="false">IF(D$47=5,Quesería!$F$99,IF(D$47=6,Quesería!$F$100,0))*$AC$11</f>
        <v>0</v>
      </c>
      <c r="E1216" s="29" t="n">
        <f aca="false">IF(E$47=5,Quesería!$F$99,IF(E$47=6,Quesería!$F$100,0))*$AC$11</f>
        <v>0</v>
      </c>
      <c r="F1216" s="29" t="n">
        <f aca="false">IF(F$47=5,Quesería!$F$99,IF(F$47=6,Quesería!$F$100,0))*$AC$11</f>
        <v>0</v>
      </c>
      <c r="G1216" s="29" t="n">
        <f aca="false">IF(G$47=5,Quesería!$F$99,IF(G$47=6,Quesería!$F$100,0))*$AC$11</f>
        <v>27.4652172688735</v>
      </c>
      <c r="H1216" s="29" t="n">
        <f aca="false">IF(H$47=5,Quesería!$F$99,IF(H$47=6,Quesería!$F$100,0))*$AC$11</f>
        <v>46.3891557109552</v>
      </c>
      <c r="I1216" s="29" t="n">
        <f aca="false">IF(I$47=5,Quesería!$F$99,IF(I$47=6,Quesería!$F$100,0))*$AC$11</f>
        <v>0</v>
      </c>
      <c r="J1216" s="29" t="n">
        <f aca="false">IF(J$47=5,Quesería!$F$99,IF(J$47=6,Quesería!$F$100,0))*$AC$11</f>
        <v>0</v>
      </c>
      <c r="K1216" s="29" t="n">
        <f aca="false">IF(K$47=5,Quesería!$F$99,IF(K$47=6,Quesería!$F$100,0))*$AC$11</f>
        <v>0</v>
      </c>
      <c r="L1216" s="29" t="n">
        <f aca="false">IF(L$47=5,Quesería!$F$99,IF(L$47=6,Quesería!$F$100,0))*$AC$11</f>
        <v>0</v>
      </c>
    </row>
    <row r="1217" customFormat="false" ht="15" hidden="true" customHeight="false" outlineLevel="1" collapsed="false">
      <c r="A1217" s="6" t="s">
        <v>411</v>
      </c>
      <c r="B1217" s="29" t="n">
        <f aca="false">Quesería!$B$55*(IF(B$47=0,SUMPRODUCT((Quesería!$C$70:$C$89=0)*(Quesería!$H$70:$H$89&gt;0)*(Quesería!$J$70:$J$89&gt;0)*Quesería!$F$70:$F$89*(1+Quesería!$I$70:$I$89)),IF(B$47=1,(SUMPRODUCT((Quesería!$C$70:$C$89=1)*(Quesería!$H$70:$H$89&gt;0)*(Quesería!$J$70:$J$89&gt;0)*Quesería!$F$70:$F$89*(1+Quesería!$I$70:$I$89))-(-$AC$26)*Quesería!$D$86*(1+Quesería!$I$86))*$AC$21,0))*$AC$11+B1216)</f>
        <v>149.115671560178</v>
      </c>
      <c r="C1217" s="29" t="n">
        <f aca="false">Quesería!$B$55*(IF(C$47=0,SUMPRODUCT((Quesería!$C$70:$C$89=0)*(Quesería!$H$70:$H$89&gt;0)*(Quesería!$J$70:$J$89&gt;0)*Quesería!$F$70:$F$89*(1+Quesería!$I$70:$I$89)),IF(C$47=1,(SUMPRODUCT((Quesería!$C$70:$C$89=1)*(Quesería!$H$70:$H$89&gt;0)*(Quesería!$J$70:$J$89&gt;0)*Quesería!$F$70:$F$89*(1+Quesería!$I$70:$I$89))-(-$AC$26)*Quesería!$D$86*(1+Quesería!$I$86))*$AC$21,0))*$AC$11+C1216)</f>
        <v>144.109122668155</v>
      </c>
      <c r="D1217" s="29" t="n">
        <f aca="false">Quesería!$B$55*(IF(D$47=0,SUMPRODUCT((Quesería!$C$70:$C$89=0)*(Quesería!$H$70:$H$89&gt;0)*(Quesería!$J$70:$J$89&gt;0)*Quesería!$F$70:$F$89*(1+Quesería!$I$70:$I$89)),IF(D$47=1,(SUMPRODUCT((Quesería!$C$70:$C$89=1)*(Quesería!$H$70:$H$89&gt;0)*(Quesería!$J$70:$J$89&gt;0)*Quesería!$F$70:$F$89*(1+Quesería!$I$70:$I$89))-(-$AC$26)*Quesería!$D$86*(1+Quesería!$I$86))*$AC$21,0))*$AC$11+D1216)</f>
        <v>0</v>
      </c>
      <c r="E1217" s="29" t="n">
        <f aca="false">Quesería!$B$55*(IF(E$47=0,SUMPRODUCT((Quesería!$C$70:$C$89=0)*(Quesería!$H$70:$H$89&gt;0)*(Quesería!$J$70:$J$89&gt;0)*Quesería!$F$70:$F$89*(1+Quesería!$I$70:$I$89)),IF(E$47=1,(SUMPRODUCT((Quesería!$C$70:$C$89=1)*(Quesería!$H$70:$H$89&gt;0)*(Quesería!$J$70:$J$89&gt;0)*Quesería!$F$70:$F$89*(1+Quesería!$I$70:$I$89))-(-$AC$26)*Quesería!$D$86*(1+Quesería!$I$86))*$AC$21,0))*$AC$11+E1216)</f>
        <v>0</v>
      </c>
      <c r="F1217" s="29" t="n">
        <f aca="false">Quesería!$B$55*(IF(F$47=0,SUMPRODUCT((Quesería!$C$70:$C$89=0)*(Quesería!$H$70:$H$89&gt;0)*(Quesería!$J$70:$J$89&gt;0)*Quesería!$F$70:$F$89*(1+Quesería!$I$70:$I$89)),IF(F$47=1,(SUMPRODUCT((Quesería!$C$70:$C$89=1)*(Quesería!$H$70:$H$89&gt;0)*(Quesería!$J$70:$J$89&gt;0)*Quesería!$F$70:$F$89*(1+Quesería!$I$70:$I$89))-(-$AC$26)*Quesería!$D$86*(1+Quesería!$I$86))*$AC$21,0))*$AC$11+F1216)</f>
        <v>0</v>
      </c>
      <c r="G1217" s="29" t="n">
        <f aca="false">Quesería!$B$55*(IF(G$47=0,SUMPRODUCT((Quesería!$C$70:$C$89=0)*(Quesería!$H$70:$H$89&gt;0)*(Quesería!$J$70:$J$89&gt;0)*Quesería!$F$70:$F$89*(1+Quesería!$I$70:$I$89)),IF(G$47=1,(SUMPRODUCT((Quesería!$C$70:$C$89=1)*(Quesería!$H$70:$H$89&gt;0)*(Quesería!$J$70:$J$89&gt;0)*Quesería!$F$70:$F$89*(1+Quesería!$I$70:$I$89))-(-$AC$26)*Quesería!$D$86*(1+Quesería!$I$86))*$AC$21,0))*$AC$11+G1216)</f>
        <v>5.21839128108597</v>
      </c>
      <c r="H1217" s="29" t="n">
        <f aca="false">Quesería!$B$55*(IF(H$47=0,SUMPRODUCT((Quesería!$C$70:$C$89=0)*(Quesería!$H$70:$H$89&gt;0)*(Quesería!$J$70:$J$89&gt;0)*Quesería!$F$70:$F$89*(1+Quesería!$I$70:$I$89)),IF(H$47=1,(SUMPRODUCT((Quesería!$C$70:$C$89=1)*(Quesería!$H$70:$H$89&gt;0)*(Quesería!$J$70:$J$89&gt;0)*Quesería!$F$70:$F$89*(1+Quesería!$I$70:$I$89))-(-$AC$26)*Quesería!$D$86*(1+Quesería!$I$86))*$AC$21,0))*$AC$11+H1216)</f>
        <v>8.8139395850815</v>
      </c>
      <c r="I1217" s="29" t="n">
        <f aca="false">Quesería!$B$55*(IF(I$47=0,SUMPRODUCT((Quesería!$C$70:$C$89=0)*(Quesería!$H$70:$H$89&gt;0)*(Quesería!$J$70:$J$89&gt;0)*Quesería!$F$70:$F$89*(1+Quesería!$I$70:$I$89)),IF(I$47=1,(SUMPRODUCT((Quesería!$C$70:$C$89=1)*(Quesería!$H$70:$H$89&gt;0)*(Quesería!$J$70:$J$89&gt;0)*Quesería!$F$70:$F$89*(1+Quesería!$I$70:$I$89))-(-$AC$26)*Quesería!$D$86*(1+Quesería!$I$86))*$AC$21,0))*$AC$11+I1216)</f>
        <v>0</v>
      </c>
      <c r="J1217" s="29" t="n">
        <f aca="false">Quesería!$B$55*(IF(J$47=0,SUMPRODUCT((Quesería!$C$70:$C$89=0)*(Quesería!$H$70:$H$89&gt;0)*(Quesería!$J$70:$J$89&gt;0)*Quesería!$F$70:$F$89*(1+Quesería!$I$70:$I$89)),IF(J$47=1,(SUMPRODUCT((Quesería!$C$70:$C$89=1)*(Quesería!$H$70:$H$89&gt;0)*(Quesería!$J$70:$J$89&gt;0)*Quesería!$F$70:$F$89*(1+Quesería!$I$70:$I$89))-(-$AC$26)*Quesería!$D$86*(1+Quesería!$I$86))*$AC$21,0))*$AC$11+J1216)</f>
        <v>0</v>
      </c>
      <c r="K1217" s="29" t="n">
        <f aca="false">Quesería!$B$55*(IF(K$47=0,SUMPRODUCT((Quesería!$C$70:$C$89=0)*(Quesería!$H$70:$H$89&gt;0)*(Quesería!$J$70:$J$89&gt;0)*Quesería!$F$70:$F$89*(1+Quesería!$I$70:$I$89)),IF(K$47=1,(SUMPRODUCT((Quesería!$C$70:$C$89=1)*(Quesería!$H$70:$H$89&gt;0)*(Quesería!$J$70:$J$89&gt;0)*Quesería!$F$70:$F$89*(1+Quesería!$I$70:$I$89))-(-$AC$26)*Quesería!$D$86*(1+Quesería!$I$86))*$AC$21,0))*$AC$11+K1216)</f>
        <v>0</v>
      </c>
      <c r="L1217" s="29" t="n">
        <f aca="false">Quesería!$B$55*(IF(L$47=0,SUMPRODUCT((Quesería!$C$70:$C$89=0)*(Quesería!$H$70:$H$89&gt;0)*(Quesería!$J$70:$J$89&gt;0)*Quesería!$F$70:$F$89*(1+Quesería!$I$70:$I$89)),IF(L$47=1,(SUMPRODUCT((Quesería!$C$70:$C$89=1)*(Quesería!$H$70:$H$89&gt;0)*(Quesería!$J$70:$J$89&gt;0)*Quesería!$F$70:$F$89*(1+Quesería!$I$70:$I$89))-(-$AC$26)*Quesería!$D$86*(1+Quesería!$I$86))*$AC$21,0))*$AC$11+L1216)</f>
        <v>0</v>
      </c>
    </row>
    <row r="1218" customFormat="false" ht="15" hidden="true" customHeight="false" outlineLevel="1" collapsed="false">
      <c r="A1218" s="6" t="s">
        <v>386</v>
      </c>
      <c r="B1218" s="29" t="n">
        <f aca="false">IF(B$47=0,($AC$22*Quesería!$J$126+(1-$AC$22)*Quesería!$E$122)*Quesería!$B$20*Quesería!$B$21/12*$AC$23,(($AC$22*Quesería!$J$126+(1-$AC$22)*Quesería!$E$122)+($AC$22*Quesería!$J$104+(1-$AC$22)*Quesería!$E$104)*(B1213-1))*IF(B$47=1,Quesería!$B$20,1))*$AC$10</f>
        <v>120.716772261203</v>
      </c>
      <c r="C1218" s="29" t="n">
        <f aca="false">IF(C$47=0,($AC$22*Quesería!$J$126+(1-$AC$22)*Quesería!$E$122)*Quesería!$B$20*Quesería!$B$21/12*$AC$23,(($AC$22*Quesería!$J$126+(1-$AC$22)*Quesería!$E$122)+($AC$22*Quesería!$J$104+(1-$AC$22)*Quesería!$E$104)*(C1213-1))*IF(C$47=1,Quesería!$B$20,1))*$AC$10</f>
        <v>181.328317354069</v>
      </c>
      <c r="D1218" s="29" t="n">
        <f aca="false">IF(D$47=0,($AC$22*Quesería!$J$126+(1-$AC$22)*Quesería!$E$122)*Quesería!$B$20*Quesería!$B$21/12*$AC$23,(($AC$22*Quesería!$J$126+(1-$AC$22)*Quesería!$E$122)+($AC$22*Quesería!$J$104+(1-$AC$22)*Quesería!$E$104)*(D1213-1))*IF(D$47=1,Quesería!$B$20,1))*$AC$10</f>
        <v>241.83157753184</v>
      </c>
      <c r="E1218" s="29" t="n">
        <f aca="false">IF(E$47=0,($AC$22*Quesería!$J$126+(1-$AC$22)*Quesería!$E$122)*Quesería!$B$20*Quesería!$B$21/12*$AC$23,(($AC$22*Quesería!$J$126+(1-$AC$22)*Quesería!$E$122)+($AC$22*Quesería!$J$104+(1-$AC$22)*Quesería!$E$104)*(E1213-1))*IF(E$47=1,Quesería!$B$20,1))*$AC$10</f>
        <v>241.892367696887</v>
      </c>
      <c r="F1218" s="29" t="n">
        <f aca="false">IF(F$47=0,($AC$22*Quesería!$J$126+(1-$AC$22)*Quesería!$E$122)*Quesería!$B$20*Quesería!$B$21/12*$AC$23,(($AC$22*Quesería!$J$126+(1-$AC$22)*Quesería!$E$122)+($AC$22*Quesería!$J$104+(1-$AC$22)*Quesería!$E$104)*(F1213-1))*IF(F$47=1,Quesería!$B$20,1))*$AC$10</f>
        <v>241.95346181276</v>
      </c>
      <c r="G1218" s="29" t="n">
        <f aca="false">IF(G$47=0,($AC$22*Quesería!$J$126+(1-$AC$22)*Quesería!$E$122)*Quesería!$B$20*Quesería!$B$21/12*$AC$23,(($AC$22*Quesería!$J$126+(1-$AC$22)*Quesería!$E$122)+($AC$22*Quesería!$J$104+(1-$AC$22)*Quesería!$E$104)*(G1213-1))*IF(G$47=1,Quesería!$B$20,1))*$AC$10</f>
        <v>242.014861399211</v>
      </c>
      <c r="H1218" s="29" t="n">
        <f aca="false">IF(H$47=0,($AC$22*Quesería!$J$126+(1-$AC$22)*Quesería!$E$122)*Quesería!$B$20*Quesería!$B$21/12*$AC$23,(($AC$22*Quesería!$J$126+(1-$AC$22)*Quesería!$E$122)+($AC$22*Quesería!$J$104+(1-$AC$22)*Quesería!$E$104)*(H1213-1))*IF(H$47=1,Quesería!$B$20,1))*$AC$10</f>
        <v>242.076567983595</v>
      </c>
      <c r="I1218" s="29" t="n">
        <f aca="false">IF(I$47=0,($AC$22*Quesería!$J$126+(1-$AC$22)*Quesería!$E$122)*Quesería!$B$20*Quesería!$B$21/12*$AC$23,(($AC$22*Quesería!$J$126+(1-$AC$22)*Quesería!$E$122)+($AC$22*Quesería!$J$104+(1-$AC$22)*Quesería!$E$104)*(I1213-1))*IF(I$47=1,Quesería!$B$20,1))*$AC$10</f>
        <v>242.138583100901</v>
      </c>
      <c r="J1218" s="29" t="n">
        <f aca="false">IF(J$47=0,($AC$22*Quesería!$J$126+(1-$AC$22)*Quesería!$E$122)*Quesería!$B$20*Quesería!$B$21/12*$AC$23,(($AC$22*Quesería!$J$126+(1-$AC$22)*Quesería!$E$122)+($AC$22*Quesería!$J$104+(1-$AC$22)*Quesería!$E$104)*(J1213-1))*IF(J$47=1,Quesería!$B$20,1))*$AC$10</f>
        <v>242.200908293794</v>
      </c>
      <c r="K1218" s="29" t="n">
        <f aca="false">IF(K$47=0,($AC$22*Quesería!$J$126+(1-$AC$22)*Quesería!$E$122)*Quesería!$B$20*Quesería!$B$21/12*$AC$23,(($AC$22*Quesería!$J$126+(1-$AC$22)*Quesería!$E$122)+($AC$22*Quesería!$J$104+(1-$AC$22)*Quesería!$E$104)*(K1213-1))*IF(K$47=1,Quesería!$B$20,1))*$AC$10</f>
        <v>242.263545112651</v>
      </c>
      <c r="L1218" s="29" t="n">
        <f aca="false">IF(L$47=0,($AC$22*Quesería!$J$126+(1-$AC$22)*Quesería!$E$122)*Quesería!$B$20*Quesería!$B$21/12*$AC$23,(($AC$22*Quesería!$J$126+(1-$AC$22)*Quesería!$E$122)+($AC$22*Quesería!$J$104+(1-$AC$22)*Quesería!$E$104)*(L1213-1))*IF(L$47=1,Quesería!$B$20,1))*$AC$10</f>
        <v>242.326495115602</v>
      </c>
    </row>
    <row r="1219" customFormat="false" ht="15" hidden="true" customHeight="false" outlineLevel="1" collapsed="false">
      <c r="A1219" s="6" t="s">
        <v>387</v>
      </c>
      <c r="B1219" s="29" t="n">
        <f aca="false">IF(B$47&lt;=1,0,((($AC$22*Quesería!$J$127+(1-$AC$22)*Quesería!$E$123)-($AC$22*Quesería!$J$113+(1-$AC$22)*Quesería!$E$113)+$AC$6*($AC$22*Quesería!$J$113+(1-$AC$22)*Quesería!$E$113)-(1-$AC$9)*(($AC$22*Quesería!$J$119+(1-$AC$22)*Quesería!$E$119)+($AC$22*Quesería!$J$118+(1-$AC$22)*Quesería!$E$118))-(1-$AC$24)*($AC$22*Quesería!$J$117+(1-$AC$22)*Quesería!$E$117)+$AC$24*(1-$AC$25)*'Beneficios y costos'!$B$144-(-$AC$26*$AC$27)*'Beneficios y costos'!$C$167)+($AC$6*($AC$22*Quesería!$J$113+(1-$AC$22)*Quesería!$E$113)+$AC$9*($AC$22*Quesería!$J$119+(1-$AC$22)*Quesería!$E$119))*(B1213-1))*IF(B$47=2,Quesería!$B$20,1)+IF(B$47=2,Quesería!$B$24*$AC$9*($AC$22*Quesería!$J$119+(1-$AC$22)*Quesería!$E$119)*B1213,0))*$AC$10*$AC$21</f>
        <v>0</v>
      </c>
      <c r="C1219" s="29" t="n">
        <f aca="false">IF(C$47&lt;=1,0,((($AC$22*Quesería!$J$127+(1-$AC$22)*Quesería!$E$123)-($AC$22*Quesería!$J$113+(1-$AC$22)*Quesería!$E$113)+$AC$6*($AC$22*Quesería!$J$113+(1-$AC$22)*Quesería!$E$113)-(1-$AC$9)*(($AC$22*Quesería!$J$119+(1-$AC$22)*Quesería!$E$119)+($AC$22*Quesería!$J$118+(1-$AC$22)*Quesería!$E$118))-(1-$AC$24)*($AC$22*Quesería!$J$117+(1-$AC$22)*Quesería!$E$117)+$AC$24*(1-$AC$25)*'Beneficios y costos'!$B$144-(-$AC$26*$AC$27)*'Beneficios y costos'!$C$167)+($AC$6*($AC$22*Quesería!$J$113+(1-$AC$22)*Quesería!$E$113)+$AC$9*($AC$22*Quesería!$J$119+(1-$AC$22)*Quesería!$E$119))*(C1213-1))*IF(C$47=2,Quesería!$B$20,1)+IF(C$47=2,Quesería!$B$24*$AC$9*($AC$22*Quesería!$J$119+(1-$AC$22)*Quesería!$E$119)*C1213,0))*$AC$10*$AC$21</f>
        <v>0</v>
      </c>
      <c r="D1219" s="29" t="n">
        <f aca="false">IF(D$47&lt;=1,0,((($AC$22*Quesería!$J$127+(1-$AC$22)*Quesería!$E$123)-($AC$22*Quesería!$J$113+(1-$AC$22)*Quesería!$E$113)+$AC$6*($AC$22*Quesería!$J$113+(1-$AC$22)*Quesería!$E$113)-(1-$AC$9)*(($AC$22*Quesería!$J$119+(1-$AC$22)*Quesería!$E$119)+($AC$22*Quesería!$J$118+(1-$AC$22)*Quesería!$E$118))-(1-$AC$24)*($AC$22*Quesería!$J$117+(1-$AC$22)*Quesería!$E$117)+$AC$24*(1-$AC$25)*'Beneficios y costos'!$B$144-(-$AC$26*$AC$27)*'Beneficios y costos'!$C$167)+($AC$6*($AC$22*Quesería!$J$113+(1-$AC$22)*Quesería!$E$113)+$AC$9*($AC$22*Quesería!$J$119+(1-$AC$22)*Quesería!$E$119))*(D1213-1))*IF(D$47=2,Quesería!$B$20,1)+IF(D$47=2,Quesería!$B$24*$AC$9*($AC$22*Quesería!$J$119+(1-$AC$22)*Quesería!$E$119)*D1213,0))*$AC$10*$AC$21</f>
        <v>257.351493734688</v>
      </c>
      <c r="E1219" s="29" t="n">
        <f aca="false">IF(E$47&lt;=1,0,((($AC$22*Quesería!$J$127+(1-$AC$22)*Quesería!$E$123)-($AC$22*Quesería!$J$113+(1-$AC$22)*Quesería!$E$113)+$AC$6*($AC$22*Quesería!$J$113+(1-$AC$22)*Quesería!$E$113)-(1-$AC$9)*(($AC$22*Quesería!$J$119+(1-$AC$22)*Quesería!$E$119)+($AC$22*Quesería!$J$118+(1-$AC$22)*Quesería!$E$118))-(1-$AC$24)*($AC$22*Quesería!$J$117+(1-$AC$22)*Quesería!$E$117)+$AC$24*(1-$AC$25)*'Beneficios y costos'!$B$144-(-$AC$26*$AC$27)*'Beneficios y costos'!$C$167)+($AC$6*($AC$22*Quesería!$J$113+(1-$AC$22)*Quesería!$E$113)+$AC$9*($AC$22*Quesería!$J$119+(1-$AC$22)*Quesería!$E$119))*(E1213-1))*IF(E$47=2,Quesería!$B$20,1)+IF(E$47=2,Quesería!$B$24*$AC$9*($AC$22*Quesería!$J$119+(1-$AC$22)*Quesería!$E$119)*E1213,0))*$AC$10*$AC$21</f>
        <v>328.494820128122</v>
      </c>
      <c r="F1219" s="29" t="n">
        <f aca="false">IF(F$47&lt;=1,0,((($AC$22*Quesería!$J$127+(1-$AC$22)*Quesería!$E$123)-($AC$22*Quesería!$J$113+(1-$AC$22)*Quesería!$E$113)+$AC$6*($AC$22*Quesería!$J$113+(1-$AC$22)*Quesería!$E$113)-(1-$AC$9)*(($AC$22*Quesería!$J$119+(1-$AC$22)*Quesería!$E$119)+($AC$22*Quesería!$J$118+(1-$AC$22)*Quesería!$E$118))-(1-$AC$24)*($AC$22*Quesería!$J$117+(1-$AC$22)*Quesería!$E$117)+$AC$24*(1-$AC$25)*'Beneficios y costos'!$B$144-(-$AC$26*$AC$27)*'Beneficios y costos'!$C$167)+($AC$6*($AC$22*Quesería!$J$113+(1-$AC$22)*Quesería!$E$113)+$AC$9*($AC$22*Quesería!$J$119+(1-$AC$22)*Quesería!$E$119))*(F1213-1))*IF(F$47=2,Quesería!$B$20,1)+IF(F$47=2,Quesería!$B$24*$AC$9*($AC$22*Quesería!$J$119+(1-$AC$22)*Quesería!$E$119)*F1213,0))*$AC$10*$AC$21</f>
        <v>328.742937047686</v>
      </c>
      <c r="G1219" s="29" t="n">
        <f aca="false">IF(G$47&lt;=1,0,((($AC$22*Quesería!$J$127+(1-$AC$22)*Quesería!$E$123)-($AC$22*Quesería!$J$113+(1-$AC$22)*Quesería!$E$113)+$AC$6*($AC$22*Quesería!$J$113+(1-$AC$22)*Quesería!$E$113)-(1-$AC$9)*(($AC$22*Quesería!$J$119+(1-$AC$22)*Quesería!$E$119)+($AC$22*Quesería!$J$118+(1-$AC$22)*Quesería!$E$118))-(1-$AC$24)*($AC$22*Quesería!$J$117+(1-$AC$22)*Quesería!$E$117)+$AC$24*(1-$AC$25)*'Beneficios y costos'!$B$144-(-$AC$26*$AC$27)*'Beneficios y costos'!$C$167)+($AC$6*($AC$22*Quesería!$J$113+(1-$AC$22)*Quesería!$E$113)+$AC$9*($AC$22*Quesería!$J$119+(1-$AC$22)*Quesería!$E$119))*(G1213-1))*IF(G$47=2,Quesería!$B$20,1)+IF(G$47=2,Quesería!$B$24*$AC$9*($AC$22*Quesería!$J$119+(1-$AC$22)*Quesería!$E$119)*G1213,0))*$AC$10*$AC$21</f>
        <v>328.992294551847</v>
      </c>
      <c r="H1219" s="29" t="n">
        <f aca="false">IF(H$47&lt;=1,0,((($AC$22*Quesería!$J$127+(1-$AC$22)*Quesería!$E$123)-($AC$22*Quesería!$J$113+(1-$AC$22)*Quesería!$E$113)+$AC$6*($AC$22*Quesería!$J$113+(1-$AC$22)*Quesería!$E$113)-(1-$AC$9)*(($AC$22*Quesería!$J$119+(1-$AC$22)*Quesería!$E$119)+($AC$22*Quesería!$J$118+(1-$AC$22)*Quesería!$E$118))-(1-$AC$24)*($AC$22*Quesería!$J$117+(1-$AC$22)*Quesería!$E$117)+$AC$24*(1-$AC$25)*'Beneficios y costos'!$B$144-(-$AC$26*$AC$27)*'Beneficios y costos'!$C$167)+($AC$6*($AC$22*Quesería!$J$113+(1-$AC$22)*Quesería!$E$113)+$AC$9*($AC$22*Quesería!$J$119+(1-$AC$22)*Quesería!$E$119))*(H1213-1))*IF(H$47=2,Quesería!$B$20,1)+IF(H$47=2,Quesería!$B$24*$AC$9*($AC$22*Quesería!$J$119+(1-$AC$22)*Quesería!$E$119)*H1213,0))*$AC$10*$AC$21</f>
        <v>329.242898843529</v>
      </c>
      <c r="I1219" s="29" t="n">
        <f aca="false">IF(I$47&lt;=1,0,((($AC$22*Quesería!$J$127+(1-$AC$22)*Quesería!$E$123)-($AC$22*Quesería!$J$113+(1-$AC$22)*Quesería!$E$113)+$AC$6*($AC$22*Quesería!$J$113+(1-$AC$22)*Quesería!$E$113)-(1-$AC$9)*(($AC$22*Quesería!$J$119+(1-$AC$22)*Quesería!$E$119)+($AC$22*Quesería!$J$118+(1-$AC$22)*Quesería!$E$118))-(1-$AC$24)*($AC$22*Quesería!$J$117+(1-$AC$22)*Quesería!$E$117)+$AC$24*(1-$AC$25)*'Beneficios y costos'!$B$144-(-$AC$26*$AC$27)*'Beneficios y costos'!$C$167)+($AC$6*($AC$22*Quesería!$J$113+(1-$AC$22)*Quesería!$E$113)+$AC$9*($AC$22*Quesería!$J$119+(1-$AC$22)*Quesería!$E$119))*(I1213-1))*IF(I$47=2,Quesería!$B$20,1)+IF(I$47=2,Quesería!$B$24*$AC$9*($AC$22*Quesería!$J$119+(1-$AC$22)*Quesería!$E$119)*I1213,0))*$AC$10*$AC$21</f>
        <v>329.49475615667</v>
      </c>
      <c r="J1219" s="29" t="n">
        <f aca="false">IF(J$47&lt;=1,0,((($AC$22*Quesería!$J$127+(1-$AC$22)*Quesería!$E$123)-($AC$22*Quesería!$J$113+(1-$AC$22)*Quesería!$E$113)+$AC$6*($AC$22*Quesería!$J$113+(1-$AC$22)*Quesería!$E$113)-(1-$AC$9)*(($AC$22*Quesería!$J$119+(1-$AC$22)*Quesería!$E$119)+($AC$22*Quesería!$J$118+(1-$AC$22)*Quesería!$E$118))-(1-$AC$24)*($AC$22*Quesería!$J$117+(1-$AC$22)*Quesería!$E$117)+$AC$24*(1-$AC$25)*'Beneficios y costos'!$B$144-(-$AC$26*$AC$27)*'Beneficios y costos'!$C$167)+($AC$6*($AC$22*Quesería!$J$113+(1-$AC$22)*Quesería!$E$113)+$AC$9*($AC$22*Quesería!$J$119+(1-$AC$22)*Quesería!$E$119))*(J1213-1))*IF(J$47=2,Quesería!$B$20,1)+IF(J$47=2,Quesería!$B$24*$AC$9*($AC$22*Quesería!$J$119+(1-$AC$22)*Quesería!$E$119)*J1213,0))*$AC$10*$AC$21</f>
        <v>329.747872756376</v>
      </c>
      <c r="K1219" s="29" t="n">
        <f aca="false">IF(K$47&lt;=1,0,((($AC$22*Quesería!$J$127+(1-$AC$22)*Quesería!$E$123)-($AC$22*Quesería!$J$113+(1-$AC$22)*Quesería!$E$113)+$AC$6*($AC$22*Quesería!$J$113+(1-$AC$22)*Quesería!$E$113)-(1-$AC$9)*(($AC$22*Quesería!$J$119+(1-$AC$22)*Quesería!$E$119)+($AC$22*Quesería!$J$118+(1-$AC$22)*Quesería!$E$118))-(1-$AC$24)*($AC$22*Quesería!$J$117+(1-$AC$22)*Quesería!$E$117)+$AC$24*(1-$AC$25)*'Beneficios y costos'!$B$144-(-$AC$26*$AC$27)*'Beneficios y costos'!$C$167)+($AC$6*($AC$22*Quesería!$J$113+(1-$AC$22)*Quesería!$E$113)+$AC$9*($AC$22*Quesería!$J$119+(1-$AC$22)*Quesería!$E$119))*(K1213-1))*IF(K$47=2,Quesería!$B$20,1)+IF(K$47=2,Quesería!$B$24*$AC$9*($AC$22*Quesería!$J$119+(1-$AC$22)*Quesería!$E$119)*K1213,0))*$AC$10*$AC$21</f>
        <v>330.00225493908</v>
      </c>
      <c r="L1219" s="29" t="n">
        <f aca="false">IF(L$47&lt;=1,0,((($AC$22*Quesería!$J$127+(1-$AC$22)*Quesería!$E$123)-($AC$22*Quesería!$J$113+(1-$AC$22)*Quesería!$E$113)+$AC$6*($AC$22*Quesería!$J$113+(1-$AC$22)*Quesería!$E$113)-(1-$AC$9)*(($AC$22*Quesería!$J$119+(1-$AC$22)*Quesería!$E$119)+($AC$22*Quesería!$J$118+(1-$AC$22)*Quesería!$E$118))-(1-$AC$24)*($AC$22*Quesería!$J$117+(1-$AC$22)*Quesería!$E$117)+$AC$24*(1-$AC$25)*'Beneficios y costos'!$B$144-(-$AC$26*$AC$27)*'Beneficios y costos'!$C$167)+($AC$6*($AC$22*Quesería!$J$113+(1-$AC$22)*Quesería!$E$113)+$AC$9*($AC$22*Quesería!$J$119+(1-$AC$22)*Quesería!$E$119))*(L1213-1))*IF(L$47=2,Quesería!$B$20,1)+IF(L$47=2,Quesería!$B$24*$AC$9*($AC$22*Quesería!$J$119+(1-$AC$22)*Quesería!$E$119)*L1213,0))*$AC$10*$AC$21</f>
        <v>330.257909032699</v>
      </c>
    </row>
    <row r="1220" customFormat="false" ht="15" hidden="true" customHeight="false" outlineLevel="1" collapsed="false">
      <c r="A1220" s="5" t="s">
        <v>412</v>
      </c>
      <c r="B1220" s="10" t="n">
        <f aca="false">B1218+B1219</f>
        <v>120.716772261203</v>
      </c>
      <c r="C1220" s="10" t="n">
        <f aca="false">C1218+C1219</f>
        <v>181.328317354069</v>
      </c>
      <c r="D1220" s="10" t="n">
        <f aca="false">D1218+D1219</f>
        <v>499.183071266528</v>
      </c>
      <c r="E1220" s="10" t="n">
        <f aca="false">E1218+E1219</f>
        <v>570.38718782501</v>
      </c>
      <c r="F1220" s="10" t="n">
        <f aca="false">F1218+F1219</f>
        <v>570.696398860445</v>
      </c>
      <c r="G1220" s="10" t="n">
        <f aca="false">G1218+G1219</f>
        <v>571.007155951058</v>
      </c>
      <c r="H1220" s="10" t="n">
        <f aca="false">H1218+H1219</f>
        <v>571.319466827124</v>
      </c>
      <c r="I1220" s="10" t="n">
        <f aca="false">I1218+I1219</f>
        <v>571.633339257571</v>
      </c>
      <c r="J1220" s="10" t="n">
        <f aca="false">J1218+J1219</f>
        <v>571.94878105017</v>
      </c>
      <c r="K1220" s="10" t="n">
        <f aca="false">K1218+K1219</f>
        <v>572.265800051731</v>
      </c>
      <c r="L1220" s="10" t="n">
        <f aca="false">L1218+L1219</f>
        <v>572.584404148301</v>
      </c>
    </row>
    <row r="1221" customFormat="false" ht="15" hidden="true" customHeight="false" outlineLevel="1" collapsed="false">
      <c r="A1221" s="6" t="s">
        <v>413</v>
      </c>
      <c r="B1221" s="29" t="n">
        <f aca="false">(IF(B$47&gt;=1,(Quesería!$B$31+Quesería!$B$33)*Quesería!$F$94*$AC$11+Quesería!$B$32+'Beneficios y costos'!$B$249,0)+IF(B$47&gt;=2,((Quesería!$B$31+Quesería!$B$33)*(Quesería!$F$95-(-$AC$26)*Quesería!$D$86)*$AC$11+'Beneficios y costos'!$C$249-(-$AC$26)*'Beneficios y costos'!$H$235)*$AC$21,0))*$AC$12</f>
        <v>0</v>
      </c>
      <c r="C1221" s="29" t="n">
        <f aca="false">(IF(C$47&gt;=1,(Quesería!$B$31+Quesería!$B$33)*Quesería!$F$94*$AC$11+Quesería!$B$32+'Beneficios y costos'!$B$249,0)+IF(C$47&gt;=2,((Quesería!$B$31+Quesería!$B$33)*(Quesería!$F$95-(-$AC$26)*Quesería!$D$86)*$AC$11+'Beneficios y costos'!$C$249-(-$AC$26)*'Beneficios y costos'!$H$235)*$AC$21,0))*$AC$12</f>
        <v>42.0946487260605</v>
      </c>
      <c r="D1221" s="29" t="n">
        <f aca="false">(IF(D$47&gt;=1,(Quesería!$B$31+Quesería!$B$33)*Quesería!$F$94*$AC$11+Quesería!$B$32+'Beneficios y costos'!$B$249,0)+IF(D$47&gt;=2,((Quesería!$B$31+Quesería!$B$33)*(Quesería!$F$95-(-$AC$26)*Quesería!$D$86)*$AC$11+'Beneficios y costos'!$C$249-(-$AC$26)*'Beneficios y costos'!$H$235)*$AC$21,0))*$AC$12</f>
        <v>95.9432442337815</v>
      </c>
      <c r="E1221" s="29" t="n">
        <f aca="false">(IF(E$47&gt;=1,(Quesería!$B$31+Quesería!$B$33)*Quesería!$F$94*$AC$11+Quesería!$B$32+'Beneficios y costos'!$B$249,0)+IF(E$47&gt;=2,((Quesería!$B$31+Quesería!$B$33)*(Quesería!$F$95-(-$AC$26)*Quesería!$D$86)*$AC$11+'Beneficios y costos'!$C$249-(-$AC$26)*'Beneficios y costos'!$H$235)*$AC$21,0))*$AC$12</f>
        <v>95.9432442337815</v>
      </c>
      <c r="F1221" s="29" t="n">
        <f aca="false">(IF(F$47&gt;=1,(Quesería!$B$31+Quesería!$B$33)*Quesería!$F$94*$AC$11+Quesería!$B$32+'Beneficios y costos'!$B$249,0)+IF(F$47&gt;=2,((Quesería!$B$31+Quesería!$B$33)*(Quesería!$F$95-(-$AC$26)*Quesería!$D$86)*$AC$11+'Beneficios y costos'!$C$249-(-$AC$26)*'Beneficios y costos'!$H$235)*$AC$21,0))*$AC$12</f>
        <v>95.9432442337815</v>
      </c>
      <c r="G1221" s="29" t="n">
        <f aca="false">(IF(G$47&gt;=1,(Quesería!$B$31+Quesería!$B$33)*Quesería!$F$94*$AC$11+Quesería!$B$32+'Beneficios y costos'!$B$249,0)+IF(G$47&gt;=2,((Quesería!$B$31+Quesería!$B$33)*(Quesería!$F$95-(-$AC$26)*Quesería!$D$86)*$AC$11+'Beneficios y costos'!$C$249-(-$AC$26)*'Beneficios y costos'!$H$235)*$AC$21,0))*$AC$12</f>
        <v>95.9432442337815</v>
      </c>
      <c r="H1221" s="29" t="n">
        <f aca="false">(IF(H$47&gt;=1,(Quesería!$B$31+Quesería!$B$33)*Quesería!$F$94*$AC$11+Quesería!$B$32+'Beneficios y costos'!$B$249,0)+IF(H$47&gt;=2,((Quesería!$B$31+Quesería!$B$33)*(Quesería!$F$95-(-$AC$26)*Quesería!$D$86)*$AC$11+'Beneficios y costos'!$C$249-(-$AC$26)*'Beneficios y costos'!$H$235)*$AC$21,0))*$AC$12</f>
        <v>95.9432442337815</v>
      </c>
      <c r="I1221" s="29" t="n">
        <f aca="false">(IF(I$47&gt;=1,(Quesería!$B$31+Quesería!$B$33)*Quesería!$F$94*$AC$11+Quesería!$B$32+'Beneficios y costos'!$B$249,0)+IF(I$47&gt;=2,((Quesería!$B$31+Quesería!$B$33)*(Quesería!$F$95-(-$AC$26)*Quesería!$D$86)*$AC$11+'Beneficios y costos'!$C$249-(-$AC$26)*'Beneficios y costos'!$H$235)*$AC$21,0))*$AC$12</f>
        <v>95.9432442337815</v>
      </c>
      <c r="J1221" s="29" t="n">
        <f aca="false">(IF(J$47&gt;=1,(Quesería!$B$31+Quesería!$B$33)*Quesería!$F$94*$AC$11+Quesería!$B$32+'Beneficios y costos'!$B$249,0)+IF(J$47&gt;=2,((Quesería!$B$31+Quesería!$B$33)*(Quesería!$F$95-(-$AC$26)*Quesería!$D$86)*$AC$11+'Beneficios y costos'!$C$249-(-$AC$26)*'Beneficios y costos'!$H$235)*$AC$21,0))*$AC$12</f>
        <v>95.9432442337815</v>
      </c>
      <c r="K1221" s="29" t="n">
        <f aca="false">(IF(K$47&gt;=1,(Quesería!$B$31+Quesería!$B$33)*Quesería!$F$94*$AC$11+Quesería!$B$32+'Beneficios y costos'!$B$249,0)+IF(K$47&gt;=2,((Quesería!$B$31+Quesería!$B$33)*(Quesería!$F$95-(-$AC$26)*Quesería!$D$86)*$AC$11+'Beneficios y costos'!$C$249-(-$AC$26)*'Beneficios y costos'!$H$235)*$AC$21,0))*$AC$12</f>
        <v>95.9432442337815</v>
      </c>
      <c r="L1221" s="29" t="n">
        <f aca="false">(IF(L$47&gt;=1,(Quesería!$B$31+Quesería!$B$33)*Quesería!$F$94*$AC$11+Quesería!$B$32+'Beneficios y costos'!$B$249,0)+IF(L$47&gt;=2,((Quesería!$B$31+Quesería!$B$33)*(Quesería!$F$95-(-$AC$26)*Quesería!$D$86)*$AC$11+'Beneficios y costos'!$C$249-(-$AC$26)*'Beneficios y costos'!$H$235)*$AC$21,0))*$AC$12</f>
        <v>95.9432442337815</v>
      </c>
    </row>
    <row r="1222" customFormat="false" ht="15" hidden="true" customHeight="false" outlineLevel="1" collapsed="false">
      <c r="A1222" s="6" t="s">
        <v>414</v>
      </c>
      <c r="B1222" s="29" t="n">
        <f aca="false">IF(B$47=1,2*Quesería!$B$22*Quesería!$B$23/12*B1213,0)*$AC$21</f>
        <v>0</v>
      </c>
      <c r="C1222" s="29" t="n">
        <f aca="false">IF(C$47=1,2*Quesería!$B$22*Quesería!$B$23/12*C1213,0)*$AC$21</f>
        <v>18.5166509433962</v>
      </c>
      <c r="D1222" s="29" t="n">
        <f aca="false">IF(D$47=1,2*Quesería!$B$22*Quesería!$B$23/12*D1213,0)*$AC$21</f>
        <v>0</v>
      </c>
      <c r="E1222" s="29" t="n">
        <f aca="false">IF(E$47=1,2*Quesería!$B$22*Quesería!$B$23/12*E1213,0)*$AC$21</f>
        <v>0</v>
      </c>
      <c r="F1222" s="29" t="n">
        <f aca="false">IF(F$47=1,2*Quesería!$B$22*Quesería!$B$23/12*F1213,0)*$AC$21</f>
        <v>0</v>
      </c>
      <c r="G1222" s="29" t="n">
        <f aca="false">IF(G$47=1,2*Quesería!$B$22*Quesería!$B$23/12*G1213,0)*$AC$21</f>
        <v>0</v>
      </c>
      <c r="H1222" s="29" t="n">
        <f aca="false">IF(H$47=1,2*Quesería!$B$22*Quesería!$B$23/12*H1213,0)*$AC$21</f>
        <v>0</v>
      </c>
      <c r="I1222" s="29" t="n">
        <f aca="false">IF(I$47=1,2*Quesería!$B$22*Quesería!$B$23/12*I1213,0)*$AC$21</f>
        <v>0</v>
      </c>
      <c r="J1222" s="29" t="n">
        <f aca="false">IF(J$47=1,2*Quesería!$B$22*Quesería!$B$23/12*J1213,0)*$AC$21</f>
        <v>0</v>
      </c>
      <c r="K1222" s="29" t="n">
        <f aca="false">IF(K$47=1,2*Quesería!$B$22*Quesería!$B$23/12*K1213,0)*$AC$21</f>
        <v>0</v>
      </c>
      <c r="L1222" s="29" t="n">
        <f aca="false">IF(L$47=1,2*Quesería!$B$22*Quesería!$B$23/12*L1213,0)*$AC$21</f>
        <v>0</v>
      </c>
    </row>
    <row r="1223" customFormat="false" ht="15" hidden="true" customHeight="false" outlineLevel="1" collapsed="false">
      <c r="A1223" s="6" t="s">
        <v>415</v>
      </c>
      <c r="B1223" s="29" t="n">
        <f aca="false">Quesería!$B$52*(B1215+B1216+B1217+B1221+B1222)</f>
        <v>4.31966364396742</v>
      </c>
      <c r="C1223" s="29" t="n">
        <f aca="false">Quesería!$B$52*(C1215+C1216+C1217+C1221+C1222)</f>
        <v>3.85275795604844</v>
      </c>
      <c r="D1223" s="29" t="n">
        <f aca="false">Quesería!$B$52*(D1215+D1216+D1217+D1221+D1222)</f>
        <v>0.383772976935126</v>
      </c>
      <c r="E1223" s="29" t="n">
        <f aca="false">Quesería!$B$52*(E1215+E1216+E1217+E1221+E1222)</f>
        <v>0.383772976935126</v>
      </c>
      <c r="F1223" s="29" t="n">
        <f aca="false">Quesería!$B$52*(F1215+F1216+F1217+F1221+F1222)</f>
        <v>0.383772976935126</v>
      </c>
      <c r="G1223" s="29" t="n">
        <f aca="false">Quesería!$B$52*(G1215+G1216+G1217+G1221+G1222)</f>
        <v>0.514507411134964</v>
      </c>
      <c r="H1223" s="29" t="n">
        <f aca="false">Quesería!$B$52*(H1215+H1216+H1217+H1221+H1222)</f>
        <v>0.604585358119273</v>
      </c>
      <c r="I1223" s="29" t="n">
        <f aca="false">Quesería!$B$52*(I1215+I1216+I1217+I1221+I1222)</f>
        <v>0.383772976935126</v>
      </c>
      <c r="J1223" s="29" t="n">
        <f aca="false">Quesería!$B$52*(J1215+J1216+J1217+J1221+J1222)</f>
        <v>0.383772976935126</v>
      </c>
      <c r="K1223" s="29" t="n">
        <f aca="false">Quesería!$B$52*(K1215+K1216+K1217+K1221+K1222)</f>
        <v>0.383772976935126</v>
      </c>
      <c r="L1223" s="29" t="n">
        <f aca="false">Quesería!$B$52*(L1215+L1216+L1217+L1221+L1222)</f>
        <v>0.383772976935126</v>
      </c>
    </row>
    <row r="1224" customFormat="false" ht="15" hidden="true" customHeight="false" outlineLevel="1" collapsed="false">
      <c r="A1224" s="6" t="s">
        <v>416</v>
      </c>
      <c r="B1224" s="29" t="n">
        <f aca="false">(IF($AC$19=1,(SUMPRODUCT((Quesería!$C$70:$C$89=0)*(Quesería!$J$70:$J$89&gt;0)*(B$47&gt;=1)*(B$47&lt;=Quesería!$J$70:$J$89)*(Quesería!$H$70:$H$89&gt;0)*Quesería!$F$70:$F$89*(1+Quesería!$I$70:$I$89)/(Quesería!$J$70:$J$89+(Quesería!$J$70:$J$89=0)))+SUMPRODUCT((Quesería!$C$70:$C$89=0)*(Quesería!$J$70:$J$89=0)*(B$47=0)*(Quesería!$H$70:$H$89&gt;0)*Quesería!$F$70:$F$89*(1+Quesería!$I$70:$I$89)))*$B$1212+((SUMPRODUCT((Quesería!$C$70:$C$89=1)*(Quesería!$J$70:$J$89&gt;0)*(B$47&gt;=2)*(B$47&lt;=Quesería!$J$70:$J$89+1)*(Quesería!$H$70:$H$89&gt;0)*Quesería!$F$70:$F$89*(1+Quesería!$I$70:$I$89)/(Quesería!$J$70:$J$89+(Quesería!$J$70:$J$89=0)))+SUMPRODUCT((Quesería!$C$70:$C$89=1)*(Quesería!$J$70:$J$89=0)*(B$47=1)*(Quesería!$H$70:$H$89&gt;0)*Quesería!$F$70:$F$89*(1+Quesería!$I$70:$I$89)))-(-$AC$26)*IF(AND(B$47&gt;=2,B$47&lt;=Quesería!$J$86+1),Quesería!$D$86*(1+Quesería!$I$86)/Quesería!$J$86,0))*$C$1212*$AC$21,IF(AND(B$47&gt;=1,B$47&lt;=Quesería!$B$30),Quesería!$F$92/Quesería!$B$30,0)*$B$1212+IF(AND(B$47&gt;=2,B$47&lt;=Quesería!$B$30+1),(Quesería!$F$93-(-$AC$26)*Quesería!$D$86*(1+Quesería!$I$86))/Quesería!$B$30,0)*$C$1212*$AC$21)*$AC$11+IF(AND(B$47&gt;=6,B$47&lt;=10),$G1216*$G1212/5,0)+IF(AND(B$47&gt;=7,B$47&lt;=11),$H1216*$H1212/5,0))*B1214</f>
        <v>145.980915430742</v>
      </c>
      <c r="C1224" s="29" t="n">
        <f aca="false">(IF($AC$19=1,(SUMPRODUCT((Quesería!$C$70:$C$89=0)*(Quesería!$J$70:$J$89&gt;0)*(C$47&gt;=1)*(C$47&lt;=Quesería!$J$70:$J$89)*(Quesería!$H$70:$H$89&gt;0)*Quesería!$F$70:$F$89*(1+Quesería!$I$70:$I$89)/(Quesería!$J$70:$J$89+(Quesería!$J$70:$J$89=0)))+SUMPRODUCT((Quesería!$C$70:$C$89=0)*(Quesería!$J$70:$J$89=0)*(C$47=0)*(Quesería!$H$70:$H$89&gt;0)*Quesería!$F$70:$F$89*(1+Quesería!$I$70:$I$89)))*$B$1212+((SUMPRODUCT((Quesería!$C$70:$C$89=1)*(Quesería!$J$70:$J$89&gt;0)*(C$47&gt;=2)*(C$47&lt;=Quesería!$J$70:$J$89+1)*(Quesería!$H$70:$H$89&gt;0)*Quesería!$F$70:$F$89*(1+Quesería!$I$70:$I$89)/(Quesería!$J$70:$J$89+(Quesería!$J$70:$J$89=0)))+SUMPRODUCT((Quesería!$C$70:$C$89=1)*(Quesería!$J$70:$J$89=0)*(C$47=1)*(Quesería!$H$70:$H$89&gt;0)*Quesería!$F$70:$F$89*(1+Quesería!$I$70:$I$89)))-(-$AC$26)*IF(AND(C$47&gt;=2,C$47&lt;=Quesería!$J$86+1),Quesería!$D$86*(1+Quesería!$I$86)/Quesería!$J$86,0))*$C$1212*$AC$21,IF(AND(C$47&gt;=1,C$47&lt;=Quesería!$B$30),Quesería!$F$92/Quesería!$B$30,0)*$B$1212+IF(AND(C$47&gt;=2,C$47&lt;=Quesería!$B$30+1),(Quesería!$F$93-(-$AC$26)*Quesería!$D$86*(1+Quesería!$I$86))/Quesería!$B$30,0)*$C$1212*$AC$21)*$AC$11+IF(AND(C$47&gt;=6,C$47&lt;=10),$G1216*$G1212/5,0)+IF(AND(C$47&gt;=7,C$47&lt;=11),$H1216*$H1212/5,0))*C1214</f>
        <v>82.2633269524265</v>
      </c>
      <c r="D1224" s="29" t="n">
        <f aca="false">(IF($AC$19=1,(SUMPRODUCT((Quesería!$C$70:$C$89=0)*(Quesería!$J$70:$J$89&gt;0)*(D$47&gt;=1)*(D$47&lt;=Quesería!$J$70:$J$89)*(Quesería!$H$70:$H$89&gt;0)*Quesería!$F$70:$F$89*(1+Quesería!$I$70:$I$89)/(Quesería!$J$70:$J$89+(Quesería!$J$70:$J$89=0)))+SUMPRODUCT((Quesería!$C$70:$C$89=0)*(Quesería!$J$70:$J$89=0)*(D$47=0)*(Quesería!$H$70:$H$89&gt;0)*Quesería!$F$70:$F$89*(1+Quesería!$I$70:$I$89)))*$B$1212+((SUMPRODUCT((Quesería!$C$70:$C$89=1)*(Quesería!$J$70:$J$89&gt;0)*(D$47&gt;=2)*(D$47&lt;=Quesería!$J$70:$J$89+1)*(Quesería!$H$70:$H$89&gt;0)*Quesería!$F$70:$F$89*(1+Quesería!$I$70:$I$89)/(Quesería!$J$70:$J$89+(Quesería!$J$70:$J$89=0)))+SUMPRODUCT((Quesería!$C$70:$C$89=1)*(Quesería!$J$70:$J$89=0)*(D$47=1)*(Quesería!$H$70:$H$89&gt;0)*Quesería!$F$70:$F$89*(1+Quesería!$I$70:$I$89)))-(-$AC$26)*IF(AND(D$47&gt;=2,D$47&lt;=Quesería!$J$86+1),Quesería!$D$86*(1+Quesería!$I$86)/Quesería!$J$86,0))*$C$1212*$AC$21,IF(AND(D$47&gt;=1,D$47&lt;=Quesería!$B$30),Quesería!$F$92/Quesería!$B$30,0)*$B$1212+IF(AND(D$47&gt;=2,D$47&lt;=Quesería!$B$30+1),(Quesería!$F$93-(-$AC$26)*Quesería!$D$86*(1+Quesería!$I$86))/Quesería!$B$30,0)*$C$1212*$AC$21)*$AC$11+IF(AND(D$47&gt;=6,D$47&lt;=10),$G1216*$G1212/5,0)+IF(AND(D$47&gt;=7,D$47&lt;=11),$H1216*$H1212/5,0))*D1214</f>
        <v>151.301658966389</v>
      </c>
      <c r="E1224" s="29" t="n">
        <f aca="false">(IF($AC$19=1,(SUMPRODUCT((Quesería!$C$70:$C$89=0)*(Quesería!$J$70:$J$89&gt;0)*(E$47&gt;=1)*(E$47&lt;=Quesería!$J$70:$J$89)*(Quesería!$H$70:$H$89&gt;0)*Quesería!$F$70:$F$89*(1+Quesería!$I$70:$I$89)/(Quesería!$J$70:$J$89+(Quesería!$J$70:$J$89=0)))+SUMPRODUCT((Quesería!$C$70:$C$89=0)*(Quesería!$J$70:$J$89=0)*(E$47=0)*(Quesería!$H$70:$H$89&gt;0)*Quesería!$F$70:$F$89*(1+Quesería!$I$70:$I$89)))*$B$1212+((SUMPRODUCT((Quesería!$C$70:$C$89=1)*(Quesería!$J$70:$J$89&gt;0)*(E$47&gt;=2)*(E$47&lt;=Quesería!$J$70:$J$89+1)*(Quesería!$H$70:$H$89&gt;0)*Quesería!$F$70:$F$89*(1+Quesería!$I$70:$I$89)/(Quesería!$J$70:$J$89+(Quesería!$J$70:$J$89=0)))+SUMPRODUCT((Quesería!$C$70:$C$89=1)*(Quesería!$J$70:$J$89=0)*(E$47=1)*(Quesería!$H$70:$H$89&gt;0)*Quesería!$F$70:$F$89*(1+Quesería!$I$70:$I$89)))-(-$AC$26)*IF(AND(E$47&gt;=2,E$47&lt;=Quesería!$J$86+1),Quesería!$D$86*(1+Quesería!$I$86)/Quesería!$J$86,0))*$C$1212*$AC$21,IF(AND(E$47&gt;=1,E$47&lt;=Quesería!$B$30),Quesería!$F$92/Quesería!$B$30,0)*$B$1212+IF(AND(E$47&gt;=2,E$47&lt;=Quesería!$B$30+1),(Quesería!$F$93-(-$AC$26)*Quesería!$D$86*(1+Quesería!$I$86))/Quesería!$B$30,0)*$C$1212*$AC$21)*$AC$11+IF(AND(E$47&gt;=6,E$47&lt;=10),$G1216*$G1212/5,0)+IF(AND(E$47&gt;=7,E$47&lt;=11),$H1216*$H1212/5,0))*E1214</f>
        <v>145.482364390759</v>
      </c>
      <c r="F1224" s="29" t="n">
        <f aca="false">(IF($AC$19=1,(SUMPRODUCT((Quesería!$C$70:$C$89=0)*(Quesería!$J$70:$J$89&gt;0)*(F$47&gt;=1)*(F$47&lt;=Quesería!$J$70:$J$89)*(Quesería!$H$70:$H$89&gt;0)*Quesería!$F$70:$F$89*(1+Quesería!$I$70:$I$89)/(Quesería!$J$70:$J$89+(Quesería!$J$70:$J$89=0)))+SUMPRODUCT((Quesería!$C$70:$C$89=0)*(Quesería!$J$70:$J$89=0)*(F$47=0)*(Quesería!$H$70:$H$89&gt;0)*Quesería!$F$70:$F$89*(1+Quesería!$I$70:$I$89)))*$B$1212+((SUMPRODUCT((Quesería!$C$70:$C$89=1)*(Quesería!$J$70:$J$89&gt;0)*(F$47&gt;=2)*(F$47&lt;=Quesería!$J$70:$J$89+1)*(Quesería!$H$70:$H$89&gt;0)*Quesería!$F$70:$F$89*(1+Quesería!$I$70:$I$89)/(Quesería!$J$70:$J$89+(Quesería!$J$70:$J$89=0)))+SUMPRODUCT((Quesería!$C$70:$C$89=1)*(Quesería!$J$70:$J$89=0)*(F$47=1)*(Quesería!$H$70:$H$89&gt;0)*Quesería!$F$70:$F$89*(1+Quesería!$I$70:$I$89)))-(-$AC$26)*IF(AND(F$47&gt;=2,F$47&lt;=Quesería!$J$86+1),Quesería!$D$86*(1+Quesería!$I$86)/Quesería!$J$86,0))*$C$1212*$AC$21,IF(AND(F$47&gt;=1,F$47&lt;=Quesería!$B$30),Quesería!$F$92/Quesería!$B$30,0)*$B$1212+IF(AND(F$47&gt;=2,F$47&lt;=Quesería!$B$30+1),(Quesería!$F$93-(-$AC$26)*Quesería!$D$86*(1+Quesería!$I$86))/Quesería!$B$30,0)*$C$1212*$AC$21)*$AC$11+IF(AND(F$47&gt;=6,F$47&lt;=10),$G1216*$G1212/5,0)+IF(AND(F$47&gt;=7,F$47&lt;=11),$H1216*$H1212/5,0))*F1214</f>
        <v>139.886888837268</v>
      </c>
      <c r="G1224" s="29" t="n">
        <f aca="false">(IF($AC$19=1,(SUMPRODUCT((Quesería!$C$70:$C$89=0)*(Quesería!$J$70:$J$89&gt;0)*(G$47&gt;=1)*(G$47&lt;=Quesería!$J$70:$J$89)*(Quesería!$H$70:$H$89&gt;0)*Quesería!$F$70:$F$89*(1+Quesería!$I$70:$I$89)/(Quesería!$J$70:$J$89+(Quesería!$J$70:$J$89=0)))+SUMPRODUCT((Quesería!$C$70:$C$89=0)*(Quesería!$J$70:$J$89=0)*(G$47=0)*(Quesería!$H$70:$H$89&gt;0)*Quesería!$F$70:$F$89*(1+Quesería!$I$70:$I$89)))*$B$1212+((SUMPRODUCT((Quesería!$C$70:$C$89=1)*(Quesería!$J$70:$J$89&gt;0)*(G$47&gt;=2)*(G$47&lt;=Quesería!$J$70:$J$89+1)*(Quesería!$H$70:$H$89&gt;0)*Quesería!$F$70:$F$89*(1+Quesería!$I$70:$I$89)/(Quesería!$J$70:$J$89+(Quesería!$J$70:$J$89=0)))+SUMPRODUCT((Quesería!$C$70:$C$89=1)*(Quesería!$J$70:$J$89=0)*(G$47=1)*(Quesería!$H$70:$H$89&gt;0)*Quesería!$F$70:$F$89*(1+Quesería!$I$70:$I$89)))-(-$AC$26)*IF(AND(G$47&gt;=2,G$47&lt;=Quesería!$J$86+1),Quesería!$D$86*(1+Quesería!$I$86)/Quesería!$J$86,0))*$C$1212*$AC$21,IF(AND(G$47&gt;=1,G$47&lt;=Quesería!$B$30),Quesería!$F$92/Quesería!$B$30,0)*$B$1212+IF(AND(G$47&gt;=2,G$47&lt;=Quesería!$B$30+1),(Quesería!$F$93-(-$AC$26)*Quesería!$D$86*(1+Quesería!$I$86))/Quesería!$B$30,0)*$C$1212*$AC$21)*$AC$11+IF(AND(G$47&gt;=6,G$47&lt;=10),$G1216*$G1212/5,0)+IF(AND(G$47&gt;=7,G$47&lt;=11),$H1216*$H1212/5,0))*G1214</f>
        <v>134.506623881988</v>
      </c>
      <c r="H1224" s="29" t="n">
        <f aca="false">(IF($AC$19=1,(SUMPRODUCT((Quesería!$C$70:$C$89=0)*(Quesería!$J$70:$J$89&gt;0)*(H$47&gt;=1)*(H$47&lt;=Quesería!$J$70:$J$89)*(Quesería!$H$70:$H$89&gt;0)*Quesería!$F$70:$F$89*(1+Quesería!$I$70:$I$89)/(Quesería!$J$70:$J$89+(Quesería!$J$70:$J$89=0)))+SUMPRODUCT((Quesería!$C$70:$C$89=0)*(Quesería!$J$70:$J$89=0)*(H$47=0)*(Quesería!$H$70:$H$89&gt;0)*Quesería!$F$70:$F$89*(1+Quesería!$I$70:$I$89)))*$B$1212+((SUMPRODUCT((Quesería!$C$70:$C$89=1)*(Quesería!$J$70:$J$89&gt;0)*(H$47&gt;=2)*(H$47&lt;=Quesería!$J$70:$J$89+1)*(Quesería!$H$70:$H$89&gt;0)*Quesería!$F$70:$F$89*(1+Quesería!$I$70:$I$89)/(Quesería!$J$70:$J$89+(Quesería!$J$70:$J$89=0)))+SUMPRODUCT((Quesería!$C$70:$C$89=1)*(Quesería!$J$70:$J$89=0)*(H$47=1)*(Quesería!$H$70:$H$89&gt;0)*Quesería!$F$70:$F$89*(1+Quesería!$I$70:$I$89)))-(-$AC$26)*IF(AND(H$47&gt;=2,H$47&lt;=Quesería!$J$86+1),Quesería!$D$86*(1+Quesería!$I$86)/Quesería!$J$86,0))*$C$1212*$AC$21,IF(AND(H$47&gt;=1,H$47&lt;=Quesería!$B$30),Quesería!$F$92/Quesería!$B$30,0)*$B$1212+IF(AND(H$47&gt;=2,H$47&lt;=Quesería!$B$30+1),(Quesería!$F$93-(-$AC$26)*Quesería!$D$86*(1+Quesería!$I$86))/Quesería!$B$30,0)*$C$1212*$AC$21)*$AC$11+IF(AND(H$47&gt;=6,H$47&lt;=10),$G1216*$G1212/5,0)+IF(AND(H$47&gt;=7,H$47&lt;=11),$H1216*$H1212/5,0))*H1214</f>
        <v>122.314670590318</v>
      </c>
      <c r="I1224" s="29" t="n">
        <f aca="false">(IF($AC$19=1,(SUMPRODUCT((Quesería!$C$70:$C$89=0)*(Quesería!$J$70:$J$89&gt;0)*(I$47&gt;=1)*(I$47&lt;=Quesería!$J$70:$J$89)*(Quesería!$H$70:$H$89&gt;0)*Quesería!$F$70:$F$89*(1+Quesería!$I$70:$I$89)/(Quesería!$J$70:$J$89+(Quesería!$J$70:$J$89=0)))+SUMPRODUCT((Quesería!$C$70:$C$89=0)*(Quesería!$J$70:$J$89=0)*(I$47=0)*(Quesería!$H$70:$H$89&gt;0)*Quesería!$F$70:$F$89*(1+Quesería!$I$70:$I$89)))*$B$1212+((SUMPRODUCT((Quesería!$C$70:$C$89=1)*(Quesería!$J$70:$J$89&gt;0)*(I$47&gt;=2)*(I$47&lt;=Quesería!$J$70:$J$89+1)*(Quesería!$H$70:$H$89&gt;0)*Quesería!$F$70:$F$89*(1+Quesería!$I$70:$I$89)/(Quesería!$J$70:$J$89+(Quesería!$J$70:$J$89=0)))+SUMPRODUCT((Quesería!$C$70:$C$89=1)*(Quesería!$J$70:$J$89=0)*(I$47=1)*(Quesería!$H$70:$H$89&gt;0)*Quesería!$F$70:$F$89*(1+Quesería!$I$70:$I$89)))-(-$AC$26)*IF(AND(I$47&gt;=2,I$47&lt;=Quesería!$J$86+1),Quesería!$D$86*(1+Quesería!$I$86)/Quesería!$J$86,0))*$C$1212*$AC$21,IF(AND(I$47&gt;=1,I$47&lt;=Quesería!$B$30),Quesería!$F$92/Quesería!$B$30,0)*$B$1212+IF(AND(I$47&gt;=2,I$47&lt;=Quesería!$B$30+1),(Quesería!$F$93-(-$AC$26)*Quesería!$D$86*(1+Quesería!$I$86))/Quesería!$B$30,0)*$C$1212*$AC$21)*$AC$11+IF(AND(I$47&gt;=6,I$47&lt;=10),$G1216*$G1212/5,0)+IF(AND(I$47&gt;=7,I$47&lt;=11),$H1216*$H1212/5,0))*I1214</f>
        <v>126.531251665874</v>
      </c>
      <c r="J1224" s="29" t="n">
        <f aca="false">(IF($AC$19=1,(SUMPRODUCT((Quesería!$C$70:$C$89=0)*(Quesería!$J$70:$J$89&gt;0)*(J$47&gt;=1)*(J$47&lt;=Quesería!$J$70:$J$89)*(Quesería!$H$70:$H$89&gt;0)*Quesería!$F$70:$F$89*(1+Quesería!$I$70:$I$89)/(Quesería!$J$70:$J$89+(Quesería!$J$70:$J$89=0)))+SUMPRODUCT((Quesería!$C$70:$C$89=0)*(Quesería!$J$70:$J$89=0)*(J$47=0)*(Quesería!$H$70:$H$89&gt;0)*Quesería!$F$70:$F$89*(1+Quesería!$I$70:$I$89)))*$B$1212+((SUMPRODUCT((Quesería!$C$70:$C$89=1)*(Quesería!$J$70:$J$89&gt;0)*(J$47&gt;=2)*(J$47&lt;=Quesería!$J$70:$J$89+1)*(Quesería!$H$70:$H$89&gt;0)*Quesería!$F$70:$F$89*(1+Quesería!$I$70:$I$89)/(Quesería!$J$70:$J$89+(Quesería!$J$70:$J$89=0)))+SUMPRODUCT((Quesería!$C$70:$C$89=1)*(Quesería!$J$70:$J$89=0)*(J$47=1)*(Quesería!$H$70:$H$89&gt;0)*Quesería!$F$70:$F$89*(1+Quesería!$I$70:$I$89)))-(-$AC$26)*IF(AND(J$47&gt;=2,J$47&lt;=Quesería!$J$86+1),Quesería!$D$86*(1+Quesería!$I$86)/Quesería!$J$86,0))*$C$1212*$AC$21,IF(AND(J$47&gt;=1,J$47&lt;=Quesería!$B$30),Quesería!$F$92/Quesería!$B$30,0)*$B$1212+IF(AND(J$47&gt;=2,J$47&lt;=Quesería!$B$30+1),(Quesería!$F$93-(-$AC$26)*Quesería!$D$86*(1+Quesería!$I$86))/Quesería!$B$30,0)*$C$1212*$AC$21)*$AC$11+IF(AND(J$47&gt;=6,J$47&lt;=10),$G1216*$G1212/5,0)+IF(AND(J$47&gt;=7,J$47&lt;=11),$H1216*$H1212/5,0))*J1214</f>
        <v>121.66466506334</v>
      </c>
      <c r="K1224" s="29" t="n">
        <f aca="false">(IF($AC$19=1,(SUMPRODUCT((Quesería!$C$70:$C$89=0)*(Quesería!$J$70:$J$89&gt;0)*(K$47&gt;=1)*(K$47&lt;=Quesería!$J$70:$J$89)*(Quesería!$H$70:$H$89&gt;0)*Quesería!$F$70:$F$89*(1+Quesería!$I$70:$I$89)/(Quesería!$J$70:$J$89+(Quesería!$J$70:$J$89=0)))+SUMPRODUCT((Quesería!$C$70:$C$89=0)*(Quesería!$J$70:$J$89=0)*(K$47=0)*(Quesería!$H$70:$H$89&gt;0)*Quesería!$F$70:$F$89*(1+Quesería!$I$70:$I$89)))*$B$1212+((SUMPRODUCT((Quesería!$C$70:$C$89=1)*(Quesería!$J$70:$J$89&gt;0)*(K$47&gt;=2)*(K$47&lt;=Quesería!$J$70:$J$89+1)*(Quesería!$H$70:$H$89&gt;0)*Quesería!$F$70:$F$89*(1+Quesería!$I$70:$I$89)/(Quesería!$J$70:$J$89+(Quesería!$J$70:$J$89=0)))+SUMPRODUCT((Quesería!$C$70:$C$89=1)*(Quesería!$J$70:$J$89=0)*(K$47=1)*(Quesería!$H$70:$H$89&gt;0)*Quesería!$F$70:$F$89*(1+Quesería!$I$70:$I$89)))-(-$AC$26)*IF(AND(K$47&gt;=2,K$47&lt;=Quesería!$J$86+1),Quesería!$D$86*(1+Quesería!$I$86)/Quesería!$J$86,0))*$C$1212*$AC$21,IF(AND(K$47&gt;=1,K$47&lt;=Quesería!$B$30),Quesería!$F$92/Quesería!$B$30,0)*$B$1212+IF(AND(K$47&gt;=2,K$47&lt;=Quesería!$B$30+1),(Quesería!$F$93-(-$AC$26)*Quesería!$D$86*(1+Quesería!$I$86))/Quesería!$B$30,0)*$C$1212*$AC$21)*$AC$11+IF(AND(K$47&gt;=6,K$47&lt;=10),$G1216*$G1212/5,0)+IF(AND(K$47&gt;=7,K$47&lt;=11),$H1216*$H1212/5,0))*K1214</f>
        <v>116.985254868597</v>
      </c>
      <c r="L1224" s="29" t="n">
        <f aca="false">(IF($AC$19=1,(SUMPRODUCT((Quesería!$C$70:$C$89=0)*(Quesería!$J$70:$J$89&gt;0)*(L$47&gt;=1)*(L$47&lt;=Quesería!$J$70:$J$89)*(Quesería!$H$70:$H$89&gt;0)*Quesería!$F$70:$F$89*(1+Quesería!$I$70:$I$89)/(Quesería!$J$70:$J$89+(Quesería!$J$70:$J$89=0)))+SUMPRODUCT((Quesería!$C$70:$C$89=0)*(Quesería!$J$70:$J$89=0)*(L$47=0)*(Quesería!$H$70:$H$89&gt;0)*Quesería!$F$70:$F$89*(1+Quesería!$I$70:$I$89)))*$B$1212+((SUMPRODUCT((Quesería!$C$70:$C$89=1)*(Quesería!$J$70:$J$89&gt;0)*(L$47&gt;=2)*(L$47&lt;=Quesería!$J$70:$J$89+1)*(Quesería!$H$70:$H$89&gt;0)*Quesería!$F$70:$F$89*(1+Quesería!$I$70:$I$89)/(Quesería!$J$70:$J$89+(Quesería!$J$70:$J$89=0)))+SUMPRODUCT((Quesería!$C$70:$C$89=1)*(Quesería!$J$70:$J$89=0)*(L$47=1)*(Quesería!$H$70:$H$89&gt;0)*Quesería!$F$70:$F$89*(1+Quesería!$I$70:$I$89)))-(-$AC$26)*IF(AND(L$47&gt;=2,L$47&lt;=Quesería!$J$86+1),Quesería!$D$86*(1+Quesería!$I$86)/Quesería!$J$86,0))*$C$1212*$AC$21,IF(AND(L$47&gt;=1,L$47&lt;=Quesería!$B$30),Quesería!$F$92/Quesería!$B$30,0)*$B$1212+IF(AND(L$47&gt;=2,L$47&lt;=Quesería!$B$30+1),(Quesería!$F$93-(-$AC$26)*Quesería!$D$86*(1+Quesería!$I$86))/Quesería!$B$30,0)*$C$1212*$AC$21)*$AC$11+IF(AND(L$47&gt;=6,L$47&lt;=10),$G1216*$G1212/5,0)+IF(AND(L$47&gt;=7,L$47&lt;=11),$H1216*$H1212/5,0))*L1214</f>
        <v>112.485821989035</v>
      </c>
    </row>
    <row r="1225" customFormat="false" ht="15" hidden="true" customHeight="false" outlineLevel="1" collapsed="false">
      <c r="A1225" s="9" t="s">
        <v>417</v>
      </c>
      <c r="B1225" s="58" t="n">
        <f aca="false">IF(B$47=1,MIN($AC$7*$AC$26*Quesería!$B$56*Quesería!$D$86*$AC$11*$AC$21,Quesería!$B$57*Quesería!$B$58),0)</f>
        <v>0</v>
      </c>
      <c r="C1225" s="58" t="n">
        <f aca="false">IF(C$47=1,MIN($AC$7*$AC$26*Quesería!$B$56*Quesería!$D$86*$AC$11*$AC$21,Quesería!$B$57*Quesería!$B$58),0)</f>
        <v>20</v>
      </c>
      <c r="D1225" s="58" t="n">
        <f aca="false">IF(D$47=1,MIN($AC$7*$AC$26*Quesería!$B$56*Quesería!$D$86*$AC$11*$AC$21,Quesería!$B$57*Quesería!$B$58),0)</f>
        <v>0</v>
      </c>
      <c r="E1225" s="58" t="n">
        <f aca="false">IF(E$47=1,MIN($AC$7*$AC$26*Quesería!$B$56*Quesería!$D$86*$AC$11*$AC$21,Quesería!$B$57*Quesería!$B$58),0)</f>
        <v>0</v>
      </c>
      <c r="F1225" s="58" t="n">
        <f aca="false">IF(F$47=1,MIN($AC$7*$AC$26*Quesería!$B$56*Quesería!$D$86*$AC$11*$AC$21,Quesería!$B$57*Quesería!$B$58),0)</f>
        <v>0</v>
      </c>
      <c r="G1225" s="58" t="n">
        <f aca="false">IF(G$47=1,MIN($AC$7*$AC$26*Quesería!$B$56*Quesería!$D$86*$AC$11*$AC$21,Quesería!$B$57*Quesería!$B$58),0)</f>
        <v>0</v>
      </c>
      <c r="H1225" s="58" t="n">
        <f aca="false">IF(H$47=1,MIN($AC$7*$AC$26*Quesería!$B$56*Quesería!$D$86*$AC$11*$AC$21,Quesería!$B$57*Quesería!$B$58),0)</f>
        <v>0</v>
      </c>
      <c r="I1225" s="58" t="n">
        <f aca="false">IF(I$47=1,MIN($AC$7*$AC$26*Quesería!$B$56*Quesería!$D$86*$AC$11*$AC$21,Quesería!$B$57*Quesería!$B$58),0)</f>
        <v>0</v>
      </c>
      <c r="J1225" s="58" t="n">
        <f aca="false">IF(J$47=1,MIN($AC$7*$AC$26*Quesería!$B$56*Quesería!$D$86*$AC$11*$AC$21,Quesería!$B$57*Quesería!$B$58),0)</f>
        <v>0</v>
      </c>
      <c r="K1225" s="58" t="n">
        <f aca="false">IF(K$47=1,MIN($AC$7*$AC$26*Quesería!$B$56*Quesería!$D$86*$AC$11*$AC$21,Quesería!$B$57*Quesería!$B$58),0)</f>
        <v>0</v>
      </c>
      <c r="L1225" s="58" t="n">
        <f aca="false">IF(L$47=1,MIN($AC$7*$AC$26*Quesería!$B$56*Quesería!$D$86*$AC$11*$AC$21,Quesería!$B$57*Quesería!$B$58),0)</f>
        <v>0</v>
      </c>
    </row>
    <row r="1226" customFormat="false" ht="15" hidden="true" customHeight="false" outlineLevel="1" collapsed="false">
      <c r="A1226" s="9" t="s">
        <v>418</v>
      </c>
      <c r="B1226" s="58" t="n">
        <v>0</v>
      </c>
      <c r="C1226" s="58" t="n">
        <f aca="false">$AC$20*Quesería!$B$60*Quesería!$F$98*$AC$11*$B$1212/C1212/2</f>
        <v>138.12868344741</v>
      </c>
      <c r="D1226" s="58" t="n">
        <f aca="false">$AC$20*Quesería!$B$60*Quesería!$F$98*$AC$11*$B$1212/D1212/2</f>
        <v>132.18055832288</v>
      </c>
      <c r="E1226" s="58" t="n">
        <v>0</v>
      </c>
      <c r="F1226" s="58" t="n">
        <v>0</v>
      </c>
      <c r="G1226" s="58" t="n">
        <v>0</v>
      </c>
      <c r="H1226" s="58" t="n">
        <v>0</v>
      </c>
      <c r="I1226" s="58" t="n">
        <v>0</v>
      </c>
      <c r="J1226" s="58" t="n">
        <v>0</v>
      </c>
      <c r="K1226" s="58" t="n">
        <v>0</v>
      </c>
      <c r="L1226" s="58" t="n">
        <v>0</v>
      </c>
    </row>
    <row r="1227" customFormat="false" ht="15" hidden="true" customHeight="false" outlineLevel="1" collapsed="false">
      <c r="A1227" s="9" t="s">
        <v>419</v>
      </c>
      <c r="B1227" s="58" t="n">
        <f aca="false">0</f>
        <v>0</v>
      </c>
      <c r="C1227" s="58" t="n">
        <f aca="false">B1217*B1212/C1212</f>
        <v>142.014925295407</v>
      </c>
      <c r="D1227" s="58" t="n">
        <f aca="false">C1217*C1212/D1212</f>
        <v>137.903466668091</v>
      </c>
      <c r="E1227" s="58" t="n">
        <f aca="false">D1217*D1212/E1212</f>
        <v>0</v>
      </c>
      <c r="F1227" s="58" t="n">
        <f aca="false">E1217*E1212/F1212</f>
        <v>0</v>
      </c>
      <c r="G1227" s="58" t="n">
        <f aca="false">F1217*F1212/G1212</f>
        <v>0</v>
      </c>
      <c r="H1227" s="58" t="n">
        <f aca="false">G1217*G1212/H1212</f>
        <v>5.01768392412113</v>
      </c>
      <c r="I1227" s="58" t="n">
        <f aca="false">H1217*H1212/I1212</f>
        <v>8.47494190873221</v>
      </c>
      <c r="J1227" s="58" t="n">
        <f aca="false">I1217*I1212/J1212</f>
        <v>0</v>
      </c>
      <c r="K1227" s="58" t="n">
        <f aca="false">J1217*J1212/K1212</f>
        <v>0</v>
      </c>
      <c r="L1227" s="58" t="n">
        <f aca="false">K1217*K1212/L1212</f>
        <v>0</v>
      </c>
    </row>
    <row r="1228" customFormat="false" ht="15" hidden="true" customHeight="false" outlineLevel="1" collapsed="false">
      <c r="A1228" s="6" t="s">
        <v>295</v>
      </c>
      <c r="B1228" s="29" t="n">
        <f aca="false">$AC$17*(B1220-B1221-B1222-0.5*B1223-B1224)-B1225-B1226-B1227</f>
        <v>-9.59839124703308</v>
      </c>
      <c r="C1228" s="29" t="n">
        <f aca="false">$AC$17*(C1220-C1221-C1222-0.5*C1223-C1224)-C1225-C1226-C1227</f>
        <v>-287.35904962886</v>
      </c>
      <c r="D1228" s="29" t="n">
        <f aca="false">$AC$17*(D1220-D1221-D1222-0.5*D1223-D1224)-D1225-D1226-D1227</f>
        <v>-181.972826438709</v>
      </c>
      <c r="E1228" s="29" t="n">
        <f aca="false">$AC$17*(E1220-E1221-E1222-0.5*E1223-E1224)-E1225-E1226-E1227</f>
        <v>115.069392449201</v>
      </c>
      <c r="F1228" s="29" t="n">
        <f aca="false">$AC$17*(F1220-F1221-F1222-0.5*F1223-F1224)-F1225-F1226-F1227</f>
        <v>117.136032755325</v>
      </c>
      <c r="G1228" s="29" t="n">
        <f aca="false">$AC$17*(G1220-G1221-G1222-0.5*G1223-G1224)-G1225-G1226-G1227</f>
        <v>119.105011945402</v>
      </c>
      <c r="H1228" s="29" t="n">
        <f aca="false">$AC$17*(H1220-H1221-H1222-0.5*H1223-H1224)-H1225-H1226-H1227</f>
        <v>118.448056839267</v>
      </c>
      <c r="I1228" s="29" t="n">
        <f aca="false">$AC$17*(I1220-I1221-I1222-0.5*I1223-I1224)-I1225-I1226-I1227</f>
        <v>113.663492995575</v>
      </c>
      <c r="J1228" s="29" t="n">
        <f aca="false">$AC$17*(J1220-J1221-J1222-0.5*J1223-J1224)-J1225-J1226-J1227</f>
        <v>123.952144842603</v>
      </c>
      <c r="K1228" s="29" t="n">
        <f aca="false">$AC$17*(K1220-K1221-K1222-0.5*K1223-K1224)-K1225-K1226-K1227</f>
        <v>125.70089506131</v>
      </c>
      <c r="L1228" s="29" t="n">
        <f aca="false">$AC$17*(L1220-L1221-L1222-0.5*L1223-L1224)-L1225-L1226-L1227</f>
        <v>127.387208002956</v>
      </c>
    </row>
    <row r="1229" customFormat="false" ht="15" hidden="true" customHeight="false" outlineLevel="1" collapsed="false">
      <c r="A1229" s="9" t="s">
        <v>420</v>
      </c>
      <c r="B1229" s="58" t="n">
        <f aca="false">(IF(B$47&gt;=1,Quesería!$G$124*IF(B$47=1,Quesería!$B$20,1),Quesería!$G$124*Quesería!$B$20*Quesería!$B$21/12*$AC$23)+IF(B$47&gt;=2,(Quesería!$G$125-(1-$AC$24)*Quesería!$G$117-(-$AC$26*$AC$27)*'Beneficios y costos'!$D$167)*$AC$21*IF(B$47=2,Quesería!$B$20,1),0))*$AC$10</f>
        <v>77.4042870161869</v>
      </c>
      <c r="C1229" s="58" t="n">
        <f aca="false">(IF(C$47&gt;=1,Quesería!$G$124*IF(C$47=1,Quesería!$B$20,1),Quesería!$G$124*Quesería!$B$20*Quesería!$B$21/12*$AC$23)+IF(C$47&gt;=2,(Quesería!$G$125-(1-$AC$24)*Quesería!$G$117-(-$AC$26*$AC$27)*'Beneficios y costos'!$D$167)*$AC$21*IF(C$47=2,Quesería!$B$20,1),0))*$AC$10</f>
        <v>116.10643052428</v>
      </c>
      <c r="D1229" s="58" t="n">
        <f aca="false">(IF(D$47&gt;=1,Quesería!$G$124*IF(D$47=1,Quesería!$B$20,1),Quesería!$G$124*Quesería!$B$20*Quesería!$B$21/12*$AC$23)+IF(D$47&gt;=2,(Quesería!$G$125-(1-$AC$24)*Quesería!$G$117-(-$AC$26*$AC$27)*'Beneficios y costos'!$D$167)*$AC$21*IF(D$47=2,Quesería!$B$20,1),0))*$AC$10</f>
        <v>2023.78917421887</v>
      </c>
      <c r="E1229" s="58" t="n">
        <f aca="false">(IF(E$47&gt;=1,Quesería!$G$124*IF(E$47=1,Quesería!$B$20,1),Quesería!$G$124*Quesería!$B$20*Quesería!$B$21/12*$AC$23)+IF(E$47&gt;=2,(Quesería!$G$125-(1-$AC$24)*Quesería!$G$117-(-$AC$26*$AC$27)*'Beneficios y costos'!$D$167)*$AC$21*IF(E$47=2,Quesería!$B$20,1),0))*$AC$10</f>
        <v>2646.78270761437</v>
      </c>
      <c r="F1229" s="58" t="n">
        <f aca="false">(IF(F$47&gt;=1,Quesería!$G$124*IF(F$47=1,Quesería!$B$20,1),Quesería!$G$124*Quesería!$B$20*Quesería!$B$21/12*$AC$23)+IF(F$47&gt;=2,(Quesería!$G$125-(1-$AC$24)*Quesería!$G$117-(-$AC$26*$AC$27)*'Beneficios y costos'!$D$167)*$AC$21*IF(F$47=2,Quesería!$B$20,1),0))*$AC$10</f>
        <v>2646.78270761437</v>
      </c>
      <c r="G1229" s="58" t="n">
        <f aca="false">(IF(G$47&gt;=1,Quesería!$G$124*IF(G$47=1,Quesería!$B$20,1),Quesería!$G$124*Quesería!$B$20*Quesería!$B$21/12*$AC$23)+IF(G$47&gt;=2,(Quesería!$G$125-(1-$AC$24)*Quesería!$G$117-(-$AC$26*$AC$27)*'Beneficios y costos'!$D$167)*$AC$21*IF(G$47=2,Quesería!$B$20,1),0))*$AC$10</f>
        <v>2646.78270761437</v>
      </c>
      <c r="H1229" s="58" t="n">
        <f aca="false">(IF(H$47&gt;=1,Quesería!$G$124*IF(H$47=1,Quesería!$B$20,1),Quesería!$G$124*Quesería!$B$20*Quesería!$B$21/12*$AC$23)+IF(H$47&gt;=2,(Quesería!$G$125-(1-$AC$24)*Quesería!$G$117-(-$AC$26*$AC$27)*'Beneficios y costos'!$D$167)*$AC$21*IF(H$47=2,Quesería!$B$20,1),0))*$AC$10</f>
        <v>2646.78270761437</v>
      </c>
      <c r="I1229" s="58" t="n">
        <f aca="false">(IF(I$47&gt;=1,Quesería!$G$124*IF(I$47=1,Quesería!$B$20,1),Quesería!$G$124*Quesería!$B$20*Quesería!$B$21/12*$AC$23)+IF(I$47&gt;=2,(Quesería!$G$125-(1-$AC$24)*Quesería!$G$117-(-$AC$26*$AC$27)*'Beneficios y costos'!$D$167)*$AC$21*IF(I$47=2,Quesería!$B$20,1),0))*$AC$10</f>
        <v>2646.78270761437</v>
      </c>
      <c r="J1229" s="58" t="n">
        <f aca="false">(IF(J$47&gt;=1,Quesería!$G$124*IF(J$47=1,Quesería!$B$20,1),Quesería!$G$124*Quesería!$B$20*Quesería!$B$21/12*$AC$23)+IF(J$47&gt;=2,(Quesería!$G$125-(1-$AC$24)*Quesería!$G$117-(-$AC$26*$AC$27)*'Beneficios y costos'!$D$167)*$AC$21*IF(J$47=2,Quesería!$B$20,1),0))*$AC$10</f>
        <v>2646.78270761437</v>
      </c>
      <c r="K1229" s="58" t="n">
        <f aca="false">(IF(K$47&gt;=1,Quesería!$G$124*IF(K$47=1,Quesería!$B$20,1),Quesería!$G$124*Quesería!$B$20*Quesería!$B$21/12*$AC$23)+IF(K$47&gt;=2,(Quesería!$G$125-(1-$AC$24)*Quesería!$G$117-(-$AC$26*$AC$27)*'Beneficios y costos'!$D$167)*$AC$21*IF(K$47=2,Quesería!$B$20,1),0))*$AC$10</f>
        <v>2646.78270761437</v>
      </c>
      <c r="L1229" s="58" t="n">
        <f aca="false">(IF(L$47&gt;=1,Quesería!$G$124*IF(L$47=1,Quesería!$B$20,1),Quesería!$G$124*Quesería!$B$20*Quesería!$B$21/12*$AC$23)+IF(L$47&gt;=2,(Quesería!$G$125-(1-$AC$24)*Quesería!$G$117-(-$AC$26*$AC$27)*'Beneficios y costos'!$D$167)*$AC$21*IF(L$47=2,Quesería!$B$20,1),0))*$AC$10</f>
        <v>2646.78270761437</v>
      </c>
    </row>
    <row r="1230" customFormat="false" ht="15" hidden="true" customHeight="false" outlineLevel="1" collapsed="false">
      <c r="A1230" s="6" t="s">
        <v>421</v>
      </c>
      <c r="B1230" s="29" t="n">
        <f aca="false">(B1229*(Quesería!$B$38+Quesería!$B$40*Quesería!$B$39)/365-B1221*Quesería!$B$42/365+IF(B$47&gt;=2,($AC$25*'Beneficios y costos'!$B$147+(1-$AC$25)*'Beneficios y costos'!$B$148)*$AC$24*$AC$21*$AC$10*IF(B$47=2,Quesería!$B$20,1),0))</f>
        <v>7.23146900616979</v>
      </c>
      <c r="C1230" s="29" t="n">
        <f aca="false">(C1229*(Quesería!$B$38+Quesería!$B$40*Quesería!$B$39)/365-C1221*Quesería!$B$42/365+IF(C$47&gt;=2,($AC$25*'Beneficios y costos'!$B$147+(1-$AC$25)*'Beneficios y costos'!$B$148)*$AC$24*$AC$21*$AC$10*IF(C$47=2,Quesería!$B$20,1),0))-(B1229*(Quesería!$B$38+Quesería!$B$40*Quesería!$B$39)/365-B1221*Quesería!$B$42/365+IF(B$47&gt;=2,($AC$25*'Beneficios y costos'!$B$147+(1-$AC$25)*'Beneficios y costos'!$B$148)*$AC$24*$AC$21*$AC$10*IF(B$47=2,Quesería!$B$20,1),0))*B1212/C1212</f>
        <v>1.42287846600884</v>
      </c>
      <c r="D1230" s="29" t="n">
        <f aca="false">(D1229*(Quesería!$B$38+Quesería!$B$40*Quesería!$B$39)/365-D1221*Quesería!$B$42/365+IF(D$47&gt;=2,($AC$25*'Beneficios y costos'!$B$147+(1-$AC$25)*'Beneficios y costos'!$B$148)*$AC$24*$AC$21*$AC$10*IF(D$47=2,Quesería!$B$20,1),0))-(C1229*(Quesería!$B$38+Quesería!$B$40*Quesería!$B$39)/365-C1221*Quesería!$B$42/365+IF(C$47&gt;=2,($AC$25*'Beneficios y costos'!$B$147+(1-$AC$25)*'Beneficios y costos'!$B$148)*$AC$24*$AC$21*$AC$10*IF(C$47=2,Quesería!$B$20,1),0))*C1212/D1212</f>
        <v>119.895835465329</v>
      </c>
      <c r="E1230" s="29" t="n">
        <f aca="false">(E1229*(Quesería!$B$38+Quesería!$B$40*Quesería!$B$39)/365-E1221*Quesería!$B$42/365+IF(E$47&gt;=2,($AC$25*'Beneficios y costos'!$B$147+(1-$AC$25)*'Beneficios y costos'!$B$148)*$AC$24*$AC$21*$AC$10*IF(E$47=2,Quesería!$B$20,1),0))-(D1229*(Quesería!$B$38+Quesería!$B$40*Quesería!$B$39)/365-D1221*Quesería!$B$42/365+IF(D$47&gt;=2,($AC$25*'Beneficios y costos'!$B$147+(1-$AC$25)*'Beneficios y costos'!$B$148)*$AC$24*$AC$21*$AC$10*IF(D$47=2,Quesería!$B$20,1),0))*D1212/E1212</f>
        <v>44.6398710933793</v>
      </c>
      <c r="F1230" s="29" t="n">
        <f aca="false">(F1229*(Quesería!$B$38+Quesería!$B$40*Quesería!$B$39)/365-F1221*Quesería!$B$42/365+IF(F$47&gt;=2,($AC$25*'Beneficios y costos'!$B$147+(1-$AC$25)*'Beneficios y costos'!$B$148)*$AC$24*$AC$21*$AC$10*IF(F$47=2,Quesería!$B$20,1),0))-(E1229*(Quesería!$B$38+Quesería!$B$40*Quesería!$B$39)/365-E1221*Quesería!$B$42/365+IF(E$47&gt;=2,($AC$25*'Beneficios y costos'!$B$147+(1-$AC$25)*'Beneficios y costos'!$B$148)*$AC$24*$AC$21*$AC$10*IF(E$47=2,Quesería!$B$20,1),0))*E1212/F1212</f>
        <v>6.44502391533266</v>
      </c>
      <c r="G1230" s="29" t="n">
        <f aca="false">(G1229*(Quesería!$B$38+Quesería!$B$40*Quesería!$B$39)/365-G1221*Quesería!$B$42/365+IF(G$47&gt;=2,($AC$25*'Beneficios y costos'!$B$147+(1-$AC$25)*'Beneficios y costos'!$B$148)*$AC$24*$AC$21*$AC$10*IF(G$47=2,Quesería!$B$20,1),0))-(F1229*(Quesería!$B$38+Quesería!$B$40*Quesería!$B$39)/365-F1221*Quesería!$B$42/365+IF(F$47&gt;=2,($AC$25*'Beneficios y costos'!$B$147+(1-$AC$25)*'Beneficios y costos'!$B$148)*$AC$24*$AC$21*$AC$10*IF(F$47=2,Quesería!$B$20,1),0))*F1212/G1212</f>
        <v>6.44502391533266</v>
      </c>
      <c r="H1230" s="29" t="n">
        <f aca="false">(H1229*(Quesería!$B$38+Quesería!$B$40*Quesería!$B$39)/365-H1221*Quesería!$B$42/365+IF(H$47&gt;=2,($AC$25*'Beneficios y costos'!$B$147+(1-$AC$25)*'Beneficios y costos'!$B$148)*$AC$24*$AC$21*$AC$10*IF(H$47=2,Quesería!$B$20,1),0))-(G1229*(Quesería!$B$38+Quesería!$B$40*Quesería!$B$39)/365-G1221*Quesería!$B$42/365+IF(G$47&gt;=2,($AC$25*'Beneficios y costos'!$B$147+(1-$AC$25)*'Beneficios y costos'!$B$148)*$AC$24*$AC$21*$AC$10*IF(G$47=2,Quesería!$B$20,1),0))*G1212/H1212</f>
        <v>6.44502391533266</v>
      </c>
      <c r="I1230" s="29" t="n">
        <f aca="false">(I1229*(Quesería!$B$38+Quesería!$B$40*Quesería!$B$39)/365-I1221*Quesería!$B$42/365+IF(I$47&gt;=2,($AC$25*'Beneficios y costos'!$B$147+(1-$AC$25)*'Beneficios y costos'!$B$148)*$AC$24*$AC$21*$AC$10*IF(I$47=2,Quesería!$B$20,1),0))-(H1229*(Quesería!$B$38+Quesería!$B$40*Quesería!$B$39)/365-H1221*Quesería!$B$42/365+IF(H$47&gt;=2,($AC$25*'Beneficios y costos'!$B$147+(1-$AC$25)*'Beneficios y costos'!$B$148)*$AC$24*$AC$21*$AC$10*IF(H$47=2,Quesería!$B$20,1),0))*H1212/I1212</f>
        <v>6.44502391533266</v>
      </c>
      <c r="J1230" s="29" t="n">
        <f aca="false">(J1229*(Quesería!$B$38+Quesería!$B$40*Quesería!$B$39)/365-J1221*Quesería!$B$42/365+IF(J$47&gt;=2,($AC$25*'Beneficios y costos'!$B$147+(1-$AC$25)*'Beneficios y costos'!$B$148)*$AC$24*$AC$21*$AC$10*IF(J$47=2,Quesería!$B$20,1),0))-(I1229*(Quesería!$B$38+Quesería!$B$40*Quesería!$B$39)/365-I1221*Quesería!$B$42/365+IF(I$47&gt;=2,($AC$25*'Beneficios y costos'!$B$147+(1-$AC$25)*'Beneficios y costos'!$B$148)*$AC$24*$AC$21*$AC$10*IF(I$47=2,Quesería!$B$20,1),0))*I1212/J1212</f>
        <v>6.44502391533266</v>
      </c>
      <c r="K1230" s="29" t="n">
        <f aca="false">(K1229*(Quesería!$B$38+Quesería!$B$40*Quesería!$B$39)/365-K1221*Quesería!$B$42/365+IF(K$47&gt;=2,($AC$25*'Beneficios y costos'!$B$147+(1-$AC$25)*'Beneficios y costos'!$B$148)*$AC$24*$AC$21*$AC$10*IF(K$47=2,Quesería!$B$20,1),0))-(J1229*(Quesería!$B$38+Quesería!$B$40*Quesería!$B$39)/365-J1221*Quesería!$B$42/365+IF(J$47&gt;=2,($AC$25*'Beneficios y costos'!$B$147+(1-$AC$25)*'Beneficios y costos'!$B$148)*$AC$24*$AC$21*$AC$10*IF(J$47=2,Quesería!$B$20,1),0))*J1212/K1212</f>
        <v>6.44502391533266</v>
      </c>
      <c r="L1230" s="29" t="n">
        <f aca="false">-(K1229*(Quesería!$B$38+Quesería!$B$40*Quesería!$B$39)/365-K1221*Quesería!$B$42/365+IF(K$47&gt;=2,($AC$25*'Beneficios y costos'!$B$147+(1-$AC$25)*'Beneficios y costos'!$B$148)*$AC$24*$AC$21*$AC$10*IF(K$47=2,Quesería!$B$20,1),0))*K1212/L1212</f>
        <v>-161.125597883316</v>
      </c>
    </row>
    <row r="1231" customFormat="false" ht="15" hidden="true" customHeight="false" outlineLevel="1" collapsed="false">
      <c r="A1231" s="6" t="s">
        <v>422</v>
      </c>
      <c r="B1231" s="29" t="n">
        <v>0</v>
      </c>
      <c r="C1231" s="29" t="n">
        <v>0</v>
      </c>
      <c r="D1231" s="29" t="n">
        <v>0</v>
      </c>
      <c r="E1231" s="29" t="n">
        <v>0</v>
      </c>
      <c r="F1231" s="29" t="n">
        <v>0</v>
      </c>
      <c r="G1231" s="29" t="n">
        <v>0</v>
      </c>
      <c r="H1231" s="29" t="n">
        <v>0</v>
      </c>
      <c r="I1231" s="29" t="n">
        <v>0</v>
      </c>
      <c r="J1231" s="29" t="n">
        <v>0</v>
      </c>
      <c r="K1231" s="29" t="n">
        <v>0</v>
      </c>
      <c r="L1231" s="29" t="n">
        <f aca="false">$AC$8*Quesería!$B$36*(Quesería!$F$94+(Quesería!$F$95-(-$AC$26)*Quesería!$D$86)*$AC$21)*$AC$11*(1-$AC$17)</f>
        <v>67.1237725584543</v>
      </c>
    </row>
    <row r="1232" customFormat="false" ht="15" hidden="true" customHeight="false" outlineLevel="1" collapsed="false">
      <c r="A1232" s="5" t="s">
        <v>147</v>
      </c>
      <c r="B1232" s="59" t="n">
        <f aca="false">B1220-B1221-B1222-B1223-B1228-B1215-B1216-B1217-B1230+B1231</f>
        <v>-961.151880133756</v>
      </c>
      <c r="C1232" s="59" t="n">
        <f aca="false">C1220-C1221-C1222-C1223-C1228-C1215-C1216-C1217-C1230+C1231</f>
        <v>-499.777758451238</v>
      </c>
      <c r="D1232" s="59" t="n">
        <f aca="false">D1220-D1221-D1222-D1223-D1228-D1215-D1216-D1217-D1230+D1231</f>
        <v>464.933045029192</v>
      </c>
      <c r="E1232" s="59" t="n">
        <f aca="false">E1220-E1221-E1222-E1223-E1228-E1215-E1216-E1217-E1230+E1231</f>
        <v>314.350907071713</v>
      </c>
      <c r="F1232" s="59" t="n">
        <f aca="false">F1220-F1221-F1222-F1223-F1228-F1215-F1216-F1217-F1230+F1231</f>
        <v>350.788324979071</v>
      </c>
      <c r="G1232" s="59" t="n">
        <f aca="false">G1220-G1221-G1222-G1223-G1228-G1215-G1216-G1217-G1230+G1231</f>
        <v>316.315759895447</v>
      </c>
      <c r="H1232" s="59" t="n">
        <f aca="false">H1220-H1221-H1222-H1223-H1228-H1215-H1216-H1217-H1230+H1231</f>
        <v>294.675461184588</v>
      </c>
      <c r="I1232" s="59" t="n">
        <f aca="false">I1220-I1221-I1222-I1223-I1228-I1215-I1216-I1217-I1230+I1231</f>
        <v>355.197805135947</v>
      </c>
      <c r="J1232" s="59" t="n">
        <f aca="false">J1220-J1221-J1222-J1223-J1228-J1215-J1216-J1217-J1230+J1231</f>
        <v>345.224595081517</v>
      </c>
      <c r="K1232" s="59" t="n">
        <f aca="false">K1220-K1221-K1222-K1223-K1228-K1215-K1216-K1217-K1230+K1231</f>
        <v>343.792863864372</v>
      </c>
      <c r="L1232" s="59" t="n">
        <f aca="false">L1220-L1221-L1222-L1223-L1228-L1215-L1216-L1217-L1230+L1231</f>
        <v>577.119549376399</v>
      </c>
    </row>
    <row r="1233" customFormat="false" ht="15" hidden="true" customHeight="false" outlineLevel="1" collapsed="false">
      <c r="A1233" s="9" t="s">
        <v>423</v>
      </c>
      <c r="B1233" s="58" t="n">
        <f aca="false">B1232*B1212</f>
        <v>-1018.82099294178</v>
      </c>
      <c r="C1233" s="58" t="n">
        <f aca="false">C1232*C1212</f>
        <v>-556.252645156228</v>
      </c>
      <c r="D1233" s="58" t="n">
        <f aca="false">D1232*D1212</f>
        <v>540.756650677778</v>
      </c>
      <c r="E1233" s="58" t="n">
        <f aca="false">E1232*E1212</f>
        <v>380.241497741564</v>
      </c>
      <c r="F1233" s="58" t="n">
        <f aca="false">F1232*F1212</f>
        <v>441.289164697279</v>
      </c>
      <c r="G1233" s="58" t="n">
        <f aca="false">G1232*G1212</f>
        <v>413.839845360025</v>
      </c>
      <c r="H1233" s="58" t="n">
        <f aca="false">H1232*H1212</f>
        <v>400.94867616291</v>
      </c>
      <c r="I1233" s="58" t="n">
        <f aca="false">I1232*I1212</f>
        <v>502.630021311002</v>
      </c>
      <c r="J1233" s="58" t="n">
        <f aca="false">J1232*J1212</f>
        <v>508.057912512022</v>
      </c>
      <c r="K1233" s="58" t="n">
        <f aca="false">K1232*K1212</f>
        <v>526.188906380287</v>
      </c>
      <c r="L1233" s="58" t="n">
        <f aca="false">L1232*L1212</f>
        <v>918.63704548308</v>
      </c>
    </row>
    <row r="1234" customFormat="false" ht="15" hidden="true" customHeight="false" outlineLevel="1" collapsed="false">
      <c r="A1234" s="6" t="s">
        <v>424</v>
      </c>
      <c r="B1234" s="29" t="n">
        <f aca="false">B1232</f>
        <v>-961.151880133756</v>
      </c>
      <c r="C1234" s="29" t="n">
        <f aca="false">B1234+C1232</f>
        <v>-1460.92963858499</v>
      </c>
      <c r="D1234" s="29" t="n">
        <f aca="false">C1234+D1232</f>
        <v>-995.996593555802</v>
      </c>
      <c r="E1234" s="29" t="n">
        <f aca="false">D1234+E1232</f>
        <v>-681.645686484089</v>
      </c>
      <c r="F1234" s="29" t="n">
        <f aca="false">E1234+F1232</f>
        <v>-330.857361505018</v>
      </c>
      <c r="G1234" s="29" t="n">
        <f aca="false">F1234+G1232</f>
        <v>-14.5416016095705</v>
      </c>
      <c r="H1234" s="29" t="n">
        <f aca="false">G1234+H1232</f>
        <v>280.133859575017</v>
      </c>
      <c r="I1234" s="29" t="n">
        <f aca="false">H1234+I1232</f>
        <v>635.331664710964</v>
      </c>
      <c r="J1234" s="29" t="n">
        <f aca="false">I1234+J1232</f>
        <v>980.556259792481</v>
      </c>
      <c r="K1234" s="29" t="n">
        <f aca="false">J1234+K1232</f>
        <v>1324.34912365685</v>
      </c>
      <c r="L1234" s="29" t="n">
        <f aca="false">K1234+L1232</f>
        <v>1901.46867303325</v>
      </c>
    </row>
    <row r="1235" customFormat="false" ht="15" hidden="true" customHeight="false" outlineLevel="1" collapsed="false">
      <c r="A1235" s="9" t="s">
        <v>425</v>
      </c>
      <c r="B1235" s="60" t="n">
        <v>0</v>
      </c>
      <c r="C1235" s="60" t="n">
        <f aca="false">IF(AND(B1234&lt;0,C1234&gt;=0),B$47+(-B1234)/C1232,0)</f>
        <v>0</v>
      </c>
      <c r="D1235" s="60" t="n">
        <f aca="false">IF(AND(C1234&lt;0,D1234&gt;=0),C$47+(-C1234)/D1232,0)</f>
        <v>0</v>
      </c>
      <c r="E1235" s="60" t="n">
        <f aca="false">IF(AND(D1234&lt;0,E1234&gt;=0),D$47+(-D1234)/E1232,0)</f>
        <v>0</v>
      </c>
      <c r="F1235" s="60" t="n">
        <f aca="false">IF(AND(E1234&lt;0,F1234&gt;=0),E$47+(-E1234)/F1232,0)</f>
        <v>0</v>
      </c>
      <c r="G1235" s="60" t="n">
        <f aca="false">IF(AND(F1234&lt;0,G1234&gt;=0),F$47+(-F1234)/G1232,0)</f>
        <v>0</v>
      </c>
      <c r="H1235" s="60" t="n">
        <f aca="false">IF(AND(G1234&lt;0,H1234&gt;=0),G$47+(-G1234)/H1232,0)</f>
        <v>5.04934785391058</v>
      </c>
      <c r="I1235" s="60" t="n">
        <f aca="false">IF(AND(H1234&lt;0,I1234&gt;=0),H$47+(-H1234)/I1232,0)</f>
        <v>0</v>
      </c>
      <c r="J1235" s="60" t="n">
        <f aca="false">IF(AND(I1234&lt;0,J1234&gt;=0),I$47+(-I1234)/J1232,0)</f>
        <v>0</v>
      </c>
      <c r="K1235" s="60" t="n">
        <f aca="false">IF(AND(J1234&lt;0,K1234&gt;=0),J$47+(-J1234)/K1232,0)</f>
        <v>0</v>
      </c>
      <c r="L1235" s="60" t="n">
        <f aca="false">IF(AND(K1234&lt;0,L1234&gt;=0),K$47+(-K1234)/L1232,0)</f>
        <v>0</v>
      </c>
    </row>
    <row r="1236" customFormat="false" ht="15" hidden="true" customHeight="false" outlineLevel="1" collapsed="false">
      <c r="A1236" s="9" t="s">
        <v>426</v>
      </c>
      <c r="B1236" s="57" t="n">
        <f aca="false">(B1212/$B$1212)/(1+$AC$29)^B$47</f>
        <v>1</v>
      </c>
      <c r="C1236" s="57" t="n">
        <f aca="false">(C1212/$B$1212)/(1+$AC$29)^C$47</f>
        <v>0.915373701313561</v>
      </c>
      <c r="D1236" s="57" t="n">
        <f aca="false">(D1212/$B$1212)/(1+$AC$29)^D$47</f>
        <v>0.833918970137172</v>
      </c>
      <c r="E1236" s="57" t="n">
        <f aca="false">(E1212/$B$1212)/(1+$AC$29)^E$47</f>
        <v>0.756077518153961</v>
      </c>
      <c r="F1236" s="57" t="n">
        <f aca="false">(F1212/$B$1212)/(1+$AC$29)^F$47</f>
        <v>0.685502109831871</v>
      </c>
      <c r="G1236" s="57" t="n">
        <f aca="false">(G1212/$B$1212)/(1+$AC$29)^G$47</f>
        <v>0.621514502549008</v>
      </c>
      <c r="H1236" s="57" t="n">
        <f aca="false">(H1212/$B$1212)/(1+$AC$29)^H$47</f>
        <v>0.563499763660072</v>
      </c>
      <c r="I1236" s="57" t="n">
        <f aca="false">(I1212/$B$1212)/(1+$AC$29)^I$47</f>
        <v>0.510900360880829</v>
      </c>
      <c r="J1236" s="57" t="n">
        <f aca="false">(J1212/$B$1212)/(1+$AC$29)^J$47</f>
        <v>0.463210804300567</v>
      </c>
      <c r="K1236" s="57" t="n">
        <f aca="false">(K1212/$B$1212)/(1+$AC$29)^K$47</f>
        <v>0.419972788531318</v>
      </c>
      <c r="L1236" s="57" t="n">
        <f aca="false">(L1212/$B$1212)/(1+$AC$29)^L$47</f>
        <v>0.380770788308996</v>
      </c>
    </row>
    <row r="1237" customFormat="false" ht="15" hidden="true" customHeight="false" outlineLevel="1" collapsed="false">
      <c r="A1237" s="9" t="s">
        <v>427</v>
      </c>
      <c r="B1237" s="58" t="n">
        <f aca="false">B1232*B1236</f>
        <v>-961.151880133756</v>
      </c>
      <c r="C1237" s="58" t="n">
        <f aca="false">C1232*C1236</f>
        <v>-457.483416587705</v>
      </c>
      <c r="D1237" s="58" t="n">
        <f aca="false">D1232*D1236</f>
        <v>387.716486093483</v>
      </c>
      <c r="E1237" s="58" t="n">
        <f aca="false">E1232*E1236</f>
        <v>237.673653648227</v>
      </c>
      <c r="F1237" s="58" t="n">
        <f aca="false">F1232*F1236</f>
        <v>240.466136877541</v>
      </c>
      <c r="G1237" s="58" t="n">
        <f aca="false">G1232*G1236</f>
        <v>196.59483215983</v>
      </c>
      <c r="H1237" s="58" t="n">
        <f aca="false">H1232*H1236</f>
        <v>166.049552733938</v>
      </c>
      <c r="I1237" s="58" t="n">
        <f aca="false">I1232*I1236</f>
        <v>181.470686828034</v>
      </c>
      <c r="J1237" s="58" t="n">
        <f aca="false">J1232*J1236</f>
        <v>159.911762352047</v>
      </c>
      <c r="K1237" s="58" t="n">
        <f aca="false">K1232*K1236</f>
        <v>144.383647714288</v>
      </c>
      <c r="L1237" s="58" t="n">
        <f aca="false">L1232*L1236</f>
        <v>219.750265764584</v>
      </c>
    </row>
    <row r="1238" customFormat="false" ht="15" hidden="true" customHeight="false" outlineLevel="1" collapsed="false">
      <c r="A1238" s="9" t="s">
        <v>428</v>
      </c>
      <c r="B1238" s="58" t="n">
        <f aca="false">B1237</f>
        <v>-961.151880133756</v>
      </c>
      <c r="C1238" s="58" t="n">
        <f aca="false">B1238+C1237</f>
        <v>-1418.63529672146</v>
      </c>
      <c r="D1238" s="58" t="n">
        <f aca="false">C1238+D1237</f>
        <v>-1030.91881062798</v>
      </c>
      <c r="E1238" s="58" t="n">
        <f aca="false">D1238+E1237</f>
        <v>-793.24515697975</v>
      </c>
      <c r="F1238" s="58" t="n">
        <f aca="false">E1238+F1237</f>
        <v>-552.779020102209</v>
      </c>
      <c r="G1238" s="58" t="n">
        <f aca="false">F1238+G1237</f>
        <v>-356.184187942378</v>
      </c>
      <c r="H1238" s="58" t="n">
        <f aca="false">G1238+H1237</f>
        <v>-190.13463520844</v>
      </c>
      <c r="I1238" s="58" t="n">
        <f aca="false">H1238+I1237</f>
        <v>-8.6639483804066</v>
      </c>
      <c r="J1238" s="58" t="n">
        <f aca="false">I1238+J1237</f>
        <v>151.247813971641</v>
      </c>
      <c r="K1238" s="58" t="n">
        <f aca="false">J1238+K1237</f>
        <v>295.631461685929</v>
      </c>
      <c r="L1238" s="58" t="n">
        <f aca="false">K1238+L1237</f>
        <v>515.381727450512</v>
      </c>
    </row>
    <row r="1239" customFormat="false" ht="15" hidden="true" customHeight="false" outlineLevel="1" collapsed="false">
      <c r="A1239" s="9" t="s">
        <v>429</v>
      </c>
      <c r="B1239" s="60" t="n">
        <v>0</v>
      </c>
      <c r="C1239" s="60" t="n">
        <f aca="false">IF(AND(B1238&lt;0,C1238&gt;=0),B$47+(-B1238)/C1237,0)</f>
        <v>0</v>
      </c>
      <c r="D1239" s="60" t="n">
        <f aca="false">IF(AND(C1238&lt;0,D1238&gt;=0),C$47+(-C1238)/D1237,0)</f>
        <v>0</v>
      </c>
      <c r="E1239" s="60" t="n">
        <f aca="false">IF(AND(D1238&lt;0,E1238&gt;=0),D$47+(-D1238)/E1237,0)</f>
        <v>0</v>
      </c>
      <c r="F1239" s="60" t="n">
        <f aca="false">IF(AND(E1238&lt;0,F1238&gt;=0),E$47+(-E1238)/F1237,0)</f>
        <v>0</v>
      </c>
      <c r="G1239" s="60" t="n">
        <f aca="false">IF(AND(F1238&lt;0,G1238&gt;=0),F$47+(-F1238)/G1237,0)</f>
        <v>0</v>
      </c>
      <c r="H1239" s="60" t="n">
        <f aca="false">IF(AND(G1238&lt;0,H1238&gt;=0),G$47+(-G1238)/H1237,0)</f>
        <v>0</v>
      </c>
      <c r="I1239" s="60" t="n">
        <f aca="false">IF(AND(H1238&lt;0,I1238&gt;=0),H$47+(-H1238)/I1237,0)</f>
        <v>0</v>
      </c>
      <c r="J1239" s="60" t="n">
        <f aca="false">IF(AND(I1238&lt;0,J1238&gt;=0),I$47+(-I1238)/J1237,0)</f>
        <v>7.05417955660655</v>
      </c>
      <c r="K1239" s="60" t="n">
        <f aca="false">IF(AND(J1238&lt;0,K1238&gt;=0),J$47+(-J1238)/K1237,0)</f>
        <v>0</v>
      </c>
      <c r="L1239" s="60" t="n">
        <f aca="false">IF(AND(K1238&lt;0,L1238&gt;=0),K$47+(-K1238)/L1237,0)</f>
        <v>0</v>
      </c>
    </row>
    <row r="1240" customFormat="false" ht="15" hidden="true" customHeight="false" outlineLevel="1" collapsed="false">
      <c r="A1240" s="9" t="s">
        <v>430</v>
      </c>
      <c r="B1240" s="58" t="n">
        <f aca="false">IF(B$47&lt;0,0,(Quesería!$B$44*$B$1215*$B$1212)*(1-MAX(0,MIN(B$47-0-Quesería!$B$47,(Quesería!$B$46-Quesería!$B$47)))/(Quesería!$B$46-Quesería!$B$47))*IF(B$47&gt;=2,1-Quesería!$B$48,1))+IF(B$47&lt;1,0,(Quesería!$B$44*$C$1215*$C$1212)*(1-MAX(0,MIN(B$47-1-Quesería!$B$47,(Quesería!$B$46-Quesería!$B$47)))/(Quesería!$B$46-Quesería!$B$47))*IF(B$47&gt;=2,1-Quesería!$B$48,1))</f>
        <v>641.321364968425</v>
      </c>
      <c r="C1240" s="58" t="n">
        <f aca="false">IF(C$47&lt;0,0,(Quesería!$B$44*$B$1215*$B$1212)*(1-MAX(0,MIN(C$47-0-Quesería!$B$47,(Quesería!$B$46-Quesería!$B$47)))/(Quesería!$B$46-Quesería!$B$47))*IF(C$47&gt;=2,1-Quesería!$B$48,1))+IF(C$47&lt;1,0,(Quesería!$B$44*$C$1215*$C$1212)*(1-MAX(0,MIN(C$47-1-Quesería!$B$47,(Quesería!$B$46-Quesería!$B$47)))/(Quesería!$B$46-Quesería!$B$47))*IF(C$47&gt;=2,1-Quesería!$B$48,1))</f>
        <v>1190.03581125409</v>
      </c>
      <c r="D1240" s="58" t="n">
        <f aca="false">IF(D$47&lt;0,0,(Quesería!$B$44*$B$1215*$B$1212)*(1-MAX(0,MIN(D$47-0-Quesería!$B$47,(Quesería!$B$46-Quesería!$B$47)))/(Quesería!$B$46-Quesería!$B$47))*IF(D$47&gt;=2,1-Quesería!$B$48,1))+IF(D$47&lt;1,0,(Quesería!$B$44*$C$1215*$C$1212)*(1-MAX(0,MIN(D$47-1-Quesería!$B$47,(Quesería!$B$46-Quesería!$B$47)))/(Quesería!$B$46-Quesería!$B$47))*IF(D$47&gt;=2,1-Quesería!$B$48,1))</f>
        <v>1083.14891709269</v>
      </c>
      <c r="E1240" s="58" t="n">
        <f aca="false">IF(E$47&lt;0,0,(Quesería!$B$44*$B$1215*$B$1212)*(1-MAX(0,MIN(E$47-0-Quesería!$B$47,(Quesería!$B$46-Quesería!$B$47)))/(Quesería!$B$46-Quesería!$B$47))*IF(E$47&gt;=2,1-Quesería!$B$48,1))+IF(E$47&lt;1,0,(Quesería!$B$44*$C$1215*$C$1212)*(1-MAX(0,MIN(E$47-1-Quesería!$B$47,(Quesería!$B$46-Quesería!$B$47)))/(Quesería!$B$46-Quesería!$B$47))*IF(E$47&gt;=2,1-Quesería!$B$48,1))</f>
        <v>884.809615217005</v>
      </c>
      <c r="F1240" s="58" t="n">
        <f aca="false">IF(F$47&lt;0,0,(Quesería!$B$44*$B$1215*$B$1212)*(1-MAX(0,MIN(F$47-0-Quesería!$B$47,(Quesería!$B$46-Quesería!$B$47)))/(Quesería!$B$46-Quesería!$B$47))*IF(F$47&gt;=2,1-Quesería!$B$48,1))+IF(F$47&lt;1,0,(Quesería!$B$44*$C$1215*$C$1212)*(1-MAX(0,MIN(F$47-1-Quesería!$B$47,(Quesería!$B$46-Quesería!$B$47)))/(Quesería!$B$46-Quesería!$B$47))*IF(F$47&gt;=2,1-Quesería!$B$48,1))</f>
        <v>686.470313341323</v>
      </c>
      <c r="G1240" s="58" t="n">
        <f aca="false">IF(G$47&lt;0,0,(Quesería!$B$44*$B$1215*$B$1212)*(1-MAX(0,MIN(G$47-0-Quesería!$B$47,(Quesería!$B$46-Quesería!$B$47)))/(Quesería!$B$46-Quesería!$B$47))*IF(G$47&gt;=2,1-Quesería!$B$48,1))+IF(G$47&lt;1,0,(Quesería!$B$44*$C$1215*$C$1212)*(1-MAX(0,MIN(G$47-1-Quesería!$B$47,(Quesería!$B$46-Quesería!$B$47)))/(Quesería!$B$46-Quesería!$B$47))*IF(G$47&gt;=2,1-Quesería!$B$48,1))</f>
        <v>488.131011465641</v>
      </c>
      <c r="H1240" s="58" t="n">
        <f aca="false">IF(H$47&lt;0,0,(Quesería!$B$44*$B$1215*$B$1212)*(1-MAX(0,MIN(H$47-0-Quesería!$B$47,(Quesería!$B$46-Quesería!$B$47)))/(Quesería!$B$46-Quesería!$B$47))*IF(H$47&gt;=2,1-Quesería!$B$48,1))+IF(H$47&lt;1,0,(Quesería!$B$44*$C$1215*$C$1212)*(1-MAX(0,MIN(H$47-1-Quesería!$B$47,(Quesería!$B$46-Quesería!$B$47)))/(Quesería!$B$46-Quesería!$B$47))*IF(H$47&gt;=2,1-Quesería!$B$48,1))</f>
        <v>289.79170958996</v>
      </c>
      <c r="I1240" s="58" t="n">
        <f aca="false">IF(I$47&lt;0,0,(Quesería!$B$44*$B$1215*$B$1212)*(1-MAX(0,MIN(I$47-0-Quesería!$B$47,(Quesería!$B$46-Quesería!$B$47)))/(Quesería!$B$46-Quesería!$B$47))*IF(I$47&gt;=2,1-Quesería!$B$48,1))+IF(I$47&lt;1,0,(Quesería!$B$44*$C$1215*$C$1212)*(1-MAX(0,MIN(I$47-1-Quesería!$B$47,(Quesería!$B$46-Quesería!$B$47)))/(Quesería!$B$46-Quesería!$B$47))*IF(I$47&gt;=2,1-Quesería!$B$48,1))</f>
        <v>91.4524077142776</v>
      </c>
      <c r="J1240" s="58" t="n">
        <f aca="false">IF(J$47&lt;0,0,(Quesería!$B$44*$B$1215*$B$1212)*(1-MAX(0,MIN(J$47-0-Quesería!$B$47,(Quesería!$B$46-Quesería!$B$47)))/(Quesería!$B$46-Quesería!$B$47))*IF(J$47&gt;=2,1-Quesería!$B$48,1))+IF(J$47&lt;1,0,(Quesería!$B$44*$C$1215*$C$1212)*(1-MAX(0,MIN(J$47-1-Quesería!$B$47,(Quesería!$B$46-Quesería!$B$47)))/(Quesería!$B$46-Quesería!$B$47))*IF(J$47&gt;=2,1-Quesería!$B$48,1))</f>
        <v>0</v>
      </c>
      <c r="K1240" s="58" t="n">
        <f aca="false">IF(K$47&lt;0,0,(Quesería!$B$44*$B$1215*$B$1212)*(1-MAX(0,MIN(K$47-0-Quesería!$B$47,(Quesería!$B$46-Quesería!$B$47)))/(Quesería!$B$46-Quesería!$B$47))*IF(K$47&gt;=2,1-Quesería!$B$48,1))+IF(K$47&lt;1,0,(Quesería!$B$44*$C$1215*$C$1212)*(1-MAX(0,MIN(K$47-1-Quesería!$B$47,(Quesería!$B$46-Quesería!$B$47)))/(Quesería!$B$46-Quesería!$B$47))*IF(K$47&gt;=2,1-Quesería!$B$48,1))</f>
        <v>0</v>
      </c>
      <c r="L1240" s="58" t="n">
        <f aca="false">IF(L$47&lt;0,0,(Quesería!$B$44*$B$1215*$B$1212)*(1-MAX(0,MIN(L$47-0-Quesería!$B$47,(Quesería!$B$46-Quesería!$B$47)))/(Quesería!$B$46-Quesería!$B$47))*IF(L$47&gt;=2,1-Quesería!$B$48,1))+IF(L$47&lt;1,0,(Quesería!$B$44*$C$1215*$C$1212)*(1-MAX(0,MIN(L$47-1-Quesería!$B$47,(Quesería!$B$46-Quesería!$B$47)))/(Quesería!$B$46-Quesería!$B$47))*IF(L$47&gt;=2,1-Quesería!$B$48,1))</f>
        <v>0</v>
      </c>
    </row>
    <row r="1241" customFormat="false" ht="15" hidden="true" customHeight="false" outlineLevel="1" collapsed="false">
      <c r="A1241" s="6" t="s">
        <v>431</v>
      </c>
      <c r="B1241" s="29" t="n">
        <f aca="false">Quesería!$B$44*B1215</f>
        <v>605.02015563059</v>
      </c>
      <c r="C1241" s="29" t="n">
        <f aca="false">Quesería!$B$44*C1215</f>
        <v>493.004893338424</v>
      </c>
      <c r="D1241" s="29" t="n">
        <f aca="false">Quesería!$B$44*D1215</f>
        <v>0</v>
      </c>
      <c r="E1241" s="29" t="n">
        <f aca="false">Quesería!$B$44*E1215</f>
        <v>0</v>
      </c>
      <c r="F1241" s="29" t="n">
        <f aca="false">Quesería!$B$44*F1215</f>
        <v>0</v>
      </c>
      <c r="G1241" s="29" t="n">
        <f aca="false">Quesería!$B$44*G1215</f>
        <v>0</v>
      </c>
      <c r="H1241" s="29" t="n">
        <f aca="false">Quesería!$B$44*H1215</f>
        <v>0</v>
      </c>
      <c r="I1241" s="29" t="n">
        <f aca="false">Quesería!$B$44*I1215</f>
        <v>0</v>
      </c>
      <c r="J1241" s="29" t="n">
        <f aca="false">Quesería!$B$44*J1215</f>
        <v>0</v>
      </c>
      <c r="K1241" s="29" t="n">
        <f aca="false">Quesería!$B$44*K1215</f>
        <v>0</v>
      </c>
      <c r="L1241" s="29" t="n">
        <f aca="false">Quesería!$B$44*L1215</f>
        <v>0</v>
      </c>
    </row>
    <row r="1242" customFormat="false" ht="15" hidden="true" customHeight="false" outlineLevel="1" collapsed="false">
      <c r="A1242" s="6" t="s">
        <v>432</v>
      </c>
      <c r="B1242" s="29" t="n">
        <f aca="false">(IF(AND(B$47&gt;0,B$47&lt;=0+Quesería!$B$46),($AC$14+$AC$28)*(Quesería!$B$44*$B$1215*$B$1212)*(1-MAX(0,MIN((B$47-1)-0-Quesería!$B$47,(Quesería!$B$46-Quesería!$B$47)))/(Quesería!$B$46-Quesería!$B$47))*IF(B$47&gt;2,1-Quesería!$B$48,1),0)+IF(AND(B$47&gt;1,B$47&lt;=1+Quesería!$B$46),($AC$14+$AC$28)*(Quesería!$B$44*$C$1215*$C$1212)*(1-MAX(0,MIN((B$47-1)-1-Quesería!$B$47,(Quesería!$B$46-Quesería!$B$47)))/(Quesería!$B$46-Quesería!$B$47))*IF(B$47&gt;2,1-Quesería!$B$48,1),0))*B1214</f>
        <v>0</v>
      </c>
      <c r="C1242" s="29" t="n">
        <f aca="false">(IF(AND(C$47&gt;0,C$47&lt;=0+Quesería!$B$46),($AC$14+$AC$28)*(Quesería!$B$44*$B$1215*$B$1212)*(1-MAX(0,MIN((C$47-1)-0-Quesería!$B$47,(Quesería!$B$46-Quesería!$B$47)))/(Quesería!$B$46-Quesería!$B$47))*IF(C$47&gt;2,1-Quesería!$B$48,1),0)+IF(AND(C$47&gt;1,C$47&lt;=1+Quesería!$B$46),($AC$14+$AC$28)*(Quesería!$B$44*$C$1215*$C$1212)*(1-MAX(0,MIN((C$47-1)-1-Quesería!$B$47,(Quesería!$B$46-Quesería!$B$47)))/(Quesería!$B$46-Quesería!$B$47))*IF(C$47&gt;2,1-Quesería!$B$48,1),0))*C1214</f>
        <v>81.2455637561078</v>
      </c>
      <c r="D1242" s="29" t="n">
        <f aca="false">(IF(AND(D$47&gt;0,D$47&lt;=0+Quesería!$B$46),($AC$14+$AC$28)*(Quesería!$B$44*$B$1215*$B$1212)*(1-MAX(0,MIN((D$47-1)-0-Quesería!$B$47,(Quesería!$B$46-Quesería!$B$47)))/(Quesería!$B$46-Quesería!$B$47))*IF(D$47&gt;2,1-Quesería!$B$48,1),0)+IF(AND(D$47&gt;1,D$47&lt;=1+Quesería!$B$46),($AC$14+$AC$28)*(Quesería!$B$44*$C$1215*$C$1212)*(1-MAX(0,MIN((D$47-1)-1-Quesería!$B$47,(Quesería!$B$46-Quesería!$B$47)))/(Quesería!$B$46-Quesería!$B$47))*IF(D$47&gt;2,1-Quesería!$B$48,1),0))*D1214</f>
        <v>144.267228437154</v>
      </c>
      <c r="E1242" s="29" t="n">
        <f aca="false">(IF(AND(E$47&gt;0,E$47&lt;=0+Quesería!$B$46),($AC$14+$AC$28)*(Quesería!$B$44*$B$1215*$B$1212)*(1-MAX(0,MIN((E$47-1)-0-Quesería!$B$47,(Quesería!$B$46-Quesería!$B$47)))/(Quesería!$B$46-Quesería!$B$47))*IF(E$47&gt;2,1-Quesería!$B$48,1),0)+IF(AND(E$47&gt;1,E$47&lt;=1+Quesería!$B$46),($AC$14+$AC$28)*(Quesería!$B$44*$C$1215*$C$1212)*(1-MAX(0,MIN((E$47-1)-1-Quesería!$B$47,(Quesería!$B$46-Quesería!$B$47)))/(Quesería!$B$46-Quesería!$B$47))*IF(E$47&gt;2,1-Quesería!$B$48,1),0))*E1214</f>
        <v>126.259041612202</v>
      </c>
      <c r="F1242" s="29" t="n">
        <f aca="false">(IF(AND(F$47&gt;0,F$47&lt;=0+Quesería!$B$46),($AC$14+$AC$28)*(Quesería!$B$44*$B$1215*$B$1212)*(1-MAX(0,MIN((F$47-1)-0-Quesería!$B$47,(Quesería!$B$46-Quesería!$B$47)))/(Quesería!$B$46-Quesería!$B$47))*IF(F$47&gt;2,1-Quesería!$B$48,1),0)+IF(AND(F$47&gt;1,F$47&lt;=1+Quesería!$B$46),($AC$14+$AC$28)*(Quesería!$B$44*$C$1215*$C$1212)*(1-MAX(0,MIN((F$47-1)-1-Quesería!$B$47,(Quesería!$B$46-Quesería!$B$47)))/(Quesería!$B$46-Quesería!$B$47))*IF(F$47&gt;2,1-Quesería!$B$48,1),0))*F1214</f>
        <v>99.1723975627135</v>
      </c>
      <c r="G1242" s="29" t="n">
        <f aca="false">(IF(AND(G$47&gt;0,G$47&lt;=0+Quesería!$B$46),($AC$14+$AC$28)*(Quesería!$B$44*$B$1215*$B$1212)*(1-MAX(0,MIN((G$47-1)-0-Quesería!$B$47,(Quesería!$B$46-Quesería!$B$47)))/(Quesería!$B$46-Quesería!$B$47))*IF(G$47&gt;2,1-Quesería!$B$48,1),0)+IF(AND(G$47&gt;1,G$47&lt;=1+Quesería!$B$46),($AC$14+$AC$28)*(Quesería!$B$44*$C$1215*$C$1212)*(1-MAX(0,MIN((G$47-1)-1-Quesería!$B$47,(Quesería!$B$46-Quesería!$B$47)))/(Quesería!$B$46-Quesería!$B$47))*IF(G$47&gt;2,1-Quesería!$B$48,1),0))*G1214</f>
        <v>73.9825677868365</v>
      </c>
      <c r="H1242" s="29" t="n">
        <f aca="false">(IF(AND(H$47&gt;0,H$47&lt;=0+Quesería!$B$46),($AC$14+$AC$28)*(Quesería!$B$44*$B$1215*$B$1212)*(1-MAX(0,MIN((H$47-1)-0-Quesería!$B$47,(Quesería!$B$46-Quesería!$B$47)))/(Quesería!$B$46-Quesería!$B$47))*IF(H$47&gt;2,1-Quesería!$B$48,1),0)+IF(AND(H$47&gt;1,H$47&lt;=1+Quesería!$B$46),($AC$14+$AC$28)*(Quesería!$B$44*$C$1215*$C$1212)*(1-MAX(0,MIN((H$47-1)-1-Quesería!$B$47,(Quesería!$B$46-Quesería!$B$47)))/(Quesería!$B$46-Quesería!$B$47))*IF(H$47&gt;2,1-Quesería!$B$48,1),0))*H1214</f>
        <v>50.583712494366</v>
      </c>
      <c r="I1242" s="29" t="n">
        <f aca="false">(IF(AND(I$47&gt;0,I$47&lt;=0+Quesería!$B$46),($AC$14+$AC$28)*(Quesería!$B$44*$B$1215*$B$1212)*(1-MAX(0,MIN((I$47-1)-0-Quesería!$B$47,(Quesería!$B$46-Quesería!$B$47)))/(Quesería!$B$46-Quesería!$B$47))*IF(I$47&gt;2,1-Quesería!$B$48,1),0)+IF(AND(I$47&gt;1,I$47&lt;=1+Quesería!$B$46),($AC$14+$AC$28)*(Quesería!$B$44*$C$1215*$C$1212)*(1-MAX(0,MIN((I$47-1)-1-Quesería!$B$47,(Quesería!$B$46-Quesería!$B$47)))/(Quesería!$B$46-Quesería!$B$47))*IF(I$47&gt;2,1-Quesería!$B$48,1),0))*I1214</f>
        <v>28.8753274791465</v>
      </c>
      <c r="J1242" s="29" t="n">
        <f aca="false">(IF(AND(J$47&gt;0,J$47&lt;=0+Quesería!$B$46),($AC$14+$AC$28)*(Quesería!$B$44*$B$1215*$B$1212)*(1-MAX(0,MIN((J$47-1)-0-Quesería!$B$47,(Quesería!$B$46-Quesería!$B$47)))/(Quesería!$B$46-Quesería!$B$47))*IF(J$47&gt;2,1-Quesería!$B$48,1),0)+IF(AND(J$47&gt;1,J$47&lt;=1+Quesería!$B$46),($AC$14+$AC$28)*(Quesería!$B$44*$C$1215*$C$1212)*(1-MAX(0,MIN((J$47-1)-1-Quesería!$B$47,(Quesería!$B$46-Quesería!$B$47)))/(Quesería!$B$46-Quesería!$B$47))*IF(J$47&gt;2,1-Quesería!$B$48,1),0))*J1214</f>
        <v>8.76199025726588</v>
      </c>
      <c r="K1242" s="29" t="n">
        <f aca="false">(IF(AND(K$47&gt;0,K$47&lt;=0+Quesería!$B$46),($AC$14+$AC$28)*(Quesería!$B$44*$B$1215*$B$1212)*(1-MAX(0,MIN((K$47-1)-0-Quesería!$B$47,(Quesería!$B$46-Quesería!$B$47)))/(Quesería!$B$46-Quesería!$B$47))*IF(K$47&gt;2,1-Quesería!$B$48,1),0)+IF(AND(K$47&gt;1,K$47&lt;=1+Quesería!$B$46),($AC$14+$AC$28)*(Quesería!$B$44*$C$1215*$C$1212)*(1-MAX(0,MIN((K$47-1)-1-Quesería!$B$47,(Quesería!$B$46-Quesería!$B$47)))/(Quesería!$B$46-Quesería!$B$47))*IF(K$47&gt;2,1-Quesería!$B$48,1),0))*K1214</f>
        <v>0</v>
      </c>
      <c r="L1242" s="29" t="n">
        <f aca="false">(IF(AND(L$47&gt;0,L$47&lt;=0+Quesería!$B$46),($AC$14+$AC$28)*(Quesería!$B$44*$B$1215*$B$1212)*(1-MAX(0,MIN((L$47-1)-0-Quesería!$B$47,(Quesería!$B$46-Quesería!$B$47)))/(Quesería!$B$46-Quesería!$B$47))*IF(L$47&gt;2,1-Quesería!$B$48,1),0)+IF(AND(L$47&gt;1,L$47&lt;=1+Quesería!$B$46),($AC$14+$AC$28)*(Quesería!$B$44*$C$1215*$C$1212)*(1-MAX(0,MIN((L$47-1)-1-Quesería!$B$47,(Quesería!$B$46-Quesería!$B$47)))/(Quesería!$B$46-Quesería!$B$47))*IF(L$47&gt;2,1-Quesería!$B$48,1),0))*L1214</f>
        <v>0</v>
      </c>
    </row>
    <row r="1243" customFormat="false" ht="15" hidden="true" customHeight="false" outlineLevel="1" collapsed="false">
      <c r="A1243" s="6" t="s">
        <v>433</v>
      </c>
      <c r="B1243" s="29" t="n">
        <f aca="false">((IF(AND(B$47&gt;0+Quesería!$B$47,B$47&lt;=0+Quesería!$B$46),(Quesería!$B$44*$B$1215*$B$1212)/(Quesería!$B$46-Quesería!$B$47),0)*IF(B$47&gt;2,1-Quesería!$B$48,1)+IF(B$47=2,Quesería!$B$48*(Quesería!$B$44*$B$1215*$B$1212)*(1-MAX(0,MIN(2-0-Quesería!$B$47,(Quesería!$B$46-Quesería!$B$47)))/(Quesería!$B$46-Quesería!$B$47)),0))+(IF(AND(B$47&gt;1+Quesería!$B$47,B$47&lt;=1+Quesería!$B$46),(Quesería!$B$44*$C$1215*$C$1212)/(Quesería!$B$46-Quesería!$B$47),0)*IF(B$47&gt;2,1-Quesería!$B$48,1)+IF(B$47=2,Quesería!$B$48*(Quesería!$B$44*$C$1215*$C$1212)*(1-MAX(0,MIN(2-1-Quesería!$B$47,(Quesería!$B$46-Quesería!$B$47)))/(Quesería!$B$46-Quesería!$B$47)),0)))*B1214</f>
        <v>0</v>
      </c>
      <c r="C1243" s="29" t="n">
        <f aca="false">((IF(AND(C$47&gt;0+Quesería!$B$47,C$47&lt;=0+Quesería!$B$46),(Quesería!$B$44*$B$1215*$B$1212)/(Quesería!$B$46-Quesería!$B$47),0)*IF(C$47&gt;2,1-Quesería!$B$48,1)+IF(C$47=2,Quesería!$B$48*(Quesería!$B$44*$B$1215*$B$1212)*(1-MAX(0,MIN(2-0-Quesería!$B$47,(Quesería!$B$46-Quesería!$B$47)))/(Quesería!$B$46-Quesería!$B$47)),0))+(IF(AND(C$47&gt;1+Quesería!$B$47,C$47&lt;=1+Quesería!$B$46),(Quesería!$B$44*$C$1215*$C$1212)/(Quesería!$B$46-Quesería!$B$47),0)*IF(C$47&gt;2,1-Quesería!$B$48,1)+IF(C$47=2,Quesería!$B$48*(Quesería!$B$44*$C$1215*$C$1212)*(1-MAX(0,MIN(2-1-Quesería!$B$47,(Quesería!$B$46-Quesería!$B$47)))/(Quesería!$B$46-Quesería!$B$47)),0)))*C1214</f>
        <v>0</v>
      </c>
      <c r="D1243" s="29" t="n">
        <f aca="false">((IF(AND(D$47&gt;0+Quesería!$B$47,D$47&lt;=0+Quesería!$B$46),(Quesería!$B$44*$B$1215*$B$1212)/(Quesería!$B$46-Quesería!$B$47),0)*IF(D$47&gt;2,1-Quesería!$B$48,1)+IF(D$47=2,Quesería!$B$48*(Quesería!$B$44*$B$1215*$B$1212)*(1-MAX(0,MIN(2-0-Quesería!$B$47,(Quesería!$B$46-Quesería!$B$47)))/(Quesería!$B$46-Quesería!$B$47)),0))+(IF(AND(D$47&gt;1+Quesería!$B$47,D$47&lt;=1+Quesería!$B$46),(Quesería!$B$44*$C$1215*$C$1212)/(Quesería!$B$46-Quesería!$B$47),0)*IF(D$47&gt;2,1-Quesería!$B$48,1)+IF(D$47=2,Quesería!$B$48*(Quesería!$B$44*$C$1215*$C$1212)*(1-MAX(0,MIN(2-1-Quesería!$B$47,(Quesería!$B$46-Quesería!$B$47)))/(Quesería!$B$46-Quesería!$B$47)),0)))*D1214</f>
        <v>91.8994692231472</v>
      </c>
      <c r="E1243" s="29" t="n">
        <f aca="false">((IF(AND(E$47&gt;0+Quesería!$B$47,E$47&lt;=0+Quesería!$B$46),(Quesería!$B$44*$B$1215*$B$1212)/(Quesería!$B$46-Quesería!$B$47),0)*IF(E$47&gt;2,1-Quesería!$B$48,1)+IF(E$47=2,Quesería!$B$48*(Quesería!$B$44*$B$1215*$B$1212)*(1-MAX(0,MIN(2-0-Quesería!$B$47,(Quesería!$B$46-Quesería!$B$47)))/(Quesería!$B$46-Quesería!$B$47)),0))+(IF(AND(E$47&gt;1+Quesería!$B$47,E$47&lt;=1+Quesería!$B$46),(Quesería!$B$44*$C$1215*$C$1212)/(Quesería!$B$46-Quesería!$B$47),0)*IF(E$47&gt;2,1-Quesería!$B$48,1)+IF(E$47=2,Quesería!$B$48*(Quesería!$B$44*$C$1215*$C$1212)*(1-MAX(0,MIN(2-1-Quesería!$B$47,(Quesería!$B$46-Quesería!$B$47)))/(Quesería!$B$46-Quesería!$B$47)),0)))*E1214</f>
        <v>163.969845014041</v>
      </c>
      <c r="F1243" s="29" t="n">
        <f aca="false">((IF(AND(F$47&gt;0+Quesería!$B$47,F$47&lt;=0+Quesería!$B$46),(Quesería!$B$44*$B$1215*$B$1212)/(Quesería!$B$46-Quesería!$B$47),0)*IF(F$47&gt;2,1-Quesería!$B$48,1)+IF(F$47=2,Quesería!$B$48*(Quesería!$B$44*$B$1215*$B$1212)*(1-MAX(0,MIN(2-0-Quesería!$B$47,(Quesería!$B$46-Quesería!$B$47)))/(Quesería!$B$46-Quesería!$B$47)),0))+(IF(AND(F$47&gt;1+Quesería!$B$47,F$47&lt;=1+Quesería!$B$46),(Quesería!$B$44*$C$1215*$C$1212)/(Quesería!$B$46-Quesería!$B$47),0)*IF(F$47&gt;2,1-Quesería!$B$48,1)+IF(F$47=2,Quesería!$B$48*(Quesería!$B$44*$C$1215*$C$1212)*(1-MAX(0,MIN(2-1-Quesería!$B$47,(Quesería!$B$46-Quesería!$B$47)))/(Quesería!$B$46-Quesería!$B$47)),0)))*F1214</f>
        <v>157.663312513501</v>
      </c>
      <c r="G1243" s="29" t="n">
        <f aca="false">((IF(AND(G$47&gt;0+Quesería!$B$47,G$47&lt;=0+Quesería!$B$46),(Quesería!$B$44*$B$1215*$B$1212)/(Quesería!$B$46-Quesería!$B$47),0)*IF(G$47&gt;2,1-Quesería!$B$48,1)+IF(G$47=2,Quesería!$B$48*(Quesería!$B$44*$B$1215*$B$1212)*(1-MAX(0,MIN(2-0-Quesería!$B$47,(Quesería!$B$46-Quesería!$B$47)))/(Quesería!$B$46-Quesería!$B$47)),0))+(IF(AND(G$47&gt;1+Quesería!$B$47,G$47&lt;=1+Quesería!$B$46),(Quesería!$B$44*$C$1215*$C$1212)/(Quesería!$B$46-Quesería!$B$47),0)*IF(G$47&gt;2,1-Quesería!$B$48,1)+IF(G$47=2,Quesería!$B$48*(Quesería!$B$44*$C$1215*$C$1212)*(1-MAX(0,MIN(2-1-Quesería!$B$47,(Quesería!$B$46-Quesería!$B$47)))/(Quesería!$B$46-Quesería!$B$47)),0)))*G1214</f>
        <v>151.599338955289</v>
      </c>
      <c r="H1243" s="29" t="n">
        <f aca="false">((IF(AND(H$47&gt;0+Quesería!$B$47,H$47&lt;=0+Quesería!$B$46),(Quesería!$B$44*$B$1215*$B$1212)/(Quesería!$B$46-Quesería!$B$47),0)*IF(H$47&gt;2,1-Quesería!$B$48,1)+IF(H$47=2,Quesería!$B$48*(Quesería!$B$44*$B$1215*$B$1212)*(1-MAX(0,MIN(2-0-Quesería!$B$47,(Quesería!$B$46-Quesería!$B$47)))/(Quesería!$B$46-Quesería!$B$47)),0))+(IF(AND(H$47&gt;1+Quesería!$B$47,H$47&lt;=1+Quesería!$B$46),(Quesería!$B$44*$C$1215*$C$1212)/(Quesería!$B$46-Quesería!$B$47),0)*IF(H$47&gt;2,1-Quesería!$B$48,1)+IF(H$47=2,Quesería!$B$48*(Quesería!$B$44*$C$1215*$C$1212)*(1-MAX(0,MIN(2-1-Quesería!$B$47,(Quesería!$B$46-Quesería!$B$47)))/(Quesería!$B$46-Quesería!$B$47)),0)))*H1214</f>
        <v>145.768595149317</v>
      </c>
      <c r="I1243" s="29" t="n">
        <f aca="false">((IF(AND(I$47&gt;0+Quesería!$B$47,I$47&lt;=0+Quesería!$B$46),(Quesería!$B$44*$B$1215*$B$1212)/(Quesería!$B$46-Quesería!$B$47),0)*IF(I$47&gt;2,1-Quesería!$B$48,1)+IF(I$47=2,Quesería!$B$48*(Quesería!$B$44*$B$1215*$B$1212)*(1-MAX(0,MIN(2-0-Quesería!$B$47,(Quesería!$B$46-Quesería!$B$47)))/(Quesería!$B$46-Quesería!$B$47)),0))+(IF(AND(I$47&gt;1+Quesería!$B$47,I$47&lt;=1+Quesería!$B$46),(Quesería!$B$44*$C$1215*$C$1212)/(Quesería!$B$46-Quesería!$B$47),0)*IF(I$47&gt;2,1-Quesería!$B$48,1)+IF(I$47=2,Quesería!$B$48*(Quesería!$B$44*$C$1215*$C$1212)*(1-MAX(0,MIN(2-1-Quesería!$B$47,(Quesería!$B$46-Quesería!$B$47)))/(Quesería!$B$46-Quesería!$B$47)),0)))*I1214</f>
        <v>140.162110720497</v>
      </c>
      <c r="J1243" s="29" t="n">
        <f aca="false">((IF(AND(J$47&gt;0+Quesería!$B$47,J$47&lt;=0+Quesería!$B$46),(Quesería!$B$44*$B$1215*$B$1212)/(Quesería!$B$46-Quesería!$B$47),0)*IF(J$47&gt;2,1-Quesería!$B$48,1)+IF(J$47=2,Quesería!$B$48*(Quesería!$B$44*$B$1215*$B$1212)*(1-MAX(0,MIN(2-0-Quesería!$B$47,(Quesería!$B$46-Quesería!$B$47)))/(Quesería!$B$46-Quesería!$B$47)),0))+(IF(AND(J$47&gt;1+Quesería!$B$47,J$47&lt;=1+Quesería!$B$46),(Quesería!$B$44*$C$1215*$C$1212)/(Quesería!$B$46-Quesería!$B$47),0)*IF(J$47&gt;2,1-Quesería!$B$48,1)+IF(J$47=2,Quesería!$B$48*(Quesería!$B$44*$C$1215*$C$1212)*(1-MAX(0,MIN(2-1-Quesería!$B$47,(Quesería!$B$46-Quesería!$B$47)))/(Quesería!$B$46-Quesería!$B$47)),0)))*J1214</f>
        <v>62.1417748742261</v>
      </c>
      <c r="K1243" s="29" t="n">
        <f aca="false">((IF(AND(K$47&gt;0+Quesería!$B$47,K$47&lt;=0+Quesería!$B$46),(Quesería!$B$44*$B$1215*$B$1212)/(Quesería!$B$46-Quesería!$B$47),0)*IF(K$47&gt;2,1-Quesería!$B$48,1)+IF(K$47=2,Quesería!$B$48*(Quesería!$B$44*$B$1215*$B$1212)*(1-MAX(0,MIN(2-0-Quesería!$B$47,(Quesería!$B$46-Quesería!$B$47)))/(Quesería!$B$46-Quesería!$B$47)),0))+(IF(AND(K$47&gt;1+Quesería!$B$47,K$47&lt;=1+Quesería!$B$46),(Quesería!$B$44*$C$1215*$C$1212)/(Quesería!$B$46-Quesería!$B$47),0)*IF(K$47&gt;2,1-Quesería!$B$48,1)+IF(K$47=2,Quesería!$B$48*(Quesería!$B$44*$C$1215*$C$1212)*(1-MAX(0,MIN(2-1-Quesería!$B$47,(Quesería!$B$46-Quesería!$B$47)))/(Quesería!$B$46-Quesería!$B$47)),0)))*K1214</f>
        <v>0</v>
      </c>
      <c r="L1243" s="29" t="n">
        <f aca="false">((IF(AND(L$47&gt;0+Quesería!$B$47,L$47&lt;=0+Quesería!$B$46),(Quesería!$B$44*$B$1215*$B$1212)/(Quesería!$B$46-Quesería!$B$47),0)*IF(L$47&gt;2,1-Quesería!$B$48,1)+IF(L$47=2,Quesería!$B$48*(Quesería!$B$44*$B$1215*$B$1212)*(1-MAX(0,MIN(2-0-Quesería!$B$47,(Quesería!$B$46-Quesería!$B$47)))/(Quesería!$B$46-Quesería!$B$47)),0))+(IF(AND(L$47&gt;1+Quesería!$B$47,L$47&lt;=1+Quesería!$B$46),(Quesería!$B$44*$C$1215*$C$1212)/(Quesería!$B$46-Quesería!$B$47),0)*IF(L$47&gt;2,1-Quesería!$B$48,1)+IF(L$47=2,Quesería!$B$48*(Quesería!$B$44*$C$1215*$C$1212)*(1-MAX(0,MIN(2-1-Quesería!$B$47,(Quesería!$B$46-Quesería!$B$47)))/(Quesería!$B$46-Quesería!$B$47)),0)))*L1214</f>
        <v>0</v>
      </c>
    </row>
    <row r="1244" customFormat="false" ht="15" hidden="true" customHeight="false" outlineLevel="1" collapsed="false">
      <c r="A1244" s="6" t="s">
        <v>434</v>
      </c>
      <c r="B1244" s="29" t="n">
        <f aca="false">$AC$13*Quesería!$B$51*(1+0.19)*B1240*B1214+(1-$AC$13)*IF(B$47=0,Quesería!$B$50,0)</f>
        <v>4</v>
      </c>
      <c r="C1244" s="29" t="n">
        <f aca="false">$AC$13*Quesería!$B$51*(1+0.19)*C1240*C1214+(1-$AC$13)*IF(C$47=0,Quesería!$B$50,0)</f>
        <v>0</v>
      </c>
      <c r="D1244" s="29" t="n">
        <f aca="false">$AC$13*Quesería!$B$51*(1+0.19)*D1240*D1214+(1-$AC$13)*IF(D$47=0,Quesería!$B$50,0)</f>
        <v>0</v>
      </c>
      <c r="E1244" s="29" t="n">
        <f aca="false">$AC$13*Quesería!$B$51*(1+0.19)*E1240*E1214+(1-$AC$13)*IF(E$47=0,Quesería!$B$50,0)</f>
        <v>0</v>
      </c>
      <c r="F1244" s="29" t="n">
        <f aca="false">$AC$13*Quesería!$B$51*(1+0.19)*F1240*F1214+(1-$AC$13)*IF(F$47=0,Quesería!$B$50,0)</f>
        <v>0</v>
      </c>
      <c r="G1244" s="29" t="n">
        <f aca="false">$AC$13*Quesería!$B$51*(1+0.19)*G1240*G1214+(1-$AC$13)*IF(G$47=0,Quesería!$B$50,0)</f>
        <v>0</v>
      </c>
      <c r="H1244" s="29" t="n">
        <f aca="false">$AC$13*Quesería!$B$51*(1+0.19)*H1240*H1214+(1-$AC$13)*IF(H$47=0,Quesería!$B$50,0)</f>
        <v>0</v>
      </c>
      <c r="I1244" s="29" t="n">
        <f aca="false">$AC$13*Quesería!$B$51*(1+0.19)*I1240*I1214+(1-$AC$13)*IF(I$47=0,Quesería!$B$50,0)</f>
        <v>0</v>
      </c>
      <c r="J1244" s="29" t="n">
        <f aca="false">$AC$13*Quesería!$B$51*(1+0.19)*J1240*J1214+(1-$AC$13)*IF(J$47=0,Quesería!$B$50,0)</f>
        <v>0</v>
      </c>
      <c r="K1244" s="29" t="n">
        <f aca="false">$AC$13*Quesería!$B$51*(1+0.19)*K1240*K1214+(1-$AC$13)*IF(K$47=0,Quesería!$B$50,0)</f>
        <v>0</v>
      </c>
      <c r="L1244" s="29" t="n">
        <f aca="false">$AC$13*Quesería!$B$51*(1+0.19)*L1240*L1214+(1-$AC$13)*IF(L$47=0,Quesería!$B$50,0)</f>
        <v>0</v>
      </c>
    </row>
    <row r="1245" customFormat="false" ht="15" hidden="true" customHeight="false" outlineLevel="1" collapsed="false">
      <c r="A1245" s="6" t="s">
        <v>435</v>
      </c>
      <c r="B1245" s="29" t="n">
        <f aca="false">Quesería!$B$52*(B1242+B1243+B1244)</f>
        <v>0.016</v>
      </c>
      <c r="C1245" s="29" t="n">
        <f aca="false">Quesería!$B$52*(C1242+C1243+C1244)</f>
        <v>0.324982255024431</v>
      </c>
      <c r="D1245" s="29" t="n">
        <f aca="false">Quesería!$B$52*(D1242+D1243+D1244)</f>
        <v>0.944666790641204</v>
      </c>
      <c r="E1245" s="29" t="n">
        <f aca="false">Quesería!$B$52*(E1242+E1243+E1244)</f>
        <v>1.16091554650497</v>
      </c>
      <c r="F1245" s="29" t="n">
        <f aca="false">Quesería!$B$52*(F1242+F1243+F1244)</f>
        <v>1.02734284030486</v>
      </c>
      <c r="G1245" s="29" t="n">
        <f aca="false">Quesería!$B$52*(G1242+G1243+G1244)</f>
        <v>0.902327626968503</v>
      </c>
      <c r="H1245" s="29" t="n">
        <f aca="false">Quesería!$B$52*(H1242+H1243+H1244)</f>
        <v>0.78540923057473</v>
      </c>
      <c r="I1245" s="29" t="n">
        <f aca="false">Quesería!$B$52*(I1242+I1243+I1244)</f>
        <v>0.676149752798573</v>
      </c>
      <c r="J1245" s="29" t="n">
        <f aca="false">Quesería!$B$52*(J1242+J1243+J1244)</f>
        <v>0.283615060525968</v>
      </c>
      <c r="K1245" s="29" t="n">
        <f aca="false">Quesería!$B$52*(K1242+K1243+K1244)</f>
        <v>0</v>
      </c>
      <c r="L1245" s="29" t="n">
        <f aca="false">Quesería!$B$52*(L1242+L1243+L1244)</f>
        <v>0</v>
      </c>
    </row>
    <row r="1246" customFormat="false" ht="15" hidden="true" customHeight="false" outlineLevel="1" collapsed="false">
      <c r="A1246" s="6" t="s">
        <v>436</v>
      </c>
      <c r="B1246" s="29" t="n">
        <f aca="false">$AC$17*(B1242+B1244+0.5*B1245)</f>
        <v>1.4028</v>
      </c>
      <c r="C1246" s="29" t="n">
        <f aca="false">$AC$17*(C1242+C1244+0.5*C1245)</f>
        <v>28.492819209267</v>
      </c>
      <c r="D1246" s="29" t="n">
        <f aca="false">$AC$17*(D1242+D1244+0.5*D1245)</f>
        <v>50.658846641366</v>
      </c>
      <c r="E1246" s="29" t="n">
        <f aca="false">$AC$17*(E1242+E1244+0.5*E1245)</f>
        <v>44.393824784909</v>
      </c>
      <c r="F1246" s="29" t="n">
        <f aca="false">$AC$17*(F1242+F1244+0.5*F1245)</f>
        <v>34.8901241440031</v>
      </c>
      <c r="G1246" s="29" t="n">
        <f aca="false">$AC$17*(G1242+G1244+0.5*G1245)</f>
        <v>26.0518060601123</v>
      </c>
      <c r="H1246" s="29" t="n">
        <f aca="false">$AC$17*(H1242+H1244+0.5*H1245)</f>
        <v>17.8417459883787</v>
      </c>
      <c r="I1246" s="29" t="n">
        <f aca="false">$AC$17*(I1242+I1244+0.5*I1245)</f>
        <v>10.224690824441</v>
      </c>
      <c r="J1246" s="29" t="n">
        <f aca="false">$AC$17*(J1242+J1244+0.5*J1245)</f>
        <v>3.1163292256351</v>
      </c>
      <c r="K1246" s="29" t="n">
        <f aca="false">$AC$17*(K1242+K1244+0.5*K1245)</f>
        <v>0</v>
      </c>
      <c r="L1246" s="29" t="n">
        <f aca="false">$AC$17*(L1242+L1244+0.5*L1245)</f>
        <v>0</v>
      </c>
    </row>
    <row r="1247" customFormat="false" ht="15" hidden="true" customHeight="false" outlineLevel="1" collapsed="false">
      <c r="A1247" s="5" t="s">
        <v>437</v>
      </c>
      <c r="B1247" s="59" t="n">
        <f aca="false">B1232+B1241-B1242-B1243-B1244-B1245+B1246</f>
        <v>-358.744924503166</v>
      </c>
      <c r="C1247" s="59" t="n">
        <f aca="false">C1232+C1241-C1242-C1243-C1244-C1245+C1246</f>
        <v>-59.8505919146794</v>
      </c>
      <c r="D1247" s="59" t="n">
        <f aca="false">D1232+D1241-D1242-D1243-D1244-D1245+D1246</f>
        <v>278.480527219616</v>
      </c>
      <c r="E1247" s="59" t="n">
        <f aca="false">E1232+E1241-E1242-E1243-E1244-E1245+E1246</f>
        <v>67.3549296838745</v>
      </c>
      <c r="F1247" s="59" t="n">
        <f aca="false">F1232+F1241-F1242-F1243-F1244-F1245+F1246</f>
        <v>127.815396206555</v>
      </c>
      <c r="G1247" s="59" t="n">
        <f aca="false">G1232+G1241-G1242-G1243-G1244-G1245+G1246</f>
        <v>115.883331586465</v>
      </c>
      <c r="H1247" s="59" t="n">
        <f aca="false">H1232+H1241-H1242-H1243-H1244-H1245+H1246</f>
        <v>115.379490298709</v>
      </c>
      <c r="I1247" s="59" t="n">
        <f aca="false">I1232+I1241-I1242-I1243-I1244-I1245+I1246</f>
        <v>195.708908007946</v>
      </c>
      <c r="J1247" s="59" t="n">
        <f aca="false">J1232+J1241-J1242-J1243-J1244-J1245+J1246</f>
        <v>277.153544115134</v>
      </c>
      <c r="K1247" s="59" t="n">
        <f aca="false">K1232+K1241-K1242-K1243-K1244-K1245+K1246</f>
        <v>343.792863864372</v>
      </c>
      <c r="L1247" s="59" t="n">
        <f aca="false">L1232+L1241-L1242-L1243-L1244-L1245+L1246</f>
        <v>577.119549376399</v>
      </c>
    </row>
    <row r="1248" customFormat="false" ht="15" hidden="true" customHeight="false" outlineLevel="1" collapsed="false">
      <c r="A1248" s="9" t="s">
        <v>438</v>
      </c>
      <c r="B1248" s="58" t="n">
        <f aca="false">B1247*B1212</f>
        <v>-380.269619973356</v>
      </c>
      <c r="C1248" s="58" t="n">
        <f aca="false">C1247*C1212</f>
        <v>-66.6137088010382</v>
      </c>
      <c r="D1248" s="58" t="n">
        <f aca="false">D1247*D1212</f>
        <v>323.896524001227</v>
      </c>
      <c r="E1248" s="58" t="n">
        <f aca="false">E1247*E1212</f>
        <v>81.4730887270239</v>
      </c>
      <c r="F1248" s="58" t="n">
        <f aca="false">F1247*F1212</f>
        <v>160.790839976808</v>
      </c>
      <c r="G1248" s="58" t="n">
        <f aca="false">G1247*G1212</f>
        <v>151.611604933623</v>
      </c>
      <c r="H1248" s="58" t="n">
        <f aca="false">H1247*H1212</f>
        <v>156.990520030578</v>
      </c>
      <c r="I1248" s="58" t="n">
        <f aca="false">I1247*I1212</f>
        <v>276.941949472738</v>
      </c>
      <c r="J1248" s="58" t="n">
        <f aca="false">J1247*J1212</f>
        <v>407.879545879964</v>
      </c>
      <c r="K1248" s="58" t="n">
        <f aca="false">K1247*K1212</f>
        <v>526.188906380287</v>
      </c>
      <c r="L1248" s="58" t="n">
        <f aca="false">L1247*L1212</f>
        <v>918.63704548308</v>
      </c>
    </row>
    <row r="1249" customFormat="false" ht="15" hidden="true" customHeight="false" outlineLevel="1" collapsed="false">
      <c r="A1249" s="9" t="s">
        <v>439</v>
      </c>
      <c r="B1249" s="57" t="n">
        <f aca="false">(B1212/$B$1212)/(1+Quesería!$B$11+$AC$28)^B$47</f>
        <v>1</v>
      </c>
      <c r="C1249" s="57" t="n">
        <f aca="false">(C1212/$B$1212)/(1+Quesería!$B$11+$AC$28)^C$47</f>
        <v>0.84</v>
      </c>
      <c r="D1249" s="57" t="n">
        <f aca="false">(D1212/$B$1212)/(1+Quesería!$B$11+$AC$28)^D$47</f>
        <v>0.70224</v>
      </c>
      <c r="E1249" s="57" t="n">
        <f aca="false">(E1212/$B$1212)/(1+Quesería!$B$11+$AC$28)^E$47</f>
        <v>0.58426368</v>
      </c>
      <c r="F1249" s="57" t="n">
        <f aca="false">(F1212/$B$1212)/(1+Quesería!$B$11+$AC$28)^F$47</f>
        <v>0.48610738176</v>
      </c>
      <c r="G1249" s="57" t="n">
        <f aca="false">(G1212/$B$1212)/(1+Quesería!$B$11+$AC$28)^G$47</f>
        <v>0.40444134162432</v>
      </c>
      <c r="H1249" s="57" t="n">
        <f aca="false">(H1212/$B$1212)/(1+Quesería!$B$11+$AC$28)^H$47</f>
        <v>0.336495196231434</v>
      </c>
      <c r="I1249" s="57" t="n">
        <f aca="false">(I1212/$B$1212)/(1+Quesería!$B$11+$AC$28)^I$47</f>
        <v>0.279964003264553</v>
      </c>
      <c r="J1249" s="57" t="n">
        <f aca="false">(J1212/$B$1212)/(1+Quesería!$B$11+$AC$28)^J$47</f>
        <v>0.232930050716108</v>
      </c>
      <c r="K1249" s="57" t="n">
        <f aca="false">(K1212/$B$1212)/(1+Quesería!$B$11+$AC$28)^K$47</f>
        <v>0.193797802195802</v>
      </c>
      <c r="L1249" s="57" t="n">
        <f aca="false">(L1212/$B$1212)/(1+Quesería!$B$11+$AC$28)^L$47</f>
        <v>0.161239771426907</v>
      </c>
    </row>
    <row r="1250" customFormat="false" ht="15" hidden="true" customHeight="false" outlineLevel="1" collapsed="false">
      <c r="A1250" s="9" t="s">
        <v>440</v>
      </c>
      <c r="B1250" s="58" t="n">
        <f aca="false">B1232+B1215+B1217+B1246</f>
        <v>120.166830858099</v>
      </c>
      <c r="C1250" s="58" t="n">
        <f aca="false">C1232+C1215+C1217+C1246</f>
        <v>431.293250100682</v>
      </c>
      <c r="D1250" s="58" t="n">
        <f aca="false">D1232+D1215+D1217+D1246</f>
        <v>515.591891670558</v>
      </c>
      <c r="E1250" s="58" t="n">
        <f aca="false">E1232+E1215+E1217+E1246</f>
        <v>358.744731856622</v>
      </c>
      <c r="F1250" s="58" t="n">
        <f aca="false">F1232+F1215+F1217+F1246</f>
        <v>385.678449123074</v>
      </c>
      <c r="G1250" s="58" t="n">
        <f aca="false">G1232+G1215+G1217+G1246</f>
        <v>347.585957236646</v>
      </c>
      <c r="H1250" s="58" t="n">
        <f aca="false">H1232+H1215+H1217+H1246</f>
        <v>321.331146758048</v>
      </c>
      <c r="I1250" s="58" t="n">
        <f aca="false">I1232+I1215+I1217+I1246</f>
        <v>365.422495960388</v>
      </c>
      <c r="J1250" s="58" t="n">
        <f aca="false">J1232+J1215+J1217+J1246</f>
        <v>348.340924307152</v>
      </c>
      <c r="K1250" s="58" t="n">
        <f aca="false">K1232+K1215+K1217+K1246</f>
        <v>343.792863864372</v>
      </c>
      <c r="L1250" s="58" t="n">
        <f aca="false">L1232+L1215+L1217+L1246</f>
        <v>577.119549376399</v>
      </c>
    </row>
    <row r="1251" customFormat="false" ht="15" hidden="true" customHeight="false" outlineLevel="1" collapsed="false">
      <c r="A1251" s="5" t="s">
        <v>149</v>
      </c>
      <c r="B1251" s="12" t="str">
        <f aca="false">IF(AND(B$47&gt;=1,(B1242+B1243+B1244)&gt;0.001),B1250/(B1242+B1243+B1244),"")</f>
        <v/>
      </c>
      <c r="C1251" s="12" t="n">
        <f aca="false">IF(AND(C$47&gt;=1,(C1242+C1243+C1244)&gt;0.001),C1250/(C1242+C1243+C1244),"")</f>
        <v>5.3085144611143</v>
      </c>
      <c r="D1251" s="12" t="n">
        <f aca="false">IF(AND(D$47&gt;=1,(D1242+D1243+D1244)&gt;0.001),D1250/(D1242+D1243+D1244),"")</f>
        <v>2.18316933241866</v>
      </c>
      <c r="E1251" s="12" t="n">
        <f aca="false">IF(AND(E$47&gt;=1,(E1242+E1243+E1244)&gt;0.001),E1250/(E1242+E1243+E1244),"")</f>
        <v>1.23607520955905</v>
      </c>
      <c r="F1251" s="12" t="n">
        <f aca="false">IF(AND(F$47&gt;=1,(F1242+F1243+F1244)&gt;0.001),F1250/(F1242+F1243+F1244),"")</f>
        <v>1.50165430270046</v>
      </c>
      <c r="G1251" s="12" t="n">
        <f aca="false">IF(AND(G$47&gt;=1,(G1242+G1243+G1244)&gt;0.001),G1250/(G1242+G1243+G1244),"")</f>
        <v>1.54084147198024</v>
      </c>
      <c r="H1251" s="12" t="n">
        <f aca="false">IF(AND(H$47&gt;=1,(H1242+H1243+H1244)&gt;0.001),H1250/(H1242+H1243+H1244),"")</f>
        <v>1.63650303179101</v>
      </c>
      <c r="I1251" s="12" t="n">
        <f aca="false">IF(AND(I$47&gt;=1,(I1242+I1243+I1244)&gt;0.001),I1250/(I1242+I1243+I1244),"")</f>
        <v>2.16178439434702</v>
      </c>
      <c r="J1251" s="12" t="n">
        <f aca="false">IF(AND(J$47&gt;=1,(J1242+J1243+J1244)&gt;0.001),J1250/(J1242+J1243+J1244),"")</f>
        <v>4.91286920604498</v>
      </c>
      <c r="K1251" s="12" t="str">
        <f aca="false">IF(AND(K$47&gt;=1,(K1242+K1243+K1244)&gt;0.001),K1250/(K1242+K1243+K1244),"")</f>
        <v/>
      </c>
      <c r="L1251" s="12" t="str">
        <f aca="false">IF(AND(L$47&gt;=1,(L1242+L1243+L1244)&gt;0.001),L1250/(L1242+L1243+L1244),"")</f>
        <v/>
      </c>
    </row>
    <row r="1253" customFormat="false" ht="15" hidden="false" customHeight="false" outlineLevel="0" collapsed="false">
      <c r="A1253" s="43" t="s">
        <v>1263</v>
      </c>
      <c r="B1253" s="44"/>
      <c r="C1253" s="44"/>
      <c r="D1253" s="44"/>
      <c r="E1253" s="44"/>
      <c r="F1253" s="44"/>
      <c r="G1253" s="44"/>
      <c r="H1253" s="44"/>
      <c r="I1253" s="44"/>
      <c r="J1253" s="44"/>
      <c r="K1253" s="44"/>
      <c r="L1253" s="44"/>
    </row>
    <row r="1254" customFormat="false" ht="15" hidden="true" customHeight="false" outlineLevel="1" collapsed="false">
      <c r="A1254" s="9" t="s">
        <v>406</v>
      </c>
      <c r="B1254" s="56" t="n">
        <f aca="false">CHOOSE($AD$15,Entorno!B$7,Entorno!B$8,Entorno!B$9)</f>
        <v>0.06</v>
      </c>
      <c r="C1254" s="56" t="n">
        <f aca="false">CHOOSE($AD$15,Entorno!C$7,Entorno!C$8,Entorno!C$9)</f>
        <v>0.05</v>
      </c>
      <c r="D1254" s="56" t="n">
        <f aca="false">CHOOSE($AD$15,Entorno!D$7,Entorno!D$8,Entorno!D$9)</f>
        <v>0.045</v>
      </c>
      <c r="E1254" s="56" t="n">
        <f aca="false">CHOOSE($AD$15,Entorno!E$7,Entorno!E$8,Entorno!E$9)</f>
        <v>0.04</v>
      </c>
      <c r="F1254" s="56" t="n">
        <f aca="false">CHOOSE($AD$15,Entorno!F$7,Entorno!F$8,Entorno!F$9)</f>
        <v>0.04</v>
      </c>
      <c r="G1254" s="56" t="n">
        <f aca="false">CHOOSE($AD$15,Entorno!G$7,Entorno!G$8,Entorno!G$9)</f>
        <v>0.04</v>
      </c>
      <c r="H1254" s="56" t="n">
        <f aca="false">CHOOSE($AD$15,Entorno!H$7,Entorno!H$8,Entorno!H$9)</f>
        <v>0.04</v>
      </c>
      <c r="I1254" s="56" t="n">
        <f aca="false">CHOOSE($AD$15,Entorno!I$7,Entorno!I$8,Entorno!I$9)</f>
        <v>0.04</v>
      </c>
      <c r="J1254" s="56" t="n">
        <f aca="false">CHOOSE($AD$15,Entorno!J$7,Entorno!J$8,Entorno!J$9)</f>
        <v>0.04</v>
      </c>
      <c r="K1254" s="56" t="n">
        <f aca="false">CHOOSE($AD$15,Entorno!K$7,Entorno!K$8,Entorno!K$9)</f>
        <v>0.04</v>
      </c>
      <c r="L1254" s="56" t="n">
        <f aca="false">CHOOSE($AD$15,Entorno!L$7,Entorno!L$8,Entorno!L$9)</f>
        <v>0.04</v>
      </c>
    </row>
    <row r="1255" customFormat="false" ht="15" hidden="true" customHeight="false" outlineLevel="1" collapsed="false">
      <c r="A1255" s="9" t="s">
        <v>407</v>
      </c>
      <c r="B1255" s="57" t="n">
        <f aca="false">1+B1254</f>
        <v>1.06</v>
      </c>
      <c r="C1255" s="57" t="n">
        <f aca="false">B1255*(1+C1254)</f>
        <v>1.113</v>
      </c>
      <c r="D1255" s="57" t="n">
        <f aca="false">C1255*(1+D1254)</f>
        <v>1.163085</v>
      </c>
      <c r="E1255" s="57" t="n">
        <f aca="false">D1255*(1+E1254)</f>
        <v>1.2096084</v>
      </c>
      <c r="F1255" s="57" t="n">
        <f aca="false">E1255*(1+F1254)</f>
        <v>1.257992736</v>
      </c>
      <c r="G1255" s="57" t="n">
        <f aca="false">F1255*(1+G1254)</f>
        <v>1.30831244544</v>
      </c>
      <c r="H1255" s="57" t="n">
        <f aca="false">G1255*(1+H1254)</f>
        <v>1.3606449432576</v>
      </c>
      <c r="I1255" s="57" t="n">
        <f aca="false">H1255*(1+I1254)</f>
        <v>1.4150707409879</v>
      </c>
      <c r="J1255" s="57" t="n">
        <f aca="false">I1255*(1+J1254)</f>
        <v>1.47167357062742</v>
      </c>
      <c r="K1255" s="57" t="n">
        <f aca="false">J1255*(1+K1254)</f>
        <v>1.53054051345252</v>
      </c>
      <c r="L1255" s="57" t="n">
        <f aca="false">K1255*(1+L1254)</f>
        <v>1.59176213399062</v>
      </c>
    </row>
    <row r="1256" customFormat="false" ht="15" hidden="true" customHeight="false" outlineLevel="1" collapsed="false">
      <c r="A1256" s="9" t="s">
        <v>408</v>
      </c>
      <c r="B1256" s="57" t="n">
        <f aca="false">(1+$AD$16)/(1+B1254)</f>
        <v>1.02358490566038</v>
      </c>
      <c r="C1256" s="57" t="n">
        <f aca="false">B1256*(1+Entorno!$B$13)</f>
        <v>1.02870283018868</v>
      </c>
      <c r="D1256" s="57" t="n">
        <f aca="false">C1256*(1+Entorno!$B$13)</f>
        <v>1.03384634433962</v>
      </c>
      <c r="E1256" s="57" t="n">
        <f aca="false">D1256*(1+Entorno!$B$13)</f>
        <v>1.03901557606132</v>
      </c>
      <c r="F1256" s="57" t="n">
        <f aca="false">E1256*(1+Entorno!$B$13)</f>
        <v>1.04421065394163</v>
      </c>
      <c r="G1256" s="57" t="n">
        <f aca="false">F1256*(1+Entorno!$B$13)</f>
        <v>1.04943170721133</v>
      </c>
      <c r="H1256" s="57" t="n">
        <f aca="false">G1256*(1+Entorno!$B$13)</f>
        <v>1.05467886574739</v>
      </c>
      <c r="I1256" s="57" t="n">
        <f aca="false">H1256*(1+Entorno!$B$13)</f>
        <v>1.05995226007613</v>
      </c>
      <c r="J1256" s="57" t="n">
        <f aca="false">I1256*(1+Entorno!$B$13)</f>
        <v>1.06525202137651</v>
      </c>
      <c r="K1256" s="57" t="n">
        <f aca="false">J1256*(1+Entorno!$B$13)</f>
        <v>1.07057828148339</v>
      </c>
      <c r="L1256" s="57" t="n">
        <f aca="false">K1256*(1+Entorno!$B$13)</f>
        <v>1.07593117289081</v>
      </c>
    </row>
    <row r="1257" customFormat="false" ht="15" hidden="true" customHeight="false" outlineLevel="1" collapsed="false">
      <c r="A1257" s="9" t="s">
        <v>409</v>
      </c>
      <c r="B1257" s="57" t="n">
        <f aca="false">1/B1255</f>
        <v>0.943396226415094</v>
      </c>
      <c r="C1257" s="57" t="n">
        <f aca="false">1/C1255</f>
        <v>0.898472596585804</v>
      </c>
      <c r="D1257" s="57" t="n">
        <f aca="false">1/D1255</f>
        <v>0.859782389077324</v>
      </c>
      <c r="E1257" s="57" t="n">
        <f aca="false">1/E1255</f>
        <v>0.826713835651273</v>
      </c>
      <c r="F1257" s="57" t="n">
        <f aca="false">1/F1255</f>
        <v>0.794917149664686</v>
      </c>
      <c r="G1257" s="57" t="n">
        <f aca="false">1/G1255</f>
        <v>0.764343413139121</v>
      </c>
      <c r="H1257" s="57" t="n">
        <f aca="false">1/H1255</f>
        <v>0.734945589556847</v>
      </c>
      <c r="I1257" s="57" t="n">
        <f aca="false">1/I1255</f>
        <v>0.706678451496968</v>
      </c>
      <c r="J1257" s="57" t="n">
        <f aca="false">1/J1255</f>
        <v>0.679498511054777</v>
      </c>
      <c r="K1257" s="57" t="n">
        <f aca="false">1/K1255</f>
        <v>0.653363952937286</v>
      </c>
      <c r="L1257" s="57" t="n">
        <f aca="false">1/L1255</f>
        <v>0.628234570132006</v>
      </c>
    </row>
    <row r="1258" customFormat="false" ht="15" hidden="true" customHeight="false" outlineLevel="1" collapsed="false">
      <c r="A1258" s="6" t="s">
        <v>323</v>
      </c>
      <c r="B1258" s="29" t="n">
        <f aca="false">IF(B$47=0,Quesería!$F$92,IF(B$47=1,(Quesería!$F$93-(-$AD$26)*Quesería!$D$86*(1+Quesería!$I$86))*$AD$21,0))*$AD$11</f>
        <v>930.800239431677</v>
      </c>
      <c r="C1258" s="29" t="n">
        <f aca="false">IF(C$47=0,Quesería!$F$92,IF(C$47=1,(Quesería!$F$93-(-$AD$26)*Quesería!$D$86*(1+Quesería!$I$86))*$AD$21,0))*$AD$11</f>
        <v>758.469066674498</v>
      </c>
      <c r="D1258" s="29" t="n">
        <f aca="false">IF(D$47=0,Quesería!$F$92,IF(D$47=1,(Quesería!$F$93-(-$AD$26)*Quesería!$D$86*(1+Quesería!$I$86))*$AD$21,0))*$AD$11</f>
        <v>0</v>
      </c>
      <c r="E1258" s="29" t="n">
        <f aca="false">IF(E$47=0,Quesería!$F$92,IF(E$47=1,(Quesería!$F$93-(-$AD$26)*Quesería!$D$86*(1+Quesería!$I$86))*$AD$21,0))*$AD$11</f>
        <v>0</v>
      </c>
      <c r="F1258" s="29" t="n">
        <f aca="false">IF(F$47=0,Quesería!$F$92,IF(F$47=1,(Quesería!$F$93-(-$AD$26)*Quesería!$D$86*(1+Quesería!$I$86))*$AD$21,0))*$AD$11</f>
        <v>0</v>
      </c>
      <c r="G1258" s="29" t="n">
        <f aca="false">IF(G$47=0,Quesería!$F$92,IF(G$47=1,(Quesería!$F$93-(-$AD$26)*Quesería!$D$86*(1+Quesería!$I$86))*$AD$21,0))*$AD$11</f>
        <v>0</v>
      </c>
      <c r="H1258" s="29" t="n">
        <f aca="false">IF(H$47=0,Quesería!$F$92,IF(H$47=1,(Quesería!$F$93-(-$AD$26)*Quesería!$D$86*(1+Quesería!$I$86))*$AD$21,0))*$AD$11</f>
        <v>0</v>
      </c>
      <c r="I1258" s="29" t="n">
        <f aca="false">IF(I$47=0,Quesería!$F$92,IF(I$47=1,(Quesería!$F$93-(-$AD$26)*Quesería!$D$86*(1+Quesería!$I$86))*$AD$21,0))*$AD$11</f>
        <v>0</v>
      </c>
      <c r="J1258" s="29" t="n">
        <f aca="false">IF(J$47=0,Quesería!$F$92,IF(J$47=1,(Quesería!$F$93-(-$AD$26)*Quesería!$D$86*(1+Quesería!$I$86))*$AD$21,0))*$AD$11</f>
        <v>0</v>
      </c>
      <c r="K1258" s="29" t="n">
        <f aca="false">IF(K$47=0,Quesería!$F$92,IF(K$47=1,(Quesería!$F$93-(-$AD$26)*Quesería!$D$86*(1+Quesería!$I$86))*$AD$21,0))*$AD$11</f>
        <v>0</v>
      </c>
      <c r="L1258" s="29" t="n">
        <f aca="false">IF(L$47=0,Quesería!$F$92,IF(L$47=1,(Quesería!$F$93-(-$AD$26)*Quesería!$D$86*(1+Quesería!$I$86))*$AD$21,0))*$AD$11</f>
        <v>0</v>
      </c>
    </row>
    <row r="1259" customFormat="false" ht="15" hidden="true" customHeight="false" outlineLevel="1" collapsed="false">
      <c r="A1259" s="6" t="s">
        <v>410</v>
      </c>
      <c r="B1259" s="29" t="n">
        <f aca="false">IF(B$47=5,Quesería!$F$99,IF(B$47=6,Quesería!$F$100,0))*$AD$11</f>
        <v>0</v>
      </c>
      <c r="C1259" s="29" t="n">
        <f aca="false">IF(C$47=5,Quesería!$F$99,IF(C$47=6,Quesería!$F$100,0))*$AD$11</f>
        <v>0</v>
      </c>
      <c r="D1259" s="29" t="n">
        <f aca="false">IF(D$47=5,Quesería!$F$99,IF(D$47=6,Quesería!$F$100,0))*$AD$11</f>
        <v>0</v>
      </c>
      <c r="E1259" s="29" t="n">
        <f aca="false">IF(E$47=5,Quesería!$F$99,IF(E$47=6,Quesería!$F$100,0))*$AD$11</f>
        <v>0</v>
      </c>
      <c r="F1259" s="29" t="n">
        <f aca="false">IF(F$47=5,Quesería!$F$99,IF(F$47=6,Quesería!$F$100,0))*$AD$11</f>
        <v>0</v>
      </c>
      <c r="G1259" s="29" t="n">
        <f aca="false">IF(G$47=5,Quesería!$F$99,IF(G$47=6,Quesería!$F$100,0))*$AD$11</f>
        <v>27.4652172688735</v>
      </c>
      <c r="H1259" s="29" t="n">
        <f aca="false">IF(H$47=5,Quesería!$F$99,IF(H$47=6,Quesería!$F$100,0))*$AD$11</f>
        <v>46.3891557109552</v>
      </c>
      <c r="I1259" s="29" t="n">
        <f aca="false">IF(I$47=5,Quesería!$F$99,IF(I$47=6,Quesería!$F$100,0))*$AD$11</f>
        <v>0</v>
      </c>
      <c r="J1259" s="29" t="n">
        <f aca="false">IF(J$47=5,Quesería!$F$99,IF(J$47=6,Quesería!$F$100,0))*$AD$11</f>
        <v>0</v>
      </c>
      <c r="K1259" s="29" t="n">
        <f aca="false">IF(K$47=5,Quesería!$F$99,IF(K$47=6,Quesería!$F$100,0))*$AD$11</f>
        <v>0</v>
      </c>
      <c r="L1259" s="29" t="n">
        <f aca="false">IF(L$47=5,Quesería!$F$99,IF(L$47=6,Quesería!$F$100,0))*$AD$11</f>
        <v>0</v>
      </c>
    </row>
    <row r="1260" customFormat="false" ht="15" hidden="true" customHeight="false" outlineLevel="1" collapsed="false">
      <c r="A1260" s="6" t="s">
        <v>411</v>
      </c>
      <c r="B1260" s="29" t="n">
        <f aca="false">Quesería!$B$55*(IF(B$47=0,SUMPRODUCT((Quesería!$C$70:$C$89=0)*(Quesería!$H$70:$H$89&gt;0)*(Quesería!$J$70:$J$89&gt;0)*Quesería!$F$70:$F$89*(1+Quesería!$I$70:$I$89)),IF(B$47=1,(SUMPRODUCT((Quesería!$C$70:$C$89=1)*(Quesería!$H$70:$H$89&gt;0)*(Quesería!$J$70:$J$89&gt;0)*Quesería!$F$70:$F$89*(1+Quesería!$I$70:$I$89))-(-$AD$26)*Quesería!$D$86*(1+Quesería!$I$86))*$AD$21,0))*$AD$11+B1259)</f>
        <v>149.115671560178</v>
      </c>
      <c r="C1260" s="29" t="n">
        <f aca="false">Quesería!$B$55*(IF(C$47=0,SUMPRODUCT((Quesería!$C$70:$C$89=0)*(Quesería!$H$70:$H$89&gt;0)*(Quesería!$J$70:$J$89&gt;0)*Quesería!$F$70:$F$89*(1+Quesería!$I$70:$I$89)),IF(C$47=1,(SUMPRODUCT((Quesería!$C$70:$C$89=1)*(Quesería!$H$70:$H$89&gt;0)*(Quesería!$J$70:$J$89&gt;0)*Quesería!$F$70:$F$89*(1+Quesería!$I$70:$I$89))-(-$AD$26)*Quesería!$D$86*(1+Quesería!$I$86))*$AD$21,0))*$AD$11+C1259)</f>
        <v>144.109122668155</v>
      </c>
      <c r="D1260" s="29" t="n">
        <f aca="false">Quesería!$B$55*(IF(D$47=0,SUMPRODUCT((Quesería!$C$70:$C$89=0)*(Quesería!$H$70:$H$89&gt;0)*(Quesería!$J$70:$J$89&gt;0)*Quesería!$F$70:$F$89*(1+Quesería!$I$70:$I$89)),IF(D$47=1,(SUMPRODUCT((Quesería!$C$70:$C$89=1)*(Quesería!$H$70:$H$89&gt;0)*(Quesería!$J$70:$J$89&gt;0)*Quesería!$F$70:$F$89*(1+Quesería!$I$70:$I$89))-(-$AD$26)*Quesería!$D$86*(1+Quesería!$I$86))*$AD$21,0))*$AD$11+D1259)</f>
        <v>0</v>
      </c>
      <c r="E1260" s="29" t="n">
        <f aca="false">Quesería!$B$55*(IF(E$47=0,SUMPRODUCT((Quesería!$C$70:$C$89=0)*(Quesería!$H$70:$H$89&gt;0)*(Quesería!$J$70:$J$89&gt;0)*Quesería!$F$70:$F$89*(1+Quesería!$I$70:$I$89)),IF(E$47=1,(SUMPRODUCT((Quesería!$C$70:$C$89=1)*(Quesería!$H$70:$H$89&gt;0)*(Quesería!$J$70:$J$89&gt;0)*Quesería!$F$70:$F$89*(1+Quesería!$I$70:$I$89))-(-$AD$26)*Quesería!$D$86*(1+Quesería!$I$86))*$AD$21,0))*$AD$11+E1259)</f>
        <v>0</v>
      </c>
      <c r="F1260" s="29" t="n">
        <f aca="false">Quesería!$B$55*(IF(F$47=0,SUMPRODUCT((Quesería!$C$70:$C$89=0)*(Quesería!$H$70:$H$89&gt;0)*(Quesería!$J$70:$J$89&gt;0)*Quesería!$F$70:$F$89*(1+Quesería!$I$70:$I$89)),IF(F$47=1,(SUMPRODUCT((Quesería!$C$70:$C$89=1)*(Quesería!$H$70:$H$89&gt;0)*(Quesería!$J$70:$J$89&gt;0)*Quesería!$F$70:$F$89*(1+Quesería!$I$70:$I$89))-(-$AD$26)*Quesería!$D$86*(1+Quesería!$I$86))*$AD$21,0))*$AD$11+F1259)</f>
        <v>0</v>
      </c>
      <c r="G1260" s="29" t="n">
        <f aca="false">Quesería!$B$55*(IF(G$47=0,SUMPRODUCT((Quesería!$C$70:$C$89=0)*(Quesería!$H$70:$H$89&gt;0)*(Quesería!$J$70:$J$89&gt;0)*Quesería!$F$70:$F$89*(1+Quesería!$I$70:$I$89)),IF(G$47=1,(SUMPRODUCT((Quesería!$C$70:$C$89=1)*(Quesería!$H$70:$H$89&gt;0)*(Quesería!$J$70:$J$89&gt;0)*Quesería!$F$70:$F$89*(1+Quesería!$I$70:$I$89))-(-$AD$26)*Quesería!$D$86*(1+Quesería!$I$86))*$AD$21,0))*$AD$11+G1259)</f>
        <v>5.21839128108597</v>
      </c>
      <c r="H1260" s="29" t="n">
        <f aca="false">Quesería!$B$55*(IF(H$47=0,SUMPRODUCT((Quesería!$C$70:$C$89=0)*(Quesería!$H$70:$H$89&gt;0)*(Quesería!$J$70:$J$89&gt;0)*Quesería!$F$70:$F$89*(1+Quesería!$I$70:$I$89)),IF(H$47=1,(SUMPRODUCT((Quesería!$C$70:$C$89=1)*(Quesería!$H$70:$H$89&gt;0)*(Quesería!$J$70:$J$89&gt;0)*Quesería!$F$70:$F$89*(1+Quesería!$I$70:$I$89))-(-$AD$26)*Quesería!$D$86*(1+Quesería!$I$86))*$AD$21,0))*$AD$11+H1259)</f>
        <v>8.8139395850815</v>
      </c>
      <c r="I1260" s="29" t="n">
        <f aca="false">Quesería!$B$55*(IF(I$47=0,SUMPRODUCT((Quesería!$C$70:$C$89=0)*(Quesería!$H$70:$H$89&gt;0)*(Quesería!$J$70:$J$89&gt;0)*Quesería!$F$70:$F$89*(1+Quesería!$I$70:$I$89)),IF(I$47=1,(SUMPRODUCT((Quesería!$C$70:$C$89=1)*(Quesería!$H$70:$H$89&gt;0)*(Quesería!$J$70:$J$89&gt;0)*Quesería!$F$70:$F$89*(1+Quesería!$I$70:$I$89))-(-$AD$26)*Quesería!$D$86*(1+Quesería!$I$86))*$AD$21,0))*$AD$11+I1259)</f>
        <v>0</v>
      </c>
      <c r="J1260" s="29" t="n">
        <f aca="false">Quesería!$B$55*(IF(J$47=0,SUMPRODUCT((Quesería!$C$70:$C$89=0)*(Quesería!$H$70:$H$89&gt;0)*(Quesería!$J$70:$J$89&gt;0)*Quesería!$F$70:$F$89*(1+Quesería!$I$70:$I$89)),IF(J$47=1,(SUMPRODUCT((Quesería!$C$70:$C$89=1)*(Quesería!$H$70:$H$89&gt;0)*(Quesería!$J$70:$J$89&gt;0)*Quesería!$F$70:$F$89*(1+Quesería!$I$70:$I$89))-(-$AD$26)*Quesería!$D$86*(1+Quesería!$I$86))*$AD$21,0))*$AD$11+J1259)</f>
        <v>0</v>
      </c>
      <c r="K1260" s="29" t="n">
        <f aca="false">Quesería!$B$55*(IF(K$47=0,SUMPRODUCT((Quesería!$C$70:$C$89=0)*(Quesería!$H$70:$H$89&gt;0)*(Quesería!$J$70:$J$89&gt;0)*Quesería!$F$70:$F$89*(1+Quesería!$I$70:$I$89)),IF(K$47=1,(SUMPRODUCT((Quesería!$C$70:$C$89=1)*(Quesería!$H$70:$H$89&gt;0)*(Quesería!$J$70:$J$89&gt;0)*Quesería!$F$70:$F$89*(1+Quesería!$I$70:$I$89))-(-$AD$26)*Quesería!$D$86*(1+Quesería!$I$86))*$AD$21,0))*$AD$11+K1259)</f>
        <v>0</v>
      </c>
      <c r="L1260" s="29" t="n">
        <f aca="false">Quesería!$B$55*(IF(L$47=0,SUMPRODUCT((Quesería!$C$70:$C$89=0)*(Quesería!$H$70:$H$89&gt;0)*(Quesería!$J$70:$J$89&gt;0)*Quesería!$F$70:$F$89*(1+Quesería!$I$70:$I$89)),IF(L$47=1,(SUMPRODUCT((Quesería!$C$70:$C$89=1)*(Quesería!$H$70:$H$89&gt;0)*(Quesería!$J$70:$J$89&gt;0)*Quesería!$F$70:$F$89*(1+Quesería!$I$70:$I$89))-(-$AD$26)*Quesería!$D$86*(1+Quesería!$I$86))*$AD$21,0))*$AD$11+L1259)</f>
        <v>0</v>
      </c>
    </row>
    <row r="1261" customFormat="false" ht="15" hidden="true" customHeight="false" outlineLevel="1" collapsed="false">
      <c r="A1261" s="6" t="s">
        <v>386</v>
      </c>
      <c r="B1261" s="29" t="n">
        <f aca="false">IF(B$47=0,($AD$22*Quesería!$J$126+(1-$AD$22)*Quesería!$E$122)*Quesería!$B$20*Quesería!$B$21/12*$AD$23,(($AD$22*Quesería!$J$126+(1-$AD$22)*Quesería!$E$122)+($AD$22*Quesería!$J$104+(1-$AD$22)*Quesería!$E$104)*(B1256-1))*IF(B$47=1,Quesería!$B$20,1))*$AD$10</f>
        <v>120.716772261203</v>
      </c>
      <c r="C1261" s="29" t="n">
        <f aca="false">IF(C$47=0,($AD$22*Quesería!$J$126+(1-$AD$22)*Quesería!$E$122)*Quesería!$B$20*Quesería!$B$21/12*$AD$23,(($AD$22*Quesería!$J$126+(1-$AD$22)*Quesería!$E$122)+($AD$22*Quesería!$J$104+(1-$AD$22)*Quesería!$E$104)*(C1256-1))*IF(C$47=1,Quesería!$B$20,1))*$AD$10</f>
        <v>181.328317354069</v>
      </c>
      <c r="D1261" s="29" t="n">
        <f aca="false">IF(D$47=0,($AD$22*Quesería!$J$126+(1-$AD$22)*Quesería!$E$122)*Quesería!$B$20*Quesería!$B$21/12*$AD$23,(($AD$22*Quesería!$J$126+(1-$AD$22)*Quesería!$E$122)+($AD$22*Quesería!$J$104+(1-$AD$22)*Quesería!$E$104)*(D1256-1))*IF(D$47=1,Quesería!$B$20,1))*$AD$10</f>
        <v>241.83157753184</v>
      </c>
      <c r="E1261" s="29" t="n">
        <f aca="false">IF(E$47=0,($AD$22*Quesería!$J$126+(1-$AD$22)*Quesería!$E$122)*Quesería!$B$20*Quesería!$B$21/12*$AD$23,(($AD$22*Quesería!$J$126+(1-$AD$22)*Quesería!$E$122)+($AD$22*Quesería!$J$104+(1-$AD$22)*Quesería!$E$104)*(E1256-1))*IF(E$47=1,Quesería!$B$20,1))*$AD$10</f>
        <v>241.892367696887</v>
      </c>
      <c r="F1261" s="29" t="n">
        <f aca="false">IF(F$47=0,($AD$22*Quesería!$J$126+(1-$AD$22)*Quesería!$E$122)*Quesería!$B$20*Quesería!$B$21/12*$AD$23,(($AD$22*Quesería!$J$126+(1-$AD$22)*Quesería!$E$122)+($AD$22*Quesería!$J$104+(1-$AD$22)*Quesería!$E$104)*(F1256-1))*IF(F$47=1,Quesería!$B$20,1))*$AD$10</f>
        <v>241.95346181276</v>
      </c>
      <c r="G1261" s="29" t="n">
        <f aca="false">IF(G$47=0,($AD$22*Quesería!$J$126+(1-$AD$22)*Quesería!$E$122)*Quesería!$B$20*Quesería!$B$21/12*$AD$23,(($AD$22*Quesería!$J$126+(1-$AD$22)*Quesería!$E$122)+($AD$22*Quesería!$J$104+(1-$AD$22)*Quesería!$E$104)*(G1256-1))*IF(G$47=1,Quesería!$B$20,1))*$AD$10</f>
        <v>242.014861399211</v>
      </c>
      <c r="H1261" s="29" t="n">
        <f aca="false">IF(H$47=0,($AD$22*Quesería!$J$126+(1-$AD$22)*Quesería!$E$122)*Quesería!$B$20*Quesería!$B$21/12*$AD$23,(($AD$22*Quesería!$J$126+(1-$AD$22)*Quesería!$E$122)+($AD$22*Quesería!$J$104+(1-$AD$22)*Quesería!$E$104)*(H1256-1))*IF(H$47=1,Quesería!$B$20,1))*$AD$10</f>
        <v>242.076567983595</v>
      </c>
      <c r="I1261" s="29" t="n">
        <f aca="false">IF(I$47=0,($AD$22*Quesería!$J$126+(1-$AD$22)*Quesería!$E$122)*Quesería!$B$20*Quesería!$B$21/12*$AD$23,(($AD$22*Quesería!$J$126+(1-$AD$22)*Quesería!$E$122)+($AD$22*Quesería!$J$104+(1-$AD$22)*Quesería!$E$104)*(I1256-1))*IF(I$47=1,Quesería!$B$20,1))*$AD$10</f>
        <v>242.138583100901</v>
      </c>
      <c r="J1261" s="29" t="n">
        <f aca="false">IF(J$47=0,($AD$22*Quesería!$J$126+(1-$AD$22)*Quesería!$E$122)*Quesería!$B$20*Quesería!$B$21/12*$AD$23,(($AD$22*Quesería!$J$126+(1-$AD$22)*Quesería!$E$122)+($AD$22*Quesería!$J$104+(1-$AD$22)*Quesería!$E$104)*(J1256-1))*IF(J$47=1,Quesería!$B$20,1))*$AD$10</f>
        <v>242.200908293794</v>
      </c>
      <c r="K1261" s="29" t="n">
        <f aca="false">IF(K$47=0,($AD$22*Quesería!$J$126+(1-$AD$22)*Quesería!$E$122)*Quesería!$B$20*Quesería!$B$21/12*$AD$23,(($AD$22*Quesería!$J$126+(1-$AD$22)*Quesería!$E$122)+($AD$22*Quesería!$J$104+(1-$AD$22)*Quesería!$E$104)*(K1256-1))*IF(K$47=1,Quesería!$B$20,1))*$AD$10</f>
        <v>242.263545112651</v>
      </c>
      <c r="L1261" s="29" t="n">
        <f aca="false">IF(L$47=0,($AD$22*Quesería!$J$126+(1-$AD$22)*Quesería!$E$122)*Quesería!$B$20*Quesería!$B$21/12*$AD$23,(($AD$22*Quesería!$J$126+(1-$AD$22)*Quesería!$E$122)+($AD$22*Quesería!$J$104+(1-$AD$22)*Quesería!$E$104)*(L1256-1))*IF(L$47=1,Quesería!$B$20,1))*$AD$10</f>
        <v>242.326495115602</v>
      </c>
    </row>
    <row r="1262" customFormat="false" ht="15" hidden="true" customHeight="false" outlineLevel="1" collapsed="false">
      <c r="A1262" s="6" t="s">
        <v>387</v>
      </c>
      <c r="B1262" s="29" t="n">
        <f aca="false">IF(B$47&lt;=1,0,((($AD$22*Quesería!$J$127+(1-$AD$22)*Quesería!$E$123)-($AD$22*Quesería!$J$113+(1-$AD$22)*Quesería!$E$113)+$AD$6*($AD$22*Quesería!$J$113+(1-$AD$22)*Quesería!$E$113)-(1-$AD$9)*(($AD$22*Quesería!$J$119+(1-$AD$22)*Quesería!$E$119)+($AD$22*Quesería!$J$118+(1-$AD$22)*Quesería!$E$118))-(1-$AD$24)*($AD$22*Quesería!$J$117+(1-$AD$22)*Quesería!$E$117)+$AD$24*(1-$AD$25)*'Beneficios y costos'!$B$144-(-$AD$26*$AD$27)*'Beneficios y costos'!$C$167)+($AD$6*($AD$22*Quesería!$J$113+(1-$AD$22)*Quesería!$E$113)+$AD$9*($AD$22*Quesería!$J$119+(1-$AD$22)*Quesería!$E$119))*(B1256-1))*IF(B$47=2,Quesería!$B$20,1)+IF(B$47=2,Quesería!$B$24*$AD$9*($AD$22*Quesería!$J$119+(1-$AD$22)*Quesería!$E$119)*B1256,0))*$AD$10*$AD$21</f>
        <v>0</v>
      </c>
      <c r="C1262" s="29" t="n">
        <f aca="false">IF(C$47&lt;=1,0,((($AD$22*Quesería!$J$127+(1-$AD$22)*Quesería!$E$123)-($AD$22*Quesería!$J$113+(1-$AD$22)*Quesería!$E$113)+$AD$6*($AD$22*Quesería!$J$113+(1-$AD$22)*Quesería!$E$113)-(1-$AD$9)*(($AD$22*Quesería!$J$119+(1-$AD$22)*Quesería!$E$119)+($AD$22*Quesería!$J$118+(1-$AD$22)*Quesería!$E$118))-(1-$AD$24)*($AD$22*Quesería!$J$117+(1-$AD$22)*Quesería!$E$117)+$AD$24*(1-$AD$25)*'Beneficios y costos'!$B$144-(-$AD$26*$AD$27)*'Beneficios y costos'!$C$167)+($AD$6*($AD$22*Quesería!$J$113+(1-$AD$22)*Quesería!$E$113)+$AD$9*($AD$22*Quesería!$J$119+(1-$AD$22)*Quesería!$E$119))*(C1256-1))*IF(C$47=2,Quesería!$B$20,1)+IF(C$47=2,Quesería!$B$24*$AD$9*($AD$22*Quesería!$J$119+(1-$AD$22)*Quesería!$E$119)*C1256,0))*$AD$10*$AD$21</f>
        <v>0</v>
      </c>
      <c r="D1262" s="29" t="n">
        <f aca="false">IF(D$47&lt;=1,0,((($AD$22*Quesería!$J$127+(1-$AD$22)*Quesería!$E$123)-($AD$22*Quesería!$J$113+(1-$AD$22)*Quesería!$E$113)+$AD$6*($AD$22*Quesería!$J$113+(1-$AD$22)*Quesería!$E$113)-(1-$AD$9)*(($AD$22*Quesería!$J$119+(1-$AD$22)*Quesería!$E$119)+($AD$22*Quesería!$J$118+(1-$AD$22)*Quesería!$E$118))-(1-$AD$24)*($AD$22*Quesería!$J$117+(1-$AD$22)*Quesería!$E$117)+$AD$24*(1-$AD$25)*'Beneficios y costos'!$B$144-(-$AD$26*$AD$27)*'Beneficios y costos'!$C$167)+($AD$6*($AD$22*Quesería!$J$113+(1-$AD$22)*Quesería!$E$113)+$AD$9*($AD$22*Quesería!$J$119+(1-$AD$22)*Quesería!$E$119))*(D1256-1))*IF(D$47=2,Quesería!$B$20,1)+IF(D$47=2,Quesería!$B$24*$AD$9*($AD$22*Quesería!$J$119+(1-$AD$22)*Quesería!$E$119)*D1256,0))*$AD$10*$AD$21</f>
        <v>284.434609718611</v>
      </c>
      <c r="E1262" s="29" t="n">
        <f aca="false">IF(E$47&lt;=1,0,((($AD$22*Quesería!$J$127+(1-$AD$22)*Quesería!$E$123)-($AD$22*Quesería!$J$113+(1-$AD$22)*Quesería!$E$113)+$AD$6*($AD$22*Quesería!$J$113+(1-$AD$22)*Quesería!$E$113)-(1-$AD$9)*(($AD$22*Quesería!$J$119+(1-$AD$22)*Quesería!$E$119)+($AD$22*Quesería!$J$118+(1-$AD$22)*Quesería!$E$118))-(1-$AD$24)*($AD$22*Quesería!$J$117+(1-$AD$22)*Quesería!$E$117)+$AD$24*(1-$AD$25)*'Beneficios y costos'!$B$144-(-$AD$26*$AD$27)*'Beneficios y costos'!$C$167)+($AD$6*($AD$22*Quesería!$J$113+(1-$AD$22)*Quesería!$E$113)+$AD$9*($AD$22*Quesería!$J$119+(1-$AD$22)*Quesería!$E$119))*(E1256-1))*IF(E$47=2,Quesería!$B$20,1)+IF(E$47=2,Quesería!$B$24*$AD$9*($AD$22*Quesería!$J$119+(1-$AD$22)*Quesería!$E$119)*E1256,0))*$AD$10*$AD$21</f>
        <v>364.605641440019</v>
      </c>
      <c r="F1262" s="29" t="n">
        <f aca="false">IF(F$47&lt;=1,0,((($AD$22*Quesería!$J$127+(1-$AD$22)*Quesería!$E$123)-($AD$22*Quesería!$J$113+(1-$AD$22)*Quesería!$E$113)+$AD$6*($AD$22*Quesería!$J$113+(1-$AD$22)*Quesería!$E$113)-(1-$AD$9)*(($AD$22*Quesería!$J$119+(1-$AD$22)*Quesería!$E$119)+($AD$22*Quesería!$J$118+(1-$AD$22)*Quesería!$E$118))-(1-$AD$24)*($AD$22*Quesería!$J$117+(1-$AD$22)*Quesería!$E$117)+$AD$24*(1-$AD$25)*'Beneficios y costos'!$B$144-(-$AD$26*$AD$27)*'Beneficios y costos'!$C$167)+($AD$6*($AD$22*Quesería!$J$113+(1-$AD$22)*Quesería!$E$113)+$AD$9*($AD$22*Quesería!$J$119+(1-$AD$22)*Quesería!$E$119))*(F1256-1))*IF(F$47=2,Quesería!$B$20,1)+IF(F$47=2,Quesería!$B$24*$AD$9*($AD$22*Quesería!$J$119+(1-$AD$22)*Quesería!$E$119)*F1256,0))*$AD$10*$AD$21</f>
        <v>364.853758359583</v>
      </c>
      <c r="G1262" s="29" t="n">
        <f aca="false">IF(G$47&lt;=1,0,((($AD$22*Quesería!$J$127+(1-$AD$22)*Quesería!$E$123)-($AD$22*Quesería!$J$113+(1-$AD$22)*Quesería!$E$113)+$AD$6*($AD$22*Quesería!$J$113+(1-$AD$22)*Quesería!$E$113)-(1-$AD$9)*(($AD$22*Quesería!$J$119+(1-$AD$22)*Quesería!$E$119)+($AD$22*Quesería!$J$118+(1-$AD$22)*Quesería!$E$118))-(1-$AD$24)*($AD$22*Quesería!$J$117+(1-$AD$22)*Quesería!$E$117)+$AD$24*(1-$AD$25)*'Beneficios y costos'!$B$144-(-$AD$26*$AD$27)*'Beneficios y costos'!$C$167)+($AD$6*($AD$22*Quesería!$J$113+(1-$AD$22)*Quesería!$E$113)+$AD$9*($AD$22*Quesería!$J$119+(1-$AD$22)*Quesería!$E$119))*(G1256-1))*IF(G$47=2,Quesería!$B$20,1)+IF(G$47=2,Quesería!$B$24*$AD$9*($AD$22*Quesería!$J$119+(1-$AD$22)*Quesería!$E$119)*G1256,0))*$AD$10*$AD$21</f>
        <v>365.103115863744</v>
      </c>
      <c r="H1262" s="29" t="n">
        <f aca="false">IF(H$47&lt;=1,0,((($AD$22*Quesería!$J$127+(1-$AD$22)*Quesería!$E$123)-($AD$22*Quesería!$J$113+(1-$AD$22)*Quesería!$E$113)+$AD$6*($AD$22*Quesería!$J$113+(1-$AD$22)*Quesería!$E$113)-(1-$AD$9)*(($AD$22*Quesería!$J$119+(1-$AD$22)*Quesería!$E$119)+($AD$22*Quesería!$J$118+(1-$AD$22)*Quesería!$E$118))-(1-$AD$24)*($AD$22*Quesería!$J$117+(1-$AD$22)*Quesería!$E$117)+$AD$24*(1-$AD$25)*'Beneficios y costos'!$B$144-(-$AD$26*$AD$27)*'Beneficios y costos'!$C$167)+($AD$6*($AD$22*Quesería!$J$113+(1-$AD$22)*Quesería!$E$113)+$AD$9*($AD$22*Quesería!$J$119+(1-$AD$22)*Quesería!$E$119))*(H1256-1))*IF(H$47=2,Quesería!$B$20,1)+IF(H$47=2,Quesería!$B$24*$AD$9*($AD$22*Quesería!$J$119+(1-$AD$22)*Quesería!$E$119)*H1256,0))*$AD$10*$AD$21</f>
        <v>365.353720155426</v>
      </c>
      <c r="I1262" s="29" t="n">
        <f aca="false">IF(I$47&lt;=1,0,((($AD$22*Quesería!$J$127+(1-$AD$22)*Quesería!$E$123)-($AD$22*Quesería!$J$113+(1-$AD$22)*Quesería!$E$113)+$AD$6*($AD$22*Quesería!$J$113+(1-$AD$22)*Quesería!$E$113)-(1-$AD$9)*(($AD$22*Quesería!$J$119+(1-$AD$22)*Quesería!$E$119)+($AD$22*Quesería!$J$118+(1-$AD$22)*Quesería!$E$118))-(1-$AD$24)*($AD$22*Quesería!$J$117+(1-$AD$22)*Quesería!$E$117)+$AD$24*(1-$AD$25)*'Beneficios y costos'!$B$144-(-$AD$26*$AD$27)*'Beneficios y costos'!$C$167)+($AD$6*($AD$22*Quesería!$J$113+(1-$AD$22)*Quesería!$E$113)+$AD$9*($AD$22*Quesería!$J$119+(1-$AD$22)*Quesería!$E$119))*(I1256-1))*IF(I$47=2,Quesería!$B$20,1)+IF(I$47=2,Quesería!$B$24*$AD$9*($AD$22*Quesería!$J$119+(1-$AD$22)*Quesería!$E$119)*I1256,0))*$AD$10*$AD$21</f>
        <v>365.605577468567</v>
      </c>
      <c r="J1262" s="29" t="n">
        <f aca="false">IF(J$47&lt;=1,0,((($AD$22*Quesería!$J$127+(1-$AD$22)*Quesería!$E$123)-($AD$22*Quesería!$J$113+(1-$AD$22)*Quesería!$E$113)+$AD$6*($AD$22*Quesería!$J$113+(1-$AD$22)*Quesería!$E$113)-(1-$AD$9)*(($AD$22*Quesería!$J$119+(1-$AD$22)*Quesería!$E$119)+($AD$22*Quesería!$J$118+(1-$AD$22)*Quesería!$E$118))-(1-$AD$24)*($AD$22*Quesería!$J$117+(1-$AD$22)*Quesería!$E$117)+$AD$24*(1-$AD$25)*'Beneficios y costos'!$B$144-(-$AD$26*$AD$27)*'Beneficios y costos'!$C$167)+($AD$6*($AD$22*Quesería!$J$113+(1-$AD$22)*Quesería!$E$113)+$AD$9*($AD$22*Quesería!$J$119+(1-$AD$22)*Quesería!$E$119))*(J1256-1))*IF(J$47=2,Quesería!$B$20,1)+IF(J$47=2,Quesería!$B$24*$AD$9*($AD$22*Quesería!$J$119+(1-$AD$22)*Quesería!$E$119)*J1256,0))*$AD$10*$AD$21</f>
        <v>365.858694068273</v>
      </c>
      <c r="K1262" s="29" t="n">
        <f aca="false">IF(K$47&lt;=1,0,((($AD$22*Quesería!$J$127+(1-$AD$22)*Quesería!$E$123)-($AD$22*Quesería!$J$113+(1-$AD$22)*Quesería!$E$113)+$AD$6*($AD$22*Quesería!$J$113+(1-$AD$22)*Quesería!$E$113)-(1-$AD$9)*(($AD$22*Quesería!$J$119+(1-$AD$22)*Quesería!$E$119)+($AD$22*Quesería!$J$118+(1-$AD$22)*Quesería!$E$118))-(1-$AD$24)*($AD$22*Quesería!$J$117+(1-$AD$22)*Quesería!$E$117)+$AD$24*(1-$AD$25)*'Beneficios y costos'!$B$144-(-$AD$26*$AD$27)*'Beneficios y costos'!$C$167)+($AD$6*($AD$22*Quesería!$J$113+(1-$AD$22)*Quesería!$E$113)+$AD$9*($AD$22*Quesería!$J$119+(1-$AD$22)*Quesería!$E$119))*(K1256-1))*IF(K$47=2,Quesería!$B$20,1)+IF(K$47=2,Quesería!$B$24*$AD$9*($AD$22*Quesería!$J$119+(1-$AD$22)*Quesería!$E$119)*K1256,0))*$AD$10*$AD$21</f>
        <v>366.113076250978</v>
      </c>
      <c r="L1262" s="29" t="n">
        <f aca="false">IF(L$47&lt;=1,0,((($AD$22*Quesería!$J$127+(1-$AD$22)*Quesería!$E$123)-($AD$22*Quesería!$J$113+(1-$AD$22)*Quesería!$E$113)+$AD$6*($AD$22*Quesería!$J$113+(1-$AD$22)*Quesería!$E$113)-(1-$AD$9)*(($AD$22*Quesería!$J$119+(1-$AD$22)*Quesería!$E$119)+($AD$22*Quesería!$J$118+(1-$AD$22)*Quesería!$E$118))-(1-$AD$24)*($AD$22*Quesería!$J$117+(1-$AD$22)*Quesería!$E$117)+$AD$24*(1-$AD$25)*'Beneficios y costos'!$B$144-(-$AD$26*$AD$27)*'Beneficios y costos'!$C$167)+($AD$6*($AD$22*Quesería!$J$113+(1-$AD$22)*Quesería!$E$113)+$AD$9*($AD$22*Quesería!$J$119+(1-$AD$22)*Quesería!$E$119))*(L1256-1))*IF(L$47=2,Quesería!$B$20,1)+IF(L$47=2,Quesería!$B$24*$AD$9*($AD$22*Quesería!$J$119+(1-$AD$22)*Quesería!$E$119)*L1256,0))*$AD$10*$AD$21</f>
        <v>366.368730344596</v>
      </c>
    </row>
    <row r="1263" customFormat="false" ht="15" hidden="true" customHeight="false" outlineLevel="1" collapsed="false">
      <c r="A1263" s="5" t="s">
        <v>412</v>
      </c>
      <c r="B1263" s="10" t="n">
        <f aca="false">B1261+B1262</f>
        <v>120.716772261203</v>
      </c>
      <c r="C1263" s="10" t="n">
        <f aca="false">C1261+C1262</f>
        <v>181.328317354069</v>
      </c>
      <c r="D1263" s="10" t="n">
        <f aca="false">D1261+D1262</f>
        <v>526.266187250451</v>
      </c>
      <c r="E1263" s="10" t="n">
        <f aca="false">E1261+E1262</f>
        <v>606.498009136907</v>
      </c>
      <c r="F1263" s="10" t="n">
        <f aca="false">F1261+F1262</f>
        <v>606.807220172342</v>
      </c>
      <c r="G1263" s="10" t="n">
        <f aca="false">G1261+G1262</f>
        <v>607.117977262955</v>
      </c>
      <c r="H1263" s="10" t="n">
        <f aca="false">H1261+H1262</f>
        <v>607.430288139022</v>
      </c>
      <c r="I1263" s="10" t="n">
        <f aca="false">I1261+I1262</f>
        <v>607.744160569468</v>
      </c>
      <c r="J1263" s="10" t="n">
        <f aca="false">J1261+J1262</f>
        <v>608.059602362067</v>
      </c>
      <c r="K1263" s="10" t="n">
        <f aca="false">K1261+K1262</f>
        <v>608.376621363628</v>
      </c>
      <c r="L1263" s="10" t="n">
        <f aca="false">L1261+L1262</f>
        <v>608.695225460198</v>
      </c>
    </row>
    <row r="1264" customFormat="false" ht="15" hidden="true" customHeight="false" outlineLevel="1" collapsed="false">
      <c r="A1264" s="6" t="s">
        <v>413</v>
      </c>
      <c r="B1264" s="29" t="n">
        <f aca="false">(IF(B$47&gt;=1,(Quesería!$B$31+Quesería!$B$33)*Quesería!$F$94*$AD$11+Quesería!$B$32+'Beneficios y costos'!$B$249,0)+IF(B$47&gt;=2,((Quesería!$B$31+Quesería!$B$33)*(Quesería!$F$95-(-$AD$26)*Quesería!$D$86)*$AD$11+'Beneficios y costos'!$C$249-(-$AD$26)*'Beneficios y costos'!$H$235)*$AD$21,0))*$AD$12</f>
        <v>0</v>
      </c>
      <c r="C1264" s="29" t="n">
        <f aca="false">(IF(C$47&gt;=1,(Quesería!$B$31+Quesería!$B$33)*Quesería!$F$94*$AD$11+Quesería!$B$32+'Beneficios y costos'!$B$249,0)+IF(C$47&gt;=2,((Quesería!$B$31+Quesería!$B$33)*(Quesería!$F$95-(-$AD$26)*Quesería!$D$86)*$AD$11+'Beneficios y costos'!$C$249-(-$AD$26)*'Beneficios y costos'!$H$235)*$AD$21,0))*$AD$12</f>
        <v>42.0946487260605</v>
      </c>
      <c r="D1264" s="29" t="n">
        <f aca="false">(IF(D$47&gt;=1,(Quesería!$B$31+Quesería!$B$33)*Quesería!$F$94*$AD$11+Quesería!$B$32+'Beneficios y costos'!$B$249,0)+IF(D$47&gt;=2,((Quesería!$B$31+Quesería!$B$33)*(Quesería!$F$95-(-$AD$26)*Quesería!$D$86)*$AD$11+'Beneficios y costos'!$C$249-(-$AD$26)*'Beneficios y costos'!$H$235)*$AD$21,0))*$AD$12</f>
        <v>95.9432442337815</v>
      </c>
      <c r="E1264" s="29" t="n">
        <f aca="false">(IF(E$47&gt;=1,(Quesería!$B$31+Quesería!$B$33)*Quesería!$F$94*$AD$11+Quesería!$B$32+'Beneficios y costos'!$B$249,0)+IF(E$47&gt;=2,((Quesería!$B$31+Quesería!$B$33)*(Quesería!$F$95-(-$AD$26)*Quesería!$D$86)*$AD$11+'Beneficios y costos'!$C$249-(-$AD$26)*'Beneficios y costos'!$H$235)*$AD$21,0))*$AD$12</f>
        <v>95.9432442337815</v>
      </c>
      <c r="F1264" s="29" t="n">
        <f aca="false">(IF(F$47&gt;=1,(Quesería!$B$31+Quesería!$B$33)*Quesería!$F$94*$AD$11+Quesería!$B$32+'Beneficios y costos'!$B$249,0)+IF(F$47&gt;=2,((Quesería!$B$31+Quesería!$B$33)*(Quesería!$F$95-(-$AD$26)*Quesería!$D$86)*$AD$11+'Beneficios y costos'!$C$249-(-$AD$26)*'Beneficios y costos'!$H$235)*$AD$21,0))*$AD$12</f>
        <v>95.9432442337815</v>
      </c>
      <c r="G1264" s="29" t="n">
        <f aca="false">(IF(G$47&gt;=1,(Quesería!$B$31+Quesería!$B$33)*Quesería!$F$94*$AD$11+Quesería!$B$32+'Beneficios y costos'!$B$249,0)+IF(G$47&gt;=2,((Quesería!$B$31+Quesería!$B$33)*(Quesería!$F$95-(-$AD$26)*Quesería!$D$86)*$AD$11+'Beneficios y costos'!$C$249-(-$AD$26)*'Beneficios y costos'!$H$235)*$AD$21,0))*$AD$12</f>
        <v>95.9432442337815</v>
      </c>
      <c r="H1264" s="29" t="n">
        <f aca="false">(IF(H$47&gt;=1,(Quesería!$B$31+Quesería!$B$33)*Quesería!$F$94*$AD$11+Quesería!$B$32+'Beneficios y costos'!$B$249,0)+IF(H$47&gt;=2,((Quesería!$B$31+Quesería!$B$33)*(Quesería!$F$95-(-$AD$26)*Quesería!$D$86)*$AD$11+'Beneficios y costos'!$C$249-(-$AD$26)*'Beneficios y costos'!$H$235)*$AD$21,0))*$AD$12</f>
        <v>95.9432442337815</v>
      </c>
      <c r="I1264" s="29" t="n">
        <f aca="false">(IF(I$47&gt;=1,(Quesería!$B$31+Quesería!$B$33)*Quesería!$F$94*$AD$11+Quesería!$B$32+'Beneficios y costos'!$B$249,0)+IF(I$47&gt;=2,((Quesería!$B$31+Quesería!$B$33)*(Quesería!$F$95-(-$AD$26)*Quesería!$D$86)*$AD$11+'Beneficios y costos'!$C$249-(-$AD$26)*'Beneficios y costos'!$H$235)*$AD$21,0))*$AD$12</f>
        <v>95.9432442337815</v>
      </c>
      <c r="J1264" s="29" t="n">
        <f aca="false">(IF(J$47&gt;=1,(Quesería!$B$31+Quesería!$B$33)*Quesería!$F$94*$AD$11+Quesería!$B$32+'Beneficios y costos'!$B$249,0)+IF(J$47&gt;=2,((Quesería!$B$31+Quesería!$B$33)*(Quesería!$F$95-(-$AD$26)*Quesería!$D$86)*$AD$11+'Beneficios y costos'!$C$249-(-$AD$26)*'Beneficios y costos'!$H$235)*$AD$21,0))*$AD$12</f>
        <v>95.9432442337815</v>
      </c>
      <c r="K1264" s="29" t="n">
        <f aca="false">(IF(K$47&gt;=1,(Quesería!$B$31+Quesería!$B$33)*Quesería!$F$94*$AD$11+Quesería!$B$32+'Beneficios y costos'!$B$249,0)+IF(K$47&gt;=2,((Quesería!$B$31+Quesería!$B$33)*(Quesería!$F$95-(-$AD$26)*Quesería!$D$86)*$AD$11+'Beneficios y costos'!$C$249-(-$AD$26)*'Beneficios y costos'!$H$235)*$AD$21,0))*$AD$12</f>
        <v>95.9432442337815</v>
      </c>
      <c r="L1264" s="29" t="n">
        <f aca="false">(IF(L$47&gt;=1,(Quesería!$B$31+Quesería!$B$33)*Quesería!$F$94*$AD$11+Quesería!$B$32+'Beneficios y costos'!$B$249,0)+IF(L$47&gt;=2,((Quesería!$B$31+Quesería!$B$33)*(Quesería!$F$95-(-$AD$26)*Quesería!$D$86)*$AD$11+'Beneficios y costos'!$C$249-(-$AD$26)*'Beneficios y costos'!$H$235)*$AD$21,0))*$AD$12</f>
        <v>95.9432442337815</v>
      </c>
    </row>
    <row r="1265" customFormat="false" ht="15" hidden="true" customHeight="false" outlineLevel="1" collapsed="false">
      <c r="A1265" s="6" t="s">
        <v>414</v>
      </c>
      <c r="B1265" s="29" t="n">
        <f aca="false">IF(B$47=1,2*Quesería!$B$22*Quesería!$B$23/12*B1256,0)*$AD$21</f>
        <v>0</v>
      </c>
      <c r="C1265" s="29" t="n">
        <f aca="false">IF(C$47=1,2*Quesería!$B$22*Quesería!$B$23/12*C1256,0)*$AD$21</f>
        <v>18.5166509433962</v>
      </c>
      <c r="D1265" s="29" t="n">
        <f aca="false">IF(D$47=1,2*Quesería!$B$22*Quesería!$B$23/12*D1256,0)*$AD$21</f>
        <v>0</v>
      </c>
      <c r="E1265" s="29" t="n">
        <f aca="false">IF(E$47=1,2*Quesería!$B$22*Quesería!$B$23/12*E1256,0)*$AD$21</f>
        <v>0</v>
      </c>
      <c r="F1265" s="29" t="n">
        <f aca="false">IF(F$47=1,2*Quesería!$B$22*Quesería!$B$23/12*F1256,0)*$AD$21</f>
        <v>0</v>
      </c>
      <c r="G1265" s="29" t="n">
        <f aca="false">IF(G$47=1,2*Quesería!$B$22*Quesería!$B$23/12*G1256,0)*$AD$21</f>
        <v>0</v>
      </c>
      <c r="H1265" s="29" t="n">
        <f aca="false">IF(H$47=1,2*Quesería!$B$22*Quesería!$B$23/12*H1256,0)*$AD$21</f>
        <v>0</v>
      </c>
      <c r="I1265" s="29" t="n">
        <f aca="false">IF(I$47=1,2*Quesería!$B$22*Quesería!$B$23/12*I1256,0)*$AD$21</f>
        <v>0</v>
      </c>
      <c r="J1265" s="29" t="n">
        <f aca="false">IF(J$47=1,2*Quesería!$B$22*Quesería!$B$23/12*J1256,0)*$AD$21</f>
        <v>0</v>
      </c>
      <c r="K1265" s="29" t="n">
        <f aca="false">IF(K$47=1,2*Quesería!$B$22*Quesería!$B$23/12*K1256,0)*$AD$21</f>
        <v>0</v>
      </c>
      <c r="L1265" s="29" t="n">
        <f aca="false">IF(L$47=1,2*Quesería!$B$22*Quesería!$B$23/12*L1256,0)*$AD$21</f>
        <v>0</v>
      </c>
    </row>
    <row r="1266" customFormat="false" ht="15" hidden="true" customHeight="false" outlineLevel="1" collapsed="false">
      <c r="A1266" s="6" t="s">
        <v>415</v>
      </c>
      <c r="B1266" s="29" t="n">
        <f aca="false">Quesería!$B$52*(B1258+B1259+B1260+B1264+B1265)</f>
        <v>4.31966364396742</v>
      </c>
      <c r="C1266" s="29" t="n">
        <f aca="false">Quesería!$B$52*(C1258+C1259+C1260+C1264+C1265)</f>
        <v>3.85275795604844</v>
      </c>
      <c r="D1266" s="29" t="n">
        <f aca="false">Quesería!$B$52*(D1258+D1259+D1260+D1264+D1265)</f>
        <v>0.383772976935126</v>
      </c>
      <c r="E1266" s="29" t="n">
        <f aca="false">Quesería!$B$52*(E1258+E1259+E1260+E1264+E1265)</f>
        <v>0.383772976935126</v>
      </c>
      <c r="F1266" s="29" t="n">
        <f aca="false">Quesería!$B$52*(F1258+F1259+F1260+F1264+F1265)</f>
        <v>0.383772976935126</v>
      </c>
      <c r="G1266" s="29" t="n">
        <f aca="false">Quesería!$B$52*(G1258+G1259+G1260+G1264+G1265)</f>
        <v>0.514507411134964</v>
      </c>
      <c r="H1266" s="29" t="n">
        <f aca="false">Quesería!$B$52*(H1258+H1259+H1260+H1264+H1265)</f>
        <v>0.604585358119273</v>
      </c>
      <c r="I1266" s="29" t="n">
        <f aca="false">Quesería!$B$52*(I1258+I1259+I1260+I1264+I1265)</f>
        <v>0.383772976935126</v>
      </c>
      <c r="J1266" s="29" t="n">
        <f aca="false">Quesería!$B$52*(J1258+J1259+J1260+J1264+J1265)</f>
        <v>0.383772976935126</v>
      </c>
      <c r="K1266" s="29" t="n">
        <f aca="false">Quesería!$B$52*(K1258+K1259+K1260+K1264+K1265)</f>
        <v>0.383772976935126</v>
      </c>
      <c r="L1266" s="29" t="n">
        <f aca="false">Quesería!$B$52*(L1258+L1259+L1260+L1264+L1265)</f>
        <v>0.383772976935126</v>
      </c>
    </row>
    <row r="1267" customFormat="false" ht="15" hidden="true" customHeight="false" outlineLevel="1" collapsed="false">
      <c r="A1267" s="6" t="s">
        <v>416</v>
      </c>
      <c r="B1267" s="29" t="n">
        <f aca="false">(IF($AD$19=1,(SUMPRODUCT((Quesería!$C$70:$C$89=0)*(Quesería!$J$70:$J$89&gt;0)*(B$47&gt;=1)*(B$47&lt;=Quesería!$J$70:$J$89)*(Quesería!$H$70:$H$89&gt;0)*Quesería!$F$70:$F$89*(1+Quesería!$I$70:$I$89)/(Quesería!$J$70:$J$89+(Quesería!$J$70:$J$89=0)))+SUMPRODUCT((Quesería!$C$70:$C$89=0)*(Quesería!$J$70:$J$89=0)*(B$47=0)*(Quesería!$H$70:$H$89&gt;0)*Quesería!$F$70:$F$89*(1+Quesería!$I$70:$I$89)))*$B$1255+((SUMPRODUCT((Quesería!$C$70:$C$89=1)*(Quesería!$J$70:$J$89&gt;0)*(B$47&gt;=2)*(B$47&lt;=Quesería!$J$70:$J$89+1)*(Quesería!$H$70:$H$89&gt;0)*Quesería!$F$70:$F$89*(1+Quesería!$I$70:$I$89)/(Quesería!$J$70:$J$89+(Quesería!$J$70:$J$89=0)))+SUMPRODUCT((Quesería!$C$70:$C$89=1)*(Quesería!$J$70:$J$89=0)*(B$47=1)*(Quesería!$H$70:$H$89&gt;0)*Quesería!$F$70:$F$89*(1+Quesería!$I$70:$I$89)))-(-$AD$26)*IF(AND(B$47&gt;=2,B$47&lt;=Quesería!$J$86+1),Quesería!$D$86*(1+Quesería!$I$86)/Quesería!$J$86,0))*$C$1255*$AD$21,IF(AND(B$47&gt;=1,B$47&lt;=Quesería!$B$30),Quesería!$F$92/Quesería!$B$30,0)*$B$1255+IF(AND(B$47&gt;=2,B$47&lt;=Quesería!$B$30+1),(Quesería!$F$93-(-$AD$26)*Quesería!$D$86*(1+Quesería!$I$86))/Quesería!$B$30,0)*$C$1255*$AD$21)*$AD$11+IF(AND(B$47&gt;=6,B$47&lt;=10),$G1259*$G1255/5,0)+IF(AND(B$47&gt;=7,B$47&lt;=11),$H1259*$H1255/5,0))*B1257</f>
        <v>145.980915430742</v>
      </c>
      <c r="C1267" s="29" t="n">
        <f aca="false">(IF($AD$19=1,(SUMPRODUCT((Quesería!$C$70:$C$89=0)*(Quesería!$J$70:$J$89&gt;0)*(C$47&gt;=1)*(C$47&lt;=Quesería!$J$70:$J$89)*(Quesería!$H$70:$H$89&gt;0)*Quesería!$F$70:$F$89*(1+Quesería!$I$70:$I$89)/(Quesería!$J$70:$J$89+(Quesería!$J$70:$J$89=0)))+SUMPRODUCT((Quesería!$C$70:$C$89=0)*(Quesería!$J$70:$J$89=0)*(C$47=0)*(Quesería!$H$70:$H$89&gt;0)*Quesería!$F$70:$F$89*(1+Quesería!$I$70:$I$89)))*$B$1255+((SUMPRODUCT((Quesería!$C$70:$C$89=1)*(Quesería!$J$70:$J$89&gt;0)*(C$47&gt;=2)*(C$47&lt;=Quesería!$J$70:$J$89+1)*(Quesería!$H$70:$H$89&gt;0)*Quesería!$F$70:$F$89*(1+Quesería!$I$70:$I$89)/(Quesería!$J$70:$J$89+(Quesería!$J$70:$J$89=0)))+SUMPRODUCT((Quesería!$C$70:$C$89=1)*(Quesería!$J$70:$J$89=0)*(C$47=1)*(Quesería!$H$70:$H$89&gt;0)*Quesería!$F$70:$F$89*(1+Quesería!$I$70:$I$89)))-(-$AD$26)*IF(AND(C$47&gt;=2,C$47&lt;=Quesería!$J$86+1),Quesería!$D$86*(1+Quesería!$I$86)/Quesería!$J$86,0))*$C$1255*$AD$21,IF(AND(C$47&gt;=1,C$47&lt;=Quesería!$B$30),Quesería!$F$92/Quesería!$B$30,0)*$B$1255+IF(AND(C$47&gt;=2,C$47&lt;=Quesería!$B$30+1),(Quesería!$F$93-(-$AD$26)*Quesería!$D$86*(1+Quesería!$I$86))/Quesería!$B$30,0)*$C$1255*$AD$21)*$AD$11+IF(AND(C$47&gt;=6,C$47&lt;=10),$G1259*$G1255/5,0)+IF(AND(C$47&gt;=7,C$47&lt;=11),$H1259*$H1255/5,0))*C1257</f>
        <v>82.2633269524265</v>
      </c>
      <c r="D1267" s="29" t="n">
        <f aca="false">(IF($AD$19=1,(SUMPRODUCT((Quesería!$C$70:$C$89=0)*(Quesería!$J$70:$J$89&gt;0)*(D$47&gt;=1)*(D$47&lt;=Quesería!$J$70:$J$89)*(Quesería!$H$70:$H$89&gt;0)*Quesería!$F$70:$F$89*(1+Quesería!$I$70:$I$89)/(Quesería!$J$70:$J$89+(Quesería!$J$70:$J$89=0)))+SUMPRODUCT((Quesería!$C$70:$C$89=0)*(Quesería!$J$70:$J$89=0)*(D$47=0)*(Quesería!$H$70:$H$89&gt;0)*Quesería!$F$70:$F$89*(1+Quesería!$I$70:$I$89)))*$B$1255+((SUMPRODUCT((Quesería!$C$70:$C$89=1)*(Quesería!$J$70:$J$89&gt;0)*(D$47&gt;=2)*(D$47&lt;=Quesería!$J$70:$J$89+1)*(Quesería!$H$70:$H$89&gt;0)*Quesería!$F$70:$F$89*(1+Quesería!$I$70:$I$89)/(Quesería!$J$70:$J$89+(Quesería!$J$70:$J$89=0)))+SUMPRODUCT((Quesería!$C$70:$C$89=1)*(Quesería!$J$70:$J$89=0)*(D$47=1)*(Quesería!$H$70:$H$89&gt;0)*Quesería!$F$70:$F$89*(1+Quesería!$I$70:$I$89)))-(-$AD$26)*IF(AND(D$47&gt;=2,D$47&lt;=Quesería!$J$86+1),Quesería!$D$86*(1+Quesería!$I$86)/Quesería!$J$86,0))*$C$1255*$AD$21,IF(AND(D$47&gt;=1,D$47&lt;=Quesería!$B$30),Quesería!$F$92/Quesería!$B$30,0)*$B$1255+IF(AND(D$47&gt;=2,D$47&lt;=Quesería!$B$30+1),(Quesería!$F$93-(-$AD$26)*Quesería!$D$86*(1+Quesería!$I$86))/Quesería!$B$30,0)*$C$1255*$AD$21)*$AD$11+IF(AND(D$47&gt;=6,D$47&lt;=10),$G1259*$G1255/5,0)+IF(AND(D$47&gt;=7,D$47&lt;=11),$H1259*$H1255/5,0))*D1257</f>
        <v>151.301658966389</v>
      </c>
      <c r="E1267" s="29" t="n">
        <f aca="false">(IF($AD$19=1,(SUMPRODUCT((Quesería!$C$70:$C$89=0)*(Quesería!$J$70:$J$89&gt;0)*(E$47&gt;=1)*(E$47&lt;=Quesería!$J$70:$J$89)*(Quesería!$H$70:$H$89&gt;0)*Quesería!$F$70:$F$89*(1+Quesería!$I$70:$I$89)/(Quesería!$J$70:$J$89+(Quesería!$J$70:$J$89=0)))+SUMPRODUCT((Quesería!$C$70:$C$89=0)*(Quesería!$J$70:$J$89=0)*(E$47=0)*(Quesería!$H$70:$H$89&gt;0)*Quesería!$F$70:$F$89*(1+Quesería!$I$70:$I$89)))*$B$1255+((SUMPRODUCT((Quesería!$C$70:$C$89=1)*(Quesería!$J$70:$J$89&gt;0)*(E$47&gt;=2)*(E$47&lt;=Quesería!$J$70:$J$89+1)*(Quesería!$H$70:$H$89&gt;0)*Quesería!$F$70:$F$89*(1+Quesería!$I$70:$I$89)/(Quesería!$J$70:$J$89+(Quesería!$J$70:$J$89=0)))+SUMPRODUCT((Quesería!$C$70:$C$89=1)*(Quesería!$J$70:$J$89=0)*(E$47=1)*(Quesería!$H$70:$H$89&gt;0)*Quesería!$F$70:$F$89*(1+Quesería!$I$70:$I$89)))-(-$AD$26)*IF(AND(E$47&gt;=2,E$47&lt;=Quesería!$J$86+1),Quesería!$D$86*(1+Quesería!$I$86)/Quesería!$J$86,0))*$C$1255*$AD$21,IF(AND(E$47&gt;=1,E$47&lt;=Quesería!$B$30),Quesería!$F$92/Quesería!$B$30,0)*$B$1255+IF(AND(E$47&gt;=2,E$47&lt;=Quesería!$B$30+1),(Quesería!$F$93-(-$AD$26)*Quesería!$D$86*(1+Quesería!$I$86))/Quesería!$B$30,0)*$C$1255*$AD$21)*$AD$11+IF(AND(E$47&gt;=6,E$47&lt;=10),$G1259*$G1255/5,0)+IF(AND(E$47&gt;=7,E$47&lt;=11),$H1259*$H1255/5,0))*E1257</f>
        <v>145.482364390759</v>
      </c>
      <c r="F1267" s="29" t="n">
        <f aca="false">(IF($AD$19=1,(SUMPRODUCT((Quesería!$C$70:$C$89=0)*(Quesería!$J$70:$J$89&gt;0)*(F$47&gt;=1)*(F$47&lt;=Quesería!$J$70:$J$89)*(Quesería!$H$70:$H$89&gt;0)*Quesería!$F$70:$F$89*(1+Quesería!$I$70:$I$89)/(Quesería!$J$70:$J$89+(Quesería!$J$70:$J$89=0)))+SUMPRODUCT((Quesería!$C$70:$C$89=0)*(Quesería!$J$70:$J$89=0)*(F$47=0)*(Quesería!$H$70:$H$89&gt;0)*Quesería!$F$70:$F$89*(1+Quesería!$I$70:$I$89)))*$B$1255+((SUMPRODUCT((Quesería!$C$70:$C$89=1)*(Quesería!$J$70:$J$89&gt;0)*(F$47&gt;=2)*(F$47&lt;=Quesería!$J$70:$J$89+1)*(Quesería!$H$70:$H$89&gt;0)*Quesería!$F$70:$F$89*(1+Quesería!$I$70:$I$89)/(Quesería!$J$70:$J$89+(Quesería!$J$70:$J$89=0)))+SUMPRODUCT((Quesería!$C$70:$C$89=1)*(Quesería!$J$70:$J$89=0)*(F$47=1)*(Quesería!$H$70:$H$89&gt;0)*Quesería!$F$70:$F$89*(1+Quesería!$I$70:$I$89)))-(-$AD$26)*IF(AND(F$47&gt;=2,F$47&lt;=Quesería!$J$86+1),Quesería!$D$86*(1+Quesería!$I$86)/Quesería!$J$86,0))*$C$1255*$AD$21,IF(AND(F$47&gt;=1,F$47&lt;=Quesería!$B$30),Quesería!$F$92/Quesería!$B$30,0)*$B$1255+IF(AND(F$47&gt;=2,F$47&lt;=Quesería!$B$30+1),(Quesería!$F$93-(-$AD$26)*Quesería!$D$86*(1+Quesería!$I$86))/Quesería!$B$30,0)*$C$1255*$AD$21)*$AD$11+IF(AND(F$47&gt;=6,F$47&lt;=10),$G1259*$G1255/5,0)+IF(AND(F$47&gt;=7,F$47&lt;=11),$H1259*$H1255/5,0))*F1257</f>
        <v>139.886888837268</v>
      </c>
      <c r="G1267" s="29" t="n">
        <f aca="false">(IF($AD$19=1,(SUMPRODUCT((Quesería!$C$70:$C$89=0)*(Quesería!$J$70:$J$89&gt;0)*(G$47&gt;=1)*(G$47&lt;=Quesería!$J$70:$J$89)*(Quesería!$H$70:$H$89&gt;0)*Quesería!$F$70:$F$89*(1+Quesería!$I$70:$I$89)/(Quesería!$J$70:$J$89+(Quesería!$J$70:$J$89=0)))+SUMPRODUCT((Quesería!$C$70:$C$89=0)*(Quesería!$J$70:$J$89=0)*(G$47=0)*(Quesería!$H$70:$H$89&gt;0)*Quesería!$F$70:$F$89*(1+Quesería!$I$70:$I$89)))*$B$1255+((SUMPRODUCT((Quesería!$C$70:$C$89=1)*(Quesería!$J$70:$J$89&gt;0)*(G$47&gt;=2)*(G$47&lt;=Quesería!$J$70:$J$89+1)*(Quesería!$H$70:$H$89&gt;0)*Quesería!$F$70:$F$89*(1+Quesería!$I$70:$I$89)/(Quesería!$J$70:$J$89+(Quesería!$J$70:$J$89=0)))+SUMPRODUCT((Quesería!$C$70:$C$89=1)*(Quesería!$J$70:$J$89=0)*(G$47=1)*(Quesería!$H$70:$H$89&gt;0)*Quesería!$F$70:$F$89*(1+Quesería!$I$70:$I$89)))-(-$AD$26)*IF(AND(G$47&gt;=2,G$47&lt;=Quesería!$J$86+1),Quesería!$D$86*(1+Quesería!$I$86)/Quesería!$J$86,0))*$C$1255*$AD$21,IF(AND(G$47&gt;=1,G$47&lt;=Quesería!$B$30),Quesería!$F$92/Quesería!$B$30,0)*$B$1255+IF(AND(G$47&gt;=2,G$47&lt;=Quesería!$B$30+1),(Quesería!$F$93-(-$AD$26)*Quesería!$D$86*(1+Quesería!$I$86))/Quesería!$B$30,0)*$C$1255*$AD$21)*$AD$11+IF(AND(G$47&gt;=6,G$47&lt;=10),$G1259*$G1255/5,0)+IF(AND(G$47&gt;=7,G$47&lt;=11),$H1259*$H1255/5,0))*G1257</f>
        <v>134.506623881988</v>
      </c>
      <c r="H1267" s="29" t="n">
        <f aca="false">(IF($AD$19=1,(SUMPRODUCT((Quesería!$C$70:$C$89=0)*(Quesería!$J$70:$J$89&gt;0)*(H$47&gt;=1)*(H$47&lt;=Quesería!$J$70:$J$89)*(Quesería!$H$70:$H$89&gt;0)*Quesería!$F$70:$F$89*(1+Quesería!$I$70:$I$89)/(Quesería!$J$70:$J$89+(Quesería!$J$70:$J$89=0)))+SUMPRODUCT((Quesería!$C$70:$C$89=0)*(Quesería!$J$70:$J$89=0)*(H$47=0)*(Quesería!$H$70:$H$89&gt;0)*Quesería!$F$70:$F$89*(1+Quesería!$I$70:$I$89)))*$B$1255+((SUMPRODUCT((Quesería!$C$70:$C$89=1)*(Quesería!$J$70:$J$89&gt;0)*(H$47&gt;=2)*(H$47&lt;=Quesería!$J$70:$J$89+1)*(Quesería!$H$70:$H$89&gt;0)*Quesería!$F$70:$F$89*(1+Quesería!$I$70:$I$89)/(Quesería!$J$70:$J$89+(Quesería!$J$70:$J$89=0)))+SUMPRODUCT((Quesería!$C$70:$C$89=1)*(Quesería!$J$70:$J$89=0)*(H$47=1)*(Quesería!$H$70:$H$89&gt;0)*Quesería!$F$70:$F$89*(1+Quesería!$I$70:$I$89)))-(-$AD$26)*IF(AND(H$47&gt;=2,H$47&lt;=Quesería!$J$86+1),Quesería!$D$86*(1+Quesería!$I$86)/Quesería!$J$86,0))*$C$1255*$AD$21,IF(AND(H$47&gt;=1,H$47&lt;=Quesería!$B$30),Quesería!$F$92/Quesería!$B$30,0)*$B$1255+IF(AND(H$47&gt;=2,H$47&lt;=Quesería!$B$30+1),(Quesería!$F$93-(-$AD$26)*Quesería!$D$86*(1+Quesería!$I$86))/Quesería!$B$30,0)*$C$1255*$AD$21)*$AD$11+IF(AND(H$47&gt;=6,H$47&lt;=10),$G1259*$G1255/5,0)+IF(AND(H$47&gt;=7,H$47&lt;=11),$H1259*$H1255/5,0))*H1257</f>
        <v>122.314670590318</v>
      </c>
      <c r="I1267" s="29" t="n">
        <f aca="false">(IF($AD$19=1,(SUMPRODUCT((Quesería!$C$70:$C$89=0)*(Quesería!$J$70:$J$89&gt;0)*(I$47&gt;=1)*(I$47&lt;=Quesería!$J$70:$J$89)*(Quesería!$H$70:$H$89&gt;0)*Quesería!$F$70:$F$89*(1+Quesería!$I$70:$I$89)/(Quesería!$J$70:$J$89+(Quesería!$J$70:$J$89=0)))+SUMPRODUCT((Quesería!$C$70:$C$89=0)*(Quesería!$J$70:$J$89=0)*(I$47=0)*(Quesería!$H$70:$H$89&gt;0)*Quesería!$F$70:$F$89*(1+Quesería!$I$70:$I$89)))*$B$1255+((SUMPRODUCT((Quesería!$C$70:$C$89=1)*(Quesería!$J$70:$J$89&gt;0)*(I$47&gt;=2)*(I$47&lt;=Quesería!$J$70:$J$89+1)*(Quesería!$H$70:$H$89&gt;0)*Quesería!$F$70:$F$89*(1+Quesería!$I$70:$I$89)/(Quesería!$J$70:$J$89+(Quesería!$J$70:$J$89=0)))+SUMPRODUCT((Quesería!$C$70:$C$89=1)*(Quesería!$J$70:$J$89=0)*(I$47=1)*(Quesería!$H$70:$H$89&gt;0)*Quesería!$F$70:$F$89*(1+Quesería!$I$70:$I$89)))-(-$AD$26)*IF(AND(I$47&gt;=2,I$47&lt;=Quesería!$J$86+1),Quesería!$D$86*(1+Quesería!$I$86)/Quesería!$J$86,0))*$C$1255*$AD$21,IF(AND(I$47&gt;=1,I$47&lt;=Quesería!$B$30),Quesería!$F$92/Quesería!$B$30,0)*$B$1255+IF(AND(I$47&gt;=2,I$47&lt;=Quesería!$B$30+1),(Quesería!$F$93-(-$AD$26)*Quesería!$D$86*(1+Quesería!$I$86))/Quesería!$B$30,0)*$C$1255*$AD$21)*$AD$11+IF(AND(I$47&gt;=6,I$47&lt;=10),$G1259*$G1255/5,0)+IF(AND(I$47&gt;=7,I$47&lt;=11),$H1259*$H1255/5,0))*I1257</f>
        <v>126.531251665874</v>
      </c>
      <c r="J1267" s="29" t="n">
        <f aca="false">(IF($AD$19=1,(SUMPRODUCT((Quesería!$C$70:$C$89=0)*(Quesería!$J$70:$J$89&gt;0)*(J$47&gt;=1)*(J$47&lt;=Quesería!$J$70:$J$89)*(Quesería!$H$70:$H$89&gt;0)*Quesería!$F$70:$F$89*(1+Quesería!$I$70:$I$89)/(Quesería!$J$70:$J$89+(Quesería!$J$70:$J$89=0)))+SUMPRODUCT((Quesería!$C$70:$C$89=0)*(Quesería!$J$70:$J$89=0)*(J$47=0)*(Quesería!$H$70:$H$89&gt;0)*Quesería!$F$70:$F$89*(1+Quesería!$I$70:$I$89)))*$B$1255+((SUMPRODUCT((Quesería!$C$70:$C$89=1)*(Quesería!$J$70:$J$89&gt;0)*(J$47&gt;=2)*(J$47&lt;=Quesería!$J$70:$J$89+1)*(Quesería!$H$70:$H$89&gt;0)*Quesería!$F$70:$F$89*(1+Quesería!$I$70:$I$89)/(Quesería!$J$70:$J$89+(Quesería!$J$70:$J$89=0)))+SUMPRODUCT((Quesería!$C$70:$C$89=1)*(Quesería!$J$70:$J$89=0)*(J$47=1)*(Quesería!$H$70:$H$89&gt;0)*Quesería!$F$70:$F$89*(1+Quesería!$I$70:$I$89)))-(-$AD$26)*IF(AND(J$47&gt;=2,J$47&lt;=Quesería!$J$86+1),Quesería!$D$86*(1+Quesería!$I$86)/Quesería!$J$86,0))*$C$1255*$AD$21,IF(AND(J$47&gt;=1,J$47&lt;=Quesería!$B$30),Quesería!$F$92/Quesería!$B$30,0)*$B$1255+IF(AND(J$47&gt;=2,J$47&lt;=Quesería!$B$30+1),(Quesería!$F$93-(-$AD$26)*Quesería!$D$86*(1+Quesería!$I$86))/Quesería!$B$30,0)*$C$1255*$AD$21)*$AD$11+IF(AND(J$47&gt;=6,J$47&lt;=10),$G1259*$G1255/5,0)+IF(AND(J$47&gt;=7,J$47&lt;=11),$H1259*$H1255/5,0))*J1257</f>
        <v>121.66466506334</v>
      </c>
      <c r="K1267" s="29" t="n">
        <f aca="false">(IF($AD$19=1,(SUMPRODUCT((Quesería!$C$70:$C$89=0)*(Quesería!$J$70:$J$89&gt;0)*(K$47&gt;=1)*(K$47&lt;=Quesería!$J$70:$J$89)*(Quesería!$H$70:$H$89&gt;0)*Quesería!$F$70:$F$89*(1+Quesería!$I$70:$I$89)/(Quesería!$J$70:$J$89+(Quesería!$J$70:$J$89=0)))+SUMPRODUCT((Quesería!$C$70:$C$89=0)*(Quesería!$J$70:$J$89=0)*(K$47=0)*(Quesería!$H$70:$H$89&gt;0)*Quesería!$F$70:$F$89*(1+Quesería!$I$70:$I$89)))*$B$1255+((SUMPRODUCT((Quesería!$C$70:$C$89=1)*(Quesería!$J$70:$J$89&gt;0)*(K$47&gt;=2)*(K$47&lt;=Quesería!$J$70:$J$89+1)*(Quesería!$H$70:$H$89&gt;0)*Quesería!$F$70:$F$89*(1+Quesería!$I$70:$I$89)/(Quesería!$J$70:$J$89+(Quesería!$J$70:$J$89=0)))+SUMPRODUCT((Quesería!$C$70:$C$89=1)*(Quesería!$J$70:$J$89=0)*(K$47=1)*(Quesería!$H$70:$H$89&gt;0)*Quesería!$F$70:$F$89*(1+Quesería!$I$70:$I$89)))-(-$AD$26)*IF(AND(K$47&gt;=2,K$47&lt;=Quesería!$J$86+1),Quesería!$D$86*(1+Quesería!$I$86)/Quesería!$J$86,0))*$C$1255*$AD$21,IF(AND(K$47&gt;=1,K$47&lt;=Quesería!$B$30),Quesería!$F$92/Quesería!$B$30,0)*$B$1255+IF(AND(K$47&gt;=2,K$47&lt;=Quesería!$B$30+1),(Quesería!$F$93-(-$AD$26)*Quesería!$D$86*(1+Quesería!$I$86))/Quesería!$B$30,0)*$C$1255*$AD$21)*$AD$11+IF(AND(K$47&gt;=6,K$47&lt;=10),$G1259*$G1255/5,0)+IF(AND(K$47&gt;=7,K$47&lt;=11),$H1259*$H1255/5,0))*K1257</f>
        <v>116.985254868597</v>
      </c>
      <c r="L1267" s="29" t="n">
        <f aca="false">(IF($AD$19=1,(SUMPRODUCT((Quesería!$C$70:$C$89=0)*(Quesería!$J$70:$J$89&gt;0)*(L$47&gt;=1)*(L$47&lt;=Quesería!$J$70:$J$89)*(Quesería!$H$70:$H$89&gt;0)*Quesería!$F$70:$F$89*(1+Quesería!$I$70:$I$89)/(Quesería!$J$70:$J$89+(Quesería!$J$70:$J$89=0)))+SUMPRODUCT((Quesería!$C$70:$C$89=0)*(Quesería!$J$70:$J$89=0)*(L$47=0)*(Quesería!$H$70:$H$89&gt;0)*Quesería!$F$70:$F$89*(1+Quesería!$I$70:$I$89)))*$B$1255+((SUMPRODUCT((Quesería!$C$70:$C$89=1)*(Quesería!$J$70:$J$89&gt;0)*(L$47&gt;=2)*(L$47&lt;=Quesería!$J$70:$J$89+1)*(Quesería!$H$70:$H$89&gt;0)*Quesería!$F$70:$F$89*(1+Quesería!$I$70:$I$89)/(Quesería!$J$70:$J$89+(Quesería!$J$70:$J$89=0)))+SUMPRODUCT((Quesería!$C$70:$C$89=1)*(Quesería!$J$70:$J$89=0)*(L$47=1)*(Quesería!$H$70:$H$89&gt;0)*Quesería!$F$70:$F$89*(1+Quesería!$I$70:$I$89)))-(-$AD$26)*IF(AND(L$47&gt;=2,L$47&lt;=Quesería!$J$86+1),Quesería!$D$86*(1+Quesería!$I$86)/Quesería!$J$86,0))*$C$1255*$AD$21,IF(AND(L$47&gt;=1,L$47&lt;=Quesería!$B$30),Quesería!$F$92/Quesería!$B$30,0)*$B$1255+IF(AND(L$47&gt;=2,L$47&lt;=Quesería!$B$30+1),(Quesería!$F$93-(-$AD$26)*Quesería!$D$86*(1+Quesería!$I$86))/Quesería!$B$30,0)*$C$1255*$AD$21)*$AD$11+IF(AND(L$47&gt;=6,L$47&lt;=10),$G1259*$G1255/5,0)+IF(AND(L$47&gt;=7,L$47&lt;=11),$H1259*$H1255/5,0))*L1257</f>
        <v>112.485821989035</v>
      </c>
    </row>
    <row r="1268" customFormat="false" ht="15" hidden="true" customHeight="false" outlineLevel="1" collapsed="false">
      <c r="A1268" s="9" t="s">
        <v>417</v>
      </c>
      <c r="B1268" s="58" t="n">
        <f aca="false">IF(B$47=1,MIN($AD$7*$AD$26*Quesería!$B$56*Quesería!$D$86*$AD$11*$AD$21,Quesería!$B$57*Quesería!$B$58),0)</f>
        <v>0</v>
      </c>
      <c r="C1268" s="58" t="n">
        <f aca="false">IF(C$47=1,MIN($AD$7*$AD$26*Quesería!$B$56*Quesería!$D$86*$AD$11*$AD$21,Quesería!$B$57*Quesería!$B$58),0)</f>
        <v>0</v>
      </c>
      <c r="D1268" s="58" t="n">
        <f aca="false">IF(D$47=1,MIN($AD$7*$AD$26*Quesería!$B$56*Quesería!$D$86*$AD$11*$AD$21,Quesería!$B$57*Quesería!$B$58),0)</f>
        <v>0</v>
      </c>
      <c r="E1268" s="58" t="n">
        <f aca="false">IF(E$47=1,MIN($AD$7*$AD$26*Quesería!$B$56*Quesería!$D$86*$AD$11*$AD$21,Quesería!$B$57*Quesería!$B$58),0)</f>
        <v>0</v>
      </c>
      <c r="F1268" s="58" t="n">
        <f aca="false">IF(F$47=1,MIN($AD$7*$AD$26*Quesería!$B$56*Quesería!$D$86*$AD$11*$AD$21,Quesería!$B$57*Quesería!$B$58),0)</f>
        <v>0</v>
      </c>
      <c r="G1268" s="58" t="n">
        <f aca="false">IF(G$47=1,MIN($AD$7*$AD$26*Quesería!$B$56*Quesería!$D$86*$AD$11*$AD$21,Quesería!$B$57*Quesería!$B$58),0)</f>
        <v>0</v>
      </c>
      <c r="H1268" s="58" t="n">
        <f aca="false">IF(H$47=1,MIN($AD$7*$AD$26*Quesería!$B$56*Quesería!$D$86*$AD$11*$AD$21,Quesería!$B$57*Quesería!$B$58),0)</f>
        <v>0</v>
      </c>
      <c r="I1268" s="58" t="n">
        <f aca="false">IF(I$47=1,MIN($AD$7*$AD$26*Quesería!$B$56*Quesería!$D$86*$AD$11*$AD$21,Quesería!$B$57*Quesería!$B$58),0)</f>
        <v>0</v>
      </c>
      <c r="J1268" s="58" t="n">
        <f aca="false">IF(J$47=1,MIN($AD$7*$AD$26*Quesería!$B$56*Quesería!$D$86*$AD$11*$AD$21,Quesería!$B$57*Quesería!$B$58),0)</f>
        <v>0</v>
      </c>
      <c r="K1268" s="58" t="n">
        <f aca="false">IF(K$47=1,MIN($AD$7*$AD$26*Quesería!$B$56*Quesería!$D$86*$AD$11*$AD$21,Quesería!$B$57*Quesería!$B$58),0)</f>
        <v>0</v>
      </c>
      <c r="L1268" s="58" t="n">
        <f aca="false">IF(L$47=1,MIN($AD$7*$AD$26*Quesería!$B$56*Quesería!$D$86*$AD$11*$AD$21,Quesería!$B$57*Quesería!$B$58),0)</f>
        <v>0</v>
      </c>
    </row>
    <row r="1269" customFormat="false" ht="15" hidden="true" customHeight="false" outlineLevel="1" collapsed="false">
      <c r="A1269" s="9" t="s">
        <v>418</v>
      </c>
      <c r="B1269" s="58" t="n">
        <v>0</v>
      </c>
      <c r="C1269" s="58" t="n">
        <f aca="false">$AD$20*Quesería!$B$60*Quesería!$F$98*$AD$11*$B$1255/C1255/2</f>
        <v>138.12868344741</v>
      </c>
      <c r="D1269" s="58" t="n">
        <f aca="false">$AD$20*Quesería!$B$60*Quesería!$F$98*$AD$11*$B$1255/D1255/2</f>
        <v>132.18055832288</v>
      </c>
      <c r="E1269" s="58" t="n">
        <v>0</v>
      </c>
      <c r="F1269" s="58" t="n">
        <v>0</v>
      </c>
      <c r="G1269" s="58" t="n">
        <v>0</v>
      </c>
      <c r="H1269" s="58" t="n">
        <v>0</v>
      </c>
      <c r="I1269" s="58" t="n">
        <v>0</v>
      </c>
      <c r="J1269" s="58" t="n">
        <v>0</v>
      </c>
      <c r="K1269" s="58" t="n">
        <v>0</v>
      </c>
      <c r="L1269" s="58" t="n">
        <v>0</v>
      </c>
    </row>
    <row r="1270" customFormat="false" ht="15" hidden="true" customHeight="false" outlineLevel="1" collapsed="false">
      <c r="A1270" s="9" t="s">
        <v>419</v>
      </c>
      <c r="B1270" s="58" t="n">
        <f aca="false">0</f>
        <v>0</v>
      </c>
      <c r="C1270" s="58" t="n">
        <f aca="false">B1260*B1255/C1255</f>
        <v>142.014925295407</v>
      </c>
      <c r="D1270" s="58" t="n">
        <f aca="false">C1260*C1255/D1255</f>
        <v>137.903466668091</v>
      </c>
      <c r="E1270" s="58" t="n">
        <f aca="false">D1260*D1255/E1255</f>
        <v>0</v>
      </c>
      <c r="F1270" s="58" t="n">
        <f aca="false">E1260*E1255/F1255</f>
        <v>0</v>
      </c>
      <c r="G1270" s="58" t="n">
        <f aca="false">F1260*F1255/G1255</f>
        <v>0</v>
      </c>
      <c r="H1270" s="58" t="n">
        <f aca="false">G1260*G1255/H1255</f>
        <v>5.01768392412113</v>
      </c>
      <c r="I1270" s="58" t="n">
        <f aca="false">H1260*H1255/I1255</f>
        <v>8.47494190873221</v>
      </c>
      <c r="J1270" s="58" t="n">
        <f aca="false">I1260*I1255/J1255</f>
        <v>0</v>
      </c>
      <c r="K1270" s="58" t="n">
        <f aca="false">J1260*J1255/K1255</f>
        <v>0</v>
      </c>
      <c r="L1270" s="58" t="n">
        <f aca="false">K1260*K1255/L1255</f>
        <v>0</v>
      </c>
    </row>
    <row r="1271" customFormat="false" ht="15" hidden="true" customHeight="false" outlineLevel="1" collapsed="false">
      <c r="A1271" s="6" t="s">
        <v>295</v>
      </c>
      <c r="B1271" s="29" t="n">
        <f aca="false">$AD$17*(B1263-B1264-B1265-0.5*B1266-B1267)-B1268-B1269-B1270</f>
        <v>-9.59839124703308</v>
      </c>
      <c r="C1271" s="29" t="n">
        <f aca="false">$AD$17*(C1263-C1264-C1265-0.5*C1266-C1267)-C1268-C1269-C1270</f>
        <v>-267.35904962886</v>
      </c>
      <c r="D1271" s="29" t="n">
        <f aca="false">$AD$17*(D1263-D1264-D1265-0.5*D1266-D1267)-D1268-D1269-D1270</f>
        <v>-172.493735844336</v>
      </c>
      <c r="E1271" s="29" t="n">
        <f aca="false">$AD$17*(E1263-E1264-E1265-0.5*E1266-E1267)-E1268-E1269-E1270</f>
        <v>127.708179908365</v>
      </c>
      <c r="F1271" s="29" t="n">
        <f aca="false">$AD$17*(F1263-F1264-F1265-0.5*F1266-F1267)-F1268-F1269-F1270</f>
        <v>129.774820214489</v>
      </c>
      <c r="G1271" s="29" t="n">
        <f aca="false">$AD$17*(G1263-G1264-G1265-0.5*G1266-G1267)-G1268-G1269-G1270</f>
        <v>131.743799404566</v>
      </c>
      <c r="H1271" s="29" t="n">
        <f aca="false">$AD$17*(H1263-H1264-H1265-0.5*H1266-H1267)-H1268-H1269-H1270</f>
        <v>131.086844298431</v>
      </c>
      <c r="I1271" s="29" t="n">
        <f aca="false">$AD$17*(I1263-I1264-I1265-0.5*I1266-I1267)-I1268-I1269-I1270</f>
        <v>126.302280454738</v>
      </c>
      <c r="J1271" s="29" t="n">
        <f aca="false">$AD$17*(J1263-J1264-J1265-0.5*J1266-J1267)-J1268-J1269-J1270</f>
        <v>136.590932301767</v>
      </c>
      <c r="K1271" s="29" t="n">
        <f aca="false">$AD$17*(K1263-K1264-K1265-0.5*K1266-K1267)-K1268-K1269-K1270</f>
        <v>138.339682520474</v>
      </c>
      <c r="L1271" s="29" t="n">
        <f aca="false">$AD$17*(L1263-L1264-L1265-0.5*L1266-L1267)-L1268-L1269-L1270</f>
        <v>140.02599546212</v>
      </c>
    </row>
    <row r="1272" customFormat="false" ht="15" hidden="true" customHeight="false" outlineLevel="1" collapsed="false">
      <c r="A1272" s="9" t="s">
        <v>420</v>
      </c>
      <c r="B1272" s="58" t="n">
        <f aca="false">(IF(B$47&gt;=1,Quesería!$G$124*IF(B$47=1,Quesería!$B$20,1),Quesería!$G$124*Quesería!$B$20*Quesería!$B$21/12*$AD$23)+IF(B$47&gt;=2,(Quesería!$G$125-(1-$AD$24)*Quesería!$G$117-(-$AD$26*$AD$27)*'Beneficios y costos'!$D$167)*$AD$21*IF(B$47=2,Quesería!$B$20,1),0))*$AD$10</f>
        <v>77.4042870161869</v>
      </c>
      <c r="C1272" s="58" t="n">
        <f aca="false">(IF(C$47&gt;=1,Quesería!$G$124*IF(C$47=1,Quesería!$B$20,1),Quesería!$G$124*Quesería!$B$20*Quesería!$B$21/12*$AD$23)+IF(C$47&gt;=2,(Quesería!$G$125-(1-$AD$24)*Quesería!$G$117-(-$AD$26*$AD$27)*'Beneficios y costos'!$D$167)*$AD$21*IF(C$47=2,Quesería!$B$20,1),0))*$AD$10</f>
        <v>116.10643052428</v>
      </c>
      <c r="D1272" s="58" t="n">
        <f aca="false">(IF(D$47&gt;=1,Quesería!$G$124*IF(D$47=1,Quesería!$B$20,1),Quesería!$G$124*Quesería!$B$20*Quesería!$B$21/12*$AD$23)+IF(D$47&gt;=2,(Quesería!$G$125-(1-$AD$24)*Quesería!$G$117-(-$AD$26*$AD$27)*'Beneficios y costos'!$D$167)*$AD$21*IF(D$47=2,Quesería!$B$20,1),0))*$AD$10</f>
        <v>2050.87229020279</v>
      </c>
      <c r="E1272" s="58" t="n">
        <f aca="false">(IF(E$47&gt;=1,Quesería!$G$124*IF(E$47=1,Quesería!$B$20,1),Quesería!$G$124*Quesería!$B$20*Quesería!$B$21/12*$AD$23)+IF(E$47&gt;=2,(Quesería!$G$125-(1-$AD$24)*Quesería!$G$117-(-$AD$26*$AD$27)*'Beneficios y costos'!$D$167)*$AD$21*IF(E$47=2,Quesería!$B$20,1),0))*$AD$10</f>
        <v>2682.89352892626</v>
      </c>
      <c r="F1272" s="58" t="n">
        <f aca="false">(IF(F$47&gt;=1,Quesería!$G$124*IF(F$47=1,Quesería!$B$20,1),Quesería!$G$124*Quesería!$B$20*Quesería!$B$21/12*$AD$23)+IF(F$47&gt;=2,(Quesería!$G$125-(1-$AD$24)*Quesería!$G$117-(-$AD$26*$AD$27)*'Beneficios y costos'!$D$167)*$AD$21*IF(F$47=2,Quesería!$B$20,1),0))*$AD$10</f>
        <v>2682.89352892626</v>
      </c>
      <c r="G1272" s="58" t="n">
        <f aca="false">(IF(G$47&gt;=1,Quesería!$G$124*IF(G$47=1,Quesería!$B$20,1),Quesería!$G$124*Quesería!$B$20*Quesería!$B$21/12*$AD$23)+IF(G$47&gt;=2,(Quesería!$G$125-(1-$AD$24)*Quesería!$G$117-(-$AD$26*$AD$27)*'Beneficios y costos'!$D$167)*$AD$21*IF(G$47=2,Quesería!$B$20,1),0))*$AD$10</f>
        <v>2682.89352892626</v>
      </c>
      <c r="H1272" s="58" t="n">
        <f aca="false">(IF(H$47&gt;=1,Quesería!$G$124*IF(H$47=1,Quesería!$B$20,1),Quesería!$G$124*Quesería!$B$20*Quesería!$B$21/12*$AD$23)+IF(H$47&gt;=2,(Quesería!$G$125-(1-$AD$24)*Quesería!$G$117-(-$AD$26*$AD$27)*'Beneficios y costos'!$D$167)*$AD$21*IF(H$47=2,Quesería!$B$20,1),0))*$AD$10</f>
        <v>2682.89352892626</v>
      </c>
      <c r="I1272" s="58" t="n">
        <f aca="false">(IF(I$47&gt;=1,Quesería!$G$124*IF(I$47=1,Quesería!$B$20,1),Quesería!$G$124*Quesería!$B$20*Quesería!$B$21/12*$AD$23)+IF(I$47&gt;=2,(Quesería!$G$125-(1-$AD$24)*Quesería!$G$117-(-$AD$26*$AD$27)*'Beneficios y costos'!$D$167)*$AD$21*IF(I$47=2,Quesería!$B$20,1),0))*$AD$10</f>
        <v>2682.89352892626</v>
      </c>
      <c r="J1272" s="58" t="n">
        <f aca="false">(IF(J$47&gt;=1,Quesería!$G$124*IF(J$47=1,Quesería!$B$20,1),Quesería!$G$124*Quesería!$B$20*Quesería!$B$21/12*$AD$23)+IF(J$47&gt;=2,(Quesería!$G$125-(1-$AD$24)*Quesería!$G$117-(-$AD$26*$AD$27)*'Beneficios y costos'!$D$167)*$AD$21*IF(J$47=2,Quesería!$B$20,1),0))*$AD$10</f>
        <v>2682.89352892626</v>
      </c>
      <c r="K1272" s="58" t="n">
        <f aca="false">(IF(K$47&gt;=1,Quesería!$G$124*IF(K$47=1,Quesería!$B$20,1),Quesería!$G$124*Quesería!$B$20*Quesería!$B$21/12*$AD$23)+IF(K$47&gt;=2,(Quesería!$G$125-(1-$AD$24)*Quesería!$G$117-(-$AD$26*$AD$27)*'Beneficios y costos'!$D$167)*$AD$21*IF(K$47=2,Quesería!$B$20,1),0))*$AD$10</f>
        <v>2682.89352892626</v>
      </c>
      <c r="L1272" s="58" t="n">
        <f aca="false">(IF(L$47&gt;=1,Quesería!$G$124*IF(L$47=1,Quesería!$B$20,1),Quesería!$G$124*Quesería!$B$20*Quesería!$B$21/12*$AD$23)+IF(L$47&gt;=2,(Quesería!$G$125-(1-$AD$24)*Quesería!$G$117-(-$AD$26*$AD$27)*'Beneficios y costos'!$D$167)*$AD$21*IF(L$47=2,Quesería!$B$20,1),0))*$AD$10</f>
        <v>2682.89352892626</v>
      </c>
    </row>
    <row r="1273" customFormat="false" ht="15" hidden="true" customHeight="false" outlineLevel="1" collapsed="false">
      <c r="A1273" s="6" t="s">
        <v>421</v>
      </c>
      <c r="B1273" s="29" t="n">
        <f aca="false">(B1272*(Quesería!$B$38+Quesería!$B$40*Quesería!$B$39)/365-B1264*Quesería!$B$42/365+IF(B$47&gt;=2,($AD$25*'Beneficios y costos'!$B$147+(1-$AD$25)*'Beneficios y costos'!$B$148)*$AD$24*$AD$21*$AD$10*IF(B$47=2,Quesería!$B$20,1),0))</f>
        <v>7.23146900616979</v>
      </c>
      <c r="C1273" s="29" t="n">
        <f aca="false">(C1272*(Quesería!$B$38+Quesería!$B$40*Quesería!$B$39)/365-C1264*Quesería!$B$42/365+IF(C$47&gt;=2,($AD$25*'Beneficios y costos'!$B$147+(1-$AD$25)*'Beneficios y costos'!$B$148)*$AD$24*$AD$21*$AD$10*IF(C$47=2,Quesería!$B$20,1),0))-(B1272*(Quesería!$B$38+Quesería!$B$40*Quesería!$B$39)/365-B1264*Quesería!$B$42/365+IF(B$47&gt;=2,($AD$25*'Beneficios y costos'!$B$147+(1-$AD$25)*'Beneficios y costos'!$B$148)*$AD$24*$AD$21*$AD$10*IF(B$47=2,Quesería!$B$20,1),0))*B1255/C1255</f>
        <v>1.42287846600884</v>
      </c>
      <c r="D1273" s="29" t="n">
        <f aca="false">(D1272*(Quesería!$B$38+Quesería!$B$40*Quesería!$B$39)/365-D1264*Quesería!$B$42/365+IF(D$47&gt;=2,($AD$25*'Beneficios y costos'!$B$147+(1-$AD$25)*'Beneficios y costos'!$B$148)*$AD$24*$AD$21*$AD$10*IF(D$47=2,Quesería!$B$20,1),0))-(C1272*(Quesería!$B$38+Quesería!$B$40*Quesería!$B$39)/365-C1264*Quesería!$B$42/365+IF(C$47&gt;=2,($AD$25*'Beneficios y costos'!$B$147+(1-$AD$25)*'Beneficios y costos'!$B$148)*$AD$24*$AD$21*$AD$10*IF(C$47=2,Quesería!$B$20,1),0))*C1255/D1255</f>
        <v>122.426066301087</v>
      </c>
      <c r="E1273" s="29" t="n">
        <f aca="false">(E1272*(Quesería!$B$38+Quesería!$B$40*Quesería!$B$39)/365-E1264*Quesería!$B$42/365+IF(E$47&gt;=2,($AD$25*'Beneficios y costos'!$B$147+(1-$AD$25)*'Beneficios y costos'!$B$148)*$AD$24*$AD$21*$AD$10*IF(E$47=2,Quesería!$B$20,1),0))-(D1272*(Quesería!$B$38+Quesería!$B$40*Quesería!$B$39)/365-D1264*Quesería!$B$42/365+IF(D$47&gt;=2,($AD$25*'Beneficios y costos'!$B$147+(1-$AD$25)*'Beneficios y costos'!$B$148)*$AD$24*$AD$21*$AD$10*IF(D$47=2,Quesería!$B$20,1),0))*D1255/E1255</f>
        <v>45.5805979425714</v>
      </c>
      <c r="F1273" s="29" t="n">
        <f aca="false">(F1272*(Quesería!$B$38+Quesería!$B$40*Quesería!$B$39)/365-F1264*Quesería!$B$42/365+IF(F$47&gt;=2,($AD$25*'Beneficios y costos'!$B$147+(1-$AD$25)*'Beneficios y costos'!$B$148)*$AD$24*$AD$21*$AD$10*IF(F$47=2,Quesería!$B$20,1),0))-(E1272*(Quesería!$B$38+Quesería!$B$40*Quesería!$B$39)/365-E1264*Quesería!$B$42/365+IF(E$47&gt;=2,($AD$25*'Beneficios y costos'!$B$147+(1-$AD$25)*'Beneficios y costos'!$B$148)*$AD$24*$AD$21*$AD$10*IF(E$47=2,Quesería!$B$20,1),0))*E1255/F1255</f>
        <v>6.5747793428074</v>
      </c>
      <c r="G1273" s="29" t="n">
        <f aca="false">(G1272*(Quesería!$B$38+Quesería!$B$40*Quesería!$B$39)/365-G1264*Quesería!$B$42/365+IF(G$47&gt;=2,($AD$25*'Beneficios y costos'!$B$147+(1-$AD$25)*'Beneficios y costos'!$B$148)*$AD$24*$AD$21*$AD$10*IF(G$47=2,Quesería!$B$20,1),0))-(F1272*(Quesería!$B$38+Quesería!$B$40*Quesería!$B$39)/365-F1264*Quesería!$B$42/365+IF(F$47&gt;=2,($AD$25*'Beneficios y costos'!$B$147+(1-$AD$25)*'Beneficios y costos'!$B$148)*$AD$24*$AD$21*$AD$10*IF(F$47=2,Quesería!$B$20,1),0))*F1255/G1255</f>
        <v>6.57477934280743</v>
      </c>
      <c r="H1273" s="29" t="n">
        <f aca="false">(H1272*(Quesería!$B$38+Quesería!$B$40*Quesería!$B$39)/365-H1264*Quesería!$B$42/365+IF(H$47&gt;=2,($AD$25*'Beneficios y costos'!$B$147+(1-$AD$25)*'Beneficios y costos'!$B$148)*$AD$24*$AD$21*$AD$10*IF(H$47=2,Quesería!$B$20,1),0))-(G1272*(Quesería!$B$38+Quesería!$B$40*Quesería!$B$39)/365-G1264*Quesería!$B$42/365+IF(G$47&gt;=2,($AD$25*'Beneficios y costos'!$B$147+(1-$AD$25)*'Beneficios y costos'!$B$148)*$AD$24*$AD$21*$AD$10*IF(G$47=2,Quesería!$B$20,1),0))*G1255/H1255</f>
        <v>6.57477934280743</v>
      </c>
      <c r="I1273" s="29" t="n">
        <f aca="false">(I1272*(Quesería!$B$38+Quesería!$B$40*Quesería!$B$39)/365-I1264*Quesería!$B$42/365+IF(I$47&gt;=2,($AD$25*'Beneficios y costos'!$B$147+(1-$AD$25)*'Beneficios y costos'!$B$148)*$AD$24*$AD$21*$AD$10*IF(I$47=2,Quesería!$B$20,1),0))-(H1272*(Quesería!$B$38+Quesería!$B$40*Quesería!$B$39)/365-H1264*Quesería!$B$42/365+IF(H$47&gt;=2,($AD$25*'Beneficios y costos'!$B$147+(1-$AD$25)*'Beneficios y costos'!$B$148)*$AD$24*$AD$21*$AD$10*IF(H$47=2,Quesería!$B$20,1),0))*H1255/I1255</f>
        <v>6.5747793428074</v>
      </c>
      <c r="J1273" s="29" t="n">
        <f aca="false">(J1272*(Quesería!$B$38+Quesería!$B$40*Quesería!$B$39)/365-J1264*Quesería!$B$42/365+IF(J$47&gt;=2,($AD$25*'Beneficios y costos'!$B$147+(1-$AD$25)*'Beneficios y costos'!$B$148)*$AD$24*$AD$21*$AD$10*IF(J$47=2,Quesería!$B$20,1),0))-(I1272*(Quesería!$B$38+Quesería!$B$40*Quesería!$B$39)/365-I1264*Quesería!$B$42/365+IF(I$47&gt;=2,($AD$25*'Beneficios y costos'!$B$147+(1-$AD$25)*'Beneficios y costos'!$B$148)*$AD$24*$AD$21*$AD$10*IF(I$47=2,Quesería!$B$20,1),0))*I1255/J1255</f>
        <v>6.57477934280743</v>
      </c>
      <c r="K1273" s="29" t="n">
        <f aca="false">(K1272*(Quesería!$B$38+Quesería!$B$40*Quesería!$B$39)/365-K1264*Quesería!$B$42/365+IF(K$47&gt;=2,($AD$25*'Beneficios y costos'!$B$147+(1-$AD$25)*'Beneficios y costos'!$B$148)*$AD$24*$AD$21*$AD$10*IF(K$47=2,Quesería!$B$20,1),0))-(J1272*(Quesería!$B$38+Quesería!$B$40*Quesería!$B$39)/365-J1264*Quesería!$B$42/365+IF(J$47&gt;=2,($AD$25*'Beneficios y costos'!$B$147+(1-$AD$25)*'Beneficios y costos'!$B$148)*$AD$24*$AD$21*$AD$10*IF(J$47=2,Quesería!$B$20,1),0))*J1255/K1255</f>
        <v>6.57477934280743</v>
      </c>
      <c r="L1273" s="29" t="n">
        <f aca="false">-(K1272*(Quesería!$B$38+Quesería!$B$40*Quesería!$B$39)/365-K1264*Quesería!$B$42/365+IF(K$47&gt;=2,($AD$25*'Beneficios y costos'!$B$147+(1-$AD$25)*'Beneficios y costos'!$B$148)*$AD$24*$AD$21*$AD$10*IF(K$47=2,Quesería!$B$20,1),0))*K1255/L1255</f>
        <v>-164.369483570186</v>
      </c>
    </row>
    <row r="1274" customFormat="false" ht="15" hidden="true" customHeight="false" outlineLevel="1" collapsed="false">
      <c r="A1274" s="6" t="s">
        <v>422</v>
      </c>
      <c r="B1274" s="29" t="n">
        <v>0</v>
      </c>
      <c r="C1274" s="29" t="n">
        <v>0</v>
      </c>
      <c r="D1274" s="29" t="n">
        <v>0</v>
      </c>
      <c r="E1274" s="29" t="n">
        <v>0</v>
      </c>
      <c r="F1274" s="29" t="n">
        <v>0</v>
      </c>
      <c r="G1274" s="29" t="n">
        <v>0</v>
      </c>
      <c r="H1274" s="29" t="n">
        <v>0</v>
      </c>
      <c r="I1274" s="29" t="n">
        <v>0</v>
      </c>
      <c r="J1274" s="29" t="n">
        <v>0</v>
      </c>
      <c r="K1274" s="29" t="n">
        <v>0</v>
      </c>
      <c r="L1274" s="29" t="n">
        <f aca="false">$AD$8*Quesería!$B$36*(Quesería!$F$94+(Quesería!$F$95-(-$AD$26)*Quesería!$D$86)*$AD$21)*$AD$11*(1-$AD$17)</f>
        <v>67.1237725584543</v>
      </c>
    </row>
    <row r="1275" customFormat="false" ht="15" hidden="true" customHeight="false" outlineLevel="1" collapsed="false">
      <c r="A1275" s="5" t="s">
        <v>147</v>
      </c>
      <c r="B1275" s="59" t="n">
        <f aca="false">B1263-B1264-B1265-B1266-B1271-B1258-B1259-B1260-B1273+B1274</f>
        <v>-961.151880133756</v>
      </c>
      <c r="C1275" s="59" t="n">
        <f aca="false">C1263-C1264-C1265-C1266-C1271-C1258-C1259-C1260-C1273+C1274</f>
        <v>-519.777758451238</v>
      </c>
      <c r="D1275" s="59" t="n">
        <f aca="false">D1263-D1264-D1265-D1266-D1271-D1258-D1259-D1260-D1273+D1274</f>
        <v>480.006839582983</v>
      </c>
      <c r="E1275" s="59" t="n">
        <f aca="false">E1263-E1264-E1265-E1266-E1271-E1258-E1259-E1260-E1273+E1274</f>
        <v>336.882214075254</v>
      </c>
      <c r="F1275" s="59" t="n">
        <f aca="false">F1263-F1264-F1265-F1266-F1271-F1258-F1259-F1260-F1273+F1274</f>
        <v>374.130603404329</v>
      </c>
      <c r="G1275" s="59" t="n">
        <f aca="false">G1263-G1264-G1265-G1266-G1271-G1258-G1259-G1260-G1273+G1274</f>
        <v>339.658038320706</v>
      </c>
      <c r="H1275" s="59" t="n">
        <f aca="false">H1263-H1264-H1265-H1266-H1271-H1258-H1259-H1260-H1273+H1274</f>
        <v>318.017739609846</v>
      </c>
      <c r="I1275" s="59" t="n">
        <f aca="false">I1263-I1264-I1265-I1266-I1271-I1258-I1259-I1260-I1273+I1274</f>
        <v>378.540083561205</v>
      </c>
      <c r="J1275" s="59" t="n">
        <f aca="false">J1263-J1264-J1265-J1266-J1271-J1258-J1259-J1260-J1273+J1274</f>
        <v>368.566873506776</v>
      </c>
      <c r="K1275" s="59" t="n">
        <f aca="false">K1263-K1264-K1265-K1266-K1271-K1258-K1259-K1260-K1273+K1274</f>
        <v>367.13514228963</v>
      </c>
      <c r="L1275" s="59" t="n">
        <f aca="false">L1263-L1264-L1265-L1266-L1271-L1258-L1259-L1260-L1273+L1274</f>
        <v>603.835468916001</v>
      </c>
    </row>
    <row r="1276" customFormat="false" ht="15" hidden="true" customHeight="false" outlineLevel="1" collapsed="false">
      <c r="A1276" s="9" t="s">
        <v>423</v>
      </c>
      <c r="B1276" s="58" t="n">
        <f aca="false">B1275*B1255</f>
        <v>-1018.82099294178</v>
      </c>
      <c r="C1276" s="58" t="n">
        <f aca="false">C1275*C1255</f>
        <v>-578.512645156228</v>
      </c>
      <c r="D1276" s="58" t="n">
        <f aca="false">D1275*D1255</f>
        <v>558.288755016374</v>
      </c>
      <c r="E1276" s="58" t="n">
        <f aca="false">E1275*E1255</f>
        <v>407.495555956025</v>
      </c>
      <c r="F1276" s="58" t="n">
        <f aca="false">F1275*F1255</f>
        <v>470.653581397943</v>
      </c>
      <c r="G1276" s="58" t="n">
        <f aca="false">G1275*G1255</f>
        <v>444.378838728716</v>
      </c>
      <c r="H1276" s="58" t="n">
        <f aca="false">H1275*H1255</f>
        <v>432.709229266349</v>
      </c>
      <c r="I1276" s="58" t="n">
        <f aca="false">I1275*I1255</f>
        <v>535.660996538578</v>
      </c>
      <c r="J1276" s="58" t="n">
        <f aca="false">J1275*J1255</f>
        <v>542.410126748701</v>
      </c>
      <c r="K1276" s="58" t="n">
        <f aca="false">K1275*K1255</f>
        <v>561.915209186434</v>
      </c>
      <c r="L1276" s="58" t="n">
        <f aca="false">L1275*L1255</f>
        <v>961.162434580959</v>
      </c>
    </row>
    <row r="1277" customFormat="false" ht="15" hidden="true" customHeight="false" outlineLevel="1" collapsed="false">
      <c r="A1277" s="6" t="s">
        <v>424</v>
      </c>
      <c r="B1277" s="29" t="n">
        <f aca="false">B1275</f>
        <v>-961.151880133756</v>
      </c>
      <c r="C1277" s="29" t="n">
        <f aca="false">B1277+C1275</f>
        <v>-1480.92963858499</v>
      </c>
      <c r="D1277" s="29" t="n">
        <f aca="false">C1277+D1275</f>
        <v>-1000.92279900201</v>
      </c>
      <c r="E1277" s="29" t="n">
        <f aca="false">D1277+E1275</f>
        <v>-664.040584926756</v>
      </c>
      <c r="F1277" s="29" t="n">
        <f aca="false">E1277+F1275</f>
        <v>-289.909981522427</v>
      </c>
      <c r="G1277" s="29" t="n">
        <f aca="false">F1277+G1275</f>
        <v>49.7480567982788</v>
      </c>
      <c r="H1277" s="29" t="n">
        <f aca="false">G1277+H1275</f>
        <v>367.765796408125</v>
      </c>
      <c r="I1277" s="29" t="n">
        <f aca="false">H1277+I1275</f>
        <v>746.30587996933</v>
      </c>
      <c r="J1277" s="29" t="n">
        <f aca="false">I1277+J1275</f>
        <v>1114.87275347611</v>
      </c>
      <c r="K1277" s="29" t="n">
        <f aca="false">J1277+K1275</f>
        <v>1482.00789576574</v>
      </c>
      <c r="L1277" s="29" t="n">
        <f aca="false">K1277+L1275</f>
        <v>2085.84336468174</v>
      </c>
    </row>
    <row r="1278" customFormat="false" ht="15" hidden="true" customHeight="false" outlineLevel="1" collapsed="false">
      <c r="A1278" s="9" t="s">
        <v>425</v>
      </c>
      <c r="B1278" s="60" t="n">
        <v>0</v>
      </c>
      <c r="C1278" s="60" t="n">
        <f aca="false">IF(AND(B1277&lt;0,C1277&gt;=0),B$47+(-B1277)/C1275,0)</f>
        <v>0</v>
      </c>
      <c r="D1278" s="60" t="n">
        <f aca="false">IF(AND(C1277&lt;0,D1277&gt;=0),C$47+(-C1277)/D1275,0)</f>
        <v>0</v>
      </c>
      <c r="E1278" s="60" t="n">
        <f aca="false">IF(AND(D1277&lt;0,E1277&gt;=0),D$47+(-D1277)/E1275,0)</f>
        <v>0</v>
      </c>
      <c r="F1278" s="60" t="n">
        <f aca="false">IF(AND(E1277&lt;0,F1277&gt;=0),E$47+(-E1277)/F1275,0)</f>
        <v>0</v>
      </c>
      <c r="G1278" s="60" t="n">
        <f aca="false">IF(AND(F1277&lt;0,G1277&gt;=0),F$47+(-F1277)/G1275,0)</f>
        <v>4.85353487571136</v>
      </c>
      <c r="H1278" s="60" t="n">
        <f aca="false">IF(AND(G1277&lt;0,H1277&gt;=0),G$47+(-G1277)/H1275,0)</f>
        <v>0</v>
      </c>
      <c r="I1278" s="60" t="n">
        <f aca="false">IF(AND(H1277&lt;0,I1277&gt;=0),H$47+(-H1277)/I1275,0)</f>
        <v>0</v>
      </c>
      <c r="J1278" s="60" t="n">
        <f aca="false">IF(AND(I1277&lt;0,J1277&gt;=0),I$47+(-I1277)/J1275,0)</f>
        <v>0</v>
      </c>
      <c r="K1278" s="60" t="n">
        <f aca="false">IF(AND(J1277&lt;0,K1277&gt;=0),J$47+(-J1277)/K1275,0)</f>
        <v>0</v>
      </c>
      <c r="L1278" s="60" t="n">
        <f aca="false">IF(AND(K1277&lt;0,L1277&gt;=0),K$47+(-K1277)/L1275,0)</f>
        <v>0</v>
      </c>
    </row>
    <row r="1279" customFormat="false" ht="15" hidden="true" customHeight="false" outlineLevel="1" collapsed="false">
      <c r="A1279" s="9" t="s">
        <v>426</v>
      </c>
      <c r="B1279" s="57" t="n">
        <f aca="false">(B1255/$B$1255)/(1+$AD$29)^B$47</f>
        <v>1</v>
      </c>
      <c r="C1279" s="57" t="n">
        <f aca="false">(C1255/$B$1255)/(1+$AD$29)^C$47</f>
        <v>0.915373701313561</v>
      </c>
      <c r="D1279" s="57" t="n">
        <f aca="false">(D1255/$B$1255)/(1+$AD$29)^D$47</f>
        <v>0.833918970137172</v>
      </c>
      <c r="E1279" s="57" t="n">
        <f aca="false">(E1255/$B$1255)/(1+$AD$29)^E$47</f>
        <v>0.756077518153961</v>
      </c>
      <c r="F1279" s="57" t="n">
        <f aca="false">(F1255/$B$1255)/(1+$AD$29)^F$47</f>
        <v>0.685502109831871</v>
      </c>
      <c r="G1279" s="57" t="n">
        <f aca="false">(G1255/$B$1255)/(1+$AD$29)^G$47</f>
        <v>0.621514502549008</v>
      </c>
      <c r="H1279" s="57" t="n">
        <f aca="false">(H1255/$B$1255)/(1+$AD$29)^H$47</f>
        <v>0.563499763660072</v>
      </c>
      <c r="I1279" s="57" t="n">
        <f aca="false">(I1255/$B$1255)/(1+$AD$29)^I$47</f>
        <v>0.510900360880829</v>
      </c>
      <c r="J1279" s="57" t="n">
        <f aca="false">(J1255/$B$1255)/(1+$AD$29)^J$47</f>
        <v>0.463210804300567</v>
      </c>
      <c r="K1279" s="57" t="n">
        <f aca="false">(K1255/$B$1255)/(1+$AD$29)^K$47</f>
        <v>0.419972788531318</v>
      </c>
      <c r="L1279" s="57" t="n">
        <f aca="false">(L1255/$B$1255)/(1+$AD$29)^L$47</f>
        <v>0.380770788308996</v>
      </c>
    </row>
    <row r="1280" customFormat="false" ht="15" hidden="true" customHeight="false" outlineLevel="1" collapsed="false">
      <c r="A1280" s="9" t="s">
        <v>427</v>
      </c>
      <c r="B1280" s="58" t="n">
        <f aca="false">B1275*B1279</f>
        <v>-961.151880133756</v>
      </c>
      <c r="C1280" s="58" t="n">
        <f aca="false">C1275*C1279</f>
        <v>-475.790890613976</v>
      </c>
      <c r="D1280" s="58" t="n">
        <f aca="false">D1275*D1279</f>
        <v>400.28680932384</v>
      </c>
      <c r="E1280" s="58" t="n">
        <f aca="false">E1275*E1279</f>
        <v>254.709068328229</v>
      </c>
      <c r="F1280" s="58" t="n">
        <f aca="false">F1275*F1279</f>
        <v>256.467317986339</v>
      </c>
      <c r="G1280" s="58" t="n">
        <f aca="false">G1275*G1279</f>
        <v>211.102396723665</v>
      </c>
      <c r="H1280" s="58" t="n">
        <f aca="false">H1275*H1279</f>
        <v>179.202921109859</v>
      </c>
      <c r="I1280" s="58" t="n">
        <f aca="false">I1275*I1279</f>
        <v>193.396265299279</v>
      </c>
      <c r="J1280" s="58" t="n">
        <f aca="false">J1275*J1279</f>
        <v>170.724157915619</v>
      </c>
      <c r="K1280" s="58" t="n">
        <f aca="false">K1275*K1279</f>
        <v>154.186769475218</v>
      </c>
      <c r="L1280" s="58" t="n">
        <f aca="false">L1275*L1279</f>
        <v>229.922907508078</v>
      </c>
    </row>
    <row r="1281" customFormat="false" ht="15" hidden="true" customHeight="false" outlineLevel="1" collapsed="false">
      <c r="A1281" s="9" t="s">
        <v>428</v>
      </c>
      <c r="B1281" s="58" t="n">
        <f aca="false">B1280</f>
        <v>-961.151880133756</v>
      </c>
      <c r="C1281" s="58" t="n">
        <f aca="false">B1281+C1280</f>
        <v>-1436.94277074773</v>
      </c>
      <c r="D1281" s="58" t="n">
        <f aca="false">C1281+D1280</f>
        <v>-1036.65596142389</v>
      </c>
      <c r="E1281" s="58" t="n">
        <f aca="false">D1281+E1280</f>
        <v>-781.946893095662</v>
      </c>
      <c r="F1281" s="58" t="n">
        <f aca="false">E1281+F1280</f>
        <v>-525.479575109323</v>
      </c>
      <c r="G1281" s="58" t="n">
        <f aca="false">F1281+G1280</f>
        <v>-314.377178385658</v>
      </c>
      <c r="H1281" s="58" t="n">
        <f aca="false">G1281+H1280</f>
        <v>-135.174257275799</v>
      </c>
      <c r="I1281" s="58" t="n">
        <f aca="false">H1281+I1280</f>
        <v>58.2220080234798</v>
      </c>
      <c r="J1281" s="58" t="n">
        <f aca="false">I1281+J1280</f>
        <v>228.946165939099</v>
      </c>
      <c r="K1281" s="58" t="n">
        <f aca="false">J1281+K1280</f>
        <v>383.132935414317</v>
      </c>
      <c r="L1281" s="58" t="n">
        <f aca="false">K1281+L1280</f>
        <v>613.055842922395</v>
      </c>
    </row>
    <row r="1282" customFormat="false" ht="15" hidden="true" customHeight="false" outlineLevel="1" collapsed="false">
      <c r="A1282" s="9" t="s">
        <v>429</v>
      </c>
      <c r="B1282" s="60" t="n">
        <v>0</v>
      </c>
      <c r="C1282" s="60" t="n">
        <f aca="false">IF(AND(B1281&lt;0,C1281&gt;=0),B$47+(-B1281)/C1280,0)</f>
        <v>0</v>
      </c>
      <c r="D1282" s="60" t="n">
        <f aca="false">IF(AND(C1281&lt;0,D1281&gt;=0),C$47+(-C1281)/D1280,0)</f>
        <v>0</v>
      </c>
      <c r="E1282" s="60" t="n">
        <f aca="false">IF(AND(D1281&lt;0,E1281&gt;=0),D$47+(-D1281)/E1280,0)</f>
        <v>0</v>
      </c>
      <c r="F1282" s="60" t="n">
        <f aca="false">IF(AND(E1281&lt;0,F1281&gt;=0),E$47+(-E1281)/F1280,0)</f>
        <v>0</v>
      </c>
      <c r="G1282" s="60" t="n">
        <f aca="false">IF(AND(F1281&lt;0,G1281&gt;=0),F$47+(-F1281)/G1280,0)</f>
        <v>0</v>
      </c>
      <c r="H1282" s="60" t="n">
        <f aca="false">IF(AND(G1281&lt;0,H1281&gt;=0),G$47+(-G1281)/H1280,0)</f>
        <v>0</v>
      </c>
      <c r="I1282" s="60" t="n">
        <f aca="false">IF(AND(H1281&lt;0,I1281&gt;=0),H$47+(-H1281)/I1280,0)</f>
        <v>6.69894967757841</v>
      </c>
      <c r="J1282" s="60" t="n">
        <f aca="false">IF(AND(I1281&lt;0,J1281&gt;=0),I$47+(-I1281)/J1280,0)</f>
        <v>0</v>
      </c>
      <c r="K1282" s="60" t="n">
        <f aca="false">IF(AND(J1281&lt;0,K1281&gt;=0),J$47+(-J1281)/K1280,0)</f>
        <v>0</v>
      </c>
      <c r="L1282" s="60" t="n">
        <f aca="false">IF(AND(K1281&lt;0,L1281&gt;=0),K$47+(-K1281)/L1280,0)</f>
        <v>0</v>
      </c>
    </row>
    <row r="1283" customFormat="false" ht="15" hidden="true" customHeight="false" outlineLevel="1" collapsed="false">
      <c r="A1283" s="9" t="s">
        <v>430</v>
      </c>
      <c r="B1283" s="58" t="n">
        <f aca="false">IF(B$47&lt;0,0,(Quesería!$B$44*$B$1258*$B$1255)*(1-MAX(0,MIN(B$47-0-Quesería!$B$47,(Quesería!$B$46-Quesería!$B$47)))/(Quesería!$B$46-Quesería!$B$47))*IF(B$47&gt;=2,1-Quesería!$B$48,1))+IF(B$47&lt;1,0,(Quesería!$B$44*$C$1258*$C$1255)*(1-MAX(0,MIN(B$47-1-Quesería!$B$47,(Quesería!$B$46-Quesería!$B$47)))/(Quesería!$B$46-Quesería!$B$47))*IF(B$47&gt;=2,1-Quesería!$B$48,1))</f>
        <v>641.321364968425</v>
      </c>
      <c r="C1283" s="58" t="n">
        <f aca="false">IF(C$47&lt;0,0,(Quesería!$B$44*$B$1258*$B$1255)*(1-MAX(0,MIN(C$47-0-Quesería!$B$47,(Quesería!$B$46-Quesería!$B$47)))/(Quesería!$B$46-Quesería!$B$47))*IF(C$47&gt;=2,1-Quesería!$B$48,1))+IF(C$47&lt;1,0,(Quesería!$B$44*$C$1258*$C$1255)*(1-MAX(0,MIN(C$47-1-Quesería!$B$47,(Quesería!$B$46-Quesería!$B$47)))/(Quesería!$B$46-Quesería!$B$47))*IF(C$47&gt;=2,1-Quesería!$B$48,1))</f>
        <v>1190.03581125409</v>
      </c>
      <c r="D1283" s="58" t="n">
        <f aca="false">IF(D$47&lt;0,0,(Quesería!$B$44*$B$1258*$B$1255)*(1-MAX(0,MIN(D$47-0-Quesería!$B$47,(Quesería!$B$46-Quesería!$B$47)))/(Quesería!$B$46-Quesería!$B$47))*IF(D$47&gt;=2,1-Quesería!$B$48,1))+IF(D$47&lt;1,0,(Quesería!$B$44*$C$1258*$C$1255)*(1-MAX(0,MIN(D$47-1-Quesería!$B$47,(Quesería!$B$46-Quesería!$B$47)))/(Quesería!$B$46-Quesería!$B$47))*IF(D$47&gt;=2,1-Quesería!$B$48,1))</f>
        <v>1083.14891709269</v>
      </c>
      <c r="E1283" s="58" t="n">
        <f aca="false">IF(E$47&lt;0,0,(Quesería!$B$44*$B$1258*$B$1255)*(1-MAX(0,MIN(E$47-0-Quesería!$B$47,(Quesería!$B$46-Quesería!$B$47)))/(Quesería!$B$46-Quesería!$B$47))*IF(E$47&gt;=2,1-Quesería!$B$48,1))+IF(E$47&lt;1,0,(Quesería!$B$44*$C$1258*$C$1255)*(1-MAX(0,MIN(E$47-1-Quesería!$B$47,(Quesería!$B$46-Quesería!$B$47)))/(Quesería!$B$46-Quesería!$B$47))*IF(E$47&gt;=2,1-Quesería!$B$48,1))</f>
        <v>884.809615217005</v>
      </c>
      <c r="F1283" s="58" t="n">
        <f aca="false">IF(F$47&lt;0,0,(Quesería!$B$44*$B$1258*$B$1255)*(1-MAX(0,MIN(F$47-0-Quesería!$B$47,(Quesería!$B$46-Quesería!$B$47)))/(Quesería!$B$46-Quesería!$B$47))*IF(F$47&gt;=2,1-Quesería!$B$48,1))+IF(F$47&lt;1,0,(Quesería!$B$44*$C$1258*$C$1255)*(1-MAX(0,MIN(F$47-1-Quesería!$B$47,(Quesería!$B$46-Quesería!$B$47)))/(Quesería!$B$46-Quesería!$B$47))*IF(F$47&gt;=2,1-Quesería!$B$48,1))</f>
        <v>686.470313341323</v>
      </c>
      <c r="G1283" s="58" t="n">
        <f aca="false">IF(G$47&lt;0,0,(Quesería!$B$44*$B$1258*$B$1255)*(1-MAX(0,MIN(G$47-0-Quesería!$B$47,(Quesería!$B$46-Quesería!$B$47)))/(Quesería!$B$46-Quesería!$B$47))*IF(G$47&gt;=2,1-Quesería!$B$48,1))+IF(G$47&lt;1,0,(Quesería!$B$44*$C$1258*$C$1255)*(1-MAX(0,MIN(G$47-1-Quesería!$B$47,(Quesería!$B$46-Quesería!$B$47)))/(Quesería!$B$46-Quesería!$B$47))*IF(G$47&gt;=2,1-Quesería!$B$48,1))</f>
        <v>488.131011465641</v>
      </c>
      <c r="H1283" s="58" t="n">
        <f aca="false">IF(H$47&lt;0,0,(Quesería!$B$44*$B$1258*$B$1255)*(1-MAX(0,MIN(H$47-0-Quesería!$B$47,(Quesería!$B$46-Quesería!$B$47)))/(Quesería!$B$46-Quesería!$B$47))*IF(H$47&gt;=2,1-Quesería!$B$48,1))+IF(H$47&lt;1,0,(Quesería!$B$44*$C$1258*$C$1255)*(1-MAX(0,MIN(H$47-1-Quesería!$B$47,(Quesería!$B$46-Quesería!$B$47)))/(Quesería!$B$46-Quesería!$B$47))*IF(H$47&gt;=2,1-Quesería!$B$48,1))</f>
        <v>289.79170958996</v>
      </c>
      <c r="I1283" s="58" t="n">
        <f aca="false">IF(I$47&lt;0,0,(Quesería!$B$44*$B$1258*$B$1255)*(1-MAX(0,MIN(I$47-0-Quesería!$B$47,(Quesería!$B$46-Quesería!$B$47)))/(Quesería!$B$46-Quesería!$B$47))*IF(I$47&gt;=2,1-Quesería!$B$48,1))+IF(I$47&lt;1,0,(Quesería!$B$44*$C$1258*$C$1255)*(1-MAX(0,MIN(I$47-1-Quesería!$B$47,(Quesería!$B$46-Quesería!$B$47)))/(Quesería!$B$46-Quesería!$B$47))*IF(I$47&gt;=2,1-Quesería!$B$48,1))</f>
        <v>91.4524077142776</v>
      </c>
      <c r="J1283" s="58" t="n">
        <f aca="false">IF(J$47&lt;0,0,(Quesería!$B$44*$B$1258*$B$1255)*(1-MAX(0,MIN(J$47-0-Quesería!$B$47,(Quesería!$B$46-Quesería!$B$47)))/(Quesería!$B$46-Quesería!$B$47))*IF(J$47&gt;=2,1-Quesería!$B$48,1))+IF(J$47&lt;1,0,(Quesería!$B$44*$C$1258*$C$1255)*(1-MAX(0,MIN(J$47-1-Quesería!$B$47,(Quesería!$B$46-Quesería!$B$47)))/(Quesería!$B$46-Quesería!$B$47))*IF(J$47&gt;=2,1-Quesería!$B$48,1))</f>
        <v>0</v>
      </c>
      <c r="K1283" s="58" t="n">
        <f aca="false">IF(K$47&lt;0,0,(Quesería!$B$44*$B$1258*$B$1255)*(1-MAX(0,MIN(K$47-0-Quesería!$B$47,(Quesería!$B$46-Quesería!$B$47)))/(Quesería!$B$46-Quesería!$B$47))*IF(K$47&gt;=2,1-Quesería!$B$48,1))+IF(K$47&lt;1,0,(Quesería!$B$44*$C$1258*$C$1255)*(1-MAX(0,MIN(K$47-1-Quesería!$B$47,(Quesería!$B$46-Quesería!$B$47)))/(Quesería!$B$46-Quesería!$B$47))*IF(K$47&gt;=2,1-Quesería!$B$48,1))</f>
        <v>0</v>
      </c>
      <c r="L1283" s="58" t="n">
        <f aca="false">IF(L$47&lt;0,0,(Quesería!$B$44*$B$1258*$B$1255)*(1-MAX(0,MIN(L$47-0-Quesería!$B$47,(Quesería!$B$46-Quesería!$B$47)))/(Quesería!$B$46-Quesería!$B$47))*IF(L$47&gt;=2,1-Quesería!$B$48,1))+IF(L$47&lt;1,0,(Quesería!$B$44*$C$1258*$C$1255)*(1-MAX(0,MIN(L$47-1-Quesería!$B$47,(Quesería!$B$46-Quesería!$B$47)))/(Quesería!$B$46-Quesería!$B$47))*IF(L$47&gt;=2,1-Quesería!$B$48,1))</f>
        <v>0</v>
      </c>
    </row>
    <row r="1284" customFormat="false" ht="15" hidden="true" customHeight="false" outlineLevel="1" collapsed="false">
      <c r="A1284" s="6" t="s">
        <v>431</v>
      </c>
      <c r="B1284" s="29" t="n">
        <f aca="false">Quesería!$B$44*B1258</f>
        <v>605.02015563059</v>
      </c>
      <c r="C1284" s="29" t="n">
        <f aca="false">Quesería!$B$44*C1258</f>
        <v>493.004893338424</v>
      </c>
      <c r="D1284" s="29" t="n">
        <f aca="false">Quesería!$B$44*D1258</f>
        <v>0</v>
      </c>
      <c r="E1284" s="29" t="n">
        <f aca="false">Quesería!$B$44*E1258</f>
        <v>0</v>
      </c>
      <c r="F1284" s="29" t="n">
        <f aca="false">Quesería!$B$44*F1258</f>
        <v>0</v>
      </c>
      <c r="G1284" s="29" t="n">
        <f aca="false">Quesería!$B$44*G1258</f>
        <v>0</v>
      </c>
      <c r="H1284" s="29" t="n">
        <f aca="false">Quesería!$B$44*H1258</f>
        <v>0</v>
      </c>
      <c r="I1284" s="29" t="n">
        <f aca="false">Quesería!$B$44*I1258</f>
        <v>0</v>
      </c>
      <c r="J1284" s="29" t="n">
        <f aca="false">Quesería!$B$44*J1258</f>
        <v>0</v>
      </c>
      <c r="K1284" s="29" t="n">
        <f aca="false">Quesería!$B$44*K1258</f>
        <v>0</v>
      </c>
      <c r="L1284" s="29" t="n">
        <f aca="false">Quesería!$B$44*L1258</f>
        <v>0</v>
      </c>
    </row>
    <row r="1285" customFormat="false" ht="15" hidden="true" customHeight="false" outlineLevel="1" collapsed="false">
      <c r="A1285" s="6" t="s">
        <v>432</v>
      </c>
      <c r="B1285" s="29" t="n">
        <f aca="false">(IF(AND(B$47&gt;0,B$47&lt;=0+Quesería!$B$46),($AD$14+$AD$28)*(Quesería!$B$44*$B$1258*$B$1255)*(1-MAX(0,MIN((B$47-1)-0-Quesería!$B$47,(Quesería!$B$46-Quesería!$B$47)))/(Quesería!$B$46-Quesería!$B$47))*IF(B$47&gt;2,1-Quesería!$B$48,1),0)+IF(AND(B$47&gt;1,B$47&lt;=1+Quesería!$B$46),($AD$14+$AD$28)*(Quesería!$B$44*$C$1258*$C$1255)*(1-MAX(0,MIN((B$47-1)-1-Quesería!$B$47,(Quesería!$B$46-Quesería!$B$47)))/(Quesería!$B$46-Quesería!$B$47))*IF(B$47&gt;2,1-Quesería!$B$48,1),0))*B1257</f>
        <v>0</v>
      </c>
      <c r="C1285" s="29" t="n">
        <f aca="false">(IF(AND(C$47&gt;0,C$47&lt;=0+Quesería!$B$46),($AD$14+$AD$28)*(Quesería!$B$44*$B$1258*$B$1255)*(1-MAX(0,MIN((C$47-1)-0-Quesería!$B$47,(Quesería!$B$46-Quesería!$B$47)))/(Quesería!$B$46-Quesería!$B$47))*IF(C$47&gt;2,1-Quesería!$B$48,1),0)+IF(AND(C$47&gt;1,C$47&lt;=1+Quesería!$B$46),($AD$14+$AD$28)*(Quesería!$B$44*$C$1258*$C$1255)*(1-MAX(0,MIN((C$47-1)-1-Quesería!$B$47,(Quesería!$B$46-Quesería!$B$47)))/(Quesería!$B$46-Quesería!$B$47))*IF(C$47&gt;2,1-Quesería!$B$48,1),0))*C1257</f>
        <v>81.2455637561078</v>
      </c>
      <c r="D1285" s="29" t="n">
        <f aca="false">(IF(AND(D$47&gt;0,D$47&lt;=0+Quesería!$B$46),($AD$14+$AD$28)*(Quesería!$B$44*$B$1258*$B$1255)*(1-MAX(0,MIN((D$47-1)-0-Quesería!$B$47,(Quesería!$B$46-Quesería!$B$47)))/(Quesería!$B$46-Quesería!$B$47))*IF(D$47&gt;2,1-Quesería!$B$48,1),0)+IF(AND(D$47&gt;1,D$47&lt;=1+Quesería!$B$46),($AD$14+$AD$28)*(Quesería!$B$44*$C$1258*$C$1255)*(1-MAX(0,MIN((D$47-1)-1-Quesería!$B$47,(Quesería!$B$46-Quesería!$B$47)))/(Quesería!$B$46-Quesería!$B$47))*IF(D$47&gt;2,1-Quesería!$B$48,1),0))*D1257</f>
        <v>144.267228437154</v>
      </c>
      <c r="E1285" s="29" t="n">
        <f aca="false">(IF(AND(E$47&gt;0,E$47&lt;=0+Quesería!$B$46),($AD$14+$AD$28)*(Quesería!$B$44*$B$1258*$B$1255)*(1-MAX(0,MIN((E$47-1)-0-Quesería!$B$47,(Quesería!$B$46-Quesería!$B$47)))/(Quesería!$B$46-Quesería!$B$47))*IF(E$47&gt;2,1-Quesería!$B$48,1),0)+IF(AND(E$47&gt;1,E$47&lt;=1+Quesería!$B$46),($AD$14+$AD$28)*(Quesería!$B$44*$C$1258*$C$1255)*(1-MAX(0,MIN((E$47-1)-1-Quesería!$B$47,(Quesería!$B$46-Quesería!$B$47)))/(Quesería!$B$46-Quesería!$B$47))*IF(E$47&gt;2,1-Quesería!$B$48,1),0))*E1257</f>
        <v>126.259041612202</v>
      </c>
      <c r="F1285" s="29" t="n">
        <f aca="false">(IF(AND(F$47&gt;0,F$47&lt;=0+Quesería!$B$46),($AD$14+$AD$28)*(Quesería!$B$44*$B$1258*$B$1255)*(1-MAX(0,MIN((F$47-1)-0-Quesería!$B$47,(Quesería!$B$46-Quesería!$B$47)))/(Quesería!$B$46-Quesería!$B$47))*IF(F$47&gt;2,1-Quesería!$B$48,1),0)+IF(AND(F$47&gt;1,F$47&lt;=1+Quesería!$B$46),($AD$14+$AD$28)*(Quesería!$B$44*$C$1258*$C$1255)*(1-MAX(0,MIN((F$47-1)-1-Quesería!$B$47,(Quesería!$B$46-Quesería!$B$47)))/(Quesería!$B$46-Quesería!$B$47))*IF(F$47&gt;2,1-Quesería!$B$48,1),0))*F1257</f>
        <v>99.1723975627135</v>
      </c>
      <c r="G1285" s="29" t="n">
        <f aca="false">(IF(AND(G$47&gt;0,G$47&lt;=0+Quesería!$B$46),($AD$14+$AD$28)*(Quesería!$B$44*$B$1258*$B$1255)*(1-MAX(0,MIN((G$47-1)-0-Quesería!$B$47,(Quesería!$B$46-Quesería!$B$47)))/(Quesería!$B$46-Quesería!$B$47))*IF(G$47&gt;2,1-Quesería!$B$48,1),0)+IF(AND(G$47&gt;1,G$47&lt;=1+Quesería!$B$46),($AD$14+$AD$28)*(Quesería!$B$44*$C$1258*$C$1255)*(1-MAX(0,MIN((G$47-1)-1-Quesería!$B$47,(Quesería!$B$46-Quesería!$B$47)))/(Quesería!$B$46-Quesería!$B$47))*IF(G$47&gt;2,1-Quesería!$B$48,1),0))*G1257</f>
        <v>73.9825677868365</v>
      </c>
      <c r="H1285" s="29" t="n">
        <f aca="false">(IF(AND(H$47&gt;0,H$47&lt;=0+Quesería!$B$46),($AD$14+$AD$28)*(Quesería!$B$44*$B$1258*$B$1255)*(1-MAX(0,MIN((H$47-1)-0-Quesería!$B$47,(Quesería!$B$46-Quesería!$B$47)))/(Quesería!$B$46-Quesería!$B$47))*IF(H$47&gt;2,1-Quesería!$B$48,1),0)+IF(AND(H$47&gt;1,H$47&lt;=1+Quesería!$B$46),($AD$14+$AD$28)*(Quesería!$B$44*$C$1258*$C$1255)*(1-MAX(0,MIN((H$47-1)-1-Quesería!$B$47,(Quesería!$B$46-Quesería!$B$47)))/(Quesería!$B$46-Quesería!$B$47))*IF(H$47&gt;2,1-Quesería!$B$48,1),0))*H1257</f>
        <v>50.583712494366</v>
      </c>
      <c r="I1285" s="29" t="n">
        <f aca="false">(IF(AND(I$47&gt;0,I$47&lt;=0+Quesería!$B$46),($AD$14+$AD$28)*(Quesería!$B$44*$B$1258*$B$1255)*(1-MAX(0,MIN((I$47-1)-0-Quesería!$B$47,(Quesería!$B$46-Quesería!$B$47)))/(Quesería!$B$46-Quesería!$B$47))*IF(I$47&gt;2,1-Quesería!$B$48,1),0)+IF(AND(I$47&gt;1,I$47&lt;=1+Quesería!$B$46),($AD$14+$AD$28)*(Quesería!$B$44*$C$1258*$C$1255)*(1-MAX(0,MIN((I$47-1)-1-Quesería!$B$47,(Quesería!$B$46-Quesería!$B$47)))/(Quesería!$B$46-Quesería!$B$47))*IF(I$47&gt;2,1-Quesería!$B$48,1),0))*I1257</f>
        <v>28.8753274791465</v>
      </c>
      <c r="J1285" s="29" t="n">
        <f aca="false">(IF(AND(J$47&gt;0,J$47&lt;=0+Quesería!$B$46),($AD$14+$AD$28)*(Quesería!$B$44*$B$1258*$B$1255)*(1-MAX(0,MIN((J$47-1)-0-Quesería!$B$47,(Quesería!$B$46-Quesería!$B$47)))/(Quesería!$B$46-Quesería!$B$47))*IF(J$47&gt;2,1-Quesería!$B$48,1),0)+IF(AND(J$47&gt;1,J$47&lt;=1+Quesería!$B$46),($AD$14+$AD$28)*(Quesería!$B$44*$C$1258*$C$1255)*(1-MAX(0,MIN((J$47-1)-1-Quesería!$B$47,(Quesería!$B$46-Quesería!$B$47)))/(Quesería!$B$46-Quesería!$B$47))*IF(J$47&gt;2,1-Quesería!$B$48,1),0))*J1257</f>
        <v>8.76199025726588</v>
      </c>
      <c r="K1285" s="29" t="n">
        <f aca="false">(IF(AND(K$47&gt;0,K$47&lt;=0+Quesería!$B$46),($AD$14+$AD$28)*(Quesería!$B$44*$B$1258*$B$1255)*(1-MAX(0,MIN((K$47-1)-0-Quesería!$B$47,(Quesería!$B$46-Quesería!$B$47)))/(Quesería!$B$46-Quesería!$B$47))*IF(K$47&gt;2,1-Quesería!$B$48,1),0)+IF(AND(K$47&gt;1,K$47&lt;=1+Quesería!$B$46),($AD$14+$AD$28)*(Quesería!$B$44*$C$1258*$C$1255)*(1-MAX(0,MIN((K$47-1)-1-Quesería!$B$47,(Quesería!$B$46-Quesería!$B$47)))/(Quesería!$B$46-Quesería!$B$47))*IF(K$47&gt;2,1-Quesería!$B$48,1),0))*K1257</f>
        <v>0</v>
      </c>
      <c r="L1285" s="29" t="n">
        <f aca="false">(IF(AND(L$47&gt;0,L$47&lt;=0+Quesería!$B$46),($AD$14+$AD$28)*(Quesería!$B$44*$B$1258*$B$1255)*(1-MAX(0,MIN((L$47-1)-0-Quesería!$B$47,(Quesería!$B$46-Quesería!$B$47)))/(Quesería!$B$46-Quesería!$B$47))*IF(L$47&gt;2,1-Quesería!$B$48,1),0)+IF(AND(L$47&gt;1,L$47&lt;=1+Quesería!$B$46),($AD$14+$AD$28)*(Quesería!$B$44*$C$1258*$C$1255)*(1-MAX(0,MIN((L$47-1)-1-Quesería!$B$47,(Quesería!$B$46-Quesería!$B$47)))/(Quesería!$B$46-Quesería!$B$47))*IF(L$47&gt;2,1-Quesería!$B$48,1),0))*L1257</f>
        <v>0</v>
      </c>
    </row>
    <row r="1286" customFormat="false" ht="15" hidden="true" customHeight="false" outlineLevel="1" collapsed="false">
      <c r="A1286" s="6" t="s">
        <v>433</v>
      </c>
      <c r="B1286" s="29" t="n">
        <f aca="false">((IF(AND(B$47&gt;0+Quesería!$B$47,B$47&lt;=0+Quesería!$B$46),(Quesería!$B$44*$B$1258*$B$1255)/(Quesería!$B$46-Quesería!$B$47),0)*IF(B$47&gt;2,1-Quesería!$B$48,1)+IF(B$47=2,Quesería!$B$48*(Quesería!$B$44*$B$1258*$B$1255)*(1-MAX(0,MIN(2-0-Quesería!$B$47,(Quesería!$B$46-Quesería!$B$47)))/(Quesería!$B$46-Quesería!$B$47)),0))+(IF(AND(B$47&gt;1+Quesería!$B$47,B$47&lt;=1+Quesería!$B$46),(Quesería!$B$44*$C$1258*$C$1255)/(Quesería!$B$46-Quesería!$B$47),0)*IF(B$47&gt;2,1-Quesería!$B$48,1)+IF(B$47=2,Quesería!$B$48*(Quesería!$B$44*$C$1258*$C$1255)*(1-MAX(0,MIN(2-1-Quesería!$B$47,(Quesería!$B$46-Quesería!$B$47)))/(Quesería!$B$46-Quesería!$B$47)),0)))*B1257</f>
        <v>0</v>
      </c>
      <c r="C1286" s="29" t="n">
        <f aca="false">((IF(AND(C$47&gt;0+Quesería!$B$47,C$47&lt;=0+Quesería!$B$46),(Quesería!$B$44*$B$1258*$B$1255)/(Quesería!$B$46-Quesería!$B$47),0)*IF(C$47&gt;2,1-Quesería!$B$48,1)+IF(C$47=2,Quesería!$B$48*(Quesería!$B$44*$B$1258*$B$1255)*(1-MAX(0,MIN(2-0-Quesería!$B$47,(Quesería!$B$46-Quesería!$B$47)))/(Quesería!$B$46-Quesería!$B$47)),0))+(IF(AND(C$47&gt;1+Quesería!$B$47,C$47&lt;=1+Quesería!$B$46),(Quesería!$B$44*$C$1258*$C$1255)/(Quesería!$B$46-Quesería!$B$47),0)*IF(C$47&gt;2,1-Quesería!$B$48,1)+IF(C$47=2,Quesería!$B$48*(Quesería!$B$44*$C$1258*$C$1255)*(1-MAX(0,MIN(2-1-Quesería!$B$47,(Quesería!$B$46-Quesería!$B$47)))/(Quesería!$B$46-Quesería!$B$47)),0)))*C1257</f>
        <v>0</v>
      </c>
      <c r="D1286" s="29" t="n">
        <f aca="false">((IF(AND(D$47&gt;0+Quesería!$B$47,D$47&lt;=0+Quesería!$B$46),(Quesería!$B$44*$B$1258*$B$1255)/(Quesería!$B$46-Quesería!$B$47),0)*IF(D$47&gt;2,1-Quesería!$B$48,1)+IF(D$47=2,Quesería!$B$48*(Quesería!$B$44*$B$1258*$B$1255)*(1-MAX(0,MIN(2-0-Quesería!$B$47,(Quesería!$B$46-Quesería!$B$47)))/(Quesería!$B$46-Quesería!$B$47)),0))+(IF(AND(D$47&gt;1+Quesería!$B$47,D$47&lt;=1+Quesería!$B$46),(Quesería!$B$44*$C$1258*$C$1255)/(Quesería!$B$46-Quesería!$B$47),0)*IF(D$47&gt;2,1-Quesería!$B$48,1)+IF(D$47=2,Quesería!$B$48*(Quesería!$B$44*$C$1258*$C$1255)*(1-MAX(0,MIN(2-1-Quesería!$B$47,(Quesería!$B$46-Quesería!$B$47)))/(Quesería!$B$46-Quesería!$B$47)),0)))*D1257</f>
        <v>91.8994692231472</v>
      </c>
      <c r="E1286" s="29" t="n">
        <f aca="false">((IF(AND(E$47&gt;0+Quesería!$B$47,E$47&lt;=0+Quesería!$B$46),(Quesería!$B$44*$B$1258*$B$1255)/(Quesería!$B$46-Quesería!$B$47),0)*IF(E$47&gt;2,1-Quesería!$B$48,1)+IF(E$47=2,Quesería!$B$48*(Quesería!$B$44*$B$1258*$B$1255)*(1-MAX(0,MIN(2-0-Quesería!$B$47,(Quesería!$B$46-Quesería!$B$47)))/(Quesería!$B$46-Quesería!$B$47)),0))+(IF(AND(E$47&gt;1+Quesería!$B$47,E$47&lt;=1+Quesería!$B$46),(Quesería!$B$44*$C$1258*$C$1255)/(Quesería!$B$46-Quesería!$B$47),0)*IF(E$47&gt;2,1-Quesería!$B$48,1)+IF(E$47=2,Quesería!$B$48*(Quesería!$B$44*$C$1258*$C$1255)*(1-MAX(0,MIN(2-1-Quesería!$B$47,(Quesería!$B$46-Quesería!$B$47)))/(Quesería!$B$46-Quesería!$B$47)),0)))*E1257</f>
        <v>163.969845014041</v>
      </c>
      <c r="F1286" s="29" t="n">
        <f aca="false">((IF(AND(F$47&gt;0+Quesería!$B$47,F$47&lt;=0+Quesería!$B$46),(Quesería!$B$44*$B$1258*$B$1255)/(Quesería!$B$46-Quesería!$B$47),0)*IF(F$47&gt;2,1-Quesería!$B$48,1)+IF(F$47=2,Quesería!$B$48*(Quesería!$B$44*$B$1258*$B$1255)*(1-MAX(0,MIN(2-0-Quesería!$B$47,(Quesería!$B$46-Quesería!$B$47)))/(Quesería!$B$46-Quesería!$B$47)),0))+(IF(AND(F$47&gt;1+Quesería!$B$47,F$47&lt;=1+Quesería!$B$46),(Quesería!$B$44*$C$1258*$C$1255)/(Quesería!$B$46-Quesería!$B$47),0)*IF(F$47&gt;2,1-Quesería!$B$48,1)+IF(F$47=2,Quesería!$B$48*(Quesería!$B$44*$C$1258*$C$1255)*(1-MAX(0,MIN(2-1-Quesería!$B$47,(Quesería!$B$46-Quesería!$B$47)))/(Quesería!$B$46-Quesería!$B$47)),0)))*F1257</f>
        <v>157.663312513501</v>
      </c>
      <c r="G1286" s="29" t="n">
        <f aca="false">((IF(AND(G$47&gt;0+Quesería!$B$47,G$47&lt;=0+Quesería!$B$46),(Quesería!$B$44*$B$1258*$B$1255)/(Quesería!$B$46-Quesería!$B$47),0)*IF(G$47&gt;2,1-Quesería!$B$48,1)+IF(G$47=2,Quesería!$B$48*(Quesería!$B$44*$B$1258*$B$1255)*(1-MAX(0,MIN(2-0-Quesería!$B$47,(Quesería!$B$46-Quesería!$B$47)))/(Quesería!$B$46-Quesería!$B$47)),0))+(IF(AND(G$47&gt;1+Quesería!$B$47,G$47&lt;=1+Quesería!$B$46),(Quesería!$B$44*$C$1258*$C$1255)/(Quesería!$B$46-Quesería!$B$47),0)*IF(G$47&gt;2,1-Quesería!$B$48,1)+IF(G$47=2,Quesería!$B$48*(Quesería!$B$44*$C$1258*$C$1255)*(1-MAX(0,MIN(2-1-Quesería!$B$47,(Quesería!$B$46-Quesería!$B$47)))/(Quesería!$B$46-Quesería!$B$47)),0)))*G1257</f>
        <v>151.599338955289</v>
      </c>
      <c r="H1286" s="29" t="n">
        <f aca="false">((IF(AND(H$47&gt;0+Quesería!$B$47,H$47&lt;=0+Quesería!$B$46),(Quesería!$B$44*$B$1258*$B$1255)/(Quesería!$B$46-Quesería!$B$47),0)*IF(H$47&gt;2,1-Quesería!$B$48,1)+IF(H$47=2,Quesería!$B$48*(Quesería!$B$44*$B$1258*$B$1255)*(1-MAX(0,MIN(2-0-Quesería!$B$47,(Quesería!$B$46-Quesería!$B$47)))/(Quesería!$B$46-Quesería!$B$47)),0))+(IF(AND(H$47&gt;1+Quesería!$B$47,H$47&lt;=1+Quesería!$B$46),(Quesería!$B$44*$C$1258*$C$1255)/(Quesería!$B$46-Quesería!$B$47),0)*IF(H$47&gt;2,1-Quesería!$B$48,1)+IF(H$47=2,Quesería!$B$48*(Quesería!$B$44*$C$1258*$C$1255)*(1-MAX(0,MIN(2-1-Quesería!$B$47,(Quesería!$B$46-Quesería!$B$47)))/(Quesería!$B$46-Quesería!$B$47)),0)))*H1257</f>
        <v>145.768595149317</v>
      </c>
      <c r="I1286" s="29" t="n">
        <f aca="false">((IF(AND(I$47&gt;0+Quesería!$B$47,I$47&lt;=0+Quesería!$B$46),(Quesería!$B$44*$B$1258*$B$1255)/(Quesería!$B$46-Quesería!$B$47),0)*IF(I$47&gt;2,1-Quesería!$B$48,1)+IF(I$47=2,Quesería!$B$48*(Quesería!$B$44*$B$1258*$B$1255)*(1-MAX(0,MIN(2-0-Quesería!$B$47,(Quesería!$B$46-Quesería!$B$47)))/(Quesería!$B$46-Quesería!$B$47)),0))+(IF(AND(I$47&gt;1+Quesería!$B$47,I$47&lt;=1+Quesería!$B$46),(Quesería!$B$44*$C$1258*$C$1255)/(Quesería!$B$46-Quesería!$B$47),0)*IF(I$47&gt;2,1-Quesería!$B$48,1)+IF(I$47=2,Quesería!$B$48*(Quesería!$B$44*$C$1258*$C$1255)*(1-MAX(0,MIN(2-1-Quesería!$B$47,(Quesería!$B$46-Quesería!$B$47)))/(Quesería!$B$46-Quesería!$B$47)),0)))*I1257</f>
        <v>140.162110720497</v>
      </c>
      <c r="J1286" s="29" t="n">
        <f aca="false">((IF(AND(J$47&gt;0+Quesería!$B$47,J$47&lt;=0+Quesería!$B$46),(Quesería!$B$44*$B$1258*$B$1255)/(Quesería!$B$46-Quesería!$B$47),0)*IF(J$47&gt;2,1-Quesería!$B$48,1)+IF(J$47=2,Quesería!$B$48*(Quesería!$B$44*$B$1258*$B$1255)*(1-MAX(0,MIN(2-0-Quesería!$B$47,(Quesería!$B$46-Quesería!$B$47)))/(Quesería!$B$46-Quesería!$B$47)),0))+(IF(AND(J$47&gt;1+Quesería!$B$47,J$47&lt;=1+Quesería!$B$46),(Quesería!$B$44*$C$1258*$C$1255)/(Quesería!$B$46-Quesería!$B$47),0)*IF(J$47&gt;2,1-Quesería!$B$48,1)+IF(J$47=2,Quesería!$B$48*(Quesería!$B$44*$C$1258*$C$1255)*(1-MAX(0,MIN(2-1-Quesería!$B$47,(Quesería!$B$46-Quesería!$B$47)))/(Quesería!$B$46-Quesería!$B$47)),0)))*J1257</f>
        <v>62.1417748742261</v>
      </c>
      <c r="K1286" s="29" t="n">
        <f aca="false">((IF(AND(K$47&gt;0+Quesería!$B$47,K$47&lt;=0+Quesería!$B$46),(Quesería!$B$44*$B$1258*$B$1255)/(Quesería!$B$46-Quesería!$B$47),0)*IF(K$47&gt;2,1-Quesería!$B$48,1)+IF(K$47=2,Quesería!$B$48*(Quesería!$B$44*$B$1258*$B$1255)*(1-MAX(0,MIN(2-0-Quesería!$B$47,(Quesería!$B$46-Quesería!$B$47)))/(Quesería!$B$46-Quesería!$B$47)),0))+(IF(AND(K$47&gt;1+Quesería!$B$47,K$47&lt;=1+Quesería!$B$46),(Quesería!$B$44*$C$1258*$C$1255)/(Quesería!$B$46-Quesería!$B$47),0)*IF(K$47&gt;2,1-Quesería!$B$48,1)+IF(K$47=2,Quesería!$B$48*(Quesería!$B$44*$C$1258*$C$1255)*(1-MAX(0,MIN(2-1-Quesería!$B$47,(Quesería!$B$46-Quesería!$B$47)))/(Quesería!$B$46-Quesería!$B$47)),0)))*K1257</f>
        <v>0</v>
      </c>
      <c r="L1286" s="29" t="n">
        <f aca="false">((IF(AND(L$47&gt;0+Quesería!$B$47,L$47&lt;=0+Quesería!$B$46),(Quesería!$B$44*$B$1258*$B$1255)/(Quesería!$B$46-Quesería!$B$47),0)*IF(L$47&gt;2,1-Quesería!$B$48,1)+IF(L$47=2,Quesería!$B$48*(Quesería!$B$44*$B$1258*$B$1255)*(1-MAX(0,MIN(2-0-Quesería!$B$47,(Quesería!$B$46-Quesería!$B$47)))/(Quesería!$B$46-Quesería!$B$47)),0))+(IF(AND(L$47&gt;1+Quesería!$B$47,L$47&lt;=1+Quesería!$B$46),(Quesería!$B$44*$C$1258*$C$1255)/(Quesería!$B$46-Quesería!$B$47),0)*IF(L$47&gt;2,1-Quesería!$B$48,1)+IF(L$47=2,Quesería!$B$48*(Quesería!$B$44*$C$1258*$C$1255)*(1-MAX(0,MIN(2-1-Quesería!$B$47,(Quesería!$B$46-Quesería!$B$47)))/(Quesería!$B$46-Quesería!$B$47)),0)))*L1257</f>
        <v>0</v>
      </c>
    </row>
    <row r="1287" customFormat="false" ht="15" hidden="true" customHeight="false" outlineLevel="1" collapsed="false">
      <c r="A1287" s="6" t="s">
        <v>434</v>
      </c>
      <c r="B1287" s="29" t="n">
        <f aca="false">$AD$13*Quesería!$B$51*(1+0.19)*B1283*B1257+(1-$AD$13)*IF(B$47=0,Quesería!$B$50,0)</f>
        <v>4</v>
      </c>
      <c r="C1287" s="29" t="n">
        <f aca="false">$AD$13*Quesería!$B$51*(1+0.19)*C1283*C1257+(1-$AD$13)*IF(C$47=0,Quesería!$B$50,0)</f>
        <v>0</v>
      </c>
      <c r="D1287" s="29" t="n">
        <f aca="false">$AD$13*Quesería!$B$51*(1+0.19)*D1283*D1257+(1-$AD$13)*IF(D$47=0,Quesería!$B$50,0)</f>
        <v>0</v>
      </c>
      <c r="E1287" s="29" t="n">
        <f aca="false">$AD$13*Quesería!$B$51*(1+0.19)*E1283*E1257+(1-$AD$13)*IF(E$47=0,Quesería!$B$50,0)</f>
        <v>0</v>
      </c>
      <c r="F1287" s="29" t="n">
        <f aca="false">$AD$13*Quesería!$B$51*(1+0.19)*F1283*F1257+(1-$AD$13)*IF(F$47=0,Quesería!$B$50,0)</f>
        <v>0</v>
      </c>
      <c r="G1287" s="29" t="n">
        <f aca="false">$AD$13*Quesería!$B$51*(1+0.19)*G1283*G1257+(1-$AD$13)*IF(G$47=0,Quesería!$B$50,0)</f>
        <v>0</v>
      </c>
      <c r="H1287" s="29" t="n">
        <f aca="false">$AD$13*Quesería!$B$51*(1+0.19)*H1283*H1257+(1-$AD$13)*IF(H$47=0,Quesería!$B$50,0)</f>
        <v>0</v>
      </c>
      <c r="I1287" s="29" t="n">
        <f aca="false">$AD$13*Quesería!$B$51*(1+0.19)*I1283*I1257+(1-$AD$13)*IF(I$47=0,Quesería!$B$50,0)</f>
        <v>0</v>
      </c>
      <c r="J1287" s="29" t="n">
        <f aca="false">$AD$13*Quesería!$B$51*(1+0.19)*J1283*J1257+(1-$AD$13)*IF(J$47=0,Quesería!$B$50,0)</f>
        <v>0</v>
      </c>
      <c r="K1287" s="29" t="n">
        <f aca="false">$AD$13*Quesería!$B$51*(1+0.19)*K1283*K1257+(1-$AD$13)*IF(K$47=0,Quesería!$B$50,0)</f>
        <v>0</v>
      </c>
      <c r="L1287" s="29" t="n">
        <f aca="false">$AD$13*Quesería!$B$51*(1+0.19)*L1283*L1257+(1-$AD$13)*IF(L$47=0,Quesería!$B$50,0)</f>
        <v>0</v>
      </c>
    </row>
    <row r="1288" customFormat="false" ht="15" hidden="true" customHeight="false" outlineLevel="1" collapsed="false">
      <c r="A1288" s="6" t="s">
        <v>435</v>
      </c>
      <c r="B1288" s="29" t="n">
        <f aca="false">Quesería!$B$52*(B1285+B1286+B1287)</f>
        <v>0.016</v>
      </c>
      <c r="C1288" s="29" t="n">
        <f aca="false">Quesería!$B$52*(C1285+C1286+C1287)</f>
        <v>0.324982255024431</v>
      </c>
      <c r="D1288" s="29" t="n">
        <f aca="false">Quesería!$B$52*(D1285+D1286+D1287)</f>
        <v>0.944666790641204</v>
      </c>
      <c r="E1288" s="29" t="n">
        <f aca="false">Quesería!$B$52*(E1285+E1286+E1287)</f>
        <v>1.16091554650497</v>
      </c>
      <c r="F1288" s="29" t="n">
        <f aca="false">Quesería!$B$52*(F1285+F1286+F1287)</f>
        <v>1.02734284030486</v>
      </c>
      <c r="G1288" s="29" t="n">
        <f aca="false">Quesería!$B$52*(G1285+G1286+G1287)</f>
        <v>0.902327626968503</v>
      </c>
      <c r="H1288" s="29" t="n">
        <f aca="false">Quesería!$B$52*(H1285+H1286+H1287)</f>
        <v>0.78540923057473</v>
      </c>
      <c r="I1288" s="29" t="n">
        <f aca="false">Quesería!$B$52*(I1285+I1286+I1287)</f>
        <v>0.676149752798573</v>
      </c>
      <c r="J1288" s="29" t="n">
        <f aca="false">Quesería!$B$52*(J1285+J1286+J1287)</f>
        <v>0.283615060525968</v>
      </c>
      <c r="K1288" s="29" t="n">
        <f aca="false">Quesería!$B$52*(K1285+K1286+K1287)</f>
        <v>0</v>
      </c>
      <c r="L1288" s="29" t="n">
        <f aca="false">Quesería!$B$52*(L1285+L1286+L1287)</f>
        <v>0</v>
      </c>
    </row>
    <row r="1289" customFormat="false" ht="15" hidden="true" customHeight="false" outlineLevel="1" collapsed="false">
      <c r="A1289" s="6" t="s">
        <v>436</v>
      </c>
      <c r="B1289" s="29" t="n">
        <f aca="false">$AD$17*(B1285+B1287+0.5*B1288)</f>
        <v>1.4028</v>
      </c>
      <c r="C1289" s="29" t="n">
        <f aca="false">$AD$17*(C1285+C1287+0.5*C1288)</f>
        <v>28.492819209267</v>
      </c>
      <c r="D1289" s="29" t="n">
        <f aca="false">$AD$17*(D1285+D1287+0.5*D1288)</f>
        <v>50.658846641366</v>
      </c>
      <c r="E1289" s="29" t="n">
        <f aca="false">$AD$17*(E1285+E1287+0.5*E1288)</f>
        <v>44.393824784909</v>
      </c>
      <c r="F1289" s="29" t="n">
        <f aca="false">$AD$17*(F1285+F1287+0.5*F1288)</f>
        <v>34.8901241440031</v>
      </c>
      <c r="G1289" s="29" t="n">
        <f aca="false">$AD$17*(G1285+G1287+0.5*G1288)</f>
        <v>26.0518060601123</v>
      </c>
      <c r="H1289" s="29" t="n">
        <f aca="false">$AD$17*(H1285+H1287+0.5*H1288)</f>
        <v>17.8417459883787</v>
      </c>
      <c r="I1289" s="29" t="n">
        <f aca="false">$AD$17*(I1285+I1287+0.5*I1288)</f>
        <v>10.224690824441</v>
      </c>
      <c r="J1289" s="29" t="n">
        <f aca="false">$AD$17*(J1285+J1287+0.5*J1288)</f>
        <v>3.1163292256351</v>
      </c>
      <c r="K1289" s="29" t="n">
        <f aca="false">$AD$17*(K1285+K1287+0.5*K1288)</f>
        <v>0</v>
      </c>
      <c r="L1289" s="29" t="n">
        <f aca="false">$AD$17*(L1285+L1287+0.5*L1288)</f>
        <v>0</v>
      </c>
    </row>
    <row r="1290" customFormat="false" ht="15" hidden="true" customHeight="false" outlineLevel="1" collapsed="false">
      <c r="A1290" s="5" t="s">
        <v>437</v>
      </c>
      <c r="B1290" s="59" t="n">
        <f aca="false">B1275+B1284-B1285-B1286-B1287-B1288+B1289</f>
        <v>-358.744924503166</v>
      </c>
      <c r="C1290" s="59" t="n">
        <f aca="false">C1275+C1284-C1285-C1286-C1287-C1288+C1289</f>
        <v>-79.8505919146794</v>
      </c>
      <c r="D1290" s="59" t="n">
        <f aca="false">D1275+D1284-D1285-D1286-D1287-D1288+D1289</f>
        <v>293.554321773407</v>
      </c>
      <c r="E1290" s="59" t="n">
        <f aca="false">E1275+E1284-E1285-E1286-E1287-E1288+E1289</f>
        <v>89.8862366874154</v>
      </c>
      <c r="F1290" s="59" t="n">
        <f aca="false">F1275+F1284-F1285-F1286-F1287-F1288+F1289</f>
        <v>151.157674631813</v>
      </c>
      <c r="G1290" s="59" t="n">
        <f aca="false">G1275+G1284-G1285-G1286-G1287-G1288+G1289</f>
        <v>139.225610011724</v>
      </c>
      <c r="H1290" s="59" t="n">
        <f aca="false">H1275+H1284-H1285-H1286-H1287-H1288+H1289</f>
        <v>138.721768723967</v>
      </c>
      <c r="I1290" s="59" t="n">
        <f aca="false">I1275+I1284-I1285-I1286-I1287-I1288+I1289</f>
        <v>219.051186433205</v>
      </c>
      <c r="J1290" s="59" t="n">
        <f aca="false">J1275+J1284-J1285-J1286-J1287-J1288+J1289</f>
        <v>300.495822540393</v>
      </c>
      <c r="K1290" s="59" t="n">
        <f aca="false">K1275+K1284-K1285-K1286-K1287-K1288+K1289</f>
        <v>367.13514228963</v>
      </c>
      <c r="L1290" s="59" t="n">
        <f aca="false">L1275+L1284-L1285-L1286-L1287-L1288+L1289</f>
        <v>603.835468916001</v>
      </c>
    </row>
    <row r="1291" customFormat="false" ht="15" hidden="true" customHeight="false" outlineLevel="1" collapsed="false">
      <c r="A1291" s="9" t="s">
        <v>438</v>
      </c>
      <c r="B1291" s="58" t="n">
        <f aca="false">B1290*B1255</f>
        <v>-380.269619973356</v>
      </c>
      <c r="C1291" s="58" t="n">
        <f aca="false">C1290*C1255</f>
        <v>-88.8737088010381</v>
      </c>
      <c r="D1291" s="58" t="n">
        <f aca="false">D1290*D1255</f>
        <v>341.428628339823</v>
      </c>
      <c r="E1291" s="58" t="n">
        <f aca="false">E1290*E1255</f>
        <v>108.727146941486</v>
      </c>
      <c r="F1291" s="58" t="n">
        <f aca="false">F1290*F1255</f>
        <v>190.155256677473</v>
      </c>
      <c r="G1291" s="58" t="n">
        <f aca="false">G1290*G1255</f>
        <v>182.150598302314</v>
      </c>
      <c r="H1291" s="58" t="n">
        <f aca="false">H1290*H1255</f>
        <v>188.751073134017</v>
      </c>
      <c r="I1291" s="58" t="n">
        <f aca="false">I1290*I1255</f>
        <v>309.972924700315</v>
      </c>
      <c r="J1291" s="58" t="n">
        <f aca="false">J1290*J1255</f>
        <v>442.231760116644</v>
      </c>
      <c r="K1291" s="58" t="n">
        <f aca="false">K1290*K1255</f>
        <v>561.915209186434</v>
      </c>
      <c r="L1291" s="58" t="n">
        <f aca="false">L1290*L1255</f>
        <v>961.162434580959</v>
      </c>
    </row>
    <row r="1292" customFormat="false" ht="15" hidden="true" customHeight="false" outlineLevel="1" collapsed="false">
      <c r="A1292" s="9" t="s">
        <v>439</v>
      </c>
      <c r="B1292" s="57" t="n">
        <f aca="false">(B1255/$B$1255)/(1+Quesería!$B$11+$AD$28)^B$47</f>
        <v>1</v>
      </c>
      <c r="C1292" s="57" t="n">
        <f aca="false">(C1255/$B$1255)/(1+Quesería!$B$11+$AD$28)^C$47</f>
        <v>0.84</v>
      </c>
      <c r="D1292" s="57" t="n">
        <f aca="false">(D1255/$B$1255)/(1+Quesería!$B$11+$AD$28)^D$47</f>
        <v>0.70224</v>
      </c>
      <c r="E1292" s="57" t="n">
        <f aca="false">(E1255/$B$1255)/(1+Quesería!$B$11+$AD$28)^E$47</f>
        <v>0.58426368</v>
      </c>
      <c r="F1292" s="57" t="n">
        <f aca="false">(F1255/$B$1255)/(1+Quesería!$B$11+$AD$28)^F$47</f>
        <v>0.48610738176</v>
      </c>
      <c r="G1292" s="57" t="n">
        <f aca="false">(G1255/$B$1255)/(1+Quesería!$B$11+$AD$28)^G$47</f>
        <v>0.40444134162432</v>
      </c>
      <c r="H1292" s="57" t="n">
        <f aca="false">(H1255/$B$1255)/(1+Quesería!$B$11+$AD$28)^H$47</f>
        <v>0.336495196231434</v>
      </c>
      <c r="I1292" s="57" t="n">
        <f aca="false">(I1255/$B$1255)/(1+Quesería!$B$11+$AD$28)^I$47</f>
        <v>0.279964003264553</v>
      </c>
      <c r="J1292" s="57" t="n">
        <f aca="false">(J1255/$B$1255)/(1+Quesería!$B$11+$AD$28)^J$47</f>
        <v>0.232930050716108</v>
      </c>
      <c r="K1292" s="57" t="n">
        <f aca="false">(K1255/$B$1255)/(1+Quesería!$B$11+$AD$28)^K$47</f>
        <v>0.193797802195802</v>
      </c>
      <c r="L1292" s="57" t="n">
        <f aca="false">(L1255/$B$1255)/(1+Quesería!$B$11+$AD$28)^L$47</f>
        <v>0.161239771426907</v>
      </c>
    </row>
    <row r="1293" customFormat="false" ht="15" hidden="true" customHeight="false" outlineLevel="1" collapsed="false">
      <c r="A1293" s="9" t="s">
        <v>440</v>
      </c>
      <c r="B1293" s="58" t="n">
        <f aca="false">B1275+B1258+B1260+B1289</f>
        <v>120.166830858099</v>
      </c>
      <c r="C1293" s="58" t="n">
        <f aca="false">C1275+C1258+C1260+C1289</f>
        <v>411.293250100682</v>
      </c>
      <c r="D1293" s="58" t="n">
        <f aca="false">D1275+D1258+D1260+D1289</f>
        <v>530.665686224349</v>
      </c>
      <c r="E1293" s="58" t="n">
        <f aca="false">E1275+E1258+E1260+E1289</f>
        <v>381.276038860163</v>
      </c>
      <c r="F1293" s="58" t="n">
        <f aca="false">F1275+F1258+F1260+F1289</f>
        <v>409.020727548333</v>
      </c>
      <c r="G1293" s="58" t="n">
        <f aca="false">G1275+G1258+G1260+G1289</f>
        <v>370.928235661904</v>
      </c>
      <c r="H1293" s="58" t="n">
        <f aca="false">H1275+H1258+H1260+H1289</f>
        <v>344.673425183306</v>
      </c>
      <c r="I1293" s="58" t="n">
        <f aca="false">I1275+I1258+I1260+I1289</f>
        <v>388.764774385646</v>
      </c>
      <c r="J1293" s="58" t="n">
        <f aca="false">J1275+J1258+J1260+J1289</f>
        <v>371.683202732411</v>
      </c>
      <c r="K1293" s="58" t="n">
        <f aca="false">K1275+K1258+K1260+K1289</f>
        <v>367.13514228963</v>
      </c>
      <c r="L1293" s="58" t="n">
        <f aca="false">L1275+L1258+L1260+L1289</f>
        <v>603.835468916001</v>
      </c>
    </row>
    <row r="1294" customFormat="false" ht="15" hidden="true" customHeight="false" outlineLevel="1" collapsed="false">
      <c r="A1294" s="5" t="s">
        <v>149</v>
      </c>
      <c r="B1294" s="12" t="str">
        <f aca="false">IF(AND(B$47&gt;=1,(B1285+B1286+B1287)&gt;0.001),B1293/(B1285+B1286+B1287),"")</f>
        <v/>
      </c>
      <c r="C1294" s="12" t="n">
        <f aca="false">IF(AND(C$47&gt;=1,(C1285+C1286+C1287)&gt;0.001),C1293/(C1285+C1286+C1287),"")</f>
        <v>5.0623471742451</v>
      </c>
      <c r="D1294" s="12" t="n">
        <f aca="false">IF(AND(D$47&gt;=1,(D1285+D1286+D1287)&gt;0.001),D1293/(D1285+D1286+D1287),"")</f>
        <v>2.24699625934412</v>
      </c>
      <c r="E1294" s="12" t="n">
        <f aca="false">IF(AND(E$47&gt;=1,(E1285+E1286+E1287)&gt;0.001),E1293/(E1285+E1286+E1287),"")</f>
        <v>1.31370809877781</v>
      </c>
      <c r="F1294" s="12" t="n">
        <f aca="false">IF(AND(F$47&gt;=1,(F1285+F1286+F1287)&gt;0.001),F1293/(F1285+F1286+F1287),"")</f>
        <v>1.59253838738764</v>
      </c>
      <c r="G1294" s="12" t="n">
        <f aca="false">IF(AND(G$47&gt;=1,(G1285+G1286+G1287)&gt;0.001),G1293/(G1285+G1286+G1287),"")</f>
        <v>1.6443173170175</v>
      </c>
      <c r="H1294" s="12" t="n">
        <f aca="false">IF(AND(H$47&gt;=1,(H1285+H1286+H1287)&gt;0.001),H1293/(H1285+H1286+H1287),"")</f>
        <v>1.75538260446004</v>
      </c>
      <c r="I1294" s="12" t="n">
        <f aca="false">IF(AND(I$47&gt;=1,(I1285+I1286+I1287)&gt;0.001),I1293/(I1285+I1286+I1287),"")</f>
        <v>2.29987379438685</v>
      </c>
      <c r="J1294" s="12" t="n">
        <f aca="false">IF(AND(J$47&gt;=1,(J1285+J1286+J1287)&gt;0.001),J1293/(J1285+J1286+J1287),"")</f>
        <v>5.24207990990491</v>
      </c>
      <c r="K1294" s="12" t="str">
        <f aca="false">IF(AND(K$47&gt;=1,(K1285+K1286+K1287)&gt;0.001),K1293/(K1285+K1286+K1287),"")</f>
        <v/>
      </c>
      <c r="L1294" s="12" t="str">
        <f aca="false">IF(AND(L$47&gt;=1,(L1285+L1286+L1287)&gt;0.001),L1293/(L1285+L1286+L1287),"")</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5" min="2" style="0" width="14"/>
    <col collapsed="false" customWidth="true" hidden="false" outlineLevel="0" max="6" min="6" style="0" width="62"/>
  </cols>
  <sheetData>
    <row r="1" customFormat="false" ht="17.35" hidden="false" customHeight="false" outlineLevel="0" collapsed="false">
      <c r="A1" s="42" t="s">
        <v>1291</v>
      </c>
    </row>
    <row r="2" customFormat="false" ht="15" hidden="false" customHeight="false" outlineLevel="0" collapsed="false">
      <c r="A2" s="9" t="s">
        <v>1292</v>
      </c>
    </row>
    <row r="4" customFormat="false" ht="15" hidden="false" customHeight="false" outlineLevel="0" collapsed="false">
      <c r="A4" s="3" t="s">
        <v>1293</v>
      </c>
      <c r="B4" s="4"/>
      <c r="C4" s="4"/>
      <c r="D4" s="4"/>
      <c r="E4" s="4"/>
      <c r="F4" s="4"/>
    </row>
    <row r="5" customFormat="false" ht="23.85" hidden="false" customHeight="false" outlineLevel="0" collapsed="false">
      <c r="A5" s="23" t="s">
        <v>187</v>
      </c>
      <c r="B5" s="24" t="s">
        <v>1294</v>
      </c>
      <c r="C5" s="24" t="s">
        <v>1295</v>
      </c>
      <c r="D5" s="24" t="s">
        <v>1296</v>
      </c>
      <c r="E5" s="24"/>
      <c r="F5" s="24" t="s">
        <v>1014</v>
      </c>
    </row>
    <row r="6" customFormat="false" ht="15" hidden="false" customHeight="false" outlineLevel="0" collapsed="false">
      <c r="A6" s="6" t="s">
        <v>142</v>
      </c>
      <c r="B6" s="61" t="n">
        <f aca="false">-0.2*Escenarios!$B$37/(Escenarios!$B$37-Escenarios!$G$37)</f>
        <v>-0.322098049420113</v>
      </c>
      <c r="C6" s="29" t="n">
        <f aca="false">D6*(1+B6)</f>
        <v>385.092358498308</v>
      </c>
      <c r="D6" s="29" t="n">
        <f aca="false">Quesería!$E$128</f>
        <v>568.06498073784</v>
      </c>
      <c r="F6" s="9" t="s">
        <v>1297</v>
      </c>
    </row>
    <row r="7" customFormat="false" ht="15" hidden="false" customHeight="false" outlineLevel="0" collapsed="false">
      <c r="A7" s="6" t="s">
        <v>323</v>
      </c>
      <c r="B7" s="61" t="n">
        <f aca="false">0.2*Escenarios!$B$37/(Escenarios!$B$37-Escenarios!$I$37)</f>
        <v>0.548990700111787</v>
      </c>
      <c r="C7" s="29" t="n">
        <f aca="false">D7*(1+B7)</f>
        <v>2461.76337513158</v>
      </c>
      <c r="D7" s="29" t="n">
        <f aca="false">Quesería!$F$97</f>
        <v>1589.26930610618</v>
      </c>
      <c r="F7" s="9" t="s">
        <v>1298</v>
      </c>
    </row>
    <row r="8" customFormat="false" ht="15" hidden="false" customHeight="false" outlineLevel="0" collapsed="false">
      <c r="A8" s="6" t="s">
        <v>413</v>
      </c>
      <c r="B8" s="61" t="n">
        <f aca="false">0.3*Escenarios!$B$37/(Escenarios!$B$37-Escenarios!$K$37)</f>
        <v>2.25478824655312</v>
      </c>
      <c r="C8" s="29" t="n">
        <f aca="false">D8*(1+B8)</f>
        <v>248.979850898302</v>
      </c>
      <c r="D8" s="29" t="n">
        <f aca="false">Quesería!$E$129</f>
        <v>76.4964821173777</v>
      </c>
      <c r="F8" s="9" t="s">
        <v>1299</v>
      </c>
    </row>
    <row r="9" customFormat="false" ht="15" hidden="false" customHeight="false" outlineLevel="0" collapsed="false">
      <c r="A9" s="9" t="s">
        <v>1300</v>
      </c>
    </row>
    <row r="11" customFormat="false" ht="15" hidden="false" customHeight="false" outlineLevel="0" collapsed="false">
      <c r="A11" s="3" t="s">
        <v>1301</v>
      </c>
      <c r="B11" s="4"/>
      <c r="C11" s="4"/>
      <c r="D11" s="4"/>
      <c r="E11" s="4"/>
      <c r="F11" s="4"/>
    </row>
    <row r="12" customFormat="false" ht="35.05" hidden="false" customHeight="false" outlineLevel="0" collapsed="false">
      <c r="A12" s="23" t="s">
        <v>187</v>
      </c>
      <c r="B12" s="24" t="s">
        <v>1302</v>
      </c>
      <c r="C12" s="24" t="s">
        <v>1303</v>
      </c>
      <c r="D12" s="24" t="s">
        <v>1304</v>
      </c>
      <c r="E12" s="24" t="s">
        <v>1305</v>
      </c>
      <c r="F12" s="24" t="s">
        <v>1306</v>
      </c>
    </row>
    <row r="13" customFormat="false" ht="15" hidden="false" customHeight="false" outlineLevel="0" collapsed="false">
      <c r="A13" s="6" t="s">
        <v>142</v>
      </c>
      <c r="B13" s="29" t="n">
        <f aca="false">MIN(Escenarios!$G$37,Escenarios!$H$37)</f>
        <v>242.43743594704</v>
      </c>
      <c r="C13" s="29" t="n">
        <f aca="false">MAX(Escenarios!$G$37,Escenarios!$H$37)</f>
        <v>1036.67595850645</v>
      </c>
      <c r="D13" s="29" t="n">
        <f aca="false">B13-Escenarios!$B$37</f>
        <v>-397.119261279705</v>
      </c>
      <c r="E13" s="29" t="n">
        <f aca="false">C13-Escenarios!$B$37</f>
        <v>397.119261279706</v>
      </c>
      <c r="F13" s="9" t="s">
        <v>1307</v>
      </c>
    </row>
    <row r="14" customFormat="false" ht="15" hidden="false" customHeight="false" outlineLevel="0" collapsed="false">
      <c r="A14" s="6" t="s">
        <v>1308</v>
      </c>
      <c r="B14" s="29" t="n">
        <f aca="false">MIN(Escenarios!$F$37,Escenarios!$B$37)</f>
        <v>288.293552636858</v>
      </c>
      <c r="C14" s="29" t="n">
        <f aca="false">MAX(Escenarios!$F$37,Escenarios!$B$37)</f>
        <v>639.556697226745</v>
      </c>
      <c r="D14" s="29" t="n">
        <f aca="false">B14-Escenarios!$B$37</f>
        <v>-351.263144589887</v>
      </c>
      <c r="E14" s="29" t="n">
        <f aca="false">C14-Escenarios!$B$37</f>
        <v>0</v>
      </c>
      <c r="F14" s="9" t="s">
        <v>1309</v>
      </c>
    </row>
    <row r="15" customFormat="false" ht="15" hidden="false" customHeight="false" outlineLevel="0" collapsed="false">
      <c r="A15" s="6" t="s">
        <v>323</v>
      </c>
      <c r="B15" s="29" t="n">
        <f aca="false">MIN(Escenarios!$I$37,Escenarios!$J$37)</f>
        <v>406.563061051664</v>
      </c>
      <c r="C15" s="29" t="n">
        <f aca="false">MAX(Escenarios!$I$37,Escenarios!$J$37)</f>
        <v>872.550333401827</v>
      </c>
      <c r="D15" s="29" t="n">
        <f aca="false">B15-Escenarios!$B$37</f>
        <v>-232.993636175082</v>
      </c>
      <c r="E15" s="29" t="n">
        <f aca="false">C15-Escenarios!$B$37</f>
        <v>232.993636175082</v>
      </c>
      <c r="F15" s="9" t="s">
        <v>1310</v>
      </c>
    </row>
    <row r="16" customFormat="false" ht="15" hidden="false" customHeight="false" outlineLevel="0" collapsed="false">
      <c r="A16" s="6" t="s">
        <v>413</v>
      </c>
      <c r="B16" s="29" t="n">
        <f aca="false">MIN(Escenarios!$K$37,Escenarios!$L$37)</f>
        <v>554.46355845359</v>
      </c>
      <c r="C16" s="29" t="n">
        <f aca="false">MAX(Escenarios!$K$37,Escenarios!$L$37)</f>
        <v>724.649835999901</v>
      </c>
      <c r="D16" s="29" t="n">
        <f aca="false">B16-Escenarios!$B$37</f>
        <v>-85.093138773155</v>
      </c>
      <c r="E16" s="29" t="n">
        <f aca="false">C16-Escenarios!$B$37</f>
        <v>85.0931387731554</v>
      </c>
      <c r="F16" s="9" t="s">
        <v>1311</v>
      </c>
    </row>
    <row r="17" customFormat="false" ht="15" hidden="false" customHeight="false" outlineLevel="0" collapsed="false">
      <c r="A17" s="6" t="s">
        <v>1312</v>
      </c>
      <c r="B17" s="29" t="n">
        <f aca="false">MIN(Escenarios!$C$37,Escenarios!$B$37)</f>
        <v>-361.213665546943</v>
      </c>
      <c r="C17" s="29" t="n">
        <f aca="false">MAX(Escenarios!$C$37,Escenarios!$B$37)</f>
        <v>639.556697226745</v>
      </c>
      <c r="D17" s="29" t="n">
        <f aca="false">B17-Escenarios!$B$37</f>
        <v>-1000.77036277369</v>
      </c>
      <c r="E17" s="29" t="n">
        <f aca="false">C17-Escenarios!$B$37</f>
        <v>0</v>
      </c>
      <c r="F17" s="9" t="s">
        <v>1313</v>
      </c>
    </row>
    <row r="18" customFormat="false" ht="15" hidden="false" customHeight="false" outlineLevel="0" collapsed="false">
      <c r="A18" s="6" t="s">
        <v>1314</v>
      </c>
      <c r="B18" s="29" t="n">
        <f aca="false">MIN(Escenarios!$M$37,Escenarios!$N$37)</f>
        <v>631.109157765281</v>
      </c>
      <c r="C18" s="29" t="n">
        <f aca="false">MAX(Escenarios!$M$37,Escenarios!$N$37)</f>
        <v>662.131219784883</v>
      </c>
      <c r="D18" s="29" t="n">
        <f aca="false">B18-Escenarios!$B$37</f>
        <v>-8.44753946146454</v>
      </c>
      <c r="E18" s="29" t="n">
        <f aca="false">C18-Escenarios!$B$37</f>
        <v>22.574522558138</v>
      </c>
      <c r="F18" s="9" t="s">
        <v>1315</v>
      </c>
    </row>
    <row r="19" customFormat="false" ht="15" hidden="false" customHeight="false" outlineLevel="0" collapsed="false">
      <c r="A19" s="6" t="s">
        <v>1316</v>
      </c>
      <c r="B19" s="29" t="n">
        <f aca="false">MIN(Escenarios!$O$37,Escenarios!$P$37)</f>
        <v>636.699946113079</v>
      </c>
      <c r="C19" s="29" t="n">
        <f aca="false">MAX(Escenarios!$O$37,Escenarios!$P$37)</f>
        <v>642.413448340411</v>
      </c>
      <c r="D19" s="29" t="n">
        <f aca="false">B19-Escenarios!$B$37</f>
        <v>-2.85675111366595</v>
      </c>
      <c r="E19" s="29" t="n">
        <f aca="false">C19-Escenarios!$B$37</f>
        <v>2.85675111366595</v>
      </c>
      <c r="F19" s="9" t="s">
        <v>1317</v>
      </c>
    </row>
    <row r="20" customFormat="false" ht="15" hidden="false" customHeight="false" outlineLevel="0" collapsed="false">
      <c r="A20" s="6" t="s">
        <v>1318</v>
      </c>
      <c r="B20" s="29" t="n">
        <f aca="false">MIN(Escenarios!$U$37,Escenarios!$B$37)</f>
        <v>318.770910693131</v>
      </c>
      <c r="C20" s="29" t="n">
        <f aca="false">MAX(Escenarios!$U$37,Escenarios!$B$37)</f>
        <v>639.556697226745</v>
      </c>
      <c r="D20" s="29" t="n">
        <f aca="false">B20-Escenarios!$B$37</f>
        <v>-320.785786533615</v>
      </c>
      <c r="E20" s="29" t="n">
        <f aca="false">C20-Escenarios!$B$37</f>
        <v>0</v>
      </c>
      <c r="F20" s="9" t="s">
        <v>1319</v>
      </c>
    </row>
    <row r="21" customFormat="false" ht="15" hidden="false" customHeight="false" outlineLevel="0" collapsed="false">
      <c r="A21" s="5" t="s">
        <v>1320</v>
      </c>
      <c r="B21" s="62" t="n">
        <f aca="false">Escenarios!$B$37</f>
        <v>639.556697226745</v>
      </c>
    </row>
    <row r="22" customFormat="false" ht="15" hidden="false" customHeight="false" outlineLevel="0" collapsed="false">
      <c r="A22" s="9" t="s">
        <v>1321</v>
      </c>
    </row>
    <row r="41" customFormat="false" ht="15" hidden="false" customHeight="false" outlineLevel="0" collapsed="false">
      <c r="A41" s="3" t="s">
        <v>1286</v>
      </c>
      <c r="B41" s="4"/>
      <c r="C41" s="4"/>
      <c r="D41" s="4"/>
      <c r="E41" s="4"/>
      <c r="F41" s="4"/>
    </row>
    <row r="42" customFormat="false" ht="23.85" hidden="false" customHeight="false" outlineLevel="0" collapsed="false">
      <c r="A42" s="23" t="s">
        <v>163</v>
      </c>
      <c r="B42" s="24" t="s">
        <v>1322</v>
      </c>
      <c r="C42" s="24" t="s">
        <v>1323</v>
      </c>
      <c r="D42" s="24" t="s">
        <v>166</v>
      </c>
      <c r="E42" s="24" t="s">
        <v>1324</v>
      </c>
      <c r="F42" s="24" t="s">
        <v>1014</v>
      </c>
    </row>
    <row r="43" customFormat="false" ht="15" hidden="false" customHeight="false" outlineLevel="0" collapsed="false">
      <c r="A43" s="6" t="s">
        <v>153</v>
      </c>
      <c r="B43" s="34" t="n">
        <f aca="false">Escenarios!$B$35</f>
        <v>0.243271358090429</v>
      </c>
      <c r="C43" s="29" t="n">
        <f aca="false">Escenarios!$B$37</f>
        <v>639.556697226745</v>
      </c>
      <c r="D43" s="34" t="n">
        <f aca="false">Escenarios!$B$41</f>
        <v>0.421024376007229</v>
      </c>
      <c r="E43" s="37" t="n">
        <f aca="false">Escenarios!$B$43</f>
        <v>1.34356883281698</v>
      </c>
      <c r="F43" s="9"/>
    </row>
    <row r="44" customFormat="false" ht="15" hidden="false" customHeight="false" outlineLevel="0" collapsed="false">
      <c r="A44" s="6" t="s">
        <v>173</v>
      </c>
      <c r="B44" s="34" t="n">
        <f aca="false">Escenarios!$C$35</f>
        <v>0.100593891876478</v>
      </c>
      <c r="C44" s="29" t="n">
        <f aca="false">Escenarios!$C$37</f>
        <v>-361.213665546943</v>
      </c>
      <c r="D44" s="34" t="n">
        <f aca="false">Escenarios!$C$41</f>
        <v>0.0936268404462679</v>
      </c>
      <c r="E44" s="37" t="n">
        <f aca="false">Escenarios!$C$43</f>
        <v>0.868048368442137</v>
      </c>
      <c r="F44" s="9" t="s">
        <v>1325</v>
      </c>
    </row>
    <row r="45" customFormat="false" ht="15" hidden="false" customHeight="false" outlineLevel="0" collapsed="false">
      <c r="A45" s="6" t="s">
        <v>174</v>
      </c>
      <c r="B45" s="34" t="n">
        <f aca="false">Escenarios!$D$35</f>
        <v>0.0517128081309421</v>
      </c>
      <c r="C45" s="29" t="n">
        <f aca="false">Escenarios!$D$37</f>
        <v>-340.708446867415</v>
      </c>
      <c r="D45" s="34" t="n">
        <f aca="false">Escenarios!$D$41</f>
        <v>-0.000659537606921579</v>
      </c>
      <c r="E45" s="37" t="n">
        <f aca="false">Escenarios!$D$43</f>
        <v>0.604444031794327</v>
      </c>
      <c r="F45" s="9" t="s">
        <v>1326</v>
      </c>
    </row>
    <row r="46" customFormat="false" ht="15" hidden="false" customHeight="false" outlineLevel="0" collapsed="false">
      <c r="A46" s="6" t="s">
        <v>1256</v>
      </c>
      <c r="B46" s="34" t="n">
        <f aca="false">Escenarios!$V$35</f>
        <v>0.135525118345892</v>
      </c>
      <c r="C46" s="29" t="n">
        <f aca="false">Escenarios!$V$37</f>
        <v>-82.4680736468862</v>
      </c>
      <c r="D46" s="34" t="n">
        <f aca="false">Escenarios!$V$41</f>
        <v>0.181261580741355</v>
      </c>
      <c r="E46" s="37" t="n">
        <f aca="false">Escenarios!$V$43</f>
        <v>0.912609686154258</v>
      </c>
      <c r="F46" s="9" t="s">
        <v>1327</v>
      </c>
    </row>
    <row r="47" customFormat="false" ht="15" hidden="false" customHeight="false" outlineLevel="0" collapsed="false">
      <c r="A47" s="6" t="s">
        <v>1249</v>
      </c>
      <c r="B47" s="34" t="n">
        <f aca="false">Escenarios!$N$35</f>
        <v>0.263148993203125</v>
      </c>
      <c r="C47" s="29" t="n">
        <f aca="false">Escenarios!$N$37</f>
        <v>662.131219784883</v>
      </c>
      <c r="D47" s="34" t="n">
        <f aca="false">Escenarios!$N$41</f>
        <v>0.435067682635909</v>
      </c>
      <c r="E47" s="37" t="n">
        <f aca="false">Escenarios!$N$43</f>
        <v>1.3192438470863</v>
      </c>
      <c r="F47" s="9" t="s">
        <v>1328</v>
      </c>
    </row>
    <row r="48" customFormat="false" ht="15" hidden="false" customHeight="false" outlineLevel="0" collapsed="false">
      <c r="A48" s="6" t="s">
        <v>1252</v>
      </c>
      <c r="B48" s="34" t="n">
        <f aca="false">Escenarios!$Q$35</f>
        <v>0.256010060339305</v>
      </c>
      <c r="C48" s="29" t="n">
        <f aca="false">Escenarios!$Q$37</f>
        <v>692.714519373339</v>
      </c>
      <c r="D48" s="34" t="n">
        <f aca="false">Escenarios!$Q$41</f>
        <v>0.438514711059476</v>
      </c>
      <c r="E48" s="37" t="n">
        <f aca="false">Escenarios!$Q$43</f>
        <v>1.38754649381351</v>
      </c>
      <c r="F48" s="9" t="s">
        <v>1329</v>
      </c>
    </row>
    <row r="49" customFormat="false" ht="15" hidden="false" customHeight="false" outlineLevel="0" collapsed="false">
      <c r="A49" s="6" t="s">
        <v>1253</v>
      </c>
      <c r="B49" s="34" t="n">
        <f aca="false">Escenarios!$R$35</f>
        <v>0.243271358090429</v>
      </c>
      <c r="C49" s="29" t="n">
        <f aca="false">Escenarios!$R$37</f>
        <v>580.042498177263</v>
      </c>
      <c r="D49" s="34" t="n">
        <f aca="false">Escenarios!$R$41</f>
        <v>0.406446583022528</v>
      </c>
      <c r="E49" s="37" t="n">
        <f aca="false">Escenarios!$R$43</f>
        <v>1.29702229796203</v>
      </c>
      <c r="F49" s="9" t="s">
        <v>1330</v>
      </c>
    </row>
    <row r="50" customFormat="false" ht="15" hidden="false" customHeight="false" outlineLevel="0" collapsed="false">
      <c r="A50" s="6" t="s">
        <v>1254</v>
      </c>
      <c r="B50" s="34" t="n">
        <f aca="false">Escenarios!$S$35</f>
        <v>0.243271358090429</v>
      </c>
      <c r="C50" s="29" t="n">
        <f aca="false">Escenarios!$S$37</f>
        <v>552.446798255424</v>
      </c>
      <c r="D50" s="34" t="n">
        <f aca="false">Escenarios!$S$41</f>
        <v>0.393335112440985</v>
      </c>
      <c r="E50" s="37" t="n">
        <f aca="false">Escenarios!$S$43</f>
        <v>1.28791404660404</v>
      </c>
      <c r="F50" s="9" t="s">
        <v>1331</v>
      </c>
    </row>
    <row r="51" customFormat="false" ht="15" hidden="false" customHeight="false" outlineLevel="0" collapsed="false">
      <c r="A51" s="6" t="s">
        <v>168</v>
      </c>
      <c r="B51" s="34" t="n">
        <f aca="false">Escenarios!$T$35</f>
        <v>0.202916445064775</v>
      </c>
      <c r="C51" s="29" t="n">
        <f aca="false">Escenarios!$T$37</f>
        <v>402.889457933148</v>
      </c>
      <c r="D51" s="34" t="n">
        <f aca="false">Escenarios!$T$41</f>
        <v>0.301201101644771</v>
      </c>
      <c r="E51" s="37" t="n">
        <f aca="false">Escenarios!$T$43</f>
        <v>1.34356883281698</v>
      </c>
      <c r="F51" s="9" t="s">
        <v>1332</v>
      </c>
    </row>
    <row r="52" customFormat="false" ht="15" hidden="false" customHeight="false" outlineLevel="0" collapsed="false">
      <c r="A52" s="6" t="s">
        <v>1255</v>
      </c>
      <c r="B52" s="34" t="n">
        <f aca="false">Escenarios!$U$35</f>
        <v>0.202916445064775</v>
      </c>
      <c r="C52" s="29" t="n">
        <f aca="false">Escenarios!$U$37</f>
        <v>318.770910693131</v>
      </c>
      <c r="D52" s="34" t="n">
        <f aca="false">Escenarios!$U$41</f>
        <v>0.282611017802314</v>
      </c>
      <c r="E52" s="37" t="n">
        <f aca="false">Escenarios!$U$43</f>
        <v>1.28791404660404</v>
      </c>
      <c r="F52" s="9" t="s">
        <v>1333</v>
      </c>
    </row>
    <row r="53" customFormat="false" ht="15" hidden="false" customHeight="false" outlineLevel="0" collapsed="false">
      <c r="A53" s="6" t="s">
        <v>1334</v>
      </c>
      <c r="C53" s="29" t="n">
        <f aca="false">Herramientas!B80</f>
        <v>-48.8670853775761</v>
      </c>
      <c r="F53" s="9" t="s">
        <v>1335</v>
      </c>
    </row>
    <row r="55" customFormat="false" ht="15" hidden="false" customHeight="false" outlineLevel="0" collapsed="false">
      <c r="A55" s="3" t="s">
        <v>1336</v>
      </c>
      <c r="B55" s="4"/>
      <c r="C55" s="4"/>
      <c r="D55" s="4"/>
      <c r="E55" s="4"/>
      <c r="F55" s="4"/>
    </row>
    <row r="56" customFormat="false" ht="15" hidden="false" customHeight="false" outlineLevel="0" collapsed="false">
      <c r="A56" s="9" t="s">
        <v>1337</v>
      </c>
    </row>
    <row r="57" customFormat="false" ht="30" hidden="false" customHeight="true" outlineLevel="0" collapsed="false">
      <c r="A57" s="23" t="s">
        <v>55</v>
      </c>
      <c r="B57" s="24" t="s">
        <v>1338</v>
      </c>
      <c r="C57" s="24"/>
      <c r="D57" s="24" t="s">
        <v>1339</v>
      </c>
      <c r="E57" s="24" t="s">
        <v>1340</v>
      </c>
      <c r="F57" s="24" t="s">
        <v>1341</v>
      </c>
    </row>
    <row r="58" customFormat="false" ht="61.5" hidden="false" customHeight="true" outlineLevel="0" collapsed="false">
      <c r="A58" s="77" t="s">
        <v>1342</v>
      </c>
      <c r="B58" s="32" t="s">
        <v>1343</v>
      </c>
      <c r="C58" s="32"/>
      <c r="D58" s="79" t="s">
        <v>1344</v>
      </c>
      <c r="E58" s="79" t="s">
        <v>1345</v>
      </c>
      <c r="F58" s="79" t="s">
        <v>1346</v>
      </c>
    </row>
    <row r="59" customFormat="false" ht="61.5" hidden="false" customHeight="true" outlineLevel="0" collapsed="false">
      <c r="A59" s="77" t="s">
        <v>1347</v>
      </c>
      <c r="B59" s="32" t="s">
        <v>1348</v>
      </c>
      <c r="C59" s="32"/>
      <c r="D59" s="79" t="s">
        <v>1349</v>
      </c>
      <c r="E59" s="79" t="s">
        <v>1350</v>
      </c>
      <c r="F59" s="79" t="s">
        <v>1351</v>
      </c>
    </row>
    <row r="60" customFormat="false" ht="61.5" hidden="false" customHeight="true" outlineLevel="0" collapsed="false">
      <c r="A60" s="77" t="s">
        <v>1352</v>
      </c>
      <c r="B60" s="32" t="s">
        <v>1353</v>
      </c>
      <c r="C60" s="32"/>
      <c r="D60" s="79" t="s">
        <v>1354</v>
      </c>
      <c r="E60" s="79" t="s">
        <v>1355</v>
      </c>
      <c r="F60" s="79" t="s">
        <v>1356</v>
      </c>
    </row>
    <row r="61" customFormat="false" ht="61.5" hidden="false" customHeight="true" outlineLevel="0" collapsed="false">
      <c r="A61" s="77" t="s">
        <v>1357</v>
      </c>
      <c r="B61" s="32" t="s">
        <v>1358</v>
      </c>
      <c r="C61" s="32"/>
      <c r="D61" s="79" t="s">
        <v>1344</v>
      </c>
      <c r="E61" s="79" t="s">
        <v>1359</v>
      </c>
      <c r="F61" s="79" t="s">
        <v>1360</v>
      </c>
    </row>
    <row r="62" customFormat="false" ht="61.5" hidden="false" customHeight="true" outlineLevel="0" collapsed="false">
      <c r="A62" s="77" t="s">
        <v>1361</v>
      </c>
      <c r="B62" s="32" t="s">
        <v>1362</v>
      </c>
      <c r="C62" s="32"/>
      <c r="D62" s="79" t="s">
        <v>1363</v>
      </c>
      <c r="E62" s="79" t="s">
        <v>1364</v>
      </c>
      <c r="F62" s="79" t="s">
        <v>1365</v>
      </c>
    </row>
    <row r="63" customFormat="false" ht="61.5" hidden="false" customHeight="true" outlineLevel="0" collapsed="false">
      <c r="A63" s="77" t="s">
        <v>1366</v>
      </c>
      <c r="B63" s="32" t="s">
        <v>1367</v>
      </c>
      <c r="C63" s="32"/>
      <c r="D63" s="79" t="s">
        <v>1344</v>
      </c>
      <c r="E63" s="79" t="s">
        <v>1368</v>
      </c>
      <c r="F63" s="79" t="s">
        <v>1369</v>
      </c>
    </row>
    <row r="64" customFormat="false" ht="61.5" hidden="false" customHeight="true" outlineLevel="0" collapsed="false">
      <c r="A64" s="77" t="s">
        <v>1370</v>
      </c>
      <c r="B64" s="32" t="s">
        <v>1371</v>
      </c>
      <c r="C64" s="32"/>
      <c r="D64" s="79" t="s">
        <v>1372</v>
      </c>
      <c r="E64" s="79" t="s">
        <v>1373</v>
      </c>
      <c r="F64" s="79" t="s">
        <v>1374</v>
      </c>
    </row>
    <row r="65" customFormat="false" ht="61.5" hidden="false" customHeight="true" outlineLevel="0" collapsed="false">
      <c r="A65" s="77" t="s">
        <v>1375</v>
      </c>
      <c r="B65" s="32" t="s">
        <v>1376</v>
      </c>
      <c r="C65" s="32"/>
      <c r="D65" s="79" t="s">
        <v>1372</v>
      </c>
      <c r="E65" s="79" t="s">
        <v>1377</v>
      </c>
      <c r="F65" s="79" t="s">
        <v>1378</v>
      </c>
    </row>
    <row r="66" customFormat="false" ht="61.5" hidden="false" customHeight="true" outlineLevel="0" collapsed="false">
      <c r="A66" s="77" t="s">
        <v>1379</v>
      </c>
      <c r="B66" s="32" t="s">
        <v>1380</v>
      </c>
      <c r="C66" s="32"/>
      <c r="D66" s="79" t="s">
        <v>1372</v>
      </c>
      <c r="E66" s="79" t="s">
        <v>1381</v>
      </c>
      <c r="F66" s="79" t="s">
        <v>1382</v>
      </c>
    </row>
    <row r="67" customFormat="false" ht="61.5" hidden="false" customHeight="true" outlineLevel="0" collapsed="false">
      <c r="A67" s="77" t="s">
        <v>1383</v>
      </c>
      <c r="B67" s="32" t="s">
        <v>1384</v>
      </c>
      <c r="C67" s="32"/>
      <c r="D67" s="79" t="s">
        <v>1372</v>
      </c>
      <c r="E67" s="79" t="s">
        <v>1377</v>
      </c>
      <c r="F67" s="79" t="s">
        <v>1385</v>
      </c>
    </row>
    <row r="68" customFormat="false" ht="61.5" hidden="false" customHeight="true" outlineLevel="0" collapsed="false">
      <c r="A68" s="77" t="s">
        <v>1386</v>
      </c>
      <c r="B68" s="32" t="s">
        <v>1387</v>
      </c>
      <c r="C68" s="32"/>
      <c r="D68" s="79" t="s">
        <v>1388</v>
      </c>
      <c r="E68" s="79" t="s">
        <v>1389</v>
      </c>
      <c r="F68" s="79" t="s">
        <v>1390</v>
      </c>
    </row>
    <row r="69" customFormat="false" ht="61.5" hidden="false" customHeight="true" outlineLevel="0" collapsed="false">
      <c r="A69" s="77" t="s">
        <v>1391</v>
      </c>
      <c r="B69" s="32" t="s">
        <v>1392</v>
      </c>
      <c r="C69" s="32"/>
      <c r="D69" s="79" t="s">
        <v>1388</v>
      </c>
      <c r="E69" s="79" t="s">
        <v>1393</v>
      </c>
      <c r="F69" s="79" t="s">
        <v>1394</v>
      </c>
    </row>
    <row r="70" customFormat="false" ht="61.5" hidden="false" customHeight="true" outlineLevel="0" collapsed="false">
      <c r="A70" s="77" t="s">
        <v>1395</v>
      </c>
      <c r="B70" s="32" t="s">
        <v>1396</v>
      </c>
      <c r="C70" s="32"/>
      <c r="D70" s="79" t="s">
        <v>1388</v>
      </c>
      <c r="E70" s="79" t="s">
        <v>1397</v>
      </c>
      <c r="F70" s="79" t="s">
        <v>1398</v>
      </c>
    </row>
    <row r="71" customFormat="false" ht="61.5" hidden="false" customHeight="true" outlineLevel="0" collapsed="false">
      <c r="A71" s="77" t="s">
        <v>1399</v>
      </c>
      <c r="B71" s="32" t="s">
        <v>1400</v>
      </c>
      <c r="C71" s="32"/>
      <c r="D71" s="79" t="s">
        <v>1372</v>
      </c>
      <c r="E71" s="79" t="s">
        <v>1401</v>
      </c>
      <c r="F71" s="79" t="s">
        <v>1402</v>
      </c>
    </row>
    <row r="72" customFormat="false" ht="61.5" hidden="false" customHeight="true" outlineLevel="0" collapsed="false">
      <c r="A72" s="77" t="s">
        <v>1403</v>
      </c>
      <c r="B72" s="32" t="s">
        <v>1404</v>
      </c>
      <c r="C72" s="32"/>
      <c r="D72" s="79" t="s">
        <v>1344</v>
      </c>
      <c r="E72" s="79" t="s">
        <v>1405</v>
      </c>
      <c r="F72" s="79" t="s">
        <v>1406</v>
      </c>
    </row>
    <row r="73" customFormat="false" ht="61.5" hidden="false" customHeight="true" outlineLevel="0" collapsed="false">
      <c r="A73" s="77" t="s">
        <v>1407</v>
      </c>
      <c r="B73" s="32" t="s">
        <v>1408</v>
      </c>
      <c r="C73" s="32"/>
      <c r="D73" s="79" t="s">
        <v>1409</v>
      </c>
      <c r="E73" s="79" t="s">
        <v>1410</v>
      </c>
      <c r="F73" s="79" t="s">
        <v>1411</v>
      </c>
    </row>
  </sheetData>
  <mergeCells count="16">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73:C7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12" min="2" style="0" width="12"/>
  </cols>
  <sheetData>
    <row r="1" customFormat="false" ht="17.35" hidden="false" customHeight="false" outlineLevel="0" collapsed="false">
      <c r="A1" s="42" t="s">
        <v>1412</v>
      </c>
    </row>
    <row r="2" customFormat="false" ht="15" hidden="false" customHeight="false" outlineLevel="0" collapsed="false">
      <c r="A2" s="9" t="s">
        <v>1413</v>
      </c>
    </row>
    <row r="4" customFormat="false" ht="15" hidden="false" customHeight="false" outlineLevel="0" collapsed="false">
      <c r="A4" s="3" t="s">
        <v>1414</v>
      </c>
      <c r="B4" s="4"/>
      <c r="C4" s="4"/>
      <c r="D4" s="4"/>
      <c r="E4" s="4"/>
      <c r="F4" s="4"/>
      <c r="G4" s="4"/>
      <c r="H4" s="4"/>
      <c r="I4" s="4"/>
      <c r="J4" s="4"/>
      <c r="K4" s="4"/>
      <c r="L4" s="4"/>
    </row>
    <row r="5" customFormat="false" ht="30" hidden="false" customHeight="true" outlineLevel="0" collapsed="false">
      <c r="A5" s="23" t="s">
        <v>1415</v>
      </c>
      <c r="B5" s="24" t="s">
        <v>1416</v>
      </c>
      <c r="C5" s="24" t="s">
        <v>1417</v>
      </c>
      <c r="D5" s="24" t="s">
        <v>1322</v>
      </c>
      <c r="E5" s="24" t="s">
        <v>166</v>
      </c>
      <c r="F5" s="24" t="s">
        <v>1324</v>
      </c>
      <c r="G5" s="24" t="s">
        <v>1418</v>
      </c>
    </row>
    <row r="6" customFormat="false" ht="15" hidden="false" customHeight="false" outlineLevel="0" collapsed="false">
      <c r="A6" s="6" t="s">
        <v>1419</v>
      </c>
      <c r="B6" s="34" t="n">
        <f aca="false">Escenarios!$W$29</f>
        <v>0.16</v>
      </c>
      <c r="C6" s="29" t="n">
        <f aca="false">Escenarios!$W$37</f>
        <v>264.165663420326</v>
      </c>
      <c r="D6" s="34" t="n">
        <f aca="false">Escenarios!$W$35</f>
        <v>0.197225147705282</v>
      </c>
      <c r="E6" s="34" t="n">
        <f aca="false">Escenarios!$W$41</f>
        <v>0.266376228982006</v>
      </c>
      <c r="F6" s="37" t="n">
        <f aca="false">Escenarios!$W$43</f>
        <v>1.29505384259986</v>
      </c>
      <c r="G6" s="9" t="s">
        <v>1420</v>
      </c>
    </row>
    <row r="7" customFormat="false" ht="15" hidden="false" customHeight="false" outlineLevel="0" collapsed="false">
      <c r="A7" s="6" t="s">
        <v>1421</v>
      </c>
      <c r="B7" s="34" t="n">
        <f aca="false">Escenarios!$X$29</f>
        <v>0.1570777225</v>
      </c>
      <c r="C7" s="29" t="n">
        <f aca="false">Escenarios!$X$37</f>
        <v>287.926069995476</v>
      </c>
      <c r="D7" s="34" t="n">
        <f aca="false">Escenarios!$X$35</f>
        <v>0.197225147705282</v>
      </c>
      <c r="E7" s="34" t="n">
        <f aca="false">Escenarios!$X$41</f>
        <v>0.266376228982006</v>
      </c>
      <c r="F7" s="37" t="n">
        <f aca="false">Escenarios!$X$43</f>
        <v>1.29505384259986</v>
      </c>
      <c r="G7" s="9" t="s">
        <v>1422</v>
      </c>
    </row>
    <row r="8" customFormat="false" ht="15" hidden="false" customHeight="false" outlineLevel="0" collapsed="false">
      <c r="A8" s="6" t="s">
        <v>1423</v>
      </c>
      <c r="B8" s="34" t="n">
        <f aca="false">Escenarios!$U$29</f>
        <v>0.1570777225</v>
      </c>
      <c r="C8" s="29" t="n">
        <f aca="false">Escenarios!$U$37</f>
        <v>318.770910693131</v>
      </c>
      <c r="D8" s="34" t="n">
        <f aca="false">Escenarios!$U$35</f>
        <v>0.202916445064775</v>
      </c>
      <c r="E8" s="34" t="n">
        <f aca="false">Escenarios!$U$41</f>
        <v>0.282611017802314</v>
      </c>
      <c r="F8" s="37" t="n">
        <f aca="false">Escenarios!$U$43</f>
        <v>1.28791404660404</v>
      </c>
      <c r="G8" s="9" t="s">
        <v>1424</v>
      </c>
    </row>
    <row r="9" customFormat="false" ht="15" hidden="false" customHeight="false" outlineLevel="0" collapsed="false">
      <c r="A9" s="6" t="s">
        <v>1425</v>
      </c>
      <c r="B9" s="34" t="n">
        <f aca="false">Escenarios!$T$29</f>
        <v>0.1470725</v>
      </c>
      <c r="C9" s="29" t="n">
        <f aca="false">Escenarios!$T$37</f>
        <v>402.889457933148</v>
      </c>
      <c r="D9" s="34" t="n">
        <f aca="false">Escenarios!$T$35</f>
        <v>0.202916445064775</v>
      </c>
      <c r="E9" s="34" t="n">
        <f aca="false">Escenarios!$T$41</f>
        <v>0.301201101644771</v>
      </c>
      <c r="F9" s="37" t="n">
        <f aca="false">Escenarios!$T$43</f>
        <v>1.34356883281698</v>
      </c>
      <c r="G9" s="9" t="s">
        <v>1426</v>
      </c>
    </row>
    <row r="10" customFormat="false" ht="15" hidden="false" customHeight="false" outlineLevel="0" collapsed="false">
      <c r="A10" s="5" t="s">
        <v>1427</v>
      </c>
      <c r="B10" s="34" t="n">
        <f aca="false">Escenarios!$B$29</f>
        <v>0.1470725</v>
      </c>
      <c r="C10" s="62" t="n">
        <f aca="false">Escenarios!$B$37</f>
        <v>639.556697226745</v>
      </c>
      <c r="D10" s="61" t="n">
        <f aca="false">Escenarios!$B$35</f>
        <v>0.243271358090429</v>
      </c>
      <c r="E10" s="61" t="n">
        <f aca="false">Escenarios!$B$41</f>
        <v>0.421024376007229</v>
      </c>
      <c r="F10" s="66" t="n">
        <f aca="false">Escenarios!$B$43</f>
        <v>1.34356883281698</v>
      </c>
      <c r="G10" s="9" t="s">
        <v>1428</v>
      </c>
    </row>
    <row r="11" customFormat="false" ht="15" hidden="false" customHeight="false" outlineLevel="0" collapsed="false">
      <c r="A11" s="9" t="s">
        <v>1429</v>
      </c>
    </row>
    <row r="13" customFormat="false" ht="15" hidden="false" customHeight="false" outlineLevel="0" collapsed="false">
      <c r="A13" s="3" t="s">
        <v>1430</v>
      </c>
      <c r="B13" s="4"/>
      <c r="C13" s="4"/>
      <c r="D13" s="4"/>
      <c r="E13" s="4"/>
      <c r="F13" s="4"/>
      <c r="G13" s="4"/>
      <c r="H13" s="4"/>
      <c r="I13" s="4"/>
      <c r="J13" s="4"/>
      <c r="K13" s="4"/>
      <c r="L13" s="4"/>
    </row>
    <row r="14" customFormat="false" ht="15" hidden="false" customHeight="false" outlineLevel="0" collapsed="false">
      <c r="A14" s="9" t="s">
        <v>1431</v>
      </c>
    </row>
    <row r="15" customFormat="false" ht="15" hidden="false" customHeight="false" outlineLevel="0" collapsed="false">
      <c r="A15" s="9" t="s">
        <v>1432</v>
      </c>
    </row>
    <row r="16" customFormat="false" ht="15" hidden="false" customHeight="false" outlineLevel="0" collapsed="false">
      <c r="A16" s="9" t="s">
        <v>1433</v>
      </c>
    </row>
    <row r="18" customFormat="false" ht="15" hidden="false" customHeight="false" outlineLevel="0" collapsed="false">
      <c r="A18" s="3" t="s">
        <v>1434</v>
      </c>
      <c r="B18" s="4"/>
      <c r="C18" s="4"/>
      <c r="D18" s="4"/>
      <c r="E18" s="4"/>
      <c r="F18" s="4"/>
      <c r="G18" s="4"/>
      <c r="H18" s="4"/>
      <c r="I18" s="4"/>
      <c r="J18" s="4"/>
      <c r="K18" s="4"/>
      <c r="L18" s="4"/>
    </row>
    <row r="19" customFormat="false" ht="15" hidden="false" customHeight="false" outlineLevel="0" collapsed="false">
      <c r="A19" s="9" t="s">
        <v>1435</v>
      </c>
    </row>
    <row r="20" customFormat="false" ht="15" hidden="false" customHeight="false" outlineLevel="0" collapsed="false">
      <c r="A20" s="6" t="s">
        <v>1436</v>
      </c>
      <c r="B20" s="29" t="n">
        <f aca="false">Escenarios!$AB$37-Escenarios!$AC$37</f>
        <v>115.981589498154</v>
      </c>
    </row>
    <row r="21" customFormat="false" ht="15" hidden="false" customHeight="false" outlineLevel="0" collapsed="false">
      <c r="A21" s="6" t="s">
        <v>1437</v>
      </c>
      <c r="B21" s="29" t="n">
        <f aca="false">Escenarios!$B$37-Escenarios!$AC$37</f>
        <v>124.174969776233</v>
      </c>
    </row>
    <row r="22" customFormat="false" ht="15" hidden="false" customHeight="false" outlineLevel="0" collapsed="false">
      <c r="A22" s="6" t="s">
        <v>1438</v>
      </c>
      <c r="B22" s="29" t="n">
        <f aca="false">Escenarios!$AB$37-Escenarios!$AD$37</f>
        <v>18.3074740262713</v>
      </c>
    </row>
    <row r="23" customFormat="false" ht="15" hidden="false" customHeight="false" outlineLevel="0" collapsed="false">
      <c r="A23" s="6" t="s">
        <v>1439</v>
      </c>
      <c r="B23" s="64" t="n">
        <f aca="false">'Beneficios y costos'!$B$31+('Beneficios y costos'!$B$32-'Beneficios y costos'!$B$31)*B21/B20</f>
        <v>46.0596570085216</v>
      </c>
    </row>
    <row r="24" customFormat="false" ht="15" hidden="false" customHeight="false" outlineLevel="0" collapsed="false">
      <c r="A24" s="5" t="s">
        <v>1440</v>
      </c>
      <c r="B24" s="11" t="n">
        <f aca="false">'Beneficios y costos'!$B$31+('Beneficios y costos'!$B$32-'Beneficios y costos'!$B$31)*(B21+B22)/B20</f>
        <v>48.4273785717653</v>
      </c>
    </row>
    <row r="25" customFormat="false" ht="15" hidden="false" customHeight="false" outlineLevel="0" collapsed="false">
      <c r="A25" s="9" t="s">
        <v>1441</v>
      </c>
    </row>
    <row r="28" customFormat="false" ht="15" hidden="false" customHeight="false" outlineLevel="0" collapsed="false">
      <c r="A28" s="3" t="s">
        <v>1442</v>
      </c>
      <c r="B28" s="4"/>
      <c r="C28" s="4"/>
      <c r="D28" s="4"/>
      <c r="E28" s="4"/>
      <c r="F28" s="4"/>
      <c r="G28" s="4"/>
      <c r="H28" s="4"/>
      <c r="I28" s="4"/>
      <c r="J28" s="4"/>
      <c r="K28" s="4"/>
      <c r="L28" s="4"/>
    </row>
    <row r="29" customFormat="false" ht="15" hidden="false" customHeight="false" outlineLevel="0" collapsed="false">
      <c r="A29" s="9" t="s">
        <v>1443</v>
      </c>
    </row>
    <row r="30" customFormat="false" ht="30" hidden="false" customHeight="true" outlineLevel="0" collapsed="false">
      <c r="A30" s="23" t="s">
        <v>1444</v>
      </c>
      <c r="B30" s="24" t="s">
        <v>1445</v>
      </c>
      <c r="C30" s="24"/>
      <c r="D30" s="24" t="s">
        <v>1446</v>
      </c>
      <c r="E30" s="24"/>
      <c r="F30" s="24"/>
      <c r="G30" s="24" t="s">
        <v>1447</v>
      </c>
      <c r="H30" s="24"/>
      <c r="I30" s="24" t="s">
        <v>1448</v>
      </c>
      <c r="J30" s="24" t="s">
        <v>189</v>
      </c>
      <c r="K30" s="24" t="s">
        <v>1449</v>
      </c>
      <c r="L30" s="24"/>
    </row>
    <row r="31" customFormat="false" ht="91.5" hidden="false" customHeight="true" outlineLevel="0" collapsed="false">
      <c r="A31" s="77" t="s">
        <v>1450</v>
      </c>
      <c r="B31" s="32" t="s">
        <v>1451</v>
      </c>
      <c r="C31" s="32"/>
      <c r="D31" s="32" t="s">
        <v>1452</v>
      </c>
      <c r="E31" s="32"/>
      <c r="F31" s="32"/>
      <c r="G31" s="32" t="s">
        <v>1453</v>
      </c>
      <c r="H31" s="32"/>
      <c r="I31" s="92" t="n">
        <f aca="false">'Beneficios y costos'!$B$145</f>
        <v>65.6441387999999</v>
      </c>
      <c r="J31" s="79" t="s">
        <v>214</v>
      </c>
      <c r="K31" s="93" t="n">
        <f aca="false">Escenarios!$B$37-Escenarios!$Z$37</f>
        <v>128.387191450385</v>
      </c>
      <c r="L31" s="93"/>
    </row>
    <row r="32" customFormat="false" ht="91.5" hidden="false" customHeight="true" outlineLevel="0" collapsed="false">
      <c r="A32" s="77" t="s">
        <v>1454</v>
      </c>
      <c r="B32" s="32" t="s">
        <v>1455</v>
      </c>
      <c r="C32" s="32"/>
      <c r="D32" s="32" t="s">
        <v>1456</v>
      </c>
      <c r="E32" s="32"/>
      <c r="F32" s="32"/>
      <c r="G32" s="32" t="s">
        <v>1457</v>
      </c>
      <c r="H32" s="32"/>
      <c r="I32" s="94" t="n">
        <f aca="false">$B$24</f>
        <v>48.4273785717653</v>
      </c>
      <c r="J32" s="79" t="s">
        <v>1458</v>
      </c>
      <c r="K32" s="93" t="n">
        <f aca="false">Escenarios!$AB$37-Escenarios!$B$37</f>
        <v>-8.19338027807919</v>
      </c>
      <c r="L32" s="93"/>
    </row>
    <row r="33" customFormat="false" ht="91.5" hidden="false" customHeight="true" outlineLevel="0" collapsed="false">
      <c r="A33" s="77" t="s">
        <v>1459</v>
      </c>
      <c r="B33" s="32" t="s">
        <v>1460</v>
      </c>
      <c r="C33" s="32"/>
      <c r="D33" s="32" t="s">
        <v>1461</v>
      </c>
      <c r="E33" s="32"/>
      <c r="F33" s="32"/>
      <c r="G33" s="32" t="s">
        <v>1462</v>
      </c>
      <c r="H33" s="32"/>
      <c r="I33" s="95" t="n">
        <f aca="false">Escenarios!$R$14-Quesería!$B$45</f>
        <v>0.016</v>
      </c>
      <c r="J33" s="79" t="s">
        <v>1463</v>
      </c>
      <c r="K33" s="93" t="n">
        <f aca="false">Escenarios!$B$37-Escenarios!$R$37</f>
        <v>59.5141990494823</v>
      </c>
      <c r="L33" s="93"/>
    </row>
    <row r="34" customFormat="false" ht="91.5" hidden="false" customHeight="true" outlineLevel="0" collapsed="false">
      <c r="A34" s="77" t="s">
        <v>1464</v>
      </c>
      <c r="B34" s="32" t="s">
        <v>1465</v>
      </c>
      <c r="C34" s="32"/>
      <c r="D34" s="32" t="s">
        <v>1466</v>
      </c>
      <c r="E34" s="32"/>
      <c r="F34" s="32"/>
      <c r="G34" s="32" t="s">
        <v>1467</v>
      </c>
      <c r="H34" s="32"/>
      <c r="I34" s="95" t="n">
        <f aca="false">Quesería!$B$51</f>
        <v>0.0199</v>
      </c>
      <c r="J34" s="79" t="s">
        <v>1468</v>
      </c>
      <c r="K34" s="93" t="n">
        <f aca="false">Escenarios!$B$37-Escenarios!$S$37</f>
        <v>87.1098989713212</v>
      </c>
      <c r="L34" s="93"/>
    </row>
    <row r="35" customFormat="false" ht="91.5" hidden="false" customHeight="true" outlineLevel="0" collapsed="false">
      <c r="A35" s="77" t="s">
        <v>1469</v>
      </c>
      <c r="B35" s="32" t="s">
        <v>1470</v>
      </c>
      <c r="C35" s="32"/>
      <c r="D35" s="32" t="s">
        <v>1471</v>
      </c>
      <c r="E35" s="32"/>
      <c r="F35" s="32"/>
      <c r="G35" s="32" t="s">
        <v>1472</v>
      </c>
      <c r="H35" s="32"/>
      <c r="I35" s="92" t="n">
        <f aca="false">Quesería!C149+Quesería!D149</f>
        <v>270.309241770289</v>
      </c>
      <c r="J35" s="79" t="s">
        <v>1473</v>
      </c>
      <c r="K35" s="93" t="n">
        <f aca="false">Escenarios!$B$37-Escenarios!$T$37</f>
        <v>236.667239293597</v>
      </c>
      <c r="L35" s="93"/>
    </row>
    <row r="36" customFormat="false" ht="91.5" hidden="false" customHeight="true" outlineLevel="0" collapsed="false">
      <c r="A36" s="77" t="s">
        <v>1474</v>
      </c>
      <c r="B36" s="32" t="s">
        <v>1475</v>
      </c>
      <c r="C36" s="32"/>
      <c r="D36" s="32" t="s">
        <v>1476</v>
      </c>
      <c r="E36" s="32"/>
      <c r="F36" s="32"/>
      <c r="G36" s="32" t="s">
        <v>1477</v>
      </c>
      <c r="H36" s="32"/>
      <c r="I36" s="92" t="n">
        <f aca="false">Quesería!$B$56*Quesería!$D$86</f>
        <v>20</v>
      </c>
      <c r="J36" s="79" t="s">
        <v>1478</v>
      </c>
      <c r="K36" s="93" t="n">
        <f aca="false">Escenarios!$AB$37-Escenarios!$AD$37</f>
        <v>18.3074740262713</v>
      </c>
      <c r="L36" s="93"/>
    </row>
    <row r="37" customFormat="false" ht="15" hidden="false" customHeight="false" outlineLevel="0" collapsed="false">
      <c r="A37" s="9" t="s">
        <v>1479</v>
      </c>
    </row>
    <row r="39" customFormat="false" ht="15" hidden="false" customHeight="false" outlineLevel="0" collapsed="false">
      <c r="A39" s="3" t="s">
        <v>1480</v>
      </c>
      <c r="B39" s="4"/>
      <c r="C39" s="4"/>
      <c r="D39" s="4"/>
      <c r="E39" s="4"/>
      <c r="F39" s="4"/>
      <c r="G39" s="4"/>
      <c r="H39" s="4"/>
      <c r="I39" s="4"/>
      <c r="J39" s="4"/>
      <c r="K39" s="4"/>
      <c r="L39" s="4"/>
    </row>
    <row r="40" customFormat="false" ht="15" hidden="false" customHeight="false" outlineLevel="0" collapsed="false">
      <c r="A40" s="9" t="s">
        <v>1481</v>
      </c>
    </row>
    <row r="41" customFormat="false" ht="30" hidden="false" customHeight="true" outlineLevel="0" collapsed="false">
      <c r="A41" s="23" t="s">
        <v>119</v>
      </c>
      <c r="B41" s="24" t="s">
        <v>1482</v>
      </c>
      <c r="C41" s="24"/>
      <c r="D41" s="24" t="s">
        <v>1483</v>
      </c>
      <c r="E41" s="24"/>
      <c r="F41" s="24"/>
      <c r="G41" s="24" t="s">
        <v>1063</v>
      </c>
      <c r="H41" s="24" t="s">
        <v>1484</v>
      </c>
      <c r="I41" s="24"/>
      <c r="J41" s="24" t="s">
        <v>1485</v>
      </c>
      <c r="K41" s="24"/>
      <c r="L41" s="24"/>
    </row>
    <row r="42" customFormat="false" ht="66" hidden="false" customHeight="true" outlineLevel="0" collapsed="false">
      <c r="A42" s="77" t="s">
        <v>1469</v>
      </c>
      <c r="B42" s="32" t="s">
        <v>1486</v>
      </c>
      <c r="C42" s="32"/>
      <c r="D42" s="32" t="s">
        <v>1487</v>
      </c>
      <c r="E42" s="32"/>
      <c r="F42" s="32"/>
      <c r="G42" s="92" t="n">
        <f aca="false">Quesería!C149+Quesería!D149</f>
        <v>270.309241770289</v>
      </c>
      <c r="H42" s="32" t="s">
        <v>1488</v>
      </c>
      <c r="I42" s="32"/>
      <c r="J42" s="32" t="s">
        <v>1489</v>
      </c>
      <c r="K42" s="32"/>
      <c r="L42" s="32"/>
    </row>
    <row r="43" customFormat="false" ht="66" hidden="false" customHeight="true" outlineLevel="0" collapsed="false">
      <c r="A43" s="77" t="s">
        <v>1474</v>
      </c>
      <c r="B43" s="32" t="s">
        <v>1490</v>
      </c>
      <c r="C43" s="32"/>
      <c r="D43" s="32" t="s">
        <v>1491</v>
      </c>
      <c r="E43" s="32"/>
      <c r="F43" s="32"/>
      <c r="G43" s="92" t="n">
        <f aca="false">Quesería!$B$56*Quesería!$D$86</f>
        <v>20</v>
      </c>
      <c r="H43" s="32" t="s">
        <v>132</v>
      </c>
      <c r="I43" s="32"/>
      <c r="J43" s="32" t="s">
        <v>1492</v>
      </c>
      <c r="K43" s="32"/>
      <c r="L43" s="32"/>
    </row>
    <row r="44" customFormat="false" ht="66" hidden="false" customHeight="true" outlineLevel="0" collapsed="false">
      <c r="A44" s="77" t="s">
        <v>1493</v>
      </c>
      <c r="B44" s="32" t="s">
        <v>1494</v>
      </c>
      <c r="C44" s="32"/>
      <c r="D44" s="32" t="s">
        <v>1495</v>
      </c>
      <c r="E44" s="32"/>
      <c r="F44" s="32"/>
      <c r="G44" s="92" t="n">
        <f aca="false">Quesería!C150+Quesería!D150</f>
        <v>261.73657378168</v>
      </c>
      <c r="H44" s="32" t="s">
        <v>1496</v>
      </c>
      <c r="I44" s="32"/>
      <c r="J44" s="32" t="s">
        <v>1497</v>
      </c>
      <c r="K44" s="32"/>
      <c r="L44" s="32"/>
    </row>
    <row r="45" customFormat="false" ht="66" hidden="false" customHeight="true" outlineLevel="0" collapsed="false">
      <c r="A45" s="77" t="s">
        <v>1498</v>
      </c>
      <c r="B45" s="32" t="s">
        <v>1499</v>
      </c>
      <c r="C45" s="32"/>
      <c r="D45" s="32" t="s">
        <v>1500</v>
      </c>
      <c r="E45" s="32"/>
      <c r="F45" s="32"/>
      <c r="G45" s="92" t="str">
        <f aca="false">"65 % de la inversión"</f>
        <v>65 % de la inversión</v>
      </c>
      <c r="H45" s="32" t="s">
        <v>1501</v>
      </c>
      <c r="I45" s="32"/>
      <c r="J45" s="32" t="s">
        <v>1502</v>
      </c>
      <c r="K45" s="32"/>
      <c r="L45" s="32"/>
    </row>
    <row r="47" customFormat="false" ht="15" hidden="false" customHeight="false" outlineLevel="0" collapsed="false">
      <c r="A47" s="3" t="s">
        <v>1503</v>
      </c>
      <c r="B47" s="4"/>
      <c r="C47" s="4"/>
      <c r="D47" s="4"/>
      <c r="E47" s="4"/>
      <c r="F47" s="4"/>
      <c r="G47" s="4"/>
      <c r="H47" s="4"/>
      <c r="I47" s="4"/>
      <c r="J47" s="4"/>
      <c r="K47" s="4"/>
      <c r="L47" s="4"/>
    </row>
    <row r="48" customFormat="false" ht="15" hidden="false" customHeight="false" outlineLevel="0" collapsed="false">
      <c r="A48" s="9" t="s">
        <v>1504</v>
      </c>
    </row>
    <row r="49" customFormat="false" ht="57.75" hidden="false" customHeight="true" outlineLevel="0" collapsed="false">
      <c r="A49" s="23" t="s">
        <v>1505</v>
      </c>
      <c r="B49" s="24" t="s">
        <v>1506</v>
      </c>
      <c r="C49" s="24" t="s">
        <v>1507</v>
      </c>
      <c r="D49" s="24" t="s">
        <v>1508</v>
      </c>
      <c r="E49" s="24" t="s">
        <v>1509</v>
      </c>
      <c r="F49" s="24" t="s">
        <v>1510</v>
      </c>
      <c r="G49" s="24" t="s">
        <v>1511</v>
      </c>
      <c r="H49" s="24" t="s">
        <v>1512</v>
      </c>
      <c r="I49" s="24" t="s">
        <v>1513</v>
      </c>
    </row>
    <row r="50" customFormat="false" ht="15" hidden="false" customHeight="false" outlineLevel="0" collapsed="false">
      <c r="A50" s="5" t="s">
        <v>1514</v>
      </c>
      <c r="B50" s="46" t="n">
        <v>0.2</v>
      </c>
      <c r="C50" s="46" t="n">
        <v>0.25</v>
      </c>
      <c r="D50" s="46" t="n">
        <v>0.2</v>
      </c>
      <c r="E50" s="46" t="n">
        <v>0.15</v>
      </c>
      <c r="F50" s="46" t="n">
        <v>0.1</v>
      </c>
      <c r="G50" s="46" t="n">
        <v>0.1</v>
      </c>
    </row>
    <row r="51" customFormat="false" ht="15" hidden="false" customHeight="false" outlineLevel="0" collapsed="false">
      <c r="A51" s="6" t="s">
        <v>1515</v>
      </c>
      <c r="B51" s="53" t="n">
        <v>5</v>
      </c>
      <c r="C51" s="53" t="n">
        <v>5</v>
      </c>
      <c r="D51" s="53" t="n">
        <v>4</v>
      </c>
      <c r="E51" s="53" t="n">
        <v>5</v>
      </c>
      <c r="F51" s="53" t="n">
        <v>5</v>
      </c>
      <c r="G51" s="53" t="n">
        <v>4</v>
      </c>
      <c r="H51" s="12" t="n">
        <f aca="false">SUMPRODUCT(B51:G51,$B$50:$G$50)</f>
        <v>4.7</v>
      </c>
      <c r="I51" s="33" t="n">
        <f aca="false">RANK(H51,$H$51:$H$58,0)</f>
        <v>1</v>
      </c>
    </row>
    <row r="52" customFormat="false" ht="15" hidden="false" customHeight="false" outlineLevel="0" collapsed="false">
      <c r="A52" s="6" t="s">
        <v>1516</v>
      </c>
      <c r="B52" s="53" t="n">
        <v>5</v>
      </c>
      <c r="C52" s="53" t="n">
        <v>4</v>
      </c>
      <c r="D52" s="53" t="n">
        <v>4</v>
      </c>
      <c r="E52" s="53" t="n">
        <v>4</v>
      </c>
      <c r="F52" s="53" t="n">
        <v>4</v>
      </c>
      <c r="G52" s="53" t="n">
        <v>5</v>
      </c>
      <c r="H52" s="12" t="n">
        <f aca="false">SUMPRODUCT(B52:G52,$B$50:$G$50)</f>
        <v>4.3</v>
      </c>
      <c r="I52" s="33" t="n">
        <f aca="false">RANK(H52,$H$51:$H$58,0)</f>
        <v>2</v>
      </c>
    </row>
    <row r="53" customFormat="false" ht="15" hidden="false" customHeight="false" outlineLevel="0" collapsed="false">
      <c r="A53" s="6" t="s">
        <v>1517</v>
      </c>
      <c r="B53" s="53" t="n">
        <v>5</v>
      </c>
      <c r="C53" s="53" t="n">
        <v>4</v>
      </c>
      <c r="D53" s="53" t="n">
        <v>4</v>
      </c>
      <c r="E53" s="53" t="n">
        <v>4</v>
      </c>
      <c r="F53" s="53" t="n">
        <v>3</v>
      </c>
      <c r="G53" s="53" t="n">
        <v>5</v>
      </c>
      <c r="H53" s="12" t="n">
        <f aca="false">SUMPRODUCT(B53:G53,$B$50:$G$50)</f>
        <v>4.2</v>
      </c>
      <c r="I53" s="33" t="n">
        <f aca="false">RANK(H53,$H$51:$H$58,0)</f>
        <v>3</v>
      </c>
    </row>
    <row r="54" customFormat="false" ht="15" hidden="false" customHeight="false" outlineLevel="0" collapsed="false">
      <c r="A54" s="6" t="s">
        <v>1518</v>
      </c>
      <c r="B54" s="53" t="n">
        <v>5</v>
      </c>
      <c r="C54" s="53" t="n">
        <v>4</v>
      </c>
      <c r="D54" s="53" t="n">
        <v>2</v>
      </c>
      <c r="E54" s="53" t="n">
        <v>4</v>
      </c>
      <c r="F54" s="53" t="n">
        <v>4</v>
      </c>
      <c r="G54" s="53" t="n">
        <v>4</v>
      </c>
      <c r="H54" s="12" t="n">
        <f aca="false">SUMPRODUCT(B54:G54,$B$50:$G$50)</f>
        <v>3.8</v>
      </c>
      <c r="I54" s="33" t="n">
        <f aca="false">RANK(H54,$H$51:$H$58,0)</f>
        <v>4</v>
      </c>
    </row>
    <row r="55" customFormat="false" ht="15" hidden="false" customHeight="false" outlineLevel="0" collapsed="false">
      <c r="A55" s="6" t="s">
        <v>1519</v>
      </c>
      <c r="B55" s="53" t="n">
        <v>4</v>
      </c>
      <c r="C55" s="53" t="n">
        <v>4</v>
      </c>
      <c r="D55" s="53" t="n">
        <v>3</v>
      </c>
      <c r="E55" s="53" t="n">
        <v>3</v>
      </c>
      <c r="F55" s="53" t="n">
        <v>4</v>
      </c>
      <c r="G55" s="53" t="n">
        <v>5</v>
      </c>
      <c r="H55" s="12" t="n">
        <f aca="false">SUMPRODUCT(B55:G55,$B$50:$G$50)</f>
        <v>3.75</v>
      </c>
      <c r="I55" s="33" t="n">
        <f aca="false">RANK(H55,$H$51:$H$58,0)</f>
        <v>5</v>
      </c>
    </row>
    <row r="56" customFormat="false" ht="15" hidden="false" customHeight="false" outlineLevel="0" collapsed="false">
      <c r="A56" s="6" t="s">
        <v>1520</v>
      </c>
      <c r="B56" s="53" t="n">
        <v>5</v>
      </c>
      <c r="C56" s="53" t="n">
        <v>5</v>
      </c>
      <c r="D56" s="53" t="n">
        <v>3</v>
      </c>
      <c r="E56" s="53" t="n">
        <v>2</v>
      </c>
      <c r="F56" s="53" t="n">
        <v>2</v>
      </c>
      <c r="G56" s="53" t="n">
        <v>3</v>
      </c>
      <c r="H56" s="12" t="n">
        <f aca="false">SUMPRODUCT(B56:G56,$B$50:$G$50)</f>
        <v>3.65</v>
      </c>
      <c r="I56" s="33" t="n">
        <f aca="false">RANK(H56,$H$51:$H$58,0)</f>
        <v>6</v>
      </c>
    </row>
    <row r="57" customFormat="false" ht="15" hidden="false" customHeight="false" outlineLevel="0" collapsed="false">
      <c r="A57" s="6" t="s">
        <v>1521</v>
      </c>
      <c r="B57" s="53" t="n">
        <v>2</v>
      </c>
      <c r="C57" s="53" t="n">
        <v>3</v>
      </c>
      <c r="D57" s="53" t="n">
        <v>4</v>
      </c>
      <c r="E57" s="53" t="n">
        <v>4</v>
      </c>
      <c r="F57" s="53" t="n">
        <v>3</v>
      </c>
      <c r="G57" s="53" t="n">
        <v>3</v>
      </c>
      <c r="H57" s="12" t="n">
        <f aca="false">SUMPRODUCT(B57:G57,$B$50:$G$50)</f>
        <v>3.15</v>
      </c>
      <c r="I57" s="33" t="n">
        <f aca="false">RANK(H57,$H$51:$H$58,0)</f>
        <v>7</v>
      </c>
    </row>
    <row r="58" customFormat="false" ht="15" hidden="false" customHeight="false" outlineLevel="0" collapsed="false">
      <c r="A58" s="6" t="s">
        <v>1522</v>
      </c>
      <c r="B58" s="53" t="n">
        <v>1</v>
      </c>
      <c r="C58" s="53" t="n">
        <v>2</v>
      </c>
      <c r="D58" s="53" t="n">
        <v>3</v>
      </c>
      <c r="E58" s="53" t="n">
        <v>4</v>
      </c>
      <c r="F58" s="53" t="n">
        <v>3</v>
      </c>
      <c r="G58" s="53" t="n">
        <v>4</v>
      </c>
      <c r="H58" s="12" t="n">
        <f aca="false">SUMPRODUCT(B58:G58,$B$50:$G$50)</f>
        <v>2.6</v>
      </c>
      <c r="I58" s="33" t="n">
        <f aca="false">RANK(H58,$H$51:$H$58,0)</f>
        <v>8</v>
      </c>
    </row>
    <row r="59" customFormat="false" ht="15" hidden="false" customHeight="false" outlineLevel="0" collapsed="false">
      <c r="A59" s="6" t="s">
        <v>1523</v>
      </c>
      <c r="B59" s="37" t="n">
        <f aca="false">SUM(B50:G50)-1</f>
        <v>0</v>
      </c>
    </row>
    <row r="60" customFormat="false" ht="15" hidden="false" customHeight="false" outlineLevel="0" collapsed="false">
      <c r="A60" s="9" t="s">
        <v>1524</v>
      </c>
    </row>
    <row r="62" customFormat="false" ht="15" hidden="false" customHeight="false" outlineLevel="0" collapsed="false">
      <c r="A62" s="3" t="s">
        <v>1525</v>
      </c>
      <c r="B62" s="4"/>
      <c r="C62" s="4"/>
      <c r="D62" s="4"/>
      <c r="E62" s="4"/>
      <c r="F62" s="4"/>
      <c r="G62" s="4"/>
      <c r="H62" s="4"/>
      <c r="I62" s="4"/>
      <c r="J62" s="4"/>
      <c r="K62" s="4"/>
      <c r="L62" s="4"/>
    </row>
    <row r="63" customFormat="false" ht="23.85" hidden="false" customHeight="false" outlineLevel="0" collapsed="false">
      <c r="A63" s="23" t="s">
        <v>1526</v>
      </c>
      <c r="B63" s="24" t="s">
        <v>1527</v>
      </c>
      <c r="C63" s="24"/>
      <c r="D63" s="24"/>
      <c r="E63" s="24"/>
      <c r="F63" s="24"/>
      <c r="G63" s="24" t="s">
        <v>1528</v>
      </c>
    </row>
    <row r="64" customFormat="false" ht="15" hidden="false" customHeight="false" outlineLevel="0" collapsed="false">
      <c r="A64" s="77" t="s">
        <v>1529</v>
      </c>
      <c r="B64" s="10" t="n">
        <f aca="false">Escenarios!$B$37-Escenarios!$E$37</f>
        <v>77.53871539229</v>
      </c>
      <c r="G64" s="9" t="s">
        <v>1530</v>
      </c>
    </row>
    <row r="65" customFormat="false" ht="15" hidden="false" customHeight="false" outlineLevel="0" collapsed="false">
      <c r="A65" s="77" t="s">
        <v>1531</v>
      </c>
      <c r="G65" s="9" t="s">
        <v>1532</v>
      </c>
    </row>
    <row r="66" customFormat="false" ht="15" hidden="false" customHeight="false" outlineLevel="0" collapsed="false">
      <c r="A66" s="77" t="s">
        <v>1533</v>
      </c>
      <c r="B66" s="10" t="n">
        <f aca="false">Quesería!$B$24*Quesería!$E$119</f>
        <v>10.8</v>
      </c>
      <c r="G66" s="9" t="s">
        <v>1534</v>
      </c>
    </row>
    <row r="67" customFormat="false" ht="15" hidden="false" customHeight="false" outlineLevel="0" collapsed="false">
      <c r="A67" s="77" t="s">
        <v>1535</v>
      </c>
      <c r="B67" s="10" t="n">
        <f aca="false">Escenarios!$B$37-Escenarios!$AB$37</f>
        <v>8.19338027807919</v>
      </c>
      <c r="G67" s="9" t="s">
        <v>1536</v>
      </c>
    </row>
    <row r="68" customFormat="false" ht="15" hidden="false" customHeight="false" outlineLevel="0" collapsed="false">
      <c r="A68" s="77" t="s">
        <v>1537</v>
      </c>
      <c r="G68" s="9" t="s">
        <v>1538</v>
      </c>
    </row>
    <row r="69" customFormat="false" ht="15" hidden="false" customHeight="false" outlineLevel="0" collapsed="false">
      <c r="A69" s="77" t="s">
        <v>1539</v>
      </c>
      <c r="G69" s="9" t="s">
        <v>1540</v>
      </c>
    </row>
    <row r="70" customFormat="false" ht="15" hidden="false" customHeight="false" outlineLevel="0" collapsed="false">
      <c r="A70" s="6" t="s">
        <v>1541</v>
      </c>
      <c r="B70" s="29" t="n">
        <f aca="false">Escenarios!$D$37</f>
        <v>-340.708446867415</v>
      </c>
      <c r="G70" s="9" t="s">
        <v>1542</v>
      </c>
    </row>
    <row r="71" customFormat="false" ht="15" hidden="false" customHeight="false" outlineLevel="0" collapsed="false">
      <c r="A71" s="6" t="s">
        <v>1543</v>
      </c>
      <c r="B71" s="29" t="n">
        <f aca="false">Escenarios!$C$37</f>
        <v>-361.213665546943</v>
      </c>
      <c r="G71" s="9" t="s">
        <v>1544</v>
      </c>
    </row>
    <row r="73" customFormat="false" ht="15" hidden="false" customHeight="false" outlineLevel="0" collapsed="false">
      <c r="A73" s="3" t="s">
        <v>1545</v>
      </c>
      <c r="B73" s="4"/>
      <c r="C73" s="4"/>
      <c r="D73" s="4"/>
      <c r="E73" s="4"/>
      <c r="F73" s="4"/>
      <c r="G73" s="4"/>
      <c r="H73" s="4"/>
      <c r="I73" s="4"/>
      <c r="J73" s="4"/>
      <c r="K73" s="4"/>
      <c r="L73" s="4"/>
    </row>
    <row r="74" customFormat="false" ht="15" hidden="false" customHeight="false" outlineLevel="0" collapsed="false">
      <c r="A74" s="9" t="s">
        <v>1546</v>
      </c>
    </row>
    <row r="75" customFormat="false" ht="15" hidden="false" customHeight="false" outlineLevel="0" collapsed="false">
      <c r="A75" s="23" t="s">
        <v>1547</v>
      </c>
      <c r="B75" s="24" t="s">
        <v>394</v>
      </c>
      <c r="C75" s="24" t="s">
        <v>395</v>
      </c>
      <c r="D75" s="24" t="s">
        <v>396</v>
      </c>
      <c r="E75" s="24" t="s">
        <v>397</v>
      </c>
      <c r="F75" s="24" t="s">
        <v>398</v>
      </c>
      <c r="G75" s="24" t="s">
        <v>399</v>
      </c>
      <c r="H75" s="24" t="s">
        <v>400</v>
      </c>
      <c r="I75" s="24" t="s">
        <v>401</v>
      </c>
      <c r="J75" s="24" t="s">
        <v>402</v>
      </c>
      <c r="K75" s="24" t="s">
        <v>403</v>
      </c>
      <c r="L75" s="24" t="s">
        <v>404</v>
      </c>
    </row>
    <row r="76" customFormat="false" ht="15" hidden="false" customHeight="false" outlineLevel="0" collapsed="false">
      <c r="A76" s="6" t="s">
        <v>1548</v>
      </c>
      <c r="B76" s="29" t="n">
        <f aca="false">Quesería!$F$70*(1+Quesería!$I$70)+Quesería!$F$77*(1+Quesería!$I$77)+Quesería!$F$76*(1+Quesería!$I$76)+Quesería!$F$78*(1+Quesería!$I$78)</f>
        <v>259.506231839144</v>
      </c>
      <c r="C76" s="29" t="n">
        <v>0</v>
      </c>
      <c r="D76" s="29" t="n">
        <v>0</v>
      </c>
      <c r="E76" s="29" t="n">
        <v>0</v>
      </c>
      <c r="F76" s="29" t="n">
        <v>0</v>
      </c>
      <c r="G76" s="29" t="n">
        <v>0</v>
      </c>
      <c r="H76" s="29" t="n">
        <v>0</v>
      </c>
      <c r="I76" s="29" t="n">
        <v>0</v>
      </c>
      <c r="J76" s="29" t="n">
        <v>0</v>
      </c>
      <c r="K76" s="29" t="n">
        <v>0</v>
      </c>
      <c r="L76" s="29" t="n">
        <v>0</v>
      </c>
    </row>
    <row r="77" customFormat="false" ht="15" hidden="false" customHeight="false" outlineLevel="0" collapsed="false">
      <c r="A77" s="6" t="s">
        <v>1549</v>
      </c>
      <c r="B77" s="29" t="n">
        <v>0</v>
      </c>
      <c r="C77" s="29" t="n">
        <f aca="false">(Quesería!$J$104+Quesería!$J$108)*Quesería!$B$20*1</f>
        <v>25.1235</v>
      </c>
      <c r="D77" s="29" t="n">
        <f aca="false">(Quesería!$J$104+Quesería!$J$108)*1</f>
        <v>33.498</v>
      </c>
      <c r="E77" s="29" t="n">
        <f aca="false">(Quesería!$J$104+Quesería!$J$108)*1</f>
        <v>33.498</v>
      </c>
      <c r="F77" s="29" t="n">
        <f aca="false">(Quesería!$J$104+Quesería!$J$108)*1</f>
        <v>33.498</v>
      </c>
      <c r="G77" s="29" t="n">
        <f aca="false">(Quesería!$J$104+Quesería!$J$108)*1</f>
        <v>33.498</v>
      </c>
      <c r="H77" s="29" t="n">
        <f aca="false">(Quesería!$J$104+Quesería!$J$108)*1</f>
        <v>33.498</v>
      </c>
      <c r="I77" s="29" t="n">
        <f aca="false">(Quesería!$J$104+Quesería!$J$108)*1</f>
        <v>33.498</v>
      </c>
      <c r="J77" s="29" t="n">
        <f aca="false">(Quesería!$J$104+Quesería!$J$108)*1</f>
        <v>33.498</v>
      </c>
      <c r="K77" s="29" t="n">
        <f aca="false">(Quesería!$J$104+Quesería!$J$108)*1</f>
        <v>33.498</v>
      </c>
      <c r="L77" s="29" t="n">
        <f aca="false">(Quesería!$J$104+Quesería!$J$108)*1</f>
        <v>33.498</v>
      </c>
    </row>
    <row r="78" customFormat="false" ht="15" hidden="false" customHeight="false" outlineLevel="0" collapsed="false">
      <c r="A78" s="6" t="s">
        <v>1550</v>
      </c>
      <c r="B78" s="29" t="n">
        <v>0</v>
      </c>
      <c r="C78" s="29" t="n">
        <f aca="false">Quesería!$B$54*(B77-B76)*Escenarios!B94/Escenarios!C94</f>
        <v>-86.5020772797147</v>
      </c>
      <c r="D78" s="29" t="n">
        <f aca="false">Quesería!$B$54*(C77-C76)*Escenarios!C94/Escenarios!D94</f>
        <v>8.41456937799043</v>
      </c>
      <c r="E78" s="29" t="n">
        <f aca="false">Quesería!$B$54*(D77-D76)*Escenarios!D94/Escenarios!E94</f>
        <v>11.2733653846154</v>
      </c>
      <c r="F78" s="29" t="n">
        <f aca="false">Quesería!$B$54*(E77-E76)*Escenarios!E94/Escenarios!F94</f>
        <v>11.2733653846154</v>
      </c>
      <c r="G78" s="29" t="n">
        <f aca="false">Quesería!$B$54*(F77-F76)*Escenarios!F94/Escenarios!G94</f>
        <v>11.2733653846154</v>
      </c>
      <c r="H78" s="29" t="n">
        <f aca="false">Quesería!$B$54*(G77-G76)*Escenarios!G94/Escenarios!H94</f>
        <v>11.2733653846154</v>
      </c>
      <c r="I78" s="29" t="n">
        <f aca="false">Quesería!$B$54*(H77-H76)*Escenarios!H94/Escenarios!I94</f>
        <v>11.2733653846154</v>
      </c>
      <c r="J78" s="29" t="n">
        <f aca="false">Quesería!$B$54*(I77-I76)*Escenarios!I94/Escenarios!J94</f>
        <v>11.2733653846154</v>
      </c>
      <c r="K78" s="29" t="n">
        <f aca="false">Quesería!$B$54*(J77-J76)*Escenarios!J94/Escenarios!K94</f>
        <v>11.2733653846154</v>
      </c>
      <c r="L78" s="29" t="n">
        <f aca="false">Quesería!$B$54*(K77-K76)*Escenarios!K94/Escenarios!L94+Quesería!$B$54*(L77-L76)</f>
        <v>22.9976653846154</v>
      </c>
    </row>
    <row r="79" customFormat="false" ht="15" hidden="false" customHeight="false" outlineLevel="0" collapsed="false">
      <c r="A79" s="5" t="s">
        <v>1551</v>
      </c>
      <c r="B79" s="10" t="n">
        <f aca="false">B77-B76-B78</f>
        <v>-259.506231839144</v>
      </c>
      <c r="C79" s="10" t="n">
        <f aca="false">C77-C76-C78</f>
        <v>111.625577279715</v>
      </c>
      <c r="D79" s="10" t="n">
        <f aca="false">D77-D76-D78</f>
        <v>25.0834306220096</v>
      </c>
      <c r="E79" s="10" t="n">
        <f aca="false">E77-E76-E78</f>
        <v>22.2246346153846</v>
      </c>
      <c r="F79" s="10" t="n">
        <f aca="false">F77-F76-F78</f>
        <v>22.2246346153846</v>
      </c>
      <c r="G79" s="10" t="n">
        <f aca="false">G77-G76-G78</f>
        <v>22.2246346153846</v>
      </c>
      <c r="H79" s="10" t="n">
        <f aca="false">H77-H76-H78</f>
        <v>22.2246346153846</v>
      </c>
      <c r="I79" s="10" t="n">
        <f aca="false">I77-I76-I78</f>
        <v>22.2246346153846</v>
      </c>
      <c r="J79" s="10" t="n">
        <f aca="false">J77-J76-J78</f>
        <v>22.2246346153846</v>
      </c>
      <c r="K79" s="10" t="n">
        <f aca="false">K77-K76-K78</f>
        <v>22.2246346153846</v>
      </c>
      <c r="L79" s="10" t="n">
        <f aca="false">L77-L76-L78</f>
        <v>10.5003346153846</v>
      </c>
    </row>
    <row r="80" customFormat="false" ht="15" hidden="false" customHeight="false" outlineLevel="0" collapsed="false">
      <c r="A80" s="5" t="s">
        <v>1552</v>
      </c>
      <c r="B80" s="62" t="n">
        <f aca="false">SUMPRODUCT(B79:L79,Escenarios!B118:L118)</f>
        <v>-48.8670853775761</v>
      </c>
      <c r="G80" s="9" t="s">
        <v>1553</v>
      </c>
    </row>
    <row r="81" customFormat="false" ht="15" hidden="false" customHeight="false" outlineLevel="0" collapsed="false">
      <c r="A81" s="5" t="s">
        <v>1554</v>
      </c>
      <c r="B81" s="8" t="n">
        <f aca="false">1+B80/SUMPRODUCT(B76:L76,Escenarios!B118:L118)</f>
        <v>0.811692054440271</v>
      </c>
    </row>
    <row r="82" customFormat="false" ht="15" hidden="false" customHeight="false" outlineLevel="0" collapsed="false">
      <c r="A82" s="6" t="s">
        <v>1555</v>
      </c>
      <c r="B82" s="29" t="n">
        <f aca="false">(-SUMPRODUCT(B76:L76,Escenarios!B118:L118)+Quesería!$B$54*SUMPRODUCT(B76:K76*Escenarios!B94:K94/Escenarios!C94:L94,Escenarios!C118:L118))+(SUMPRODUCT(B77:L77,Escenarios!B118:L118)-Quesería!$B$54*SUMPRODUCT(B77:K77*Escenarios!B94:K94/Escenarios!C94:L94,Escenarios!C118:L118)-Quesería!$B$54*L77*Escenarios!L118)*Quesería!$J$104/(Quesería!$J$104+Quesería!$J$108)</f>
        <v>-146.216264410107</v>
      </c>
      <c r="G82" s="9" t="s">
        <v>1556</v>
      </c>
    </row>
    <row r="83" customFormat="false" ht="15" hidden="false" customHeight="false" outlineLevel="0" collapsed="false">
      <c r="A83" s="6" t="s">
        <v>1557</v>
      </c>
      <c r="B83" s="29" t="n">
        <f aca="false">(-SUMPRODUCT(B76:L76,Escenarios!B118:L118)+Quesería!$B$54*SUMPRODUCT(B76:K76*Escenarios!B94:K94/Escenarios!C94:L94,Escenarios!C118:L118))+(SUMPRODUCT(B77:L77,Escenarios!B118:L118)-Quesería!$B$54*SUMPRODUCT(B77:K77*Escenarios!B94:K94/Escenarios!C94:L94,Escenarios!C118:L118)-Quesería!$B$54*L77*Escenarios!L118)*(Quesería!$J$104+0.5*Quesería!$J$108)/(Quesería!$J$104+Quesería!$J$108)</f>
        <v>-97.5416748938415</v>
      </c>
      <c r="G83" s="9"/>
    </row>
    <row r="84" customFormat="false" ht="15" hidden="false" customHeight="false" outlineLevel="0" collapsed="false">
      <c r="A84" s="6" t="s">
        <v>1558</v>
      </c>
      <c r="B84" s="29" t="n">
        <f aca="false">(-SUMPRODUCT(B76:L76,Escenarios!B118:L118)+Quesería!$B$54*SUMPRODUCT(B76:K76*Escenarios!B94:K94/Escenarios!C94:L94,Escenarios!C118:L118))+0.5*(SUMPRODUCT(B77:L77,Escenarios!B118:L118)-Quesería!$B$54*SUMPRODUCT(B77:K77*Escenarios!B94:K94/Escenarios!C94:L94,Escenarios!C118:L118)-Quesería!$B$54*L77*Escenarios!L118)</f>
        <v>-114.938136500676</v>
      </c>
      <c r="G84" s="9"/>
    </row>
    <row r="85" customFormat="false" ht="15" hidden="false" customHeight="false" outlineLevel="0" collapsed="false">
      <c r="A85" s="6" t="s">
        <v>1559</v>
      </c>
      <c r="B85" s="37" t="n">
        <f aca="false">-(-SUMPRODUCT(B76:L76,Escenarios!B118:L118)+Quesería!$B$54*SUMPRODUCT(B76:K76*Escenarios!B94:K94/Escenarios!C94:L94,Escenarios!C118:L118))/(SUMPRODUCT(B77:L77,Escenarios!B118:L118)-Quesería!$B$54*SUMPRODUCT(B77:K77*Escenarios!B94:K94/Escenarios!C94:L94,Escenarios!C118:L118)-Quesería!$B$54*L77*Escenarios!L118)</f>
        <v>1.36980708303346</v>
      </c>
      <c r="G85" s="9" t="s">
        <v>1560</v>
      </c>
    </row>
    <row r="86" customFormat="false" ht="15" hidden="false" customHeight="false" outlineLevel="0" collapsed="false">
      <c r="A86" s="6" t="s">
        <v>1561</v>
      </c>
      <c r="B86" s="29" t="n">
        <f aca="false">(SUMPRODUCT(B77:L77,Escenarios!B118:L118)-Quesería!$B$54*SUMPRODUCT(B77:K77*Escenarios!B94:K94/Escenarios!C94:L94,Escenarios!C118:L118)-Quesería!$B$54*L77*Escenarios!L118)-SUMPRODUCT(B76:L76,Escenarios!B118:L118)</f>
        <v>-127.364129592945</v>
      </c>
      <c r="G86" s="9" t="s">
        <v>1562</v>
      </c>
    </row>
    <row r="88" customFormat="false" ht="15" hidden="false" customHeight="false" outlineLevel="0" collapsed="false">
      <c r="A88" s="3" t="s">
        <v>1563</v>
      </c>
      <c r="B88" s="4"/>
      <c r="C88" s="4"/>
      <c r="D88" s="4"/>
      <c r="E88" s="4"/>
      <c r="F88" s="4"/>
      <c r="G88" s="4"/>
      <c r="H88" s="4"/>
      <c r="I88" s="4"/>
      <c r="J88" s="4"/>
      <c r="K88" s="4"/>
      <c r="L88" s="4"/>
    </row>
    <row r="89" customFormat="false" ht="23.85" hidden="false" customHeight="false" outlineLevel="0" collapsed="false">
      <c r="A89" s="23"/>
      <c r="B89" s="24" t="s">
        <v>1417</v>
      </c>
      <c r="C89" s="24" t="s">
        <v>1322</v>
      </c>
      <c r="D89" s="24"/>
      <c r="E89" s="24"/>
      <c r="F89" s="24"/>
      <c r="G89" s="24" t="s">
        <v>1014</v>
      </c>
    </row>
    <row r="90" customFormat="false" ht="15" hidden="false" customHeight="false" outlineLevel="0" collapsed="false">
      <c r="A90" s="6" t="s">
        <v>172</v>
      </c>
      <c r="B90" s="29" t="n">
        <f aca="false">Escenarios!$Y$37</f>
        <v>286.189595655785</v>
      </c>
      <c r="C90" s="34" t="n">
        <f aca="false">Escenarios!$Y$35</f>
        <v>0.234932263833018</v>
      </c>
      <c r="G90" s="9" t="s">
        <v>1564</v>
      </c>
    </row>
    <row r="91" customFormat="false" ht="15" hidden="false" customHeight="false" outlineLevel="0" collapsed="false">
      <c r="A91" s="5" t="s">
        <v>1565</v>
      </c>
      <c r="B91" s="10" t="n">
        <f aca="false">Escenarios!$B$37-Escenarios!$Y$37</f>
        <v>353.36710157096</v>
      </c>
      <c r="C91" s="8" t="n">
        <f aca="false">IRR(B94:L94)</f>
        <v>0.252185987872772</v>
      </c>
      <c r="G91" s="9" t="s">
        <v>1566</v>
      </c>
    </row>
    <row r="92" customFormat="false" ht="15" hidden="false" customHeight="false" outlineLevel="0" collapsed="false">
      <c r="A92" s="6" t="s">
        <v>1567</v>
      </c>
      <c r="B92" s="29" t="n">
        <f aca="false">Escenarios!$B$37</f>
        <v>639.556697226745</v>
      </c>
      <c r="C92" s="34" t="n">
        <f aca="false">Escenarios!$B$35</f>
        <v>0.243271358090429</v>
      </c>
      <c r="G92" s="9"/>
    </row>
    <row r="93" customFormat="false" ht="15" hidden="false" customHeight="false" outlineLevel="0" collapsed="false">
      <c r="A93" s="23" t="s">
        <v>1568</v>
      </c>
      <c r="B93" s="24" t="s">
        <v>394</v>
      </c>
      <c r="C93" s="24" t="s">
        <v>395</v>
      </c>
      <c r="D93" s="24" t="s">
        <v>396</v>
      </c>
      <c r="E93" s="24" t="s">
        <v>397</v>
      </c>
      <c r="F93" s="24" t="s">
        <v>398</v>
      </c>
      <c r="G93" s="24" t="s">
        <v>399</v>
      </c>
      <c r="H93" s="24" t="s">
        <v>400</v>
      </c>
      <c r="I93" s="24" t="s">
        <v>401</v>
      </c>
      <c r="J93" s="24" t="s">
        <v>402</v>
      </c>
      <c r="K93" s="24" t="s">
        <v>403</v>
      </c>
      <c r="L93" s="24" t="s">
        <v>404</v>
      </c>
    </row>
    <row r="94" customFormat="false" ht="15" hidden="false" customHeight="false" outlineLevel="0" collapsed="false">
      <c r="A94" s="6" t="s">
        <v>1569</v>
      </c>
      <c r="B94" s="29" t="n">
        <f aca="false">Escenarios!B72-Escenarios!B1061</f>
        <v>0</v>
      </c>
      <c r="C94" s="29" t="n">
        <f aca="false">Escenarios!C72-Escenarios!C1061</f>
        <v>-888.46441000226</v>
      </c>
      <c r="D94" s="29" t="n">
        <f aca="false">Escenarios!D72-Escenarios!D1061</f>
        <v>197.125462976757</v>
      </c>
      <c r="E94" s="29" t="n">
        <f aca="false">Escenarios!E72-Escenarios!E1061</f>
        <v>203.246146713238</v>
      </c>
      <c r="F94" s="29" t="n">
        <f aca="false">Escenarios!F72-Escenarios!F1061</f>
        <v>258.601690418307</v>
      </c>
      <c r="G94" s="29" t="n">
        <f aca="false">Escenarios!G72-Escenarios!G1061</f>
        <v>268.131785927285</v>
      </c>
      <c r="H94" s="29" t="n">
        <f aca="false">Escenarios!H72-Escenarios!H1061</f>
        <v>278.052670115137</v>
      </c>
      <c r="I94" s="29" t="n">
        <f aca="false">Escenarios!I72-Escenarios!I1061</f>
        <v>288.380407764624</v>
      </c>
      <c r="J94" s="29" t="n">
        <f aca="false">Escenarios!J72-Escenarios!J1061</f>
        <v>299.131725832065</v>
      </c>
      <c r="K94" s="29" t="n">
        <f aca="false">Escenarios!K72-Escenarios!K1061</f>
        <v>310.3240408194</v>
      </c>
      <c r="L94" s="29" t="n">
        <f aca="false">Escenarios!L72-Escenarios!L1061</f>
        <v>622.162486548098</v>
      </c>
    </row>
    <row r="95" customFormat="false" ht="15" hidden="false" customHeight="false" outlineLevel="0" collapsed="false">
      <c r="A95" s="6" t="s">
        <v>1570</v>
      </c>
      <c r="B95" s="37" t="n">
        <f aca="false">Escenarios!$Y$43</f>
        <v>1.15934491900943</v>
      </c>
      <c r="G95" s="9" t="s">
        <v>1571</v>
      </c>
    </row>
    <row r="96" customFormat="false" ht="15" hidden="false" customHeight="false" outlineLevel="0" collapsed="false">
      <c r="A96" s="5" t="s">
        <v>1572</v>
      </c>
      <c r="B96" s="10" t="n">
        <f aca="false">MAX(0,1-B95/1.2)*Escenarios!C1068</f>
        <v>21.7274766948116</v>
      </c>
      <c r="G96" s="9" t="s">
        <v>1573</v>
      </c>
    </row>
    <row r="97" customFormat="false" ht="15" hidden="false" customHeight="false" outlineLevel="0" collapsed="false">
      <c r="A97" s="6" t="s">
        <v>1574</v>
      </c>
      <c r="B97" s="29" t="n">
        <f aca="false">Escenarios!C1078-Escenarios!C1070-Escenarios!C1071</f>
        <v>345.123122430726</v>
      </c>
      <c r="G97" s="9" t="s">
        <v>1575</v>
      </c>
    </row>
    <row r="98" customFormat="false" ht="15" hidden="false" customHeight="false" outlineLevel="0" collapsed="false">
      <c r="A98" s="5" t="s">
        <v>1576</v>
      </c>
    </row>
    <row r="99" customFormat="false" ht="15" hidden="false" customHeight="false" outlineLevel="0" collapsed="false">
      <c r="A99" s="9" t="s">
        <v>1577</v>
      </c>
    </row>
    <row r="100" customFormat="false" ht="15" hidden="false" customHeight="false" outlineLevel="0" collapsed="false">
      <c r="A100" s="9" t="s">
        <v>1578</v>
      </c>
    </row>
    <row r="101" customFormat="false" ht="15" hidden="false" customHeight="false" outlineLevel="0" collapsed="false">
      <c r="A101" s="9" t="s">
        <v>1579</v>
      </c>
    </row>
    <row r="102" customFormat="false" ht="15" hidden="false" customHeight="false" outlineLevel="0" collapsed="false">
      <c r="A102" s="9" t="s">
        <v>1580</v>
      </c>
    </row>
    <row r="103" customFormat="false" ht="15" hidden="false" customHeight="false" outlineLevel="0" collapsed="false">
      <c r="A103" s="9" t="s">
        <v>1581</v>
      </c>
    </row>
    <row r="104" customFormat="false" ht="15" hidden="false" customHeight="false" outlineLevel="0" collapsed="false">
      <c r="A104" s="9" t="s">
        <v>1582</v>
      </c>
    </row>
    <row r="105" customFormat="false" ht="15" hidden="false" customHeight="false" outlineLevel="0" collapsed="false">
      <c r="A105" s="5" t="s">
        <v>1583</v>
      </c>
    </row>
    <row r="106" customFormat="false" ht="15" hidden="false" customHeight="false" outlineLevel="0" collapsed="false">
      <c r="A106" s="9" t="s">
        <v>1584</v>
      </c>
    </row>
    <row r="107" customFormat="false" ht="15" hidden="false" customHeight="false" outlineLevel="0" collapsed="false">
      <c r="A107" s="9" t="s">
        <v>1585</v>
      </c>
    </row>
    <row r="108" customFormat="false" ht="15" hidden="false" customHeight="false" outlineLevel="0" collapsed="false">
      <c r="A108" s="9" t="s">
        <v>1586</v>
      </c>
    </row>
    <row r="109" customFormat="false" ht="15" hidden="false" customHeight="false" outlineLevel="0" collapsed="false">
      <c r="A109" s="9" t="s">
        <v>1587</v>
      </c>
    </row>
    <row r="110" customFormat="false" ht="15" hidden="false" customHeight="false" outlineLevel="0" collapsed="false">
      <c r="A110" s="9" t="s">
        <v>1588</v>
      </c>
    </row>
    <row r="111" customFormat="false" ht="15" hidden="false" customHeight="false" outlineLevel="0" collapsed="false">
      <c r="A111" s="9" t="s">
        <v>1589</v>
      </c>
    </row>
    <row r="112" customFormat="false" ht="15" hidden="false" customHeight="false" outlineLevel="0" collapsed="false">
      <c r="A112" s="9" t="s">
        <v>1590</v>
      </c>
    </row>
    <row r="114" customFormat="false" ht="15" hidden="false" customHeight="false" outlineLevel="0" collapsed="false">
      <c r="A114" s="3" t="s">
        <v>1591</v>
      </c>
      <c r="B114" s="4"/>
      <c r="C114" s="4"/>
      <c r="D114" s="4"/>
      <c r="E114" s="4"/>
      <c r="F114" s="4"/>
      <c r="G114" s="4"/>
      <c r="H114" s="4"/>
      <c r="I114" s="4"/>
      <c r="J114" s="4"/>
      <c r="K114" s="4"/>
      <c r="L114" s="4"/>
    </row>
    <row r="115" customFormat="false" ht="15" hidden="false" customHeight="false" outlineLevel="0" collapsed="false">
      <c r="A115" s="9" t="s">
        <v>1592</v>
      </c>
    </row>
    <row r="116" customFormat="false" ht="15" hidden="false" customHeight="false" outlineLevel="0" collapsed="false">
      <c r="A116" s="9" t="s">
        <v>1593</v>
      </c>
    </row>
    <row r="117" customFormat="false" ht="15" hidden="false" customHeight="false" outlineLevel="0" collapsed="false">
      <c r="A117" s="9" t="s">
        <v>1594</v>
      </c>
    </row>
    <row r="118" customFormat="false" ht="15" hidden="false" customHeight="false" outlineLevel="0" collapsed="false">
      <c r="A118" s="9" t="s">
        <v>1595</v>
      </c>
    </row>
  </sheetData>
  <mergeCells count="40">
    <mergeCell ref="B31:C31"/>
    <mergeCell ref="D31:F31"/>
    <mergeCell ref="G31:H31"/>
    <mergeCell ref="K31:L31"/>
    <mergeCell ref="B32:C32"/>
    <mergeCell ref="D32:F32"/>
    <mergeCell ref="G32:H32"/>
    <mergeCell ref="K32:L32"/>
    <mergeCell ref="B33:C33"/>
    <mergeCell ref="D33:F33"/>
    <mergeCell ref="G33:H33"/>
    <mergeCell ref="K33:L33"/>
    <mergeCell ref="B34:C34"/>
    <mergeCell ref="D34:F34"/>
    <mergeCell ref="G34:H34"/>
    <mergeCell ref="K34:L34"/>
    <mergeCell ref="B35:C35"/>
    <mergeCell ref="D35:F35"/>
    <mergeCell ref="G35:H35"/>
    <mergeCell ref="K35:L35"/>
    <mergeCell ref="B36:C36"/>
    <mergeCell ref="D36:F36"/>
    <mergeCell ref="G36:H36"/>
    <mergeCell ref="K36:L36"/>
    <mergeCell ref="B42:C42"/>
    <mergeCell ref="D42:F42"/>
    <mergeCell ref="H42:I42"/>
    <mergeCell ref="J42:L42"/>
    <mergeCell ref="B43:C43"/>
    <mergeCell ref="D43:F43"/>
    <mergeCell ref="H43:I43"/>
    <mergeCell ref="J43:L43"/>
    <mergeCell ref="B44:C44"/>
    <mergeCell ref="D44:F44"/>
    <mergeCell ref="H44:I44"/>
    <mergeCell ref="J44:L44"/>
    <mergeCell ref="B45:C45"/>
    <mergeCell ref="D45:F45"/>
    <mergeCell ref="H45:I45"/>
    <mergeCell ref="J45:L4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13" min="2" style="0" width="11"/>
  </cols>
  <sheetData>
    <row r="1" customFormat="false" ht="17.35" hidden="false" customHeight="false" outlineLevel="0" collapsed="false">
      <c r="A1" s="42" t="s">
        <v>1596</v>
      </c>
    </row>
    <row r="2" customFormat="false" ht="15" hidden="false" customHeight="false" outlineLevel="0" collapsed="false">
      <c r="A2" s="9" t="s">
        <v>1597</v>
      </c>
    </row>
    <row r="4" customFormat="false" ht="15" hidden="false" customHeight="false" outlineLevel="0" collapsed="false">
      <c r="A4" s="3" t="s">
        <v>1598</v>
      </c>
      <c r="B4" s="4"/>
      <c r="C4" s="4"/>
      <c r="D4" s="4"/>
      <c r="E4" s="4"/>
      <c r="F4" s="4"/>
      <c r="G4" s="4"/>
      <c r="H4" s="4"/>
      <c r="I4" s="4"/>
      <c r="J4" s="4"/>
      <c r="K4" s="4"/>
      <c r="L4" s="4"/>
    </row>
    <row r="5" customFormat="false" ht="15" hidden="false" customHeight="false" outlineLevel="0" collapsed="false">
      <c r="A5" s="23" t="s">
        <v>109</v>
      </c>
      <c r="B5" s="24" t="s">
        <v>188</v>
      </c>
      <c r="C5" s="24" t="s">
        <v>996</v>
      </c>
    </row>
    <row r="6" customFormat="false" ht="15" hidden="false" customHeight="false" outlineLevel="0" collapsed="false">
      <c r="A6" s="6" t="s">
        <v>1599</v>
      </c>
      <c r="B6" s="48" t="n">
        <v>30457</v>
      </c>
      <c r="C6" s="9" t="s">
        <v>1600</v>
      </c>
    </row>
    <row r="7" customFormat="false" ht="15" hidden="false" customHeight="false" outlineLevel="0" collapsed="false">
      <c r="A7" s="6" t="s">
        <v>1601</v>
      </c>
      <c r="B7" s="48" t="n">
        <v>1806</v>
      </c>
      <c r="C7" s="9" t="s">
        <v>1600</v>
      </c>
    </row>
    <row r="8" customFormat="false" ht="15" hidden="false" customHeight="false" outlineLevel="0" collapsed="false">
      <c r="A8" s="6" t="s">
        <v>1602</v>
      </c>
      <c r="B8" s="48" t="n">
        <v>600</v>
      </c>
      <c r="C8" s="9" t="s">
        <v>1600</v>
      </c>
    </row>
    <row r="9" customFormat="false" ht="15" hidden="false" customHeight="false" outlineLevel="0" collapsed="false">
      <c r="A9" s="6" t="s">
        <v>432</v>
      </c>
      <c r="B9" s="48" t="n">
        <v>252</v>
      </c>
      <c r="C9" s="9" t="s">
        <v>1600</v>
      </c>
    </row>
    <row r="10" customFormat="false" ht="15" hidden="false" customHeight="false" outlineLevel="0" collapsed="false">
      <c r="A10" s="6" t="s">
        <v>1603</v>
      </c>
      <c r="B10" s="48" t="n">
        <v>620</v>
      </c>
      <c r="C10" s="9" t="s">
        <v>1600</v>
      </c>
    </row>
    <row r="11" customFormat="false" ht="15" hidden="false" customHeight="false" outlineLevel="0" collapsed="false">
      <c r="A11" s="6" t="s">
        <v>1604</v>
      </c>
      <c r="B11" s="48" t="n">
        <v>1400</v>
      </c>
      <c r="C11" s="9" t="s">
        <v>1600</v>
      </c>
    </row>
    <row r="12" customFormat="false" ht="15" hidden="false" customHeight="false" outlineLevel="0" collapsed="false">
      <c r="A12" s="6" t="s">
        <v>1605</v>
      </c>
      <c r="B12" s="48" t="n">
        <v>1000</v>
      </c>
      <c r="C12" s="9" t="s">
        <v>1600</v>
      </c>
    </row>
    <row r="14" customFormat="false" ht="15" hidden="false" customHeight="false" outlineLevel="0" collapsed="false">
      <c r="A14" s="3" t="s">
        <v>1606</v>
      </c>
      <c r="B14" s="4"/>
      <c r="C14" s="4"/>
      <c r="D14" s="4"/>
      <c r="E14" s="4"/>
      <c r="F14" s="4"/>
      <c r="G14" s="4"/>
      <c r="H14" s="4"/>
      <c r="I14" s="4"/>
      <c r="J14" s="4"/>
      <c r="K14" s="4"/>
      <c r="L14" s="4"/>
    </row>
    <row r="15" customFormat="false" ht="15" hidden="false" customHeight="false" outlineLevel="0" collapsed="false">
      <c r="A15" s="23" t="s">
        <v>130</v>
      </c>
      <c r="B15" s="24" t="s">
        <v>394</v>
      </c>
      <c r="C15" s="24" t="s">
        <v>395</v>
      </c>
      <c r="D15" s="24" t="s">
        <v>396</v>
      </c>
      <c r="E15" s="24" t="s">
        <v>397</v>
      </c>
      <c r="F15" s="24" t="s">
        <v>398</v>
      </c>
      <c r="G15" s="24" t="s">
        <v>399</v>
      </c>
      <c r="H15" s="24" t="s">
        <v>400</v>
      </c>
      <c r="I15" s="24" t="s">
        <v>401</v>
      </c>
      <c r="J15" s="24" t="s">
        <v>402</v>
      </c>
      <c r="K15" s="24" t="s">
        <v>403</v>
      </c>
      <c r="L15" s="24" t="s">
        <v>404</v>
      </c>
    </row>
    <row r="16" customFormat="false" ht="15" hidden="false" customHeight="false" outlineLevel="0" collapsed="false">
      <c r="A16" s="6" t="s">
        <v>1607</v>
      </c>
      <c r="B16" s="29" t="n">
        <f aca="false">$B$6</f>
        <v>30457</v>
      </c>
      <c r="C16" s="29" t="n">
        <f aca="false">$B$6</f>
        <v>30457</v>
      </c>
      <c r="D16" s="29" t="n">
        <f aca="false">$B$6</f>
        <v>30457</v>
      </c>
      <c r="E16" s="29" t="n">
        <f aca="false">$B$6</f>
        <v>30457</v>
      </c>
      <c r="F16" s="29" t="n">
        <f aca="false">$B$6</f>
        <v>30457</v>
      </c>
      <c r="G16" s="29" t="n">
        <f aca="false">$B$6</f>
        <v>30457</v>
      </c>
      <c r="H16" s="29" t="n">
        <f aca="false">$B$6</f>
        <v>30457</v>
      </c>
      <c r="I16" s="29" t="n">
        <f aca="false">$B$6</f>
        <v>30457</v>
      </c>
      <c r="J16" s="29" t="n">
        <f aca="false">$B$6</f>
        <v>30457</v>
      </c>
      <c r="K16" s="29" t="n">
        <f aca="false">$B$6</f>
        <v>30457</v>
      </c>
      <c r="L16" s="29" t="n">
        <f aca="false">$B$6</f>
        <v>30457</v>
      </c>
    </row>
    <row r="17" customFormat="false" ht="15" hidden="false" customHeight="false" outlineLevel="0" collapsed="false">
      <c r="A17" s="6" t="s">
        <v>1608</v>
      </c>
      <c r="B17" s="29" t="n">
        <f aca="false">Quesería!B152</f>
        <v>77.4042870161869</v>
      </c>
      <c r="C17" s="29" t="n">
        <f aca="false">Quesería!C152</f>
        <v>116.10643052428</v>
      </c>
      <c r="D17" s="29" t="n">
        <f aca="false">Quesería!D152</f>
        <v>2023.78917421887</v>
      </c>
      <c r="E17" s="29" t="n">
        <f aca="false">Quesería!E152</f>
        <v>2646.78270761437</v>
      </c>
      <c r="F17" s="29" t="n">
        <f aca="false">Quesería!F152</f>
        <v>2646.78270761437</v>
      </c>
      <c r="G17" s="29" t="n">
        <f aca="false">Quesería!G152</f>
        <v>2646.78270761437</v>
      </c>
      <c r="H17" s="29" t="n">
        <f aca="false">Quesería!H152</f>
        <v>2646.78270761437</v>
      </c>
      <c r="I17" s="29" t="n">
        <f aca="false">Quesería!I152</f>
        <v>2646.78270761437</v>
      </c>
      <c r="J17" s="29" t="n">
        <f aca="false">Quesería!J152</f>
        <v>2646.78270761437</v>
      </c>
      <c r="K17" s="29" t="n">
        <f aca="false">Quesería!K152</f>
        <v>2646.78270761437</v>
      </c>
      <c r="L17" s="29" t="n">
        <f aca="false">Quesería!L152</f>
        <v>2646.78270761437</v>
      </c>
    </row>
    <row r="18" customFormat="false" ht="15" hidden="false" customHeight="false" outlineLevel="0" collapsed="false">
      <c r="A18" s="5" t="s">
        <v>1609</v>
      </c>
      <c r="B18" s="10" t="n">
        <f aca="false">B16+B17</f>
        <v>30534.4042870162</v>
      </c>
      <c r="C18" s="10" t="n">
        <f aca="false">C16+C17</f>
        <v>30573.1064305243</v>
      </c>
      <c r="D18" s="10" t="n">
        <f aca="false">D16+D17</f>
        <v>32480.7891742189</v>
      </c>
      <c r="E18" s="10" t="n">
        <f aca="false">E16+E17</f>
        <v>33103.7827076144</v>
      </c>
      <c r="F18" s="10" t="n">
        <f aca="false">F16+F17</f>
        <v>33103.7827076144</v>
      </c>
      <c r="G18" s="10" t="n">
        <f aca="false">G16+G17</f>
        <v>33103.7827076144</v>
      </c>
      <c r="H18" s="10" t="n">
        <f aca="false">H16+H17</f>
        <v>33103.7827076144</v>
      </c>
      <c r="I18" s="10" t="n">
        <f aca="false">I16+I17</f>
        <v>33103.7827076144</v>
      </c>
      <c r="J18" s="10" t="n">
        <f aca="false">J16+J17</f>
        <v>33103.7827076144</v>
      </c>
      <c r="K18" s="10" t="n">
        <f aca="false">K16+K17</f>
        <v>33103.7827076144</v>
      </c>
      <c r="L18" s="10" t="n">
        <f aca="false">L16+L17</f>
        <v>33103.7827076144</v>
      </c>
    </row>
    <row r="19" customFormat="false" ht="15" hidden="false" customHeight="false" outlineLevel="0" collapsed="false">
      <c r="A19" s="6" t="s">
        <v>1610</v>
      </c>
      <c r="B19" s="29" t="n">
        <f aca="false">$B$7</f>
        <v>1806</v>
      </c>
      <c r="C19" s="29" t="n">
        <f aca="false">$B$7</f>
        <v>1806</v>
      </c>
      <c r="D19" s="29" t="n">
        <f aca="false">$B$7</f>
        <v>1806</v>
      </c>
      <c r="E19" s="29" t="n">
        <f aca="false">$B$7</f>
        <v>1806</v>
      </c>
      <c r="F19" s="29" t="n">
        <f aca="false">$B$7</f>
        <v>1806</v>
      </c>
      <c r="G19" s="29" t="n">
        <f aca="false">$B$7</f>
        <v>1806</v>
      </c>
      <c r="H19" s="29" t="n">
        <f aca="false">$B$7</f>
        <v>1806</v>
      </c>
      <c r="I19" s="29" t="n">
        <f aca="false">$B$7</f>
        <v>1806</v>
      </c>
      <c r="J19" s="29" t="n">
        <f aca="false">$B$7</f>
        <v>1806</v>
      </c>
      <c r="K19" s="29" t="n">
        <f aca="false">$B$7</f>
        <v>1806</v>
      </c>
      <c r="L19" s="29" t="n">
        <f aca="false">$B$7</f>
        <v>1806</v>
      </c>
    </row>
    <row r="20" customFormat="false" ht="15" hidden="false" customHeight="false" outlineLevel="0" collapsed="false">
      <c r="A20" s="6" t="s">
        <v>1611</v>
      </c>
      <c r="B20" s="29" t="n">
        <f aca="false">Quesería!B143-Quesería!B144-Quesería!B145</f>
        <v>120.716772261203</v>
      </c>
      <c r="C20" s="29" t="n">
        <f aca="false">Quesería!C143-Quesería!C144-Quesería!C145</f>
        <v>120.717017684612</v>
      </c>
      <c r="D20" s="29" t="n">
        <f aca="false">Quesería!D143-Quesería!D144-Quesería!D145</f>
        <v>422.686589149151</v>
      </c>
      <c r="E20" s="29" t="n">
        <f aca="false">Quesería!E143-Quesería!E144-Quesería!E145</f>
        <v>493.890705707632</v>
      </c>
      <c r="F20" s="29" t="n">
        <f aca="false">Quesería!F143-Quesería!F144-Quesería!F145</f>
        <v>494.199916743068</v>
      </c>
      <c r="G20" s="29" t="n">
        <f aca="false">Quesería!G143-Quesería!G144-Quesería!G145</f>
        <v>494.510673833681</v>
      </c>
      <c r="H20" s="29" t="n">
        <f aca="false">Quesería!H143-Quesería!H144-Quesería!H145</f>
        <v>494.822984709747</v>
      </c>
      <c r="I20" s="29" t="n">
        <f aca="false">Quesería!I143-Quesería!I144-Quesería!I145</f>
        <v>495.136857140193</v>
      </c>
      <c r="J20" s="29" t="n">
        <f aca="false">Quesería!J143-Quesería!J144-Quesería!J145</f>
        <v>495.452298932792</v>
      </c>
      <c r="K20" s="29" t="n">
        <f aca="false">Quesería!K143-Quesería!K144-Quesería!K145</f>
        <v>495.769317934354</v>
      </c>
      <c r="L20" s="29" t="n">
        <f aca="false">Quesería!L143-Quesería!L144-Quesería!L145</f>
        <v>496.087922030923</v>
      </c>
    </row>
    <row r="21" customFormat="false" ht="15" hidden="false" customHeight="false" outlineLevel="0" collapsed="false">
      <c r="A21" s="5" t="s">
        <v>1612</v>
      </c>
      <c r="B21" s="10" t="n">
        <f aca="false">B19+B20</f>
        <v>1926.7167722612</v>
      </c>
      <c r="C21" s="10" t="n">
        <f aca="false">C19+C20</f>
        <v>1926.71701768461</v>
      </c>
      <c r="D21" s="10" t="n">
        <f aca="false">D19+D20</f>
        <v>2228.68658914915</v>
      </c>
      <c r="E21" s="10" t="n">
        <f aca="false">E19+E20</f>
        <v>2299.89070570763</v>
      </c>
      <c r="F21" s="10" t="n">
        <f aca="false">F19+F20</f>
        <v>2300.19991674307</v>
      </c>
      <c r="G21" s="10" t="n">
        <f aca="false">G19+G20</f>
        <v>2300.51067383368</v>
      </c>
      <c r="H21" s="10" t="n">
        <f aca="false">H19+H20</f>
        <v>2300.82298470975</v>
      </c>
      <c r="I21" s="10" t="n">
        <f aca="false">I19+I20</f>
        <v>2301.13685714019</v>
      </c>
      <c r="J21" s="10" t="n">
        <f aca="false">J19+J20</f>
        <v>2301.45229893279</v>
      </c>
      <c r="K21" s="10" t="n">
        <f aca="false">K19+K20</f>
        <v>2301.76931793435</v>
      </c>
      <c r="L21" s="10" t="n">
        <f aca="false">L19+L20</f>
        <v>2302.08792203092</v>
      </c>
    </row>
    <row r="22" customFormat="false" ht="15" hidden="false" customHeight="false" outlineLevel="0" collapsed="false">
      <c r="A22" s="6" t="s">
        <v>1613</v>
      </c>
      <c r="B22" s="34" t="n">
        <f aca="false">B21/B18</f>
        <v>0.0630998644725642</v>
      </c>
      <c r="C22" s="34" t="n">
        <f aca="false">C21/C18</f>
        <v>0.0630199951078891</v>
      </c>
      <c r="D22" s="34" t="n">
        <f aca="false">D21/D18</f>
        <v>0.0686155307740533</v>
      </c>
      <c r="E22" s="34" t="n">
        <f aca="false">E21/E18</f>
        <v>0.0694751631866718</v>
      </c>
      <c r="F22" s="34" t="n">
        <f aca="false">F21/F18</f>
        <v>0.0694845038423354</v>
      </c>
      <c r="G22" s="34" t="n">
        <f aca="false">G21/G18</f>
        <v>0.0694938912012774</v>
      </c>
      <c r="H22" s="34" t="n">
        <f aca="false">H21/H18</f>
        <v>0.0695033254970141</v>
      </c>
      <c r="I22" s="34" t="n">
        <f aca="false">I21/I18</f>
        <v>0.0695128069642294</v>
      </c>
      <c r="J22" s="34" t="n">
        <f aca="false">J21/J18</f>
        <v>0.0695223358387809</v>
      </c>
      <c r="K22" s="34" t="n">
        <f aca="false">K21/K18</f>
        <v>0.069531912357705</v>
      </c>
      <c r="L22" s="34" t="n">
        <f aca="false">L21/L18</f>
        <v>0.0695415367592238</v>
      </c>
    </row>
    <row r="23" customFormat="false" ht="15" hidden="false" customHeight="false" outlineLevel="0" collapsed="false">
      <c r="A23" s="6" t="s">
        <v>1602</v>
      </c>
      <c r="B23" s="29" t="n">
        <f aca="false">$B$8+Quesería!B147</f>
        <v>745.980915430742</v>
      </c>
      <c r="C23" s="29" t="n">
        <f aca="false">$B$8+Quesería!C147</f>
        <v>682.263326952427</v>
      </c>
      <c r="D23" s="29" t="n">
        <f aca="false">$B$8+Quesería!D147</f>
        <v>741.732280975958</v>
      </c>
      <c r="E23" s="29" t="n">
        <f aca="false">$B$8+Quesería!E147</f>
        <v>736.28103939996</v>
      </c>
      <c r="F23" s="29" t="n">
        <f aca="false">$B$8+Quesería!F147</f>
        <v>731.0394609615</v>
      </c>
      <c r="G23" s="29" t="n">
        <f aca="false">$B$8+Quesería!G147</f>
        <v>725.99948169375</v>
      </c>
      <c r="H23" s="29" t="n">
        <f aca="false">$B$8+Quesería!H147</f>
        <v>714.13472617855</v>
      </c>
      <c r="I23" s="29" t="n">
        <f aca="false">$B$8+Quesería!I147</f>
        <v>718.665920500713</v>
      </c>
      <c r="J23" s="29" t="n">
        <f aca="false">$B$8+Quesería!J147</f>
        <v>714.101846635301</v>
      </c>
      <c r="K23" s="29" t="n">
        <f aca="false">$B$8+Quesería!K147</f>
        <v>709.713314072405</v>
      </c>
      <c r="L23" s="29" t="n">
        <f aca="false">$B$8+Quesería!L147</f>
        <v>705.493571223466</v>
      </c>
    </row>
    <row r="24" customFormat="false" ht="15" hidden="false" customHeight="false" outlineLevel="0" collapsed="false">
      <c r="A24" s="6" t="s">
        <v>1614</v>
      </c>
      <c r="B24" s="29" t="n">
        <f aca="false">$B$9+Quesería!B165+Quesería!B167+Quesería!B168+Quesería!B146</f>
        <v>260.335663643967</v>
      </c>
      <c r="C24" s="29" t="n">
        <f aca="false">$B$9+Quesería!C165+Quesería!C167+Quesería!C168+Quesería!C146</f>
        <v>336.947303967181</v>
      </c>
      <c r="D24" s="29" t="n">
        <f aca="false">$B$9+Quesería!D165+Quesería!D167+Quesería!D168+Quesería!D146</f>
        <v>388.712464888322</v>
      </c>
      <c r="E24" s="29" t="n">
        <f aca="false">$B$9+Quesería!E165+Quesería!E167+Quesería!E168+Quesería!E146</f>
        <v>371.2193242674</v>
      </c>
      <c r="F24" s="29" t="n">
        <f aca="false">$B$9+Quesería!F165+Quesería!F167+Quesería!F168+Quesería!F146</f>
        <v>345.683135545081</v>
      </c>
      <c r="G24" s="29" t="n">
        <f aca="false">$B$9+Quesería!G165+Quesería!G167+Quesería!G168+Quesería!G146</f>
        <v>322.066096161137</v>
      </c>
      <c r="H24" s="29" t="n">
        <f aca="false">$B$9+Quesería!H165+Quesería!H167+Quesería!H168+Quesería!H146</f>
        <v>300.097020244011</v>
      </c>
      <c r="I24" s="29" t="n">
        <f aca="false">$B$9+Quesería!I165+Quesería!I167+Quesería!I168+Quesería!I146</f>
        <v>279.410909953058</v>
      </c>
      <c r="J24" s="29" t="n">
        <f aca="false">$B$9+Quesería!J165+Quesería!J167+Quesería!J168+Quesería!J146</f>
        <v>260.158977636131</v>
      </c>
      <c r="K24" s="29" t="n">
        <f aca="false">$B$9+Quesería!K165+Quesería!K167+Quesería!K168+Quesería!K146</f>
        <v>252.30598592847</v>
      </c>
      <c r="L24" s="29" t="n">
        <f aca="false">$B$9+Quesería!L165+Quesería!L167+Quesería!L168+Quesería!L146</f>
        <v>252.30598592847</v>
      </c>
    </row>
    <row r="25" customFormat="false" ht="15" hidden="false" customHeight="false" outlineLevel="0" collapsed="false">
      <c r="A25" s="6" t="s">
        <v>1615</v>
      </c>
      <c r="B25" s="29" t="n">
        <f aca="false">B21-B23-B24</f>
        <v>920.400193186493</v>
      </c>
      <c r="C25" s="29" t="n">
        <f aca="false">C21-C23-C24</f>
        <v>907.506386765005</v>
      </c>
      <c r="D25" s="29" t="n">
        <f aca="false">D21-D23-D24</f>
        <v>1098.24184328487</v>
      </c>
      <c r="E25" s="29" t="n">
        <f aca="false">E21-E23-E24</f>
        <v>1192.39034204027</v>
      </c>
      <c r="F25" s="29" t="n">
        <f aca="false">F21-F23-F24</f>
        <v>1223.47732023649</v>
      </c>
      <c r="G25" s="29" t="n">
        <f aca="false">G21-G23-G24</f>
        <v>1252.44509597879</v>
      </c>
      <c r="H25" s="29" t="n">
        <f aca="false">H21-H23-H24</f>
        <v>1286.59123828719</v>
      </c>
      <c r="I25" s="29" t="n">
        <f aca="false">I21-I23-I24</f>
        <v>1303.06002668642</v>
      </c>
      <c r="J25" s="29" t="n">
        <f aca="false">J21-J23-J24</f>
        <v>1327.19147466136</v>
      </c>
      <c r="K25" s="29" t="n">
        <f aca="false">K21-K23-K24</f>
        <v>1339.75001793348</v>
      </c>
      <c r="L25" s="29" t="n">
        <f aca="false">L21-L23-L24</f>
        <v>1344.28836487899</v>
      </c>
    </row>
    <row r="26" customFormat="false" ht="15" hidden="false" customHeight="false" outlineLevel="0" collapsed="false">
      <c r="A26" s="6" t="s">
        <v>1616</v>
      </c>
      <c r="B26" s="29" t="n">
        <f aca="false">Quesería!$B$54*(B25+0.5*(Quesería!B146+Quesería!B168))</f>
        <v>322.898808752967</v>
      </c>
      <c r="C26" s="29" t="n">
        <f aca="false">Quesería!$B$54*(C25+0.5*(Quesería!C146+Quesería!C168))</f>
        <v>318.275039904689</v>
      </c>
      <c r="D26" s="29" t="n">
        <f aca="false">Quesería!$B$54*(D25+0.5*(Quesería!D146+Quesería!D168))</f>
        <v>384.597370141099</v>
      </c>
      <c r="E26" s="29" t="n">
        <f aca="false">Quesería!$B$54*(E25+0.5*(Quesería!E146+Quesería!E168))</f>
        <v>417.580446690717</v>
      </c>
      <c r="F26" s="29" t="n">
        <f aca="false">Quesería!$B$54*(F25+0.5*(Quesería!F146+Quesería!F168))</f>
        <v>428.438955261705</v>
      </c>
      <c r="G26" s="29" t="n">
        <f aca="false">Quesería!$B$54*(G25+0.5*(Quesería!G146+Quesería!G168))</f>
        <v>438.580027236558</v>
      </c>
      <c r="H26" s="29" t="n">
        <f aca="false">Quesería!$B$54*(H25+0.5*(Quesería!H146+Quesería!H168))</f>
        <v>450.527742673874</v>
      </c>
      <c r="I26" s="29" t="n">
        <f aca="false">Quesería!$B$54*(I25+0.5*(Quesería!I146+Quesería!I168))</f>
        <v>456.2352365406</v>
      </c>
      <c r="J26" s="29" t="n">
        <f aca="false">Quesería!$B$54*(J25+0.5*(Quesería!J146+Quesería!J168))</f>
        <v>464.613652512882</v>
      </c>
      <c r="K26" s="29" t="n">
        <f aca="false">Quesería!$B$54*(K25+0.5*(Quesería!K146+Quesería!K168))</f>
        <v>468.9660538142</v>
      </c>
      <c r="L26" s="29" t="n">
        <f aca="false">Quesería!$B$54*(L25+0.5*(Quesería!L146+Quesería!L168))</f>
        <v>470.554475245128</v>
      </c>
    </row>
    <row r="27" customFormat="false" ht="15" hidden="false" customHeight="false" outlineLevel="0" collapsed="false">
      <c r="A27" s="6" t="s">
        <v>1617</v>
      </c>
      <c r="B27" s="29" t="n">
        <f aca="false">Quesería!B148+Quesería!B150</f>
        <v>0</v>
      </c>
      <c r="C27" s="29" t="n">
        <f aca="false">Quesería!C148+Quesería!C150</f>
        <v>142.014925295407</v>
      </c>
      <c r="D27" s="29" t="n">
        <f aca="false">Quesería!D148+Quesería!D150</f>
        <v>119.721648486272</v>
      </c>
      <c r="E27" s="29" t="n">
        <f aca="false">Quesería!E148+Quesería!E150</f>
        <v>0</v>
      </c>
      <c r="F27" s="29" t="n">
        <f aca="false">Quesería!F148+Quesería!F150</f>
        <v>0</v>
      </c>
      <c r="G27" s="29" t="n">
        <f aca="false">Quesería!G148+Quesería!G150</f>
        <v>0</v>
      </c>
      <c r="H27" s="29" t="n">
        <f aca="false">Quesería!H148+Quesería!H150</f>
        <v>5.01768392412113</v>
      </c>
      <c r="I27" s="29" t="n">
        <f aca="false">Quesería!I148+Quesería!I150</f>
        <v>8.47494190873221</v>
      </c>
      <c r="J27" s="29" t="n">
        <f aca="false">Quesería!J148+Quesería!J150</f>
        <v>0</v>
      </c>
      <c r="K27" s="29" t="n">
        <f aca="false">Quesería!K148+Quesería!K150</f>
        <v>0</v>
      </c>
      <c r="L27" s="29" t="n">
        <f aca="false">Quesería!L148+Quesería!L150</f>
        <v>0</v>
      </c>
    </row>
    <row r="28" customFormat="false" ht="15" hidden="false" customHeight="false" outlineLevel="0" collapsed="false">
      <c r="A28" s="6" t="s">
        <v>1618</v>
      </c>
      <c r="B28" s="29" t="n">
        <f aca="false">Quesería!B149</f>
        <v>0</v>
      </c>
      <c r="C28" s="29" t="n">
        <f aca="false">Quesería!C149</f>
        <v>138.12868344741</v>
      </c>
      <c r="D28" s="29" t="n">
        <f aca="false">Quesería!D149</f>
        <v>132.18055832288</v>
      </c>
      <c r="E28" s="29" t="n">
        <f aca="false">Quesería!E149</f>
        <v>0</v>
      </c>
      <c r="F28" s="29" t="n">
        <f aca="false">Quesería!F149</f>
        <v>0</v>
      </c>
      <c r="G28" s="29" t="n">
        <f aca="false">Quesería!G149</f>
        <v>0</v>
      </c>
      <c r="H28" s="29" t="n">
        <f aca="false">Quesería!H149</f>
        <v>0</v>
      </c>
      <c r="I28" s="29" t="n">
        <f aca="false">Quesería!I149</f>
        <v>0</v>
      </c>
      <c r="J28" s="29" t="n">
        <f aca="false">Quesería!J149</f>
        <v>0</v>
      </c>
      <c r="K28" s="29" t="n">
        <f aca="false">Quesería!K149</f>
        <v>0</v>
      </c>
      <c r="L28" s="29" t="n">
        <f aca="false">Quesería!L149</f>
        <v>0</v>
      </c>
    </row>
    <row r="29" customFormat="false" ht="15" hidden="false" customHeight="false" outlineLevel="0" collapsed="false">
      <c r="A29" s="6" t="s">
        <v>295</v>
      </c>
      <c r="B29" s="29" t="n">
        <f aca="false">B26-B27-B28</f>
        <v>322.898808752967</v>
      </c>
      <c r="C29" s="29" t="n">
        <f aca="false">C26-C27-C28</f>
        <v>38.1314311618728</v>
      </c>
      <c r="D29" s="29" t="n">
        <f aca="false">D26-D27-D28</f>
        <v>132.695163331947</v>
      </c>
      <c r="E29" s="29" t="n">
        <f aca="false">E26-E27-E28</f>
        <v>417.580446690717</v>
      </c>
      <c r="F29" s="29" t="n">
        <f aca="false">F26-F27-F28</f>
        <v>428.438955261705</v>
      </c>
      <c r="G29" s="29" t="n">
        <f aca="false">G26-G27-G28</f>
        <v>438.580027236558</v>
      </c>
      <c r="H29" s="29" t="n">
        <f aca="false">H26-H27-H28</f>
        <v>445.510058749753</v>
      </c>
      <c r="I29" s="29" t="n">
        <f aca="false">I26-I27-I28</f>
        <v>447.760294631868</v>
      </c>
      <c r="J29" s="29" t="n">
        <f aca="false">J26-J27-J28</f>
        <v>464.613652512882</v>
      </c>
      <c r="K29" s="29" t="n">
        <f aca="false">K26-K27-K28</f>
        <v>468.9660538142</v>
      </c>
      <c r="L29" s="29" t="n">
        <f aca="false">L26-L27-L28</f>
        <v>470.554475245128</v>
      </c>
    </row>
    <row r="30" customFormat="false" ht="15" hidden="false" customHeight="false" outlineLevel="0" collapsed="false">
      <c r="A30" s="5" t="s">
        <v>1619</v>
      </c>
      <c r="B30" s="10" t="n">
        <f aca="false">B25-B29</f>
        <v>597.501384433526</v>
      </c>
      <c r="C30" s="10" t="n">
        <f aca="false">C25-C29</f>
        <v>869.374955603132</v>
      </c>
      <c r="D30" s="10" t="n">
        <f aca="false">D25-D29</f>
        <v>965.546679952924</v>
      </c>
      <c r="E30" s="10" t="n">
        <f aca="false">E25-E29</f>
        <v>774.809895349556</v>
      </c>
      <c r="F30" s="10" t="n">
        <f aca="false">F25-F29</f>
        <v>795.038364974781</v>
      </c>
      <c r="G30" s="10" t="n">
        <f aca="false">G25-G29</f>
        <v>813.865068742236</v>
      </c>
      <c r="H30" s="10" t="n">
        <f aca="false">H25-H29</f>
        <v>841.081179537433</v>
      </c>
      <c r="I30" s="10" t="n">
        <f aca="false">I25-I29</f>
        <v>855.299732054555</v>
      </c>
      <c r="J30" s="10" t="n">
        <f aca="false">J25-J29</f>
        <v>862.577822148479</v>
      </c>
      <c r="K30" s="10" t="n">
        <f aca="false">K25-K29</f>
        <v>870.78396411928</v>
      </c>
      <c r="L30" s="10" t="n">
        <f aca="false">L25-L29</f>
        <v>873.73388963386</v>
      </c>
    </row>
    <row r="31" customFormat="false" ht="15" hidden="false" customHeight="false" outlineLevel="0" collapsed="false">
      <c r="A31" s="6" t="s">
        <v>1620</v>
      </c>
      <c r="B31" s="29" t="n">
        <f aca="false">B30-$B$10</f>
        <v>-22.4986155664736</v>
      </c>
      <c r="C31" s="29" t="n">
        <f aca="false">C30-$B$10</f>
        <v>249.374955603132</v>
      </c>
      <c r="D31" s="29" t="n">
        <f aca="false">D30-$B$10</f>
        <v>345.546679952924</v>
      </c>
      <c r="E31" s="29" t="n">
        <f aca="false">E30-$B$10</f>
        <v>154.809895349556</v>
      </c>
      <c r="F31" s="29" t="n">
        <f aca="false">F30-$B$10</f>
        <v>175.038364974781</v>
      </c>
      <c r="G31" s="29" t="n">
        <f aca="false">G30-$B$10</f>
        <v>193.865068742236</v>
      </c>
      <c r="H31" s="29" t="n">
        <f aca="false">H30-$B$10</f>
        <v>221.081179537433</v>
      </c>
      <c r="I31" s="29" t="n">
        <f aca="false">I30-$B$10</f>
        <v>235.299732054555</v>
      </c>
      <c r="J31" s="29" t="n">
        <f aca="false">J30-$B$10</f>
        <v>242.577822148479</v>
      </c>
      <c r="K31" s="29" t="n">
        <f aca="false">K30-$B$10</f>
        <v>250.78396411928</v>
      </c>
      <c r="L31" s="29" t="n">
        <f aca="false">L30-$B$10</f>
        <v>253.73388963386</v>
      </c>
    </row>
    <row r="32" customFormat="false" ht="15" hidden="false" customHeight="false" outlineLevel="0" collapsed="false">
      <c r="A32" s="6" t="s">
        <v>1621</v>
      </c>
      <c r="B32" s="29" t="n">
        <f aca="false">$B$11</f>
        <v>1400</v>
      </c>
      <c r="C32" s="29" t="n">
        <f aca="false">$B$11</f>
        <v>1400</v>
      </c>
      <c r="D32" s="29" t="n">
        <f aca="false">$B$11</f>
        <v>1400</v>
      </c>
      <c r="E32" s="29" t="n">
        <f aca="false">$B$11</f>
        <v>1400</v>
      </c>
      <c r="F32" s="29" t="n">
        <f aca="false">$B$11</f>
        <v>1400</v>
      </c>
      <c r="G32" s="29" t="n">
        <f aca="false">$B$11</f>
        <v>1400</v>
      </c>
      <c r="H32" s="29" t="n">
        <f aca="false">$B$11</f>
        <v>1400</v>
      </c>
      <c r="I32" s="29" t="n">
        <f aca="false">$B$11</f>
        <v>1400</v>
      </c>
      <c r="J32" s="29" t="n">
        <f aca="false">$B$11</f>
        <v>1400</v>
      </c>
      <c r="K32" s="29" t="n">
        <f aca="false">$B$11</f>
        <v>1400</v>
      </c>
      <c r="L32" s="29" t="n">
        <f aca="false">$B$11</f>
        <v>1400</v>
      </c>
    </row>
    <row r="33" customFormat="false" ht="15" hidden="false" customHeight="false" outlineLevel="0" collapsed="false">
      <c r="A33" s="6" t="s">
        <v>1622</v>
      </c>
      <c r="B33" s="29" t="n">
        <f aca="false">Quesería!B163*Quesería!B137</f>
        <v>605.02015563059</v>
      </c>
      <c r="C33" s="29" t="n">
        <f aca="false">Quesería!C163*Quesería!C137</f>
        <v>1004.21456536756</v>
      </c>
      <c r="D33" s="29" t="n">
        <f aca="false">Quesería!D163*Quesería!D137</f>
        <v>869.071406726668</v>
      </c>
      <c r="E33" s="29" t="n">
        <f aca="false">Quesería!E163*Quesería!E137</f>
        <v>681.643840450352</v>
      </c>
      <c r="F33" s="29" t="n">
        <f aca="false">Quesería!F163*Quesería!F137</f>
        <v>507.348170682381</v>
      </c>
      <c r="G33" s="29" t="n">
        <f aca="false">Quesería!G163*Quesería!G137</f>
        <v>345.451511250925</v>
      </c>
      <c r="H33" s="29" t="n">
        <f aca="false">Quesería!H163*Quesería!H137</f>
        <v>195.257925961116</v>
      </c>
      <c r="I33" s="29" t="n">
        <f aca="false">Quesería!I163*Quesería!I137</f>
        <v>56.1066704402704</v>
      </c>
      <c r="J33" s="29" t="n">
        <f aca="false">Quesería!J163*Quesería!J137</f>
        <v>0</v>
      </c>
      <c r="K33" s="29" t="n">
        <f aca="false">Quesería!K163*Quesería!K137</f>
        <v>0</v>
      </c>
      <c r="L33" s="29" t="n">
        <f aca="false">Quesería!L163*Quesería!L137</f>
        <v>0</v>
      </c>
    </row>
    <row r="34" customFormat="false" ht="15" hidden="false" customHeight="false" outlineLevel="0" collapsed="false">
      <c r="A34" s="5" t="s">
        <v>1623</v>
      </c>
      <c r="B34" s="12" t="n">
        <f aca="false">(B32+B33)/B21</f>
        <v>1.04064083756197</v>
      </c>
      <c r="C34" s="12" t="n">
        <f aca="false">(C32+C33)/C21</f>
        <v>1.24782962069685</v>
      </c>
      <c r="D34" s="12" t="n">
        <f aca="false">(D32+D33)/D21</f>
        <v>1.01812045613508</v>
      </c>
      <c r="E34" s="12" t="n">
        <f aca="false">(E32+E33)/E21</f>
        <v>0.905105549269947</v>
      </c>
      <c r="F34" s="12" t="n">
        <f aca="false">(F32+F33)/F21</f>
        <v>0.829209738161829</v>
      </c>
      <c r="G34" s="12" t="n">
        <f aca="false">(G32+G33)/G21</f>
        <v>0.758723500440109</v>
      </c>
      <c r="H34" s="12" t="n">
        <f aca="false">(H32+H33)/H21</f>
        <v>0.693342311234935</v>
      </c>
      <c r="I34" s="12" t="n">
        <f aca="false">(I32+I33)/I21</f>
        <v>0.632777084040925</v>
      </c>
      <c r="J34" s="12" t="n">
        <f aca="false">(J32+J33)/J21</f>
        <v>0.608311543389014</v>
      </c>
      <c r="K34" s="12" t="n">
        <f aca="false">(K32+K33)/K21</f>
        <v>0.608227761614436</v>
      </c>
      <c r="L34" s="12" t="n">
        <f aca="false">(L32+L33)/L21</f>
        <v>0.608143584179403</v>
      </c>
    </row>
    <row r="35" customFormat="false" ht="15" hidden="false" customHeight="false" outlineLevel="0" collapsed="false">
      <c r="A35" s="6" t="s">
        <v>1624</v>
      </c>
      <c r="B35" s="37" t="n">
        <f aca="false">B21/B24</f>
        <v>7.400894465601</v>
      </c>
      <c r="C35" s="37" t="n">
        <f aca="false">C21/C24</f>
        <v>5.71815531686901</v>
      </c>
      <c r="D35" s="37" t="n">
        <f aca="false">D21/D24</f>
        <v>5.73350944583025</v>
      </c>
      <c r="E35" s="37" t="n">
        <f aca="false">E21/E24</f>
        <v>6.19550372342943</v>
      </c>
      <c r="F35" s="37" t="n">
        <f aca="false">F21/F24</f>
        <v>6.65407039055017</v>
      </c>
      <c r="G35" s="37" t="n">
        <f aca="false">G21/G24</f>
        <v>7.1429768648566</v>
      </c>
      <c r="H35" s="37" t="n">
        <f aca="false">H21/H24</f>
        <v>7.66693045748649</v>
      </c>
      <c r="I35" s="37" t="n">
        <f aca="false">I21/I24</f>
        <v>8.23567289311212</v>
      </c>
      <c r="J35" s="37" t="n">
        <f aca="false">J21/J24</f>
        <v>8.8463305008513</v>
      </c>
      <c r="K35" s="37" t="n">
        <f aca="false">K21/K24</f>
        <v>9.12292789829775</v>
      </c>
      <c r="L35" s="37" t="n">
        <f aca="false">L21/L24</f>
        <v>9.12419066697681</v>
      </c>
    </row>
    <row r="36" customFormat="false" ht="15" hidden="false" customHeight="false" outlineLevel="0" collapsed="false">
      <c r="A36" s="6" t="s">
        <v>1625</v>
      </c>
      <c r="B36" s="29" t="n">
        <f aca="false">MAX(0,-Quesería!B170)</f>
        <v>358.744924503166</v>
      </c>
      <c r="C36" s="29" t="n">
        <f aca="false">MAX(0,-Quesería!C170)</f>
        <v>25.4578919146794</v>
      </c>
      <c r="D36" s="29" t="n">
        <f aca="false">MAX(0,-Quesería!D170)</f>
        <v>0</v>
      </c>
      <c r="E36" s="29" t="n">
        <f aca="false">MAX(0,-Quesería!E170)</f>
        <v>0</v>
      </c>
      <c r="F36" s="29" t="n">
        <f aca="false">MAX(0,-Quesería!F170)</f>
        <v>0</v>
      </c>
      <c r="G36" s="29" t="n">
        <f aca="false">MAX(0,-Quesería!G170)</f>
        <v>0</v>
      </c>
      <c r="H36" s="29" t="n">
        <f aca="false">MAX(0,-Quesería!H170)</f>
        <v>0</v>
      </c>
      <c r="I36" s="29" t="n">
        <f aca="false">MAX(0,-Quesería!I170)</f>
        <v>0</v>
      </c>
      <c r="J36" s="29" t="n">
        <f aca="false">MAX(0,-Quesería!J170)</f>
        <v>0</v>
      </c>
      <c r="K36" s="29" t="n">
        <f aca="false">MAX(0,-Quesería!K170)</f>
        <v>0</v>
      </c>
      <c r="L36" s="29" t="n">
        <f aca="false">MAX(0,-Quesería!L170)</f>
        <v>0</v>
      </c>
    </row>
    <row r="37" customFormat="false" ht="15" hidden="false" customHeight="false" outlineLevel="0" collapsed="false">
      <c r="A37" s="6" t="s">
        <v>1626</v>
      </c>
      <c r="B37" s="34" t="n">
        <f aca="false">B36/$B$12</f>
        <v>0.358744924503166</v>
      </c>
      <c r="C37" s="34" t="n">
        <f aca="false">C36/$B$12</f>
        <v>0.0254578919146794</v>
      </c>
      <c r="D37" s="34" t="n">
        <f aca="false">D36/$B$12</f>
        <v>0</v>
      </c>
      <c r="E37" s="34" t="n">
        <f aca="false">E36/$B$12</f>
        <v>0</v>
      </c>
      <c r="F37" s="34" t="n">
        <f aca="false">F36/$B$12</f>
        <v>0</v>
      </c>
      <c r="G37" s="34" t="n">
        <f aca="false">G36/$B$12</f>
        <v>0</v>
      </c>
      <c r="H37" s="34" t="n">
        <f aca="false">H36/$B$12</f>
        <v>0</v>
      </c>
      <c r="I37" s="34" t="n">
        <f aca="false">I36/$B$12</f>
        <v>0</v>
      </c>
      <c r="J37" s="34" t="n">
        <f aca="false">J36/$B$12</f>
        <v>0</v>
      </c>
      <c r="K37" s="34" t="n">
        <f aca="false">K36/$B$12</f>
        <v>0</v>
      </c>
      <c r="L37" s="34" t="n">
        <f aca="false">L36/$B$12</f>
        <v>0</v>
      </c>
    </row>
    <row r="38" customFormat="false" ht="15" hidden="false" customHeight="false" outlineLevel="0" collapsed="false">
      <c r="A38" s="9" t="s">
        <v>1627</v>
      </c>
    </row>
    <row r="40" customFormat="false" ht="15" hidden="false" customHeight="false" outlineLevel="0" collapsed="false">
      <c r="A40" s="3" t="s">
        <v>1014</v>
      </c>
      <c r="B40" s="4"/>
      <c r="C40" s="4"/>
      <c r="D40" s="4"/>
      <c r="E40" s="4"/>
      <c r="F40" s="4"/>
      <c r="G40" s="4"/>
      <c r="H40" s="4"/>
      <c r="I40" s="4"/>
      <c r="J40" s="4"/>
      <c r="K40" s="4"/>
      <c r="L40" s="4"/>
    </row>
    <row r="41" customFormat="false" ht="15" hidden="false" customHeight="false" outlineLevel="0" collapsed="false">
      <c r="A41" s="5" t="s">
        <v>1628</v>
      </c>
      <c r="B41" s="66" t="n">
        <f aca="false">MAX(B34:L34)</f>
        <v>1.24782962069685</v>
      </c>
    </row>
    <row r="42" customFormat="false" ht="15" hidden="false" customHeight="false" outlineLevel="0" collapsed="false">
      <c r="A42" s="5" t="s">
        <v>1629</v>
      </c>
      <c r="B42" s="66" t="n">
        <f aca="false">$B$11/$B$7</f>
        <v>0.775193798449612</v>
      </c>
    </row>
    <row r="43" customFormat="false" ht="15" hidden="false" customHeight="false" outlineLevel="0" collapsed="false">
      <c r="A43" s="5" t="s">
        <v>1630</v>
      </c>
      <c r="B43" s="66" t="n">
        <f aca="false">MIN(B35:L35)</f>
        <v>5.71815531686901</v>
      </c>
    </row>
    <row r="44" customFormat="false" ht="15" hidden="false" customHeight="false" outlineLevel="0" collapsed="false">
      <c r="A44" s="5" t="s">
        <v>1631</v>
      </c>
      <c r="B44" s="61" t="n">
        <f aca="false">MAX(B37:L37)</f>
        <v>0.358744924503166</v>
      </c>
    </row>
    <row r="45" customFormat="false" ht="15" hidden="false" customHeight="false" outlineLevel="0" collapsed="false">
      <c r="A45" s="5" t="s">
        <v>1632</v>
      </c>
      <c r="B45" s="62" t="n">
        <f aca="false">D31</f>
        <v>345.546679952924</v>
      </c>
    </row>
    <row r="46" customFormat="false" ht="15" hidden="false" customHeight="false" outlineLevel="0" collapsed="false">
      <c r="A46" s="5" t="s">
        <v>1633</v>
      </c>
      <c r="B46" s="62" t="n">
        <f aca="false">G31</f>
        <v>193.865068742236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7" min="2" style="0" width="13"/>
    <col collapsed="false" customWidth="true" hidden="false" outlineLevel="0" max="8" min="8" style="0" width="16"/>
    <col collapsed="false" customWidth="true" hidden="false" outlineLevel="0" max="10" min="9" style="0" width="13"/>
    <col collapsed="false" customWidth="true" hidden="false" outlineLevel="0" max="11" min="11" style="0" width="70"/>
  </cols>
  <sheetData>
    <row r="1" customFormat="false" ht="17.35" hidden="false" customHeight="false" outlineLevel="0" collapsed="false">
      <c r="A1" s="42" t="s">
        <v>1634</v>
      </c>
    </row>
    <row r="2" customFormat="false" ht="15" hidden="false" customHeight="false" outlineLevel="0" collapsed="false">
      <c r="A2" s="9" t="s">
        <v>1635</v>
      </c>
    </row>
    <row r="4" customFormat="false" ht="15" hidden="false" customHeight="false" outlineLevel="0" collapsed="false">
      <c r="A4" s="3" t="s">
        <v>186</v>
      </c>
      <c r="B4" s="4"/>
      <c r="C4" s="4"/>
      <c r="D4" s="4"/>
      <c r="E4" s="4"/>
      <c r="F4" s="4"/>
      <c r="G4" s="4"/>
      <c r="H4" s="4"/>
    </row>
    <row r="5" customFormat="false" ht="23.85" hidden="false" customHeight="false" outlineLevel="0" collapsed="false">
      <c r="A5" s="23" t="s">
        <v>187</v>
      </c>
      <c r="B5" s="24" t="s">
        <v>188</v>
      </c>
      <c r="C5" s="24" t="s">
        <v>189</v>
      </c>
      <c r="D5" s="24" t="s">
        <v>190</v>
      </c>
    </row>
    <row r="6" customFormat="false" ht="15" hidden="false" customHeight="false" outlineLevel="0" collapsed="false">
      <c r="A6" s="6" t="s">
        <v>1636</v>
      </c>
      <c r="B6" s="96" t="n">
        <v>1.750905</v>
      </c>
      <c r="C6" s="9" t="s">
        <v>1637</v>
      </c>
      <c r="D6" s="9" t="s">
        <v>1638</v>
      </c>
    </row>
    <row r="7" customFormat="false" ht="15" hidden="false" customHeight="false" outlineLevel="0" collapsed="false">
      <c r="A7" s="6" t="s">
        <v>1639</v>
      </c>
      <c r="B7" s="51" t="n">
        <v>182</v>
      </c>
      <c r="C7" s="9" t="s">
        <v>1640</v>
      </c>
      <c r="D7" s="9" t="s">
        <v>1641</v>
      </c>
    </row>
    <row r="8" customFormat="false" ht="15" hidden="false" customHeight="false" outlineLevel="0" collapsed="false">
      <c r="A8" s="6" t="s">
        <v>1642</v>
      </c>
      <c r="B8" s="70" t="n">
        <v>4.8</v>
      </c>
      <c r="C8" s="9" t="s">
        <v>1643</v>
      </c>
      <c r="D8" s="9" t="s">
        <v>1644</v>
      </c>
    </row>
    <row r="9" customFormat="false" ht="15" hidden="false" customHeight="false" outlineLevel="0" collapsed="false">
      <c r="A9" s="6" t="s">
        <v>1645</v>
      </c>
      <c r="B9" s="70" t="n">
        <v>5.4</v>
      </c>
      <c r="C9" s="9" t="s">
        <v>1643</v>
      </c>
      <c r="D9" s="9" t="s">
        <v>1646</v>
      </c>
    </row>
    <row r="10" customFormat="false" ht="15" hidden="false" customHeight="false" outlineLevel="0" collapsed="false">
      <c r="A10" s="6" t="s">
        <v>1647</v>
      </c>
      <c r="B10" s="69" t="n">
        <v>1.38</v>
      </c>
      <c r="C10" s="9" t="s">
        <v>1648</v>
      </c>
      <c r="D10" s="9" t="s">
        <v>1649</v>
      </c>
    </row>
    <row r="11" customFormat="false" ht="15" hidden="false" customHeight="false" outlineLevel="0" collapsed="false">
      <c r="A11" s="6" t="s">
        <v>943</v>
      </c>
      <c r="B11" s="78" t="n">
        <v>3170.46</v>
      </c>
      <c r="C11" s="9" t="s">
        <v>944</v>
      </c>
      <c r="D11" s="9" t="s">
        <v>1650</v>
      </c>
    </row>
    <row r="12" customFormat="false" ht="15" hidden="false" customHeight="false" outlineLevel="0" collapsed="false">
      <c r="A12" s="6" t="s">
        <v>1651</v>
      </c>
      <c r="B12" s="46" t="n">
        <v>0.7</v>
      </c>
      <c r="C12" s="9" t="s">
        <v>1652</v>
      </c>
      <c r="D12" s="9" t="s">
        <v>1653</v>
      </c>
    </row>
    <row r="13" customFormat="false" ht="15" hidden="false" customHeight="false" outlineLevel="0" collapsed="false">
      <c r="A13" s="6" t="s">
        <v>1654</v>
      </c>
      <c r="B13" s="46" t="n">
        <v>0.24</v>
      </c>
      <c r="C13" s="9" t="s">
        <v>1655</v>
      </c>
      <c r="D13" s="9" t="s">
        <v>1656</v>
      </c>
    </row>
    <row r="14" customFormat="false" ht="15" hidden="false" customHeight="false" outlineLevel="0" collapsed="false">
      <c r="A14" s="6" t="s">
        <v>1657</v>
      </c>
      <c r="B14" s="46" t="n">
        <v>0.05</v>
      </c>
      <c r="C14" s="9" t="s">
        <v>1655</v>
      </c>
      <c r="D14" s="9" t="s">
        <v>1658</v>
      </c>
    </row>
    <row r="15" customFormat="false" ht="15" hidden="false" customHeight="false" outlineLevel="0" collapsed="false">
      <c r="A15" s="6" t="s">
        <v>1659</v>
      </c>
      <c r="B15" s="46" t="n">
        <v>0.1</v>
      </c>
      <c r="C15" s="9" t="s">
        <v>1655</v>
      </c>
      <c r="D15" s="9" t="s">
        <v>1660</v>
      </c>
    </row>
    <row r="16" customFormat="false" ht="15" hidden="false" customHeight="false" outlineLevel="0" collapsed="false">
      <c r="A16" s="6" t="s">
        <v>1661</v>
      </c>
      <c r="B16" s="46" t="n">
        <v>0.19</v>
      </c>
      <c r="C16" s="9" t="s">
        <v>196</v>
      </c>
      <c r="D16" s="9" t="s">
        <v>1662</v>
      </c>
    </row>
    <row r="17" customFormat="false" ht="15" hidden="false" customHeight="false" outlineLevel="0" collapsed="false">
      <c r="A17" s="6" t="s">
        <v>1663</v>
      </c>
      <c r="B17" s="46" t="n">
        <v>0.35</v>
      </c>
      <c r="C17" s="9" t="s">
        <v>196</v>
      </c>
      <c r="D17" s="9" t="s">
        <v>1664</v>
      </c>
    </row>
    <row r="18" customFormat="false" ht="15" hidden="false" customHeight="false" outlineLevel="0" collapsed="false">
      <c r="A18" s="6" t="s">
        <v>1665</v>
      </c>
      <c r="B18" s="46" t="n">
        <v>0.116088</v>
      </c>
      <c r="C18" s="9" t="s">
        <v>1666</v>
      </c>
      <c r="D18" s="9" t="s">
        <v>1667</v>
      </c>
    </row>
    <row r="19" customFormat="false" ht="15" hidden="false" customHeight="false" outlineLevel="0" collapsed="false">
      <c r="A19" s="6" t="s">
        <v>1668</v>
      </c>
      <c r="B19" s="50" t="n">
        <v>0.35</v>
      </c>
      <c r="C19" s="9" t="s">
        <v>1669</v>
      </c>
      <c r="D19" s="9" t="s">
        <v>1670</v>
      </c>
    </row>
    <row r="20" customFormat="false" ht="15" hidden="false" customHeight="false" outlineLevel="0" collapsed="false">
      <c r="A20" s="6" t="s">
        <v>1671</v>
      </c>
      <c r="B20" s="51" t="n">
        <v>6</v>
      </c>
      <c r="C20" s="9" t="s">
        <v>560</v>
      </c>
      <c r="D20" s="9" t="s">
        <v>1672</v>
      </c>
    </row>
    <row r="22" customFormat="false" ht="15" hidden="false" customHeight="false" outlineLevel="0" collapsed="false">
      <c r="A22" s="3" t="s">
        <v>1673</v>
      </c>
      <c r="B22" s="4"/>
      <c r="C22" s="4"/>
      <c r="D22" s="4"/>
      <c r="E22" s="4"/>
      <c r="F22" s="4"/>
      <c r="G22" s="4"/>
      <c r="H22" s="4"/>
    </row>
    <row r="23" customFormat="false" ht="27.75" hidden="false" customHeight="true" outlineLevel="0" collapsed="false">
      <c r="A23" s="32" t="s">
        <v>1674</v>
      </c>
      <c r="B23" s="32"/>
      <c r="C23" s="32"/>
      <c r="D23" s="32"/>
      <c r="E23" s="32"/>
      <c r="F23" s="32"/>
      <c r="G23" s="32"/>
      <c r="H23" s="32"/>
    </row>
    <row r="24" customFormat="false" ht="30" hidden="false" customHeight="true" outlineLevel="0" collapsed="false">
      <c r="A24" s="23" t="s">
        <v>1675</v>
      </c>
      <c r="B24" s="24" t="s">
        <v>1676</v>
      </c>
      <c r="C24" s="24" t="s">
        <v>1677</v>
      </c>
      <c r="D24" s="24" t="s">
        <v>1678</v>
      </c>
      <c r="E24" s="24" t="s">
        <v>1679</v>
      </c>
      <c r="F24" s="24" t="s">
        <v>1680</v>
      </c>
      <c r="G24" s="24" t="s">
        <v>1681</v>
      </c>
      <c r="H24" s="24" t="s">
        <v>996</v>
      </c>
    </row>
    <row r="25" customFormat="false" ht="15" hidden="false" customHeight="false" outlineLevel="0" collapsed="false">
      <c r="A25" s="6" t="s">
        <v>1682</v>
      </c>
      <c r="B25" s="6" t="s">
        <v>1683</v>
      </c>
      <c r="C25" s="74" t="n">
        <v>405</v>
      </c>
      <c r="D25" s="51" t="n">
        <v>3</v>
      </c>
      <c r="E25" s="51" t="n">
        <v>1</v>
      </c>
      <c r="F25" s="53" t="n">
        <v>1</v>
      </c>
      <c r="G25" s="75" t="n">
        <f aca="false">C25/D25/E25*F25</f>
        <v>135</v>
      </c>
      <c r="H25" s="9" t="s">
        <v>1684</v>
      </c>
    </row>
    <row r="26" customFormat="false" ht="15" hidden="false" customHeight="false" outlineLevel="0" collapsed="false">
      <c r="A26" s="6" t="s">
        <v>1685</v>
      </c>
      <c r="B26" s="6" t="s">
        <v>1683</v>
      </c>
      <c r="C26" s="74" t="n">
        <v>139</v>
      </c>
      <c r="D26" s="51" t="n">
        <v>1</v>
      </c>
      <c r="E26" s="51" t="n">
        <v>1</v>
      </c>
      <c r="F26" s="53" t="n">
        <v>1</v>
      </c>
      <c r="G26" s="75" t="n">
        <f aca="false">C26/D26/E26*F26</f>
        <v>139</v>
      </c>
      <c r="H26" s="9" t="s">
        <v>1686</v>
      </c>
    </row>
    <row r="27" customFormat="false" ht="15" hidden="false" customHeight="false" outlineLevel="0" collapsed="false">
      <c r="A27" s="6" t="s">
        <v>1687</v>
      </c>
      <c r="B27" s="6" t="s">
        <v>1683</v>
      </c>
      <c r="C27" s="74" t="n">
        <v>500</v>
      </c>
      <c r="D27" s="51" t="n">
        <v>3</v>
      </c>
      <c r="E27" s="51" t="n">
        <v>1</v>
      </c>
      <c r="F27" s="53" t="n">
        <v>1</v>
      </c>
      <c r="G27" s="75" t="n">
        <f aca="false">C27/D27/E27*F27</f>
        <v>166.666666666667</v>
      </c>
      <c r="H27" s="9" t="s">
        <v>1688</v>
      </c>
    </row>
    <row r="28" customFormat="false" ht="15" hidden="false" customHeight="false" outlineLevel="0" collapsed="false">
      <c r="A28" s="6" t="s">
        <v>1689</v>
      </c>
      <c r="B28" s="6" t="s">
        <v>1683</v>
      </c>
      <c r="C28" s="74" t="n">
        <v>60</v>
      </c>
      <c r="D28" s="51" t="n">
        <v>3</v>
      </c>
      <c r="E28" s="51" t="n">
        <v>1</v>
      </c>
      <c r="F28" s="53" t="n">
        <v>1</v>
      </c>
      <c r="G28" s="75" t="n">
        <f aca="false">C28/D28/E28*F28</f>
        <v>20</v>
      </c>
      <c r="H28" s="9" t="s">
        <v>1690</v>
      </c>
    </row>
    <row r="29" customFormat="false" ht="15" hidden="false" customHeight="false" outlineLevel="0" collapsed="false">
      <c r="A29" s="6" t="s">
        <v>1691</v>
      </c>
      <c r="B29" s="6" t="s">
        <v>1692</v>
      </c>
      <c r="C29" s="74" t="n">
        <v>2199</v>
      </c>
      <c r="D29" s="51" t="n">
        <v>3</v>
      </c>
      <c r="E29" s="51" t="n">
        <v>1</v>
      </c>
      <c r="F29" s="53" t="n">
        <v>1</v>
      </c>
      <c r="G29" s="75" t="n">
        <f aca="false">C29/D29/E29*F29</f>
        <v>733</v>
      </c>
      <c r="H29" s="9" t="s">
        <v>1693</v>
      </c>
    </row>
    <row r="30" customFormat="false" ht="15" hidden="false" customHeight="false" outlineLevel="0" collapsed="false">
      <c r="A30" s="6" t="s">
        <v>1694</v>
      </c>
      <c r="B30" s="6" t="s">
        <v>1692</v>
      </c>
      <c r="C30" s="74" t="n">
        <v>2500</v>
      </c>
      <c r="D30" s="51" t="n">
        <v>3</v>
      </c>
      <c r="E30" s="51" t="n">
        <v>1</v>
      </c>
      <c r="F30" s="53" t="n">
        <v>1</v>
      </c>
      <c r="G30" s="75" t="n">
        <f aca="false">C30/D30/E30*F30</f>
        <v>833.333333333333</v>
      </c>
      <c r="H30" s="9" t="s">
        <v>1695</v>
      </c>
    </row>
    <row r="31" customFormat="false" ht="15" hidden="false" customHeight="false" outlineLevel="0" collapsed="false">
      <c r="A31" s="6" t="s">
        <v>1696</v>
      </c>
      <c r="B31" s="6" t="s">
        <v>1697</v>
      </c>
      <c r="C31" s="74" t="n">
        <v>3200</v>
      </c>
      <c r="D31" s="51" t="n">
        <v>3</v>
      </c>
      <c r="E31" s="51" t="n">
        <v>1</v>
      </c>
      <c r="F31" s="53" t="n">
        <v>1</v>
      </c>
      <c r="G31" s="75" t="n">
        <f aca="false">C31/D31/E31*F31</f>
        <v>1066.66666666667</v>
      </c>
      <c r="H31" s="9" t="s">
        <v>1698</v>
      </c>
    </row>
    <row r="32" customFormat="false" ht="15" hidden="false" customHeight="false" outlineLevel="0" collapsed="false">
      <c r="A32" s="6" t="s">
        <v>1699</v>
      </c>
      <c r="B32" s="6" t="s">
        <v>1697</v>
      </c>
      <c r="C32" s="74" t="n">
        <v>3200</v>
      </c>
      <c r="D32" s="51" t="n">
        <v>3</v>
      </c>
      <c r="E32" s="51" t="n">
        <v>1</v>
      </c>
      <c r="F32" s="53" t="n">
        <v>1</v>
      </c>
      <c r="G32" s="75" t="n">
        <f aca="false">C32/D32/E32*F32</f>
        <v>1066.66666666667</v>
      </c>
      <c r="H32" s="9" t="s">
        <v>1700</v>
      </c>
    </row>
    <row r="33" customFormat="false" ht="15" hidden="false" customHeight="false" outlineLevel="0" collapsed="false">
      <c r="A33" s="6" t="s">
        <v>1701</v>
      </c>
      <c r="B33" s="6" t="s">
        <v>1697</v>
      </c>
      <c r="C33" s="74" t="n">
        <v>850</v>
      </c>
      <c r="D33" s="51" t="n">
        <v>3</v>
      </c>
      <c r="E33" s="51" t="n">
        <v>1</v>
      </c>
      <c r="F33" s="53" t="n">
        <v>1</v>
      </c>
      <c r="G33" s="75" t="n">
        <f aca="false">C33/D33/E33*F33</f>
        <v>283.333333333333</v>
      </c>
      <c r="H33" s="9" t="s">
        <v>1702</v>
      </c>
    </row>
    <row r="34" customFormat="false" ht="15" hidden="false" customHeight="false" outlineLevel="0" collapsed="false">
      <c r="A34" s="6" t="s">
        <v>1703</v>
      </c>
      <c r="B34" s="6" t="s">
        <v>1697</v>
      </c>
      <c r="C34" s="74" t="n">
        <v>11000</v>
      </c>
      <c r="D34" s="51" t="n">
        <v>5</v>
      </c>
      <c r="E34" s="51" t="n">
        <v>2</v>
      </c>
      <c r="F34" s="53" t="n">
        <v>1</v>
      </c>
      <c r="G34" s="75" t="n">
        <f aca="false">C34/D34/E34*F34</f>
        <v>1100</v>
      </c>
      <c r="H34" s="9" t="s">
        <v>1704</v>
      </c>
    </row>
    <row r="35" customFormat="false" ht="15" hidden="false" customHeight="false" outlineLevel="0" collapsed="false">
      <c r="A35" s="6" t="s">
        <v>1705</v>
      </c>
      <c r="B35" s="6" t="s">
        <v>1706</v>
      </c>
      <c r="C35" s="74" t="n">
        <v>3000</v>
      </c>
      <c r="D35" s="51" t="n">
        <v>1</v>
      </c>
      <c r="E35" s="51" t="n">
        <v>1</v>
      </c>
      <c r="F35" s="53" t="n">
        <v>1</v>
      </c>
      <c r="G35" s="75" t="n">
        <f aca="false">C35/D35/E35*F35</f>
        <v>3000</v>
      </c>
      <c r="H35" s="9" t="s">
        <v>1707</v>
      </c>
    </row>
    <row r="36" customFormat="false" ht="15" hidden="false" customHeight="false" outlineLevel="0" collapsed="false">
      <c r="A36" s="6" t="s">
        <v>1708</v>
      </c>
      <c r="B36" s="6" t="s">
        <v>1706</v>
      </c>
      <c r="C36" s="74" t="n">
        <v>3400</v>
      </c>
      <c r="D36" s="51" t="n">
        <v>1</v>
      </c>
      <c r="E36" s="51" t="n">
        <v>1</v>
      </c>
      <c r="F36" s="53" t="n">
        <v>1</v>
      </c>
      <c r="G36" s="75" t="n">
        <f aca="false">C36/D36/E36*F36</f>
        <v>3400</v>
      </c>
      <c r="H36" s="9" t="s">
        <v>1709</v>
      </c>
    </row>
    <row r="37" customFormat="false" ht="15" hidden="false" customHeight="false" outlineLevel="0" collapsed="false">
      <c r="A37" s="6" t="s">
        <v>1710</v>
      </c>
      <c r="B37" s="6" t="s">
        <v>1706</v>
      </c>
      <c r="C37" s="74" t="n">
        <v>6000</v>
      </c>
      <c r="D37" s="51" t="n">
        <v>1</v>
      </c>
      <c r="E37" s="51" t="n">
        <v>1</v>
      </c>
      <c r="F37" s="53" t="n">
        <v>1</v>
      </c>
      <c r="G37" s="75" t="n">
        <f aca="false">C37/D37/E37*F37</f>
        <v>6000</v>
      </c>
      <c r="H37" s="9" t="s">
        <v>1711</v>
      </c>
    </row>
    <row r="38" customFormat="false" ht="15" hidden="false" customHeight="false" outlineLevel="0" collapsed="false">
      <c r="A38" s="6" t="s">
        <v>1712</v>
      </c>
      <c r="B38" s="6" t="s">
        <v>1706</v>
      </c>
      <c r="C38" s="74" t="n">
        <v>1500</v>
      </c>
      <c r="D38" s="51" t="n">
        <v>3</v>
      </c>
      <c r="E38" s="51" t="n">
        <v>1</v>
      </c>
      <c r="F38" s="53" t="n">
        <v>1</v>
      </c>
      <c r="G38" s="75" t="n">
        <f aca="false">C38/D38/E38*F38</f>
        <v>500</v>
      </c>
      <c r="H38" s="9" t="s">
        <v>1711</v>
      </c>
    </row>
    <row r="39" customFormat="false" ht="15" hidden="false" customHeight="false" outlineLevel="0" collapsed="false">
      <c r="A39" s="6" t="s">
        <v>1713</v>
      </c>
      <c r="B39" s="6" t="s">
        <v>1714</v>
      </c>
      <c r="C39" s="74" t="n">
        <v>1000</v>
      </c>
      <c r="D39" s="51" t="n">
        <v>3</v>
      </c>
      <c r="E39" s="51" t="n">
        <v>1</v>
      </c>
      <c r="F39" s="53" t="n">
        <v>1</v>
      </c>
      <c r="G39" s="75" t="n">
        <f aca="false">C39/D39/E39*F39</f>
        <v>333.333333333333</v>
      </c>
      <c r="H39" s="9" t="s">
        <v>1074</v>
      </c>
    </row>
    <row r="40" customFormat="false" ht="27.75" hidden="false" customHeight="true" outlineLevel="0" collapsed="false">
      <c r="A40" s="32" t="s">
        <v>1715</v>
      </c>
      <c r="B40" s="32"/>
      <c r="C40" s="32"/>
      <c r="D40" s="32"/>
      <c r="E40" s="32"/>
      <c r="F40" s="32"/>
      <c r="G40" s="32"/>
      <c r="H40" s="32"/>
    </row>
    <row r="42" customFormat="false" ht="15" hidden="false" customHeight="false" outlineLevel="0" collapsed="false">
      <c r="A42" s="3" t="s">
        <v>1716</v>
      </c>
      <c r="B42" s="4"/>
      <c r="C42" s="4"/>
      <c r="D42" s="4"/>
      <c r="E42" s="4"/>
      <c r="F42" s="4"/>
      <c r="G42" s="4"/>
      <c r="H42" s="4"/>
    </row>
    <row r="43" customFormat="false" ht="30" hidden="false" customHeight="true" outlineLevel="0" collapsed="false">
      <c r="A43" s="23" t="s">
        <v>1676</v>
      </c>
      <c r="B43" s="24" t="s">
        <v>1717</v>
      </c>
      <c r="C43" s="24" t="s">
        <v>1718</v>
      </c>
      <c r="D43" s="24" t="s">
        <v>1719</v>
      </c>
      <c r="E43" s="24" t="s">
        <v>1720</v>
      </c>
      <c r="F43" s="24" t="s">
        <v>1721</v>
      </c>
      <c r="G43" s="24" t="s">
        <v>1722</v>
      </c>
      <c r="H43" s="24" t="s">
        <v>1723</v>
      </c>
      <c r="I43" s="24" t="s">
        <v>1724</v>
      </c>
      <c r="J43" s="24" t="s">
        <v>1725</v>
      </c>
    </row>
    <row r="44" customFormat="false" ht="15" hidden="false" customHeight="false" outlineLevel="0" collapsed="false">
      <c r="A44" s="6" t="s">
        <v>1726</v>
      </c>
      <c r="B44" s="6" t="s">
        <v>1727</v>
      </c>
      <c r="C44" s="25" t="n">
        <f aca="false">$B$9*$B$6</f>
        <v>9.454887</v>
      </c>
      <c r="D44" s="25" t="n">
        <f aca="false">C44*$B$10</f>
        <v>13.04774406</v>
      </c>
      <c r="E44" s="75" t="n">
        <f aca="false">D44/$B$7*1000000</f>
        <v>71690.9014285714</v>
      </c>
      <c r="F44" s="75" t="n">
        <f aca="false">SUMIF($B$25:$B$39,"Dirección",$G$25:$G$39)*$B$11/($B$7*12*$B$12)</f>
        <v>955.34094714809</v>
      </c>
      <c r="G44" s="97" t="n">
        <f aca="false">E44+F44</f>
        <v>72646.2423757195</v>
      </c>
      <c r="H44" s="97" t="n">
        <f aca="false">G44*(1+$B$13+$B$14+$B$15)</f>
        <v>100978.27690225</v>
      </c>
      <c r="I44" s="9" t="s">
        <v>1683</v>
      </c>
      <c r="J44" s="37" t="n">
        <f aca="false">H44/E44</f>
        <v>1.40852290723194</v>
      </c>
    </row>
    <row r="45" customFormat="false" ht="15" hidden="false" customHeight="false" outlineLevel="0" collapsed="false">
      <c r="A45" s="6" t="s">
        <v>1728</v>
      </c>
      <c r="B45" s="6" t="s">
        <v>1729</v>
      </c>
      <c r="C45" s="25" t="n">
        <f aca="false">$B$8*$B$6</f>
        <v>8.404344</v>
      </c>
      <c r="D45" s="25" t="n">
        <f aca="false">C45</f>
        <v>8.404344</v>
      </c>
      <c r="E45" s="75" t="n">
        <f aca="false">D45/$B$7*1000000</f>
        <v>46177.7142857143</v>
      </c>
      <c r="F45" s="75" t="n">
        <f aca="false">SUMIF($B$25:$B$39,"Procesos",$G$25:$G$39)*$B$11/($B$7*12*$B$12)</f>
        <v>3248.2974751439</v>
      </c>
      <c r="G45" s="97" t="n">
        <f aca="false">E45+F45</f>
        <v>49426.0117608582</v>
      </c>
      <c r="H45" s="97" t="n">
        <f aca="false">G45*(1+$B$13+$B$14+$B$15)</f>
        <v>68702.1563475929</v>
      </c>
      <c r="I45" s="9" t="s">
        <v>1692</v>
      </c>
      <c r="J45" s="37" t="n">
        <f aca="false">H45/E45</f>
        <v>1.4877773274466</v>
      </c>
    </row>
    <row r="46" customFormat="false" ht="15" hidden="false" customHeight="false" outlineLevel="0" collapsed="false">
      <c r="A46" s="6" t="s">
        <v>1730</v>
      </c>
      <c r="B46" s="6" t="s">
        <v>1729</v>
      </c>
      <c r="C46" s="25" t="n">
        <f aca="false">$B$8*$B$6</f>
        <v>8.404344</v>
      </c>
      <c r="D46" s="25" t="n">
        <f aca="false">C46</f>
        <v>8.404344</v>
      </c>
      <c r="E46" s="75" t="n">
        <f aca="false">D46/$B$7*1000000</f>
        <v>46177.7142857143</v>
      </c>
      <c r="F46" s="75" t="n">
        <f aca="false">SUMIF($B$25:$B$39,"Automatización",$G$25:$G$39)*$B$11/($B$7*12*$B$12)</f>
        <v>7292.94283097855</v>
      </c>
      <c r="G46" s="97" t="n">
        <f aca="false">E46+F46</f>
        <v>53470.6571166928</v>
      </c>
      <c r="H46" s="97" t="n">
        <f aca="false">G46*(1+$B$13+$B$14+$B$15)</f>
        <v>74324.2133922031</v>
      </c>
      <c r="I46" s="9" t="s">
        <v>1697</v>
      </c>
      <c r="J46" s="37" t="n">
        <f aca="false">H46/E46</f>
        <v>1.60952560216252</v>
      </c>
    </row>
    <row r="47" customFormat="false" ht="15" hidden="false" customHeight="false" outlineLevel="0" collapsed="false">
      <c r="A47" s="6" t="s">
        <v>1731</v>
      </c>
      <c r="B47" s="6" t="s">
        <v>1729</v>
      </c>
      <c r="C47" s="25" t="n">
        <f aca="false">$B$8*$B$6</f>
        <v>8.404344</v>
      </c>
      <c r="D47" s="25" t="n">
        <f aca="false">C47</f>
        <v>8.404344</v>
      </c>
      <c r="E47" s="75" t="n">
        <f aca="false">D47/$B$7*1000000</f>
        <v>46177.7142857143</v>
      </c>
      <c r="F47" s="75" t="n">
        <f aca="false">SUMIF($B$25:$B$39,"Robótica y simulación",$G$25:$G$39)*$B$11/($B$7*12*$B$12)</f>
        <v>26752.3116169545</v>
      </c>
      <c r="G47" s="97" t="n">
        <f aca="false">E47+F47</f>
        <v>72930.0259026688</v>
      </c>
      <c r="H47" s="97" t="n">
        <f aca="false">G47*(1+$B$13+$B$14+$B$15)</f>
        <v>101372.73600471</v>
      </c>
      <c r="I47" s="9" t="s">
        <v>1706</v>
      </c>
      <c r="J47" s="37" t="n">
        <f aca="false">H47/E47</f>
        <v>2.19527400982839</v>
      </c>
    </row>
    <row r="48" customFormat="false" ht="15" hidden="false" customHeight="false" outlineLevel="0" collapsed="false">
      <c r="A48" s="6" t="s">
        <v>1397</v>
      </c>
      <c r="B48" s="6" t="s">
        <v>1729</v>
      </c>
      <c r="C48" s="25" t="n">
        <f aca="false">$B$8*$B$6</f>
        <v>8.404344</v>
      </c>
      <c r="D48" s="25" t="n">
        <f aca="false">C48</f>
        <v>8.404344</v>
      </c>
      <c r="E48" s="75" t="n">
        <f aca="false">D48/$B$7*1000000</f>
        <v>46177.7142857143</v>
      </c>
      <c r="F48" s="75" t="n">
        <f aca="false">SUMIF($B$25:$B$39,"Gestión y finanzas",$G$25:$G$39)*$B$11/($B$7*12*$B$12)</f>
        <v>691.274201988488</v>
      </c>
      <c r="G48" s="97" t="n">
        <f aca="false">E48+F48</f>
        <v>46868.9884877028</v>
      </c>
      <c r="H48" s="97" t="n">
        <f aca="false">G48*(1+$B$13+$B$14+$B$15)</f>
        <v>65147.8939979069</v>
      </c>
      <c r="I48" s="9" t="s">
        <v>1714</v>
      </c>
      <c r="J48" s="37" t="n">
        <f aca="false">H48/E48</f>
        <v>1.41080811394905</v>
      </c>
    </row>
    <row r="49" customFormat="false" ht="27.75" hidden="false" customHeight="true" outlineLevel="0" collapsed="false">
      <c r="A49" s="32" t="s">
        <v>1732</v>
      </c>
      <c r="B49" s="32"/>
      <c r="C49" s="32"/>
      <c r="D49" s="32"/>
      <c r="E49" s="32"/>
      <c r="F49" s="32"/>
      <c r="G49" s="32"/>
      <c r="H49" s="32"/>
    </row>
    <row r="50" customFormat="false" ht="27.75" hidden="false" customHeight="true" outlineLevel="0" collapsed="false">
      <c r="A50" s="32" t="s">
        <v>1733</v>
      </c>
      <c r="B50" s="32"/>
      <c r="C50" s="32"/>
      <c r="D50" s="32"/>
      <c r="E50" s="32"/>
      <c r="F50" s="32"/>
      <c r="G50" s="32"/>
      <c r="H50" s="32"/>
    </row>
    <row r="52" customFormat="false" ht="15" hidden="false" customHeight="false" outlineLevel="0" collapsed="false">
      <c r="A52" s="3" t="s">
        <v>1734</v>
      </c>
      <c r="B52" s="4"/>
      <c r="C52" s="4"/>
      <c r="D52" s="4"/>
      <c r="E52" s="4"/>
      <c r="F52" s="4"/>
      <c r="G52" s="4"/>
      <c r="H52" s="4"/>
      <c r="I52" s="4"/>
      <c r="J52" s="4"/>
    </row>
    <row r="53" customFormat="false" ht="54" hidden="false" customHeight="true" outlineLevel="0" collapsed="false">
      <c r="A53" s="32" t="s">
        <v>1735</v>
      </c>
      <c r="B53" s="32"/>
      <c r="C53" s="32"/>
      <c r="D53" s="32"/>
      <c r="E53" s="32"/>
      <c r="F53" s="32"/>
      <c r="G53" s="32"/>
      <c r="H53" s="32"/>
      <c r="I53" s="32"/>
      <c r="J53" s="32"/>
      <c r="K53" s="32"/>
    </row>
    <row r="54" customFormat="false" ht="30" hidden="false" customHeight="true" outlineLevel="0" collapsed="false">
      <c r="A54" s="23" t="s">
        <v>1736</v>
      </c>
      <c r="B54" s="24" t="s">
        <v>1737</v>
      </c>
      <c r="C54" s="24" t="s">
        <v>110</v>
      </c>
      <c r="D54" s="24" t="s">
        <v>1676</v>
      </c>
      <c r="E54" s="24" t="s">
        <v>1059</v>
      </c>
      <c r="F54" s="24" t="s">
        <v>189</v>
      </c>
      <c r="G54" s="24" t="s">
        <v>1738</v>
      </c>
      <c r="H54" s="24" t="s">
        <v>97</v>
      </c>
      <c r="I54" s="24" t="s">
        <v>1064</v>
      </c>
      <c r="J54" s="24" t="s">
        <v>1739</v>
      </c>
      <c r="K54" s="24" t="s">
        <v>1740</v>
      </c>
      <c r="L54" s="24" t="s">
        <v>1741</v>
      </c>
    </row>
    <row r="55" customFormat="false" ht="15" hidden="false" customHeight="false" outlineLevel="0" collapsed="false">
      <c r="A55" s="6" t="s">
        <v>1742</v>
      </c>
      <c r="B55" s="6" t="s">
        <v>1743</v>
      </c>
      <c r="C55" s="33" t="n">
        <v>0</v>
      </c>
      <c r="D55" s="6" t="s">
        <v>1683</v>
      </c>
      <c r="E55" s="74" t="n">
        <v>1</v>
      </c>
      <c r="F55" s="9" t="s">
        <v>1744</v>
      </c>
      <c r="G55" s="98" t="n">
        <v>60</v>
      </c>
      <c r="H55" s="75" t="n">
        <f aca="false">E55*G55</f>
        <v>60</v>
      </c>
      <c r="I55" s="28" t="s">
        <v>1745</v>
      </c>
      <c r="J55" s="25" t="n">
        <f aca="false">H55*SUMIF($I$44:$I$48,D55,$G$44:$G$48)/1000000</f>
        <v>4.35877454254317</v>
      </c>
      <c r="K55" s="9" t="s">
        <v>1746</v>
      </c>
      <c r="L55" s="6" t="s">
        <v>1747</v>
      </c>
    </row>
    <row r="56" customFormat="false" ht="15" hidden="false" customHeight="false" outlineLevel="0" collapsed="false">
      <c r="A56" s="6" t="s">
        <v>1748</v>
      </c>
      <c r="B56" s="6" t="s">
        <v>1743</v>
      </c>
      <c r="C56" s="33" t="n">
        <v>0</v>
      </c>
      <c r="D56" s="6" t="s">
        <v>1692</v>
      </c>
      <c r="E56" s="74" t="n">
        <v>1</v>
      </c>
      <c r="F56" s="9" t="s">
        <v>1749</v>
      </c>
      <c r="G56" s="98" t="n">
        <v>160</v>
      </c>
      <c r="H56" s="75" t="n">
        <f aca="false">E56*G56</f>
        <v>160</v>
      </c>
      <c r="I56" s="28" t="s">
        <v>1069</v>
      </c>
      <c r="J56" s="25" t="n">
        <f aca="false">H56*SUMIF($I$44:$I$48,D56,$G$44:$G$48)/1000000</f>
        <v>7.90816188173731</v>
      </c>
      <c r="K56" s="9" t="s">
        <v>1750</v>
      </c>
      <c r="L56" s="6" t="s">
        <v>1751</v>
      </c>
    </row>
    <row r="57" customFormat="false" ht="15" hidden="false" customHeight="false" outlineLevel="0" collapsed="false">
      <c r="A57" s="6" t="s">
        <v>1752</v>
      </c>
      <c r="B57" s="6" t="s">
        <v>1743</v>
      </c>
      <c r="C57" s="33" t="n">
        <v>0</v>
      </c>
      <c r="D57" s="6" t="s">
        <v>1692</v>
      </c>
      <c r="E57" s="74" t="n">
        <v>1</v>
      </c>
      <c r="F57" s="9" t="s">
        <v>1753</v>
      </c>
      <c r="G57" s="98" t="n">
        <v>80</v>
      </c>
      <c r="H57" s="75" t="n">
        <f aca="false">E57*G57</f>
        <v>80</v>
      </c>
      <c r="I57" s="28" t="s">
        <v>1083</v>
      </c>
      <c r="J57" s="25" t="n">
        <f aca="false">H57*SUMIF($I$44:$I$48,D57,$G$44:$G$48)/1000000</f>
        <v>3.95408094086866</v>
      </c>
      <c r="K57" s="9" t="s">
        <v>1754</v>
      </c>
      <c r="L57" s="6" t="s">
        <v>1751</v>
      </c>
    </row>
    <row r="58" customFormat="false" ht="15" hidden="false" customHeight="false" outlineLevel="0" collapsed="false">
      <c r="A58" s="6" t="s">
        <v>1755</v>
      </c>
      <c r="B58" s="6" t="s">
        <v>1743</v>
      </c>
      <c r="C58" s="33" t="n">
        <v>0</v>
      </c>
      <c r="D58" s="6" t="s">
        <v>1692</v>
      </c>
      <c r="E58" s="74" t="n">
        <v>1</v>
      </c>
      <c r="F58" s="9" t="s">
        <v>1756</v>
      </c>
      <c r="G58" s="98" t="n">
        <v>40</v>
      </c>
      <c r="H58" s="75" t="n">
        <f aca="false">E58*G58</f>
        <v>40</v>
      </c>
      <c r="I58" s="28" t="s">
        <v>1757</v>
      </c>
      <c r="J58" s="25" t="n">
        <f aca="false">H58*SUMIF($I$44:$I$48,D58,$G$44:$G$48)/1000000</f>
        <v>1.97704047043433</v>
      </c>
      <c r="K58" s="9" t="s">
        <v>1758</v>
      </c>
      <c r="L58" s="6" t="s">
        <v>1751</v>
      </c>
    </row>
    <row r="59" customFormat="false" ht="15" hidden="false" customHeight="false" outlineLevel="0" collapsed="false">
      <c r="A59" s="6" t="s">
        <v>1759</v>
      </c>
      <c r="B59" s="6" t="s">
        <v>1743</v>
      </c>
      <c r="C59" s="33" t="n">
        <v>0</v>
      </c>
      <c r="D59" s="6" t="s">
        <v>1692</v>
      </c>
      <c r="E59" s="74" t="n">
        <v>1</v>
      </c>
      <c r="F59" s="9" t="s">
        <v>1760</v>
      </c>
      <c r="G59" s="98" t="n">
        <v>40</v>
      </c>
      <c r="H59" s="75" t="n">
        <f aca="false">E59*G59</f>
        <v>40</v>
      </c>
      <c r="I59" s="28" t="s">
        <v>1757</v>
      </c>
      <c r="J59" s="25" t="n">
        <f aca="false">H59*SUMIF($I$44:$I$48,D59,$G$44:$G$48)/1000000</f>
        <v>1.97704047043433</v>
      </c>
      <c r="K59" s="9" t="s">
        <v>1761</v>
      </c>
      <c r="L59" s="6" t="s">
        <v>1751</v>
      </c>
    </row>
    <row r="60" customFormat="false" ht="15" hidden="false" customHeight="false" outlineLevel="0" collapsed="false">
      <c r="A60" s="6" t="s">
        <v>1762</v>
      </c>
      <c r="B60" s="6" t="s">
        <v>1743</v>
      </c>
      <c r="C60" s="33" t="n">
        <v>0</v>
      </c>
      <c r="D60" s="6" t="s">
        <v>1714</v>
      </c>
      <c r="E60" s="74" t="n">
        <v>1</v>
      </c>
      <c r="F60" s="9" t="s">
        <v>1763</v>
      </c>
      <c r="G60" s="98" t="n">
        <v>80</v>
      </c>
      <c r="H60" s="75" t="n">
        <f aca="false">E60*G60</f>
        <v>80</v>
      </c>
      <c r="I60" s="28" t="s">
        <v>1764</v>
      </c>
      <c r="J60" s="25" t="n">
        <f aca="false">H60*SUMIF($I$44:$I$48,D60,$G$44:$G$48)/1000000</f>
        <v>3.74951907901622</v>
      </c>
      <c r="K60" s="9" t="s">
        <v>1765</v>
      </c>
      <c r="L60" s="6" t="s">
        <v>1751</v>
      </c>
    </row>
    <row r="61" customFormat="false" ht="15" hidden="false" customHeight="false" outlineLevel="0" collapsed="false">
      <c r="A61" s="6" t="s">
        <v>1766</v>
      </c>
      <c r="B61" s="6" t="s">
        <v>1743</v>
      </c>
      <c r="C61" s="33" t="n">
        <v>1</v>
      </c>
      <c r="D61" s="6" t="s">
        <v>1692</v>
      </c>
      <c r="E61" s="74" t="n">
        <v>1</v>
      </c>
      <c r="F61" s="9" t="s">
        <v>1767</v>
      </c>
      <c r="G61" s="98" t="n">
        <v>60</v>
      </c>
      <c r="H61" s="75" t="n">
        <f aca="false">E61*G61</f>
        <v>60</v>
      </c>
      <c r="I61" s="28" t="s">
        <v>1768</v>
      </c>
      <c r="J61" s="25" t="n">
        <f aca="false">H61*SUMIF($I$44:$I$48,D61,$G$44:$G$48)/1000000</f>
        <v>2.96556070565149</v>
      </c>
      <c r="K61" s="9" t="s">
        <v>1769</v>
      </c>
      <c r="L61" s="6" t="s">
        <v>1770</v>
      </c>
    </row>
    <row r="62" customFormat="false" ht="15" hidden="false" customHeight="false" outlineLevel="0" collapsed="false">
      <c r="A62" s="6" t="s">
        <v>1771</v>
      </c>
      <c r="B62" s="6" t="s">
        <v>1743</v>
      </c>
      <c r="C62" s="33" t="n">
        <v>1</v>
      </c>
      <c r="D62" s="6" t="s">
        <v>1692</v>
      </c>
      <c r="E62" s="74" t="n">
        <v>3</v>
      </c>
      <c r="F62" s="9" t="s">
        <v>1772</v>
      </c>
      <c r="G62" s="98" t="n">
        <v>20</v>
      </c>
      <c r="H62" s="75" t="n">
        <f aca="false">E62*G62</f>
        <v>60</v>
      </c>
      <c r="I62" s="28" t="s">
        <v>1768</v>
      </c>
      <c r="J62" s="25" t="n">
        <f aca="false">H62*SUMIF($I$44:$I$48,D62,$G$44:$G$48)/1000000</f>
        <v>2.96556070565149</v>
      </c>
      <c r="K62" s="9" t="s">
        <v>1773</v>
      </c>
      <c r="L62" s="6" t="s">
        <v>1770</v>
      </c>
    </row>
    <row r="63" customFormat="false" ht="15" hidden="false" customHeight="false" outlineLevel="0" collapsed="false">
      <c r="A63" s="6" t="s">
        <v>1774</v>
      </c>
      <c r="B63" s="6" t="s">
        <v>1743</v>
      </c>
      <c r="C63" s="33" t="n">
        <v>1</v>
      </c>
      <c r="D63" s="6" t="s">
        <v>1697</v>
      </c>
      <c r="E63" s="74" t="n">
        <v>1</v>
      </c>
      <c r="F63" s="9" t="s">
        <v>1775</v>
      </c>
      <c r="G63" s="98" t="n">
        <v>40</v>
      </c>
      <c r="H63" s="75" t="n">
        <f aca="false">E63*G63</f>
        <v>40</v>
      </c>
      <c r="I63" s="28" t="s">
        <v>1178</v>
      </c>
      <c r="J63" s="25" t="n">
        <f aca="false">H63*SUMIF($I$44:$I$48,D63,$G$44:$G$48)/1000000</f>
        <v>2.13882628466771</v>
      </c>
      <c r="K63" s="9" t="s">
        <v>1776</v>
      </c>
      <c r="L63" s="6" t="s">
        <v>1751</v>
      </c>
    </row>
    <row r="64" customFormat="false" ht="15" hidden="false" customHeight="false" outlineLevel="0" collapsed="false">
      <c r="A64" s="6" t="s">
        <v>1777</v>
      </c>
      <c r="B64" s="6" t="s">
        <v>1743</v>
      </c>
      <c r="C64" s="33" t="n">
        <v>1</v>
      </c>
      <c r="D64" s="6" t="s">
        <v>1697</v>
      </c>
      <c r="E64" s="74" t="n">
        <v>22</v>
      </c>
      <c r="F64" s="9" t="s">
        <v>1778</v>
      </c>
      <c r="G64" s="98" t="n">
        <v>2</v>
      </c>
      <c r="H64" s="75" t="n">
        <f aca="false">E64*G64</f>
        <v>44</v>
      </c>
      <c r="I64" s="28" t="s">
        <v>1090</v>
      </c>
      <c r="J64" s="25" t="n">
        <f aca="false">H64*SUMIF($I$44:$I$48,D64,$G$44:$G$48)/1000000</f>
        <v>2.35270891313448</v>
      </c>
      <c r="K64" s="9" t="s">
        <v>1779</v>
      </c>
      <c r="L64" s="6" t="s">
        <v>1770</v>
      </c>
    </row>
    <row r="65" customFormat="false" ht="15" hidden="false" customHeight="false" outlineLevel="0" collapsed="false">
      <c r="A65" s="6" t="s">
        <v>1780</v>
      </c>
      <c r="B65" s="6" t="s">
        <v>1743</v>
      </c>
      <c r="C65" s="33" t="n">
        <v>1</v>
      </c>
      <c r="D65" s="6" t="s">
        <v>1697</v>
      </c>
      <c r="E65" s="74" t="n">
        <v>20</v>
      </c>
      <c r="F65" s="9" t="s">
        <v>1781</v>
      </c>
      <c r="G65" s="98" t="n">
        <v>4</v>
      </c>
      <c r="H65" s="75" t="n">
        <f aca="false">E65*G65</f>
        <v>80</v>
      </c>
      <c r="I65" s="28" t="s">
        <v>1090</v>
      </c>
      <c r="J65" s="25" t="n">
        <f aca="false">H65*SUMIF($I$44:$I$48,D65,$G$44:$G$48)/1000000</f>
        <v>4.27765256933543</v>
      </c>
      <c r="K65" s="9" t="s">
        <v>1782</v>
      </c>
      <c r="L65" s="6" t="s">
        <v>1783</v>
      </c>
    </row>
    <row r="66" customFormat="false" ht="15" hidden="false" customHeight="false" outlineLevel="0" collapsed="false">
      <c r="A66" s="6" t="s">
        <v>1784</v>
      </c>
      <c r="B66" s="6" t="s">
        <v>1743</v>
      </c>
      <c r="C66" s="33" t="n">
        <v>1</v>
      </c>
      <c r="D66" s="6" t="s">
        <v>1697</v>
      </c>
      <c r="E66" s="74" t="n">
        <v>1</v>
      </c>
      <c r="F66" s="9" t="s">
        <v>51</v>
      </c>
      <c r="G66" s="98" t="n">
        <v>30</v>
      </c>
      <c r="H66" s="75" t="n">
        <f aca="false">E66*G66</f>
        <v>30</v>
      </c>
      <c r="I66" s="28" t="s">
        <v>1090</v>
      </c>
      <c r="J66" s="25" t="n">
        <f aca="false">H66*SUMIF($I$44:$I$48,D66,$G$44:$G$48)/1000000</f>
        <v>1.60411971350079</v>
      </c>
      <c r="K66" s="9" t="s">
        <v>1785</v>
      </c>
      <c r="L66" s="6" t="s">
        <v>1770</v>
      </c>
    </row>
    <row r="67" customFormat="false" ht="15" hidden="false" customHeight="false" outlineLevel="0" collapsed="false">
      <c r="A67" s="6" t="s">
        <v>1786</v>
      </c>
      <c r="B67" s="6" t="s">
        <v>1743</v>
      </c>
      <c r="C67" s="33" t="n">
        <v>1</v>
      </c>
      <c r="D67" s="6" t="s">
        <v>1697</v>
      </c>
      <c r="E67" s="74" t="n">
        <v>1</v>
      </c>
      <c r="F67" s="9" t="s">
        <v>1767</v>
      </c>
      <c r="G67" s="98" t="n">
        <v>60</v>
      </c>
      <c r="H67" s="75" t="n">
        <f aca="false">E67*G67</f>
        <v>60</v>
      </c>
      <c r="I67" s="28" t="s">
        <v>1124</v>
      </c>
      <c r="J67" s="25" t="n">
        <f aca="false">H67*SUMIF($I$44:$I$48,D67,$G$44:$G$48)/1000000</f>
        <v>3.20823942700157</v>
      </c>
      <c r="K67" s="9" t="s">
        <v>1787</v>
      </c>
      <c r="L67" s="6" t="s">
        <v>1770</v>
      </c>
    </row>
    <row r="68" customFormat="false" ht="15" hidden="false" customHeight="false" outlineLevel="0" collapsed="false">
      <c r="A68" s="6" t="s">
        <v>1788</v>
      </c>
      <c r="B68" s="6" t="s">
        <v>1743</v>
      </c>
      <c r="C68" s="33" t="n">
        <v>1</v>
      </c>
      <c r="D68" s="6" t="s">
        <v>1697</v>
      </c>
      <c r="E68" s="74" t="n">
        <v>26</v>
      </c>
      <c r="F68" s="9" t="s">
        <v>1789</v>
      </c>
      <c r="G68" s="98" t="n">
        <v>2.6</v>
      </c>
      <c r="H68" s="75" t="n">
        <f aca="false">E68*G68</f>
        <v>67.6</v>
      </c>
      <c r="I68" s="28" t="s">
        <v>1124</v>
      </c>
      <c r="J68" s="25" t="n">
        <f aca="false">H68*SUMIF($I$44:$I$48,D68,$G$44:$G$48)/1000000</f>
        <v>3.61461642108844</v>
      </c>
      <c r="K68" s="9" t="s">
        <v>1790</v>
      </c>
      <c r="L68" s="6" t="s">
        <v>1783</v>
      </c>
    </row>
    <row r="69" customFormat="false" ht="15" hidden="false" customHeight="false" outlineLevel="0" collapsed="false">
      <c r="A69" s="6" t="s">
        <v>1791</v>
      </c>
      <c r="B69" s="6" t="s">
        <v>1743</v>
      </c>
      <c r="C69" s="33" t="n">
        <v>1</v>
      </c>
      <c r="D69" s="6" t="s">
        <v>1697</v>
      </c>
      <c r="E69" s="74" t="n">
        <v>47</v>
      </c>
      <c r="F69" s="9" t="s">
        <v>1789</v>
      </c>
      <c r="G69" s="98" t="n">
        <v>1.95</v>
      </c>
      <c r="H69" s="75" t="n">
        <f aca="false">E69*G69</f>
        <v>91.65</v>
      </c>
      <c r="I69" s="28" t="s">
        <v>1124</v>
      </c>
      <c r="J69" s="25" t="n">
        <f aca="false">H69*SUMIF($I$44:$I$48,D69,$G$44:$G$48)/1000000</f>
        <v>4.9005857247449</v>
      </c>
      <c r="K69" s="9" t="s">
        <v>1792</v>
      </c>
      <c r="L69" s="6" t="s">
        <v>1783</v>
      </c>
    </row>
    <row r="70" customFormat="false" ht="15" hidden="false" customHeight="false" outlineLevel="0" collapsed="false">
      <c r="A70" s="6" t="s">
        <v>1793</v>
      </c>
      <c r="B70" s="6" t="s">
        <v>1743</v>
      </c>
      <c r="C70" s="33" t="n">
        <v>1</v>
      </c>
      <c r="D70" s="6" t="s">
        <v>1697</v>
      </c>
      <c r="E70" s="74" t="n">
        <v>7</v>
      </c>
      <c r="F70" s="9" t="s">
        <v>1794</v>
      </c>
      <c r="G70" s="98" t="n">
        <v>16</v>
      </c>
      <c r="H70" s="75" t="n">
        <f aca="false">E70*G70</f>
        <v>112</v>
      </c>
      <c r="I70" s="28" t="s">
        <v>1124</v>
      </c>
      <c r="J70" s="25" t="n">
        <f aca="false">H70*SUMIF($I$44:$I$48,D70,$G$44:$G$48)/1000000</f>
        <v>5.9887135970696</v>
      </c>
      <c r="K70" s="9" t="s">
        <v>1795</v>
      </c>
      <c r="L70" s="6" t="s">
        <v>1783</v>
      </c>
    </row>
    <row r="71" customFormat="false" ht="15" hidden="false" customHeight="false" outlineLevel="0" collapsed="false">
      <c r="A71" s="6" t="s">
        <v>1796</v>
      </c>
      <c r="B71" s="6" t="s">
        <v>1743</v>
      </c>
      <c r="C71" s="33" t="n">
        <v>1</v>
      </c>
      <c r="D71" s="6" t="s">
        <v>1697</v>
      </c>
      <c r="E71" s="74" t="n">
        <v>3</v>
      </c>
      <c r="F71" s="9" t="s">
        <v>1797</v>
      </c>
      <c r="G71" s="98" t="n">
        <v>12</v>
      </c>
      <c r="H71" s="75" t="n">
        <f aca="false">E71*G71</f>
        <v>36</v>
      </c>
      <c r="I71" s="28" t="s">
        <v>1124</v>
      </c>
      <c r="J71" s="25" t="n">
        <f aca="false">H71*SUMIF($I$44:$I$48,D71,$G$44:$G$48)/1000000</f>
        <v>1.92494365620094</v>
      </c>
      <c r="K71" s="9" t="s">
        <v>1798</v>
      </c>
      <c r="L71" s="6" t="s">
        <v>1783</v>
      </c>
    </row>
    <row r="72" customFormat="false" ht="15" hidden="false" customHeight="false" outlineLevel="0" collapsed="false">
      <c r="A72" s="6" t="s">
        <v>1799</v>
      </c>
      <c r="B72" s="6" t="s">
        <v>1743</v>
      </c>
      <c r="C72" s="33" t="n">
        <v>1</v>
      </c>
      <c r="D72" s="6" t="s">
        <v>1697</v>
      </c>
      <c r="E72" s="74" t="n">
        <v>4</v>
      </c>
      <c r="F72" s="9" t="s">
        <v>1800</v>
      </c>
      <c r="G72" s="98" t="n">
        <v>4</v>
      </c>
      <c r="H72" s="75" t="n">
        <f aca="false">E72*G72</f>
        <v>16</v>
      </c>
      <c r="I72" s="28" t="s">
        <v>1124</v>
      </c>
      <c r="J72" s="25" t="n">
        <f aca="false">H72*SUMIF($I$44:$I$48,D72,$G$44:$G$48)/1000000</f>
        <v>0.855530513867085</v>
      </c>
      <c r="K72" s="9" t="s">
        <v>1801</v>
      </c>
      <c r="L72" s="6" t="s">
        <v>1783</v>
      </c>
    </row>
    <row r="73" customFormat="false" ht="15" hidden="false" customHeight="false" outlineLevel="0" collapsed="false">
      <c r="A73" s="6" t="s">
        <v>1802</v>
      </c>
      <c r="B73" s="6" t="s">
        <v>1743</v>
      </c>
      <c r="C73" s="33" t="n">
        <v>1</v>
      </c>
      <c r="D73" s="6" t="s">
        <v>1697</v>
      </c>
      <c r="E73" s="74" t="n">
        <v>16</v>
      </c>
      <c r="F73" s="9" t="s">
        <v>1803</v>
      </c>
      <c r="G73" s="98" t="n">
        <v>6</v>
      </c>
      <c r="H73" s="75" t="n">
        <f aca="false">E73*G73</f>
        <v>96</v>
      </c>
      <c r="I73" s="28" t="s">
        <v>1169</v>
      </c>
      <c r="J73" s="25" t="n">
        <f aca="false">H73*SUMIF($I$44:$I$48,D73,$G$44:$G$48)/1000000</f>
        <v>5.13318308320251</v>
      </c>
      <c r="K73" s="9" t="s">
        <v>1804</v>
      </c>
      <c r="L73" s="6" t="s">
        <v>1783</v>
      </c>
    </row>
    <row r="74" customFormat="false" ht="15" hidden="false" customHeight="false" outlineLevel="0" collapsed="false">
      <c r="A74" s="6" t="s">
        <v>1805</v>
      </c>
      <c r="B74" s="6" t="s">
        <v>1743</v>
      </c>
      <c r="C74" s="33" t="n">
        <v>1</v>
      </c>
      <c r="D74" s="6" t="s">
        <v>1697</v>
      </c>
      <c r="E74" s="74" t="n">
        <v>1</v>
      </c>
      <c r="F74" s="9" t="s">
        <v>1806</v>
      </c>
      <c r="G74" s="98" t="n">
        <v>40</v>
      </c>
      <c r="H74" s="75" t="n">
        <f aca="false">E74*G74</f>
        <v>40</v>
      </c>
      <c r="I74" s="28" t="s">
        <v>1169</v>
      </c>
      <c r="J74" s="25" t="n">
        <f aca="false">H74*SUMIF($I$44:$I$48,D74,$G$44:$G$48)/1000000</f>
        <v>2.13882628466771</v>
      </c>
      <c r="K74" s="9" t="s">
        <v>1807</v>
      </c>
      <c r="L74" s="6" t="s">
        <v>1783</v>
      </c>
    </row>
    <row r="75" customFormat="false" ht="15" hidden="false" customHeight="false" outlineLevel="0" collapsed="false">
      <c r="A75" s="6" t="s">
        <v>1808</v>
      </c>
      <c r="B75" s="6" t="s">
        <v>1743</v>
      </c>
      <c r="C75" s="33" t="n">
        <v>1</v>
      </c>
      <c r="D75" s="6" t="s">
        <v>1697</v>
      </c>
      <c r="E75" s="74" t="n">
        <v>1</v>
      </c>
      <c r="F75" s="9" t="s">
        <v>1806</v>
      </c>
      <c r="G75" s="98" t="n">
        <v>120</v>
      </c>
      <c r="H75" s="75" t="n">
        <f aca="false">E75*G75</f>
        <v>120</v>
      </c>
      <c r="I75" s="28" t="s">
        <v>1184</v>
      </c>
      <c r="J75" s="25" t="n">
        <f aca="false">H75*SUMIF($I$44:$I$48,D75,$G$44:$G$48)/1000000</f>
        <v>6.41647885400314</v>
      </c>
      <c r="K75" s="9" t="s">
        <v>1809</v>
      </c>
      <c r="L75" s="6" t="s">
        <v>1783</v>
      </c>
    </row>
    <row r="76" customFormat="false" ht="15" hidden="false" customHeight="false" outlineLevel="0" collapsed="false">
      <c r="A76" s="6" t="s">
        <v>1810</v>
      </c>
      <c r="B76" s="6" t="s">
        <v>1743</v>
      </c>
      <c r="C76" s="33" t="n">
        <v>1</v>
      </c>
      <c r="D76" s="6" t="s">
        <v>1697</v>
      </c>
      <c r="E76" s="74" t="n">
        <v>1</v>
      </c>
      <c r="F76" s="9" t="s">
        <v>1806</v>
      </c>
      <c r="G76" s="98" t="n">
        <v>40</v>
      </c>
      <c r="H76" s="75" t="n">
        <f aca="false">E76*G76</f>
        <v>40</v>
      </c>
      <c r="I76" s="28" t="s">
        <v>1184</v>
      </c>
      <c r="J76" s="25" t="n">
        <f aca="false">H76*SUMIF($I$44:$I$48,D76,$G$44:$G$48)/1000000</f>
        <v>2.13882628466771</v>
      </c>
      <c r="K76" s="9" t="s">
        <v>1811</v>
      </c>
      <c r="L76" s="6" t="s">
        <v>1783</v>
      </c>
    </row>
    <row r="77" customFormat="false" ht="15" hidden="false" customHeight="false" outlineLevel="0" collapsed="false">
      <c r="A77" s="6" t="s">
        <v>1812</v>
      </c>
      <c r="B77" s="6" t="s">
        <v>1743</v>
      </c>
      <c r="C77" s="33" t="n">
        <v>1</v>
      </c>
      <c r="D77" s="6" t="s">
        <v>1697</v>
      </c>
      <c r="E77" s="74" t="n">
        <v>1</v>
      </c>
      <c r="F77" s="9" t="s">
        <v>1813</v>
      </c>
      <c r="G77" s="98" t="n">
        <v>16</v>
      </c>
      <c r="H77" s="75" t="n">
        <f aca="false">E77*G77</f>
        <v>16</v>
      </c>
      <c r="I77" s="28" t="s">
        <v>1814</v>
      </c>
      <c r="J77" s="25" t="n">
        <f aca="false">H77*SUMIF($I$44:$I$48,D77,$G$44:$G$48)/1000000</f>
        <v>0.855530513867085</v>
      </c>
      <c r="K77" s="9" t="s">
        <v>1815</v>
      </c>
      <c r="L77" s="6" t="s">
        <v>1783</v>
      </c>
    </row>
    <row r="78" customFormat="false" ht="15" hidden="false" customHeight="false" outlineLevel="0" collapsed="false">
      <c r="A78" s="6" t="s">
        <v>1816</v>
      </c>
      <c r="B78" s="6" t="s">
        <v>1743</v>
      </c>
      <c r="C78" s="33" t="n">
        <v>1</v>
      </c>
      <c r="D78" s="6" t="s">
        <v>1714</v>
      </c>
      <c r="E78" s="74" t="n">
        <v>1</v>
      </c>
      <c r="F78" s="9" t="s">
        <v>1817</v>
      </c>
      <c r="G78" s="98" t="n">
        <v>16</v>
      </c>
      <c r="H78" s="75" t="n">
        <f aca="false">E78*G78</f>
        <v>16</v>
      </c>
      <c r="I78" s="28" t="s">
        <v>1818</v>
      </c>
      <c r="J78" s="25" t="n">
        <f aca="false">H78*SUMIF($I$44:$I$48,D78,$G$44:$G$48)/1000000</f>
        <v>0.749903815803245</v>
      </c>
      <c r="K78" s="9" t="s">
        <v>1819</v>
      </c>
      <c r="L78" s="6" t="s">
        <v>1770</v>
      </c>
    </row>
    <row r="79" customFormat="false" ht="15" hidden="false" customHeight="false" outlineLevel="0" collapsed="false">
      <c r="A79" s="6" t="s">
        <v>1820</v>
      </c>
      <c r="B79" s="6" t="s">
        <v>1743</v>
      </c>
      <c r="C79" s="33" t="n">
        <v>1</v>
      </c>
      <c r="D79" s="6" t="s">
        <v>1714</v>
      </c>
      <c r="E79" s="74" t="n">
        <v>1</v>
      </c>
      <c r="F79" s="9" t="s">
        <v>1775</v>
      </c>
      <c r="G79" s="98" t="n">
        <v>40</v>
      </c>
      <c r="H79" s="75" t="n">
        <f aca="false">E79*G79</f>
        <v>40</v>
      </c>
      <c r="I79" s="28" t="s">
        <v>1818</v>
      </c>
      <c r="J79" s="25" t="n">
        <f aca="false">H79*SUMIF($I$44:$I$48,D79,$G$44:$G$48)/1000000</f>
        <v>1.87475953950811</v>
      </c>
      <c r="K79" s="9" t="s">
        <v>1821</v>
      </c>
      <c r="L79" s="6" t="s">
        <v>1770</v>
      </c>
    </row>
    <row r="80" customFormat="false" ht="15" hidden="false" customHeight="false" outlineLevel="0" collapsed="false">
      <c r="A80" s="6" t="s">
        <v>1822</v>
      </c>
      <c r="B80" s="6" t="s">
        <v>1743</v>
      </c>
      <c r="C80" s="33" t="n">
        <v>1</v>
      </c>
      <c r="D80" s="6" t="s">
        <v>1697</v>
      </c>
      <c r="E80" s="74" t="n">
        <v>1</v>
      </c>
      <c r="F80" s="9" t="s">
        <v>1813</v>
      </c>
      <c r="G80" s="98" t="n">
        <v>60</v>
      </c>
      <c r="H80" s="75" t="n">
        <f aca="false">E80*G80</f>
        <v>60</v>
      </c>
      <c r="I80" s="28" t="s">
        <v>1814</v>
      </c>
      <c r="J80" s="25" t="n">
        <f aca="false">H80*SUMIF($I$44:$I$48,D80,$G$44:$G$48)/1000000</f>
        <v>3.20823942700157</v>
      </c>
      <c r="K80" s="9" t="s">
        <v>1823</v>
      </c>
      <c r="L80" s="6" t="s">
        <v>1783</v>
      </c>
    </row>
    <row r="81" customFormat="false" ht="15" hidden="false" customHeight="false" outlineLevel="0" collapsed="false">
      <c r="A81" s="6" t="s">
        <v>1824</v>
      </c>
      <c r="B81" s="6" t="s">
        <v>1743</v>
      </c>
      <c r="C81" s="33" t="n">
        <v>1</v>
      </c>
      <c r="D81" s="6" t="s">
        <v>1692</v>
      </c>
      <c r="E81" s="74" t="n">
        <v>1</v>
      </c>
      <c r="F81" s="9" t="s">
        <v>1806</v>
      </c>
      <c r="G81" s="98" t="n">
        <v>24</v>
      </c>
      <c r="H81" s="75" t="n">
        <f aca="false">E81*G81</f>
        <v>24</v>
      </c>
      <c r="I81" s="28" t="s">
        <v>1184</v>
      </c>
      <c r="J81" s="25" t="n">
        <f aca="false">H81*SUMIF($I$44:$I$48,D81,$G$44:$G$48)/1000000</f>
        <v>1.1862242822606</v>
      </c>
      <c r="K81" s="9" t="s">
        <v>1825</v>
      </c>
      <c r="L81" s="6" t="s">
        <v>1783</v>
      </c>
    </row>
    <row r="82" customFormat="false" ht="15" hidden="false" customHeight="false" outlineLevel="0" collapsed="false">
      <c r="A82" s="6" t="s">
        <v>1826</v>
      </c>
      <c r="B82" s="6" t="s">
        <v>1743</v>
      </c>
      <c r="C82" s="33" t="n">
        <v>1</v>
      </c>
      <c r="D82" s="6" t="s">
        <v>1714</v>
      </c>
      <c r="E82" s="74" t="n">
        <v>1</v>
      </c>
      <c r="F82" s="9" t="s">
        <v>1763</v>
      </c>
      <c r="G82" s="98" t="n">
        <v>24</v>
      </c>
      <c r="H82" s="75" t="n">
        <f aca="false">E82*G82</f>
        <v>24</v>
      </c>
      <c r="I82" s="28" t="s">
        <v>1764</v>
      </c>
      <c r="J82" s="25" t="n">
        <f aca="false">H82*SUMIF($I$44:$I$48,D82,$G$44:$G$48)/1000000</f>
        <v>1.12485572370487</v>
      </c>
      <c r="K82" s="9" t="s">
        <v>1827</v>
      </c>
      <c r="L82" s="6" t="s">
        <v>1770</v>
      </c>
    </row>
    <row r="83" customFormat="false" ht="15" hidden="false" customHeight="false" outlineLevel="0" collapsed="false">
      <c r="A83" s="6" t="s">
        <v>1828</v>
      </c>
      <c r="B83" s="6" t="s">
        <v>1743</v>
      </c>
      <c r="C83" s="33" t="n">
        <v>1</v>
      </c>
      <c r="D83" s="6" t="s">
        <v>1714</v>
      </c>
      <c r="E83" s="74" t="n">
        <v>1</v>
      </c>
      <c r="F83" s="9" t="s">
        <v>1763</v>
      </c>
      <c r="G83" s="98" t="n">
        <v>16</v>
      </c>
      <c r="H83" s="75" t="n">
        <f aca="false">E83*G83</f>
        <v>16</v>
      </c>
      <c r="I83" s="28" t="s">
        <v>1764</v>
      </c>
      <c r="J83" s="25" t="n">
        <f aca="false">H83*SUMIF($I$44:$I$48,D83,$G$44:$G$48)/1000000</f>
        <v>0.749903815803245</v>
      </c>
      <c r="K83" s="9" t="s">
        <v>1829</v>
      </c>
      <c r="L83" s="6" t="s">
        <v>1770</v>
      </c>
    </row>
    <row r="84" customFormat="false" ht="15" hidden="false" customHeight="false" outlineLevel="0" collapsed="false">
      <c r="A84" s="6" t="s">
        <v>1830</v>
      </c>
      <c r="B84" s="6" t="s">
        <v>1743</v>
      </c>
      <c r="C84" s="33" t="n">
        <v>1</v>
      </c>
      <c r="D84" s="6" t="s">
        <v>1697</v>
      </c>
      <c r="E84" s="74" t="n">
        <v>1</v>
      </c>
      <c r="F84" s="9" t="s">
        <v>1813</v>
      </c>
      <c r="G84" s="98" t="n">
        <v>8</v>
      </c>
      <c r="H84" s="75" t="n">
        <f aca="false">E84*G84</f>
        <v>8</v>
      </c>
      <c r="I84" s="28" t="s">
        <v>1814</v>
      </c>
      <c r="J84" s="25" t="n">
        <f aca="false">H84*SUMIF($I$44:$I$48,D84,$G$44:$G$48)/1000000</f>
        <v>0.427765256933543</v>
      </c>
      <c r="K84" s="9" t="s">
        <v>1831</v>
      </c>
      <c r="L84" s="6" t="s">
        <v>1783</v>
      </c>
    </row>
    <row r="85" customFormat="false" ht="15" hidden="false" customHeight="false" outlineLevel="0" collapsed="false">
      <c r="A85" s="6" t="s">
        <v>1832</v>
      </c>
      <c r="B85" s="6" t="s">
        <v>1743</v>
      </c>
      <c r="C85" s="33" t="n">
        <v>1</v>
      </c>
      <c r="D85" s="6" t="s">
        <v>1697</v>
      </c>
      <c r="E85" s="74" t="n">
        <v>4</v>
      </c>
      <c r="F85" s="9" t="s">
        <v>1833</v>
      </c>
      <c r="G85" s="98" t="n">
        <v>3</v>
      </c>
      <c r="H85" s="75" t="n">
        <f aca="false">E85*G85</f>
        <v>12</v>
      </c>
      <c r="I85" s="28" t="s">
        <v>1814</v>
      </c>
      <c r="J85" s="25" t="n">
        <f aca="false">H85*SUMIF($I$44:$I$48,D85,$G$44:$G$48)/1000000</f>
        <v>0.641647885400314</v>
      </c>
      <c r="K85" s="9" t="s">
        <v>1834</v>
      </c>
      <c r="L85" s="6" t="s">
        <v>1783</v>
      </c>
    </row>
    <row r="86" customFormat="false" ht="15" hidden="false" customHeight="false" outlineLevel="0" collapsed="false">
      <c r="A86" s="6" t="s">
        <v>1835</v>
      </c>
      <c r="B86" s="6" t="s">
        <v>1743</v>
      </c>
      <c r="C86" s="33" t="n">
        <v>1</v>
      </c>
      <c r="D86" s="6" t="s">
        <v>1697</v>
      </c>
      <c r="E86" s="75" t="n">
        <f aca="false">H68+H69+H70+H71+H72+H73+H74+H75+H76+H77+H80+H84+H85</f>
        <v>715.25</v>
      </c>
      <c r="F86" s="9" t="s">
        <v>1836</v>
      </c>
      <c r="G86" s="69" t="n">
        <v>0.15</v>
      </c>
      <c r="H86" s="75" t="n">
        <f aca="false">E86*G86</f>
        <v>107.2875</v>
      </c>
      <c r="I86" s="28" t="s">
        <v>1124</v>
      </c>
      <c r="J86" s="25" t="n">
        <f aca="false">H86*SUMIF($I$44:$I$48,D86,$G$44:$G$48)/1000000</f>
        <v>5.73673312540718</v>
      </c>
      <c r="K86" s="9" t="s">
        <v>1837</v>
      </c>
      <c r="L86" s="6" t="s">
        <v>1783</v>
      </c>
    </row>
    <row r="87" customFormat="false" ht="15" hidden="false" customHeight="false" outlineLevel="0" collapsed="false">
      <c r="A87" s="6" t="s">
        <v>1838</v>
      </c>
      <c r="B87" s="6" t="s">
        <v>1743</v>
      </c>
      <c r="C87" s="33" t="n">
        <v>1</v>
      </c>
      <c r="D87" s="6" t="s">
        <v>1706</v>
      </c>
      <c r="E87" s="74" t="n">
        <v>1</v>
      </c>
      <c r="F87" s="9" t="s">
        <v>1763</v>
      </c>
      <c r="G87" s="98" t="n">
        <v>120</v>
      </c>
      <c r="H87" s="75" t="n">
        <f aca="false">E87*G87</f>
        <v>120</v>
      </c>
      <c r="I87" s="28" t="s">
        <v>1839</v>
      </c>
      <c r="J87" s="25" t="n">
        <f aca="false">H87*SUMIF($I$44:$I$48,D87,$G$44:$G$48)/1000000</f>
        <v>8.75160310832025</v>
      </c>
      <c r="K87" s="9" t="s">
        <v>1840</v>
      </c>
      <c r="L87" s="6" t="s">
        <v>1751</v>
      </c>
    </row>
    <row r="88" customFormat="false" ht="15" hidden="false" customHeight="false" outlineLevel="0" collapsed="false">
      <c r="A88" s="6" t="s">
        <v>1841</v>
      </c>
      <c r="B88" s="6" t="s">
        <v>1743</v>
      </c>
      <c r="C88" s="33" t="n">
        <v>1</v>
      </c>
      <c r="D88" s="6" t="s">
        <v>1706</v>
      </c>
      <c r="E88" s="74" t="n">
        <v>1</v>
      </c>
      <c r="F88" s="9" t="s">
        <v>1842</v>
      </c>
      <c r="G88" s="98" t="n">
        <v>120</v>
      </c>
      <c r="H88" s="75" t="n">
        <f aca="false">E88*G88</f>
        <v>120</v>
      </c>
      <c r="I88" s="28" t="s">
        <v>1843</v>
      </c>
      <c r="J88" s="25" t="n">
        <f aca="false">H88*SUMIF($I$44:$I$48,D88,$G$44:$G$48)/1000000</f>
        <v>8.75160310832025</v>
      </c>
      <c r="K88" s="9" t="s">
        <v>1844</v>
      </c>
      <c r="L88" s="6" t="s">
        <v>1783</v>
      </c>
    </row>
    <row r="89" customFormat="false" ht="15" hidden="false" customHeight="false" outlineLevel="0" collapsed="false">
      <c r="A89" s="6" t="s">
        <v>1845</v>
      </c>
      <c r="B89" s="6" t="s">
        <v>1743</v>
      </c>
      <c r="C89" s="33" t="n">
        <v>1</v>
      </c>
      <c r="D89" s="6" t="s">
        <v>1714</v>
      </c>
      <c r="E89" s="74" t="n">
        <v>1</v>
      </c>
      <c r="F89" s="9" t="s">
        <v>51</v>
      </c>
      <c r="G89" s="98" t="n">
        <v>40</v>
      </c>
      <c r="H89" s="75" t="n">
        <f aca="false">E89*G89</f>
        <v>40</v>
      </c>
      <c r="I89" s="28" t="s">
        <v>1764</v>
      </c>
      <c r="J89" s="25" t="n">
        <f aca="false">H89*SUMIF($I$44:$I$48,D89,$G$44:$G$48)/1000000</f>
        <v>1.87475953950811</v>
      </c>
      <c r="K89" s="9" t="s">
        <v>1846</v>
      </c>
      <c r="L89" s="6" t="s">
        <v>1770</v>
      </c>
    </row>
    <row r="90" customFormat="false" ht="15" hidden="false" customHeight="false" outlineLevel="0" collapsed="false">
      <c r="A90" s="6" t="s">
        <v>1847</v>
      </c>
      <c r="B90" s="6" t="s">
        <v>1743</v>
      </c>
      <c r="C90" s="33" t="n">
        <v>1</v>
      </c>
      <c r="D90" s="6" t="s">
        <v>1714</v>
      </c>
      <c r="E90" s="74" t="n">
        <v>1</v>
      </c>
      <c r="F90" s="9" t="s">
        <v>1848</v>
      </c>
      <c r="G90" s="98" t="n">
        <v>80</v>
      </c>
      <c r="H90" s="75" t="n">
        <f aca="false">E90*G90</f>
        <v>80</v>
      </c>
      <c r="I90" s="28" t="s">
        <v>1849</v>
      </c>
      <c r="J90" s="25" t="n">
        <f aca="false">H90*SUMIF($I$44:$I$48,D90,$G$44:$G$48)/1000000</f>
        <v>3.74951907901622</v>
      </c>
      <c r="K90" s="9" t="s">
        <v>1850</v>
      </c>
      <c r="L90" s="6" t="s">
        <v>1747</v>
      </c>
    </row>
    <row r="91" customFormat="false" ht="15" hidden="false" customHeight="false" outlineLevel="0" collapsed="false">
      <c r="A91" s="6" t="s">
        <v>1851</v>
      </c>
      <c r="B91" s="6" t="s">
        <v>1743</v>
      </c>
      <c r="C91" s="33" t="n">
        <v>2</v>
      </c>
      <c r="D91" s="6" t="s">
        <v>1697</v>
      </c>
      <c r="E91" s="74" t="n">
        <v>1</v>
      </c>
      <c r="F91" s="9" t="s">
        <v>1806</v>
      </c>
      <c r="G91" s="98" t="n">
        <v>60</v>
      </c>
      <c r="H91" s="75" t="n">
        <f aca="false">E91*G91</f>
        <v>60</v>
      </c>
      <c r="I91" s="28" t="s">
        <v>1090</v>
      </c>
      <c r="J91" s="25" t="n">
        <f aca="false">H91*SUMIF($I$44:$I$48,D91,$G$44:$G$48)/1000000</f>
        <v>3.20823942700157</v>
      </c>
      <c r="K91" s="9" t="s">
        <v>1852</v>
      </c>
      <c r="L91" s="6" t="s">
        <v>1770</v>
      </c>
    </row>
    <row r="92" customFormat="false" ht="15" hidden="false" customHeight="false" outlineLevel="0" collapsed="false">
      <c r="A92" s="6" t="s">
        <v>1853</v>
      </c>
      <c r="B92" s="6" t="s">
        <v>1743</v>
      </c>
      <c r="C92" s="33" t="n">
        <v>2</v>
      </c>
      <c r="D92" s="6" t="s">
        <v>1692</v>
      </c>
      <c r="E92" s="74" t="n">
        <v>1</v>
      </c>
      <c r="F92" s="9" t="s">
        <v>1806</v>
      </c>
      <c r="G92" s="98" t="n">
        <v>24</v>
      </c>
      <c r="H92" s="75" t="n">
        <f aca="false">E92*G92</f>
        <v>24</v>
      </c>
      <c r="I92" s="28" t="s">
        <v>1768</v>
      </c>
      <c r="J92" s="25" t="n">
        <f aca="false">H92*SUMIF($I$44:$I$48,D92,$G$44:$G$48)/1000000</f>
        <v>1.1862242822606</v>
      </c>
      <c r="K92" s="9" t="s">
        <v>1854</v>
      </c>
      <c r="L92" s="6" t="s">
        <v>1770</v>
      </c>
    </row>
    <row r="93" customFormat="false" ht="15" hidden="false" customHeight="false" outlineLevel="0" collapsed="false">
      <c r="A93" s="6" t="s">
        <v>1855</v>
      </c>
      <c r="B93" s="6" t="s">
        <v>1743</v>
      </c>
      <c r="C93" s="33" t="n">
        <v>2</v>
      </c>
      <c r="D93" s="6" t="s">
        <v>1706</v>
      </c>
      <c r="E93" s="74" t="n">
        <v>1</v>
      </c>
      <c r="F93" s="9" t="s">
        <v>1856</v>
      </c>
      <c r="G93" s="98" t="n">
        <v>24</v>
      </c>
      <c r="H93" s="75" t="n">
        <f aca="false">E93*G93</f>
        <v>24</v>
      </c>
      <c r="I93" s="28" t="s">
        <v>1839</v>
      </c>
      <c r="J93" s="25" t="n">
        <f aca="false">H93*SUMIF($I$44:$I$48,D93,$G$44:$G$48)/1000000</f>
        <v>1.75032062166405</v>
      </c>
      <c r="K93" s="9" t="s">
        <v>1857</v>
      </c>
      <c r="L93" s="6" t="s">
        <v>1770</v>
      </c>
    </row>
    <row r="94" customFormat="false" ht="15" hidden="false" customHeight="false" outlineLevel="0" collapsed="false">
      <c r="A94" s="6" t="s">
        <v>1858</v>
      </c>
      <c r="B94" s="6" t="s">
        <v>1743</v>
      </c>
      <c r="C94" s="33" t="n">
        <v>3</v>
      </c>
      <c r="D94" s="6" t="s">
        <v>1706</v>
      </c>
      <c r="E94" s="74" t="n">
        <v>1</v>
      </c>
      <c r="F94" s="9" t="s">
        <v>1859</v>
      </c>
      <c r="G94" s="98" t="n">
        <v>120</v>
      </c>
      <c r="H94" s="75" t="n">
        <f aca="false">E94*G94</f>
        <v>120</v>
      </c>
      <c r="I94" s="28" t="s">
        <v>1222</v>
      </c>
      <c r="J94" s="25" t="n">
        <f aca="false">H94*SUMIF($I$44:$I$48,D94,$G$44:$G$48)/1000000</f>
        <v>8.75160310832025</v>
      </c>
      <c r="K94" s="9" t="s">
        <v>1860</v>
      </c>
      <c r="L94" s="6" t="s">
        <v>1770</v>
      </c>
    </row>
    <row r="95" customFormat="false" ht="15" hidden="false" customHeight="false" outlineLevel="0" collapsed="false">
      <c r="A95" s="6" t="s">
        <v>1861</v>
      </c>
      <c r="B95" s="6" t="s">
        <v>1743</v>
      </c>
      <c r="C95" s="33" t="n">
        <v>3</v>
      </c>
      <c r="D95" s="6" t="s">
        <v>1697</v>
      </c>
      <c r="E95" s="74" t="n">
        <v>1</v>
      </c>
      <c r="F95" s="9" t="s">
        <v>1806</v>
      </c>
      <c r="G95" s="98" t="n">
        <v>16</v>
      </c>
      <c r="H95" s="75" t="n">
        <f aca="false">E95*G95</f>
        <v>16</v>
      </c>
      <c r="I95" s="28" t="s">
        <v>1222</v>
      </c>
      <c r="J95" s="25" t="n">
        <f aca="false">H95*SUMIF($I$44:$I$48,D95,$G$44:$G$48)/1000000</f>
        <v>0.855530513867085</v>
      </c>
      <c r="K95" s="9" t="s">
        <v>1862</v>
      </c>
      <c r="L95" s="6" t="s">
        <v>1770</v>
      </c>
    </row>
    <row r="96" customFormat="false" ht="15" hidden="false" customHeight="false" outlineLevel="0" collapsed="false">
      <c r="A96" s="6" t="s">
        <v>1863</v>
      </c>
      <c r="B96" s="6" t="s">
        <v>1743</v>
      </c>
      <c r="C96" s="33" t="n">
        <v>1</v>
      </c>
      <c r="D96" s="6" t="s">
        <v>1697</v>
      </c>
      <c r="E96" s="74" t="n">
        <v>1</v>
      </c>
      <c r="F96" s="9" t="s">
        <v>1806</v>
      </c>
      <c r="G96" s="98" t="n">
        <v>40</v>
      </c>
      <c r="H96" s="75" t="n">
        <f aca="false">E96*G96</f>
        <v>40</v>
      </c>
      <c r="I96" s="28" t="s">
        <v>1864</v>
      </c>
      <c r="J96" s="25" t="n">
        <f aca="false">H96*SUMIF($I$44:$I$48,D96,$G$44:$G$48)/1000000</f>
        <v>2.13882628466771</v>
      </c>
      <c r="K96" s="9" t="s">
        <v>1865</v>
      </c>
      <c r="L96" s="6" t="s">
        <v>1783</v>
      </c>
    </row>
    <row r="97" customFormat="false" ht="15" hidden="false" customHeight="false" outlineLevel="0" collapsed="false">
      <c r="A97" s="6" t="s">
        <v>1866</v>
      </c>
      <c r="B97" s="6" t="s">
        <v>1743</v>
      </c>
      <c r="C97" s="33" t="n">
        <v>1</v>
      </c>
      <c r="D97" s="6" t="s">
        <v>1683</v>
      </c>
      <c r="E97" s="74" t="n">
        <v>1</v>
      </c>
      <c r="F97" s="9" t="s">
        <v>1867</v>
      </c>
      <c r="G97" s="98" t="n">
        <v>24</v>
      </c>
      <c r="H97" s="75" t="n">
        <f aca="false">E97*G97</f>
        <v>24</v>
      </c>
      <c r="I97" s="28" t="s">
        <v>1864</v>
      </c>
      <c r="J97" s="25" t="n">
        <f aca="false">H97*SUMIF($I$44:$I$48,D97,$G$44:$G$48)/1000000</f>
        <v>1.74350981701727</v>
      </c>
      <c r="K97" s="9" t="s">
        <v>1868</v>
      </c>
      <c r="L97" s="6" t="s">
        <v>1747</v>
      </c>
    </row>
    <row r="98" customFormat="false" ht="15" hidden="false" customHeight="false" outlineLevel="0" collapsed="false">
      <c r="A98" s="6" t="s">
        <v>1869</v>
      </c>
      <c r="B98" s="6" t="s">
        <v>1743</v>
      </c>
      <c r="C98" s="33" t="n">
        <v>1</v>
      </c>
      <c r="D98" s="6" t="s">
        <v>1683</v>
      </c>
      <c r="E98" s="75" t="n">
        <f aca="false">SUMIFS($H$55:$H$125,$B$55:$B$125,"Contrato principal",$D$55:$D$125,"&lt;&gt;Dirección")</f>
        <v>2360.5375</v>
      </c>
      <c r="F98" s="9" t="s">
        <v>1870</v>
      </c>
      <c r="G98" s="69" t="n">
        <v>0.1</v>
      </c>
      <c r="H98" s="75" t="n">
        <f aca="false">E98*G98</f>
        <v>236.05375</v>
      </c>
      <c r="I98" s="28" t="s">
        <v>1871</v>
      </c>
      <c r="J98" s="25" t="n">
        <f aca="false">H98*SUMIF($I$44:$I$48,D98,$G$44:$G$48)/1000000</f>
        <v>17.1484179361975</v>
      </c>
      <c r="K98" s="9" t="s">
        <v>1872</v>
      </c>
      <c r="L98" s="6" t="s">
        <v>1747</v>
      </c>
    </row>
    <row r="99" customFormat="false" ht="15" hidden="false" customHeight="false" outlineLevel="0" collapsed="false">
      <c r="A99" s="6" t="s">
        <v>1873</v>
      </c>
      <c r="B99" s="6" t="s">
        <v>1874</v>
      </c>
      <c r="C99" s="33" t="n">
        <v>1</v>
      </c>
      <c r="D99" s="6" t="s">
        <v>1697</v>
      </c>
      <c r="E99" s="74" t="n">
        <v>2</v>
      </c>
      <c r="F99" s="9" t="s">
        <v>1875</v>
      </c>
      <c r="G99" s="98" t="n">
        <v>40</v>
      </c>
      <c r="H99" s="75" t="n">
        <f aca="false">E99*G99</f>
        <v>80</v>
      </c>
      <c r="I99" s="28" t="s">
        <v>1090</v>
      </c>
      <c r="J99" s="25" t="n">
        <f aca="false">H99*SUMIF($I$44:$I$48,D99,$G$44:$G$48)/1000000</f>
        <v>4.27765256933543</v>
      </c>
      <c r="K99" s="9" t="s">
        <v>1876</v>
      </c>
      <c r="L99" s="6" t="s">
        <v>1877</v>
      </c>
    </row>
    <row r="100" customFormat="false" ht="15" hidden="false" customHeight="false" outlineLevel="0" collapsed="false">
      <c r="A100" s="6" t="s">
        <v>1878</v>
      </c>
      <c r="B100" s="6" t="s">
        <v>1874</v>
      </c>
      <c r="C100" s="33" t="n">
        <v>1</v>
      </c>
      <c r="D100" s="6" t="s">
        <v>1697</v>
      </c>
      <c r="E100" s="74" t="n">
        <v>4</v>
      </c>
      <c r="F100" s="9" t="s">
        <v>1875</v>
      </c>
      <c r="G100" s="98" t="n">
        <v>40</v>
      </c>
      <c r="H100" s="75" t="n">
        <f aca="false">E100*G100</f>
        <v>160</v>
      </c>
      <c r="I100" s="28" t="s">
        <v>1124</v>
      </c>
      <c r="J100" s="25" t="n">
        <f aca="false">H100*SUMIF($I$44:$I$48,D100,$G$44:$G$48)/1000000</f>
        <v>8.55530513867086</v>
      </c>
      <c r="K100" s="9" t="s">
        <v>1879</v>
      </c>
      <c r="L100" s="6" t="s">
        <v>1877</v>
      </c>
    </row>
    <row r="101" customFormat="false" ht="15" hidden="false" customHeight="false" outlineLevel="0" collapsed="false">
      <c r="A101" s="6" t="s">
        <v>1880</v>
      </c>
      <c r="B101" s="6" t="s">
        <v>1874</v>
      </c>
      <c r="C101" s="33" t="n">
        <v>1</v>
      </c>
      <c r="D101" s="6" t="s">
        <v>1692</v>
      </c>
      <c r="E101" s="74" t="n">
        <v>2</v>
      </c>
      <c r="F101" s="9" t="s">
        <v>1875</v>
      </c>
      <c r="G101" s="98" t="n">
        <v>40</v>
      </c>
      <c r="H101" s="75" t="n">
        <f aca="false">E101*G101</f>
        <v>80</v>
      </c>
      <c r="I101" s="28" t="s">
        <v>1768</v>
      </c>
      <c r="J101" s="25" t="n">
        <f aca="false">H101*SUMIF($I$44:$I$48,D101,$G$44:$G$48)/1000000</f>
        <v>3.95408094086866</v>
      </c>
      <c r="K101" s="9" t="s">
        <v>1881</v>
      </c>
      <c r="L101" s="6" t="s">
        <v>1877</v>
      </c>
    </row>
    <row r="102" customFormat="false" ht="15" hidden="false" customHeight="false" outlineLevel="0" collapsed="false">
      <c r="A102" s="6" t="s">
        <v>1882</v>
      </c>
      <c r="B102" s="6" t="s">
        <v>1874</v>
      </c>
      <c r="C102" s="33" t="n">
        <v>1</v>
      </c>
      <c r="D102" s="6" t="s">
        <v>1692</v>
      </c>
      <c r="E102" s="74" t="n">
        <v>1</v>
      </c>
      <c r="F102" s="9" t="s">
        <v>1883</v>
      </c>
      <c r="G102" s="98" t="n">
        <v>40</v>
      </c>
      <c r="H102" s="75" t="n">
        <f aca="false">E102*G102</f>
        <v>40</v>
      </c>
      <c r="I102" s="28" t="s">
        <v>1757</v>
      </c>
      <c r="J102" s="25" t="n">
        <f aca="false">H102*SUMIF($I$44:$I$48,D102,$G$44:$G$48)/1000000</f>
        <v>1.97704047043433</v>
      </c>
      <c r="K102" s="9" t="s">
        <v>1884</v>
      </c>
      <c r="L102" s="6" t="s">
        <v>1877</v>
      </c>
    </row>
    <row r="103" customFormat="false" ht="15" hidden="false" customHeight="false" outlineLevel="0" collapsed="false">
      <c r="A103" s="6" t="s">
        <v>1885</v>
      </c>
      <c r="B103" s="6" t="s">
        <v>1874</v>
      </c>
      <c r="C103" s="33" t="n">
        <v>1</v>
      </c>
      <c r="D103" s="6" t="s">
        <v>1697</v>
      </c>
      <c r="E103" s="74" t="n">
        <v>1</v>
      </c>
      <c r="F103" s="9" t="s">
        <v>1883</v>
      </c>
      <c r="G103" s="98" t="n">
        <v>40</v>
      </c>
      <c r="H103" s="75" t="n">
        <f aca="false">E103*G103</f>
        <v>40</v>
      </c>
      <c r="I103" s="28" t="s">
        <v>1090</v>
      </c>
      <c r="J103" s="25" t="n">
        <f aca="false">H103*SUMIF($I$44:$I$48,D103,$G$44:$G$48)/1000000</f>
        <v>2.13882628466771</v>
      </c>
      <c r="K103" s="9" t="s">
        <v>1886</v>
      </c>
      <c r="L103" s="6" t="s">
        <v>1877</v>
      </c>
    </row>
    <row r="104" customFormat="false" ht="15" hidden="false" customHeight="false" outlineLevel="0" collapsed="false">
      <c r="A104" s="6" t="s">
        <v>1887</v>
      </c>
      <c r="B104" s="6" t="s">
        <v>1874</v>
      </c>
      <c r="C104" s="33" t="n">
        <v>1</v>
      </c>
      <c r="D104" s="6" t="s">
        <v>1697</v>
      </c>
      <c r="E104" s="74" t="n">
        <v>1</v>
      </c>
      <c r="F104" s="9" t="s">
        <v>1806</v>
      </c>
      <c r="G104" s="98" t="n">
        <v>60</v>
      </c>
      <c r="H104" s="75" t="n">
        <f aca="false">E104*G104</f>
        <v>60</v>
      </c>
      <c r="I104" s="28" t="s">
        <v>1864</v>
      </c>
      <c r="J104" s="25" t="n">
        <f aca="false">H104*SUMIF($I$44:$I$48,D104,$G$44:$G$48)/1000000</f>
        <v>3.20823942700157</v>
      </c>
      <c r="K104" s="9" t="s">
        <v>1888</v>
      </c>
      <c r="L104" s="6" t="s">
        <v>1877</v>
      </c>
    </row>
    <row r="105" customFormat="false" ht="15" hidden="false" customHeight="false" outlineLevel="0" collapsed="false">
      <c r="A105" s="6" t="s">
        <v>1889</v>
      </c>
      <c r="B105" s="6" t="s">
        <v>1874</v>
      </c>
      <c r="C105" s="33" t="n">
        <v>1</v>
      </c>
      <c r="D105" s="6" t="s">
        <v>1697</v>
      </c>
      <c r="E105" s="74" t="n">
        <v>12</v>
      </c>
      <c r="F105" s="9" t="s">
        <v>1890</v>
      </c>
      <c r="G105" s="98" t="n">
        <v>8</v>
      </c>
      <c r="H105" s="75" t="n">
        <f aca="false">E105*G105</f>
        <v>96</v>
      </c>
      <c r="I105" s="28" t="s">
        <v>1169</v>
      </c>
      <c r="J105" s="25" t="n">
        <f aca="false">H105*SUMIF($I$44:$I$48,D105,$G$44:$G$48)/1000000</f>
        <v>5.13318308320251</v>
      </c>
      <c r="K105" s="9" t="s">
        <v>1891</v>
      </c>
      <c r="L105" s="6" t="s">
        <v>1877</v>
      </c>
    </row>
    <row r="106" customFormat="false" ht="15" hidden="false" customHeight="false" outlineLevel="0" collapsed="false">
      <c r="A106" s="6" t="s">
        <v>1892</v>
      </c>
      <c r="B106" s="6" t="s">
        <v>1874</v>
      </c>
      <c r="C106" s="33" t="n">
        <v>1</v>
      </c>
      <c r="D106" s="6" t="s">
        <v>1683</v>
      </c>
      <c r="E106" s="75" t="n">
        <f aca="false">SUMIFS($H$55:$H$125,$B$55:$B$125,"Otrosí 1",$D$55:$D$125,"&lt;&gt;Dirección")</f>
        <v>556</v>
      </c>
      <c r="F106" s="9" t="s">
        <v>1870</v>
      </c>
      <c r="G106" s="69" t="n">
        <v>0.1</v>
      </c>
      <c r="H106" s="75" t="n">
        <f aca="false">E106*G106</f>
        <v>55.6</v>
      </c>
      <c r="I106" s="28" t="s">
        <v>1871</v>
      </c>
      <c r="J106" s="25" t="n">
        <f aca="false">H106*SUMIF($I$44:$I$48,D106,$G$44:$G$48)/1000000</f>
        <v>4.03913107609001</v>
      </c>
      <c r="K106" s="9" t="s">
        <v>1893</v>
      </c>
      <c r="L106" s="6" t="s">
        <v>1747</v>
      </c>
    </row>
    <row r="107" customFormat="false" ht="15" hidden="false" customHeight="false" outlineLevel="0" collapsed="false">
      <c r="A107" s="6" t="s">
        <v>1894</v>
      </c>
      <c r="B107" s="6" t="s">
        <v>1895</v>
      </c>
      <c r="C107" s="33" t="n">
        <v>2</v>
      </c>
      <c r="D107" s="6" t="s">
        <v>1697</v>
      </c>
      <c r="E107" s="74" t="n">
        <v>1</v>
      </c>
      <c r="F107" s="9" t="s">
        <v>1806</v>
      </c>
      <c r="G107" s="98" t="n">
        <v>40</v>
      </c>
      <c r="H107" s="75" t="n">
        <f aca="false">E107*G107</f>
        <v>40</v>
      </c>
      <c r="I107" s="28" t="s">
        <v>1090</v>
      </c>
      <c r="J107" s="25" t="n">
        <f aca="false">H107*SUMIF($I$44:$I$48,D107,$G$44:$G$48)/1000000</f>
        <v>2.13882628466771</v>
      </c>
      <c r="K107" s="9" t="s">
        <v>1896</v>
      </c>
      <c r="L107" s="6" t="s">
        <v>1783</v>
      </c>
    </row>
    <row r="108" customFormat="false" ht="15" hidden="false" customHeight="false" outlineLevel="0" collapsed="false">
      <c r="A108" s="6" t="s">
        <v>1897</v>
      </c>
      <c r="B108" s="6" t="s">
        <v>1895</v>
      </c>
      <c r="C108" s="33" t="n">
        <v>2</v>
      </c>
      <c r="D108" s="6" t="s">
        <v>1697</v>
      </c>
      <c r="E108" s="74" t="n">
        <v>14</v>
      </c>
      <c r="F108" s="9" t="s">
        <v>1789</v>
      </c>
      <c r="G108" s="98" t="n">
        <v>2.6</v>
      </c>
      <c r="H108" s="75" t="n">
        <f aca="false">E108*G108</f>
        <v>36.4</v>
      </c>
      <c r="I108" s="28" t="s">
        <v>1124</v>
      </c>
      <c r="J108" s="25" t="n">
        <f aca="false">H108*SUMIF($I$44:$I$48,D108,$G$44:$G$48)/1000000</f>
        <v>1.94633191904762</v>
      </c>
      <c r="K108" s="9" t="s">
        <v>1898</v>
      </c>
      <c r="L108" s="6" t="s">
        <v>1783</v>
      </c>
    </row>
    <row r="109" customFormat="false" ht="15" hidden="false" customHeight="false" outlineLevel="0" collapsed="false">
      <c r="A109" s="6" t="s">
        <v>1899</v>
      </c>
      <c r="B109" s="6" t="s">
        <v>1895</v>
      </c>
      <c r="C109" s="33" t="n">
        <v>2</v>
      </c>
      <c r="D109" s="6" t="s">
        <v>1697</v>
      </c>
      <c r="E109" s="74" t="n">
        <v>38</v>
      </c>
      <c r="F109" s="9" t="s">
        <v>1789</v>
      </c>
      <c r="G109" s="98" t="n">
        <v>1.95</v>
      </c>
      <c r="H109" s="75" t="n">
        <f aca="false">E109*G109</f>
        <v>74.1</v>
      </c>
      <c r="I109" s="28" t="s">
        <v>1124</v>
      </c>
      <c r="J109" s="25" t="n">
        <f aca="false">H109*SUMIF($I$44:$I$48,D109,$G$44:$G$48)/1000000</f>
        <v>3.96217569234694</v>
      </c>
      <c r="K109" s="9" t="s">
        <v>1900</v>
      </c>
      <c r="L109" s="6" t="s">
        <v>1783</v>
      </c>
    </row>
    <row r="110" customFormat="false" ht="15" hidden="false" customHeight="false" outlineLevel="0" collapsed="false">
      <c r="A110" s="6" t="s">
        <v>1901</v>
      </c>
      <c r="B110" s="6" t="s">
        <v>1895</v>
      </c>
      <c r="C110" s="33" t="n">
        <v>2</v>
      </c>
      <c r="D110" s="6" t="s">
        <v>1697</v>
      </c>
      <c r="E110" s="74" t="n">
        <v>6</v>
      </c>
      <c r="F110" s="9" t="s">
        <v>1902</v>
      </c>
      <c r="G110" s="98" t="n">
        <v>12</v>
      </c>
      <c r="H110" s="75" t="n">
        <f aca="false">E110*G110</f>
        <v>72</v>
      </c>
      <c r="I110" s="28" t="s">
        <v>1124</v>
      </c>
      <c r="J110" s="25" t="n">
        <f aca="false">H110*SUMIF($I$44:$I$48,D110,$G$44:$G$48)/1000000</f>
        <v>3.84988731240188</v>
      </c>
      <c r="K110" s="9" t="s">
        <v>1903</v>
      </c>
      <c r="L110" s="6" t="s">
        <v>1783</v>
      </c>
    </row>
    <row r="111" customFormat="false" ht="15" hidden="false" customHeight="false" outlineLevel="0" collapsed="false">
      <c r="A111" s="6" t="s">
        <v>1904</v>
      </c>
      <c r="B111" s="6" t="s">
        <v>1895</v>
      </c>
      <c r="C111" s="33" t="n">
        <v>2</v>
      </c>
      <c r="D111" s="6" t="s">
        <v>1697</v>
      </c>
      <c r="E111" s="74" t="n">
        <v>1</v>
      </c>
      <c r="F111" s="9" t="s">
        <v>1905</v>
      </c>
      <c r="G111" s="98" t="n">
        <v>16</v>
      </c>
      <c r="H111" s="75" t="n">
        <f aca="false">E111*G111</f>
        <v>16</v>
      </c>
      <c r="I111" s="28" t="s">
        <v>1814</v>
      </c>
      <c r="J111" s="25" t="n">
        <f aca="false">H111*SUMIF($I$44:$I$48,D111,$G$44:$G$48)/1000000</f>
        <v>0.855530513867085</v>
      </c>
      <c r="K111" s="9" t="s">
        <v>1906</v>
      </c>
      <c r="L111" s="6" t="s">
        <v>1783</v>
      </c>
    </row>
    <row r="112" customFormat="false" ht="15" hidden="false" customHeight="false" outlineLevel="0" collapsed="false">
      <c r="A112" s="6" t="s">
        <v>1907</v>
      </c>
      <c r="B112" s="6" t="s">
        <v>1895</v>
      </c>
      <c r="C112" s="33" t="n">
        <v>2</v>
      </c>
      <c r="D112" s="6" t="s">
        <v>1697</v>
      </c>
      <c r="E112" s="74" t="n">
        <v>6</v>
      </c>
      <c r="F112" s="9" t="s">
        <v>1803</v>
      </c>
      <c r="G112" s="98" t="n">
        <v>6</v>
      </c>
      <c r="H112" s="75" t="n">
        <f aca="false">E112*G112</f>
        <v>36</v>
      </c>
      <c r="I112" s="28" t="s">
        <v>1169</v>
      </c>
      <c r="J112" s="25" t="n">
        <f aca="false">H112*SUMIF($I$44:$I$48,D112,$G$44:$G$48)/1000000</f>
        <v>1.92494365620094</v>
      </c>
      <c r="K112" s="9" t="s">
        <v>1908</v>
      </c>
      <c r="L112" s="6" t="s">
        <v>1783</v>
      </c>
    </row>
    <row r="113" customFormat="false" ht="15" hidden="false" customHeight="false" outlineLevel="0" collapsed="false">
      <c r="A113" s="6" t="s">
        <v>1909</v>
      </c>
      <c r="B113" s="6" t="s">
        <v>1895</v>
      </c>
      <c r="C113" s="33" t="n">
        <v>2</v>
      </c>
      <c r="D113" s="6" t="s">
        <v>1697</v>
      </c>
      <c r="E113" s="74" t="n">
        <v>1</v>
      </c>
      <c r="F113" s="9" t="s">
        <v>1806</v>
      </c>
      <c r="G113" s="98" t="n">
        <v>40</v>
      </c>
      <c r="H113" s="75" t="n">
        <f aca="false">E113*G113</f>
        <v>40</v>
      </c>
      <c r="I113" s="28" t="s">
        <v>1184</v>
      </c>
      <c r="J113" s="25" t="n">
        <f aca="false">H113*SUMIF($I$44:$I$48,D113,$G$44:$G$48)/1000000</f>
        <v>2.13882628466771</v>
      </c>
      <c r="K113" s="9" t="s">
        <v>1910</v>
      </c>
      <c r="L113" s="6" t="s">
        <v>1783</v>
      </c>
    </row>
    <row r="114" customFormat="false" ht="15" hidden="false" customHeight="false" outlineLevel="0" collapsed="false">
      <c r="A114" s="6" t="s">
        <v>1911</v>
      </c>
      <c r="B114" s="6" t="s">
        <v>1895</v>
      </c>
      <c r="C114" s="33" t="n">
        <v>2</v>
      </c>
      <c r="D114" s="6" t="s">
        <v>1697</v>
      </c>
      <c r="E114" s="75" t="n">
        <f aca="false">H108+H109+H110+H111+H112+H113</f>
        <v>274.5</v>
      </c>
      <c r="F114" s="9" t="s">
        <v>1836</v>
      </c>
      <c r="G114" s="69" t="n">
        <v>0.15</v>
      </c>
      <c r="H114" s="75" t="n">
        <f aca="false">E114*G114</f>
        <v>41.175</v>
      </c>
      <c r="I114" s="28" t="s">
        <v>1124</v>
      </c>
      <c r="J114" s="25" t="n">
        <f aca="false">H114*SUMIF($I$44:$I$48,D114,$G$44:$G$48)/1000000</f>
        <v>2.20165430677983</v>
      </c>
      <c r="K114" s="9" t="s">
        <v>1912</v>
      </c>
      <c r="L114" s="6" t="s">
        <v>1783</v>
      </c>
    </row>
    <row r="115" customFormat="false" ht="15" hidden="false" customHeight="false" outlineLevel="0" collapsed="false">
      <c r="A115" s="6" t="s">
        <v>1913</v>
      </c>
      <c r="B115" s="6" t="s">
        <v>1895</v>
      </c>
      <c r="C115" s="33" t="n">
        <v>2</v>
      </c>
      <c r="D115" s="6" t="s">
        <v>1706</v>
      </c>
      <c r="E115" s="74" t="n">
        <v>1</v>
      </c>
      <c r="F115" s="9" t="s">
        <v>1763</v>
      </c>
      <c r="G115" s="98" t="n">
        <v>80</v>
      </c>
      <c r="H115" s="75" t="n">
        <f aca="false">E115*G115</f>
        <v>80</v>
      </c>
      <c r="I115" s="28" t="s">
        <v>1843</v>
      </c>
      <c r="J115" s="25" t="n">
        <f aca="false">H115*SUMIF($I$44:$I$48,D115,$G$44:$G$48)/1000000</f>
        <v>5.8344020722135</v>
      </c>
      <c r="K115" s="9" t="s">
        <v>1914</v>
      </c>
      <c r="L115" s="6" t="s">
        <v>1783</v>
      </c>
    </row>
    <row r="116" customFormat="false" ht="15" hidden="false" customHeight="false" outlineLevel="0" collapsed="false">
      <c r="A116" s="6" t="s">
        <v>1878</v>
      </c>
      <c r="B116" s="6" t="s">
        <v>1895</v>
      </c>
      <c r="C116" s="33" t="n">
        <v>2</v>
      </c>
      <c r="D116" s="6" t="s">
        <v>1697</v>
      </c>
      <c r="E116" s="74" t="n">
        <v>3</v>
      </c>
      <c r="F116" s="9" t="s">
        <v>1875</v>
      </c>
      <c r="G116" s="98" t="n">
        <v>40</v>
      </c>
      <c r="H116" s="75" t="n">
        <f aca="false">E116*G116</f>
        <v>120</v>
      </c>
      <c r="I116" s="28" t="s">
        <v>1124</v>
      </c>
      <c r="J116" s="25" t="n">
        <f aca="false">H116*SUMIF($I$44:$I$48,D116,$G$44:$G$48)/1000000</f>
        <v>6.41647885400314</v>
      </c>
      <c r="K116" s="9" t="s">
        <v>1915</v>
      </c>
      <c r="L116" s="6" t="s">
        <v>1877</v>
      </c>
    </row>
    <row r="117" customFormat="false" ht="15" hidden="false" customHeight="false" outlineLevel="0" collapsed="false">
      <c r="A117" s="6" t="s">
        <v>1880</v>
      </c>
      <c r="B117" s="6" t="s">
        <v>1895</v>
      </c>
      <c r="C117" s="33" t="n">
        <v>2</v>
      </c>
      <c r="D117" s="6" t="s">
        <v>1692</v>
      </c>
      <c r="E117" s="74" t="n">
        <v>1</v>
      </c>
      <c r="F117" s="9" t="s">
        <v>1875</v>
      </c>
      <c r="G117" s="98" t="n">
        <v>40</v>
      </c>
      <c r="H117" s="75" t="n">
        <f aca="false">E117*G117</f>
        <v>40</v>
      </c>
      <c r="I117" s="28" t="s">
        <v>1768</v>
      </c>
      <c r="J117" s="25" t="n">
        <f aca="false">H117*SUMIF($I$44:$I$48,D117,$G$44:$G$48)/1000000</f>
        <v>1.97704047043433</v>
      </c>
      <c r="K117" s="9" t="s">
        <v>1916</v>
      </c>
      <c r="L117" s="6" t="s">
        <v>1877</v>
      </c>
    </row>
    <row r="118" customFormat="false" ht="15" hidden="false" customHeight="false" outlineLevel="0" collapsed="false">
      <c r="A118" s="6" t="s">
        <v>1917</v>
      </c>
      <c r="B118" s="6" t="s">
        <v>1895</v>
      </c>
      <c r="C118" s="33" t="n">
        <v>2</v>
      </c>
      <c r="D118" s="6" t="s">
        <v>1692</v>
      </c>
      <c r="E118" s="74" t="n">
        <v>1</v>
      </c>
      <c r="F118" s="9" t="s">
        <v>1806</v>
      </c>
      <c r="G118" s="98" t="n">
        <v>80</v>
      </c>
      <c r="H118" s="75" t="n">
        <f aca="false">E118*G118</f>
        <v>80</v>
      </c>
      <c r="I118" s="28" t="s">
        <v>1768</v>
      </c>
      <c r="J118" s="25" t="n">
        <f aca="false">H118*SUMIF($I$44:$I$48,D118,$G$44:$G$48)/1000000</f>
        <v>3.95408094086866</v>
      </c>
      <c r="K118" s="9" t="s">
        <v>1918</v>
      </c>
      <c r="L118" s="6" t="s">
        <v>1877</v>
      </c>
    </row>
    <row r="119" customFormat="false" ht="15" hidden="false" customHeight="false" outlineLevel="0" collapsed="false">
      <c r="A119" s="6" t="s">
        <v>1919</v>
      </c>
      <c r="B119" s="6" t="s">
        <v>1895</v>
      </c>
      <c r="C119" s="33" t="n">
        <v>2</v>
      </c>
      <c r="D119" s="6" t="s">
        <v>1692</v>
      </c>
      <c r="E119" s="74" t="n">
        <v>1</v>
      </c>
      <c r="F119" s="9" t="s">
        <v>1883</v>
      </c>
      <c r="G119" s="98" t="n">
        <v>32</v>
      </c>
      <c r="H119" s="75" t="n">
        <f aca="false">E119*G119</f>
        <v>32</v>
      </c>
      <c r="I119" s="28" t="s">
        <v>1757</v>
      </c>
      <c r="J119" s="25" t="n">
        <f aca="false">H119*SUMIF($I$44:$I$48,D119,$G$44:$G$48)/1000000</f>
        <v>1.58163237634746</v>
      </c>
      <c r="K119" s="9" t="s">
        <v>1920</v>
      </c>
      <c r="L119" s="6" t="s">
        <v>1877</v>
      </c>
    </row>
    <row r="120" customFormat="false" ht="15" hidden="false" customHeight="false" outlineLevel="0" collapsed="false">
      <c r="A120" s="6" t="s">
        <v>1921</v>
      </c>
      <c r="B120" s="6" t="s">
        <v>1895</v>
      </c>
      <c r="C120" s="33" t="n">
        <v>2</v>
      </c>
      <c r="D120" s="6" t="s">
        <v>1692</v>
      </c>
      <c r="E120" s="74" t="n">
        <v>1</v>
      </c>
      <c r="F120" s="9" t="s">
        <v>1883</v>
      </c>
      <c r="G120" s="98" t="n">
        <v>40</v>
      </c>
      <c r="H120" s="75" t="n">
        <f aca="false">E120*G120</f>
        <v>40</v>
      </c>
      <c r="I120" s="28" t="s">
        <v>1757</v>
      </c>
      <c r="J120" s="25" t="n">
        <f aca="false">H120*SUMIF($I$44:$I$48,D120,$G$44:$G$48)/1000000</f>
        <v>1.97704047043433</v>
      </c>
      <c r="K120" s="9" t="s">
        <v>1922</v>
      </c>
      <c r="L120" s="6" t="s">
        <v>1877</v>
      </c>
    </row>
    <row r="121" customFormat="false" ht="15" hidden="false" customHeight="false" outlineLevel="0" collapsed="false">
      <c r="A121" s="6" t="s">
        <v>1923</v>
      </c>
      <c r="B121" s="6" t="s">
        <v>1895</v>
      </c>
      <c r="C121" s="33" t="n">
        <v>2</v>
      </c>
      <c r="D121" s="6" t="s">
        <v>1697</v>
      </c>
      <c r="E121" s="74" t="n">
        <v>1</v>
      </c>
      <c r="F121" s="9" t="s">
        <v>1806</v>
      </c>
      <c r="G121" s="98" t="n">
        <v>40</v>
      </c>
      <c r="H121" s="75" t="n">
        <f aca="false">E121*G121</f>
        <v>40</v>
      </c>
      <c r="I121" s="28" t="s">
        <v>1864</v>
      </c>
      <c r="J121" s="25" t="n">
        <f aca="false">H121*SUMIF($I$44:$I$48,D121,$G$44:$G$48)/1000000</f>
        <v>2.13882628466771</v>
      </c>
      <c r="K121" s="9" t="s">
        <v>1924</v>
      </c>
      <c r="L121" s="6" t="s">
        <v>1877</v>
      </c>
    </row>
    <row r="122" customFormat="false" ht="15" hidden="false" customHeight="false" outlineLevel="0" collapsed="false">
      <c r="A122" s="6" t="s">
        <v>1925</v>
      </c>
      <c r="B122" s="6" t="s">
        <v>1895</v>
      </c>
      <c r="C122" s="33" t="n">
        <v>2</v>
      </c>
      <c r="D122" s="6" t="s">
        <v>1697</v>
      </c>
      <c r="E122" s="74" t="n">
        <v>8</v>
      </c>
      <c r="F122" s="9" t="s">
        <v>1890</v>
      </c>
      <c r="G122" s="98" t="n">
        <v>8</v>
      </c>
      <c r="H122" s="75" t="n">
        <f aca="false">E122*G122</f>
        <v>64</v>
      </c>
      <c r="I122" s="28" t="s">
        <v>1169</v>
      </c>
      <c r="J122" s="25" t="n">
        <f aca="false">H122*SUMIF($I$44:$I$48,D122,$G$44:$G$48)/1000000</f>
        <v>3.42212205546834</v>
      </c>
      <c r="K122" s="9" t="s">
        <v>1926</v>
      </c>
      <c r="L122" s="6" t="s">
        <v>1877</v>
      </c>
    </row>
    <row r="123" customFormat="false" ht="15" hidden="false" customHeight="false" outlineLevel="0" collapsed="false">
      <c r="A123" s="6" t="s">
        <v>1927</v>
      </c>
      <c r="B123" s="6" t="s">
        <v>1895</v>
      </c>
      <c r="C123" s="33" t="n">
        <v>2</v>
      </c>
      <c r="D123" s="6" t="s">
        <v>1714</v>
      </c>
      <c r="E123" s="74" t="n">
        <v>1</v>
      </c>
      <c r="F123" s="9" t="s">
        <v>1848</v>
      </c>
      <c r="G123" s="98" t="n">
        <v>40</v>
      </c>
      <c r="H123" s="75" t="n">
        <f aca="false">E123*G123</f>
        <v>40</v>
      </c>
      <c r="I123" s="28" t="s">
        <v>1764</v>
      </c>
      <c r="J123" s="25" t="n">
        <f aca="false">H123*SUMIF($I$44:$I$48,D123,$G$44:$G$48)/1000000</f>
        <v>1.87475953950811</v>
      </c>
      <c r="K123" s="9" t="s">
        <v>1928</v>
      </c>
      <c r="L123" s="6" t="s">
        <v>1747</v>
      </c>
    </row>
    <row r="124" customFormat="false" ht="15" hidden="false" customHeight="false" outlineLevel="0" collapsed="false">
      <c r="A124" s="6" t="s">
        <v>1929</v>
      </c>
      <c r="B124" s="6" t="s">
        <v>1895</v>
      </c>
      <c r="C124" s="33" t="n">
        <v>2</v>
      </c>
      <c r="D124" s="6" t="s">
        <v>1683</v>
      </c>
      <c r="E124" s="74" t="n">
        <v>1</v>
      </c>
      <c r="F124" s="9" t="s">
        <v>1930</v>
      </c>
      <c r="G124" s="98" t="n">
        <v>24</v>
      </c>
      <c r="H124" s="75" t="n">
        <f aca="false">E124*G124</f>
        <v>24</v>
      </c>
      <c r="I124" s="28" t="s">
        <v>1871</v>
      </c>
      <c r="J124" s="25" t="n">
        <f aca="false">H124*SUMIF($I$44:$I$48,D124,$G$44:$G$48)/1000000</f>
        <v>1.74350981701727</v>
      </c>
      <c r="K124" s="9" t="s">
        <v>1931</v>
      </c>
      <c r="L124" s="6" t="s">
        <v>1877</v>
      </c>
    </row>
    <row r="125" customFormat="false" ht="15" hidden="false" customHeight="false" outlineLevel="0" collapsed="false">
      <c r="A125" s="6" t="s">
        <v>1932</v>
      </c>
      <c r="B125" s="6" t="s">
        <v>1895</v>
      </c>
      <c r="C125" s="33" t="n">
        <v>2</v>
      </c>
      <c r="D125" s="6" t="s">
        <v>1683</v>
      </c>
      <c r="E125" s="75" t="n">
        <f aca="false">SUMIFS($H$55:$H$125,$B$55:$B$125,"Otrosí 2",$D$55:$D$125,"&lt;&gt;Dirección")</f>
        <v>891.675</v>
      </c>
      <c r="F125" s="9" t="s">
        <v>1870</v>
      </c>
      <c r="G125" s="69" t="n">
        <v>0.1</v>
      </c>
      <c r="H125" s="75" t="n">
        <f aca="false">E125*G125</f>
        <v>89.1675</v>
      </c>
      <c r="I125" s="28" t="s">
        <v>1871</v>
      </c>
      <c r="J125" s="25" t="n">
        <f aca="false">H125*SUMIF($I$44:$I$48,D125,$G$44:$G$48)/1000000</f>
        <v>6.47768381703697</v>
      </c>
      <c r="K125" s="9" t="s">
        <v>1933</v>
      </c>
      <c r="L125" s="6" t="s">
        <v>1747</v>
      </c>
    </row>
    <row r="127" customFormat="false" ht="15" hidden="false" customHeight="false" outlineLevel="0" collapsed="false">
      <c r="A127" s="3" t="s">
        <v>1934</v>
      </c>
      <c r="B127" s="4"/>
      <c r="C127" s="4"/>
      <c r="D127" s="4"/>
      <c r="E127" s="4"/>
      <c r="F127" s="4"/>
      <c r="G127" s="4"/>
      <c r="H127" s="4"/>
      <c r="I127" s="4"/>
      <c r="J127" s="4"/>
    </row>
    <row r="128" customFormat="false" ht="43.5" hidden="false" customHeight="true" outlineLevel="0" collapsed="false">
      <c r="A128" s="23" t="s">
        <v>1676</v>
      </c>
      <c r="B128" s="24" t="s">
        <v>1935</v>
      </c>
      <c r="C128" s="24" t="s">
        <v>1936</v>
      </c>
      <c r="D128" s="24" t="s">
        <v>1937</v>
      </c>
      <c r="E128" s="24" t="s">
        <v>1938</v>
      </c>
      <c r="F128" s="24" t="s">
        <v>1939</v>
      </c>
      <c r="G128" s="24" t="s">
        <v>1940</v>
      </c>
      <c r="H128" s="24" t="s">
        <v>88</v>
      </c>
      <c r="I128" s="24" t="s">
        <v>1941</v>
      </c>
      <c r="J128" s="24" t="s">
        <v>1942</v>
      </c>
    </row>
    <row r="129" customFormat="false" ht="15" hidden="false" customHeight="false" outlineLevel="0" collapsed="false">
      <c r="A129" s="6" t="s">
        <v>1943</v>
      </c>
      <c r="B129" s="75" t="n">
        <f aca="false">SUMIFS($H$55:$H$125,$B$55:$B$125,"Contrato principal",$C$55:$C$125,0,$D$55:$D$125,"Dirección")</f>
        <v>60</v>
      </c>
      <c r="C129" s="75" t="n">
        <f aca="false">SUMIFS($H$55:$H$125,$B$55:$B$125,"Contrato principal",$C$55:$C$125,1,$D$55:$D$125,"Dirección")</f>
        <v>260.05375</v>
      </c>
      <c r="D129" s="75" t="n">
        <f aca="false">SUMIFS($H$55:$H$125,$B$55:$B$125,"Contrato principal",$C$55:$C$125,2,$D$55:$D$125,"Dirección")</f>
        <v>0</v>
      </c>
      <c r="E129" s="75" t="n">
        <f aca="false">SUMIFS($H$55:$H$125,$B$55:$B$125,"Contrato principal",$C$55:$C$125,3,$D$55:$D$125,"Dirección")</f>
        <v>0</v>
      </c>
      <c r="F129" s="75" t="n">
        <f aca="false">SUMIFS($H$55:$H$125,$B$55:$B$125,"Otrosí 1",$C$55:$C$125,1,$D$55:$D$125,"Dirección")</f>
        <v>55.6</v>
      </c>
      <c r="G129" s="75" t="n">
        <f aca="false">SUMIFS($H$55:$H$125,$B$55:$B$125,"Otrosí 2",$C$55:$C$125,2,$D$55:$D$125,"Dirección")</f>
        <v>113.1675</v>
      </c>
      <c r="H129" s="97" t="n">
        <f aca="false">SUM(B129:G129)</f>
        <v>488.82125</v>
      </c>
      <c r="I129" s="73" t="n">
        <v>1</v>
      </c>
      <c r="J129" s="34" t="n">
        <f aca="false">SUM(B129:E129)/(I129*16*42)</f>
        <v>0.476270461309524</v>
      </c>
    </row>
    <row r="130" customFormat="false" ht="15" hidden="false" customHeight="false" outlineLevel="0" collapsed="false">
      <c r="A130" s="6" t="s">
        <v>1944</v>
      </c>
      <c r="B130" s="75" t="n">
        <f aca="false">SUMIFS($H$55:$H$125,$B$55:$B$125,"Contrato principal",$C$55:$C$125,0,$D$55:$D$125,"Procesos")</f>
        <v>320</v>
      </c>
      <c r="C130" s="75" t="n">
        <f aca="false">SUMIFS($H$55:$H$125,$B$55:$B$125,"Contrato principal",$C$55:$C$125,1,$D$55:$D$125,"Procesos")</f>
        <v>144</v>
      </c>
      <c r="D130" s="75" t="n">
        <f aca="false">SUMIFS($H$55:$H$125,$B$55:$B$125,"Contrato principal",$C$55:$C$125,2,$D$55:$D$125,"Procesos")</f>
        <v>24</v>
      </c>
      <c r="E130" s="75" t="n">
        <f aca="false">SUMIFS($H$55:$H$125,$B$55:$B$125,"Contrato principal",$C$55:$C$125,3,$D$55:$D$125,"Procesos")</f>
        <v>0</v>
      </c>
      <c r="F130" s="75" t="n">
        <f aca="false">SUMIFS($H$55:$H$125,$B$55:$B$125,"Otrosí 1",$C$55:$C$125,1,$D$55:$D$125,"Procesos")</f>
        <v>120</v>
      </c>
      <c r="G130" s="75" t="n">
        <f aca="false">SUMIFS($H$55:$H$125,$B$55:$B$125,"Otrosí 2",$C$55:$C$125,2,$D$55:$D$125,"Procesos")</f>
        <v>192</v>
      </c>
      <c r="H130" s="97" t="n">
        <f aca="false">SUM(B130:G130)</f>
        <v>800</v>
      </c>
      <c r="I130" s="73" t="n">
        <v>1</v>
      </c>
      <c r="J130" s="34" t="n">
        <f aca="false">SUM(B130:E130)/(I130*16*42)</f>
        <v>0.726190476190476</v>
      </c>
    </row>
    <row r="131" customFormat="false" ht="15" hidden="false" customHeight="false" outlineLevel="0" collapsed="false">
      <c r="A131" s="6" t="s">
        <v>1945</v>
      </c>
      <c r="B131" s="75" t="n">
        <f aca="false">SUMIFS($H$55:$H$125,$B$55:$B$125,"Contrato principal",$C$55:$C$125,0,$D$55:$D$125,"Automatización")</f>
        <v>0</v>
      </c>
      <c r="C131" s="75" t="n">
        <f aca="false">SUMIFS($H$55:$H$125,$B$55:$B$125,"Contrato principal",$C$55:$C$125,1,$D$55:$D$125,"Automatización")</f>
        <v>1116.5375</v>
      </c>
      <c r="D131" s="75" t="n">
        <f aca="false">SUMIFS($H$55:$H$125,$B$55:$B$125,"Contrato principal",$C$55:$C$125,2,$D$55:$D$125,"Automatización")</f>
        <v>60</v>
      </c>
      <c r="E131" s="75" t="n">
        <f aca="false">SUMIFS($H$55:$H$125,$B$55:$B$125,"Contrato principal",$C$55:$C$125,3,$D$55:$D$125,"Automatización")</f>
        <v>16</v>
      </c>
      <c r="F131" s="75" t="n">
        <f aca="false">SUMIFS($H$55:$H$125,$B$55:$B$125,"Otrosí 1",$C$55:$C$125,1,$D$55:$D$125,"Automatización")</f>
        <v>436</v>
      </c>
      <c r="G131" s="75" t="n">
        <f aca="false">SUMIFS($H$55:$H$125,$B$55:$B$125,"Otrosí 2",$C$55:$C$125,2,$D$55:$D$125,"Automatización")</f>
        <v>579.675</v>
      </c>
      <c r="H131" s="97" t="n">
        <f aca="false">SUM(B131:G131)</f>
        <v>2208.2125</v>
      </c>
      <c r="I131" s="73" t="n">
        <v>2</v>
      </c>
      <c r="J131" s="34" t="n">
        <f aca="false">SUM(B131:E131)/(I131*16*42)</f>
        <v>0.8873046875</v>
      </c>
    </row>
    <row r="132" customFormat="false" ht="15" hidden="false" customHeight="false" outlineLevel="0" collapsed="false">
      <c r="A132" s="6" t="s">
        <v>1946</v>
      </c>
      <c r="B132" s="75" t="n">
        <f aca="false">SUMIFS($H$55:$H$125,$B$55:$B$125,"Contrato principal",$C$55:$C$125,0,$D$55:$D$125,"Robótica y simulación")</f>
        <v>0</v>
      </c>
      <c r="C132" s="75" t="n">
        <f aca="false">SUMIFS($H$55:$H$125,$B$55:$B$125,"Contrato principal",$C$55:$C$125,1,$D$55:$D$125,"Robótica y simulación")</f>
        <v>240</v>
      </c>
      <c r="D132" s="75" t="n">
        <f aca="false">SUMIFS($H$55:$H$125,$B$55:$B$125,"Contrato principal",$C$55:$C$125,2,$D$55:$D$125,"Robótica y simulación")</f>
        <v>24</v>
      </c>
      <c r="E132" s="75" t="n">
        <f aca="false">SUMIFS($H$55:$H$125,$B$55:$B$125,"Contrato principal",$C$55:$C$125,3,$D$55:$D$125,"Robótica y simulación")</f>
        <v>120</v>
      </c>
      <c r="F132" s="75" t="n">
        <f aca="false">SUMIFS($H$55:$H$125,$B$55:$B$125,"Otrosí 1",$C$55:$C$125,1,$D$55:$D$125,"Robótica y simulación")</f>
        <v>0</v>
      </c>
      <c r="G132" s="75" t="n">
        <f aca="false">SUMIFS($H$55:$H$125,$B$55:$B$125,"Otrosí 2",$C$55:$C$125,2,$D$55:$D$125,"Robótica y simulación")</f>
        <v>80</v>
      </c>
      <c r="H132" s="97" t="n">
        <f aca="false">SUM(B132:G132)</f>
        <v>464</v>
      </c>
      <c r="I132" s="73" t="n">
        <v>1</v>
      </c>
      <c r="J132" s="34" t="n">
        <f aca="false">SUM(B132:E132)/(I132*16*42)</f>
        <v>0.571428571428571</v>
      </c>
    </row>
    <row r="133" customFormat="false" ht="15" hidden="false" customHeight="false" outlineLevel="0" collapsed="false">
      <c r="A133" s="6" t="s">
        <v>1947</v>
      </c>
      <c r="B133" s="75" t="n">
        <f aca="false">SUMIFS($H$55:$H$125,$B$55:$B$125,"Contrato principal",$C$55:$C$125,0,$D$55:$D$125,"Gestión y finanzas")</f>
        <v>80</v>
      </c>
      <c r="C133" s="75" t="n">
        <f aca="false">SUMIFS($H$55:$H$125,$B$55:$B$125,"Contrato principal",$C$55:$C$125,1,$D$55:$D$125,"Gestión y finanzas")</f>
        <v>216</v>
      </c>
      <c r="D133" s="75" t="n">
        <f aca="false">SUMIFS($H$55:$H$125,$B$55:$B$125,"Contrato principal",$C$55:$C$125,2,$D$55:$D$125,"Gestión y finanzas")</f>
        <v>0</v>
      </c>
      <c r="E133" s="75" t="n">
        <f aca="false">SUMIFS($H$55:$H$125,$B$55:$B$125,"Contrato principal",$C$55:$C$125,3,$D$55:$D$125,"Gestión y finanzas")</f>
        <v>0</v>
      </c>
      <c r="F133" s="75" t="n">
        <f aca="false">SUMIFS($H$55:$H$125,$B$55:$B$125,"Otrosí 1",$C$55:$C$125,1,$D$55:$D$125,"Gestión y finanzas")</f>
        <v>0</v>
      </c>
      <c r="G133" s="75" t="n">
        <f aca="false">SUMIFS($H$55:$H$125,$B$55:$B$125,"Otrosí 2",$C$55:$C$125,2,$D$55:$D$125,"Gestión y finanzas")</f>
        <v>40</v>
      </c>
      <c r="H133" s="97" t="n">
        <f aca="false">SUM(B133:G133)</f>
        <v>336</v>
      </c>
      <c r="I133" s="73" t="n">
        <v>1</v>
      </c>
      <c r="J133" s="34" t="n">
        <f aca="false">SUM(B133:E133)/(I133*16*42)</f>
        <v>0.44047619047619</v>
      </c>
    </row>
    <row r="134" customFormat="false" ht="15" hidden="false" customHeight="false" outlineLevel="0" collapsed="false">
      <c r="A134" s="5" t="s">
        <v>1948</v>
      </c>
      <c r="B134" s="97" t="n">
        <f aca="false">SUM(B129:B133)</f>
        <v>460</v>
      </c>
      <c r="C134" s="97" t="n">
        <f aca="false">SUM(C129:C133)</f>
        <v>1976.59125</v>
      </c>
      <c r="D134" s="97" t="n">
        <f aca="false">SUM(D129:D133)</f>
        <v>108</v>
      </c>
      <c r="E134" s="97" t="n">
        <f aca="false">SUM(E129:E133)</f>
        <v>136</v>
      </c>
      <c r="F134" s="97" t="n">
        <f aca="false">SUM(F129:F133)</f>
        <v>611.6</v>
      </c>
      <c r="G134" s="97" t="n">
        <f aca="false">SUM(G129:G133)</f>
        <v>1004.8425</v>
      </c>
      <c r="H134" s="97" t="n">
        <f aca="false">SUM(H129:H133)</f>
        <v>4297.03375</v>
      </c>
      <c r="J134" s="8" t="n">
        <f aca="false">SUM(B134:E134)/(6*16*42)</f>
        <v>0.66482917906746</v>
      </c>
    </row>
    <row r="135" customFormat="false" ht="27.75" hidden="false" customHeight="true" outlineLevel="0" collapsed="false">
      <c r="A135" s="32" t="s">
        <v>1949</v>
      </c>
      <c r="B135" s="32"/>
      <c r="C135" s="32"/>
      <c r="D135" s="32"/>
      <c r="E135" s="32"/>
      <c r="F135" s="32"/>
      <c r="G135" s="32"/>
      <c r="H135" s="32"/>
      <c r="I135" s="32"/>
      <c r="J135" s="32"/>
      <c r="K135" s="32"/>
    </row>
    <row r="137" customFormat="false" ht="15" hidden="false" customHeight="false" outlineLevel="0" collapsed="false">
      <c r="A137" s="3" t="s">
        <v>1950</v>
      </c>
      <c r="B137" s="4"/>
      <c r="C137" s="4"/>
      <c r="D137" s="4"/>
      <c r="E137" s="4"/>
      <c r="F137" s="4"/>
      <c r="G137" s="4"/>
      <c r="H137" s="4"/>
      <c r="I137" s="4"/>
      <c r="J137" s="4"/>
    </row>
    <row r="138" customFormat="false" ht="43.5" hidden="false" customHeight="true" outlineLevel="0" collapsed="false">
      <c r="A138" s="23" t="s">
        <v>729</v>
      </c>
      <c r="B138" s="24" t="s">
        <v>1935</v>
      </c>
      <c r="C138" s="24" t="s">
        <v>1936</v>
      </c>
      <c r="D138" s="24" t="s">
        <v>1937</v>
      </c>
      <c r="E138" s="24" t="s">
        <v>1938</v>
      </c>
      <c r="F138" s="24" t="s">
        <v>1939</v>
      </c>
      <c r="G138" s="24" t="s">
        <v>1940</v>
      </c>
      <c r="H138" s="24" t="s">
        <v>1743</v>
      </c>
      <c r="I138" s="24" t="s">
        <v>88</v>
      </c>
      <c r="J138" s="24" t="s">
        <v>1951</v>
      </c>
    </row>
    <row r="139" customFormat="false" ht="15" hidden="false" customHeight="false" outlineLevel="0" collapsed="false">
      <c r="A139" s="6" t="s">
        <v>1948</v>
      </c>
      <c r="B139" s="75" t="n">
        <f aca="false">B134</f>
        <v>460</v>
      </c>
      <c r="C139" s="75" t="n">
        <f aca="false">C134</f>
        <v>1976.59125</v>
      </c>
      <c r="D139" s="75" t="n">
        <f aca="false">D134</f>
        <v>108</v>
      </c>
      <c r="E139" s="75" t="n">
        <f aca="false">E134</f>
        <v>136</v>
      </c>
      <c r="F139" s="75" t="n">
        <f aca="false">F134</f>
        <v>611.6</v>
      </c>
      <c r="G139" s="75" t="n">
        <f aca="false">G134</f>
        <v>1004.8425</v>
      </c>
      <c r="H139" s="97" t="n">
        <f aca="false">SUM(B139:E139)</f>
        <v>2680.59125</v>
      </c>
      <c r="I139" s="75" t="n">
        <f aca="false">SUM(B139:G139)</f>
        <v>4297.03375</v>
      </c>
    </row>
    <row r="140" customFormat="false" ht="15" hidden="false" customHeight="false" outlineLevel="0" collapsed="false">
      <c r="A140" s="6" t="s">
        <v>1952</v>
      </c>
      <c r="B140" s="25" t="n">
        <f aca="false">(B129*$E$44+B130*$E$45+B131*$E$46+B132*$E$47+B133*$E$48)/1000000</f>
        <v>22.7725398</v>
      </c>
      <c r="C140" s="25" t="n">
        <f aca="false">(C129*$E$44+C130*$E$45+C131*$E$46+C132*$E$47+C133*$E$48)/1000000</f>
        <v>97.9092659930947</v>
      </c>
      <c r="D140" s="25" t="n">
        <f aca="false">(D129*$E$44+D130*$E$45+D131*$E$46+D132*$E$47+D133*$E$48)/1000000</f>
        <v>4.98719314285714</v>
      </c>
      <c r="E140" s="25" t="n">
        <f aca="false">(E129*$E$44+E130*$E$45+E131*$E$46+E132*$E$47+E133*$E$48)/1000000</f>
        <v>6.28016914285714</v>
      </c>
      <c r="F140" s="25" t="n">
        <f aca="false">(F129*$E$44+F130*$E$45+F131*$E$46+F132*$E$47+F133*$E$48)/1000000</f>
        <v>29.6608232622857</v>
      </c>
      <c r="G140" s="25" t="n">
        <f aca="false">(G129*$E$44+G130*$E$45+G131*$E$46+G132*$E$47+G133*$E$48)/1000000</f>
        <v>49.2885934731321</v>
      </c>
      <c r="H140" s="30" t="n">
        <f aca="false">SUM(B140:E140)</f>
        <v>131.949168078809</v>
      </c>
      <c r="I140" s="25" t="n">
        <f aca="false">SUM(B140:G140)</f>
        <v>210.898584814227</v>
      </c>
      <c r="J140" s="9" t="s">
        <v>1953</v>
      </c>
    </row>
    <row r="141" customFormat="false" ht="15" hidden="false" customHeight="false" outlineLevel="0" collapsed="false">
      <c r="A141" s="6" t="s">
        <v>1954</v>
      </c>
      <c r="B141" s="25" t="n">
        <f aca="false">(B129*$F$44+B130*$F$45+B131*$F$46+B132*$F$47+B133*$F$48)/1000000</f>
        <v>1.15207758503401</v>
      </c>
      <c r="C141" s="25" t="n">
        <f aca="false">(C129*$F$44+C130*$F$45+C131*$F$46+C132*$F$47+C133*$F$48)/1000000</f>
        <v>15.4289090040974</v>
      </c>
      <c r="D141" s="25" t="n">
        <f aca="false">(D129*$F$44+D130*$F$45+D131*$F$46+D132*$F$47+D133*$F$48)/1000000</f>
        <v>1.15759118806907</v>
      </c>
      <c r="E141" s="25" t="n">
        <f aca="false">(E129*$F$44+E130*$F$45+E131*$F$46+E132*$F$47+E133*$F$48)/1000000</f>
        <v>3.32696447933019</v>
      </c>
      <c r="F141" s="25" t="n">
        <f aca="false">(F129*$F$44+F130*$F$45+F131*$F$46+F132*$F$47+F133*$F$48)/1000000</f>
        <v>3.62263572798535</v>
      </c>
      <c r="G141" s="25" t="n">
        <f aca="false">(G129*$F$44+G130*$F$45+G131*$F$46+G132*$F$47+G133*$F$48)/1000000</f>
        <v>7.1271591948474</v>
      </c>
      <c r="H141" s="30" t="n">
        <f aca="false">SUM(B141:E141)</f>
        <v>21.0655422565307</v>
      </c>
      <c r="I141" s="25" t="n">
        <f aca="false">SUM(B141:G141)</f>
        <v>31.8153371793635</v>
      </c>
      <c r="J141" s="9" t="s">
        <v>1955</v>
      </c>
    </row>
    <row r="142" customFormat="false" ht="15" hidden="false" customHeight="false" outlineLevel="0" collapsed="false">
      <c r="A142" s="6" t="s">
        <v>1956</v>
      </c>
      <c r="B142" s="74" t="n">
        <v>8</v>
      </c>
      <c r="C142" s="74" t="n">
        <v>10</v>
      </c>
      <c r="D142" s="74" t="n">
        <v>2</v>
      </c>
      <c r="E142" s="74" t="n">
        <v>2</v>
      </c>
      <c r="F142" s="74" t="n">
        <v>30</v>
      </c>
      <c r="G142" s="74" t="n">
        <v>16</v>
      </c>
      <c r="H142" s="97" t="n">
        <f aca="false">SUM(B142:E142)</f>
        <v>22</v>
      </c>
      <c r="I142" s="75" t="n">
        <f aca="false">SUM(B142:G142)</f>
        <v>68</v>
      </c>
      <c r="J142" s="9" t="s">
        <v>1957</v>
      </c>
    </row>
    <row r="143" customFormat="false" ht="15" hidden="false" customHeight="false" outlineLevel="0" collapsed="false">
      <c r="A143" s="6" t="s">
        <v>1958</v>
      </c>
      <c r="B143" s="25" t="n">
        <f aca="false">B142*$B$19</f>
        <v>2.8</v>
      </c>
      <c r="C143" s="25" t="n">
        <f aca="false">C142*$B$19</f>
        <v>3.5</v>
      </c>
      <c r="D143" s="25" t="n">
        <f aca="false">D142*$B$19</f>
        <v>0.7</v>
      </c>
      <c r="E143" s="25" t="n">
        <f aca="false">E142*$B$19</f>
        <v>0.7</v>
      </c>
      <c r="F143" s="25" t="n">
        <f aca="false">F142*$B$19</f>
        <v>10.5</v>
      </c>
      <c r="G143" s="25" t="n">
        <f aca="false">G142*$B$19</f>
        <v>5.6</v>
      </c>
      <c r="H143" s="30" t="n">
        <f aca="false">SUM(B143:E143)</f>
        <v>7.7</v>
      </c>
      <c r="I143" s="25" t="n">
        <f aca="false">SUM(B143:G143)</f>
        <v>23.8</v>
      </c>
    </row>
    <row r="144" customFormat="false" ht="15" hidden="false" customHeight="false" outlineLevel="0" collapsed="false">
      <c r="A144" s="6" t="s">
        <v>1959</v>
      </c>
      <c r="B144" s="50" t="n">
        <v>0</v>
      </c>
      <c r="C144" s="50" t="n">
        <v>0</v>
      </c>
      <c r="D144" s="50" t="n">
        <v>0</v>
      </c>
      <c r="E144" s="50" t="n">
        <v>0</v>
      </c>
      <c r="F144" s="50" t="n">
        <v>3</v>
      </c>
      <c r="G144" s="50" t="n">
        <v>1</v>
      </c>
      <c r="H144" s="30" t="n">
        <f aca="false">SUM(B144:E144)</f>
        <v>0</v>
      </c>
      <c r="I144" s="25" t="n">
        <f aca="false">SUM(B144:G144)</f>
        <v>4</v>
      </c>
      <c r="J144" s="9" t="s">
        <v>1960</v>
      </c>
    </row>
    <row r="145" customFormat="false" ht="15" hidden="false" customHeight="false" outlineLevel="0" collapsed="false">
      <c r="A145" s="5" t="s">
        <v>1961</v>
      </c>
      <c r="B145" s="30" t="n">
        <f aca="false">B140+B141+B143+B144</f>
        <v>26.724617385034</v>
      </c>
      <c r="C145" s="30" t="n">
        <f aca="false">C140+C141+C143+C144</f>
        <v>116.838174997192</v>
      </c>
      <c r="D145" s="30" t="n">
        <f aca="false">D140+D141+D143+D144</f>
        <v>6.84478433092622</v>
      </c>
      <c r="E145" s="30" t="n">
        <f aca="false">E140+E141+E143+E144</f>
        <v>10.3071336221873</v>
      </c>
      <c r="F145" s="30" t="n">
        <f aca="false">F140+F141+F143+F144</f>
        <v>46.7834589902711</v>
      </c>
      <c r="G145" s="30" t="n">
        <f aca="false">G140+G141+G143+G144</f>
        <v>63.0157526679796</v>
      </c>
      <c r="H145" s="30" t="n">
        <f aca="false">SUM(B145:E145)</f>
        <v>160.71471033534</v>
      </c>
      <c r="I145" s="30" t="n">
        <f aca="false">SUM(B145:G145)</f>
        <v>270.51392199359</v>
      </c>
    </row>
    <row r="146" customFormat="false" ht="15" hidden="false" customHeight="false" outlineLevel="0" collapsed="false">
      <c r="A146" s="6" t="s">
        <v>1962</v>
      </c>
      <c r="B146" s="25" t="n">
        <f aca="false">$B$13*B145</f>
        <v>6.41390817240816</v>
      </c>
      <c r="C146" s="25" t="n">
        <f aca="false">$B$13*C145</f>
        <v>28.0411619993261</v>
      </c>
      <c r="D146" s="25" t="n">
        <f aca="false">$B$13*D145</f>
        <v>1.64274823942229</v>
      </c>
      <c r="E146" s="25" t="n">
        <f aca="false">$B$13*E145</f>
        <v>2.47371206932496</v>
      </c>
      <c r="F146" s="25" t="n">
        <f aca="false">$B$13*F145</f>
        <v>11.2280301576651</v>
      </c>
      <c r="G146" s="25" t="n">
        <f aca="false">$B$13*G145</f>
        <v>15.1237806403151</v>
      </c>
      <c r="H146" s="30" t="n">
        <f aca="false">SUM(B146:E146)</f>
        <v>38.5715304804815</v>
      </c>
      <c r="I146" s="25" t="n">
        <f aca="false">SUM(B146:G146)</f>
        <v>64.9233412784617</v>
      </c>
      <c r="J146" s="9" t="s">
        <v>1963</v>
      </c>
    </row>
    <row r="147" customFormat="false" ht="15" hidden="false" customHeight="false" outlineLevel="0" collapsed="false">
      <c r="A147" s="6" t="s">
        <v>1964</v>
      </c>
      <c r="B147" s="25" t="n">
        <f aca="false">$B$14*B145</f>
        <v>1.3362308692517</v>
      </c>
      <c r="C147" s="25" t="n">
        <f aca="false">$B$14*C145</f>
        <v>5.84190874985961</v>
      </c>
      <c r="D147" s="25" t="n">
        <f aca="false">$B$14*D145</f>
        <v>0.342239216546311</v>
      </c>
      <c r="E147" s="25" t="n">
        <f aca="false">$B$14*E145</f>
        <v>0.515356681109367</v>
      </c>
      <c r="F147" s="25" t="n">
        <f aca="false">$B$14*F145</f>
        <v>2.33917294951355</v>
      </c>
      <c r="G147" s="25" t="n">
        <f aca="false">$B$14*G145</f>
        <v>3.15078763339898</v>
      </c>
      <c r="H147" s="30" t="n">
        <f aca="false">SUM(B147:E147)</f>
        <v>8.03573551676698</v>
      </c>
      <c r="I147" s="25" t="n">
        <f aca="false">SUM(B147:G147)</f>
        <v>13.5256960996795</v>
      </c>
    </row>
    <row r="148" customFormat="false" ht="15" hidden="false" customHeight="false" outlineLevel="0" collapsed="false">
      <c r="A148" s="6" t="s">
        <v>1965</v>
      </c>
      <c r="B148" s="25" t="n">
        <f aca="false">$B$15*B145</f>
        <v>2.6724617385034</v>
      </c>
      <c r="C148" s="25" t="n">
        <f aca="false">$B$15*C145</f>
        <v>11.6838174997192</v>
      </c>
      <c r="D148" s="25" t="n">
        <f aca="false">$B$15*D145</f>
        <v>0.684478433092622</v>
      </c>
      <c r="E148" s="25" t="n">
        <f aca="false">$B$15*E145</f>
        <v>1.03071336221873</v>
      </c>
      <c r="F148" s="25" t="n">
        <f aca="false">$B$15*F145</f>
        <v>4.67834589902711</v>
      </c>
      <c r="G148" s="25" t="n">
        <f aca="false">$B$15*G145</f>
        <v>6.30157526679796</v>
      </c>
      <c r="H148" s="30" t="n">
        <f aca="false">SUM(B148:E148)</f>
        <v>16.071471033534</v>
      </c>
      <c r="I148" s="25" t="n">
        <f aca="false">SUM(B148:G148)</f>
        <v>27.051392199359</v>
      </c>
    </row>
    <row r="149" customFormat="false" ht="15" hidden="false" customHeight="false" outlineLevel="0" collapsed="false">
      <c r="A149" s="5" t="s">
        <v>1966</v>
      </c>
      <c r="B149" s="54" t="n">
        <f aca="false">B145+B146+B147+B148</f>
        <v>37.1472181651973</v>
      </c>
      <c r="C149" s="54" t="n">
        <f aca="false">C145+C146+C147+C148</f>
        <v>162.405063246097</v>
      </c>
      <c r="D149" s="54" t="n">
        <f aca="false">D145+D146+D147+D148</f>
        <v>9.51425021998744</v>
      </c>
      <c r="E149" s="54" t="n">
        <f aca="false">E145+E146+E147+E148</f>
        <v>14.3269157348404</v>
      </c>
      <c r="F149" s="54" t="n">
        <f aca="false">F145+F146+F147+F148</f>
        <v>65.0290079964768</v>
      </c>
      <c r="G149" s="54" t="n">
        <f aca="false">G145+G146+G147+G148</f>
        <v>87.5918962084916</v>
      </c>
      <c r="H149" s="54" t="n">
        <f aca="false">SUM(B149:E149)</f>
        <v>223.393447366122</v>
      </c>
      <c r="I149" s="30" t="n">
        <f aca="false">SUM(B149:G149)</f>
        <v>376.01435157109</v>
      </c>
    </row>
    <row r="150" customFormat="false" ht="15" hidden="false" customHeight="false" outlineLevel="0" collapsed="false">
      <c r="A150" s="6" t="s">
        <v>1967</v>
      </c>
      <c r="B150" s="25" t="n">
        <f aca="false">$B$16*B149</f>
        <v>7.05797145138748</v>
      </c>
      <c r="C150" s="25" t="n">
        <f aca="false">$B$16*C149</f>
        <v>30.8569620167584</v>
      </c>
      <c r="D150" s="25" t="n">
        <f aca="false">$B$16*D149</f>
        <v>1.80770754179761</v>
      </c>
      <c r="E150" s="25" t="n">
        <f aca="false">$B$16*E149</f>
        <v>2.72211398961968</v>
      </c>
      <c r="F150" s="25" t="n">
        <f aca="false">$B$16*F149</f>
        <v>12.3555115193306</v>
      </c>
      <c r="G150" s="25" t="n">
        <f aca="false">$B$16*G149</f>
        <v>16.6424602796134</v>
      </c>
      <c r="H150" s="30" t="n">
        <f aca="false">SUM(B150:E150)</f>
        <v>42.4447549995632</v>
      </c>
      <c r="I150" s="25" t="n">
        <f aca="false">SUM(B150:G150)</f>
        <v>71.4427267985072</v>
      </c>
    </row>
    <row r="151" customFormat="false" ht="15" hidden="false" customHeight="false" outlineLevel="0" collapsed="false">
      <c r="A151" s="6" t="s">
        <v>1968</v>
      </c>
      <c r="B151" s="25" t="n">
        <f aca="false">B149+B150</f>
        <v>44.2051896165848</v>
      </c>
      <c r="C151" s="25" t="n">
        <f aca="false">C149+C150</f>
        <v>193.262025262855</v>
      </c>
      <c r="D151" s="25" t="n">
        <f aca="false">D149+D150</f>
        <v>11.3219577617851</v>
      </c>
      <c r="E151" s="25" t="n">
        <f aca="false">E149+E150</f>
        <v>17.0490297244601</v>
      </c>
      <c r="F151" s="25" t="n">
        <f aca="false">F149+F150</f>
        <v>77.3845195158074</v>
      </c>
      <c r="G151" s="25" t="n">
        <f aca="false">G149+G150</f>
        <v>104.234356488105</v>
      </c>
      <c r="H151" s="30" t="n">
        <f aca="false">SUM(B151:E151)</f>
        <v>265.838202365685</v>
      </c>
      <c r="I151" s="25" t="n">
        <f aca="false">SUM(B151:G151)</f>
        <v>447.457078369598</v>
      </c>
    </row>
    <row r="152" customFormat="false" ht="15" hidden="false" customHeight="false" outlineLevel="0" collapsed="false">
      <c r="A152" s="6" t="s">
        <v>1969</v>
      </c>
      <c r="B152" s="75" t="n">
        <f aca="false">IF(B139&gt;0,B149*1000000/B139,0)</f>
        <v>80754.822098255</v>
      </c>
      <c r="C152" s="75" t="n">
        <f aca="false">IF(C139&gt;0,C149*1000000/C139,0)</f>
        <v>82164.2123762801</v>
      </c>
      <c r="D152" s="75" t="n">
        <f aca="false">IF(D139&gt;0,D149*1000000/D139,0)</f>
        <v>88094.9094443282</v>
      </c>
      <c r="E152" s="75" t="n">
        <f aca="false">IF(E139&gt;0,E149*1000000/E139,0)</f>
        <v>105344.968638532</v>
      </c>
      <c r="F152" s="75" t="n">
        <f aca="false">IF(F139&gt;0,F149*1000000/F139,0)</f>
        <v>106326.043159707</v>
      </c>
      <c r="G152" s="75" t="n">
        <f aca="false">IF(G139&gt;0,G149*1000000/G139,0)</f>
        <v>87169.7765654733</v>
      </c>
      <c r="H152" s="75" t="n">
        <f aca="false">H149*1000000/H139</f>
        <v>83337.3784108719</v>
      </c>
      <c r="I152" s="75" t="n">
        <f aca="false">I149*1000000/I139</f>
        <v>87505.5616147047</v>
      </c>
    </row>
    <row r="153" customFormat="false" ht="15" hidden="false" customHeight="false" outlineLevel="0" collapsed="false">
      <c r="A153" s="6" t="s">
        <v>1970</v>
      </c>
      <c r="B153" s="34" t="n">
        <f aca="false">IF(B149&gt;0,B141*(1+$B$13+$B$14+$B$15)/B149,0)</f>
        <v>0.043109226539542</v>
      </c>
      <c r="C153" s="34" t="n">
        <f aca="false">IF(C149&gt;0,C141*(1+$B$13+$B$14+$B$15)/C149,0)</f>
        <v>0.132053663149636</v>
      </c>
      <c r="D153" s="34" t="n">
        <f aca="false">IF(D149&gt;0,D141*(1+$B$13+$B$14+$B$15)/D149,0)</f>
        <v>0.169120184377297</v>
      </c>
      <c r="E153" s="34" t="n">
        <f aca="false">IF(E149&gt;0,E141*(1+$B$13+$B$14+$B$15)/E149,0)</f>
        <v>0.32278270577268</v>
      </c>
      <c r="F153" s="34" t="n">
        <f aca="false">IF(F149&gt;0,F141*(1+$B$13+$B$14+$B$15)/F149,0)</f>
        <v>0.0774341146672952</v>
      </c>
      <c r="G153" s="34" t="n">
        <f aca="false">IF(G149&gt;0,G141*(1+$B$13+$B$14+$B$15)/G149,0)</f>
        <v>0.11310123093188</v>
      </c>
      <c r="H153" s="34" t="n">
        <f aca="false">H141*(1+$B$13+$B$14+$B$15)/H149</f>
        <v>0.131074138842526</v>
      </c>
      <c r="I153" s="34" t="n">
        <f aca="false">I141*(1+$B$13+$B$14+$B$15)/I149</f>
        <v>0.117610720161446</v>
      </c>
      <c r="J153" s="9" t="s">
        <v>1971</v>
      </c>
    </row>
    <row r="154" customFormat="false" ht="27.75" hidden="false" customHeight="true" outlineLevel="0" collapsed="false">
      <c r="A154" s="32" t="s">
        <v>1972</v>
      </c>
      <c r="B154" s="32"/>
      <c r="C154" s="32"/>
      <c r="D154" s="32"/>
      <c r="E154" s="32"/>
      <c r="F154" s="32"/>
      <c r="G154" s="32"/>
      <c r="H154" s="32"/>
      <c r="I154" s="32"/>
      <c r="J154" s="32"/>
      <c r="K154" s="32"/>
    </row>
    <row r="156" customFormat="false" ht="15" hidden="false" customHeight="false" outlineLevel="0" collapsed="false">
      <c r="A156" s="3" t="s">
        <v>1973</v>
      </c>
      <c r="B156" s="4"/>
      <c r="C156" s="4"/>
      <c r="D156" s="4"/>
      <c r="E156" s="4"/>
      <c r="F156" s="4"/>
      <c r="G156" s="4"/>
      <c r="H156" s="4"/>
      <c r="I156" s="4"/>
      <c r="J156" s="4"/>
    </row>
    <row r="157" customFormat="false" ht="39.75" hidden="false" customHeight="true" outlineLevel="0" collapsed="false">
      <c r="A157" s="32" t="s">
        <v>1974</v>
      </c>
      <c r="B157" s="32"/>
      <c r="C157" s="32"/>
      <c r="D157" s="32"/>
      <c r="E157" s="32"/>
      <c r="F157" s="32"/>
      <c r="G157" s="32"/>
      <c r="H157" s="32"/>
      <c r="I157" s="32"/>
      <c r="J157" s="32"/>
      <c r="K157" s="32"/>
    </row>
    <row r="158" customFormat="false" ht="43.5" hidden="false" customHeight="true" outlineLevel="0" collapsed="false">
      <c r="A158" s="23" t="s">
        <v>1064</v>
      </c>
      <c r="B158" s="24" t="s">
        <v>1975</v>
      </c>
      <c r="C158" s="24" t="s">
        <v>1976</v>
      </c>
      <c r="D158" s="24" t="s">
        <v>1977</v>
      </c>
      <c r="E158" s="24" t="s">
        <v>1978</v>
      </c>
      <c r="F158" s="24" t="s">
        <v>97</v>
      </c>
      <c r="G158" s="24" t="s">
        <v>1979</v>
      </c>
      <c r="H158" s="24" t="s">
        <v>1980</v>
      </c>
      <c r="I158" s="24" t="s">
        <v>1981</v>
      </c>
      <c r="J158" s="24" t="s">
        <v>1982</v>
      </c>
    </row>
    <row r="159" customFormat="false" ht="15" hidden="false" customHeight="false" outlineLevel="0" collapsed="false">
      <c r="A159" s="43" t="s">
        <v>1983</v>
      </c>
      <c r="B159" s="44"/>
      <c r="C159" s="44"/>
      <c r="D159" s="44"/>
      <c r="E159" s="44"/>
      <c r="F159" s="44"/>
      <c r="G159" s="44"/>
      <c r="H159" s="44"/>
      <c r="I159" s="44"/>
      <c r="J159" s="44"/>
    </row>
    <row r="160" customFormat="false" ht="15" hidden="false" customHeight="false" outlineLevel="0" collapsed="false">
      <c r="A160" s="6" t="s">
        <v>1984</v>
      </c>
      <c r="B160" s="51" t="n">
        <v>2</v>
      </c>
      <c r="C160" s="75" t="n">
        <f aca="false">SUMIFS($H$55:$H$125,$I$55:$I$125,"1.1",$B$55:$B$125,"Contrato principal")</f>
        <v>60</v>
      </c>
      <c r="D160" s="75" t="n">
        <f aca="false">SUMIFS($H$55:$H$125,$I$55:$I$125,"1.1",$B$55:$B$125,"Otrosí 1")</f>
        <v>0</v>
      </c>
      <c r="E160" s="75" t="n">
        <f aca="false">SUMIFS($H$55:$H$125,$I$55:$I$125,"1.1",$B$55:$B$125,"Otrosí 2")</f>
        <v>0</v>
      </c>
      <c r="F160" s="75" t="n">
        <f aca="false">SUM(C160:E160)</f>
        <v>60</v>
      </c>
      <c r="G160" s="64" t="n">
        <f aca="false">C160/(B160*42)</f>
        <v>0.714285714285714</v>
      </c>
      <c r="H160" s="25" t="n">
        <f aca="false">SUMIF($I$55:$I$125,"1.1",$J$55:$J$125)</f>
        <v>4.35877454254317</v>
      </c>
      <c r="I160" s="30" t="n">
        <f aca="false">H160*(1+$B$13+$B$14+$B$15)</f>
        <v>6.05869661413501</v>
      </c>
      <c r="J160" s="34" t="n">
        <f aca="false">I160/$I$185</f>
        <v>0.0161129398088667</v>
      </c>
    </row>
    <row r="161" customFormat="false" ht="15" hidden="false" customHeight="false" outlineLevel="0" collapsed="false">
      <c r="A161" s="6" t="s">
        <v>1985</v>
      </c>
      <c r="B161" s="51" t="n">
        <v>16</v>
      </c>
      <c r="C161" s="75" t="n">
        <f aca="false">SUMIFS($H$55:$H$125,$I$55:$I$125,"1.2",$B$55:$B$125,"Contrato principal")</f>
        <v>236.05375</v>
      </c>
      <c r="D161" s="75" t="n">
        <f aca="false">SUMIFS($H$55:$H$125,$I$55:$I$125,"1.2",$B$55:$B$125,"Otrosí 1")</f>
        <v>55.6</v>
      </c>
      <c r="E161" s="75" t="n">
        <f aca="false">SUMIFS($H$55:$H$125,$I$55:$I$125,"1.2",$B$55:$B$125,"Otrosí 2")</f>
        <v>113.1675</v>
      </c>
      <c r="F161" s="75" t="n">
        <f aca="false">SUM(C161:E161)</f>
        <v>404.82125</v>
      </c>
      <c r="G161" s="64" t="n">
        <f aca="false">C161/(B161*42)</f>
        <v>0.351270461309524</v>
      </c>
      <c r="H161" s="25" t="n">
        <f aca="false">SUMIF($I$55:$I$125,"1.2",$J$55:$J$125)</f>
        <v>29.4087426463417</v>
      </c>
      <c r="I161" s="30" t="n">
        <f aca="false">H161*(1+$B$13+$B$14+$B$15)</f>
        <v>40.878152278415</v>
      </c>
      <c r="J161" s="34" t="n">
        <f aca="false">I161/$I$185</f>
        <v>0.108714340576669</v>
      </c>
    </row>
    <row r="162" customFormat="false" ht="15" hidden="false" customHeight="false" outlineLevel="0" collapsed="false">
      <c r="A162" s="6" t="s">
        <v>1986</v>
      </c>
      <c r="B162" s="51" t="n">
        <v>2</v>
      </c>
      <c r="C162" s="75" t="n">
        <f aca="false">SUMIFS($H$55:$H$125,$I$55:$I$125,"1.3",$B$55:$B$125,"Contrato principal")</f>
        <v>64</v>
      </c>
      <c r="D162" s="75" t="n">
        <f aca="false">SUMIFS($H$55:$H$125,$I$55:$I$125,"1.3",$B$55:$B$125,"Otrosí 1")</f>
        <v>60</v>
      </c>
      <c r="E162" s="75" t="n">
        <f aca="false">SUMIFS($H$55:$H$125,$I$55:$I$125,"1.3",$B$55:$B$125,"Otrosí 2")</f>
        <v>40</v>
      </c>
      <c r="F162" s="75" t="n">
        <f aca="false">SUM(C162:E162)</f>
        <v>164</v>
      </c>
      <c r="G162" s="64" t="n">
        <f aca="false">C162/(B162*42)</f>
        <v>0.761904761904762</v>
      </c>
      <c r="H162" s="25" t="n">
        <f aca="false">SUMIF($I$55:$I$125,"1.3",$J$55:$J$125)</f>
        <v>9.22940181335427</v>
      </c>
      <c r="I162" s="30" t="n">
        <f aca="false">H162*(1+$B$13+$B$14+$B$15)</f>
        <v>12.8288685205624</v>
      </c>
      <c r="J162" s="34" t="n">
        <f aca="false">I162/$I$185</f>
        <v>0.0341180289182046</v>
      </c>
    </row>
    <row r="163" customFormat="false" ht="15" hidden="false" customHeight="false" outlineLevel="0" collapsed="false">
      <c r="A163" s="43" t="s">
        <v>1987</v>
      </c>
      <c r="B163" s="44"/>
      <c r="C163" s="44"/>
      <c r="D163" s="44"/>
      <c r="E163" s="44"/>
      <c r="F163" s="44"/>
      <c r="G163" s="44"/>
      <c r="H163" s="44"/>
      <c r="I163" s="44"/>
      <c r="J163" s="44"/>
    </row>
    <row r="164" customFormat="false" ht="15" hidden="false" customHeight="false" outlineLevel="0" collapsed="false">
      <c r="A164" s="6" t="s">
        <v>1988</v>
      </c>
      <c r="B164" s="51" t="n">
        <v>2</v>
      </c>
      <c r="C164" s="75" t="n">
        <f aca="false">SUMIFS($H$55:$H$125,$I$55:$I$125,"2.1",$B$55:$B$125,"Contrato principal")</f>
        <v>160</v>
      </c>
      <c r="D164" s="75" t="n">
        <f aca="false">SUMIFS($H$55:$H$125,$I$55:$I$125,"2.1",$B$55:$B$125,"Otrosí 1")</f>
        <v>0</v>
      </c>
      <c r="E164" s="75" t="n">
        <f aca="false">SUMIFS($H$55:$H$125,$I$55:$I$125,"2.1",$B$55:$B$125,"Otrosí 2")</f>
        <v>0</v>
      </c>
      <c r="F164" s="75" t="n">
        <f aca="false">SUM(C164:E164)</f>
        <v>160</v>
      </c>
      <c r="G164" s="64" t="n">
        <f aca="false">C164/(B164*42)</f>
        <v>1.9047619047619</v>
      </c>
      <c r="H164" s="25" t="n">
        <f aca="false">SUMIF($I$55:$I$125,"2.1",$J$55:$J$125)</f>
        <v>7.90816188173731</v>
      </c>
      <c r="I164" s="30" t="n">
        <f aca="false">H164*(1+$B$13+$B$14+$B$15)</f>
        <v>10.9923450156149</v>
      </c>
      <c r="J164" s="34" t="n">
        <f aca="false">I164/$I$185</f>
        <v>0.0292338443192018</v>
      </c>
    </row>
    <row r="165" customFormat="false" ht="15" hidden="false" customHeight="false" outlineLevel="0" collapsed="false">
      <c r="A165" s="6" t="s">
        <v>1989</v>
      </c>
      <c r="B165" s="51" t="n">
        <v>3</v>
      </c>
      <c r="C165" s="75" t="n">
        <f aca="false">SUMIFS($H$55:$H$125,$I$55:$I$125,"2.2",$B$55:$B$125,"Contrato principal")</f>
        <v>144</v>
      </c>
      <c r="D165" s="75" t="n">
        <f aca="false">SUMIFS($H$55:$H$125,$I$55:$I$125,"2.2",$B$55:$B$125,"Otrosí 1")</f>
        <v>80</v>
      </c>
      <c r="E165" s="75" t="n">
        <f aca="false">SUMIFS($H$55:$H$125,$I$55:$I$125,"2.2",$B$55:$B$125,"Otrosí 2")</f>
        <v>120</v>
      </c>
      <c r="F165" s="75" t="n">
        <f aca="false">SUM(C165:E165)</f>
        <v>344</v>
      </c>
      <c r="G165" s="64" t="n">
        <f aca="false">C165/(B165*42)</f>
        <v>1.14285714285714</v>
      </c>
      <c r="H165" s="25" t="n">
        <f aca="false">SUMIF($I$55:$I$125,"2.2",$J$55:$J$125)</f>
        <v>17.0025480457352</v>
      </c>
      <c r="I165" s="30" t="n">
        <f aca="false">H165*(1+$B$13+$B$14+$B$15)</f>
        <v>23.633541783572</v>
      </c>
      <c r="J165" s="34" t="n">
        <f aca="false">I165/$I$185</f>
        <v>0.0628527652862838</v>
      </c>
    </row>
    <row r="166" customFormat="false" ht="15" hidden="false" customHeight="false" outlineLevel="0" collapsed="false">
      <c r="A166" s="6" t="s">
        <v>1990</v>
      </c>
      <c r="B166" s="51" t="n">
        <v>3</v>
      </c>
      <c r="C166" s="75" t="n">
        <f aca="false">SUMIFS($H$55:$H$125,$I$55:$I$125,"2.3",$B$55:$B$125,"Contrato principal")</f>
        <v>80</v>
      </c>
      <c r="D166" s="75" t="n">
        <f aca="false">SUMIFS($H$55:$H$125,$I$55:$I$125,"2.3",$B$55:$B$125,"Otrosí 1")</f>
        <v>0</v>
      </c>
      <c r="E166" s="75" t="n">
        <f aca="false">SUMIFS($H$55:$H$125,$I$55:$I$125,"2.3",$B$55:$B$125,"Otrosí 2")</f>
        <v>0</v>
      </c>
      <c r="F166" s="75" t="n">
        <f aca="false">SUM(C166:E166)</f>
        <v>80</v>
      </c>
      <c r="G166" s="64" t="n">
        <f aca="false">C166/(B166*42)</f>
        <v>0.634920634920635</v>
      </c>
      <c r="H166" s="25" t="n">
        <f aca="false">SUMIF($I$55:$I$125,"2.3",$J$55:$J$125)</f>
        <v>3.95408094086866</v>
      </c>
      <c r="I166" s="30" t="n">
        <f aca="false">H166*(1+$B$13+$B$14+$B$15)</f>
        <v>5.49617250780743</v>
      </c>
      <c r="J166" s="34" t="n">
        <f aca="false">I166/$I$185</f>
        <v>0.0146169221596009</v>
      </c>
    </row>
    <row r="167" customFormat="false" ht="15" hidden="false" customHeight="false" outlineLevel="0" collapsed="false">
      <c r="A167" s="6" t="s">
        <v>1991</v>
      </c>
      <c r="B167" s="51" t="n">
        <v>2</v>
      </c>
      <c r="C167" s="75" t="n">
        <f aca="false">SUMIFS($H$55:$H$125,$I$55:$I$125,"2.4",$B$55:$B$125,"Contrato principal")</f>
        <v>80</v>
      </c>
      <c r="D167" s="75" t="n">
        <f aca="false">SUMIFS($H$55:$H$125,$I$55:$I$125,"2.4",$B$55:$B$125,"Otrosí 1")</f>
        <v>40</v>
      </c>
      <c r="E167" s="75" t="n">
        <f aca="false">SUMIFS($H$55:$H$125,$I$55:$I$125,"2.4",$B$55:$B$125,"Otrosí 2")</f>
        <v>72</v>
      </c>
      <c r="F167" s="75" t="n">
        <f aca="false">SUM(C167:E167)</f>
        <v>192</v>
      </c>
      <c r="G167" s="64" t="n">
        <f aca="false">C167/(B167*42)</f>
        <v>0.952380952380952</v>
      </c>
      <c r="H167" s="25" t="n">
        <f aca="false">SUMIF($I$55:$I$125,"2.4",$J$55:$J$125)</f>
        <v>9.48979425808477</v>
      </c>
      <c r="I167" s="30" t="n">
        <f aca="false">H167*(1+$B$13+$B$14+$B$15)</f>
        <v>13.1908140187378</v>
      </c>
      <c r="J167" s="34" t="n">
        <f aca="false">I167/$I$185</f>
        <v>0.0350806131830421</v>
      </c>
    </row>
    <row r="168" customFormat="false" ht="15" hidden="false" customHeight="false" outlineLevel="0" collapsed="false">
      <c r="A168" s="6" t="s">
        <v>1992</v>
      </c>
      <c r="B168" s="51" t="n">
        <v>3</v>
      </c>
      <c r="C168" s="75" t="n">
        <f aca="false">SUMIFS($H$55:$H$125,$I$55:$I$125,"2.5",$B$55:$B$125,"Contrato principal")</f>
        <v>40</v>
      </c>
      <c r="D168" s="75" t="n">
        <f aca="false">SUMIFS($H$55:$H$125,$I$55:$I$125,"2.5",$B$55:$B$125,"Otrosí 1")</f>
        <v>0</v>
      </c>
      <c r="E168" s="75" t="n">
        <f aca="false">SUMIFS($H$55:$H$125,$I$55:$I$125,"2.5",$B$55:$B$125,"Otrosí 2")</f>
        <v>0</v>
      </c>
      <c r="F168" s="75" t="n">
        <f aca="false">SUM(C168:E168)</f>
        <v>40</v>
      </c>
      <c r="G168" s="64" t="n">
        <f aca="false">C168/(B168*42)</f>
        <v>0.317460317460317</v>
      </c>
      <c r="H168" s="25" t="n">
        <f aca="false">SUMIF($I$55:$I$125,"2.5",$J$55:$J$125)</f>
        <v>2.13882628466771</v>
      </c>
      <c r="I168" s="30" t="n">
        <f aca="false">H168*(1+$B$13+$B$14+$B$15)</f>
        <v>2.97296853568812</v>
      </c>
      <c r="J168" s="34" t="n">
        <f aca="false">I168/$I$185</f>
        <v>0.00790652942704514</v>
      </c>
    </row>
    <row r="169" customFormat="false" ht="15" hidden="false" customHeight="false" outlineLevel="0" collapsed="false">
      <c r="A169" s="43" t="s">
        <v>1993</v>
      </c>
      <c r="B169" s="44"/>
      <c r="C169" s="44"/>
      <c r="D169" s="44"/>
      <c r="E169" s="44"/>
      <c r="F169" s="44"/>
      <c r="G169" s="44"/>
      <c r="H169" s="44"/>
      <c r="I169" s="44"/>
      <c r="J169" s="44"/>
    </row>
    <row r="170" customFormat="false" ht="15" hidden="false" customHeight="false" outlineLevel="0" collapsed="false">
      <c r="A170" s="6" t="s">
        <v>1994</v>
      </c>
      <c r="B170" s="51" t="n">
        <v>3</v>
      </c>
      <c r="C170" s="75" t="n">
        <f aca="false">SUMIFS($H$55:$H$125,$I$55:$I$125,"3.1",$B$55:$B$125,"Contrato principal")</f>
        <v>214</v>
      </c>
      <c r="D170" s="75" t="n">
        <f aca="false">SUMIFS($H$55:$H$125,$I$55:$I$125,"3.1",$B$55:$B$125,"Otrosí 1")</f>
        <v>120</v>
      </c>
      <c r="E170" s="75" t="n">
        <f aca="false">SUMIFS($H$55:$H$125,$I$55:$I$125,"3.1",$B$55:$B$125,"Otrosí 2")</f>
        <v>40</v>
      </c>
      <c r="F170" s="75" t="n">
        <f aca="false">SUM(C170:E170)</f>
        <v>374</v>
      </c>
      <c r="G170" s="64" t="n">
        <f aca="false">C170/(B170*42)</f>
        <v>1.6984126984127</v>
      </c>
      <c r="H170" s="25" t="n">
        <f aca="false">SUMIF($I$55:$I$125,"3.1",$J$55:$J$125)</f>
        <v>19.9980257616431</v>
      </c>
      <c r="I170" s="30" t="n">
        <f aca="false">H170*(1+$B$13+$B$14+$B$15)</f>
        <v>27.7972558086839</v>
      </c>
      <c r="J170" s="34" t="n">
        <f aca="false">I170/$I$185</f>
        <v>0.073926050142872</v>
      </c>
    </row>
    <row r="171" customFormat="false" ht="15" hidden="false" customHeight="false" outlineLevel="0" collapsed="false">
      <c r="A171" s="6" t="s">
        <v>1995</v>
      </c>
      <c r="B171" s="51" t="n">
        <v>4</v>
      </c>
      <c r="C171" s="75" t="n">
        <f aca="false">SUMIFS($H$55:$H$125,$I$55:$I$125,"3.2",$B$55:$B$125,"Contrato principal")</f>
        <v>490.5375</v>
      </c>
      <c r="D171" s="75" t="n">
        <f aca="false">SUMIFS($H$55:$H$125,$I$55:$I$125,"3.2",$B$55:$B$125,"Otrosí 1")</f>
        <v>160</v>
      </c>
      <c r="E171" s="75" t="n">
        <f aca="false">SUMIFS($H$55:$H$125,$I$55:$I$125,"3.2",$B$55:$B$125,"Otrosí 2")</f>
        <v>343.675</v>
      </c>
      <c r="F171" s="75" t="n">
        <f aca="false">SUM(C171:E171)</f>
        <v>994.2125</v>
      </c>
      <c r="G171" s="64" t="n">
        <f aca="false">C171/(B171*42)</f>
        <v>2.91986607142857</v>
      </c>
      <c r="H171" s="25" t="n">
        <f aca="false">SUMIF($I$55:$I$125,"3.2",$J$55:$J$125)</f>
        <v>53.16119568863</v>
      </c>
      <c r="I171" s="30" t="n">
        <f aca="false">H171*(1+$B$13+$B$14+$B$15)</f>
        <v>73.8940620071957</v>
      </c>
      <c r="J171" s="34" t="n">
        <f aca="false">I171/$I$185</f>
        <v>0.196519259699653</v>
      </c>
    </row>
    <row r="172" customFormat="false" ht="15" hidden="false" customHeight="false" outlineLevel="0" collapsed="false">
      <c r="A172" s="6" t="s">
        <v>1996</v>
      </c>
      <c r="B172" s="51" t="n">
        <v>3</v>
      </c>
      <c r="C172" s="75" t="n">
        <f aca="false">SUMIFS($H$55:$H$125,$I$55:$I$125,"3.3",$B$55:$B$125,"Contrato principal")</f>
        <v>136</v>
      </c>
      <c r="D172" s="75" t="n">
        <f aca="false">SUMIFS($H$55:$H$125,$I$55:$I$125,"3.3",$B$55:$B$125,"Otrosí 1")</f>
        <v>96</v>
      </c>
      <c r="E172" s="75" t="n">
        <f aca="false">SUMIFS($H$55:$H$125,$I$55:$I$125,"3.3",$B$55:$B$125,"Otrosí 2")</f>
        <v>100</v>
      </c>
      <c r="F172" s="75" t="n">
        <f aca="false">SUM(C172:E172)</f>
        <v>332</v>
      </c>
      <c r="G172" s="64" t="n">
        <f aca="false">C172/(B172*42)</f>
        <v>1.07936507936508</v>
      </c>
      <c r="H172" s="25" t="n">
        <f aca="false">SUMIF($I$55:$I$125,"3.3",$J$55:$J$125)</f>
        <v>17.752258162742</v>
      </c>
      <c r="I172" s="30" t="n">
        <f aca="false">H172*(1+$B$13+$B$14+$B$15)</f>
        <v>24.6756388462114</v>
      </c>
      <c r="J172" s="34" t="n">
        <f aca="false">I172/$I$185</f>
        <v>0.0656241942444746</v>
      </c>
    </row>
    <row r="173" customFormat="false" ht="15" hidden="false" customHeight="false" outlineLevel="0" collapsed="false">
      <c r="A173" s="43" t="s">
        <v>1997</v>
      </c>
      <c r="B173" s="44"/>
      <c r="C173" s="44"/>
      <c r="D173" s="44"/>
      <c r="E173" s="44"/>
      <c r="F173" s="44"/>
      <c r="G173" s="44"/>
      <c r="H173" s="44"/>
      <c r="I173" s="44"/>
      <c r="J173" s="44"/>
    </row>
    <row r="174" customFormat="false" ht="15" hidden="false" customHeight="false" outlineLevel="0" collapsed="false">
      <c r="A174" s="6" t="s">
        <v>1998</v>
      </c>
      <c r="B174" s="51" t="n">
        <v>4</v>
      </c>
      <c r="C174" s="75" t="n">
        <f aca="false">SUMIFS($H$55:$H$125,$I$55:$I$125,"4.1",$B$55:$B$125,"Contrato principal")</f>
        <v>144</v>
      </c>
      <c r="D174" s="75" t="n">
        <f aca="false">SUMIFS($H$55:$H$125,$I$55:$I$125,"4.1",$B$55:$B$125,"Otrosí 1")</f>
        <v>0</v>
      </c>
      <c r="E174" s="75" t="n">
        <f aca="false">SUMIFS($H$55:$H$125,$I$55:$I$125,"4.1",$B$55:$B$125,"Otrosí 2")</f>
        <v>0</v>
      </c>
      <c r="F174" s="75" t="n">
        <f aca="false">SUM(C174:E174)</f>
        <v>144</v>
      </c>
      <c r="G174" s="64" t="n">
        <f aca="false">C174/(B174*42)</f>
        <v>0.857142857142857</v>
      </c>
      <c r="H174" s="25" t="n">
        <f aca="false">SUMIF($I$55:$I$125,"4.1",$J$55:$J$125)</f>
        <v>10.5019237299843</v>
      </c>
      <c r="I174" s="30" t="n">
        <f aca="false">H174*(1+$B$13+$B$14+$B$15)</f>
        <v>14.5976739846782</v>
      </c>
      <c r="J174" s="34" t="n">
        <f aca="false">I174/$I$185</f>
        <v>0.0388221192188147</v>
      </c>
    </row>
    <row r="175" customFormat="false" ht="15" hidden="false" customHeight="false" outlineLevel="0" collapsed="false">
      <c r="A175" s="6" t="s">
        <v>1999</v>
      </c>
      <c r="B175" s="51" t="n">
        <v>3</v>
      </c>
      <c r="C175" s="75" t="n">
        <f aca="false">SUMIFS($H$55:$H$125,$I$55:$I$125,"4.2",$B$55:$B$125,"Contrato principal")</f>
        <v>136</v>
      </c>
      <c r="D175" s="75" t="n">
        <f aca="false">SUMIFS($H$55:$H$125,$I$55:$I$125,"4.2",$B$55:$B$125,"Otrosí 1")</f>
        <v>0</v>
      </c>
      <c r="E175" s="75" t="n">
        <f aca="false">SUMIFS($H$55:$H$125,$I$55:$I$125,"4.2",$B$55:$B$125,"Otrosí 2")</f>
        <v>0</v>
      </c>
      <c r="F175" s="75" t="n">
        <f aca="false">SUM(C175:E175)</f>
        <v>136</v>
      </c>
      <c r="G175" s="64" t="n">
        <f aca="false">C175/(B175*42)</f>
        <v>1.07936507936508</v>
      </c>
      <c r="H175" s="25" t="n">
        <f aca="false">SUMIF($I$55:$I$125,"4.2",$J$55:$J$125)</f>
        <v>9.60713362218734</v>
      </c>
      <c r="I175" s="30" t="n">
        <f aca="false">H175*(1+$B$13+$B$14+$B$15)</f>
        <v>13.3539157348404</v>
      </c>
      <c r="J175" s="34" t="n">
        <f aca="false">I175/$I$185</f>
        <v>0.035514377786497</v>
      </c>
    </row>
    <row r="176" customFormat="false" ht="15" hidden="false" customHeight="false" outlineLevel="0" collapsed="false">
      <c r="A176" s="6" t="s">
        <v>2000</v>
      </c>
      <c r="B176" s="51" t="n">
        <v>4</v>
      </c>
      <c r="C176" s="75" t="n">
        <f aca="false">SUMIFS($H$55:$H$125,$I$55:$I$125,"4.3",$B$55:$B$125,"Contrato principal")</f>
        <v>120</v>
      </c>
      <c r="D176" s="75" t="n">
        <f aca="false">SUMIFS($H$55:$H$125,$I$55:$I$125,"4.3",$B$55:$B$125,"Otrosí 1")</f>
        <v>0</v>
      </c>
      <c r="E176" s="75" t="n">
        <f aca="false">SUMIFS($H$55:$H$125,$I$55:$I$125,"4.3",$B$55:$B$125,"Otrosí 2")</f>
        <v>80</v>
      </c>
      <c r="F176" s="75" t="n">
        <f aca="false">SUM(C176:E176)</f>
        <v>200</v>
      </c>
      <c r="G176" s="64" t="n">
        <f aca="false">C176/(B176*42)</f>
        <v>0.714285714285714</v>
      </c>
      <c r="H176" s="25" t="n">
        <f aca="false">SUMIF($I$55:$I$125,"4.3",$J$55:$J$125)</f>
        <v>14.5860051805338</v>
      </c>
      <c r="I176" s="30" t="n">
        <f aca="false">H176*(1+$B$13+$B$14+$B$15)</f>
        <v>20.2745472009419</v>
      </c>
      <c r="J176" s="34" t="n">
        <f aca="false">I176/$I$185</f>
        <v>0.0539196100261315</v>
      </c>
    </row>
    <row r="177" customFormat="false" ht="15" hidden="false" customHeight="false" outlineLevel="0" collapsed="false">
      <c r="A177" s="43" t="s">
        <v>2001</v>
      </c>
      <c r="B177" s="44"/>
      <c r="C177" s="44"/>
      <c r="D177" s="44"/>
      <c r="E177" s="44"/>
      <c r="F177" s="44"/>
      <c r="G177" s="44"/>
      <c r="H177" s="44"/>
      <c r="I177" s="44"/>
      <c r="J177" s="44"/>
    </row>
    <row r="178" customFormat="false" ht="15" hidden="false" customHeight="false" outlineLevel="0" collapsed="false">
      <c r="A178" s="6" t="s">
        <v>2002</v>
      </c>
      <c r="B178" s="51" t="n">
        <v>4</v>
      </c>
      <c r="C178" s="75" t="n">
        <f aca="false">SUMIFS($H$55:$H$125,$I$55:$I$125,"5.1",$B$55:$B$125,"Contrato principal")</f>
        <v>184</v>
      </c>
      <c r="D178" s="75" t="n">
        <f aca="false">SUMIFS($H$55:$H$125,$I$55:$I$125,"5.1",$B$55:$B$125,"Otrosí 1")</f>
        <v>0</v>
      </c>
      <c r="E178" s="75" t="n">
        <f aca="false">SUMIFS($H$55:$H$125,$I$55:$I$125,"5.1",$B$55:$B$125,"Otrosí 2")</f>
        <v>40</v>
      </c>
      <c r="F178" s="75" t="n">
        <f aca="false">SUM(C178:E178)</f>
        <v>224</v>
      </c>
      <c r="G178" s="64" t="n">
        <f aca="false">C178/(B178*42)</f>
        <v>1.0952380952381</v>
      </c>
      <c r="H178" s="25" t="n">
        <f aca="false">SUMIF($I$55:$I$125,"5.1",$J$55:$J$125)</f>
        <v>11.8803557055992</v>
      </c>
      <c r="I178" s="30" t="n">
        <f aca="false">H178*(1+$B$13+$B$14+$B$15)</f>
        <v>16.5136944307828</v>
      </c>
      <c r="J178" s="34" t="n">
        <f aca="false">I178/$I$185</f>
        <v>0.0439177237831059</v>
      </c>
    </row>
    <row r="179" customFormat="false" ht="15" hidden="false" customHeight="false" outlineLevel="0" collapsed="false">
      <c r="A179" s="6" t="s">
        <v>2003</v>
      </c>
      <c r="B179" s="51" t="n">
        <v>4</v>
      </c>
      <c r="C179" s="75" t="n">
        <f aca="false">SUMIFS($H$55:$H$125,$I$55:$I$125,"5.2",$B$55:$B$125,"Contrato principal")</f>
        <v>56</v>
      </c>
      <c r="D179" s="75" t="n">
        <f aca="false">SUMIFS($H$55:$H$125,$I$55:$I$125,"5.2",$B$55:$B$125,"Otrosí 1")</f>
        <v>0</v>
      </c>
      <c r="E179" s="75" t="n">
        <f aca="false">SUMIFS($H$55:$H$125,$I$55:$I$125,"5.2",$B$55:$B$125,"Otrosí 2")</f>
        <v>0</v>
      </c>
      <c r="F179" s="75" t="n">
        <f aca="false">SUM(C179:E179)</f>
        <v>56</v>
      </c>
      <c r="G179" s="64" t="n">
        <f aca="false">C179/(B179*42)</f>
        <v>0.333333333333333</v>
      </c>
      <c r="H179" s="25" t="n">
        <f aca="false">SUMIF($I$55:$I$125,"5.2",$J$55:$J$125)</f>
        <v>2.62466335531136</v>
      </c>
      <c r="I179" s="30" t="n">
        <f aca="false">H179*(1+$B$13+$B$14+$B$15)</f>
        <v>3.64828206388279</v>
      </c>
      <c r="J179" s="34" t="n">
        <f aca="false">I179/$I$185</f>
        <v>0.0097025074937679</v>
      </c>
    </row>
    <row r="180" customFormat="false" ht="15" hidden="false" customHeight="false" outlineLevel="0" collapsed="false">
      <c r="A180" s="6" t="s">
        <v>2004</v>
      </c>
      <c r="B180" s="51" t="n">
        <v>2</v>
      </c>
      <c r="C180" s="75" t="n">
        <f aca="false">SUMIFS($H$55:$H$125,$I$55:$I$125,"5.3",$B$55:$B$125,"Contrato principal")</f>
        <v>96</v>
      </c>
      <c r="D180" s="75" t="n">
        <f aca="false">SUMIFS($H$55:$H$125,$I$55:$I$125,"5.3",$B$55:$B$125,"Otrosí 1")</f>
        <v>0</v>
      </c>
      <c r="E180" s="75" t="n">
        <f aca="false">SUMIFS($H$55:$H$125,$I$55:$I$125,"5.3",$B$55:$B$125,"Otrosí 2")</f>
        <v>16</v>
      </c>
      <c r="F180" s="75" t="n">
        <f aca="false">SUM(C180:E180)</f>
        <v>112</v>
      </c>
      <c r="G180" s="64" t="n">
        <f aca="false">C180/(B180*42)</f>
        <v>1.14285714285714</v>
      </c>
      <c r="H180" s="25" t="n">
        <f aca="false">SUMIF($I$55:$I$125,"5.3",$J$55:$J$125)</f>
        <v>5.9887135970696</v>
      </c>
      <c r="I180" s="30" t="n">
        <f aca="false">H180*(1+$B$13+$B$14+$B$15)</f>
        <v>8.32431189992674</v>
      </c>
      <c r="J180" s="34" t="n">
        <f aca="false">I180/$I$185</f>
        <v>0.0221382823957264</v>
      </c>
    </row>
    <row r="181" customFormat="false" ht="15" hidden="false" customHeight="false" outlineLevel="0" collapsed="false">
      <c r="A181" s="43" t="s">
        <v>2005</v>
      </c>
      <c r="B181" s="44"/>
      <c r="C181" s="44"/>
      <c r="D181" s="44"/>
      <c r="E181" s="44"/>
      <c r="F181" s="44"/>
      <c r="G181" s="44"/>
      <c r="H181" s="44"/>
      <c r="I181" s="44"/>
      <c r="J181" s="44"/>
    </row>
    <row r="182" customFormat="false" ht="15" hidden="false" customHeight="false" outlineLevel="0" collapsed="false">
      <c r="A182" s="6" t="s">
        <v>2006</v>
      </c>
      <c r="B182" s="51" t="n">
        <v>12</v>
      </c>
      <c r="C182" s="75" t="n">
        <f aca="false">SUMIFS($H$55:$H$125,$I$55:$I$125,"6.1",$B$55:$B$125,"Contrato principal")</f>
        <v>160</v>
      </c>
      <c r="D182" s="75" t="n">
        <f aca="false">SUMIFS($H$55:$H$125,$I$55:$I$125,"6.1",$B$55:$B$125,"Otrosí 1")</f>
        <v>0</v>
      </c>
      <c r="E182" s="75" t="n">
        <f aca="false">SUMIFS($H$55:$H$125,$I$55:$I$125,"6.1",$B$55:$B$125,"Otrosí 2")</f>
        <v>40</v>
      </c>
      <c r="F182" s="75" t="n">
        <f aca="false">SUM(C182:E182)</f>
        <v>200</v>
      </c>
      <c r="G182" s="64" t="n">
        <f aca="false">C182/(B182*42)</f>
        <v>0.317460317460317</v>
      </c>
      <c r="H182" s="25" t="n">
        <f aca="false">SUMIF($I$55:$I$125,"6.1",$J$55:$J$125)</f>
        <v>9.37379769754056</v>
      </c>
      <c r="I182" s="30" t="n">
        <f aca="false">H182*(1+$B$13+$B$14+$B$15)</f>
        <v>13.0295787995814</v>
      </c>
      <c r="J182" s="34" t="n">
        <f aca="false">I182/$I$185</f>
        <v>0.0346518124777425</v>
      </c>
    </row>
    <row r="183" customFormat="false" ht="15" hidden="false" customHeight="false" outlineLevel="0" collapsed="false">
      <c r="A183" s="6" t="s">
        <v>2007</v>
      </c>
      <c r="B183" s="51" t="n">
        <v>3</v>
      </c>
      <c r="C183" s="75" t="n">
        <f aca="false">SUMIFS($H$55:$H$125,$I$55:$I$125,"6.2",$B$55:$B$125,"Contrato principal")</f>
        <v>80</v>
      </c>
      <c r="D183" s="75" t="n">
        <f aca="false">SUMIFS($H$55:$H$125,$I$55:$I$125,"6.2",$B$55:$B$125,"Otrosí 1")</f>
        <v>0</v>
      </c>
      <c r="E183" s="75" t="n">
        <f aca="false">SUMIFS($H$55:$H$125,$I$55:$I$125,"6.2",$B$55:$B$125,"Otrosí 2")</f>
        <v>0</v>
      </c>
      <c r="F183" s="75" t="n">
        <f aca="false">SUM(C183:E183)</f>
        <v>80</v>
      </c>
      <c r="G183" s="64" t="n">
        <f aca="false">C183/(B183*42)</f>
        <v>0.634920634920635</v>
      </c>
      <c r="H183" s="25" t="n">
        <f aca="false">SUMIF($I$55:$I$125,"6.2",$J$55:$J$125)</f>
        <v>3.74951907901622</v>
      </c>
      <c r="I183" s="30" t="n">
        <f aca="false">H183*(1+$B$13+$B$14+$B$15)</f>
        <v>5.21183151983255</v>
      </c>
      <c r="J183" s="34" t="n">
        <f aca="false">I183/$I$185</f>
        <v>0.013860724991097</v>
      </c>
    </row>
    <row r="184" customFormat="false" ht="15" hidden="false" customHeight="false" outlineLevel="0" collapsed="false">
      <c r="A184" s="6" t="s">
        <v>2008</v>
      </c>
      <c r="I184" s="30" t="n">
        <f aca="false">(I143+I144)*(1+$B$13+$B$14+$B$15)</f>
        <v>38.642</v>
      </c>
      <c r="J184" s="34" t="n">
        <f aca="false">I184/$I$185</f>
        <v>0.102767354061203</v>
      </c>
    </row>
    <row r="185" customFormat="false" ht="15" hidden="false" customHeight="false" outlineLevel="0" collapsed="false">
      <c r="A185" s="5" t="s">
        <v>2009</v>
      </c>
      <c r="C185" s="97" t="n">
        <f aca="false">SUM(C159:C183)</f>
        <v>2680.59125</v>
      </c>
      <c r="D185" s="97" t="n">
        <f aca="false">SUM(D159:D183)</f>
        <v>611.6</v>
      </c>
      <c r="E185" s="97" t="n">
        <f aca="false">SUM(E159:E183)</f>
        <v>1004.8425</v>
      </c>
      <c r="F185" s="97" t="n">
        <f aca="false">SUM(F159:F183)</f>
        <v>4297.03375</v>
      </c>
      <c r="H185" s="30" t="n">
        <f aca="false">SUM(H159:H183)</f>
        <v>242.71392199359</v>
      </c>
      <c r="I185" s="54" t="n">
        <f aca="false">SUM(I159:I183)+I184</f>
        <v>376.014351571091</v>
      </c>
    </row>
    <row r="186" customFormat="false" ht="15" hidden="false" customHeight="false" outlineLevel="0" collapsed="false">
      <c r="A186" s="6" t="s">
        <v>2010</v>
      </c>
      <c r="I186" s="25" t="n">
        <f aca="false">I185-I149</f>
        <v>0</v>
      </c>
    </row>
    <row r="188" customFormat="false" ht="15" hidden="false" customHeight="false" outlineLevel="0" collapsed="false">
      <c r="A188" s="3" t="s">
        <v>2011</v>
      </c>
      <c r="B188" s="4"/>
      <c r="C188" s="4"/>
      <c r="D188" s="4"/>
      <c r="E188" s="4"/>
      <c r="F188" s="4"/>
      <c r="G188" s="4"/>
      <c r="H188" s="4"/>
      <c r="I188" s="4"/>
      <c r="J188" s="4"/>
    </row>
    <row r="189" customFormat="false" ht="51.75" hidden="false" customHeight="true" outlineLevel="0" collapsed="false">
      <c r="A189" s="32" t="s">
        <v>2012</v>
      </c>
      <c r="B189" s="32"/>
      <c r="C189" s="32"/>
      <c r="D189" s="32"/>
      <c r="E189" s="32"/>
      <c r="F189" s="32"/>
      <c r="G189" s="32"/>
      <c r="H189" s="32"/>
      <c r="I189" s="32"/>
      <c r="J189" s="32"/>
      <c r="K189" s="32"/>
    </row>
    <row r="190" customFormat="false" ht="43.5" hidden="false" customHeight="true" outlineLevel="0" collapsed="false">
      <c r="A190" s="23" t="s">
        <v>2013</v>
      </c>
      <c r="B190" s="24" t="s">
        <v>1976</v>
      </c>
      <c r="C190" s="24" t="s">
        <v>1977</v>
      </c>
      <c r="D190" s="24" t="s">
        <v>1978</v>
      </c>
      <c r="E190" s="24" t="s">
        <v>97</v>
      </c>
      <c r="F190" s="24" t="s">
        <v>1980</v>
      </c>
      <c r="G190" s="24" t="s">
        <v>1981</v>
      </c>
      <c r="H190" s="24" t="s">
        <v>1982</v>
      </c>
    </row>
    <row r="191" customFormat="false" ht="15" hidden="false" customHeight="false" outlineLevel="0" collapsed="false">
      <c r="A191" s="6" t="s">
        <v>1751</v>
      </c>
      <c r="B191" s="75" t="n">
        <f aca="false">SUMIFS($H$55:$H$125,$L$55:$L$125,"Ingeniería conceptual",$B$55:$B$125,"Contrato principal")</f>
        <v>560</v>
      </c>
      <c r="C191" s="75" t="n">
        <f aca="false">SUMIFS($H$55:$H$125,$L$55:$L$125,"Ingeniería conceptual",$B$55:$B$125,"Otrosí 1")</f>
        <v>0</v>
      </c>
      <c r="D191" s="75" t="n">
        <f aca="false">SUMIFS($H$55:$H$125,$L$55:$L$125,"Ingeniería conceptual",$B$55:$B$125,"Otrosí 2")</f>
        <v>0</v>
      </c>
      <c r="E191" s="75" t="n">
        <f aca="false">SUM(B191:D191)</f>
        <v>560</v>
      </c>
      <c r="F191" s="25" t="n">
        <f aca="false">SUMIF($L$55:$L$125,"Ingeniería conceptual",$J$55:$J$125)</f>
        <v>30.4562722354788</v>
      </c>
      <c r="G191" s="30" t="n">
        <f aca="false">F191*(1+$B$13+$B$14+$B$15)</f>
        <v>42.3342184073156</v>
      </c>
      <c r="H191" s="34" t="n">
        <f aca="false">G191/$G$197</f>
        <v>0.112586709072225</v>
      </c>
    </row>
    <row r="192" customFormat="false" ht="15" hidden="false" customHeight="false" outlineLevel="0" collapsed="false">
      <c r="A192" s="6" t="s">
        <v>1770</v>
      </c>
      <c r="B192" s="75" t="n">
        <f aca="false">SUMIFS($H$55:$H$125,$L$55:$L$125,"Ingeniería básica",$B$55:$B$125,"Contrato principal")</f>
        <v>634</v>
      </c>
      <c r="C192" s="75" t="n">
        <f aca="false">SUMIFS($H$55:$H$125,$L$55:$L$125,"Ingeniería básica",$B$55:$B$125,"Otrosí 1")</f>
        <v>0</v>
      </c>
      <c r="D192" s="75" t="n">
        <f aca="false">SUMIFS($H$55:$H$125,$L$55:$L$125,"Ingeniería básica",$B$55:$B$125,"Otrosí 2")</f>
        <v>0</v>
      </c>
      <c r="E192" s="75" t="n">
        <f aca="false">SUM(B192:D192)</f>
        <v>634</v>
      </c>
      <c r="F192" s="25" t="n">
        <f aca="false">SUMIF($L$55:$L$125,"Ingeniería básica",$J$55:$J$125)</f>
        <v>35.222289852381</v>
      </c>
      <c r="G192" s="30" t="n">
        <f aca="false">F192*(1+$B$13+$B$14+$B$15)</f>
        <v>48.9589828948095</v>
      </c>
      <c r="H192" s="34" t="n">
        <f aca="false">G192/$G$197</f>
        <v>0.130205091082948</v>
      </c>
    </row>
    <row r="193" customFormat="false" ht="15" hidden="false" customHeight="false" outlineLevel="0" collapsed="false">
      <c r="A193" s="6" t="s">
        <v>1783</v>
      </c>
      <c r="B193" s="75" t="n">
        <f aca="false">SUMIFS($H$55:$H$125,$L$55:$L$125,"Ingeniería de detalle",$B$55:$B$125,"Contrato principal")</f>
        <v>1086.5375</v>
      </c>
      <c r="C193" s="75" t="n">
        <f aca="false">SUMIFS($H$55:$H$125,$L$55:$L$125,"Ingeniería de detalle",$B$55:$B$125,"Otrosí 1")</f>
        <v>0</v>
      </c>
      <c r="D193" s="75" t="n">
        <f aca="false">SUMIFS($H$55:$H$125,$L$55:$L$125,"Ingeniería de detalle",$B$55:$B$125,"Otrosí 2")</f>
        <v>435.675</v>
      </c>
      <c r="E193" s="75" t="n">
        <f aca="false">SUM(B193:D193)</f>
        <v>1522.2125</v>
      </c>
      <c r="F193" s="25" t="n">
        <f aca="false">SUMIF($L$55:$L$125,"Ingeniería de detalle",$J$55:$J$125)</f>
        <v>85.1885049148989</v>
      </c>
      <c r="G193" s="30" t="n">
        <f aca="false">F193*(1+$B$13+$B$14+$B$15)</f>
        <v>118.41202183171</v>
      </c>
      <c r="H193" s="34" t="n">
        <f aca="false">G193/$G$197</f>
        <v>0.314913570019208</v>
      </c>
    </row>
    <row r="194" customFormat="false" ht="15" hidden="false" customHeight="false" outlineLevel="0" collapsed="false">
      <c r="A194" s="6" t="s">
        <v>1877</v>
      </c>
      <c r="B194" s="75" t="n">
        <f aca="false">SUMIFS($H$55:$H$125,$L$55:$L$125,"Implementación",$B$55:$B$125,"Contrato principal")</f>
        <v>0</v>
      </c>
      <c r="C194" s="75" t="n">
        <f aca="false">SUMIFS($H$55:$H$125,$L$55:$L$125,"Implementación",$B$55:$B$125,"Otrosí 1")</f>
        <v>556</v>
      </c>
      <c r="D194" s="75" t="n">
        <f aca="false">SUMIFS($H$55:$H$125,$L$55:$L$125,"Implementación",$B$55:$B$125,"Otrosí 2")</f>
        <v>440</v>
      </c>
      <c r="E194" s="75" t="n">
        <f aca="false">SUM(B194:D194)</f>
        <v>996</v>
      </c>
      <c r="F194" s="25" t="n">
        <f aca="false">SUMIF($L$55:$L$125,"Implementación",$J$55:$J$125)</f>
        <v>52.4550591834223</v>
      </c>
      <c r="G194" s="30" t="n">
        <f aca="false">F194*(1+$B$13+$B$14+$B$15)</f>
        <v>72.912532264957</v>
      </c>
      <c r="H194" s="34" t="n">
        <f aca="false">G194/$G$197</f>
        <v>0.193908907892235</v>
      </c>
    </row>
    <row r="195" customFormat="false" ht="15" hidden="false" customHeight="false" outlineLevel="0" collapsed="false">
      <c r="A195" s="6" t="s">
        <v>1747</v>
      </c>
      <c r="B195" s="75" t="n">
        <f aca="false">SUMIFS($H$55:$H$125,$L$55:$L$125,"Gestión del proyecto",$B$55:$B$125,"Contrato principal")</f>
        <v>400.05375</v>
      </c>
      <c r="C195" s="75" t="n">
        <f aca="false">SUMIFS($H$55:$H$125,$L$55:$L$125,"Gestión del proyecto",$B$55:$B$125,"Otrosí 1")</f>
        <v>55.6</v>
      </c>
      <c r="D195" s="75" t="n">
        <f aca="false">SUMIFS($H$55:$H$125,$L$55:$L$125,"Gestión del proyecto",$B$55:$B$125,"Otrosí 2")</f>
        <v>129.1675</v>
      </c>
      <c r="E195" s="75" t="n">
        <f aca="false">SUM(B195:D195)</f>
        <v>584.82125</v>
      </c>
      <c r="F195" s="25" t="n">
        <f aca="false">SUMIF($L$55:$L$125,"Gestión del proyecto",$J$55:$J$125)</f>
        <v>39.3917958074093</v>
      </c>
      <c r="G195" s="30" t="n">
        <f aca="false">F195*(1+$B$13+$B$14+$B$15)</f>
        <v>54.7545961722989</v>
      </c>
      <c r="H195" s="34" t="n">
        <f aca="false">G195/$G$197</f>
        <v>0.145618367872182</v>
      </c>
    </row>
    <row r="196" customFormat="false" ht="15" hidden="false" customHeight="false" outlineLevel="0" collapsed="false">
      <c r="A196" s="6" t="s">
        <v>2008</v>
      </c>
      <c r="G196" s="30" t="n">
        <f aca="false">I184</f>
        <v>38.642</v>
      </c>
      <c r="H196" s="34" t="n">
        <f aca="false">G196/$G$197</f>
        <v>0.102767354061203</v>
      </c>
    </row>
    <row r="197" customFormat="false" ht="15" hidden="false" customHeight="false" outlineLevel="0" collapsed="false">
      <c r="A197" s="5" t="s">
        <v>88</v>
      </c>
      <c r="B197" s="97" t="n">
        <f aca="false">SUM(B191:B195)</f>
        <v>2680.59125</v>
      </c>
      <c r="C197" s="97" t="n">
        <f aca="false">SUM(C191:C195)</f>
        <v>611.6</v>
      </c>
      <c r="D197" s="97" t="n">
        <f aca="false">SUM(D191:D195)</f>
        <v>1004.8425</v>
      </c>
      <c r="E197" s="97" t="n">
        <f aca="false">SUM(E191:E195)</f>
        <v>4297.03375</v>
      </c>
      <c r="F197" s="30" t="n">
        <f aca="false">SUM(F191:F195)</f>
        <v>242.71392199359</v>
      </c>
      <c r="G197" s="54" t="n">
        <f aca="false">SUM(G191:G196)</f>
        <v>376.014351571091</v>
      </c>
    </row>
    <row r="198" customFormat="false" ht="15" hidden="false" customHeight="false" outlineLevel="0" collapsed="false">
      <c r="A198" s="6" t="s">
        <v>2014</v>
      </c>
      <c r="G198" s="25" t="n">
        <f aca="false">G197-I149</f>
        <v>0</v>
      </c>
    </row>
    <row r="200" customFormat="false" ht="15" hidden="false" customHeight="false" outlineLevel="0" collapsed="false">
      <c r="A200" s="3" t="s">
        <v>2015</v>
      </c>
      <c r="B200" s="4"/>
      <c r="C200" s="4"/>
      <c r="D200" s="4"/>
      <c r="E200" s="4"/>
      <c r="F200" s="4"/>
      <c r="G200" s="4"/>
      <c r="H200" s="4"/>
      <c r="I200" s="4"/>
      <c r="J200" s="4"/>
    </row>
    <row r="201" customFormat="false" ht="30" hidden="false" customHeight="true" outlineLevel="0" collapsed="false">
      <c r="A201" s="23" t="s">
        <v>1676</v>
      </c>
      <c r="B201" s="24" t="s">
        <v>97</v>
      </c>
      <c r="C201" s="24" t="s">
        <v>2016</v>
      </c>
      <c r="D201" s="24" t="s">
        <v>1739</v>
      </c>
      <c r="E201" s="24" t="s">
        <v>2017</v>
      </c>
    </row>
    <row r="202" customFormat="false" ht="15" hidden="false" customHeight="false" outlineLevel="0" collapsed="false">
      <c r="A202" s="6" t="s">
        <v>1726</v>
      </c>
      <c r="B202" s="75" t="n">
        <f aca="false">B129+C129+D129+E129</f>
        <v>320.05375</v>
      </c>
      <c r="C202" s="75" t="n">
        <f aca="false">$G$44</f>
        <v>72646.2423757195</v>
      </c>
      <c r="D202" s="25" t="n">
        <f aca="false">B202*C202/1000000</f>
        <v>23.2507022957579</v>
      </c>
      <c r="E202" s="25" t="n">
        <f aca="false">B202*$F$44/1000000</f>
        <v>0.305760452663298</v>
      </c>
    </row>
    <row r="203" customFormat="false" ht="15" hidden="false" customHeight="false" outlineLevel="0" collapsed="false">
      <c r="A203" s="6" t="s">
        <v>1728</v>
      </c>
      <c r="B203" s="75" t="n">
        <f aca="false">B130+C130+D130+E130</f>
        <v>488</v>
      </c>
      <c r="C203" s="75" t="n">
        <f aca="false">$G$45</f>
        <v>49426.0117608582</v>
      </c>
      <c r="D203" s="25" t="n">
        <f aca="false">B203*C203/1000000</f>
        <v>24.1198937392988</v>
      </c>
      <c r="E203" s="25" t="n">
        <f aca="false">B203*$F$45/1000000</f>
        <v>1.58516916787023</v>
      </c>
    </row>
    <row r="204" customFormat="false" ht="15" hidden="false" customHeight="false" outlineLevel="0" collapsed="false">
      <c r="A204" s="6" t="s">
        <v>1730</v>
      </c>
      <c r="B204" s="75" t="n">
        <f aca="false">B131+C131+D131+E131</f>
        <v>1192.5375</v>
      </c>
      <c r="C204" s="75" t="n">
        <f aca="false">$G$46</f>
        <v>53470.6571166928</v>
      </c>
      <c r="D204" s="25" t="n">
        <f aca="false">B204*C204/1000000</f>
        <v>63.7657637612981</v>
      </c>
      <c r="E204" s="25" t="n">
        <f aca="false">B204*$F$46/1000000</f>
        <v>8.69710781129808</v>
      </c>
    </row>
    <row r="205" customFormat="false" ht="15" hidden="false" customHeight="false" outlineLevel="0" collapsed="false">
      <c r="A205" s="6" t="s">
        <v>1731</v>
      </c>
      <c r="B205" s="75" t="n">
        <f aca="false">B132+C132+D132+E132</f>
        <v>384</v>
      </c>
      <c r="C205" s="75" t="n">
        <f aca="false">$G$47</f>
        <v>72930.0259026688</v>
      </c>
      <c r="D205" s="25" t="n">
        <f aca="false">B205*C205/1000000</f>
        <v>28.0051299466248</v>
      </c>
      <c r="E205" s="25" t="n">
        <f aca="false">B205*$F$47/1000000</f>
        <v>10.2728876609105</v>
      </c>
    </row>
    <row r="206" customFormat="false" ht="15" hidden="false" customHeight="false" outlineLevel="0" collapsed="false">
      <c r="A206" s="6" t="s">
        <v>1397</v>
      </c>
      <c r="B206" s="75" t="n">
        <f aca="false">B133+C133+D133+E133</f>
        <v>296</v>
      </c>
      <c r="C206" s="75" t="n">
        <f aca="false">$G$48</f>
        <v>46868.9884877028</v>
      </c>
      <c r="D206" s="25" t="n">
        <f aca="false">B206*C206/1000000</f>
        <v>13.87322059236</v>
      </c>
      <c r="E206" s="25" t="n">
        <f aca="false">B206*$F$48/1000000</f>
        <v>0.204617163788592</v>
      </c>
    </row>
    <row r="207" customFormat="false" ht="15" hidden="false" customHeight="false" outlineLevel="0" collapsed="false">
      <c r="A207" s="6" t="s">
        <v>1948</v>
      </c>
      <c r="D207" s="75" t="n">
        <f aca="false">SUM(B202:B206)</f>
        <v>2680.59125</v>
      </c>
    </row>
    <row r="208" customFormat="false" ht="15" hidden="false" customHeight="false" outlineLevel="0" collapsed="false">
      <c r="A208" s="6" t="s">
        <v>2018</v>
      </c>
      <c r="D208" s="25" t="n">
        <f aca="false">SUM(D202:D206)</f>
        <v>153.01471033534</v>
      </c>
    </row>
    <row r="209" customFormat="false" ht="15" hidden="false" customHeight="false" outlineLevel="0" collapsed="false">
      <c r="A209" s="6" t="s">
        <v>1958</v>
      </c>
      <c r="D209" s="25" t="n">
        <f aca="false">B143+C143+D143+E143</f>
        <v>7.7</v>
      </c>
    </row>
    <row r="210" customFormat="false" ht="15" hidden="false" customHeight="false" outlineLevel="0" collapsed="false">
      <c r="A210" s="6" t="s">
        <v>1959</v>
      </c>
      <c r="D210" s="25" t="n">
        <f aca="false">B144+C144+D144+E144</f>
        <v>0</v>
      </c>
    </row>
    <row r="211" customFormat="false" ht="15" hidden="false" customHeight="false" outlineLevel="0" collapsed="false">
      <c r="A211" s="5" t="s">
        <v>1961</v>
      </c>
      <c r="D211" s="30" t="n">
        <f aca="false">$D$208+$D$209+$D$210</f>
        <v>160.71471033534</v>
      </c>
    </row>
    <row r="212" customFormat="false" ht="15" hidden="false" customHeight="false" outlineLevel="0" collapsed="false">
      <c r="A212" s="6" t="s">
        <v>1962</v>
      </c>
      <c r="D212" s="25" t="n">
        <f aca="false">$B$13*$D$211</f>
        <v>38.5715304804815</v>
      </c>
    </row>
    <row r="213" customFormat="false" ht="15" hidden="false" customHeight="false" outlineLevel="0" collapsed="false">
      <c r="A213" s="6" t="s">
        <v>1964</v>
      </c>
      <c r="D213" s="25" t="n">
        <f aca="false">$B$14*$D$211</f>
        <v>8.03573551676698</v>
      </c>
    </row>
    <row r="214" customFormat="false" ht="15" hidden="false" customHeight="false" outlineLevel="0" collapsed="false">
      <c r="A214" s="6" t="s">
        <v>1965</v>
      </c>
      <c r="D214" s="25" t="n">
        <f aca="false">$B$15*$D$211</f>
        <v>16.071471033534</v>
      </c>
    </row>
    <row r="215" customFormat="false" ht="15" hidden="false" customHeight="false" outlineLevel="0" collapsed="false">
      <c r="A215" s="5" t="s">
        <v>1966</v>
      </c>
      <c r="D215" s="54" t="n">
        <f aca="false">$D$211+$D$212+$D$213+$D$214</f>
        <v>223.393447366122</v>
      </c>
    </row>
    <row r="216" customFormat="false" ht="15" hidden="false" customHeight="false" outlineLevel="0" collapsed="false">
      <c r="A216" s="6" t="s">
        <v>1967</v>
      </c>
      <c r="D216" s="25" t="n">
        <f aca="false">$B$16*$D$215</f>
        <v>42.4447549995632</v>
      </c>
    </row>
    <row r="217" customFormat="false" ht="15" hidden="false" customHeight="false" outlineLevel="0" collapsed="false">
      <c r="A217" s="5" t="s">
        <v>1968</v>
      </c>
      <c r="D217" s="30" t="n">
        <f aca="false">$D$215+$D$216</f>
        <v>265.838202365685</v>
      </c>
    </row>
    <row r="218" customFormat="false" ht="15" hidden="false" customHeight="false" outlineLevel="0" collapsed="false">
      <c r="A218" s="9" t="s">
        <v>2019</v>
      </c>
    </row>
    <row r="220" customFormat="false" ht="15" hidden="false" customHeight="false" outlineLevel="0" collapsed="false">
      <c r="A220" s="3" t="s">
        <v>2020</v>
      </c>
      <c r="B220" s="4"/>
      <c r="C220" s="4"/>
      <c r="D220" s="4"/>
      <c r="E220" s="4"/>
      <c r="F220" s="4"/>
      <c r="G220" s="4"/>
      <c r="H220" s="4"/>
      <c r="I220" s="4"/>
      <c r="J220" s="4"/>
    </row>
    <row r="221" customFormat="false" ht="30" hidden="false" customHeight="true" outlineLevel="0" collapsed="false">
      <c r="A221" s="23" t="s">
        <v>1676</v>
      </c>
      <c r="B221" s="24" t="s">
        <v>97</v>
      </c>
      <c r="C221" s="24" t="s">
        <v>2016</v>
      </c>
      <c r="D221" s="24" t="s">
        <v>1739</v>
      </c>
      <c r="E221" s="24" t="s">
        <v>2017</v>
      </c>
    </row>
    <row r="222" customFormat="false" ht="15" hidden="false" customHeight="false" outlineLevel="0" collapsed="false">
      <c r="A222" s="6" t="s">
        <v>1726</v>
      </c>
      <c r="B222" s="75" t="n">
        <f aca="false">F129</f>
        <v>55.6</v>
      </c>
      <c r="C222" s="75" t="n">
        <f aca="false">$G$44</f>
        <v>72646.2423757195</v>
      </c>
      <c r="D222" s="25" t="n">
        <f aca="false">B222*C222/1000000</f>
        <v>4.03913107609001</v>
      </c>
      <c r="E222" s="25" t="n">
        <f aca="false">B222*$F$44/1000000</f>
        <v>0.0531169566614338</v>
      </c>
    </row>
    <row r="223" customFormat="false" ht="15" hidden="false" customHeight="false" outlineLevel="0" collapsed="false">
      <c r="A223" s="6" t="s">
        <v>1728</v>
      </c>
      <c r="B223" s="75" t="n">
        <f aca="false">F130</f>
        <v>120</v>
      </c>
      <c r="C223" s="75" t="n">
        <f aca="false">$G$45</f>
        <v>49426.0117608582</v>
      </c>
      <c r="D223" s="25" t="n">
        <f aca="false">B223*C223/1000000</f>
        <v>5.93112141130298</v>
      </c>
      <c r="E223" s="25" t="n">
        <f aca="false">B223*$F$45/1000000</f>
        <v>0.389795697017269</v>
      </c>
    </row>
    <row r="224" customFormat="false" ht="15" hidden="false" customHeight="false" outlineLevel="0" collapsed="false">
      <c r="A224" s="6" t="s">
        <v>1730</v>
      </c>
      <c r="B224" s="75" t="n">
        <f aca="false">F131</f>
        <v>436</v>
      </c>
      <c r="C224" s="75" t="n">
        <f aca="false">$G$46</f>
        <v>53470.6571166928</v>
      </c>
      <c r="D224" s="25" t="n">
        <f aca="false">B224*C224/1000000</f>
        <v>23.3132065028781</v>
      </c>
      <c r="E224" s="25" t="n">
        <f aca="false">B224*$F$46/1000000</f>
        <v>3.17972307430665</v>
      </c>
    </row>
    <row r="225" customFormat="false" ht="15" hidden="false" customHeight="false" outlineLevel="0" collapsed="false">
      <c r="A225" s="6" t="s">
        <v>1731</v>
      </c>
      <c r="B225" s="75" t="n">
        <f aca="false">F132</f>
        <v>0</v>
      </c>
      <c r="C225" s="75" t="n">
        <f aca="false">$G$47</f>
        <v>72930.0259026688</v>
      </c>
      <c r="D225" s="25" t="n">
        <f aca="false">B225*C225/1000000</f>
        <v>0</v>
      </c>
      <c r="E225" s="25" t="n">
        <f aca="false">B225*$F$47/1000000</f>
        <v>0</v>
      </c>
    </row>
    <row r="226" customFormat="false" ht="15" hidden="false" customHeight="false" outlineLevel="0" collapsed="false">
      <c r="A226" s="6" t="s">
        <v>1397</v>
      </c>
      <c r="B226" s="75" t="n">
        <f aca="false">F133</f>
        <v>0</v>
      </c>
      <c r="C226" s="75" t="n">
        <f aca="false">$G$48</f>
        <v>46868.9884877028</v>
      </c>
      <c r="D226" s="25" t="n">
        <f aca="false">B226*C226/1000000</f>
        <v>0</v>
      </c>
      <c r="E226" s="25" t="n">
        <f aca="false">B226*$F$48/1000000</f>
        <v>0</v>
      </c>
    </row>
    <row r="227" customFormat="false" ht="15" hidden="false" customHeight="false" outlineLevel="0" collapsed="false">
      <c r="A227" s="6" t="s">
        <v>1948</v>
      </c>
      <c r="D227" s="75" t="n">
        <f aca="false">SUM(B222:B226)</f>
        <v>611.6</v>
      </c>
    </row>
    <row r="228" customFormat="false" ht="15" hidden="false" customHeight="false" outlineLevel="0" collapsed="false">
      <c r="A228" s="6" t="s">
        <v>2018</v>
      </c>
      <c r="D228" s="25" t="n">
        <f aca="false">SUM(D222:D226)</f>
        <v>33.2834589902711</v>
      </c>
    </row>
    <row r="229" customFormat="false" ht="15" hidden="false" customHeight="false" outlineLevel="0" collapsed="false">
      <c r="A229" s="6" t="s">
        <v>1958</v>
      </c>
      <c r="D229" s="25" t="n">
        <f aca="false">F143</f>
        <v>10.5</v>
      </c>
    </row>
    <row r="230" customFormat="false" ht="15" hidden="false" customHeight="false" outlineLevel="0" collapsed="false">
      <c r="A230" s="6" t="s">
        <v>1959</v>
      </c>
      <c r="D230" s="25" t="n">
        <f aca="false">F144</f>
        <v>3</v>
      </c>
    </row>
    <row r="231" customFormat="false" ht="15" hidden="false" customHeight="false" outlineLevel="0" collapsed="false">
      <c r="A231" s="5" t="s">
        <v>1961</v>
      </c>
      <c r="D231" s="30" t="n">
        <f aca="false">$D$228+$D$229+$D$230</f>
        <v>46.7834589902711</v>
      </c>
    </row>
    <row r="232" customFormat="false" ht="15" hidden="false" customHeight="false" outlineLevel="0" collapsed="false">
      <c r="A232" s="6" t="s">
        <v>1962</v>
      </c>
      <c r="D232" s="25" t="n">
        <f aca="false">$B$13*$D$231</f>
        <v>11.2280301576651</v>
      </c>
    </row>
    <row r="233" customFormat="false" ht="15" hidden="false" customHeight="false" outlineLevel="0" collapsed="false">
      <c r="A233" s="6" t="s">
        <v>1964</v>
      </c>
      <c r="D233" s="25" t="n">
        <f aca="false">$B$14*$D$231</f>
        <v>2.33917294951355</v>
      </c>
    </row>
    <row r="234" customFormat="false" ht="15" hidden="false" customHeight="false" outlineLevel="0" collapsed="false">
      <c r="A234" s="6" t="s">
        <v>1965</v>
      </c>
      <c r="D234" s="25" t="n">
        <f aca="false">$B$15*$D$231</f>
        <v>4.67834589902711</v>
      </c>
    </row>
    <row r="235" customFormat="false" ht="15" hidden="false" customHeight="false" outlineLevel="0" collapsed="false">
      <c r="A235" s="5" t="s">
        <v>1966</v>
      </c>
      <c r="D235" s="54" t="n">
        <f aca="false">$D$231+$D$232+$D$233+$D$234</f>
        <v>65.0290079964768</v>
      </c>
    </row>
    <row r="236" customFormat="false" ht="15" hidden="false" customHeight="false" outlineLevel="0" collapsed="false">
      <c r="A236" s="6" t="s">
        <v>1967</v>
      </c>
      <c r="D236" s="25" t="n">
        <f aca="false">$B$16*$D$235</f>
        <v>12.3555115193306</v>
      </c>
    </row>
    <row r="237" customFormat="false" ht="15" hidden="false" customHeight="false" outlineLevel="0" collapsed="false">
      <c r="A237" s="5" t="s">
        <v>1968</v>
      </c>
      <c r="D237" s="30" t="n">
        <f aca="false">$D$235+$D$236</f>
        <v>77.3845195158074</v>
      </c>
    </row>
    <row r="238" customFormat="false" ht="15" hidden="false" customHeight="false" outlineLevel="0" collapsed="false">
      <c r="A238" s="9" t="s">
        <v>2021</v>
      </c>
    </row>
    <row r="240" customFormat="false" ht="15" hidden="false" customHeight="false" outlineLevel="0" collapsed="false">
      <c r="A240" s="3" t="s">
        <v>2022</v>
      </c>
      <c r="B240" s="4"/>
      <c r="C240" s="4"/>
      <c r="D240" s="4"/>
      <c r="E240" s="4"/>
      <c r="F240" s="4"/>
      <c r="G240" s="4"/>
      <c r="H240" s="4"/>
      <c r="I240" s="4"/>
      <c r="J240" s="4"/>
    </row>
    <row r="241" customFormat="false" ht="30" hidden="false" customHeight="true" outlineLevel="0" collapsed="false">
      <c r="A241" s="23" t="s">
        <v>1676</v>
      </c>
      <c r="B241" s="24" t="s">
        <v>97</v>
      </c>
      <c r="C241" s="24" t="s">
        <v>2016</v>
      </c>
      <c r="D241" s="24" t="s">
        <v>1739</v>
      </c>
      <c r="E241" s="24" t="s">
        <v>2017</v>
      </c>
    </row>
    <row r="242" customFormat="false" ht="15" hidden="false" customHeight="false" outlineLevel="0" collapsed="false">
      <c r="A242" s="6" t="s">
        <v>1726</v>
      </c>
      <c r="B242" s="75" t="n">
        <f aca="false">G129</f>
        <v>113.1675</v>
      </c>
      <c r="C242" s="75" t="n">
        <f aca="false">$G$44</f>
        <v>72646.2423757195</v>
      </c>
      <c r="D242" s="25" t="n">
        <f aca="false">B242*C242/1000000</f>
        <v>8.22119363405424</v>
      </c>
      <c r="E242" s="25" t="n">
        <f aca="false">B242*$F$44/1000000</f>
        <v>0.108113546636381</v>
      </c>
    </row>
    <row r="243" customFormat="false" ht="15" hidden="false" customHeight="false" outlineLevel="0" collapsed="false">
      <c r="A243" s="6" t="s">
        <v>1728</v>
      </c>
      <c r="B243" s="75" t="n">
        <f aca="false">G130</f>
        <v>192</v>
      </c>
      <c r="C243" s="75" t="n">
        <f aca="false">$G$45</f>
        <v>49426.0117608582</v>
      </c>
      <c r="D243" s="25" t="n">
        <f aca="false">B243*C243/1000000</f>
        <v>9.48979425808478</v>
      </c>
      <c r="E243" s="25" t="n">
        <f aca="false">B243*$F$45/1000000</f>
        <v>0.62367311522763</v>
      </c>
    </row>
    <row r="244" customFormat="false" ht="15" hidden="false" customHeight="false" outlineLevel="0" collapsed="false">
      <c r="A244" s="6" t="s">
        <v>1730</v>
      </c>
      <c r="B244" s="75" t="n">
        <f aca="false">G131</f>
        <v>579.675</v>
      </c>
      <c r="C244" s="75" t="n">
        <f aca="false">$G$46</f>
        <v>53470.6571166928</v>
      </c>
      <c r="D244" s="25" t="n">
        <f aca="false">B244*C244/1000000</f>
        <v>30.9956031641189</v>
      </c>
      <c r="E244" s="25" t="n">
        <f aca="false">B244*$F$46/1000000</f>
        <v>4.22753663554749</v>
      </c>
    </row>
    <row r="245" customFormat="false" ht="15" hidden="false" customHeight="false" outlineLevel="0" collapsed="false">
      <c r="A245" s="6" t="s">
        <v>1731</v>
      </c>
      <c r="B245" s="75" t="n">
        <f aca="false">G132</f>
        <v>80</v>
      </c>
      <c r="C245" s="75" t="n">
        <f aca="false">$G$47</f>
        <v>72930.0259026688</v>
      </c>
      <c r="D245" s="25" t="n">
        <f aca="false">B245*C245/1000000</f>
        <v>5.8344020722135</v>
      </c>
      <c r="E245" s="25" t="n">
        <f aca="false">B245*$F$47/1000000</f>
        <v>2.14018492935636</v>
      </c>
    </row>
    <row r="246" customFormat="false" ht="15" hidden="false" customHeight="false" outlineLevel="0" collapsed="false">
      <c r="A246" s="6" t="s">
        <v>1397</v>
      </c>
      <c r="B246" s="75" t="n">
        <f aca="false">G133</f>
        <v>40</v>
      </c>
      <c r="C246" s="75" t="n">
        <f aca="false">$G$48</f>
        <v>46868.9884877028</v>
      </c>
      <c r="D246" s="25" t="n">
        <f aca="false">B246*C246/1000000</f>
        <v>1.87475953950811</v>
      </c>
      <c r="E246" s="25" t="n">
        <f aca="false">B246*$F$48/1000000</f>
        <v>0.0276509680795395</v>
      </c>
    </row>
    <row r="247" customFormat="false" ht="15" hidden="false" customHeight="false" outlineLevel="0" collapsed="false">
      <c r="A247" s="6" t="s">
        <v>1948</v>
      </c>
      <c r="D247" s="75" t="n">
        <f aca="false">SUM(B242:B246)</f>
        <v>1004.8425</v>
      </c>
    </row>
    <row r="248" customFormat="false" ht="15" hidden="false" customHeight="false" outlineLevel="0" collapsed="false">
      <c r="A248" s="6" t="s">
        <v>2018</v>
      </c>
      <c r="D248" s="25" t="n">
        <f aca="false">SUM(D242:D246)</f>
        <v>56.4157526679795</v>
      </c>
    </row>
    <row r="249" customFormat="false" ht="15" hidden="false" customHeight="false" outlineLevel="0" collapsed="false">
      <c r="A249" s="6" t="s">
        <v>1958</v>
      </c>
      <c r="D249" s="25" t="n">
        <f aca="false">G143</f>
        <v>5.6</v>
      </c>
    </row>
    <row r="250" customFormat="false" ht="15" hidden="false" customHeight="false" outlineLevel="0" collapsed="false">
      <c r="A250" s="6" t="s">
        <v>1959</v>
      </c>
      <c r="D250" s="25" t="n">
        <f aca="false">G144</f>
        <v>1</v>
      </c>
    </row>
    <row r="251" customFormat="false" ht="15" hidden="false" customHeight="false" outlineLevel="0" collapsed="false">
      <c r="A251" s="5" t="s">
        <v>1961</v>
      </c>
      <c r="D251" s="30" t="n">
        <f aca="false">$D$248+$D$249+$D$250</f>
        <v>63.0157526679795</v>
      </c>
    </row>
    <row r="252" customFormat="false" ht="15" hidden="false" customHeight="false" outlineLevel="0" collapsed="false">
      <c r="A252" s="6" t="s">
        <v>1962</v>
      </c>
      <c r="D252" s="25" t="n">
        <f aca="false">$B$13*$D$251</f>
        <v>15.1237806403151</v>
      </c>
    </row>
    <row r="253" customFormat="false" ht="15" hidden="false" customHeight="false" outlineLevel="0" collapsed="false">
      <c r="A253" s="6" t="s">
        <v>1964</v>
      </c>
      <c r="D253" s="25" t="n">
        <f aca="false">$B$14*$D$251</f>
        <v>3.15078763339898</v>
      </c>
    </row>
    <row r="254" customFormat="false" ht="15" hidden="false" customHeight="false" outlineLevel="0" collapsed="false">
      <c r="A254" s="6" t="s">
        <v>1965</v>
      </c>
      <c r="D254" s="25" t="n">
        <f aca="false">$B$15*$D$251</f>
        <v>6.30157526679795</v>
      </c>
    </row>
    <row r="255" customFormat="false" ht="15" hidden="false" customHeight="false" outlineLevel="0" collapsed="false">
      <c r="A255" s="5" t="s">
        <v>1966</v>
      </c>
      <c r="D255" s="54" t="n">
        <f aca="false">$D$251+$D$252+$D$253+$D$254</f>
        <v>87.5918962084916</v>
      </c>
    </row>
    <row r="256" customFormat="false" ht="15" hidden="false" customHeight="false" outlineLevel="0" collapsed="false">
      <c r="A256" s="6" t="s">
        <v>1967</v>
      </c>
      <c r="D256" s="25" t="n">
        <f aca="false">$B$16*$D$255</f>
        <v>16.6424602796134</v>
      </c>
    </row>
    <row r="257" customFormat="false" ht="15" hidden="false" customHeight="false" outlineLevel="0" collapsed="false">
      <c r="A257" s="5" t="s">
        <v>1968</v>
      </c>
      <c r="D257" s="30" t="n">
        <f aca="false">$D$255+$D$256</f>
        <v>104.234356488105</v>
      </c>
    </row>
    <row r="258" customFormat="false" ht="15" hidden="false" customHeight="false" outlineLevel="0" collapsed="false">
      <c r="A258" s="9" t="s">
        <v>2023</v>
      </c>
    </row>
    <row r="260" customFormat="false" ht="15" hidden="false" customHeight="false" outlineLevel="0" collapsed="false">
      <c r="A260" s="3" t="s">
        <v>2024</v>
      </c>
      <c r="B260" s="4"/>
      <c r="C260" s="4"/>
      <c r="D260" s="4"/>
      <c r="E260" s="4"/>
      <c r="F260" s="4"/>
      <c r="G260" s="4"/>
      <c r="H260" s="4"/>
      <c r="I260" s="4"/>
      <c r="J260" s="4"/>
    </row>
    <row r="261" customFormat="false" ht="23.85" hidden="false" customHeight="false" outlineLevel="0" collapsed="false">
      <c r="A261" s="23" t="s">
        <v>109</v>
      </c>
      <c r="B261" s="24" t="s">
        <v>1743</v>
      </c>
      <c r="C261" s="24" t="s">
        <v>1874</v>
      </c>
      <c r="D261" s="24" t="s">
        <v>1895</v>
      </c>
      <c r="E261" s="24" t="s">
        <v>88</v>
      </c>
    </row>
    <row r="262" customFormat="false" ht="15" hidden="false" customHeight="false" outlineLevel="0" collapsed="false">
      <c r="A262" s="6" t="s">
        <v>2025</v>
      </c>
      <c r="B262" s="25" t="n">
        <f aca="false">$D$215</f>
        <v>223.393447366122</v>
      </c>
      <c r="C262" s="25" t="n">
        <f aca="false">$D$235</f>
        <v>65.0290079964768</v>
      </c>
      <c r="D262" s="25" t="n">
        <f aca="false">$D$255</f>
        <v>87.5918962084916</v>
      </c>
      <c r="E262" s="25" t="n">
        <f aca="false">B262+C262+D262</f>
        <v>376.01435157109</v>
      </c>
    </row>
    <row r="263" customFormat="false" ht="15" hidden="false" customHeight="false" outlineLevel="0" collapsed="false">
      <c r="A263" s="6" t="s">
        <v>2026</v>
      </c>
      <c r="B263" s="25" t="n">
        <f aca="false">-(($D$203-$E$203)+($D$204-$E$204)+($D$205-$E$205)+($D$206-$E$206))</f>
        <v>-109.004226235714</v>
      </c>
      <c r="C263" s="25" t="n">
        <f aca="false">-(($D$223-$E$223)+($D$224-$E$224)+($D$225-$E$225)+($D$226-$E$226))</f>
        <v>-25.6748091428571</v>
      </c>
      <c r="D263" s="25" t="n">
        <f aca="false">-(($D$243-$E$243)+($D$244-$E$244)+($D$245-$E$245)+($D$246-$E$246))</f>
        <v>-41.1755133857143</v>
      </c>
      <c r="E263" s="25" t="n">
        <f aca="false">B263+C263+D263</f>
        <v>-175.854548764286</v>
      </c>
    </row>
    <row r="264" customFormat="false" ht="15" hidden="false" customHeight="false" outlineLevel="0" collapsed="false">
      <c r="A264" s="6" t="s">
        <v>2027</v>
      </c>
      <c r="B264" s="25" t="n">
        <f aca="false">-($D$202-$E$202)</f>
        <v>-22.9449418430947</v>
      </c>
      <c r="C264" s="25" t="n">
        <f aca="false">-($D$222-$E$222)</f>
        <v>-3.98601411942857</v>
      </c>
      <c r="D264" s="25" t="n">
        <f aca="false">-($D$242-$E$242)</f>
        <v>-8.11308008741786</v>
      </c>
      <c r="E264" s="25" t="n">
        <f aca="false">B264+C264+D264</f>
        <v>-35.0440360499411</v>
      </c>
    </row>
    <row r="265" customFormat="false" ht="15" hidden="false" customHeight="false" outlineLevel="0" collapsed="false">
      <c r="A265" s="6" t="s">
        <v>2028</v>
      </c>
      <c r="B265" s="25" t="n">
        <f aca="false">-($E$202+$E$203+$E$204+$E$205+$E$206)</f>
        <v>-21.0655422565307</v>
      </c>
      <c r="C265" s="25" t="n">
        <f aca="false">-($E$222+$E$223+$E$224+$E$225+$E$226)</f>
        <v>-3.62263572798535</v>
      </c>
      <c r="D265" s="25" t="n">
        <f aca="false">-($E$242+$E$243+$E$244+$E$245+$E$246)</f>
        <v>-7.1271591948474</v>
      </c>
      <c r="E265" s="25" t="n">
        <f aca="false">B265+C265+D265</f>
        <v>-31.8153371793635</v>
      </c>
    </row>
    <row r="266" customFormat="false" ht="15" hidden="false" customHeight="false" outlineLevel="0" collapsed="false">
      <c r="A266" s="6" t="s">
        <v>2029</v>
      </c>
      <c r="B266" s="25" t="n">
        <f aca="false">-$D$209</f>
        <v>-7.7</v>
      </c>
      <c r="C266" s="25" t="n">
        <f aca="false">-$D$229</f>
        <v>-10.5</v>
      </c>
      <c r="D266" s="25" t="n">
        <f aca="false">-$D$249</f>
        <v>-5.6</v>
      </c>
      <c r="E266" s="25" t="n">
        <f aca="false">B266+C266+D266</f>
        <v>-23.8</v>
      </c>
    </row>
    <row r="267" customFormat="false" ht="15" hidden="false" customHeight="false" outlineLevel="0" collapsed="false">
      <c r="A267" s="6" t="s">
        <v>2030</v>
      </c>
      <c r="B267" s="25" t="n">
        <f aca="false">-$D$210</f>
        <v>-0</v>
      </c>
      <c r="C267" s="25" t="n">
        <f aca="false">-$D$230</f>
        <v>-3</v>
      </c>
      <c r="D267" s="25" t="n">
        <f aca="false">-$D$250</f>
        <v>-1</v>
      </c>
      <c r="E267" s="25" t="n">
        <f aca="false">B267+C267+D267</f>
        <v>-4</v>
      </c>
    </row>
    <row r="268" customFormat="false" ht="15" hidden="false" customHeight="false" outlineLevel="0" collapsed="false">
      <c r="A268" s="6" t="s">
        <v>2031</v>
      </c>
      <c r="B268" s="25" t="n">
        <f aca="false">-$D$212</f>
        <v>-38.5715304804815</v>
      </c>
      <c r="C268" s="25" t="n">
        <f aca="false">-$D$232</f>
        <v>-11.2280301576651</v>
      </c>
      <c r="D268" s="25" t="n">
        <f aca="false">-$D$252</f>
        <v>-15.1237806403151</v>
      </c>
      <c r="E268" s="25" t="n">
        <f aca="false">B268+C268+D268</f>
        <v>-64.9233412784617</v>
      </c>
    </row>
    <row r="269" customFormat="false" ht="15" hidden="false" customHeight="false" outlineLevel="0" collapsed="false">
      <c r="A269" s="6" t="s">
        <v>2032</v>
      </c>
      <c r="B269" s="25" t="n">
        <f aca="false">-$D$213</f>
        <v>-8.03573551676698</v>
      </c>
      <c r="C269" s="25" t="n">
        <f aca="false">-$D$233</f>
        <v>-2.33917294951355</v>
      </c>
      <c r="D269" s="25" t="n">
        <f aca="false">-$D$253</f>
        <v>-3.15078763339898</v>
      </c>
      <c r="E269" s="25" t="n">
        <f aca="false">B269+C269+D269</f>
        <v>-13.5256960996795</v>
      </c>
    </row>
    <row r="270" customFormat="false" ht="15" hidden="false" customHeight="false" outlineLevel="0" collapsed="false">
      <c r="A270" s="5" t="s">
        <v>1615</v>
      </c>
      <c r="B270" s="30" t="n">
        <f aca="false">SUM(B262:B269)</f>
        <v>16.0714710335339</v>
      </c>
      <c r="C270" s="30" t="n">
        <f aca="false">SUM(C262:C269)</f>
        <v>4.67834589902711</v>
      </c>
      <c r="D270" s="30" t="n">
        <f aca="false">SUM(D262:D269)</f>
        <v>6.30157526679796</v>
      </c>
      <c r="E270" s="30" t="n">
        <f aca="false">B270+C270+D270</f>
        <v>27.051392199359</v>
      </c>
    </row>
    <row r="271" customFormat="false" ht="15" hidden="false" customHeight="false" outlineLevel="0" collapsed="false">
      <c r="A271" s="6" t="s">
        <v>2033</v>
      </c>
      <c r="B271" s="25" t="n">
        <f aca="false">-$B$17*B270</f>
        <v>-5.62501486173687</v>
      </c>
      <c r="C271" s="25" t="n">
        <f aca="false">-$B$17*C270</f>
        <v>-1.63742106465949</v>
      </c>
      <c r="D271" s="25" t="n">
        <f aca="false">-$B$17*D270</f>
        <v>-2.20555134337929</v>
      </c>
      <c r="E271" s="25" t="n">
        <f aca="false">B271+C271+D271</f>
        <v>-9.46798726977564</v>
      </c>
    </row>
    <row r="272" customFormat="false" ht="15" hidden="false" customHeight="false" outlineLevel="0" collapsed="false">
      <c r="A272" s="5" t="s">
        <v>2034</v>
      </c>
      <c r="B272" s="30" t="n">
        <f aca="false">B270+B271</f>
        <v>10.446456171797</v>
      </c>
      <c r="C272" s="30" t="n">
        <f aca="false">C270+C271</f>
        <v>3.04092483436762</v>
      </c>
      <c r="D272" s="30" t="n">
        <f aca="false">D270+D271</f>
        <v>4.09602392341867</v>
      </c>
      <c r="E272" s="30" t="n">
        <f aca="false">B272+C272+D272</f>
        <v>17.5834049295833</v>
      </c>
    </row>
    <row r="273" customFormat="false" ht="15" hidden="false" customHeight="false" outlineLevel="0" collapsed="false">
      <c r="A273" s="6" t="s">
        <v>2035</v>
      </c>
      <c r="B273" s="25" t="n">
        <f aca="false">B272/$B$20</f>
        <v>1.74107602863284</v>
      </c>
      <c r="C273" s="25" t="n">
        <f aca="false">C272/$B$20</f>
        <v>0.506820805727937</v>
      </c>
      <c r="D273" s="25" t="n">
        <f aca="false">D272/$B$20</f>
        <v>0.682670653903112</v>
      </c>
      <c r="E273" s="25" t="n">
        <f aca="false">B273+C273+D273</f>
        <v>2.93056748826389</v>
      </c>
    </row>
    <row r="274" customFormat="false" ht="15" hidden="false" customHeight="false" outlineLevel="0" collapsed="false">
      <c r="A274" s="9" t="s">
        <v>2036</v>
      </c>
    </row>
    <row r="276" customFormat="false" ht="15" hidden="false" customHeight="false" outlineLevel="0" collapsed="false">
      <c r="A276" s="3" t="s">
        <v>2037</v>
      </c>
      <c r="B276" s="4"/>
      <c r="C276" s="4"/>
      <c r="D276" s="4"/>
      <c r="E276" s="4"/>
      <c r="F276" s="4"/>
      <c r="G276" s="4"/>
      <c r="H276" s="4"/>
      <c r="I276" s="4"/>
      <c r="J276" s="4"/>
    </row>
    <row r="277" customFormat="false" ht="15" hidden="false" customHeight="false" outlineLevel="0" collapsed="false">
      <c r="A277" s="23" t="s">
        <v>152</v>
      </c>
      <c r="B277" s="24" t="s">
        <v>188</v>
      </c>
      <c r="C277" s="24"/>
      <c r="D277" s="24" t="s">
        <v>67</v>
      </c>
    </row>
    <row r="278" customFormat="false" ht="15" hidden="false" customHeight="false" outlineLevel="0" collapsed="false">
      <c r="A278" s="6" t="s">
        <v>2038</v>
      </c>
      <c r="B278" s="8" t="n">
        <f aca="false">$B$15/(1+$B$13+$B$14+$B$15)</f>
        <v>0.0719424460431655</v>
      </c>
      <c r="D278" s="9" t="s">
        <v>2039</v>
      </c>
    </row>
    <row r="279" customFormat="false" ht="15" hidden="false" customHeight="false" outlineLevel="0" collapsed="false">
      <c r="A279" s="6" t="s">
        <v>2040</v>
      </c>
      <c r="B279" s="8" t="n">
        <f aca="false">$E$270/$E$262</f>
        <v>0.0719424460431653</v>
      </c>
      <c r="D279" s="9"/>
    </row>
    <row r="280" customFormat="false" ht="15" hidden="false" customHeight="false" outlineLevel="0" collapsed="false">
      <c r="A280" s="6" t="s">
        <v>2041</v>
      </c>
      <c r="B280" s="8" t="n">
        <f aca="false">$E$272/$E$262</f>
        <v>0.0467625899280575</v>
      </c>
      <c r="D280" s="9"/>
    </row>
    <row r="281" customFormat="false" ht="15" hidden="false" customHeight="false" outlineLevel="0" collapsed="false">
      <c r="A281" s="6" t="s">
        <v>2042</v>
      </c>
      <c r="B281" s="12" t="n">
        <f aca="false">$E$262/($D$202-$E$202+$D$203-$E$203+$D$204-$E$204+$D$205-$E$205+$D$206-$E$206+$D$222-$E$222+$D$223-$E$223+$D$224-$E$224+$D$225-$E$225+$D$226-$E$226+$D$242-$E$242+$D$243-$E$243+$D$244-$E$244+$D$245-$E$245+$D$246-$E$246)</f>
        <v>1.78291547997967</v>
      </c>
      <c r="D281" s="9" t="s">
        <v>2043</v>
      </c>
    </row>
    <row r="282" customFormat="false" ht="15" hidden="false" customHeight="false" outlineLevel="0" collapsed="false">
      <c r="A282" s="6" t="s">
        <v>2044</v>
      </c>
      <c r="B282" s="30" t="n">
        <f aca="false">$E$270-$E$269</f>
        <v>40.5770882990385</v>
      </c>
      <c r="D282" s="9" t="s">
        <v>2045</v>
      </c>
    </row>
    <row r="283" customFormat="false" ht="15" hidden="false" customHeight="false" outlineLevel="0" collapsed="false">
      <c r="A283" s="6" t="s">
        <v>2046</v>
      </c>
      <c r="B283" s="30" t="n">
        <f aca="false">$E$270-$E$269-0.1*($D$208+$D$228+$D$248)</f>
        <v>16.3056960996795</v>
      </c>
      <c r="D283" s="9" t="s">
        <v>2047</v>
      </c>
    </row>
    <row r="284" customFormat="false" ht="15" hidden="false" customHeight="false" outlineLevel="0" collapsed="false">
      <c r="A284" s="6" t="s">
        <v>2048</v>
      </c>
      <c r="B284" s="30" t="n">
        <f aca="false">$E$270-$E$269-0.2*($D$208+$D$228+$D$248)</f>
        <v>-7.96569609967957</v>
      </c>
      <c r="D284" s="9"/>
    </row>
    <row r="285" customFormat="false" ht="15" hidden="false" customHeight="false" outlineLevel="0" collapsed="false">
      <c r="A285" s="6" t="s">
        <v>2049</v>
      </c>
      <c r="B285" s="8" t="n">
        <f aca="false">($E$270-$E$269)/($D$208+$D$228+$D$248)</f>
        <v>0.167180720272445</v>
      </c>
      <c r="D285" s="9" t="s">
        <v>2050</v>
      </c>
    </row>
    <row r="287" customFormat="false" ht="15" hidden="false" customHeight="false" outlineLevel="0" collapsed="false">
      <c r="A287" s="3" t="s">
        <v>2051</v>
      </c>
      <c r="B287" s="4"/>
      <c r="C287" s="4"/>
      <c r="D287" s="4"/>
      <c r="E287" s="4"/>
      <c r="F287" s="4"/>
      <c r="G287" s="4"/>
      <c r="H287" s="4"/>
      <c r="I287" s="4"/>
      <c r="J287" s="4"/>
    </row>
    <row r="288" customFormat="false" ht="23.85" hidden="false" customHeight="false" outlineLevel="0" collapsed="false">
      <c r="A288" s="23" t="s">
        <v>2052</v>
      </c>
      <c r="B288" s="24" t="s">
        <v>97</v>
      </c>
      <c r="C288" s="24" t="s">
        <v>2053</v>
      </c>
      <c r="D288" s="24" t="s">
        <v>2054</v>
      </c>
      <c r="E288" s="24" t="s">
        <v>2055</v>
      </c>
      <c r="F288" s="24" t="s">
        <v>2056</v>
      </c>
    </row>
    <row r="289" customFormat="false" ht="15" hidden="false" customHeight="false" outlineLevel="0" collapsed="false">
      <c r="A289" s="6" t="s">
        <v>1726</v>
      </c>
      <c r="B289" s="75" t="n">
        <f aca="false">(B202+B222+B242)/1</f>
        <v>488.82125</v>
      </c>
      <c r="C289" s="25" t="n">
        <f aca="false">B289*$B$9*$B$6/$B$7</f>
        <v>25.3942290216964</v>
      </c>
      <c r="D289" s="25" t="n">
        <v>0</v>
      </c>
      <c r="E289" s="25" t="n">
        <f aca="false">$E$273</f>
        <v>2.93056748826389</v>
      </c>
      <c r="F289" s="30" t="n">
        <f aca="false">C289+D289+E289</f>
        <v>28.3247965099603</v>
      </c>
    </row>
    <row r="290" customFormat="false" ht="15" hidden="false" customHeight="false" outlineLevel="0" collapsed="false">
      <c r="A290" s="6" t="s">
        <v>1728</v>
      </c>
      <c r="B290" s="75" t="n">
        <f aca="false">(B203+B223+B243)/1</f>
        <v>800</v>
      </c>
      <c r="C290" s="25" t="n">
        <f aca="false">(D203-E203+D223-E223+D243-E243)/1</f>
        <v>36.9421714285714</v>
      </c>
      <c r="D290" s="25" t="n">
        <f aca="false">-$B$18*C290</f>
        <v>-4.2885427968</v>
      </c>
      <c r="E290" s="25" t="n">
        <f aca="false">$E$273</f>
        <v>2.93056748826389</v>
      </c>
      <c r="F290" s="30" t="n">
        <f aca="false">C290+D290+E290</f>
        <v>35.5841961200353</v>
      </c>
    </row>
    <row r="291" customFormat="false" ht="15" hidden="false" customHeight="false" outlineLevel="0" collapsed="false">
      <c r="A291" s="6" t="s">
        <v>2057</v>
      </c>
      <c r="B291" s="75" t="n">
        <f aca="false">(B204+B224+B244)/2</f>
        <v>1104.10625</v>
      </c>
      <c r="C291" s="25" t="n">
        <f aca="false">(D204-E204+D224-E224+D244-E244)/2</f>
        <v>50.9851029535714</v>
      </c>
      <c r="D291" s="25" t="n">
        <f aca="false">-$B$18*C291</f>
        <v>-5.9187586316742</v>
      </c>
      <c r="E291" s="25" t="n">
        <f aca="false">$E$273</f>
        <v>2.93056748826389</v>
      </c>
      <c r="F291" s="30" t="n">
        <f aca="false">C291+D291+E291</f>
        <v>47.9969118101611</v>
      </c>
    </row>
    <row r="292" customFormat="false" ht="15" hidden="false" customHeight="false" outlineLevel="0" collapsed="false">
      <c r="A292" s="6" t="s">
        <v>1731</v>
      </c>
      <c r="B292" s="75" t="n">
        <f aca="false">(B205+B225+B245)/1</f>
        <v>464</v>
      </c>
      <c r="C292" s="25" t="n">
        <f aca="false">(D205-E205+D225-E225+D245-E245)/1</f>
        <v>21.4264594285714</v>
      </c>
      <c r="D292" s="25" t="n">
        <f aca="false">-$B$18*C292</f>
        <v>-2.487354822144</v>
      </c>
      <c r="E292" s="25" t="n">
        <f aca="false">$E$273</f>
        <v>2.93056748826389</v>
      </c>
      <c r="F292" s="30" t="n">
        <f aca="false">C292+D292+E292</f>
        <v>21.8696720946913</v>
      </c>
    </row>
    <row r="293" customFormat="false" ht="15" hidden="false" customHeight="false" outlineLevel="0" collapsed="false">
      <c r="A293" s="6" t="s">
        <v>1397</v>
      </c>
      <c r="B293" s="75" t="n">
        <f aca="false">(B206+B226+B246)/1</f>
        <v>336</v>
      </c>
      <c r="C293" s="25" t="n">
        <f aca="false">(D206-E206+D226-E226+D246-E246)/1</f>
        <v>15.515712</v>
      </c>
      <c r="D293" s="25" t="n">
        <f aca="false">-$B$18*C293</f>
        <v>-1.801187974656</v>
      </c>
      <c r="E293" s="25" t="n">
        <f aca="false">$E$273</f>
        <v>2.93056748826389</v>
      </c>
      <c r="F293" s="30" t="n">
        <f aca="false">C293+D293+E293</f>
        <v>16.6450915136079</v>
      </c>
    </row>
    <row r="294" customFormat="false" ht="15" hidden="false" customHeight="false" outlineLevel="0" collapsed="false">
      <c r="A294" s="9" t="s">
        <v>2058</v>
      </c>
    </row>
    <row r="296" customFormat="false" ht="15" hidden="false" customHeight="false" outlineLevel="0" collapsed="false">
      <c r="A296" s="3" t="s">
        <v>2059</v>
      </c>
      <c r="B296" s="4"/>
      <c r="C296" s="4"/>
      <c r="D296" s="4"/>
      <c r="E296" s="4"/>
      <c r="F296" s="4"/>
      <c r="G296" s="4"/>
      <c r="H296" s="4"/>
      <c r="I296" s="4"/>
      <c r="J296" s="4"/>
    </row>
    <row r="297" customFormat="false" ht="15" hidden="false" customHeight="false" outlineLevel="0" collapsed="false">
      <c r="A297" s="23" t="s">
        <v>2060</v>
      </c>
      <c r="B297" s="24" t="s">
        <v>2061</v>
      </c>
      <c r="C297" s="24" t="s">
        <v>2062</v>
      </c>
      <c r="D297" s="24" t="s">
        <v>2063</v>
      </c>
      <c r="E297" s="24" t="s">
        <v>2064</v>
      </c>
    </row>
    <row r="298" customFormat="false" ht="15" hidden="false" customHeight="false" outlineLevel="0" collapsed="false">
      <c r="A298" s="6" t="s">
        <v>2065</v>
      </c>
      <c r="B298" s="46" t="n">
        <v>0.3</v>
      </c>
      <c r="C298" s="25" t="n">
        <f aca="false">B298*$D$215</f>
        <v>67.0180342098366</v>
      </c>
      <c r="D298" s="25" t="n">
        <f aca="false">B298*$D$217</f>
        <v>79.7514607097056</v>
      </c>
      <c r="E298" s="9" t="s">
        <v>2066</v>
      </c>
    </row>
    <row r="299" customFormat="false" ht="15" hidden="false" customHeight="false" outlineLevel="0" collapsed="false">
      <c r="A299" s="6" t="s">
        <v>2067</v>
      </c>
      <c r="B299" s="46" t="n">
        <v>0.4</v>
      </c>
      <c r="C299" s="25" t="n">
        <f aca="false">B299*$D$215</f>
        <v>89.3573789464488</v>
      </c>
      <c r="D299" s="25" t="n">
        <f aca="false">B299*$D$217</f>
        <v>106.335280946274</v>
      </c>
      <c r="E299" s="9" t="s">
        <v>2068</v>
      </c>
    </row>
    <row r="300" customFormat="false" ht="15" hidden="false" customHeight="false" outlineLevel="0" collapsed="false">
      <c r="A300" s="6" t="s">
        <v>2069</v>
      </c>
      <c r="B300" s="46" t="n">
        <v>0.3</v>
      </c>
      <c r="C300" s="25" t="n">
        <f aca="false">B300*$D$215</f>
        <v>67.0180342098366</v>
      </c>
      <c r="D300" s="25" t="n">
        <f aca="false">B300*$D$217</f>
        <v>79.7514607097056</v>
      </c>
      <c r="E300" s="9" t="s">
        <v>2070</v>
      </c>
    </row>
    <row r="301" customFormat="false" ht="15" hidden="false" customHeight="false" outlineLevel="0" collapsed="false">
      <c r="A301" s="6" t="s">
        <v>2071</v>
      </c>
      <c r="B301" s="46" t="n">
        <v>0.5</v>
      </c>
      <c r="C301" s="25" t="n">
        <f aca="false">B301*$D$235</f>
        <v>32.5145039982384</v>
      </c>
      <c r="D301" s="25" t="n">
        <f aca="false">B301*$D$237</f>
        <v>38.6922597579037</v>
      </c>
      <c r="E301" s="9" t="s">
        <v>2072</v>
      </c>
    </row>
    <row r="302" customFormat="false" ht="15" hidden="false" customHeight="false" outlineLevel="0" collapsed="false">
      <c r="A302" s="6" t="s">
        <v>2073</v>
      </c>
      <c r="B302" s="46" t="n">
        <v>0.5</v>
      </c>
      <c r="C302" s="25" t="n">
        <f aca="false">B302*$D$235</f>
        <v>32.5145039982384</v>
      </c>
      <c r="D302" s="25" t="n">
        <f aca="false">B302*$D$237</f>
        <v>38.6922597579037</v>
      </c>
      <c r="E302" s="9" t="s">
        <v>2074</v>
      </c>
    </row>
    <row r="303" customFormat="false" ht="15" hidden="false" customHeight="false" outlineLevel="0" collapsed="false">
      <c r="A303" s="6" t="s">
        <v>2075</v>
      </c>
      <c r="B303" s="46" t="n">
        <v>0.5</v>
      </c>
      <c r="C303" s="25" t="n">
        <f aca="false">B303*$D$255</f>
        <v>43.7959481042458</v>
      </c>
      <c r="D303" s="25" t="n">
        <f aca="false">B303*$D$257</f>
        <v>52.1171782440525</v>
      </c>
      <c r="E303" s="9" t="s">
        <v>2076</v>
      </c>
    </row>
    <row r="304" customFormat="false" ht="15" hidden="false" customHeight="false" outlineLevel="0" collapsed="false">
      <c r="A304" s="6" t="s">
        <v>2077</v>
      </c>
      <c r="B304" s="46" t="n">
        <v>0.5</v>
      </c>
      <c r="C304" s="25" t="n">
        <f aca="false">B304*$D$255</f>
        <v>43.7959481042458</v>
      </c>
      <c r="D304" s="25" t="n">
        <f aca="false">B304*$D$257</f>
        <v>52.1171782440525</v>
      </c>
      <c r="E304" s="9" t="s">
        <v>132</v>
      </c>
    </row>
    <row r="306" customFormat="false" ht="15" hidden="false" customHeight="false" outlineLevel="0" collapsed="false">
      <c r="A306" s="3" t="s">
        <v>2078</v>
      </c>
      <c r="B306" s="4"/>
      <c r="C306" s="4"/>
      <c r="D306" s="4"/>
      <c r="E306" s="4"/>
      <c r="F306" s="4"/>
      <c r="G306" s="4"/>
      <c r="H306" s="4"/>
      <c r="I306" s="4"/>
      <c r="J306" s="4"/>
    </row>
    <row r="307" customFormat="false" ht="43.5" hidden="false" customHeight="true" outlineLevel="0" collapsed="false">
      <c r="A307" s="32" t="s">
        <v>2079</v>
      </c>
      <c r="B307" s="32"/>
      <c r="C307" s="32"/>
      <c r="D307" s="32"/>
      <c r="E307" s="32"/>
      <c r="F307" s="32"/>
      <c r="G307" s="32"/>
      <c r="H307" s="32"/>
      <c r="I307" s="32"/>
      <c r="J307" s="32"/>
      <c r="K307" s="32"/>
    </row>
    <row r="308" customFormat="false" ht="30" hidden="false" customHeight="true" outlineLevel="0" collapsed="false">
      <c r="A308" s="23" t="s">
        <v>1064</v>
      </c>
      <c r="B308" s="24" t="s">
        <v>2080</v>
      </c>
      <c r="C308" s="24" t="s">
        <v>2081</v>
      </c>
      <c r="D308" s="24" t="s">
        <v>2082</v>
      </c>
      <c r="E308" s="24" t="s">
        <v>2083</v>
      </c>
    </row>
    <row r="309" customFormat="false" ht="15" hidden="false" customHeight="false" outlineLevel="0" collapsed="false">
      <c r="A309" s="6" t="s">
        <v>1984</v>
      </c>
      <c r="B309" s="51" t="n">
        <v>1</v>
      </c>
      <c r="C309" s="73" t="n">
        <v>2</v>
      </c>
      <c r="D309" s="73" t="n">
        <f aca="false">B309+C309-1</f>
        <v>2</v>
      </c>
      <c r="E309" s="25" t="n">
        <f aca="false">SUMIFS($J$55:$J$125,$I$55:$I$125,"1.1",$B$55:$B$125,"Contrato principal")</f>
        <v>4.35877454254317</v>
      </c>
    </row>
    <row r="310" customFormat="false" ht="15" hidden="false" customHeight="false" outlineLevel="0" collapsed="false">
      <c r="A310" s="6" t="s">
        <v>1985</v>
      </c>
      <c r="B310" s="51" t="n">
        <v>1</v>
      </c>
      <c r="C310" s="73" t="n">
        <v>16</v>
      </c>
      <c r="D310" s="73" t="n">
        <f aca="false">B310+C310-1</f>
        <v>16</v>
      </c>
      <c r="E310" s="25" t="n">
        <f aca="false">SUMIFS($J$55:$J$125,$I$55:$I$125,"1.2",$B$55:$B$125,"Contrato principal")</f>
        <v>17.1484179361975</v>
      </c>
    </row>
    <row r="311" customFormat="false" ht="15" hidden="false" customHeight="false" outlineLevel="0" collapsed="false">
      <c r="A311" s="6" t="s">
        <v>1986</v>
      </c>
      <c r="B311" s="51" t="n">
        <v>15</v>
      </c>
      <c r="C311" s="73" t="n">
        <v>2</v>
      </c>
      <c r="D311" s="73" t="n">
        <f aca="false">B311+C311-1</f>
        <v>16</v>
      </c>
      <c r="E311" s="25" t="n">
        <f aca="false">SUMIFS($J$55:$J$125,$I$55:$I$125,"1.3",$B$55:$B$125,"Contrato principal")</f>
        <v>3.88233610168498</v>
      </c>
    </row>
    <row r="312" customFormat="false" ht="15" hidden="false" customHeight="false" outlineLevel="0" collapsed="false">
      <c r="A312" s="6" t="s">
        <v>1988</v>
      </c>
      <c r="B312" s="51" t="n">
        <v>1</v>
      </c>
      <c r="C312" s="73" t="n">
        <v>2</v>
      </c>
      <c r="D312" s="73" t="n">
        <f aca="false">B312+C312-1</f>
        <v>2</v>
      </c>
      <c r="E312" s="25" t="n">
        <f aca="false">SUMIFS($J$55:$J$125,$I$55:$I$125,"2.1",$B$55:$B$125,"Contrato principal")</f>
        <v>7.90816188173731</v>
      </c>
    </row>
    <row r="313" customFormat="false" ht="15" hidden="false" customHeight="false" outlineLevel="0" collapsed="false">
      <c r="A313" s="6" t="s">
        <v>1989</v>
      </c>
      <c r="B313" s="51" t="n">
        <v>3</v>
      </c>
      <c r="C313" s="73" t="n">
        <v>3</v>
      </c>
      <c r="D313" s="73" t="n">
        <f aca="false">B313+C313-1</f>
        <v>5</v>
      </c>
      <c r="E313" s="25" t="n">
        <f aca="false">SUMIFS($J$55:$J$125,$I$55:$I$125,"2.2",$B$55:$B$125,"Contrato principal")</f>
        <v>7.11734569356358</v>
      </c>
    </row>
    <row r="314" customFormat="false" ht="15" hidden="false" customHeight="false" outlineLevel="0" collapsed="false">
      <c r="A314" s="6" t="s">
        <v>1990</v>
      </c>
      <c r="B314" s="51" t="n">
        <v>3</v>
      </c>
      <c r="C314" s="73" t="n">
        <v>3</v>
      </c>
      <c r="D314" s="73" t="n">
        <f aca="false">B314+C314-1</f>
        <v>5</v>
      </c>
      <c r="E314" s="25" t="n">
        <f aca="false">SUMIFS($J$55:$J$125,$I$55:$I$125,"2.3",$B$55:$B$125,"Contrato principal")</f>
        <v>3.95408094086866</v>
      </c>
    </row>
    <row r="315" customFormat="false" ht="15" hidden="false" customHeight="false" outlineLevel="0" collapsed="false">
      <c r="A315" s="6" t="s">
        <v>1991</v>
      </c>
      <c r="B315" s="51" t="n">
        <v>6</v>
      </c>
      <c r="C315" s="73" t="n">
        <v>2</v>
      </c>
      <c r="D315" s="73" t="n">
        <f aca="false">B315+C315-1</f>
        <v>7</v>
      </c>
      <c r="E315" s="25" t="n">
        <f aca="false">SUMIFS($J$55:$J$125,$I$55:$I$125,"2.4",$B$55:$B$125,"Contrato principal")</f>
        <v>3.95408094086866</v>
      </c>
    </row>
    <row r="316" customFormat="false" ht="15" hidden="false" customHeight="false" outlineLevel="0" collapsed="false">
      <c r="A316" s="6" t="s">
        <v>1992</v>
      </c>
      <c r="B316" s="51" t="n">
        <v>5</v>
      </c>
      <c r="C316" s="73" t="n">
        <v>3</v>
      </c>
      <c r="D316" s="73" t="n">
        <f aca="false">B316+C316-1</f>
        <v>7</v>
      </c>
      <c r="E316" s="25" t="n">
        <f aca="false">SUMIFS($J$55:$J$125,$I$55:$I$125,"2.5",$B$55:$B$125,"Contrato principal")</f>
        <v>2.13882628466771</v>
      </c>
    </row>
    <row r="317" customFormat="false" ht="15" hidden="false" customHeight="false" outlineLevel="0" collapsed="false">
      <c r="A317" s="6" t="s">
        <v>1994</v>
      </c>
      <c r="B317" s="51" t="n">
        <v>6</v>
      </c>
      <c r="C317" s="73" t="n">
        <v>3</v>
      </c>
      <c r="D317" s="73" t="n">
        <f aca="false">B317+C317-1</f>
        <v>8</v>
      </c>
      <c r="E317" s="25" t="n">
        <f aca="false">SUMIFS($J$55:$J$125,$I$55:$I$125,"3.1",$B$55:$B$125,"Contrato principal")</f>
        <v>11.4427206229723</v>
      </c>
    </row>
    <row r="318" customFormat="false" ht="15" hidden="false" customHeight="false" outlineLevel="0" collapsed="false">
      <c r="A318" s="6" t="s">
        <v>1995</v>
      </c>
      <c r="B318" s="51" t="n">
        <v>8</v>
      </c>
      <c r="C318" s="73" t="n">
        <v>4</v>
      </c>
      <c r="D318" s="73" t="n">
        <f aca="false">B318+C318-1</f>
        <v>11</v>
      </c>
      <c r="E318" s="25" t="n">
        <f aca="false">SUMIFS($J$55:$J$125,$I$55:$I$125,"3.2",$B$55:$B$125,"Contrato principal")</f>
        <v>26.2293624653797</v>
      </c>
    </row>
    <row r="319" customFormat="false" ht="15" hidden="false" customHeight="false" outlineLevel="0" collapsed="false">
      <c r="A319" s="6" t="s">
        <v>1996</v>
      </c>
      <c r="B319" s="51" t="n">
        <v>10</v>
      </c>
      <c r="C319" s="73" t="n">
        <v>3</v>
      </c>
      <c r="D319" s="73" t="n">
        <f aca="false">B319+C319-1</f>
        <v>12</v>
      </c>
      <c r="E319" s="25" t="n">
        <f aca="false">SUMIFS($J$55:$J$125,$I$55:$I$125,"3.3",$B$55:$B$125,"Contrato principal")</f>
        <v>7.27200936787023</v>
      </c>
    </row>
    <row r="320" customFormat="false" ht="15" hidden="false" customHeight="false" outlineLevel="0" collapsed="false">
      <c r="A320" s="6" t="s">
        <v>1998</v>
      </c>
      <c r="B320" s="51" t="n">
        <v>6</v>
      </c>
      <c r="C320" s="73" t="n">
        <v>4</v>
      </c>
      <c r="D320" s="73" t="n">
        <f aca="false">B320+C320-1</f>
        <v>9</v>
      </c>
      <c r="E320" s="25" t="n">
        <f aca="false">SUMIFS($J$55:$J$125,$I$55:$I$125,"4.1",$B$55:$B$125,"Contrato principal")</f>
        <v>10.5019237299843</v>
      </c>
    </row>
    <row r="321" customFormat="false" ht="15" hidden="false" customHeight="false" outlineLevel="0" collapsed="false">
      <c r="A321" s="6" t="s">
        <v>1999</v>
      </c>
      <c r="B321" s="51" t="n">
        <v>10</v>
      </c>
      <c r="C321" s="73" t="n">
        <v>3</v>
      </c>
      <c r="D321" s="73" t="n">
        <f aca="false">B321+C321-1</f>
        <v>12</v>
      </c>
      <c r="E321" s="25" t="n">
        <f aca="false">SUMIFS($J$55:$J$125,$I$55:$I$125,"4.2",$B$55:$B$125,"Contrato principal")</f>
        <v>9.60713362218734</v>
      </c>
    </row>
    <row r="322" customFormat="false" ht="15" hidden="false" customHeight="false" outlineLevel="0" collapsed="false">
      <c r="A322" s="6" t="s">
        <v>2000</v>
      </c>
      <c r="B322" s="51" t="n">
        <v>11</v>
      </c>
      <c r="C322" s="73" t="n">
        <v>4</v>
      </c>
      <c r="D322" s="73" t="n">
        <f aca="false">B322+C322-1</f>
        <v>14</v>
      </c>
      <c r="E322" s="25" t="n">
        <f aca="false">SUMIFS($J$55:$J$125,$I$55:$I$125,"4.3",$B$55:$B$125,"Contrato principal")</f>
        <v>8.75160310832025</v>
      </c>
    </row>
    <row r="323" customFormat="false" ht="15" hidden="false" customHeight="false" outlineLevel="0" collapsed="false">
      <c r="A323" s="6" t="s">
        <v>2002</v>
      </c>
      <c r="B323" s="51" t="n">
        <v>8</v>
      </c>
      <c r="C323" s="73" t="n">
        <v>4</v>
      </c>
      <c r="D323" s="73" t="n">
        <f aca="false">B323+C323-1</f>
        <v>11</v>
      </c>
      <c r="E323" s="25" t="n">
        <f aca="false">SUMIFS($J$55:$J$125,$I$55:$I$125,"5.1",$B$55:$B$125,"Contrato principal")</f>
        <v>9.74152942093145</v>
      </c>
    </row>
    <row r="324" customFormat="false" ht="15" hidden="false" customHeight="false" outlineLevel="0" collapsed="false">
      <c r="A324" s="6" t="s">
        <v>2003</v>
      </c>
      <c r="B324" s="51" t="n">
        <v>9</v>
      </c>
      <c r="C324" s="73" t="n">
        <v>4</v>
      </c>
      <c r="D324" s="73" t="n">
        <f aca="false">B324+C324-1</f>
        <v>12</v>
      </c>
      <c r="E324" s="25" t="n">
        <f aca="false">SUMIFS($J$55:$J$125,$I$55:$I$125,"5.2",$B$55:$B$125,"Contrato principal")</f>
        <v>2.62466335531136</v>
      </c>
    </row>
    <row r="325" customFormat="false" ht="15" hidden="false" customHeight="false" outlineLevel="0" collapsed="false">
      <c r="A325" s="6" t="s">
        <v>2004</v>
      </c>
      <c r="B325" s="51" t="n">
        <v>13</v>
      </c>
      <c r="C325" s="73" t="n">
        <v>2</v>
      </c>
      <c r="D325" s="73" t="n">
        <f aca="false">B325+C325-1</f>
        <v>14</v>
      </c>
      <c r="E325" s="25" t="n">
        <f aca="false">SUMIFS($J$55:$J$125,$I$55:$I$125,"5.3",$B$55:$B$125,"Contrato principal")</f>
        <v>5.13318308320251</v>
      </c>
    </row>
    <row r="326" customFormat="false" ht="15" hidden="false" customHeight="false" outlineLevel="0" collapsed="false">
      <c r="A326" s="6" t="s">
        <v>2006</v>
      </c>
      <c r="B326" s="51" t="n">
        <v>3</v>
      </c>
      <c r="C326" s="73" t="n">
        <v>12</v>
      </c>
      <c r="D326" s="73" t="n">
        <f aca="false">B326+C326-1</f>
        <v>14</v>
      </c>
      <c r="E326" s="25" t="n">
        <f aca="false">SUMIFS($J$55:$J$125,$I$55:$I$125,"6.1",$B$55:$B$125,"Contrato principal")</f>
        <v>7.49903815803245</v>
      </c>
    </row>
    <row r="327" customFormat="false" ht="15" hidden="false" customHeight="false" outlineLevel="0" collapsed="false">
      <c r="A327" s="6" t="s">
        <v>2007</v>
      </c>
      <c r="B327" s="51" t="n">
        <v>12</v>
      </c>
      <c r="C327" s="73" t="n">
        <v>3</v>
      </c>
      <c r="D327" s="73" t="n">
        <f aca="false">B327+C327-1</f>
        <v>14</v>
      </c>
      <c r="E327" s="25" t="n">
        <f aca="false">SUMIFS($J$55:$J$125,$I$55:$I$125,"6.2",$B$55:$B$125,"Contrato principal")</f>
        <v>3.74951907901622</v>
      </c>
    </row>
    <row r="328" customFormat="false" ht="15" hidden="false" customHeight="false" outlineLevel="0" collapsed="false">
      <c r="A328" s="5" t="s">
        <v>2084</v>
      </c>
      <c r="E328" s="30" t="n">
        <f aca="false">SUM(E309:E327)</f>
        <v>153.01471033534</v>
      </c>
    </row>
    <row r="329" customFormat="false" ht="15" hidden="false" customHeight="false" outlineLevel="0" collapsed="false">
      <c r="A329" s="6" t="s">
        <v>2085</v>
      </c>
      <c r="E329" s="25" t="n">
        <f aca="false">$E$328-$D$208</f>
        <v>0</v>
      </c>
    </row>
    <row r="330" customFormat="false" ht="15" hidden="false" customHeight="false" outlineLevel="0" collapsed="false">
      <c r="A330" s="6" t="s">
        <v>2086</v>
      </c>
      <c r="E330" s="73" t="n">
        <f aca="false">MAX(D309:D327)-16</f>
        <v>0</v>
      </c>
    </row>
    <row r="332" customFormat="false" ht="43.5" hidden="false" customHeight="true" outlineLevel="0" collapsed="false">
      <c r="A332" s="23" t="s">
        <v>2087</v>
      </c>
      <c r="B332" s="24" t="s">
        <v>2088</v>
      </c>
      <c r="C332" s="24" t="s">
        <v>2089</v>
      </c>
      <c r="D332" s="24" t="s">
        <v>2090</v>
      </c>
      <c r="E332" s="24" t="s">
        <v>2091</v>
      </c>
      <c r="F332" s="24" t="s">
        <v>2092</v>
      </c>
      <c r="G332" s="24" t="s">
        <v>2093</v>
      </c>
      <c r="H332" s="24" t="s">
        <v>2094</v>
      </c>
      <c r="I332" s="24" t="s">
        <v>2095</v>
      </c>
      <c r="J332" s="24" t="s">
        <v>2096</v>
      </c>
      <c r="K332" s="24" t="s">
        <v>1013</v>
      </c>
    </row>
    <row r="333" customFormat="false" ht="15" hidden="false" customHeight="false" outlineLevel="0" collapsed="false">
      <c r="A333" s="99" t="n">
        <v>1</v>
      </c>
      <c r="B333" s="25" t="n">
        <f aca="false">SUMPRODUCT(($B$309:$B$327&lt;=A333)*($D$309:$D$327&gt;=A333)*$E$309:$E$327/$C$309:$C$327)</f>
        <v>7.20524433315258</v>
      </c>
      <c r="C333" s="25" t="n">
        <f aca="false">SUM($B$333:B333)</f>
        <v>7.20524433315258</v>
      </c>
      <c r="D333" s="34" t="n">
        <f aca="false">C333/$E$328</f>
        <v>0.0470885728395781</v>
      </c>
      <c r="E333" s="25" t="n">
        <f aca="false">$D$215*(0.3+IF(A333&gt;=10,0.4,0)+IF(A333&gt;=16,0.3,0))</f>
        <v>67.0180342098366</v>
      </c>
      <c r="F333" s="50"/>
      <c r="G333" s="50"/>
      <c r="H333" s="37" t="str">
        <f aca="false">IF(AND(N(F333)&gt;0,N(G333)&gt;0),F333/G333,"")</f>
        <v/>
      </c>
      <c r="I333" s="37" t="str">
        <f aca="false">IF(N(F333)&gt;0,F333/C333,"")</f>
        <v/>
      </c>
      <c r="J333" s="25" t="str">
        <f aca="false">IF(H333="","",$E$328/H333)</f>
        <v/>
      </c>
      <c r="K333" s="9" t="str">
        <f aca="false">IF(H333="","",IF(MIN(H333,I333)&lt;0.9,"Plan de recuperación: comité con el cliente",IF(MIN(H333,I333)&lt;0.95,"Alerta: revisar el paquete atrasado o con sobrecosto","En control")))</f>
        <v/>
      </c>
    </row>
    <row r="334" customFormat="false" ht="15" hidden="false" customHeight="false" outlineLevel="0" collapsed="false">
      <c r="A334" s="99" t="n">
        <v>2</v>
      </c>
      <c r="B334" s="25" t="n">
        <f aca="false">SUMPRODUCT(($B$309:$B$327&lt;=A334)*($D$309:$D$327&gt;=A334)*$E$309:$E$327/$C$309:$C$327)</f>
        <v>7.20524433315258</v>
      </c>
      <c r="C334" s="25" t="n">
        <f aca="false">SUM($B$333:B334)</f>
        <v>14.4104886663052</v>
      </c>
      <c r="D334" s="34" t="n">
        <f aca="false">C334/$E$328</f>
        <v>0.0941771456791562</v>
      </c>
      <c r="E334" s="25" t="n">
        <f aca="false">$D$215*(0.3+IF(A334&gt;=10,0.4,0)+IF(A334&gt;=16,0.3,0))</f>
        <v>67.0180342098366</v>
      </c>
      <c r="F334" s="50"/>
      <c r="G334" s="50"/>
      <c r="H334" s="37" t="str">
        <f aca="false">IF(AND(N(F334)&gt;0,N(G334)&gt;0),F334/G334,"")</f>
        <v/>
      </c>
      <c r="I334" s="37" t="str">
        <f aca="false">IF(N(F334)&gt;0,F334/C334,"")</f>
        <v/>
      </c>
      <c r="J334" s="25" t="str">
        <f aca="false">IF(H334="","",$E$328/H334)</f>
        <v/>
      </c>
      <c r="K334" s="9" t="str">
        <f aca="false">IF(H334="","",IF(MIN(H334,I334)&lt;0.9,"Plan de recuperación: comité con el cliente",IF(MIN(H334,I334)&lt;0.95,"Alerta: revisar el paquete atrasado o con sobrecosto","En control")))</f>
        <v/>
      </c>
    </row>
    <row r="335" customFormat="false" ht="15" hidden="false" customHeight="false" outlineLevel="0" collapsed="false">
      <c r="A335" s="99" t="n">
        <v>3</v>
      </c>
      <c r="B335" s="25" t="n">
        <f aca="false">SUMPRODUCT(($B$309:$B$327&lt;=A335)*($D$309:$D$327&gt;=A335)*$E$309:$E$327/$C$309:$C$327)</f>
        <v>5.38717151232579</v>
      </c>
      <c r="C335" s="25" t="n">
        <f aca="false">SUM($B$333:B335)</f>
        <v>19.797660178631</v>
      </c>
      <c r="D335" s="34" t="n">
        <f aca="false">C335/$E$328</f>
        <v>0.129384032000867</v>
      </c>
      <c r="E335" s="25" t="n">
        <f aca="false">$D$215*(0.3+IF(A335&gt;=10,0.4,0)+IF(A335&gt;=16,0.3,0))</f>
        <v>67.0180342098366</v>
      </c>
      <c r="F335" s="50"/>
      <c r="G335" s="50"/>
      <c r="H335" s="37" t="str">
        <f aca="false">IF(AND(N(F335)&gt;0,N(G335)&gt;0),F335/G335,"")</f>
        <v/>
      </c>
      <c r="I335" s="37" t="str">
        <f aca="false">IF(N(F335)&gt;0,F335/C335,"")</f>
        <v/>
      </c>
      <c r="J335" s="25" t="str">
        <f aca="false">IF(H335="","",$E$328/H335)</f>
        <v/>
      </c>
      <c r="K335" s="9" t="str">
        <f aca="false">IF(H335="","",IF(MIN(H335,I335)&lt;0.9,"Plan de recuperación: comité con el cliente",IF(MIN(H335,I335)&lt;0.95,"Alerta: revisar el paquete atrasado o con sobrecosto","En control")))</f>
        <v/>
      </c>
    </row>
    <row r="336" customFormat="false" ht="15" hidden="false" customHeight="false" outlineLevel="0" collapsed="false">
      <c r="A336" s="99" t="n">
        <v>4</v>
      </c>
      <c r="B336" s="25" t="n">
        <f aca="false">SUMPRODUCT(($B$309:$B$327&lt;=A336)*($D$309:$D$327&gt;=A336)*$E$309:$E$327/$C$309:$C$327)</f>
        <v>5.38717151232579</v>
      </c>
      <c r="C336" s="25" t="n">
        <f aca="false">SUM($B$333:B336)</f>
        <v>25.1848316909568</v>
      </c>
      <c r="D336" s="34" t="n">
        <f aca="false">C336/$E$328</f>
        <v>0.164590918322578</v>
      </c>
      <c r="E336" s="25" t="n">
        <f aca="false">$D$215*(0.3+IF(A336&gt;=10,0.4,0)+IF(A336&gt;=16,0.3,0))</f>
        <v>67.0180342098366</v>
      </c>
      <c r="F336" s="50"/>
      <c r="G336" s="50"/>
      <c r="H336" s="37" t="str">
        <f aca="false">IF(AND(N(F336)&gt;0,N(G336)&gt;0),F336/G336,"")</f>
        <v/>
      </c>
      <c r="I336" s="37" t="str">
        <f aca="false">IF(N(F336)&gt;0,F336/C336,"")</f>
        <v/>
      </c>
      <c r="J336" s="25" t="str">
        <f aca="false">IF(H336="","",$E$328/H336)</f>
        <v/>
      </c>
      <c r="K336" s="9" t="str">
        <f aca="false">IF(H336="","",IF(MIN(H336,I336)&lt;0.9,"Plan de recuperación: comité con el cliente",IF(MIN(H336,I336)&lt;0.95,"Alerta: revisar el paquete atrasado o con sobrecosto","En control")))</f>
        <v/>
      </c>
    </row>
    <row r="337" customFormat="false" ht="15" hidden="false" customHeight="false" outlineLevel="0" collapsed="false">
      <c r="A337" s="99" t="n">
        <v>5</v>
      </c>
      <c r="B337" s="25" t="n">
        <f aca="false">SUMPRODUCT(($B$309:$B$327&lt;=A337)*($D$309:$D$327&gt;=A337)*$E$309:$E$327/$C$309:$C$327)</f>
        <v>6.10011360721503</v>
      </c>
      <c r="C337" s="25" t="n">
        <f aca="false">SUM($B$333:B337)</f>
        <v>31.2849452981718</v>
      </c>
      <c r="D337" s="34" t="n">
        <f aca="false">C337/$E$328</f>
        <v>0.204457108925078</v>
      </c>
      <c r="E337" s="25" t="n">
        <f aca="false">$D$215*(0.3+IF(A337&gt;=10,0.4,0)+IF(A337&gt;=16,0.3,0))</f>
        <v>67.0180342098366</v>
      </c>
      <c r="F337" s="50"/>
      <c r="G337" s="50"/>
      <c r="H337" s="37" t="str">
        <f aca="false">IF(AND(N(F337)&gt;0,N(G337)&gt;0),F337/G337,"")</f>
        <v/>
      </c>
      <c r="I337" s="37" t="str">
        <f aca="false">IF(N(F337)&gt;0,F337/C337,"")</f>
        <v/>
      </c>
      <c r="J337" s="25" t="str">
        <f aca="false">IF(H337="","",$E$328/H337)</f>
        <v/>
      </c>
      <c r="K337" s="9" t="str">
        <f aca="false">IF(H337="","",IF(MIN(H337,I337)&lt;0.9,"Plan de recuperación: comité con el cliente",IF(MIN(H337,I337)&lt;0.95,"Alerta: revisar el paquete atrasado o con sobrecosto","En control")))</f>
        <v/>
      </c>
    </row>
    <row r="338" customFormat="false" ht="15" hidden="false" customHeight="false" outlineLevel="0" collapsed="false">
      <c r="A338" s="99" t="n">
        <v>6</v>
      </c>
      <c r="B338" s="25" t="n">
        <f aca="false">SUMPRODUCT(($B$309:$B$327&lt;=A338)*($D$309:$D$327&gt;=A338)*$E$309:$E$327/$C$309:$C$327)</f>
        <v>10.8263996729921</v>
      </c>
      <c r="C338" s="25" t="n">
        <f aca="false">SUM($B$333:B338)</f>
        <v>42.1113449711639</v>
      </c>
      <c r="D338" s="34" t="n">
        <f aca="false">C338/$E$328</f>
        <v>0.275211088390618</v>
      </c>
      <c r="E338" s="25" t="n">
        <f aca="false">$D$215*(0.3+IF(A338&gt;=10,0.4,0)+IF(A338&gt;=16,0.3,0))</f>
        <v>67.0180342098366</v>
      </c>
      <c r="F338" s="50"/>
      <c r="G338" s="50"/>
      <c r="H338" s="37" t="str">
        <f aca="false">IF(AND(N(F338)&gt;0,N(G338)&gt;0),F338/G338,"")</f>
        <v/>
      </c>
      <c r="I338" s="37" t="str">
        <f aca="false">IF(N(F338)&gt;0,F338/C338,"")</f>
        <v/>
      </c>
      <c r="J338" s="25" t="str">
        <f aca="false">IF(H338="","",$E$328/H338)</f>
        <v/>
      </c>
      <c r="K338" s="9" t="str">
        <f aca="false">IF(H338="","",IF(MIN(H338,I338)&lt;0.9,"Plan de recuperación: comité con el cliente",IF(MIN(H338,I338)&lt;0.95,"Alerta: revisar el paquete atrasado o con sobrecosto","En control")))</f>
        <v/>
      </c>
    </row>
    <row r="339" customFormat="false" ht="15" hidden="false" customHeight="false" outlineLevel="0" collapsed="false">
      <c r="A339" s="99" t="n">
        <v>7</v>
      </c>
      <c r="B339" s="25" t="n">
        <f aca="false">SUMPRODUCT(($B$309:$B$327&lt;=A339)*($D$309:$D$327&gt;=A339)*$E$309:$E$327/$C$309:$C$327)</f>
        <v>10.8263996729921</v>
      </c>
      <c r="C339" s="25" t="n">
        <f aca="false">SUM($B$333:B339)</f>
        <v>52.937744644156</v>
      </c>
      <c r="D339" s="34" t="n">
        <f aca="false">C339/$E$328</f>
        <v>0.345965067856157</v>
      </c>
      <c r="E339" s="25" t="n">
        <f aca="false">$D$215*(0.3+IF(A339&gt;=10,0.4,0)+IF(A339&gt;=16,0.3,0))</f>
        <v>67.0180342098366</v>
      </c>
      <c r="F339" s="50"/>
      <c r="G339" s="50"/>
      <c r="H339" s="37" t="str">
        <f aca="false">IF(AND(N(F339)&gt;0,N(G339)&gt;0),F339/G339,"")</f>
        <v/>
      </c>
      <c r="I339" s="37" t="str">
        <f aca="false">IF(N(F339)&gt;0,F339/C339,"")</f>
        <v/>
      </c>
      <c r="J339" s="25" t="str">
        <f aca="false">IF(H339="","",$E$328/H339)</f>
        <v/>
      </c>
      <c r="K339" s="9" t="str">
        <f aca="false">IF(H339="","",IF(MIN(H339,I339)&lt;0.9,"Plan de recuperación: comité con el cliente",IF(MIN(H339,I339)&lt;0.95,"Alerta: revisar el paquete atrasado o con sobrecosto","En control")))</f>
        <v/>
      </c>
    </row>
    <row r="340" customFormat="false" ht="15" hidden="false" customHeight="false" outlineLevel="0" collapsed="false">
      <c r="A340" s="99" t="n">
        <v>8</v>
      </c>
      <c r="B340" s="25" t="n">
        <f aca="false">SUMPRODUCT(($B$309:$B$327&lt;=A340)*($D$309:$D$327&gt;=A340)*$E$309:$E$327/$C$309:$C$327)</f>
        <v>17.1291400792463</v>
      </c>
      <c r="C340" s="25" t="n">
        <f aca="false">SUM($B$333:B340)</f>
        <v>70.0668847234023</v>
      </c>
      <c r="D340" s="34" t="n">
        <f aca="false">C340/$E$328</f>
        <v>0.457909468768376</v>
      </c>
      <c r="E340" s="25" t="n">
        <f aca="false">$D$215*(0.3+IF(A340&gt;=10,0.4,0)+IF(A340&gt;=16,0.3,0))</f>
        <v>67.0180342098366</v>
      </c>
      <c r="F340" s="50"/>
      <c r="G340" s="50"/>
      <c r="H340" s="37" t="str">
        <f aca="false">IF(AND(N(F340)&gt;0,N(G340)&gt;0),F340/G340,"")</f>
        <v/>
      </c>
      <c r="I340" s="37" t="str">
        <f aca="false">IF(N(F340)&gt;0,F340/C340,"")</f>
        <v/>
      </c>
      <c r="J340" s="25" t="str">
        <f aca="false">IF(H340="","",$E$328/H340)</f>
        <v/>
      </c>
      <c r="K340" s="9" t="str">
        <f aca="false">IF(H340="","",IF(MIN(H340,I340)&lt;0.9,"Plan de recuperación: comité con el cliente",IF(MIN(H340,I340)&lt;0.95,"Alerta: revisar el paquete atrasado o con sobrecosto","En control")))</f>
        <v/>
      </c>
    </row>
    <row r="341" customFormat="false" ht="15" hidden="false" customHeight="false" outlineLevel="0" collapsed="false">
      <c r="A341" s="99" t="n">
        <v>9</v>
      </c>
      <c r="B341" s="25" t="n">
        <f aca="false">SUMPRODUCT(($B$309:$B$327&lt;=A341)*($D$309:$D$327&gt;=A341)*$E$309:$E$327/$C$309:$C$327)</f>
        <v>13.9710657104168</v>
      </c>
      <c r="C341" s="25" t="n">
        <f aca="false">SUM($B$333:B341)</f>
        <v>84.0379504338191</v>
      </c>
      <c r="D341" s="34" t="n">
        <f aca="false">C341/$E$328</f>
        <v>0.549214845093296</v>
      </c>
      <c r="E341" s="25" t="n">
        <f aca="false">$D$215*(0.3+IF(A341&gt;=10,0.4,0)+IF(A341&gt;=16,0.3,0))</f>
        <v>67.0180342098366</v>
      </c>
      <c r="F341" s="50"/>
      <c r="G341" s="50"/>
      <c r="H341" s="37" t="str">
        <f aca="false">IF(AND(N(F341)&gt;0,N(G341)&gt;0),F341/G341,"")</f>
        <v/>
      </c>
      <c r="I341" s="37" t="str">
        <f aca="false">IF(N(F341)&gt;0,F341/C341,"")</f>
        <v/>
      </c>
      <c r="J341" s="25" t="str">
        <f aca="false">IF(H341="","",$E$328/H341)</f>
        <v/>
      </c>
      <c r="K341" s="9" t="str">
        <f aca="false">IF(H341="","",IF(MIN(H341,I341)&lt;0.9,"Plan de recuperación: comité con el cliente",IF(MIN(H341,I341)&lt;0.95,"Alerta: revisar el paquete atrasado o con sobrecosto","En control")))</f>
        <v/>
      </c>
    </row>
    <row r="342" customFormat="false" ht="15" hidden="false" customHeight="false" outlineLevel="0" collapsed="false">
      <c r="A342" s="99" t="n">
        <v>10</v>
      </c>
      <c r="B342" s="25" t="n">
        <f aca="false">SUMPRODUCT(($B$309:$B$327&lt;=A342)*($D$309:$D$327&gt;=A342)*$E$309:$E$327/$C$309:$C$327)</f>
        <v>16.9719657746065</v>
      </c>
      <c r="C342" s="25" t="n">
        <f aca="false">SUM($B$333:B342)</f>
        <v>101.009916208426</v>
      </c>
      <c r="D342" s="34" t="n">
        <f aca="false">C342/$E$328</f>
        <v>0.660132061728295</v>
      </c>
      <c r="E342" s="25" t="n">
        <f aca="false">$D$215*(0.3+IF(A342&gt;=10,0.4,0)+IF(A342&gt;=16,0.3,0))</f>
        <v>156.375413156285</v>
      </c>
      <c r="F342" s="50"/>
      <c r="G342" s="50"/>
      <c r="H342" s="37" t="str">
        <f aca="false">IF(AND(N(F342)&gt;0,N(G342)&gt;0),F342/G342,"")</f>
        <v/>
      </c>
      <c r="I342" s="37" t="str">
        <f aca="false">IF(N(F342)&gt;0,F342/C342,"")</f>
        <v/>
      </c>
      <c r="J342" s="25" t="str">
        <f aca="false">IF(H342="","",$E$328/H342)</f>
        <v/>
      </c>
      <c r="K342" s="9" t="str">
        <f aca="false">IF(H342="","",IF(MIN(H342,I342)&lt;0.9,"Plan de recuperación: comité con el cliente",IF(MIN(H342,I342)&lt;0.95,"Alerta: revisar el paquete atrasado o con sobrecosto","En control")))</f>
        <v/>
      </c>
    </row>
    <row r="343" customFormat="false" ht="15" hidden="false" customHeight="false" outlineLevel="0" collapsed="false">
      <c r="A343" s="99" t="n">
        <v>11</v>
      </c>
      <c r="B343" s="25" t="n">
        <f aca="false">SUMPRODUCT(($B$309:$B$327&lt;=A343)*($D$309:$D$327&gt;=A343)*$E$309:$E$327/$C$309:$C$327)</f>
        <v>19.1598665516866</v>
      </c>
      <c r="C343" s="25" t="n">
        <f aca="false">SUM($B$333:B343)</f>
        <v>120.169782760112</v>
      </c>
      <c r="D343" s="34" t="n">
        <f aca="false">C343/$E$328</f>
        <v>0.785347908686387</v>
      </c>
      <c r="E343" s="25" t="n">
        <f aca="false">$D$215*(0.3+IF(A343&gt;=10,0.4,0)+IF(A343&gt;=16,0.3,0))</f>
        <v>156.375413156285</v>
      </c>
      <c r="F343" s="50"/>
      <c r="G343" s="50"/>
      <c r="H343" s="37" t="str">
        <f aca="false">IF(AND(N(F343)&gt;0,N(G343)&gt;0),F343/G343,"")</f>
        <v/>
      </c>
      <c r="I343" s="37" t="str">
        <f aca="false">IF(N(F343)&gt;0,F343/C343,"")</f>
        <v/>
      </c>
      <c r="J343" s="25" t="str">
        <f aca="false">IF(H343="","",$E$328/H343)</f>
        <v/>
      </c>
      <c r="K343" s="9" t="str">
        <f aca="false">IF(H343="","",IF(MIN(H343,I343)&lt;0.9,"Plan de recuperación: comité con el cliente",IF(MIN(H343,I343)&lt;0.95,"Alerta: revisar el paquete atrasado o con sobrecosto","En control")))</f>
        <v/>
      </c>
    </row>
    <row r="344" customFormat="false" ht="15" hidden="false" customHeight="false" outlineLevel="0" collapsed="false">
      <c r="A344" s="99" t="n">
        <v>12</v>
      </c>
      <c r="B344" s="25" t="n">
        <f aca="false">SUMPRODUCT(($B$309:$B$327&lt;=A344)*($D$309:$D$327&gt;=A344)*$E$309:$E$327/$C$309:$C$327)</f>
        <v>11.4169832731142</v>
      </c>
      <c r="C344" s="25" t="n">
        <f aca="false">SUM($B$333:B344)</f>
        <v>131.586766033226</v>
      </c>
      <c r="D344" s="34" t="n">
        <f aca="false">C344/$E$328</f>
        <v>0.85996154059206</v>
      </c>
      <c r="E344" s="25" t="n">
        <f aca="false">$D$215*(0.3+IF(A344&gt;=10,0.4,0)+IF(A344&gt;=16,0.3,0))</f>
        <v>156.375413156285</v>
      </c>
      <c r="F344" s="50"/>
      <c r="G344" s="50"/>
      <c r="H344" s="37" t="str">
        <f aca="false">IF(AND(N(F344)&gt;0,N(G344)&gt;0),F344/G344,"")</f>
        <v/>
      </c>
      <c r="I344" s="37" t="str">
        <f aca="false">IF(N(F344)&gt;0,F344/C344,"")</f>
        <v/>
      </c>
      <c r="J344" s="25" t="str">
        <f aca="false">IF(H344="","",$E$328/H344)</f>
        <v/>
      </c>
      <c r="K344" s="9" t="str">
        <f aca="false">IF(H344="","",IF(MIN(H344,I344)&lt;0.9,"Plan de recuperación: comité con el cliente",IF(MIN(H344,I344)&lt;0.95,"Alerta: revisar el paquete atrasado o con sobrecosto","En control")))</f>
        <v/>
      </c>
    </row>
    <row r="345" customFormat="false" ht="15" hidden="false" customHeight="false" outlineLevel="0" collapsed="false">
      <c r="A345" s="99" t="n">
        <v>13</v>
      </c>
      <c r="B345" s="25" t="n">
        <f aca="false">SUMPRODUCT(($B$309:$B$327&lt;=A345)*($D$309:$D$327&gt;=A345)*$E$309:$E$327/$C$309:$C$327)</f>
        <v>7.70102797920178</v>
      </c>
      <c r="C345" s="25" t="n">
        <f aca="false">SUM($B$333:B345)</f>
        <v>139.287794012428</v>
      </c>
      <c r="D345" s="34" t="n">
        <f aca="false">C345/$E$328</f>
        <v>0.91029021789586</v>
      </c>
      <c r="E345" s="25" t="n">
        <f aca="false">$D$215*(0.3+IF(A345&gt;=10,0.4,0)+IF(A345&gt;=16,0.3,0))</f>
        <v>156.375413156285</v>
      </c>
      <c r="F345" s="50"/>
      <c r="G345" s="50"/>
      <c r="H345" s="37" t="str">
        <f aca="false">IF(AND(N(F345)&gt;0,N(G345)&gt;0),F345/G345,"")</f>
        <v/>
      </c>
      <c r="I345" s="37" t="str">
        <f aca="false">IF(N(F345)&gt;0,F345/C345,"")</f>
        <v/>
      </c>
      <c r="J345" s="25" t="str">
        <f aca="false">IF(H345="","",$E$328/H345)</f>
        <v/>
      </c>
      <c r="K345" s="9" t="str">
        <f aca="false">IF(H345="","",IF(MIN(H345,I345)&lt;0.9,"Plan de recuperación: comité con el cliente",IF(MIN(H345,I345)&lt;0.95,"Alerta: revisar el paquete atrasado o con sobrecosto","En control")))</f>
        <v/>
      </c>
    </row>
    <row r="346" customFormat="false" ht="15" hidden="false" customHeight="false" outlineLevel="0" collapsed="false">
      <c r="A346" s="99" t="n">
        <v>14</v>
      </c>
      <c r="B346" s="25" t="n">
        <f aca="false">SUMPRODUCT(($B$309:$B$327&lt;=A346)*($D$309:$D$327&gt;=A346)*$E$309:$E$327/$C$309:$C$327)</f>
        <v>7.70102797920178</v>
      </c>
      <c r="C346" s="25" t="n">
        <f aca="false">SUM($B$333:B346)</f>
        <v>146.98882199163</v>
      </c>
      <c r="D346" s="34" t="n">
        <f aca="false">C346/$E$328</f>
        <v>0.96061889519966</v>
      </c>
      <c r="E346" s="25" t="n">
        <f aca="false">$D$215*(0.3+IF(A346&gt;=10,0.4,0)+IF(A346&gt;=16,0.3,0))</f>
        <v>156.375413156285</v>
      </c>
      <c r="F346" s="50"/>
      <c r="G346" s="50"/>
      <c r="H346" s="37" t="str">
        <f aca="false">IF(AND(N(F346)&gt;0,N(G346)&gt;0),F346/G346,"")</f>
        <v/>
      </c>
      <c r="I346" s="37" t="str">
        <f aca="false">IF(N(F346)&gt;0,F346/C346,"")</f>
        <v/>
      </c>
      <c r="J346" s="25" t="str">
        <f aca="false">IF(H346="","",$E$328/H346)</f>
        <v/>
      </c>
      <c r="K346" s="9" t="str">
        <f aca="false">IF(H346="","",IF(MIN(H346,I346)&lt;0.9,"Plan de recuperación: comité con el cliente",IF(MIN(H346,I346)&lt;0.95,"Alerta: revisar el paquete atrasado o con sobrecosto","En control")))</f>
        <v/>
      </c>
    </row>
    <row r="347" customFormat="false" ht="15" hidden="false" customHeight="false" outlineLevel="0" collapsed="false">
      <c r="A347" s="99" t="n">
        <v>15</v>
      </c>
      <c r="B347" s="25" t="n">
        <f aca="false">SUMPRODUCT(($B$309:$B$327&lt;=A347)*($D$309:$D$327&gt;=A347)*$E$309:$E$327/$C$309:$C$327)</f>
        <v>3.01294417185484</v>
      </c>
      <c r="C347" s="25" t="n">
        <f aca="false">SUM($B$333:B347)</f>
        <v>150.001766163485</v>
      </c>
      <c r="D347" s="34" t="n">
        <f aca="false">C347/$E$328</f>
        <v>0.98030944759983</v>
      </c>
      <c r="E347" s="25" t="n">
        <f aca="false">$D$215*(0.3+IF(A347&gt;=10,0.4,0)+IF(A347&gt;=16,0.3,0))</f>
        <v>156.375413156285</v>
      </c>
      <c r="F347" s="50"/>
      <c r="G347" s="50"/>
      <c r="H347" s="37" t="str">
        <f aca="false">IF(AND(N(F347)&gt;0,N(G347)&gt;0),F347/G347,"")</f>
        <v/>
      </c>
      <c r="I347" s="37" t="str">
        <f aca="false">IF(N(F347)&gt;0,F347/C347,"")</f>
        <v/>
      </c>
      <c r="J347" s="25" t="str">
        <f aca="false">IF(H347="","",$E$328/H347)</f>
        <v/>
      </c>
      <c r="K347" s="9" t="str">
        <f aca="false">IF(H347="","",IF(MIN(H347,I347)&lt;0.9,"Plan de recuperación: comité con el cliente",IF(MIN(H347,I347)&lt;0.95,"Alerta: revisar el paquete atrasado o con sobrecosto","En control")))</f>
        <v/>
      </c>
    </row>
    <row r="348" customFormat="false" ht="15" hidden="false" customHeight="false" outlineLevel="0" collapsed="false">
      <c r="A348" s="99" t="n">
        <v>16</v>
      </c>
      <c r="B348" s="25" t="n">
        <f aca="false">SUMPRODUCT(($B$309:$B$327&lt;=A348)*($D$309:$D$327&gt;=A348)*$E$309:$E$327/$C$309:$C$327)</f>
        <v>3.01294417185484</v>
      </c>
      <c r="C348" s="25" t="n">
        <f aca="false">SUM($B$333:B348)</f>
        <v>153.01471033534</v>
      </c>
      <c r="D348" s="34" t="n">
        <f aca="false">C348/$E$328</f>
        <v>1</v>
      </c>
      <c r="E348" s="25" t="n">
        <f aca="false">$D$215*(0.3+IF(A348&gt;=10,0.4,0)+IF(A348&gt;=16,0.3,0))</f>
        <v>223.393447366122</v>
      </c>
      <c r="F348" s="50"/>
      <c r="G348" s="50"/>
      <c r="H348" s="37" t="str">
        <f aca="false">IF(AND(N(F348)&gt;0,N(G348)&gt;0),F348/G348,"")</f>
        <v/>
      </c>
      <c r="I348" s="37" t="str">
        <f aca="false">IF(N(F348)&gt;0,F348/C348,"")</f>
        <v/>
      </c>
      <c r="J348" s="25" t="str">
        <f aca="false">IF(H348="","",$E$328/H348)</f>
        <v/>
      </c>
      <c r="K348" s="9" t="str">
        <f aca="false">IF(H348="","",IF(MIN(H348,I348)&lt;0.9,"Plan de recuperación: comité con el cliente",IF(MIN(H348,I348)&lt;0.95,"Alerta: revisar el paquete atrasado o con sobrecosto","En control")))</f>
        <v/>
      </c>
    </row>
    <row r="349" customFormat="false" ht="15" hidden="false" customHeight="false" outlineLevel="0" collapsed="false">
      <c r="A349" s="6" t="s">
        <v>2097</v>
      </c>
      <c r="C349" s="25" t="n">
        <f aca="false">C348-$E$328</f>
        <v>0</v>
      </c>
    </row>
    <row r="350" customFormat="false" ht="30" hidden="false" customHeight="true" outlineLevel="0" collapsed="false">
      <c r="A350" s="32" t="s">
        <v>2098</v>
      </c>
      <c r="B350" s="32"/>
      <c r="C350" s="32"/>
      <c r="D350" s="32"/>
      <c r="E350" s="32"/>
      <c r="F350" s="32"/>
      <c r="G350" s="32"/>
      <c r="H350" s="32"/>
      <c r="I350" s="32"/>
      <c r="J350" s="32"/>
      <c r="K350" s="32"/>
    </row>
    <row r="351" customFormat="false" ht="30" hidden="false" customHeight="true" outlineLevel="0" collapsed="false">
      <c r="A351" s="32" t="s">
        <v>2099</v>
      </c>
      <c r="B351" s="32"/>
      <c r="C351" s="32"/>
      <c r="D351" s="32"/>
      <c r="E351" s="32"/>
      <c r="F351" s="32"/>
      <c r="G351" s="32"/>
      <c r="H351" s="32"/>
      <c r="I351" s="32"/>
      <c r="J351" s="32"/>
      <c r="K351" s="32"/>
    </row>
    <row r="370" customFormat="false" ht="15" hidden="false" customHeight="false" outlineLevel="0" collapsed="false">
      <c r="A370" s="3" t="s">
        <v>2100</v>
      </c>
      <c r="B370" s="4"/>
      <c r="C370" s="4"/>
      <c r="D370" s="4"/>
      <c r="E370" s="4"/>
      <c r="F370" s="4"/>
      <c r="G370" s="4"/>
      <c r="H370" s="4"/>
      <c r="I370" s="4"/>
      <c r="J370" s="4"/>
    </row>
    <row r="371" customFormat="false" ht="15" hidden="false" customHeight="false" outlineLevel="0" collapsed="false">
      <c r="A371" s="9" t="s">
        <v>2101</v>
      </c>
    </row>
    <row r="372" customFormat="false" ht="15" hidden="false" customHeight="false" outlineLevel="0" collapsed="false">
      <c r="A372" s="9" t="s">
        <v>2102</v>
      </c>
    </row>
    <row r="373" customFormat="false" ht="15" hidden="false" customHeight="false" outlineLevel="0" collapsed="false">
      <c r="A373" s="9" t="s">
        <v>2103</v>
      </c>
    </row>
    <row r="374" customFormat="false" ht="15" hidden="false" customHeight="false" outlineLevel="0" collapsed="false">
      <c r="A374" s="9" t="s">
        <v>2104</v>
      </c>
    </row>
    <row r="375" customFormat="false" ht="15" hidden="false" customHeight="false" outlineLevel="0" collapsed="false">
      <c r="A375" s="9" t="s">
        <v>2105</v>
      </c>
    </row>
    <row r="376" customFormat="false" ht="15" hidden="false" customHeight="false" outlineLevel="0" collapsed="false">
      <c r="A376" s="9" t="s">
        <v>2106</v>
      </c>
    </row>
    <row r="378" customFormat="false" ht="23.85" hidden="false" customHeight="false" outlineLevel="0" collapsed="false">
      <c r="A378" s="23" t="s">
        <v>2107</v>
      </c>
      <c r="B378" s="24" t="s">
        <v>2108</v>
      </c>
      <c r="C378" s="24"/>
      <c r="D378" s="24"/>
      <c r="E378" s="24"/>
      <c r="F378" s="24" t="s">
        <v>2109</v>
      </c>
    </row>
    <row r="379" customFormat="false" ht="27.75" hidden="false" customHeight="true" outlineLevel="0" collapsed="false">
      <c r="A379" s="77" t="s">
        <v>2110</v>
      </c>
      <c r="B379" s="32" t="s">
        <v>61</v>
      </c>
      <c r="C379" s="32"/>
      <c r="D379" s="32"/>
      <c r="E379" s="32"/>
      <c r="F379" s="32" t="s">
        <v>2111</v>
      </c>
      <c r="G379" s="32"/>
      <c r="H379" s="32"/>
      <c r="I379" s="32"/>
      <c r="J379" s="32"/>
      <c r="K379" s="32"/>
    </row>
    <row r="380" customFormat="false" ht="27.75" hidden="false" customHeight="true" outlineLevel="0" collapsed="false">
      <c r="A380" s="77" t="s">
        <v>2112</v>
      </c>
      <c r="B380" s="32" t="s">
        <v>61</v>
      </c>
      <c r="C380" s="32"/>
      <c r="D380" s="32"/>
      <c r="E380" s="32"/>
      <c r="F380" s="32" t="s">
        <v>2113</v>
      </c>
      <c r="G380" s="32"/>
      <c r="H380" s="32"/>
      <c r="I380" s="32"/>
      <c r="J380" s="32"/>
      <c r="K380" s="32"/>
    </row>
    <row r="381" customFormat="false" ht="27.75" hidden="false" customHeight="true" outlineLevel="0" collapsed="false">
      <c r="A381" s="77" t="s">
        <v>2114</v>
      </c>
      <c r="B381" s="32" t="s">
        <v>2115</v>
      </c>
      <c r="C381" s="32"/>
      <c r="D381" s="32"/>
      <c r="E381" s="32"/>
      <c r="F381" s="32" t="s">
        <v>2116</v>
      </c>
      <c r="G381" s="32"/>
      <c r="H381" s="32"/>
      <c r="I381" s="32"/>
      <c r="J381" s="32"/>
      <c r="K381" s="32"/>
    </row>
    <row r="382" customFormat="false" ht="27.75" hidden="false" customHeight="true" outlineLevel="0" collapsed="false">
      <c r="A382" s="77" t="s">
        <v>2117</v>
      </c>
      <c r="B382" s="32" t="s">
        <v>2118</v>
      </c>
      <c r="C382" s="32"/>
      <c r="D382" s="32"/>
      <c r="E382" s="32"/>
      <c r="F382" s="32" t="s">
        <v>2119</v>
      </c>
      <c r="G382" s="32"/>
      <c r="H382" s="32"/>
      <c r="I382" s="32"/>
      <c r="J382" s="32"/>
      <c r="K382" s="32"/>
    </row>
    <row r="383" customFormat="false" ht="27.75" hidden="false" customHeight="true" outlineLevel="0" collapsed="false">
      <c r="A383" s="77" t="s">
        <v>2120</v>
      </c>
      <c r="B383" s="32" t="s">
        <v>2121</v>
      </c>
      <c r="C383" s="32"/>
      <c r="D383" s="32"/>
      <c r="E383" s="32"/>
      <c r="F383" s="32" t="s">
        <v>2119</v>
      </c>
      <c r="G383" s="32"/>
      <c r="H383" s="32"/>
      <c r="I383" s="32"/>
      <c r="J383" s="32"/>
      <c r="K383" s="32"/>
    </row>
    <row r="384" customFormat="false" ht="27.75" hidden="false" customHeight="true" outlineLevel="0" collapsed="false">
      <c r="A384" s="77" t="s">
        <v>2122</v>
      </c>
      <c r="B384" s="32" t="s">
        <v>2123</v>
      </c>
      <c r="C384" s="32"/>
      <c r="D384" s="32"/>
      <c r="E384" s="32"/>
      <c r="F384" s="32" t="s">
        <v>2124</v>
      </c>
      <c r="G384" s="32"/>
      <c r="H384" s="32"/>
      <c r="I384" s="32"/>
      <c r="J384" s="32"/>
      <c r="K384" s="32"/>
    </row>
    <row r="385" customFormat="false" ht="27.75" hidden="false" customHeight="true" outlineLevel="0" collapsed="false">
      <c r="A385" s="77" t="s">
        <v>2125</v>
      </c>
      <c r="B385" s="32" t="s">
        <v>2126</v>
      </c>
      <c r="C385" s="32"/>
      <c r="D385" s="32"/>
      <c r="E385" s="32"/>
      <c r="F385" s="32" t="s">
        <v>2119</v>
      </c>
      <c r="G385" s="32"/>
      <c r="H385" s="32"/>
      <c r="I385" s="32"/>
      <c r="J385" s="32"/>
      <c r="K385" s="32"/>
    </row>
    <row r="386" customFormat="false" ht="27.75" hidden="false" customHeight="true" outlineLevel="0" collapsed="false">
      <c r="A386" s="77" t="s">
        <v>2127</v>
      </c>
      <c r="B386" s="32" t="s">
        <v>2128</v>
      </c>
      <c r="C386" s="32"/>
      <c r="D386" s="32"/>
      <c r="E386" s="32"/>
      <c r="F386" s="32" t="s">
        <v>2129</v>
      </c>
      <c r="G386" s="32"/>
      <c r="H386" s="32"/>
      <c r="I386" s="32"/>
      <c r="J386" s="32"/>
      <c r="K386" s="32"/>
    </row>
    <row r="387" customFormat="false" ht="27.75" hidden="false" customHeight="true" outlineLevel="0" collapsed="false">
      <c r="A387" s="77" t="s">
        <v>2130</v>
      </c>
      <c r="B387" s="32" t="s">
        <v>2131</v>
      </c>
      <c r="C387" s="32"/>
      <c r="D387" s="32"/>
      <c r="E387" s="32"/>
      <c r="F387" s="32" t="s">
        <v>2132</v>
      </c>
      <c r="G387" s="32"/>
      <c r="H387" s="32"/>
      <c r="I387" s="32"/>
      <c r="J387" s="32"/>
      <c r="K387" s="32"/>
    </row>
    <row r="388" customFormat="false" ht="27.75" hidden="false" customHeight="true" outlineLevel="0" collapsed="false">
      <c r="A388" s="77" t="s">
        <v>2133</v>
      </c>
      <c r="B388" s="32" t="s">
        <v>2134</v>
      </c>
      <c r="C388" s="32"/>
      <c r="D388" s="32"/>
      <c r="E388" s="32"/>
      <c r="F388" s="32" t="s">
        <v>2132</v>
      </c>
      <c r="G388" s="32"/>
      <c r="H388" s="32"/>
      <c r="I388" s="32"/>
      <c r="J388" s="32"/>
      <c r="K388" s="32"/>
    </row>
    <row r="389" customFormat="false" ht="27.75" hidden="false" customHeight="true" outlineLevel="0" collapsed="false">
      <c r="A389" s="77" t="s">
        <v>2135</v>
      </c>
      <c r="B389" s="32" t="s">
        <v>2136</v>
      </c>
      <c r="C389" s="32"/>
      <c r="D389" s="32"/>
      <c r="E389" s="32"/>
      <c r="F389" s="32" t="s">
        <v>2137</v>
      </c>
      <c r="G389" s="32"/>
      <c r="H389" s="32"/>
      <c r="I389" s="32"/>
      <c r="J389" s="32"/>
      <c r="K389" s="32"/>
    </row>
    <row r="390" customFormat="false" ht="27.75" hidden="false" customHeight="true" outlineLevel="0" collapsed="false">
      <c r="A390" s="77" t="s">
        <v>2138</v>
      </c>
      <c r="B390" s="32" t="s">
        <v>2139</v>
      </c>
      <c r="C390" s="32"/>
      <c r="D390" s="32"/>
      <c r="E390" s="32"/>
      <c r="F390" s="32" t="s">
        <v>2132</v>
      </c>
      <c r="G390" s="32"/>
      <c r="H390" s="32"/>
      <c r="I390" s="32"/>
      <c r="J390" s="32"/>
      <c r="K390" s="32"/>
    </row>
    <row r="392" customFormat="false" ht="15" hidden="false" customHeight="false" outlineLevel="0" collapsed="false">
      <c r="A392" s="3" t="s">
        <v>2140</v>
      </c>
      <c r="B392" s="4"/>
      <c r="C392" s="4"/>
      <c r="D392" s="4"/>
      <c r="E392" s="4"/>
      <c r="F392" s="4"/>
      <c r="G392" s="4"/>
      <c r="H392" s="4"/>
      <c r="I392" s="4"/>
      <c r="J392" s="4"/>
    </row>
    <row r="393" customFormat="false" ht="15" hidden="false" customHeight="false" outlineLevel="0" collapsed="false">
      <c r="A393" s="9" t="s">
        <v>2141</v>
      </c>
    </row>
    <row r="394" customFormat="false" ht="15" hidden="false" customHeight="false" outlineLevel="0" collapsed="false">
      <c r="A394" s="9" t="s">
        <v>2142</v>
      </c>
    </row>
    <row r="395" customFormat="false" ht="15" hidden="false" customHeight="false" outlineLevel="0" collapsed="false">
      <c r="A395" s="9" t="s">
        <v>2143</v>
      </c>
    </row>
    <row r="396" customFormat="false" ht="15" hidden="false" customHeight="false" outlineLevel="0" collapsed="false">
      <c r="A396" s="9" t="s">
        <v>2144</v>
      </c>
    </row>
    <row r="397" customFormat="false" ht="15" hidden="false" customHeight="false" outlineLevel="0" collapsed="false">
      <c r="A397" s="9" t="s">
        <v>2145</v>
      </c>
    </row>
    <row r="399" customFormat="false" ht="15" hidden="false" customHeight="false" outlineLevel="0" collapsed="false">
      <c r="A399" s="3" t="s">
        <v>2146</v>
      </c>
      <c r="B399" s="4"/>
      <c r="C399" s="4"/>
      <c r="D399" s="4"/>
      <c r="E399" s="4"/>
      <c r="F399" s="4"/>
      <c r="G399" s="4"/>
      <c r="H399" s="4"/>
    </row>
    <row r="400" customFormat="false" ht="15" hidden="false" customHeight="false" outlineLevel="0" collapsed="false">
      <c r="A400" s="9" t="s">
        <v>2147</v>
      </c>
    </row>
    <row r="401" customFormat="false" ht="23.85" hidden="false" customHeight="false" outlineLevel="0" collapsed="false">
      <c r="A401" s="23" t="s">
        <v>2148</v>
      </c>
      <c r="B401" s="24" t="s">
        <v>1637</v>
      </c>
      <c r="C401" s="24" t="s">
        <v>190</v>
      </c>
    </row>
    <row r="402" customFormat="false" ht="30" hidden="false" customHeight="true" outlineLevel="0" collapsed="false">
      <c r="A402" s="77" t="s">
        <v>2149</v>
      </c>
      <c r="B402" s="100" t="n">
        <v>0.295</v>
      </c>
      <c r="C402" s="79" t="s">
        <v>2150</v>
      </c>
    </row>
    <row r="403" customFormat="false" ht="30" hidden="false" customHeight="true" outlineLevel="0" collapsed="false">
      <c r="A403" s="77" t="s">
        <v>2151</v>
      </c>
      <c r="B403" s="100" t="n">
        <v>1.365</v>
      </c>
      <c r="C403" s="79" t="s">
        <v>2152</v>
      </c>
    </row>
    <row r="404" customFormat="false" ht="30" hidden="false" customHeight="true" outlineLevel="0" collapsed="false">
      <c r="A404" s="77" t="s">
        <v>2153</v>
      </c>
      <c r="B404" s="100" t="n">
        <v>1.2</v>
      </c>
      <c r="C404" s="79" t="s">
        <v>2154</v>
      </c>
    </row>
    <row r="405" customFormat="false" ht="30" hidden="false" customHeight="true" outlineLevel="0" collapsed="false">
      <c r="A405" s="77" t="s">
        <v>2155</v>
      </c>
      <c r="B405" s="100" t="n">
        <v>0.191</v>
      </c>
      <c r="C405" s="79" t="s">
        <v>2156</v>
      </c>
    </row>
    <row r="406" customFormat="false" ht="30" hidden="false" customHeight="true" outlineLevel="0" collapsed="false">
      <c r="A406" s="77" t="s">
        <v>2157</v>
      </c>
      <c r="B406" s="101" t="n">
        <f aca="false">6*14*Cotizaciones!$B$6/1000000</f>
        <v>0.26631864</v>
      </c>
      <c r="C406" s="79" t="s">
        <v>2158</v>
      </c>
    </row>
    <row r="407" customFormat="false" ht="30" hidden="false" customHeight="true" outlineLevel="0" collapsed="false">
      <c r="A407" s="77" t="s">
        <v>2159</v>
      </c>
      <c r="B407" s="101" t="n">
        <f aca="false">6*44900/1000000</f>
        <v>0.2694</v>
      </c>
      <c r="C407" s="79" t="s">
        <v>2160</v>
      </c>
    </row>
    <row r="408" customFormat="false" ht="30" hidden="false" customHeight="true" outlineLevel="0" collapsed="false">
      <c r="A408" s="77" t="s">
        <v>2161</v>
      </c>
      <c r="B408" s="101" t="n">
        <f aca="false">6*4.5/60</f>
        <v>0.45</v>
      </c>
      <c r="C408" s="79" t="s">
        <v>2162</v>
      </c>
    </row>
    <row r="409" customFormat="false" ht="30" hidden="false" customHeight="true" outlineLevel="0" collapsed="false">
      <c r="A409" s="77" t="s">
        <v>2163</v>
      </c>
      <c r="B409" s="100" t="n">
        <v>0.25</v>
      </c>
      <c r="C409" s="79" t="s">
        <v>2164</v>
      </c>
    </row>
    <row r="410" customFormat="false" ht="30" hidden="false" customHeight="true" outlineLevel="0" collapsed="false">
      <c r="A410" s="77" t="s">
        <v>2165</v>
      </c>
      <c r="B410" s="100" t="n">
        <v>0.3</v>
      </c>
      <c r="C410" s="79" t="s">
        <v>2166</v>
      </c>
    </row>
    <row r="411" customFormat="false" ht="30" hidden="false" customHeight="true" outlineLevel="0" collapsed="false">
      <c r="A411" s="77" t="s">
        <v>2167</v>
      </c>
      <c r="B411" s="100" t="n">
        <v>0.1</v>
      </c>
      <c r="C411" s="79" t="s">
        <v>2168</v>
      </c>
    </row>
    <row r="412" customFormat="false" ht="15" hidden="false" customHeight="false" outlineLevel="0" collapsed="false">
      <c r="A412" s="5" t="s">
        <v>2169</v>
      </c>
      <c r="B412" s="102" t="n">
        <f aca="false">SUM(B402:B411)</f>
        <v>4.68671864</v>
      </c>
    </row>
    <row r="413" customFormat="false" ht="53.7" hidden="false" customHeight="false" outlineLevel="0" collapsed="false">
      <c r="A413" s="6" t="s">
        <v>2170</v>
      </c>
      <c r="B413" s="46" t="n">
        <v>0.5</v>
      </c>
      <c r="C413" s="79" t="s">
        <v>2171</v>
      </c>
    </row>
    <row r="415" customFormat="false" ht="15" hidden="false" customHeight="false" outlineLevel="0" collapsed="false">
      <c r="A415" s="23" t="s">
        <v>2172</v>
      </c>
      <c r="B415" s="24"/>
      <c r="C415" s="24"/>
      <c r="D415" s="24" t="s">
        <v>130</v>
      </c>
    </row>
    <row r="416" customFormat="false" ht="15" hidden="false" customHeight="false" outlineLevel="0" collapsed="false">
      <c r="A416" s="6" t="s">
        <v>2173</v>
      </c>
      <c r="D416" s="101" t="n">
        <f aca="false">$B$412*8</f>
        <v>37.49374912</v>
      </c>
    </row>
    <row r="417" customFormat="false" ht="15" hidden="false" customHeight="false" outlineLevel="0" collapsed="false">
      <c r="A417" s="6" t="s">
        <v>2174</v>
      </c>
      <c r="D417" s="101" t="n">
        <f aca="false">$D$44*$B$413*8+$E$264</f>
        <v>17.1469401900589</v>
      </c>
    </row>
    <row r="418" customFormat="false" ht="15" hidden="false" customHeight="false" outlineLevel="0" collapsed="false">
      <c r="A418" s="6" t="s">
        <v>2175</v>
      </c>
      <c r="D418" s="101" t="n">
        <f aca="false">0.00966*($D$215+$D$235+$D$255)</f>
        <v>3.63229863617673</v>
      </c>
    </row>
    <row r="419" customFormat="false" ht="15" hidden="false" customHeight="false" outlineLevel="0" collapsed="false">
      <c r="A419" s="5" t="s">
        <v>88</v>
      </c>
      <c r="D419" s="102" t="n">
        <f aca="false">D416+D417+D418</f>
        <v>58.2729879462357</v>
      </c>
    </row>
    <row r="420" customFormat="false" ht="15" hidden="false" customHeight="false" outlineLevel="0" collapsed="false">
      <c r="A420" s="6" t="s">
        <v>2176</v>
      </c>
      <c r="D420" s="101" t="n">
        <f aca="false">($D$212+$D$232+$D$252)</f>
        <v>64.9233412784617</v>
      </c>
    </row>
    <row r="421" customFormat="false" ht="15" hidden="false" customHeight="false" outlineLevel="0" collapsed="false">
      <c r="A421" s="5" t="s">
        <v>2177</v>
      </c>
      <c r="D421" s="103" t="n">
        <f aca="false">D420-D419</f>
        <v>6.65035333222598</v>
      </c>
    </row>
    <row r="422" customFormat="false" ht="15" hidden="false" customHeight="false" outlineLevel="0" collapsed="false">
      <c r="A422" s="5" t="s">
        <v>2178</v>
      </c>
      <c r="D422" s="103" t="n">
        <f aca="false">$E$270+D420-D419</f>
        <v>33.701745531585</v>
      </c>
    </row>
    <row r="423" customFormat="false" ht="30" hidden="false" customHeight="true" outlineLevel="0" collapsed="false">
      <c r="A423" s="79" t="s">
        <v>2179</v>
      </c>
    </row>
    <row r="425" customFormat="false" ht="15" hidden="false" customHeight="false" outlineLevel="0" collapsed="false">
      <c r="A425" s="3" t="s">
        <v>2180</v>
      </c>
      <c r="B425" s="4"/>
      <c r="C425" s="4"/>
      <c r="D425" s="4"/>
      <c r="E425" s="4"/>
      <c r="F425" s="4"/>
      <c r="G425" s="4"/>
      <c r="H425" s="4"/>
    </row>
    <row r="426" customFormat="false" ht="30" hidden="false" customHeight="true" outlineLevel="0" collapsed="false">
      <c r="A426" s="79" t="s">
        <v>2181</v>
      </c>
    </row>
    <row r="427" customFormat="false" ht="35.05" hidden="false" customHeight="false" outlineLevel="0" collapsed="false">
      <c r="A427" s="23" t="s">
        <v>2182</v>
      </c>
      <c r="B427" s="24" t="s">
        <v>2183</v>
      </c>
      <c r="C427" s="24" t="s">
        <v>1717</v>
      </c>
      <c r="D427" s="24" t="s">
        <v>1063</v>
      </c>
      <c r="E427" s="24" t="s">
        <v>2184</v>
      </c>
      <c r="F427" s="24" t="s">
        <v>2185</v>
      </c>
      <c r="G427" s="24" t="s">
        <v>2186</v>
      </c>
    </row>
    <row r="428" customFormat="false" ht="42" hidden="false" customHeight="true" outlineLevel="0" collapsed="false">
      <c r="A428" s="77" t="s">
        <v>1726</v>
      </c>
      <c r="B428" s="79" t="s">
        <v>2187</v>
      </c>
      <c r="C428" s="77" t="s">
        <v>1727</v>
      </c>
      <c r="D428" s="101" t="n">
        <f aca="false">$D$202-$E$202</f>
        <v>22.9449418430947</v>
      </c>
      <c r="E428" s="101" t="n">
        <f aca="false">D428*0.3</f>
        <v>6.88348255292839</v>
      </c>
      <c r="F428" s="101" t="n">
        <f aca="false">D428*0.4</f>
        <v>9.17797673723786</v>
      </c>
      <c r="G428" s="101" t="n">
        <f aca="false">D428*0.3</f>
        <v>6.88348255292839</v>
      </c>
    </row>
    <row r="429" customFormat="false" ht="42" hidden="false" customHeight="true" outlineLevel="0" collapsed="false">
      <c r="A429" s="77" t="s">
        <v>1728</v>
      </c>
      <c r="B429" s="79" t="s">
        <v>2188</v>
      </c>
      <c r="C429" s="77" t="s">
        <v>2189</v>
      </c>
      <c r="D429" s="101" t="n">
        <f aca="false">$D$203-$E$203</f>
        <v>22.5347245714286</v>
      </c>
      <c r="E429" s="101" t="n">
        <f aca="false">D429*0.3</f>
        <v>6.76041737142857</v>
      </c>
      <c r="F429" s="101" t="n">
        <f aca="false">D429*0.4</f>
        <v>9.01388982857143</v>
      </c>
      <c r="G429" s="101" t="n">
        <f aca="false">D429*0.3</f>
        <v>6.76041737142857</v>
      </c>
    </row>
    <row r="430" customFormat="false" ht="42" hidden="false" customHeight="true" outlineLevel="0" collapsed="false">
      <c r="A430" s="77" t="s">
        <v>1730</v>
      </c>
      <c r="B430" s="79" t="s">
        <v>2190</v>
      </c>
      <c r="C430" s="77" t="s">
        <v>2189</v>
      </c>
      <c r="D430" s="101" t="n">
        <f aca="false">$D$204-$E$204</f>
        <v>55.06865595</v>
      </c>
      <c r="E430" s="101" t="n">
        <f aca="false">D430*0.3</f>
        <v>16.520596785</v>
      </c>
      <c r="F430" s="101" t="n">
        <f aca="false">D430*0.4</f>
        <v>22.02746238</v>
      </c>
      <c r="G430" s="101" t="n">
        <f aca="false">D430*0.3</f>
        <v>16.520596785</v>
      </c>
    </row>
    <row r="431" customFormat="false" ht="42" hidden="false" customHeight="true" outlineLevel="0" collapsed="false">
      <c r="A431" s="77" t="s">
        <v>1731</v>
      </c>
      <c r="B431" s="79" t="s">
        <v>2191</v>
      </c>
      <c r="C431" s="77" t="s">
        <v>2189</v>
      </c>
      <c r="D431" s="101" t="n">
        <f aca="false">$D$205-$E$205</f>
        <v>17.7322422857143</v>
      </c>
      <c r="E431" s="101" t="n">
        <f aca="false">D431*0.3</f>
        <v>5.31967268571429</v>
      </c>
      <c r="F431" s="101" t="n">
        <f aca="false">D431*0.4</f>
        <v>7.09289691428572</v>
      </c>
      <c r="G431" s="101" t="n">
        <f aca="false">D431*0.3</f>
        <v>5.31967268571429</v>
      </c>
    </row>
    <row r="432" customFormat="false" ht="42" hidden="false" customHeight="true" outlineLevel="0" collapsed="false">
      <c r="A432" s="77" t="s">
        <v>1397</v>
      </c>
      <c r="B432" s="79" t="s">
        <v>2192</v>
      </c>
      <c r="C432" s="77" t="s">
        <v>2189</v>
      </c>
      <c r="D432" s="101" t="n">
        <f aca="false">$D$206-$E$206</f>
        <v>13.6686034285714</v>
      </c>
      <c r="E432" s="101" t="n">
        <f aca="false">D432*0.3</f>
        <v>4.10058102857143</v>
      </c>
      <c r="F432" s="101" t="n">
        <f aca="false">D432*0.4</f>
        <v>5.46744137142857</v>
      </c>
      <c r="G432" s="101" t="n">
        <f aca="false">D432*0.3</f>
        <v>4.10058102857143</v>
      </c>
    </row>
    <row r="434" customFormat="false" ht="23.85" hidden="false" customHeight="false" outlineLevel="0" collapsed="false">
      <c r="A434" s="23" t="s">
        <v>2193</v>
      </c>
      <c r="B434" s="24" t="s">
        <v>2183</v>
      </c>
      <c r="C434" s="24" t="s">
        <v>1717</v>
      </c>
      <c r="D434" s="24" t="s">
        <v>1063</v>
      </c>
      <c r="E434" s="24" t="s">
        <v>2194</v>
      </c>
      <c r="F434" s="24" t="s">
        <v>2195</v>
      </c>
    </row>
    <row r="435" customFormat="false" ht="42" hidden="false" customHeight="true" outlineLevel="0" collapsed="false">
      <c r="A435" s="77" t="s">
        <v>1726</v>
      </c>
      <c r="B435" s="79" t="s">
        <v>2196</v>
      </c>
      <c r="C435" s="77" t="s">
        <v>1727</v>
      </c>
      <c r="D435" s="101" t="n">
        <f aca="false">$D$222-$E$222</f>
        <v>3.98601411942857</v>
      </c>
      <c r="E435" s="101" t="n">
        <f aca="false">D435*0.5</f>
        <v>1.99300705971429</v>
      </c>
      <c r="F435" s="101" t="n">
        <f aca="false">D435*0.5</f>
        <v>1.99300705971429</v>
      </c>
    </row>
    <row r="436" customFormat="false" ht="42" hidden="false" customHeight="true" outlineLevel="0" collapsed="false">
      <c r="A436" s="77" t="s">
        <v>1728</v>
      </c>
      <c r="B436" s="79" t="s">
        <v>2197</v>
      </c>
      <c r="C436" s="77" t="s">
        <v>2189</v>
      </c>
      <c r="D436" s="101" t="n">
        <f aca="false">$D$223-$E$223</f>
        <v>5.54132571428572</v>
      </c>
      <c r="E436" s="101" t="n">
        <f aca="false">D436*0.5</f>
        <v>2.77066285714286</v>
      </c>
      <c r="F436" s="101" t="n">
        <f aca="false">D436*0.5</f>
        <v>2.77066285714286</v>
      </c>
    </row>
    <row r="437" customFormat="false" ht="42" hidden="false" customHeight="true" outlineLevel="0" collapsed="false">
      <c r="A437" s="77" t="s">
        <v>1730</v>
      </c>
      <c r="B437" s="79" t="s">
        <v>2198</v>
      </c>
      <c r="C437" s="77" t="s">
        <v>2189</v>
      </c>
      <c r="D437" s="101" t="n">
        <f aca="false">$D$224-$E$224</f>
        <v>20.1334834285714</v>
      </c>
      <c r="E437" s="101" t="n">
        <f aca="false">D437*0.5</f>
        <v>10.0667417142857</v>
      </c>
      <c r="F437" s="101" t="n">
        <f aca="false">D437*0.5</f>
        <v>10.0667417142857</v>
      </c>
    </row>
    <row r="439" customFormat="false" ht="35.05" hidden="false" customHeight="false" outlineLevel="0" collapsed="false">
      <c r="A439" s="23" t="s">
        <v>2199</v>
      </c>
      <c r="B439" s="24" t="s">
        <v>2183</v>
      </c>
      <c r="C439" s="24" t="s">
        <v>1717</v>
      </c>
      <c r="D439" s="24" t="s">
        <v>1063</v>
      </c>
      <c r="E439" s="24" t="s">
        <v>2200</v>
      </c>
      <c r="F439" s="24" t="s">
        <v>2201</v>
      </c>
    </row>
    <row r="440" customFormat="false" ht="42" hidden="false" customHeight="true" outlineLevel="0" collapsed="false">
      <c r="A440" s="77" t="s">
        <v>1726</v>
      </c>
      <c r="B440" s="79" t="s">
        <v>2202</v>
      </c>
      <c r="C440" s="77" t="s">
        <v>1727</v>
      </c>
      <c r="D440" s="101" t="n">
        <f aca="false">$D$242-$E$242</f>
        <v>8.11308008741786</v>
      </c>
      <c r="E440" s="101" t="n">
        <f aca="false">D440*0.5</f>
        <v>4.05654004370893</v>
      </c>
      <c r="F440" s="101" t="n">
        <f aca="false">D440*0.5</f>
        <v>4.05654004370893</v>
      </c>
    </row>
    <row r="441" customFormat="false" ht="42" hidden="false" customHeight="true" outlineLevel="0" collapsed="false">
      <c r="A441" s="77" t="s">
        <v>1728</v>
      </c>
      <c r="B441" s="79" t="s">
        <v>2203</v>
      </c>
      <c r="C441" s="77" t="s">
        <v>2189</v>
      </c>
      <c r="D441" s="101" t="n">
        <f aca="false">$D$243-$E$243</f>
        <v>8.86612114285714</v>
      </c>
      <c r="E441" s="101" t="n">
        <f aca="false">D441*0.5</f>
        <v>4.43306057142857</v>
      </c>
      <c r="F441" s="101" t="n">
        <f aca="false">D441*0.5</f>
        <v>4.43306057142857</v>
      </c>
    </row>
    <row r="442" customFormat="false" ht="42" hidden="false" customHeight="true" outlineLevel="0" collapsed="false">
      <c r="A442" s="77" t="s">
        <v>1730</v>
      </c>
      <c r="B442" s="79" t="s">
        <v>2204</v>
      </c>
      <c r="C442" s="77" t="s">
        <v>2189</v>
      </c>
      <c r="D442" s="101" t="n">
        <f aca="false">$D$244-$E$244</f>
        <v>26.7680665285714</v>
      </c>
      <c r="E442" s="101" t="n">
        <f aca="false">D442*0.5</f>
        <v>13.3840332642857</v>
      </c>
      <c r="F442" s="101" t="n">
        <f aca="false">D442*0.5</f>
        <v>13.3840332642857</v>
      </c>
    </row>
    <row r="443" customFormat="false" ht="42" hidden="false" customHeight="true" outlineLevel="0" collapsed="false">
      <c r="A443" s="77" t="s">
        <v>1731</v>
      </c>
      <c r="B443" s="79" t="s">
        <v>2205</v>
      </c>
      <c r="C443" s="77" t="s">
        <v>2189</v>
      </c>
      <c r="D443" s="101" t="n">
        <f aca="false">$D$245-$E$245</f>
        <v>3.69421714285714</v>
      </c>
      <c r="E443" s="101" t="n">
        <f aca="false">D443*0.5</f>
        <v>1.84710857142857</v>
      </c>
      <c r="F443" s="101" t="n">
        <f aca="false">D443*0.5</f>
        <v>1.84710857142857</v>
      </c>
    </row>
    <row r="444" customFormat="false" ht="42" hidden="false" customHeight="true" outlineLevel="0" collapsed="false">
      <c r="A444" s="77" t="s">
        <v>1397</v>
      </c>
      <c r="B444" s="79" t="s">
        <v>2206</v>
      </c>
      <c r="C444" s="77" t="s">
        <v>2189</v>
      </c>
      <c r="D444" s="101" t="n">
        <f aca="false">$D$246-$E$246</f>
        <v>1.84710857142857</v>
      </c>
      <c r="E444" s="101" t="n">
        <f aca="false">D444*0.5</f>
        <v>0.923554285714286</v>
      </c>
      <c r="F444" s="101" t="n">
        <f aca="false">D444*0.5</f>
        <v>0.923554285714286</v>
      </c>
    </row>
    <row r="446" customFormat="false" ht="15" hidden="false" customHeight="false" outlineLevel="0" collapsed="false">
      <c r="A446" s="3" t="s">
        <v>2207</v>
      </c>
      <c r="B446" s="4"/>
      <c r="C446" s="4"/>
      <c r="D446" s="4"/>
      <c r="E446" s="4"/>
      <c r="F446" s="4"/>
      <c r="G446" s="4"/>
      <c r="H446" s="4"/>
    </row>
    <row r="447" customFormat="false" ht="30" hidden="false" customHeight="true" outlineLevel="0" collapsed="false">
      <c r="A447" s="79" t="s">
        <v>2208</v>
      </c>
    </row>
    <row r="448" customFormat="false" ht="23.85" hidden="false" customHeight="false" outlineLevel="0" collapsed="false">
      <c r="A448" s="23" t="s">
        <v>729</v>
      </c>
      <c r="B448" s="24" t="s">
        <v>188</v>
      </c>
      <c r="C448" s="24" t="s">
        <v>189</v>
      </c>
      <c r="D448" s="24" t="s">
        <v>1951</v>
      </c>
    </row>
    <row r="449" customFormat="false" ht="15" hidden="false" customHeight="false" outlineLevel="0" collapsed="false">
      <c r="A449" s="6" t="s">
        <v>1651</v>
      </c>
      <c r="B449" s="34" t="n">
        <f aca="false">$B$12</f>
        <v>0.7</v>
      </c>
      <c r="C449" s="6" t="s">
        <v>1652</v>
      </c>
      <c r="D449" s="9" t="s">
        <v>2209</v>
      </c>
    </row>
    <row r="450" customFormat="false" ht="15" hidden="false" customHeight="false" outlineLevel="0" collapsed="false">
      <c r="A450" s="6" t="s">
        <v>2210</v>
      </c>
      <c r="B450" s="75" t="n">
        <f aca="false">6*$B$7*12</f>
        <v>13104</v>
      </c>
      <c r="C450" s="6" t="s">
        <v>2211</v>
      </c>
      <c r="D450" s="9" t="s">
        <v>2212</v>
      </c>
    </row>
    <row r="451" customFormat="false" ht="15" hidden="false" customHeight="false" outlineLevel="0" collapsed="false">
      <c r="A451" s="6" t="s">
        <v>2213</v>
      </c>
      <c r="B451" s="75" t="n">
        <f aca="false">$B$450*$B$449</f>
        <v>9172.8</v>
      </c>
      <c r="C451" s="6" t="s">
        <v>2211</v>
      </c>
    </row>
    <row r="452" customFormat="false" ht="15" hidden="false" customHeight="false" outlineLevel="0" collapsed="false">
      <c r="A452" s="6" t="s">
        <v>2214</v>
      </c>
      <c r="B452" s="64" t="n">
        <f aca="false">$B$451/($D$207+$D$227+$D$247)</f>
        <v>2.13468186048108</v>
      </c>
      <c r="C452" s="6" t="s">
        <v>2215</v>
      </c>
      <c r="D452" s="9" t="s">
        <v>2216</v>
      </c>
    </row>
    <row r="453" customFormat="false" ht="15" hidden="false" customHeight="false" outlineLevel="0" collapsed="false">
      <c r="A453" s="6" t="s">
        <v>2217</v>
      </c>
      <c r="B453" s="104" t="n">
        <f aca="false">($D$215+$D$235+$D$255)*1000000/($D$207+$D$227+$D$247)</f>
        <v>87505.5616147047</v>
      </c>
      <c r="C453" s="6" t="s">
        <v>563</v>
      </c>
      <c r="D453" s="9" t="s">
        <v>2218</v>
      </c>
    </row>
    <row r="454" customFormat="false" ht="15" hidden="false" customHeight="false" outlineLevel="0" collapsed="false">
      <c r="A454" s="6" t="s">
        <v>2219</v>
      </c>
      <c r="B454" s="104" t="n">
        <f aca="false">($D$211+$D$231+$D$251)*1000000/($D$207+$D$227+$D$247)</f>
        <v>62953.6414494278</v>
      </c>
      <c r="C454" s="6" t="s">
        <v>563</v>
      </c>
      <c r="D454" s="9" t="s">
        <v>2220</v>
      </c>
    </row>
    <row r="456" customFormat="false" ht="23.85" hidden="false" customHeight="false" outlineLevel="0" collapsed="false">
      <c r="A456" s="23" t="s">
        <v>2221</v>
      </c>
      <c r="B456" s="24" t="s">
        <v>188</v>
      </c>
      <c r="C456" s="24"/>
      <c r="D456" s="24" t="s">
        <v>1951</v>
      </c>
    </row>
    <row r="457" customFormat="false" ht="15" hidden="false" customHeight="false" outlineLevel="0" collapsed="false">
      <c r="A457" s="6" t="s">
        <v>2222</v>
      </c>
      <c r="B457" s="25" t="n">
        <f aca="false">$B$451*$B$453/1000000</f>
        <v>802.671015579363</v>
      </c>
      <c r="D457" s="9" t="s">
        <v>2223</v>
      </c>
    </row>
    <row r="458" customFormat="false" ht="15" hidden="false" customHeight="false" outlineLevel="0" collapsed="false">
      <c r="A458" s="6" t="s">
        <v>2224</v>
      </c>
      <c r="B458" s="25" t="n">
        <f aca="false">-$B$451*$B$454/1000000</f>
        <v>-577.461162287311</v>
      </c>
    </row>
    <row r="459" customFormat="false" ht="15" hidden="false" customHeight="false" outlineLevel="0" collapsed="false">
      <c r="A459" s="6" t="s">
        <v>2225</v>
      </c>
      <c r="B459" s="25" t="n">
        <f aca="false">-($B$451*$B$454/1000000)*IntegraMotion!$B$14</f>
        <v>-28.8730581143656</v>
      </c>
    </row>
    <row r="460" customFormat="false" ht="15" hidden="false" customHeight="false" outlineLevel="0" collapsed="false">
      <c r="A460" s="6" t="s">
        <v>2226</v>
      </c>
      <c r="B460" s="25" t="n">
        <f aca="false">-$B$412*12</f>
        <v>-56.24062368</v>
      </c>
      <c r="D460" s="9" t="s">
        <v>2227</v>
      </c>
    </row>
    <row r="461" customFormat="false" ht="95.5" hidden="false" customHeight="false" outlineLevel="0" collapsed="false">
      <c r="A461" s="6" t="s">
        <v>2228</v>
      </c>
      <c r="B461" s="25" t="n">
        <f aca="false">-$D$44*12*(1-$B$449)</f>
        <v>-46.971878616</v>
      </c>
      <c r="D461" s="79" t="s">
        <v>2229</v>
      </c>
    </row>
    <row r="462" customFormat="false" ht="15" hidden="false" customHeight="false" outlineLevel="0" collapsed="false">
      <c r="A462" s="6" t="s">
        <v>2230</v>
      </c>
      <c r="B462" s="25" t="n">
        <f aca="false">-0.00966*B457</f>
        <v>-7.75380201049665</v>
      </c>
    </row>
    <row r="463" customFormat="false" ht="15" hidden="false" customHeight="false" outlineLevel="0" collapsed="false">
      <c r="A463" s="5" t="s">
        <v>1615</v>
      </c>
      <c r="B463" s="30" t="n">
        <f aca="false">SUM(B457:B462)</f>
        <v>85.3704908711893</v>
      </c>
    </row>
    <row r="464" customFormat="false" ht="15" hidden="false" customHeight="false" outlineLevel="0" collapsed="false">
      <c r="A464" s="6" t="s">
        <v>2231</v>
      </c>
      <c r="B464" s="25" t="n">
        <f aca="false">-MAX(0,B463)*$B$17</f>
        <v>-29.8796718049163</v>
      </c>
    </row>
    <row r="465" customFormat="false" ht="15" hidden="false" customHeight="false" outlineLevel="0" collapsed="false">
      <c r="A465" s="5" t="s">
        <v>2232</v>
      </c>
      <c r="B465" s="54" t="n">
        <f aca="false">B463+B464</f>
        <v>55.4908190662731</v>
      </c>
    </row>
    <row r="466" customFormat="false" ht="15" hidden="false" customHeight="false" outlineLevel="0" collapsed="false">
      <c r="A466" s="6" t="s">
        <v>2233</v>
      </c>
      <c r="B466" s="54" t="n">
        <f aca="false">B465/6</f>
        <v>9.24846984437884</v>
      </c>
    </row>
    <row r="467" customFormat="false" ht="53.7" hidden="false" customHeight="false" outlineLevel="0" collapsed="false">
      <c r="A467" s="6" t="s">
        <v>2234</v>
      </c>
      <c r="B467" s="25" t="n">
        <f aca="false">$C$45*12*$B$449</f>
        <v>70.5964896</v>
      </c>
      <c r="D467" s="79" t="s">
        <v>2235</v>
      </c>
    </row>
    <row r="468" customFormat="false" ht="15" hidden="false" customHeight="false" outlineLevel="0" collapsed="false">
      <c r="A468" s="5" t="s">
        <v>2236</v>
      </c>
      <c r="B468" s="61" t="n">
        <f aca="false">($B$412*12+$D$44*12)/($B$450*($B$453-$B$454*(1+IntegraMotion!$B$14)-0.00966*$B$453)/1000000+$D$44*12)</f>
        <v>0.499589062666632</v>
      </c>
      <c r="D468" s="9" t="s">
        <v>2237</v>
      </c>
    </row>
    <row r="469" customFormat="false" ht="30" hidden="false" customHeight="true" outlineLevel="0" collapsed="false">
      <c r="A469" s="79" t="s">
        <v>2238</v>
      </c>
    </row>
    <row r="471" customFormat="false" ht="15" hidden="false" customHeight="false" outlineLevel="0" collapsed="false">
      <c r="A471" s="3" t="s">
        <v>2239</v>
      </c>
      <c r="B471" s="4"/>
      <c r="C471" s="4"/>
      <c r="D471" s="4"/>
      <c r="E471" s="4"/>
      <c r="F471" s="4"/>
      <c r="G471" s="4"/>
      <c r="H471" s="4"/>
    </row>
    <row r="472" customFormat="false" ht="15" hidden="false" customHeight="false" outlineLevel="0" collapsed="false">
      <c r="A472" s="43" t="s">
        <v>729</v>
      </c>
      <c r="B472" s="43" t="s">
        <v>2240</v>
      </c>
      <c r="C472" s="43" t="s">
        <v>2241</v>
      </c>
      <c r="D472" s="43" t="s">
        <v>132</v>
      </c>
      <c r="E472" s="43" t="s">
        <v>1951</v>
      </c>
    </row>
    <row r="473" customFormat="false" ht="15" hidden="false" customHeight="false" outlineLevel="0" collapsed="false">
      <c r="A473" s="6" t="s">
        <v>2242</v>
      </c>
      <c r="B473" s="105" t="n">
        <f aca="false">$B$6</f>
        <v>1.750905</v>
      </c>
      <c r="C473" s="105" t="n">
        <f aca="false">B473*(1+Entorno!$B$12)</f>
        <v>1.899731925</v>
      </c>
      <c r="D473" s="105" t="n">
        <f aca="false">C473*(1+Entorno!$C$7)*(1+Entorno!$B$13)</f>
        <v>2.00469211385625</v>
      </c>
      <c r="E473" s="9" t="s">
        <v>2243</v>
      </c>
    </row>
    <row r="474" customFormat="false" ht="15" hidden="false" customHeight="false" outlineLevel="0" collapsed="false">
      <c r="A474" s="6" t="s">
        <v>2244</v>
      </c>
      <c r="B474" s="80" t="n">
        <f aca="false">$C$45</f>
        <v>8.404344</v>
      </c>
      <c r="C474" s="80" t="n">
        <f aca="false">B474*C$473/B$473</f>
        <v>9.11871324</v>
      </c>
      <c r="D474" s="80" t="n">
        <f aca="false">B474*D$473/B$473</f>
        <v>9.62252214651</v>
      </c>
      <c r="E474" s="9" t="s">
        <v>2245</v>
      </c>
    </row>
    <row r="475" customFormat="false" ht="15" hidden="false" customHeight="false" outlineLevel="0" collapsed="false">
      <c r="A475" s="6" t="s">
        <v>2246</v>
      </c>
      <c r="B475" s="75" t="n">
        <f aca="false">$B$453</f>
        <v>87505.5616147047</v>
      </c>
      <c r="C475" s="75" t="n">
        <f aca="false">B475*C$473/B$473</f>
        <v>94943.5343519546</v>
      </c>
      <c r="D475" s="75" t="n">
        <f aca="false">B475*D$473/B$473</f>
        <v>100189.1646249</v>
      </c>
      <c r="E475" s="9" t="s">
        <v>2247</v>
      </c>
    </row>
    <row r="476" customFormat="false" ht="15" hidden="false" customHeight="false" outlineLevel="0" collapsed="false">
      <c r="A476" s="6" t="s">
        <v>2248</v>
      </c>
      <c r="B476" s="29" t="n">
        <f aca="false">$D$215</f>
        <v>223.393447366122</v>
      </c>
      <c r="C476" s="29" t="n">
        <f aca="false">B476*C$473/B$473</f>
        <v>242.381890392242</v>
      </c>
      <c r="D476" s="29" t="n">
        <f aca="false">B476*D$473/B$473</f>
        <v>255.773489836414</v>
      </c>
      <c r="E476" s="9" t="s">
        <v>2249</v>
      </c>
    </row>
    <row r="477" customFormat="false" ht="15" hidden="false" customHeight="false" outlineLevel="0" collapsed="false">
      <c r="A477" s="6" t="s">
        <v>2250</v>
      </c>
      <c r="B477" s="29" t="n">
        <f aca="false">$D$235</f>
        <v>65.0290079964768</v>
      </c>
      <c r="C477" s="29" t="n">
        <f aca="false">B477*C$473/B$473</f>
        <v>70.5564736761773</v>
      </c>
      <c r="D477" s="29" t="n">
        <f aca="false">B477*D$473/B$473</f>
        <v>74.4547188467861</v>
      </c>
      <c r="E477" s="9" t="s">
        <v>2251</v>
      </c>
    </row>
    <row r="478" customFormat="false" ht="15" hidden="false" customHeight="false" outlineLevel="0" collapsed="false">
      <c r="A478" s="6" t="s">
        <v>2252</v>
      </c>
      <c r="B478" s="29" t="n">
        <f aca="false">$D$255</f>
        <v>87.5918962084916</v>
      </c>
      <c r="C478" s="29" t="n">
        <f aca="false">B478*C$473/B$473</f>
        <v>95.0372073862133</v>
      </c>
      <c r="D478" s="29" t="n">
        <f aca="false">B478*D$473/B$473</f>
        <v>100.288013094302</v>
      </c>
      <c r="E478" s="9" t="s">
        <v>2253</v>
      </c>
    </row>
    <row r="479" customFormat="false" ht="15" hidden="false" customHeight="false" outlineLevel="0" collapsed="false">
      <c r="A479" s="5" t="s">
        <v>2254</v>
      </c>
      <c r="B479" s="62" t="n">
        <f aca="false">B476</f>
        <v>223.393447366122</v>
      </c>
      <c r="C479" s="62" t="n">
        <f aca="false">C477</f>
        <v>70.5564736761773</v>
      </c>
      <c r="D479" s="62" t="n">
        <f aca="false">D478</f>
        <v>100.288013094302</v>
      </c>
    </row>
    <row r="480" customFormat="false" ht="57.75" hidden="false" customHeight="true" outlineLevel="0" collapsed="false">
      <c r="A480" s="32" t="s">
        <v>2255</v>
      </c>
      <c r="B480" s="32"/>
      <c r="C480" s="32"/>
      <c r="D480" s="32"/>
      <c r="E480" s="32"/>
      <c r="F480" s="32"/>
      <c r="G480" s="32"/>
      <c r="H480" s="32"/>
    </row>
  </sheetData>
  <mergeCells count="37">
    <mergeCell ref="A23:H23"/>
    <mergeCell ref="A40:H40"/>
    <mergeCell ref="A49:H49"/>
    <mergeCell ref="A50:H50"/>
    <mergeCell ref="A53:K53"/>
    <mergeCell ref="A135:K135"/>
    <mergeCell ref="A154:K154"/>
    <mergeCell ref="A157:K157"/>
    <mergeCell ref="A189:K189"/>
    <mergeCell ref="A307:K307"/>
    <mergeCell ref="A350:K350"/>
    <mergeCell ref="A351:K351"/>
    <mergeCell ref="B379:E379"/>
    <mergeCell ref="F379:K379"/>
    <mergeCell ref="B380:E380"/>
    <mergeCell ref="F380:K380"/>
    <mergeCell ref="B381:E381"/>
    <mergeCell ref="F381:K381"/>
    <mergeCell ref="B382:E382"/>
    <mergeCell ref="F382:K382"/>
    <mergeCell ref="B383:E383"/>
    <mergeCell ref="F383:K383"/>
    <mergeCell ref="B384:E384"/>
    <mergeCell ref="F384:K384"/>
    <mergeCell ref="B385:E385"/>
    <mergeCell ref="F385:K385"/>
    <mergeCell ref="B386:E386"/>
    <mergeCell ref="F386:K386"/>
    <mergeCell ref="B387:E387"/>
    <mergeCell ref="F387:K387"/>
    <mergeCell ref="B388:E388"/>
    <mergeCell ref="F388:K388"/>
    <mergeCell ref="B389:E389"/>
    <mergeCell ref="F389:K389"/>
    <mergeCell ref="B390:E390"/>
    <mergeCell ref="F390:K390"/>
    <mergeCell ref="A480:H48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0"/>
    <col collapsed="false" customWidth="true" hidden="false" outlineLevel="0" max="3" min="3" style="0" width="14"/>
    <col collapsed="false" customWidth="true" hidden="false" outlineLevel="0" max="4" min="4" style="0" width="16"/>
    <col collapsed="false" customWidth="true" hidden="false" outlineLevel="0" max="6" min="5" style="0" width="14"/>
    <col collapsed="false" customWidth="true" hidden="false" outlineLevel="0" max="7" min="7" style="0" width="16"/>
    <col collapsed="false" customWidth="true" hidden="false" outlineLevel="0" max="8" min="8" style="0" width="50"/>
  </cols>
  <sheetData>
    <row r="1" customFormat="false" ht="17.35" hidden="false" customHeight="false" outlineLevel="0" collapsed="false">
      <c r="A1" s="42" t="s">
        <v>2256</v>
      </c>
    </row>
    <row r="2" customFormat="false" ht="15" hidden="false" customHeight="false" outlineLevel="0" collapsed="false">
      <c r="A2" s="9" t="s">
        <v>2257</v>
      </c>
    </row>
    <row r="4" customFormat="false" ht="15" hidden="false" customHeight="false" outlineLevel="0" collapsed="false">
      <c r="A4" s="3" t="s">
        <v>2258</v>
      </c>
      <c r="B4" s="4"/>
      <c r="C4" s="4"/>
      <c r="D4" s="4"/>
      <c r="E4" s="4"/>
      <c r="F4" s="4"/>
      <c r="G4" s="4"/>
      <c r="H4" s="4"/>
    </row>
    <row r="5" customFormat="false" ht="15" hidden="false" customHeight="false" outlineLevel="0" collapsed="false">
      <c r="A5" s="5" t="s">
        <v>2259</v>
      </c>
    </row>
    <row r="6" customFormat="false" ht="23.85" hidden="false" customHeight="false" outlineLevel="0" collapsed="false">
      <c r="A6" s="23" t="s">
        <v>1676</v>
      </c>
      <c r="B6" s="24" t="s">
        <v>189</v>
      </c>
      <c r="C6" s="24" t="s">
        <v>2260</v>
      </c>
      <c r="D6" s="24" t="s">
        <v>2261</v>
      </c>
      <c r="E6" s="24" t="s">
        <v>2262</v>
      </c>
      <c r="F6" s="24" t="s">
        <v>2263</v>
      </c>
      <c r="G6" s="24" t="s">
        <v>2264</v>
      </c>
      <c r="H6" s="24" t="s">
        <v>1951</v>
      </c>
    </row>
    <row r="7" customFormat="false" ht="53.7" hidden="false" customHeight="false" outlineLevel="0" collapsed="false">
      <c r="A7" s="6" t="s">
        <v>1726</v>
      </c>
      <c r="B7" s="28" t="s">
        <v>2265</v>
      </c>
      <c r="C7" s="104" t="n">
        <f aca="false">IntegraMotion!$E$44</f>
        <v>71690.9014285714</v>
      </c>
      <c r="D7" s="104" t="n">
        <f aca="false">IntegraMotion!$F$44</f>
        <v>955.34094714809</v>
      </c>
      <c r="E7" s="104" t="n">
        <f aca="false">IntegraMotion!$D$209*1000000/IntegraMotion!$D$207</f>
        <v>2872.50060970691</v>
      </c>
      <c r="F7" s="104" t="n">
        <f aca="false">IntegraMotion!$D$210*1000000/IntegraMotion!$D$207</f>
        <v>0</v>
      </c>
      <c r="G7" s="106" t="n">
        <f aca="false">C7+D7+E7+F7</f>
        <v>75518.7429854264</v>
      </c>
      <c r="H7" s="79" t="s">
        <v>2266</v>
      </c>
    </row>
    <row r="8" customFormat="false" ht="15" hidden="false" customHeight="false" outlineLevel="0" collapsed="false">
      <c r="A8" s="6" t="s">
        <v>1728</v>
      </c>
      <c r="B8" s="28" t="s">
        <v>2265</v>
      </c>
      <c r="C8" s="104" t="n">
        <f aca="false">IntegraMotion!$E$45</f>
        <v>46177.7142857143</v>
      </c>
      <c r="D8" s="104" t="n">
        <f aca="false">IntegraMotion!$F$45</f>
        <v>3248.2974751439</v>
      </c>
      <c r="E8" s="104" t="n">
        <f aca="false">IntegraMotion!$D$209*1000000/IntegraMotion!$D$207</f>
        <v>2872.50060970691</v>
      </c>
      <c r="F8" s="104" t="n">
        <f aca="false">IntegraMotion!$D$210*1000000/IntegraMotion!$D$207</f>
        <v>0</v>
      </c>
      <c r="G8" s="106" t="n">
        <f aca="false">C8+D8+E8+F8</f>
        <v>52298.5123705651</v>
      </c>
    </row>
    <row r="9" customFormat="false" ht="15" hidden="false" customHeight="false" outlineLevel="0" collapsed="false">
      <c r="A9" s="6" t="s">
        <v>1730</v>
      </c>
      <c r="B9" s="28" t="s">
        <v>2265</v>
      </c>
      <c r="C9" s="104" t="n">
        <f aca="false">IntegraMotion!$E$46</f>
        <v>46177.7142857143</v>
      </c>
      <c r="D9" s="104" t="n">
        <f aca="false">IntegraMotion!$F$46</f>
        <v>7292.94283097855</v>
      </c>
      <c r="E9" s="104" t="n">
        <f aca="false">IntegraMotion!$D$209*1000000/IntegraMotion!$D$207</f>
        <v>2872.50060970691</v>
      </c>
      <c r="F9" s="104" t="n">
        <f aca="false">IntegraMotion!$D$210*1000000/IntegraMotion!$D$207</f>
        <v>0</v>
      </c>
      <c r="G9" s="106" t="n">
        <f aca="false">C9+D9+E9+F9</f>
        <v>56343.1577263997</v>
      </c>
    </row>
    <row r="10" customFormat="false" ht="15" hidden="false" customHeight="false" outlineLevel="0" collapsed="false">
      <c r="A10" s="6" t="s">
        <v>1731</v>
      </c>
      <c r="B10" s="28" t="s">
        <v>2265</v>
      </c>
      <c r="C10" s="104" t="n">
        <f aca="false">IntegraMotion!$E$47</f>
        <v>46177.7142857143</v>
      </c>
      <c r="D10" s="104" t="n">
        <f aca="false">IntegraMotion!$F$47</f>
        <v>26752.3116169545</v>
      </c>
      <c r="E10" s="104" t="n">
        <f aca="false">IntegraMotion!$D$209*1000000/IntegraMotion!$D$207</f>
        <v>2872.50060970691</v>
      </c>
      <c r="F10" s="104" t="n">
        <f aca="false">IntegraMotion!$D$210*1000000/IntegraMotion!$D$207</f>
        <v>0</v>
      </c>
      <c r="G10" s="106" t="n">
        <f aca="false">C10+D10+E10+F10</f>
        <v>75802.5265123757</v>
      </c>
    </row>
    <row r="11" customFormat="false" ht="15" hidden="false" customHeight="false" outlineLevel="0" collapsed="false">
      <c r="A11" s="6" t="s">
        <v>1397</v>
      </c>
      <c r="B11" s="28" t="s">
        <v>2265</v>
      </c>
      <c r="C11" s="104" t="n">
        <f aca="false">IntegraMotion!$E$48</f>
        <v>46177.7142857143</v>
      </c>
      <c r="D11" s="104" t="n">
        <f aca="false">IntegraMotion!$F$48</f>
        <v>691.274201988488</v>
      </c>
      <c r="E11" s="104" t="n">
        <f aca="false">IntegraMotion!$D$209*1000000/IntegraMotion!$D$207</f>
        <v>2872.50060970691</v>
      </c>
      <c r="F11" s="104" t="n">
        <f aca="false">IntegraMotion!$D$210*1000000/IntegraMotion!$D$207</f>
        <v>0</v>
      </c>
      <c r="G11" s="106" t="n">
        <f aca="false">C11+D11+E11+F11</f>
        <v>49741.4890974097</v>
      </c>
    </row>
    <row r="13" customFormat="false" ht="15" hidden="false" customHeight="false" outlineLevel="0" collapsed="false">
      <c r="A13" s="5" t="s">
        <v>2267</v>
      </c>
    </row>
    <row r="14" customFormat="false" ht="23.85" hidden="false" customHeight="false" outlineLevel="0" collapsed="false">
      <c r="A14" s="23" t="s">
        <v>2268</v>
      </c>
      <c r="B14" s="24" t="s">
        <v>189</v>
      </c>
      <c r="C14" s="24" t="s">
        <v>1059</v>
      </c>
      <c r="D14" s="24" t="s">
        <v>2269</v>
      </c>
      <c r="E14" s="24" t="s">
        <v>2270</v>
      </c>
    </row>
    <row r="15" customFormat="false" ht="15" hidden="false" customHeight="false" outlineLevel="0" collapsed="false">
      <c r="A15" s="6" t="s">
        <v>1726</v>
      </c>
      <c r="B15" s="28" t="s">
        <v>2271</v>
      </c>
      <c r="C15" s="76" t="n">
        <f aca="false">IntegraMotion!$B$202</f>
        <v>320.05375</v>
      </c>
      <c r="D15" s="104" t="n">
        <f aca="false">G7</f>
        <v>75518.7429854264</v>
      </c>
      <c r="E15" s="101" t="n">
        <f aca="false">C15*D15/1000000</f>
        <v>24.1700568877719</v>
      </c>
    </row>
    <row r="16" customFormat="false" ht="15" hidden="false" customHeight="false" outlineLevel="0" collapsed="false">
      <c r="A16" s="6" t="s">
        <v>1728</v>
      </c>
      <c r="B16" s="28" t="s">
        <v>2271</v>
      </c>
      <c r="C16" s="76" t="n">
        <f aca="false">IntegraMotion!$B$203</f>
        <v>488</v>
      </c>
      <c r="D16" s="104" t="n">
        <f aca="false">G8</f>
        <v>52298.5123705651</v>
      </c>
      <c r="E16" s="101" t="n">
        <f aca="false">C16*D16/1000000</f>
        <v>25.5216740368358</v>
      </c>
    </row>
    <row r="17" customFormat="false" ht="15" hidden="false" customHeight="false" outlineLevel="0" collapsed="false">
      <c r="A17" s="6" t="s">
        <v>1730</v>
      </c>
      <c r="B17" s="28" t="s">
        <v>2271</v>
      </c>
      <c r="C17" s="76" t="n">
        <f aca="false">IntegraMotion!$B$204</f>
        <v>1192.5375</v>
      </c>
      <c r="D17" s="104" t="n">
        <f aca="false">G9</f>
        <v>56343.1577263997</v>
      </c>
      <c r="E17" s="101" t="n">
        <f aca="false">C17*D17/1000000</f>
        <v>67.1913284571464</v>
      </c>
    </row>
    <row r="18" customFormat="false" ht="15" hidden="false" customHeight="false" outlineLevel="0" collapsed="false">
      <c r="A18" s="6" t="s">
        <v>1731</v>
      </c>
      <c r="B18" s="28" t="s">
        <v>2271</v>
      </c>
      <c r="C18" s="76" t="n">
        <f aca="false">IntegraMotion!$B$205</f>
        <v>384</v>
      </c>
      <c r="D18" s="104" t="n">
        <f aca="false">G10</f>
        <v>75802.5265123757</v>
      </c>
      <c r="E18" s="101" t="n">
        <f aca="false">C18*D18/1000000</f>
        <v>29.1081701807523</v>
      </c>
    </row>
    <row r="19" customFormat="false" ht="15" hidden="false" customHeight="false" outlineLevel="0" collapsed="false">
      <c r="A19" s="6" t="s">
        <v>1397</v>
      </c>
      <c r="B19" s="28" t="s">
        <v>2271</v>
      </c>
      <c r="C19" s="76" t="n">
        <f aca="false">IntegraMotion!$B$206</f>
        <v>296</v>
      </c>
      <c r="D19" s="104" t="n">
        <f aca="false">G11</f>
        <v>49741.4890974097</v>
      </c>
      <c r="E19" s="101" t="n">
        <f aca="false">C19*D19/1000000</f>
        <v>14.7234807728333</v>
      </c>
    </row>
    <row r="20" customFormat="false" ht="15" hidden="false" customHeight="false" outlineLevel="0" collapsed="false">
      <c r="A20" s="5" t="s">
        <v>1961</v>
      </c>
      <c r="E20" s="102" t="n">
        <f aca="false">SUM(E15:E19)</f>
        <v>160.71471033534</v>
      </c>
    </row>
    <row r="21" customFormat="false" ht="15" hidden="false" customHeight="false" outlineLevel="0" collapsed="false">
      <c r="A21" s="6" t="s">
        <v>1962</v>
      </c>
      <c r="E21" s="101" t="n">
        <f aca="false">E20*IntegraMotion!$B$13</f>
        <v>38.5715304804815</v>
      </c>
    </row>
    <row r="22" customFormat="false" ht="15" hidden="false" customHeight="false" outlineLevel="0" collapsed="false">
      <c r="A22" s="6" t="s">
        <v>1964</v>
      </c>
      <c r="E22" s="101" t="n">
        <f aca="false">E20*IntegraMotion!$B$14</f>
        <v>8.03573551676698</v>
      </c>
    </row>
    <row r="23" customFormat="false" ht="15" hidden="false" customHeight="false" outlineLevel="0" collapsed="false">
      <c r="A23" s="6" t="s">
        <v>1965</v>
      </c>
      <c r="E23" s="101" t="n">
        <f aca="false">E20*IntegraMotion!$B$15</f>
        <v>16.071471033534</v>
      </c>
    </row>
    <row r="24" customFormat="false" ht="15" hidden="false" customHeight="false" outlineLevel="0" collapsed="false">
      <c r="A24" s="5" t="s">
        <v>2272</v>
      </c>
      <c r="E24" s="103" t="n">
        <f aca="false">E20+E21+E22+E23</f>
        <v>223.393447366122</v>
      </c>
    </row>
    <row r="25" customFormat="false" ht="15" hidden="false" customHeight="false" outlineLevel="0" collapsed="false">
      <c r="A25" s="6" t="s">
        <v>1967</v>
      </c>
      <c r="E25" s="101" t="n">
        <f aca="false">E24*IntegraMotion!$B$16</f>
        <v>42.4447549995632</v>
      </c>
    </row>
    <row r="26" customFormat="false" ht="15" hidden="false" customHeight="false" outlineLevel="0" collapsed="false">
      <c r="A26" s="5" t="s">
        <v>2273</v>
      </c>
      <c r="E26" s="102" t="n">
        <f aca="false">E24+E25</f>
        <v>265.838202365685</v>
      </c>
    </row>
    <row r="27" customFormat="false" ht="15" hidden="false" customHeight="false" outlineLevel="0" collapsed="false">
      <c r="A27" s="6" t="s">
        <v>2274</v>
      </c>
      <c r="E27" s="101" t="n">
        <f aca="false">E24-IntegraMotion!$D$215</f>
        <v>0</v>
      </c>
    </row>
    <row r="29" customFormat="false" ht="15" hidden="false" customHeight="false" outlineLevel="0" collapsed="false">
      <c r="A29" s="3" t="s">
        <v>102</v>
      </c>
      <c r="B29" s="4"/>
      <c r="C29" s="4"/>
      <c r="D29" s="4"/>
      <c r="E29" s="4"/>
      <c r="F29" s="4"/>
      <c r="G29" s="4"/>
      <c r="H29" s="4"/>
    </row>
    <row r="30" customFormat="false" ht="15" hidden="false" customHeight="false" outlineLevel="0" collapsed="false">
      <c r="A30" s="5" t="s">
        <v>2259</v>
      </c>
    </row>
    <row r="31" customFormat="false" ht="23.85" hidden="false" customHeight="false" outlineLevel="0" collapsed="false">
      <c r="A31" s="23" t="s">
        <v>1676</v>
      </c>
      <c r="B31" s="24" t="s">
        <v>189</v>
      </c>
      <c r="C31" s="24" t="s">
        <v>2260</v>
      </c>
      <c r="D31" s="24" t="s">
        <v>2261</v>
      </c>
      <c r="E31" s="24" t="s">
        <v>2262</v>
      </c>
      <c r="F31" s="24" t="s">
        <v>2263</v>
      </c>
      <c r="G31" s="24" t="s">
        <v>2264</v>
      </c>
      <c r="H31" s="24" t="s">
        <v>1951</v>
      </c>
    </row>
    <row r="32" customFormat="false" ht="53.7" hidden="false" customHeight="false" outlineLevel="0" collapsed="false">
      <c r="A32" s="6" t="s">
        <v>1726</v>
      </c>
      <c r="B32" s="28" t="s">
        <v>2265</v>
      </c>
      <c r="C32" s="104" t="n">
        <f aca="false">IntegraMotion!$E$44</f>
        <v>71690.9014285714</v>
      </c>
      <c r="D32" s="104" t="n">
        <f aca="false">IntegraMotion!$F$44</f>
        <v>955.34094714809</v>
      </c>
      <c r="E32" s="104" t="n">
        <f aca="false">IntegraMotion!$D$229*1000000/IntegraMotion!$D$227</f>
        <v>17168.0837148463</v>
      </c>
      <c r="F32" s="104" t="n">
        <f aca="false">IntegraMotion!$D$230*1000000/IntegraMotion!$D$227</f>
        <v>4905.16677567037</v>
      </c>
      <c r="G32" s="106" t="n">
        <f aca="false">C32+D32+E32+F32</f>
        <v>94719.4928662362</v>
      </c>
      <c r="H32" s="79" t="s">
        <v>2266</v>
      </c>
    </row>
    <row r="33" customFormat="false" ht="15" hidden="false" customHeight="false" outlineLevel="0" collapsed="false">
      <c r="A33" s="6" t="s">
        <v>1728</v>
      </c>
      <c r="B33" s="28" t="s">
        <v>2265</v>
      </c>
      <c r="C33" s="104" t="n">
        <f aca="false">IntegraMotion!$E$45</f>
        <v>46177.7142857143</v>
      </c>
      <c r="D33" s="104" t="n">
        <f aca="false">IntegraMotion!$F$45</f>
        <v>3248.2974751439</v>
      </c>
      <c r="E33" s="104" t="n">
        <f aca="false">IntegraMotion!$D$229*1000000/IntegraMotion!$D$227</f>
        <v>17168.0837148463</v>
      </c>
      <c r="F33" s="104" t="n">
        <f aca="false">IntegraMotion!$D$230*1000000/IntegraMotion!$D$227</f>
        <v>4905.16677567037</v>
      </c>
      <c r="G33" s="106" t="n">
        <f aca="false">C33+D33+E33+F33</f>
        <v>71499.2622513749</v>
      </c>
    </row>
    <row r="34" customFormat="false" ht="15" hidden="false" customHeight="false" outlineLevel="0" collapsed="false">
      <c r="A34" s="6" t="s">
        <v>1730</v>
      </c>
      <c r="B34" s="28" t="s">
        <v>2265</v>
      </c>
      <c r="C34" s="104" t="n">
        <f aca="false">IntegraMotion!$E$46</f>
        <v>46177.7142857143</v>
      </c>
      <c r="D34" s="104" t="n">
        <f aca="false">IntegraMotion!$F$46</f>
        <v>7292.94283097855</v>
      </c>
      <c r="E34" s="104" t="n">
        <f aca="false">IntegraMotion!$D$229*1000000/IntegraMotion!$D$227</f>
        <v>17168.0837148463</v>
      </c>
      <c r="F34" s="104" t="n">
        <f aca="false">IntegraMotion!$D$230*1000000/IntegraMotion!$D$227</f>
        <v>4905.16677567037</v>
      </c>
      <c r="G34" s="106" t="n">
        <f aca="false">C34+D34+E34+F34</f>
        <v>75543.9076072095</v>
      </c>
    </row>
    <row r="35" customFormat="false" ht="15" hidden="false" customHeight="false" outlineLevel="0" collapsed="false">
      <c r="A35" s="6" t="s">
        <v>1731</v>
      </c>
      <c r="B35" s="28" t="s">
        <v>2265</v>
      </c>
      <c r="C35" s="104" t="n">
        <f aca="false">IntegraMotion!$E$47</f>
        <v>46177.7142857143</v>
      </c>
      <c r="D35" s="104" t="n">
        <f aca="false">IntegraMotion!$F$47</f>
        <v>26752.3116169545</v>
      </c>
      <c r="E35" s="104" t="n">
        <f aca="false">IntegraMotion!$D$229*1000000/IntegraMotion!$D$227</f>
        <v>17168.0837148463</v>
      </c>
      <c r="F35" s="104" t="n">
        <f aca="false">IntegraMotion!$D$230*1000000/IntegraMotion!$D$227</f>
        <v>4905.16677567037</v>
      </c>
      <c r="G35" s="106" t="n">
        <f aca="false">C35+D35+E35+F35</f>
        <v>95003.2763931854</v>
      </c>
    </row>
    <row r="36" customFormat="false" ht="15" hidden="false" customHeight="false" outlineLevel="0" collapsed="false">
      <c r="A36" s="6" t="s">
        <v>1397</v>
      </c>
      <c r="B36" s="28" t="s">
        <v>2265</v>
      </c>
      <c r="C36" s="104" t="n">
        <f aca="false">IntegraMotion!$E$48</f>
        <v>46177.7142857143</v>
      </c>
      <c r="D36" s="104" t="n">
        <f aca="false">IntegraMotion!$F$48</f>
        <v>691.274201988488</v>
      </c>
      <c r="E36" s="104" t="n">
        <f aca="false">IntegraMotion!$D$229*1000000/IntegraMotion!$D$227</f>
        <v>17168.0837148463</v>
      </c>
      <c r="F36" s="104" t="n">
        <f aca="false">IntegraMotion!$D$230*1000000/IntegraMotion!$D$227</f>
        <v>4905.16677567037</v>
      </c>
      <c r="G36" s="106" t="n">
        <f aca="false">C36+D36+E36+F36</f>
        <v>68942.2389782195</v>
      </c>
    </row>
    <row r="38" customFormat="false" ht="15" hidden="false" customHeight="false" outlineLevel="0" collapsed="false">
      <c r="A38" s="5" t="s">
        <v>2267</v>
      </c>
    </row>
    <row r="39" customFormat="false" ht="23.85" hidden="false" customHeight="false" outlineLevel="0" collapsed="false">
      <c r="A39" s="23" t="s">
        <v>2268</v>
      </c>
      <c r="B39" s="24" t="s">
        <v>189</v>
      </c>
      <c r="C39" s="24" t="s">
        <v>1059</v>
      </c>
      <c r="D39" s="24" t="s">
        <v>2269</v>
      </c>
      <c r="E39" s="24" t="s">
        <v>2270</v>
      </c>
    </row>
    <row r="40" customFormat="false" ht="15" hidden="false" customHeight="false" outlineLevel="0" collapsed="false">
      <c r="A40" s="6" t="s">
        <v>1726</v>
      </c>
      <c r="B40" s="28" t="s">
        <v>2271</v>
      </c>
      <c r="C40" s="76" t="n">
        <f aca="false">IntegraMotion!$B$222</f>
        <v>55.6</v>
      </c>
      <c r="D40" s="104" t="n">
        <f aca="false">G32</f>
        <v>94719.4928662362</v>
      </c>
      <c r="E40" s="101" t="n">
        <f aca="false">C40*D40/1000000</f>
        <v>5.26640380336273</v>
      </c>
    </row>
    <row r="41" customFormat="false" ht="15" hidden="false" customHeight="false" outlineLevel="0" collapsed="false">
      <c r="A41" s="6" t="s">
        <v>1728</v>
      </c>
      <c r="B41" s="28" t="s">
        <v>2271</v>
      </c>
      <c r="C41" s="76" t="n">
        <f aca="false">IntegraMotion!$B$223</f>
        <v>120</v>
      </c>
      <c r="D41" s="104" t="n">
        <f aca="false">G33</f>
        <v>71499.2622513749</v>
      </c>
      <c r="E41" s="101" t="n">
        <f aca="false">C41*D41/1000000</f>
        <v>8.57991147016499</v>
      </c>
    </row>
    <row r="42" customFormat="false" ht="15" hidden="false" customHeight="false" outlineLevel="0" collapsed="false">
      <c r="A42" s="6" t="s">
        <v>1730</v>
      </c>
      <c r="B42" s="28" t="s">
        <v>2271</v>
      </c>
      <c r="C42" s="76" t="n">
        <f aca="false">IntegraMotion!$B$224</f>
        <v>436</v>
      </c>
      <c r="D42" s="104" t="n">
        <f aca="false">G34</f>
        <v>75543.9076072095</v>
      </c>
      <c r="E42" s="101" t="n">
        <f aca="false">C42*D42/1000000</f>
        <v>32.9371437167433</v>
      </c>
    </row>
    <row r="43" customFormat="false" ht="15" hidden="false" customHeight="false" outlineLevel="0" collapsed="false">
      <c r="A43" s="6" t="s">
        <v>1731</v>
      </c>
      <c r="B43" s="28" t="s">
        <v>2271</v>
      </c>
      <c r="C43" s="76" t="n">
        <f aca="false">IntegraMotion!$B$225</f>
        <v>0</v>
      </c>
      <c r="D43" s="104" t="n">
        <f aca="false">G35</f>
        <v>95003.2763931854</v>
      </c>
      <c r="E43" s="101" t="n">
        <f aca="false">C43*D43/1000000</f>
        <v>0</v>
      </c>
    </row>
    <row r="44" customFormat="false" ht="15" hidden="false" customHeight="false" outlineLevel="0" collapsed="false">
      <c r="A44" s="6" t="s">
        <v>1397</v>
      </c>
      <c r="B44" s="28" t="s">
        <v>2271</v>
      </c>
      <c r="C44" s="76" t="n">
        <f aca="false">IntegraMotion!$B$226</f>
        <v>0</v>
      </c>
      <c r="D44" s="104" t="n">
        <f aca="false">G36</f>
        <v>68942.2389782195</v>
      </c>
      <c r="E44" s="101" t="n">
        <f aca="false">C44*D44/1000000</f>
        <v>0</v>
      </c>
    </row>
    <row r="45" customFormat="false" ht="15" hidden="false" customHeight="false" outlineLevel="0" collapsed="false">
      <c r="A45" s="5" t="s">
        <v>1961</v>
      </c>
      <c r="E45" s="102" t="n">
        <f aca="false">SUM(E40:E44)</f>
        <v>46.7834589902711</v>
      </c>
    </row>
    <row r="46" customFormat="false" ht="15" hidden="false" customHeight="false" outlineLevel="0" collapsed="false">
      <c r="A46" s="6" t="s">
        <v>1962</v>
      </c>
      <c r="E46" s="101" t="n">
        <f aca="false">E45*IntegraMotion!$B$13</f>
        <v>11.2280301576651</v>
      </c>
    </row>
    <row r="47" customFormat="false" ht="15" hidden="false" customHeight="false" outlineLevel="0" collapsed="false">
      <c r="A47" s="6" t="s">
        <v>1964</v>
      </c>
      <c r="E47" s="101" t="n">
        <f aca="false">E45*IntegraMotion!$B$14</f>
        <v>2.33917294951355</v>
      </c>
    </row>
    <row r="48" customFormat="false" ht="15" hidden="false" customHeight="false" outlineLevel="0" collapsed="false">
      <c r="A48" s="6" t="s">
        <v>1965</v>
      </c>
      <c r="E48" s="101" t="n">
        <f aca="false">E45*IntegraMotion!$B$15</f>
        <v>4.67834589902711</v>
      </c>
    </row>
    <row r="49" customFormat="false" ht="15" hidden="false" customHeight="false" outlineLevel="0" collapsed="false">
      <c r="A49" s="5" t="s">
        <v>2272</v>
      </c>
      <c r="E49" s="103" t="n">
        <f aca="false">E45+E46+E47+E48</f>
        <v>65.0290079964768</v>
      </c>
    </row>
    <row r="50" customFormat="false" ht="15" hidden="false" customHeight="false" outlineLevel="0" collapsed="false">
      <c r="A50" s="6" t="s">
        <v>1967</v>
      </c>
      <c r="E50" s="101" t="n">
        <f aca="false">E49*IntegraMotion!$B$16</f>
        <v>12.3555115193306</v>
      </c>
    </row>
    <row r="51" customFormat="false" ht="15" hidden="false" customHeight="false" outlineLevel="0" collapsed="false">
      <c r="A51" s="5" t="s">
        <v>2273</v>
      </c>
      <c r="E51" s="102" t="n">
        <f aca="false">E49+E50</f>
        <v>77.3845195158074</v>
      </c>
    </row>
    <row r="52" customFormat="false" ht="15" hidden="false" customHeight="false" outlineLevel="0" collapsed="false">
      <c r="A52" s="6" t="s">
        <v>2274</v>
      </c>
      <c r="E52" s="101" t="n">
        <f aca="false">E49-IntegraMotion!$D$235</f>
        <v>0</v>
      </c>
    </row>
    <row r="54" customFormat="false" ht="15" hidden="false" customHeight="false" outlineLevel="0" collapsed="false">
      <c r="A54" s="3" t="s">
        <v>2275</v>
      </c>
      <c r="B54" s="4"/>
      <c r="C54" s="4"/>
      <c r="D54" s="4"/>
      <c r="E54" s="4"/>
      <c r="F54" s="4"/>
      <c r="G54" s="4"/>
      <c r="H54" s="4"/>
    </row>
    <row r="55" customFormat="false" ht="15" hidden="false" customHeight="false" outlineLevel="0" collapsed="false">
      <c r="A55" s="5" t="s">
        <v>2259</v>
      </c>
    </row>
    <row r="56" customFormat="false" ht="23.85" hidden="false" customHeight="false" outlineLevel="0" collapsed="false">
      <c r="A56" s="23" t="s">
        <v>1676</v>
      </c>
      <c r="B56" s="24" t="s">
        <v>189</v>
      </c>
      <c r="C56" s="24" t="s">
        <v>2260</v>
      </c>
      <c r="D56" s="24" t="s">
        <v>2261</v>
      </c>
      <c r="E56" s="24" t="s">
        <v>2262</v>
      </c>
      <c r="F56" s="24" t="s">
        <v>2263</v>
      </c>
      <c r="G56" s="24" t="s">
        <v>2264</v>
      </c>
      <c r="H56" s="24" t="s">
        <v>1951</v>
      </c>
    </row>
    <row r="57" customFormat="false" ht="53.7" hidden="false" customHeight="false" outlineLevel="0" collapsed="false">
      <c r="A57" s="6" t="s">
        <v>1726</v>
      </c>
      <c r="B57" s="28" t="s">
        <v>2265</v>
      </c>
      <c r="C57" s="104" t="n">
        <f aca="false">IntegraMotion!$E$44</f>
        <v>71690.9014285714</v>
      </c>
      <c r="D57" s="104" t="n">
        <f aca="false">IntegraMotion!$F$44</f>
        <v>955.34094714809</v>
      </c>
      <c r="E57" s="104" t="n">
        <f aca="false">IntegraMotion!$D$249*1000000/IntegraMotion!$D$247</f>
        <v>5573.01268606772</v>
      </c>
      <c r="F57" s="104" t="n">
        <f aca="false">IntegraMotion!$D$250*1000000/IntegraMotion!$D$247</f>
        <v>995.180836797807</v>
      </c>
      <c r="G57" s="106" t="n">
        <f aca="false">C57+D57+E57+F57</f>
        <v>79214.435898585</v>
      </c>
      <c r="H57" s="79" t="s">
        <v>2266</v>
      </c>
    </row>
    <row r="58" customFormat="false" ht="15" hidden="false" customHeight="false" outlineLevel="0" collapsed="false">
      <c r="A58" s="6" t="s">
        <v>1728</v>
      </c>
      <c r="B58" s="28" t="s">
        <v>2265</v>
      </c>
      <c r="C58" s="104" t="n">
        <f aca="false">IntegraMotion!$E$45</f>
        <v>46177.7142857143</v>
      </c>
      <c r="D58" s="104" t="n">
        <f aca="false">IntegraMotion!$F$45</f>
        <v>3248.2974751439</v>
      </c>
      <c r="E58" s="104" t="n">
        <f aca="false">IntegraMotion!$D$249*1000000/IntegraMotion!$D$247</f>
        <v>5573.01268606772</v>
      </c>
      <c r="F58" s="104" t="n">
        <f aca="false">IntegraMotion!$D$250*1000000/IntegraMotion!$D$247</f>
        <v>995.180836797807</v>
      </c>
      <c r="G58" s="106" t="n">
        <f aca="false">C58+D58+E58+F58</f>
        <v>55994.2052837237</v>
      </c>
    </row>
    <row r="59" customFormat="false" ht="15" hidden="false" customHeight="false" outlineLevel="0" collapsed="false">
      <c r="A59" s="6" t="s">
        <v>1730</v>
      </c>
      <c r="B59" s="28" t="s">
        <v>2265</v>
      </c>
      <c r="C59" s="104" t="n">
        <f aca="false">IntegraMotion!$E$46</f>
        <v>46177.7142857143</v>
      </c>
      <c r="D59" s="104" t="n">
        <f aca="false">IntegraMotion!$F$46</f>
        <v>7292.94283097855</v>
      </c>
      <c r="E59" s="104" t="n">
        <f aca="false">IntegraMotion!$D$249*1000000/IntegraMotion!$D$247</f>
        <v>5573.01268606772</v>
      </c>
      <c r="F59" s="104" t="n">
        <f aca="false">IntegraMotion!$D$250*1000000/IntegraMotion!$D$247</f>
        <v>995.180836797807</v>
      </c>
      <c r="G59" s="106" t="n">
        <f aca="false">C59+D59+E59+F59</f>
        <v>60038.8506395584</v>
      </c>
    </row>
    <row r="60" customFormat="false" ht="15" hidden="false" customHeight="false" outlineLevel="0" collapsed="false">
      <c r="A60" s="6" t="s">
        <v>1731</v>
      </c>
      <c r="B60" s="28" t="s">
        <v>2265</v>
      </c>
      <c r="C60" s="104" t="n">
        <f aca="false">IntegraMotion!$E$47</f>
        <v>46177.7142857143</v>
      </c>
      <c r="D60" s="104" t="n">
        <f aca="false">IntegraMotion!$F$47</f>
        <v>26752.3116169545</v>
      </c>
      <c r="E60" s="104" t="n">
        <f aca="false">IntegraMotion!$D$249*1000000/IntegraMotion!$D$247</f>
        <v>5573.01268606772</v>
      </c>
      <c r="F60" s="104" t="n">
        <f aca="false">IntegraMotion!$D$250*1000000/IntegraMotion!$D$247</f>
        <v>995.180836797807</v>
      </c>
      <c r="G60" s="106" t="n">
        <f aca="false">C60+D60+E60+F60</f>
        <v>79498.2194255343</v>
      </c>
    </row>
    <row r="61" customFormat="false" ht="15" hidden="false" customHeight="false" outlineLevel="0" collapsed="false">
      <c r="A61" s="6" t="s">
        <v>1397</v>
      </c>
      <c r="B61" s="28" t="s">
        <v>2265</v>
      </c>
      <c r="C61" s="104" t="n">
        <f aca="false">IntegraMotion!$E$48</f>
        <v>46177.7142857143</v>
      </c>
      <c r="D61" s="104" t="n">
        <f aca="false">IntegraMotion!$F$48</f>
        <v>691.274201988488</v>
      </c>
      <c r="E61" s="104" t="n">
        <f aca="false">IntegraMotion!$D$249*1000000/IntegraMotion!$D$247</f>
        <v>5573.01268606772</v>
      </c>
      <c r="F61" s="104" t="n">
        <f aca="false">IntegraMotion!$D$250*1000000/IntegraMotion!$D$247</f>
        <v>995.180836797807</v>
      </c>
      <c r="G61" s="106" t="n">
        <f aca="false">C61+D61+E61+F61</f>
        <v>53437.1820105683</v>
      </c>
    </row>
    <row r="63" customFormat="false" ht="15" hidden="false" customHeight="false" outlineLevel="0" collapsed="false">
      <c r="A63" s="5" t="s">
        <v>2267</v>
      </c>
    </row>
    <row r="64" customFormat="false" ht="23.85" hidden="false" customHeight="false" outlineLevel="0" collapsed="false">
      <c r="A64" s="23" t="s">
        <v>2268</v>
      </c>
      <c r="B64" s="24" t="s">
        <v>189</v>
      </c>
      <c r="C64" s="24" t="s">
        <v>1059</v>
      </c>
      <c r="D64" s="24" t="s">
        <v>2269</v>
      </c>
      <c r="E64" s="24" t="s">
        <v>2270</v>
      </c>
    </row>
    <row r="65" customFormat="false" ht="15" hidden="false" customHeight="false" outlineLevel="0" collapsed="false">
      <c r="A65" s="6" t="s">
        <v>1726</v>
      </c>
      <c r="B65" s="28" t="s">
        <v>2271</v>
      </c>
      <c r="C65" s="76" t="n">
        <f aca="false">IntegraMotion!$B$242</f>
        <v>113.1675</v>
      </c>
      <c r="D65" s="104" t="n">
        <f aca="false">G57</f>
        <v>79214.435898585</v>
      </c>
      <c r="E65" s="101" t="n">
        <f aca="false">C65*D65/1000000</f>
        <v>8.96449967455312</v>
      </c>
    </row>
    <row r="66" customFormat="false" ht="15" hidden="false" customHeight="false" outlineLevel="0" collapsed="false">
      <c r="A66" s="6" t="s">
        <v>1728</v>
      </c>
      <c r="B66" s="28" t="s">
        <v>2271</v>
      </c>
      <c r="C66" s="76" t="n">
        <f aca="false">IntegraMotion!$B$243</f>
        <v>192</v>
      </c>
      <c r="D66" s="104" t="n">
        <f aca="false">G58</f>
        <v>55994.2052837237</v>
      </c>
      <c r="E66" s="101" t="n">
        <f aca="false">C66*D66/1000000</f>
        <v>10.750887414475</v>
      </c>
    </row>
    <row r="67" customFormat="false" ht="15" hidden="false" customHeight="false" outlineLevel="0" collapsed="false">
      <c r="A67" s="6" t="s">
        <v>1730</v>
      </c>
      <c r="B67" s="28" t="s">
        <v>2271</v>
      </c>
      <c r="C67" s="76" t="n">
        <f aca="false">IntegraMotion!$B$244</f>
        <v>579.675</v>
      </c>
      <c r="D67" s="104" t="n">
        <f aca="false">G59</f>
        <v>60038.8506395584</v>
      </c>
      <c r="E67" s="101" t="n">
        <f aca="false">C67*D67/1000000</f>
        <v>34.803020744486</v>
      </c>
    </row>
    <row r="68" customFormat="false" ht="15" hidden="false" customHeight="false" outlineLevel="0" collapsed="false">
      <c r="A68" s="6" t="s">
        <v>1731</v>
      </c>
      <c r="B68" s="28" t="s">
        <v>2271</v>
      </c>
      <c r="C68" s="76" t="n">
        <f aca="false">IntegraMotion!$B$245</f>
        <v>80</v>
      </c>
      <c r="D68" s="104" t="n">
        <f aca="false">G60</f>
        <v>79498.2194255343</v>
      </c>
      <c r="E68" s="101" t="n">
        <f aca="false">C68*D68/1000000</f>
        <v>6.35985755404274</v>
      </c>
    </row>
    <row r="69" customFormat="false" ht="15" hidden="false" customHeight="false" outlineLevel="0" collapsed="false">
      <c r="A69" s="6" t="s">
        <v>1397</v>
      </c>
      <c r="B69" s="28" t="s">
        <v>2271</v>
      </c>
      <c r="C69" s="76" t="n">
        <f aca="false">IntegraMotion!$B$246</f>
        <v>40</v>
      </c>
      <c r="D69" s="104" t="n">
        <f aca="false">G61</f>
        <v>53437.1820105683</v>
      </c>
      <c r="E69" s="101" t="n">
        <f aca="false">C69*D69/1000000</f>
        <v>2.13748728042273</v>
      </c>
    </row>
    <row r="70" customFormat="false" ht="15" hidden="false" customHeight="false" outlineLevel="0" collapsed="false">
      <c r="A70" s="5" t="s">
        <v>1961</v>
      </c>
      <c r="E70" s="102" t="n">
        <f aca="false">SUM(E65:E69)</f>
        <v>63.0157526679795</v>
      </c>
    </row>
    <row r="71" customFormat="false" ht="15" hidden="false" customHeight="false" outlineLevel="0" collapsed="false">
      <c r="A71" s="6" t="s">
        <v>1962</v>
      </c>
      <c r="E71" s="101" t="n">
        <f aca="false">E70*IntegraMotion!$B$13</f>
        <v>15.1237806403151</v>
      </c>
    </row>
    <row r="72" customFormat="false" ht="15" hidden="false" customHeight="false" outlineLevel="0" collapsed="false">
      <c r="A72" s="6" t="s">
        <v>1964</v>
      </c>
      <c r="E72" s="101" t="n">
        <f aca="false">E70*IntegraMotion!$B$14</f>
        <v>3.15078763339898</v>
      </c>
    </row>
    <row r="73" customFormat="false" ht="15" hidden="false" customHeight="false" outlineLevel="0" collapsed="false">
      <c r="A73" s="6" t="s">
        <v>1965</v>
      </c>
      <c r="E73" s="101" t="n">
        <f aca="false">E70*IntegraMotion!$B$15</f>
        <v>6.30157526679795</v>
      </c>
    </row>
    <row r="74" customFormat="false" ht="15" hidden="false" customHeight="false" outlineLevel="0" collapsed="false">
      <c r="A74" s="5" t="s">
        <v>2272</v>
      </c>
      <c r="E74" s="103" t="n">
        <f aca="false">E70+E71+E72+E73</f>
        <v>87.5918962084916</v>
      </c>
    </row>
    <row r="75" customFormat="false" ht="15" hidden="false" customHeight="false" outlineLevel="0" collapsed="false">
      <c r="A75" s="6" t="s">
        <v>1967</v>
      </c>
      <c r="E75" s="101" t="n">
        <f aca="false">E74*IntegraMotion!$B$16</f>
        <v>16.6424602796134</v>
      </c>
    </row>
    <row r="76" customFormat="false" ht="15" hidden="false" customHeight="false" outlineLevel="0" collapsed="false">
      <c r="A76" s="5" t="s">
        <v>2273</v>
      </c>
      <c r="E76" s="102" t="n">
        <f aca="false">E74+E75</f>
        <v>104.234356488105</v>
      </c>
    </row>
    <row r="77" customFormat="false" ht="15" hidden="false" customHeight="false" outlineLevel="0" collapsed="false">
      <c r="A77" s="6" t="s">
        <v>2274</v>
      </c>
      <c r="E77" s="101" t="n">
        <f aca="false">E74-IntegraMotion!$D$255</f>
        <v>0</v>
      </c>
    </row>
    <row r="79" customFormat="false" ht="15" hidden="false" customHeight="false" outlineLevel="0" collapsed="false">
      <c r="A79" s="9" t="s">
        <v>2276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0"/>
    <col collapsed="false" customWidth="true" hidden="false" outlineLevel="0" max="2" min="2" style="0" width="14"/>
    <col collapsed="false" customWidth="true" hidden="false" outlineLevel="0" max="3" min="3" style="0" width="12"/>
    <col collapsed="false" customWidth="true" hidden="false" outlineLevel="0" max="4" min="4" style="0" width="60"/>
  </cols>
  <sheetData>
    <row r="1" customFormat="false" ht="17.35" hidden="false" customHeight="false" outlineLevel="0" collapsed="false">
      <c r="A1" s="42" t="s">
        <v>2277</v>
      </c>
    </row>
    <row r="2" customFormat="false" ht="15" hidden="false" customHeight="false" outlineLevel="0" collapsed="false">
      <c r="A2" s="9" t="s">
        <v>2278</v>
      </c>
    </row>
    <row r="4" customFormat="false" ht="15" hidden="false" customHeight="false" outlineLevel="0" collapsed="false">
      <c r="A4" s="3" t="s">
        <v>65</v>
      </c>
      <c r="B4" s="4"/>
      <c r="C4" s="4"/>
      <c r="D4" s="4"/>
    </row>
    <row r="5" customFormat="false" ht="15" hidden="false" customHeight="false" outlineLevel="0" collapsed="false">
      <c r="A5" s="23" t="s">
        <v>2279</v>
      </c>
      <c r="B5" s="24" t="s">
        <v>1235</v>
      </c>
      <c r="C5" s="24" t="s">
        <v>1013</v>
      </c>
      <c r="D5" s="24" t="s">
        <v>2280</v>
      </c>
    </row>
    <row r="6" customFormat="false" ht="15" hidden="false" customHeight="false" outlineLevel="0" collapsed="false">
      <c r="A6" s="6" t="s">
        <v>2281</v>
      </c>
      <c r="B6" s="83" t="n">
        <f aca="false">SUMPRODUCT((Empresa!B27:L27+Empresa!B28:L28&gt;Empresa!B26:L26)*1)</f>
        <v>0</v>
      </c>
      <c r="C6" s="107" t="str">
        <f aca="false">IF(ABS(B6)&lt;0.001,"OK","Revisar")</f>
        <v>OK</v>
      </c>
      <c r="D6" s="9" t="s">
        <v>2282</v>
      </c>
    </row>
    <row r="7" customFormat="false" ht="15" hidden="false" customHeight="false" outlineLevel="0" collapsed="false">
      <c r="A7" s="6" t="s">
        <v>2283</v>
      </c>
      <c r="B7" s="83" t="n">
        <f aca="false">SUM(Quesería!F70:F89)-Quesería!$F$97</f>
        <v>0</v>
      </c>
      <c r="C7" s="107" t="str">
        <f aca="false">IF(ABS(B7)&lt;0.001,"OK","Revisar")</f>
        <v>OK</v>
      </c>
      <c r="D7" s="9" t="s">
        <v>2284</v>
      </c>
    </row>
    <row r="8" customFormat="false" ht="15" hidden="false" customHeight="false" outlineLevel="0" collapsed="false">
      <c r="A8" s="6" t="s">
        <v>2285</v>
      </c>
      <c r="B8" s="83" t="n">
        <f aca="false">SUM(Quesería!E104:E119)-Quesería!$E$128</f>
        <v>0</v>
      </c>
      <c r="C8" s="107" t="str">
        <f aca="false">IF(ABS(B8)&lt;0.001,"OK","Revisar")</f>
        <v>OK</v>
      </c>
      <c r="D8" s="9" t="s">
        <v>2286</v>
      </c>
    </row>
    <row r="9" customFormat="false" ht="15" hidden="false" customHeight="false" outlineLevel="0" collapsed="false">
      <c r="A9" s="6" t="s">
        <v>2287</v>
      </c>
      <c r="B9" s="83" t="n">
        <f aca="false">'Beneficios y costos'!E192-Quesería!$E$128</f>
        <v>0</v>
      </c>
      <c r="C9" s="107" t="str">
        <f aca="false">IF(ABS(B9)&lt;0.001,"OK","Revisar")</f>
        <v>OK</v>
      </c>
      <c r="D9" s="9" t="s">
        <v>2288</v>
      </c>
    </row>
    <row r="10" customFormat="false" ht="15" hidden="false" customHeight="false" outlineLevel="0" collapsed="false">
      <c r="A10" s="6" t="s">
        <v>2289</v>
      </c>
      <c r="B10" s="83" t="n">
        <f aca="false">SUM(Quesería!C104:C119)-SUM('Beneficios y costos'!C156:C171)</f>
        <v>0</v>
      </c>
      <c r="C10" s="107" t="str">
        <f aca="false">IF(ABS(B10)&lt;0.001,"OK","Revisar")</f>
        <v>OK</v>
      </c>
      <c r="D10" s="9" t="s">
        <v>2290</v>
      </c>
    </row>
    <row r="11" customFormat="false" ht="15" hidden="false" customHeight="false" outlineLevel="0" collapsed="false">
      <c r="A11" s="6" t="s">
        <v>2291</v>
      </c>
      <c r="B11" s="83" t="n">
        <f aca="false">SUM(Quesería!B155:L155)-(SUM(Quesería!B143:L143)+-SUM(Quesería!B144:L144)+-SUM(Quesería!B145:L145)+-SUM(Quesería!B146:L146)+-SUM(Quesería!B151:L151)+-SUM(Quesería!B138:L138)+-SUM(Quesería!B139:L139)+-SUM(Quesería!B140:L140)+-SUM(Quesería!B153:L153)+SUM(Quesería!B154:L154))</f>
        <v>0</v>
      </c>
      <c r="C11" s="107" t="str">
        <f aca="false">IF(ABS(B11)&lt;0.001,"OK","Revisar")</f>
        <v>OK</v>
      </c>
      <c r="D11" s="9" t="s">
        <v>2292</v>
      </c>
    </row>
    <row r="12" customFormat="false" ht="15" hidden="false" customHeight="false" outlineLevel="0" collapsed="false">
      <c r="A12" s="6" t="s">
        <v>2293</v>
      </c>
      <c r="B12" s="83" t="n">
        <f aca="false">Quesería!J163</f>
        <v>0</v>
      </c>
      <c r="C12" s="107" t="str">
        <f aca="false">IF(ABS(B12)&lt;0.001,"OK","Revisar")</f>
        <v>OK</v>
      </c>
      <c r="D12" s="9" t="s">
        <v>2294</v>
      </c>
    </row>
    <row r="13" customFormat="false" ht="15" hidden="false" customHeight="false" outlineLevel="0" collapsed="false">
      <c r="A13" s="6" t="s">
        <v>2295</v>
      </c>
      <c r="B13" s="83" t="n">
        <f aca="false">SUMPRODUCT(Quesería!B166:L166/Quesería!B137:L137)-(Quesería!$B$44*Quesería!B138*Quesería!B135+Quesería!$B$44*Quesería!C138*Quesería!C135)</f>
        <v>0</v>
      </c>
      <c r="C13" s="107" t="str">
        <f aca="false">IF(ABS(B13)&lt;0.001,"OK","Revisar")</f>
        <v>OK</v>
      </c>
      <c r="D13" s="9" t="s">
        <v>2296</v>
      </c>
    </row>
    <row r="14" customFormat="false" ht="15" hidden="false" customHeight="false" outlineLevel="0" collapsed="false">
      <c r="A14" s="6" t="s">
        <v>2297</v>
      </c>
      <c r="B14" s="83" t="n">
        <f aca="false">Escenarios!$B$36-Quesería!B180</f>
        <v>0</v>
      </c>
      <c r="C14" s="107" t="str">
        <f aca="false">IF(ABS(B14)&lt;0.001,"OK","Revisar")</f>
        <v>OK</v>
      </c>
      <c r="D14" s="9" t="s">
        <v>2298</v>
      </c>
    </row>
    <row r="15" customFormat="false" ht="15" hidden="false" customHeight="false" outlineLevel="0" collapsed="false">
      <c r="A15" s="6" t="s">
        <v>2299</v>
      </c>
      <c r="B15" s="83" t="n">
        <f aca="false">Escenarios!$B$37-Quesería!B182</f>
        <v>0</v>
      </c>
      <c r="C15" s="107" t="str">
        <f aca="false">IF(ABS(B15)&lt;0.001,"OK","Revisar")</f>
        <v>OK</v>
      </c>
      <c r="D15" s="9"/>
    </row>
    <row r="16" customFormat="false" ht="15" hidden="false" customHeight="false" outlineLevel="0" collapsed="false">
      <c r="A16" s="6" t="s">
        <v>2300</v>
      </c>
      <c r="B16" s="83" t="n">
        <f aca="false">Escenarios!$B$43-Quesería!B189</f>
        <v>0</v>
      </c>
      <c r="C16" s="107" t="str">
        <f aca="false">IF(ABS(B16)&lt;0.001,"OK","Revisar")</f>
        <v>OK</v>
      </c>
      <c r="D16" s="9"/>
    </row>
    <row r="17" customFormat="false" ht="15" hidden="false" customHeight="false" outlineLevel="0" collapsed="false">
      <c r="A17" s="6" t="s">
        <v>2301</v>
      </c>
      <c r="B17" s="83" t="n">
        <f aca="false">SUMPRODUCT(Escenarios!B1052:L1052,Escenarios!B1040:L1040)-Quesería!$F$92*Escenarios!B1040-Escenarios!G1044*Escenarios!G1040-Escenarios!H1044*Escenarios!H1040*4/5</f>
        <v>0</v>
      </c>
      <c r="C17" s="107" t="str">
        <f aca="false">IF(ABS(B17)&lt;0.001,"OK","Revisar")</f>
        <v>OK</v>
      </c>
      <c r="D17" s="9" t="s">
        <v>2302</v>
      </c>
    </row>
    <row r="18" customFormat="false" ht="15" hidden="false" customHeight="false" outlineLevel="0" collapsed="false">
      <c r="A18" s="6" t="s">
        <v>2303</v>
      </c>
      <c r="B18" s="83" t="n">
        <f aca="false">MIN(0,49-Herramientas!$B$24)</f>
        <v>0</v>
      </c>
      <c r="C18" s="107" t="str">
        <f aca="false">IF(ABS(B18)&lt;0.001,"OK","Revisar")</f>
        <v>OK</v>
      </c>
      <c r="D18" s="9" t="s">
        <v>2304</v>
      </c>
    </row>
    <row r="19" customFormat="false" ht="15" hidden="false" customHeight="false" outlineLevel="0" collapsed="false">
      <c r="A19" s="6" t="s">
        <v>2305</v>
      </c>
      <c r="B19" s="83" t="n">
        <f aca="false">SUM('Beneficios y costos'!B94:D94)</f>
        <v>0</v>
      </c>
      <c r="C19" s="107" t="str">
        <f aca="false">IF(ABS(B19)&lt;0.001,"OK","Revisar")</f>
        <v>OK</v>
      </c>
      <c r="D19" s="9" t="s">
        <v>2306</v>
      </c>
    </row>
    <row r="20" customFormat="false" ht="15" hidden="false" customHeight="false" outlineLevel="0" collapsed="false">
      <c r="A20" s="6" t="s">
        <v>2307</v>
      </c>
      <c r="B20" s="83" t="n">
        <f aca="false">Quesería!$B$15-(SUM('Beneficios y costos'!B74:B81)+'Beneficios y costos'!B68)</f>
        <v>0</v>
      </c>
      <c r="C20" s="107" t="str">
        <f aca="false">IF(ABS(B20)&lt;0.001,"OK","Revisar")</f>
        <v>OK</v>
      </c>
      <c r="D20" s="9" t="s">
        <v>2308</v>
      </c>
    </row>
    <row r="21" customFormat="false" ht="15" hidden="false" customHeight="false" outlineLevel="0" collapsed="false">
      <c r="A21" s="6" t="s">
        <v>2309</v>
      </c>
      <c r="B21" s="83" t="n">
        <f aca="false">Quesería!$B$14-SUM('Beneficios y costos'!B67:B69)</f>
        <v>0</v>
      </c>
      <c r="C21" s="107" t="str">
        <f aca="false">IF(ABS(B21)&lt;0.001,"OK","Revisar")</f>
        <v>OK</v>
      </c>
      <c r="D21" s="9"/>
    </row>
    <row r="22" customFormat="false" ht="15" hidden="false" customHeight="false" outlineLevel="0" collapsed="false">
      <c r="A22" s="6" t="s">
        <v>2310</v>
      </c>
      <c r="B22" s="83" t="n">
        <f aca="false">'Beneficios y costos'!$D$249-(SUM('Beneficios y costos'!$J$230:$J$236)+SUM('Beneficios y costos'!$E$241:$E$245))</f>
        <v>0</v>
      </c>
      <c r="C22" s="107" t="str">
        <f aca="false">IF(ABS(B22)&lt;0.001,"OK","Revisar")</f>
        <v>OK</v>
      </c>
      <c r="D22" s="9" t="s">
        <v>2311</v>
      </c>
    </row>
    <row r="23" customFormat="false" ht="15" hidden="false" customHeight="false" outlineLevel="0" collapsed="false">
      <c r="A23" s="6" t="s">
        <v>2312</v>
      </c>
      <c r="B23" s="83" t="n">
        <f aca="false">ROUND((Empresa!$B$7-Empresa!$B$8-Empresa!$B$9)*(1-Quesería!$B$54),0)-Empresa!$B$10</f>
        <v>0</v>
      </c>
      <c r="C23" s="107" t="str">
        <f aca="false">IF(ABS(B23)&lt;0.001,"OK","Revisar")</f>
        <v>OK</v>
      </c>
      <c r="D23" s="9" t="s">
        <v>2313</v>
      </c>
    </row>
    <row r="24" customFormat="false" ht="15" hidden="false" customHeight="false" outlineLevel="0" collapsed="false">
      <c r="A24" s="6" t="s">
        <v>2314</v>
      </c>
      <c r="B24" s="83" t="n">
        <f aca="false">SUM(Empresa!B20:L20)-SUM(Quesería!B143:L143)+SUM(Quesería!B144:L144)+SUM(Quesería!B145:L145)</f>
        <v>-6.03961325396085E-013</v>
      </c>
      <c r="C24" s="107" t="str">
        <f aca="false">IF(ABS(B24)&lt;0.001,"OK","Revisar")</f>
        <v>OK</v>
      </c>
      <c r="D24" s="9" t="s">
        <v>2315</v>
      </c>
    </row>
    <row r="25" customFormat="false" ht="15" hidden="false" customHeight="false" outlineLevel="0" collapsed="false">
      <c r="A25" s="6" t="s">
        <v>2316</v>
      </c>
      <c r="B25" s="83" t="n">
        <f aca="false">ABS(Cotizaciones!F14-Quesería!D84)+ABS(Cotizaciones!F15-Quesería!D85)+ABS(Cotizaciones!F16-Quesería!D75)+ABS(Cotizaciones!F18-Quesería!D71)+ABS(Cotizaciones!F19-Quesería!D72)+ABS(Cotizaciones!F20-Quesería!D74)+ABS(Cotizaciones!F21-Quesería!D86)+ABS(Cotizaciones!F13-Quesería!D73)</f>
        <v>0</v>
      </c>
      <c r="C25" s="107" t="str">
        <f aca="false">IF(ABS(B25)&lt;0.001,"OK","Revisar")</f>
        <v>OK</v>
      </c>
      <c r="D25" s="9" t="s">
        <v>2317</v>
      </c>
    </row>
    <row r="26" customFormat="false" ht="15" hidden="false" customHeight="false" outlineLevel="0" collapsed="false">
      <c r="A26" s="6" t="s">
        <v>2318</v>
      </c>
      <c r="B26" s="83" t="n">
        <f aca="false">APU!E27</f>
        <v>0</v>
      </c>
      <c r="C26" s="107" t="str">
        <f aca="false">IF(ABS(B26)&lt;0.001,"OK","Revisar")</f>
        <v>OK</v>
      </c>
      <c r="D26" s="9" t="s">
        <v>2319</v>
      </c>
    </row>
    <row r="27" customFormat="false" ht="15" hidden="false" customHeight="false" outlineLevel="0" collapsed="false">
      <c r="A27" s="6" t="s">
        <v>2320</v>
      </c>
      <c r="B27" s="83" t="n">
        <f aca="false">APU!E52</f>
        <v>0</v>
      </c>
      <c r="C27" s="107" t="str">
        <f aca="false">IF(ABS(B27)&lt;0.001,"OK","Revisar")</f>
        <v>OK</v>
      </c>
      <c r="D27" s="9" t="s">
        <v>2319</v>
      </c>
    </row>
    <row r="28" customFormat="false" ht="15" hidden="false" customHeight="false" outlineLevel="0" collapsed="false">
      <c r="A28" s="6" t="s">
        <v>2321</v>
      </c>
      <c r="B28" s="83" t="n">
        <f aca="false">APU!E77</f>
        <v>0</v>
      </c>
      <c r="C28" s="107" t="str">
        <f aca="false">IF(ABS(B28)&lt;0.001,"OK","Revisar")</f>
        <v>OK</v>
      </c>
      <c r="D28" s="9" t="s">
        <v>2319</v>
      </c>
    </row>
    <row r="29" customFormat="false" ht="15" hidden="false" customHeight="false" outlineLevel="0" collapsed="false">
      <c r="A29" s="6" t="s">
        <v>2322</v>
      </c>
      <c r="B29" s="83" t="n">
        <f aca="false">Quesería!D76+Quesería!D77+Quesería!D78-IntegraMotion!$D$215*1</f>
        <v>0</v>
      </c>
      <c r="C29" s="107" t="str">
        <f aca="false">IF(ABS(B29)&lt;0.001,"OK","Revisar")</f>
        <v>OK</v>
      </c>
      <c r="D29" s="9" t="s">
        <v>2323</v>
      </c>
    </row>
    <row r="30" customFormat="false" ht="15" hidden="false" customHeight="false" outlineLevel="0" collapsed="false">
      <c r="A30" s="6" t="s">
        <v>2324</v>
      </c>
      <c r="B30" s="83" t="n">
        <f aca="false">Quesería!D79-IntegraMotion!$D$235*Entorno!$B$14</f>
        <v>0</v>
      </c>
      <c r="C30" s="107" t="str">
        <f aca="false">IF(ABS(B30)&lt;0.001,"OK","Revisar")</f>
        <v>OK</v>
      </c>
      <c r="D30" s="9" t="s">
        <v>2323</v>
      </c>
    </row>
    <row r="31" customFormat="false" ht="15" hidden="false" customHeight="false" outlineLevel="0" collapsed="false">
      <c r="A31" s="6" t="s">
        <v>2325</v>
      </c>
      <c r="B31" s="83" t="n">
        <f aca="false">Quesería!D88-IntegraMotion!$D$255*Entorno!$B$15</f>
        <v>0</v>
      </c>
      <c r="C31" s="107" t="str">
        <f aca="false">IF(ABS(B31)&lt;0.001,"OK","Revisar")</f>
        <v>OK</v>
      </c>
      <c r="D31" s="9" t="s">
        <v>2323</v>
      </c>
    </row>
    <row r="32" customFormat="false" ht="15" hidden="false" customHeight="false" outlineLevel="0" collapsed="false">
      <c r="A32" s="6" t="s">
        <v>2326</v>
      </c>
      <c r="B32" s="83" t="n">
        <f aca="false">Resumen!D16</f>
        <v>0</v>
      </c>
      <c r="C32" s="107" t="str">
        <f aca="false">IF(ABS(B32)&lt;0.001,"OK","Revisar")</f>
        <v>OK</v>
      </c>
      <c r="D32" s="9" t="s">
        <v>2327</v>
      </c>
    </row>
    <row r="33" customFormat="false" ht="15" hidden="false" customHeight="false" outlineLevel="0" collapsed="false">
      <c r="A33" s="6" t="s">
        <v>2328</v>
      </c>
      <c r="B33" s="83" t="n">
        <f aca="false">Resumen!L97</f>
        <v>0</v>
      </c>
      <c r="C33" s="107" t="str">
        <f aca="false">IF(ABS(B33)&lt;0.001,"OK","Revisar")</f>
        <v>OK</v>
      </c>
      <c r="D33" s="9" t="s">
        <v>2329</v>
      </c>
    </row>
    <row r="34" customFormat="false" ht="15" hidden="false" customHeight="false" outlineLevel="0" collapsed="false">
      <c r="A34" s="6" t="s">
        <v>2330</v>
      </c>
      <c r="B34" s="83" t="n">
        <f aca="false">BOM!L84</f>
        <v>0</v>
      </c>
      <c r="C34" s="107" t="str">
        <f aca="false">IF(ABS(B34)&lt;0.001,"OK","Revisar")</f>
        <v>OK</v>
      </c>
      <c r="D34" s="9" t="s">
        <v>2331</v>
      </c>
    </row>
    <row r="35" customFormat="false" ht="15" hidden="false" customHeight="false" outlineLevel="0" collapsed="false">
      <c r="A35" s="6" t="s">
        <v>2332</v>
      </c>
      <c r="B35" s="83" t="n">
        <f aca="false">IntegraMotion!I186</f>
        <v>0</v>
      </c>
      <c r="C35" s="107" t="str">
        <f aca="false">IF(ABS(B35)&lt;0.001,"OK","Revisar")</f>
        <v>OK</v>
      </c>
      <c r="D35" s="9" t="s">
        <v>2333</v>
      </c>
    </row>
    <row r="36" customFormat="false" ht="15" hidden="false" customHeight="false" outlineLevel="0" collapsed="false">
      <c r="A36" s="6" t="s">
        <v>2334</v>
      </c>
      <c r="B36" s="83" t="n">
        <f aca="false">IntegraMotion!G198</f>
        <v>0</v>
      </c>
      <c r="C36" s="107" t="str">
        <f aca="false">IF(ABS(B36)&lt;0.001,"OK","Revisar")</f>
        <v>OK</v>
      </c>
      <c r="D36" s="9" t="s">
        <v>2335</v>
      </c>
    </row>
    <row r="37" customFormat="false" ht="15" hidden="false" customHeight="false" outlineLevel="0" collapsed="false">
      <c r="A37" s="6" t="s">
        <v>2336</v>
      </c>
      <c r="B37" s="83" t="n">
        <f aca="false">'Beneficios y costos'!C110</f>
        <v>0</v>
      </c>
      <c r="C37" s="107" t="str">
        <f aca="false">IF(ABS(B37)&lt;0.001,"OK","Revisar")</f>
        <v>OK</v>
      </c>
      <c r="D37" s="9" t="s">
        <v>2337</v>
      </c>
    </row>
    <row r="38" customFormat="false" ht="15" hidden="false" customHeight="false" outlineLevel="0" collapsed="false">
      <c r="A38" s="6" t="s">
        <v>2338</v>
      </c>
      <c r="B38" s="83" t="n">
        <f aca="false">Herramientas!B59</f>
        <v>0</v>
      </c>
      <c r="C38" s="107" t="str">
        <f aca="false">IF(ABS(B38)&lt;0.001,"OK","Revisar")</f>
        <v>OK</v>
      </c>
      <c r="D38" s="9" t="s">
        <v>2339</v>
      </c>
    </row>
    <row r="39" customFormat="false" ht="15" hidden="false" customHeight="false" outlineLevel="0" collapsed="false">
      <c r="A39" s="6" t="s">
        <v>2340</v>
      </c>
      <c r="B39" s="83" t="n">
        <f aca="false">IntegraMotion!E329</f>
        <v>0</v>
      </c>
      <c r="C39" s="107" t="str">
        <f aca="false">IF(ABS(B39)&lt;0.001,"OK","Revisar")</f>
        <v>OK</v>
      </c>
      <c r="D39" s="9" t="s">
        <v>2341</v>
      </c>
    </row>
    <row r="40" customFormat="false" ht="15" hidden="false" customHeight="false" outlineLevel="0" collapsed="false">
      <c r="A40" s="6" t="s">
        <v>2342</v>
      </c>
      <c r="B40" s="83" t="n">
        <f aca="false">IntegraMotion!C349</f>
        <v>0</v>
      </c>
      <c r="C40" s="107" t="str">
        <f aca="false">IF(ABS(B40)&lt;0.001,"OK","Revisar")</f>
        <v>OK</v>
      </c>
      <c r="D40" s="9" t="s">
        <v>2343</v>
      </c>
    </row>
    <row r="41" customFormat="false" ht="15" hidden="false" customHeight="false" outlineLevel="0" collapsed="false">
      <c r="A41" s="6" t="s">
        <v>2344</v>
      </c>
      <c r="B41" s="83" t="n">
        <f aca="false">MAX(0,IntegraMotion!E330)</f>
        <v>0</v>
      </c>
      <c r="C41" s="107" t="str">
        <f aca="false">IF(ABS(B41)&lt;0.001,"OK","Revisar")</f>
        <v>OK</v>
      </c>
      <c r="D41" s="9" t="s">
        <v>2345</v>
      </c>
    </row>
    <row r="43" customFormat="false" ht="15" hidden="false" customHeight="false" outlineLevel="0" collapsed="false">
      <c r="A43" s="5" t="s">
        <v>2346</v>
      </c>
      <c r="B43" s="107" t="str">
        <f aca="false">COUNTIF(C6:C41,"OK")&amp;" de "&amp;ROWS(C6:C41)</f>
        <v>36 de 36</v>
      </c>
      <c r="C43" s="108" t="str">
        <f aca="false">IF(COUNTIF(C6:C41,"Revisar")=0,"OK","Revisar")</f>
        <v>OK</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2026-10-29T21:02:24Z</dcterms:created>
  <dc:creator>openpyxl</dc:creator>
  <dc:description/>
  <dc:language>en-US</dc:language>
  <cp:lastModifiedBy/>
  <dcterms:modified xsi:type="dcterms:W3CDTF">2026-10-29T16:02:33Z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