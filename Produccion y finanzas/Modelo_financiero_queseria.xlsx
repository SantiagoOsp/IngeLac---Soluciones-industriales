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esería" sheetId="1" state="visible" r:id="rId3"/>
    <sheet name="Escenarios" sheetId="2" state="visible" r:id="rId4"/>
    <sheet name="IntegraMo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<sst xmlns="http://schemas.openxmlformats.org/spreadsheetml/2006/main" count="521" uniqueCount="291">
  <si>
    <t xml:space="preserve">Modelo financiero de la quesería — Lácteos Fúquene</t>
  </si>
  <si>
    <t xml:space="preserve">Oferta de IntegraMotion S.A.S. Millones de pesos constantes de 2026. Texto azul: datos de entrada; negro: fórmulas.</t>
  </si>
  <si>
    <t xml:space="preserve">Supuestos</t>
  </si>
  <si>
    <t xml:space="preserve">Supuesto</t>
  </si>
  <si>
    <t xml:space="preserve">Valor</t>
  </si>
  <si>
    <t xml:space="preserve">Unidad</t>
  </si>
  <si>
    <t xml:space="preserve">Fuente o criterio</t>
  </si>
  <si>
    <t xml:space="preserve">Tasa de descuento (costo ponderado del capital)</t>
  </si>
  <si>
    <t xml:space="preserve">%</t>
  </si>
  <si>
    <t xml:space="preserve">70 % deuda al 18 % antes de impuestos y 30 % capital propio al 25 %.</t>
  </si>
  <si>
    <t xml:space="preserve">Impuesto de renta</t>
  </si>
  <si>
    <t xml:space="preserve">Tarifa general de personas jurídicas.</t>
  </si>
  <si>
    <t xml:space="preserve">Vida útil para depreciación</t>
  </si>
  <si>
    <t xml:space="preserve">años</t>
  </si>
  <si>
    <t xml:space="preserve">Línea recta; igual al horizonte de evaluación.</t>
  </si>
  <si>
    <t xml:space="preserve">Beneficio del primer año de cada etapa</t>
  </si>
  <si>
    <t xml:space="preserve">% del pleno</t>
  </si>
  <si>
    <t xml:space="preserve">Arranque, ajuste de recetas y formación.</t>
  </si>
  <si>
    <t xml:space="preserve">Mantenimiento de equipos nuevos</t>
  </si>
  <si>
    <t xml:space="preserve">% equipos/año</t>
  </si>
  <si>
    <t xml:space="preserve">Práctica de la industria para equipos de proceso.</t>
  </si>
  <si>
    <t xml:space="preserve">Suscripciones de software del SCADA de la quesería</t>
  </si>
  <si>
    <t xml:space="preserve">$ M/año</t>
  </si>
  <si>
    <t xml:space="preserve">Licencias de SCADA, historiador y analítica dimensionadas para una línea.</t>
  </si>
  <si>
    <t xml:space="preserve">Días de cartera sobre las ventas adicionales</t>
  </si>
  <si>
    <t xml:space="preserve">días</t>
  </si>
  <si>
    <t xml:space="preserve">Política comercial de la planta.</t>
  </si>
  <si>
    <t xml:space="preserve">Leche de la quesería</t>
  </si>
  <si>
    <t xml:space="preserve">L/día</t>
  </si>
  <si>
    <t xml:space="preserve">Reparto de la leche de la planta.</t>
  </si>
  <si>
    <t xml:space="preserve">Leche de la planta</t>
  </si>
  <si>
    <t xml:space="preserve">Caso de estudio.</t>
  </si>
  <si>
    <t xml:space="preserve">Parte de la quesería en la leche</t>
  </si>
  <si>
    <t xml:space="preserve">Reparte la grasa en línea, el mantenimiento y la etapa 0.</t>
  </si>
  <si>
    <t xml:space="preserve">Ventas de la quesería</t>
  </si>
  <si>
    <t xml:space="preserve">Caso de estudio (294 días de operación).</t>
  </si>
  <si>
    <t xml:space="preserve">Ventas de la planta</t>
  </si>
  <si>
    <t xml:space="preserve">Parte de la quesería en las ventas</t>
  </si>
  <si>
    <t xml:space="preserve">Reparte la reducción de merma.</t>
  </si>
  <si>
    <t xml:space="preserve">Costo anual de un operario</t>
  </si>
  <si>
    <t xml:space="preserve">Salario, prestaciones y aportes.</t>
  </si>
  <si>
    <t xml:space="preserve">Meses de traslape mientras se forman los operarios de la hiladora</t>
  </si>
  <si>
    <t xml:space="preserve">meses</t>
  </si>
  <si>
    <t xml:space="preserve">Los 2 operarios que pasan a cubrir vacantes siguen en el hilado hasta que la hiladora opera sola; esas vacantes se cubren mientras tanto.</t>
  </si>
  <si>
    <t xml:space="preserve">Descuento tributario por inversión ambiental (art. 255 ET)</t>
  </si>
  <si>
    <t xml:space="preserve">% inversión</t>
  </si>
  <si>
    <t xml:space="preserve">Sobre el enfriador y el tanque del suero, que dejan de verterlo. Requiere certificado de la CAR; IntegraMotion lo tramita.</t>
  </si>
  <si>
    <t xml:space="preserve">Valor de los equipos al año 10</t>
  </si>
  <si>
    <t xml:space="preserve">% de su costo</t>
  </si>
  <si>
    <t xml:space="preserve">Se vende o se toma como parte de pago; se grava completo.</t>
  </si>
  <si>
    <t xml:space="preserve">Parte de la inversión financiada con crédito</t>
  </si>
  <si>
    <t xml:space="preserve">Líneas Bancóldex Impulso a la Productividad y Transformación Digital, a través del banco de la empresa.</t>
  </si>
  <si>
    <t xml:space="preserve">Tasa del crédito de fomento (efectiva anual)</t>
  </si>
  <si>
    <t xml:space="preserve">Superfinanciera, datos abiertos: créditos con recursos de redescuento a medianas empresas, 3 a 5 años, mayo a julio de 2026.</t>
  </si>
  <si>
    <t xml:space="preserve">Plazo del crédito, incluida la gracia</t>
  </si>
  <si>
    <t xml:space="preserve">Bancóldex Impulso a la Productividad: hasta 7 años con 12 meses de gracia.</t>
  </si>
  <si>
    <t xml:space="preserve">Gracia a capital</t>
  </si>
  <si>
    <t xml:space="preserve">Se pagan solo intereses.</t>
  </si>
  <si>
    <t xml:space="preserve">Rentabilidad que exige el inversionista</t>
  </si>
  <si>
    <t xml:space="preserve">La misma del costo ponderado del capital.</t>
  </si>
  <si>
    <t xml:space="preserve">Inversión</t>
  </si>
  <si>
    <t xml:space="preserve">Componente</t>
  </si>
  <si>
    <t xml:space="preserve">Etapa</t>
  </si>
  <si>
    <t xml:space="preserve">Año</t>
  </si>
  <si>
    <t xml:space="preserve">Planta</t>
  </si>
  <si>
    <t xml:space="preserve">Reparto</t>
  </si>
  <si>
    <t xml:space="preserve">Quesería</t>
  </si>
  <si>
    <t xml:space="preserve">¿Equipo?</t>
  </si>
  <si>
    <t xml:space="preserve">Diagnóstico de la planta, plan de mantenimiento y orden de la operación</t>
  </si>
  <si>
    <t xml:space="preserve">Automatización de 2 tinas: liras con variador, sensor de coagulación, dosificación</t>
  </si>
  <si>
    <t xml:space="preserve">Medidor de grasa en línea en la estandarización</t>
  </si>
  <si>
    <t xml:space="preserve">SCADA, historiador y MES ligero de la quesería (red, servidor, licencias e instrumentación)</t>
  </si>
  <si>
    <t xml:space="preserve">Contrato 1 con IntegraMotion: ingeniería e integración de las etapas 0 y 1</t>
  </si>
  <si>
    <t xml:space="preserve">Formación de los operarios con el SENA</t>
  </si>
  <si>
    <t xml:space="preserve">Imprevistos de la etapa 1</t>
  </si>
  <si>
    <t xml:space="preserve">Hiladora-moldeadora continua para doble crema y mozzarella</t>
  </si>
  <si>
    <t xml:space="preserve">CIP automático del circuito de quesos</t>
  </si>
  <si>
    <t xml:space="preserve">Enfriador de placas y tanque pulmón para el suero</t>
  </si>
  <si>
    <t xml:space="preserve">Contrato 2 con IntegraMotion: integración de la etapa 2</t>
  </si>
  <si>
    <t xml:space="preserve">Imprevistos de la etapa 2</t>
  </si>
  <si>
    <t xml:space="preserve">Todo se dimensiona para la quesería. SCADA, CIP y formación: un tercio del costo estimado para toda la planta. Contratos con IntegraMotion: hoja IntegraMotion, sin IVA. Diagnóstico y grasa en línea están en la recepción común: se carga la parte de la leche de quesos. Sin cotizaciones todavía.</t>
  </si>
  <si>
    <t xml:space="preserve">Inversión del año 0 (etapas 0 y 1)</t>
  </si>
  <si>
    <t xml:space="preserve">Inversión del año 1 (etapa 2)</t>
  </si>
  <si>
    <t xml:space="preserve">Equipos del año 0</t>
  </si>
  <si>
    <t xml:space="preserve">Equipos del año 1</t>
  </si>
  <si>
    <t xml:space="preserve">Inversión total</t>
  </si>
  <si>
    <t xml:space="preserve">Beneficios anuales en régimen</t>
  </si>
  <si>
    <t xml:space="preserve">Medida</t>
  </si>
  <si>
    <t xml:space="preserve">Δ ventas planta</t>
  </si>
  <si>
    <t xml:space="preserve">Δ ventas quesería</t>
  </si>
  <si>
    <t xml:space="preserve">Horas extra del hilado evitadas con el orden del hilado (0,5 h/día)</t>
  </si>
  <si>
    <t xml:space="preserve">Mayor rendimiento del campesino y la mozzarella (sensor de coagulación)</t>
  </si>
  <si>
    <t xml:space="preserve">Estandarización de grasa en línea</t>
  </si>
  <si>
    <t xml:space="preserve">Menor merma (de 2,0 a 1,5 % de las ventas)</t>
  </si>
  <si>
    <t xml:space="preserve">Mantenimiento preventivo (20 % menos gasto)</t>
  </si>
  <si>
    <t xml:space="preserve">Hiladora-moldeadora: más doble crema y mozzarella</t>
  </si>
  <si>
    <t xml:space="preserve">Horas extra restantes que elimina la hiladora (0,5 h/día)</t>
  </si>
  <si>
    <t xml:space="preserve">Limpieza CIP automática del circuito de quesos</t>
  </si>
  <si>
    <t xml:space="preserve">Contrato de venta del suero enfriado</t>
  </si>
  <si>
    <t xml:space="preserve">Relevo natural: 2 operarios liberados por la hiladora cubren vacantes</t>
  </si>
  <si>
    <t xml:space="preserve">Horas extra: 0,5 h × 4 operarios × 294 días × $20.000/h. Nadie sale de la empresa: los 2 operarios cubren vacantes que la planta tendría que contratar.</t>
  </si>
  <si>
    <t xml:space="preserve">Beneficio de las etapas 0 y 1</t>
  </si>
  <si>
    <t xml:space="preserve">Beneficio de la etapa 2</t>
  </si>
  <si>
    <t xml:space="preserve">Ventas adicionales de las etapas 0 y 1</t>
  </si>
  <si>
    <t xml:space="preserve">Ventas adicionales de la etapa 2</t>
  </si>
  <si>
    <t xml:space="preserve">Beneficio anual pleno</t>
  </si>
  <si>
    <t xml:space="preserve">Flujo de caja de la oferta (años 0 a 10)</t>
  </si>
  <si>
    <t xml:space="preserve">$ M</t>
  </si>
  <si>
    <t xml:space="preserve">Año 0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</si>
  <si>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</si>
  <si>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</si>
  <si>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</si>
  <si>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</si>
  <si>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</si>
  <si>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Año 6</t>
  </si>
  <si>
    <t xml:space="preserve">Año 7</t>
  </si>
  <si>
    <t xml:space="preserve">Año 8</t>
  </si>
  <si>
    <t xml:space="preserve">Año 9</t>
  </si>
  <si>
    <t xml:space="preserve">Año 10</t>
  </si>
  <si>
    <t xml:space="preserve">Año (número)</t>
  </si>
  <si>
    <t xml:space="preserve">Beneficio total</t>
  </si>
  <si>
    <t xml:space="preserve">Costos operativos nuevos</t>
  </si>
  <si>
    <t xml:space="preserve">Costo de la transición del personal</t>
  </si>
  <si>
    <t xml:space="preserve">Depreciación</t>
  </si>
  <si>
    <t xml:space="preserve">Descuento tributario (art. 255)</t>
  </si>
  <si>
    <t xml:space="preserve">Inversión en capital de trabajo</t>
  </si>
  <si>
    <t xml:space="preserve">Valor de los equipos al año 10, después de impuestos</t>
  </si>
  <si>
    <t xml:space="preserve">Flujo de caja libre del proyecto</t>
  </si>
  <si>
    <t xml:space="preserve">Flujo acumulado</t>
  </si>
  <si>
    <t xml:space="preserve">Recuperación (auxiliar)</t>
  </si>
  <si>
    <t xml:space="preserve">Desembolso del crédito</t>
  </si>
  <si>
    <t xml:space="preserve">Intereses</t>
  </si>
  <si>
    <t xml:space="preserve">Abono a capital</t>
  </si>
  <si>
    <t xml:space="preserve">Ahorro de impuesto por intereses</t>
  </si>
  <si>
    <t xml:space="preserve">Flujo del inversionista</t>
  </si>
  <si>
    <t xml:space="preserve">El crédito cubre el 70 % de cada desembolso; durante la gracia se pagan solo intereses y después abonos iguales. Los intereses son deducibles.</t>
  </si>
  <si>
    <t xml:space="preserve">Resultados de la oferta</t>
  </si>
  <si>
    <t xml:space="preserve">TIR del proyecto (se compara con la tasa de descuento del 16 %)</t>
  </si>
  <si>
    <t xml:space="preserve">VPN a 10 años al 16 % ($ M)</t>
  </si>
  <si>
    <t xml:space="preserve">Recuperación (años desde el año 0)</t>
  </si>
  <si>
    <t xml:space="preserve">ROI a 10 años (flujo de caja libre acumulado / inversión)</t>
  </si>
  <si>
    <t xml:space="preserve">TIR del inversionista con el crédito (se compara con el 25 %)</t>
  </si>
  <si>
    <t xml:space="preserve">VPN del inversionista al 25 % ($ M)</t>
  </si>
  <si>
    <t xml:space="preserve">Aporte propio neto en los años 0 y 1 ($ M)</t>
  </si>
  <si>
    <t xml:space="preserve">Inversión total ($ M)</t>
  </si>
  <si>
    <t xml:space="preserve">Beneficio anual pleno ($ M)</t>
  </si>
  <si>
    <t xml:space="preserve">Cómo leerlo</t>
  </si>
  <si>
    <t xml:space="preserve">• La etapa 1 se invierte en el año 0 y rinde desde el año 1; la etapa 2 (hiladora, CIP y suero) se invierte en el año 1 y rinde desde el año 2.</t>
  </si>
  <si>
    <t xml:space="preserve">• Lo compartido con yogur y UHT se reparte según la leche, las ventas o un circuito de tres.</t>
  </si>
  <si>
    <t xml:space="preserve">• La TIR del proyecto no depende de cómo se pague la inversión; la del inversionista mide lo que gana el dinero propio cuando el 70 % es crédito.</t>
  </si>
  <si>
    <t xml:space="preserve">• El SCADA, el historiador y el MES ligero se dimensionan para la quesería; extenderlos a yogur y UHT o integrarlos con el ERP no hace parte de esta oferta.</t>
  </si>
  <si>
    <t xml:space="preserve">• ROI: lo que deja el proyecto en 10 años, después de recuperar la inversión, por cada peso invertido.</t>
  </si>
  <si>
    <t xml:space="preserve">• La hoja Escenarios repite la evaluación con los supuestos que más mueven el resultado.</t>
  </si>
  <si>
    <t xml:space="preserve">Escenarios de la oferta</t>
  </si>
  <si>
    <t xml:space="preserve">La misma evaluación de la hoja Quesería con los supuestos que más mueven el resultado. La columna Oferta reproduce la hoja Quesería.</t>
  </si>
  <si>
    <t xml:space="preserve">Qué cambia en cada escenario</t>
  </si>
  <si>
    <t xml:space="preserve">Oferta</t>
  </si>
  <si>
    <t xml:space="preserve">Conservador</t>
  </si>
  <si>
    <t xml:space="preserve">Sin relevo natural</t>
  </si>
  <si>
    <t xml:space="preserve">Beneficios −20 %</t>
  </si>
  <si>
    <t xml:space="preserve">Inversión +20 %</t>
  </si>
  <si>
    <t xml:space="preserve">Beneficios +20 %</t>
  </si>
  <si>
    <t xml:space="preserve">Crédito ordinario</t>
  </si>
  <si>
    <t xml:space="preserve">Horas extra restantes que elimina la hiladora (1 = se cuentan)</t>
  </si>
  <si>
    <t xml:space="preserve">Descuento tributario del suero (1 = se toma)</t>
  </si>
  <si>
    <t xml:space="preserve">Valor de los equipos al año 10 (1 = se cuenta)</t>
  </si>
  <si>
    <t xml:space="preserve">Relevo natural de 2 operarios (1 = se cuenta)</t>
  </si>
  <si>
    <t xml:space="preserve">Factor de beneficios</t>
  </si>
  <si>
    <t xml:space="preserve">Factor de inversión</t>
  </si>
  <si>
    <t xml:space="preserve">Tasa del crédito</t>
  </si>
  <si>
    <t xml:space="preserve">Conservador: sin las horas extra restantes, sin el descuento tributario y sin valor de los equipos al año 10. Crédito ordinario: 15,7 %, tasa de los créditos empresariales a medianas empresas a 3–5 años en la misma fuente.</t>
  </si>
  <si>
    <t xml:space="preserve">Resultados por escenario</t>
  </si>
  <si>
    <t xml:space="preserve">TIR del proyecto (frente al 16 %)</t>
  </si>
  <si>
    <t xml:space="preserve">VPN al 16 % ($ M)</t>
  </si>
  <si>
    <t xml:space="preserve">Recuperación (años)</t>
  </si>
  <si>
    <t xml:space="preserve">ROI a 10 años</t>
  </si>
  <si>
    <t xml:space="preserve">TIR del inversionista (frente al 25 %)</t>
  </si>
  <si>
    <t xml:space="preserve">Flujos de cada escenario (años 0 a 10)</t>
  </si>
  <si>
    <t xml:space="preserve">IntegraMotion S.A.S.: cuánto cobra por la quesería y cómo se reparte</t>
  </si>
  <si>
    <t xml:space="preserve">Cifras de la empresa integradora, no del cliente. Millones de pesos de 2026. Texto azul: datos de entrada; negro: fórmulas.</t>
  </si>
  <si>
    <t xml:space="preserve">Salario mínimo mensual de 2026</t>
  </si>
  <si>
    <t xml:space="preserve">$ M/mes</t>
  </si>
  <si>
    <t xml:space="preserve">Decreto 1469 de 2025.</t>
  </si>
  <si>
    <t xml:space="preserve">Horas de trabajo al mes</t>
  </si>
  <si>
    <t xml:space="preserve">h/mes</t>
  </si>
  <si>
    <t xml:space="preserve">Jornada de 42 h semanales (Ley 2101 de 2021).</t>
  </si>
  <si>
    <t xml:space="preserve">Honorario de referencia de un socio, tiempo completo</t>
  </si>
  <si>
    <t xml:space="preserve">SMMLV/mes</t>
  </si>
  <si>
    <t xml:space="preserve">SCI, honorarios de referencia: ingeniero con 0 a 2 años de experiencia, 3 a 4,2 SMMLV (punto medio).</t>
  </si>
  <si>
    <t xml:space="preserve">Salario del director (representante legal), tiempo completo</t>
  </si>
  <si>
    <t xml:space="preserve">Contrato laboral; un poco por encima del tope de la misma categoría por la responsabilidad legal.</t>
  </si>
  <si>
    <t xml:space="preserve">Factor prestacional del salario</t>
  </si>
  <si>
    <t xml:space="preserve">x</t>
  </si>
  <si>
    <t xml:space="preserve">Prima, cesantías e intereses, vacaciones, pensión, ARL y caja (exonerado de salud, SENA e ICBF por debajo de 10 SMMLV).</t>
  </si>
  <si>
    <t xml:space="preserve">Administración (A del AIU)</t>
  </si>
  <si>
    <t xml:space="preserve">% costo directo</t>
  </si>
  <si>
    <t xml:space="preserve">Contador, pólizas, ICA, Cámara de Comercio, oficina y software administrativo.</t>
  </si>
  <si>
    <t xml:space="preserve">Imprevistos (I del AIU)</t>
  </si>
  <si>
    <t xml:space="preserve">Reserva del contrato.</t>
  </si>
  <si>
    <t xml:space="preserve">Utilidad (U del AIU)</t>
  </si>
  <si>
    <t xml:space="preserve">Margen de la empresa; de ahí salen los dividendos.</t>
  </si>
  <si>
    <t xml:space="preserve">IVA sobre servicios de ingeniería</t>
  </si>
  <si>
    <t xml:space="preserve">Lo cobra IntegraMotion y lo paga a la DIAN; no es ingreso.</t>
  </si>
  <si>
    <t xml:space="preserve">Impuesto de renta de IntegraMotion</t>
  </si>
  <si>
    <t xml:space="preserve">Régimen ordinario de personas jurídicas.</t>
  </si>
  <si>
    <t xml:space="preserve">Aportes a seguridad social de un independiente</t>
  </si>
  <si>
    <t xml:space="preserve">% del honorario</t>
  </si>
  <si>
    <t xml:space="preserve">Sobre el 40 % del honorario: salud 12,5 %, pensión 16 % y ARL 0,522 %.</t>
  </si>
  <si>
    <t xml:space="preserve">Costo de un viaje Bogotá–Ubaté</t>
  </si>
  <si>
    <t xml:space="preserve">$ M/viaje</t>
  </si>
  <si>
    <t xml:space="preserve">Transporte y viáticos del día.</t>
  </si>
  <si>
    <t xml:space="preserve">Socios</t>
  </si>
  <si>
    <t xml:space="preserve">personas</t>
  </si>
  <si>
    <t xml:space="preserve">Equipo 5; acciones por partes iguales.</t>
  </si>
  <si>
    <t xml:space="preserve">Costo de cada hora para IntegraMotion</t>
  </si>
  <si>
    <t xml:space="preserve">Rol</t>
  </si>
  <si>
    <t xml:space="preserve">Vínculo</t>
  </si>
  <si>
    <t xml:space="preserve">Base ($ M/mes)</t>
  </si>
  <si>
    <t xml:space="preserve">Costo ($ M/mes)</t>
  </si>
  <si>
    <t xml:space="preserve">Costo por hora ($)</t>
  </si>
  <si>
    <t xml:space="preserve">Director de proyecto</t>
  </si>
  <si>
    <t xml:space="preserve">Contrato laboral</t>
  </si>
  <si>
    <t xml:space="preserve">Ingeniero de procesos y producción</t>
  </si>
  <si>
    <t xml:space="preserve">Honorarios</t>
  </si>
  <si>
    <t xml:space="preserve">Ingeniero de automatización y control (2)</t>
  </si>
  <si>
    <t xml:space="preserve">Ingeniero de robótica y simulación</t>
  </si>
  <si>
    <t xml:space="preserve">Ingeniero de gestión y finanzas</t>
  </si>
  <si>
    <t xml:space="preserve">Los socios con honorarios pagan su propia seguridad social como independientes; el director, como empleado, la recibe en el factor prestacional.</t>
  </si>
  <si>
    <t xml:space="preserve">Contrato 1: ingeniería e integración de las etapas 0 y 1 (4 meses, año 0)</t>
  </si>
  <si>
    <t xml:space="preserve">Personas</t>
  </si>
  <si>
    <t xml:space="preserve">Dedicación</t>
  </si>
  <si>
    <t xml:space="preserve">Meses</t>
  </si>
  <si>
    <t xml:space="preserve">Horas</t>
  </si>
  <si>
    <t xml:space="preserve">Costo ($ M)</t>
  </si>
  <si>
    <t xml:space="preserve">Horas del equipo</t>
  </si>
  <si>
    <t xml:space="preserve">Personal ($ M)</t>
  </si>
  <si>
    <t xml:space="preserve">Viajes a planta</t>
  </si>
  <si>
    <t xml:space="preserve">Licencias de desarrollo, equipos e instrumentos de medición</t>
  </si>
  <si>
    <t xml:space="preserve">Costo directo</t>
  </si>
  <si>
    <t xml:space="preserve">Administración</t>
  </si>
  <si>
    <t xml:space="preserve">Imprevistos</t>
  </si>
  <si>
    <t xml:space="preserve">Utilidad</t>
  </si>
  <si>
    <t xml:space="preserve">Precio sin IVA</t>
  </si>
  <si>
    <t xml:space="preserve">IVA</t>
  </si>
  <si>
    <t xml:space="preserve">Precio con IVA</t>
  </si>
  <si>
    <t xml:space="preserve">16 viajes a planta.</t>
  </si>
  <si>
    <t xml:space="preserve">Contrato 2: integración de la etapa 2 (2 meses, año 1)</t>
  </si>
  <si>
    <t xml:space="preserve">8 viajes a planta.</t>
  </si>
  <si>
    <t xml:space="preserve">Estado de resultados de IntegraMotion por el proyecto ($ M)</t>
  </si>
  <si>
    <t xml:space="preserve">Rubro</t>
  </si>
  <si>
    <t xml:space="preserve">Contrato 1</t>
  </si>
  <si>
    <t xml:space="preserve">Contrato 2</t>
  </si>
  <si>
    <t xml:space="preserve">Total</t>
  </si>
  <si>
    <t xml:space="preserve">Ingresos (precio sin IVA)</t>
  </si>
  <si>
    <t xml:space="preserve">− Honorarios de los socios</t>
  </si>
  <si>
    <t xml:space="preserve">− Salario del director, costo empresa</t>
  </si>
  <si>
    <t xml:space="preserve">− Viajes</t>
  </si>
  <si>
    <t xml:space="preserve">− Licencias, equipos e instrumentos</t>
  </si>
  <si>
    <t xml:space="preserve">− Administración</t>
  </si>
  <si>
    <t xml:space="preserve">− Imprevistos (se gastan)</t>
  </si>
  <si>
    <t xml:space="preserve">Utilidad antes de impuestos</t>
  </si>
  <si>
    <t xml:space="preserve">− Impuesto de renta</t>
  </si>
  <si>
    <t xml:space="preserve">Utilidad neta = dividendos</t>
  </si>
  <si>
    <t xml:space="preserve">Dividendo por socio</t>
  </si>
  <si>
    <t xml:space="preserve">El IVA no es ingreso: se cobra al cliente y se paga a la DIAN. El cliente retiene en la fuente sobre los pagos; es un anticipo del impuesto de renta de IntegraMotion.</t>
  </si>
  <si>
    <t xml:space="preserve">Lo que recibe cada socio por el proyecto ($ M)</t>
  </si>
  <si>
    <t xml:space="preserve">Socio</t>
  </si>
  <si>
    <t xml:space="preserve">Sueldo u honorarios</t>
  </si>
  <si>
    <t xml:space="preserve">Aportes propios</t>
  </si>
  <si>
    <t xml:space="preserve">Dividendo</t>
  </si>
  <si>
    <t xml:space="preserve">Total neto</t>
  </si>
  <si>
    <t xml:space="preserve">Ingeniero de automatización y control (2) — cada uno</t>
  </si>
  <si>
    <t xml:space="preserve">Director: sueldo con prestaciones, que la empresa paga aparte. Socios con honorarios: pagan su seguridad social sobre el 40 % del honorario. Dividendos por debajo de 1.090 UVT al año: sin retención en la fuente (art. 242 ET).</t>
  </si>
  <si>
    <t xml:space="preserve">Pagos de Lácteos Fúquene a IntegraMotion</t>
  </si>
  <si>
    <t xml:space="preserve">Hito</t>
  </si>
  <si>
    <t xml:space="preserve">% del contrato</t>
  </si>
  <si>
    <t xml:space="preserve">Sin IVA ($ M)</t>
  </si>
  <si>
    <t xml:space="preserve">Con IVA ($ M)</t>
  </si>
  <si>
    <t xml:space="preserve">Cuándo</t>
  </si>
  <si>
    <t xml:space="preserve">Contrato 1: anticipo a la firma</t>
  </si>
  <si>
    <t xml:space="preserve">Año 0, mes 1</t>
  </si>
  <si>
    <t xml:space="preserve">Contrato 1: aprobación de la ingeniería de la etapa 1</t>
  </si>
  <si>
    <t xml:space="preserve">Año 0, mes 3</t>
  </si>
  <si>
    <t xml:space="preserve">Contrato 1: compuerta de la etapa 1 superada</t>
  </si>
  <si>
    <t xml:space="preserve">Año 0, fin</t>
  </si>
  <si>
    <t xml:space="preserve">Contrato 2: inicio de la integración</t>
  </si>
  <si>
    <t xml:space="preserve">Contrato 2: aceptación en sitio de la hiladora</t>
  </si>
  <si>
    <t xml:space="preserve">Cómo se fijó el precio</t>
  </si>
  <si>
    <t xml:space="preserve">• Horas del equipo por tarifa: honorarios de referencia de la Sociedad Colombiana de Ingenieros para ingenieros con 0 a 2 años de experiencia, más viajes y licencias, más AIU.</t>
  </si>
  <si>
    <t xml:space="preserve">• Comprobación: el precio por mes de un ingeniero queda cerca de 2,4 veces un salario de mercado de $3,5–4,5 M, dentro del factor multiplicador de 2,4 a 2,8 que usan las firmas de consultoría.</t>
  </si>
  <si>
    <t xml:space="preserve">• Los programas del PLC, las pantallas del SCADA y la documentación se entregan al cliente; las licencias de producción quedan a su nombre.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</si>
</sst>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#,##0.0;\(#,##0.0\);\-"/>
    <numFmt numFmtId="168" formatCode="#,##0;\(#,##0\);\-"/>
    <numFmt numFmtId="169" formatCode="0.0;\-0.0;\-"/>
    <numFmt numFmtId="170" formatCode="0.0"/>
    <numFmt numFmtId="171" formatCode="0%"/>
    <numFmt numFmtId="172" formatCode="0.00"/>
    <numFmt numFmtId="173" formatCode="#,##0.000"/>
    <numFmt numFmtId="174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A6A6A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4" min="2" style="0" width="11"/>
    <col collapsed="false" customWidth="true" hidden="false" outlineLevel="0" max="5" min="5" style="0" width="13"/>
    <col collapsed="false" customWidth="true" hidden="false" outlineLevel="0" max="13" min="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23.8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</row>
    <row r="6" customFormat="false" ht="15" hidden="false" customHeight="false" outlineLevel="0" collapsed="false">
      <c r="A6" s="7" t="s">
        <v>7</v>
      </c>
      <c r="B6" s="8" t="n">
        <v>0.16</v>
      </c>
      <c r="C6" s="2" t="s">
        <v>8</v>
      </c>
      <c r="D6" s="2" t="s">
        <v>9</v>
      </c>
    </row>
    <row r="7" customFormat="false" ht="15" hidden="false" customHeight="false" outlineLevel="0" collapsed="false">
      <c r="A7" s="7" t="s">
        <v>10</v>
      </c>
      <c r="B7" s="9" t="n">
        <v>0.35</v>
      </c>
      <c r="C7" s="2" t="s">
        <v>8</v>
      </c>
      <c r="D7" s="2" t="s">
        <v>11</v>
      </c>
    </row>
    <row r="8" customFormat="false" ht="15" hidden="false" customHeight="false" outlineLevel="0" collapsed="false">
      <c r="A8" s="7" t="s">
        <v>12</v>
      </c>
      <c r="B8" s="10" t="n">
        <v>10</v>
      </c>
      <c r="C8" s="2" t="s">
        <v>13</v>
      </c>
      <c r="D8" s="2" t="s">
        <v>14</v>
      </c>
    </row>
    <row r="9" customFormat="false" ht="15" hidden="false" customHeight="false" outlineLevel="0" collapsed="false">
      <c r="A9" s="7" t="s">
        <v>15</v>
      </c>
      <c r="B9" s="8" t="n">
        <v>0.75</v>
      </c>
      <c r="C9" s="2" t="s">
        <v>16</v>
      </c>
      <c r="D9" s="2" t="s">
        <v>17</v>
      </c>
    </row>
    <row r="10" customFormat="false" ht="15" hidden="false" customHeight="false" outlineLevel="0" collapsed="false">
      <c r="A10" s="7" t="s">
        <v>18</v>
      </c>
      <c r="B10" s="9" t="n">
        <v>0.03</v>
      </c>
      <c r="C10" s="2" t="s">
        <v>19</v>
      </c>
      <c r="D10" s="2" t="s">
        <v>20</v>
      </c>
    </row>
    <row r="11" customFormat="false" ht="15" hidden="false" customHeight="false" outlineLevel="0" collapsed="false">
      <c r="A11" s="7" t="s">
        <v>21</v>
      </c>
      <c r="B11" s="11" t="n">
        <v>12</v>
      </c>
      <c r="C11" s="2" t="s">
        <v>22</v>
      </c>
      <c r="D11" s="2" t="s">
        <v>23</v>
      </c>
    </row>
    <row r="12" customFormat="false" ht="15" hidden="false" customHeight="false" outlineLevel="0" collapsed="false">
      <c r="A12" s="7" t="s">
        <v>24</v>
      </c>
      <c r="B12" s="10" t="n">
        <v>30</v>
      </c>
      <c r="C12" s="2" t="s">
        <v>25</v>
      </c>
      <c r="D12" s="2" t="s">
        <v>26</v>
      </c>
    </row>
    <row r="13" customFormat="false" ht="15" hidden="false" customHeight="false" outlineLevel="0" collapsed="false">
      <c r="A13" s="7" t="s">
        <v>27</v>
      </c>
      <c r="B13" s="12" t="n">
        <v>9000</v>
      </c>
      <c r="C13" s="2" t="s">
        <v>28</v>
      </c>
      <c r="D13" s="2" t="s">
        <v>29</v>
      </c>
    </row>
    <row r="14" customFormat="false" ht="15" hidden="false" customHeight="false" outlineLevel="0" collapsed="false">
      <c r="A14" s="7" t="s">
        <v>30</v>
      </c>
      <c r="B14" s="12" t="n">
        <v>25000</v>
      </c>
      <c r="C14" s="2" t="s">
        <v>28</v>
      </c>
      <c r="D14" s="2" t="s">
        <v>31</v>
      </c>
    </row>
    <row r="15" customFormat="false" ht="15" hidden="false" customHeight="false" outlineLevel="0" collapsed="false">
      <c r="A15" s="7" t="s">
        <v>32</v>
      </c>
      <c r="B15" s="13" t="n">
        <f aca="false">B13/B14</f>
        <v>0.36</v>
      </c>
      <c r="C15" s="2" t="s">
        <v>8</v>
      </c>
      <c r="D15" s="2" t="s">
        <v>33</v>
      </c>
    </row>
    <row r="16" customFormat="false" ht="15" hidden="false" customHeight="false" outlineLevel="0" collapsed="false">
      <c r="A16" s="7" t="s">
        <v>34</v>
      </c>
      <c r="B16" s="12" t="n">
        <v>6772</v>
      </c>
      <c r="C16" s="2" t="s">
        <v>22</v>
      </c>
      <c r="D16" s="2" t="s">
        <v>35</v>
      </c>
    </row>
    <row r="17" customFormat="false" ht="15" hidden="false" customHeight="false" outlineLevel="0" collapsed="false">
      <c r="A17" s="7" t="s">
        <v>36</v>
      </c>
      <c r="B17" s="12" t="n">
        <v>30457</v>
      </c>
      <c r="C17" s="2" t="s">
        <v>22</v>
      </c>
      <c r="D17" s="2" t="s">
        <v>31</v>
      </c>
    </row>
    <row r="18" customFormat="false" ht="15" hidden="false" customHeight="false" outlineLevel="0" collapsed="false">
      <c r="A18" s="7" t="s">
        <v>37</v>
      </c>
      <c r="B18" s="13" t="n">
        <f aca="false">B16/B17</f>
        <v>0.22234625865975</v>
      </c>
      <c r="C18" s="2" t="s">
        <v>8</v>
      </c>
      <c r="D18" s="2" t="s">
        <v>38</v>
      </c>
    </row>
    <row r="19" customFormat="false" ht="15" hidden="false" customHeight="false" outlineLevel="0" collapsed="false">
      <c r="A19" s="7" t="s">
        <v>39</v>
      </c>
      <c r="B19" s="11" t="n">
        <v>36</v>
      </c>
      <c r="C19" s="2" t="s">
        <v>22</v>
      </c>
      <c r="D19" s="2" t="s">
        <v>40</v>
      </c>
    </row>
    <row r="20" customFormat="false" ht="15" hidden="false" customHeight="false" outlineLevel="0" collapsed="false">
      <c r="A20" s="7" t="s">
        <v>41</v>
      </c>
      <c r="B20" s="14" t="n">
        <v>3</v>
      </c>
      <c r="C20" s="2" t="s">
        <v>42</v>
      </c>
      <c r="D20" s="2" t="s">
        <v>43</v>
      </c>
    </row>
    <row r="21" customFormat="false" ht="15" hidden="false" customHeight="false" outlineLevel="0" collapsed="false">
      <c r="A21" s="7" t="s">
        <v>44</v>
      </c>
      <c r="B21" s="9" t="n">
        <v>0.25</v>
      </c>
      <c r="C21" s="2" t="s">
        <v>45</v>
      </c>
      <c r="D21" s="2" t="s">
        <v>46</v>
      </c>
    </row>
    <row r="22" customFormat="false" ht="15" hidden="false" customHeight="false" outlineLevel="0" collapsed="false">
      <c r="A22" s="7" t="s">
        <v>47</v>
      </c>
      <c r="B22" s="9" t="n">
        <v>0.1</v>
      </c>
      <c r="C22" s="2" t="s">
        <v>48</v>
      </c>
      <c r="D22" s="2" t="s">
        <v>49</v>
      </c>
    </row>
    <row r="23" customFormat="false" ht="15" hidden="false" customHeight="false" outlineLevel="0" collapsed="false">
      <c r="A23" s="7" t="s">
        <v>50</v>
      </c>
      <c r="B23" s="9" t="n">
        <v>0.7</v>
      </c>
      <c r="C23" s="2" t="s">
        <v>8</v>
      </c>
      <c r="D23" s="2" t="s">
        <v>51</v>
      </c>
    </row>
    <row r="24" customFormat="false" ht="15" hidden="false" customHeight="false" outlineLevel="0" collapsed="false">
      <c r="A24" s="7" t="s">
        <v>52</v>
      </c>
      <c r="B24" s="8" t="n">
        <v>0.141</v>
      </c>
      <c r="C24" s="2" t="s">
        <v>8</v>
      </c>
      <c r="D24" s="2" t="s">
        <v>53</v>
      </c>
    </row>
    <row r="25" customFormat="false" ht="15" hidden="false" customHeight="false" outlineLevel="0" collapsed="false">
      <c r="A25" s="7" t="s">
        <v>54</v>
      </c>
      <c r="B25" s="10" t="n">
        <v>7</v>
      </c>
      <c r="C25" s="2" t="s">
        <v>13</v>
      </c>
      <c r="D25" s="2" t="s">
        <v>55</v>
      </c>
    </row>
    <row r="26" customFormat="false" ht="15" hidden="false" customHeight="false" outlineLevel="0" collapsed="false">
      <c r="A26" s="7" t="s">
        <v>56</v>
      </c>
      <c r="B26" s="10" t="n">
        <v>1</v>
      </c>
      <c r="C26" s="2" t="s">
        <v>13</v>
      </c>
      <c r="D26" s="2" t="s">
        <v>57</v>
      </c>
    </row>
    <row r="27" customFormat="false" ht="15" hidden="false" customHeight="false" outlineLevel="0" collapsed="false">
      <c r="A27" s="7" t="s">
        <v>58</v>
      </c>
      <c r="B27" s="9" t="n">
        <v>0.25</v>
      </c>
      <c r="C27" s="2" t="s">
        <v>8</v>
      </c>
      <c r="D27" s="2" t="s">
        <v>59</v>
      </c>
    </row>
    <row r="29" customFormat="false" ht="15" hidden="false" customHeight="false" outlineLevel="0" collapsed="false">
      <c r="A29" s="3" t="s">
        <v>60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5" t="s">
        <v>61</v>
      </c>
      <c r="B30" s="6" t="s">
        <v>62</v>
      </c>
      <c r="C30" s="6" t="s">
        <v>63</v>
      </c>
      <c r="D30" s="6" t="s">
        <v>64</v>
      </c>
      <c r="E30" s="6" t="s">
        <v>65</v>
      </c>
      <c r="F30" s="6" t="s">
        <v>66</v>
      </c>
      <c r="G30" s="6" t="s">
        <v>67</v>
      </c>
    </row>
    <row r="31" customFormat="false" ht="15" hidden="false" customHeight="false" outlineLevel="0" collapsed="false">
      <c r="A31" s="7" t="s">
        <v>68</v>
      </c>
      <c r="B31" s="15" t="n">
        <v>0</v>
      </c>
      <c r="C31" s="15" t="n">
        <v>0</v>
      </c>
      <c r="D31" s="11" t="n">
        <v>60</v>
      </c>
      <c r="E31" s="13" t="n">
        <f aca="false">$B$15</f>
        <v>0.36</v>
      </c>
      <c r="F31" s="16" t="n">
        <f aca="false">D31*E31</f>
        <v>21.6</v>
      </c>
      <c r="G31" s="15" t="n">
        <v>0</v>
      </c>
    </row>
    <row r="32" customFormat="false" ht="15" hidden="false" customHeight="false" outlineLevel="0" collapsed="false">
      <c r="A32" s="7" t="s">
        <v>69</v>
      </c>
      <c r="B32" s="15" t="n">
        <v>1</v>
      </c>
      <c r="C32" s="15" t="n">
        <v>0</v>
      </c>
      <c r="D32" s="11" t="n">
        <v>180</v>
      </c>
      <c r="E32" s="9" t="n">
        <v>1</v>
      </c>
      <c r="F32" s="16" t="n">
        <f aca="false">D32*E32</f>
        <v>180</v>
      </c>
      <c r="G32" s="15" t="n">
        <v>1</v>
      </c>
    </row>
    <row r="33" customFormat="false" ht="15" hidden="false" customHeight="false" outlineLevel="0" collapsed="false">
      <c r="A33" s="7" t="s">
        <v>70</v>
      </c>
      <c r="B33" s="15" t="n">
        <v>1</v>
      </c>
      <c r="C33" s="15" t="n">
        <v>0</v>
      </c>
      <c r="D33" s="11" t="n">
        <v>120</v>
      </c>
      <c r="E33" s="13" t="n">
        <f aca="false">$B$15</f>
        <v>0.36</v>
      </c>
      <c r="F33" s="16" t="n">
        <f aca="false">D33*E33</f>
        <v>43.2</v>
      </c>
      <c r="G33" s="15" t="n">
        <v>1</v>
      </c>
    </row>
    <row r="34" customFormat="false" ht="15" hidden="false" customHeight="false" outlineLevel="0" collapsed="false">
      <c r="A34" s="7" t="s">
        <v>71</v>
      </c>
      <c r="B34" s="15" t="n">
        <v>1</v>
      </c>
      <c r="C34" s="15" t="n">
        <v>0</v>
      </c>
      <c r="D34" s="16" t="n">
        <f aca="false">200/3</f>
        <v>66.6666666666667</v>
      </c>
      <c r="E34" s="9" t="n">
        <v>1</v>
      </c>
      <c r="F34" s="16" t="n">
        <f aca="false">D34*E34</f>
        <v>66.6666666666667</v>
      </c>
      <c r="G34" s="15" t="n">
        <v>1</v>
      </c>
    </row>
    <row r="35" customFormat="false" ht="15" hidden="false" customHeight="false" outlineLevel="0" collapsed="false">
      <c r="A35" s="7" t="s">
        <v>72</v>
      </c>
      <c r="B35" s="15" t="n">
        <v>1</v>
      </c>
      <c r="C35" s="15" t="n">
        <v>0</v>
      </c>
      <c r="D35" s="16" t="n">
        <f aca="false">IntegraMotion!$F$44</f>
        <v>125.616839712</v>
      </c>
      <c r="E35" s="9" t="n">
        <v>1</v>
      </c>
      <c r="F35" s="16" t="n">
        <f aca="false">D35*E35</f>
        <v>125.616839712</v>
      </c>
      <c r="G35" s="15" t="n">
        <v>0</v>
      </c>
    </row>
    <row r="36" customFormat="false" ht="15" hidden="false" customHeight="false" outlineLevel="0" collapsed="false">
      <c r="A36" s="7" t="s">
        <v>73</v>
      </c>
      <c r="B36" s="15" t="n">
        <v>1</v>
      </c>
      <c r="C36" s="15" t="n">
        <v>0</v>
      </c>
      <c r="D36" s="16" t="n">
        <f aca="false">20/3</f>
        <v>6.66666666666667</v>
      </c>
      <c r="E36" s="9" t="n">
        <v>1</v>
      </c>
      <c r="F36" s="16" t="n">
        <f aca="false">D36*E36</f>
        <v>6.66666666666667</v>
      </c>
      <c r="G36" s="15" t="n">
        <v>0</v>
      </c>
    </row>
    <row r="37" customFormat="false" ht="15" hidden="false" customHeight="false" outlineLevel="0" collapsed="false">
      <c r="A37" s="7" t="s">
        <v>74</v>
      </c>
      <c r="B37" s="15" t="n">
        <v>1</v>
      </c>
      <c r="C37" s="15" t="n">
        <v>0</v>
      </c>
      <c r="D37" s="11" t="n">
        <v>20</v>
      </c>
      <c r="E37" s="9" t="n">
        <v>1</v>
      </c>
      <c r="F37" s="16" t="n">
        <f aca="false">D37*E37</f>
        <v>20</v>
      </c>
      <c r="G37" s="15" t="n">
        <v>1</v>
      </c>
    </row>
    <row r="38" customFormat="false" ht="15" hidden="false" customHeight="false" outlineLevel="0" collapsed="false">
      <c r="A38" s="7" t="s">
        <v>75</v>
      </c>
      <c r="B38" s="15" t="n">
        <v>2</v>
      </c>
      <c r="C38" s="15" t="n">
        <v>1</v>
      </c>
      <c r="D38" s="11" t="n">
        <v>322.6</v>
      </c>
      <c r="E38" s="9" t="n">
        <v>1</v>
      </c>
      <c r="F38" s="16" t="n">
        <f aca="false">D38*E38</f>
        <v>322.6</v>
      </c>
      <c r="G38" s="15" t="n">
        <v>1</v>
      </c>
    </row>
    <row r="39" customFormat="false" ht="15" hidden="false" customHeight="false" outlineLevel="0" collapsed="false">
      <c r="A39" s="7" t="s">
        <v>76</v>
      </c>
      <c r="B39" s="15" t="n">
        <v>2</v>
      </c>
      <c r="C39" s="15" t="n">
        <v>1</v>
      </c>
      <c r="D39" s="16" t="n">
        <f aca="false">320/3</f>
        <v>106.666666666667</v>
      </c>
      <c r="E39" s="9" t="n">
        <v>1</v>
      </c>
      <c r="F39" s="16" t="n">
        <f aca="false">D39*E39</f>
        <v>106.666666666667</v>
      </c>
      <c r="G39" s="15" t="n">
        <v>1</v>
      </c>
    </row>
    <row r="40" customFormat="false" ht="15" hidden="false" customHeight="false" outlineLevel="0" collapsed="false">
      <c r="A40" s="7" t="s">
        <v>77</v>
      </c>
      <c r="B40" s="15" t="n">
        <v>2</v>
      </c>
      <c r="C40" s="15" t="n">
        <v>1</v>
      </c>
      <c r="D40" s="11" t="n">
        <v>80</v>
      </c>
      <c r="E40" s="9" t="n">
        <v>1</v>
      </c>
      <c r="F40" s="16" t="n">
        <f aca="false">D40*E40</f>
        <v>80</v>
      </c>
      <c r="G40" s="15" t="n">
        <v>1</v>
      </c>
    </row>
    <row r="41" customFormat="false" ht="15" hidden="false" customHeight="false" outlineLevel="0" collapsed="false">
      <c r="A41" s="7" t="s">
        <v>78</v>
      </c>
      <c r="B41" s="15" t="n">
        <v>2</v>
      </c>
      <c r="C41" s="15" t="n">
        <v>1</v>
      </c>
      <c r="D41" s="16" t="n">
        <f aca="false">IntegraMotion!$F$64</f>
        <v>46.13637336</v>
      </c>
      <c r="E41" s="9" t="n">
        <v>1</v>
      </c>
      <c r="F41" s="16" t="n">
        <f aca="false">D41*E41</f>
        <v>46.13637336</v>
      </c>
      <c r="G41" s="15" t="n">
        <v>0</v>
      </c>
    </row>
    <row r="42" customFormat="false" ht="15" hidden="false" customHeight="false" outlineLevel="0" collapsed="false">
      <c r="A42" s="7" t="s">
        <v>79</v>
      </c>
      <c r="B42" s="15" t="n">
        <v>2</v>
      </c>
      <c r="C42" s="15" t="n">
        <v>1</v>
      </c>
      <c r="D42" s="11" t="n">
        <v>20</v>
      </c>
      <c r="E42" s="9" t="n">
        <v>1</v>
      </c>
      <c r="F42" s="16" t="n">
        <f aca="false">D42*E42</f>
        <v>20</v>
      </c>
      <c r="G42" s="15" t="n">
        <v>1</v>
      </c>
    </row>
    <row r="43" customFormat="false" ht="15" hidden="false" customHeight="false" outlineLevel="0" collapsed="false">
      <c r="A43" s="2" t="s">
        <v>80</v>
      </c>
    </row>
    <row r="44" customFormat="false" ht="15" hidden="false" customHeight="false" outlineLevel="0" collapsed="false">
      <c r="A44" s="17" t="s">
        <v>81</v>
      </c>
      <c r="F44" s="18" t="n">
        <f aca="false">SUMIFS(F31:F42,C31:C42,0)</f>
        <v>463.750173045333</v>
      </c>
    </row>
    <row r="45" customFormat="false" ht="15" hidden="false" customHeight="false" outlineLevel="0" collapsed="false">
      <c r="A45" s="17" t="s">
        <v>82</v>
      </c>
      <c r="F45" s="18" t="n">
        <f aca="false">SUMIFS(F31:F42,C31:C42,1)</f>
        <v>575.403040026667</v>
      </c>
    </row>
    <row r="46" customFormat="false" ht="15" hidden="false" customHeight="false" outlineLevel="0" collapsed="false">
      <c r="A46" s="7" t="s">
        <v>83</v>
      </c>
      <c r="F46" s="16" t="n">
        <f aca="false">SUMIFS(F31:F42,C31:C42,0,G31:G42,1)</f>
        <v>309.866666666667</v>
      </c>
    </row>
    <row r="47" customFormat="false" ht="15" hidden="false" customHeight="false" outlineLevel="0" collapsed="false">
      <c r="A47" s="7" t="s">
        <v>84</v>
      </c>
      <c r="F47" s="16" t="n">
        <f aca="false">SUMIFS(F31:F42,C31:C42,1,G31:G42,1)</f>
        <v>529.266666666667</v>
      </c>
    </row>
    <row r="48" customFormat="false" ht="15" hidden="false" customHeight="false" outlineLevel="0" collapsed="false">
      <c r="A48" s="17" t="s">
        <v>85</v>
      </c>
      <c r="F48" s="19" t="n">
        <f aca="false">$F$44+$F$45</f>
        <v>1039.153213072</v>
      </c>
    </row>
    <row r="50" customFormat="false" ht="15" hidden="false" customHeight="false" outlineLevel="0" collapsed="false">
      <c r="A50" s="3" t="s">
        <v>86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23.85" hidden="false" customHeight="false" outlineLevel="0" collapsed="false">
      <c r="A51" s="5" t="s">
        <v>87</v>
      </c>
      <c r="B51" s="6" t="s">
        <v>62</v>
      </c>
      <c r="C51" s="6" t="s">
        <v>64</v>
      </c>
      <c r="D51" s="6" t="s">
        <v>65</v>
      </c>
      <c r="E51" s="6" t="s">
        <v>66</v>
      </c>
      <c r="F51" s="6" t="s">
        <v>88</v>
      </c>
      <c r="G51" s="6" t="s">
        <v>89</v>
      </c>
    </row>
    <row r="52" customFormat="false" ht="15" hidden="false" customHeight="false" outlineLevel="0" collapsed="false">
      <c r="A52" s="7" t="s">
        <v>90</v>
      </c>
      <c r="B52" s="15" t="n">
        <v>1</v>
      </c>
      <c r="C52" s="11" t="n">
        <v>11.8</v>
      </c>
      <c r="D52" s="9" t="n">
        <v>1</v>
      </c>
      <c r="E52" s="16" t="n">
        <f aca="false">C52*D52</f>
        <v>11.8</v>
      </c>
      <c r="F52" s="11" t="n">
        <v>0</v>
      </c>
      <c r="G52" s="16" t="n">
        <f aca="false">F52*D52</f>
        <v>0</v>
      </c>
    </row>
    <row r="53" customFormat="false" ht="15" hidden="false" customHeight="false" outlineLevel="0" collapsed="false">
      <c r="A53" s="7" t="s">
        <v>91</v>
      </c>
      <c r="B53" s="15" t="n">
        <v>1</v>
      </c>
      <c r="C53" s="11" t="n">
        <v>52.8</v>
      </c>
      <c r="D53" s="9" t="n">
        <v>1</v>
      </c>
      <c r="E53" s="16" t="n">
        <f aca="false">C53*D53</f>
        <v>52.8</v>
      </c>
      <c r="F53" s="11" t="n">
        <v>54.8</v>
      </c>
      <c r="G53" s="16" t="n">
        <f aca="false">F53*D53</f>
        <v>54.8</v>
      </c>
    </row>
    <row r="54" customFormat="false" ht="15" hidden="false" customHeight="false" outlineLevel="0" collapsed="false">
      <c r="A54" s="7" t="s">
        <v>92</v>
      </c>
      <c r="B54" s="15" t="n">
        <v>1</v>
      </c>
      <c r="C54" s="11" t="n">
        <v>52</v>
      </c>
      <c r="D54" s="13" t="n">
        <f aca="false">$B$15</f>
        <v>0.36</v>
      </c>
      <c r="E54" s="16" t="n">
        <f aca="false">C54*D54</f>
        <v>18.72</v>
      </c>
      <c r="F54" s="11" t="n">
        <v>52</v>
      </c>
      <c r="G54" s="16" t="n">
        <f aca="false">F54*D54</f>
        <v>18.72</v>
      </c>
    </row>
    <row r="55" customFormat="false" ht="15" hidden="false" customHeight="false" outlineLevel="0" collapsed="false">
      <c r="A55" s="7" t="s">
        <v>93</v>
      </c>
      <c r="B55" s="15" t="n">
        <v>1</v>
      </c>
      <c r="C55" s="11" t="n">
        <v>152.3</v>
      </c>
      <c r="D55" s="13" t="n">
        <f aca="false">$B$18</f>
        <v>0.22234625865975</v>
      </c>
      <c r="E55" s="16" t="n">
        <f aca="false">C55*D55</f>
        <v>33.8633351938799</v>
      </c>
      <c r="F55" s="11" t="n">
        <v>0</v>
      </c>
      <c r="G55" s="16" t="n">
        <f aca="false">F55*D55</f>
        <v>0</v>
      </c>
    </row>
    <row r="56" customFormat="false" ht="15" hidden="false" customHeight="false" outlineLevel="0" collapsed="false">
      <c r="A56" s="7" t="s">
        <v>94</v>
      </c>
      <c r="B56" s="15" t="n">
        <v>1</v>
      </c>
      <c r="C56" s="11" t="n">
        <v>91.4</v>
      </c>
      <c r="D56" s="13" t="n">
        <f aca="false">$B$15</f>
        <v>0.36</v>
      </c>
      <c r="E56" s="16" t="n">
        <f aca="false">C56*D56</f>
        <v>32.904</v>
      </c>
      <c r="F56" s="11" t="n">
        <v>0</v>
      </c>
      <c r="G56" s="16" t="n">
        <f aca="false">F56*D56</f>
        <v>0</v>
      </c>
    </row>
    <row r="57" customFormat="false" ht="15" hidden="false" customHeight="false" outlineLevel="0" collapsed="false">
      <c r="A57" s="7" t="s">
        <v>95</v>
      </c>
      <c r="B57" s="15" t="n">
        <v>2</v>
      </c>
      <c r="C57" s="11" t="n">
        <v>70.7</v>
      </c>
      <c r="D57" s="9" t="n">
        <v>1</v>
      </c>
      <c r="E57" s="16" t="n">
        <f aca="false">C57*D57</f>
        <v>70.7</v>
      </c>
      <c r="F57" s="11" t="n">
        <v>73.5</v>
      </c>
      <c r="G57" s="16" t="n">
        <f aca="false">F57*D57</f>
        <v>73.5</v>
      </c>
    </row>
    <row r="58" customFormat="false" ht="15" hidden="false" customHeight="false" outlineLevel="0" collapsed="false">
      <c r="A58" s="7" t="s">
        <v>96</v>
      </c>
      <c r="B58" s="15" t="n">
        <v>2</v>
      </c>
      <c r="C58" s="11" t="n">
        <v>11.8</v>
      </c>
      <c r="D58" s="9" t="n">
        <v>1</v>
      </c>
      <c r="E58" s="16" t="n">
        <f aca="false">C58*D58</f>
        <v>11.8</v>
      </c>
      <c r="F58" s="11" t="n">
        <v>0</v>
      </c>
      <c r="G58" s="16" t="n">
        <f aca="false">F58*D58</f>
        <v>0</v>
      </c>
    </row>
    <row r="59" customFormat="false" ht="15" hidden="false" customHeight="false" outlineLevel="0" collapsed="false">
      <c r="A59" s="7" t="s">
        <v>97</v>
      </c>
      <c r="B59" s="15" t="n">
        <v>2</v>
      </c>
      <c r="C59" s="16" t="n">
        <f aca="false">121.8/3</f>
        <v>40.6</v>
      </c>
      <c r="D59" s="9" t="n">
        <v>1</v>
      </c>
      <c r="E59" s="16" t="n">
        <f aca="false">C59*D59</f>
        <v>40.6</v>
      </c>
      <c r="F59" s="11" t="n">
        <v>0</v>
      </c>
      <c r="G59" s="16" t="n">
        <f aca="false">F59*D59</f>
        <v>0</v>
      </c>
    </row>
    <row r="60" customFormat="false" ht="15" hidden="false" customHeight="false" outlineLevel="0" collapsed="false">
      <c r="A60" s="7" t="s">
        <v>98</v>
      </c>
      <c r="B60" s="15" t="n">
        <v>2</v>
      </c>
      <c r="C60" s="11" t="n">
        <v>24</v>
      </c>
      <c r="D60" s="9" t="n">
        <v>1</v>
      </c>
      <c r="E60" s="16" t="n">
        <f aca="false">C60*D60</f>
        <v>24</v>
      </c>
      <c r="F60" s="11" t="n">
        <v>36</v>
      </c>
      <c r="G60" s="16" t="n">
        <f aca="false">F60*D60</f>
        <v>36</v>
      </c>
    </row>
    <row r="61" customFormat="false" ht="15" hidden="false" customHeight="false" outlineLevel="0" collapsed="false">
      <c r="A61" s="7" t="s">
        <v>99</v>
      </c>
      <c r="B61" s="15" t="n">
        <v>2</v>
      </c>
      <c r="C61" s="16" t="n">
        <f aca="false">2*$B$19</f>
        <v>72</v>
      </c>
      <c r="D61" s="9" t="n">
        <v>1</v>
      </c>
      <c r="E61" s="16" t="n">
        <f aca="false">C61*D61</f>
        <v>72</v>
      </c>
      <c r="F61" s="11" t="n">
        <v>0</v>
      </c>
      <c r="G61" s="16" t="n">
        <f aca="false">F61*D61</f>
        <v>0</v>
      </c>
    </row>
    <row r="62" customFormat="false" ht="15" hidden="false" customHeight="false" outlineLevel="0" collapsed="false">
      <c r="A62" s="2" t="s">
        <v>100</v>
      </c>
    </row>
    <row r="63" customFormat="false" ht="15" hidden="false" customHeight="false" outlineLevel="0" collapsed="false">
      <c r="A63" s="17" t="s">
        <v>101</v>
      </c>
      <c r="E63" s="18" t="n">
        <f aca="false">SUMIFS(E52:E61,B52:B61,1)</f>
        <v>150.08733519388</v>
      </c>
    </row>
    <row r="64" customFormat="false" ht="15" hidden="false" customHeight="false" outlineLevel="0" collapsed="false">
      <c r="A64" s="17" t="s">
        <v>102</v>
      </c>
      <c r="E64" s="18" t="n">
        <f aca="false">SUMIFS(E52:E61,B52:B61,2)</f>
        <v>219.1</v>
      </c>
    </row>
    <row r="65" customFormat="false" ht="15" hidden="false" customHeight="false" outlineLevel="0" collapsed="false">
      <c r="A65" s="7" t="s">
        <v>103</v>
      </c>
      <c r="G65" s="16" t="n">
        <f aca="false">SUMIFS(G52:G61,B52:B61,1)</f>
        <v>73.52</v>
      </c>
    </row>
    <row r="66" customFormat="false" ht="15" hidden="false" customHeight="false" outlineLevel="0" collapsed="false">
      <c r="A66" s="7" t="s">
        <v>104</v>
      </c>
      <c r="G66" s="16" t="n">
        <f aca="false">SUMIFS(G52:G61,B52:B61,2)</f>
        <v>109.5</v>
      </c>
    </row>
    <row r="67" customFormat="false" ht="15" hidden="false" customHeight="false" outlineLevel="0" collapsed="false">
      <c r="A67" s="17" t="s">
        <v>105</v>
      </c>
      <c r="E67" s="19" t="n">
        <f aca="false">$E$63+$E$64</f>
        <v>369.18733519388</v>
      </c>
    </row>
    <row r="69" customFormat="false" ht="15" hidden="false" customHeight="false" outlineLevel="0" collapsed="false">
      <c r="A69" s="3" t="s">
        <v>106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customFormat="false" ht="15" hidden="false" customHeight="false" outlineLevel="0" collapsed="false">
      <c r="A70" s="5" t="s">
        <v>107</v>
      </c>
      <c r="B70" s="6" t="s">
        <v>108</v>
      </c>
      <c r="C70" s="6" t="s">
        <v>109</v>
      </c>
      <c r="D70" s="6" t="s">
        <v>110</v>
      </c>
      <c r="E70" s="6" t="s">
        <v>111</v>
      </c>
      <c r="F70" s="6" t="s">
        <v>112</v>
      </c>
      <c r="G70" s="6" t="s">
        <v>113</v>
      </c>
      <c r="H70" s="6" t="s">
        <v>114</v>
      </c>
      <c r="I70" s="6" t="s">
        <v>115</v>
      </c>
      <c r="J70" s="6" t="s">
        <v>116</v>
      </c>
      <c r="K70" s="6" t="s">
        <v>117</v>
      </c>
      <c r="L70" s="6" t="s">
        <v>118</v>
      </c>
    </row>
    <row r="71" customFormat="false" ht="15" hidden="false" customHeight="false" outlineLevel="0" collapsed="false">
      <c r="A71" s="2" t="s">
        <v>119</v>
      </c>
      <c r="B71" s="20" t="n">
        <v>0</v>
      </c>
      <c r="C71" s="20" t="n">
        <v>1</v>
      </c>
      <c r="D71" s="20" t="n">
        <v>2</v>
      </c>
      <c r="E71" s="20" t="n">
        <v>3</v>
      </c>
      <c r="F71" s="20" t="n">
        <v>4</v>
      </c>
      <c r="G71" s="20" t="n">
        <v>5</v>
      </c>
      <c r="H71" s="20" t="n">
        <v>6</v>
      </c>
      <c r="I71" s="20" t="n">
        <v>7</v>
      </c>
      <c r="J71" s="20" t="n">
        <v>8</v>
      </c>
      <c r="K71" s="20" t="n">
        <v>9</v>
      </c>
      <c r="L71" s="20" t="n">
        <v>10</v>
      </c>
    </row>
    <row r="72" customFormat="false" ht="15" hidden="false" customHeight="false" outlineLevel="0" collapsed="false">
      <c r="A72" s="7" t="s">
        <v>60</v>
      </c>
      <c r="B72" s="21" t="n">
        <f aca="false">IF(B$71=0,$F$44,IF(B$71=1,$F$45,0))*1</f>
        <v>463.750173045333</v>
      </c>
      <c r="C72" s="21" t="n">
        <f aca="false">IF(C$71=0,$F$44,IF(C$71=1,$F$45,0))*1</f>
        <v>575.403040026667</v>
      </c>
      <c r="D72" s="21" t="n">
        <f aca="false">IF(D$71=0,$F$44,IF(D$71=1,$F$45,0))*1</f>
        <v>0</v>
      </c>
      <c r="E72" s="21" t="n">
        <f aca="false">IF(E$71=0,$F$44,IF(E$71=1,$F$45,0))*1</f>
        <v>0</v>
      </c>
      <c r="F72" s="21" t="n">
        <f aca="false">IF(F$71=0,$F$44,IF(F$71=1,$F$45,0))*1</f>
        <v>0</v>
      </c>
      <c r="G72" s="21" t="n">
        <f aca="false">IF(G$71=0,$F$44,IF(G$71=1,$F$45,0))*1</f>
        <v>0</v>
      </c>
      <c r="H72" s="21" t="n">
        <f aca="false">IF(H$71=0,$F$44,IF(H$71=1,$F$45,0))*1</f>
        <v>0</v>
      </c>
      <c r="I72" s="21" t="n">
        <f aca="false">IF(I$71=0,$F$44,IF(I$71=1,$F$45,0))*1</f>
        <v>0</v>
      </c>
      <c r="J72" s="21" t="n">
        <f aca="false">IF(J$71=0,$F$44,IF(J$71=1,$F$45,0))*1</f>
        <v>0</v>
      </c>
      <c r="K72" s="21" t="n">
        <f aca="false">IF(K$71=0,$F$44,IF(K$71=1,$F$45,0))*1</f>
        <v>0</v>
      </c>
      <c r="L72" s="21" t="n">
        <f aca="false">IF(L$71=0,$F$44,IF(L$71=1,$F$45,0))*1</f>
        <v>0</v>
      </c>
    </row>
    <row r="73" customFormat="false" ht="15" hidden="false" customHeight="false" outlineLevel="0" collapsed="false">
      <c r="A73" s="7" t="s">
        <v>101</v>
      </c>
      <c r="B73" s="21" t="n">
        <f aca="false">IF(B$71=0,0,IF(B$71=1,$E$63*$B$9,$E$63))*1</f>
        <v>0</v>
      </c>
      <c r="C73" s="21" t="n">
        <f aca="false">IF(C$71=0,0,IF(C$71=1,$E$63*$B$9,$E$63))*1</f>
        <v>112.56550139541</v>
      </c>
      <c r="D73" s="21" t="n">
        <f aca="false">IF(D$71=0,0,IF(D$71=1,$E$63*$B$9,$E$63))*1</f>
        <v>150.08733519388</v>
      </c>
      <c r="E73" s="21" t="n">
        <f aca="false">IF(E$71=0,0,IF(E$71=1,$E$63*$B$9,$E$63))*1</f>
        <v>150.08733519388</v>
      </c>
      <c r="F73" s="21" t="n">
        <f aca="false">IF(F$71=0,0,IF(F$71=1,$E$63*$B$9,$E$63))*1</f>
        <v>150.08733519388</v>
      </c>
      <c r="G73" s="21" t="n">
        <f aca="false">IF(G$71=0,0,IF(G$71=1,$E$63*$B$9,$E$63))*1</f>
        <v>150.08733519388</v>
      </c>
      <c r="H73" s="21" t="n">
        <f aca="false">IF(H$71=0,0,IF(H$71=1,$E$63*$B$9,$E$63))*1</f>
        <v>150.08733519388</v>
      </c>
      <c r="I73" s="21" t="n">
        <f aca="false">IF(I$71=0,0,IF(I$71=1,$E$63*$B$9,$E$63))*1</f>
        <v>150.08733519388</v>
      </c>
      <c r="J73" s="21" t="n">
        <f aca="false">IF(J$71=0,0,IF(J$71=1,$E$63*$B$9,$E$63))*1</f>
        <v>150.08733519388</v>
      </c>
      <c r="K73" s="21" t="n">
        <f aca="false">IF(K$71=0,0,IF(K$71=1,$E$63*$B$9,$E$63))*1</f>
        <v>150.08733519388</v>
      </c>
      <c r="L73" s="21" t="n">
        <f aca="false">IF(L$71=0,0,IF(L$71=1,$E$63*$B$9,$E$63))*1</f>
        <v>150.08733519388</v>
      </c>
    </row>
    <row r="74" customFormat="false" ht="15" hidden="false" customHeight="false" outlineLevel="0" collapsed="false">
      <c r="A74" s="7" t="s">
        <v>102</v>
      </c>
      <c r="B74" s="21" t="n">
        <f aca="false">IF(B$71&lt;=1,0,IF(B$71=2,($E$64-$E$58+1*$E$58-(1-1)*$E$61)*$B$9,($E$64-$E$58+1*$E$58-(1-1)*$E$61)))*1</f>
        <v>0</v>
      </c>
      <c r="C74" s="21" t="n">
        <f aca="false">IF(C$71&lt;=1,0,IF(C$71=2,($E$64-$E$58+1*$E$58-(1-1)*$E$61)*$B$9,($E$64-$E$58+1*$E$58-(1-1)*$E$61)))*1</f>
        <v>0</v>
      </c>
      <c r="D74" s="21" t="n">
        <f aca="false">IF(D$71&lt;=1,0,IF(D$71=2,($E$64-$E$58+1*$E$58-(1-1)*$E$61)*$B$9,($E$64-$E$58+1*$E$58-(1-1)*$E$61)))*1</f>
        <v>164.325</v>
      </c>
      <c r="E74" s="21" t="n">
        <f aca="false">IF(E$71&lt;=1,0,IF(E$71=2,($E$64-$E$58+1*$E$58-(1-1)*$E$61)*$B$9,($E$64-$E$58+1*$E$58-(1-1)*$E$61)))*1</f>
        <v>219.1</v>
      </c>
      <c r="F74" s="21" t="n">
        <f aca="false">IF(F$71&lt;=1,0,IF(F$71=2,($E$64-$E$58+1*$E$58-(1-1)*$E$61)*$B$9,($E$64-$E$58+1*$E$58-(1-1)*$E$61)))*1</f>
        <v>219.1</v>
      </c>
      <c r="G74" s="21" t="n">
        <f aca="false">IF(G$71&lt;=1,0,IF(G$71=2,($E$64-$E$58+1*$E$58-(1-1)*$E$61)*$B$9,($E$64-$E$58+1*$E$58-(1-1)*$E$61)))*1</f>
        <v>219.1</v>
      </c>
      <c r="H74" s="21" t="n">
        <f aca="false">IF(H$71&lt;=1,0,IF(H$71=2,($E$64-$E$58+1*$E$58-(1-1)*$E$61)*$B$9,($E$64-$E$58+1*$E$58-(1-1)*$E$61)))*1</f>
        <v>219.1</v>
      </c>
      <c r="I74" s="21" t="n">
        <f aca="false">IF(I$71&lt;=1,0,IF(I$71=2,($E$64-$E$58+1*$E$58-(1-1)*$E$61)*$B$9,($E$64-$E$58+1*$E$58-(1-1)*$E$61)))*1</f>
        <v>219.1</v>
      </c>
      <c r="J74" s="21" t="n">
        <f aca="false">IF(J$71&lt;=1,0,IF(J$71=2,($E$64-$E$58+1*$E$58-(1-1)*$E$61)*$B$9,($E$64-$E$58+1*$E$58-(1-1)*$E$61)))*1</f>
        <v>219.1</v>
      </c>
      <c r="K74" s="21" t="n">
        <f aca="false">IF(K$71&lt;=1,0,IF(K$71=2,($E$64-$E$58+1*$E$58-(1-1)*$E$61)*$B$9,($E$64-$E$58+1*$E$58-(1-1)*$E$61)))*1</f>
        <v>219.1</v>
      </c>
      <c r="L74" s="21" t="n">
        <f aca="false">IF(L$71&lt;=1,0,IF(L$71=2,($E$64-$E$58+1*$E$58-(1-1)*$E$61)*$B$9,($E$64-$E$58+1*$E$58-(1-1)*$E$61)))*1</f>
        <v>219.1</v>
      </c>
    </row>
    <row r="75" customFormat="false" ht="15" hidden="false" customHeight="false" outlineLevel="0" collapsed="false">
      <c r="A75" s="17" t="s">
        <v>120</v>
      </c>
      <c r="B75" s="22" t="n">
        <f aca="false">B73+B74</f>
        <v>0</v>
      </c>
      <c r="C75" s="22" t="n">
        <f aca="false">C73+C74</f>
        <v>112.56550139541</v>
      </c>
      <c r="D75" s="22" t="n">
        <f aca="false">D73+D74</f>
        <v>314.41233519388</v>
      </c>
      <c r="E75" s="22" t="n">
        <f aca="false">E73+E74</f>
        <v>369.18733519388</v>
      </c>
      <c r="F75" s="22" t="n">
        <f aca="false">F73+F74</f>
        <v>369.18733519388</v>
      </c>
      <c r="G75" s="22" t="n">
        <f aca="false">G73+G74</f>
        <v>369.18733519388</v>
      </c>
      <c r="H75" s="22" t="n">
        <f aca="false">H73+H74</f>
        <v>369.18733519388</v>
      </c>
      <c r="I75" s="22" t="n">
        <f aca="false">I73+I74</f>
        <v>369.18733519388</v>
      </c>
      <c r="J75" s="22" t="n">
        <f aca="false">J73+J74</f>
        <v>369.18733519388</v>
      </c>
      <c r="K75" s="22" t="n">
        <f aca="false">K73+K74</f>
        <v>369.18733519388</v>
      </c>
      <c r="L75" s="22" t="n">
        <f aca="false">L73+L74</f>
        <v>369.18733519388</v>
      </c>
    </row>
    <row r="76" customFormat="false" ht="15" hidden="false" customHeight="false" outlineLevel="0" collapsed="false">
      <c r="A76" s="7" t="s">
        <v>121</v>
      </c>
      <c r="B76" s="21" t="n">
        <f aca="false">IF(B$71&gt;=1,$B$10*$F$46*1+$B$11,0)+IF(B$71&gt;=2,$B$10*$F$47*1,0)</f>
        <v>0</v>
      </c>
      <c r="C76" s="21" t="n">
        <f aca="false">IF(C$71&gt;=1,$B$10*$F$46*1+$B$11,0)+IF(C$71&gt;=2,$B$10*$F$47*1,0)</f>
        <v>21.296</v>
      </c>
      <c r="D76" s="21" t="n">
        <f aca="false">IF(D$71&gt;=1,$B$10*$F$46*1+$B$11,0)+IF(D$71&gt;=2,$B$10*$F$47*1,0)</f>
        <v>37.174</v>
      </c>
      <c r="E76" s="21" t="n">
        <f aca="false">IF(E$71&gt;=1,$B$10*$F$46*1+$B$11,0)+IF(E$71&gt;=2,$B$10*$F$47*1,0)</f>
        <v>37.174</v>
      </c>
      <c r="F76" s="21" t="n">
        <f aca="false">IF(F$71&gt;=1,$B$10*$F$46*1+$B$11,0)+IF(F$71&gt;=2,$B$10*$F$47*1,0)</f>
        <v>37.174</v>
      </c>
      <c r="G76" s="21" t="n">
        <f aca="false">IF(G$71&gt;=1,$B$10*$F$46*1+$B$11,0)+IF(G$71&gt;=2,$B$10*$F$47*1,0)</f>
        <v>37.174</v>
      </c>
      <c r="H76" s="21" t="n">
        <f aca="false">IF(H$71&gt;=1,$B$10*$F$46*1+$B$11,0)+IF(H$71&gt;=2,$B$10*$F$47*1,0)</f>
        <v>37.174</v>
      </c>
      <c r="I76" s="21" t="n">
        <f aca="false">IF(I$71&gt;=1,$B$10*$F$46*1+$B$11,0)+IF(I$71&gt;=2,$B$10*$F$47*1,0)</f>
        <v>37.174</v>
      </c>
      <c r="J76" s="21" t="n">
        <f aca="false">IF(J$71&gt;=1,$B$10*$F$46*1+$B$11,0)+IF(J$71&gt;=2,$B$10*$F$47*1,0)</f>
        <v>37.174</v>
      </c>
      <c r="K76" s="21" t="n">
        <f aca="false">IF(K$71&gt;=1,$B$10*$F$46*1+$B$11,0)+IF(K$71&gt;=2,$B$10*$F$47*1,0)</f>
        <v>37.174</v>
      </c>
      <c r="L76" s="21" t="n">
        <f aca="false">IF(L$71&gt;=1,$B$10*$F$46*1+$B$11,0)+IF(L$71&gt;=2,$B$10*$F$47*1,0)</f>
        <v>37.174</v>
      </c>
    </row>
    <row r="77" customFormat="false" ht="15" hidden="false" customHeight="false" outlineLevel="0" collapsed="false">
      <c r="A77" s="7" t="s">
        <v>122</v>
      </c>
      <c r="B77" s="21" t="n">
        <f aca="false">IF(B$71=1,2*$B$19*$B$20/12,0)</f>
        <v>0</v>
      </c>
      <c r="C77" s="21" t="n">
        <f aca="false">IF(C$71=1,2*$B$19*$B$20/12,0)</f>
        <v>18</v>
      </c>
      <c r="D77" s="21" t="n">
        <f aca="false">IF(D$71=1,2*$B$19*$B$20/12,0)</f>
        <v>0</v>
      </c>
      <c r="E77" s="21" t="n">
        <f aca="false">IF(E$71=1,2*$B$19*$B$20/12,0)</f>
        <v>0</v>
      </c>
      <c r="F77" s="21" t="n">
        <f aca="false">IF(F$71=1,2*$B$19*$B$20/12,0)</f>
        <v>0</v>
      </c>
      <c r="G77" s="21" t="n">
        <f aca="false">IF(G$71=1,2*$B$19*$B$20/12,0)</f>
        <v>0</v>
      </c>
      <c r="H77" s="21" t="n">
        <f aca="false">IF(H$71=1,2*$B$19*$B$20/12,0)</f>
        <v>0</v>
      </c>
      <c r="I77" s="21" t="n">
        <f aca="false">IF(I$71=1,2*$B$19*$B$20/12,0)</f>
        <v>0</v>
      </c>
      <c r="J77" s="21" t="n">
        <f aca="false">IF(J$71=1,2*$B$19*$B$20/12,0)</f>
        <v>0</v>
      </c>
      <c r="K77" s="21" t="n">
        <f aca="false">IF(K$71=1,2*$B$19*$B$20/12,0)</f>
        <v>0</v>
      </c>
      <c r="L77" s="21" t="n">
        <f aca="false">IF(L$71=1,2*$B$19*$B$20/12,0)</f>
        <v>0</v>
      </c>
    </row>
    <row r="78" customFormat="false" ht="15" hidden="false" customHeight="false" outlineLevel="0" collapsed="false">
      <c r="A78" s="7" t="s">
        <v>123</v>
      </c>
      <c r="B78" s="21" t="n">
        <f aca="false">(IF(AND(B$71&gt;=1,B$71&lt;=$B$8),$F$44/$B$8,0)+IF(AND(B$71&gt;=2,B$71&lt;=$B$8+1),$F$45/$B$8,0))*1</f>
        <v>0</v>
      </c>
      <c r="C78" s="21" t="n">
        <f aca="false">(IF(AND(C$71&gt;=1,C$71&lt;=$B$8),$F$44/$B$8,0)+IF(AND(C$71&gt;=2,C$71&lt;=$B$8+1),$F$45/$B$8,0))*1</f>
        <v>46.3750173045333</v>
      </c>
      <c r="D78" s="21" t="n">
        <f aca="false">(IF(AND(D$71&gt;=1,D$71&lt;=$B$8),$F$44/$B$8,0)+IF(AND(D$71&gt;=2,D$71&lt;=$B$8+1),$F$45/$B$8,0))*1</f>
        <v>103.9153213072</v>
      </c>
      <c r="E78" s="21" t="n">
        <f aca="false">(IF(AND(E$71&gt;=1,E$71&lt;=$B$8),$F$44/$B$8,0)+IF(AND(E$71&gt;=2,E$71&lt;=$B$8+1),$F$45/$B$8,0))*1</f>
        <v>103.9153213072</v>
      </c>
      <c r="F78" s="21" t="n">
        <f aca="false">(IF(AND(F$71&gt;=1,F$71&lt;=$B$8),$F$44/$B$8,0)+IF(AND(F$71&gt;=2,F$71&lt;=$B$8+1),$F$45/$B$8,0))*1</f>
        <v>103.9153213072</v>
      </c>
      <c r="G78" s="21" t="n">
        <f aca="false">(IF(AND(G$71&gt;=1,G$71&lt;=$B$8),$F$44/$B$8,0)+IF(AND(G$71&gt;=2,G$71&lt;=$B$8+1),$F$45/$B$8,0))*1</f>
        <v>103.9153213072</v>
      </c>
      <c r="H78" s="21" t="n">
        <f aca="false">(IF(AND(H$71&gt;=1,H$71&lt;=$B$8),$F$44/$B$8,0)+IF(AND(H$71&gt;=2,H$71&lt;=$B$8+1),$F$45/$B$8,0))*1</f>
        <v>103.9153213072</v>
      </c>
      <c r="I78" s="21" t="n">
        <f aca="false">(IF(AND(I$71&gt;=1,I$71&lt;=$B$8),$F$44/$B$8,0)+IF(AND(I$71&gt;=2,I$71&lt;=$B$8+1),$F$45/$B$8,0))*1</f>
        <v>103.9153213072</v>
      </c>
      <c r="J78" s="21" t="n">
        <f aca="false">(IF(AND(J$71&gt;=1,J$71&lt;=$B$8),$F$44/$B$8,0)+IF(AND(J$71&gt;=2,J$71&lt;=$B$8+1),$F$45/$B$8,0))*1</f>
        <v>103.9153213072</v>
      </c>
      <c r="K78" s="21" t="n">
        <f aca="false">(IF(AND(K$71&gt;=1,K$71&lt;=$B$8),$F$44/$B$8,0)+IF(AND(K$71&gt;=2,K$71&lt;=$B$8+1),$F$45/$B$8,0))*1</f>
        <v>103.9153213072</v>
      </c>
      <c r="L78" s="21" t="n">
        <f aca="false">(IF(AND(L$71&gt;=1,L$71&lt;=$B$8),$F$44/$B$8,0)+IF(AND(L$71&gt;=2,L$71&lt;=$B$8+1),$F$45/$B$8,0))*1</f>
        <v>103.9153213072</v>
      </c>
    </row>
    <row r="79" customFormat="false" ht="15" hidden="false" customHeight="false" outlineLevel="0" collapsed="false">
      <c r="A79" s="7" t="s">
        <v>124</v>
      </c>
      <c r="B79" s="21" t="n">
        <f aca="false">IF(B$71=1,1*$B$21*$F$40*1,0)</f>
        <v>0</v>
      </c>
      <c r="C79" s="21" t="n">
        <f aca="false">IF(C$71=1,1*$B$21*$F$40*1,0)</f>
        <v>20</v>
      </c>
      <c r="D79" s="21" t="n">
        <f aca="false">IF(D$71=1,1*$B$21*$F$40*1,0)</f>
        <v>0</v>
      </c>
      <c r="E79" s="21" t="n">
        <f aca="false">IF(E$71=1,1*$B$21*$F$40*1,0)</f>
        <v>0</v>
      </c>
      <c r="F79" s="21" t="n">
        <f aca="false">IF(F$71=1,1*$B$21*$F$40*1,0)</f>
        <v>0</v>
      </c>
      <c r="G79" s="21" t="n">
        <f aca="false">IF(G$71=1,1*$B$21*$F$40*1,0)</f>
        <v>0</v>
      </c>
      <c r="H79" s="21" t="n">
        <f aca="false">IF(H$71=1,1*$B$21*$F$40*1,0)</f>
        <v>0</v>
      </c>
      <c r="I79" s="21" t="n">
        <f aca="false">IF(I$71=1,1*$B$21*$F$40*1,0)</f>
        <v>0</v>
      </c>
      <c r="J79" s="21" t="n">
        <f aca="false">IF(J$71=1,1*$B$21*$F$40*1,0)</f>
        <v>0</v>
      </c>
      <c r="K79" s="21" t="n">
        <f aca="false">IF(K$71=1,1*$B$21*$F$40*1,0)</f>
        <v>0</v>
      </c>
      <c r="L79" s="21" t="n">
        <f aca="false">IF(L$71=1,1*$B$21*$F$40*1,0)</f>
        <v>0</v>
      </c>
    </row>
    <row r="80" customFormat="false" ht="15" hidden="false" customHeight="false" outlineLevel="0" collapsed="false">
      <c r="A80" s="7" t="s">
        <v>10</v>
      </c>
      <c r="B80" s="21" t="n">
        <f aca="false">$B$7*(B75-B76-B77-B78)-B79</f>
        <v>0</v>
      </c>
      <c r="C80" s="21" t="n">
        <f aca="false">$B$7*(C75-C76-C77-C78)-C79</f>
        <v>-10.5869305681932</v>
      </c>
      <c r="D80" s="21" t="n">
        <f aca="false">$B$7*(D75-D76-D77-D78)-D79</f>
        <v>60.663054860338</v>
      </c>
      <c r="E80" s="21" t="n">
        <f aca="false">$B$7*(E75-E76-E77-E78)-E79</f>
        <v>79.834304860338</v>
      </c>
      <c r="F80" s="21" t="n">
        <f aca="false">$B$7*(F75-F76-F77-F78)-F79</f>
        <v>79.834304860338</v>
      </c>
      <c r="G80" s="21" t="n">
        <f aca="false">$B$7*(G75-G76-G77-G78)-G79</f>
        <v>79.834304860338</v>
      </c>
      <c r="H80" s="21" t="n">
        <f aca="false">$B$7*(H75-H76-H77-H78)-H79</f>
        <v>79.834304860338</v>
      </c>
      <c r="I80" s="21" t="n">
        <f aca="false">$B$7*(I75-I76-I77-I78)-I79</f>
        <v>79.834304860338</v>
      </c>
      <c r="J80" s="21" t="n">
        <f aca="false">$B$7*(J75-J76-J77-J78)-J79</f>
        <v>79.834304860338</v>
      </c>
      <c r="K80" s="21" t="n">
        <f aca="false">$B$7*(K75-K76-K77-K78)-K79</f>
        <v>79.834304860338</v>
      </c>
      <c r="L80" s="21" t="n">
        <f aca="false">$B$7*(L75-L76-L77-L78)-L79</f>
        <v>79.834304860338</v>
      </c>
    </row>
    <row r="81" customFormat="false" ht="15" hidden="false" customHeight="false" outlineLevel="0" collapsed="false">
      <c r="A81" s="7" t="s">
        <v>125</v>
      </c>
      <c r="B81" s="21" t="n">
        <f aca="false">((IF(B$71&gt;=1,$G$65*IF(B$71=1,$B$9,1),0)+IF(B$71&gt;=2,$G$66*IF(B$71=2,$B$9,1),0))*1*$B$12/365)</f>
        <v>0</v>
      </c>
      <c r="C81" s="21" t="n">
        <f aca="false">((IF(C$71&gt;=1,$G$65*IF(C$71=1,$B$9,1),0)+IF(C$71&gt;=2,$G$66*IF(C$71=2,$B$9,1),0))*1*$B$12/365)-((IF(B$71&gt;=1,$G$65*IF(B$71=1,$B$9,1),0)+IF(B$71&gt;=2,$G$66*IF(B$71=2,$B$9,1),0))*1*$B$12/365)</f>
        <v>4.53205479452055</v>
      </c>
      <c r="D81" s="21" t="n">
        <f aca="false">((IF(D$71&gt;=1,$G$65*IF(D$71=1,$B$9,1),0)+IF(D$71&gt;=2,$G$66*IF(D$71=2,$B$9,1),0))*1*$B$12/365)-((IF(C$71&gt;=1,$G$65*IF(C$71=1,$B$9,1),0)+IF(C$71&gt;=2,$G$66*IF(C$71=2,$B$9,1),0))*1*$B$12/365)</f>
        <v>8.26068493150685</v>
      </c>
      <c r="E81" s="21" t="n">
        <f aca="false">((IF(E$71&gt;=1,$G$65*IF(E$71=1,$B$9,1),0)+IF(E$71&gt;=2,$G$66*IF(E$71=2,$B$9,1),0))*1*$B$12/365)-((IF(D$71&gt;=1,$G$65*IF(D$71=1,$B$9,1),0)+IF(D$71&gt;=2,$G$66*IF(D$71=2,$B$9,1),0))*1*$B$12/365)</f>
        <v>2.25</v>
      </c>
      <c r="F81" s="21" t="n">
        <f aca="false">((IF(F$71&gt;=1,$G$65*IF(F$71=1,$B$9,1),0)+IF(F$71&gt;=2,$G$66*IF(F$71=2,$B$9,1),0))*1*$B$12/365)-((IF(E$71&gt;=1,$G$65*IF(E$71=1,$B$9,1),0)+IF(E$71&gt;=2,$G$66*IF(E$71=2,$B$9,1),0))*1*$B$12/365)</f>
        <v>0</v>
      </c>
      <c r="G81" s="21" t="n">
        <f aca="false">((IF(G$71&gt;=1,$G$65*IF(G$71=1,$B$9,1),0)+IF(G$71&gt;=2,$G$66*IF(G$71=2,$B$9,1),0))*1*$B$12/365)-((IF(F$71&gt;=1,$G$65*IF(F$71=1,$B$9,1),0)+IF(F$71&gt;=2,$G$66*IF(F$71=2,$B$9,1),0))*1*$B$12/365)</f>
        <v>0</v>
      </c>
      <c r="H81" s="21" t="n">
        <f aca="false">((IF(H$71&gt;=1,$G$65*IF(H$71=1,$B$9,1),0)+IF(H$71&gt;=2,$G$66*IF(H$71=2,$B$9,1),0))*1*$B$12/365)-((IF(G$71&gt;=1,$G$65*IF(G$71=1,$B$9,1),0)+IF(G$71&gt;=2,$G$66*IF(G$71=2,$B$9,1),0))*1*$B$12/365)</f>
        <v>0</v>
      </c>
      <c r="I81" s="21" t="n">
        <f aca="false">((IF(I$71&gt;=1,$G$65*IF(I$71=1,$B$9,1),0)+IF(I$71&gt;=2,$G$66*IF(I$71=2,$B$9,1),0))*1*$B$12/365)-((IF(H$71&gt;=1,$G$65*IF(H$71=1,$B$9,1),0)+IF(H$71&gt;=2,$G$66*IF(H$71=2,$B$9,1),0))*1*$B$12/365)</f>
        <v>0</v>
      </c>
      <c r="J81" s="21" t="n">
        <f aca="false">((IF(J$71&gt;=1,$G$65*IF(J$71=1,$B$9,1),0)+IF(J$71&gt;=2,$G$66*IF(J$71=2,$B$9,1),0))*1*$B$12/365)-((IF(I$71&gt;=1,$G$65*IF(I$71=1,$B$9,1),0)+IF(I$71&gt;=2,$G$66*IF(I$71=2,$B$9,1),0))*1*$B$12/365)</f>
        <v>0</v>
      </c>
      <c r="K81" s="21" t="n">
        <f aca="false">((IF(K$71&gt;=1,$G$65*IF(K$71=1,$B$9,1),0)+IF(K$71&gt;=2,$G$66*IF(K$71=2,$B$9,1),0))*1*$B$12/365)-((IF(J$71&gt;=1,$G$65*IF(J$71=1,$B$9,1),0)+IF(J$71&gt;=2,$G$66*IF(J$71=2,$B$9,1),0))*1*$B$12/365)</f>
        <v>0</v>
      </c>
      <c r="L81" s="21" t="n">
        <f aca="false">-((IF(K$71&gt;=1,$G$65*IF(K$71=1,$B$9,1),0)+IF(K$71&gt;=2,$G$66*IF(K$71=2,$B$9,1),0))*1*$B$12/365)</f>
        <v>-15.0427397260274</v>
      </c>
    </row>
    <row r="82" customFormat="false" ht="15" hidden="false" customHeight="false" outlineLevel="0" collapsed="false">
      <c r="A82" s="7" t="s">
        <v>126</v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f aca="false">1*$B$22*($F$46+$F$47)*1*(1-$B$7)</f>
        <v>54.5436666666667</v>
      </c>
    </row>
    <row r="83" customFormat="false" ht="15" hidden="false" customHeight="false" outlineLevel="0" collapsed="false">
      <c r="A83" s="17" t="s">
        <v>127</v>
      </c>
      <c r="B83" s="23" t="n">
        <f aca="false">B75-B76-B77-B80-B72-B81+B82</f>
        <v>-463.750173045333</v>
      </c>
      <c r="C83" s="23" t="n">
        <f aca="false">C75-C76-C77-C80-C72-C81+C82</f>
        <v>-496.078662857584</v>
      </c>
      <c r="D83" s="23" t="n">
        <f aca="false">D75-D76-D77-D80-D72-D81+D82</f>
        <v>208.314595402035</v>
      </c>
      <c r="E83" s="23" t="n">
        <f aca="false">E75-E76-E77-E80-E72-E81+E82</f>
        <v>249.929030333542</v>
      </c>
      <c r="F83" s="23" t="n">
        <f aca="false">F75-F76-F77-F80-F72-F81+F82</f>
        <v>252.179030333542</v>
      </c>
      <c r="G83" s="23" t="n">
        <f aca="false">G75-G76-G77-G80-G72-G81+G82</f>
        <v>252.179030333542</v>
      </c>
      <c r="H83" s="23" t="n">
        <f aca="false">H75-H76-H77-H80-H72-H81+H82</f>
        <v>252.179030333542</v>
      </c>
      <c r="I83" s="23" t="n">
        <f aca="false">I75-I76-I77-I80-I72-I81+I82</f>
        <v>252.179030333542</v>
      </c>
      <c r="J83" s="23" t="n">
        <f aca="false">J75-J76-J77-J80-J72-J81+J82</f>
        <v>252.179030333542</v>
      </c>
      <c r="K83" s="23" t="n">
        <f aca="false">K75-K76-K77-K80-K72-K81+K82</f>
        <v>252.179030333542</v>
      </c>
      <c r="L83" s="23" t="n">
        <f aca="false">L75-L76-L77-L80-L72-L81+L82</f>
        <v>321.765436726236</v>
      </c>
    </row>
    <row r="84" customFormat="false" ht="15" hidden="false" customHeight="false" outlineLevel="0" collapsed="false">
      <c r="A84" s="7" t="s">
        <v>128</v>
      </c>
      <c r="B84" s="21" t="n">
        <f aca="false">B83</f>
        <v>-463.750173045333</v>
      </c>
      <c r="C84" s="21" t="n">
        <f aca="false">B84+C83</f>
        <v>-959.828835902917</v>
      </c>
      <c r="D84" s="21" t="n">
        <f aca="false">C84+D83</f>
        <v>-751.514240500882</v>
      </c>
      <c r="E84" s="21" t="n">
        <f aca="false">D84+E83</f>
        <v>-501.58521016734</v>
      </c>
      <c r="F84" s="21" t="n">
        <f aca="false">E84+F83</f>
        <v>-249.406179833798</v>
      </c>
      <c r="G84" s="21" t="n">
        <f aca="false">F84+G83</f>
        <v>2.77285049974375</v>
      </c>
      <c r="H84" s="21" t="n">
        <f aca="false">G84+H83</f>
        <v>254.951880833286</v>
      </c>
      <c r="I84" s="21" t="n">
        <f aca="false">H84+I83</f>
        <v>507.130911166828</v>
      </c>
      <c r="J84" s="21" t="n">
        <f aca="false">I84+J83</f>
        <v>759.30994150037</v>
      </c>
      <c r="K84" s="21" t="n">
        <f aca="false">J84+K83</f>
        <v>1011.48897183391</v>
      </c>
      <c r="L84" s="21" t="n">
        <f aca="false">K84+L83</f>
        <v>1333.25440856015</v>
      </c>
    </row>
    <row r="85" customFormat="false" ht="15" hidden="false" customHeight="false" outlineLevel="0" collapsed="false">
      <c r="A85" s="2" t="s">
        <v>129</v>
      </c>
      <c r="B85" s="24" t="n">
        <v>0</v>
      </c>
      <c r="C85" s="24" t="n">
        <f aca="false">IF(AND(B84&lt;0,C84&gt;=0),B$71+(-B84)/C83,0)</f>
        <v>0</v>
      </c>
      <c r="D85" s="24" t="n">
        <f aca="false">IF(AND(C84&lt;0,D84&gt;=0),C$71+(-C84)/D83,0)</f>
        <v>0</v>
      </c>
      <c r="E85" s="24" t="n">
        <f aca="false">IF(AND(D84&lt;0,E84&gt;=0),D$71+(-D84)/E83,0)</f>
        <v>0</v>
      </c>
      <c r="F85" s="24" t="n">
        <f aca="false">IF(AND(E84&lt;0,F84&gt;=0),E$71+(-E84)/F83,0)</f>
        <v>0</v>
      </c>
      <c r="G85" s="24" t="n">
        <f aca="false">IF(AND(F84&lt;0,G84&gt;=0),F$71+(-F84)/G83,0)</f>
        <v>4.98900443666519</v>
      </c>
      <c r="H85" s="24" t="n">
        <f aca="false">IF(AND(G84&lt;0,H84&gt;=0),G$71+(-G84)/H83,0)</f>
        <v>0</v>
      </c>
      <c r="I85" s="24" t="n">
        <f aca="false">IF(AND(H84&lt;0,I84&gt;=0),H$71+(-H84)/I83,0)</f>
        <v>0</v>
      </c>
      <c r="J85" s="24" t="n">
        <f aca="false">IF(AND(I84&lt;0,J84&gt;=0),I$71+(-I84)/J83,0)</f>
        <v>0</v>
      </c>
      <c r="K85" s="24" t="n">
        <f aca="false">IF(AND(J84&lt;0,K84&gt;=0),J$71+(-J84)/K83,0)</f>
        <v>0</v>
      </c>
      <c r="L85" s="24" t="n">
        <f aca="false">IF(AND(K84&lt;0,L84&gt;=0),K$71+(-K84)/L83,0)</f>
        <v>0</v>
      </c>
    </row>
    <row r="86" customFormat="false" ht="15" hidden="false" customHeight="false" outlineLevel="0" collapsed="false">
      <c r="A86" s="7" t="s">
        <v>130</v>
      </c>
      <c r="B86" s="21" t="n">
        <f aca="false">$B$23*B72</f>
        <v>324.625121131733</v>
      </c>
      <c r="C86" s="21" t="n">
        <f aca="false">$B$23*C72</f>
        <v>402.782128018667</v>
      </c>
      <c r="D86" s="21" t="n">
        <f aca="false">$B$23*D72</f>
        <v>0</v>
      </c>
      <c r="E86" s="21" t="n">
        <f aca="false">$B$23*E72</f>
        <v>0</v>
      </c>
      <c r="F86" s="21" t="n">
        <f aca="false">$B$23*F72</f>
        <v>0</v>
      </c>
      <c r="G86" s="21" t="n">
        <f aca="false">$B$23*G72</f>
        <v>0</v>
      </c>
      <c r="H86" s="21" t="n">
        <f aca="false">$B$23*H72</f>
        <v>0</v>
      </c>
      <c r="I86" s="21" t="n">
        <f aca="false">$B$23*I72</f>
        <v>0</v>
      </c>
      <c r="J86" s="21" t="n">
        <f aca="false">$B$23*J72</f>
        <v>0</v>
      </c>
      <c r="K86" s="21" t="n">
        <f aca="false">$B$23*K72</f>
        <v>0</v>
      </c>
      <c r="L86" s="21" t="n">
        <f aca="false">$B$23*L72</f>
        <v>0</v>
      </c>
    </row>
    <row r="87" customFormat="false" ht="15" hidden="false" customHeight="false" outlineLevel="0" collapsed="false">
      <c r="A87" s="7" t="s">
        <v>131</v>
      </c>
      <c r="B87" s="21" t="n">
        <f aca="false">IF(AND(B$71&gt;0,B$71&lt;=0+$B$25),$B$24*(($B$23*$B$72)-($B$23*$B$72)/($B$25-$B$26)*MAX(0,MIN(B$71-1-0-$B$26,($B$25-$B$26)))),0)+IF(AND(B$71&gt;1,B$71&lt;=1+$B$25),$B$24*(($B$23*$C$72)-($B$23*$C$72)/($B$25-$B$26)*MAX(0,MIN(B$71-1-1-$B$26,($B$25-$B$26)))),0)</f>
        <v>0</v>
      </c>
      <c r="C87" s="21" t="n">
        <f aca="false">IF(AND(C$71&gt;0,C$71&lt;=0+$B$25),$B$24*(($B$23*$B$72)-($B$23*$B$72)/($B$25-$B$26)*MAX(0,MIN(C$71-1-0-$B$26,($B$25-$B$26)))),0)+IF(AND(C$71&gt;1,C$71&lt;=1+$B$25),$B$24*(($B$23*$C$72)-($B$23*$C$72)/($B$25-$B$26)*MAX(0,MIN(C$71-1-1-$B$26,($B$25-$B$26)))),0)</f>
        <v>45.7721420795744</v>
      </c>
      <c r="D87" s="21" t="n">
        <f aca="false">IF(AND(D$71&gt;0,D$71&lt;=0+$B$25),$B$24*(($B$23*$B$72)-($B$23*$B$72)/($B$25-$B$26)*MAX(0,MIN(D$71-1-0-$B$26,($B$25-$B$26)))),0)+IF(AND(D$71&gt;1,D$71&lt;=1+$B$25),$B$24*(($B$23*$C$72)-($B$23*$C$72)/($B$25-$B$26)*MAX(0,MIN(D$71-1-1-$B$26,($B$25-$B$26)))),0)</f>
        <v>102.564422130206</v>
      </c>
      <c r="E87" s="21" t="n">
        <f aca="false">IF(AND(E$71&gt;0,E$71&lt;=0+$B$25),$B$24*(($B$23*$B$72)-($B$23*$B$72)/($B$25-$B$26)*MAX(0,MIN(E$71-1-0-$B$26,($B$25-$B$26)))),0)+IF(AND(E$71&gt;1,E$71&lt;=1+$B$25),$B$24*(($B$23*$C$72)-($B$23*$C$72)/($B$25-$B$26)*MAX(0,MIN(E$71-1-1-$B$26,($B$25-$B$26)))),0)</f>
        <v>94.9357317836106</v>
      </c>
      <c r="F87" s="21" t="n">
        <f aca="false">IF(AND(F$71&gt;0,F$71&lt;=0+$B$25),$B$24*(($B$23*$B$72)-($B$23*$B$72)/($B$25-$B$26)*MAX(0,MIN(F$71-1-0-$B$26,($B$25-$B$26)))),0)+IF(AND(F$71&gt;1,F$71&lt;=1+$B$25),$B$24*(($B$23*$C$72)-($B$23*$C$72)/($B$25-$B$26)*MAX(0,MIN(F$71-1-1-$B$26,($B$25-$B$26)))),0)</f>
        <v>77.8416614285763</v>
      </c>
      <c r="G87" s="21" t="n">
        <f aca="false">IF(AND(G$71&gt;0,G$71&lt;=0+$B$25),$B$24*(($B$23*$B$72)-($B$23*$B$72)/($B$25-$B$26)*MAX(0,MIN(G$71-1-0-$B$26,($B$25-$B$26)))),0)+IF(AND(G$71&gt;1,G$71&lt;=1+$B$25),$B$24*(($B$23*$C$72)-($B$23*$C$72)/($B$25-$B$26)*MAX(0,MIN(G$71-1-1-$B$26,($B$25-$B$26)))),0)</f>
        <v>60.7475910735419</v>
      </c>
      <c r="H87" s="21" t="n">
        <f aca="false">IF(AND(H$71&gt;0,H$71&lt;=0+$B$25),$B$24*(($B$23*$B$72)-($B$23*$B$72)/($B$25-$B$26)*MAX(0,MIN(H$71-1-0-$B$26,($B$25-$B$26)))),0)+IF(AND(H$71&gt;1,H$71&lt;=1+$B$25),$B$24*(($B$23*$C$72)-($B$23*$C$72)/($B$25-$B$26)*MAX(0,MIN(H$71-1-1-$B$26,($B$25-$B$26)))),0)</f>
        <v>43.6535207185075</v>
      </c>
      <c r="I87" s="21" t="n">
        <f aca="false">IF(AND(I$71&gt;0,I$71&lt;=0+$B$25),$B$24*(($B$23*$B$72)-($B$23*$B$72)/($B$25-$B$26)*MAX(0,MIN(I$71-1-0-$B$26,($B$25-$B$26)))),0)+IF(AND(I$71&gt;1,I$71&lt;=1+$B$25),$B$24*(($B$23*$C$72)-($B$23*$C$72)/($B$25-$B$26)*MAX(0,MIN(I$71-1-1-$B$26,($B$25-$B$26)))),0)</f>
        <v>26.5594503634731</v>
      </c>
      <c r="J87" s="21" t="n">
        <f aca="false">IF(AND(J$71&gt;0,J$71&lt;=0+$B$25),$B$24*(($B$23*$B$72)-($B$23*$B$72)/($B$25-$B$26)*MAX(0,MIN(J$71-1-0-$B$26,($B$25-$B$26)))),0)+IF(AND(J$71&gt;1,J$71&lt;=1+$B$25),$B$24*(($B$23*$C$72)-($B$23*$C$72)/($B$25-$B$26)*MAX(0,MIN(J$71-1-1-$B$26,($B$25-$B$26)))),0)</f>
        <v>9.46538000843867</v>
      </c>
      <c r="K87" s="21" t="n">
        <f aca="false">IF(AND(K$71&gt;0,K$71&lt;=0+$B$25),$B$24*(($B$23*$B$72)-($B$23*$B$72)/($B$25-$B$26)*MAX(0,MIN(K$71-1-0-$B$26,($B$25-$B$26)))),0)+IF(AND(K$71&gt;1,K$71&lt;=1+$B$25),$B$24*(($B$23*$C$72)-($B$23*$C$72)/($B$25-$B$26)*MAX(0,MIN(K$71-1-1-$B$26,($B$25-$B$26)))),0)</f>
        <v>0</v>
      </c>
      <c r="L87" s="21" t="n">
        <f aca="false">IF(AND(L$71&gt;0,L$71&lt;=0+$B$25),$B$24*(($B$23*$B$72)-($B$23*$B$72)/($B$25-$B$26)*MAX(0,MIN(L$71-1-0-$B$26,($B$25-$B$26)))),0)+IF(AND(L$71&gt;1,L$71&lt;=1+$B$25),$B$24*(($B$23*$C$72)-($B$23*$C$72)/($B$25-$B$26)*MAX(0,MIN(L$71-1-1-$B$26,($B$25-$B$26)))),0)</f>
        <v>0</v>
      </c>
    </row>
    <row r="88" customFormat="false" ht="15" hidden="false" customHeight="false" outlineLevel="0" collapsed="false">
      <c r="A88" s="7" t="s">
        <v>132</v>
      </c>
      <c r="B88" s="21" t="n">
        <f aca="false">IF(AND(B$71&gt;0+$B$26,B$71&lt;=0+$B$25),($B$23*$B$72)/($B$25-$B$26),0)+IF(AND(B$71&gt;1+$B$26,B$71&lt;=1+$B$25),($B$23*$C$72)/($B$25-$B$26),0)</f>
        <v>0</v>
      </c>
      <c r="C88" s="21" t="n">
        <f aca="false">IF(AND(C$71&gt;0+$B$26,C$71&lt;=0+$B$25),($B$23*$B$72)/($B$25-$B$26),0)+IF(AND(C$71&gt;1+$B$26,C$71&lt;=1+$B$25),($B$23*$C$72)/($B$25-$B$26),0)</f>
        <v>0</v>
      </c>
      <c r="D88" s="21" t="n">
        <f aca="false">IF(AND(D$71&gt;0+$B$26,D$71&lt;=0+$B$25),($B$23*$B$72)/($B$25-$B$26),0)+IF(AND(D$71&gt;1+$B$26,D$71&lt;=1+$B$25),($B$23*$C$72)/($B$25-$B$26),0)</f>
        <v>54.1041868552889</v>
      </c>
      <c r="E88" s="21" t="n">
        <f aca="false">IF(AND(E$71&gt;0+$B$26,E$71&lt;=0+$B$25),($B$23*$B$72)/($B$25-$B$26),0)+IF(AND(E$71&gt;1+$B$26,E$71&lt;=1+$B$25),($B$23*$C$72)/($B$25-$B$26),0)</f>
        <v>121.234541525067</v>
      </c>
      <c r="F88" s="21" t="n">
        <f aca="false">IF(AND(F$71&gt;0+$B$26,F$71&lt;=0+$B$25),($B$23*$B$72)/($B$25-$B$26),0)+IF(AND(F$71&gt;1+$B$26,F$71&lt;=1+$B$25),($B$23*$C$72)/($B$25-$B$26),0)</f>
        <v>121.234541525067</v>
      </c>
      <c r="G88" s="21" t="n">
        <f aca="false">IF(AND(G$71&gt;0+$B$26,G$71&lt;=0+$B$25),($B$23*$B$72)/($B$25-$B$26),0)+IF(AND(G$71&gt;1+$B$26,G$71&lt;=1+$B$25),($B$23*$C$72)/($B$25-$B$26),0)</f>
        <v>121.234541525067</v>
      </c>
      <c r="H88" s="21" t="n">
        <f aca="false">IF(AND(H$71&gt;0+$B$26,H$71&lt;=0+$B$25),($B$23*$B$72)/($B$25-$B$26),0)+IF(AND(H$71&gt;1+$B$26,H$71&lt;=1+$B$25),($B$23*$C$72)/($B$25-$B$26),0)</f>
        <v>121.234541525067</v>
      </c>
      <c r="I88" s="21" t="n">
        <f aca="false">IF(AND(I$71&gt;0+$B$26,I$71&lt;=0+$B$25),($B$23*$B$72)/($B$25-$B$26),0)+IF(AND(I$71&gt;1+$B$26,I$71&lt;=1+$B$25),($B$23*$C$72)/($B$25-$B$26),0)</f>
        <v>121.234541525067</v>
      </c>
      <c r="J88" s="21" t="n">
        <f aca="false">IF(AND(J$71&gt;0+$B$26,J$71&lt;=0+$B$25),($B$23*$B$72)/($B$25-$B$26),0)+IF(AND(J$71&gt;1+$B$26,J$71&lt;=1+$B$25),($B$23*$C$72)/($B$25-$B$26),0)</f>
        <v>67.1303546697778</v>
      </c>
      <c r="K88" s="21" t="n">
        <f aca="false">IF(AND(K$71&gt;0+$B$26,K$71&lt;=0+$B$25),($B$23*$B$72)/($B$25-$B$26),0)+IF(AND(K$71&gt;1+$B$26,K$71&lt;=1+$B$25),($B$23*$C$72)/($B$25-$B$26),0)</f>
        <v>0</v>
      </c>
      <c r="L88" s="21" t="n">
        <f aca="false">IF(AND(L$71&gt;0+$B$26,L$71&lt;=0+$B$25),($B$23*$B$72)/($B$25-$B$26),0)+IF(AND(L$71&gt;1+$B$26,L$71&lt;=1+$B$25),($B$23*$C$72)/($B$25-$B$26),0)</f>
        <v>0</v>
      </c>
    </row>
    <row r="89" customFormat="false" ht="15" hidden="false" customHeight="false" outlineLevel="0" collapsed="false">
      <c r="A89" s="7" t="s">
        <v>133</v>
      </c>
      <c r="B89" s="21" t="n">
        <f aca="false">$B$7*B87</f>
        <v>0</v>
      </c>
      <c r="C89" s="21" t="n">
        <f aca="false">$B$7*C87</f>
        <v>16.020249727851</v>
      </c>
      <c r="D89" s="21" t="n">
        <f aca="false">$B$7*D87</f>
        <v>35.8975477455722</v>
      </c>
      <c r="E89" s="21" t="n">
        <f aca="false">$B$7*E87</f>
        <v>33.2275061242637</v>
      </c>
      <c r="F89" s="21" t="n">
        <f aca="false">$B$7*F87</f>
        <v>27.2445815000017</v>
      </c>
      <c r="G89" s="21" t="n">
        <f aca="false">$B$7*G87</f>
        <v>21.2616568757396</v>
      </c>
      <c r="H89" s="21" t="n">
        <f aca="false">$B$7*H87</f>
        <v>15.2787322514776</v>
      </c>
      <c r="I89" s="21" t="n">
        <f aca="false">$B$7*I87</f>
        <v>9.29580762721557</v>
      </c>
      <c r="J89" s="21" t="n">
        <f aca="false">$B$7*J87</f>
        <v>3.31288300295353</v>
      </c>
      <c r="K89" s="21" t="n">
        <f aca="false">$B$7*K87</f>
        <v>0</v>
      </c>
      <c r="L89" s="21" t="n">
        <f aca="false">$B$7*L87</f>
        <v>0</v>
      </c>
    </row>
    <row r="90" customFormat="false" ht="15" hidden="false" customHeight="false" outlineLevel="0" collapsed="false">
      <c r="A90" s="17" t="s">
        <v>134</v>
      </c>
      <c r="B90" s="23" t="n">
        <f aca="false">B83+B86-B87-B88+B89</f>
        <v>-139.1250519136</v>
      </c>
      <c r="C90" s="23" t="n">
        <f aca="false">C83+C86-C87-C88+C89</f>
        <v>-123.048427190641</v>
      </c>
      <c r="D90" s="23" t="n">
        <f aca="false">D83+D86-D87-D88+D89</f>
        <v>87.5435341621121</v>
      </c>
      <c r="E90" s="23" t="n">
        <f aca="false">E83+E86-E87-E88+E89</f>
        <v>66.9862631491284</v>
      </c>
      <c r="F90" s="23" t="n">
        <f aca="false">F83+F86-F87-F88+F89</f>
        <v>80.3474088799007</v>
      </c>
      <c r="G90" s="23" t="n">
        <f aca="false">G83+G86-G87-G88+G89</f>
        <v>91.4585546106731</v>
      </c>
      <c r="H90" s="23" t="n">
        <f aca="false">H83+H86-H87-H88+H89</f>
        <v>102.569700341445</v>
      </c>
      <c r="I90" s="23" t="n">
        <f aca="false">I83+I86-I87-I88+I89</f>
        <v>113.680846072218</v>
      </c>
      <c r="J90" s="23" t="n">
        <f aca="false">J83+J86-J87-J88+J89</f>
        <v>178.896178658279</v>
      </c>
      <c r="K90" s="23" t="n">
        <f aca="false">K83+K86-K87-K88+K89</f>
        <v>252.179030333542</v>
      </c>
      <c r="L90" s="23" t="n">
        <f aca="false">L83+L86-L87-L88+L89</f>
        <v>321.765436726236</v>
      </c>
    </row>
    <row r="91" customFormat="false" ht="15" hidden="false" customHeight="false" outlineLevel="0" collapsed="false">
      <c r="A91" s="2" t="s">
        <v>135</v>
      </c>
    </row>
    <row r="93" customFormat="false" ht="15" hidden="false" customHeight="false" outlineLevel="0" collapsed="false">
      <c r="A93" s="3" t="s">
        <v>136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customFormat="false" ht="15" hidden="false" customHeight="false" outlineLevel="0" collapsed="false">
      <c r="A94" s="17" t="s">
        <v>137</v>
      </c>
      <c r="B94" s="25" t="n">
        <f aca="false">IRR(B83:L83)</f>
        <v>0.184543397643851</v>
      </c>
    </row>
    <row r="95" customFormat="false" ht="15" hidden="false" customHeight="false" outlineLevel="0" collapsed="false">
      <c r="A95" s="17" t="s">
        <v>138</v>
      </c>
      <c r="B95" s="26" t="n">
        <f aca="false">B83+NPV($B$6,C83:L83)</f>
        <v>91.7729072025196</v>
      </c>
    </row>
    <row r="96" customFormat="false" ht="15" hidden="false" customHeight="false" outlineLevel="0" collapsed="false">
      <c r="A96" s="17" t="s">
        <v>139</v>
      </c>
      <c r="B96" s="27" t="n">
        <f aca="false">SUM(B85:L85)</f>
        <v>4.98900443666519</v>
      </c>
    </row>
    <row r="97" customFormat="false" ht="15" hidden="false" customHeight="false" outlineLevel="0" collapsed="false">
      <c r="A97" s="17" t="s">
        <v>140</v>
      </c>
      <c r="B97" s="28" t="n">
        <f aca="false">SUM(B83:L83)/$F$48</f>
        <v>1.28302005112288</v>
      </c>
    </row>
    <row r="98" customFormat="false" ht="15" hidden="false" customHeight="false" outlineLevel="0" collapsed="false">
      <c r="A98" s="17" t="s">
        <v>141</v>
      </c>
      <c r="B98" s="25" t="n">
        <f aca="false">IRR(B90:L90)</f>
        <v>0.310744299139093</v>
      </c>
    </row>
    <row r="99" customFormat="false" ht="15" hidden="false" customHeight="false" outlineLevel="0" collapsed="false">
      <c r="A99" s="7" t="s">
        <v>142</v>
      </c>
      <c r="B99" s="21" t="n">
        <f aca="false">B90+NPV($B$27,C90:L90)</f>
        <v>64.7791011814528</v>
      </c>
    </row>
    <row r="100" customFormat="false" ht="15" hidden="false" customHeight="false" outlineLevel="0" collapsed="false">
      <c r="A100" s="7" t="s">
        <v>143</v>
      </c>
      <c r="B100" s="21" t="n">
        <f aca="false">-(B90+C90)</f>
        <v>262.173479104241</v>
      </c>
    </row>
    <row r="101" customFormat="false" ht="15" hidden="false" customHeight="false" outlineLevel="0" collapsed="false">
      <c r="A101" s="7" t="s">
        <v>144</v>
      </c>
      <c r="B101" s="21" t="n">
        <f aca="false">$F$48</f>
        <v>1039.153213072</v>
      </c>
    </row>
    <row r="102" customFormat="false" ht="15" hidden="false" customHeight="false" outlineLevel="0" collapsed="false">
      <c r="A102" s="7" t="s">
        <v>145</v>
      </c>
      <c r="B102" s="21" t="n">
        <f aca="false">$E$67</f>
        <v>369.18733519388</v>
      </c>
    </row>
    <row r="104" customFormat="false" ht="15" hidden="false" customHeight="false" outlineLevel="0" collapsed="false">
      <c r="A104" s="3" t="s">
        <v>146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customFormat="false" ht="15" hidden="false" customHeight="false" outlineLevel="0" collapsed="false">
      <c r="A105" s="2" t="s">
        <v>147</v>
      </c>
    </row>
    <row r="106" customFormat="false" ht="15" hidden="false" customHeight="false" outlineLevel="0" collapsed="false">
      <c r="A106" s="2" t="s">
        <v>148</v>
      </c>
    </row>
    <row r="107" customFormat="false" ht="15" hidden="false" customHeight="false" outlineLevel="0" collapsed="false">
      <c r="A107" s="2" t="s">
        <v>149</v>
      </c>
    </row>
    <row r="108" customFormat="false" ht="15" hidden="false" customHeight="false" outlineLevel="0" collapsed="false">
      <c r="A108" s="2" t="s">
        <v>150</v>
      </c>
    </row>
    <row r="109" customFormat="false" ht="15" hidden="false" customHeight="false" outlineLevel="0" collapsed="false">
      <c r="A109" s="2" t="s">
        <v>151</v>
      </c>
    </row>
    <row r="110" customFormat="false" ht="15" hidden="false" customHeight="false" outlineLevel="0" collapsed="false">
      <c r="A110" s="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3" min="2" style="0" width="13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3" t="s">
        <v>155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0" hidden="false" customHeight="true" outlineLevel="0" collapsed="false">
      <c r="A5" s="5" t="s">
        <v>3</v>
      </c>
      <c r="B5" s="6" t="s">
        <v>156</v>
      </c>
      <c r="C5" s="6" t="s">
        <v>157</v>
      </c>
      <c r="D5" s="6" t="s">
        <v>158</v>
      </c>
      <c r="E5" s="6" t="s">
        <v>159</v>
      </c>
      <c r="F5" s="6" t="s">
        <v>160</v>
      </c>
      <c r="G5" s="6" t="s">
        <v>161</v>
      </c>
      <c r="H5" s="6" t="s">
        <v>162</v>
      </c>
    </row>
    <row r="6" customFormat="false" ht="15" hidden="false" customHeight="false" outlineLevel="0" collapsed="false">
      <c r="A6" s="7" t="s">
        <v>163</v>
      </c>
      <c r="B6" s="15" t="n">
        <v>1</v>
      </c>
      <c r="C6" s="15" t="n">
        <v>0</v>
      </c>
      <c r="D6" s="15" t="n">
        <v>1</v>
      </c>
      <c r="E6" s="15" t="n">
        <v>1</v>
      </c>
      <c r="F6" s="15" t="n">
        <v>1</v>
      </c>
      <c r="G6" s="15" t="n">
        <v>1</v>
      </c>
      <c r="H6" s="15" t="n">
        <v>1</v>
      </c>
    </row>
    <row r="7" customFormat="false" ht="15" hidden="false" customHeight="false" outlineLevel="0" collapsed="false">
      <c r="A7" s="7" t="s">
        <v>164</v>
      </c>
      <c r="B7" s="15" t="n">
        <v>1</v>
      </c>
      <c r="C7" s="15" t="n">
        <v>0</v>
      </c>
      <c r="D7" s="15" t="n">
        <v>1</v>
      </c>
      <c r="E7" s="15" t="n">
        <v>1</v>
      </c>
      <c r="F7" s="15" t="n">
        <v>1</v>
      </c>
      <c r="G7" s="15" t="n">
        <v>1</v>
      </c>
      <c r="H7" s="15" t="n">
        <v>1</v>
      </c>
    </row>
    <row r="8" customFormat="false" ht="15" hidden="false" customHeight="false" outlineLevel="0" collapsed="false">
      <c r="A8" s="7" t="s">
        <v>165</v>
      </c>
      <c r="B8" s="15" t="n">
        <v>1</v>
      </c>
      <c r="C8" s="15" t="n">
        <v>0</v>
      </c>
      <c r="D8" s="15" t="n">
        <v>1</v>
      </c>
      <c r="E8" s="15" t="n">
        <v>1</v>
      </c>
      <c r="F8" s="15" t="n">
        <v>1</v>
      </c>
      <c r="G8" s="15" t="n">
        <v>1</v>
      </c>
      <c r="H8" s="15" t="n">
        <v>1</v>
      </c>
    </row>
    <row r="9" customFormat="false" ht="15" hidden="false" customHeight="false" outlineLevel="0" collapsed="false">
      <c r="A9" s="7" t="s">
        <v>166</v>
      </c>
      <c r="B9" s="15" t="n">
        <v>1</v>
      </c>
      <c r="C9" s="15" t="n">
        <v>1</v>
      </c>
      <c r="D9" s="15" t="n">
        <v>0</v>
      </c>
      <c r="E9" s="15" t="n">
        <v>1</v>
      </c>
      <c r="F9" s="15" t="n">
        <v>1</v>
      </c>
      <c r="G9" s="15" t="n">
        <v>1</v>
      </c>
      <c r="H9" s="15" t="n">
        <v>1</v>
      </c>
    </row>
    <row r="10" customFormat="false" ht="15" hidden="false" customHeight="false" outlineLevel="0" collapsed="false">
      <c r="A10" s="7" t="s">
        <v>167</v>
      </c>
      <c r="B10" s="29" t="n">
        <v>1</v>
      </c>
      <c r="C10" s="29" t="n">
        <v>1</v>
      </c>
      <c r="D10" s="29" t="n">
        <v>1</v>
      </c>
      <c r="E10" s="29" t="n">
        <v>0.8</v>
      </c>
      <c r="F10" s="29" t="n">
        <v>1</v>
      </c>
      <c r="G10" s="29" t="n">
        <v>1.2</v>
      </c>
      <c r="H10" s="29" t="n">
        <v>1</v>
      </c>
    </row>
    <row r="11" customFormat="false" ht="15" hidden="false" customHeight="false" outlineLevel="0" collapsed="false">
      <c r="A11" s="7" t="s">
        <v>168</v>
      </c>
      <c r="B11" s="29" t="n">
        <v>1</v>
      </c>
      <c r="C11" s="29" t="n">
        <v>1</v>
      </c>
      <c r="D11" s="29" t="n">
        <v>1</v>
      </c>
      <c r="E11" s="29" t="n">
        <v>1</v>
      </c>
      <c r="F11" s="29" t="n">
        <v>1.2</v>
      </c>
      <c r="G11" s="29" t="n">
        <v>1</v>
      </c>
      <c r="H11" s="29" t="n">
        <v>1</v>
      </c>
    </row>
    <row r="12" customFormat="false" ht="15" hidden="false" customHeight="false" outlineLevel="0" collapsed="false">
      <c r="A12" s="7" t="s">
        <v>169</v>
      </c>
      <c r="B12" s="30" t="n">
        <f aca="false">Quesería!$B$24</f>
        <v>0.141</v>
      </c>
      <c r="C12" s="30" t="n">
        <f aca="false">Quesería!$B$24</f>
        <v>0.141</v>
      </c>
      <c r="D12" s="30" t="n">
        <f aca="false">Quesería!$B$24</f>
        <v>0.141</v>
      </c>
      <c r="E12" s="30" t="n">
        <f aca="false">Quesería!$B$24</f>
        <v>0.141</v>
      </c>
      <c r="F12" s="30" t="n">
        <f aca="false">Quesería!$B$24</f>
        <v>0.141</v>
      </c>
      <c r="G12" s="30" t="n">
        <f aca="false">Quesería!$B$24</f>
        <v>0.141</v>
      </c>
      <c r="H12" s="31" t="n">
        <v>0.157</v>
      </c>
    </row>
    <row r="13" customFormat="false" ht="15" hidden="false" customHeight="false" outlineLevel="0" collapsed="false">
      <c r="A13" s="2" t="s">
        <v>170</v>
      </c>
    </row>
    <row r="15" customFormat="false" ht="15" hidden="false" customHeight="false" outlineLevel="0" collapsed="false">
      <c r="A15" s="3" t="s">
        <v>171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customFormat="false" ht="30" hidden="false" customHeight="true" outlineLevel="0" collapsed="false">
      <c r="A16" s="5"/>
      <c r="B16" s="6" t="s">
        <v>156</v>
      </c>
      <c r="C16" s="6" t="s">
        <v>157</v>
      </c>
      <c r="D16" s="6" t="s">
        <v>158</v>
      </c>
      <c r="E16" s="6" t="s">
        <v>159</v>
      </c>
      <c r="F16" s="6" t="s">
        <v>160</v>
      </c>
      <c r="G16" s="6" t="s">
        <v>161</v>
      </c>
      <c r="H16" s="6" t="s">
        <v>162</v>
      </c>
    </row>
    <row r="17" customFormat="false" ht="15" hidden="false" customHeight="false" outlineLevel="0" collapsed="false">
      <c r="A17" s="17" t="s">
        <v>172</v>
      </c>
      <c r="B17" s="25" t="n">
        <f aca="false">IRR(B39:L39)</f>
        <v>0.184543397643851</v>
      </c>
      <c r="C17" s="32" t="n">
        <f aca="false">IRR(B60:L60)</f>
        <v>0.168971373280768</v>
      </c>
      <c r="D17" s="32" t="n">
        <f aca="false">IRR(B81:L81)</f>
        <v>0.135991950254787</v>
      </c>
      <c r="E17" s="32" t="n">
        <f aca="false">IRR(B102:L102)</f>
        <v>0.130814155206217</v>
      </c>
      <c r="F17" s="32" t="n">
        <f aca="false">IRR(B123:L123)</f>
        <v>0.142301160740736</v>
      </c>
      <c r="G17" s="32" t="n">
        <f aca="false">IRR(B144:L144)</f>
        <v>0.234359092442123</v>
      </c>
      <c r="H17" s="32" t="n">
        <f aca="false">IRR(B165:L165)</f>
        <v>0.184543397643851</v>
      </c>
    </row>
    <row r="18" customFormat="false" ht="15" hidden="false" customHeight="false" outlineLevel="0" collapsed="false">
      <c r="A18" s="7" t="s">
        <v>173</v>
      </c>
      <c r="B18" s="21" t="n">
        <f aca="false">B39+NPV(Quesería!$B$6,C39:L39)</f>
        <v>91.7729072025196</v>
      </c>
      <c r="C18" s="21" t="n">
        <f aca="false">B60+NPV(Quesería!$B$6,C60:L60)</f>
        <v>33.1336020559797</v>
      </c>
      <c r="D18" s="21" t="n">
        <f aca="false">B81+NPV(Quesería!$B$6,C81:L81)</f>
        <v>-85.3823052577802</v>
      </c>
      <c r="E18" s="21" t="n">
        <f aca="false">B102+NPV(Quesería!$B$6,C102:L102)</f>
        <v>-104.527997498036</v>
      </c>
      <c r="F18" s="21" t="n">
        <f aca="false">B123+NPV(Quesería!$B$6,C123:L123)</f>
        <v>-76.6163398118276</v>
      </c>
      <c r="G18" s="21" t="n">
        <f aca="false">B144+NPV(Quesería!$B$6,C144:L144)</f>
        <v>288.073811903074</v>
      </c>
      <c r="H18" s="21" t="n">
        <f aca="false">B165+NPV(Quesería!$B$6,C165:L165)</f>
        <v>91.7729072025196</v>
      </c>
    </row>
    <row r="19" customFormat="false" ht="15" hidden="false" customHeight="false" outlineLevel="0" collapsed="false">
      <c r="A19" s="7" t="s">
        <v>174</v>
      </c>
      <c r="B19" s="33" t="n">
        <f aca="false">SUM(B41:L41)</f>
        <v>4.98900443666519</v>
      </c>
      <c r="C19" s="33" t="n">
        <f aca="false">SUM(B62:L62)</f>
        <v>5.18808977908718</v>
      </c>
      <c r="D19" s="33" t="n">
        <f aca="false">SUM(B83:L83)</f>
        <v>5.84101648167168</v>
      </c>
      <c r="E19" s="33" t="n">
        <f aca="false">SUM(B104:L104)</f>
        <v>5.94869401618485</v>
      </c>
      <c r="F19" s="33" t="n">
        <f aca="false">SUM(B125:L125)</f>
        <v>5.71439560468902</v>
      </c>
      <c r="G19" s="33" t="n">
        <f aca="false">SUM(B146:L146)</f>
        <v>4.33620203283136</v>
      </c>
      <c r="H19" s="33" t="n">
        <f aca="false">SUM(B167:L167)</f>
        <v>4.98900443666519</v>
      </c>
    </row>
    <row r="20" customFormat="false" ht="15" hidden="false" customHeight="false" outlineLevel="0" collapsed="false">
      <c r="A20" s="7" t="s">
        <v>175</v>
      </c>
      <c r="B20" s="34" t="n">
        <f aca="false">SUM(B39:L39)/Quesería!$F$48</f>
        <v>1.28302005112288</v>
      </c>
      <c r="C20" s="34" t="n">
        <f aca="false">SUM(B60:L60)/Quesería!$F$48</f>
        <v>1.14670120527349</v>
      </c>
      <c r="D20" s="34" t="n">
        <f aca="false">SUM(B81:L81)/Quesería!$F$48</f>
        <v>0.888949191456855</v>
      </c>
      <c r="E20" s="34" t="n">
        <f aca="false">SUM(B102:L102)/Quesería!$F$48</f>
        <v>0.860116150302445</v>
      </c>
      <c r="F20" s="34" t="n">
        <f aca="false">SUM(B123:L123)/Quesería!$F$48</f>
        <v>1.1339842172362</v>
      </c>
      <c r="G20" s="34" t="n">
        <f aca="false">SUM(B144:L144)/Quesería!$F$48</f>
        <v>1.70592395194332</v>
      </c>
      <c r="H20" s="34" t="n">
        <f aca="false">SUM(B165:L165)/Quesería!$F$48</f>
        <v>1.28302005112288</v>
      </c>
    </row>
    <row r="21" customFormat="false" ht="15" hidden="false" customHeight="false" outlineLevel="0" collapsed="false">
      <c r="A21" s="17" t="s">
        <v>176</v>
      </c>
      <c r="B21" s="25" t="n">
        <f aca="false">IRR(B46:L46)</f>
        <v>0.310744299139093</v>
      </c>
      <c r="C21" s="32" t="n">
        <f aca="false">IRR(B67:L67)</f>
        <v>0.271234849045376</v>
      </c>
      <c r="D21" s="32" t="n">
        <f aca="false">IRR(B88:L88)</f>
        <v>0.194207228324636</v>
      </c>
      <c r="E21" s="32" t="n">
        <f aca="false">IRR(B109:L109)</f>
        <v>0.180447849170834</v>
      </c>
      <c r="F21" s="32" t="n">
        <f aca="false">IRR(B130:L130)</f>
        <v>0.207897583169086</v>
      </c>
      <c r="G21" s="32" t="n">
        <f aca="false">IRR(B151:L151)</f>
        <v>0.439291075306941</v>
      </c>
      <c r="H21" s="32" t="n">
        <f aca="false">IRR(B172:L172)</f>
        <v>0.294711513123976</v>
      </c>
    </row>
    <row r="23" customFormat="false" ht="15" hidden="false" customHeight="false" outlineLevel="0" collapsed="false">
      <c r="A23" s="3" t="s">
        <v>177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5" t="s">
        <v>107</v>
      </c>
      <c r="B24" s="6" t="s">
        <v>108</v>
      </c>
      <c r="C24" s="6" t="s">
        <v>109</v>
      </c>
      <c r="D24" s="6" t="s">
        <v>110</v>
      </c>
      <c r="E24" s="6" t="s">
        <v>111</v>
      </c>
      <c r="F24" s="6" t="s">
        <v>112</v>
      </c>
      <c r="G24" s="6" t="s">
        <v>113</v>
      </c>
      <c r="H24" s="6" t="s">
        <v>114</v>
      </c>
      <c r="I24" s="6" t="s">
        <v>115</v>
      </c>
      <c r="J24" s="6" t="s">
        <v>116</v>
      </c>
      <c r="K24" s="6" t="s">
        <v>117</v>
      </c>
      <c r="L24" s="6" t="s">
        <v>118</v>
      </c>
    </row>
    <row r="25" customFormat="false" ht="15" hidden="false" customHeight="false" outlineLevel="0" collapsed="false">
      <c r="A25" s="2" t="s">
        <v>119</v>
      </c>
      <c r="B25" s="20" t="n">
        <v>0</v>
      </c>
      <c r="C25" s="20" t="n">
        <v>1</v>
      </c>
      <c r="D25" s="20" t="n">
        <v>2</v>
      </c>
      <c r="E25" s="20" t="n">
        <v>3</v>
      </c>
      <c r="F25" s="20" t="n">
        <v>4</v>
      </c>
      <c r="G25" s="20" t="n">
        <v>5</v>
      </c>
      <c r="H25" s="20" t="n">
        <v>6</v>
      </c>
      <c r="I25" s="20" t="n">
        <v>7</v>
      </c>
      <c r="J25" s="20" t="n">
        <v>8</v>
      </c>
      <c r="K25" s="20" t="n">
        <v>9</v>
      </c>
      <c r="L25" s="20" t="n">
        <v>10</v>
      </c>
    </row>
    <row r="27" customFormat="false" ht="15" hidden="false" customHeight="false" outlineLevel="0" collapsed="false">
      <c r="A27" s="35" t="s">
        <v>156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</row>
    <row r="28" customFormat="false" ht="15" hidden="false" customHeight="false" outlineLevel="0" collapsed="false">
      <c r="A28" s="7" t="s">
        <v>60</v>
      </c>
      <c r="B28" s="21" t="n">
        <f aca="false">IF(B$25=0,Quesería!$F$44,IF(B$25=1,Quesería!$F$45,0))*$B$11</f>
        <v>463.750173045333</v>
      </c>
      <c r="C28" s="21" t="n">
        <f aca="false">IF(C$25=0,Quesería!$F$44,IF(C$25=1,Quesería!$F$45,0))*$B$11</f>
        <v>575.403040026667</v>
      </c>
      <c r="D28" s="21" t="n">
        <f aca="false">IF(D$25=0,Quesería!$F$44,IF(D$25=1,Quesería!$F$45,0))*$B$11</f>
        <v>0</v>
      </c>
      <c r="E28" s="21" t="n">
        <f aca="false">IF(E$25=0,Quesería!$F$44,IF(E$25=1,Quesería!$F$45,0))*$B$11</f>
        <v>0</v>
      </c>
      <c r="F28" s="21" t="n">
        <f aca="false">IF(F$25=0,Quesería!$F$44,IF(F$25=1,Quesería!$F$45,0))*$B$11</f>
        <v>0</v>
      </c>
      <c r="G28" s="21" t="n">
        <f aca="false">IF(G$25=0,Quesería!$F$44,IF(G$25=1,Quesería!$F$45,0))*$B$11</f>
        <v>0</v>
      </c>
      <c r="H28" s="21" t="n">
        <f aca="false">IF(H$25=0,Quesería!$F$44,IF(H$25=1,Quesería!$F$45,0))*$B$11</f>
        <v>0</v>
      </c>
      <c r="I28" s="21" t="n">
        <f aca="false">IF(I$25=0,Quesería!$F$44,IF(I$25=1,Quesería!$F$45,0))*$B$11</f>
        <v>0</v>
      </c>
      <c r="J28" s="21" t="n">
        <f aca="false">IF(J$25=0,Quesería!$F$44,IF(J$25=1,Quesería!$F$45,0))*$B$11</f>
        <v>0</v>
      </c>
      <c r="K28" s="21" t="n">
        <f aca="false">IF(K$25=0,Quesería!$F$44,IF(K$25=1,Quesería!$F$45,0))*$B$11</f>
        <v>0</v>
      </c>
      <c r="L28" s="21" t="n">
        <f aca="false">IF(L$25=0,Quesería!$F$44,IF(L$25=1,Quesería!$F$45,0))*$B$11</f>
        <v>0</v>
      </c>
    </row>
    <row r="29" customFormat="false" ht="15" hidden="false" customHeight="false" outlineLevel="0" collapsed="false">
      <c r="A29" s="7" t="s">
        <v>101</v>
      </c>
      <c r="B29" s="21" t="n">
        <f aca="false">IF(B$25=0,0,IF(B$25=1,Quesería!$E$63*Quesería!$B$9,Quesería!$E$63))*$B$10</f>
        <v>0</v>
      </c>
      <c r="C29" s="21" t="n">
        <f aca="false">IF(C$25=0,0,IF(C$25=1,Quesería!$E$63*Quesería!$B$9,Quesería!$E$63))*$B$10</f>
        <v>112.56550139541</v>
      </c>
      <c r="D29" s="21" t="n">
        <f aca="false">IF(D$25=0,0,IF(D$25=1,Quesería!$E$63*Quesería!$B$9,Quesería!$E$63))*$B$10</f>
        <v>150.08733519388</v>
      </c>
      <c r="E29" s="21" t="n">
        <f aca="false">IF(E$25=0,0,IF(E$25=1,Quesería!$E$63*Quesería!$B$9,Quesería!$E$63))*$B$10</f>
        <v>150.08733519388</v>
      </c>
      <c r="F29" s="21" t="n">
        <f aca="false">IF(F$25=0,0,IF(F$25=1,Quesería!$E$63*Quesería!$B$9,Quesería!$E$63))*$B$10</f>
        <v>150.08733519388</v>
      </c>
      <c r="G29" s="21" t="n">
        <f aca="false">IF(G$25=0,0,IF(G$25=1,Quesería!$E$63*Quesería!$B$9,Quesería!$E$63))*$B$10</f>
        <v>150.08733519388</v>
      </c>
      <c r="H29" s="21" t="n">
        <f aca="false">IF(H$25=0,0,IF(H$25=1,Quesería!$E$63*Quesería!$B$9,Quesería!$E$63))*$B$10</f>
        <v>150.08733519388</v>
      </c>
      <c r="I29" s="21" t="n">
        <f aca="false">IF(I$25=0,0,IF(I$25=1,Quesería!$E$63*Quesería!$B$9,Quesería!$E$63))*$B$10</f>
        <v>150.08733519388</v>
      </c>
      <c r="J29" s="21" t="n">
        <f aca="false">IF(J$25=0,0,IF(J$25=1,Quesería!$E$63*Quesería!$B$9,Quesería!$E$63))*$B$10</f>
        <v>150.08733519388</v>
      </c>
      <c r="K29" s="21" t="n">
        <f aca="false">IF(K$25=0,0,IF(K$25=1,Quesería!$E$63*Quesería!$B$9,Quesería!$E$63))*$B$10</f>
        <v>150.08733519388</v>
      </c>
      <c r="L29" s="21" t="n">
        <f aca="false">IF(L$25=0,0,IF(L$25=1,Quesería!$E$63*Quesería!$B$9,Quesería!$E$63))*$B$10</f>
        <v>150.08733519388</v>
      </c>
    </row>
    <row r="30" customFormat="false" ht="15" hidden="false" customHeight="false" outlineLevel="0" collapsed="false">
      <c r="A30" s="7" t="s">
        <v>102</v>
      </c>
      <c r="B30" s="21" t="n">
        <f aca="false">IF(B$25&lt;=1,0,IF(B$25=2,(Quesería!$E$64-Quesería!$E$58+$B$6*Quesería!$E$58-(1-$B$9)*Quesería!$E$61)*Quesería!$B$9,(Quesería!$E$64-Quesería!$E$58+$B$6*Quesería!$E$58-(1-$B$9)*Quesería!$E$61)))*$B$10</f>
        <v>0</v>
      </c>
      <c r="C30" s="21" t="n">
        <f aca="false">IF(C$25&lt;=1,0,IF(C$25=2,(Quesería!$E$64-Quesería!$E$58+$B$6*Quesería!$E$58-(1-$B$9)*Quesería!$E$61)*Quesería!$B$9,(Quesería!$E$64-Quesería!$E$58+$B$6*Quesería!$E$58-(1-$B$9)*Quesería!$E$61)))*$B$10</f>
        <v>0</v>
      </c>
      <c r="D30" s="21" t="n">
        <f aca="false">IF(D$25&lt;=1,0,IF(D$25=2,(Quesería!$E$64-Quesería!$E$58+$B$6*Quesería!$E$58-(1-$B$9)*Quesería!$E$61)*Quesería!$B$9,(Quesería!$E$64-Quesería!$E$58+$B$6*Quesería!$E$58-(1-$B$9)*Quesería!$E$61)))*$B$10</f>
        <v>164.325</v>
      </c>
      <c r="E30" s="21" t="n">
        <f aca="false">IF(E$25&lt;=1,0,IF(E$25=2,(Quesería!$E$64-Quesería!$E$58+$B$6*Quesería!$E$58-(1-$B$9)*Quesería!$E$61)*Quesería!$B$9,(Quesería!$E$64-Quesería!$E$58+$B$6*Quesería!$E$58-(1-$B$9)*Quesería!$E$61)))*$B$10</f>
        <v>219.1</v>
      </c>
      <c r="F30" s="21" t="n">
        <f aca="false">IF(F$25&lt;=1,0,IF(F$25=2,(Quesería!$E$64-Quesería!$E$58+$B$6*Quesería!$E$58-(1-$B$9)*Quesería!$E$61)*Quesería!$B$9,(Quesería!$E$64-Quesería!$E$58+$B$6*Quesería!$E$58-(1-$B$9)*Quesería!$E$61)))*$B$10</f>
        <v>219.1</v>
      </c>
      <c r="G30" s="21" t="n">
        <f aca="false">IF(G$25&lt;=1,0,IF(G$25=2,(Quesería!$E$64-Quesería!$E$58+$B$6*Quesería!$E$58-(1-$B$9)*Quesería!$E$61)*Quesería!$B$9,(Quesería!$E$64-Quesería!$E$58+$B$6*Quesería!$E$58-(1-$B$9)*Quesería!$E$61)))*$B$10</f>
        <v>219.1</v>
      </c>
      <c r="H30" s="21" t="n">
        <f aca="false">IF(H$25&lt;=1,0,IF(H$25=2,(Quesería!$E$64-Quesería!$E$58+$B$6*Quesería!$E$58-(1-$B$9)*Quesería!$E$61)*Quesería!$B$9,(Quesería!$E$64-Quesería!$E$58+$B$6*Quesería!$E$58-(1-$B$9)*Quesería!$E$61)))*$B$10</f>
        <v>219.1</v>
      </c>
      <c r="I30" s="21" t="n">
        <f aca="false">IF(I$25&lt;=1,0,IF(I$25=2,(Quesería!$E$64-Quesería!$E$58+$B$6*Quesería!$E$58-(1-$B$9)*Quesería!$E$61)*Quesería!$B$9,(Quesería!$E$64-Quesería!$E$58+$B$6*Quesería!$E$58-(1-$B$9)*Quesería!$E$61)))*$B$10</f>
        <v>219.1</v>
      </c>
      <c r="J30" s="21" t="n">
        <f aca="false">IF(J$25&lt;=1,0,IF(J$25=2,(Quesería!$E$64-Quesería!$E$58+$B$6*Quesería!$E$58-(1-$B$9)*Quesería!$E$61)*Quesería!$B$9,(Quesería!$E$64-Quesería!$E$58+$B$6*Quesería!$E$58-(1-$B$9)*Quesería!$E$61)))*$B$10</f>
        <v>219.1</v>
      </c>
      <c r="K30" s="21" t="n">
        <f aca="false">IF(K$25&lt;=1,0,IF(K$25=2,(Quesería!$E$64-Quesería!$E$58+$B$6*Quesería!$E$58-(1-$B$9)*Quesería!$E$61)*Quesería!$B$9,(Quesería!$E$64-Quesería!$E$58+$B$6*Quesería!$E$58-(1-$B$9)*Quesería!$E$61)))*$B$10</f>
        <v>219.1</v>
      </c>
      <c r="L30" s="21" t="n">
        <f aca="false">IF(L$25&lt;=1,0,IF(L$25=2,(Quesería!$E$64-Quesería!$E$58+$B$6*Quesería!$E$58-(1-$B$9)*Quesería!$E$61)*Quesería!$B$9,(Quesería!$E$64-Quesería!$E$58+$B$6*Quesería!$E$58-(1-$B$9)*Quesería!$E$61)))*$B$10</f>
        <v>219.1</v>
      </c>
    </row>
    <row r="31" customFormat="false" ht="15" hidden="false" customHeight="false" outlineLevel="0" collapsed="false">
      <c r="A31" s="17" t="s">
        <v>120</v>
      </c>
      <c r="B31" s="22" t="n">
        <f aca="false">B29+B30</f>
        <v>0</v>
      </c>
      <c r="C31" s="22" t="n">
        <f aca="false">C29+C30</f>
        <v>112.56550139541</v>
      </c>
      <c r="D31" s="22" t="n">
        <f aca="false">D29+D30</f>
        <v>314.41233519388</v>
      </c>
      <c r="E31" s="22" t="n">
        <f aca="false">E29+E30</f>
        <v>369.18733519388</v>
      </c>
      <c r="F31" s="22" t="n">
        <f aca="false">F29+F30</f>
        <v>369.18733519388</v>
      </c>
      <c r="G31" s="22" t="n">
        <f aca="false">G29+G30</f>
        <v>369.18733519388</v>
      </c>
      <c r="H31" s="22" t="n">
        <f aca="false">H29+H30</f>
        <v>369.18733519388</v>
      </c>
      <c r="I31" s="22" t="n">
        <f aca="false">I29+I30</f>
        <v>369.18733519388</v>
      </c>
      <c r="J31" s="22" t="n">
        <f aca="false">J29+J30</f>
        <v>369.18733519388</v>
      </c>
      <c r="K31" s="22" t="n">
        <f aca="false">K29+K30</f>
        <v>369.18733519388</v>
      </c>
      <c r="L31" s="22" t="n">
        <f aca="false">L29+L30</f>
        <v>369.18733519388</v>
      </c>
    </row>
    <row r="32" customFormat="false" ht="15" hidden="false" customHeight="false" outlineLevel="0" collapsed="false">
      <c r="A32" s="7" t="s">
        <v>121</v>
      </c>
      <c r="B32" s="21" t="n">
        <f aca="false">IF(B$25&gt;=1,Quesería!$B$10*Quesería!$F$46*$B$11+Quesería!$B$11,0)+IF(B$25&gt;=2,Quesería!$B$10*Quesería!$F$47*$B$11,0)</f>
        <v>0</v>
      </c>
      <c r="C32" s="21" t="n">
        <f aca="false">IF(C$25&gt;=1,Quesería!$B$10*Quesería!$F$46*$B$11+Quesería!$B$11,0)+IF(C$25&gt;=2,Quesería!$B$10*Quesería!$F$47*$B$11,0)</f>
        <v>21.296</v>
      </c>
      <c r="D32" s="21" t="n">
        <f aca="false">IF(D$25&gt;=1,Quesería!$B$10*Quesería!$F$46*$B$11+Quesería!$B$11,0)+IF(D$25&gt;=2,Quesería!$B$10*Quesería!$F$47*$B$11,0)</f>
        <v>37.174</v>
      </c>
      <c r="E32" s="21" t="n">
        <f aca="false">IF(E$25&gt;=1,Quesería!$B$10*Quesería!$F$46*$B$11+Quesería!$B$11,0)+IF(E$25&gt;=2,Quesería!$B$10*Quesería!$F$47*$B$11,0)</f>
        <v>37.174</v>
      </c>
      <c r="F32" s="21" t="n">
        <f aca="false">IF(F$25&gt;=1,Quesería!$B$10*Quesería!$F$46*$B$11+Quesería!$B$11,0)+IF(F$25&gt;=2,Quesería!$B$10*Quesería!$F$47*$B$11,0)</f>
        <v>37.174</v>
      </c>
      <c r="G32" s="21" t="n">
        <f aca="false">IF(G$25&gt;=1,Quesería!$B$10*Quesería!$F$46*$B$11+Quesería!$B$11,0)+IF(G$25&gt;=2,Quesería!$B$10*Quesería!$F$47*$B$11,0)</f>
        <v>37.174</v>
      </c>
      <c r="H32" s="21" t="n">
        <f aca="false">IF(H$25&gt;=1,Quesería!$B$10*Quesería!$F$46*$B$11+Quesería!$B$11,0)+IF(H$25&gt;=2,Quesería!$B$10*Quesería!$F$47*$B$11,0)</f>
        <v>37.174</v>
      </c>
      <c r="I32" s="21" t="n">
        <f aca="false">IF(I$25&gt;=1,Quesería!$B$10*Quesería!$F$46*$B$11+Quesería!$B$11,0)+IF(I$25&gt;=2,Quesería!$B$10*Quesería!$F$47*$B$11,0)</f>
        <v>37.174</v>
      </c>
      <c r="J32" s="21" t="n">
        <f aca="false">IF(J$25&gt;=1,Quesería!$B$10*Quesería!$F$46*$B$11+Quesería!$B$11,0)+IF(J$25&gt;=2,Quesería!$B$10*Quesería!$F$47*$B$11,0)</f>
        <v>37.174</v>
      </c>
      <c r="K32" s="21" t="n">
        <f aca="false">IF(K$25&gt;=1,Quesería!$B$10*Quesería!$F$46*$B$11+Quesería!$B$11,0)+IF(K$25&gt;=2,Quesería!$B$10*Quesería!$F$47*$B$11,0)</f>
        <v>37.174</v>
      </c>
      <c r="L32" s="21" t="n">
        <f aca="false">IF(L$25&gt;=1,Quesería!$B$10*Quesería!$F$46*$B$11+Quesería!$B$11,0)+IF(L$25&gt;=2,Quesería!$B$10*Quesería!$F$47*$B$11,0)</f>
        <v>37.174</v>
      </c>
    </row>
    <row r="33" customFormat="false" ht="15" hidden="false" customHeight="false" outlineLevel="0" collapsed="false">
      <c r="A33" s="7" t="s">
        <v>122</v>
      </c>
      <c r="B33" s="21" t="n">
        <f aca="false">IF(B$25=1,2*Quesería!$B$19*Quesería!$B$20/12,0)</f>
        <v>0</v>
      </c>
      <c r="C33" s="21" t="n">
        <f aca="false">IF(C$25=1,2*Quesería!$B$19*Quesería!$B$20/12,0)</f>
        <v>18</v>
      </c>
      <c r="D33" s="21" t="n">
        <f aca="false">IF(D$25=1,2*Quesería!$B$19*Quesería!$B$20/12,0)</f>
        <v>0</v>
      </c>
      <c r="E33" s="21" t="n">
        <f aca="false">IF(E$25=1,2*Quesería!$B$19*Quesería!$B$20/12,0)</f>
        <v>0</v>
      </c>
      <c r="F33" s="21" t="n">
        <f aca="false">IF(F$25=1,2*Quesería!$B$19*Quesería!$B$20/12,0)</f>
        <v>0</v>
      </c>
      <c r="G33" s="21" t="n">
        <f aca="false">IF(G$25=1,2*Quesería!$B$19*Quesería!$B$20/12,0)</f>
        <v>0</v>
      </c>
      <c r="H33" s="21" t="n">
        <f aca="false">IF(H$25=1,2*Quesería!$B$19*Quesería!$B$20/12,0)</f>
        <v>0</v>
      </c>
      <c r="I33" s="21" t="n">
        <f aca="false">IF(I$25=1,2*Quesería!$B$19*Quesería!$B$20/12,0)</f>
        <v>0</v>
      </c>
      <c r="J33" s="21" t="n">
        <f aca="false">IF(J$25=1,2*Quesería!$B$19*Quesería!$B$20/12,0)</f>
        <v>0</v>
      </c>
      <c r="K33" s="21" t="n">
        <f aca="false">IF(K$25=1,2*Quesería!$B$19*Quesería!$B$20/12,0)</f>
        <v>0</v>
      </c>
      <c r="L33" s="21" t="n">
        <f aca="false">IF(L$25=1,2*Quesería!$B$19*Quesería!$B$20/12,0)</f>
        <v>0</v>
      </c>
    </row>
    <row r="34" customFormat="false" ht="15" hidden="false" customHeight="false" outlineLevel="0" collapsed="false">
      <c r="A34" s="7" t="s">
        <v>123</v>
      </c>
      <c r="B34" s="21" t="n">
        <f aca="false">(IF(AND(B$25&gt;=1,B$25&lt;=Quesería!$B$8),Quesería!$F$44/Quesería!$B$8,0)+IF(AND(B$25&gt;=2,B$25&lt;=Quesería!$B$8+1),Quesería!$F$45/Quesería!$B$8,0))*$B$11</f>
        <v>0</v>
      </c>
      <c r="C34" s="21" t="n">
        <f aca="false">(IF(AND(C$25&gt;=1,C$25&lt;=Quesería!$B$8),Quesería!$F$44/Quesería!$B$8,0)+IF(AND(C$25&gt;=2,C$25&lt;=Quesería!$B$8+1),Quesería!$F$45/Quesería!$B$8,0))*$B$11</f>
        <v>46.3750173045333</v>
      </c>
      <c r="D34" s="21" t="n">
        <f aca="false">(IF(AND(D$25&gt;=1,D$25&lt;=Quesería!$B$8),Quesería!$F$44/Quesería!$B$8,0)+IF(AND(D$25&gt;=2,D$25&lt;=Quesería!$B$8+1),Quesería!$F$45/Quesería!$B$8,0))*$B$11</f>
        <v>103.9153213072</v>
      </c>
      <c r="E34" s="21" t="n">
        <f aca="false">(IF(AND(E$25&gt;=1,E$25&lt;=Quesería!$B$8),Quesería!$F$44/Quesería!$B$8,0)+IF(AND(E$25&gt;=2,E$25&lt;=Quesería!$B$8+1),Quesería!$F$45/Quesería!$B$8,0))*$B$11</f>
        <v>103.9153213072</v>
      </c>
      <c r="F34" s="21" t="n">
        <f aca="false">(IF(AND(F$25&gt;=1,F$25&lt;=Quesería!$B$8),Quesería!$F$44/Quesería!$B$8,0)+IF(AND(F$25&gt;=2,F$25&lt;=Quesería!$B$8+1),Quesería!$F$45/Quesería!$B$8,0))*$B$11</f>
        <v>103.9153213072</v>
      </c>
      <c r="G34" s="21" t="n">
        <f aca="false">(IF(AND(G$25&gt;=1,G$25&lt;=Quesería!$B$8),Quesería!$F$44/Quesería!$B$8,0)+IF(AND(G$25&gt;=2,G$25&lt;=Quesería!$B$8+1),Quesería!$F$45/Quesería!$B$8,0))*$B$11</f>
        <v>103.9153213072</v>
      </c>
      <c r="H34" s="21" t="n">
        <f aca="false">(IF(AND(H$25&gt;=1,H$25&lt;=Quesería!$B$8),Quesería!$F$44/Quesería!$B$8,0)+IF(AND(H$25&gt;=2,H$25&lt;=Quesería!$B$8+1),Quesería!$F$45/Quesería!$B$8,0))*$B$11</f>
        <v>103.9153213072</v>
      </c>
      <c r="I34" s="21" t="n">
        <f aca="false">(IF(AND(I$25&gt;=1,I$25&lt;=Quesería!$B$8),Quesería!$F$44/Quesería!$B$8,0)+IF(AND(I$25&gt;=2,I$25&lt;=Quesería!$B$8+1),Quesería!$F$45/Quesería!$B$8,0))*$B$11</f>
        <v>103.9153213072</v>
      </c>
      <c r="J34" s="21" t="n">
        <f aca="false">(IF(AND(J$25&gt;=1,J$25&lt;=Quesería!$B$8),Quesería!$F$44/Quesería!$B$8,0)+IF(AND(J$25&gt;=2,J$25&lt;=Quesería!$B$8+1),Quesería!$F$45/Quesería!$B$8,0))*$B$11</f>
        <v>103.9153213072</v>
      </c>
      <c r="K34" s="21" t="n">
        <f aca="false">(IF(AND(K$25&gt;=1,K$25&lt;=Quesería!$B$8),Quesería!$F$44/Quesería!$B$8,0)+IF(AND(K$25&gt;=2,K$25&lt;=Quesería!$B$8+1),Quesería!$F$45/Quesería!$B$8,0))*$B$11</f>
        <v>103.9153213072</v>
      </c>
      <c r="L34" s="21" t="n">
        <f aca="false">(IF(AND(L$25&gt;=1,L$25&lt;=Quesería!$B$8),Quesería!$F$44/Quesería!$B$8,0)+IF(AND(L$25&gt;=2,L$25&lt;=Quesería!$B$8+1),Quesería!$F$45/Quesería!$B$8,0))*$B$11</f>
        <v>103.9153213072</v>
      </c>
    </row>
    <row r="35" customFormat="false" ht="15" hidden="false" customHeight="false" outlineLevel="0" collapsed="false">
      <c r="A35" s="7" t="s">
        <v>124</v>
      </c>
      <c r="B35" s="21" t="n">
        <f aca="false">IF(B$25=1,$B$7*Quesería!$B$21*Quesería!$F$40*$B$11,0)</f>
        <v>0</v>
      </c>
      <c r="C35" s="21" t="n">
        <f aca="false">IF(C$25=1,$B$7*Quesería!$B$21*Quesería!$F$40*$B$11,0)</f>
        <v>20</v>
      </c>
      <c r="D35" s="21" t="n">
        <f aca="false">IF(D$25=1,$B$7*Quesería!$B$21*Quesería!$F$40*$B$11,0)</f>
        <v>0</v>
      </c>
      <c r="E35" s="21" t="n">
        <f aca="false">IF(E$25=1,$B$7*Quesería!$B$21*Quesería!$F$40*$B$11,0)</f>
        <v>0</v>
      </c>
      <c r="F35" s="21" t="n">
        <f aca="false">IF(F$25=1,$B$7*Quesería!$B$21*Quesería!$F$40*$B$11,0)</f>
        <v>0</v>
      </c>
      <c r="G35" s="21" t="n">
        <f aca="false">IF(G$25=1,$B$7*Quesería!$B$21*Quesería!$F$40*$B$11,0)</f>
        <v>0</v>
      </c>
      <c r="H35" s="21" t="n">
        <f aca="false">IF(H$25=1,$B$7*Quesería!$B$21*Quesería!$F$40*$B$11,0)</f>
        <v>0</v>
      </c>
      <c r="I35" s="21" t="n">
        <f aca="false">IF(I$25=1,$B$7*Quesería!$B$21*Quesería!$F$40*$B$11,0)</f>
        <v>0</v>
      </c>
      <c r="J35" s="21" t="n">
        <f aca="false">IF(J$25=1,$B$7*Quesería!$B$21*Quesería!$F$40*$B$11,0)</f>
        <v>0</v>
      </c>
      <c r="K35" s="21" t="n">
        <f aca="false">IF(K$25=1,$B$7*Quesería!$B$21*Quesería!$F$40*$B$11,0)</f>
        <v>0</v>
      </c>
      <c r="L35" s="21" t="n">
        <f aca="false">IF(L$25=1,$B$7*Quesería!$B$21*Quesería!$F$40*$B$11,0)</f>
        <v>0</v>
      </c>
    </row>
    <row r="36" customFormat="false" ht="15" hidden="false" customHeight="false" outlineLevel="0" collapsed="false">
      <c r="A36" s="7" t="s">
        <v>10</v>
      </c>
      <c r="B36" s="21" t="n">
        <f aca="false">Quesería!$B$7*(B31-B32-B33-B34)-B35</f>
        <v>0</v>
      </c>
      <c r="C36" s="21" t="n">
        <f aca="false">Quesería!$B$7*(C31-C32-C33-C34)-C35</f>
        <v>-10.5869305681932</v>
      </c>
      <c r="D36" s="21" t="n">
        <f aca="false">Quesería!$B$7*(D31-D32-D33-D34)-D35</f>
        <v>60.663054860338</v>
      </c>
      <c r="E36" s="21" t="n">
        <f aca="false">Quesería!$B$7*(E31-E32-E33-E34)-E35</f>
        <v>79.834304860338</v>
      </c>
      <c r="F36" s="21" t="n">
        <f aca="false">Quesería!$B$7*(F31-F32-F33-F34)-F35</f>
        <v>79.834304860338</v>
      </c>
      <c r="G36" s="21" t="n">
        <f aca="false">Quesería!$B$7*(G31-G32-G33-G34)-G35</f>
        <v>79.834304860338</v>
      </c>
      <c r="H36" s="21" t="n">
        <f aca="false">Quesería!$B$7*(H31-H32-H33-H34)-H35</f>
        <v>79.834304860338</v>
      </c>
      <c r="I36" s="21" t="n">
        <f aca="false">Quesería!$B$7*(I31-I32-I33-I34)-I35</f>
        <v>79.834304860338</v>
      </c>
      <c r="J36" s="21" t="n">
        <f aca="false">Quesería!$B$7*(J31-J32-J33-J34)-J35</f>
        <v>79.834304860338</v>
      </c>
      <c r="K36" s="21" t="n">
        <f aca="false">Quesería!$B$7*(K31-K32-K33-K34)-K35</f>
        <v>79.834304860338</v>
      </c>
      <c r="L36" s="21" t="n">
        <f aca="false">Quesería!$B$7*(L31-L32-L33-L34)-L35</f>
        <v>79.834304860338</v>
      </c>
    </row>
    <row r="37" customFormat="false" ht="15" hidden="false" customHeight="false" outlineLevel="0" collapsed="false">
      <c r="A37" s="7" t="s">
        <v>125</v>
      </c>
      <c r="B37" s="21" t="n">
        <f aca="false">((IF(B$25&gt;=1,Quesería!$G$65*IF(B$25=1,Quesería!$B$9,1),0)+IF(B$25&gt;=2,Quesería!$G$66*IF(B$25=2,Quesería!$B$9,1),0))*$B$10*Quesería!$B$12/365)</f>
        <v>0</v>
      </c>
      <c r="C37" s="21" t="n">
        <f aca="false">((IF(C$25&gt;=1,Quesería!$G$65*IF(C$25=1,Quesería!$B$9,1),0)+IF(C$25&gt;=2,Quesería!$G$66*IF(C$25=2,Quesería!$B$9,1),0))*$B$10*Quesería!$B$12/365)-((IF(B$25&gt;=1,Quesería!$G$65*IF(B$25=1,Quesería!$B$9,1),0)+IF(B$25&gt;=2,Quesería!$G$66*IF(B$25=2,Quesería!$B$9,1),0))*$B$10*Quesería!$B$12/365)</f>
        <v>4.53205479452055</v>
      </c>
      <c r="D37" s="21" t="n">
        <f aca="false">((IF(D$25&gt;=1,Quesería!$G$65*IF(D$25=1,Quesería!$B$9,1),0)+IF(D$25&gt;=2,Quesería!$G$66*IF(D$25=2,Quesería!$B$9,1),0))*$B$10*Quesería!$B$12/365)-((IF(C$25&gt;=1,Quesería!$G$65*IF(C$25=1,Quesería!$B$9,1),0)+IF(C$25&gt;=2,Quesería!$G$66*IF(C$25=2,Quesería!$B$9,1),0))*$B$10*Quesería!$B$12/365)</f>
        <v>8.26068493150685</v>
      </c>
      <c r="E37" s="21" t="n">
        <f aca="false">((IF(E$25&gt;=1,Quesería!$G$65*IF(E$25=1,Quesería!$B$9,1),0)+IF(E$25&gt;=2,Quesería!$G$66*IF(E$25=2,Quesería!$B$9,1),0))*$B$10*Quesería!$B$12/365)-((IF(D$25&gt;=1,Quesería!$G$65*IF(D$25=1,Quesería!$B$9,1),0)+IF(D$25&gt;=2,Quesería!$G$66*IF(D$25=2,Quesería!$B$9,1),0))*$B$10*Quesería!$B$12/365)</f>
        <v>2.25</v>
      </c>
      <c r="F37" s="21" t="n">
        <f aca="false">((IF(F$25&gt;=1,Quesería!$G$65*IF(F$25=1,Quesería!$B$9,1),0)+IF(F$25&gt;=2,Quesería!$G$66*IF(F$25=2,Quesería!$B$9,1),0))*$B$10*Quesería!$B$12/365)-((IF(E$25&gt;=1,Quesería!$G$65*IF(E$25=1,Quesería!$B$9,1),0)+IF(E$25&gt;=2,Quesería!$G$66*IF(E$25=2,Quesería!$B$9,1),0))*$B$10*Quesería!$B$12/365)</f>
        <v>0</v>
      </c>
      <c r="G37" s="21" t="n">
        <f aca="false">((IF(G$25&gt;=1,Quesería!$G$65*IF(G$25=1,Quesería!$B$9,1),0)+IF(G$25&gt;=2,Quesería!$G$66*IF(G$25=2,Quesería!$B$9,1),0))*$B$10*Quesería!$B$12/365)-((IF(F$25&gt;=1,Quesería!$G$65*IF(F$25=1,Quesería!$B$9,1),0)+IF(F$25&gt;=2,Quesería!$G$66*IF(F$25=2,Quesería!$B$9,1),0))*$B$10*Quesería!$B$12/365)</f>
        <v>0</v>
      </c>
      <c r="H37" s="21" t="n">
        <f aca="false">((IF(H$25&gt;=1,Quesería!$G$65*IF(H$25=1,Quesería!$B$9,1),0)+IF(H$25&gt;=2,Quesería!$G$66*IF(H$25=2,Quesería!$B$9,1),0))*$B$10*Quesería!$B$12/365)-((IF(G$25&gt;=1,Quesería!$G$65*IF(G$25=1,Quesería!$B$9,1),0)+IF(G$25&gt;=2,Quesería!$G$66*IF(G$25=2,Quesería!$B$9,1),0))*$B$10*Quesería!$B$12/365)</f>
        <v>0</v>
      </c>
      <c r="I37" s="21" t="n">
        <f aca="false">((IF(I$25&gt;=1,Quesería!$G$65*IF(I$25=1,Quesería!$B$9,1),0)+IF(I$25&gt;=2,Quesería!$G$66*IF(I$25=2,Quesería!$B$9,1),0))*$B$10*Quesería!$B$12/365)-((IF(H$25&gt;=1,Quesería!$G$65*IF(H$25=1,Quesería!$B$9,1),0)+IF(H$25&gt;=2,Quesería!$G$66*IF(H$25=2,Quesería!$B$9,1),0))*$B$10*Quesería!$B$12/365)</f>
        <v>0</v>
      </c>
      <c r="J37" s="21" t="n">
        <f aca="false">((IF(J$25&gt;=1,Quesería!$G$65*IF(J$25=1,Quesería!$B$9,1),0)+IF(J$25&gt;=2,Quesería!$G$66*IF(J$25=2,Quesería!$B$9,1),0))*$B$10*Quesería!$B$12/365)-((IF(I$25&gt;=1,Quesería!$G$65*IF(I$25=1,Quesería!$B$9,1),0)+IF(I$25&gt;=2,Quesería!$G$66*IF(I$25=2,Quesería!$B$9,1),0))*$B$10*Quesería!$B$12/365)</f>
        <v>0</v>
      </c>
      <c r="K37" s="21" t="n">
        <f aca="false">((IF(K$25&gt;=1,Quesería!$G$65*IF(K$25=1,Quesería!$B$9,1),0)+IF(K$25&gt;=2,Quesería!$G$66*IF(K$25=2,Quesería!$B$9,1),0))*$B$10*Quesería!$B$12/365)-((IF(J$25&gt;=1,Quesería!$G$65*IF(J$25=1,Quesería!$B$9,1),0)+IF(J$25&gt;=2,Quesería!$G$66*IF(J$25=2,Quesería!$B$9,1),0))*$B$10*Quesería!$B$12/365)</f>
        <v>0</v>
      </c>
      <c r="L37" s="21" t="n">
        <f aca="false">-((IF(K$25&gt;=1,Quesería!$G$65*IF(K$25=1,Quesería!$B$9,1),0)+IF(K$25&gt;=2,Quesería!$G$66*IF(K$25=2,Quesería!$B$9,1),0))*$B$10*Quesería!$B$12/365)</f>
        <v>-15.0427397260274</v>
      </c>
    </row>
    <row r="38" customFormat="false" ht="15" hidden="false" customHeight="false" outlineLevel="0" collapsed="false">
      <c r="A38" s="7" t="s">
        <v>126</v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f aca="false">$B$8*Quesería!$B$22*(Quesería!$F$46+Quesería!$F$47)*$B$11*(1-Quesería!$B$7)</f>
        <v>54.5436666666667</v>
      </c>
    </row>
    <row r="39" customFormat="false" ht="15" hidden="false" customHeight="false" outlineLevel="0" collapsed="false">
      <c r="A39" s="17" t="s">
        <v>127</v>
      </c>
      <c r="B39" s="23" t="n">
        <f aca="false">B31-B32-B33-B36-B28-B37+B38</f>
        <v>-463.750173045333</v>
      </c>
      <c r="C39" s="23" t="n">
        <f aca="false">C31-C32-C33-C36-C28-C37+C38</f>
        <v>-496.078662857584</v>
      </c>
      <c r="D39" s="23" t="n">
        <f aca="false">D31-D32-D33-D36-D28-D37+D38</f>
        <v>208.314595402035</v>
      </c>
      <c r="E39" s="23" t="n">
        <f aca="false">E31-E32-E33-E36-E28-E37+E38</f>
        <v>249.929030333542</v>
      </c>
      <c r="F39" s="23" t="n">
        <f aca="false">F31-F32-F33-F36-F28-F37+F38</f>
        <v>252.179030333542</v>
      </c>
      <c r="G39" s="23" t="n">
        <f aca="false">G31-G32-G33-G36-G28-G37+G38</f>
        <v>252.179030333542</v>
      </c>
      <c r="H39" s="23" t="n">
        <f aca="false">H31-H32-H33-H36-H28-H37+H38</f>
        <v>252.179030333542</v>
      </c>
      <c r="I39" s="23" t="n">
        <f aca="false">I31-I32-I33-I36-I28-I37+I38</f>
        <v>252.179030333542</v>
      </c>
      <c r="J39" s="23" t="n">
        <f aca="false">J31-J32-J33-J36-J28-J37+J38</f>
        <v>252.179030333542</v>
      </c>
      <c r="K39" s="23" t="n">
        <f aca="false">K31-K32-K33-K36-K28-K37+K38</f>
        <v>252.179030333542</v>
      </c>
      <c r="L39" s="23" t="n">
        <f aca="false">L31-L32-L33-L36-L28-L37+L38</f>
        <v>321.765436726236</v>
      </c>
    </row>
    <row r="40" customFormat="false" ht="15" hidden="false" customHeight="false" outlineLevel="0" collapsed="false">
      <c r="A40" s="7" t="s">
        <v>128</v>
      </c>
      <c r="B40" s="21" t="n">
        <f aca="false">B39</f>
        <v>-463.750173045333</v>
      </c>
      <c r="C40" s="21" t="n">
        <f aca="false">B40+C39</f>
        <v>-959.828835902917</v>
      </c>
      <c r="D40" s="21" t="n">
        <f aca="false">C40+D39</f>
        <v>-751.514240500882</v>
      </c>
      <c r="E40" s="21" t="n">
        <f aca="false">D40+E39</f>
        <v>-501.58521016734</v>
      </c>
      <c r="F40" s="21" t="n">
        <f aca="false">E40+F39</f>
        <v>-249.406179833798</v>
      </c>
      <c r="G40" s="21" t="n">
        <f aca="false">F40+G39</f>
        <v>2.77285049974375</v>
      </c>
      <c r="H40" s="21" t="n">
        <f aca="false">G40+H39</f>
        <v>254.951880833286</v>
      </c>
      <c r="I40" s="21" t="n">
        <f aca="false">H40+I39</f>
        <v>507.130911166828</v>
      </c>
      <c r="J40" s="21" t="n">
        <f aca="false">I40+J39</f>
        <v>759.30994150037</v>
      </c>
      <c r="K40" s="21" t="n">
        <f aca="false">J40+K39</f>
        <v>1011.48897183391</v>
      </c>
      <c r="L40" s="21" t="n">
        <f aca="false">K40+L39</f>
        <v>1333.25440856015</v>
      </c>
    </row>
    <row r="41" customFormat="false" ht="15" hidden="false" customHeight="false" outlineLevel="0" collapsed="false">
      <c r="A41" s="2" t="s">
        <v>129</v>
      </c>
      <c r="B41" s="24" t="n">
        <v>0</v>
      </c>
      <c r="C41" s="24" t="n">
        <f aca="false">IF(AND(B40&lt;0,C40&gt;=0),B$25+(-B40)/C39,0)</f>
        <v>0</v>
      </c>
      <c r="D41" s="24" t="n">
        <f aca="false">IF(AND(C40&lt;0,D40&gt;=0),C$25+(-C40)/D39,0)</f>
        <v>0</v>
      </c>
      <c r="E41" s="24" t="n">
        <f aca="false">IF(AND(D40&lt;0,E40&gt;=0),D$25+(-D40)/E39,0)</f>
        <v>0</v>
      </c>
      <c r="F41" s="24" t="n">
        <f aca="false">IF(AND(E40&lt;0,F40&gt;=0),E$25+(-E40)/F39,0)</f>
        <v>0</v>
      </c>
      <c r="G41" s="24" t="n">
        <f aca="false">IF(AND(F40&lt;0,G40&gt;=0),F$25+(-F40)/G39,0)</f>
        <v>4.98900443666519</v>
      </c>
      <c r="H41" s="24" t="n">
        <f aca="false">IF(AND(G40&lt;0,H40&gt;=0),G$25+(-G40)/H39,0)</f>
        <v>0</v>
      </c>
      <c r="I41" s="24" t="n">
        <f aca="false">IF(AND(H40&lt;0,I40&gt;=0),H$25+(-H40)/I39,0)</f>
        <v>0</v>
      </c>
      <c r="J41" s="24" t="n">
        <f aca="false">IF(AND(I40&lt;0,J40&gt;=0),I$25+(-I40)/J39,0)</f>
        <v>0</v>
      </c>
      <c r="K41" s="24" t="n">
        <f aca="false">IF(AND(J40&lt;0,K40&gt;=0),J$25+(-J40)/K39,0)</f>
        <v>0</v>
      </c>
      <c r="L41" s="24" t="n">
        <f aca="false">IF(AND(K40&lt;0,L40&gt;=0),K$25+(-K40)/L39,0)</f>
        <v>0</v>
      </c>
    </row>
    <row r="42" customFormat="false" ht="15" hidden="false" customHeight="false" outlineLevel="0" collapsed="false">
      <c r="A42" s="7" t="s">
        <v>130</v>
      </c>
      <c r="B42" s="21" t="n">
        <f aca="false">Quesería!$B$23*B28</f>
        <v>324.625121131733</v>
      </c>
      <c r="C42" s="21" t="n">
        <f aca="false">Quesería!$B$23*C28</f>
        <v>402.782128018667</v>
      </c>
      <c r="D42" s="21" t="n">
        <f aca="false">Quesería!$B$23*D28</f>
        <v>0</v>
      </c>
      <c r="E42" s="21" t="n">
        <f aca="false">Quesería!$B$23*E28</f>
        <v>0</v>
      </c>
      <c r="F42" s="21" t="n">
        <f aca="false">Quesería!$B$23*F28</f>
        <v>0</v>
      </c>
      <c r="G42" s="21" t="n">
        <f aca="false">Quesería!$B$23*G28</f>
        <v>0</v>
      </c>
      <c r="H42" s="21" t="n">
        <f aca="false">Quesería!$B$23*H28</f>
        <v>0</v>
      </c>
      <c r="I42" s="21" t="n">
        <f aca="false">Quesería!$B$23*I28</f>
        <v>0</v>
      </c>
      <c r="J42" s="21" t="n">
        <f aca="false">Quesería!$B$23*J28</f>
        <v>0</v>
      </c>
      <c r="K42" s="21" t="n">
        <f aca="false">Quesería!$B$23*K28</f>
        <v>0</v>
      </c>
      <c r="L42" s="21" t="n">
        <f aca="false">Quesería!$B$23*L28</f>
        <v>0</v>
      </c>
    </row>
    <row r="43" customFormat="false" ht="15" hidden="false" customHeight="false" outlineLevel="0" collapsed="false">
      <c r="A43" s="7" t="s">
        <v>131</v>
      </c>
      <c r="B43" s="21" t="n">
        <f aca="false">IF(AND(B$25&gt;0,B$25&lt;=0+Quesería!$B$25),$B$12*((Quesería!$B$23*$B$28)-(Quesería!$B$23*$B$28)/(Quesería!$B$25-Quesería!$B$26)*MAX(0,MIN(B$25-1-0-Quesería!$B$26,(Quesería!$B$25-Quesería!$B$26)))),0)+IF(AND(B$25&gt;1,B$25&lt;=1+Quesería!$B$25),$B$12*((Quesería!$B$23*$C$28)-(Quesería!$B$23*$C$28)/(Quesería!$B$25-Quesería!$B$26)*MAX(0,MIN(B$25-1-1-Quesería!$B$26,(Quesería!$B$25-Quesería!$B$26)))),0)</f>
        <v>0</v>
      </c>
      <c r="C43" s="21" t="n">
        <f aca="false">IF(AND(C$25&gt;0,C$25&lt;=0+Quesería!$B$25),$B$12*((Quesería!$B$23*$B$28)-(Quesería!$B$23*$B$28)/(Quesería!$B$25-Quesería!$B$26)*MAX(0,MIN(C$25-1-0-Quesería!$B$26,(Quesería!$B$25-Quesería!$B$26)))),0)+IF(AND(C$25&gt;1,C$25&lt;=1+Quesería!$B$25),$B$12*((Quesería!$B$23*$C$28)-(Quesería!$B$23*$C$28)/(Quesería!$B$25-Quesería!$B$26)*MAX(0,MIN(C$25-1-1-Quesería!$B$26,(Quesería!$B$25-Quesería!$B$26)))),0)</f>
        <v>45.7721420795744</v>
      </c>
      <c r="D43" s="21" t="n">
        <f aca="false">IF(AND(D$25&gt;0,D$25&lt;=0+Quesería!$B$25),$B$12*((Quesería!$B$23*$B$28)-(Quesería!$B$23*$B$28)/(Quesería!$B$25-Quesería!$B$26)*MAX(0,MIN(D$25-1-0-Quesería!$B$26,(Quesería!$B$25-Quesería!$B$26)))),0)+IF(AND(D$25&gt;1,D$25&lt;=1+Quesería!$B$25),$B$12*((Quesería!$B$23*$C$28)-(Quesería!$B$23*$C$28)/(Quesería!$B$25-Quesería!$B$26)*MAX(0,MIN(D$25-1-1-Quesería!$B$26,(Quesería!$B$25-Quesería!$B$26)))),0)</f>
        <v>102.564422130206</v>
      </c>
      <c r="E43" s="21" t="n">
        <f aca="false">IF(AND(E$25&gt;0,E$25&lt;=0+Quesería!$B$25),$B$12*((Quesería!$B$23*$B$28)-(Quesería!$B$23*$B$28)/(Quesería!$B$25-Quesería!$B$26)*MAX(0,MIN(E$25-1-0-Quesería!$B$26,(Quesería!$B$25-Quesería!$B$26)))),0)+IF(AND(E$25&gt;1,E$25&lt;=1+Quesería!$B$25),$B$12*((Quesería!$B$23*$C$28)-(Quesería!$B$23*$C$28)/(Quesería!$B$25-Quesería!$B$26)*MAX(0,MIN(E$25-1-1-Quesería!$B$26,(Quesería!$B$25-Quesería!$B$26)))),0)</f>
        <v>94.9357317836106</v>
      </c>
      <c r="F43" s="21" t="n">
        <f aca="false">IF(AND(F$25&gt;0,F$25&lt;=0+Quesería!$B$25),$B$12*((Quesería!$B$23*$B$28)-(Quesería!$B$23*$B$28)/(Quesería!$B$25-Quesería!$B$26)*MAX(0,MIN(F$25-1-0-Quesería!$B$26,(Quesería!$B$25-Quesería!$B$26)))),0)+IF(AND(F$25&gt;1,F$25&lt;=1+Quesería!$B$25),$B$12*((Quesería!$B$23*$C$28)-(Quesería!$B$23*$C$28)/(Quesería!$B$25-Quesería!$B$26)*MAX(0,MIN(F$25-1-1-Quesería!$B$26,(Quesería!$B$25-Quesería!$B$26)))),0)</f>
        <v>77.8416614285763</v>
      </c>
      <c r="G43" s="21" t="n">
        <f aca="false">IF(AND(G$25&gt;0,G$25&lt;=0+Quesería!$B$25),$B$12*((Quesería!$B$23*$B$28)-(Quesería!$B$23*$B$28)/(Quesería!$B$25-Quesería!$B$26)*MAX(0,MIN(G$25-1-0-Quesería!$B$26,(Quesería!$B$25-Quesería!$B$26)))),0)+IF(AND(G$25&gt;1,G$25&lt;=1+Quesería!$B$25),$B$12*((Quesería!$B$23*$C$28)-(Quesería!$B$23*$C$28)/(Quesería!$B$25-Quesería!$B$26)*MAX(0,MIN(G$25-1-1-Quesería!$B$26,(Quesería!$B$25-Quesería!$B$26)))),0)</f>
        <v>60.7475910735419</v>
      </c>
      <c r="H43" s="21" t="n">
        <f aca="false">IF(AND(H$25&gt;0,H$25&lt;=0+Quesería!$B$25),$B$12*((Quesería!$B$23*$B$28)-(Quesería!$B$23*$B$28)/(Quesería!$B$25-Quesería!$B$26)*MAX(0,MIN(H$25-1-0-Quesería!$B$26,(Quesería!$B$25-Quesería!$B$26)))),0)+IF(AND(H$25&gt;1,H$25&lt;=1+Quesería!$B$25),$B$12*((Quesería!$B$23*$C$28)-(Quesería!$B$23*$C$28)/(Quesería!$B$25-Quesería!$B$26)*MAX(0,MIN(H$25-1-1-Quesería!$B$26,(Quesería!$B$25-Quesería!$B$26)))),0)</f>
        <v>43.6535207185075</v>
      </c>
      <c r="I43" s="21" t="n">
        <f aca="false">IF(AND(I$25&gt;0,I$25&lt;=0+Quesería!$B$25),$B$12*((Quesería!$B$23*$B$28)-(Quesería!$B$23*$B$28)/(Quesería!$B$25-Quesería!$B$26)*MAX(0,MIN(I$25-1-0-Quesería!$B$26,(Quesería!$B$25-Quesería!$B$26)))),0)+IF(AND(I$25&gt;1,I$25&lt;=1+Quesería!$B$25),$B$12*((Quesería!$B$23*$C$28)-(Quesería!$B$23*$C$28)/(Quesería!$B$25-Quesería!$B$26)*MAX(0,MIN(I$25-1-1-Quesería!$B$26,(Quesería!$B$25-Quesería!$B$26)))),0)</f>
        <v>26.5594503634731</v>
      </c>
      <c r="J43" s="21" t="n">
        <f aca="false">IF(AND(J$25&gt;0,J$25&lt;=0+Quesería!$B$25),$B$12*((Quesería!$B$23*$B$28)-(Quesería!$B$23*$B$28)/(Quesería!$B$25-Quesería!$B$26)*MAX(0,MIN(J$25-1-0-Quesería!$B$26,(Quesería!$B$25-Quesería!$B$26)))),0)+IF(AND(J$25&gt;1,J$25&lt;=1+Quesería!$B$25),$B$12*((Quesería!$B$23*$C$28)-(Quesería!$B$23*$C$28)/(Quesería!$B$25-Quesería!$B$26)*MAX(0,MIN(J$25-1-1-Quesería!$B$26,(Quesería!$B$25-Quesería!$B$26)))),0)</f>
        <v>9.46538000843867</v>
      </c>
      <c r="K43" s="21" t="n">
        <f aca="false">IF(AND(K$25&gt;0,K$25&lt;=0+Quesería!$B$25),$B$12*((Quesería!$B$23*$B$28)-(Quesería!$B$23*$B$28)/(Quesería!$B$25-Quesería!$B$26)*MAX(0,MIN(K$25-1-0-Quesería!$B$26,(Quesería!$B$25-Quesería!$B$26)))),0)+IF(AND(K$25&gt;1,K$25&lt;=1+Quesería!$B$25),$B$12*((Quesería!$B$23*$C$28)-(Quesería!$B$23*$C$28)/(Quesería!$B$25-Quesería!$B$26)*MAX(0,MIN(K$25-1-1-Quesería!$B$26,(Quesería!$B$25-Quesería!$B$26)))),0)</f>
        <v>0</v>
      </c>
      <c r="L43" s="21" t="n">
        <f aca="false">IF(AND(L$25&gt;0,L$25&lt;=0+Quesería!$B$25),$B$12*((Quesería!$B$23*$B$28)-(Quesería!$B$23*$B$28)/(Quesería!$B$25-Quesería!$B$26)*MAX(0,MIN(L$25-1-0-Quesería!$B$26,(Quesería!$B$25-Quesería!$B$26)))),0)+IF(AND(L$25&gt;1,L$25&lt;=1+Quesería!$B$25),$B$12*((Quesería!$B$23*$C$28)-(Quesería!$B$23*$C$28)/(Quesería!$B$25-Quesería!$B$26)*MAX(0,MIN(L$25-1-1-Quesería!$B$26,(Quesería!$B$25-Quesería!$B$26)))),0)</f>
        <v>0</v>
      </c>
    </row>
    <row r="44" customFormat="false" ht="15" hidden="false" customHeight="false" outlineLevel="0" collapsed="false">
      <c r="A44" s="7" t="s">
        <v>132</v>
      </c>
      <c r="B44" s="21" t="n">
        <f aca="false">IF(AND(B$25&gt;0+Quesería!$B$26,B$25&lt;=0+Quesería!$B$25),(Quesería!$B$23*$B$28)/(Quesería!$B$25-Quesería!$B$26),0)+IF(AND(B$25&gt;1+Quesería!$B$26,B$25&lt;=1+Quesería!$B$25),(Quesería!$B$23*$C$28)/(Quesería!$B$25-Quesería!$B$26),0)</f>
        <v>0</v>
      </c>
      <c r="C44" s="21" t="n">
        <f aca="false">IF(AND(C$25&gt;0+Quesería!$B$26,C$25&lt;=0+Quesería!$B$25),(Quesería!$B$23*$B$28)/(Quesería!$B$25-Quesería!$B$26),0)+IF(AND(C$25&gt;1+Quesería!$B$26,C$25&lt;=1+Quesería!$B$25),(Quesería!$B$23*$C$28)/(Quesería!$B$25-Quesería!$B$26),0)</f>
        <v>0</v>
      </c>
      <c r="D44" s="21" t="n">
        <f aca="false">IF(AND(D$25&gt;0+Quesería!$B$26,D$25&lt;=0+Quesería!$B$25),(Quesería!$B$23*$B$28)/(Quesería!$B$25-Quesería!$B$26),0)+IF(AND(D$25&gt;1+Quesería!$B$26,D$25&lt;=1+Quesería!$B$25),(Quesería!$B$23*$C$28)/(Quesería!$B$25-Quesería!$B$26),0)</f>
        <v>54.1041868552889</v>
      </c>
      <c r="E44" s="21" t="n">
        <f aca="false">IF(AND(E$25&gt;0+Quesería!$B$26,E$25&lt;=0+Quesería!$B$25),(Quesería!$B$23*$B$28)/(Quesería!$B$25-Quesería!$B$26),0)+IF(AND(E$25&gt;1+Quesería!$B$26,E$25&lt;=1+Quesería!$B$25),(Quesería!$B$23*$C$28)/(Quesería!$B$25-Quesería!$B$26),0)</f>
        <v>121.234541525067</v>
      </c>
      <c r="F44" s="21" t="n">
        <f aca="false">IF(AND(F$25&gt;0+Quesería!$B$26,F$25&lt;=0+Quesería!$B$25),(Quesería!$B$23*$B$28)/(Quesería!$B$25-Quesería!$B$26),0)+IF(AND(F$25&gt;1+Quesería!$B$26,F$25&lt;=1+Quesería!$B$25),(Quesería!$B$23*$C$28)/(Quesería!$B$25-Quesería!$B$26),0)</f>
        <v>121.234541525067</v>
      </c>
      <c r="G44" s="21" t="n">
        <f aca="false">IF(AND(G$25&gt;0+Quesería!$B$26,G$25&lt;=0+Quesería!$B$25),(Quesería!$B$23*$B$28)/(Quesería!$B$25-Quesería!$B$26),0)+IF(AND(G$25&gt;1+Quesería!$B$26,G$25&lt;=1+Quesería!$B$25),(Quesería!$B$23*$C$28)/(Quesería!$B$25-Quesería!$B$26),0)</f>
        <v>121.234541525067</v>
      </c>
      <c r="H44" s="21" t="n">
        <f aca="false">IF(AND(H$25&gt;0+Quesería!$B$26,H$25&lt;=0+Quesería!$B$25),(Quesería!$B$23*$B$28)/(Quesería!$B$25-Quesería!$B$26),0)+IF(AND(H$25&gt;1+Quesería!$B$26,H$25&lt;=1+Quesería!$B$25),(Quesería!$B$23*$C$28)/(Quesería!$B$25-Quesería!$B$26),0)</f>
        <v>121.234541525067</v>
      </c>
      <c r="I44" s="21" t="n">
        <f aca="false">IF(AND(I$25&gt;0+Quesería!$B$26,I$25&lt;=0+Quesería!$B$25),(Quesería!$B$23*$B$28)/(Quesería!$B$25-Quesería!$B$26),0)+IF(AND(I$25&gt;1+Quesería!$B$26,I$25&lt;=1+Quesería!$B$25),(Quesería!$B$23*$C$28)/(Quesería!$B$25-Quesería!$B$26),0)</f>
        <v>121.234541525067</v>
      </c>
      <c r="J44" s="21" t="n">
        <f aca="false">IF(AND(J$25&gt;0+Quesería!$B$26,J$25&lt;=0+Quesería!$B$25),(Quesería!$B$23*$B$28)/(Quesería!$B$25-Quesería!$B$26),0)+IF(AND(J$25&gt;1+Quesería!$B$26,J$25&lt;=1+Quesería!$B$25),(Quesería!$B$23*$C$28)/(Quesería!$B$25-Quesería!$B$26),0)</f>
        <v>67.1303546697778</v>
      </c>
      <c r="K44" s="21" t="n">
        <f aca="false">IF(AND(K$25&gt;0+Quesería!$B$26,K$25&lt;=0+Quesería!$B$25),(Quesería!$B$23*$B$28)/(Quesería!$B$25-Quesería!$B$26),0)+IF(AND(K$25&gt;1+Quesería!$B$26,K$25&lt;=1+Quesería!$B$25),(Quesería!$B$23*$C$28)/(Quesería!$B$25-Quesería!$B$26),0)</f>
        <v>0</v>
      </c>
      <c r="L44" s="21" t="n">
        <f aca="false">IF(AND(L$25&gt;0+Quesería!$B$26,L$25&lt;=0+Quesería!$B$25),(Quesería!$B$23*$B$28)/(Quesería!$B$25-Quesería!$B$26),0)+IF(AND(L$25&gt;1+Quesería!$B$26,L$25&lt;=1+Quesería!$B$25),(Quesería!$B$23*$C$28)/(Quesería!$B$25-Quesería!$B$26),0)</f>
        <v>0</v>
      </c>
    </row>
    <row r="45" customFormat="false" ht="15" hidden="false" customHeight="false" outlineLevel="0" collapsed="false">
      <c r="A45" s="7" t="s">
        <v>133</v>
      </c>
      <c r="B45" s="21" t="n">
        <f aca="false">Quesería!$B$7*B43</f>
        <v>0</v>
      </c>
      <c r="C45" s="21" t="n">
        <f aca="false">Quesería!$B$7*C43</f>
        <v>16.020249727851</v>
      </c>
      <c r="D45" s="21" t="n">
        <f aca="false">Quesería!$B$7*D43</f>
        <v>35.8975477455722</v>
      </c>
      <c r="E45" s="21" t="n">
        <f aca="false">Quesería!$B$7*E43</f>
        <v>33.2275061242637</v>
      </c>
      <c r="F45" s="21" t="n">
        <f aca="false">Quesería!$B$7*F43</f>
        <v>27.2445815000017</v>
      </c>
      <c r="G45" s="21" t="n">
        <f aca="false">Quesería!$B$7*G43</f>
        <v>21.2616568757396</v>
      </c>
      <c r="H45" s="21" t="n">
        <f aca="false">Quesería!$B$7*H43</f>
        <v>15.2787322514776</v>
      </c>
      <c r="I45" s="21" t="n">
        <f aca="false">Quesería!$B$7*I43</f>
        <v>9.29580762721557</v>
      </c>
      <c r="J45" s="21" t="n">
        <f aca="false">Quesería!$B$7*J43</f>
        <v>3.31288300295353</v>
      </c>
      <c r="K45" s="21" t="n">
        <f aca="false">Quesería!$B$7*K43</f>
        <v>0</v>
      </c>
      <c r="L45" s="21" t="n">
        <f aca="false">Quesería!$B$7*L43</f>
        <v>0</v>
      </c>
    </row>
    <row r="46" customFormat="false" ht="15" hidden="false" customHeight="false" outlineLevel="0" collapsed="false">
      <c r="A46" s="17" t="s">
        <v>134</v>
      </c>
      <c r="B46" s="23" t="n">
        <f aca="false">B39+B42-B43-B44+B45</f>
        <v>-139.1250519136</v>
      </c>
      <c r="C46" s="23" t="n">
        <f aca="false">C39+C42-C43-C44+C45</f>
        <v>-123.048427190641</v>
      </c>
      <c r="D46" s="23" t="n">
        <f aca="false">D39+D42-D43-D44+D45</f>
        <v>87.5435341621121</v>
      </c>
      <c r="E46" s="23" t="n">
        <f aca="false">E39+E42-E43-E44+E45</f>
        <v>66.9862631491284</v>
      </c>
      <c r="F46" s="23" t="n">
        <f aca="false">F39+F42-F43-F44+F45</f>
        <v>80.3474088799007</v>
      </c>
      <c r="G46" s="23" t="n">
        <f aca="false">G39+G42-G43-G44+G45</f>
        <v>91.4585546106731</v>
      </c>
      <c r="H46" s="23" t="n">
        <f aca="false">H39+H42-H43-H44+H45</f>
        <v>102.569700341445</v>
      </c>
      <c r="I46" s="23" t="n">
        <f aca="false">I39+I42-I43-I44+I45</f>
        <v>113.680846072218</v>
      </c>
      <c r="J46" s="23" t="n">
        <f aca="false">J39+J42-J43-J44+J45</f>
        <v>178.896178658279</v>
      </c>
      <c r="K46" s="23" t="n">
        <f aca="false">K39+K42-K43-K44+K45</f>
        <v>252.179030333542</v>
      </c>
      <c r="L46" s="23" t="n">
        <f aca="false">L39+L42-L43-L44+L45</f>
        <v>321.765436726236</v>
      </c>
    </row>
    <row r="48" customFormat="false" ht="15" hidden="false" customHeight="false" outlineLevel="0" collapsed="false">
      <c r="A48" s="35" t="s">
        <v>157</v>
      </c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</row>
    <row r="49" customFormat="false" ht="15" hidden="false" customHeight="false" outlineLevel="0" collapsed="false">
      <c r="A49" s="7" t="s">
        <v>60</v>
      </c>
      <c r="B49" s="21" t="n">
        <f aca="false">IF(B$25=0,Quesería!$F$44,IF(B$25=1,Quesería!$F$45,0))*$C$11</f>
        <v>463.750173045333</v>
      </c>
      <c r="C49" s="21" t="n">
        <f aca="false">IF(C$25=0,Quesería!$F$44,IF(C$25=1,Quesería!$F$45,0))*$C$11</f>
        <v>575.403040026667</v>
      </c>
      <c r="D49" s="21" t="n">
        <f aca="false">IF(D$25=0,Quesería!$F$44,IF(D$25=1,Quesería!$F$45,0))*$C$11</f>
        <v>0</v>
      </c>
      <c r="E49" s="21" t="n">
        <f aca="false">IF(E$25=0,Quesería!$F$44,IF(E$25=1,Quesería!$F$45,0))*$C$11</f>
        <v>0</v>
      </c>
      <c r="F49" s="21" t="n">
        <f aca="false">IF(F$25=0,Quesería!$F$44,IF(F$25=1,Quesería!$F$45,0))*$C$11</f>
        <v>0</v>
      </c>
      <c r="G49" s="21" t="n">
        <f aca="false">IF(G$25=0,Quesería!$F$44,IF(G$25=1,Quesería!$F$45,0))*$C$11</f>
        <v>0</v>
      </c>
      <c r="H49" s="21" t="n">
        <f aca="false">IF(H$25=0,Quesería!$F$44,IF(H$25=1,Quesería!$F$45,0))*$C$11</f>
        <v>0</v>
      </c>
      <c r="I49" s="21" t="n">
        <f aca="false">IF(I$25=0,Quesería!$F$44,IF(I$25=1,Quesería!$F$45,0))*$C$11</f>
        <v>0</v>
      </c>
      <c r="J49" s="21" t="n">
        <f aca="false">IF(J$25=0,Quesería!$F$44,IF(J$25=1,Quesería!$F$45,0))*$C$11</f>
        <v>0</v>
      </c>
      <c r="K49" s="21" t="n">
        <f aca="false">IF(K$25=0,Quesería!$F$44,IF(K$25=1,Quesería!$F$45,0))*$C$11</f>
        <v>0</v>
      </c>
      <c r="L49" s="21" t="n">
        <f aca="false">IF(L$25=0,Quesería!$F$44,IF(L$25=1,Quesería!$F$45,0))*$C$11</f>
        <v>0</v>
      </c>
    </row>
    <row r="50" customFormat="false" ht="15" hidden="false" customHeight="false" outlineLevel="0" collapsed="false">
      <c r="A50" s="7" t="s">
        <v>101</v>
      </c>
      <c r="B50" s="21" t="n">
        <f aca="false">IF(B$25=0,0,IF(B$25=1,Quesería!$E$63*Quesería!$B$9,Quesería!$E$63))*$C$10</f>
        <v>0</v>
      </c>
      <c r="C50" s="21" t="n">
        <f aca="false">IF(C$25=0,0,IF(C$25=1,Quesería!$E$63*Quesería!$B$9,Quesería!$E$63))*$C$10</f>
        <v>112.56550139541</v>
      </c>
      <c r="D50" s="21" t="n">
        <f aca="false">IF(D$25=0,0,IF(D$25=1,Quesería!$E$63*Quesería!$B$9,Quesería!$E$63))*$C$10</f>
        <v>150.08733519388</v>
      </c>
      <c r="E50" s="21" t="n">
        <f aca="false">IF(E$25=0,0,IF(E$25=1,Quesería!$E$63*Quesería!$B$9,Quesería!$E$63))*$C$10</f>
        <v>150.08733519388</v>
      </c>
      <c r="F50" s="21" t="n">
        <f aca="false">IF(F$25=0,0,IF(F$25=1,Quesería!$E$63*Quesería!$B$9,Quesería!$E$63))*$C$10</f>
        <v>150.08733519388</v>
      </c>
      <c r="G50" s="21" t="n">
        <f aca="false">IF(G$25=0,0,IF(G$25=1,Quesería!$E$63*Quesería!$B$9,Quesería!$E$63))*$C$10</f>
        <v>150.08733519388</v>
      </c>
      <c r="H50" s="21" t="n">
        <f aca="false">IF(H$25=0,0,IF(H$25=1,Quesería!$E$63*Quesería!$B$9,Quesería!$E$63))*$C$10</f>
        <v>150.08733519388</v>
      </c>
      <c r="I50" s="21" t="n">
        <f aca="false">IF(I$25=0,0,IF(I$25=1,Quesería!$E$63*Quesería!$B$9,Quesería!$E$63))*$C$10</f>
        <v>150.08733519388</v>
      </c>
      <c r="J50" s="21" t="n">
        <f aca="false">IF(J$25=0,0,IF(J$25=1,Quesería!$E$63*Quesería!$B$9,Quesería!$E$63))*$C$10</f>
        <v>150.08733519388</v>
      </c>
      <c r="K50" s="21" t="n">
        <f aca="false">IF(K$25=0,0,IF(K$25=1,Quesería!$E$63*Quesería!$B$9,Quesería!$E$63))*$C$10</f>
        <v>150.08733519388</v>
      </c>
      <c r="L50" s="21" t="n">
        <f aca="false">IF(L$25=0,0,IF(L$25=1,Quesería!$E$63*Quesería!$B$9,Quesería!$E$63))*$C$10</f>
        <v>150.08733519388</v>
      </c>
    </row>
    <row r="51" customFormat="false" ht="15" hidden="false" customHeight="false" outlineLevel="0" collapsed="false">
      <c r="A51" s="7" t="s">
        <v>102</v>
      </c>
      <c r="B51" s="21" t="n">
        <f aca="false">IF(B$25&lt;=1,0,IF(B$25=2,(Quesería!$E$64-Quesería!$E$58+$C$6*Quesería!$E$58-(1-$C$9)*Quesería!$E$61)*Quesería!$B$9,(Quesería!$E$64-Quesería!$E$58+$C$6*Quesería!$E$58-(1-$C$9)*Quesería!$E$61)))*$C$10</f>
        <v>0</v>
      </c>
      <c r="C51" s="21" t="n">
        <f aca="false">IF(C$25&lt;=1,0,IF(C$25=2,(Quesería!$E$64-Quesería!$E$58+$C$6*Quesería!$E$58-(1-$C$9)*Quesería!$E$61)*Quesería!$B$9,(Quesería!$E$64-Quesería!$E$58+$C$6*Quesería!$E$58-(1-$C$9)*Quesería!$E$61)))*$C$10</f>
        <v>0</v>
      </c>
      <c r="D51" s="21" t="n">
        <f aca="false">IF(D$25&lt;=1,0,IF(D$25=2,(Quesería!$E$64-Quesería!$E$58+$C$6*Quesería!$E$58-(1-$C$9)*Quesería!$E$61)*Quesería!$B$9,(Quesería!$E$64-Quesería!$E$58+$C$6*Quesería!$E$58-(1-$C$9)*Quesería!$E$61)))*$C$10</f>
        <v>155.475</v>
      </c>
      <c r="E51" s="21" t="n">
        <f aca="false">IF(E$25&lt;=1,0,IF(E$25=2,(Quesería!$E$64-Quesería!$E$58+$C$6*Quesería!$E$58-(1-$C$9)*Quesería!$E$61)*Quesería!$B$9,(Quesería!$E$64-Quesería!$E$58+$C$6*Quesería!$E$58-(1-$C$9)*Quesería!$E$61)))*$C$10</f>
        <v>207.3</v>
      </c>
      <c r="F51" s="21" t="n">
        <f aca="false">IF(F$25&lt;=1,0,IF(F$25=2,(Quesería!$E$64-Quesería!$E$58+$C$6*Quesería!$E$58-(1-$C$9)*Quesería!$E$61)*Quesería!$B$9,(Quesería!$E$64-Quesería!$E$58+$C$6*Quesería!$E$58-(1-$C$9)*Quesería!$E$61)))*$C$10</f>
        <v>207.3</v>
      </c>
      <c r="G51" s="21" t="n">
        <f aca="false">IF(G$25&lt;=1,0,IF(G$25=2,(Quesería!$E$64-Quesería!$E$58+$C$6*Quesería!$E$58-(1-$C$9)*Quesería!$E$61)*Quesería!$B$9,(Quesería!$E$64-Quesería!$E$58+$C$6*Quesería!$E$58-(1-$C$9)*Quesería!$E$61)))*$C$10</f>
        <v>207.3</v>
      </c>
      <c r="H51" s="21" t="n">
        <f aca="false">IF(H$25&lt;=1,0,IF(H$25=2,(Quesería!$E$64-Quesería!$E$58+$C$6*Quesería!$E$58-(1-$C$9)*Quesería!$E$61)*Quesería!$B$9,(Quesería!$E$64-Quesería!$E$58+$C$6*Quesería!$E$58-(1-$C$9)*Quesería!$E$61)))*$C$10</f>
        <v>207.3</v>
      </c>
      <c r="I51" s="21" t="n">
        <f aca="false">IF(I$25&lt;=1,0,IF(I$25=2,(Quesería!$E$64-Quesería!$E$58+$C$6*Quesería!$E$58-(1-$C$9)*Quesería!$E$61)*Quesería!$B$9,(Quesería!$E$64-Quesería!$E$58+$C$6*Quesería!$E$58-(1-$C$9)*Quesería!$E$61)))*$C$10</f>
        <v>207.3</v>
      </c>
      <c r="J51" s="21" t="n">
        <f aca="false">IF(J$25&lt;=1,0,IF(J$25=2,(Quesería!$E$64-Quesería!$E$58+$C$6*Quesería!$E$58-(1-$C$9)*Quesería!$E$61)*Quesería!$B$9,(Quesería!$E$64-Quesería!$E$58+$C$6*Quesería!$E$58-(1-$C$9)*Quesería!$E$61)))*$C$10</f>
        <v>207.3</v>
      </c>
      <c r="K51" s="21" t="n">
        <f aca="false">IF(K$25&lt;=1,0,IF(K$25=2,(Quesería!$E$64-Quesería!$E$58+$C$6*Quesería!$E$58-(1-$C$9)*Quesería!$E$61)*Quesería!$B$9,(Quesería!$E$64-Quesería!$E$58+$C$6*Quesería!$E$58-(1-$C$9)*Quesería!$E$61)))*$C$10</f>
        <v>207.3</v>
      </c>
      <c r="L51" s="21" t="n">
        <f aca="false">IF(L$25&lt;=1,0,IF(L$25=2,(Quesería!$E$64-Quesería!$E$58+$C$6*Quesería!$E$58-(1-$C$9)*Quesería!$E$61)*Quesería!$B$9,(Quesería!$E$64-Quesería!$E$58+$C$6*Quesería!$E$58-(1-$C$9)*Quesería!$E$61)))*$C$10</f>
        <v>207.3</v>
      </c>
    </row>
    <row r="52" customFormat="false" ht="15" hidden="false" customHeight="false" outlineLevel="0" collapsed="false">
      <c r="A52" s="17" t="s">
        <v>120</v>
      </c>
      <c r="B52" s="22" t="n">
        <f aca="false">B50+B51</f>
        <v>0</v>
      </c>
      <c r="C52" s="22" t="n">
        <f aca="false">C50+C51</f>
        <v>112.56550139541</v>
      </c>
      <c r="D52" s="22" t="n">
        <f aca="false">D50+D51</f>
        <v>305.56233519388</v>
      </c>
      <c r="E52" s="22" t="n">
        <f aca="false">E50+E51</f>
        <v>357.38733519388</v>
      </c>
      <c r="F52" s="22" t="n">
        <f aca="false">F50+F51</f>
        <v>357.38733519388</v>
      </c>
      <c r="G52" s="22" t="n">
        <f aca="false">G50+G51</f>
        <v>357.38733519388</v>
      </c>
      <c r="H52" s="22" t="n">
        <f aca="false">H50+H51</f>
        <v>357.38733519388</v>
      </c>
      <c r="I52" s="22" t="n">
        <f aca="false">I50+I51</f>
        <v>357.38733519388</v>
      </c>
      <c r="J52" s="22" t="n">
        <f aca="false">J50+J51</f>
        <v>357.38733519388</v>
      </c>
      <c r="K52" s="22" t="n">
        <f aca="false">K50+K51</f>
        <v>357.38733519388</v>
      </c>
      <c r="L52" s="22" t="n">
        <f aca="false">L50+L51</f>
        <v>357.38733519388</v>
      </c>
    </row>
    <row r="53" customFormat="false" ht="15" hidden="false" customHeight="false" outlineLevel="0" collapsed="false">
      <c r="A53" s="7" t="s">
        <v>121</v>
      </c>
      <c r="B53" s="21" t="n">
        <f aca="false">IF(B$25&gt;=1,Quesería!$B$10*Quesería!$F$46*$C$11+Quesería!$B$11,0)+IF(B$25&gt;=2,Quesería!$B$10*Quesería!$F$47*$C$11,0)</f>
        <v>0</v>
      </c>
      <c r="C53" s="21" t="n">
        <f aca="false">IF(C$25&gt;=1,Quesería!$B$10*Quesería!$F$46*$C$11+Quesería!$B$11,0)+IF(C$25&gt;=2,Quesería!$B$10*Quesería!$F$47*$C$11,0)</f>
        <v>21.296</v>
      </c>
      <c r="D53" s="21" t="n">
        <f aca="false">IF(D$25&gt;=1,Quesería!$B$10*Quesería!$F$46*$C$11+Quesería!$B$11,0)+IF(D$25&gt;=2,Quesería!$B$10*Quesería!$F$47*$C$11,0)</f>
        <v>37.174</v>
      </c>
      <c r="E53" s="21" t="n">
        <f aca="false">IF(E$25&gt;=1,Quesería!$B$10*Quesería!$F$46*$C$11+Quesería!$B$11,0)+IF(E$25&gt;=2,Quesería!$B$10*Quesería!$F$47*$C$11,0)</f>
        <v>37.174</v>
      </c>
      <c r="F53" s="21" t="n">
        <f aca="false">IF(F$25&gt;=1,Quesería!$B$10*Quesería!$F$46*$C$11+Quesería!$B$11,0)+IF(F$25&gt;=2,Quesería!$B$10*Quesería!$F$47*$C$11,0)</f>
        <v>37.174</v>
      </c>
      <c r="G53" s="21" t="n">
        <f aca="false">IF(G$25&gt;=1,Quesería!$B$10*Quesería!$F$46*$C$11+Quesería!$B$11,0)+IF(G$25&gt;=2,Quesería!$B$10*Quesería!$F$47*$C$11,0)</f>
        <v>37.174</v>
      </c>
      <c r="H53" s="21" t="n">
        <f aca="false">IF(H$25&gt;=1,Quesería!$B$10*Quesería!$F$46*$C$11+Quesería!$B$11,0)+IF(H$25&gt;=2,Quesería!$B$10*Quesería!$F$47*$C$11,0)</f>
        <v>37.174</v>
      </c>
      <c r="I53" s="21" t="n">
        <f aca="false">IF(I$25&gt;=1,Quesería!$B$10*Quesería!$F$46*$C$11+Quesería!$B$11,0)+IF(I$25&gt;=2,Quesería!$B$10*Quesería!$F$47*$C$11,0)</f>
        <v>37.174</v>
      </c>
      <c r="J53" s="21" t="n">
        <f aca="false">IF(J$25&gt;=1,Quesería!$B$10*Quesería!$F$46*$C$11+Quesería!$B$11,0)+IF(J$25&gt;=2,Quesería!$B$10*Quesería!$F$47*$C$11,0)</f>
        <v>37.174</v>
      </c>
      <c r="K53" s="21" t="n">
        <f aca="false">IF(K$25&gt;=1,Quesería!$B$10*Quesería!$F$46*$C$11+Quesería!$B$11,0)+IF(K$25&gt;=2,Quesería!$B$10*Quesería!$F$47*$C$11,0)</f>
        <v>37.174</v>
      </c>
      <c r="L53" s="21" t="n">
        <f aca="false">IF(L$25&gt;=1,Quesería!$B$10*Quesería!$F$46*$C$11+Quesería!$B$11,0)+IF(L$25&gt;=2,Quesería!$B$10*Quesería!$F$47*$C$11,0)</f>
        <v>37.174</v>
      </c>
    </row>
    <row r="54" customFormat="false" ht="15" hidden="false" customHeight="false" outlineLevel="0" collapsed="false">
      <c r="A54" s="7" t="s">
        <v>122</v>
      </c>
      <c r="B54" s="21" t="n">
        <f aca="false">IF(B$25=1,2*Quesería!$B$19*Quesería!$B$20/12,0)</f>
        <v>0</v>
      </c>
      <c r="C54" s="21" t="n">
        <f aca="false">IF(C$25=1,2*Quesería!$B$19*Quesería!$B$20/12,0)</f>
        <v>18</v>
      </c>
      <c r="D54" s="21" t="n">
        <f aca="false">IF(D$25=1,2*Quesería!$B$19*Quesería!$B$20/12,0)</f>
        <v>0</v>
      </c>
      <c r="E54" s="21" t="n">
        <f aca="false">IF(E$25=1,2*Quesería!$B$19*Quesería!$B$20/12,0)</f>
        <v>0</v>
      </c>
      <c r="F54" s="21" t="n">
        <f aca="false">IF(F$25=1,2*Quesería!$B$19*Quesería!$B$20/12,0)</f>
        <v>0</v>
      </c>
      <c r="G54" s="21" t="n">
        <f aca="false">IF(G$25=1,2*Quesería!$B$19*Quesería!$B$20/12,0)</f>
        <v>0</v>
      </c>
      <c r="H54" s="21" t="n">
        <f aca="false">IF(H$25=1,2*Quesería!$B$19*Quesería!$B$20/12,0)</f>
        <v>0</v>
      </c>
      <c r="I54" s="21" t="n">
        <f aca="false">IF(I$25=1,2*Quesería!$B$19*Quesería!$B$20/12,0)</f>
        <v>0</v>
      </c>
      <c r="J54" s="21" t="n">
        <f aca="false">IF(J$25=1,2*Quesería!$B$19*Quesería!$B$20/12,0)</f>
        <v>0</v>
      </c>
      <c r="K54" s="21" t="n">
        <f aca="false">IF(K$25=1,2*Quesería!$B$19*Quesería!$B$20/12,0)</f>
        <v>0</v>
      </c>
      <c r="L54" s="21" t="n">
        <f aca="false">IF(L$25=1,2*Quesería!$B$19*Quesería!$B$20/12,0)</f>
        <v>0</v>
      </c>
    </row>
    <row r="55" customFormat="false" ht="15" hidden="false" customHeight="false" outlineLevel="0" collapsed="false">
      <c r="A55" s="7" t="s">
        <v>123</v>
      </c>
      <c r="B55" s="21" t="n">
        <f aca="false">(IF(AND(B$25&gt;=1,B$25&lt;=Quesería!$B$8),Quesería!$F$44/Quesería!$B$8,0)+IF(AND(B$25&gt;=2,B$25&lt;=Quesería!$B$8+1),Quesería!$F$45/Quesería!$B$8,0))*$C$11</f>
        <v>0</v>
      </c>
      <c r="C55" s="21" t="n">
        <f aca="false">(IF(AND(C$25&gt;=1,C$25&lt;=Quesería!$B$8),Quesería!$F$44/Quesería!$B$8,0)+IF(AND(C$25&gt;=2,C$25&lt;=Quesería!$B$8+1),Quesería!$F$45/Quesería!$B$8,0))*$C$11</f>
        <v>46.3750173045333</v>
      </c>
      <c r="D55" s="21" t="n">
        <f aca="false">(IF(AND(D$25&gt;=1,D$25&lt;=Quesería!$B$8),Quesería!$F$44/Quesería!$B$8,0)+IF(AND(D$25&gt;=2,D$25&lt;=Quesería!$B$8+1),Quesería!$F$45/Quesería!$B$8,0))*$C$11</f>
        <v>103.9153213072</v>
      </c>
      <c r="E55" s="21" t="n">
        <f aca="false">(IF(AND(E$25&gt;=1,E$25&lt;=Quesería!$B$8),Quesería!$F$44/Quesería!$B$8,0)+IF(AND(E$25&gt;=2,E$25&lt;=Quesería!$B$8+1),Quesería!$F$45/Quesería!$B$8,0))*$C$11</f>
        <v>103.9153213072</v>
      </c>
      <c r="F55" s="21" t="n">
        <f aca="false">(IF(AND(F$25&gt;=1,F$25&lt;=Quesería!$B$8),Quesería!$F$44/Quesería!$B$8,0)+IF(AND(F$25&gt;=2,F$25&lt;=Quesería!$B$8+1),Quesería!$F$45/Quesería!$B$8,0))*$C$11</f>
        <v>103.9153213072</v>
      </c>
      <c r="G55" s="21" t="n">
        <f aca="false">(IF(AND(G$25&gt;=1,G$25&lt;=Quesería!$B$8),Quesería!$F$44/Quesería!$B$8,0)+IF(AND(G$25&gt;=2,G$25&lt;=Quesería!$B$8+1),Quesería!$F$45/Quesería!$B$8,0))*$C$11</f>
        <v>103.9153213072</v>
      </c>
      <c r="H55" s="21" t="n">
        <f aca="false">(IF(AND(H$25&gt;=1,H$25&lt;=Quesería!$B$8),Quesería!$F$44/Quesería!$B$8,0)+IF(AND(H$25&gt;=2,H$25&lt;=Quesería!$B$8+1),Quesería!$F$45/Quesería!$B$8,0))*$C$11</f>
        <v>103.9153213072</v>
      </c>
      <c r="I55" s="21" t="n">
        <f aca="false">(IF(AND(I$25&gt;=1,I$25&lt;=Quesería!$B$8),Quesería!$F$44/Quesería!$B$8,0)+IF(AND(I$25&gt;=2,I$25&lt;=Quesería!$B$8+1),Quesería!$F$45/Quesería!$B$8,0))*$C$11</f>
        <v>103.9153213072</v>
      </c>
      <c r="J55" s="21" t="n">
        <f aca="false">(IF(AND(J$25&gt;=1,J$25&lt;=Quesería!$B$8),Quesería!$F$44/Quesería!$B$8,0)+IF(AND(J$25&gt;=2,J$25&lt;=Quesería!$B$8+1),Quesería!$F$45/Quesería!$B$8,0))*$C$11</f>
        <v>103.9153213072</v>
      </c>
      <c r="K55" s="21" t="n">
        <f aca="false">(IF(AND(K$25&gt;=1,K$25&lt;=Quesería!$B$8),Quesería!$F$44/Quesería!$B$8,0)+IF(AND(K$25&gt;=2,K$25&lt;=Quesería!$B$8+1),Quesería!$F$45/Quesería!$B$8,0))*$C$11</f>
        <v>103.9153213072</v>
      </c>
      <c r="L55" s="21" t="n">
        <f aca="false">(IF(AND(L$25&gt;=1,L$25&lt;=Quesería!$B$8),Quesería!$F$44/Quesería!$B$8,0)+IF(AND(L$25&gt;=2,L$25&lt;=Quesería!$B$8+1),Quesería!$F$45/Quesería!$B$8,0))*$C$11</f>
        <v>103.9153213072</v>
      </c>
    </row>
    <row r="56" customFormat="false" ht="15" hidden="false" customHeight="false" outlineLevel="0" collapsed="false">
      <c r="A56" s="7" t="s">
        <v>124</v>
      </c>
      <c r="B56" s="21" t="n">
        <f aca="false">IF(B$25=1,$C$7*Quesería!$B$21*Quesería!$F$40*$C$11,0)</f>
        <v>0</v>
      </c>
      <c r="C56" s="21" t="n">
        <f aca="false">IF(C$25=1,$C$7*Quesería!$B$21*Quesería!$F$40*$C$11,0)</f>
        <v>0</v>
      </c>
      <c r="D56" s="21" t="n">
        <f aca="false">IF(D$25=1,$C$7*Quesería!$B$21*Quesería!$F$40*$C$11,0)</f>
        <v>0</v>
      </c>
      <c r="E56" s="21" t="n">
        <f aca="false">IF(E$25=1,$C$7*Quesería!$B$21*Quesería!$F$40*$C$11,0)</f>
        <v>0</v>
      </c>
      <c r="F56" s="21" t="n">
        <f aca="false">IF(F$25=1,$C$7*Quesería!$B$21*Quesería!$F$40*$C$11,0)</f>
        <v>0</v>
      </c>
      <c r="G56" s="21" t="n">
        <f aca="false">IF(G$25=1,$C$7*Quesería!$B$21*Quesería!$F$40*$C$11,0)</f>
        <v>0</v>
      </c>
      <c r="H56" s="21" t="n">
        <f aca="false">IF(H$25=1,$C$7*Quesería!$B$21*Quesería!$F$40*$C$11,0)</f>
        <v>0</v>
      </c>
      <c r="I56" s="21" t="n">
        <f aca="false">IF(I$25=1,$C$7*Quesería!$B$21*Quesería!$F$40*$C$11,0)</f>
        <v>0</v>
      </c>
      <c r="J56" s="21" t="n">
        <f aca="false">IF(J$25=1,$C$7*Quesería!$B$21*Quesería!$F$40*$C$11,0)</f>
        <v>0</v>
      </c>
      <c r="K56" s="21" t="n">
        <f aca="false">IF(K$25=1,$C$7*Quesería!$B$21*Quesería!$F$40*$C$11,0)</f>
        <v>0</v>
      </c>
      <c r="L56" s="21" t="n">
        <f aca="false">IF(L$25=1,$C$7*Quesería!$B$21*Quesería!$F$40*$C$11,0)</f>
        <v>0</v>
      </c>
    </row>
    <row r="57" customFormat="false" ht="15" hidden="false" customHeight="false" outlineLevel="0" collapsed="false">
      <c r="A57" s="7" t="s">
        <v>10</v>
      </c>
      <c r="B57" s="21" t="n">
        <f aca="false">Quesería!$B$7*(B52-B53-B54-B55)-B56</f>
        <v>0</v>
      </c>
      <c r="C57" s="21" t="n">
        <f aca="false">Quesería!$B$7*(C52-C53-C54-C55)-C56</f>
        <v>9.41306943180681</v>
      </c>
      <c r="D57" s="21" t="n">
        <f aca="false">Quesería!$B$7*(D52-D53-D54-D55)-D56</f>
        <v>57.565554860338</v>
      </c>
      <c r="E57" s="21" t="n">
        <f aca="false">Quesería!$B$7*(E52-E53-E54-E55)-E56</f>
        <v>75.704304860338</v>
      </c>
      <c r="F57" s="21" t="n">
        <f aca="false">Quesería!$B$7*(F52-F53-F54-F55)-F56</f>
        <v>75.704304860338</v>
      </c>
      <c r="G57" s="21" t="n">
        <f aca="false">Quesería!$B$7*(G52-G53-G54-G55)-G56</f>
        <v>75.704304860338</v>
      </c>
      <c r="H57" s="21" t="n">
        <f aca="false">Quesería!$B$7*(H52-H53-H54-H55)-H56</f>
        <v>75.704304860338</v>
      </c>
      <c r="I57" s="21" t="n">
        <f aca="false">Quesería!$B$7*(I52-I53-I54-I55)-I56</f>
        <v>75.704304860338</v>
      </c>
      <c r="J57" s="21" t="n">
        <f aca="false">Quesería!$B$7*(J52-J53-J54-J55)-J56</f>
        <v>75.704304860338</v>
      </c>
      <c r="K57" s="21" t="n">
        <f aca="false">Quesería!$B$7*(K52-K53-K54-K55)-K56</f>
        <v>75.704304860338</v>
      </c>
      <c r="L57" s="21" t="n">
        <f aca="false">Quesería!$B$7*(L52-L53-L54-L55)-L56</f>
        <v>75.704304860338</v>
      </c>
    </row>
    <row r="58" customFormat="false" ht="15" hidden="false" customHeight="false" outlineLevel="0" collapsed="false">
      <c r="A58" s="7" t="s">
        <v>125</v>
      </c>
      <c r="B58" s="21" t="n">
        <f aca="false">((IF(B$25&gt;=1,Quesería!$G$65*IF(B$25=1,Quesería!$B$9,1),0)+IF(B$25&gt;=2,Quesería!$G$66*IF(B$25=2,Quesería!$B$9,1),0))*$C$10*Quesería!$B$12/365)</f>
        <v>0</v>
      </c>
      <c r="C58" s="21" t="n">
        <f aca="false">((IF(C$25&gt;=1,Quesería!$G$65*IF(C$25=1,Quesería!$B$9,1),0)+IF(C$25&gt;=2,Quesería!$G$66*IF(C$25=2,Quesería!$B$9,1),0))*$C$10*Quesería!$B$12/365)-((IF(B$25&gt;=1,Quesería!$G$65*IF(B$25=1,Quesería!$B$9,1),0)+IF(B$25&gt;=2,Quesería!$G$66*IF(B$25=2,Quesería!$B$9,1),0))*$C$10*Quesería!$B$12/365)</f>
        <v>4.53205479452055</v>
      </c>
      <c r="D58" s="21" t="n">
        <f aca="false">((IF(D$25&gt;=1,Quesería!$G$65*IF(D$25=1,Quesería!$B$9,1),0)+IF(D$25&gt;=2,Quesería!$G$66*IF(D$25=2,Quesería!$B$9,1),0))*$C$10*Quesería!$B$12/365)-((IF(C$25&gt;=1,Quesería!$G$65*IF(C$25=1,Quesería!$B$9,1),0)+IF(C$25&gt;=2,Quesería!$G$66*IF(C$25=2,Quesería!$B$9,1),0))*$C$10*Quesería!$B$12/365)</f>
        <v>8.26068493150685</v>
      </c>
      <c r="E58" s="21" t="n">
        <f aca="false">((IF(E$25&gt;=1,Quesería!$G$65*IF(E$25=1,Quesería!$B$9,1),0)+IF(E$25&gt;=2,Quesería!$G$66*IF(E$25=2,Quesería!$B$9,1),0))*$C$10*Quesería!$B$12/365)-((IF(D$25&gt;=1,Quesería!$G$65*IF(D$25=1,Quesería!$B$9,1),0)+IF(D$25&gt;=2,Quesería!$G$66*IF(D$25=2,Quesería!$B$9,1),0))*$C$10*Quesería!$B$12/365)</f>
        <v>2.25</v>
      </c>
      <c r="F58" s="21" t="n">
        <f aca="false">((IF(F$25&gt;=1,Quesería!$G$65*IF(F$25=1,Quesería!$B$9,1),0)+IF(F$25&gt;=2,Quesería!$G$66*IF(F$25=2,Quesería!$B$9,1),0))*$C$10*Quesería!$B$12/365)-((IF(E$25&gt;=1,Quesería!$G$65*IF(E$25=1,Quesería!$B$9,1),0)+IF(E$25&gt;=2,Quesería!$G$66*IF(E$25=2,Quesería!$B$9,1),0))*$C$10*Quesería!$B$12/365)</f>
        <v>0</v>
      </c>
      <c r="G58" s="21" t="n">
        <f aca="false">((IF(G$25&gt;=1,Quesería!$G$65*IF(G$25=1,Quesería!$B$9,1),0)+IF(G$25&gt;=2,Quesería!$G$66*IF(G$25=2,Quesería!$B$9,1),0))*$C$10*Quesería!$B$12/365)-((IF(F$25&gt;=1,Quesería!$G$65*IF(F$25=1,Quesería!$B$9,1),0)+IF(F$25&gt;=2,Quesería!$G$66*IF(F$25=2,Quesería!$B$9,1),0))*$C$10*Quesería!$B$12/365)</f>
        <v>0</v>
      </c>
      <c r="H58" s="21" t="n">
        <f aca="false">((IF(H$25&gt;=1,Quesería!$G$65*IF(H$25=1,Quesería!$B$9,1),0)+IF(H$25&gt;=2,Quesería!$G$66*IF(H$25=2,Quesería!$B$9,1),0))*$C$10*Quesería!$B$12/365)-((IF(G$25&gt;=1,Quesería!$G$65*IF(G$25=1,Quesería!$B$9,1),0)+IF(G$25&gt;=2,Quesería!$G$66*IF(G$25=2,Quesería!$B$9,1),0))*$C$10*Quesería!$B$12/365)</f>
        <v>0</v>
      </c>
      <c r="I58" s="21" t="n">
        <f aca="false">((IF(I$25&gt;=1,Quesería!$G$65*IF(I$25=1,Quesería!$B$9,1),0)+IF(I$25&gt;=2,Quesería!$G$66*IF(I$25=2,Quesería!$B$9,1),0))*$C$10*Quesería!$B$12/365)-((IF(H$25&gt;=1,Quesería!$G$65*IF(H$25=1,Quesería!$B$9,1),0)+IF(H$25&gt;=2,Quesería!$G$66*IF(H$25=2,Quesería!$B$9,1),0))*$C$10*Quesería!$B$12/365)</f>
        <v>0</v>
      </c>
      <c r="J58" s="21" t="n">
        <f aca="false">((IF(J$25&gt;=1,Quesería!$G$65*IF(J$25=1,Quesería!$B$9,1),0)+IF(J$25&gt;=2,Quesería!$G$66*IF(J$25=2,Quesería!$B$9,1),0))*$C$10*Quesería!$B$12/365)-((IF(I$25&gt;=1,Quesería!$G$65*IF(I$25=1,Quesería!$B$9,1),0)+IF(I$25&gt;=2,Quesería!$G$66*IF(I$25=2,Quesería!$B$9,1),0))*$C$10*Quesería!$B$12/365)</f>
        <v>0</v>
      </c>
      <c r="K58" s="21" t="n">
        <f aca="false">((IF(K$25&gt;=1,Quesería!$G$65*IF(K$25=1,Quesería!$B$9,1),0)+IF(K$25&gt;=2,Quesería!$G$66*IF(K$25=2,Quesería!$B$9,1),0))*$C$10*Quesería!$B$12/365)-((IF(J$25&gt;=1,Quesería!$G$65*IF(J$25=1,Quesería!$B$9,1),0)+IF(J$25&gt;=2,Quesería!$G$66*IF(J$25=2,Quesería!$B$9,1),0))*$C$10*Quesería!$B$12/365)</f>
        <v>0</v>
      </c>
      <c r="L58" s="21" t="n">
        <f aca="false">-((IF(K$25&gt;=1,Quesería!$G$65*IF(K$25=1,Quesería!$B$9,1),0)+IF(K$25&gt;=2,Quesería!$G$66*IF(K$25=2,Quesería!$B$9,1),0))*$C$10*Quesería!$B$12/365)</f>
        <v>-15.0427397260274</v>
      </c>
    </row>
    <row r="59" customFormat="false" ht="15" hidden="false" customHeight="false" outlineLevel="0" collapsed="false">
      <c r="A59" s="7" t="s">
        <v>126</v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f aca="false">$C$8*Quesería!$B$22*(Quesería!$F$46+Quesería!$F$47)*$C$11*(1-Quesería!$B$7)</f>
        <v>0</v>
      </c>
    </row>
    <row r="60" customFormat="false" ht="15" hidden="false" customHeight="false" outlineLevel="0" collapsed="false">
      <c r="A60" s="17" t="s">
        <v>127</v>
      </c>
      <c r="B60" s="23" t="n">
        <f aca="false">B52-B53-B54-B57-B49-B58+B59</f>
        <v>-463.750173045333</v>
      </c>
      <c r="C60" s="23" t="n">
        <f aca="false">C52-C53-C54-C57-C49-C58+C59</f>
        <v>-516.078662857584</v>
      </c>
      <c r="D60" s="23" t="n">
        <f aca="false">D52-D53-D54-D57-D49-D58+D59</f>
        <v>202.562095402035</v>
      </c>
      <c r="E60" s="23" t="n">
        <f aca="false">E52-E53-E54-E57-E49-E58+E59</f>
        <v>242.259030333542</v>
      </c>
      <c r="F60" s="23" t="n">
        <f aca="false">F52-F53-F54-F57-F49-F58+F59</f>
        <v>244.509030333542</v>
      </c>
      <c r="G60" s="23" t="n">
        <f aca="false">G52-G53-G54-G57-G49-G58+G59</f>
        <v>244.509030333542</v>
      </c>
      <c r="H60" s="23" t="n">
        <f aca="false">H52-H53-H54-H57-H49-H58+H59</f>
        <v>244.509030333542</v>
      </c>
      <c r="I60" s="23" t="n">
        <f aca="false">I52-I53-I54-I57-I49-I58+I59</f>
        <v>244.509030333542</v>
      </c>
      <c r="J60" s="23" t="n">
        <f aca="false">J52-J53-J54-J57-J49-J58+J59</f>
        <v>244.509030333542</v>
      </c>
      <c r="K60" s="23" t="n">
        <f aca="false">K52-K53-K54-K57-K49-K58+K59</f>
        <v>244.509030333542</v>
      </c>
      <c r="L60" s="23" t="n">
        <f aca="false">L52-L53-L54-L57-L49-L58+L59</f>
        <v>259.551770059569</v>
      </c>
    </row>
    <row r="61" customFormat="false" ht="15" hidden="false" customHeight="false" outlineLevel="0" collapsed="false">
      <c r="A61" s="7" t="s">
        <v>128</v>
      </c>
      <c r="B61" s="21" t="n">
        <f aca="false">B60</f>
        <v>-463.750173045333</v>
      </c>
      <c r="C61" s="21" t="n">
        <f aca="false">B61+C60</f>
        <v>-979.828835902917</v>
      </c>
      <c r="D61" s="21" t="n">
        <f aca="false">C61+D60</f>
        <v>-777.266740500882</v>
      </c>
      <c r="E61" s="21" t="n">
        <f aca="false">D61+E60</f>
        <v>-535.00771016734</v>
      </c>
      <c r="F61" s="21" t="n">
        <f aca="false">E61+F60</f>
        <v>-290.498679833798</v>
      </c>
      <c r="G61" s="21" t="n">
        <f aca="false">F61+G60</f>
        <v>-45.9896495002564</v>
      </c>
      <c r="H61" s="21" t="n">
        <f aca="false">G61+H60</f>
        <v>198.519380833286</v>
      </c>
      <c r="I61" s="21" t="n">
        <f aca="false">H61+I60</f>
        <v>443.028411166828</v>
      </c>
      <c r="J61" s="21" t="n">
        <f aca="false">I61+J60</f>
        <v>687.537441500369</v>
      </c>
      <c r="K61" s="21" t="n">
        <f aca="false">J61+K60</f>
        <v>932.046471833911</v>
      </c>
      <c r="L61" s="21" t="n">
        <f aca="false">K61+L60</f>
        <v>1191.59824189348</v>
      </c>
    </row>
    <row r="62" customFormat="false" ht="15" hidden="false" customHeight="false" outlineLevel="0" collapsed="false">
      <c r="A62" s="2" t="s">
        <v>129</v>
      </c>
      <c r="B62" s="24" t="n">
        <v>0</v>
      </c>
      <c r="C62" s="24" t="n">
        <f aca="false">IF(AND(B61&lt;0,C61&gt;=0),B$25+(-B61)/C60,0)</f>
        <v>0</v>
      </c>
      <c r="D62" s="24" t="n">
        <f aca="false">IF(AND(C61&lt;0,D61&gt;=0),C$25+(-C61)/D60,0)</f>
        <v>0</v>
      </c>
      <c r="E62" s="24" t="n">
        <f aca="false">IF(AND(D61&lt;0,E61&gt;=0),D$25+(-D61)/E60,0)</f>
        <v>0</v>
      </c>
      <c r="F62" s="24" t="n">
        <f aca="false">IF(AND(E61&lt;0,F61&gt;=0),E$25+(-E61)/F60,0)</f>
        <v>0</v>
      </c>
      <c r="G62" s="24" t="n">
        <f aca="false">IF(AND(F61&lt;0,G61&gt;=0),F$25+(-F61)/G60,0)</f>
        <v>0</v>
      </c>
      <c r="H62" s="24" t="n">
        <f aca="false">IF(AND(G61&lt;0,H61&gt;=0),G$25+(-G61)/H60,0)</f>
        <v>5.18808977908718</v>
      </c>
      <c r="I62" s="24" t="n">
        <f aca="false">IF(AND(H61&lt;0,I61&gt;=0),H$25+(-H61)/I60,0)</f>
        <v>0</v>
      </c>
      <c r="J62" s="24" t="n">
        <f aca="false">IF(AND(I61&lt;0,J61&gt;=0),I$25+(-I61)/J60,0)</f>
        <v>0</v>
      </c>
      <c r="K62" s="24" t="n">
        <f aca="false">IF(AND(J61&lt;0,K61&gt;=0),J$25+(-J61)/K60,0)</f>
        <v>0</v>
      </c>
      <c r="L62" s="24" t="n">
        <f aca="false">IF(AND(K61&lt;0,L61&gt;=0),K$25+(-K61)/L60,0)</f>
        <v>0</v>
      </c>
    </row>
    <row r="63" customFormat="false" ht="15" hidden="false" customHeight="false" outlineLevel="0" collapsed="false">
      <c r="A63" s="7" t="s">
        <v>130</v>
      </c>
      <c r="B63" s="21" t="n">
        <f aca="false">Quesería!$B$23*B49</f>
        <v>324.625121131733</v>
      </c>
      <c r="C63" s="21" t="n">
        <f aca="false">Quesería!$B$23*C49</f>
        <v>402.782128018667</v>
      </c>
      <c r="D63" s="21" t="n">
        <f aca="false">Quesería!$B$23*D49</f>
        <v>0</v>
      </c>
      <c r="E63" s="21" t="n">
        <f aca="false">Quesería!$B$23*E49</f>
        <v>0</v>
      </c>
      <c r="F63" s="21" t="n">
        <f aca="false">Quesería!$B$23*F49</f>
        <v>0</v>
      </c>
      <c r="G63" s="21" t="n">
        <f aca="false">Quesería!$B$23*G49</f>
        <v>0</v>
      </c>
      <c r="H63" s="21" t="n">
        <f aca="false">Quesería!$B$23*H49</f>
        <v>0</v>
      </c>
      <c r="I63" s="21" t="n">
        <f aca="false">Quesería!$B$23*I49</f>
        <v>0</v>
      </c>
      <c r="J63" s="21" t="n">
        <f aca="false">Quesería!$B$23*J49</f>
        <v>0</v>
      </c>
      <c r="K63" s="21" t="n">
        <f aca="false">Quesería!$B$23*K49</f>
        <v>0</v>
      </c>
      <c r="L63" s="21" t="n">
        <f aca="false">Quesería!$B$23*L49</f>
        <v>0</v>
      </c>
    </row>
    <row r="64" customFormat="false" ht="15" hidden="false" customHeight="false" outlineLevel="0" collapsed="false">
      <c r="A64" s="7" t="s">
        <v>131</v>
      </c>
      <c r="B64" s="21" t="n">
        <f aca="false">IF(AND(B$25&gt;0,B$25&lt;=0+Quesería!$B$25),$C$12*((Quesería!$B$23*$B$49)-(Quesería!$B$23*$B$49)/(Quesería!$B$25-Quesería!$B$26)*MAX(0,MIN(B$25-1-0-Quesería!$B$26,(Quesería!$B$25-Quesería!$B$26)))),0)+IF(AND(B$25&gt;1,B$25&lt;=1+Quesería!$B$25),$C$12*((Quesería!$B$23*$C$49)-(Quesería!$B$23*$C$49)/(Quesería!$B$25-Quesería!$B$26)*MAX(0,MIN(B$25-1-1-Quesería!$B$26,(Quesería!$B$25-Quesería!$B$26)))),0)</f>
        <v>0</v>
      </c>
      <c r="C64" s="21" t="n">
        <f aca="false">IF(AND(C$25&gt;0,C$25&lt;=0+Quesería!$B$25),$C$12*((Quesería!$B$23*$B$49)-(Quesería!$B$23*$B$49)/(Quesería!$B$25-Quesería!$B$26)*MAX(0,MIN(C$25-1-0-Quesería!$B$26,(Quesería!$B$25-Quesería!$B$26)))),0)+IF(AND(C$25&gt;1,C$25&lt;=1+Quesería!$B$25),$C$12*((Quesería!$B$23*$C$49)-(Quesería!$B$23*$C$49)/(Quesería!$B$25-Quesería!$B$26)*MAX(0,MIN(C$25-1-1-Quesería!$B$26,(Quesería!$B$25-Quesería!$B$26)))),0)</f>
        <v>45.7721420795744</v>
      </c>
      <c r="D64" s="21" t="n">
        <f aca="false">IF(AND(D$25&gt;0,D$25&lt;=0+Quesería!$B$25),$C$12*((Quesería!$B$23*$B$49)-(Quesería!$B$23*$B$49)/(Quesería!$B$25-Quesería!$B$26)*MAX(0,MIN(D$25-1-0-Quesería!$B$26,(Quesería!$B$25-Quesería!$B$26)))),0)+IF(AND(D$25&gt;1,D$25&lt;=1+Quesería!$B$25),$C$12*((Quesería!$B$23*$C$49)-(Quesería!$B$23*$C$49)/(Quesería!$B$25-Quesería!$B$26)*MAX(0,MIN(D$25-1-1-Quesería!$B$26,(Quesería!$B$25-Quesería!$B$26)))),0)</f>
        <v>102.564422130206</v>
      </c>
      <c r="E64" s="21" t="n">
        <f aca="false">IF(AND(E$25&gt;0,E$25&lt;=0+Quesería!$B$25),$C$12*((Quesería!$B$23*$B$49)-(Quesería!$B$23*$B$49)/(Quesería!$B$25-Quesería!$B$26)*MAX(0,MIN(E$25-1-0-Quesería!$B$26,(Quesería!$B$25-Quesería!$B$26)))),0)+IF(AND(E$25&gt;1,E$25&lt;=1+Quesería!$B$25),$C$12*((Quesería!$B$23*$C$49)-(Quesería!$B$23*$C$49)/(Quesería!$B$25-Quesería!$B$26)*MAX(0,MIN(E$25-1-1-Quesería!$B$26,(Quesería!$B$25-Quesería!$B$26)))),0)</f>
        <v>94.9357317836106</v>
      </c>
      <c r="F64" s="21" t="n">
        <f aca="false">IF(AND(F$25&gt;0,F$25&lt;=0+Quesería!$B$25),$C$12*((Quesería!$B$23*$B$49)-(Quesería!$B$23*$B$49)/(Quesería!$B$25-Quesería!$B$26)*MAX(0,MIN(F$25-1-0-Quesería!$B$26,(Quesería!$B$25-Quesería!$B$26)))),0)+IF(AND(F$25&gt;1,F$25&lt;=1+Quesería!$B$25),$C$12*((Quesería!$B$23*$C$49)-(Quesería!$B$23*$C$49)/(Quesería!$B$25-Quesería!$B$26)*MAX(0,MIN(F$25-1-1-Quesería!$B$26,(Quesería!$B$25-Quesería!$B$26)))),0)</f>
        <v>77.8416614285763</v>
      </c>
      <c r="G64" s="21" t="n">
        <f aca="false">IF(AND(G$25&gt;0,G$25&lt;=0+Quesería!$B$25),$C$12*((Quesería!$B$23*$B$49)-(Quesería!$B$23*$B$49)/(Quesería!$B$25-Quesería!$B$26)*MAX(0,MIN(G$25-1-0-Quesería!$B$26,(Quesería!$B$25-Quesería!$B$26)))),0)+IF(AND(G$25&gt;1,G$25&lt;=1+Quesería!$B$25),$C$12*((Quesería!$B$23*$C$49)-(Quesería!$B$23*$C$49)/(Quesería!$B$25-Quesería!$B$26)*MAX(0,MIN(G$25-1-1-Quesería!$B$26,(Quesería!$B$25-Quesería!$B$26)))),0)</f>
        <v>60.7475910735419</v>
      </c>
      <c r="H64" s="21" t="n">
        <f aca="false">IF(AND(H$25&gt;0,H$25&lt;=0+Quesería!$B$25),$C$12*((Quesería!$B$23*$B$49)-(Quesería!$B$23*$B$49)/(Quesería!$B$25-Quesería!$B$26)*MAX(0,MIN(H$25-1-0-Quesería!$B$26,(Quesería!$B$25-Quesería!$B$26)))),0)+IF(AND(H$25&gt;1,H$25&lt;=1+Quesería!$B$25),$C$12*((Quesería!$B$23*$C$49)-(Quesería!$B$23*$C$49)/(Quesería!$B$25-Quesería!$B$26)*MAX(0,MIN(H$25-1-1-Quesería!$B$26,(Quesería!$B$25-Quesería!$B$26)))),0)</f>
        <v>43.6535207185075</v>
      </c>
      <c r="I64" s="21" t="n">
        <f aca="false">IF(AND(I$25&gt;0,I$25&lt;=0+Quesería!$B$25),$C$12*((Quesería!$B$23*$B$49)-(Quesería!$B$23*$B$49)/(Quesería!$B$25-Quesería!$B$26)*MAX(0,MIN(I$25-1-0-Quesería!$B$26,(Quesería!$B$25-Quesería!$B$26)))),0)+IF(AND(I$25&gt;1,I$25&lt;=1+Quesería!$B$25),$C$12*((Quesería!$B$23*$C$49)-(Quesería!$B$23*$C$49)/(Quesería!$B$25-Quesería!$B$26)*MAX(0,MIN(I$25-1-1-Quesería!$B$26,(Quesería!$B$25-Quesería!$B$26)))),0)</f>
        <v>26.5594503634731</v>
      </c>
      <c r="J64" s="21" t="n">
        <f aca="false">IF(AND(J$25&gt;0,J$25&lt;=0+Quesería!$B$25),$C$12*((Quesería!$B$23*$B$49)-(Quesería!$B$23*$B$49)/(Quesería!$B$25-Quesería!$B$26)*MAX(0,MIN(J$25-1-0-Quesería!$B$26,(Quesería!$B$25-Quesería!$B$26)))),0)+IF(AND(J$25&gt;1,J$25&lt;=1+Quesería!$B$25),$C$12*((Quesería!$B$23*$C$49)-(Quesería!$B$23*$C$49)/(Quesería!$B$25-Quesería!$B$26)*MAX(0,MIN(J$25-1-1-Quesería!$B$26,(Quesería!$B$25-Quesería!$B$26)))),0)</f>
        <v>9.46538000843867</v>
      </c>
      <c r="K64" s="21" t="n">
        <f aca="false">IF(AND(K$25&gt;0,K$25&lt;=0+Quesería!$B$25),$C$12*((Quesería!$B$23*$B$49)-(Quesería!$B$23*$B$49)/(Quesería!$B$25-Quesería!$B$26)*MAX(0,MIN(K$25-1-0-Quesería!$B$26,(Quesería!$B$25-Quesería!$B$26)))),0)+IF(AND(K$25&gt;1,K$25&lt;=1+Quesería!$B$25),$C$12*((Quesería!$B$23*$C$49)-(Quesería!$B$23*$C$49)/(Quesería!$B$25-Quesería!$B$26)*MAX(0,MIN(K$25-1-1-Quesería!$B$26,(Quesería!$B$25-Quesería!$B$26)))),0)</f>
        <v>0</v>
      </c>
      <c r="L64" s="21" t="n">
        <f aca="false">IF(AND(L$25&gt;0,L$25&lt;=0+Quesería!$B$25),$C$12*((Quesería!$B$23*$B$49)-(Quesería!$B$23*$B$49)/(Quesería!$B$25-Quesería!$B$26)*MAX(0,MIN(L$25-1-0-Quesería!$B$26,(Quesería!$B$25-Quesería!$B$26)))),0)+IF(AND(L$25&gt;1,L$25&lt;=1+Quesería!$B$25),$C$12*((Quesería!$B$23*$C$49)-(Quesería!$B$23*$C$49)/(Quesería!$B$25-Quesería!$B$26)*MAX(0,MIN(L$25-1-1-Quesería!$B$26,(Quesería!$B$25-Quesería!$B$26)))),0)</f>
        <v>0</v>
      </c>
    </row>
    <row r="65" customFormat="false" ht="15" hidden="false" customHeight="false" outlineLevel="0" collapsed="false">
      <c r="A65" s="7" t="s">
        <v>132</v>
      </c>
      <c r="B65" s="21" t="n">
        <f aca="false">IF(AND(B$25&gt;0+Quesería!$B$26,B$25&lt;=0+Quesería!$B$25),(Quesería!$B$23*$B$49)/(Quesería!$B$25-Quesería!$B$26),0)+IF(AND(B$25&gt;1+Quesería!$B$26,B$25&lt;=1+Quesería!$B$25),(Quesería!$B$23*$C$49)/(Quesería!$B$25-Quesería!$B$26),0)</f>
        <v>0</v>
      </c>
      <c r="C65" s="21" t="n">
        <f aca="false">IF(AND(C$25&gt;0+Quesería!$B$26,C$25&lt;=0+Quesería!$B$25),(Quesería!$B$23*$B$49)/(Quesería!$B$25-Quesería!$B$26),0)+IF(AND(C$25&gt;1+Quesería!$B$26,C$25&lt;=1+Quesería!$B$25),(Quesería!$B$23*$C$49)/(Quesería!$B$25-Quesería!$B$26),0)</f>
        <v>0</v>
      </c>
      <c r="D65" s="21" t="n">
        <f aca="false">IF(AND(D$25&gt;0+Quesería!$B$26,D$25&lt;=0+Quesería!$B$25),(Quesería!$B$23*$B$49)/(Quesería!$B$25-Quesería!$B$26),0)+IF(AND(D$25&gt;1+Quesería!$B$26,D$25&lt;=1+Quesería!$B$25),(Quesería!$B$23*$C$49)/(Quesería!$B$25-Quesería!$B$26),0)</f>
        <v>54.1041868552889</v>
      </c>
      <c r="E65" s="21" t="n">
        <f aca="false">IF(AND(E$25&gt;0+Quesería!$B$26,E$25&lt;=0+Quesería!$B$25),(Quesería!$B$23*$B$49)/(Quesería!$B$25-Quesería!$B$26),0)+IF(AND(E$25&gt;1+Quesería!$B$26,E$25&lt;=1+Quesería!$B$25),(Quesería!$B$23*$C$49)/(Quesería!$B$25-Quesería!$B$26),0)</f>
        <v>121.234541525067</v>
      </c>
      <c r="F65" s="21" t="n">
        <f aca="false">IF(AND(F$25&gt;0+Quesería!$B$26,F$25&lt;=0+Quesería!$B$25),(Quesería!$B$23*$B$49)/(Quesería!$B$25-Quesería!$B$26),0)+IF(AND(F$25&gt;1+Quesería!$B$26,F$25&lt;=1+Quesería!$B$25),(Quesería!$B$23*$C$49)/(Quesería!$B$25-Quesería!$B$26),0)</f>
        <v>121.234541525067</v>
      </c>
      <c r="G65" s="21" t="n">
        <f aca="false">IF(AND(G$25&gt;0+Quesería!$B$26,G$25&lt;=0+Quesería!$B$25),(Quesería!$B$23*$B$49)/(Quesería!$B$25-Quesería!$B$26),0)+IF(AND(G$25&gt;1+Quesería!$B$26,G$25&lt;=1+Quesería!$B$25),(Quesería!$B$23*$C$49)/(Quesería!$B$25-Quesería!$B$26),0)</f>
        <v>121.234541525067</v>
      </c>
      <c r="H65" s="21" t="n">
        <f aca="false">IF(AND(H$25&gt;0+Quesería!$B$26,H$25&lt;=0+Quesería!$B$25),(Quesería!$B$23*$B$49)/(Quesería!$B$25-Quesería!$B$26),0)+IF(AND(H$25&gt;1+Quesería!$B$26,H$25&lt;=1+Quesería!$B$25),(Quesería!$B$23*$C$49)/(Quesería!$B$25-Quesería!$B$26),0)</f>
        <v>121.234541525067</v>
      </c>
      <c r="I65" s="21" t="n">
        <f aca="false">IF(AND(I$25&gt;0+Quesería!$B$26,I$25&lt;=0+Quesería!$B$25),(Quesería!$B$23*$B$49)/(Quesería!$B$25-Quesería!$B$26),0)+IF(AND(I$25&gt;1+Quesería!$B$26,I$25&lt;=1+Quesería!$B$25),(Quesería!$B$23*$C$49)/(Quesería!$B$25-Quesería!$B$26),0)</f>
        <v>121.234541525067</v>
      </c>
      <c r="J65" s="21" t="n">
        <f aca="false">IF(AND(J$25&gt;0+Quesería!$B$26,J$25&lt;=0+Quesería!$B$25),(Quesería!$B$23*$B$49)/(Quesería!$B$25-Quesería!$B$26),0)+IF(AND(J$25&gt;1+Quesería!$B$26,J$25&lt;=1+Quesería!$B$25),(Quesería!$B$23*$C$49)/(Quesería!$B$25-Quesería!$B$26),0)</f>
        <v>67.1303546697778</v>
      </c>
      <c r="K65" s="21" t="n">
        <f aca="false">IF(AND(K$25&gt;0+Quesería!$B$26,K$25&lt;=0+Quesería!$B$25),(Quesería!$B$23*$B$49)/(Quesería!$B$25-Quesería!$B$26),0)+IF(AND(K$25&gt;1+Quesería!$B$26,K$25&lt;=1+Quesería!$B$25),(Quesería!$B$23*$C$49)/(Quesería!$B$25-Quesería!$B$26),0)</f>
        <v>0</v>
      </c>
      <c r="L65" s="21" t="n">
        <f aca="false">IF(AND(L$25&gt;0+Quesería!$B$26,L$25&lt;=0+Quesería!$B$25),(Quesería!$B$23*$B$49)/(Quesería!$B$25-Quesería!$B$26),0)+IF(AND(L$25&gt;1+Quesería!$B$26,L$25&lt;=1+Quesería!$B$25),(Quesería!$B$23*$C$49)/(Quesería!$B$25-Quesería!$B$26),0)</f>
        <v>0</v>
      </c>
    </row>
    <row r="66" customFormat="false" ht="15" hidden="false" customHeight="false" outlineLevel="0" collapsed="false">
      <c r="A66" s="7" t="s">
        <v>133</v>
      </c>
      <c r="B66" s="21" t="n">
        <f aca="false">Quesería!$B$7*B64</f>
        <v>0</v>
      </c>
      <c r="C66" s="21" t="n">
        <f aca="false">Quesería!$B$7*C64</f>
        <v>16.020249727851</v>
      </c>
      <c r="D66" s="21" t="n">
        <f aca="false">Quesería!$B$7*D64</f>
        <v>35.8975477455722</v>
      </c>
      <c r="E66" s="21" t="n">
        <f aca="false">Quesería!$B$7*E64</f>
        <v>33.2275061242637</v>
      </c>
      <c r="F66" s="21" t="n">
        <f aca="false">Quesería!$B$7*F64</f>
        <v>27.2445815000017</v>
      </c>
      <c r="G66" s="21" t="n">
        <f aca="false">Quesería!$B$7*G64</f>
        <v>21.2616568757396</v>
      </c>
      <c r="H66" s="21" t="n">
        <f aca="false">Quesería!$B$7*H64</f>
        <v>15.2787322514776</v>
      </c>
      <c r="I66" s="21" t="n">
        <f aca="false">Quesería!$B$7*I64</f>
        <v>9.29580762721557</v>
      </c>
      <c r="J66" s="21" t="n">
        <f aca="false">Quesería!$B$7*J64</f>
        <v>3.31288300295353</v>
      </c>
      <c r="K66" s="21" t="n">
        <f aca="false">Quesería!$B$7*K64</f>
        <v>0</v>
      </c>
      <c r="L66" s="21" t="n">
        <f aca="false">Quesería!$B$7*L64</f>
        <v>0</v>
      </c>
    </row>
    <row r="67" customFormat="false" ht="15" hidden="false" customHeight="false" outlineLevel="0" collapsed="false">
      <c r="A67" s="17" t="s">
        <v>134</v>
      </c>
      <c r="B67" s="23" t="n">
        <f aca="false">B60+B63-B64-B65+B66</f>
        <v>-139.1250519136</v>
      </c>
      <c r="C67" s="23" t="n">
        <f aca="false">C60+C63-C64-C65+C66</f>
        <v>-143.048427190641</v>
      </c>
      <c r="D67" s="23" t="n">
        <f aca="false">D60+D63-D64-D65+D66</f>
        <v>81.7910341621121</v>
      </c>
      <c r="E67" s="23" t="n">
        <f aca="false">E60+E63-E64-E65+E66</f>
        <v>59.3162631491284</v>
      </c>
      <c r="F67" s="23" t="n">
        <f aca="false">F60+F63-F64-F65+F66</f>
        <v>72.6774088799007</v>
      </c>
      <c r="G67" s="23" t="n">
        <f aca="false">G60+G63-G64-G65+G66</f>
        <v>83.7885546106731</v>
      </c>
      <c r="H67" s="23" t="n">
        <f aca="false">H60+H63-H64-H65+H66</f>
        <v>94.8997003414455</v>
      </c>
      <c r="I67" s="23" t="n">
        <f aca="false">I60+I63-I64-I65+I66</f>
        <v>106.010846072218</v>
      </c>
      <c r="J67" s="23" t="n">
        <f aca="false">J60+J63-J64-J65+J66</f>
        <v>171.226178658279</v>
      </c>
      <c r="K67" s="23" t="n">
        <f aca="false">K60+K63-K64-K65+K66</f>
        <v>244.509030333542</v>
      </c>
      <c r="L67" s="23" t="n">
        <f aca="false">L60+L63-L64-L65+L66</f>
        <v>259.551770059569</v>
      </c>
    </row>
    <row r="69" customFormat="false" ht="15" hidden="false" customHeight="false" outlineLevel="0" collapsed="false">
      <c r="A69" s="35" t="s">
        <v>158</v>
      </c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</row>
    <row r="70" customFormat="false" ht="15" hidden="false" customHeight="false" outlineLevel="0" collapsed="false">
      <c r="A70" s="7" t="s">
        <v>60</v>
      </c>
      <c r="B70" s="21" t="n">
        <f aca="false">IF(B$25=0,Quesería!$F$44,IF(B$25=1,Quesería!$F$45,0))*$D$11</f>
        <v>463.750173045333</v>
      </c>
      <c r="C70" s="21" t="n">
        <f aca="false">IF(C$25=0,Quesería!$F$44,IF(C$25=1,Quesería!$F$45,0))*$D$11</f>
        <v>575.403040026667</v>
      </c>
      <c r="D70" s="21" t="n">
        <f aca="false">IF(D$25=0,Quesería!$F$44,IF(D$25=1,Quesería!$F$45,0))*$D$11</f>
        <v>0</v>
      </c>
      <c r="E70" s="21" t="n">
        <f aca="false">IF(E$25=0,Quesería!$F$44,IF(E$25=1,Quesería!$F$45,0))*$D$11</f>
        <v>0</v>
      </c>
      <c r="F70" s="21" t="n">
        <f aca="false">IF(F$25=0,Quesería!$F$44,IF(F$25=1,Quesería!$F$45,0))*$D$11</f>
        <v>0</v>
      </c>
      <c r="G70" s="21" t="n">
        <f aca="false">IF(G$25=0,Quesería!$F$44,IF(G$25=1,Quesería!$F$45,0))*$D$11</f>
        <v>0</v>
      </c>
      <c r="H70" s="21" t="n">
        <f aca="false">IF(H$25=0,Quesería!$F$44,IF(H$25=1,Quesería!$F$45,0))*$D$11</f>
        <v>0</v>
      </c>
      <c r="I70" s="21" t="n">
        <f aca="false">IF(I$25=0,Quesería!$F$44,IF(I$25=1,Quesería!$F$45,0))*$D$11</f>
        <v>0</v>
      </c>
      <c r="J70" s="21" t="n">
        <f aca="false">IF(J$25=0,Quesería!$F$44,IF(J$25=1,Quesería!$F$45,0))*$D$11</f>
        <v>0</v>
      </c>
      <c r="K70" s="21" t="n">
        <f aca="false">IF(K$25=0,Quesería!$F$44,IF(K$25=1,Quesería!$F$45,0))*$D$11</f>
        <v>0</v>
      </c>
      <c r="L70" s="21" t="n">
        <f aca="false">IF(L$25=0,Quesería!$F$44,IF(L$25=1,Quesería!$F$45,0))*$D$11</f>
        <v>0</v>
      </c>
    </row>
    <row r="71" customFormat="false" ht="15" hidden="false" customHeight="false" outlineLevel="0" collapsed="false">
      <c r="A71" s="7" t="s">
        <v>101</v>
      </c>
      <c r="B71" s="21" t="n">
        <f aca="false">IF(B$25=0,0,IF(B$25=1,Quesería!$E$63*Quesería!$B$9,Quesería!$E$63))*$D$10</f>
        <v>0</v>
      </c>
      <c r="C71" s="21" t="n">
        <f aca="false">IF(C$25=0,0,IF(C$25=1,Quesería!$E$63*Quesería!$B$9,Quesería!$E$63))*$D$10</f>
        <v>112.56550139541</v>
      </c>
      <c r="D71" s="21" t="n">
        <f aca="false">IF(D$25=0,0,IF(D$25=1,Quesería!$E$63*Quesería!$B$9,Quesería!$E$63))*$D$10</f>
        <v>150.08733519388</v>
      </c>
      <c r="E71" s="21" t="n">
        <f aca="false">IF(E$25=0,0,IF(E$25=1,Quesería!$E$63*Quesería!$B$9,Quesería!$E$63))*$D$10</f>
        <v>150.08733519388</v>
      </c>
      <c r="F71" s="21" t="n">
        <f aca="false">IF(F$25=0,0,IF(F$25=1,Quesería!$E$63*Quesería!$B$9,Quesería!$E$63))*$D$10</f>
        <v>150.08733519388</v>
      </c>
      <c r="G71" s="21" t="n">
        <f aca="false">IF(G$25=0,0,IF(G$25=1,Quesería!$E$63*Quesería!$B$9,Quesería!$E$63))*$D$10</f>
        <v>150.08733519388</v>
      </c>
      <c r="H71" s="21" t="n">
        <f aca="false">IF(H$25=0,0,IF(H$25=1,Quesería!$E$63*Quesería!$B$9,Quesería!$E$63))*$D$10</f>
        <v>150.08733519388</v>
      </c>
      <c r="I71" s="21" t="n">
        <f aca="false">IF(I$25=0,0,IF(I$25=1,Quesería!$E$63*Quesería!$B$9,Quesería!$E$63))*$D$10</f>
        <v>150.08733519388</v>
      </c>
      <c r="J71" s="21" t="n">
        <f aca="false">IF(J$25=0,0,IF(J$25=1,Quesería!$E$63*Quesería!$B$9,Quesería!$E$63))*$D$10</f>
        <v>150.08733519388</v>
      </c>
      <c r="K71" s="21" t="n">
        <f aca="false">IF(K$25=0,0,IF(K$25=1,Quesería!$E$63*Quesería!$B$9,Quesería!$E$63))*$D$10</f>
        <v>150.08733519388</v>
      </c>
      <c r="L71" s="21" t="n">
        <f aca="false">IF(L$25=0,0,IF(L$25=1,Quesería!$E$63*Quesería!$B$9,Quesería!$E$63))*$D$10</f>
        <v>150.08733519388</v>
      </c>
    </row>
    <row r="72" customFormat="false" ht="15" hidden="false" customHeight="false" outlineLevel="0" collapsed="false">
      <c r="A72" s="7" t="s">
        <v>102</v>
      </c>
      <c r="B72" s="21" t="n">
        <f aca="false">IF(B$25&lt;=1,0,IF(B$25=2,(Quesería!$E$64-Quesería!$E$58+$D$6*Quesería!$E$58-(1-$D$9)*Quesería!$E$61)*Quesería!$B$9,(Quesería!$E$64-Quesería!$E$58+$D$6*Quesería!$E$58-(1-$D$9)*Quesería!$E$61)))*$D$10</f>
        <v>0</v>
      </c>
      <c r="C72" s="21" t="n">
        <f aca="false">IF(C$25&lt;=1,0,IF(C$25=2,(Quesería!$E$64-Quesería!$E$58+$D$6*Quesería!$E$58-(1-$D$9)*Quesería!$E$61)*Quesería!$B$9,(Quesería!$E$64-Quesería!$E$58+$D$6*Quesería!$E$58-(1-$D$9)*Quesería!$E$61)))*$D$10</f>
        <v>0</v>
      </c>
      <c r="D72" s="21" t="n">
        <f aca="false">IF(D$25&lt;=1,0,IF(D$25=2,(Quesería!$E$64-Quesería!$E$58+$D$6*Quesería!$E$58-(1-$D$9)*Quesería!$E$61)*Quesería!$B$9,(Quesería!$E$64-Quesería!$E$58+$D$6*Quesería!$E$58-(1-$D$9)*Quesería!$E$61)))*$D$10</f>
        <v>110.325</v>
      </c>
      <c r="E72" s="21" t="n">
        <f aca="false">IF(E$25&lt;=1,0,IF(E$25=2,(Quesería!$E$64-Quesería!$E$58+$D$6*Quesería!$E$58-(1-$D$9)*Quesería!$E$61)*Quesería!$B$9,(Quesería!$E$64-Quesería!$E$58+$D$6*Quesería!$E$58-(1-$D$9)*Quesería!$E$61)))*$D$10</f>
        <v>147.1</v>
      </c>
      <c r="F72" s="21" t="n">
        <f aca="false">IF(F$25&lt;=1,0,IF(F$25=2,(Quesería!$E$64-Quesería!$E$58+$D$6*Quesería!$E$58-(1-$D$9)*Quesería!$E$61)*Quesería!$B$9,(Quesería!$E$64-Quesería!$E$58+$D$6*Quesería!$E$58-(1-$D$9)*Quesería!$E$61)))*$D$10</f>
        <v>147.1</v>
      </c>
      <c r="G72" s="21" t="n">
        <f aca="false">IF(G$25&lt;=1,0,IF(G$25=2,(Quesería!$E$64-Quesería!$E$58+$D$6*Quesería!$E$58-(1-$D$9)*Quesería!$E$61)*Quesería!$B$9,(Quesería!$E$64-Quesería!$E$58+$D$6*Quesería!$E$58-(1-$D$9)*Quesería!$E$61)))*$D$10</f>
        <v>147.1</v>
      </c>
      <c r="H72" s="21" t="n">
        <f aca="false">IF(H$25&lt;=1,0,IF(H$25=2,(Quesería!$E$64-Quesería!$E$58+$D$6*Quesería!$E$58-(1-$D$9)*Quesería!$E$61)*Quesería!$B$9,(Quesería!$E$64-Quesería!$E$58+$D$6*Quesería!$E$58-(1-$D$9)*Quesería!$E$61)))*$D$10</f>
        <v>147.1</v>
      </c>
      <c r="I72" s="21" t="n">
        <f aca="false">IF(I$25&lt;=1,0,IF(I$25=2,(Quesería!$E$64-Quesería!$E$58+$D$6*Quesería!$E$58-(1-$D$9)*Quesería!$E$61)*Quesería!$B$9,(Quesería!$E$64-Quesería!$E$58+$D$6*Quesería!$E$58-(1-$D$9)*Quesería!$E$61)))*$D$10</f>
        <v>147.1</v>
      </c>
      <c r="J72" s="21" t="n">
        <f aca="false">IF(J$25&lt;=1,0,IF(J$25=2,(Quesería!$E$64-Quesería!$E$58+$D$6*Quesería!$E$58-(1-$D$9)*Quesería!$E$61)*Quesería!$B$9,(Quesería!$E$64-Quesería!$E$58+$D$6*Quesería!$E$58-(1-$D$9)*Quesería!$E$61)))*$D$10</f>
        <v>147.1</v>
      </c>
      <c r="K72" s="21" t="n">
        <f aca="false">IF(K$25&lt;=1,0,IF(K$25=2,(Quesería!$E$64-Quesería!$E$58+$D$6*Quesería!$E$58-(1-$D$9)*Quesería!$E$61)*Quesería!$B$9,(Quesería!$E$64-Quesería!$E$58+$D$6*Quesería!$E$58-(1-$D$9)*Quesería!$E$61)))*$D$10</f>
        <v>147.1</v>
      </c>
      <c r="L72" s="21" t="n">
        <f aca="false">IF(L$25&lt;=1,0,IF(L$25=2,(Quesería!$E$64-Quesería!$E$58+$D$6*Quesería!$E$58-(1-$D$9)*Quesería!$E$61)*Quesería!$B$9,(Quesería!$E$64-Quesería!$E$58+$D$6*Quesería!$E$58-(1-$D$9)*Quesería!$E$61)))*$D$10</f>
        <v>147.1</v>
      </c>
    </row>
    <row r="73" customFormat="false" ht="15" hidden="false" customHeight="false" outlineLevel="0" collapsed="false">
      <c r="A73" s="17" t="s">
        <v>120</v>
      </c>
      <c r="B73" s="22" t="n">
        <f aca="false">B71+B72</f>
        <v>0</v>
      </c>
      <c r="C73" s="22" t="n">
        <f aca="false">C71+C72</f>
        <v>112.56550139541</v>
      </c>
      <c r="D73" s="22" t="n">
        <f aca="false">D71+D72</f>
        <v>260.41233519388</v>
      </c>
      <c r="E73" s="22" t="n">
        <f aca="false">E71+E72</f>
        <v>297.18733519388</v>
      </c>
      <c r="F73" s="22" t="n">
        <f aca="false">F71+F72</f>
        <v>297.18733519388</v>
      </c>
      <c r="G73" s="22" t="n">
        <f aca="false">G71+G72</f>
        <v>297.18733519388</v>
      </c>
      <c r="H73" s="22" t="n">
        <f aca="false">H71+H72</f>
        <v>297.18733519388</v>
      </c>
      <c r="I73" s="22" t="n">
        <f aca="false">I71+I72</f>
        <v>297.18733519388</v>
      </c>
      <c r="J73" s="22" t="n">
        <f aca="false">J71+J72</f>
        <v>297.18733519388</v>
      </c>
      <c r="K73" s="22" t="n">
        <f aca="false">K71+K72</f>
        <v>297.18733519388</v>
      </c>
      <c r="L73" s="22" t="n">
        <f aca="false">L71+L72</f>
        <v>297.18733519388</v>
      </c>
    </row>
    <row r="74" customFormat="false" ht="15" hidden="false" customHeight="false" outlineLevel="0" collapsed="false">
      <c r="A74" s="7" t="s">
        <v>121</v>
      </c>
      <c r="B74" s="21" t="n">
        <f aca="false">IF(B$25&gt;=1,Quesería!$B$10*Quesería!$F$46*$D$11+Quesería!$B$11,0)+IF(B$25&gt;=2,Quesería!$B$10*Quesería!$F$47*$D$11,0)</f>
        <v>0</v>
      </c>
      <c r="C74" s="21" t="n">
        <f aca="false">IF(C$25&gt;=1,Quesería!$B$10*Quesería!$F$46*$D$11+Quesería!$B$11,0)+IF(C$25&gt;=2,Quesería!$B$10*Quesería!$F$47*$D$11,0)</f>
        <v>21.296</v>
      </c>
      <c r="D74" s="21" t="n">
        <f aca="false">IF(D$25&gt;=1,Quesería!$B$10*Quesería!$F$46*$D$11+Quesería!$B$11,0)+IF(D$25&gt;=2,Quesería!$B$10*Quesería!$F$47*$D$11,0)</f>
        <v>37.174</v>
      </c>
      <c r="E74" s="21" t="n">
        <f aca="false">IF(E$25&gt;=1,Quesería!$B$10*Quesería!$F$46*$D$11+Quesería!$B$11,0)+IF(E$25&gt;=2,Quesería!$B$10*Quesería!$F$47*$D$11,0)</f>
        <v>37.174</v>
      </c>
      <c r="F74" s="21" t="n">
        <f aca="false">IF(F$25&gt;=1,Quesería!$B$10*Quesería!$F$46*$D$11+Quesería!$B$11,0)+IF(F$25&gt;=2,Quesería!$B$10*Quesería!$F$47*$D$11,0)</f>
        <v>37.174</v>
      </c>
      <c r="G74" s="21" t="n">
        <f aca="false">IF(G$25&gt;=1,Quesería!$B$10*Quesería!$F$46*$D$11+Quesería!$B$11,0)+IF(G$25&gt;=2,Quesería!$B$10*Quesería!$F$47*$D$11,0)</f>
        <v>37.174</v>
      </c>
      <c r="H74" s="21" t="n">
        <f aca="false">IF(H$25&gt;=1,Quesería!$B$10*Quesería!$F$46*$D$11+Quesería!$B$11,0)+IF(H$25&gt;=2,Quesería!$B$10*Quesería!$F$47*$D$11,0)</f>
        <v>37.174</v>
      </c>
      <c r="I74" s="21" t="n">
        <f aca="false">IF(I$25&gt;=1,Quesería!$B$10*Quesería!$F$46*$D$11+Quesería!$B$11,0)+IF(I$25&gt;=2,Quesería!$B$10*Quesería!$F$47*$D$11,0)</f>
        <v>37.174</v>
      </c>
      <c r="J74" s="21" t="n">
        <f aca="false">IF(J$25&gt;=1,Quesería!$B$10*Quesería!$F$46*$D$11+Quesería!$B$11,0)+IF(J$25&gt;=2,Quesería!$B$10*Quesería!$F$47*$D$11,0)</f>
        <v>37.174</v>
      </c>
      <c r="K74" s="21" t="n">
        <f aca="false">IF(K$25&gt;=1,Quesería!$B$10*Quesería!$F$46*$D$11+Quesería!$B$11,0)+IF(K$25&gt;=2,Quesería!$B$10*Quesería!$F$47*$D$11,0)</f>
        <v>37.174</v>
      </c>
      <c r="L74" s="21" t="n">
        <f aca="false">IF(L$25&gt;=1,Quesería!$B$10*Quesería!$F$46*$D$11+Quesería!$B$11,0)+IF(L$25&gt;=2,Quesería!$B$10*Quesería!$F$47*$D$11,0)</f>
        <v>37.174</v>
      </c>
    </row>
    <row r="75" customFormat="false" ht="15" hidden="false" customHeight="false" outlineLevel="0" collapsed="false">
      <c r="A75" s="7" t="s">
        <v>122</v>
      </c>
      <c r="B75" s="21" t="n">
        <f aca="false">IF(B$25=1,2*Quesería!$B$19*Quesería!$B$20/12,0)</f>
        <v>0</v>
      </c>
      <c r="C75" s="21" t="n">
        <f aca="false">IF(C$25=1,2*Quesería!$B$19*Quesería!$B$20/12,0)</f>
        <v>18</v>
      </c>
      <c r="D75" s="21" t="n">
        <f aca="false">IF(D$25=1,2*Quesería!$B$19*Quesería!$B$20/12,0)</f>
        <v>0</v>
      </c>
      <c r="E75" s="21" t="n">
        <f aca="false">IF(E$25=1,2*Quesería!$B$19*Quesería!$B$20/12,0)</f>
        <v>0</v>
      </c>
      <c r="F75" s="21" t="n">
        <f aca="false">IF(F$25=1,2*Quesería!$B$19*Quesería!$B$20/12,0)</f>
        <v>0</v>
      </c>
      <c r="G75" s="21" t="n">
        <f aca="false">IF(G$25=1,2*Quesería!$B$19*Quesería!$B$20/12,0)</f>
        <v>0</v>
      </c>
      <c r="H75" s="21" t="n">
        <f aca="false">IF(H$25=1,2*Quesería!$B$19*Quesería!$B$20/12,0)</f>
        <v>0</v>
      </c>
      <c r="I75" s="21" t="n">
        <f aca="false">IF(I$25=1,2*Quesería!$B$19*Quesería!$B$20/12,0)</f>
        <v>0</v>
      </c>
      <c r="J75" s="21" t="n">
        <f aca="false">IF(J$25=1,2*Quesería!$B$19*Quesería!$B$20/12,0)</f>
        <v>0</v>
      </c>
      <c r="K75" s="21" t="n">
        <f aca="false">IF(K$25=1,2*Quesería!$B$19*Quesería!$B$20/12,0)</f>
        <v>0</v>
      </c>
      <c r="L75" s="21" t="n">
        <f aca="false">IF(L$25=1,2*Quesería!$B$19*Quesería!$B$20/12,0)</f>
        <v>0</v>
      </c>
    </row>
    <row r="76" customFormat="false" ht="15" hidden="false" customHeight="false" outlineLevel="0" collapsed="false">
      <c r="A76" s="7" t="s">
        <v>123</v>
      </c>
      <c r="B76" s="21" t="n">
        <f aca="false">(IF(AND(B$25&gt;=1,B$25&lt;=Quesería!$B$8),Quesería!$F$44/Quesería!$B$8,0)+IF(AND(B$25&gt;=2,B$25&lt;=Quesería!$B$8+1),Quesería!$F$45/Quesería!$B$8,0))*$D$11</f>
        <v>0</v>
      </c>
      <c r="C76" s="21" t="n">
        <f aca="false">(IF(AND(C$25&gt;=1,C$25&lt;=Quesería!$B$8),Quesería!$F$44/Quesería!$B$8,0)+IF(AND(C$25&gt;=2,C$25&lt;=Quesería!$B$8+1),Quesería!$F$45/Quesería!$B$8,0))*$D$11</f>
        <v>46.3750173045333</v>
      </c>
      <c r="D76" s="21" t="n">
        <f aca="false">(IF(AND(D$25&gt;=1,D$25&lt;=Quesería!$B$8),Quesería!$F$44/Quesería!$B$8,0)+IF(AND(D$25&gt;=2,D$25&lt;=Quesería!$B$8+1),Quesería!$F$45/Quesería!$B$8,0))*$D$11</f>
        <v>103.9153213072</v>
      </c>
      <c r="E76" s="21" t="n">
        <f aca="false">(IF(AND(E$25&gt;=1,E$25&lt;=Quesería!$B$8),Quesería!$F$44/Quesería!$B$8,0)+IF(AND(E$25&gt;=2,E$25&lt;=Quesería!$B$8+1),Quesería!$F$45/Quesería!$B$8,0))*$D$11</f>
        <v>103.9153213072</v>
      </c>
      <c r="F76" s="21" t="n">
        <f aca="false">(IF(AND(F$25&gt;=1,F$25&lt;=Quesería!$B$8),Quesería!$F$44/Quesería!$B$8,0)+IF(AND(F$25&gt;=2,F$25&lt;=Quesería!$B$8+1),Quesería!$F$45/Quesería!$B$8,0))*$D$11</f>
        <v>103.9153213072</v>
      </c>
      <c r="G76" s="21" t="n">
        <f aca="false">(IF(AND(G$25&gt;=1,G$25&lt;=Quesería!$B$8),Quesería!$F$44/Quesería!$B$8,0)+IF(AND(G$25&gt;=2,G$25&lt;=Quesería!$B$8+1),Quesería!$F$45/Quesería!$B$8,0))*$D$11</f>
        <v>103.9153213072</v>
      </c>
      <c r="H76" s="21" t="n">
        <f aca="false">(IF(AND(H$25&gt;=1,H$25&lt;=Quesería!$B$8),Quesería!$F$44/Quesería!$B$8,0)+IF(AND(H$25&gt;=2,H$25&lt;=Quesería!$B$8+1),Quesería!$F$45/Quesería!$B$8,0))*$D$11</f>
        <v>103.9153213072</v>
      </c>
      <c r="I76" s="21" t="n">
        <f aca="false">(IF(AND(I$25&gt;=1,I$25&lt;=Quesería!$B$8),Quesería!$F$44/Quesería!$B$8,0)+IF(AND(I$25&gt;=2,I$25&lt;=Quesería!$B$8+1),Quesería!$F$45/Quesería!$B$8,0))*$D$11</f>
        <v>103.9153213072</v>
      </c>
      <c r="J76" s="21" t="n">
        <f aca="false">(IF(AND(J$25&gt;=1,J$25&lt;=Quesería!$B$8),Quesería!$F$44/Quesería!$B$8,0)+IF(AND(J$25&gt;=2,J$25&lt;=Quesería!$B$8+1),Quesería!$F$45/Quesería!$B$8,0))*$D$11</f>
        <v>103.9153213072</v>
      </c>
      <c r="K76" s="21" t="n">
        <f aca="false">(IF(AND(K$25&gt;=1,K$25&lt;=Quesería!$B$8),Quesería!$F$44/Quesería!$B$8,0)+IF(AND(K$25&gt;=2,K$25&lt;=Quesería!$B$8+1),Quesería!$F$45/Quesería!$B$8,0))*$D$11</f>
        <v>103.9153213072</v>
      </c>
      <c r="L76" s="21" t="n">
        <f aca="false">(IF(AND(L$25&gt;=1,L$25&lt;=Quesería!$B$8),Quesería!$F$44/Quesería!$B$8,0)+IF(AND(L$25&gt;=2,L$25&lt;=Quesería!$B$8+1),Quesería!$F$45/Quesería!$B$8,0))*$D$11</f>
        <v>103.9153213072</v>
      </c>
    </row>
    <row r="77" customFormat="false" ht="15" hidden="false" customHeight="false" outlineLevel="0" collapsed="false">
      <c r="A77" s="7" t="s">
        <v>124</v>
      </c>
      <c r="B77" s="21" t="n">
        <f aca="false">IF(B$25=1,$D$7*Quesería!$B$21*Quesería!$F$40*$D$11,0)</f>
        <v>0</v>
      </c>
      <c r="C77" s="21" t="n">
        <f aca="false">IF(C$25=1,$D$7*Quesería!$B$21*Quesería!$F$40*$D$11,0)</f>
        <v>20</v>
      </c>
      <c r="D77" s="21" t="n">
        <f aca="false">IF(D$25=1,$D$7*Quesería!$B$21*Quesería!$F$40*$D$11,0)</f>
        <v>0</v>
      </c>
      <c r="E77" s="21" t="n">
        <f aca="false">IF(E$25=1,$D$7*Quesería!$B$21*Quesería!$F$40*$D$11,0)</f>
        <v>0</v>
      </c>
      <c r="F77" s="21" t="n">
        <f aca="false">IF(F$25=1,$D$7*Quesería!$B$21*Quesería!$F$40*$D$11,0)</f>
        <v>0</v>
      </c>
      <c r="G77" s="21" t="n">
        <f aca="false">IF(G$25=1,$D$7*Quesería!$B$21*Quesería!$F$40*$D$11,0)</f>
        <v>0</v>
      </c>
      <c r="H77" s="21" t="n">
        <f aca="false">IF(H$25=1,$D$7*Quesería!$B$21*Quesería!$F$40*$D$11,0)</f>
        <v>0</v>
      </c>
      <c r="I77" s="21" t="n">
        <f aca="false">IF(I$25=1,$D$7*Quesería!$B$21*Quesería!$F$40*$D$11,0)</f>
        <v>0</v>
      </c>
      <c r="J77" s="21" t="n">
        <f aca="false">IF(J$25=1,$D$7*Quesería!$B$21*Quesería!$F$40*$D$11,0)</f>
        <v>0</v>
      </c>
      <c r="K77" s="21" t="n">
        <f aca="false">IF(K$25=1,$D$7*Quesería!$B$21*Quesería!$F$40*$D$11,0)</f>
        <v>0</v>
      </c>
      <c r="L77" s="21" t="n">
        <f aca="false">IF(L$25=1,$D$7*Quesería!$B$21*Quesería!$F$40*$D$11,0)</f>
        <v>0</v>
      </c>
    </row>
    <row r="78" customFormat="false" ht="15" hidden="false" customHeight="false" outlineLevel="0" collapsed="false">
      <c r="A78" s="7" t="s">
        <v>10</v>
      </c>
      <c r="B78" s="21" t="n">
        <f aca="false">Quesería!$B$7*(B73-B74-B75-B76)-B77</f>
        <v>0</v>
      </c>
      <c r="C78" s="21" t="n">
        <f aca="false">Quesería!$B$7*(C73-C74-C75-C76)-C77</f>
        <v>-10.5869305681932</v>
      </c>
      <c r="D78" s="21" t="n">
        <f aca="false">Quesería!$B$7*(D73-D74-D75-D76)-D77</f>
        <v>41.763054860338</v>
      </c>
      <c r="E78" s="21" t="n">
        <f aca="false">Quesería!$B$7*(E73-E74-E75-E76)-E77</f>
        <v>54.634304860338</v>
      </c>
      <c r="F78" s="21" t="n">
        <f aca="false">Quesería!$B$7*(F73-F74-F75-F76)-F77</f>
        <v>54.634304860338</v>
      </c>
      <c r="G78" s="21" t="n">
        <f aca="false">Quesería!$B$7*(G73-G74-G75-G76)-G77</f>
        <v>54.634304860338</v>
      </c>
      <c r="H78" s="21" t="n">
        <f aca="false">Quesería!$B$7*(H73-H74-H75-H76)-H77</f>
        <v>54.634304860338</v>
      </c>
      <c r="I78" s="21" t="n">
        <f aca="false">Quesería!$B$7*(I73-I74-I75-I76)-I77</f>
        <v>54.634304860338</v>
      </c>
      <c r="J78" s="21" t="n">
        <f aca="false">Quesería!$B$7*(J73-J74-J75-J76)-J77</f>
        <v>54.634304860338</v>
      </c>
      <c r="K78" s="21" t="n">
        <f aca="false">Quesería!$B$7*(K73-K74-K75-K76)-K77</f>
        <v>54.634304860338</v>
      </c>
      <c r="L78" s="21" t="n">
        <f aca="false">Quesería!$B$7*(L73-L74-L75-L76)-L77</f>
        <v>54.634304860338</v>
      </c>
    </row>
    <row r="79" customFormat="false" ht="15" hidden="false" customHeight="false" outlineLevel="0" collapsed="false">
      <c r="A79" s="7" t="s">
        <v>125</v>
      </c>
      <c r="B79" s="21" t="n">
        <f aca="false">((IF(B$25&gt;=1,Quesería!$G$65*IF(B$25=1,Quesería!$B$9,1),0)+IF(B$25&gt;=2,Quesería!$G$66*IF(B$25=2,Quesería!$B$9,1),0))*$D$10*Quesería!$B$12/365)</f>
        <v>0</v>
      </c>
      <c r="C79" s="21" t="n">
        <f aca="false">((IF(C$25&gt;=1,Quesería!$G$65*IF(C$25=1,Quesería!$B$9,1),0)+IF(C$25&gt;=2,Quesería!$G$66*IF(C$25=2,Quesería!$B$9,1),0))*$D$10*Quesería!$B$12/365)-((IF(B$25&gt;=1,Quesería!$G$65*IF(B$25=1,Quesería!$B$9,1),0)+IF(B$25&gt;=2,Quesería!$G$66*IF(B$25=2,Quesería!$B$9,1),0))*$D$10*Quesería!$B$12/365)</f>
        <v>4.53205479452055</v>
      </c>
      <c r="D79" s="21" t="n">
        <f aca="false">((IF(D$25&gt;=1,Quesería!$G$65*IF(D$25=1,Quesería!$B$9,1),0)+IF(D$25&gt;=2,Quesería!$G$66*IF(D$25=2,Quesería!$B$9,1),0))*$D$10*Quesería!$B$12/365)-((IF(C$25&gt;=1,Quesería!$G$65*IF(C$25=1,Quesería!$B$9,1),0)+IF(C$25&gt;=2,Quesería!$G$66*IF(C$25=2,Quesería!$B$9,1),0))*$D$10*Quesería!$B$12/365)</f>
        <v>8.26068493150685</v>
      </c>
      <c r="E79" s="21" t="n">
        <f aca="false">((IF(E$25&gt;=1,Quesería!$G$65*IF(E$25=1,Quesería!$B$9,1),0)+IF(E$25&gt;=2,Quesería!$G$66*IF(E$25=2,Quesería!$B$9,1),0))*$D$10*Quesería!$B$12/365)-((IF(D$25&gt;=1,Quesería!$G$65*IF(D$25=1,Quesería!$B$9,1),0)+IF(D$25&gt;=2,Quesería!$G$66*IF(D$25=2,Quesería!$B$9,1),0))*$D$10*Quesería!$B$12/365)</f>
        <v>2.25</v>
      </c>
      <c r="F79" s="21" t="n">
        <f aca="false">((IF(F$25&gt;=1,Quesería!$G$65*IF(F$25=1,Quesería!$B$9,1),0)+IF(F$25&gt;=2,Quesería!$G$66*IF(F$25=2,Quesería!$B$9,1),0))*$D$10*Quesería!$B$12/365)-((IF(E$25&gt;=1,Quesería!$G$65*IF(E$25=1,Quesería!$B$9,1),0)+IF(E$25&gt;=2,Quesería!$G$66*IF(E$25=2,Quesería!$B$9,1),0))*$D$10*Quesería!$B$12/365)</f>
        <v>0</v>
      </c>
      <c r="G79" s="21" t="n">
        <f aca="false">((IF(G$25&gt;=1,Quesería!$G$65*IF(G$25=1,Quesería!$B$9,1),0)+IF(G$25&gt;=2,Quesería!$G$66*IF(G$25=2,Quesería!$B$9,1),0))*$D$10*Quesería!$B$12/365)-((IF(F$25&gt;=1,Quesería!$G$65*IF(F$25=1,Quesería!$B$9,1),0)+IF(F$25&gt;=2,Quesería!$G$66*IF(F$25=2,Quesería!$B$9,1),0))*$D$10*Quesería!$B$12/365)</f>
        <v>0</v>
      </c>
      <c r="H79" s="21" t="n">
        <f aca="false">((IF(H$25&gt;=1,Quesería!$G$65*IF(H$25=1,Quesería!$B$9,1),0)+IF(H$25&gt;=2,Quesería!$G$66*IF(H$25=2,Quesería!$B$9,1),0))*$D$10*Quesería!$B$12/365)-((IF(G$25&gt;=1,Quesería!$G$65*IF(G$25=1,Quesería!$B$9,1),0)+IF(G$25&gt;=2,Quesería!$G$66*IF(G$25=2,Quesería!$B$9,1),0))*$D$10*Quesería!$B$12/365)</f>
        <v>0</v>
      </c>
      <c r="I79" s="21" t="n">
        <f aca="false">((IF(I$25&gt;=1,Quesería!$G$65*IF(I$25=1,Quesería!$B$9,1),0)+IF(I$25&gt;=2,Quesería!$G$66*IF(I$25=2,Quesería!$B$9,1),0))*$D$10*Quesería!$B$12/365)-((IF(H$25&gt;=1,Quesería!$G$65*IF(H$25=1,Quesería!$B$9,1),0)+IF(H$25&gt;=2,Quesería!$G$66*IF(H$25=2,Quesería!$B$9,1),0))*$D$10*Quesería!$B$12/365)</f>
        <v>0</v>
      </c>
      <c r="J79" s="21" t="n">
        <f aca="false">((IF(J$25&gt;=1,Quesería!$G$65*IF(J$25=1,Quesería!$B$9,1),0)+IF(J$25&gt;=2,Quesería!$G$66*IF(J$25=2,Quesería!$B$9,1),0))*$D$10*Quesería!$B$12/365)-((IF(I$25&gt;=1,Quesería!$G$65*IF(I$25=1,Quesería!$B$9,1),0)+IF(I$25&gt;=2,Quesería!$G$66*IF(I$25=2,Quesería!$B$9,1),0))*$D$10*Quesería!$B$12/365)</f>
        <v>0</v>
      </c>
      <c r="K79" s="21" t="n">
        <f aca="false">((IF(K$25&gt;=1,Quesería!$G$65*IF(K$25=1,Quesería!$B$9,1),0)+IF(K$25&gt;=2,Quesería!$G$66*IF(K$25=2,Quesería!$B$9,1),0))*$D$10*Quesería!$B$12/365)-((IF(J$25&gt;=1,Quesería!$G$65*IF(J$25=1,Quesería!$B$9,1),0)+IF(J$25&gt;=2,Quesería!$G$66*IF(J$25=2,Quesería!$B$9,1),0))*$D$10*Quesería!$B$12/365)</f>
        <v>0</v>
      </c>
      <c r="L79" s="21" t="n">
        <f aca="false">-((IF(K$25&gt;=1,Quesería!$G$65*IF(K$25=1,Quesería!$B$9,1),0)+IF(K$25&gt;=2,Quesería!$G$66*IF(K$25=2,Quesería!$B$9,1),0))*$D$10*Quesería!$B$12/365)</f>
        <v>-15.0427397260274</v>
      </c>
    </row>
    <row r="80" customFormat="false" ht="15" hidden="false" customHeight="false" outlineLevel="0" collapsed="false">
      <c r="A80" s="7" t="s">
        <v>126</v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f aca="false">$D$8*Quesería!$B$22*(Quesería!$F$46+Quesería!$F$47)*$D$11*(1-Quesería!$B$7)</f>
        <v>54.5436666666667</v>
      </c>
    </row>
    <row r="81" customFormat="false" ht="15" hidden="false" customHeight="false" outlineLevel="0" collapsed="false">
      <c r="A81" s="17" t="s">
        <v>127</v>
      </c>
      <c r="B81" s="23" t="n">
        <f aca="false">B73-B74-B75-B78-B70-B79+B80</f>
        <v>-463.750173045333</v>
      </c>
      <c r="C81" s="23" t="n">
        <f aca="false">C73-C74-C75-C78-C70-C79+C80</f>
        <v>-496.078662857584</v>
      </c>
      <c r="D81" s="23" t="n">
        <f aca="false">D73-D74-D75-D78-D70-D79+D80</f>
        <v>173.214595402035</v>
      </c>
      <c r="E81" s="23" t="n">
        <f aca="false">E73-E74-E75-E78-E70-E79+E80</f>
        <v>203.129030333542</v>
      </c>
      <c r="F81" s="23" t="n">
        <f aca="false">F73-F74-F75-F78-F70-F79+F80</f>
        <v>205.379030333542</v>
      </c>
      <c r="G81" s="23" t="n">
        <f aca="false">G73-G74-G75-G78-G70-G79+G80</f>
        <v>205.379030333542</v>
      </c>
      <c r="H81" s="23" t="n">
        <f aca="false">H73-H74-H75-H78-H70-H79+H80</f>
        <v>205.379030333542</v>
      </c>
      <c r="I81" s="23" t="n">
        <f aca="false">I73-I74-I75-I78-I70-I79+I80</f>
        <v>205.379030333542</v>
      </c>
      <c r="J81" s="23" t="n">
        <f aca="false">J73-J74-J75-J78-J70-J79+J80</f>
        <v>205.379030333542</v>
      </c>
      <c r="K81" s="23" t="n">
        <f aca="false">K73-K74-K75-K78-K70-K79+K80</f>
        <v>205.379030333542</v>
      </c>
      <c r="L81" s="23" t="n">
        <f aca="false">L73-L74-L75-L78-L70-L79+L80</f>
        <v>274.965436726236</v>
      </c>
    </row>
    <row r="82" customFormat="false" ht="15" hidden="false" customHeight="false" outlineLevel="0" collapsed="false">
      <c r="A82" s="7" t="s">
        <v>128</v>
      </c>
      <c r="B82" s="21" t="n">
        <f aca="false">B81</f>
        <v>-463.750173045333</v>
      </c>
      <c r="C82" s="21" t="n">
        <f aca="false">B82+C81</f>
        <v>-959.828835902917</v>
      </c>
      <c r="D82" s="21" t="n">
        <f aca="false">C82+D81</f>
        <v>-786.614240500882</v>
      </c>
      <c r="E82" s="21" t="n">
        <f aca="false">D82+E81</f>
        <v>-583.48521016734</v>
      </c>
      <c r="F82" s="21" t="n">
        <f aca="false">E82+F81</f>
        <v>-378.106179833798</v>
      </c>
      <c r="G82" s="21" t="n">
        <f aca="false">F82+G81</f>
        <v>-172.727149500256</v>
      </c>
      <c r="H82" s="21" t="n">
        <f aca="false">G82+H81</f>
        <v>32.6518808332856</v>
      </c>
      <c r="I82" s="21" t="n">
        <f aca="false">H82+I81</f>
        <v>238.030911166828</v>
      </c>
      <c r="J82" s="21" t="n">
        <f aca="false">I82+J81</f>
        <v>443.40994150037</v>
      </c>
      <c r="K82" s="21" t="n">
        <f aca="false">J82+K81</f>
        <v>648.788971833911</v>
      </c>
      <c r="L82" s="21" t="n">
        <f aca="false">K82+L81</f>
        <v>923.754408560148</v>
      </c>
    </row>
    <row r="83" customFormat="false" ht="15" hidden="false" customHeight="false" outlineLevel="0" collapsed="false">
      <c r="A83" s="2" t="s">
        <v>129</v>
      </c>
      <c r="B83" s="24" t="n">
        <v>0</v>
      </c>
      <c r="C83" s="24" t="n">
        <f aca="false">IF(AND(B82&lt;0,C82&gt;=0),B$25+(-B82)/C81,0)</f>
        <v>0</v>
      </c>
      <c r="D83" s="24" t="n">
        <f aca="false">IF(AND(C82&lt;0,D82&gt;=0),C$25+(-C82)/D81,0)</f>
        <v>0</v>
      </c>
      <c r="E83" s="24" t="n">
        <f aca="false">IF(AND(D82&lt;0,E82&gt;=0),D$25+(-D82)/E81,0)</f>
        <v>0</v>
      </c>
      <c r="F83" s="24" t="n">
        <f aca="false">IF(AND(E82&lt;0,F82&gt;=0),E$25+(-E82)/F81,0)</f>
        <v>0</v>
      </c>
      <c r="G83" s="24" t="n">
        <f aca="false">IF(AND(F82&lt;0,G82&gt;=0),F$25+(-F82)/G81,0)</f>
        <v>0</v>
      </c>
      <c r="H83" s="24" t="n">
        <f aca="false">IF(AND(G82&lt;0,H82&gt;=0),G$25+(-G82)/H81,0)</f>
        <v>5.84101648167168</v>
      </c>
      <c r="I83" s="24" t="n">
        <f aca="false">IF(AND(H82&lt;0,I82&gt;=0),H$25+(-H82)/I81,0)</f>
        <v>0</v>
      </c>
      <c r="J83" s="24" t="n">
        <f aca="false">IF(AND(I82&lt;0,J82&gt;=0),I$25+(-I82)/J81,0)</f>
        <v>0</v>
      </c>
      <c r="K83" s="24" t="n">
        <f aca="false">IF(AND(J82&lt;0,K82&gt;=0),J$25+(-J82)/K81,0)</f>
        <v>0</v>
      </c>
      <c r="L83" s="24" t="n">
        <f aca="false">IF(AND(K82&lt;0,L82&gt;=0),K$25+(-K82)/L81,0)</f>
        <v>0</v>
      </c>
    </row>
    <row r="84" customFormat="false" ht="15" hidden="false" customHeight="false" outlineLevel="0" collapsed="false">
      <c r="A84" s="7" t="s">
        <v>130</v>
      </c>
      <c r="B84" s="21" t="n">
        <f aca="false">Quesería!$B$23*B70</f>
        <v>324.625121131733</v>
      </c>
      <c r="C84" s="21" t="n">
        <f aca="false">Quesería!$B$23*C70</f>
        <v>402.782128018667</v>
      </c>
      <c r="D84" s="21" t="n">
        <f aca="false">Quesería!$B$23*D70</f>
        <v>0</v>
      </c>
      <c r="E84" s="21" t="n">
        <f aca="false">Quesería!$B$23*E70</f>
        <v>0</v>
      </c>
      <c r="F84" s="21" t="n">
        <f aca="false">Quesería!$B$23*F70</f>
        <v>0</v>
      </c>
      <c r="G84" s="21" t="n">
        <f aca="false">Quesería!$B$23*G70</f>
        <v>0</v>
      </c>
      <c r="H84" s="21" t="n">
        <f aca="false">Quesería!$B$23*H70</f>
        <v>0</v>
      </c>
      <c r="I84" s="21" t="n">
        <f aca="false">Quesería!$B$23*I70</f>
        <v>0</v>
      </c>
      <c r="J84" s="21" t="n">
        <f aca="false">Quesería!$B$23*J70</f>
        <v>0</v>
      </c>
      <c r="K84" s="21" t="n">
        <f aca="false">Quesería!$B$23*K70</f>
        <v>0</v>
      </c>
      <c r="L84" s="21" t="n">
        <f aca="false">Quesería!$B$23*L70</f>
        <v>0</v>
      </c>
    </row>
    <row r="85" customFormat="false" ht="15" hidden="false" customHeight="false" outlineLevel="0" collapsed="false">
      <c r="A85" s="7" t="s">
        <v>131</v>
      </c>
      <c r="B85" s="21" t="n">
        <f aca="false">IF(AND(B$25&gt;0,B$25&lt;=0+Quesería!$B$25),$D$12*((Quesería!$B$23*$B$70)-(Quesería!$B$23*$B$70)/(Quesería!$B$25-Quesería!$B$26)*MAX(0,MIN(B$25-1-0-Quesería!$B$26,(Quesería!$B$25-Quesería!$B$26)))),0)+IF(AND(B$25&gt;1,B$25&lt;=1+Quesería!$B$25),$D$12*((Quesería!$B$23*$C$70)-(Quesería!$B$23*$C$70)/(Quesería!$B$25-Quesería!$B$26)*MAX(0,MIN(B$25-1-1-Quesería!$B$26,(Quesería!$B$25-Quesería!$B$26)))),0)</f>
        <v>0</v>
      </c>
      <c r="C85" s="21" t="n">
        <f aca="false">IF(AND(C$25&gt;0,C$25&lt;=0+Quesería!$B$25),$D$12*((Quesería!$B$23*$B$70)-(Quesería!$B$23*$B$70)/(Quesería!$B$25-Quesería!$B$26)*MAX(0,MIN(C$25-1-0-Quesería!$B$26,(Quesería!$B$25-Quesería!$B$26)))),0)+IF(AND(C$25&gt;1,C$25&lt;=1+Quesería!$B$25),$D$12*((Quesería!$B$23*$C$70)-(Quesería!$B$23*$C$70)/(Quesería!$B$25-Quesería!$B$26)*MAX(0,MIN(C$25-1-1-Quesería!$B$26,(Quesería!$B$25-Quesería!$B$26)))),0)</f>
        <v>45.7721420795744</v>
      </c>
      <c r="D85" s="21" t="n">
        <f aca="false">IF(AND(D$25&gt;0,D$25&lt;=0+Quesería!$B$25),$D$12*((Quesería!$B$23*$B$70)-(Quesería!$B$23*$B$70)/(Quesería!$B$25-Quesería!$B$26)*MAX(0,MIN(D$25-1-0-Quesería!$B$26,(Quesería!$B$25-Quesería!$B$26)))),0)+IF(AND(D$25&gt;1,D$25&lt;=1+Quesería!$B$25),$D$12*((Quesería!$B$23*$C$70)-(Quesería!$B$23*$C$70)/(Quesería!$B$25-Quesería!$B$26)*MAX(0,MIN(D$25-1-1-Quesería!$B$26,(Quesería!$B$25-Quesería!$B$26)))),0)</f>
        <v>102.564422130206</v>
      </c>
      <c r="E85" s="21" t="n">
        <f aca="false">IF(AND(E$25&gt;0,E$25&lt;=0+Quesería!$B$25),$D$12*((Quesería!$B$23*$B$70)-(Quesería!$B$23*$B$70)/(Quesería!$B$25-Quesería!$B$26)*MAX(0,MIN(E$25-1-0-Quesería!$B$26,(Quesería!$B$25-Quesería!$B$26)))),0)+IF(AND(E$25&gt;1,E$25&lt;=1+Quesería!$B$25),$D$12*((Quesería!$B$23*$C$70)-(Quesería!$B$23*$C$70)/(Quesería!$B$25-Quesería!$B$26)*MAX(0,MIN(E$25-1-1-Quesería!$B$26,(Quesería!$B$25-Quesería!$B$26)))),0)</f>
        <v>94.9357317836106</v>
      </c>
      <c r="F85" s="21" t="n">
        <f aca="false">IF(AND(F$25&gt;0,F$25&lt;=0+Quesería!$B$25),$D$12*((Quesería!$B$23*$B$70)-(Quesería!$B$23*$B$70)/(Quesería!$B$25-Quesería!$B$26)*MAX(0,MIN(F$25-1-0-Quesería!$B$26,(Quesería!$B$25-Quesería!$B$26)))),0)+IF(AND(F$25&gt;1,F$25&lt;=1+Quesería!$B$25),$D$12*((Quesería!$B$23*$C$70)-(Quesería!$B$23*$C$70)/(Quesería!$B$25-Quesería!$B$26)*MAX(0,MIN(F$25-1-1-Quesería!$B$26,(Quesería!$B$25-Quesería!$B$26)))),0)</f>
        <v>77.8416614285763</v>
      </c>
      <c r="G85" s="21" t="n">
        <f aca="false">IF(AND(G$25&gt;0,G$25&lt;=0+Quesería!$B$25),$D$12*((Quesería!$B$23*$B$70)-(Quesería!$B$23*$B$70)/(Quesería!$B$25-Quesería!$B$26)*MAX(0,MIN(G$25-1-0-Quesería!$B$26,(Quesería!$B$25-Quesería!$B$26)))),0)+IF(AND(G$25&gt;1,G$25&lt;=1+Quesería!$B$25),$D$12*((Quesería!$B$23*$C$70)-(Quesería!$B$23*$C$70)/(Quesería!$B$25-Quesería!$B$26)*MAX(0,MIN(G$25-1-1-Quesería!$B$26,(Quesería!$B$25-Quesería!$B$26)))),0)</f>
        <v>60.7475910735419</v>
      </c>
      <c r="H85" s="21" t="n">
        <f aca="false">IF(AND(H$25&gt;0,H$25&lt;=0+Quesería!$B$25),$D$12*((Quesería!$B$23*$B$70)-(Quesería!$B$23*$B$70)/(Quesería!$B$25-Quesería!$B$26)*MAX(0,MIN(H$25-1-0-Quesería!$B$26,(Quesería!$B$25-Quesería!$B$26)))),0)+IF(AND(H$25&gt;1,H$25&lt;=1+Quesería!$B$25),$D$12*((Quesería!$B$23*$C$70)-(Quesería!$B$23*$C$70)/(Quesería!$B$25-Quesería!$B$26)*MAX(0,MIN(H$25-1-1-Quesería!$B$26,(Quesería!$B$25-Quesería!$B$26)))),0)</f>
        <v>43.6535207185075</v>
      </c>
      <c r="I85" s="21" t="n">
        <f aca="false">IF(AND(I$25&gt;0,I$25&lt;=0+Quesería!$B$25),$D$12*((Quesería!$B$23*$B$70)-(Quesería!$B$23*$B$70)/(Quesería!$B$25-Quesería!$B$26)*MAX(0,MIN(I$25-1-0-Quesería!$B$26,(Quesería!$B$25-Quesería!$B$26)))),0)+IF(AND(I$25&gt;1,I$25&lt;=1+Quesería!$B$25),$D$12*((Quesería!$B$23*$C$70)-(Quesería!$B$23*$C$70)/(Quesería!$B$25-Quesería!$B$26)*MAX(0,MIN(I$25-1-1-Quesería!$B$26,(Quesería!$B$25-Quesería!$B$26)))),0)</f>
        <v>26.5594503634731</v>
      </c>
      <c r="J85" s="21" t="n">
        <f aca="false">IF(AND(J$25&gt;0,J$25&lt;=0+Quesería!$B$25),$D$12*((Quesería!$B$23*$B$70)-(Quesería!$B$23*$B$70)/(Quesería!$B$25-Quesería!$B$26)*MAX(0,MIN(J$25-1-0-Quesería!$B$26,(Quesería!$B$25-Quesería!$B$26)))),0)+IF(AND(J$25&gt;1,J$25&lt;=1+Quesería!$B$25),$D$12*((Quesería!$B$23*$C$70)-(Quesería!$B$23*$C$70)/(Quesería!$B$25-Quesería!$B$26)*MAX(0,MIN(J$25-1-1-Quesería!$B$26,(Quesería!$B$25-Quesería!$B$26)))),0)</f>
        <v>9.46538000843867</v>
      </c>
      <c r="K85" s="21" t="n">
        <f aca="false">IF(AND(K$25&gt;0,K$25&lt;=0+Quesería!$B$25),$D$12*((Quesería!$B$23*$B$70)-(Quesería!$B$23*$B$70)/(Quesería!$B$25-Quesería!$B$26)*MAX(0,MIN(K$25-1-0-Quesería!$B$26,(Quesería!$B$25-Quesería!$B$26)))),0)+IF(AND(K$25&gt;1,K$25&lt;=1+Quesería!$B$25),$D$12*((Quesería!$B$23*$C$70)-(Quesería!$B$23*$C$70)/(Quesería!$B$25-Quesería!$B$26)*MAX(0,MIN(K$25-1-1-Quesería!$B$26,(Quesería!$B$25-Quesería!$B$26)))),0)</f>
        <v>0</v>
      </c>
      <c r="L85" s="21" t="n">
        <f aca="false">IF(AND(L$25&gt;0,L$25&lt;=0+Quesería!$B$25),$D$12*((Quesería!$B$23*$B$70)-(Quesería!$B$23*$B$70)/(Quesería!$B$25-Quesería!$B$26)*MAX(0,MIN(L$25-1-0-Quesería!$B$26,(Quesería!$B$25-Quesería!$B$26)))),0)+IF(AND(L$25&gt;1,L$25&lt;=1+Quesería!$B$25),$D$12*((Quesería!$B$23*$C$70)-(Quesería!$B$23*$C$70)/(Quesería!$B$25-Quesería!$B$26)*MAX(0,MIN(L$25-1-1-Quesería!$B$26,(Quesería!$B$25-Quesería!$B$26)))),0)</f>
        <v>0</v>
      </c>
    </row>
    <row r="86" customFormat="false" ht="15" hidden="false" customHeight="false" outlineLevel="0" collapsed="false">
      <c r="A86" s="7" t="s">
        <v>132</v>
      </c>
      <c r="B86" s="21" t="n">
        <f aca="false">IF(AND(B$25&gt;0+Quesería!$B$26,B$25&lt;=0+Quesería!$B$25),(Quesería!$B$23*$B$70)/(Quesería!$B$25-Quesería!$B$26),0)+IF(AND(B$25&gt;1+Quesería!$B$26,B$25&lt;=1+Quesería!$B$25),(Quesería!$B$23*$C$70)/(Quesería!$B$25-Quesería!$B$26),0)</f>
        <v>0</v>
      </c>
      <c r="C86" s="21" t="n">
        <f aca="false">IF(AND(C$25&gt;0+Quesería!$B$26,C$25&lt;=0+Quesería!$B$25),(Quesería!$B$23*$B$70)/(Quesería!$B$25-Quesería!$B$26),0)+IF(AND(C$25&gt;1+Quesería!$B$26,C$25&lt;=1+Quesería!$B$25),(Quesería!$B$23*$C$70)/(Quesería!$B$25-Quesería!$B$26),0)</f>
        <v>0</v>
      </c>
      <c r="D86" s="21" t="n">
        <f aca="false">IF(AND(D$25&gt;0+Quesería!$B$26,D$25&lt;=0+Quesería!$B$25),(Quesería!$B$23*$B$70)/(Quesería!$B$25-Quesería!$B$26),0)+IF(AND(D$25&gt;1+Quesería!$B$26,D$25&lt;=1+Quesería!$B$25),(Quesería!$B$23*$C$70)/(Quesería!$B$25-Quesería!$B$26),0)</f>
        <v>54.1041868552889</v>
      </c>
      <c r="E86" s="21" t="n">
        <f aca="false">IF(AND(E$25&gt;0+Quesería!$B$26,E$25&lt;=0+Quesería!$B$25),(Quesería!$B$23*$B$70)/(Quesería!$B$25-Quesería!$B$26),0)+IF(AND(E$25&gt;1+Quesería!$B$26,E$25&lt;=1+Quesería!$B$25),(Quesería!$B$23*$C$70)/(Quesería!$B$25-Quesería!$B$26),0)</f>
        <v>121.234541525067</v>
      </c>
      <c r="F86" s="21" t="n">
        <f aca="false">IF(AND(F$25&gt;0+Quesería!$B$26,F$25&lt;=0+Quesería!$B$25),(Quesería!$B$23*$B$70)/(Quesería!$B$25-Quesería!$B$26),0)+IF(AND(F$25&gt;1+Quesería!$B$26,F$25&lt;=1+Quesería!$B$25),(Quesería!$B$23*$C$70)/(Quesería!$B$25-Quesería!$B$26),0)</f>
        <v>121.234541525067</v>
      </c>
      <c r="G86" s="21" t="n">
        <f aca="false">IF(AND(G$25&gt;0+Quesería!$B$26,G$25&lt;=0+Quesería!$B$25),(Quesería!$B$23*$B$70)/(Quesería!$B$25-Quesería!$B$26),0)+IF(AND(G$25&gt;1+Quesería!$B$26,G$25&lt;=1+Quesería!$B$25),(Quesería!$B$23*$C$70)/(Quesería!$B$25-Quesería!$B$26),0)</f>
        <v>121.234541525067</v>
      </c>
      <c r="H86" s="21" t="n">
        <f aca="false">IF(AND(H$25&gt;0+Quesería!$B$26,H$25&lt;=0+Quesería!$B$25),(Quesería!$B$23*$B$70)/(Quesería!$B$25-Quesería!$B$26),0)+IF(AND(H$25&gt;1+Quesería!$B$26,H$25&lt;=1+Quesería!$B$25),(Quesería!$B$23*$C$70)/(Quesería!$B$25-Quesería!$B$26),0)</f>
        <v>121.234541525067</v>
      </c>
      <c r="I86" s="21" t="n">
        <f aca="false">IF(AND(I$25&gt;0+Quesería!$B$26,I$25&lt;=0+Quesería!$B$25),(Quesería!$B$23*$B$70)/(Quesería!$B$25-Quesería!$B$26),0)+IF(AND(I$25&gt;1+Quesería!$B$26,I$25&lt;=1+Quesería!$B$25),(Quesería!$B$23*$C$70)/(Quesería!$B$25-Quesería!$B$26),0)</f>
        <v>121.234541525067</v>
      </c>
      <c r="J86" s="21" t="n">
        <f aca="false">IF(AND(J$25&gt;0+Quesería!$B$26,J$25&lt;=0+Quesería!$B$25),(Quesería!$B$23*$B$70)/(Quesería!$B$25-Quesería!$B$26),0)+IF(AND(J$25&gt;1+Quesería!$B$26,J$25&lt;=1+Quesería!$B$25),(Quesería!$B$23*$C$70)/(Quesería!$B$25-Quesería!$B$26),0)</f>
        <v>67.1303546697778</v>
      </c>
      <c r="K86" s="21" t="n">
        <f aca="false">IF(AND(K$25&gt;0+Quesería!$B$26,K$25&lt;=0+Quesería!$B$25),(Quesería!$B$23*$B$70)/(Quesería!$B$25-Quesería!$B$26),0)+IF(AND(K$25&gt;1+Quesería!$B$26,K$25&lt;=1+Quesería!$B$25),(Quesería!$B$23*$C$70)/(Quesería!$B$25-Quesería!$B$26),0)</f>
        <v>0</v>
      </c>
      <c r="L86" s="21" t="n">
        <f aca="false">IF(AND(L$25&gt;0+Quesería!$B$26,L$25&lt;=0+Quesería!$B$25),(Quesería!$B$23*$B$70)/(Quesería!$B$25-Quesería!$B$26),0)+IF(AND(L$25&gt;1+Quesería!$B$26,L$25&lt;=1+Quesería!$B$25),(Quesería!$B$23*$C$70)/(Quesería!$B$25-Quesería!$B$26),0)</f>
        <v>0</v>
      </c>
    </row>
    <row r="87" customFormat="false" ht="15" hidden="false" customHeight="false" outlineLevel="0" collapsed="false">
      <c r="A87" s="7" t="s">
        <v>133</v>
      </c>
      <c r="B87" s="21" t="n">
        <f aca="false">Quesería!$B$7*B85</f>
        <v>0</v>
      </c>
      <c r="C87" s="21" t="n">
        <f aca="false">Quesería!$B$7*C85</f>
        <v>16.020249727851</v>
      </c>
      <c r="D87" s="21" t="n">
        <f aca="false">Quesería!$B$7*D85</f>
        <v>35.8975477455722</v>
      </c>
      <c r="E87" s="21" t="n">
        <f aca="false">Quesería!$B$7*E85</f>
        <v>33.2275061242637</v>
      </c>
      <c r="F87" s="21" t="n">
        <f aca="false">Quesería!$B$7*F85</f>
        <v>27.2445815000017</v>
      </c>
      <c r="G87" s="21" t="n">
        <f aca="false">Quesería!$B$7*G85</f>
        <v>21.2616568757396</v>
      </c>
      <c r="H87" s="21" t="n">
        <f aca="false">Quesería!$B$7*H85</f>
        <v>15.2787322514776</v>
      </c>
      <c r="I87" s="21" t="n">
        <f aca="false">Quesería!$B$7*I85</f>
        <v>9.29580762721557</v>
      </c>
      <c r="J87" s="21" t="n">
        <f aca="false">Quesería!$B$7*J85</f>
        <v>3.31288300295353</v>
      </c>
      <c r="K87" s="21" t="n">
        <f aca="false">Quesería!$B$7*K85</f>
        <v>0</v>
      </c>
      <c r="L87" s="21" t="n">
        <f aca="false">Quesería!$B$7*L85</f>
        <v>0</v>
      </c>
    </row>
    <row r="88" customFormat="false" ht="15" hidden="false" customHeight="false" outlineLevel="0" collapsed="false">
      <c r="A88" s="17" t="s">
        <v>134</v>
      </c>
      <c r="B88" s="23" t="n">
        <f aca="false">B81+B84-B85-B86+B87</f>
        <v>-139.1250519136</v>
      </c>
      <c r="C88" s="23" t="n">
        <f aca="false">C81+C84-C85-C86+C87</f>
        <v>-123.048427190641</v>
      </c>
      <c r="D88" s="23" t="n">
        <f aca="false">D81+D84-D85-D86+D87</f>
        <v>52.4435341621121</v>
      </c>
      <c r="E88" s="23" t="n">
        <f aca="false">E81+E84-E85-E86+E87</f>
        <v>20.1862631491284</v>
      </c>
      <c r="F88" s="23" t="n">
        <f aca="false">F81+F84-F85-F86+F87</f>
        <v>33.5474088799007</v>
      </c>
      <c r="G88" s="23" t="n">
        <f aca="false">G81+G84-G85-G86+G87</f>
        <v>44.6585546106731</v>
      </c>
      <c r="H88" s="23" t="n">
        <f aca="false">H81+H84-H85-H86+H87</f>
        <v>55.7697003414455</v>
      </c>
      <c r="I88" s="23" t="n">
        <f aca="false">I81+I84-I85-I86+I87</f>
        <v>66.8808460722178</v>
      </c>
      <c r="J88" s="23" t="n">
        <f aca="false">J81+J84-J85-J86+J87</f>
        <v>132.096178658279</v>
      </c>
      <c r="K88" s="23" t="n">
        <f aca="false">K81+K84-K85-K86+K87</f>
        <v>205.379030333542</v>
      </c>
      <c r="L88" s="23" t="n">
        <f aca="false">L81+L84-L85-L86+L87</f>
        <v>274.965436726236</v>
      </c>
    </row>
    <row r="90" customFormat="false" ht="15" hidden="false" customHeight="false" outlineLevel="0" collapsed="false">
      <c r="A90" s="35" t="s">
        <v>159</v>
      </c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</row>
    <row r="91" customFormat="false" ht="15" hidden="false" customHeight="false" outlineLevel="0" collapsed="false">
      <c r="A91" s="7" t="s">
        <v>60</v>
      </c>
      <c r="B91" s="21" t="n">
        <f aca="false">IF(B$25=0,Quesería!$F$44,IF(B$25=1,Quesería!$F$45,0))*$E$11</f>
        <v>463.750173045333</v>
      </c>
      <c r="C91" s="21" t="n">
        <f aca="false">IF(C$25=0,Quesería!$F$44,IF(C$25=1,Quesería!$F$45,0))*$E$11</f>
        <v>575.403040026667</v>
      </c>
      <c r="D91" s="21" t="n">
        <f aca="false">IF(D$25=0,Quesería!$F$44,IF(D$25=1,Quesería!$F$45,0))*$E$11</f>
        <v>0</v>
      </c>
      <c r="E91" s="21" t="n">
        <f aca="false">IF(E$25=0,Quesería!$F$44,IF(E$25=1,Quesería!$F$45,0))*$E$11</f>
        <v>0</v>
      </c>
      <c r="F91" s="21" t="n">
        <f aca="false">IF(F$25=0,Quesería!$F$44,IF(F$25=1,Quesería!$F$45,0))*$E$11</f>
        <v>0</v>
      </c>
      <c r="G91" s="21" t="n">
        <f aca="false">IF(G$25=0,Quesería!$F$44,IF(G$25=1,Quesería!$F$45,0))*$E$11</f>
        <v>0</v>
      </c>
      <c r="H91" s="21" t="n">
        <f aca="false">IF(H$25=0,Quesería!$F$44,IF(H$25=1,Quesería!$F$45,0))*$E$11</f>
        <v>0</v>
      </c>
      <c r="I91" s="21" t="n">
        <f aca="false">IF(I$25=0,Quesería!$F$44,IF(I$25=1,Quesería!$F$45,0))*$E$11</f>
        <v>0</v>
      </c>
      <c r="J91" s="21" t="n">
        <f aca="false">IF(J$25=0,Quesería!$F$44,IF(J$25=1,Quesería!$F$45,0))*$E$11</f>
        <v>0</v>
      </c>
      <c r="K91" s="21" t="n">
        <f aca="false">IF(K$25=0,Quesería!$F$44,IF(K$25=1,Quesería!$F$45,0))*$E$11</f>
        <v>0</v>
      </c>
      <c r="L91" s="21" t="n">
        <f aca="false">IF(L$25=0,Quesería!$F$44,IF(L$25=1,Quesería!$F$45,0))*$E$11</f>
        <v>0</v>
      </c>
    </row>
    <row r="92" customFormat="false" ht="15" hidden="false" customHeight="false" outlineLevel="0" collapsed="false">
      <c r="A92" s="7" t="s">
        <v>101</v>
      </c>
      <c r="B92" s="21" t="n">
        <f aca="false">IF(B$25=0,0,IF(B$25=1,Quesería!$E$63*Quesería!$B$9,Quesería!$E$63))*$E$10</f>
        <v>0</v>
      </c>
      <c r="C92" s="21" t="n">
        <f aca="false">IF(C$25=0,0,IF(C$25=1,Quesería!$E$63*Quesería!$B$9,Quesería!$E$63))*$E$10</f>
        <v>90.052401116328</v>
      </c>
      <c r="D92" s="21" t="n">
        <f aca="false">IF(D$25=0,0,IF(D$25=1,Quesería!$E$63*Quesería!$B$9,Quesería!$E$63))*$E$10</f>
        <v>120.069868155104</v>
      </c>
      <c r="E92" s="21" t="n">
        <f aca="false">IF(E$25=0,0,IF(E$25=1,Quesería!$E$63*Quesería!$B$9,Quesería!$E$63))*$E$10</f>
        <v>120.069868155104</v>
      </c>
      <c r="F92" s="21" t="n">
        <f aca="false">IF(F$25=0,0,IF(F$25=1,Quesería!$E$63*Quesería!$B$9,Quesería!$E$63))*$E$10</f>
        <v>120.069868155104</v>
      </c>
      <c r="G92" s="21" t="n">
        <f aca="false">IF(G$25=0,0,IF(G$25=1,Quesería!$E$63*Quesería!$B$9,Quesería!$E$63))*$E$10</f>
        <v>120.069868155104</v>
      </c>
      <c r="H92" s="21" t="n">
        <f aca="false">IF(H$25=0,0,IF(H$25=1,Quesería!$E$63*Quesería!$B$9,Quesería!$E$63))*$E$10</f>
        <v>120.069868155104</v>
      </c>
      <c r="I92" s="21" t="n">
        <f aca="false">IF(I$25=0,0,IF(I$25=1,Quesería!$E$63*Quesería!$B$9,Quesería!$E$63))*$E$10</f>
        <v>120.069868155104</v>
      </c>
      <c r="J92" s="21" t="n">
        <f aca="false">IF(J$25=0,0,IF(J$25=1,Quesería!$E$63*Quesería!$B$9,Quesería!$E$63))*$E$10</f>
        <v>120.069868155104</v>
      </c>
      <c r="K92" s="21" t="n">
        <f aca="false">IF(K$25=0,0,IF(K$25=1,Quesería!$E$63*Quesería!$B$9,Quesería!$E$63))*$E$10</f>
        <v>120.069868155104</v>
      </c>
      <c r="L92" s="21" t="n">
        <f aca="false">IF(L$25=0,0,IF(L$25=1,Quesería!$E$63*Quesería!$B$9,Quesería!$E$63))*$E$10</f>
        <v>120.069868155104</v>
      </c>
    </row>
    <row r="93" customFormat="false" ht="15" hidden="false" customHeight="false" outlineLevel="0" collapsed="false">
      <c r="A93" s="7" t="s">
        <v>102</v>
      </c>
      <c r="B93" s="21" t="n">
        <f aca="false">IF(B$25&lt;=1,0,IF(B$25=2,(Quesería!$E$64-Quesería!$E$58+$E$6*Quesería!$E$58-(1-$E$9)*Quesería!$E$61)*Quesería!$B$9,(Quesería!$E$64-Quesería!$E$58+$E$6*Quesería!$E$58-(1-$E$9)*Quesería!$E$61)))*$E$10</f>
        <v>0</v>
      </c>
      <c r="C93" s="21" t="n">
        <f aca="false">IF(C$25&lt;=1,0,IF(C$25=2,(Quesería!$E$64-Quesería!$E$58+$E$6*Quesería!$E$58-(1-$E$9)*Quesería!$E$61)*Quesería!$B$9,(Quesería!$E$64-Quesería!$E$58+$E$6*Quesería!$E$58-(1-$E$9)*Quesería!$E$61)))*$E$10</f>
        <v>0</v>
      </c>
      <c r="D93" s="21" t="n">
        <f aca="false">IF(D$25&lt;=1,0,IF(D$25=2,(Quesería!$E$64-Quesería!$E$58+$E$6*Quesería!$E$58-(1-$E$9)*Quesería!$E$61)*Quesería!$B$9,(Quesería!$E$64-Quesería!$E$58+$E$6*Quesería!$E$58-(1-$E$9)*Quesería!$E$61)))*$E$10</f>
        <v>131.46</v>
      </c>
      <c r="E93" s="21" t="n">
        <f aca="false">IF(E$25&lt;=1,0,IF(E$25=2,(Quesería!$E$64-Quesería!$E$58+$E$6*Quesería!$E$58-(1-$E$9)*Quesería!$E$61)*Quesería!$B$9,(Quesería!$E$64-Quesería!$E$58+$E$6*Quesería!$E$58-(1-$E$9)*Quesería!$E$61)))*$E$10</f>
        <v>175.28</v>
      </c>
      <c r="F93" s="21" t="n">
        <f aca="false">IF(F$25&lt;=1,0,IF(F$25=2,(Quesería!$E$64-Quesería!$E$58+$E$6*Quesería!$E$58-(1-$E$9)*Quesería!$E$61)*Quesería!$B$9,(Quesería!$E$64-Quesería!$E$58+$E$6*Quesería!$E$58-(1-$E$9)*Quesería!$E$61)))*$E$10</f>
        <v>175.28</v>
      </c>
      <c r="G93" s="21" t="n">
        <f aca="false">IF(G$25&lt;=1,0,IF(G$25=2,(Quesería!$E$64-Quesería!$E$58+$E$6*Quesería!$E$58-(1-$E$9)*Quesería!$E$61)*Quesería!$B$9,(Quesería!$E$64-Quesería!$E$58+$E$6*Quesería!$E$58-(1-$E$9)*Quesería!$E$61)))*$E$10</f>
        <v>175.28</v>
      </c>
      <c r="H93" s="21" t="n">
        <f aca="false">IF(H$25&lt;=1,0,IF(H$25=2,(Quesería!$E$64-Quesería!$E$58+$E$6*Quesería!$E$58-(1-$E$9)*Quesería!$E$61)*Quesería!$B$9,(Quesería!$E$64-Quesería!$E$58+$E$6*Quesería!$E$58-(1-$E$9)*Quesería!$E$61)))*$E$10</f>
        <v>175.28</v>
      </c>
      <c r="I93" s="21" t="n">
        <f aca="false">IF(I$25&lt;=1,0,IF(I$25=2,(Quesería!$E$64-Quesería!$E$58+$E$6*Quesería!$E$58-(1-$E$9)*Quesería!$E$61)*Quesería!$B$9,(Quesería!$E$64-Quesería!$E$58+$E$6*Quesería!$E$58-(1-$E$9)*Quesería!$E$61)))*$E$10</f>
        <v>175.28</v>
      </c>
      <c r="J93" s="21" t="n">
        <f aca="false">IF(J$25&lt;=1,0,IF(J$25=2,(Quesería!$E$64-Quesería!$E$58+$E$6*Quesería!$E$58-(1-$E$9)*Quesería!$E$61)*Quesería!$B$9,(Quesería!$E$64-Quesería!$E$58+$E$6*Quesería!$E$58-(1-$E$9)*Quesería!$E$61)))*$E$10</f>
        <v>175.28</v>
      </c>
      <c r="K93" s="21" t="n">
        <f aca="false">IF(K$25&lt;=1,0,IF(K$25=2,(Quesería!$E$64-Quesería!$E$58+$E$6*Quesería!$E$58-(1-$E$9)*Quesería!$E$61)*Quesería!$B$9,(Quesería!$E$64-Quesería!$E$58+$E$6*Quesería!$E$58-(1-$E$9)*Quesería!$E$61)))*$E$10</f>
        <v>175.28</v>
      </c>
      <c r="L93" s="21" t="n">
        <f aca="false">IF(L$25&lt;=1,0,IF(L$25=2,(Quesería!$E$64-Quesería!$E$58+$E$6*Quesería!$E$58-(1-$E$9)*Quesería!$E$61)*Quesería!$B$9,(Quesería!$E$64-Quesería!$E$58+$E$6*Quesería!$E$58-(1-$E$9)*Quesería!$E$61)))*$E$10</f>
        <v>175.28</v>
      </c>
    </row>
    <row r="94" customFormat="false" ht="15" hidden="false" customHeight="false" outlineLevel="0" collapsed="false">
      <c r="A94" s="17" t="s">
        <v>120</v>
      </c>
      <c r="B94" s="22" t="n">
        <f aca="false">B92+B93</f>
        <v>0</v>
      </c>
      <c r="C94" s="22" t="n">
        <f aca="false">C92+C93</f>
        <v>90.052401116328</v>
      </c>
      <c r="D94" s="22" t="n">
        <f aca="false">D92+D93</f>
        <v>251.529868155104</v>
      </c>
      <c r="E94" s="22" t="n">
        <f aca="false">E92+E93</f>
        <v>295.349868155104</v>
      </c>
      <c r="F94" s="22" t="n">
        <f aca="false">F92+F93</f>
        <v>295.349868155104</v>
      </c>
      <c r="G94" s="22" t="n">
        <f aca="false">G92+G93</f>
        <v>295.349868155104</v>
      </c>
      <c r="H94" s="22" t="n">
        <f aca="false">H92+H93</f>
        <v>295.349868155104</v>
      </c>
      <c r="I94" s="22" t="n">
        <f aca="false">I92+I93</f>
        <v>295.349868155104</v>
      </c>
      <c r="J94" s="22" t="n">
        <f aca="false">J92+J93</f>
        <v>295.349868155104</v>
      </c>
      <c r="K94" s="22" t="n">
        <f aca="false">K92+K93</f>
        <v>295.349868155104</v>
      </c>
      <c r="L94" s="22" t="n">
        <f aca="false">L92+L93</f>
        <v>295.349868155104</v>
      </c>
    </row>
    <row r="95" customFormat="false" ht="15" hidden="false" customHeight="false" outlineLevel="0" collapsed="false">
      <c r="A95" s="7" t="s">
        <v>121</v>
      </c>
      <c r="B95" s="21" t="n">
        <f aca="false">IF(B$25&gt;=1,Quesería!$B$10*Quesería!$F$46*$E$11+Quesería!$B$11,0)+IF(B$25&gt;=2,Quesería!$B$10*Quesería!$F$47*$E$11,0)</f>
        <v>0</v>
      </c>
      <c r="C95" s="21" t="n">
        <f aca="false">IF(C$25&gt;=1,Quesería!$B$10*Quesería!$F$46*$E$11+Quesería!$B$11,0)+IF(C$25&gt;=2,Quesería!$B$10*Quesería!$F$47*$E$11,0)</f>
        <v>21.296</v>
      </c>
      <c r="D95" s="21" t="n">
        <f aca="false">IF(D$25&gt;=1,Quesería!$B$10*Quesería!$F$46*$E$11+Quesería!$B$11,0)+IF(D$25&gt;=2,Quesería!$B$10*Quesería!$F$47*$E$11,0)</f>
        <v>37.174</v>
      </c>
      <c r="E95" s="21" t="n">
        <f aca="false">IF(E$25&gt;=1,Quesería!$B$10*Quesería!$F$46*$E$11+Quesería!$B$11,0)+IF(E$25&gt;=2,Quesería!$B$10*Quesería!$F$47*$E$11,0)</f>
        <v>37.174</v>
      </c>
      <c r="F95" s="21" t="n">
        <f aca="false">IF(F$25&gt;=1,Quesería!$B$10*Quesería!$F$46*$E$11+Quesería!$B$11,0)+IF(F$25&gt;=2,Quesería!$B$10*Quesería!$F$47*$E$11,0)</f>
        <v>37.174</v>
      </c>
      <c r="G95" s="21" t="n">
        <f aca="false">IF(G$25&gt;=1,Quesería!$B$10*Quesería!$F$46*$E$11+Quesería!$B$11,0)+IF(G$25&gt;=2,Quesería!$B$10*Quesería!$F$47*$E$11,0)</f>
        <v>37.174</v>
      </c>
      <c r="H95" s="21" t="n">
        <f aca="false">IF(H$25&gt;=1,Quesería!$B$10*Quesería!$F$46*$E$11+Quesería!$B$11,0)+IF(H$25&gt;=2,Quesería!$B$10*Quesería!$F$47*$E$11,0)</f>
        <v>37.174</v>
      </c>
      <c r="I95" s="21" t="n">
        <f aca="false">IF(I$25&gt;=1,Quesería!$B$10*Quesería!$F$46*$E$11+Quesería!$B$11,0)+IF(I$25&gt;=2,Quesería!$B$10*Quesería!$F$47*$E$11,0)</f>
        <v>37.174</v>
      </c>
      <c r="J95" s="21" t="n">
        <f aca="false">IF(J$25&gt;=1,Quesería!$B$10*Quesería!$F$46*$E$11+Quesería!$B$11,0)+IF(J$25&gt;=2,Quesería!$B$10*Quesería!$F$47*$E$11,0)</f>
        <v>37.174</v>
      </c>
      <c r="K95" s="21" t="n">
        <f aca="false">IF(K$25&gt;=1,Quesería!$B$10*Quesería!$F$46*$E$11+Quesería!$B$11,0)+IF(K$25&gt;=2,Quesería!$B$10*Quesería!$F$47*$E$11,0)</f>
        <v>37.174</v>
      </c>
      <c r="L95" s="21" t="n">
        <f aca="false">IF(L$25&gt;=1,Quesería!$B$10*Quesería!$F$46*$E$11+Quesería!$B$11,0)+IF(L$25&gt;=2,Quesería!$B$10*Quesería!$F$47*$E$11,0)</f>
        <v>37.174</v>
      </c>
    </row>
    <row r="96" customFormat="false" ht="15" hidden="false" customHeight="false" outlineLevel="0" collapsed="false">
      <c r="A96" s="7" t="s">
        <v>122</v>
      </c>
      <c r="B96" s="21" t="n">
        <f aca="false">IF(B$25=1,2*Quesería!$B$19*Quesería!$B$20/12,0)</f>
        <v>0</v>
      </c>
      <c r="C96" s="21" t="n">
        <f aca="false">IF(C$25=1,2*Quesería!$B$19*Quesería!$B$20/12,0)</f>
        <v>18</v>
      </c>
      <c r="D96" s="21" t="n">
        <f aca="false">IF(D$25=1,2*Quesería!$B$19*Quesería!$B$20/12,0)</f>
        <v>0</v>
      </c>
      <c r="E96" s="21" t="n">
        <f aca="false">IF(E$25=1,2*Quesería!$B$19*Quesería!$B$20/12,0)</f>
        <v>0</v>
      </c>
      <c r="F96" s="21" t="n">
        <f aca="false">IF(F$25=1,2*Quesería!$B$19*Quesería!$B$20/12,0)</f>
        <v>0</v>
      </c>
      <c r="G96" s="21" t="n">
        <f aca="false">IF(G$25=1,2*Quesería!$B$19*Quesería!$B$20/12,0)</f>
        <v>0</v>
      </c>
      <c r="H96" s="21" t="n">
        <f aca="false">IF(H$25=1,2*Quesería!$B$19*Quesería!$B$20/12,0)</f>
        <v>0</v>
      </c>
      <c r="I96" s="21" t="n">
        <f aca="false">IF(I$25=1,2*Quesería!$B$19*Quesería!$B$20/12,0)</f>
        <v>0</v>
      </c>
      <c r="J96" s="21" t="n">
        <f aca="false">IF(J$25=1,2*Quesería!$B$19*Quesería!$B$20/12,0)</f>
        <v>0</v>
      </c>
      <c r="K96" s="21" t="n">
        <f aca="false">IF(K$25=1,2*Quesería!$B$19*Quesería!$B$20/12,0)</f>
        <v>0</v>
      </c>
      <c r="L96" s="21" t="n">
        <f aca="false">IF(L$25=1,2*Quesería!$B$19*Quesería!$B$20/12,0)</f>
        <v>0</v>
      </c>
    </row>
    <row r="97" customFormat="false" ht="15" hidden="false" customHeight="false" outlineLevel="0" collapsed="false">
      <c r="A97" s="7" t="s">
        <v>123</v>
      </c>
      <c r="B97" s="21" t="n">
        <f aca="false">(IF(AND(B$25&gt;=1,B$25&lt;=Quesería!$B$8),Quesería!$F$44/Quesería!$B$8,0)+IF(AND(B$25&gt;=2,B$25&lt;=Quesería!$B$8+1),Quesería!$F$45/Quesería!$B$8,0))*$E$11</f>
        <v>0</v>
      </c>
      <c r="C97" s="21" t="n">
        <f aca="false">(IF(AND(C$25&gt;=1,C$25&lt;=Quesería!$B$8),Quesería!$F$44/Quesería!$B$8,0)+IF(AND(C$25&gt;=2,C$25&lt;=Quesería!$B$8+1),Quesería!$F$45/Quesería!$B$8,0))*$E$11</f>
        <v>46.3750173045333</v>
      </c>
      <c r="D97" s="21" t="n">
        <f aca="false">(IF(AND(D$25&gt;=1,D$25&lt;=Quesería!$B$8),Quesería!$F$44/Quesería!$B$8,0)+IF(AND(D$25&gt;=2,D$25&lt;=Quesería!$B$8+1),Quesería!$F$45/Quesería!$B$8,0))*$E$11</f>
        <v>103.9153213072</v>
      </c>
      <c r="E97" s="21" t="n">
        <f aca="false">(IF(AND(E$25&gt;=1,E$25&lt;=Quesería!$B$8),Quesería!$F$44/Quesería!$B$8,0)+IF(AND(E$25&gt;=2,E$25&lt;=Quesería!$B$8+1),Quesería!$F$45/Quesería!$B$8,0))*$E$11</f>
        <v>103.9153213072</v>
      </c>
      <c r="F97" s="21" t="n">
        <f aca="false">(IF(AND(F$25&gt;=1,F$25&lt;=Quesería!$B$8),Quesería!$F$44/Quesería!$B$8,0)+IF(AND(F$25&gt;=2,F$25&lt;=Quesería!$B$8+1),Quesería!$F$45/Quesería!$B$8,0))*$E$11</f>
        <v>103.9153213072</v>
      </c>
      <c r="G97" s="21" t="n">
        <f aca="false">(IF(AND(G$25&gt;=1,G$25&lt;=Quesería!$B$8),Quesería!$F$44/Quesería!$B$8,0)+IF(AND(G$25&gt;=2,G$25&lt;=Quesería!$B$8+1),Quesería!$F$45/Quesería!$B$8,0))*$E$11</f>
        <v>103.9153213072</v>
      </c>
      <c r="H97" s="21" t="n">
        <f aca="false">(IF(AND(H$25&gt;=1,H$25&lt;=Quesería!$B$8),Quesería!$F$44/Quesería!$B$8,0)+IF(AND(H$25&gt;=2,H$25&lt;=Quesería!$B$8+1),Quesería!$F$45/Quesería!$B$8,0))*$E$11</f>
        <v>103.9153213072</v>
      </c>
      <c r="I97" s="21" t="n">
        <f aca="false">(IF(AND(I$25&gt;=1,I$25&lt;=Quesería!$B$8),Quesería!$F$44/Quesería!$B$8,0)+IF(AND(I$25&gt;=2,I$25&lt;=Quesería!$B$8+1),Quesería!$F$45/Quesería!$B$8,0))*$E$11</f>
        <v>103.9153213072</v>
      </c>
      <c r="J97" s="21" t="n">
        <f aca="false">(IF(AND(J$25&gt;=1,J$25&lt;=Quesería!$B$8),Quesería!$F$44/Quesería!$B$8,0)+IF(AND(J$25&gt;=2,J$25&lt;=Quesería!$B$8+1),Quesería!$F$45/Quesería!$B$8,0))*$E$11</f>
        <v>103.9153213072</v>
      </c>
      <c r="K97" s="21" t="n">
        <f aca="false">(IF(AND(K$25&gt;=1,K$25&lt;=Quesería!$B$8),Quesería!$F$44/Quesería!$B$8,0)+IF(AND(K$25&gt;=2,K$25&lt;=Quesería!$B$8+1),Quesería!$F$45/Quesería!$B$8,0))*$E$11</f>
        <v>103.9153213072</v>
      </c>
      <c r="L97" s="21" t="n">
        <f aca="false">(IF(AND(L$25&gt;=1,L$25&lt;=Quesería!$B$8),Quesería!$F$44/Quesería!$B$8,0)+IF(AND(L$25&gt;=2,L$25&lt;=Quesería!$B$8+1),Quesería!$F$45/Quesería!$B$8,0))*$E$11</f>
        <v>103.9153213072</v>
      </c>
    </row>
    <row r="98" customFormat="false" ht="15" hidden="false" customHeight="false" outlineLevel="0" collapsed="false">
      <c r="A98" s="7" t="s">
        <v>124</v>
      </c>
      <c r="B98" s="21" t="n">
        <f aca="false">IF(B$25=1,$E$7*Quesería!$B$21*Quesería!$F$40*$E$11,0)</f>
        <v>0</v>
      </c>
      <c r="C98" s="21" t="n">
        <f aca="false">IF(C$25=1,$E$7*Quesería!$B$21*Quesería!$F$40*$E$11,0)</f>
        <v>20</v>
      </c>
      <c r="D98" s="21" t="n">
        <f aca="false">IF(D$25=1,$E$7*Quesería!$B$21*Quesería!$F$40*$E$11,0)</f>
        <v>0</v>
      </c>
      <c r="E98" s="21" t="n">
        <f aca="false">IF(E$25=1,$E$7*Quesería!$B$21*Quesería!$F$40*$E$11,0)</f>
        <v>0</v>
      </c>
      <c r="F98" s="21" t="n">
        <f aca="false">IF(F$25=1,$E$7*Quesería!$B$21*Quesería!$F$40*$E$11,0)</f>
        <v>0</v>
      </c>
      <c r="G98" s="21" t="n">
        <f aca="false">IF(G$25=1,$E$7*Quesería!$B$21*Quesería!$F$40*$E$11,0)</f>
        <v>0</v>
      </c>
      <c r="H98" s="21" t="n">
        <f aca="false">IF(H$25=1,$E$7*Quesería!$B$21*Quesería!$F$40*$E$11,0)</f>
        <v>0</v>
      </c>
      <c r="I98" s="21" t="n">
        <f aca="false">IF(I$25=1,$E$7*Quesería!$B$21*Quesería!$F$40*$E$11,0)</f>
        <v>0</v>
      </c>
      <c r="J98" s="21" t="n">
        <f aca="false">IF(J$25=1,$E$7*Quesería!$B$21*Quesería!$F$40*$E$11,0)</f>
        <v>0</v>
      </c>
      <c r="K98" s="21" t="n">
        <f aca="false">IF(K$25=1,$E$7*Quesería!$B$21*Quesería!$F$40*$E$11,0)</f>
        <v>0</v>
      </c>
      <c r="L98" s="21" t="n">
        <f aca="false">IF(L$25=1,$E$7*Quesería!$B$21*Quesería!$F$40*$E$11,0)</f>
        <v>0</v>
      </c>
    </row>
    <row r="99" customFormat="false" ht="15" hidden="false" customHeight="false" outlineLevel="0" collapsed="false">
      <c r="A99" s="7" t="s">
        <v>10</v>
      </c>
      <c r="B99" s="21" t="n">
        <f aca="false">Quesería!$B$7*(B94-B95-B96-B97)-B98</f>
        <v>0</v>
      </c>
      <c r="C99" s="21" t="n">
        <f aca="false">Quesería!$B$7*(C94-C95-C96-C97)-C98</f>
        <v>-18.4665156658719</v>
      </c>
      <c r="D99" s="21" t="n">
        <f aca="false">Quesería!$B$7*(D94-D95-D96-D97)-D98</f>
        <v>38.6541913967664</v>
      </c>
      <c r="E99" s="21" t="n">
        <f aca="false">Quesería!$B$7*(E94-E95-E96-E97)-E98</f>
        <v>53.9911913967664</v>
      </c>
      <c r="F99" s="21" t="n">
        <f aca="false">Quesería!$B$7*(F94-F95-F96-F97)-F98</f>
        <v>53.9911913967664</v>
      </c>
      <c r="G99" s="21" t="n">
        <f aca="false">Quesería!$B$7*(G94-G95-G96-G97)-G98</f>
        <v>53.9911913967664</v>
      </c>
      <c r="H99" s="21" t="n">
        <f aca="false">Quesería!$B$7*(H94-H95-H96-H97)-H98</f>
        <v>53.9911913967664</v>
      </c>
      <c r="I99" s="21" t="n">
        <f aca="false">Quesería!$B$7*(I94-I95-I96-I97)-I98</f>
        <v>53.9911913967664</v>
      </c>
      <c r="J99" s="21" t="n">
        <f aca="false">Quesería!$B$7*(J94-J95-J96-J97)-J98</f>
        <v>53.9911913967664</v>
      </c>
      <c r="K99" s="21" t="n">
        <f aca="false">Quesería!$B$7*(K94-K95-K96-K97)-K98</f>
        <v>53.9911913967664</v>
      </c>
      <c r="L99" s="21" t="n">
        <f aca="false">Quesería!$B$7*(L94-L95-L96-L97)-L98</f>
        <v>53.9911913967664</v>
      </c>
    </row>
    <row r="100" customFormat="false" ht="15" hidden="false" customHeight="false" outlineLevel="0" collapsed="false">
      <c r="A100" s="7" t="s">
        <v>125</v>
      </c>
      <c r="B100" s="21" t="n">
        <f aca="false">((IF(B$25&gt;=1,Quesería!$G$65*IF(B$25=1,Quesería!$B$9,1),0)+IF(B$25&gt;=2,Quesería!$G$66*IF(B$25=2,Quesería!$B$9,1),0))*$E$10*Quesería!$B$12/365)</f>
        <v>0</v>
      </c>
      <c r="C100" s="21" t="n">
        <f aca="false">((IF(C$25&gt;=1,Quesería!$G$65*IF(C$25=1,Quesería!$B$9,1),0)+IF(C$25&gt;=2,Quesería!$G$66*IF(C$25=2,Quesería!$B$9,1),0))*$E$10*Quesería!$B$12/365)-((IF(B$25&gt;=1,Quesería!$G$65*IF(B$25=1,Quesería!$B$9,1),0)+IF(B$25&gt;=2,Quesería!$G$66*IF(B$25=2,Quesería!$B$9,1),0))*$E$10*Quesería!$B$12/365)</f>
        <v>3.62564383561644</v>
      </c>
      <c r="D100" s="21" t="n">
        <f aca="false">((IF(D$25&gt;=1,Quesería!$G$65*IF(D$25=1,Quesería!$B$9,1),0)+IF(D$25&gt;=2,Quesería!$G$66*IF(D$25=2,Quesería!$B$9,1),0))*$E$10*Quesería!$B$12/365)-((IF(C$25&gt;=1,Quesería!$G$65*IF(C$25=1,Quesería!$B$9,1),0)+IF(C$25&gt;=2,Quesería!$G$66*IF(C$25=2,Quesería!$B$9,1),0))*$E$10*Quesería!$B$12/365)</f>
        <v>6.60854794520548</v>
      </c>
      <c r="E100" s="21" t="n">
        <f aca="false">((IF(E$25&gt;=1,Quesería!$G$65*IF(E$25=1,Quesería!$B$9,1),0)+IF(E$25&gt;=2,Quesería!$G$66*IF(E$25=2,Quesería!$B$9,1),0))*$E$10*Quesería!$B$12/365)-((IF(D$25&gt;=1,Quesería!$G$65*IF(D$25=1,Quesería!$B$9,1),0)+IF(D$25&gt;=2,Quesería!$G$66*IF(D$25=2,Quesería!$B$9,1),0))*$E$10*Quesería!$B$12/365)</f>
        <v>1.8</v>
      </c>
      <c r="F100" s="21" t="n">
        <f aca="false">((IF(F$25&gt;=1,Quesería!$G$65*IF(F$25=1,Quesería!$B$9,1),0)+IF(F$25&gt;=2,Quesería!$G$66*IF(F$25=2,Quesería!$B$9,1),0))*$E$10*Quesería!$B$12/365)-((IF(E$25&gt;=1,Quesería!$G$65*IF(E$25=1,Quesería!$B$9,1),0)+IF(E$25&gt;=2,Quesería!$G$66*IF(E$25=2,Quesería!$B$9,1),0))*$E$10*Quesería!$B$12/365)</f>
        <v>0</v>
      </c>
      <c r="G100" s="21" t="n">
        <f aca="false">((IF(G$25&gt;=1,Quesería!$G$65*IF(G$25=1,Quesería!$B$9,1),0)+IF(G$25&gt;=2,Quesería!$G$66*IF(G$25=2,Quesería!$B$9,1),0))*$E$10*Quesería!$B$12/365)-((IF(F$25&gt;=1,Quesería!$G$65*IF(F$25=1,Quesería!$B$9,1),0)+IF(F$25&gt;=2,Quesería!$G$66*IF(F$25=2,Quesería!$B$9,1),0))*$E$10*Quesería!$B$12/365)</f>
        <v>0</v>
      </c>
      <c r="H100" s="21" t="n">
        <f aca="false">((IF(H$25&gt;=1,Quesería!$G$65*IF(H$25=1,Quesería!$B$9,1),0)+IF(H$25&gt;=2,Quesería!$G$66*IF(H$25=2,Quesería!$B$9,1),0))*$E$10*Quesería!$B$12/365)-((IF(G$25&gt;=1,Quesería!$G$65*IF(G$25=1,Quesería!$B$9,1),0)+IF(G$25&gt;=2,Quesería!$G$66*IF(G$25=2,Quesería!$B$9,1),0))*$E$10*Quesería!$B$12/365)</f>
        <v>0</v>
      </c>
      <c r="I100" s="21" t="n">
        <f aca="false">((IF(I$25&gt;=1,Quesería!$G$65*IF(I$25=1,Quesería!$B$9,1),0)+IF(I$25&gt;=2,Quesería!$G$66*IF(I$25=2,Quesería!$B$9,1),0))*$E$10*Quesería!$B$12/365)-((IF(H$25&gt;=1,Quesería!$G$65*IF(H$25=1,Quesería!$B$9,1),0)+IF(H$25&gt;=2,Quesería!$G$66*IF(H$25=2,Quesería!$B$9,1),0))*$E$10*Quesería!$B$12/365)</f>
        <v>0</v>
      </c>
      <c r="J100" s="21" t="n">
        <f aca="false">((IF(J$25&gt;=1,Quesería!$G$65*IF(J$25=1,Quesería!$B$9,1),0)+IF(J$25&gt;=2,Quesería!$G$66*IF(J$25=2,Quesería!$B$9,1),0))*$E$10*Quesería!$B$12/365)-((IF(I$25&gt;=1,Quesería!$G$65*IF(I$25=1,Quesería!$B$9,1),0)+IF(I$25&gt;=2,Quesería!$G$66*IF(I$25=2,Quesería!$B$9,1),0))*$E$10*Quesería!$B$12/365)</f>
        <v>0</v>
      </c>
      <c r="K100" s="21" t="n">
        <f aca="false">((IF(K$25&gt;=1,Quesería!$G$65*IF(K$25=1,Quesería!$B$9,1),0)+IF(K$25&gt;=2,Quesería!$G$66*IF(K$25=2,Quesería!$B$9,1),0))*$E$10*Quesería!$B$12/365)-((IF(J$25&gt;=1,Quesería!$G$65*IF(J$25=1,Quesería!$B$9,1),0)+IF(J$25&gt;=2,Quesería!$G$66*IF(J$25=2,Quesería!$B$9,1),0))*$E$10*Quesería!$B$12/365)</f>
        <v>0</v>
      </c>
      <c r="L100" s="21" t="n">
        <f aca="false">-((IF(K$25&gt;=1,Quesería!$G$65*IF(K$25=1,Quesería!$B$9,1),0)+IF(K$25&gt;=2,Quesería!$G$66*IF(K$25=2,Quesería!$B$9,1),0))*$E$10*Quesería!$B$12/365)</f>
        <v>-12.0341917808219</v>
      </c>
    </row>
    <row r="101" customFormat="false" ht="15" hidden="false" customHeight="false" outlineLevel="0" collapsed="false">
      <c r="A101" s="7" t="s">
        <v>126</v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f aca="false">$E$8*Quesería!$B$22*(Quesería!$F$46+Quesería!$F$47)*$E$11*(1-Quesería!$B$7)</f>
        <v>54.5436666666667</v>
      </c>
    </row>
    <row r="102" customFormat="false" ht="15" hidden="false" customHeight="false" outlineLevel="0" collapsed="false">
      <c r="A102" s="17" t="s">
        <v>127</v>
      </c>
      <c r="B102" s="23" t="n">
        <f aca="false">B94-B95-B96-B99-B91-B100+B101</f>
        <v>-463.750173045333</v>
      </c>
      <c r="C102" s="23" t="n">
        <f aca="false">C94-C95-C96-C99-C91-C100+C101</f>
        <v>-509.805767080083</v>
      </c>
      <c r="D102" s="23" t="n">
        <f aca="false">D94-D95-D96-D99-D91-D100+D101</f>
        <v>169.093128813132</v>
      </c>
      <c r="E102" s="23" t="n">
        <f aca="false">E94-E95-E96-E99-E91-E100+E101</f>
        <v>202.384676758338</v>
      </c>
      <c r="F102" s="23" t="n">
        <f aca="false">F94-F95-F96-F99-F91-F100+F101</f>
        <v>204.184676758338</v>
      </c>
      <c r="G102" s="23" t="n">
        <f aca="false">G94-G95-G96-G99-G91-G100+G101</f>
        <v>204.184676758338</v>
      </c>
      <c r="H102" s="23" t="n">
        <f aca="false">H94-H95-H96-H99-H91-H100+H101</f>
        <v>204.184676758338</v>
      </c>
      <c r="I102" s="23" t="n">
        <f aca="false">I94-I95-I96-I99-I91-I100+I101</f>
        <v>204.184676758338</v>
      </c>
      <c r="J102" s="23" t="n">
        <f aca="false">J94-J95-J96-J99-J91-J100+J101</f>
        <v>204.184676758338</v>
      </c>
      <c r="K102" s="23" t="n">
        <f aca="false">K94-K95-K96-K99-K91-K100+K101</f>
        <v>204.184676758338</v>
      </c>
      <c r="L102" s="23" t="n">
        <f aca="false">L94-L95-L96-L99-L91-L100+L101</f>
        <v>270.762535205826</v>
      </c>
    </row>
    <row r="103" customFormat="false" ht="15" hidden="false" customHeight="false" outlineLevel="0" collapsed="false">
      <c r="A103" s="7" t="s">
        <v>128</v>
      </c>
      <c r="B103" s="21" t="n">
        <f aca="false">B102</f>
        <v>-463.750173045333</v>
      </c>
      <c r="C103" s="21" t="n">
        <f aca="false">B103+C102</f>
        <v>-973.555940125417</v>
      </c>
      <c r="D103" s="21" t="n">
        <f aca="false">C103+D102</f>
        <v>-804.462811312284</v>
      </c>
      <c r="E103" s="21" t="n">
        <f aca="false">D103+E102</f>
        <v>-602.078134553947</v>
      </c>
      <c r="F103" s="21" t="n">
        <f aca="false">E103+F102</f>
        <v>-397.893457795609</v>
      </c>
      <c r="G103" s="21" t="n">
        <f aca="false">F103+G102</f>
        <v>-193.708781037272</v>
      </c>
      <c r="H103" s="21" t="n">
        <f aca="false">G103+H102</f>
        <v>10.4758957210657</v>
      </c>
      <c r="I103" s="21" t="n">
        <f aca="false">H103+I102</f>
        <v>214.660572479403</v>
      </c>
      <c r="J103" s="21" t="n">
        <f aca="false">I103+J102</f>
        <v>418.845249237741</v>
      </c>
      <c r="K103" s="21" t="n">
        <f aca="false">J103+K102</f>
        <v>623.029925996078</v>
      </c>
      <c r="L103" s="21" t="n">
        <f aca="false">K103+L102</f>
        <v>893.792461201905</v>
      </c>
    </row>
    <row r="104" customFormat="false" ht="15" hidden="false" customHeight="false" outlineLevel="0" collapsed="false">
      <c r="A104" s="2" t="s">
        <v>129</v>
      </c>
      <c r="B104" s="24" t="n">
        <v>0</v>
      </c>
      <c r="C104" s="24" t="n">
        <f aca="false">IF(AND(B103&lt;0,C103&gt;=0),B$25+(-B103)/C102,0)</f>
        <v>0</v>
      </c>
      <c r="D104" s="24" t="n">
        <f aca="false">IF(AND(C103&lt;0,D103&gt;=0),C$25+(-C103)/D102,0)</f>
        <v>0</v>
      </c>
      <c r="E104" s="24" t="n">
        <f aca="false">IF(AND(D103&lt;0,E103&gt;=0),D$25+(-D103)/E102,0)</f>
        <v>0</v>
      </c>
      <c r="F104" s="24" t="n">
        <f aca="false">IF(AND(E103&lt;0,F103&gt;=0),E$25+(-E103)/F102,0)</f>
        <v>0</v>
      </c>
      <c r="G104" s="24" t="n">
        <f aca="false">IF(AND(F103&lt;0,G103&gt;=0),F$25+(-F103)/G102,0)</f>
        <v>0</v>
      </c>
      <c r="H104" s="24" t="n">
        <f aca="false">IF(AND(G103&lt;0,H103&gt;=0),G$25+(-G103)/H102,0)</f>
        <v>5.94869401618485</v>
      </c>
      <c r="I104" s="24" t="n">
        <f aca="false">IF(AND(H103&lt;0,I103&gt;=0),H$25+(-H103)/I102,0)</f>
        <v>0</v>
      </c>
      <c r="J104" s="24" t="n">
        <f aca="false">IF(AND(I103&lt;0,J103&gt;=0),I$25+(-I103)/J102,0)</f>
        <v>0</v>
      </c>
      <c r="K104" s="24" t="n">
        <f aca="false">IF(AND(J103&lt;0,K103&gt;=0),J$25+(-J103)/K102,0)</f>
        <v>0</v>
      </c>
      <c r="L104" s="24" t="n">
        <f aca="false">IF(AND(K103&lt;0,L103&gt;=0),K$25+(-K103)/L102,0)</f>
        <v>0</v>
      </c>
    </row>
    <row r="105" customFormat="false" ht="15" hidden="false" customHeight="false" outlineLevel="0" collapsed="false">
      <c r="A105" s="7" t="s">
        <v>130</v>
      </c>
      <c r="B105" s="21" t="n">
        <f aca="false">Quesería!$B$23*B91</f>
        <v>324.625121131733</v>
      </c>
      <c r="C105" s="21" t="n">
        <f aca="false">Quesería!$B$23*C91</f>
        <v>402.782128018667</v>
      </c>
      <c r="D105" s="21" t="n">
        <f aca="false">Quesería!$B$23*D91</f>
        <v>0</v>
      </c>
      <c r="E105" s="21" t="n">
        <f aca="false">Quesería!$B$23*E91</f>
        <v>0</v>
      </c>
      <c r="F105" s="21" t="n">
        <f aca="false">Quesería!$B$23*F91</f>
        <v>0</v>
      </c>
      <c r="G105" s="21" t="n">
        <f aca="false">Quesería!$B$23*G91</f>
        <v>0</v>
      </c>
      <c r="H105" s="21" t="n">
        <f aca="false">Quesería!$B$23*H91</f>
        <v>0</v>
      </c>
      <c r="I105" s="21" t="n">
        <f aca="false">Quesería!$B$23*I91</f>
        <v>0</v>
      </c>
      <c r="J105" s="21" t="n">
        <f aca="false">Quesería!$B$23*J91</f>
        <v>0</v>
      </c>
      <c r="K105" s="21" t="n">
        <f aca="false">Quesería!$B$23*K91</f>
        <v>0</v>
      </c>
      <c r="L105" s="21" t="n">
        <f aca="false">Quesería!$B$23*L91</f>
        <v>0</v>
      </c>
    </row>
    <row r="106" customFormat="false" ht="15" hidden="false" customHeight="false" outlineLevel="0" collapsed="false">
      <c r="A106" s="7" t="s">
        <v>131</v>
      </c>
      <c r="B106" s="21" t="n">
        <f aca="false">IF(AND(B$25&gt;0,B$25&lt;=0+Quesería!$B$25),$E$12*((Quesería!$B$23*$B$91)-(Quesería!$B$23*$B$91)/(Quesería!$B$25-Quesería!$B$26)*MAX(0,MIN(B$25-1-0-Quesería!$B$26,(Quesería!$B$25-Quesería!$B$26)))),0)+IF(AND(B$25&gt;1,B$25&lt;=1+Quesería!$B$25),$E$12*((Quesería!$B$23*$C$91)-(Quesería!$B$23*$C$91)/(Quesería!$B$25-Quesería!$B$26)*MAX(0,MIN(B$25-1-1-Quesería!$B$26,(Quesería!$B$25-Quesería!$B$26)))),0)</f>
        <v>0</v>
      </c>
      <c r="C106" s="21" t="n">
        <f aca="false">IF(AND(C$25&gt;0,C$25&lt;=0+Quesería!$B$25),$E$12*((Quesería!$B$23*$B$91)-(Quesería!$B$23*$B$91)/(Quesería!$B$25-Quesería!$B$26)*MAX(0,MIN(C$25-1-0-Quesería!$B$26,(Quesería!$B$25-Quesería!$B$26)))),0)+IF(AND(C$25&gt;1,C$25&lt;=1+Quesería!$B$25),$E$12*((Quesería!$B$23*$C$91)-(Quesería!$B$23*$C$91)/(Quesería!$B$25-Quesería!$B$26)*MAX(0,MIN(C$25-1-1-Quesería!$B$26,(Quesería!$B$25-Quesería!$B$26)))),0)</f>
        <v>45.7721420795744</v>
      </c>
      <c r="D106" s="21" t="n">
        <f aca="false">IF(AND(D$25&gt;0,D$25&lt;=0+Quesería!$B$25),$E$12*((Quesería!$B$23*$B$91)-(Quesería!$B$23*$B$91)/(Quesería!$B$25-Quesería!$B$26)*MAX(0,MIN(D$25-1-0-Quesería!$B$26,(Quesería!$B$25-Quesería!$B$26)))),0)+IF(AND(D$25&gt;1,D$25&lt;=1+Quesería!$B$25),$E$12*((Quesería!$B$23*$C$91)-(Quesería!$B$23*$C$91)/(Quesería!$B$25-Quesería!$B$26)*MAX(0,MIN(D$25-1-1-Quesería!$B$26,(Quesería!$B$25-Quesería!$B$26)))),0)</f>
        <v>102.564422130206</v>
      </c>
      <c r="E106" s="21" t="n">
        <f aca="false">IF(AND(E$25&gt;0,E$25&lt;=0+Quesería!$B$25),$E$12*((Quesería!$B$23*$B$91)-(Quesería!$B$23*$B$91)/(Quesería!$B$25-Quesería!$B$26)*MAX(0,MIN(E$25-1-0-Quesería!$B$26,(Quesería!$B$25-Quesería!$B$26)))),0)+IF(AND(E$25&gt;1,E$25&lt;=1+Quesería!$B$25),$E$12*((Quesería!$B$23*$C$91)-(Quesería!$B$23*$C$91)/(Quesería!$B$25-Quesería!$B$26)*MAX(0,MIN(E$25-1-1-Quesería!$B$26,(Quesería!$B$25-Quesería!$B$26)))),0)</f>
        <v>94.9357317836106</v>
      </c>
      <c r="F106" s="21" t="n">
        <f aca="false">IF(AND(F$25&gt;0,F$25&lt;=0+Quesería!$B$25),$E$12*((Quesería!$B$23*$B$91)-(Quesería!$B$23*$B$91)/(Quesería!$B$25-Quesería!$B$26)*MAX(0,MIN(F$25-1-0-Quesería!$B$26,(Quesería!$B$25-Quesería!$B$26)))),0)+IF(AND(F$25&gt;1,F$25&lt;=1+Quesería!$B$25),$E$12*((Quesería!$B$23*$C$91)-(Quesería!$B$23*$C$91)/(Quesería!$B$25-Quesería!$B$26)*MAX(0,MIN(F$25-1-1-Quesería!$B$26,(Quesería!$B$25-Quesería!$B$26)))),0)</f>
        <v>77.8416614285763</v>
      </c>
      <c r="G106" s="21" t="n">
        <f aca="false">IF(AND(G$25&gt;0,G$25&lt;=0+Quesería!$B$25),$E$12*((Quesería!$B$23*$B$91)-(Quesería!$B$23*$B$91)/(Quesería!$B$25-Quesería!$B$26)*MAX(0,MIN(G$25-1-0-Quesería!$B$26,(Quesería!$B$25-Quesería!$B$26)))),0)+IF(AND(G$25&gt;1,G$25&lt;=1+Quesería!$B$25),$E$12*((Quesería!$B$23*$C$91)-(Quesería!$B$23*$C$91)/(Quesería!$B$25-Quesería!$B$26)*MAX(0,MIN(G$25-1-1-Quesería!$B$26,(Quesería!$B$25-Quesería!$B$26)))),0)</f>
        <v>60.7475910735419</v>
      </c>
      <c r="H106" s="21" t="n">
        <f aca="false">IF(AND(H$25&gt;0,H$25&lt;=0+Quesería!$B$25),$E$12*((Quesería!$B$23*$B$91)-(Quesería!$B$23*$B$91)/(Quesería!$B$25-Quesería!$B$26)*MAX(0,MIN(H$25-1-0-Quesería!$B$26,(Quesería!$B$25-Quesería!$B$26)))),0)+IF(AND(H$25&gt;1,H$25&lt;=1+Quesería!$B$25),$E$12*((Quesería!$B$23*$C$91)-(Quesería!$B$23*$C$91)/(Quesería!$B$25-Quesería!$B$26)*MAX(0,MIN(H$25-1-1-Quesería!$B$26,(Quesería!$B$25-Quesería!$B$26)))),0)</f>
        <v>43.6535207185075</v>
      </c>
      <c r="I106" s="21" t="n">
        <f aca="false">IF(AND(I$25&gt;0,I$25&lt;=0+Quesería!$B$25),$E$12*((Quesería!$B$23*$B$91)-(Quesería!$B$23*$B$91)/(Quesería!$B$25-Quesería!$B$26)*MAX(0,MIN(I$25-1-0-Quesería!$B$26,(Quesería!$B$25-Quesería!$B$26)))),0)+IF(AND(I$25&gt;1,I$25&lt;=1+Quesería!$B$25),$E$12*((Quesería!$B$23*$C$91)-(Quesería!$B$23*$C$91)/(Quesería!$B$25-Quesería!$B$26)*MAX(0,MIN(I$25-1-1-Quesería!$B$26,(Quesería!$B$25-Quesería!$B$26)))),0)</f>
        <v>26.5594503634731</v>
      </c>
      <c r="J106" s="21" t="n">
        <f aca="false">IF(AND(J$25&gt;0,J$25&lt;=0+Quesería!$B$25),$E$12*((Quesería!$B$23*$B$91)-(Quesería!$B$23*$B$91)/(Quesería!$B$25-Quesería!$B$26)*MAX(0,MIN(J$25-1-0-Quesería!$B$26,(Quesería!$B$25-Quesería!$B$26)))),0)+IF(AND(J$25&gt;1,J$25&lt;=1+Quesería!$B$25),$E$12*((Quesería!$B$23*$C$91)-(Quesería!$B$23*$C$91)/(Quesería!$B$25-Quesería!$B$26)*MAX(0,MIN(J$25-1-1-Quesería!$B$26,(Quesería!$B$25-Quesería!$B$26)))),0)</f>
        <v>9.46538000843867</v>
      </c>
      <c r="K106" s="21" t="n">
        <f aca="false">IF(AND(K$25&gt;0,K$25&lt;=0+Quesería!$B$25),$E$12*((Quesería!$B$23*$B$91)-(Quesería!$B$23*$B$91)/(Quesería!$B$25-Quesería!$B$26)*MAX(0,MIN(K$25-1-0-Quesería!$B$26,(Quesería!$B$25-Quesería!$B$26)))),0)+IF(AND(K$25&gt;1,K$25&lt;=1+Quesería!$B$25),$E$12*((Quesería!$B$23*$C$91)-(Quesería!$B$23*$C$91)/(Quesería!$B$25-Quesería!$B$26)*MAX(0,MIN(K$25-1-1-Quesería!$B$26,(Quesería!$B$25-Quesería!$B$26)))),0)</f>
        <v>0</v>
      </c>
      <c r="L106" s="21" t="n">
        <f aca="false">IF(AND(L$25&gt;0,L$25&lt;=0+Quesería!$B$25),$E$12*((Quesería!$B$23*$B$91)-(Quesería!$B$23*$B$91)/(Quesería!$B$25-Quesería!$B$26)*MAX(0,MIN(L$25-1-0-Quesería!$B$26,(Quesería!$B$25-Quesería!$B$26)))),0)+IF(AND(L$25&gt;1,L$25&lt;=1+Quesería!$B$25),$E$12*((Quesería!$B$23*$C$91)-(Quesería!$B$23*$C$91)/(Quesería!$B$25-Quesería!$B$26)*MAX(0,MIN(L$25-1-1-Quesería!$B$26,(Quesería!$B$25-Quesería!$B$26)))),0)</f>
        <v>0</v>
      </c>
    </row>
    <row r="107" customFormat="false" ht="15" hidden="false" customHeight="false" outlineLevel="0" collapsed="false">
      <c r="A107" s="7" t="s">
        <v>132</v>
      </c>
      <c r="B107" s="21" t="n">
        <f aca="false">IF(AND(B$25&gt;0+Quesería!$B$26,B$25&lt;=0+Quesería!$B$25),(Quesería!$B$23*$B$91)/(Quesería!$B$25-Quesería!$B$26),0)+IF(AND(B$25&gt;1+Quesería!$B$26,B$25&lt;=1+Quesería!$B$25),(Quesería!$B$23*$C$91)/(Quesería!$B$25-Quesería!$B$26),0)</f>
        <v>0</v>
      </c>
      <c r="C107" s="21" t="n">
        <f aca="false">IF(AND(C$25&gt;0+Quesería!$B$26,C$25&lt;=0+Quesería!$B$25),(Quesería!$B$23*$B$91)/(Quesería!$B$25-Quesería!$B$26),0)+IF(AND(C$25&gt;1+Quesería!$B$26,C$25&lt;=1+Quesería!$B$25),(Quesería!$B$23*$C$91)/(Quesería!$B$25-Quesería!$B$26),0)</f>
        <v>0</v>
      </c>
      <c r="D107" s="21" t="n">
        <f aca="false">IF(AND(D$25&gt;0+Quesería!$B$26,D$25&lt;=0+Quesería!$B$25),(Quesería!$B$23*$B$91)/(Quesería!$B$25-Quesería!$B$26),0)+IF(AND(D$25&gt;1+Quesería!$B$26,D$25&lt;=1+Quesería!$B$25),(Quesería!$B$23*$C$91)/(Quesería!$B$25-Quesería!$B$26),0)</f>
        <v>54.1041868552889</v>
      </c>
      <c r="E107" s="21" t="n">
        <f aca="false">IF(AND(E$25&gt;0+Quesería!$B$26,E$25&lt;=0+Quesería!$B$25),(Quesería!$B$23*$B$91)/(Quesería!$B$25-Quesería!$B$26),0)+IF(AND(E$25&gt;1+Quesería!$B$26,E$25&lt;=1+Quesería!$B$25),(Quesería!$B$23*$C$91)/(Quesería!$B$25-Quesería!$B$26),0)</f>
        <v>121.234541525067</v>
      </c>
      <c r="F107" s="21" t="n">
        <f aca="false">IF(AND(F$25&gt;0+Quesería!$B$26,F$25&lt;=0+Quesería!$B$25),(Quesería!$B$23*$B$91)/(Quesería!$B$25-Quesería!$B$26),0)+IF(AND(F$25&gt;1+Quesería!$B$26,F$25&lt;=1+Quesería!$B$25),(Quesería!$B$23*$C$91)/(Quesería!$B$25-Quesería!$B$26),0)</f>
        <v>121.234541525067</v>
      </c>
      <c r="G107" s="21" t="n">
        <f aca="false">IF(AND(G$25&gt;0+Quesería!$B$26,G$25&lt;=0+Quesería!$B$25),(Quesería!$B$23*$B$91)/(Quesería!$B$25-Quesería!$B$26),0)+IF(AND(G$25&gt;1+Quesería!$B$26,G$25&lt;=1+Quesería!$B$25),(Quesería!$B$23*$C$91)/(Quesería!$B$25-Quesería!$B$26),0)</f>
        <v>121.234541525067</v>
      </c>
      <c r="H107" s="21" t="n">
        <f aca="false">IF(AND(H$25&gt;0+Quesería!$B$26,H$25&lt;=0+Quesería!$B$25),(Quesería!$B$23*$B$91)/(Quesería!$B$25-Quesería!$B$26),0)+IF(AND(H$25&gt;1+Quesería!$B$26,H$25&lt;=1+Quesería!$B$25),(Quesería!$B$23*$C$91)/(Quesería!$B$25-Quesería!$B$26),0)</f>
        <v>121.234541525067</v>
      </c>
      <c r="I107" s="21" t="n">
        <f aca="false">IF(AND(I$25&gt;0+Quesería!$B$26,I$25&lt;=0+Quesería!$B$25),(Quesería!$B$23*$B$91)/(Quesería!$B$25-Quesería!$B$26),0)+IF(AND(I$25&gt;1+Quesería!$B$26,I$25&lt;=1+Quesería!$B$25),(Quesería!$B$23*$C$91)/(Quesería!$B$25-Quesería!$B$26),0)</f>
        <v>121.234541525067</v>
      </c>
      <c r="J107" s="21" t="n">
        <f aca="false">IF(AND(J$25&gt;0+Quesería!$B$26,J$25&lt;=0+Quesería!$B$25),(Quesería!$B$23*$B$91)/(Quesería!$B$25-Quesería!$B$26),0)+IF(AND(J$25&gt;1+Quesería!$B$26,J$25&lt;=1+Quesería!$B$25),(Quesería!$B$23*$C$91)/(Quesería!$B$25-Quesería!$B$26),0)</f>
        <v>67.1303546697778</v>
      </c>
      <c r="K107" s="21" t="n">
        <f aca="false">IF(AND(K$25&gt;0+Quesería!$B$26,K$25&lt;=0+Quesería!$B$25),(Quesería!$B$23*$B$91)/(Quesería!$B$25-Quesería!$B$26),0)+IF(AND(K$25&gt;1+Quesería!$B$26,K$25&lt;=1+Quesería!$B$25),(Quesería!$B$23*$C$91)/(Quesería!$B$25-Quesería!$B$26),0)</f>
        <v>0</v>
      </c>
      <c r="L107" s="21" t="n">
        <f aca="false">IF(AND(L$25&gt;0+Quesería!$B$26,L$25&lt;=0+Quesería!$B$25),(Quesería!$B$23*$B$91)/(Quesería!$B$25-Quesería!$B$26),0)+IF(AND(L$25&gt;1+Quesería!$B$26,L$25&lt;=1+Quesería!$B$25),(Quesería!$B$23*$C$91)/(Quesería!$B$25-Quesería!$B$26),0)</f>
        <v>0</v>
      </c>
    </row>
    <row r="108" customFormat="false" ht="15" hidden="false" customHeight="false" outlineLevel="0" collapsed="false">
      <c r="A108" s="7" t="s">
        <v>133</v>
      </c>
      <c r="B108" s="21" t="n">
        <f aca="false">Quesería!$B$7*B106</f>
        <v>0</v>
      </c>
      <c r="C108" s="21" t="n">
        <f aca="false">Quesería!$B$7*C106</f>
        <v>16.020249727851</v>
      </c>
      <c r="D108" s="21" t="n">
        <f aca="false">Quesería!$B$7*D106</f>
        <v>35.8975477455722</v>
      </c>
      <c r="E108" s="21" t="n">
        <f aca="false">Quesería!$B$7*E106</f>
        <v>33.2275061242637</v>
      </c>
      <c r="F108" s="21" t="n">
        <f aca="false">Quesería!$B$7*F106</f>
        <v>27.2445815000017</v>
      </c>
      <c r="G108" s="21" t="n">
        <f aca="false">Quesería!$B$7*G106</f>
        <v>21.2616568757396</v>
      </c>
      <c r="H108" s="21" t="n">
        <f aca="false">Quesería!$B$7*H106</f>
        <v>15.2787322514776</v>
      </c>
      <c r="I108" s="21" t="n">
        <f aca="false">Quesería!$B$7*I106</f>
        <v>9.29580762721557</v>
      </c>
      <c r="J108" s="21" t="n">
        <f aca="false">Quesería!$B$7*J106</f>
        <v>3.31288300295353</v>
      </c>
      <c r="K108" s="21" t="n">
        <f aca="false">Quesería!$B$7*K106</f>
        <v>0</v>
      </c>
      <c r="L108" s="21" t="n">
        <f aca="false">Quesería!$B$7*L106</f>
        <v>0</v>
      </c>
    </row>
    <row r="109" customFormat="false" ht="15" hidden="false" customHeight="false" outlineLevel="0" collapsed="false">
      <c r="A109" s="17" t="s">
        <v>134</v>
      </c>
      <c r="B109" s="23" t="n">
        <f aca="false">B102+B105-B106-B107+B108</f>
        <v>-139.1250519136</v>
      </c>
      <c r="C109" s="23" t="n">
        <f aca="false">C102+C105-C106-C107+C108</f>
        <v>-136.77553141314</v>
      </c>
      <c r="D109" s="23" t="n">
        <f aca="false">D102+D105-D106-D107+D108</f>
        <v>48.3220675732091</v>
      </c>
      <c r="E109" s="23" t="n">
        <f aca="false">E102+E105-E106-E107+E108</f>
        <v>19.441909573924</v>
      </c>
      <c r="F109" s="23" t="n">
        <f aca="false">F102+F105-F106-F107+F108</f>
        <v>32.3530553046963</v>
      </c>
      <c r="G109" s="23" t="n">
        <f aca="false">G102+G105-G106-G107+G108</f>
        <v>43.4642010354687</v>
      </c>
      <c r="H109" s="23" t="n">
        <f aca="false">H102+H105-H106-H107+H108</f>
        <v>54.5753467662411</v>
      </c>
      <c r="I109" s="23" t="n">
        <f aca="false">I102+I105-I106-I107+I108</f>
        <v>65.6864924970134</v>
      </c>
      <c r="J109" s="23" t="n">
        <f aca="false">J102+J105-J106-J107+J108</f>
        <v>130.901825083075</v>
      </c>
      <c r="K109" s="23" t="n">
        <f aca="false">K102+K105-K106-K107+K108</f>
        <v>204.184676758338</v>
      </c>
      <c r="L109" s="23" t="n">
        <f aca="false">L102+L105-L106-L107+L108</f>
        <v>270.762535205826</v>
      </c>
    </row>
    <row r="111" customFormat="false" ht="15" hidden="false" customHeight="false" outlineLevel="0" collapsed="false">
      <c r="A111" s="35" t="s">
        <v>160</v>
      </c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</row>
    <row r="112" customFormat="false" ht="15" hidden="false" customHeight="false" outlineLevel="0" collapsed="false">
      <c r="A112" s="7" t="s">
        <v>60</v>
      </c>
      <c r="B112" s="21" t="n">
        <f aca="false">IF(B$25=0,Quesería!$F$44,IF(B$25=1,Quesería!$F$45,0))*$F$11</f>
        <v>556.5002076544</v>
      </c>
      <c r="C112" s="21" t="n">
        <f aca="false">IF(C$25=0,Quesería!$F$44,IF(C$25=1,Quesería!$F$45,0))*$F$11</f>
        <v>690.483648032</v>
      </c>
      <c r="D112" s="21" t="n">
        <f aca="false">IF(D$25=0,Quesería!$F$44,IF(D$25=1,Quesería!$F$45,0))*$F$11</f>
        <v>0</v>
      </c>
      <c r="E112" s="21" t="n">
        <f aca="false">IF(E$25=0,Quesería!$F$44,IF(E$25=1,Quesería!$F$45,0))*$F$11</f>
        <v>0</v>
      </c>
      <c r="F112" s="21" t="n">
        <f aca="false">IF(F$25=0,Quesería!$F$44,IF(F$25=1,Quesería!$F$45,0))*$F$11</f>
        <v>0</v>
      </c>
      <c r="G112" s="21" t="n">
        <f aca="false">IF(G$25=0,Quesería!$F$44,IF(G$25=1,Quesería!$F$45,0))*$F$11</f>
        <v>0</v>
      </c>
      <c r="H112" s="21" t="n">
        <f aca="false">IF(H$25=0,Quesería!$F$44,IF(H$25=1,Quesería!$F$45,0))*$F$11</f>
        <v>0</v>
      </c>
      <c r="I112" s="21" t="n">
        <f aca="false">IF(I$25=0,Quesería!$F$44,IF(I$25=1,Quesería!$F$45,0))*$F$11</f>
        <v>0</v>
      </c>
      <c r="J112" s="21" t="n">
        <f aca="false">IF(J$25=0,Quesería!$F$44,IF(J$25=1,Quesería!$F$45,0))*$F$11</f>
        <v>0</v>
      </c>
      <c r="K112" s="21" t="n">
        <f aca="false">IF(K$25=0,Quesería!$F$44,IF(K$25=1,Quesería!$F$45,0))*$F$11</f>
        <v>0</v>
      </c>
      <c r="L112" s="21" t="n">
        <f aca="false">IF(L$25=0,Quesería!$F$44,IF(L$25=1,Quesería!$F$45,0))*$F$11</f>
        <v>0</v>
      </c>
    </row>
    <row r="113" customFormat="false" ht="15" hidden="false" customHeight="false" outlineLevel="0" collapsed="false">
      <c r="A113" s="7" t="s">
        <v>101</v>
      </c>
      <c r="B113" s="21" t="n">
        <f aca="false">IF(B$25=0,0,IF(B$25=1,Quesería!$E$63*Quesería!$B$9,Quesería!$E$63))*$F$10</f>
        <v>0</v>
      </c>
      <c r="C113" s="21" t="n">
        <f aca="false">IF(C$25=0,0,IF(C$25=1,Quesería!$E$63*Quesería!$B$9,Quesería!$E$63))*$F$10</f>
        <v>112.56550139541</v>
      </c>
      <c r="D113" s="21" t="n">
        <f aca="false">IF(D$25=0,0,IF(D$25=1,Quesería!$E$63*Quesería!$B$9,Quesería!$E$63))*$F$10</f>
        <v>150.08733519388</v>
      </c>
      <c r="E113" s="21" t="n">
        <f aca="false">IF(E$25=0,0,IF(E$25=1,Quesería!$E$63*Quesería!$B$9,Quesería!$E$63))*$F$10</f>
        <v>150.08733519388</v>
      </c>
      <c r="F113" s="21" t="n">
        <f aca="false">IF(F$25=0,0,IF(F$25=1,Quesería!$E$63*Quesería!$B$9,Quesería!$E$63))*$F$10</f>
        <v>150.08733519388</v>
      </c>
      <c r="G113" s="21" t="n">
        <f aca="false">IF(G$25=0,0,IF(G$25=1,Quesería!$E$63*Quesería!$B$9,Quesería!$E$63))*$F$10</f>
        <v>150.08733519388</v>
      </c>
      <c r="H113" s="21" t="n">
        <f aca="false">IF(H$25=0,0,IF(H$25=1,Quesería!$E$63*Quesería!$B$9,Quesería!$E$63))*$F$10</f>
        <v>150.08733519388</v>
      </c>
      <c r="I113" s="21" t="n">
        <f aca="false">IF(I$25=0,0,IF(I$25=1,Quesería!$E$63*Quesería!$B$9,Quesería!$E$63))*$F$10</f>
        <v>150.08733519388</v>
      </c>
      <c r="J113" s="21" t="n">
        <f aca="false">IF(J$25=0,0,IF(J$25=1,Quesería!$E$63*Quesería!$B$9,Quesería!$E$63))*$F$10</f>
        <v>150.08733519388</v>
      </c>
      <c r="K113" s="21" t="n">
        <f aca="false">IF(K$25=0,0,IF(K$25=1,Quesería!$E$63*Quesería!$B$9,Quesería!$E$63))*$F$10</f>
        <v>150.08733519388</v>
      </c>
      <c r="L113" s="21" t="n">
        <f aca="false">IF(L$25=0,0,IF(L$25=1,Quesería!$E$63*Quesería!$B$9,Quesería!$E$63))*$F$10</f>
        <v>150.08733519388</v>
      </c>
    </row>
    <row r="114" customFormat="false" ht="15" hidden="false" customHeight="false" outlineLevel="0" collapsed="false">
      <c r="A114" s="7" t="s">
        <v>102</v>
      </c>
      <c r="B114" s="21" t="n">
        <f aca="false">IF(B$25&lt;=1,0,IF(B$25=2,(Quesería!$E$64-Quesería!$E$58+$F$6*Quesería!$E$58-(1-$F$9)*Quesería!$E$61)*Quesería!$B$9,(Quesería!$E$64-Quesería!$E$58+$F$6*Quesería!$E$58-(1-$F$9)*Quesería!$E$61)))*$F$10</f>
        <v>0</v>
      </c>
      <c r="C114" s="21" t="n">
        <f aca="false">IF(C$25&lt;=1,0,IF(C$25=2,(Quesería!$E$64-Quesería!$E$58+$F$6*Quesería!$E$58-(1-$F$9)*Quesería!$E$61)*Quesería!$B$9,(Quesería!$E$64-Quesería!$E$58+$F$6*Quesería!$E$58-(1-$F$9)*Quesería!$E$61)))*$F$10</f>
        <v>0</v>
      </c>
      <c r="D114" s="21" t="n">
        <f aca="false">IF(D$25&lt;=1,0,IF(D$25=2,(Quesería!$E$64-Quesería!$E$58+$F$6*Quesería!$E$58-(1-$F$9)*Quesería!$E$61)*Quesería!$B$9,(Quesería!$E$64-Quesería!$E$58+$F$6*Quesería!$E$58-(1-$F$9)*Quesería!$E$61)))*$F$10</f>
        <v>164.325</v>
      </c>
      <c r="E114" s="21" t="n">
        <f aca="false">IF(E$25&lt;=1,0,IF(E$25=2,(Quesería!$E$64-Quesería!$E$58+$F$6*Quesería!$E$58-(1-$F$9)*Quesería!$E$61)*Quesería!$B$9,(Quesería!$E$64-Quesería!$E$58+$F$6*Quesería!$E$58-(1-$F$9)*Quesería!$E$61)))*$F$10</f>
        <v>219.1</v>
      </c>
      <c r="F114" s="21" t="n">
        <f aca="false">IF(F$25&lt;=1,0,IF(F$25=2,(Quesería!$E$64-Quesería!$E$58+$F$6*Quesería!$E$58-(1-$F$9)*Quesería!$E$61)*Quesería!$B$9,(Quesería!$E$64-Quesería!$E$58+$F$6*Quesería!$E$58-(1-$F$9)*Quesería!$E$61)))*$F$10</f>
        <v>219.1</v>
      </c>
      <c r="G114" s="21" t="n">
        <f aca="false">IF(G$25&lt;=1,0,IF(G$25=2,(Quesería!$E$64-Quesería!$E$58+$F$6*Quesería!$E$58-(1-$F$9)*Quesería!$E$61)*Quesería!$B$9,(Quesería!$E$64-Quesería!$E$58+$F$6*Quesería!$E$58-(1-$F$9)*Quesería!$E$61)))*$F$10</f>
        <v>219.1</v>
      </c>
      <c r="H114" s="21" t="n">
        <f aca="false">IF(H$25&lt;=1,0,IF(H$25=2,(Quesería!$E$64-Quesería!$E$58+$F$6*Quesería!$E$58-(1-$F$9)*Quesería!$E$61)*Quesería!$B$9,(Quesería!$E$64-Quesería!$E$58+$F$6*Quesería!$E$58-(1-$F$9)*Quesería!$E$61)))*$F$10</f>
        <v>219.1</v>
      </c>
      <c r="I114" s="21" t="n">
        <f aca="false">IF(I$25&lt;=1,0,IF(I$25=2,(Quesería!$E$64-Quesería!$E$58+$F$6*Quesería!$E$58-(1-$F$9)*Quesería!$E$61)*Quesería!$B$9,(Quesería!$E$64-Quesería!$E$58+$F$6*Quesería!$E$58-(1-$F$9)*Quesería!$E$61)))*$F$10</f>
        <v>219.1</v>
      </c>
      <c r="J114" s="21" t="n">
        <f aca="false">IF(J$25&lt;=1,0,IF(J$25=2,(Quesería!$E$64-Quesería!$E$58+$F$6*Quesería!$E$58-(1-$F$9)*Quesería!$E$61)*Quesería!$B$9,(Quesería!$E$64-Quesería!$E$58+$F$6*Quesería!$E$58-(1-$F$9)*Quesería!$E$61)))*$F$10</f>
        <v>219.1</v>
      </c>
      <c r="K114" s="21" t="n">
        <f aca="false">IF(K$25&lt;=1,0,IF(K$25=2,(Quesería!$E$64-Quesería!$E$58+$F$6*Quesería!$E$58-(1-$F$9)*Quesería!$E$61)*Quesería!$B$9,(Quesería!$E$64-Quesería!$E$58+$F$6*Quesería!$E$58-(1-$F$9)*Quesería!$E$61)))*$F$10</f>
        <v>219.1</v>
      </c>
      <c r="L114" s="21" t="n">
        <f aca="false">IF(L$25&lt;=1,0,IF(L$25=2,(Quesería!$E$64-Quesería!$E$58+$F$6*Quesería!$E$58-(1-$F$9)*Quesería!$E$61)*Quesería!$B$9,(Quesería!$E$64-Quesería!$E$58+$F$6*Quesería!$E$58-(1-$F$9)*Quesería!$E$61)))*$F$10</f>
        <v>219.1</v>
      </c>
    </row>
    <row r="115" customFormat="false" ht="15" hidden="false" customHeight="false" outlineLevel="0" collapsed="false">
      <c r="A115" s="17" t="s">
        <v>120</v>
      </c>
      <c r="B115" s="22" t="n">
        <f aca="false">B113+B114</f>
        <v>0</v>
      </c>
      <c r="C115" s="22" t="n">
        <f aca="false">C113+C114</f>
        <v>112.56550139541</v>
      </c>
      <c r="D115" s="22" t="n">
        <f aca="false">D113+D114</f>
        <v>314.41233519388</v>
      </c>
      <c r="E115" s="22" t="n">
        <f aca="false">E113+E114</f>
        <v>369.18733519388</v>
      </c>
      <c r="F115" s="22" t="n">
        <f aca="false">F113+F114</f>
        <v>369.18733519388</v>
      </c>
      <c r="G115" s="22" t="n">
        <f aca="false">G113+G114</f>
        <v>369.18733519388</v>
      </c>
      <c r="H115" s="22" t="n">
        <f aca="false">H113+H114</f>
        <v>369.18733519388</v>
      </c>
      <c r="I115" s="22" t="n">
        <f aca="false">I113+I114</f>
        <v>369.18733519388</v>
      </c>
      <c r="J115" s="22" t="n">
        <f aca="false">J113+J114</f>
        <v>369.18733519388</v>
      </c>
      <c r="K115" s="22" t="n">
        <f aca="false">K113+K114</f>
        <v>369.18733519388</v>
      </c>
      <c r="L115" s="22" t="n">
        <f aca="false">L113+L114</f>
        <v>369.18733519388</v>
      </c>
    </row>
    <row r="116" customFormat="false" ht="15" hidden="false" customHeight="false" outlineLevel="0" collapsed="false">
      <c r="A116" s="7" t="s">
        <v>121</v>
      </c>
      <c r="B116" s="21" t="n">
        <f aca="false">IF(B$25&gt;=1,Quesería!$B$10*Quesería!$F$46*$F$11+Quesería!$B$11,0)+IF(B$25&gt;=2,Quesería!$B$10*Quesería!$F$47*$F$11,0)</f>
        <v>0</v>
      </c>
      <c r="C116" s="21" t="n">
        <f aca="false">IF(C$25&gt;=1,Quesería!$B$10*Quesería!$F$46*$F$11+Quesería!$B$11,0)+IF(C$25&gt;=2,Quesería!$B$10*Quesería!$F$47*$F$11,0)</f>
        <v>23.1552</v>
      </c>
      <c r="D116" s="21" t="n">
        <f aca="false">IF(D$25&gt;=1,Quesería!$B$10*Quesería!$F$46*$F$11+Quesería!$B$11,0)+IF(D$25&gt;=2,Quesería!$B$10*Quesería!$F$47*$F$11,0)</f>
        <v>42.2088</v>
      </c>
      <c r="E116" s="21" t="n">
        <f aca="false">IF(E$25&gt;=1,Quesería!$B$10*Quesería!$F$46*$F$11+Quesería!$B$11,0)+IF(E$25&gt;=2,Quesería!$B$10*Quesería!$F$47*$F$11,0)</f>
        <v>42.2088</v>
      </c>
      <c r="F116" s="21" t="n">
        <f aca="false">IF(F$25&gt;=1,Quesería!$B$10*Quesería!$F$46*$F$11+Quesería!$B$11,0)+IF(F$25&gt;=2,Quesería!$B$10*Quesería!$F$47*$F$11,0)</f>
        <v>42.2088</v>
      </c>
      <c r="G116" s="21" t="n">
        <f aca="false">IF(G$25&gt;=1,Quesería!$B$10*Quesería!$F$46*$F$11+Quesería!$B$11,0)+IF(G$25&gt;=2,Quesería!$B$10*Quesería!$F$47*$F$11,0)</f>
        <v>42.2088</v>
      </c>
      <c r="H116" s="21" t="n">
        <f aca="false">IF(H$25&gt;=1,Quesería!$B$10*Quesería!$F$46*$F$11+Quesería!$B$11,0)+IF(H$25&gt;=2,Quesería!$B$10*Quesería!$F$47*$F$11,0)</f>
        <v>42.2088</v>
      </c>
      <c r="I116" s="21" t="n">
        <f aca="false">IF(I$25&gt;=1,Quesería!$B$10*Quesería!$F$46*$F$11+Quesería!$B$11,0)+IF(I$25&gt;=2,Quesería!$B$10*Quesería!$F$47*$F$11,0)</f>
        <v>42.2088</v>
      </c>
      <c r="J116" s="21" t="n">
        <f aca="false">IF(J$25&gt;=1,Quesería!$B$10*Quesería!$F$46*$F$11+Quesería!$B$11,0)+IF(J$25&gt;=2,Quesería!$B$10*Quesería!$F$47*$F$11,0)</f>
        <v>42.2088</v>
      </c>
      <c r="K116" s="21" t="n">
        <f aca="false">IF(K$25&gt;=1,Quesería!$B$10*Quesería!$F$46*$F$11+Quesería!$B$11,0)+IF(K$25&gt;=2,Quesería!$B$10*Quesería!$F$47*$F$11,0)</f>
        <v>42.2088</v>
      </c>
      <c r="L116" s="21" t="n">
        <f aca="false">IF(L$25&gt;=1,Quesería!$B$10*Quesería!$F$46*$F$11+Quesería!$B$11,0)+IF(L$25&gt;=2,Quesería!$B$10*Quesería!$F$47*$F$11,0)</f>
        <v>42.2088</v>
      </c>
    </row>
    <row r="117" customFormat="false" ht="15" hidden="false" customHeight="false" outlineLevel="0" collapsed="false">
      <c r="A117" s="7" t="s">
        <v>122</v>
      </c>
      <c r="B117" s="21" t="n">
        <f aca="false">IF(B$25=1,2*Quesería!$B$19*Quesería!$B$20/12,0)</f>
        <v>0</v>
      </c>
      <c r="C117" s="21" t="n">
        <f aca="false">IF(C$25=1,2*Quesería!$B$19*Quesería!$B$20/12,0)</f>
        <v>18</v>
      </c>
      <c r="D117" s="21" t="n">
        <f aca="false">IF(D$25=1,2*Quesería!$B$19*Quesería!$B$20/12,0)</f>
        <v>0</v>
      </c>
      <c r="E117" s="21" t="n">
        <f aca="false">IF(E$25=1,2*Quesería!$B$19*Quesería!$B$20/12,0)</f>
        <v>0</v>
      </c>
      <c r="F117" s="21" t="n">
        <f aca="false">IF(F$25=1,2*Quesería!$B$19*Quesería!$B$20/12,0)</f>
        <v>0</v>
      </c>
      <c r="G117" s="21" t="n">
        <f aca="false">IF(G$25=1,2*Quesería!$B$19*Quesería!$B$20/12,0)</f>
        <v>0</v>
      </c>
      <c r="H117" s="21" t="n">
        <f aca="false">IF(H$25=1,2*Quesería!$B$19*Quesería!$B$20/12,0)</f>
        <v>0</v>
      </c>
      <c r="I117" s="21" t="n">
        <f aca="false">IF(I$25=1,2*Quesería!$B$19*Quesería!$B$20/12,0)</f>
        <v>0</v>
      </c>
      <c r="J117" s="21" t="n">
        <f aca="false">IF(J$25=1,2*Quesería!$B$19*Quesería!$B$20/12,0)</f>
        <v>0</v>
      </c>
      <c r="K117" s="21" t="n">
        <f aca="false">IF(K$25=1,2*Quesería!$B$19*Quesería!$B$20/12,0)</f>
        <v>0</v>
      </c>
      <c r="L117" s="21" t="n">
        <f aca="false">IF(L$25=1,2*Quesería!$B$19*Quesería!$B$20/12,0)</f>
        <v>0</v>
      </c>
    </row>
    <row r="118" customFormat="false" ht="15" hidden="false" customHeight="false" outlineLevel="0" collapsed="false">
      <c r="A118" s="7" t="s">
        <v>123</v>
      </c>
      <c r="B118" s="21" t="n">
        <f aca="false">(IF(AND(B$25&gt;=1,B$25&lt;=Quesería!$B$8),Quesería!$F$44/Quesería!$B$8,0)+IF(AND(B$25&gt;=2,B$25&lt;=Quesería!$B$8+1),Quesería!$F$45/Quesería!$B$8,0))*$F$11</f>
        <v>0</v>
      </c>
      <c r="C118" s="21" t="n">
        <f aca="false">(IF(AND(C$25&gt;=1,C$25&lt;=Quesería!$B$8),Quesería!$F$44/Quesería!$B$8,0)+IF(AND(C$25&gt;=2,C$25&lt;=Quesería!$B$8+1),Quesería!$F$45/Quesería!$B$8,0))*$F$11</f>
        <v>55.65002076544</v>
      </c>
      <c r="D118" s="21" t="n">
        <f aca="false">(IF(AND(D$25&gt;=1,D$25&lt;=Quesería!$B$8),Quesería!$F$44/Quesería!$B$8,0)+IF(AND(D$25&gt;=2,D$25&lt;=Quesería!$B$8+1),Quesería!$F$45/Quesería!$B$8,0))*$F$11</f>
        <v>124.69838556864</v>
      </c>
      <c r="E118" s="21" t="n">
        <f aca="false">(IF(AND(E$25&gt;=1,E$25&lt;=Quesería!$B$8),Quesería!$F$44/Quesería!$B$8,0)+IF(AND(E$25&gt;=2,E$25&lt;=Quesería!$B$8+1),Quesería!$F$45/Quesería!$B$8,0))*$F$11</f>
        <v>124.69838556864</v>
      </c>
      <c r="F118" s="21" t="n">
        <f aca="false">(IF(AND(F$25&gt;=1,F$25&lt;=Quesería!$B$8),Quesería!$F$44/Quesería!$B$8,0)+IF(AND(F$25&gt;=2,F$25&lt;=Quesería!$B$8+1),Quesería!$F$45/Quesería!$B$8,0))*$F$11</f>
        <v>124.69838556864</v>
      </c>
      <c r="G118" s="21" t="n">
        <f aca="false">(IF(AND(G$25&gt;=1,G$25&lt;=Quesería!$B$8),Quesería!$F$44/Quesería!$B$8,0)+IF(AND(G$25&gt;=2,G$25&lt;=Quesería!$B$8+1),Quesería!$F$45/Quesería!$B$8,0))*$F$11</f>
        <v>124.69838556864</v>
      </c>
      <c r="H118" s="21" t="n">
        <f aca="false">(IF(AND(H$25&gt;=1,H$25&lt;=Quesería!$B$8),Quesería!$F$44/Quesería!$B$8,0)+IF(AND(H$25&gt;=2,H$25&lt;=Quesería!$B$8+1),Quesería!$F$45/Quesería!$B$8,0))*$F$11</f>
        <v>124.69838556864</v>
      </c>
      <c r="I118" s="21" t="n">
        <f aca="false">(IF(AND(I$25&gt;=1,I$25&lt;=Quesería!$B$8),Quesería!$F$44/Quesería!$B$8,0)+IF(AND(I$25&gt;=2,I$25&lt;=Quesería!$B$8+1),Quesería!$F$45/Quesería!$B$8,0))*$F$11</f>
        <v>124.69838556864</v>
      </c>
      <c r="J118" s="21" t="n">
        <f aca="false">(IF(AND(J$25&gt;=1,J$25&lt;=Quesería!$B$8),Quesería!$F$44/Quesería!$B$8,0)+IF(AND(J$25&gt;=2,J$25&lt;=Quesería!$B$8+1),Quesería!$F$45/Quesería!$B$8,0))*$F$11</f>
        <v>124.69838556864</v>
      </c>
      <c r="K118" s="21" t="n">
        <f aca="false">(IF(AND(K$25&gt;=1,K$25&lt;=Quesería!$B$8),Quesería!$F$44/Quesería!$B$8,0)+IF(AND(K$25&gt;=2,K$25&lt;=Quesería!$B$8+1),Quesería!$F$45/Quesería!$B$8,0))*$F$11</f>
        <v>124.69838556864</v>
      </c>
      <c r="L118" s="21" t="n">
        <f aca="false">(IF(AND(L$25&gt;=1,L$25&lt;=Quesería!$B$8),Quesería!$F$44/Quesería!$B$8,0)+IF(AND(L$25&gt;=2,L$25&lt;=Quesería!$B$8+1),Quesería!$F$45/Quesería!$B$8,0))*$F$11</f>
        <v>124.69838556864</v>
      </c>
    </row>
    <row r="119" customFormat="false" ht="15" hidden="false" customHeight="false" outlineLevel="0" collapsed="false">
      <c r="A119" s="7" t="s">
        <v>124</v>
      </c>
      <c r="B119" s="21" t="n">
        <f aca="false">IF(B$25=1,$F$7*Quesería!$B$21*Quesería!$F$40*$F$11,0)</f>
        <v>0</v>
      </c>
      <c r="C119" s="21" t="n">
        <f aca="false">IF(C$25=1,$F$7*Quesería!$B$21*Quesería!$F$40*$F$11,0)</f>
        <v>24</v>
      </c>
      <c r="D119" s="21" t="n">
        <f aca="false">IF(D$25=1,$F$7*Quesería!$B$21*Quesería!$F$40*$F$11,0)</f>
        <v>0</v>
      </c>
      <c r="E119" s="21" t="n">
        <f aca="false">IF(E$25=1,$F$7*Quesería!$B$21*Quesería!$F$40*$F$11,0)</f>
        <v>0</v>
      </c>
      <c r="F119" s="21" t="n">
        <f aca="false">IF(F$25=1,$F$7*Quesería!$B$21*Quesería!$F$40*$F$11,0)</f>
        <v>0</v>
      </c>
      <c r="G119" s="21" t="n">
        <f aca="false">IF(G$25=1,$F$7*Quesería!$B$21*Quesería!$F$40*$F$11,0)</f>
        <v>0</v>
      </c>
      <c r="H119" s="21" t="n">
        <f aca="false">IF(H$25=1,$F$7*Quesería!$B$21*Quesería!$F$40*$F$11,0)</f>
        <v>0</v>
      </c>
      <c r="I119" s="21" t="n">
        <f aca="false">IF(I$25=1,$F$7*Quesería!$B$21*Quesería!$F$40*$F$11,0)</f>
        <v>0</v>
      </c>
      <c r="J119" s="21" t="n">
        <f aca="false">IF(J$25=1,$F$7*Quesería!$B$21*Quesería!$F$40*$F$11,0)</f>
        <v>0</v>
      </c>
      <c r="K119" s="21" t="n">
        <f aca="false">IF(K$25=1,$F$7*Quesería!$B$21*Quesería!$F$40*$F$11,0)</f>
        <v>0</v>
      </c>
      <c r="L119" s="21" t="n">
        <f aca="false">IF(L$25=1,$F$7*Quesería!$B$21*Quesería!$F$40*$F$11,0)</f>
        <v>0</v>
      </c>
    </row>
    <row r="120" customFormat="false" ht="15" hidden="false" customHeight="false" outlineLevel="0" collapsed="false">
      <c r="A120" s="7" t="s">
        <v>10</v>
      </c>
      <c r="B120" s="21" t="n">
        <f aca="false">Quesería!$B$7*(B115-B116-B117-B118)-B119</f>
        <v>0</v>
      </c>
      <c r="C120" s="21" t="n">
        <f aca="false">Quesería!$B$7*(C115-C116-C117-C118)-C119</f>
        <v>-18.4839017795105</v>
      </c>
      <c r="D120" s="21" t="n">
        <f aca="false">Quesería!$B$7*(D115-D116-D117-D118)-D119</f>
        <v>51.626802368834</v>
      </c>
      <c r="E120" s="21" t="n">
        <f aca="false">Quesería!$B$7*(E115-E116-E117-E118)-E119</f>
        <v>70.798052368834</v>
      </c>
      <c r="F120" s="21" t="n">
        <f aca="false">Quesería!$B$7*(F115-F116-F117-F118)-F119</f>
        <v>70.798052368834</v>
      </c>
      <c r="G120" s="21" t="n">
        <f aca="false">Quesería!$B$7*(G115-G116-G117-G118)-G119</f>
        <v>70.798052368834</v>
      </c>
      <c r="H120" s="21" t="n">
        <f aca="false">Quesería!$B$7*(H115-H116-H117-H118)-H119</f>
        <v>70.798052368834</v>
      </c>
      <c r="I120" s="21" t="n">
        <f aca="false">Quesería!$B$7*(I115-I116-I117-I118)-I119</f>
        <v>70.798052368834</v>
      </c>
      <c r="J120" s="21" t="n">
        <f aca="false">Quesería!$B$7*(J115-J116-J117-J118)-J119</f>
        <v>70.798052368834</v>
      </c>
      <c r="K120" s="21" t="n">
        <f aca="false">Quesería!$B$7*(K115-K116-K117-K118)-K119</f>
        <v>70.798052368834</v>
      </c>
      <c r="L120" s="21" t="n">
        <f aca="false">Quesería!$B$7*(L115-L116-L117-L118)-L119</f>
        <v>70.798052368834</v>
      </c>
    </row>
    <row r="121" customFormat="false" ht="15" hidden="false" customHeight="false" outlineLevel="0" collapsed="false">
      <c r="A121" s="7" t="s">
        <v>125</v>
      </c>
      <c r="B121" s="21" t="n">
        <f aca="false">((IF(B$25&gt;=1,Quesería!$G$65*IF(B$25=1,Quesería!$B$9,1),0)+IF(B$25&gt;=2,Quesería!$G$66*IF(B$25=2,Quesería!$B$9,1),0))*$F$10*Quesería!$B$12/365)</f>
        <v>0</v>
      </c>
      <c r="C121" s="21" t="n">
        <f aca="false">((IF(C$25&gt;=1,Quesería!$G$65*IF(C$25=1,Quesería!$B$9,1),0)+IF(C$25&gt;=2,Quesería!$G$66*IF(C$25=2,Quesería!$B$9,1),0))*$F$10*Quesería!$B$12/365)-((IF(B$25&gt;=1,Quesería!$G$65*IF(B$25=1,Quesería!$B$9,1),0)+IF(B$25&gt;=2,Quesería!$G$66*IF(B$25=2,Quesería!$B$9,1),0))*$F$10*Quesería!$B$12/365)</f>
        <v>4.53205479452055</v>
      </c>
      <c r="D121" s="21" t="n">
        <f aca="false">((IF(D$25&gt;=1,Quesería!$G$65*IF(D$25=1,Quesería!$B$9,1),0)+IF(D$25&gt;=2,Quesería!$G$66*IF(D$25=2,Quesería!$B$9,1),0))*$F$10*Quesería!$B$12/365)-((IF(C$25&gt;=1,Quesería!$G$65*IF(C$25=1,Quesería!$B$9,1),0)+IF(C$25&gt;=2,Quesería!$G$66*IF(C$25=2,Quesería!$B$9,1),0))*$F$10*Quesería!$B$12/365)</f>
        <v>8.26068493150685</v>
      </c>
      <c r="E121" s="21" t="n">
        <f aca="false">((IF(E$25&gt;=1,Quesería!$G$65*IF(E$25=1,Quesería!$B$9,1),0)+IF(E$25&gt;=2,Quesería!$G$66*IF(E$25=2,Quesería!$B$9,1),0))*$F$10*Quesería!$B$12/365)-((IF(D$25&gt;=1,Quesería!$G$65*IF(D$25=1,Quesería!$B$9,1),0)+IF(D$25&gt;=2,Quesería!$G$66*IF(D$25=2,Quesería!$B$9,1),0))*$F$10*Quesería!$B$12/365)</f>
        <v>2.25</v>
      </c>
      <c r="F121" s="21" t="n">
        <f aca="false">((IF(F$25&gt;=1,Quesería!$G$65*IF(F$25=1,Quesería!$B$9,1),0)+IF(F$25&gt;=2,Quesería!$G$66*IF(F$25=2,Quesería!$B$9,1),0))*$F$10*Quesería!$B$12/365)-((IF(E$25&gt;=1,Quesería!$G$65*IF(E$25=1,Quesería!$B$9,1),0)+IF(E$25&gt;=2,Quesería!$G$66*IF(E$25=2,Quesería!$B$9,1),0))*$F$10*Quesería!$B$12/365)</f>
        <v>0</v>
      </c>
      <c r="G121" s="21" t="n">
        <f aca="false">((IF(G$25&gt;=1,Quesería!$G$65*IF(G$25=1,Quesería!$B$9,1),0)+IF(G$25&gt;=2,Quesería!$G$66*IF(G$25=2,Quesería!$B$9,1),0))*$F$10*Quesería!$B$12/365)-((IF(F$25&gt;=1,Quesería!$G$65*IF(F$25=1,Quesería!$B$9,1),0)+IF(F$25&gt;=2,Quesería!$G$66*IF(F$25=2,Quesería!$B$9,1),0))*$F$10*Quesería!$B$12/365)</f>
        <v>0</v>
      </c>
      <c r="H121" s="21" t="n">
        <f aca="false">((IF(H$25&gt;=1,Quesería!$G$65*IF(H$25=1,Quesería!$B$9,1),0)+IF(H$25&gt;=2,Quesería!$G$66*IF(H$25=2,Quesería!$B$9,1),0))*$F$10*Quesería!$B$12/365)-((IF(G$25&gt;=1,Quesería!$G$65*IF(G$25=1,Quesería!$B$9,1),0)+IF(G$25&gt;=2,Quesería!$G$66*IF(G$25=2,Quesería!$B$9,1),0))*$F$10*Quesería!$B$12/365)</f>
        <v>0</v>
      </c>
      <c r="I121" s="21" t="n">
        <f aca="false">((IF(I$25&gt;=1,Quesería!$G$65*IF(I$25=1,Quesería!$B$9,1),0)+IF(I$25&gt;=2,Quesería!$G$66*IF(I$25=2,Quesería!$B$9,1),0))*$F$10*Quesería!$B$12/365)-((IF(H$25&gt;=1,Quesería!$G$65*IF(H$25=1,Quesería!$B$9,1),0)+IF(H$25&gt;=2,Quesería!$G$66*IF(H$25=2,Quesería!$B$9,1),0))*$F$10*Quesería!$B$12/365)</f>
        <v>0</v>
      </c>
      <c r="J121" s="21" t="n">
        <f aca="false">((IF(J$25&gt;=1,Quesería!$G$65*IF(J$25=1,Quesería!$B$9,1),0)+IF(J$25&gt;=2,Quesería!$G$66*IF(J$25=2,Quesería!$B$9,1),0))*$F$10*Quesería!$B$12/365)-((IF(I$25&gt;=1,Quesería!$G$65*IF(I$25=1,Quesería!$B$9,1),0)+IF(I$25&gt;=2,Quesería!$G$66*IF(I$25=2,Quesería!$B$9,1),0))*$F$10*Quesería!$B$12/365)</f>
        <v>0</v>
      </c>
      <c r="K121" s="21" t="n">
        <f aca="false">((IF(K$25&gt;=1,Quesería!$G$65*IF(K$25=1,Quesería!$B$9,1),0)+IF(K$25&gt;=2,Quesería!$G$66*IF(K$25=2,Quesería!$B$9,1),0))*$F$10*Quesería!$B$12/365)-((IF(J$25&gt;=1,Quesería!$G$65*IF(J$25=1,Quesería!$B$9,1),0)+IF(J$25&gt;=2,Quesería!$G$66*IF(J$25=2,Quesería!$B$9,1),0))*$F$10*Quesería!$B$12/365)</f>
        <v>0</v>
      </c>
      <c r="L121" s="21" t="n">
        <f aca="false">-((IF(K$25&gt;=1,Quesería!$G$65*IF(K$25=1,Quesería!$B$9,1),0)+IF(K$25&gt;=2,Quesería!$G$66*IF(K$25=2,Quesería!$B$9,1),0))*$F$10*Quesería!$B$12/365)</f>
        <v>-15.0427397260274</v>
      </c>
    </row>
    <row r="122" customFormat="false" ht="15" hidden="false" customHeight="false" outlineLevel="0" collapsed="false">
      <c r="A122" s="7" t="s">
        <v>126</v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f aca="false">$F$8*Quesería!$B$22*(Quesería!$F$46+Quesería!$F$47)*$F$11*(1-Quesería!$B$7)</f>
        <v>65.4524</v>
      </c>
    </row>
    <row r="123" customFormat="false" ht="15" hidden="false" customHeight="false" outlineLevel="0" collapsed="false">
      <c r="A123" s="17" t="s">
        <v>127</v>
      </c>
      <c r="B123" s="23" t="n">
        <f aca="false">B115-B116-B117-B120-B112-B121+B122</f>
        <v>-556.5002076544</v>
      </c>
      <c r="C123" s="23" t="n">
        <f aca="false">C115-C116-C117-C120-C112-C121+C122</f>
        <v>-605.1214996516</v>
      </c>
      <c r="D123" s="23" t="n">
        <f aca="false">D115-D116-D117-D120-D112-D121+D122</f>
        <v>212.316047893539</v>
      </c>
      <c r="E123" s="23" t="n">
        <f aca="false">E115-E116-E117-E120-E112-E121+E122</f>
        <v>253.930482825046</v>
      </c>
      <c r="F123" s="23" t="n">
        <f aca="false">F115-F116-F117-F120-F112-F121+F122</f>
        <v>256.180482825046</v>
      </c>
      <c r="G123" s="23" t="n">
        <f aca="false">G115-G116-G117-G120-G112-G121+G122</f>
        <v>256.180482825046</v>
      </c>
      <c r="H123" s="23" t="n">
        <f aca="false">H115-H116-H117-H120-H112-H121+H122</f>
        <v>256.180482825046</v>
      </c>
      <c r="I123" s="23" t="n">
        <f aca="false">I115-I116-I117-I120-I112-I121+I122</f>
        <v>256.180482825046</v>
      </c>
      <c r="J123" s="23" t="n">
        <f aca="false">J115-J116-J117-J120-J112-J121+J122</f>
        <v>256.180482825046</v>
      </c>
      <c r="K123" s="23" t="n">
        <f aca="false">K115-K116-K117-K120-K112-K121+K122</f>
        <v>256.180482825046</v>
      </c>
      <c r="L123" s="23" t="n">
        <f aca="false">L115-L116-L117-L120-L112-L121+L122</f>
        <v>336.675622551073</v>
      </c>
    </row>
    <row r="124" customFormat="false" ht="15" hidden="false" customHeight="false" outlineLevel="0" collapsed="false">
      <c r="A124" s="7" t="s">
        <v>128</v>
      </c>
      <c r="B124" s="21" t="n">
        <f aca="false">B123</f>
        <v>-556.5002076544</v>
      </c>
      <c r="C124" s="21" t="n">
        <f aca="false">B124+C123</f>
        <v>-1161.621707306</v>
      </c>
      <c r="D124" s="21" t="n">
        <f aca="false">C124+D123</f>
        <v>-949.305659412461</v>
      </c>
      <c r="E124" s="21" t="n">
        <f aca="false">D124+E123</f>
        <v>-695.375176587415</v>
      </c>
      <c r="F124" s="21" t="n">
        <f aca="false">E124+F123</f>
        <v>-439.194693762369</v>
      </c>
      <c r="G124" s="21" t="n">
        <f aca="false">F124+G123</f>
        <v>-183.014210937323</v>
      </c>
      <c r="H124" s="21" t="n">
        <f aca="false">G124+H123</f>
        <v>73.1662718877229</v>
      </c>
      <c r="I124" s="21" t="n">
        <f aca="false">H124+I123</f>
        <v>329.346754712769</v>
      </c>
      <c r="J124" s="21" t="n">
        <f aca="false">I124+J123</f>
        <v>585.527237537815</v>
      </c>
      <c r="K124" s="21" t="n">
        <f aca="false">J124+K123</f>
        <v>841.707720362861</v>
      </c>
      <c r="L124" s="21" t="n">
        <f aca="false">K124+L123</f>
        <v>1178.38334291393</v>
      </c>
    </row>
    <row r="125" customFormat="false" ht="15" hidden="false" customHeight="false" outlineLevel="0" collapsed="false">
      <c r="A125" s="2" t="s">
        <v>129</v>
      </c>
      <c r="B125" s="24" t="n">
        <v>0</v>
      </c>
      <c r="C125" s="24" t="n">
        <f aca="false">IF(AND(B124&lt;0,C124&gt;=0),B$25+(-B124)/C123,0)</f>
        <v>0</v>
      </c>
      <c r="D125" s="24" t="n">
        <f aca="false">IF(AND(C124&lt;0,D124&gt;=0),C$25+(-C124)/D123,0)</f>
        <v>0</v>
      </c>
      <c r="E125" s="24" t="n">
        <f aca="false">IF(AND(D124&lt;0,E124&gt;=0),D$25+(-D124)/E123,0)</f>
        <v>0</v>
      </c>
      <c r="F125" s="24" t="n">
        <f aca="false">IF(AND(E124&lt;0,F124&gt;=0),E$25+(-E124)/F123,0)</f>
        <v>0</v>
      </c>
      <c r="G125" s="24" t="n">
        <f aca="false">IF(AND(F124&lt;0,G124&gt;=0),F$25+(-F124)/G123,0)</f>
        <v>0</v>
      </c>
      <c r="H125" s="24" t="n">
        <f aca="false">IF(AND(G124&lt;0,H124&gt;=0),G$25+(-G124)/H123,0)</f>
        <v>5.71439560468902</v>
      </c>
      <c r="I125" s="24" t="n">
        <f aca="false">IF(AND(H124&lt;0,I124&gt;=0),H$25+(-H124)/I123,0)</f>
        <v>0</v>
      </c>
      <c r="J125" s="24" t="n">
        <f aca="false">IF(AND(I124&lt;0,J124&gt;=0),I$25+(-I124)/J123,0)</f>
        <v>0</v>
      </c>
      <c r="K125" s="24" t="n">
        <f aca="false">IF(AND(J124&lt;0,K124&gt;=0),J$25+(-J124)/K123,0)</f>
        <v>0</v>
      </c>
      <c r="L125" s="24" t="n">
        <f aca="false">IF(AND(K124&lt;0,L124&gt;=0),K$25+(-K124)/L123,0)</f>
        <v>0</v>
      </c>
    </row>
    <row r="126" customFormat="false" ht="15" hidden="false" customHeight="false" outlineLevel="0" collapsed="false">
      <c r="A126" s="7" t="s">
        <v>130</v>
      </c>
      <c r="B126" s="21" t="n">
        <f aca="false">Quesería!$B$23*B112</f>
        <v>389.55014535808</v>
      </c>
      <c r="C126" s="21" t="n">
        <f aca="false">Quesería!$B$23*C112</f>
        <v>483.3385536224</v>
      </c>
      <c r="D126" s="21" t="n">
        <f aca="false">Quesería!$B$23*D112</f>
        <v>0</v>
      </c>
      <c r="E126" s="21" t="n">
        <f aca="false">Quesería!$B$23*E112</f>
        <v>0</v>
      </c>
      <c r="F126" s="21" t="n">
        <f aca="false">Quesería!$B$23*F112</f>
        <v>0</v>
      </c>
      <c r="G126" s="21" t="n">
        <f aca="false">Quesería!$B$23*G112</f>
        <v>0</v>
      </c>
      <c r="H126" s="21" t="n">
        <f aca="false">Quesería!$B$23*H112</f>
        <v>0</v>
      </c>
      <c r="I126" s="21" t="n">
        <f aca="false">Quesería!$B$23*I112</f>
        <v>0</v>
      </c>
      <c r="J126" s="21" t="n">
        <f aca="false">Quesería!$B$23*J112</f>
        <v>0</v>
      </c>
      <c r="K126" s="21" t="n">
        <f aca="false">Quesería!$B$23*K112</f>
        <v>0</v>
      </c>
      <c r="L126" s="21" t="n">
        <f aca="false">Quesería!$B$23*L112</f>
        <v>0</v>
      </c>
    </row>
    <row r="127" customFormat="false" ht="15" hidden="false" customHeight="false" outlineLevel="0" collapsed="false">
      <c r="A127" s="7" t="s">
        <v>131</v>
      </c>
      <c r="B127" s="21" t="n">
        <f aca="false">IF(AND(B$25&gt;0,B$25&lt;=0+Quesería!$B$25),$F$12*((Quesería!$B$23*$B$112)-(Quesería!$B$23*$B$112)/(Quesería!$B$25-Quesería!$B$26)*MAX(0,MIN(B$25-1-0-Quesería!$B$26,(Quesería!$B$25-Quesería!$B$26)))),0)+IF(AND(B$25&gt;1,B$25&lt;=1+Quesería!$B$25),$F$12*((Quesería!$B$23*$C$112)-(Quesería!$B$23*$C$112)/(Quesería!$B$25-Quesería!$B$26)*MAX(0,MIN(B$25-1-1-Quesería!$B$26,(Quesería!$B$25-Quesería!$B$26)))),0)</f>
        <v>0</v>
      </c>
      <c r="C127" s="21" t="n">
        <f aca="false">IF(AND(C$25&gt;0,C$25&lt;=0+Quesería!$B$25),$F$12*((Quesería!$B$23*$B$112)-(Quesería!$B$23*$B$112)/(Quesería!$B$25-Quesería!$B$26)*MAX(0,MIN(C$25-1-0-Quesería!$B$26,(Quesería!$B$25-Quesería!$B$26)))),0)+IF(AND(C$25&gt;1,C$25&lt;=1+Quesería!$B$25),$F$12*((Quesería!$B$23*$C$112)-(Quesería!$B$23*$C$112)/(Quesería!$B$25-Quesería!$B$26)*MAX(0,MIN(C$25-1-1-Quesería!$B$26,(Quesería!$B$25-Quesería!$B$26)))),0)</f>
        <v>54.9265704954893</v>
      </c>
      <c r="D127" s="21" t="n">
        <f aca="false">IF(AND(D$25&gt;0,D$25&lt;=0+Quesería!$B$25),$F$12*((Quesería!$B$23*$B$112)-(Quesería!$B$23*$B$112)/(Quesería!$B$25-Quesería!$B$26)*MAX(0,MIN(D$25-1-0-Quesería!$B$26,(Quesería!$B$25-Quesería!$B$26)))),0)+IF(AND(D$25&gt;1,D$25&lt;=1+Quesería!$B$25),$F$12*((Quesería!$B$23*$C$112)-(Quesería!$B$23*$C$112)/(Quesería!$B$25-Quesería!$B$26)*MAX(0,MIN(D$25-1-1-Quesería!$B$26,(Quesería!$B$25-Quesería!$B$26)))),0)</f>
        <v>123.077306556248</v>
      </c>
      <c r="E127" s="21" t="n">
        <f aca="false">IF(AND(E$25&gt;0,E$25&lt;=0+Quesería!$B$25),$F$12*((Quesería!$B$23*$B$112)-(Quesería!$B$23*$B$112)/(Quesería!$B$25-Quesería!$B$26)*MAX(0,MIN(E$25-1-0-Quesería!$B$26,(Quesería!$B$25-Quesería!$B$26)))),0)+IF(AND(E$25&gt;1,E$25&lt;=1+Quesería!$B$25),$F$12*((Quesería!$B$23*$C$112)-(Quesería!$B$23*$C$112)/(Quesería!$B$25-Quesería!$B$26)*MAX(0,MIN(E$25-1-1-Quesería!$B$26,(Quesería!$B$25-Quesería!$B$26)))),0)</f>
        <v>113.922878140333</v>
      </c>
      <c r="F127" s="21" t="n">
        <f aca="false">IF(AND(F$25&gt;0,F$25&lt;=0+Quesería!$B$25),$F$12*((Quesería!$B$23*$B$112)-(Quesería!$B$23*$B$112)/(Quesería!$B$25-Quesería!$B$26)*MAX(0,MIN(F$25-1-0-Quesería!$B$26,(Quesería!$B$25-Quesería!$B$26)))),0)+IF(AND(F$25&gt;1,F$25&lt;=1+Quesería!$B$25),$F$12*((Quesería!$B$23*$C$112)-(Quesería!$B$23*$C$112)/(Quesería!$B$25-Quesería!$B$26)*MAX(0,MIN(F$25-1-1-Quesería!$B$26,(Quesería!$B$25-Quesería!$B$26)))),0)</f>
        <v>93.4099937142915</v>
      </c>
      <c r="G127" s="21" t="n">
        <f aca="false">IF(AND(G$25&gt;0,G$25&lt;=0+Quesería!$B$25),$F$12*((Quesería!$B$23*$B$112)-(Quesería!$B$23*$B$112)/(Quesería!$B$25-Quesería!$B$26)*MAX(0,MIN(G$25-1-0-Quesería!$B$26,(Quesería!$B$25-Quesería!$B$26)))),0)+IF(AND(G$25&gt;1,G$25&lt;=1+Quesería!$B$25),$F$12*((Quesería!$B$23*$C$112)-(Quesería!$B$23*$C$112)/(Quesería!$B$25-Quesería!$B$26)*MAX(0,MIN(G$25-1-1-Quesería!$B$26,(Quesería!$B$25-Quesería!$B$26)))),0)</f>
        <v>72.8971092882502</v>
      </c>
      <c r="H127" s="21" t="n">
        <f aca="false">IF(AND(H$25&gt;0,H$25&lt;=0+Quesería!$B$25),$F$12*((Quesería!$B$23*$B$112)-(Quesería!$B$23*$B$112)/(Quesería!$B$25-Quesería!$B$26)*MAX(0,MIN(H$25-1-0-Quesería!$B$26,(Quesería!$B$25-Quesería!$B$26)))),0)+IF(AND(H$25&gt;1,H$25&lt;=1+Quesería!$B$25),$F$12*((Quesería!$B$23*$C$112)-(Quesería!$B$23*$C$112)/(Quesería!$B$25-Quesería!$B$26)*MAX(0,MIN(H$25-1-1-Quesería!$B$26,(Quesería!$B$25-Quesería!$B$26)))),0)</f>
        <v>52.3842248622089</v>
      </c>
      <c r="I127" s="21" t="n">
        <f aca="false">IF(AND(I$25&gt;0,I$25&lt;=0+Quesería!$B$25),$F$12*((Quesería!$B$23*$B$112)-(Quesería!$B$23*$B$112)/(Quesería!$B$25-Quesería!$B$26)*MAX(0,MIN(I$25-1-0-Quesería!$B$26,(Quesería!$B$25-Quesería!$B$26)))),0)+IF(AND(I$25&gt;1,I$25&lt;=1+Quesería!$B$25),$F$12*((Quesería!$B$23*$C$112)-(Quesería!$B$23*$C$112)/(Quesería!$B$25-Quesería!$B$26)*MAX(0,MIN(I$25-1-1-Quesería!$B$26,(Quesería!$B$25-Quesería!$B$26)))),0)</f>
        <v>31.8713404361677</v>
      </c>
      <c r="J127" s="21" t="n">
        <f aca="false">IF(AND(J$25&gt;0,J$25&lt;=0+Quesería!$B$25),$F$12*((Quesería!$B$23*$B$112)-(Quesería!$B$23*$B$112)/(Quesería!$B$25-Quesería!$B$26)*MAX(0,MIN(J$25-1-0-Quesería!$B$26,(Quesería!$B$25-Quesería!$B$26)))),0)+IF(AND(J$25&gt;1,J$25&lt;=1+Quesería!$B$25),$F$12*((Quesería!$B$23*$C$112)-(Quesería!$B$23*$C$112)/(Quesería!$B$25-Quesería!$B$26)*MAX(0,MIN(J$25-1-1-Quesería!$B$26,(Quesería!$B$25-Quesería!$B$26)))),0)</f>
        <v>11.3584560101264</v>
      </c>
      <c r="K127" s="21" t="n">
        <f aca="false">IF(AND(K$25&gt;0,K$25&lt;=0+Quesería!$B$25),$F$12*((Quesería!$B$23*$B$112)-(Quesería!$B$23*$B$112)/(Quesería!$B$25-Quesería!$B$26)*MAX(0,MIN(K$25-1-0-Quesería!$B$26,(Quesería!$B$25-Quesería!$B$26)))),0)+IF(AND(K$25&gt;1,K$25&lt;=1+Quesería!$B$25),$F$12*((Quesería!$B$23*$C$112)-(Quesería!$B$23*$C$112)/(Quesería!$B$25-Quesería!$B$26)*MAX(0,MIN(K$25-1-1-Quesería!$B$26,(Quesería!$B$25-Quesería!$B$26)))),0)</f>
        <v>0</v>
      </c>
      <c r="L127" s="21" t="n">
        <f aca="false">IF(AND(L$25&gt;0,L$25&lt;=0+Quesería!$B$25),$F$12*((Quesería!$B$23*$B$112)-(Quesería!$B$23*$B$112)/(Quesería!$B$25-Quesería!$B$26)*MAX(0,MIN(L$25-1-0-Quesería!$B$26,(Quesería!$B$25-Quesería!$B$26)))),0)+IF(AND(L$25&gt;1,L$25&lt;=1+Quesería!$B$25),$F$12*((Quesería!$B$23*$C$112)-(Quesería!$B$23*$C$112)/(Quesería!$B$25-Quesería!$B$26)*MAX(0,MIN(L$25-1-1-Quesería!$B$26,(Quesería!$B$25-Quesería!$B$26)))),0)</f>
        <v>0</v>
      </c>
    </row>
    <row r="128" customFormat="false" ht="15" hidden="false" customHeight="false" outlineLevel="0" collapsed="false">
      <c r="A128" s="7" t="s">
        <v>132</v>
      </c>
      <c r="B128" s="21" t="n">
        <f aca="false">IF(AND(B$25&gt;0+Quesería!$B$26,B$25&lt;=0+Quesería!$B$25),(Quesería!$B$23*$B$112)/(Quesería!$B$25-Quesería!$B$26),0)+IF(AND(B$25&gt;1+Quesería!$B$26,B$25&lt;=1+Quesería!$B$25),(Quesería!$B$23*$C$112)/(Quesería!$B$25-Quesería!$B$26),0)</f>
        <v>0</v>
      </c>
      <c r="C128" s="21" t="n">
        <f aca="false">IF(AND(C$25&gt;0+Quesería!$B$26,C$25&lt;=0+Quesería!$B$25),(Quesería!$B$23*$B$112)/(Quesería!$B$25-Quesería!$B$26),0)+IF(AND(C$25&gt;1+Quesería!$B$26,C$25&lt;=1+Quesería!$B$25),(Quesería!$B$23*$C$112)/(Quesería!$B$25-Quesería!$B$26),0)</f>
        <v>0</v>
      </c>
      <c r="D128" s="21" t="n">
        <f aca="false">IF(AND(D$25&gt;0+Quesería!$B$26,D$25&lt;=0+Quesería!$B$25),(Quesería!$B$23*$B$112)/(Quesería!$B$25-Quesería!$B$26),0)+IF(AND(D$25&gt;1+Quesería!$B$26,D$25&lt;=1+Quesería!$B$25),(Quesería!$B$23*$C$112)/(Quesería!$B$25-Quesería!$B$26),0)</f>
        <v>64.9250242263467</v>
      </c>
      <c r="E128" s="21" t="n">
        <f aca="false">IF(AND(E$25&gt;0+Quesería!$B$26,E$25&lt;=0+Quesería!$B$25),(Quesería!$B$23*$B$112)/(Quesería!$B$25-Quesería!$B$26),0)+IF(AND(E$25&gt;1+Quesería!$B$26,E$25&lt;=1+Quesería!$B$25),(Quesería!$B$23*$C$112)/(Quesería!$B$25-Quesería!$B$26),0)</f>
        <v>145.48144983008</v>
      </c>
      <c r="F128" s="21" t="n">
        <f aca="false">IF(AND(F$25&gt;0+Quesería!$B$26,F$25&lt;=0+Quesería!$B$25),(Quesería!$B$23*$B$112)/(Quesería!$B$25-Quesería!$B$26),0)+IF(AND(F$25&gt;1+Quesería!$B$26,F$25&lt;=1+Quesería!$B$25),(Quesería!$B$23*$C$112)/(Quesería!$B$25-Quesería!$B$26),0)</f>
        <v>145.48144983008</v>
      </c>
      <c r="G128" s="21" t="n">
        <f aca="false">IF(AND(G$25&gt;0+Quesería!$B$26,G$25&lt;=0+Quesería!$B$25),(Quesería!$B$23*$B$112)/(Quesería!$B$25-Quesería!$B$26),0)+IF(AND(G$25&gt;1+Quesería!$B$26,G$25&lt;=1+Quesería!$B$25),(Quesería!$B$23*$C$112)/(Quesería!$B$25-Quesería!$B$26),0)</f>
        <v>145.48144983008</v>
      </c>
      <c r="H128" s="21" t="n">
        <f aca="false">IF(AND(H$25&gt;0+Quesería!$B$26,H$25&lt;=0+Quesería!$B$25),(Quesería!$B$23*$B$112)/(Quesería!$B$25-Quesería!$B$26),0)+IF(AND(H$25&gt;1+Quesería!$B$26,H$25&lt;=1+Quesería!$B$25),(Quesería!$B$23*$C$112)/(Quesería!$B$25-Quesería!$B$26),0)</f>
        <v>145.48144983008</v>
      </c>
      <c r="I128" s="21" t="n">
        <f aca="false">IF(AND(I$25&gt;0+Quesería!$B$26,I$25&lt;=0+Quesería!$B$25),(Quesería!$B$23*$B$112)/(Quesería!$B$25-Quesería!$B$26),0)+IF(AND(I$25&gt;1+Quesería!$B$26,I$25&lt;=1+Quesería!$B$25),(Quesería!$B$23*$C$112)/(Quesería!$B$25-Quesería!$B$26),0)</f>
        <v>145.48144983008</v>
      </c>
      <c r="J128" s="21" t="n">
        <f aca="false">IF(AND(J$25&gt;0+Quesería!$B$26,J$25&lt;=0+Quesería!$B$25),(Quesería!$B$23*$B$112)/(Quesería!$B$25-Quesería!$B$26),0)+IF(AND(J$25&gt;1+Quesería!$B$26,J$25&lt;=1+Quesería!$B$25),(Quesería!$B$23*$C$112)/(Quesería!$B$25-Quesería!$B$26),0)</f>
        <v>80.5564256037333</v>
      </c>
      <c r="K128" s="21" t="n">
        <f aca="false">IF(AND(K$25&gt;0+Quesería!$B$26,K$25&lt;=0+Quesería!$B$25),(Quesería!$B$23*$B$112)/(Quesería!$B$25-Quesería!$B$26),0)+IF(AND(K$25&gt;1+Quesería!$B$26,K$25&lt;=1+Quesería!$B$25),(Quesería!$B$23*$C$112)/(Quesería!$B$25-Quesería!$B$26),0)</f>
        <v>0</v>
      </c>
      <c r="L128" s="21" t="n">
        <f aca="false">IF(AND(L$25&gt;0+Quesería!$B$26,L$25&lt;=0+Quesería!$B$25),(Quesería!$B$23*$B$112)/(Quesería!$B$25-Quesería!$B$26),0)+IF(AND(L$25&gt;1+Quesería!$B$26,L$25&lt;=1+Quesería!$B$25),(Quesería!$B$23*$C$112)/(Quesería!$B$25-Quesería!$B$26),0)</f>
        <v>0</v>
      </c>
    </row>
    <row r="129" customFormat="false" ht="15" hidden="false" customHeight="false" outlineLevel="0" collapsed="false">
      <c r="A129" s="7" t="s">
        <v>133</v>
      </c>
      <c r="B129" s="21" t="n">
        <f aca="false">Quesería!$B$7*B127</f>
        <v>0</v>
      </c>
      <c r="C129" s="21" t="n">
        <f aca="false">Quesería!$B$7*C127</f>
        <v>19.2242996734212</v>
      </c>
      <c r="D129" s="21" t="n">
        <f aca="false">Quesería!$B$7*D127</f>
        <v>43.0770572946867</v>
      </c>
      <c r="E129" s="21" t="n">
        <f aca="false">Quesería!$B$7*E127</f>
        <v>39.8730073491165</v>
      </c>
      <c r="F129" s="21" t="n">
        <f aca="false">Quesería!$B$7*F127</f>
        <v>32.693497800002</v>
      </c>
      <c r="G129" s="21" t="n">
        <f aca="false">Quesería!$B$7*G127</f>
        <v>25.5139882508876</v>
      </c>
      <c r="H129" s="21" t="n">
        <f aca="false">Quesería!$B$7*H127</f>
        <v>18.3344787017731</v>
      </c>
      <c r="I129" s="21" t="n">
        <f aca="false">Quesería!$B$7*I127</f>
        <v>11.1549691526587</v>
      </c>
      <c r="J129" s="21" t="n">
        <f aca="false">Quesería!$B$7*J127</f>
        <v>3.97545960354424</v>
      </c>
      <c r="K129" s="21" t="n">
        <f aca="false">Quesería!$B$7*K127</f>
        <v>0</v>
      </c>
      <c r="L129" s="21" t="n">
        <f aca="false">Quesería!$B$7*L127</f>
        <v>0</v>
      </c>
    </row>
    <row r="130" customFormat="false" ht="15" hidden="false" customHeight="false" outlineLevel="0" collapsed="false">
      <c r="A130" s="17" t="s">
        <v>134</v>
      </c>
      <c r="B130" s="23" t="n">
        <f aca="false">B123+B126-B127-B128+B129</f>
        <v>-166.95006229632</v>
      </c>
      <c r="C130" s="23" t="n">
        <f aca="false">C123+C126-C127-C128+C129</f>
        <v>-157.485216851268</v>
      </c>
      <c r="D130" s="23" t="n">
        <f aca="false">D123+D126-D127-D128+D129</f>
        <v>67.3907744056315</v>
      </c>
      <c r="E130" s="23" t="n">
        <f aca="false">E123+E126-E127-E128+E129</f>
        <v>34.3991622037497</v>
      </c>
      <c r="F130" s="23" t="n">
        <f aca="false">F123+F126-F127-F128+F129</f>
        <v>49.9825370806765</v>
      </c>
      <c r="G130" s="23" t="n">
        <f aca="false">G123+G126-G127-G128+G129</f>
        <v>63.3159119576034</v>
      </c>
      <c r="H130" s="23" t="n">
        <f aca="false">H123+H126-H127-H128+H129</f>
        <v>76.6492868345302</v>
      </c>
      <c r="I130" s="23" t="n">
        <f aca="false">I123+I126-I127-I128+I129</f>
        <v>89.982661711457</v>
      </c>
      <c r="J130" s="23" t="n">
        <f aca="false">J123+J126-J127-J128+J129</f>
        <v>168.24106081473</v>
      </c>
      <c r="K130" s="23" t="n">
        <f aca="false">K123+K126-K127-K128+K129</f>
        <v>256.180482825046</v>
      </c>
      <c r="L130" s="23" t="n">
        <f aca="false">L123+L126-L127-L128+L129</f>
        <v>336.675622551073</v>
      </c>
    </row>
    <row r="132" customFormat="false" ht="15" hidden="false" customHeight="false" outlineLevel="0" collapsed="false">
      <c r="A132" s="35" t="s">
        <v>161</v>
      </c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</row>
    <row r="133" customFormat="false" ht="15" hidden="false" customHeight="false" outlineLevel="0" collapsed="false">
      <c r="A133" s="7" t="s">
        <v>60</v>
      </c>
      <c r="B133" s="21" t="n">
        <f aca="false">IF(B$25=0,Quesería!$F$44,IF(B$25=1,Quesería!$F$45,0))*$G$11</f>
        <v>463.750173045333</v>
      </c>
      <c r="C133" s="21" t="n">
        <f aca="false">IF(C$25=0,Quesería!$F$44,IF(C$25=1,Quesería!$F$45,0))*$G$11</f>
        <v>575.403040026667</v>
      </c>
      <c r="D133" s="21" t="n">
        <f aca="false">IF(D$25=0,Quesería!$F$44,IF(D$25=1,Quesería!$F$45,0))*$G$11</f>
        <v>0</v>
      </c>
      <c r="E133" s="21" t="n">
        <f aca="false">IF(E$25=0,Quesería!$F$44,IF(E$25=1,Quesería!$F$45,0))*$G$11</f>
        <v>0</v>
      </c>
      <c r="F133" s="21" t="n">
        <f aca="false">IF(F$25=0,Quesería!$F$44,IF(F$25=1,Quesería!$F$45,0))*$G$11</f>
        <v>0</v>
      </c>
      <c r="G133" s="21" t="n">
        <f aca="false">IF(G$25=0,Quesería!$F$44,IF(G$25=1,Quesería!$F$45,0))*$G$11</f>
        <v>0</v>
      </c>
      <c r="H133" s="21" t="n">
        <f aca="false">IF(H$25=0,Quesería!$F$44,IF(H$25=1,Quesería!$F$45,0))*$G$11</f>
        <v>0</v>
      </c>
      <c r="I133" s="21" t="n">
        <f aca="false">IF(I$25=0,Quesería!$F$44,IF(I$25=1,Quesería!$F$45,0))*$G$11</f>
        <v>0</v>
      </c>
      <c r="J133" s="21" t="n">
        <f aca="false">IF(J$25=0,Quesería!$F$44,IF(J$25=1,Quesería!$F$45,0))*$G$11</f>
        <v>0</v>
      </c>
      <c r="K133" s="21" t="n">
        <f aca="false">IF(K$25=0,Quesería!$F$44,IF(K$25=1,Quesería!$F$45,0))*$G$11</f>
        <v>0</v>
      </c>
      <c r="L133" s="21" t="n">
        <f aca="false">IF(L$25=0,Quesería!$F$44,IF(L$25=1,Quesería!$F$45,0))*$G$11</f>
        <v>0</v>
      </c>
    </row>
    <row r="134" customFormat="false" ht="15" hidden="false" customHeight="false" outlineLevel="0" collapsed="false">
      <c r="A134" s="7" t="s">
        <v>101</v>
      </c>
      <c r="B134" s="21" t="n">
        <f aca="false">IF(B$25=0,0,IF(B$25=1,Quesería!$E$63*Quesería!$B$9,Quesería!$E$63))*$G$10</f>
        <v>0</v>
      </c>
      <c r="C134" s="21" t="n">
        <f aca="false">IF(C$25=0,0,IF(C$25=1,Quesería!$E$63*Quesería!$B$9,Quesería!$E$63))*$G$10</f>
        <v>135.078601674492</v>
      </c>
      <c r="D134" s="21" t="n">
        <f aca="false">IF(D$25=0,0,IF(D$25=1,Quesería!$E$63*Quesería!$B$9,Quesería!$E$63))*$G$10</f>
        <v>180.104802232656</v>
      </c>
      <c r="E134" s="21" t="n">
        <f aca="false">IF(E$25=0,0,IF(E$25=1,Quesería!$E$63*Quesería!$B$9,Quesería!$E$63))*$G$10</f>
        <v>180.104802232656</v>
      </c>
      <c r="F134" s="21" t="n">
        <f aca="false">IF(F$25=0,0,IF(F$25=1,Quesería!$E$63*Quesería!$B$9,Quesería!$E$63))*$G$10</f>
        <v>180.104802232656</v>
      </c>
      <c r="G134" s="21" t="n">
        <f aca="false">IF(G$25=0,0,IF(G$25=1,Quesería!$E$63*Quesería!$B$9,Quesería!$E$63))*$G$10</f>
        <v>180.104802232656</v>
      </c>
      <c r="H134" s="21" t="n">
        <f aca="false">IF(H$25=0,0,IF(H$25=1,Quesería!$E$63*Quesería!$B$9,Quesería!$E$63))*$G$10</f>
        <v>180.104802232656</v>
      </c>
      <c r="I134" s="21" t="n">
        <f aca="false">IF(I$25=0,0,IF(I$25=1,Quesería!$E$63*Quesería!$B$9,Quesería!$E$63))*$G$10</f>
        <v>180.104802232656</v>
      </c>
      <c r="J134" s="21" t="n">
        <f aca="false">IF(J$25=0,0,IF(J$25=1,Quesería!$E$63*Quesería!$B$9,Quesería!$E$63))*$G$10</f>
        <v>180.104802232656</v>
      </c>
      <c r="K134" s="21" t="n">
        <f aca="false">IF(K$25=0,0,IF(K$25=1,Quesería!$E$63*Quesería!$B$9,Quesería!$E$63))*$G$10</f>
        <v>180.104802232656</v>
      </c>
      <c r="L134" s="21" t="n">
        <f aca="false">IF(L$25=0,0,IF(L$25=1,Quesería!$E$63*Quesería!$B$9,Quesería!$E$63))*$G$10</f>
        <v>180.104802232656</v>
      </c>
    </row>
    <row r="135" customFormat="false" ht="15" hidden="false" customHeight="false" outlineLevel="0" collapsed="false">
      <c r="A135" s="7" t="s">
        <v>102</v>
      </c>
      <c r="B135" s="21" t="n">
        <f aca="false">IF(B$25&lt;=1,0,IF(B$25=2,(Quesería!$E$64-Quesería!$E$58+$G$6*Quesería!$E$58-(1-$G$9)*Quesería!$E$61)*Quesería!$B$9,(Quesería!$E$64-Quesería!$E$58+$G$6*Quesería!$E$58-(1-$G$9)*Quesería!$E$61)))*$G$10</f>
        <v>0</v>
      </c>
      <c r="C135" s="21" t="n">
        <f aca="false">IF(C$25&lt;=1,0,IF(C$25=2,(Quesería!$E$64-Quesería!$E$58+$G$6*Quesería!$E$58-(1-$G$9)*Quesería!$E$61)*Quesería!$B$9,(Quesería!$E$64-Quesería!$E$58+$G$6*Quesería!$E$58-(1-$G$9)*Quesería!$E$61)))*$G$10</f>
        <v>0</v>
      </c>
      <c r="D135" s="21" t="n">
        <f aca="false">IF(D$25&lt;=1,0,IF(D$25=2,(Quesería!$E$64-Quesería!$E$58+$G$6*Quesería!$E$58-(1-$G$9)*Quesería!$E$61)*Quesería!$B$9,(Quesería!$E$64-Quesería!$E$58+$G$6*Quesería!$E$58-(1-$G$9)*Quesería!$E$61)))*$G$10</f>
        <v>197.19</v>
      </c>
      <c r="E135" s="21" t="n">
        <f aca="false">IF(E$25&lt;=1,0,IF(E$25=2,(Quesería!$E$64-Quesería!$E$58+$G$6*Quesería!$E$58-(1-$G$9)*Quesería!$E$61)*Quesería!$B$9,(Quesería!$E$64-Quesería!$E$58+$G$6*Quesería!$E$58-(1-$G$9)*Quesería!$E$61)))*$G$10</f>
        <v>262.92</v>
      </c>
      <c r="F135" s="21" t="n">
        <f aca="false">IF(F$25&lt;=1,0,IF(F$25=2,(Quesería!$E$64-Quesería!$E$58+$G$6*Quesería!$E$58-(1-$G$9)*Quesería!$E$61)*Quesería!$B$9,(Quesería!$E$64-Quesería!$E$58+$G$6*Quesería!$E$58-(1-$G$9)*Quesería!$E$61)))*$G$10</f>
        <v>262.92</v>
      </c>
      <c r="G135" s="21" t="n">
        <f aca="false">IF(G$25&lt;=1,0,IF(G$25=2,(Quesería!$E$64-Quesería!$E$58+$G$6*Quesería!$E$58-(1-$G$9)*Quesería!$E$61)*Quesería!$B$9,(Quesería!$E$64-Quesería!$E$58+$G$6*Quesería!$E$58-(1-$G$9)*Quesería!$E$61)))*$G$10</f>
        <v>262.92</v>
      </c>
      <c r="H135" s="21" t="n">
        <f aca="false">IF(H$25&lt;=1,0,IF(H$25=2,(Quesería!$E$64-Quesería!$E$58+$G$6*Quesería!$E$58-(1-$G$9)*Quesería!$E$61)*Quesería!$B$9,(Quesería!$E$64-Quesería!$E$58+$G$6*Quesería!$E$58-(1-$G$9)*Quesería!$E$61)))*$G$10</f>
        <v>262.92</v>
      </c>
      <c r="I135" s="21" t="n">
        <f aca="false">IF(I$25&lt;=1,0,IF(I$25=2,(Quesería!$E$64-Quesería!$E$58+$G$6*Quesería!$E$58-(1-$G$9)*Quesería!$E$61)*Quesería!$B$9,(Quesería!$E$64-Quesería!$E$58+$G$6*Quesería!$E$58-(1-$G$9)*Quesería!$E$61)))*$G$10</f>
        <v>262.92</v>
      </c>
      <c r="J135" s="21" t="n">
        <f aca="false">IF(J$25&lt;=1,0,IF(J$25=2,(Quesería!$E$64-Quesería!$E$58+$G$6*Quesería!$E$58-(1-$G$9)*Quesería!$E$61)*Quesería!$B$9,(Quesería!$E$64-Quesería!$E$58+$G$6*Quesería!$E$58-(1-$G$9)*Quesería!$E$61)))*$G$10</f>
        <v>262.92</v>
      </c>
      <c r="K135" s="21" t="n">
        <f aca="false">IF(K$25&lt;=1,0,IF(K$25=2,(Quesería!$E$64-Quesería!$E$58+$G$6*Quesería!$E$58-(1-$G$9)*Quesería!$E$61)*Quesería!$B$9,(Quesería!$E$64-Quesería!$E$58+$G$6*Quesería!$E$58-(1-$G$9)*Quesería!$E$61)))*$G$10</f>
        <v>262.92</v>
      </c>
      <c r="L135" s="21" t="n">
        <f aca="false">IF(L$25&lt;=1,0,IF(L$25=2,(Quesería!$E$64-Quesería!$E$58+$G$6*Quesería!$E$58-(1-$G$9)*Quesería!$E$61)*Quesería!$B$9,(Quesería!$E$64-Quesería!$E$58+$G$6*Quesería!$E$58-(1-$G$9)*Quesería!$E$61)))*$G$10</f>
        <v>262.92</v>
      </c>
    </row>
    <row r="136" customFormat="false" ht="15" hidden="false" customHeight="false" outlineLevel="0" collapsed="false">
      <c r="A136" s="17" t="s">
        <v>120</v>
      </c>
      <c r="B136" s="22" t="n">
        <f aca="false">B134+B135</f>
        <v>0</v>
      </c>
      <c r="C136" s="22" t="n">
        <f aca="false">C134+C135</f>
        <v>135.078601674492</v>
      </c>
      <c r="D136" s="22" t="n">
        <f aca="false">D134+D135</f>
        <v>377.294802232656</v>
      </c>
      <c r="E136" s="22" t="n">
        <f aca="false">E134+E135</f>
        <v>443.024802232656</v>
      </c>
      <c r="F136" s="22" t="n">
        <f aca="false">F134+F135</f>
        <v>443.024802232656</v>
      </c>
      <c r="G136" s="22" t="n">
        <f aca="false">G134+G135</f>
        <v>443.024802232656</v>
      </c>
      <c r="H136" s="22" t="n">
        <f aca="false">H134+H135</f>
        <v>443.024802232656</v>
      </c>
      <c r="I136" s="22" t="n">
        <f aca="false">I134+I135</f>
        <v>443.024802232656</v>
      </c>
      <c r="J136" s="22" t="n">
        <f aca="false">J134+J135</f>
        <v>443.024802232656</v>
      </c>
      <c r="K136" s="22" t="n">
        <f aca="false">K134+K135</f>
        <v>443.024802232656</v>
      </c>
      <c r="L136" s="22" t="n">
        <f aca="false">L134+L135</f>
        <v>443.024802232656</v>
      </c>
    </row>
    <row r="137" customFormat="false" ht="15" hidden="false" customHeight="false" outlineLevel="0" collapsed="false">
      <c r="A137" s="7" t="s">
        <v>121</v>
      </c>
      <c r="B137" s="21" t="n">
        <f aca="false">IF(B$25&gt;=1,Quesería!$B$10*Quesería!$F$46*$G$11+Quesería!$B$11,0)+IF(B$25&gt;=2,Quesería!$B$10*Quesería!$F$47*$G$11,0)</f>
        <v>0</v>
      </c>
      <c r="C137" s="21" t="n">
        <f aca="false">IF(C$25&gt;=1,Quesería!$B$10*Quesería!$F$46*$G$11+Quesería!$B$11,0)+IF(C$25&gt;=2,Quesería!$B$10*Quesería!$F$47*$G$11,0)</f>
        <v>21.296</v>
      </c>
      <c r="D137" s="21" t="n">
        <f aca="false">IF(D$25&gt;=1,Quesería!$B$10*Quesería!$F$46*$G$11+Quesería!$B$11,0)+IF(D$25&gt;=2,Quesería!$B$10*Quesería!$F$47*$G$11,0)</f>
        <v>37.174</v>
      </c>
      <c r="E137" s="21" t="n">
        <f aca="false">IF(E$25&gt;=1,Quesería!$B$10*Quesería!$F$46*$G$11+Quesería!$B$11,0)+IF(E$25&gt;=2,Quesería!$B$10*Quesería!$F$47*$G$11,0)</f>
        <v>37.174</v>
      </c>
      <c r="F137" s="21" t="n">
        <f aca="false">IF(F$25&gt;=1,Quesería!$B$10*Quesería!$F$46*$G$11+Quesería!$B$11,0)+IF(F$25&gt;=2,Quesería!$B$10*Quesería!$F$47*$G$11,0)</f>
        <v>37.174</v>
      </c>
      <c r="G137" s="21" t="n">
        <f aca="false">IF(G$25&gt;=1,Quesería!$B$10*Quesería!$F$46*$G$11+Quesería!$B$11,0)+IF(G$25&gt;=2,Quesería!$B$10*Quesería!$F$47*$G$11,0)</f>
        <v>37.174</v>
      </c>
      <c r="H137" s="21" t="n">
        <f aca="false">IF(H$25&gt;=1,Quesería!$B$10*Quesería!$F$46*$G$11+Quesería!$B$11,0)+IF(H$25&gt;=2,Quesería!$B$10*Quesería!$F$47*$G$11,0)</f>
        <v>37.174</v>
      </c>
      <c r="I137" s="21" t="n">
        <f aca="false">IF(I$25&gt;=1,Quesería!$B$10*Quesería!$F$46*$G$11+Quesería!$B$11,0)+IF(I$25&gt;=2,Quesería!$B$10*Quesería!$F$47*$G$11,0)</f>
        <v>37.174</v>
      </c>
      <c r="J137" s="21" t="n">
        <f aca="false">IF(J$25&gt;=1,Quesería!$B$10*Quesería!$F$46*$G$11+Quesería!$B$11,0)+IF(J$25&gt;=2,Quesería!$B$10*Quesería!$F$47*$G$11,0)</f>
        <v>37.174</v>
      </c>
      <c r="K137" s="21" t="n">
        <f aca="false">IF(K$25&gt;=1,Quesería!$B$10*Quesería!$F$46*$G$11+Quesería!$B$11,0)+IF(K$25&gt;=2,Quesería!$B$10*Quesería!$F$47*$G$11,0)</f>
        <v>37.174</v>
      </c>
      <c r="L137" s="21" t="n">
        <f aca="false">IF(L$25&gt;=1,Quesería!$B$10*Quesería!$F$46*$G$11+Quesería!$B$11,0)+IF(L$25&gt;=2,Quesería!$B$10*Quesería!$F$47*$G$11,0)</f>
        <v>37.174</v>
      </c>
    </row>
    <row r="138" customFormat="false" ht="15" hidden="false" customHeight="false" outlineLevel="0" collapsed="false">
      <c r="A138" s="7" t="s">
        <v>122</v>
      </c>
      <c r="B138" s="21" t="n">
        <f aca="false">IF(B$25=1,2*Quesería!$B$19*Quesería!$B$20/12,0)</f>
        <v>0</v>
      </c>
      <c r="C138" s="21" t="n">
        <f aca="false">IF(C$25=1,2*Quesería!$B$19*Quesería!$B$20/12,0)</f>
        <v>18</v>
      </c>
      <c r="D138" s="21" t="n">
        <f aca="false">IF(D$25=1,2*Quesería!$B$19*Quesería!$B$20/12,0)</f>
        <v>0</v>
      </c>
      <c r="E138" s="21" t="n">
        <f aca="false">IF(E$25=1,2*Quesería!$B$19*Quesería!$B$20/12,0)</f>
        <v>0</v>
      </c>
      <c r="F138" s="21" t="n">
        <f aca="false">IF(F$25=1,2*Quesería!$B$19*Quesería!$B$20/12,0)</f>
        <v>0</v>
      </c>
      <c r="G138" s="21" t="n">
        <f aca="false">IF(G$25=1,2*Quesería!$B$19*Quesería!$B$20/12,0)</f>
        <v>0</v>
      </c>
      <c r="H138" s="21" t="n">
        <f aca="false">IF(H$25=1,2*Quesería!$B$19*Quesería!$B$20/12,0)</f>
        <v>0</v>
      </c>
      <c r="I138" s="21" t="n">
        <f aca="false">IF(I$25=1,2*Quesería!$B$19*Quesería!$B$20/12,0)</f>
        <v>0</v>
      </c>
      <c r="J138" s="21" t="n">
        <f aca="false">IF(J$25=1,2*Quesería!$B$19*Quesería!$B$20/12,0)</f>
        <v>0</v>
      </c>
      <c r="K138" s="21" t="n">
        <f aca="false">IF(K$25=1,2*Quesería!$B$19*Quesería!$B$20/12,0)</f>
        <v>0</v>
      </c>
      <c r="L138" s="21" t="n">
        <f aca="false">IF(L$25=1,2*Quesería!$B$19*Quesería!$B$20/12,0)</f>
        <v>0</v>
      </c>
    </row>
    <row r="139" customFormat="false" ht="15" hidden="false" customHeight="false" outlineLevel="0" collapsed="false">
      <c r="A139" s="7" t="s">
        <v>123</v>
      </c>
      <c r="B139" s="21" t="n">
        <f aca="false">(IF(AND(B$25&gt;=1,B$25&lt;=Quesería!$B$8),Quesería!$F$44/Quesería!$B$8,0)+IF(AND(B$25&gt;=2,B$25&lt;=Quesería!$B$8+1),Quesería!$F$45/Quesería!$B$8,0))*$G$11</f>
        <v>0</v>
      </c>
      <c r="C139" s="21" t="n">
        <f aca="false">(IF(AND(C$25&gt;=1,C$25&lt;=Quesería!$B$8),Quesería!$F$44/Quesería!$B$8,0)+IF(AND(C$25&gt;=2,C$25&lt;=Quesería!$B$8+1),Quesería!$F$45/Quesería!$B$8,0))*$G$11</f>
        <v>46.3750173045333</v>
      </c>
      <c r="D139" s="21" t="n">
        <f aca="false">(IF(AND(D$25&gt;=1,D$25&lt;=Quesería!$B$8),Quesería!$F$44/Quesería!$B$8,0)+IF(AND(D$25&gt;=2,D$25&lt;=Quesería!$B$8+1),Quesería!$F$45/Quesería!$B$8,0))*$G$11</f>
        <v>103.9153213072</v>
      </c>
      <c r="E139" s="21" t="n">
        <f aca="false">(IF(AND(E$25&gt;=1,E$25&lt;=Quesería!$B$8),Quesería!$F$44/Quesería!$B$8,0)+IF(AND(E$25&gt;=2,E$25&lt;=Quesería!$B$8+1),Quesería!$F$45/Quesería!$B$8,0))*$G$11</f>
        <v>103.9153213072</v>
      </c>
      <c r="F139" s="21" t="n">
        <f aca="false">(IF(AND(F$25&gt;=1,F$25&lt;=Quesería!$B$8),Quesería!$F$44/Quesería!$B$8,0)+IF(AND(F$25&gt;=2,F$25&lt;=Quesería!$B$8+1),Quesería!$F$45/Quesería!$B$8,0))*$G$11</f>
        <v>103.9153213072</v>
      </c>
      <c r="G139" s="21" t="n">
        <f aca="false">(IF(AND(G$25&gt;=1,G$25&lt;=Quesería!$B$8),Quesería!$F$44/Quesería!$B$8,0)+IF(AND(G$25&gt;=2,G$25&lt;=Quesería!$B$8+1),Quesería!$F$45/Quesería!$B$8,0))*$G$11</f>
        <v>103.9153213072</v>
      </c>
      <c r="H139" s="21" t="n">
        <f aca="false">(IF(AND(H$25&gt;=1,H$25&lt;=Quesería!$B$8),Quesería!$F$44/Quesería!$B$8,0)+IF(AND(H$25&gt;=2,H$25&lt;=Quesería!$B$8+1),Quesería!$F$45/Quesería!$B$8,0))*$G$11</f>
        <v>103.9153213072</v>
      </c>
      <c r="I139" s="21" t="n">
        <f aca="false">(IF(AND(I$25&gt;=1,I$25&lt;=Quesería!$B$8),Quesería!$F$44/Quesería!$B$8,0)+IF(AND(I$25&gt;=2,I$25&lt;=Quesería!$B$8+1),Quesería!$F$45/Quesería!$B$8,0))*$G$11</f>
        <v>103.9153213072</v>
      </c>
      <c r="J139" s="21" t="n">
        <f aca="false">(IF(AND(J$25&gt;=1,J$25&lt;=Quesería!$B$8),Quesería!$F$44/Quesería!$B$8,0)+IF(AND(J$25&gt;=2,J$25&lt;=Quesería!$B$8+1),Quesería!$F$45/Quesería!$B$8,0))*$G$11</f>
        <v>103.9153213072</v>
      </c>
      <c r="K139" s="21" t="n">
        <f aca="false">(IF(AND(K$25&gt;=1,K$25&lt;=Quesería!$B$8),Quesería!$F$44/Quesería!$B$8,0)+IF(AND(K$25&gt;=2,K$25&lt;=Quesería!$B$8+1),Quesería!$F$45/Quesería!$B$8,0))*$G$11</f>
        <v>103.9153213072</v>
      </c>
      <c r="L139" s="21" t="n">
        <f aca="false">(IF(AND(L$25&gt;=1,L$25&lt;=Quesería!$B$8),Quesería!$F$44/Quesería!$B$8,0)+IF(AND(L$25&gt;=2,L$25&lt;=Quesería!$B$8+1),Quesería!$F$45/Quesería!$B$8,0))*$G$11</f>
        <v>103.9153213072</v>
      </c>
    </row>
    <row r="140" customFormat="false" ht="15" hidden="false" customHeight="false" outlineLevel="0" collapsed="false">
      <c r="A140" s="7" t="s">
        <v>124</v>
      </c>
      <c r="B140" s="21" t="n">
        <f aca="false">IF(B$25=1,$G$7*Quesería!$B$21*Quesería!$F$40*$G$11,0)</f>
        <v>0</v>
      </c>
      <c r="C140" s="21" t="n">
        <f aca="false">IF(C$25=1,$G$7*Quesería!$B$21*Quesería!$F$40*$G$11,0)</f>
        <v>20</v>
      </c>
      <c r="D140" s="21" t="n">
        <f aca="false">IF(D$25=1,$G$7*Quesería!$B$21*Quesería!$F$40*$G$11,0)</f>
        <v>0</v>
      </c>
      <c r="E140" s="21" t="n">
        <f aca="false">IF(E$25=1,$G$7*Quesería!$B$21*Quesería!$F$40*$G$11,0)</f>
        <v>0</v>
      </c>
      <c r="F140" s="21" t="n">
        <f aca="false">IF(F$25=1,$G$7*Quesería!$B$21*Quesería!$F$40*$G$11,0)</f>
        <v>0</v>
      </c>
      <c r="G140" s="21" t="n">
        <f aca="false">IF(G$25=1,$G$7*Quesería!$B$21*Quesería!$F$40*$G$11,0)</f>
        <v>0</v>
      </c>
      <c r="H140" s="21" t="n">
        <f aca="false">IF(H$25=1,$G$7*Quesería!$B$21*Quesería!$F$40*$G$11,0)</f>
        <v>0</v>
      </c>
      <c r="I140" s="21" t="n">
        <f aca="false">IF(I$25=1,$G$7*Quesería!$B$21*Quesería!$F$40*$G$11,0)</f>
        <v>0</v>
      </c>
      <c r="J140" s="21" t="n">
        <f aca="false">IF(J$25=1,$G$7*Quesería!$B$21*Quesería!$F$40*$G$11,0)</f>
        <v>0</v>
      </c>
      <c r="K140" s="21" t="n">
        <f aca="false">IF(K$25=1,$G$7*Quesería!$B$21*Quesería!$F$40*$G$11,0)</f>
        <v>0</v>
      </c>
      <c r="L140" s="21" t="n">
        <f aca="false">IF(L$25=1,$G$7*Quesería!$B$21*Quesería!$F$40*$G$11,0)</f>
        <v>0</v>
      </c>
    </row>
    <row r="141" customFormat="false" ht="15" hidden="false" customHeight="false" outlineLevel="0" collapsed="false">
      <c r="A141" s="7" t="s">
        <v>10</v>
      </c>
      <c r="B141" s="21" t="n">
        <f aca="false">Quesería!$B$7*(B136-B137-B138-B139)-B140</f>
        <v>0</v>
      </c>
      <c r="C141" s="21" t="n">
        <f aca="false">Quesería!$B$7*(C136-C137-C138-C139)-C140</f>
        <v>-2.70734547051449</v>
      </c>
      <c r="D141" s="21" t="n">
        <f aca="false">Quesería!$B$7*(D136-D137-D138-D139)-D140</f>
        <v>82.6719183239096</v>
      </c>
      <c r="E141" s="21" t="n">
        <f aca="false">Quesería!$B$7*(E136-E137-E138-E139)-E140</f>
        <v>105.67741832391</v>
      </c>
      <c r="F141" s="21" t="n">
        <f aca="false">Quesería!$B$7*(F136-F137-F138-F139)-F140</f>
        <v>105.67741832391</v>
      </c>
      <c r="G141" s="21" t="n">
        <f aca="false">Quesería!$B$7*(G136-G137-G138-G139)-G140</f>
        <v>105.67741832391</v>
      </c>
      <c r="H141" s="21" t="n">
        <f aca="false">Quesería!$B$7*(H136-H137-H138-H139)-H140</f>
        <v>105.67741832391</v>
      </c>
      <c r="I141" s="21" t="n">
        <f aca="false">Quesería!$B$7*(I136-I137-I138-I139)-I140</f>
        <v>105.67741832391</v>
      </c>
      <c r="J141" s="21" t="n">
        <f aca="false">Quesería!$B$7*(J136-J137-J138-J139)-J140</f>
        <v>105.67741832391</v>
      </c>
      <c r="K141" s="21" t="n">
        <f aca="false">Quesería!$B$7*(K136-K137-K138-K139)-K140</f>
        <v>105.67741832391</v>
      </c>
      <c r="L141" s="21" t="n">
        <f aca="false">Quesería!$B$7*(L136-L137-L138-L139)-L140</f>
        <v>105.67741832391</v>
      </c>
    </row>
    <row r="142" customFormat="false" ht="15" hidden="false" customHeight="false" outlineLevel="0" collapsed="false">
      <c r="A142" s="7" t="s">
        <v>125</v>
      </c>
      <c r="B142" s="21" t="n">
        <f aca="false">((IF(B$25&gt;=1,Quesería!$G$65*IF(B$25=1,Quesería!$B$9,1),0)+IF(B$25&gt;=2,Quesería!$G$66*IF(B$25=2,Quesería!$B$9,1),0))*$G$10*Quesería!$B$12/365)</f>
        <v>0</v>
      </c>
      <c r="C142" s="21" t="n">
        <f aca="false">((IF(C$25&gt;=1,Quesería!$G$65*IF(C$25=1,Quesería!$B$9,1),0)+IF(C$25&gt;=2,Quesería!$G$66*IF(C$25=2,Quesería!$B$9,1),0))*$G$10*Quesería!$B$12/365)-((IF(B$25&gt;=1,Quesería!$G$65*IF(B$25=1,Quesería!$B$9,1),0)+IF(B$25&gt;=2,Quesería!$G$66*IF(B$25=2,Quesería!$B$9,1),0))*$G$10*Quesería!$B$12/365)</f>
        <v>5.43846575342466</v>
      </c>
      <c r="D142" s="21" t="n">
        <f aca="false">((IF(D$25&gt;=1,Quesería!$G$65*IF(D$25=1,Quesería!$B$9,1),0)+IF(D$25&gt;=2,Quesería!$G$66*IF(D$25=2,Quesería!$B$9,1),0))*$G$10*Quesería!$B$12/365)-((IF(C$25&gt;=1,Quesería!$G$65*IF(C$25=1,Quesería!$B$9,1),0)+IF(C$25&gt;=2,Quesería!$G$66*IF(C$25=2,Quesería!$B$9,1),0))*$G$10*Quesería!$B$12/365)</f>
        <v>9.91282191780822</v>
      </c>
      <c r="E142" s="21" t="n">
        <f aca="false">((IF(E$25&gt;=1,Quesería!$G$65*IF(E$25=1,Quesería!$B$9,1),0)+IF(E$25&gt;=2,Quesería!$G$66*IF(E$25=2,Quesería!$B$9,1),0))*$G$10*Quesería!$B$12/365)-((IF(D$25&gt;=1,Quesería!$G$65*IF(D$25=1,Quesería!$B$9,1),0)+IF(D$25&gt;=2,Quesería!$G$66*IF(D$25=2,Quesería!$B$9,1),0))*$G$10*Quesería!$B$12/365)</f>
        <v>2.7</v>
      </c>
      <c r="F142" s="21" t="n">
        <f aca="false">((IF(F$25&gt;=1,Quesería!$G$65*IF(F$25=1,Quesería!$B$9,1),0)+IF(F$25&gt;=2,Quesería!$G$66*IF(F$25=2,Quesería!$B$9,1),0))*$G$10*Quesería!$B$12/365)-((IF(E$25&gt;=1,Quesería!$G$65*IF(E$25=1,Quesería!$B$9,1),0)+IF(E$25&gt;=2,Quesería!$G$66*IF(E$25=2,Quesería!$B$9,1),0))*$G$10*Quesería!$B$12/365)</f>
        <v>0</v>
      </c>
      <c r="G142" s="21" t="n">
        <f aca="false">((IF(G$25&gt;=1,Quesería!$G$65*IF(G$25=1,Quesería!$B$9,1),0)+IF(G$25&gt;=2,Quesería!$G$66*IF(G$25=2,Quesería!$B$9,1),0))*$G$10*Quesería!$B$12/365)-((IF(F$25&gt;=1,Quesería!$G$65*IF(F$25=1,Quesería!$B$9,1),0)+IF(F$25&gt;=2,Quesería!$G$66*IF(F$25=2,Quesería!$B$9,1),0))*$G$10*Quesería!$B$12/365)</f>
        <v>0</v>
      </c>
      <c r="H142" s="21" t="n">
        <f aca="false">((IF(H$25&gt;=1,Quesería!$G$65*IF(H$25=1,Quesería!$B$9,1),0)+IF(H$25&gt;=2,Quesería!$G$66*IF(H$25=2,Quesería!$B$9,1),0))*$G$10*Quesería!$B$12/365)-((IF(G$25&gt;=1,Quesería!$G$65*IF(G$25=1,Quesería!$B$9,1),0)+IF(G$25&gt;=2,Quesería!$G$66*IF(G$25=2,Quesería!$B$9,1),0))*$G$10*Quesería!$B$12/365)</f>
        <v>0</v>
      </c>
      <c r="I142" s="21" t="n">
        <f aca="false">((IF(I$25&gt;=1,Quesería!$G$65*IF(I$25=1,Quesería!$B$9,1),0)+IF(I$25&gt;=2,Quesería!$G$66*IF(I$25=2,Quesería!$B$9,1),0))*$G$10*Quesería!$B$12/365)-((IF(H$25&gt;=1,Quesería!$G$65*IF(H$25=1,Quesería!$B$9,1),0)+IF(H$25&gt;=2,Quesería!$G$66*IF(H$25=2,Quesería!$B$9,1),0))*$G$10*Quesería!$B$12/365)</f>
        <v>0</v>
      </c>
      <c r="J142" s="21" t="n">
        <f aca="false">((IF(J$25&gt;=1,Quesería!$G$65*IF(J$25=1,Quesería!$B$9,1),0)+IF(J$25&gt;=2,Quesería!$G$66*IF(J$25=2,Quesería!$B$9,1),0))*$G$10*Quesería!$B$12/365)-((IF(I$25&gt;=1,Quesería!$G$65*IF(I$25=1,Quesería!$B$9,1),0)+IF(I$25&gt;=2,Quesería!$G$66*IF(I$25=2,Quesería!$B$9,1),0))*$G$10*Quesería!$B$12/365)</f>
        <v>0</v>
      </c>
      <c r="K142" s="21" t="n">
        <f aca="false">((IF(K$25&gt;=1,Quesería!$G$65*IF(K$25=1,Quesería!$B$9,1),0)+IF(K$25&gt;=2,Quesería!$G$66*IF(K$25=2,Quesería!$B$9,1),0))*$G$10*Quesería!$B$12/365)-((IF(J$25&gt;=1,Quesería!$G$65*IF(J$25=1,Quesería!$B$9,1),0)+IF(J$25&gt;=2,Quesería!$G$66*IF(J$25=2,Quesería!$B$9,1),0))*$G$10*Quesería!$B$12/365)</f>
        <v>0</v>
      </c>
      <c r="L142" s="21" t="n">
        <f aca="false">-((IF(K$25&gt;=1,Quesería!$G$65*IF(K$25=1,Quesería!$B$9,1),0)+IF(K$25&gt;=2,Quesería!$G$66*IF(K$25=2,Quesería!$B$9,1),0))*$G$10*Quesería!$B$12/365)</f>
        <v>-18.0512876712329</v>
      </c>
    </row>
    <row r="143" customFormat="false" ht="15" hidden="false" customHeight="false" outlineLevel="0" collapsed="false">
      <c r="A143" s="7" t="s">
        <v>126</v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</v>
      </c>
      <c r="I143" s="21" t="n">
        <v>0</v>
      </c>
      <c r="J143" s="21" t="n">
        <v>0</v>
      </c>
      <c r="K143" s="21" t="n">
        <v>0</v>
      </c>
      <c r="L143" s="21" t="n">
        <f aca="false">$G$8*Quesería!$B$22*(Quesería!$F$46+Quesería!$F$47)*$G$11*(1-Quesería!$B$7)</f>
        <v>54.5436666666667</v>
      </c>
    </row>
    <row r="144" customFormat="false" ht="15" hidden="false" customHeight="false" outlineLevel="0" collapsed="false">
      <c r="A144" s="17" t="s">
        <v>127</v>
      </c>
      <c r="B144" s="23" t="n">
        <f aca="false">B136-B137-B138-B141-B133-B142+B143</f>
        <v>-463.750173045333</v>
      </c>
      <c r="C144" s="23" t="n">
        <f aca="false">C136-C137-C138-C141-C133-C142+C143</f>
        <v>-482.351558635085</v>
      </c>
      <c r="D144" s="23" t="n">
        <f aca="false">D136-D137-D138-D141-D133-D142+D143</f>
        <v>247.536061990938</v>
      </c>
      <c r="E144" s="23" t="n">
        <f aca="false">E136-E137-E138-E141-E133-E142+E143</f>
        <v>297.473383908746</v>
      </c>
      <c r="F144" s="23" t="n">
        <f aca="false">F136-F137-F138-F141-F133-F142+F143</f>
        <v>300.173383908746</v>
      </c>
      <c r="G144" s="23" t="n">
        <f aca="false">G136-G137-G138-G141-G133-G142+G143</f>
        <v>300.173383908746</v>
      </c>
      <c r="H144" s="23" t="n">
        <f aca="false">H136-H137-H138-H141-H133-H142+H143</f>
        <v>300.173383908746</v>
      </c>
      <c r="I144" s="23" t="n">
        <f aca="false">I136-I137-I138-I141-I133-I142+I143</f>
        <v>300.173383908746</v>
      </c>
      <c r="J144" s="23" t="n">
        <f aca="false">J136-J137-J138-J141-J133-J142+J143</f>
        <v>300.173383908746</v>
      </c>
      <c r="K144" s="23" t="n">
        <f aca="false">K136-K137-K138-K141-K133-K142+K143</f>
        <v>300.173383908746</v>
      </c>
      <c r="L144" s="23" t="n">
        <f aca="false">L136-L137-L138-L141-L133-L142+L143</f>
        <v>372.768338246646</v>
      </c>
    </row>
    <row r="145" customFormat="false" ht="15" hidden="false" customHeight="false" outlineLevel="0" collapsed="false">
      <c r="A145" s="7" t="s">
        <v>128</v>
      </c>
      <c r="B145" s="21" t="n">
        <f aca="false">B144</f>
        <v>-463.750173045333</v>
      </c>
      <c r="C145" s="21" t="n">
        <f aca="false">B145+C144</f>
        <v>-946.101731680418</v>
      </c>
      <c r="D145" s="21" t="n">
        <f aca="false">C145+D144</f>
        <v>-698.56566968948</v>
      </c>
      <c r="E145" s="21" t="n">
        <f aca="false">D145+E144</f>
        <v>-401.092285780734</v>
      </c>
      <c r="F145" s="21" t="n">
        <f aca="false">E145+F144</f>
        <v>-100.918901871987</v>
      </c>
      <c r="G145" s="21" t="n">
        <f aca="false">F145+G144</f>
        <v>199.254482036759</v>
      </c>
      <c r="H145" s="21" t="n">
        <f aca="false">G145+H144</f>
        <v>499.427865945505</v>
      </c>
      <c r="I145" s="21" t="n">
        <f aca="false">H145+I144</f>
        <v>799.601249854252</v>
      </c>
      <c r="J145" s="21" t="n">
        <f aca="false">I145+J144</f>
        <v>1099.774633763</v>
      </c>
      <c r="K145" s="21" t="n">
        <f aca="false">J145+K144</f>
        <v>1399.94801767174</v>
      </c>
      <c r="L145" s="21" t="n">
        <f aca="false">K145+L144</f>
        <v>1772.71635591839</v>
      </c>
    </row>
    <row r="146" customFormat="false" ht="15" hidden="false" customHeight="false" outlineLevel="0" collapsed="false">
      <c r="A146" s="2" t="s">
        <v>129</v>
      </c>
      <c r="B146" s="24" t="n">
        <v>0</v>
      </c>
      <c r="C146" s="24" t="n">
        <f aca="false">IF(AND(B145&lt;0,C145&gt;=0),B$25+(-B145)/C144,0)</f>
        <v>0</v>
      </c>
      <c r="D146" s="24" t="n">
        <f aca="false">IF(AND(C145&lt;0,D145&gt;=0),C$25+(-C145)/D144,0)</f>
        <v>0</v>
      </c>
      <c r="E146" s="24" t="n">
        <f aca="false">IF(AND(D145&lt;0,E145&gt;=0),D$25+(-D145)/E144,0)</f>
        <v>0</v>
      </c>
      <c r="F146" s="24" t="n">
        <f aca="false">IF(AND(E145&lt;0,F145&gt;=0),E$25+(-E145)/F144,0)</f>
        <v>0</v>
      </c>
      <c r="G146" s="24" t="n">
        <f aca="false">IF(AND(F145&lt;0,G145&gt;=0),F$25+(-F145)/G144,0)</f>
        <v>4.33620203283136</v>
      </c>
      <c r="H146" s="24" t="n">
        <f aca="false">IF(AND(G145&lt;0,H145&gt;=0),G$25+(-G145)/H144,0)</f>
        <v>0</v>
      </c>
      <c r="I146" s="24" t="n">
        <f aca="false">IF(AND(H145&lt;0,I145&gt;=0),H$25+(-H145)/I144,0)</f>
        <v>0</v>
      </c>
      <c r="J146" s="24" t="n">
        <f aca="false">IF(AND(I145&lt;0,J145&gt;=0),I$25+(-I145)/J144,0)</f>
        <v>0</v>
      </c>
      <c r="K146" s="24" t="n">
        <f aca="false">IF(AND(J145&lt;0,K145&gt;=0),J$25+(-J145)/K144,0)</f>
        <v>0</v>
      </c>
      <c r="L146" s="24" t="n">
        <f aca="false">IF(AND(K145&lt;0,L145&gt;=0),K$25+(-K145)/L144,0)</f>
        <v>0</v>
      </c>
    </row>
    <row r="147" customFormat="false" ht="15" hidden="false" customHeight="false" outlineLevel="0" collapsed="false">
      <c r="A147" s="7" t="s">
        <v>130</v>
      </c>
      <c r="B147" s="21" t="n">
        <f aca="false">Quesería!$B$23*B133</f>
        <v>324.625121131733</v>
      </c>
      <c r="C147" s="21" t="n">
        <f aca="false">Quesería!$B$23*C133</f>
        <v>402.782128018667</v>
      </c>
      <c r="D147" s="21" t="n">
        <f aca="false">Quesería!$B$23*D133</f>
        <v>0</v>
      </c>
      <c r="E147" s="21" t="n">
        <f aca="false">Quesería!$B$23*E133</f>
        <v>0</v>
      </c>
      <c r="F147" s="21" t="n">
        <f aca="false">Quesería!$B$23*F133</f>
        <v>0</v>
      </c>
      <c r="G147" s="21" t="n">
        <f aca="false">Quesería!$B$23*G133</f>
        <v>0</v>
      </c>
      <c r="H147" s="21" t="n">
        <f aca="false">Quesería!$B$23*H133</f>
        <v>0</v>
      </c>
      <c r="I147" s="21" t="n">
        <f aca="false">Quesería!$B$23*I133</f>
        <v>0</v>
      </c>
      <c r="J147" s="21" t="n">
        <f aca="false">Quesería!$B$23*J133</f>
        <v>0</v>
      </c>
      <c r="K147" s="21" t="n">
        <f aca="false">Quesería!$B$23*K133</f>
        <v>0</v>
      </c>
      <c r="L147" s="21" t="n">
        <f aca="false">Quesería!$B$23*L133</f>
        <v>0</v>
      </c>
    </row>
    <row r="148" customFormat="false" ht="15" hidden="false" customHeight="false" outlineLevel="0" collapsed="false">
      <c r="A148" s="7" t="s">
        <v>131</v>
      </c>
      <c r="B148" s="21" t="n">
        <f aca="false">IF(AND(B$25&gt;0,B$25&lt;=0+Quesería!$B$25),$G$12*((Quesería!$B$23*$B$133)-(Quesería!$B$23*$B$133)/(Quesería!$B$25-Quesería!$B$26)*MAX(0,MIN(B$25-1-0-Quesería!$B$26,(Quesería!$B$25-Quesería!$B$26)))),0)+IF(AND(B$25&gt;1,B$25&lt;=1+Quesería!$B$25),$G$12*((Quesería!$B$23*$C$133)-(Quesería!$B$23*$C$133)/(Quesería!$B$25-Quesería!$B$26)*MAX(0,MIN(B$25-1-1-Quesería!$B$26,(Quesería!$B$25-Quesería!$B$26)))),0)</f>
        <v>0</v>
      </c>
      <c r="C148" s="21" t="n">
        <f aca="false">IF(AND(C$25&gt;0,C$25&lt;=0+Quesería!$B$25),$G$12*((Quesería!$B$23*$B$133)-(Quesería!$B$23*$B$133)/(Quesería!$B$25-Quesería!$B$26)*MAX(0,MIN(C$25-1-0-Quesería!$B$26,(Quesería!$B$25-Quesería!$B$26)))),0)+IF(AND(C$25&gt;1,C$25&lt;=1+Quesería!$B$25),$G$12*((Quesería!$B$23*$C$133)-(Quesería!$B$23*$C$133)/(Quesería!$B$25-Quesería!$B$26)*MAX(0,MIN(C$25-1-1-Quesería!$B$26,(Quesería!$B$25-Quesería!$B$26)))),0)</f>
        <v>45.7721420795744</v>
      </c>
      <c r="D148" s="21" t="n">
        <f aca="false">IF(AND(D$25&gt;0,D$25&lt;=0+Quesería!$B$25),$G$12*((Quesería!$B$23*$B$133)-(Quesería!$B$23*$B$133)/(Quesería!$B$25-Quesería!$B$26)*MAX(0,MIN(D$25-1-0-Quesería!$B$26,(Quesería!$B$25-Quesería!$B$26)))),0)+IF(AND(D$25&gt;1,D$25&lt;=1+Quesería!$B$25),$G$12*((Quesería!$B$23*$C$133)-(Quesería!$B$23*$C$133)/(Quesería!$B$25-Quesería!$B$26)*MAX(0,MIN(D$25-1-1-Quesería!$B$26,(Quesería!$B$25-Quesería!$B$26)))),0)</f>
        <v>102.564422130206</v>
      </c>
      <c r="E148" s="21" t="n">
        <f aca="false">IF(AND(E$25&gt;0,E$25&lt;=0+Quesería!$B$25),$G$12*((Quesería!$B$23*$B$133)-(Quesería!$B$23*$B$133)/(Quesería!$B$25-Quesería!$B$26)*MAX(0,MIN(E$25-1-0-Quesería!$B$26,(Quesería!$B$25-Quesería!$B$26)))),0)+IF(AND(E$25&gt;1,E$25&lt;=1+Quesería!$B$25),$G$12*((Quesería!$B$23*$C$133)-(Quesería!$B$23*$C$133)/(Quesería!$B$25-Quesería!$B$26)*MAX(0,MIN(E$25-1-1-Quesería!$B$26,(Quesería!$B$25-Quesería!$B$26)))),0)</f>
        <v>94.9357317836106</v>
      </c>
      <c r="F148" s="21" t="n">
        <f aca="false">IF(AND(F$25&gt;0,F$25&lt;=0+Quesería!$B$25),$G$12*((Quesería!$B$23*$B$133)-(Quesería!$B$23*$B$133)/(Quesería!$B$25-Quesería!$B$26)*MAX(0,MIN(F$25-1-0-Quesería!$B$26,(Quesería!$B$25-Quesería!$B$26)))),0)+IF(AND(F$25&gt;1,F$25&lt;=1+Quesería!$B$25),$G$12*((Quesería!$B$23*$C$133)-(Quesería!$B$23*$C$133)/(Quesería!$B$25-Quesería!$B$26)*MAX(0,MIN(F$25-1-1-Quesería!$B$26,(Quesería!$B$25-Quesería!$B$26)))),0)</f>
        <v>77.8416614285763</v>
      </c>
      <c r="G148" s="21" t="n">
        <f aca="false">IF(AND(G$25&gt;0,G$25&lt;=0+Quesería!$B$25),$G$12*((Quesería!$B$23*$B$133)-(Quesería!$B$23*$B$133)/(Quesería!$B$25-Quesería!$B$26)*MAX(0,MIN(G$25-1-0-Quesería!$B$26,(Quesería!$B$25-Quesería!$B$26)))),0)+IF(AND(G$25&gt;1,G$25&lt;=1+Quesería!$B$25),$G$12*((Quesería!$B$23*$C$133)-(Quesería!$B$23*$C$133)/(Quesería!$B$25-Quesería!$B$26)*MAX(0,MIN(G$25-1-1-Quesería!$B$26,(Quesería!$B$25-Quesería!$B$26)))),0)</f>
        <v>60.7475910735419</v>
      </c>
      <c r="H148" s="21" t="n">
        <f aca="false">IF(AND(H$25&gt;0,H$25&lt;=0+Quesería!$B$25),$G$12*((Quesería!$B$23*$B$133)-(Quesería!$B$23*$B$133)/(Quesería!$B$25-Quesería!$B$26)*MAX(0,MIN(H$25-1-0-Quesería!$B$26,(Quesería!$B$25-Quesería!$B$26)))),0)+IF(AND(H$25&gt;1,H$25&lt;=1+Quesería!$B$25),$G$12*((Quesería!$B$23*$C$133)-(Quesería!$B$23*$C$133)/(Quesería!$B$25-Quesería!$B$26)*MAX(0,MIN(H$25-1-1-Quesería!$B$26,(Quesería!$B$25-Quesería!$B$26)))),0)</f>
        <v>43.6535207185075</v>
      </c>
      <c r="I148" s="21" t="n">
        <f aca="false">IF(AND(I$25&gt;0,I$25&lt;=0+Quesería!$B$25),$G$12*((Quesería!$B$23*$B$133)-(Quesería!$B$23*$B$133)/(Quesería!$B$25-Quesería!$B$26)*MAX(0,MIN(I$25-1-0-Quesería!$B$26,(Quesería!$B$25-Quesería!$B$26)))),0)+IF(AND(I$25&gt;1,I$25&lt;=1+Quesería!$B$25),$G$12*((Quesería!$B$23*$C$133)-(Quesería!$B$23*$C$133)/(Quesería!$B$25-Quesería!$B$26)*MAX(0,MIN(I$25-1-1-Quesería!$B$26,(Quesería!$B$25-Quesería!$B$26)))),0)</f>
        <v>26.5594503634731</v>
      </c>
      <c r="J148" s="21" t="n">
        <f aca="false">IF(AND(J$25&gt;0,J$25&lt;=0+Quesería!$B$25),$G$12*((Quesería!$B$23*$B$133)-(Quesería!$B$23*$B$133)/(Quesería!$B$25-Quesería!$B$26)*MAX(0,MIN(J$25-1-0-Quesería!$B$26,(Quesería!$B$25-Quesería!$B$26)))),0)+IF(AND(J$25&gt;1,J$25&lt;=1+Quesería!$B$25),$G$12*((Quesería!$B$23*$C$133)-(Quesería!$B$23*$C$133)/(Quesería!$B$25-Quesería!$B$26)*MAX(0,MIN(J$25-1-1-Quesería!$B$26,(Quesería!$B$25-Quesería!$B$26)))),0)</f>
        <v>9.46538000843867</v>
      </c>
      <c r="K148" s="21" t="n">
        <f aca="false">IF(AND(K$25&gt;0,K$25&lt;=0+Quesería!$B$25),$G$12*((Quesería!$B$23*$B$133)-(Quesería!$B$23*$B$133)/(Quesería!$B$25-Quesería!$B$26)*MAX(0,MIN(K$25-1-0-Quesería!$B$26,(Quesería!$B$25-Quesería!$B$26)))),0)+IF(AND(K$25&gt;1,K$25&lt;=1+Quesería!$B$25),$G$12*((Quesería!$B$23*$C$133)-(Quesería!$B$23*$C$133)/(Quesería!$B$25-Quesería!$B$26)*MAX(0,MIN(K$25-1-1-Quesería!$B$26,(Quesería!$B$25-Quesería!$B$26)))),0)</f>
        <v>0</v>
      </c>
      <c r="L148" s="21" t="n">
        <f aca="false">IF(AND(L$25&gt;0,L$25&lt;=0+Quesería!$B$25),$G$12*((Quesería!$B$23*$B$133)-(Quesería!$B$23*$B$133)/(Quesería!$B$25-Quesería!$B$26)*MAX(0,MIN(L$25-1-0-Quesería!$B$26,(Quesería!$B$25-Quesería!$B$26)))),0)+IF(AND(L$25&gt;1,L$25&lt;=1+Quesería!$B$25),$G$12*((Quesería!$B$23*$C$133)-(Quesería!$B$23*$C$133)/(Quesería!$B$25-Quesería!$B$26)*MAX(0,MIN(L$25-1-1-Quesería!$B$26,(Quesería!$B$25-Quesería!$B$26)))),0)</f>
        <v>0</v>
      </c>
    </row>
    <row r="149" customFormat="false" ht="15" hidden="false" customHeight="false" outlineLevel="0" collapsed="false">
      <c r="A149" s="7" t="s">
        <v>132</v>
      </c>
      <c r="B149" s="21" t="n">
        <f aca="false">IF(AND(B$25&gt;0+Quesería!$B$26,B$25&lt;=0+Quesería!$B$25),(Quesería!$B$23*$B$133)/(Quesería!$B$25-Quesería!$B$26),0)+IF(AND(B$25&gt;1+Quesería!$B$26,B$25&lt;=1+Quesería!$B$25),(Quesería!$B$23*$C$133)/(Quesería!$B$25-Quesería!$B$26),0)</f>
        <v>0</v>
      </c>
      <c r="C149" s="21" t="n">
        <f aca="false">IF(AND(C$25&gt;0+Quesería!$B$26,C$25&lt;=0+Quesería!$B$25),(Quesería!$B$23*$B$133)/(Quesería!$B$25-Quesería!$B$26),0)+IF(AND(C$25&gt;1+Quesería!$B$26,C$25&lt;=1+Quesería!$B$25),(Quesería!$B$23*$C$133)/(Quesería!$B$25-Quesería!$B$26),0)</f>
        <v>0</v>
      </c>
      <c r="D149" s="21" t="n">
        <f aca="false">IF(AND(D$25&gt;0+Quesería!$B$26,D$25&lt;=0+Quesería!$B$25),(Quesería!$B$23*$B$133)/(Quesería!$B$25-Quesería!$B$26),0)+IF(AND(D$25&gt;1+Quesería!$B$26,D$25&lt;=1+Quesería!$B$25),(Quesería!$B$23*$C$133)/(Quesería!$B$25-Quesería!$B$26),0)</f>
        <v>54.1041868552889</v>
      </c>
      <c r="E149" s="21" t="n">
        <f aca="false">IF(AND(E$25&gt;0+Quesería!$B$26,E$25&lt;=0+Quesería!$B$25),(Quesería!$B$23*$B$133)/(Quesería!$B$25-Quesería!$B$26),0)+IF(AND(E$25&gt;1+Quesería!$B$26,E$25&lt;=1+Quesería!$B$25),(Quesería!$B$23*$C$133)/(Quesería!$B$25-Quesería!$B$26),0)</f>
        <v>121.234541525067</v>
      </c>
      <c r="F149" s="21" t="n">
        <f aca="false">IF(AND(F$25&gt;0+Quesería!$B$26,F$25&lt;=0+Quesería!$B$25),(Quesería!$B$23*$B$133)/(Quesería!$B$25-Quesería!$B$26),0)+IF(AND(F$25&gt;1+Quesería!$B$26,F$25&lt;=1+Quesería!$B$25),(Quesería!$B$23*$C$133)/(Quesería!$B$25-Quesería!$B$26),0)</f>
        <v>121.234541525067</v>
      </c>
      <c r="G149" s="21" t="n">
        <f aca="false">IF(AND(G$25&gt;0+Quesería!$B$26,G$25&lt;=0+Quesería!$B$25),(Quesería!$B$23*$B$133)/(Quesería!$B$25-Quesería!$B$26),0)+IF(AND(G$25&gt;1+Quesería!$B$26,G$25&lt;=1+Quesería!$B$25),(Quesería!$B$23*$C$133)/(Quesería!$B$25-Quesería!$B$26),0)</f>
        <v>121.234541525067</v>
      </c>
      <c r="H149" s="21" t="n">
        <f aca="false">IF(AND(H$25&gt;0+Quesería!$B$26,H$25&lt;=0+Quesería!$B$25),(Quesería!$B$23*$B$133)/(Quesería!$B$25-Quesería!$B$26),0)+IF(AND(H$25&gt;1+Quesería!$B$26,H$25&lt;=1+Quesería!$B$25),(Quesería!$B$23*$C$133)/(Quesería!$B$25-Quesería!$B$26),0)</f>
        <v>121.234541525067</v>
      </c>
      <c r="I149" s="21" t="n">
        <f aca="false">IF(AND(I$25&gt;0+Quesería!$B$26,I$25&lt;=0+Quesería!$B$25),(Quesería!$B$23*$B$133)/(Quesería!$B$25-Quesería!$B$26),0)+IF(AND(I$25&gt;1+Quesería!$B$26,I$25&lt;=1+Quesería!$B$25),(Quesería!$B$23*$C$133)/(Quesería!$B$25-Quesería!$B$26),0)</f>
        <v>121.234541525067</v>
      </c>
      <c r="J149" s="21" t="n">
        <f aca="false">IF(AND(J$25&gt;0+Quesería!$B$26,J$25&lt;=0+Quesería!$B$25),(Quesería!$B$23*$B$133)/(Quesería!$B$25-Quesería!$B$26),0)+IF(AND(J$25&gt;1+Quesería!$B$26,J$25&lt;=1+Quesería!$B$25),(Quesería!$B$23*$C$133)/(Quesería!$B$25-Quesería!$B$26),0)</f>
        <v>67.1303546697778</v>
      </c>
      <c r="K149" s="21" t="n">
        <f aca="false">IF(AND(K$25&gt;0+Quesería!$B$26,K$25&lt;=0+Quesería!$B$25),(Quesería!$B$23*$B$133)/(Quesería!$B$25-Quesería!$B$26),0)+IF(AND(K$25&gt;1+Quesería!$B$26,K$25&lt;=1+Quesería!$B$25),(Quesería!$B$23*$C$133)/(Quesería!$B$25-Quesería!$B$26),0)</f>
        <v>0</v>
      </c>
      <c r="L149" s="21" t="n">
        <f aca="false">IF(AND(L$25&gt;0+Quesería!$B$26,L$25&lt;=0+Quesería!$B$25),(Quesería!$B$23*$B$133)/(Quesería!$B$25-Quesería!$B$26),0)+IF(AND(L$25&gt;1+Quesería!$B$26,L$25&lt;=1+Quesería!$B$25),(Quesería!$B$23*$C$133)/(Quesería!$B$25-Quesería!$B$26),0)</f>
        <v>0</v>
      </c>
    </row>
    <row r="150" customFormat="false" ht="15" hidden="false" customHeight="false" outlineLevel="0" collapsed="false">
      <c r="A150" s="7" t="s">
        <v>133</v>
      </c>
      <c r="B150" s="21" t="n">
        <f aca="false">Quesería!$B$7*B148</f>
        <v>0</v>
      </c>
      <c r="C150" s="21" t="n">
        <f aca="false">Quesería!$B$7*C148</f>
        <v>16.020249727851</v>
      </c>
      <c r="D150" s="21" t="n">
        <f aca="false">Quesería!$B$7*D148</f>
        <v>35.8975477455722</v>
      </c>
      <c r="E150" s="21" t="n">
        <f aca="false">Quesería!$B$7*E148</f>
        <v>33.2275061242637</v>
      </c>
      <c r="F150" s="21" t="n">
        <f aca="false">Quesería!$B$7*F148</f>
        <v>27.2445815000017</v>
      </c>
      <c r="G150" s="21" t="n">
        <f aca="false">Quesería!$B$7*G148</f>
        <v>21.2616568757396</v>
      </c>
      <c r="H150" s="21" t="n">
        <f aca="false">Quesería!$B$7*H148</f>
        <v>15.2787322514776</v>
      </c>
      <c r="I150" s="21" t="n">
        <f aca="false">Quesería!$B$7*I148</f>
        <v>9.29580762721557</v>
      </c>
      <c r="J150" s="21" t="n">
        <f aca="false">Quesería!$B$7*J148</f>
        <v>3.31288300295353</v>
      </c>
      <c r="K150" s="21" t="n">
        <f aca="false">Quesería!$B$7*K148</f>
        <v>0</v>
      </c>
      <c r="L150" s="21" t="n">
        <f aca="false">Quesería!$B$7*L148</f>
        <v>0</v>
      </c>
    </row>
    <row r="151" customFormat="false" ht="15" hidden="false" customHeight="false" outlineLevel="0" collapsed="false">
      <c r="A151" s="17" t="s">
        <v>134</v>
      </c>
      <c r="B151" s="23" t="n">
        <f aca="false">B144+B147-B148-B149+B150</f>
        <v>-139.1250519136</v>
      </c>
      <c r="C151" s="23" t="n">
        <f aca="false">C144+C147-C148-C149+C150</f>
        <v>-109.321322968142</v>
      </c>
      <c r="D151" s="23" t="n">
        <f aca="false">D144+D147-D148-D149+D150</f>
        <v>126.765000751015</v>
      </c>
      <c r="E151" s="23" t="n">
        <f aca="false">E144+E147-E148-E149+E150</f>
        <v>114.530616724333</v>
      </c>
      <c r="F151" s="23" t="n">
        <f aca="false">F144+F147-F148-F149+F150</f>
        <v>128.341762455105</v>
      </c>
      <c r="G151" s="23" t="n">
        <f aca="false">G144+G147-G148-G149+G150</f>
        <v>139.452908185877</v>
      </c>
      <c r="H151" s="23" t="n">
        <f aca="false">H144+H147-H148-H149+H150</f>
        <v>150.56405391665</v>
      </c>
      <c r="I151" s="23" t="n">
        <f aca="false">I144+I147-I148-I149+I150</f>
        <v>161.675199647422</v>
      </c>
      <c r="J151" s="23" t="n">
        <f aca="false">J144+J147-J148-J149+J150</f>
        <v>226.890532233483</v>
      </c>
      <c r="K151" s="23" t="n">
        <f aca="false">K144+K147-K148-K149+K150</f>
        <v>300.173383908746</v>
      </c>
      <c r="L151" s="23" t="n">
        <f aca="false">L144+L147-L148-L149+L150</f>
        <v>372.768338246646</v>
      </c>
    </row>
    <row r="153" customFormat="false" ht="15" hidden="false" customHeight="false" outlineLevel="0" collapsed="false">
      <c r="A153" s="35" t="s">
        <v>162</v>
      </c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</row>
    <row r="154" customFormat="false" ht="15" hidden="false" customHeight="false" outlineLevel="0" collapsed="false">
      <c r="A154" s="7" t="s">
        <v>60</v>
      </c>
      <c r="B154" s="21" t="n">
        <f aca="false">IF(B$25=0,Quesería!$F$44,IF(B$25=1,Quesería!$F$45,0))*$H$11</f>
        <v>463.750173045333</v>
      </c>
      <c r="C154" s="21" t="n">
        <f aca="false">IF(C$25=0,Quesería!$F$44,IF(C$25=1,Quesería!$F$45,0))*$H$11</f>
        <v>575.403040026667</v>
      </c>
      <c r="D154" s="21" t="n">
        <f aca="false">IF(D$25=0,Quesería!$F$44,IF(D$25=1,Quesería!$F$45,0))*$H$11</f>
        <v>0</v>
      </c>
      <c r="E154" s="21" t="n">
        <f aca="false">IF(E$25=0,Quesería!$F$44,IF(E$25=1,Quesería!$F$45,0))*$H$11</f>
        <v>0</v>
      </c>
      <c r="F154" s="21" t="n">
        <f aca="false">IF(F$25=0,Quesería!$F$44,IF(F$25=1,Quesería!$F$45,0))*$H$11</f>
        <v>0</v>
      </c>
      <c r="G154" s="21" t="n">
        <f aca="false">IF(G$25=0,Quesería!$F$44,IF(G$25=1,Quesería!$F$45,0))*$H$11</f>
        <v>0</v>
      </c>
      <c r="H154" s="21" t="n">
        <f aca="false">IF(H$25=0,Quesería!$F$44,IF(H$25=1,Quesería!$F$45,0))*$H$11</f>
        <v>0</v>
      </c>
      <c r="I154" s="21" t="n">
        <f aca="false">IF(I$25=0,Quesería!$F$44,IF(I$25=1,Quesería!$F$45,0))*$H$11</f>
        <v>0</v>
      </c>
      <c r="J154" s="21" t="n">
        <f aca="false">IF(J$25=0,Quesería!$F$44,IF(J$25=1,Quesería!$F$45,0))*$H$11</f>
        <v>0</v>
      </c>
      <c r="K154" s="21" t="n">
        <f aca="false">IF(K$25=0,Quesería!$F$44,IF(K$25=1,Quesería!$F$45,0))*$H$11</f>
        <v>0</v>
      </c>
      <c r="L154" s="21" t="n">
        <f aca="false">IF(L$25=0,Quesería!$F$44,IF(L$25=1,Quesería!$F$45,0))*$H$11</f>
        <v>0</v>
      </c>
    </row>
    <row r="155" customFormat="false" ht="15" hidden="false" customHeight="false" outlineLevel="0" collapsed="false">
      <c r="A155" s="7" t="s">
        <v>101</v>
      </c>
      <c r="B155" s="21" t="n">
        <f aca="false">IF(B$25=0,0,IF(B$25=1,Quesería!$E$63*Quesería!$B$9,Quesería!$E$63))*$H$10</f>
        <v>0</v>
      </c>
      <c r="C155" s="21" t="n">
        <f aca="false">IF(C$25=0,0,IF(C$25=1,Quesería!$E$63*Quesería!$B$9,Quesería!$E$63))*$H$10</f>
        <v>112.56550139541</v>
      </c>
      <c r="D155" s="21" t="n">
        <f aca="false">IF(D$25=0,0,IF(D$25=1,Quesería!$E$63*Quesería!$B$9,Quesería!$E$63))*$H$10</f>
        <v>150.08733519388</v>
      </c>
      <c r="E155" s="21" t="n">
        <f aca="false">IF(E$25=0,0,IF(E$25=1,Quesería!$E$63*Quesería!$B$9,Quesería!$E$63))*$H$10</f>
        <v>150.08733519388</v>
      </c>
      <c r="F155" s="21" t="n">
        <f aca="false">IF(F$25=0,0,IF(F$25=1,Quesería!$E$63*Quesería!$B$9,Quesería!$E$63))*$H$10</f>
        <v>150.08733519388</v>
      </c>
      <c r="G155" s="21" t="n">
        <f aca="false">IF(G$25=0,0,IF(G$25=1,Quesería!$E$63*Quesería!$B$9,Quesería!$E$63))*$H$10</f>
        <v>150.08733519388</v>
      </c>
      <c r="H155" s="21" t="n">
        <f aca="false">IF(H$25=0,0,IF(H$25=1,Quesería!$E$63*Quesería!$B$9,Quesería!$E$63))*$H$10</f>
        <v>150.08733519388</v>
      </c>
      <c r="I155" s="21" t="n">
        <f aca="false">IF(I$25=0,0,IF(I$25=1,Quesería!$E$63*Quesería!$B$9,Quesería!$E$63))*$H$10</f>
        <v>150.08733519388</v>
      </c>
      <c r="J155" s="21" t="n">
        <f aca="false">IF(J$25=0,0,IF(J$25=1,Quesería!$E$63*Quesería!$B$9,Quesería!$E$63))*$H$10</f>
        <v>150.08733519388</v>
      </c>
      <c r="K155" s="21" t="n">
        <f aca="false">IF(K$25=0,0,IF(K$25=1,Quesería!$E$63*Quesería!$B$9,Quesería!$E$63))*$H$10</f>
        <v>150.08733519388</v>
      </c>
      <c r="L155" s="21" t="n">
        <f aca="false">IF(L$25=0,0,IF(L$25=1,Quesería!$E$63*Quesería!$B$9,Quesería!$E$63))*$H$10</f>
        <v>150.08733519388</v>
      </c>
    </row>
    <row r="156" customFormat="false" ht="15" hidden="false" customHeight="false" outlineLevel="0" collapsed="false">
      <c r="A156" s="7" t="s">
        <v>102</v>
      </c>
      <c r="B156" s="21" t="n">
        <f aca="false">IF(B$25&lt;=1,0,IF(B$25=2,(Quesería!$E$64-Quesería!$E$58+$H$6*Quesería!$E$58-(1-$H$9)*Quesería!$E$61)*Quesería!$B$9,(Quesería!$E$64-Quesería!$E$58+$H$6*Quesería!$E$58-(1-$H$9)*Quesería!$E$61)))*$H$10</f>
        <v>0</v>
      </c>
      <c r="C156" s="21" t="n">
        <f aca="false">IF(C$25&lt;=1,0,IF(C$25=2,(Quesería!$E$64-Quesería!$E$58+$H$6*Quesería!$E$58-(1-$H$9)*Quesería!$E$61)*Quesería!$B$9,(Quesería!$E$64-Quesería!$E$58+$H$6*Quesería!$E$58-(1-$H$9)*Quesería!$E$61)))*$H$10</f>
        <v>0</v>
      </c>
      <c r="D156" s="21" t="n">
        <f aca="false">IF(D$25&lt;=1,0,IF(D$25=2,(Quesería!$E$64-Quesería!$E$58+$H$6*Quesería!$E$58-(1-$H$9)*Quesería!$E$61)*Quesería!$B$9,(Quesería!$E$64-Quesería!$E$58+$H$6*Quesería!$E$58-(1-$H$9)*Quesería!$E$61)))*$H$10</f>
        <v>164.325</v>
      </c>
      <c r="E156" s="21" t="n">
        <f aca="false">IF(E$25&lt;=1,0,IF(E$25=2,(Quesería!$E$64-Quesería!$E$58+$H$6*Quesería!$E$58-(1-$H$9)*Quesería!$E$61)*Quesería!$B$9,(Quesería!$E$64-Quesería!$E$58+$H$6*Quesería!$E$58-(1-$H$9)*Quesería!$E$61)))*$H$10</f>
        <v>219.1</v>
      </c>
      <c r="F156" s="21" t="n">
        <f aca="false">IF(F$25&lt;=1,0,IF(F$25=2,(Quesería!$E$64-Quesería!$E$58+$H$6*Quesería!$E$58-(1-$H$9)*Quesería!$E$61)*Quesería!$B$9,(Quesería!$E$64-Quesería!$E$58+$H$6*Quesería!$E$58-(1-$H$9)*Quesería!$E$61)))*$H$10</f>
        <v>219.1</v>
      </c>
      <c r="G156" s="21" t="n">
        <f aca="false">IF(G$25&lt;=1,0,IF(G$25=2,(Quesería!$E$64-Quesería!$E$58+$H$6*Quesería!$E$58-(1-$H$9)*Quesería!$E$61)*Quesería!$B$9,(Quesería!$E$64-Quesería!$E$58+$H$6*Quesería!$E$58-(1-$H$9)*Quesería!$E$61)))*$H$10</f>
        <v>219.1</v>
      </c>
      <c r="H156" s="21" t="n">
        <f aca="false">IF(H$25&lt;=1,0,IF(H$25=2,(Quesería!$E$64-Quesería!$E$58+$H$6*Quesería!$E$58-(1-$H$9)*Quesería!$E$61)*Quesería!$B$9,(Quesería!$E$64-Quesería!$E$58+$H$6*Quesería!$E$58-(1-$H$9)*Quesería!$E$61)))*$H$10</f>
        <v>219.1</v>
      </c>
      <c r="I156" s="21" t="n">
        <f aca="false">IF(I$25&lt;=1,0,IF(I$25=2,(Quesería!$E$64-Quesería!$E$58+$H$6*Quesería!$E$58-(1-$H$9)*Quesería!$E$61)*Quesería!$B$9,(Quesería!$E$64-Quesería!$E$58+$H$6*Quesería!$E$58-(1-$H$9)*Quesería!$E$61)))*$H$10</f>
        <v>219.1</v>
      </c>
      <c r="J156" s="21" t="n">
        <f aca="false">IF(J$25&lt;=1,0,IF(J$25=2,(Quesería!$E$64-Quesería!$E$58+$H$6*Quesería!$E$58-(1-$H$9)*Quesería!$E$61)*Quesería!$B$9,(Quesería!$E$64-Quesería!$E$58+$H$6*Quesería!$E$58-(1-$H$9)*Quesería!$E$61)))*$H$10</f>
        <v>219.1</v>
      </c>
      <c r="K156" s="21" t="n">
        <f aca="false">IF(K$25&lt;=1,0,IF(K$25=2,(Quesería!$E$64-Quesería!$E$58+$H$6*Quesería!$E$58-(1-$H$9)*Quesería!$E$61)*Quesería!$B$9,(Quesería!$E$64-Quesería!$E$58+$H$6*Quesería!$E$58-(1-$H$9)*Quesería!$E$61)))*$H$10</f>
        <v>219.1</v>
      </c>
      <c r="L156" s="21" t="n">
        <f aca="false">IF(L$25&lt;=1,0,IF(L$25=2,(Quesería!$E$64-Quesería!$E$58+$H$6*Quesería!$E$58-(1-$H$9)*Quesería!$E$61)*Quesería!$B$9,(Quesería!$E$64-Quesería!$E$58+$H$6*Quesería!$E$58-(1-$H$9)*Quesería!$E$61)))*$H$10</f>
        <v>219.1</v>
      </c>
    </row>
    <row r="157" customFormat="false" ht="15" hidden="false" customHeight="false" outlineLevel="0" collapsed="false">
      <c r="A157" s="17" t="s">
        <v>120</v>
      </c>
      <c r="B157" s="22" t="n">
        <f aca="false">B155+B156</f>
        <v>0</v>
      </c>
      <c r="C157" s="22" t="n">
        <f aca="false">C155+C156</f>
        <v>112.56550139541</v>
      </c>
      <c r="D157" s="22" t="n">
        <f aca="false">D155+D156</f>
        <v>314.41233519388</v>
      </c>
      <c r="E157" s="22" t="n">
        <f aca="false">E155+E156</f>
        <v>369.18733519388</v>
      </c>
      <c r="F157" s="22" t="n">
        <f aca="false">F155+F156</f>
        <v>369.18733519388</v>
      </c>
      <c r="G157" s="22" t="n">
        <f aca="false">G155+G156</f>
        <v>369.18733519388</v>
      </c>
      <c r="H157" s="22" t="n">
        <f aca="false">H155+H156</f>
        <v>369.18733519388</v>
      </c>
      <c r="I157" s="22" t="n">
        <f aca="false">I155+I156</f>
        <v>369.18733519388</v>
      </c>
      <c r="J157" s="22" t="n">
        <f aca="false">J155+J156</f>
        <v>369.18733519388</v>
      </c>
      <c r="K157" s="22" t="n">
        <f aca="false">K155+K156</f>
        <v>369.18733519388</v>
      </c>
      <c r="L157" s="22" t="n">
        <f aca="false">L155+L156</f>
        <v>369.18733519388</v>
      </c>
    </row>
    <row r="158" customFormat="false" ht="15" hidden="false" customHeight="false" outlineLevel="0" collapsed="false">
      <c r="A158" s="7" t="s">
        <v>121</v>
      </c>
      <c r="B158" s="21" t="n">
        <f aca="false">IF(B$25&gt;=1,Quesería!$B$10*Quesería!$F$46*$H$11+Quesería!$B$11,0)+IF(B$25&gt;=2,Quesería!$B$10*Quesería!$F$47*$H$11,0)</f>
        <v>0</v>
      </c>
      <c r="C158" s="21" t="n">
        <f aca="false">IF(C$25&gt;=1,Quesería!$B$10*Quesería!$F$46*$H$11+Quesería!$B$11,0)+IF(C$25&gt;=2,Quesería!$B$10*Quesería!$F$47*$H$11,0)</f>
        <v>21.296</v>
      </c>
      <c r="D158" s="21" t="n">
        <f aca="false">IF(D$25&gt;=1,Quesería!$B$10*Quesería!$F$46*$H$11+Quesería!$B$11,0)+IF(D$25&gt;=2,Quesería!$B$10*Quesería!$F$47*$H$11,0)</f>
        <v>37.174</v>
      </c>
      <c r="E158" s="21" t="n">
        <f aca="false">IF(E$25&gt;=1,Quesería!$B$10*Quesería!$F$46*$H$11+Quesería!$B$11,0)+IF(E$25&gt;=2,Quesería!$B$10*Quesería!$F$47*$H$11,0)</f>
        <v>37.174</v>
      </c>
      <c r="F158" s="21" t="n">
        <f aca="false">IF(F$25&gt;=1,Quesería!$B$10*Quesería!$F$46*$H$11+Quesería!$B$11,0)+IF(F$25&gt;=2,Quesería!$B$10*Quesería!$F$47*$H$11,0)</f>
        <v>37.174</v>
      </c>
      <c r="G158" s="21" t="n">
        <f aca="false">IF(G$25&gt;=1,Quesería!$B$10*Quesería!$F$46*$H$11+Quesería!$B$11,0)+IF(G$25&gt;=2,Quesería!$B$10*Quesería!$F$47*$H$11,0)</f>
        <v>37.174</v>
      </c>
      <c r="H158" s="21" t="n">
        <f aca="false">IF(H$25&gt;=1,Quesería!$B$10*Quesería!$F$46*$H$11+Quesería!$B$11,0)+IF(H$25&gt;=2,Quesería!$B$10*Quesería!$F$47*$H$11,0)</f>
        <v>37.174</v>
      </c>
      <c r="I158" s="21" t="n">
        <f aca="false">IF(I$25&gt;=1,Quesería!$B$10*Quesería!$F$46*$H$11+Quesería!$B$11,0)+IF(I$25&gt;=2,Quesería!$B$10*Quesería!$F$47*$H$11,0)</f>
        <v>37.174</v>
      </c>
      <c r="J158" s="21" t="n">
        <f aca="false">IF(J$25&gt;=1,Quesería!$B$10*Quesería!$F$46*$H$11+Quesería!$B$11,0)+IF(J$25&gt;=2,Quesería!$B$10*Quesería!$F$47*$H$11,0)</f>
        <v>37.174</v>
      </c>
      <c r="K158" s="21" t="n">
        <f aca="false">IF(K$25&gt;=1,Quesería!$B$10*Quesería!$F$46*$H$11+Quesería!$B$11,0)+IF(K$25&gt;=2,Quesería!$B$10*Quesería!$F$47*$H$11,0)</f>
        <v>37.174</v>
      </c>
      <c r="L158" s="21" t="n">
        <f aca="false">IF(L$25&gt;=1,Quesería!$B$10*Quesería!$F$46*$H$11+Quesería!$B$11,0)+IF(L$25&gt;=2,Quesería!$B$10*Quesería!$F$47*$H$11,0)</f>
        <v>37.174</v>
      </c>
    </row>
    <row r="159" customFormat="false" ht="15" hidden="false" customHeight="false" outlineLevel="0" collapsed="false">
      <c r="A159" s="7" t="s">
        <v>122</v>
      </c>
      <c r="B159" s="21" t="n">
        <f aca="false">IF(B$25=1,2*Quesería!$B$19*Quesería!$B$20/12,0)</f>
        <v>0</v>
      </c>
      <c r="C159" s="21" t="n">
        <f aca="false">IF(C$25=1,2*Quesería!$B$19*Quesería!$B$20/12,0)</f>
        <v>18</v>
      </c>
      <c r="D159" s="21" t="n">
        <f aca="false">IF(D$25=1,2*Quesería!$B$19*Quesería!$B$20/12,0)</f>
        <v>0</v>
      </c>
      <c r="E159" s="21" t="n">
        <f aca="false">IF(E$25=1,2*Quesería!$B$19*Quesería!$B$20/12,0)</f>
        <v>0</v>
      </c>
      <c r="F159" s="21" t="n">
        <f aca="false">IF(F$25=1,2*Quesería!$B$19*Quesería!$B$20/12,0)</f>
        <v>0</v>
      </c>
      <c r="G159" s="21" t="n">
        <f aca="false">IF(G$25=1,2*Quesería!$B$19*Quesería!$B$20/12,0)</f>
        <v>0</v>
      </c>
      <c r="H159" s="21" t="n">
        <f aca="false">IF(H$25=1,2*Quesería!$B$19*Quesería!$B$20/12,0)</f>
        <v>0</v>
      </c>
      <c r="I159" s="21" t="n">
        <f aca="false">IF(I$25=1,2*Quesería!$B$19*Quesería!$B$20/12,0)</f>
        <v>0</v>
      </c>
      <c r="J159" s="21" t="n">
        <f aca="false">IF(J$25=1,2*Quesería!$B$19*Quesería!$B$20/12,0)</f>
        <v>0</v>
      </c>
      <c r="K159" s="21" t="n">
        <f aca="false">IF(K$25=1,2*Quesería!$B$19*Quesería!$B$20/12,0)</f>
        <v>0</v>
      </c>
      <c r="L159" s="21" t="n">
        <f aca="false">IF(L$25=1,2*Quesería!$B$19*Quesería!$B$20/12,0)</f>
        <v>0</v>
      </c>
    </row>
    <row r="160" customFormat="false" ht="15" hidden="false" customHeight="false" outlineLevel="0" collapsed="false">
      <c r="A160" s="7" t="s">
        <v>123</v>
      </c>
      <c r="B160" s="21" t="n">
        <f aca="false">(IF(AND(B$25&gt;=1,B$25&lt;=Quesería!$B$8),Quesería!$F$44/Quesería!$B$8,0)+IF(AND(B$25&gt;=2,B$25&lt;=Quesería!$B$8+1),Quesería!$F$45/Quesería!$B$8,0))*$H$11</f>
        <v>0</v>
      </c>
      <c r="C160" s="21" t="n">
        <f aca="false">(IF(AND(C$25&gt;=1,C$25&lt;=Quesería!$B$8),Quesería!$F$44/Quesería!$B$8,0)+IF(AND(C$25&gt;=2,C$25&lt;=Quesería!$B$8+1),Quesería!$F$45/Quesería!$B$8,0))*$H$11</f>
        <v>46.3750173045333</v>
      </c>
      <c r="D160" s="21" t="n">
        <f aca="false">(IF(AND(D$25&gt;=1,D$25&lt;=Quesería!$B$8),Quesería!$F$44/Quesería!$B$8,0)+IF(AND(D$25&gt;=2,D$25&lt;=Quesería!$B$8+1),Quesería!$F$45/Quesería!$B$8,0))*$H$11</f>
        <v>103.9153213072</v>
      </c>
      <c r="E160" s="21" t="n">
        <f aca="false">(IF(AND(E$25&gt;=1,E$25&lt;=Quesería!$B$8),Quesería!$F$44/Quesería!$B$8,0)+IF(AND(E$25&gt;=2,E$25&lt;=Quesería!$B$8+1),Quesería!$F$45/Quesería!$B$8,0))*$H$11</f>
        <v>103.9153213072</v>
      </c>
      <c r="F160" s="21" t="n">
        <f aca="false">(IF(AND(F$25&gt;=1,F$25&lt;=Quesería!$B$8),Quesería!$F$44/Quesería!$B$8,0)+IF(AND(F$25&gt;=2,F$25&lt;=Quesería!$B$8+1),Quesería!$F$45/Quesería!$B$8,0))*$H$11</f>
        <v>103.9153213072</v>
      </c>
      <c r="G160" s="21" t="n">
        <f aca="false">(IF(AND(G$25&gt;=1,G$25&lt;=Quesería!$B$8),Quesería!$F$44/Quesería!$B$8,0)+IF(AND(G$25&gt;=2,G$25&lt;=Quesería!$B$8+1),Quesería!$F$45/Quesería!$B$8,0))*$H$11</f>
        <v>103.9153213072</v>
      </c>
      <c r="H160" s="21" t="n">
        <f aca="false">(IF(AND(H$25&gt;=1,H$25&lt;=Quesería!$B$8),Quesería!$F$44/Quesería!$B$8,0)+IF(AND(H$25&gt;=2,H$25&lt;=Quesería!$B$8+1),Quesería!$F$45/Quesería!$B$8,0))*$H$11</f>
        <v>103.9153213072</v>
      </c>
      <c r="I160" s="21" t="n">
        <f aca="false">(IF(AND(I$25&gt;=1,I$25&lt;=Quesería!$B$8),Quesería!$F$44/Quesería!$B$8,0)+IF(AND(I$25&gt;=2,I$25&lt;=Quesería!$B$8+1),Quesería!$F$45/Quesería!$B$8,0))*$H$11</f>
        <v>103.9153213072</v>
      </c>
      <c r="J160" s="21" t="n">
        <f aca="false">(IF(AND(J$25&gt;=1,J$25&lt;=Quesería!$B$8),Quesería!$F$44/Quesería!$B$8,0)+IF(AND(J$25&gt;=2,J$25&lt;=Quesería!$B$8+1),Quesería!$F$45/Quesería!$B$8,0))*$H$11</f>
        <v>103.9153213072</v>
      </c>
      <c r="K160" s="21" t="n">
        <f aca="false">(IF(AND(K$25&gt;=1,K$25&lt;=Quesería!$B$8),Quesería!$F$44/Quesería!$B$8,0)+IF(AND(K$25&gt;=2,K$25&lt;=Quesería!$B$8+1),Quesería!$F$45/Quesería!$B$8,0))*$H$11</f>
        <v>103.9153213072</v>
      </c>
      <c r="L160" s="21" t="n">
        <f aca="false">(IF(AND(L$25&gt;=1,L$25&lt;=Quesería!$B$8),Quesería!$F$44/Quesería!$B$8,0)+IF(AND(L$25&gt;=2,L$25&lt;=Quesería!$B$8+1),Quesería!$F$45/Quesería!$B$8,0))*$H$11</f>
        <v>103.9153213072</v>
      </c>
    </row>
    <row r="161" customFormat="false" ht="15" hidden="false" customHeight="false" outlineLevel="0" collapsed="false">
      <c r="A161" s="7" t="s">
        <v>124</v>
      </c>
      <c r="B161" s="21" t="n">
        <f aca="false">IF(B$25=1,$H$7*Quesería!$B$21*Quesería!$F$40*$H$11,0)</f>
        <v>0</v>
      </c>
      <c r="C161" s="21" t="n">
        <f aca="false">IF(C$25=1,$H$7*Quesería!$B$21*Quesería!$F$40*$H$11,0)</f>
        <v>20</v>
      </c>
      <c r="D161" s="21" t="n">
        <f aca="false">IF(D$25=1,$H$7*Quesería!$B$21*Quesería!$F$40*$H$11,0)</f>
        <v>0</v>
      </c>
      <c r="E161" s="21" t="n">
        <f aca="false">IF(E$25=1,$H$7*Quesería!$B$21*Quesería!$F$40*$H$11,0)</f>
        <v>0</v>
      </c>
      <c r="F161" s="21" t="n">
        <f aca="false">IF(F$25=1,$H$7*Quesería!$B$21*Quesería!$F$40*$H$11,0)</f>
        <v>0</v>
      </c>
      <c r="G161" s="21" t="n">
        <f aca="false">IF(G$25=1,$H$7*Quesería!$B$21*Quesería!$F$40*$H$11,0)</f>
        <v>0</v>
      </c>
      <c r="H161" s="21" t="n">
        <f aca="false">IF(H$25=1,$H$7*Quesería!$B$21*Quesería!$F$40*$H$11,0)</f>
        <v>0</v>
      </c>
      <c r="I161" s="21" t="n">
        <f aca="false">IF(I$25=1,$H$7*Quesería!$B$21*Quesería!$F$40*$H$11,0)</f>
        <v>0</v>
      </c>
      <c r="J161" s="21" t="n">
        <f aca="false">IF(J$25=1,$H$7*Quesería!$B$21*Quesería!$F$40*$H$11,0)</f>
        <v>0</v>
      </c>
      <c r="K161" s="21" t="n">
        <f aca="false">IF(K$25=1,$H$7*Quesería!$B$21*Quesería!$F$40*$H$11,0)</f>
        <v>0</v>
      </c>
      <c r="L161" s="21" t="n">
        <f aca="false">IF(L$25=1,$H$7*Quesería!$B$21*Quesería!$F$40*$H$11,0)</f>
        <v>0</v>
      </c>
    </row>
    <row r="162" customFormat="false" ht="15" hidden="false" customHeight="false" outlineLevel="0" collapsed="false">
      <c r="A162" s="7" t="s">
        <v>10</v>
      </c>
      <c r="B162" s="21" t="n">
        <f aca="false">Quesería!$B$7*(B157-B158-B159-B160)-B161</f>
        <v>0</v>
      </c>
      <c r="C162" s="21" t="n">
        <f aca="false">Quesería!$B$7*(C157-C158-C159-C160)-C161</f>
        <v>-10.5869305681932</v>
      </c>
      <c r="D162" s="21" t="n">
        <f aca="false">Quesería!$B$7*(D157-D158-D159-D160)-D161</f>
        <v>60.663054860338</v>
      </c>
      <c r="E162" s="21" t="n">
        <f aca="false">Quesería!$B$7*(E157-E158-E159-E160)-E161</f>
        <v>79.834304860338</v>
      </c>
      <c r="F162" s="21" t="n">
        <f aca="false">Quesería!$B$7*(F157-F158-F159-F160)-F161</f>
        <v>79.834304860338</v>
      </c>
      <c r="G162" s="21" t="n">
        <f aca="false">Quesería!$B$7*(G157-G158-G159-G160)-G161</f>
        <v>79.834304860338</v>
      </c>
      <c r="H162" s="21" t="n">
        <f aca="false">Quesería!$B$7*(H157-H158-H159-H160)-H161</f>
        <v>79.834304860338</v>
      </c>
      <c r="I162" s="21" t="n">
        <f aca="false">Quesería!$B$7*(I157-I158-I159-I160)-I161</f>
        <v>79.834304860338</v>
      </c>
      <c r="J162" s="21" t="n">
        <f aca="false">Quesería!$B$7*(J157-J158-J159-J160)-J161</f>
        <v>79.834304860338</v>
      </c>
      <c r="K162" s="21" t="n">
        <f aca="false">Quesería!$B$7*(K157-K158-K159-K160)-K161</f>
        <v>79.834304860338</v>
      </c>
      <c r="L162" s="21" t="n">
        <f aca="false">Quesería!$B$7*(L157-L158-L159-L160)-L161</f>
        <v>79.834304860338</v>
      </c>
    </row>
    <row r="163" customFormat="false" ht="15" hidden="false" customHeight="false" outlineLevel="0" collapsed="false">
      <c r="A163" s="7" t="s">
        <v>125</v>
      </c>
      <c r="B163" s="21" t="n">
        <f aca="false">((IF(B$25&gt;=1,Quesería!$G$65*IF(B$25=1,Quesería!$B$9,1),0)+IF(B$25&gt;=2,Quesería!$G$66*IF(B$25=2,Quesería!$B$9,1),0))*$H$10*Quesería!$B$12/365)</f>
        <v>0</v>
      </c>
      <c r="C163" s="21" t="n">
        <f aca="false">((IF(C$25&gt;=1,Quesería!$G$65*IF(C$25=1,Quesería!$B$9,1),0)+IF(C$25&gt;=2,Quesería!$G$66*IF(C$25=2,Quesería!$B$9,1),0))*$H$10*Quesería!$B$12/365)-((IF(B$25&gt;=1,Quesería!$G$65*IF(B$25=1,Quesería!$B$9,1),0)+IF(B$25&gt;=2,Quesería!$G$66*IF(B$25=2,Quesería!$B$9,1),0))*$H$10*Quesería!$B$12/365)</f>
        <v>4.53205479452055</v>
      </c>
      <c r="D163" s="21" t="n">
        <f aca="false">((IF(D$25&gt;=1,Quesería!$G$65*IF(D$25=1,Quesería!$B$9,1),0)+IF(D$25&gt;=2,Quesería!$G$66*IF(D$25=2,Quesería!$B$9,1),0))*$H$10*Quesería!$B$12/365)-((IF(C$25&gt;=1,Quesería!$G$65*IF(C$25=1,Quesería!$B$9,1),0)+IF(C$25&gt;=2,Quesería!$G$66*IF(C$25=2,Quesería!$B$9,1),0))*$H$10*Quesería!$B$12/365)</f>
        <v>8.26068493150685</v>
      </c>
      <c r="E163" s="21" t="n">
        <f aca="false">((IF(E$25&gt;=1,Quesería!$G$65*IF(E$25=1,Quesería!$B$9,1),0)+IF(E$25&gt;=2,Quesería!$G$66*IF(E$25=2,Quesería!$B$9,1),0))*$H$10*Quesería!$B$12/365)-((IF(D$25&gt;=1,Quesería!$G$65*IF(D$25=1,Quesería!$B$9,1),0)+IF(D$25&gt;=2,Quesería!$G$66*IF(D$25=2,Quesería!$B$9,1),0))*$H$10*Quesería!$B$12/365)</f>
        <v>2.25</v>
      </c>
      <c r="F163" s="21" t="n">
        <f aca="false">((IF(F$25&gt;=1,Quesería!$G$65*IF(F$25=1,Quesería!$B$9,1),0)+IF(F$25&gt;=2,Quesería!$G$66*IF(F$25=2,Quesería!$B$9,1),0))*$H$10*Quesería!$B$12/365)-((IF(E$25&gt;=1,Quesería!$G$65*IF(E$25=1,Quesería!$B$9,1),0)+IF(E$25&gt;=2,Quesería!$G$66*IF(E$25=2,Quesería!$B$9,1),0))*$H$10*Quesería!$B$12/365)</f>
        <v>0</v>
      </c>
      <c r="G163" s="21" t="n">
        <f aca="false">((IF(G$25&gt;=1,Quesería!$G$65*IF(G$25=1,Quesería!$B$9,1),0)+IF(G$25&gt;=2,Quesería!$G$66*IF(G$25=2,Quesería!$B$9,1),0))*$H$10*Quesería!$B$12/365)-((IF(F$25&gt;=1,Quesería!$G$65*IF(F$25=1,Quesería!$B$9,1),0)+IF(F$25&gt;=2,Quesería!$G$66*IF(F$25=2,Quesería!$B$9,1),0))*$H$10*Quesería!$B$12/365)</f>
        <v>0</v>
      </c>
      <c r="H163" s="21" t="n">
        <f aca="false">((IF(H$25&gt;=1,Quesería!$G$65*IF(H$25=1,Quesería!$B$9,1),0)+IF(H$25&gt;=2,Quesería!$G$66*IF(H$25=2,Quesería!$B$9,1),0))*$H$10*Quesería!$B$12/365)-((IF(G$25&gt;=1,Quesería!$G$65*IF(G$25=1,Quesería!$B$9,1),0)+IF(G$25&gt;=2,Quesería!$G$66*IF(G$25=2,Quesería!$B$9,1),0))*$H$10*Quesería!$B$12/365)</f>
        <v>0</v>
      </c>
      <c r="I163" s="21" t="n">
        <f aca="false">((IF(I$25&gt;=1,Quesería!$G$65*IF(I$25=1,Quesería!$B$9,1),0)+IF(I$25&gt;=2,Quesería!$G$66*IF(I$25=2,Quesería!$B$9,1),0))*$H$10*Quesería!$B$12/365)-((IF(H$25&gt;=1,Quesería!$G$65*IF(H$25=1,Quesería!$B$9,1),0)+IF(H$25&gt;=2,Quesería!$G$66*IF(H$25=2,Quesería!$B$9,1),0))*$H$10*Quesería!$B$12/365)</f>
        <v>0</v>
      </c>
      <c r="J163" s="21" t="n">
        <f aca="false">((IF(J$25&gt;=1,Quesería!$G$65*IF(J$25=1,Quesería!$B$9,1),0)+IF(J$25&gt;=2,Quesería!$G$66*IF(J$25=2,Quesería!$B$9,1),0))*$H$10*Quesería!$B$12/365)-((IF(I$25&gt;=1,Quesería!$G$65*IF(I$25=1,Quesería!$B$9,1),0)+IF(I$25&gt;=2,Quesería!$G$66*IF(I$25=2,Quesería!$B$9,1),0))*$H$10*Quesería!$B$12/365)</f>
        <v>0</v>
      </c>
      <c r="K163" s="21" t="n">
        <f aca="false">((IF(K$25&gt;=1,Quesería!$G$65*IF(K$25=1,Quesería!$B$9,1),0)+IF(K$25&gt;=2,Quesería!$G$66*IF(K$25=2,Quesería!$B$9,1),0))*$H$10*Quesería!$B$12/365)-((IF(J$25&gt;=1,Quesería!$G$65*IF(J$25=1,Quesería!$B$9,1),0)+IF(J$25&gt;=2,Quesería!$G$66*IF(J$25=2,Quesería!$B$9,1),0))*$H$10*Quesería!$B$12/365)</f>
        <v>0</v>
      </c>
      <c r="L163" s="21" t="n">
        <f aca="false">-((IF(K$25&gt;=1,Quesería!$G$65*IF(K$25=1,Quesería!$B$9,1),0)+IF(K$25&gt;=2,Quesería!$G$66*IF(K$25=2,Quesería!$B$9,1),0))*$H$10*Quesería!$B$12/365)</f>
        <v>-15.0427397260274</v>
      </c>
    </row>
    <row r="164" customFormat="false" ht="15" hidden="false" customHeight="false" outlineLevel="0" collapsed="false">
      <c r="A164" s="7" t="s">
        <v>126</v>
      </c>
      <c r="B164" s="21" t="n">
        <v>0</v>
      </c>
      <c r="C164" s="21" t="n">
        <v>0</v>
      </c>
      <c r="D164" s="21" t="n">
        <v>0</v>
      </c>
      <c r="E164" s="21" t="n">
        <v>0</v>
      </c>
      <c r="F164" s="21" t="n">
        <v>0</v>
      </c>
      <c r="G164" s="21" t="n">
        <v>0</v>
      </c>
      <c r="H164" s="21" t="n">
        <v>0</v>
      </c>
      <c r="I164" s="21" t="n">
        <v>0</v>
      </c>
      <c r="J164" s="21" t="n">
        <v>0</v>
      </c>
      <c r="K164" s="21" t="n">
        <v>0</v>
      </c>
      <c r="L164" s="21" t="n">
        <f aca="false">$H$8*Quesería!$B$22*(Quesería!$F$46+Quesería!$F$47)*$H$11*(1-Quesería!$B$7)</f>
        <v>54.5436666666667</v>
      </c>
    </row>
    <row r="165" customFormat="false" ht="15" hidden="false" customHeight="false" outlineLevel="0" collapsed="false">
      <c r="A165" s="17" t="s">
        <v>127</v>
      </c>
      <c r="B165" s="23" t="n">
        <f aca="false">B157-B158-B159-B162-B154-B163+B164</f>
        <v>-463.750173045333</v>
      </c>
      <c r="C165" s="23" t="n">
        <f aca="false">C157-C158-C159-C162-C154-C163+C164</f>
        <v>-496.078662857584</v>
      </c>
      <c r="D165" s="23" t="n">
        <f aca="false">D157-D158-D159-D162-D154-D163+D164</f>
        <v>208.314595402035</v>
      </c>
      <c r="E165" s="23" t="n">
        <f aca="false">E157-E158-E159-E162-E154-E163+E164</f>
        <v>249.929030333542</v>
      </c>
      <c r="F165" s="23" t="n">
        <f aca="false">F157-F158-F159-F162-F154-F163+F164</f>
        <v>252.179030333542</v>
      </c>
      <c r="G165" s="23" t="n">
        <f aca="false">G157-G158-G159-G162-G154-G163+G164</f>
        <v>252.179030333542</v>
      </c>
      <c r="H165" s="23" t="n">
        <f aca="false">H157-H158-H159-H162-H154-H163+H164</f>
        <v>252.179030333542</v>
      </c>
      <c r="I165" s="23" t="n">
        <f aca="false">I157-I158-I159-I162-I154-I163+I164</f>
        <v>252.179030333542</v>
      </c>
      <c r="J165" s="23" t="n">
        <f aca="false">J157-J158-J159-J162-J154-J163+J164</f>
        <v>252.179030333542</v>
      </c>
      <c r="K165" s="23" t="n">
        <f aca="false">K157-K158-K159-K162-K154-K163+K164</f>
        <v>252.179030333542</v>
      </c>
      <c r="L165" s="23" t="n">
        <f aca="false">L157-L158-L159-L162-L154-L163+L164</f>
        <v>321.765436726236</v>
      </c>
    </row>
    <row r="166" customFormat="false" ht="15" hidden="false" customHeight="false" outlineLevel="0" collapsed="false">
      <c r="A166" s="7" t="s">
        <v>128</v>
      </c>
      <c r="B166" s="21" t="n">
        <f aca="false">B165</f>
        <v>-463.750173045333</v>
      </c>
      <c r="C166" s="21" t="n">
        <f aca="false">B166+C165</f>
        <v>-959.828835902917</v>
      </c>
      <c r="D166" s="21" t="n">
        <f aca="false">C166+D165</f>
        <v>-751.514240500882</v>
      </c>
      <c r="E166" s="21" t="n">
        <f aca="false">D166+E165</f>
        <v>-501.58521016734</v>
      </c>
      <c r="F166" s="21" t="n">
        <f aca="false">E166+F165</f>
        <v>-249.406179833798</v>
      </c>
      <c r="G166" s="21" t="n">
        <f aca="false">F166+G165</f>
        <v>2.77285049974375</v>
      </c>
      <c r="H166" s="21" t="n">
        <f aca="false">G166+H165</f>
        <v>254.951880833286</v>
      </c>
      <c r="I166" s="21" t="n">
        <f aca="false">H166+I165</f>
        <v>507.130911166828</v>
      </c>
      <c r="J166" s="21" t="n">
        <f aca="false">I166+J165</f>
        <v>759.30994150037</v>
      </c>
      <c r="K166" s="21" t="n">
        <f aca="false">J166+K165</f>
        <v>1011.48897183391</v>
      </c>
      <c r="L166" s="21" t="n">
        <f aca="false">K166+L165</f>
        <v>1333.25440856015</v>
      </c>
    </row>
    <row r="167" customFormat="false" ht="15" hidden="false" customHeight="false" outlineLevel="0" collapsed="false">
      <c r="A167" s="2" t="s">
        <v>129</v>
      </c>
      <c r="B167" s="24" t="n">
        <v>0</v>
      </c>
      <c r="C167" s="24" t="n">
        <f aca="false">IF(AND(B166&lt;0,C166&gt;=0),B$25+(-B166)/C165,0)</f>
        <v>0</v>
      </c>
      <c r="D167" s="24" t="n">
        <f aca="false">IF(AND(C166&lt;0,D166&gt;=0),C$25+(-C166)/D165,0)</f>
        <v>0</v>
      </c>
      <c r="E167" s="24" t="n">
        <f aca="false">IF(AND(D166&lt;0,E166&gt;=0),D$25+(-D166)/E165,0)</f>
        <v>0</v>
      </c>
      <c r="F167" s="24" t="n">
        <f aca="false">IF(AND(E166&lt;0,F166&gt;=0),E$25+(-E166)/F165,0)</f>
        <v>0</v>
      </c>
      <c r="G167" s="24" t="n">
        <f aca="false">IF(AND(F166&lt;0,G166&gt;=0),F$25+(-F166)/G165,0)</f>
        <v>4.98900443666519</v>
      </c>
      <c r="H167" s="24" t="n">
        <f aca="false">IF(AND(G166&lt;0,H166&gt;=0),G$25+(-G166)/H165,0)</f>
        <v>0</v>
      </c>
      <c r="I167" s="24" t="n">
        <f aca="false">IF(AND(H166&lt;0,I166&gt;=0),H$25+(-H166)/I165,0)</f>
        <v>0</v>
      </c>
      <c r="J167" s="24" t="n">
        <f aca="false">IF(AND(I166&lt;0,J166&gt;=0),I$25+(-I166)/J165,0)</f>
        <v>0</v>
      </c>
      <c r="K167" s="24" t="n">
        <f aca="false">IF(AND(J166&lt;0,K166&gt;=0),J$25+(-J166)/K165,0)</f>
        <v>0</v>
      </c>
      <c r="L167" s="24" t="n">
        <f aca="false">IF(AND(K166&lt;0,L166&gt;=0),K$25+(-K166)/L165,0)</f>
        <v>0</v>
      </c>
    </row>
    <row r="168" customFormat="false" ht="15" hidden="false" customHeight="false" outlineLevel="0" collapsed="false">
      <c r="A168" s="7" t="s">
        <v>130</v>
      </c>
      <c r="B168" s="21" t="n">
        <f aca="false">Quesería!$B$23*B154</f>
        <v>324.625121131733</v>
      </c>
      <c r="C168" s="21" t="n">
        <f aca="false">Quesería!$B$23*C154</f>
        <v>402.782128018667</v>
      </c>
      <c r="D168" s="21" t="n">
        <f aca="false">Quesería!$B$23*D154</f>
        <v>0</v>
      </c>
      <c r="E168" s="21" t="n">
        <f aca="false">Quesería!$B$23*E154</f>
        <v>0</v>
      </c>
      <c r="F168" s="21" t="n">
        <f aca="false">Quesería!$B$23*F154</f>
        <v>0</v>
      </c>
      <c r="G168" s="21" t="n">
        <f aca="false">Quesería!$B$23*G154</f>
        <v>0</v>
      </c>
      <c r="H168" s="21" t="n">
        <f aca="false">Quesería!$B$23*H154</f>
        <v>0</v>
      </c>
      <c r="I168" s="21" t="n">
        <f aca="false">Quesería!$B$23*I154</f>
        <v>0</v>
      </c>
      <c r="J168" s="21" t="n">
        <f aca="false">Quesería!$B$23*J154</f>
        <v>0</v>
      </c>
      <c r="K168" s="21" t="n">
        <f aca="false">Quesería!$B$23*K154</f>
        <v>0</v>
      </c>
      <c r="L168" s="21" t="n">
        <f aca="false">Quesería!$B$23*L154</f>
        <v>0</v>
      </c>
    </row>
    <row r="169" customFormat="false" ht="15" hidden="false" customHeight="false" outlineLevel="0" collapsed="false">
      <c r="A169" s="7" t="s">
        <v>131</v>
      </c>
      <c r="B169" s="21" t="n">
        <f aca="false">IF(AND(B$25&gt;0,B$25&lt;=0+Quesería!$B$25),$H$12*((Quesería!$B$23*$B$154)-(Quesería!$B$23*$B$154)/(Quesería!$B$25-Quesería!$B$26)*MAX(0,MIN(B$25-1-0-Quesería!$B$26,(Quesería!$B$25-Quesería!$B$26)))),0)+IF(AND(B$25&gt;1,B$25&lt;=1+Quesería!$B$25),$H$12*((Quesería!$B$23*$C$154)-(Quesería!$B$23*$C$154)/(Quesería!$B$25-Quesería!$B$26)*MAX(0,MIN(B$25-1-1-Quesería!$B$26,(Quesería!$B$25-Quesería!$B$26)))),0)</f>
        <v>0</v>
      </c>
      <c r="C169" s="21" t="n">
        <f aca="false">IF(AND(C$25&gt;0,C$25&lt;=0+Quesería!$B$25),$H$12*((Quesería!$B$23*$B$154)-(Quesería!$B$23*$B$154)/(Quesería!$B$25-Quesería!$B$26)*MAX(0,MIN(C$25-1-0-Quesería!$B$26,(Quesería!$B$25-Quesería!$B$26)))),0)+IF(AND(C$25&gt;1,C$25&lt;=1+Quesería!$B$25),$H$12*((Quesería!$B$23*$C$154)-(Quesería!$B$23*$C$154)/(Quesería!$B$25-Quesería!$B$26)*MAX(0,MIN(C$25-1-1-Quesería!$B$26,(Quesería!$B$25-Quesería!$B$26)))),0)</f>
        <v>50.9661440176821</v>
      </c>
      <c r="D169" s="21" t="n">
        <f aca="false">IF(AND(D$25&gt;0,D$25&lt;=0+Quesería!$B$25),$H$12*((Quesería!$B$23*$B$154)-(Quesería!$B$23*$B$154)/(Quesería!$B$25-Quesería!$B$26)*MAX(0,MIN(D$25-1-0-Quesería!$B$26,(Quesería!$B$25-Quesería!$B$26)))),0)+IF(AND(D$25&gt;1,D$25&lt;=1+Quesería!$B$25),$H$12*((Quesería!$B$23*$C$154)-(Quesería!$B$23*$C$154)/(Quesería!$B$25-Quesería!$B$26)*MAX(0,MIN(D$25-1-1-Quesería!$B$26,(Quesería!$B$25-Quesería!$B$26)))),0)</f>
        <v>114.202938116613</v>
      </c>
      <c r="E169" s="21" t="n">
        <f aca="false">IF(AND(E$25&gt;0,E$25&lt;=0+Quesería!$B$25),$H$12*((Quesería!$B$23*$B$154)-(Quesería!$B$23*$B$154)/(Quesería!$B$25-Quesería!$B$26)*MAX(0,MIN(E$25-1-0-Quesería!$B$26,(Quesería!$B$25-Quesería!$B$26)))),0)+IF(AND(E$25&gt;1,E$25&lt;=1+Quesería!$B$25),$H$12*((Quesería!$B$23*$C$154)-(Quesería!$B$23*$C$154)/(Quesería!$B$25-Quesería!$B$26)*MAX(0,MIN(E$25-1-1-Quesería!$B$26,(Quesería!$B$25-Quesería!$B$26)))),0)</f>
        <v>105.708580780332</v>
      </c>
      <c r="F169" s="21" t="n">
        <f aca="false">IF(AND(F$25&gt;0,F$25&lt;=0+Quesería!$B$25),$H$12*((Quesería!$B$23*$B$154)-(Quesería!$B$23*$B$154)/(Quesería!$B$25-Quesería!$B$26)*MAX(0,MIN(F$25-1-0-Quesería!$B$26,(Quesería!$B$25-Quesería!$B$26)))),0)+IF(AND(F$25&gt;1,F$25&lt;=1+Quesería!$B$25),$H$12*((Quesería!$B$23*$C$154)-(Quesería!$B$23*$C$154)/(Quesería!$B$25-Quesería!$B$26)*MAX(0,MIN(F$25-1-1-Quesería!$B$26,(Quesería!$B$25-Quesería!$B$26)))),0)</f>
        <v>86.674757760897</v>
      </c>
      <c r="G169" s="21" t="n">
        <f aca="false">IF(AND(G$25&gt;0,G$25&lt;=0+Quesería!$B$25),$H$12*((Quesería!$B$23*$B$154)-(Quesería!$B$23*$B$154)/(Quesería!$B$25-Quesería!$B$26)*MAX(0,MIN(G$25-1-0-Quesería!$B$26,(Quesería!$B$25-Quesería!$B$26)))),0)+IF(AND(G$25&gt;1,G$25&lt;=1+Quesería!$B$25),$H$12*((Quesería!$B$23*$C$154)-(Quesería!$B$23*$C$154)/(Quesería!$B$25-Quesería!$B$26)*MAX(0,MIN(G$25-1-1-Quesería!$B$26,(Quesería!$B$25-Quesería!$B$26)))),0)</f>
        <v>67.6409347414615</v>
      </c>
      <c r="H169" s="21" t="n">
        <f aca="false">IF(AND(H$25&gt;0,H$25&lt;=0+Quesería!$B$25),$H$12*((Quesería!$B$23*$B$154)-(Quesería!$B$23*$B$154)/(Quesería!$B$25-Quesería!$B$26)*MAX(0,MIN(H$25-1-0-Quesería!$B$26,(Quesería!$B$25-Quesería!$B$26)))),0)+IF(AND(H$25&gt;1,H$25&lt;=1+Quesería!$B$25),$H$12*((Quesería!$B$23*$C$154)-(Quesería!$B$23*$C$154)/(Quesería!$B$25-Quesería!$B$26)*MAX(0,MIN(H$25-1-1-Quesería!$B$26,(Quesería!$B$25-Quesería!$B$26)))),0)</f>
        <v>48.6071117220261</v>
      </c>
      <c r="I169" s="21" t="n">
        <f aca="false">IF(AND(I$25&gt;0,I$25&lt;=0+Quesería!$B$25),$H$12*((Quesería!$B$23*$B$154)-(Quesería!$B$23*$B$154)/(Quesería!$B$25-Quesería!$B$26)*MAX(0,MIN(I$25-1-0-Quesería!$B$26,(Quesería!$B$25-Quesería!$B$26)))),0)+IF(AND(I$25&gt;1,I$25&lt;=1+Quesería!$B$25),$H$12*((Quesería!$B$23*$C$154)-(Quesería!$B$23*$C$154)/(Quesería!$B$25-Quesería!$B$26)*MAX(0,MIN(I$25-1-1-Quesería!$B$26,(Quesería!$B$25-Quesería!$B$26)))),0)</f>
        <v>29.5732887025906</v>
      </c>
      <c r="J169" s="21" t="n">
        <f aca="false">IF(AND(J$25&gt;0,J$25&lt;=0+Quesería!$B$25),$H$12*((Quesería!$B$23*$B$154)-(Quesería!$B$23*$B$154)/(Quesería!$B$25-Quesería!$B$26)*MAX(0,MIN(J$25-1-0-Quesería!$B$26,(Quesería!$B$25-Quesería!$B$26)))),0)+IF(AND(J$25&gt;1,J$25&lt;=1+Quesería!$B$25),$H$12*((Quesería!$B$23*$C$154)-(Quesería!$B$23*$C$154)/(Quesería!$B$25-Quesería!$B$26)*MAX(0,MIN(J$25-1-1-Quesería!$B$26,(Quesería!$B$25-Quesería!$B$26)))),0)</f>
        <v>10.5394656831551</v>
      </c>
      <c r="K169" s="21" t="n">
        <f aca="false">IF(AND(K$25&gt;0,K$25&lt;=0+Quesería!$B$25),$H$12*((Quesería!$B$23*$B$154)-(Quesería!$B$23*$B$154)/(Quesería!$B$25-Quesería!$B$26)*MAX(0,MIN(K$25-1-0-Quesería!$B$26,(Quesería!$B$25-Quesería!$B$26)))),0)+IF(AND(K$25&gt;1,K$25&lt;=1+Quesería!$B$25),$H$12*((Quesería!$B$23*$C$154)-(Quesería!$B$23*$C$154)/(Quesería!$B$25-Quesería!$B$26)*MAX(0,MIN(K$25-1-1-Quesería!$B$26,(Quesería!$B$25-Quesería!$B$26)))),0)</f>
        <v>0</v>
      </c>
      <c r="L169" s="21" t="n">
        <f aca="false">IF(AND(L$25&gt;0,L$25&lt;=0+Quesería!$B$25),$H$12*((Quesería!$B$23*$B$154)-(Quesería!$B$23*$B$154)/(Quesería!$B$25-Quesería!$B$26)*MAX(0,MIN(L$25-1-0-Quesería!$B$26,(Quesería!$B$25-Quesería!$B$26)))),0)+IF(AND(L$25&gt;1,L$25&lt;=1+Quesería!$B$25),$H$12*((Quesería!$B$23*$C$154)-(Quesería!$B$23*$C$154)/(Quesería!$B$25-Quesería!$B$26)*MAX(0,MIN(L$25-1-1-Quesería!$B$26,(Quesería!$B$25-Quesería!$B$26)))),0)</f>
        <v>0</v>
      </c>
    </row>
    <row r="170" customFormat="false" ht="15" hidden="false" customHeight="false" outlineLevel="0" collapsed="false">
      <c r="A170" s="7" t="s">
        <v>132</v>
      </c>
      <c r="B170" s="21" t="n">
        <f aca="false">IF(AND(B$25&gt;0+Quesería!$B$26,B$25&lt;=0+Quesería!$B$25),(Quesería!$B$23*$B$154)/(Quesería!$B$25-Quesería!$B$26),0)+IF(AND(B$25&gt;1+Quesería!$B$26,B$25&lt;=1+Quesería!$B$25),(Quesería!$B$23*$C$154)/(Quesería!$B$25-Quesería!$B$26),0)</f>
        <v>0</v>
      </c>
      <c r="C170" s="21" t="n">
        <f aca="false">IF(AND(C$25&gt;0+Quesería!$B$26,C$25&lt;=0+Quesería!$B$25),(Quesería!$B$23*$B$154)/(Quesería!$B$25-Quesería!$B$26),0)+IF(AND(C$25&gt;1+Quesería!$B$26,C$25&lt;=1+Quesería!$B$25),(Quesería!$B$23*$C$154)/(Quesería!$B$25-Quesería!$B$26),0)</f>
        <v>0</v>
      </c>
      <c r="D170" s="21" t="n">
        <f aca="false">IF(AND(D$25&gt;0+Quesería!$B$26,D$25&lt;=0+Quesería!$B$25),(Quesería!$B$23*$B$154)/(Quesería!$B$25-Quesería!$B$26),0)+IF(AND(D$25&gt;1+Quesería!$B$26,D$25&lt;=1+Quesería!$B$25),(Quesería!$B$23*$C$154)/(Quesería!$B$25-Quesería!$B$26),0)</f>
        <v>54.1041868552889</v>
      </c>
      <c r="E170" s="21" t="n">
        <f aca="false">IF(AND(E$25&gt;0+Quesería!$B$26,E$25&lt;=0+Quesería!$B$25),(Quesería!$B$23*$B$154)/(Quesería!$B$25-Quesería!$B$26),0)+IF(AND(E$25&gt;1+Quesería!$B$26,E$25&lt;=1+Quesería!$B$25),(Quesería!$B$23*$C$154)/(Quesería!$B$25-Quesería!$B$26),0)</f>
        <v>121.234541525067</v>
      </c>
      <c r="F170" s="21" t="n">
        <f aca="false">IF(AND(F$25&gt;0+Quesería!$B$26,F$25&lt;=0+Quesería!$B$25),(Quesería!$B$23*$B$154)/(Quesería!$B$25-Quesería!$B$26),0)+IF(AND(F$25&gt;1+Quesería!$B$26,F$25&lt;=1+Quesería!$B$25),(Quesería!$B$23*$C$154)/(Quesería!$B$25-Quesería!$B$26),0)</f>
        <v>121.234541525067</v>
      </c>
      <c r="G170" s="21" t="n">
        <f aca="false">IF(AND(G$25&gt;0+Quesería!$B$26,G$25&lt;=0+Quesería!$B$25),(Quesería!$B$23*$B$154)/(Quesería!$B$25-Quesería!$B$26),0)+IF(AND(G$25&gt;1+Quesería!$B$26,G$25&lt;=1+Quesería!$B$25),(Quesería!$B$23*$C$154)/(Quesería!$B$25-Quesería!$B$26),0)</f>
        <v>121.234541525067</v>
      </c>
      <c r="H170" s="21" t="n">
        <f aca="false">IF(AND(H$25&gt;0+Quesería!$B$26,H$25&lt;=0+Quesería!$B$25),(Quesería!$B$23*$B$154)/(Quesería!$B$25-Quesería!$B$26),0)+IF(AND(H$25&gt;1+Quesería!$B$26,H$25&lt;=1+Quesería!$B$25),(Quesería!$B$23*$C$154)/(Quesería!$B$25-Quesería!$B$26),0)</f>
        <v>121.234541525067</v>
      </c>
      <c r="I170" s="21" t="n">
        <f aca="false">IF(AND(I$25&gt;0+Quesería!$B$26,I$25&lt;=0+Quesería!$B$25),(Quesería!$B$23*$B$154)/(Quesería!$B$25-Quesería!$B$26),0)+IF(AND(I$25&gt;1+Quesería!$B$26,I$25&lt;=1+Quesería!$B$25),(Quesería!$B$23*$C$154)/(Quesería!$B$25-Quesería!$B$26),0)</f>
        <v>121.234541525067</v>
      </c>
      <c r="J170" s="21" t="n">
        <f aca="false">IF(AND(J$25&gt;0+Quesería!$B$26,J$25&lt;=0+Quesería!$B$25),(Quesería!$B$23*$B$154)/(Quesería!$B$25-Quesería!$B$26),0)+IF(AND(J$25&gt;1+Quesería!$B$26,J$25&lt;=1+Quesería!$B$25),(Quesería!$B$23*$C$154)/(Quesería!$B$25-Quesería!$B$26),0)</f>
        <v>67.1303546697778</v>
      </c>
      <c r="K170" s="21" t="n">
        <f aca="false">IF(AND(K$25&gt;0+Quesería!$B$26,K$25&lt;=0+Quesería!$B$25),(Quesería!$B$23*$B$154)/(Quesería!$B$25-Quesería!$B$26),0)+IF(AND(K$25&gt;1+Quesería!$B$26,K$25&lt;=1+Quesería!$B$25),(Quesería!$B$23*$C$154)/(Quesería!$B$25-Quesería!$B$26),0)</f>
        <v>0</v>
      </c>
      <c r="L170" s="21" t="n">
        <f aca="false">IF(AND(L$25&gt;0+Quesería!$B$26,L$25&lt;=0+Quesería!$B$25),(Quesería!$B$23*$B$154)/(Quesería!$B$25-Quesería!$B$26),0)+IF(AND(L$25&gt;1+Quesería!$B$26,L$25&lt;=1+Quesería!$B$25),(Quesería!$B$23*$C$154)/(Quesería!$B$25-Quesería!$B$26),0)</f>
        <v>0</v>
      </c>
    </row>
    <row r="171" customFormat="false" ht="15" hidden="false" customHeight="false" outlineLevel="0" collapsed="false">
      <c r="A171" s="7" t="s">
        <v>133</v>
      </c>
      <c r="B171" s="21" t="n">
        <f aca="false">Quesería!$B$7*B169</f>
        <v>0</v>
      </c>
      <c r="C171" s="21" t="n">
        <f aca="false">Quesería!$B$7*C169</f>
        <v>17.8381504061887</v>
      </c>
      <c r="D171" s="21" t="n">
        <f aca="false">Quesería!$B$7*D169</f>
        <v>39.9710283408145</v>
      </c>
      <c r="E171" s="21" t="n">
        <f aca="false">Quesería!$B$7*E169</f>
        <v>36.9980032731163</v>
      </c>
      <c r="F171" s="21" t="n">
        <f aca="false">Quesería!$B$7*F169</f>
        <v>30.3361652163139</v>
      </c>
      <c r="G171" s="21" t="n">
        <f aca="false">Quesería!$B$7*G169</f>
        <v>23.6743271595115</v>
      </c>
      <c r="H171" s="21" t="n">
        <f aca="false">Quesería!$B$7*H169</f>
        <v>17.0124891027091</v>
      </c>
      <c r="I171" s="21" t="n">
        <f aca="false">Quesería!$B$7*I169</f>
        <v>10.3506510459067</v>
      </c>
      <c r="J171" s="21" t="n">
        <f aca="false">Quesería!$B$7*J169</f>
        <v>3.68881298910429</v>
      </c>
      <c r="K171" s="21" t="n">
        <f aca="false">Quesería!$B$7*K169</f>
        <v>0</v>
      </c>
      <c r="L171" s="21" t="n">
        <f aca="false">Quesería!$B$7*L169</f>
        <v>0</v>
      </c>
    </row>
    <row r="172" customFormat="false" ht="15" hidden="false" customHeight="false" outlineLevel="0" collapsed="false">
      <c r="A172" s="17" t="s">
        <v>134</v>
      </c>
      <c r="B172" s="23" t="n">
        <f aca="false">B165+B168-B169-B170+B171</f>
        <v>-139.1250519136</v>
      </c>
      <c r="C172" s="23" t="n">
        <f aca="false">C165+C168-C169-C170+C171</f>
        <v>-126.424528450411</v>
      </c>
      <c r="D172" s="23" t="n">
        <f aca="false">D165+D168-D169-D170+D171</f>
        <v>79.9784987709479</v>
      </c>
      <c r="E172" s="23" t="n">
        <f aca="false">E165+E168-E169-E170+E171</f>
        <v>59.9839113012592</v>
      </c>
      <c r="F172" s="23" t="n">
        <f aca="false">F165+F168-F169-F170+F171</f>
        <v>74.6058962638923</v>
      </c>
      <c r="G172" s="23" t="n">
        <f aca="false">G165+G168-G169-G170+G171</f>
        <v>86.9778812265253</v>
      </c>
      <c r="H172" s="23" t="n">
        <f aca="false">H165+H168-H169-H170+H171</f>
        <v>99.3498661891584</v>
      </c>
      <c r="I172" s="23" t="n">
        <f aca="false">I165+I168-I169-I170+I171</f>
        <v>111.721851151791</v>
      </c>
      <c r="J172" s="23" t="n">
        <f aca="false">J165+J168-J169-J170+J171</f>
        <v>178.198022969713</v>
      </c>
      <c r="K172" s="23" t="n">
        <f aca="false">K165+K168-K169-K170+K171</f>
        <v>252.179030333542</v>
      </c>
      <c r="L172" s="23" t="n">
        <f aca="false">L165+L168-L169-L170+L171</f>
        <v>321.765436726236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0" min="2" style="0" width="13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23.8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</row>
    <row r="6" customFormat="false" ht="15" hidden="false" customHeight="false" outlineLevel="0" collapsed="false">
      <c r="A6" s="7" t="s">
        <v>180</v>
      </c>
      <c r="B6" s="37" t="n">
        <v>1.750905</v>
      </c>
      <c r="C6" s="2" t="s">
        <v>181</v>
      </c>
      <c r="D6" s="2" t="s">
        <v>182</v>
      </c>
    </row>
    <row r="7" customFormat="false" ht="15" hidden="false" customHeight="false" outlineLevel="0" collapsed="false">
      <c r="A7" s="7" t="s">
        <v>183</v>
      </c>
      <c r="B7" s="10" t="n">
        <v>182</v>
      </c>
      <c r="C7" s="2" t="s">
        <v>184</v>
      </c>
      <c r="D7" s="2" t="s">
        <v>185</v>
      </c>
    </row>
    <row r="8" customFormat="false" ht="15" hidden="false" customHeight="false" outlineLevel="0" collapsed="false">
      <c r="A8" s="7" t="s">
        <v>186</v>
      </c>
      <c r="B8" s="38" t="n">
        <v>3.6</v>
      </c>
      <c r="C8" s="2" t="s">
        <v>187</v>
      </c>
      <c r="D8" s="2" t="s">
        <v>188</v>
      </c>
    </row>
    <row r="9" customFormat="false" ht="15" hidden="false" customHeight="false" outlineLevel="0" collapsed="false">
      <c r="A9" s="7" t="s">
        <v>189</v>
      </c>
      <c r="B9" s="38" t="n">
        <v>4</v>
      </c>
      <c r="C9" s="2" t="s">
        <v>187</v>
      </c>
      <c r="D9" s="2" t="s">
        <v>190</v>
      </c>
    </row>
    <row r="10" customFormat="false" ht="15" hidden="false" customHeight="false" outlineLevel="0" collapsed="false">
      <c r="A10" s="7" t="s">
        <v>191</v>
      </c>
      <c r="B10" s="39" t="n">
        <v>1.38</v>
      </c>
      <c r="C10" s="2" t="s">
        <v>192</v>
      </c>
      <c r="D10" s="2" t="s">
        <v>193</v>
      </c>
    </row>
    <row r="11" customFormat="false" ht="15" hidden="false" customHeight="false" outlineLevel="0" collapsed="false">
      <c r="A11" s="7" t="s">
        <v>194</v>
      </c>
      <c r="B11" s="9" t="n">
        <v>0.25</v>
      </c>
      <c r="C11" s="2" t="s">
        <v>195</v>
      </c>
      <c r="D11" s="2" t="s">
        <v>196</v>
      </c>
    </row>
    <row r="12" customFormat="false" ht="15" hidden="false" customHeight="false" outlineLevel="0" collapsed="false">
      <c r="A12" s="7" t="s">
        <v>197</v>
      </c>
      <c r="B12" s="9" t="n">
        <v>0.05</v>
      </c>
      <c r="C12" s="2" t="s">
        <v>195</v>
      </c>
      <c r="D12" s="2" t="s">
        <v>198</v>
      </c>
    </row>
    <row r="13" customFormat="false" ht="15" hidden="false" customHeight="false" outlineLevel="0" collapsed="false">
      <c r="A13" s="7" t="s">
        <v>199</v>
      </c>
      <c r="B13" s="9" t="n">
        <v>0.1</v>
      </c>
      <c r="C13" s="2" t="s">
        <v>195</v>
      </c>
      <c r="D13" s="2" t="s">
        <v>200</v>
      </c>
    </row>
    <row r="14" customFormat="false" ht="15" hidden="false" customHeight="false" outlineLevel="0" collapsed="false">
      <c r="A14" s="7" t="s">
        <v>201</v>
      </c>
      <c r="B14" s="9" t="n">
        <v>0.19</v>
      </c>
      <c r="C14" s="2" t="s">
        <v>8</v>
      </c>
      <c r="D14" s="2" t="s">
        <v>202</v>
      </c>
    </row>
    <row r="15" customFormat="false" ht="15" hidden="false" customHeight="false" outlineLevel="0" collapsed="false">
      <c r="A15" s="7" t="s">
        <v>203</v>
      </c>
      <c r="B15" s="9" t="n">
        <v>0.35</v>
      </c>
      <c r="C15" s="2" t="s">
        <v>8</v>
      </c>
      <c r="D15" s="2" t="s">
        <v>204</v>
      </c>
    </row>
    <row r="16" customFormat="false" ht="15" hidden="false" customHeight="false" outlineLevel="0" collapsed="false">
      <c r="A16" s="7" t="s">
        <v>205</v>
      </c>
      <c r="B16" s="9" t="n">
        <v>0.116088</v>
      </c>
      <c r="C16" s="2" t="s">
        <v>206</v>
      </c>
      <c r="D16" s="2" t="s">
        <v>207</v>
      </c>
    </row>
    <row r="17" customFormat="false" ht="15" hidden="false" customHeight="false" outlineLevel="0" collapsed="false">
      <c r="A17" s="7" t="s">
        <v>208</v>
      </c>
      <c r="B17" s="11" t="n">
        <v>0.35</v>
      </c>
      <c r="C17" s="2" t="s">
        <v>209</v>
      </c>
      <c r="D17" s="2" t="s">
        <v>210</v>
      </c>
    </row>
    <row r="18" customFormat="false" ht="15" hidden="false" customHeight="false" outlineLevel="0" collapsed="false">
      <c r="A18" s="7" t="s">
        <v>211</v>
      </c>
      <c r="B18" s="10" t="n">
        <v>6</v>
      </c>
      <c r="C18" s="2" t="s">
        <v>212</v>
      </c>
      <c r="D18" s="2" t="s">
        <v>213</v>
      </c>
    </row>
    <row r="20" customFormat="false" ht="15" hidden="false" customHeight="false" outlineLevel="0" collapsed="false">
      <c r="A20" s="3" t="s">
        <v>214</v>
      </c>
      <c r="B20" s="4"/>
      <c r="C20" s="4"/>
      <c r="D20" s="4"/>
      <c r="E20" s="4"/>
      <c r="F20" s="4"/>
      <c r="G20" s="4"/>
      <c r="H20" s="4"/>
    </row>
    <row r="21" customFormat="false" ht="23.85" hidden="false" customHeight="false" outlineLevel="0" collapsed="false">
      <c r="A21" s="5" t="s">
        <v>215</v>
      </c>
      <c r="B21" s="6" t="s">
        <v>216</v>
      </c>
      <c r="C21" s="6" t="s">
        <v>217</v>
      </c>
      <c r="D21" s="6" t="s">
        <v>218</v>
      </c>
      <c r="E21" s="6" t="s">
        <v>219</v>
      </c>
    </row>
    <row r="22" customFormat="false" ht="15" hidden="false" customHeight="false" outlineLevel="0" collapsed="false">
      <c r="A22" s="7" t="s">
        <v>220</v>
      </c>
      <c r="B22" s="7" t="s">
        <v>221</v>
      </c>
      <c r="C22" s="16" t="n">
        <f aca="false">$B$9*$B$6</f>
        <v>7.00362</v>
      </c>
      <c r="D22" s="16" t="n">
        <f aca="false">C22*$B$10</f>
        <v>9.6649956</v>
      </c>
      <c r="E22" s="40" t="n">
        <f aca="false">D22/$B$7*1000000</f>
        <v>53104.3714285714</v>
      </c>
    </row>
    <row r="23" customFormat="false" ht="15" hidden="false" customHeight="false" outlineLevel="0" collapsed="false">
      <c r="A23" s="7" t="s">
        <v>222</v>
      </c>
      <c r="B23" s="7" t="s">
        <v>223</v>
      </c>
      <c r="C23" s="16" t="n">
        <f aca="false">$B$8*$B$6</f>
        <v>6.303258</v>
      </c>
      <c r="D23" s="16" t="n">
        <f aca="false">C23</f>
        <v>6.303258</v>
      </c>
      <c r="E23" s="40" t="n">
        <f aca="false">D23/$B$7*1000000</f>
        <v>34633.2857142857</v>
      </c>
    </row>
    <row r="24" customFormat="false" ht="15" hidden="false" customHeight="false" outlineLevel="0" collapsed="false">
      <c r="A24" s="7" t="s">
        <v>224</v>
      </c>
      <c r="B24" s="7" t="s">
        <v>223</v>
      </c>
      <c r="C24" s="16" t="n">
        <f aca="false">$B$8*$B$6</f>
        <v>6.303258</v>
      </c>
      <c r="D24" s="16" t="n">
        <f aca="false">C24</f>
        <v>6.303258</v>
      </c>
      <c r="E24" s="40" t="n">
        <f aca="false">D24/$B$7*1000000</f>
        <v>34633.2857142857</v>
      </c>
    </row>
    <row r="25" customFormat="false" ht="15" hidden="false" customHeight="false" outlineLevel="0" collapsed="false">
      <c r="A25" s="7" t="s">
        <v>225</v>
      </c>
      <c r="B25" s="7" t="s">
        <v>223</v>
      </c>
      <c r="C25" s="16" t="n">
        <f aca="false">$B$8*$B$6</f>
        <v>6.303258</v>
      </c>
      <c r="D25" s="16" t="n">
        <f aca="false">C25</f>
        <v>6.303258</v>
      </c>
      <c r="E25" s="40" t="n">
        <f aca="false">D25/$B$7*1000000</f>
        <v>34633.2857142857</v>
      </c>
    </row>
    <row r="26" customFormat="false" ht="15" hidden="false" customHeight="false" outlineLevel="0" collapsed="false">
      <c r="A26" s="7" t="s">
        <v>226</v>
      </c>
      <c r="B26" s="7" t="s">
        <v>223</v>
      </c>
      <c r="C26" s="16" t="n">
        <f aca="false">$B$8*$B$6</f>
        <v>6.303258</v>
      </c>
      <c r="D26" s="16" t="n">
        <f aca="false">C26</f>
        <v>6.303258</v>
      </c>
      <c r="E26" s="40" t="n">
        <f aca="false">D26/$B$7*1000000</f>
        <v>34633.2857142857</v>
      </c>
    </row>
    <row r="27" customFormat="false" ht="15" hidden="false" customHeight="false" outlineLevel="0" collapsed="false">
      <c r="A27" s="2" t="s">
        <v>227</v>
      </c>
    </row>
    <row r="29" customFormat="false" ht="15" hidden="false" customHeight="false" outlineLevel="0" collapsed="false">
      <c r="A29" s="3" t="s">
        <v>228</v>
      </c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5" t="s">
        <v>215</v>
      </c>
      <c r="B30" s="6" t="s">
        <v>229</v>
      </c>
      <c r="C30" s="6" t="s">
        <v>230</v>
      </c>
      <c r="D30" s="6" t="s">
        <v>231</v>
      </c>
      <c r="E30" s="6" t="s">
        <v>232</v>
      </c>
      <c r="F30" s="6" t="s">
        <v>233</v>
      </c>
    </row>
    <row r="31" customFormat="false" ht="15" hidden="false" customHeight="false" outlineLevel="0" collapsed="false">
      <c r="A31" s="7" t="s">
        <v>220</v>
      </c>
      <c r="B31" s="10" t="n">
        <v>1</v>
      </c>
      <c r="C31" s="9" t="n">
        <v>0.45</v>
      </c>
      <c r="D31" s="10" t="n">
        <v>4</v>
      </c>
      <c r="E31" s="40" t="n">
        <f aca="false">B31*C31*D31*$B$7</f>
        <v>327.6</v>
      </c>
      <c r="F31" s="16" t="n">
        <f aca="false">E31*$E$22/1000000</f>
        <v>17.39699208</v>
      </c>
    </row>
    <row r="32" customFormat="false" ht="15" hidden="false" customHeight="false" outlineLevel="0" collapsed="false">
      <c r="A32" s="7" t="s">
        <v>222</v>
      </c>
      <c r="B32" s="10" t="n">
        <v>1</v>
      </c>
      <c r="C32" s="9" t="n">
        <v>0.45</v>
      </c>
      <c r="D32" s="10" t="n">
        <v>4</v>
      </c>
      <c r="E32" s="40" t="n">
        <f aca="false">B32*C32*D32*$B$7</f>
        <v>327.6</v>
      </c>
      <c r="F32" s="16" t="n">
        <f aca="false">E32*$E$23/1000000</f>
        <v>11.3458644</v>
      </c>
    </row>
    <row r="33" customFormat="false" ht="15" hidden="false" customHeight="false" outlineLevel="0" collapsed="false">
      <c r="A33" s="7" t="s">
        <v>224</v>
      </c>
      <c r="B33" s="10" t="n">
        <v>2</v>
      </c>
      <c r="C33" s="9" t="n">
        <v>0.45</v>
      </c>
      <c r="D33" s="10" t="n">
        <v>4</v>
      </c>
      <c r="E33" s="40" t="n">
        <f aca="false">B33*C33*D33*$B$7</f>
        <v>655.2</v>
      </c>
      <c r="F33" s="16" t="n">
        <f aca="false">E33*$E$24/1000000</f>
        <v>22.6917288</v>
      </c>
    </row>
    <row r="34" customFormat="false" ht="15" hidden="false" customHeight="false" outlineLevel="0" collapsed="false">
      <c r="A34" s="7" t="s">
        <v>225</v>
      </c>
      <c r="B34" s="10" t="n">
        <v>1</v>
      </c>
      <c r="C34" s="9" t="n">
        <v>0.45</v>
      </c>
      <c r="D34" s="10" t="n">
        <v>4</v>
      </c>
      <c r="E34" s="40" t="n">
        <f aca="false">B34*C34*D34*$B$7</f>
        <v>327.6</v>
      </c>
      <c r="F34" s="16" t="n">
        <f aca="false">E34*$E$25/1000000</f>
        <v>11.3458644</v>
      </c>
    </row>
    <row r="35" customFormat="false" ht="15" hidden="false" customHeight="false" outlineLevel="0" collapsed="false">
      <c r="A35" s="7" t="s">
        <v>226</v>
      </c>
      <c r="B35" s="10" t="n">
        <v>1</v>
      </c>
      <c r="C35" s="9" t="n">
        <v>0.45</v>
      </c>
      <c r="D35" s="10" t="n">
        <v>4</v>
      </c>
      <c r="E35" s="40" t="n">
        <f aca="false">B35*C35*D35*$B$7</f>
        <v>327.6</v>
      </c>
      <c r="F35" s="16" t="n">
        <f aca="false">E35*$E$26/1000000</f>
        <v>11.3458644</v>
      </c>
    </row>
    <row r="36" customFormat="false" ht="15" hidden="false" customHeight="false" outlineLevel="0" collapsed="false">
      <c r="A36" s="7" t="s">
        <v>234</v>
      </c>
      <c r="F36" s="40" t="n">
        <f aca="false">SUM(E31:E35)</f>
        <v>1965.6</v>
      </c>
    </row>
    <row r="37" customFormat="false" ht="15" hidden="false" customHeight="false" outlineLevel="0" collapsed="false">
      <c r="A37" s="7" t="s">
        <v>235</v>
      </c>
      <c r="F37" s="16" t="n">
        <f aca="false">SUM(F31:F35)</f>
        <v>74.12631408</v>
      </c>
    </row>
    <row r="38" customFormat="false" ht="15" hidden="false" customHeight="false" outlineLevel="0" collapsed="false">
      <c r="A38" s="7" t="s">
        <v>236</v>
      </c>
      <c r="F38" s="16" t="n">
        <f aca="false">16*$B$17</f>
        <v>5.6</v>
      </c>
    </row>
    <row r="39" customFormat="false" ht="15" hidden="false" customHeight="false" outlineLevel="0" collapsed="false">
      <c r="A39" s="7" t="s">
        <v>237</v>
      </c>
      <c r="F39" s="16" t="n">
        <v>10</v>
      </c>
    </row>
    <row r="40" customFormat="false" ht="15" hidden="false" customHeight="false" outlineLevel="0" collapsed="false">
      <c r="A40" s="17" t="s">
        <v>238</v>
      </c>
      <c r="F40" s="18" t="n">
        <f aca="false">$F$37+$F$38+$F$39</f>
        <v>89.72631408</v>
      </c>
    </row>
    <row r="41" customFormat="false" ht="15" hidden="false" customHeight="false" outlineLevel="0" collapsed="false">
      <c r="A41" s="7" t="s">
        <v>239</v>
      </c>
      <c r="F41" s="16" t="n">
        <f aca="false">$B$11*$F$40</f>
        <v>22.43157852</v>
      </c>
    </row>
    <row r="42" customFormat="false" ht="15" hidden="false" customHeight="false" outlineLevel="0" collapsed="false">
      <c r="A42" s="7" t="s">
        <v>240</v>
      </c>
      <c r="F42" s="16" t="n">
        <f aca="false">$B$12*$F$40</f>
        <v>4.486315704</v>
      </c>
    </row>
    <row r="43" customFormat="false" ht="15" hidden="false" customHeight="false" outlineLevel="0" collapsed="false">
      <c r="A43" s="7" t="s">
        <v>241</v>
      </c>
      <c r="F43" s="16" t="n">
        <f aca="false">$B$13*$F$40</f>
        <v>8.972631408</v>
      </c>
    </row>
    <row r="44" customFormat="false" ht="15" hidden="false" customHeight="false" outlineLevel="0" collapsed="false">
      <c r="A44" s="17" t="s">
        <v>242</v>
      </c>
      <c r="F44" s="19" t="n">
        <f aca="false">$F$40+$F$41+$F$42+$F$43</f>
        <v>125.616839712</v>
      </c>
    </row>
    <row r="45" customFormat="false" ht="15" hidden="false" customHeight="false" outlineLevel="0" collapsed="false">
      <c r="A45" s="7" t="s">
        <v>243</v>
      </c>
      <c r="F45" s="16" t="n">
        <f aca="false">$B$14*$F$44</f>
        <v>23.86719954528</v>
      </c>
    </row>
    <row r="46" customFormat="false" ht="15" hidden="false" customHeight="false" outlineLevel="0" collapsed="false">
      <c r="A46" s="17" t="s">
        <v>244</v>
      </c>
      <c r="F46" s="18" t="n">
        <f aca="false">$F$44+$F$45</f>
        <v>149.48403925728</v>
      </c>
    </row>
    <row r="47" customFormat="false" ht="15" hidden="false" customHeight="false" outlineLevel="0" collapsed="false">
      <c r="A47" s="2" t="s">
        <v>245</v>
      </c>
    </row>
    <row r="49" customFormat="false" ht="15" hidden="false" customHeight="false" outlineLevel="0" collapsed="false">
      <c r="A49" s="3" t="s">
        <v>246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5" t="s">
        <v>215</v>
      </c>
      <c r="B50" s="6" t="s">
        <v>229</v>
      </c>
      <c r="C50" s="6" t="s">
        <v>230</v>
      </c>
      <c r="D50" s="6" t="s">
        <v>231</v>
      </c>
      <c r="E50" s="6" t="s">
        <v>232</v>
      </c>
      <c r="F50" s="6" t="s">
        <v>233</v>
      </c>
    </row>
    <row r="51" customFormat="false" ht="15" hidden="false" customHeight="false" outlineLevel="0" collapsed="false">
      <c r="A51" s="7" t="s">
        <v>220</v>
      </c>
      <c r="B51" s="10" t="n">
        <v>1</v>
      </c>
      <c r="C51" s="9" t="n">
        <v>0.25</v>
      </c>
      <c r="D51" s="10" t="n">
        <v>2</v>
      </c>
      <c r="E51" s="40" t="n">
        <f aca="false">B51*C51*D51*$B$7</f>
        <v>91</v>
      </c>
      <c r="F51" s="16" t="n">
        <f aca="false">E51*$E$22/1000000</f>
        <v>4.8324978</v>
      </c>
    </row>
    <row r="52" customFormat="false" ht="15" hidden="false" customHeight="false" outlineLevel="0" collapsed="false">
      <c r="A52" s="7" t="s">
        <v>222</v>
      </c>
      <c r="B52" s="10" t="n">
        <v>1</v>
      </c>
      <c r="C52" s="9" t="n">
        <v>0.5</v>
      </c>
      <c r="D52" s="10" t="n">
        <v>2</v>
      </c>
      <c r="E52" s="40" t="n">
        <f aca="false">B52*C52*D52*$B$7</f>
        <v>182</v>
      </c>
      <c r="F52" s="16" t="n">
        <f aca="false">E52*$E$23/1000000</f>
        <v>6.303258</v>
      </c>
    </row>
    <row r="53" customFormat="false" ht="15" hidden="false" customHeight="false" outlineLevel="0" collapsed="false">
      <c r="A53" s="7" t="s">
        <v>224</v>
      </c>
      <c r="B53" s="10" t="n">
        <v>2</v>
      </c>
      <c r="C53" s="9" t="n">
        <v>0.5</v>
      </c>
      <c r="D53" s="10" t="n">
        <v>2</v>
      </c>
      <c r="E53" s="40" t="n">
        <f aca="false">B53*C53*D53*$B$7</f>
        <v>364</v>
      </c>
      <c r="F53" s="16" t="n">
        <f aca="false">E53*$E$24/1000000</f>
        <v>12.606516</v>
      </c>
    </row>
    <row r="54" customFormat="false" ht="15" hidden="false" customHeight="false" outlineLevel="0" collapsed="false">
      <c r="A54" s="7" t="s">
        <v>225</v>
      </c>
      <c r="B54" s="10" t="n">
        <v>1</v>
      </c>
      <c r="C54" s="9" t="n">
        <v>0.25</v>
      </c>
      <c r="D54" s="10" t="n">
        <v>2</v>
      </c>
      <c r="E54" s="40" t="n">
        <f aca="false">B54*C54*D54*$B$7</f>
        <v>91</v>
      </c>
      <c r="F54" s="16" t="n">
        <f aca="false">E54*$E$25/1000000</f>
        <v>3.151629</v>
      </c>
    </row>
    <row r="55" customFormat="false" ht="15" hidden="false" customHeight="false" outlineLevel="0" collapsed="false">
      <c r="A55" s="7" t="s">
        <v>226</v>
      </c>
      <c r="B55" s="10" t="n">
        <v>1</v>
      </c>
      <c r="C55" s="9" t="n">
        <v>0.1</v>
      </c>
      <c r="D55" s="10" t="n">
        <v>2</v>
      </c>
      <c r="E55" s="40" t="n">
        <f aca="false">B55*C55*D55*$B$7</f>
        <v>36.4</v>
      </c>
      <c r="F55" s="16" t="n">
        <f aca="false">E55*$E$26/1000000</f>
        <v>1.2606516</v>
      </c>
    </row>
    <row r="56" customFormat="false" ht="15" hidden="false" customHeight="false" outlineLevel="0" collapsed="false">
      <c r="A56" s="7" t="s">
        <v>234</v>
      </c>
      <c r="F56" s="40" t="n">
        <f aca="false">SUM(E51:E55)</f>
        <v>764.4</v>
      </c>
    </row>
    <row r="57" customFormat="false" ht="15" hidden="false" customHeight="false" outlineLevel="0" collapsed="false">
      <c r="A57" s="7" t="s">
        <v>235</v>
      </c>
      <c r="F57" s="16" t="n">
        <f aca="false">SUM(F51:F55)</f>
        <v>28.1545524</v>
      </c>
    </row>
    <row r="58" customFormat="false" ht="15" hidden="false" customHeight="false" outlineLevel="0" collapsed="false">
      <c r="A58" s="7" t="s">
        <v>236</v>
      </c>
      <c r="F58" s="16" t="n">
        <f aca="false">8*$B$17</f>
        <v>2.8</v>
      </c>
    </row>
    <row r="59" customFormat="false" ht="15" hidden="false" customHeight="false" outlineLevel="0" collapsed="false">
      <c r="A59" s="7" t="s">
        <v>237</v>
      </c>
      <c r="F59" s="16" t="n">
        <v>2</v>
      </c>
    </row>
    <row r="60" customFormat="false" ht="15" hidden="false" customHeight="false" outlineLevel="0" collapsed="false">
      <c r="A60" s="17" t="s">
        <v>238</v>
      </c>
      <c r="F60" s="18" t="n">
        <f aca="false">$F$57+$F$58+$F$59</f>
        <v>32.9545524</v>
      </c>
    </row>
    <row r="61" customFormat="false" ht="15" hidden="false" customHeight="false" outlineLevel="0" collapsed="false">
      <c r="A61" s="7" t="s">
        <v>239</v>
      </c>
      <c r="F61" s="16" t="n">
        <f aca="false">$B$11*$F$60</f>
        <v>8.2386381</v>
      </c>
    </row>
    <row r="62" customFormat="false" ht="15" hidden="false" customHeight="false" outlineLevel="0" collapsed="false">
      <c r="A62" s="7" t="s">
        <v>240</v>
      </c>
      <c r="F62" s="16" t="n">
        <f aca="false">$B$12*$F$60</f>
        <v>1.64772762</v>
      </c>
    </row>
    <row r="63" customFormat="false" ht="15" hidden="false" customHeight="false" outlineLevel="0" collapsed="false">
      <c r="A63" s="7" t="s">
        <v>241</v>
      </c>
      <c r="F63" s="16" t="n">
        <f aca="false">$B$13*$F$60</f>
        <v>3.29545524</v>
      </c>
    </row>
    <row r="64" customFormat="false" ht="15" hidden="false" customHeight="false" outlineLevel="0" collapsed="false">
      <c r="A64" s="17" t="s">
        <v>242</v>
      </c>
      <c r="F64" s="19" t="n">
        <f aca="false">$F$60+$F$61+$F$62+$F$63</f>
        <v>46.13637336</v>
      </c>
    </row>
    <row r="65" customFormat="false" ht="15" hidden="false" customHeight="false" outlineLevel="0" collapsed="false">
      <c r="A65" s="7" t="s">
        <v>243</v>
      </c>
      <c r="F65" s="16" t="n">
        <f aca="false">$B$14*$F$64</f>
        <v>8.7659109384</v>
      </c>
    </row>
    <row r="66" customFormat="false" ht="15" hidden="false" customHeight="false" outlineLevel="0" collapsed="false">
      <c r="A66" s="17" t="s">
        <v>244</v>
      </c>
      <c r="F66" s="18" t="n">
        <f aca="false">$F$64+$F$65</f>
        <v>54.9022842984</v>
      </c>
    </row>
    <row r="67" customFormat="false" ht="15" hidden="false" customHeight="false" outlineLevel="0" collapsed="false">
      <c r="A67" s="2" t="s">
        <v>247</v>
      </c>
    </row>
    <row r="69" customFormat="false" ht="15" hidden="false" customHeight="false" outlineLevel="0" collapsed="false">
      <c r="A69" s="3" t="s">
        <v>248</v>
      </c>
      <c r="B69" s="4"/>
      <c r="C69" s="4"/>
      <c r="D69" s="4"/>
      <c r="E69" s="4"/>
      <c r="F69" s="4"/>
      <c r="G69" s="4"/>
      <c r="H69" s="4"/>
    </row>
    <row r="70" customFormat="false" ht="15" hidden="false" customHeight="false" outlineLevel="0" collapsed="false">
      <c r="A70" s="5" t="s">
        <v>249</v>
      </c>
      <c r="B70" s="6" t="s">
        <v>250</v>
      </c>
      <c r="C70" s="6" t="s">
        <v>251</v>
      </c>
      <c r="D70" s="6" t="s">
        <v>252</v>
      </c>
    </row>
    <row r="71" customFormat="false" ht="15" hidden="false" customHeight="false" outlineLevel="0" collapsed="false">
      <c r="A71" s="7" t="s">
        <v>253</v>
      </c>
      <c r="B71" s="16" t="n">
        <f aca="false">$F$44</f>
        <v>125.616839712</v>
      </c>
      <c r="C71" s="16" t="n">
        <f aca="false">$F$64</f>
        <v>46.13637336</v>
      </c>
      <c r="D71" s="16" t="n">
        <f aca="false">B71+C71</f>
        <v>171.753213072</v>
      </c>
    </row>
    <row r="72" customFormat="false" ht="15" hidden="false" customHeight="false" outlineLevel="0" collapsed="false">
      <c r="A72" s="7" t="s">
        <v>254</v>
      </c>
      <c r="B72" s="16" t="n">
        <f aca="false">-($F$32+$F$33+$F$34+$F$35)</f>
        <v>-56.729322</v>
      </c>
      <c r="C72" s="16" t="n">
        <f aca="false">-($F$52+$F$53+$F$54+$F$55)</f>
        <v>-23.3220546</v>
      </c>
      <c r="D72" s="16" t="n">
        <f aca="false">B72+C72</f>
        <v>-80.0513766</v>
      </c>
    </row>
    <row r="73" customFormat="false" ht="15" hidden="false" customHeight="false" outlineLevel="0" collapsed="false">
      <c r="A73" s="7" t="s">
        <v>255</v>
      </c>
      <c r="B73" s="16" t="n">
        <f aca="false">-$F$31</f>
        <v>-17.39699208</v>
      </c>
      <c r="C73" s="16" t="n">
        <f aca="false">-$F$51</f>
        <v>-4.8324978</v>
      </c>
      <c r="D73" s="16" t="n">
        <f aca="false">B73+C73</f>
        <v>-22.22948988</v>
      </c>
    </row>
    <row r="74" customFormat="false" ht="15" hidden="false" customHeight="false" outlineLevel="0" collapsed="false">
      <c r="A74" s="7" t="s">
        <v>256</v>
      </c>
      <c r="B74" s="16" t="n">
        <f aca="false">-$F$38</f>
        <v>-5.6</v>
      </c>
      <c r="C74" s="16" t="n">
        <f aca="false">-$F$58</f>
        <v>-2.8</v>
      </c>
      <c r="D74" s="16" t="n">
        <f aca="false">B74+C74</f>
        <v>-8.4</v>
      </c>
    </row>
    <row r="75" customFormat="false" ht="15" hidden="false" customHeight="false" outlineLevel="0" collapsed="false">
      <c r="A75" s="7" t="s">
        <v>257</v>
      </c>
      <c r="B75" s="16" t="n">
        <f aca="false">-$F$39</f>
        <v>-10</v>
      </c>
      <c r="C75" s="16" t="n">
        <f aca="false">-$F$59</f>
        <v>-2</v>
      </c>
      <c r="D75" s="16" t="n">
        <f aca="false">B75+C75</f>
        <v>-12</v>
      </c>
    </row>
    <row r="76" customFormat="false" ht="15" hidden="false" customHeight="false" outlineLevel="0" collapsed="false">
      <c r="A76" s="7" t="s">
        <v>258</v>
      </c>
      <c r="B76" s="16" t="n">
        <f aca="false">-$F$41</f>
        <v>-22.43157852</v>
      </c>
      <c r="C76" s="16" t="n">
        <f aca="false">-$F$61</f>
        <v>-8.2386381</v>
      </c>
      <c r="D76" s="16" t="n">
        <f aca="false">B76+C76</f>
        <v>-30.67021662</v>
      </c>
    </row>
    <row r="77" customFormat="false" ht="15" hidden="false" customHeight="false" outlineLevel="0" collapsed="false">
      <c r="A77" s="7" t="s">
        <v>259</v>
      </c>
      <c r="B77" s="16" t="n">
        <f aca="false">-$F$42</f>
        <v>-4.486315704</v>
      </c>
      <c r="C77" s="16" t="n">
        <f aca="false">-$F$62</f>
        <v>-1.64772762</v>
      </c>
      <c r="D77" s="16" t="n">
        <f aca="false">B77+C77</f>
        <v>-6.134043324</v>
      </c>
    </row>
    <row r="78" customFormat="false" ht="15" hidden="false" customHeight="false" outlineLevel="0" collapsed="false">
      <c r="A78" s="17" t="s">
        <v>260</v>
      </c>
      <c r="B78" s="18" t="n">
        <f aca="false">SUM(B71:B77)</f>
        <v>8.97263140799998</v>
      </c>
      <c r="C78" s="18" t="n">
        <f aca="false">SUM(C71:C77)</f>
        <v>3.29545524000001</v>
      </c>
      <c r="D78" s="18" t="n">
        <f aca="false">B78+C78</f>
        <v>12.268086648</v>
      </c>
    </row>
    <row r="79" customFormat="false" ht="15" hidden="false" customHeight="false" outlineLevel="0" collapsed="false">
      <c r="A79" s="7" t="s">
        <v>261</v>
      </c>
      <c r="B79" s="16" t="n">
        <f aca="false">-$B$15*B78</f>
        <v>-3.14042099279999</v>
      </c>
      <c r="C79" s="16" t="n">
        <f aca="false">-$B$15*C78</f>
        <v>-1.153409334</v>
      </c>
      <c r="D79" s="16" t="n">
        <f aca="false">B79+C79</f>
        <v>-4.2938303268</v>
      </c>
    </row>
    <row r="80" customFormat="false" ht="15" hidden="false" customHeight="false" outlineLevel="0" collapsed="false">
      <c r="A80" s="17" t="s">
        <v>262</v>
      </c>
      <c r="B80" s="18" t="n">
        <f aca="false">B78+B79</f>
        <v>5.83221041519999</v>
      </c>
      <c r="C80" s="18" t="n">
        <f aca="false">C78+C79</f>
        <v>2.14204590600001</v>
      </c>
      <c r="D80" s="18" t="n">
        <f aca="false">B80+C80</f>
        <v>7.97425632119999</v>
      </c>
    </row>
    <row r="81" customFormat="false" ht="15" hidden="false" customHeight="false" outlineLevel="0" collapsed="false">
      <c r="A81" s="7" t="s">
        <v>263</v>
      </c>
      <c r="B81" s="16" t="n">
        <f aca="false">B80/$B$18</f>
        <v>0.972035069199998</v>
      </c>
      <c r="C81" s="16" t="n">
        <f aca="false">C80/$B$18</f>
        <v>0.357007651000001</v>
      </c>
      <c r="D81" s="16" t="n">
        <f aca="false">B81+C81</f>
        <v>1.3290427202</v>
      </c>
    </row>
    <row r="82" customFormat="false" ht="15" hidden="false" customHeight="false" outlineLevel="0" collapsed="false">
      <c r="A82" s="2" t="s">
        <v>264</v>
      </c>
    </row>
    <row r="84" customFormat="false" ht="15" hidden="false" customHeight="false" outlineLevel="0" collapsed="false">
      <c r="A84" s="3" t="s">
        <v>265</v>
      </c>
      <c r="B84" s="4"/>
      <c r="C84" s="4"/>
      <c r="D84" s="4"/>
      <c r="E84" s="4"/>
      <c r="F84" s="4"/>
      <c r="G84" s="4"/>
      <c r="H84" s="4"/>
    </row>
    <row r="85" customFormat="false" ht="23.85" hidden="false" customHeight="false" outlineLevel="0" collapsed="false">
      <c r="A85" s="5" t="s">
        <v>266</v>
      </c>
      <c r="B85" s="6" t="s">
        <v>232</v>
      </c>
      <c r="C85" s="6" t="s">
        <v>267</v>
      </c>
      <c r="D85" s="6" t="s">
        <v>268</v>
      </c>
      <c r="E85" s="6" t="s">
        <v>269</v>
      </c>
      <c r="F85" s="6" t="s">
        <v>270</v>
      </c>
    </row>
    <row r="86" customFormat="false" ht="15" hidden="false" customHeight="false" outlineLevel="0" collapsed="false">
      <c r="A86" s="7" t="s">
        <v>220</v>
      </c>
      <c r="B86" s="40" t="n">
        <f aca="false">(E31+E51)/1</f>
        <v>418.6</v>
      </c>
      <c r="C86" s="16" t="n">
        <f aca="false">B86*$B$9*$B$6/$B$7</f>
        <v>16.108326</v>
      </c>
      <c r="D86" s="16" t="n">
        <v>0</v>
      </c>
      <c r="E86" s="16" t="n">
        <f aca="false">$D$81</f>
        <v>1.3290427202</v>
      </c>
      <c r="F86" s="18" t="n">
        <f aca="false">C86+D86+E86</f>
        <v>17.4373687202</v>
      </c>
    </row>
    <row r="87" customFormat="false" ht="15" hidden="false" customHeight="false" outlineLevel="0" collapsed="false">
      <c r="A87" s="7" t="s">
        <v>222</v>
      </c>
      <c r="B87" s="40" t="n">
        <f aca="false">(E32+E52)/1</f>
        <v>509.6</v>
      </c>
      <c r="C87" s="16" t="n">
        <f aca="false">(F32+F52)/1</f>
        <v>17.6491224</v>
      </c>
      <c r="D87" s="16" t="n">
        <f aca="false">-$B$16*C87</f>
        <v>-2.0488513211712</v>
      </c>
      <c r="E87" s="16" t="n">
        <f aca="false">$D$81</f>
        <v>1.3290427202</v>
      </c>
      <c r="F87" s="18" t="n">
        <f aca="false">C87+D87+E87</f>
        <v>16.9293137990288</v>
      </c>
    </row>
    <row r="88" customFormat="false" ht="15" hidden="false" customHeight="false" outlineLevel="0" collapsed="false">
      <c r="A88" s="7" t="s">
        <v>271</v>
      </c>
      <c r="B88" s="40" t="n">
        <f aca="false">(E33+E53)/2</f>
        <v>509.6</v>
      </c>
      <c r="C88" s="16" t="n">
        <f aca="false">(F33+F53)/2</f>
        <v>17.6491224</v>
      </c>
      <c r="D88" s="16" t="n">
        <f aca="false">-$B$16*C88</f>
        <v>-2.0488513211712</v>
      </c>
      <c r="E88" s="16" t="n">
        <f aca="false">$D$81</f>
        <v>1.3290427202</v>
      </c>
      <c r="F88" s="18" t="n">
        <f aca="false">C88+D88+E88</f>
        <v>16.9293137990288</v>
      </c>
    </row>
    <row r="89" customFormat="false" ht="15" hidden="false" customHeight="false" outlineLevel="0" collapsed="false">
      <c r="A89" s="7" t="s">
        <v>225</v>
      </c>
      <c r="B89" s="40" t="n">
        <f aca="false">(E34+E54)/1</f>
        <v>418.6</v>
      </c>
      <c r="C89" s="16" t="n">
        <f aca="false">(F34+F54)/1</f>
        <v>14.4974934</v>
      </c>
      <c r="D89" s="16" t="n">
        <f aca="false">-$B$16*C89</f>
        <v>-1.6829850138192</v>
      </c>
      <c r="E89" s="16" t="n">
        <f aca="false">$D$81</f>
        <v>1.3290427202</v>
      </c>
      <c r="F89" s="18" t="n">
        <f aca="false">C89+D89+E89</f>
        <v>14.1435511063808</v>
      </c>
    </row>
    <row r="90" customFormat="false" ht="15" hidden="false" customHeight="false" outlineLevel="0" collapsed="false">
      <c r="A90" s="7" t="s">
        <v>226</v>
      </c>
      <c r="B90" s="40" t="n">
        <f aca="false">(E35+E55)/1</f>
        <v>364</v>
      </c>
      <c r="C90" s="16" t="n">
        <f aca="false">(F35+F55)/1</f>
        <v>12.606516</v>
      </c>
      <c r="D90" s="16" t="n">
        <f aca="false">-$B$16*C90</f>
        <v>-1.463465229408</v>
      </c>
      <c r="E90" s="16" t="n">
        <f aca="false">$D$81</f>
        <v>1.3290427202</v>
      </c>
      <c r="F90" s="18" t="n">
        <f aca="false">C90+D90+E90</f>
        <v>12.472093490792</v>
      </c>
    </row>
    <row r="91" customFormat="false" ht="15" hidden="false" customHeight="false" outlineLevel="0" collapsed="false">
      <c r="A91" s="2" t="s">
        <v>272</v>
      </c>
    </row>
    <row r="93" customFormat="false" ht="15" hidden="false" customHeight="false" outlineLevel="0" collapsed="false">
      <c r="A93" s="3" t="s">
        <v>273</v>
      </c>
      <c r="B93" s="4"/>
      <c r="C93" s="4"/>
      <c r="D93" s="4"/>
      <c r="E93" s="4"/>
      <c r="F93" s="4"/>
      <c r="G93" s="4"/>
      <c r="H93" s="4"/>
    </row>
    <row r="94" customFormat="false" ht="15" hidden="false" customHeight="false" outlineLevel="0" collapsed="false">
      <c r="A94" s="5" t="s">
        <v>274</v>
      </c>
      <c r="B94" s="6" t="s">
        <v>275</v>
      </c>
      <c r="C94" s="6" t="s">
        <v>276</v>
      </c>
      <c r="D94" s="6" t="s">
        <v>277</v>
      </c>
      <c r="E94" s="6" t="s">
        <v>278</v>
      </c>
    </row>
    <row r="95" customFormat="false" ht="15" hidden="false" customHeight="false" outlineLevel="0" collapsed="false">
      <c r="A95" s="7" t="s">
        <v>279</v>
      </c>
      <c r="B95" s="9" t="n">
        <v>0.3</v>
      </c>
      <c r="C95" s="16" t="n">
        <f aca="false">B95*$F$44</f>
        <v>37.6850519136</v>
      </c>
      <c r="D95" s="16" t="n">
        <f aca="false">B95*$F$46</f>
        <v>44.845211777184</v>
      </c>
      <c r="E95" s="2" t="s">
        <v>280</v>
      </c>
    </row>
    <row r="96" customFormat="false" ht="15" hidden="false" customHeight="false" outlineLevel="0" collapsed="false">
      <c r="A96" s="7" t="s">
        <v>281</v>
      </c>
      <c r="B96" s="9" t="n">
        <v>0.4</v>
      </c>
      <c r="C96" s="16" t="n">
        <f aca="false">B96*$F$44</f>
        <v>50.2467358848</v>
      </c>
      <c r="D96" s="16" t="n">
        <f aca="false">B96*$F$46</f>
        <v>59.793615702912</v>
      </c>
      <c r="E96" s="2" t="s">
        <v>282</v>
      </c>
    </row>
    <row r="97" customFormat="false" ht="15" hidden="false" customHeight="false" outlineLevel="0" collapsed="false">
      <c r="A97" s="7" t="s">
        <v>283</v>
      </c>
      <c r="B97" s="9" t="n">
        <v>0.3</v>
      </c>
      <c r="C97" s="16" t="n">
        <f aca="false">B97*$F$44</f>
        <v>37.6850519136</v>
      </c>
      <c r="D97" s="16" t="n">
        <f aca="false">B97*$F$46</f>
        <v>44.845211777184</v>
      </c>
      <c r="E97" s="2" t="s">
        <v>284</v>
      </c>
    </row>
    <row r="98" customFormat="false" ht="15" hidden="false" customHeight="false" outlineLevel="0" collapsed="false">
      <c r="A98" s="7" t="s">
        <v>285</v>
      </c>
      <c r="B98" s="9" t="n">
        <v>0.5</v>
      </c>
      <c r="C98" s="16" t="n">
        <f aca="false">B98*$F$64</f>
        <v>23.06818668</v>
      </c>
      <c r="D98" s="16" t="n">
        <f aca="false">B98*$F$66</f>
        <v>27.4511421492</v>
      </c>
      <c r="E98" s="2" t="s">
        <v>109</v>
      </c>
    </row>
    <row r="99" customFormat="false" ht="15" hidden="false" customHeight="false" outlineLevel="0" collapsed="false">
      <c r="A99" s="7" t="s">
        <v>286</v>
      </c>
      <c r="B99" s="9" t="n">
        <v>0.5</v>
      </c>
      <c r="C99" s="16" t="n">
        <f aca="false">B99*$F$64</f>
        <v>23.06818668</v>
      </c>
      <c r="D99" s="16" t="n">
        <f aca="false">B99*$F$66</f>
        <v>27.4511421492</v>
      </c>
      <c r="E99" s="2" t="s">
        <v>109</v>
      </c>
    </row>
    <row r="101" customFormat="false" ht="15" hidden="false" customHeight="false" outlineLevel="0" collapsed="false">
      <c r="A101" s="3" t="s">
        <v>287</v>
      </c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0" collapsed="false">
      <c r="A102" s="2" t="s">
        <v>288</v>
      </c>
    </row>
    <row r="103" customFormat="false" ht="15" hidden="false" customHeight="false" outlineLevel="0" collapsed="false">
      <c r="A103" s="2" t="s">
        <v>289</v>
      </c>
    </row>
    <row r="104" customFormat="false" ht="15" hidden="false" customHeight="false" outlineLevel="0" collapsed="false">
      <c r="A104" s="2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2026-10-13T00:55:41Z</dcterms:created>
  <dc:creator>openpyxl</dc:creator>
  <dc:description/>
  <dc:language>en-US</dc:language>
  <cp:lastModifiedBy/>
  <dcterms:modified xsi:type="dcterms:W3CDTF">2026-10-13T00:55:42Z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