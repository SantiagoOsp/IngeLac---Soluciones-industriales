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sheetId="2" state="visible" r:id="rId4"/>
    <sheet name="Quesería" sheetId="3" state="visible" r:id="rId5"/>
    <sheet name="Entorno" sheetId="4" state="visible" r:id="rId6"/>
    <sheet name="Beneficios y costos" sheetId="5" state="visible" r:id="rId7"/>
    <sheet name="Cotizaciones" sheetId="6" state="visible" r:id="rId8"/>
    <sheet name="BOM" sheetId="7" state="visible" r:id="rId9"/>
    <sheet name="Escenarios" sheetId="8" state="visible" r:id="rId10"/>
    <sheet name="Riesgo" sheetId="9" state="visible" r:id="rId11"/>
    <sheet name="Herramientas" sheetId="10" state="visible" r:id="rId12"/>
    <sheet name="Empresa" sheetId="11" state="visible" r:id="rId13"/>
    <sheet name="IntegraMotion" sheetId="12" state="visible" r:id="rId14"/>
    <sheet name="APU" sheetId="13" state="visible" r:id="rId15"/>
    <sheet name="Chequeos" sheetId="14" state="visible" r:id="rId16"/>
  </sheets>
  <definedNames>
    <definedName function="false" hidden="false" localSheetId="1" name="_xlnm.Print_Area" vbProcedure="false">Resumen!$A$1:$L$128</definedName>
    <definedName function="false" hidden="false" localSheetId="1" name="_xlnm.Print_Titles" vbProcedure="false">Resumen!$1:$2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<sst xmlns="http://schemas.openxmlformats.org/spreadsheetml/2006/main" count="4380" uniqueCount="2198">
  <si>
    <t xml:space="preserve">Modelo financiero de la quesería</t>
  </si>
  <si>
    <t xml:space="preserve">Lácteos Fúquene · Oferta de IntegraMotion S.A.S.</t>
  </si>
  <si>
    <t xml:space="preserve">Documento</t>
  </si>
  <si>
    <t xml:space="preserve">Elaboró</t>
  </si>
  <si>
    <t xml:space="preserve">IntegraMotion S.A.S. · Producción y evaluación económica</t>
  </si>
  <si>
    <t xml:space="preserve">Curso</t>
  </si>
  <si>
    <t xml:space="preserve">Automatización de Procesos de Manufactura · 2026-2S · Universidad Nacional de Colombia</t>
  </si>
  <si>
    <t xml:space="preserve">Unidades</t>
  </si>
  <si>
    <t xml:space="preserve">Millones de pesos constantes de 2026, salvo donde se indique</t>
  </si>
  <si>
    <t xml:space="preserve">Estado de los chequeos</t>
  </si>
  <si>
    <t xml:space="preserve">Chequeos en OK</t>
  </si>
  <si>
    <t xml:space="preserve">Resultados de la oferta</t>
  </si>
  <si>
    <t xml:space="preserve">Costo de capital del proyecto</t>
  </si>
  <si>
    <t xml:space="preserve">Crédito de fomento más garantía, después de impuestos, y capital propio al 25 %.</t>
  </si>
  <si>
    <t xml:space="preserve">TIR del proyecto en pesos corrientes</t>
  </si>
  <si>
    <t xml:space="preserve">Se compara con el costo de capital.</t>
  </si>
  <si>
    <t xml:space="preserve">TIR del proyecto en pesos constantes</t>
  </si>
  <si>
    <t xml:space="preserve">Se compara con la tasa real equivalente.</t>
  </si>
  <si>
    <t xml:space="preserve">Tasa real equivalente</t>
  </si>
  <si>
    <t xml:space="preserve">Costo de capital sin la inflación promedio de 2027 a 2037 (hoja Entorno).</t>
  </si>
  <si>
    <t xml:space="preserve">VPN a 10 años al costo de capital ($ M de 2026)</t>
  </si>
  <si>
    <t xml:space="preserve">Valor que crea el proyecto después de pagar el capital.</t>
  </si>
  <si>
    <t xml:space="preserve">Recuperación simple (años)</t>
  </si>
  <si>
    <t xml:space="preserve">Años hasta recuperar la inversión con los flujos sin descontar.</t>
  </si>
  <si>
    <t xml:space="preserve">Recuperación descontada (años)</t>
  </si>
  <si>
    <t xml:space="preserve">Lo mismo, con los flujos descontados al costo de capital.</t>
  </si>
  <si>
    <t xml:space="preserve">TIR del inversionista en pesos corrientes</t>
  </si>
  <si>
    <t xml:space="preserve">Se compara con el 25 % que exige el socio.</t>
  </si>
  <si>
    <t xml:space="preserve">Cobertura mínima del servicio de la deuda</t>
  </si>
  <si>
    <t xml:space="preserve">Del proyecto solo, con el prepago de 10 % del saldo en 2029; la empresa completa en la hoja Empresa.</t>
  </si>
  <si>
    <t xml:space="preserve">VPN si no se obtiene el crédito fiscal por innovación ($ M)</t>
  </si>
  <si>
    <t xml:space="preserve">La oferta incluye la gestión del crédito. Sin la certificación el proyecto todavía crea valor, aunque poco, y el dueño gana menos del 25 % que pide: la gestión es parte de la oferta, no un extra.</t>
  </si>
  <si>
    <t xml:space="preserve">VPN si la primera compuerta no se supera ($ M)</t>
  </si>
  <si>
    <t xml:space="preserve">Se paga el contrato principal completo y las herramientas de la etapa 0, sin comprar equipos. Es la pérdida que se acepta con los ahorros conservadores de la etapa 0; sensibilidad en la hoja Herramientas.</t>
  </si>
  <si>
    <t xml:space="preserve">Deuda total / EBITDA más alta de la empresa</t>
  </si>
  <si>
    <t xml:space="preserve">Con el crédito del proyecto.</t>
  </si>
  <si>
    <t xml:space="preserve">Inversión total ($ M de 2026)</t>
  </si>
  <si>
    <t xml:space="preserve">Con imprevistos, sin IVA.</t>
  </si>
  <si>
    <t xml:space="preserve">Beneficio anual pleno ($ M de 2026)</t>
  </si>
  <si>
    <t xml:space="preserve">A salarios de 2026; los ahorros de mano de obra crecen con el salario mínimo real.</t>
  </si>
  <si>
    <t xml:space="preserve">Contenido</t>
  </si>
  <si>
    <t xml:space="preserve">Resumen</t>
  </si>
  <si>
    <t xml:space="preserve">Los cuadros que se presentan: costo total, costo de ingeniería, cronograma, BOM, beneficios, flujo, indicadores y escenarios.</t>
  </si>
  <si>
    <t xml:space="preserve">Quesería</t>
  </si>
  <si>
    <t xml:space="preserve">Supuestos, inversión, beneficios, flujo de caja, crédito y resultados de la oferta.</t>
  </si>
  <si>
    <t xml:space="preserve">Entorno</t>
  </si>
  <si>
    <t xml:space="preserve">Inflación y salario mínimo de 2027 a 2037 y lectura política y económica, con fuentes.</t>
  </si>
  <si>
    <t xml:space="preserve">Beneficios y costos</t>
  </si>
  <si>
    <t xml:space="preserve">Balance de masa de los quesos, cálculo de cada beneficio, cómo se mide cada uno (matriz de trazabilidad) y costos operativos nuevos (energía, vapor y calibración).</t>
  </si>
  <si>
    <t xml:space="preserve">Cotizaciones</t>
  </si>
  <si>
    <t xml:space="preserve">Precios de referencia de los equipos y tasas de cambio.</t>
  </si>
  <si>
    <t xml:space="preserve">BOM</t>
  </si>
  <si>
    <t xml:space="preserve">Lista de materiales del diseño técnico, valorada ítem por ítem y enlazada a la inversión.</t>
  </si>
  <si>
    <t xml:space="preserve">Escenarios</t>
  </si>
  <si>
    <t xml:space="preserve">La evaluación completa con los supuestos que más mueven el resultado.</t>
  </si>
  <si>
    <t xml:space="preserve">Riesgo</t>
  </si>
  <si>
    <t xml:space="preserve">Punto de equilibrio, gráfico de tornado, escenarios clave y plan de respuesta a los riesgos (señal, estrategia, responsable y recursos).</t>
  </si>
  <si>
    <t xml:space="preserve">Herramientas</t>
  </si>
  <si>
    <t xml:space="preserve">Herramientas económicas una sobre otra, beneficios tributarios y qué pasa si no se aprueban, valor de cada etapa y protecciones en los contratos.</t>
  </si>
  <si>
    <t xml:space="preserve">Empresa</t>
  </si>
  <si>
    <t xml:space="preserve">Efecto en el estado de resultados y el endeudamiento de Lácteos Fúquene.</t>
  </si>
  <si>
    <t xml:space="preserve">IntegraMotion</t>
  </si>
  <si>
    <t xml:space="preserve">Horas y precio del contrato principal y los dos otrosíes por paquete de la EDT, control del contrato principal por valor ganado (curva S), gastos de funcionamiento, entregables y plan de negocio.</t>
  </si>
  <si>
    <t xml:space="preserve">APU</t>
  </si>
  <si>
    <t xml:space="preserve">Análisis de precios unitarios de la ingeniería.</t>
  </si>
  <si>
    <t xml:space="preserve">Chequeos</t>
  </si>
  <si>
    <t xml:space="preserve">Diferencias que deben dar cero.</t>
  </si>
  <si>
    <t xml:space="preserve">Cómo se lee</t>
  </si>
  <si>
    <t xml:space="preserve">Texto azul</t>
  </si>
  <si>
    <t xml:space="preserve">Dato de entrada: se puede cambiar.</t>
  </si>
  <si>
    <t xml:space="preserve">Texto negro</t>
  </si>
  <si>
    <t xml:space="preserve">Fórmula: no se escribe encima.</t>
  </si>
  <si>
    <t xml:space="preserve">Fondo amarillo</t>
  </si>
  <si>
    <t xml:space="preserve">Cifra clave o supuesto que más mueve el resultado.</t>
  </si>
  <si>
    <t xml:space="preserve">Resumen del proyecto: automatización de la quesería de Lácteos Fúquene</t>
  </si>
  <si>
    <t xml:space="preserve">Oferta de IntegraMotion S.A.S. Millones de pesos constantes de 2026, sin IVA, salvo donde se indique. Todas las cifras salen de las demás hojas del modelo.</t>
  </si>
  <si>
    <t xml:space="preserve">Las tres cifras que hay que saber</t>
  </si>
  <si>
    <t xml:space="preserve">Costo total del proyecto</t>
  </si>
  <si>
    <t xml:space="preserve">Costo de ingeniería</t>
  </si>
  <si>
    <t xml:space="preserve">Cronograma</t>
  </si>
  <si>
    <t xml:space="preserve">16 semanas</t>
  </si>
  <si>
    <t xml:space="preserve">Inversión del año 0 (semestre 2026-2 y 2027) y de 2028, con imprevistos: equipos del BOM, ingeniería, ERP, formación y aval.</t>
  </si>
  <si>
    <t xml:space="preserve">Lo que Lácteos Fúquene le paga a IntegraMotion: contrato principal y dos otrosíes.</t>
  </si>
  <si>
    <t xml:space="preserve">Contrato principal en el semestre 2026-2; otrosí 1 en marzo y abril de 2027 y otrosí 2 en 2028, si se superan las compuertas.</t>
  </si>
  <si>
    <t xml:space="preserve">Presupuesto del proyecto (costo para Lácteos Fúquene)</t>
  </si>
  <si>
    <t xml:space="preserve">Rubro ($ M constantes de 2026)</t>
  </si>
  <si>
    <t xml:space="preserve">Año 0: 2026-2 y 2027 (etapas 0 y 1)</t>
  </si>
  <si>
    <t xml:space="preserve">2028 (etapa 2)</t>
  </si>
  <si>
    <t xml:space="preserve">Total</t>
  </si>
  <si>
    <t xml:space="preserve">Equipos, instrumentos, control y herramientas (del BOM)</t>
  </si>
  <si>
    <t xml:space="preserve">Ingeniería de IntegraMotion</t>
  </si>
  <si>
    <t xml:space="preserve">Parametrización del ERP por su proveedor, formación con el SENA y aval del proyecto de innovación</t>
  </si>
  <si>
    <t xml:space="preserve">Imprevistos según la madurez de cada precio</t>
  </si>
  <si>
    <t xml:space="preserve">Comprobación: total − inversión de la hoja Quesería</t>
  </si>
  <si>
    <t xml:space="preserve">Costo de ingeniería por contrato</t>
  </si>
  <si>
    <t xml:space="preserve">Contrato ($ M de 2026, sin reajuste)</t>
  </si>
  <si>
    <t xml:space="preserve">Plazo</t>
  </si>
  <si>
    <t xml:space="preserve">Horas</t>
  </si>
  <si>
    <t xml:space="preserve">Costo para IntegraMotion</t>
  </si>
  <si>
    <t xml:space="preserve">Costo de ingeniería del proyecto</t>
  </si>
  <si>
    <t xml:space="preserve">Con IVA</t>
  </si>
  <si>
    <t xml:space="preserve">Contrato principal: los 19 paquetes de la EDT</t>
  </si>
  <si>
    <t xml:space="preserve">Otrosí 1: implementación de la etapa 1</t>
  </si>
  <si>
    <t xml:space="preserve">2 meses</t>
  </si>
  <si>
    <t xml:space="preserve">Otrosí 2: detalle e implementación de la etapa 2</t>
  </si>
  <si>
    <t xml:space="preserve">Reajuste real de los otrosíes: se liquidan con el salario mínimo del año en que se ejecutan, que sube más que la inflación</t>
  </si>
  <si>
    <t xml:space="preserve">Ingeniería en el presupuesto del proyecto, en pesos constantes de 2026</t>
  </si>
  <si>
    <t xml:space="preserve">Para IntegraMotion, el costo es lo que gasta (honorarios, conocimiento certificado, viajes e instrumentos) y el precio es lo que cobra: costo más administración, imprevistos y utilidad (AIU). Ese precio es el costo de ingeniería del proyecto para Lácteos Fúquene y entra a la inversión.</t>
  </si>
  <si>
    <t xml:space="preserve">Equipos del BOM por rubro</t>
  </si>
  <si>
    <t xml:space="preserve">Rubro</t>
  </si>
  <si>
    <t xml:space="preserve">Etapa</t>
  </si>
  <si>
    <t xml:space="preserve">Ítems</t>
  </si>
  <si>
    <t xml:space="preserve">Valor del BOM</t>
  </si>
  <si>
    <t xml:space="preserve">Parte de la quesería</t>
  </si>
  <si>
    <t xml:space="preserve">A la inversión</t>
  </si>
  <si>
    <t xml:space="preserve">Total que entra a la inversión, sin imprevistos</t>
  </si>
  <si>
    <t xml:space="preserve">Celda de paletizado (se diseña en el contrato principal; su compra es una etapa 3 fuera de la evaluación)</t>
  </si>
  <si>
    <t xml:space="preserve">Beneficios anuales en régimen</t>
  </si>
  <si>
    <t xml:space="preserve">Medida</t>
  </si>
  <si>
    <t xml:space="preserve">Beneficio</t>
  </si>
  <si>
    <t xml:space="preserve">Respaldo (1 a 5)</t>
  </si>
  <si>
    <t xml:space="preserve">Beneficio anual pleno</t>
  </si>
  <si>
    <t xml:space="preserve">Costos operativos nuevos al año (energía, vapor, mantenimiento, suscripciones y póliza)</t>
  </si>
  <si>
    <t xml:space="preserve">Respaldo: 1 contratado, 2 medido, 3 técnicamente justificado, 4 por medir en la etapa 0, 5 hipotético.</t>
  </si>
  <si>
    <t xml:space="preserve">Los doce hallazgos del diagnóstico y dónde se cobra cada uno</t>
  </si>
  <si>
    <t xml:space="preserve">Hallazgo</t>
  </si>
  <si>
    <t xml:space="preserve">Valor para la planta</t>
  </si>
  <si>
    <t xml:space="preserve">A la quesería</t>
  </si>
  <si>
    <t xml:space="preserve">Los hallazgos de yogur y UHT (H2 a H4) no entran en esta oferta: su pérdida de hoy, a precio de venta, es la base de la ampliación a esas líneas con la misma plataforma.</t>
  </si>
  <si>
    <t xml:space="preserve">Flujo de caja (año 0 = semestre 2026-2 y 2027; años 1 a 10 = 2028 a 2037)</t>
  </si>
  <si>
    <t xml:space="preserve">$ M</t>
  </si>
  <si>
    <t xml:space="preserve">2026-27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</si>
  <si>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</si>
  <si>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</si>
  <si>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</si>
  <si>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</si>
  <si>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</si>
  <si>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</si>
  <si>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</si>
  <si>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</si>
  <si>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</si>
  <si>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</si>
  <si>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Beneficios</t>
  </si>
  <si>
    <t xml:space="preserve">− Costos operativos nuevos y transición del personal</t>
  </si>
  <si>
    <t xml:space="preserve">− Impuesto de renta (positivo: descuentos que recibe la empresa)</t>
  </si>
  <si>
    <t xml:space="preserve">− Inversión, reposiciones e IVA</t>
  </si>
  <si>
    <t xml:space="preserve">± Capital de trabajo y valor final de los equipos</t>
  </si>
  <si>
    <t xml:space="preserve">Flujo de caja libre del proyecto</t>
  </si>
  <si>
    <t xml:space="preserve">Flujo del inversionista (con el crédito)</t>
  </si>
  <si>
    <t xml:space="preserve">Cobertura del servicio de la deuda (veces)</t>
  </si>
  <si>
    <t xml:space="preserve">Comprobación: suma de las líneas − flujo de caja libre</t>
  </si>
  <si>
    <t xml:space="preserve">Indicadores de la oferta</t>
  </si>
  <si>
    <t xml:space="preserve">Indicador</t>
  </si>
  <si>
    <t xml:space="preserve">Oferta</t>
  </si>
  <si>
    <t xml:space="preserve">Se compara con</t>
  </si>
  <si>
    <t xml:space="preserve">VPN a 10 años al costo de capital</t>
  </si>
  <si>
    <t xml:space="preserve">mayor que 0</t>
  </si>
  <si>
    <t xml:space="preserve">TIR del inversionista con el crédito</t>
  </si>
  <si>
    <t xml:space="preserve">Recuperación (años)</t>
  </si>
  <si>
    <t xml:space="preserve">10 años de vida</t>
  </si>
  <si>
    <t xml:space="preserve">ROI a 10 años</t>
  </si>
  <si>
    <t xml:space="preserve">Aporte del dueño en el año 0 y en 2028</t>
  </si>
  <si>
    <t xml:space="preserve">Escenarios clave</t>
  </si>
  <si>
    <t xml:space="preserve">Escenario</t>
  </si>
  <si>
    <t xml:space="preserve">VPN</t>
  </si>
  <si>
    <t xml:space="preserve">TIR del proyecto</t>
  </si>
  <si>
    <t xml:space="preserve">TIR del inversionista</t>
  </si>
  <si>
    <t xml:space="preserve">Cobertura</t>
  </si>
  <si>
    <t xml:space="preserve">Sin crédito fiscal por innovación</t>
  </si>
  <si>
    <t xml:space="preserve">Sin reubicación del personal</t>
  </si>
  <si>
    <t xml:space="preserve">Beneficios −20 %</t>
  </si>
  <si>
    <t xml:space="preserve">Inversión +20 %</t>
  </si>
  <si>
    <t xml:space="preserve">Solo etapas 0 y 1</t>
  </si>
  <si>
    <t xml:space="preserve">Conservador</t>
  </si>
  <si>
    <t xml:space="preserve">Conservador con compuerta</t>
  </si>
  <si>
    <t xml:space="preserve">Punto de equilibrio y tornado en la hoja Riesgo; compuertas, pérdida si se sale en la primera compuerta y prepago si no se hace la etapa 2, en la hoja Herramientas.</t>
  </si>
  <si>
    <t xml:space="preserve">Financiación</t>
  </si>
  <si>
    <t xml:space="preserve">Parte financiada con crédito de fomento (Bancóldex, a través del banco de la empresa)</t>
  </si>
  <si>
    <t xml:space="preserve">Tasa efectiva anual</t>
  </si>
  <si>
    <t xml:space="preserve">Plazo, con un año de gracia a capital (años)</t>
  </si>
  <si>
    <t xml:space="preserve">Prepago en 2029 con el crédito fiscal y el IVA recuperado (% del saldo; en reserva)</t>
  </si>
  <si>
    <t xml:space="preserve">Garantía</t>
  </si>
  <si>
    <t xml:space="preserve">Prenda sobre los equipos (Ley 1676 de 2013)</t>
  </si>
  <si>
    <t xml:space="preserve">Crédito fiscal por innovación (art. 256-1 ET), 2028 + 2029</t>
  </si>
  <si>
    <t xml:space="preserve">Modelo financiero de la quesería — Lácteos Fúquene</t>
  </si>
  <si>
    <t xml:space="preserve">Oferta de IntegraMotion S.A.S. Millones de pesos constantes de 2026. Texto azul: datos de entrada; negro: fórmulas; fondo amarillo: cifras clave.</t>
  </si>
  <si>
    <t xml:space="preserve">Supuestos</t>
  </si>
  <si>
    <t xml:space="preserve">Supuesto</t>
  </si>
  <si>
    <t xml:space="preserve">Valor</t>
  </si>
  <si>
    <t xml:space="preserve">Unidad</t>
  </si>
  <si>
    <t xml:space="preserve">Fuente o criterio</t>
  </si>
  <si>
    <t xml:space="preserve">Tasas e inflación</t>
  </si>
  <si>
    <t xml:space="preserve">Ruta de inflación (1 base, 2 consenso de los analistas, 3 persistente)</t>
  </si>
  <si>
    <t xml:space="preserve">ruta</t>
  </si>
  <si>
    <t xml:space="preserve">Hoja Entorno: inflación de cada año de 2027 a 2037.</t>
  </si>
  <si>
    <t xml:space="preserve">Costo de capital de la empresa con su deuda actual</t>
  </si>
  <si>
    <t xml:space="preserve">%</t>
  </si>
  <si>
    <t xml:space="preserve">70 % deuda al 18 % (intereses / deuda de 2026: 252 / 1.400) y 30 % capital propio al 25 %. Es la referencia de la primera entrega.</t>
  </si>
  <si>
    <t xml:space="preserve">Costo de capital del proyecto en pesos corrientes</t>
  </si>
  <si>
    <t xml:space="preserve">Con la deuda que de verdad financia el proyecto: crédito de fomento más la comisión de la garantía, después de impuestos (70 %), y capital propio al 25 % (30 %). Con él se descuentan los flujos.</t>
  </si>
  <si>
    <t xml:space="preserve">El costo de capital sin la inflación promedio de la ruta; con ella se compara la TIR en pesos constantes.</t>
  </si>
  <si>
    <t xml:space="preserve">Rentabilidad que exige el inversionista en pesos corrientes</t>
  </si>
  <si>
    <t xml:space="preserve">Lo que espera ganar el socio por arriesgar su capital.</t>
  </si>
  <si>
    <t xml:space="preserve">Rentabilidad exigida real equivalente</t>
  </si>
  <si>
    <t xml:space="preserve">Misma conversión de la tasa de descuento.</t>
  </si>
  <si>
    <t xml:space="preserve">Operación de la planta y reparto</t>
  </si>
  <si>
    <t xml:space="preserve">Leche de la quesería</t>
  </si>
  <si>
    <t xml:space="preserve">L/día</t>
  </si>
  <si>
    <t xml:space="preserve">Reparto de la leche de la planta.</t>
  </si>
  <si>
    <t xml:space="preserve">Leche de la planta</t>
  </si>
  <si>
    <t xml:space="preserve">Caso de estudio.</t>
  </si>
  <si>
    <t xml:space="preserve">Parte de la quesería en la leche</t>
  </si>
  <si>
    <t xml:space="preserve">Reparte la grasa en línea, el mantenimiento y la etapa 0.</t>
  </si>
  <si>
    <t xml:space="preserve">Ventas de la quesería</t>
  </si>
  <si>
    <t xml:space="preserve">$ M/año</t>
  </si>
  <si>
    <t xml:space="preserve">Caso de estudio (294 días de operación).</t>
  </si>
  <si>
    <t xml:space="preserve">Ventas de la planta</t>
  </si>
  <si>
    <t xml:space="preserve">Parte de la quesería en las ventas</t>
  </si>
  <si>
    <t xml:space="preserve">Reparte la reducción de merma.</t>
  </si>
  <si>
    <t xml:space="preserve">Beneficio del primer año de cada etapa</t>
  </si>
  <si>
    <t xml:space="preserve">% del pleno</t>
  </si>
  <si>
    <t xml:space="preserve">Arranque, ajuste de recetas y formación.</t>
  </si>
  <si>
    <t xml:space="preserve">Meses de operación de la etapa 1 en 2027</t>
  </si>
  <si>
    <t xml:space="preserve">meses</t>
  </si>
  <si>
    <t xml:space="preserve">El contrato principal son las 16 semanas del semestre 2026-2 y cierra con la primera compuerta en diciembre de 2026. Los equipos se compran en enero y el otrosí 1 (montaje y puesta en marcha) va en marzo y abril: la etapa 1 opera desde mayo de 2027. Se cuentan 8 meses con el beneficio de arranque; la compuerta de diciembre de 2027 usa esos datos medidos.</t>
  </si>
  <si>
    <t xml:space="preserve">Costo anual de un operario</t>
  </si>
  <si>
    <t xml:space="preserve">Salario, prestaciones y aportes.</t>
  </si>
  <si>
    <t xml:space="preserve">Meses de traslape mientras se forman los operarios de la hiladora</t>
  </si>
  <si>
    <t xml:space="preserve">Los 2 operarios que se reubican siguen en el hilado hasta que la hiladora opera sola, mientras se forman para su nuevo puesto; la producción no cae en ese tiempo.</t>
  </si>
  <si>
    <t xml:space="preserve">Costo de reemplazar a un operario con alguien de afuera</t>
  </si>
  <si>
    <t xml:space="preserve">% del costo anual</t>
  </si>
  <si>
    <t xml:space="preserve">Reclutamiento, vacante y curva de aprendizaje: 30 a 50 % del salario anual (Semana, febrero de 2026). Se evita al cubrir el puesto con personal de la planta.</t>
  </si>
  <si>
    <t xml:space="preserve">Inversión, imprevistos y reposición</t>
  </si>
  <si>
    <t xml:space="preserve">Imprevistos: precio cerrado (contratos y SENA)</t>
  </si>
  <si>
    <t xml:space="preserve">% del rubro</t>
  </si>
  <si>
    <t xml:space="preserve">Clasificación de estimados AACE 18R-97: la contingencia baja a medida que el precio madura. Solo cubre cambios de alcance.</t>
  </si>
  <si>
    <t xml:space="preserve">Imprevistos: precio publicado de catálogo</t>
  </si>
  <si>
    <t xml:space="preserve">Falta la cotización formal y el flete real.</t>
  </si>
  <si>
    <t xml:space="preserve">Imprevistos: estimado con referencias de mercado</t>
  </si>
  <si>
    <t xml:space="preserve">Equipos con precios de referencia de máquinas parecidas (hoja Cotizaciones).</t>
  </si>
  <si>
    <t xml:space="preserve">Imprevistos: estimado sin cotización</t>
  </si>
  <si>
    <t xml:space="preserve">Estimado de orden de magnitud (clase 4 a 5 de AACE).</t>
  </si>
  <si>
    <t xml:space="preserve">Vida fiscal de maquinaria y equipo</t>
  </si>
  <si>
    <t xml:space="preserve">años</t>
  </si>
  <si>
    <t xml:space="preserve">Línea recta, 10 % anual (art. 137 ET). La de cada rubro está en la tabla de inversión.</t>
  </si>
  <si>
    <t xml:space="preserve">Mantenimiento de equipos nuevos</t>
  </si>
  <si>
    <t xml:space="preserve">% equipos/año</t>
  </si>
  <si>
    <t xml:space="preserve">Práctica de la industria para equipos de proceso.</t>
  </si>
  <si>
    <t xml:space="preserve">Suscripciones de software del SCADA de la quesería</t>
  </si>
  <si>
    <t xml:space="preserve">Licencias de SCADA, historiador y analítica dimensionadas para una línea (12,0) y renovación de la protección del firewall (unos US$1.435 al año, 36 % a la quesería: 1,6).</t>
  </si>
  <si>
    <t xml:space="preserve">Póliza todo riesgo de los equipos nuevos</t>
  </si>
  <si>
    <t xml:space="preserve">El banco la pide endosada a su favor. Supuesto; se cotiza.</t>
  </si>
  <si>
    <t xml:space="preserve">Reposición del hardware del SCADA en el año 5</t>
  </si>
  <si>
    <t xml:space="preserve">% del rubro SCADA</t>
  </si>
  <si>
    <t xml:space="preserve">Servidor, red y estaciones (vida fiscal de 5 años); las licencias siguen en las suscripciones.</t>
  </si>
  <si>
    <t xml:space="preserve">Reposición parcial de instrumentación en el año 6</t>
  </si>
  <si>
    <t xml:space="preserve">% de los equipos de la etapa 1</t>
  </si>
  <si>
    <t xml:space="preserve">Sensores, celdas de carga y sondas en ambiente húmedo y con lavados.</t>
  </si>
  <si>
    <t xml:space="preserve">Valor de los equipos al año 10</t>
  </si>
  <si>
    <t xml:space="preserve">% de su costo</t>
  </si>
  <si>
    <t xml:space="preserve">Se vende o se toma como parte de pago; se grava completo.</t>
  </si>
  <si>
    <t xml:space="preserve">Capital de trabajo</t>
  </si>
  <si>
    <t xml:space="preserve">Días de cartera sobre las ventas adicionales</t>
  </si>
  <si>
    <t xml:space="preserve">días</t>
  </si>
  <si>
    <t xml:space="preserve">Política comercial de la planta. El capital de trabajo suma cartera e inventario al costo y resta las cuentas por pagar; se recupera al final del horizonte.</t>
  </si>
  <si>
    <t xml:space="preserve">Días de inventario del queso adicional</t>
  </si>
  <si>
    <t xml:space="preserve">Queso fresco: se despacha en la semana. Se valora al costo, no al precio.</t>
  </si>
  <si>
    <t xml:space="preserve">Costo de ventas sobre ventas</t>
  </si>
  <si>
    <t xml:space="preserve">Estado de resultados del caso: leche, insumos, nómina, energía y mantenimiento sobre las ventas.</t>
  </si>
  <si>
    <t xml:space="preserve">Costo variable sobre ventas (lo que se evita al no perder producto)</t>
  </si>
  <si>
    <t xml:space="preserve">Estado de resultados del caso: leche (47,8 %), insumos y empaques (17,0 %) y energía, agua, gas y químicos (4,0 %). La nómina y el mantenimiento no cambian si se pierde menos producto.</t>
  </si>
  <si>
    <t xml:space="preserve">Días de cuentas por pagar sobre los costos operativos nuevos</t>
  </si>
  <si>
    <t xml:space="preserve">Balance del caso: cuentas por pagar de 1.206 sobre compras de leche e insumos.</t>
  </si>
  <si>
    <t xml:space="preserve">Parte de la inversión financiada con crédito</t>
  </si>
  <si>
    <t xml:space="preserve">Líneas Bancóldex Impulso a la Productividad y Transformación Digital, a través del banco de la empresa. Con 65 % la cobertura del servicio de la deuda no baja de 1,2.</t>
  </si>
  <si>
    <t xml:space="preserve">Tasa del crédito de fomento (efectiva anual, pesos corrientes)</t>
  </si>
  <si>
    <t xml:space="preserve">Superfinanciera, datos abiertos: créditos con recursos de redescuento a medianas empresas, 3 a 5 años, mayo a julio de 2026. El crédito se pacta en pesos corrientes; cada pago se pasa a pesos constantes con el factor del flujo.</t>
  </si>
  <si>
    <t xml:space="preserve">Plazo del crédito, incluida la gracia</t>
  </si>
  <si>
    <t xml:space="preserve">Bancóldex Impulso a la Productividad: hasta 7 años con 12 meses de gracia.</t>
  </si>
  <si>
    <t xml:space="preserve">Gracia a capital</t>
  </si>
  <si>
    <t xml:space="preserve">Se pagan solo intereses.</t>
  </si>
  <si>
    <t xml:space="preserve">Prepago del crédito en el año 2, % del saldo</t>
  </si>
  <si>
    <t xml:space="preserve">Respuesta preparada al riesgo de cobertura (hoja Riesgo): si la proyección de 2029 muestra menos de 1,2 para 2030, cuando se pagan completas las cuotas de los dos tramos, la empresa prepaga parte del saldo con el IVA recuperado y la segunda mitad del crédito fiscal, que llegan ese año. En la oferta la cobertura ya pasa de 1,2, así que queda en reserva; con 10 % la cobertura subiría a cerca de 1,44. Los créditos comerciales admiten prepago; se pacta sin penalidad.</t>
  </si>
  <si>
    <t xml:space="preserve">Garantía del crédito (0 = prenda sobre los equipos; 1 = FNG)</t>
  </si>
  <si>
    <t xml:space="preserve">0 / 1</t>
  </si>
  <si>
    <t xml:space="preserve">IntegraMotion negocia la prenda con el banco.</t>
  </si>
  <si>
    <t xml:space="preserve">Avalúo y registro de la garantía mobiliaria (prenda)</t>
  </si>
  <si>
    <t xml:space="preserve">Ley 1676 de 2013: avalúo de los equipos e inscripción en el registro de garantías mobiliarias de Confecámaras. Supuesto; se cotiza.</t>
  </si>
  <si>
    <t xml:space="preserve">Comisión de la garantía del Fondo Nacional de Garantías</t>
  </si>
  <si>
    <t xml:space="preserve">% anual del saldo</t>
  </si>
  <si>
    <t xml:space="preserve">Garantía Preferente del FNG, 1,99 % anual (La República), con IVA, sobre el saldo. La oferta la reemplaza por prenda sobre los equipos; se usa en el escenario Garantía del FNG.</t>
  </si>
  <si>
    <t xml:space="preserve">Gravamen a los movimientos financieros (cuatro por mil)</t>
  </si>
  <si>
    <t xml:space="preserve">% de cada pago</t>
  </si>
  <si>
    <t xml:space="preserve">Se aplica a los pagos del proyecto y del crédito; la mitad es deducible de renta (art. 115 ET).</t>
  </si>
  <si>
    <t xml:space="preserve">Impuestos y beneficios tributarios</t>
  </si>
  <si>
    <t xml:space="preserve">Impuesto de renta</t>
  </si>
  <si>
    <t xml:space="preserve">Tarifa general de personas jurídicas.</t>
  </si>
  <si>
    <t xml:space="preserve">IVA de equipos y contratos de integración</t>
  </si>
  <si>
    <t xml:space="preserve">Se paga al comprar y se recupera como descuento en la declaración de renta del año, que se presenta al año siguiente (art. 258-1 ET: activos fijos productivos y servicios para ponerlos en uso). El IVA del diagnóstico y del aval se descuenta en la declaración de IVA. Los valores de la inversión van sin IVA.</t>
  </si>
  <si>
    <t xml:space="preserve">Descuento tributario por inversión ambiental (art. 255 ET)</t>
  </si>
  <si>
    <t xml:space="preserve">% inversión</t>
  </si>
  <si>
    <t xml:space="preserve">Sobre el enfriador y el tanque del suero, que dejan de verterlo. Requiere certificado de la CAR; IntegraMotion lo tramita.</t>
  </si>
  <si>
    <t xml:space="preserve">Tope del descuento del art. 255 sobre el impuesto de la empresa</t>
  </si>
  <si>
    <t xml:space="preserve">% del impuesto</t>
  </si>
  <si>
    <t xml:space="preserve">Art. 258 ET.</t>
  </si>
  <si>
    <t xml:space="preserve">Impuesto de renta a cargo de la empresa</t>
  </si>
  <si>
    <t xml:space="preserve">Estado de resultados del caso (2026).</t>
  </si>
  <si>
    <t xml:space="preserve">Crédito fiscal por innovación en la oferta (1 = se incluye; 0 = no)</t>
  </si>
  <si>
    <t xml:space="preserve">Gestión que IntegraMotion se compromete a hacer: postular el proyecto ante Minciencias. Queda condicionado a la certificación del CNBT; el escenario Sin crédito fiscal muestra el resultado sin él.</t>
  </si>
  <si>
    <t xml:space="preserve">Crédito fiscal por inversión en innovación (art. 256-1 ET)</t>
  </si>
  <si>
    <t xml:space="preserve">Para micro, pequeñas y medianas empresas: Lácteos Fúquene es mediana. IntegraMotion postula el proyecto ante Minciencias con el aval de un actor reconocido; el CNBT certifica la inversión y el crédito se compensa con impuestos nacionales en los dos años siguientes. La inversión se sigue depreciando (DIAN, concepto 012495 de 2026).</t>
  </si>
  <si>
    <t xml:space="preserve">Caso conservador: cuánto se cuenta de cada beneficio según su respaldo</t>
  </si>
  <si>
    <t xml:space="preserve">Caso conservador: beneficio contratado</t>
  </si>
  <si>
    <t xml:space="preserve">% del beneficio</t>
  </si>
  <si>
    <t xml:space="preserve">Respaldo 1. El suero: el contrato firmado es condición de la compuerta.</t>
  </si>
  <si>
    <t xml:space="preserve">Caso conservador: beneficio medido en la planta</t>
  </si>
  <si>
    <t xml:space="preserve">Respaldo 2. Medido en la etapa 0 con el protocolo de medida y verificación.</t>
  </si>
  <si>
    <t xml:space="preserve">Caso conservador: beneficio técnicamente justificado</t>
  </si>
  <si>
    <t xml:space="preserve">Respaldo 3. Balance de masa, VSM, literatura o datos de la planta.</t>
  </si>
  <si>
    <t xml:space="preserve">Caso conservador: beneficio por medir en la etapa 0</t>
  </si>
  <si>
    <t xml:space="preserve">Respaldo 4. Supuesto razonable que todavía no tiene medición.</t>
  </si>
  <si>
    <t xml:space="preserve">Caso conservador: beneficio hipotético</t>
  </si>
  <si>
    <t xml:space="preserve">Respaldo 5.</t>
  </si>
  <si>
    <t xml:space="preserve">Inversión</t>
  </si>
  <si>
    <t xml:space="preserve">Componente</t>
  </si>
  <si>
    <t xml:space="preserve">Año</t>
  </si>
  <si>
    <t xml:space="preserve">Planta</t>
  </si>
  <si>
    <t xml:space="preserve">Reparto</t>
  </si>
  <si>
    <t xml:space="preserve">¿Equipo?</t>
  </si>
  <si>
    <t xml:space="preserve">Madurez del precio (1 a 4)</t>
  </si>
  <si>
    <t xml:space="preserve">% imprevistos</t>
  </si>
  <si>
    <t xml:space="preserve">Vida fiscal (años; 0 = gasto)</t>
  </si>
  <si>
    <t xml:space="preserve">Innovación (1 = sí)</t>
  </si>
  <si>
    <t xml:space="preserve">Diagnóstico de la planta, plan de mantenimiento y orden de la operación</t>
  </si>
  <si>
    <t xml:space="preserve">Automatización de 2 tinas: liras con variador, sensor de coagulación, dosificación</t>
  </si>
  <si>
    <t xml:space="preserve">Tina del doble crema: medición y mando básicos (caudal, nivel, temperatura, válvula y bomba)</t>
  </si>
  <si>
    <t xml:space="preserve">Controladora de peso y detector de metales en la salida del empaque</t>
  </si>
  <si>
    <t xml:space="preserve">Medidor de grasa en línea en la estandarización</t>
  </si>
  <si>
    <t xml:space="preserve">SCADA, historiador y MES ligero de la quesería (red, servidor, licencias e instrumentación)</t>
  </si>
  <si>
    <t xml:space="preserve">Contrato principal con IntegraMotion (semestre 2026-2): ingeniería de la etapa 1 (diseño, programación y validación virtual)</t>
  </si>
  <si>
    <t xml:space="preserve">Contrato principal con IntegraMotion (semestre 2026-2): etapa 0 (diagnóstico, línea base y gestión)</t>
  </si>
  <si>
    <t xml:space="preserve">Contrato principal con IntegraMotion (semestre 2026-2): ingeniería básica de la etapa 2 y diseño de la celda de paletizado</t>
  </si>
  <si>
    <t xml:space="preserve">Otrosí 1 con IntegraMotion: implementación de la etapa 1 (montaje supervisado, puesta en marcha, capacitación y soporte)</t>
  </si>
  <si>
    <t xml:space="preserve">Parametrización de SAP Business One para la quesería, por el proveedor del ERP</t>
  </si>
  <si>
    <t xml:space="preserve">Formación de los operarios con el SENA</t>
  </si>
  <si>
    <t xml:space="preserve">Aval y seguimiento del proyecto de innovación por un actor reconocido por Minciencias</t>
  </si>
  <si>
    <t xml:space="preserve">Imprevistos de las etapas 0 y 1</t>
  </si>
  <si>
    <t xml:space="preserve">Hiladora-moldeadora continua para doble crema y mozzarella</t>
  </si>
  <si>
    <t xml:space="preserve">CIP automático del circuito de quesos</t>
  </si>
  <si>
    <t xml:space="preserve">Enfriador de placas y tanque pulmón para el suero</t>
  </si>
  <si>
    <t xml:space="preserve">Instrumentación y control de la etapa 2: E/S del PLC, ampliación del tablero, salmuera y suero</t>
  </si>
  <si>
    <t xml:space="preserve">Otrosí 2 con IntegraMotion: ingeniería de detalle e implementación de la etapa 2</t>
  </si>
  <si>
    <t xml:space="preserve">Imprevistos de la etapa 2</t>
  </si>
  <si>
    <t xml:space="preserve">Todo se dimensiona para la quesería. Equipos: hoja BOM, que valora cada ítem del diseño técnico (instrumentos, actuadores, control, SCADA y equipos de proceso) y lo suma por rubro. CIP y formación: un tercio del costo estimado para toda la planta. Diagnóstico, grasa en línea y la plataforma del SCADA (licencias, servidor y red) son comunes a la planta: se carga la parte de la leche de quesos. Contratos con IntegraMotion: hoja IntegraMotion, sin IVA. El contrato principal se ejecuta en el semestre 2026-2, en pesos de 2026, y se lleva al año 0, el arranque de la evaluación; los otrosíes se reajustan con el salario mínimo real del año en que se ejecutan (hoja Entorno). La tina del doble crema lleva solo medición y mando básicos porque no usa sensor de coagulación.</t>
  </si>
  <si>
    <t xml:space="preserve">Madurez del precio: 1 precio cerrado, 2 precio publicado, 3 estimado con referencias, 4 estimado sin cotización. Los imprevistos de cada etapa suman cada rubro por su porcentaje (supuestos de arriba). Vida fiscal: art. 137 ET (maquinaria 10 años; equipo de cómputo y redes 5 años); el diagnóstico, la formación y el aval son gastos deducibles del año. Los imprevistos se deducen y llevan IVA según el rubro al que pertenecen. Innovación: rubros del proyecto que se postula ante Minciencias (control del corte por coagulación, SCADA y MES, la ingeniería que los desarrolla y el aval); la compra de equipos estándar no califica.</t>
  </si>
  <si>
    <t xml:space="preserve">Inversión del año 0 (etapas 0 y 1)</t>
  </si>
  <si>
    <t xml:space="preserve">Inversión del año 1 (etapa 2)</t>
  </si>
  <si>
    <t xml:space="preserve">Equipos del año 0</t>
  </si>
  <si>
    <t xml:space="preserve">Equipos del año 1</t>
  </si>
  <si>
    <t xml:space="preserve">Imprevistos sobre la inversión sin imprevistos</t>
  </si>
  <si>
    <t xml:space="preserve">Inversión total</t>
  </si>
  <si>
    <t xml:space="preserve">Inversión del proyecto de innovación (base del crédito fiscal)</t>
  </si>
  <si>
    <t xml:space="preserve">Reposición del año 5 (hardware del SCADA)</t>
  </si>
  <si>
    <t xml:space="preserve">Reposición del año 6 (instrumentación)</t>
  </si>
  <si>
    <t xml:space="preserve">Δ ventas planta</t>
  </si>
  <si>
    <t xml:space="preserve">Δ ventas quesería</t>
  </si>
  <si>
    <t xml:space="preserve">Factor conservador</t>
  </si>
  <si>
    <t xml:space="preserve">Quesería, caso conservador</t>
  </si>
  <si>
    <t xml:space="preserve">Horas extra del hilado evitadas con el orden del hilado (0,5 h/día)</t>
  </si>
  <si>
    <t xml:space="preserve">Mayor rendimiento del campesino y la mozzarella (sensor de coagulación)</t>
  </si>
  <si>
    <t xml:space="preserve">Estandarización de grasa en línea</t>
  </si>
  <si>
    <t xml:space="preserve">Menor merma (de 2,0 a 1,5 % de las ventas)</t>
  </si>
  <si>
    <t xml:space="preserve">Mantenimiento preventivo (ahorro neto de 20 % del gasto)</t>
  </si>
  <si>
    <t xml:space="preserve">Menor sobrepeso de los tres quesos (de 1,0 a 0,5 %)</t>
  </si>
  <si>
    <t xml:space="preserve">Programación con el estado real de la planta: MES con estado de máquinas, paros y OEE enlazado al ERP (hallazgo H9)</t>
  </si>
  <si>
    <t xml:space="preserve">Balance de sólidos y humedad por lote en el MES (hallazgo H11)</t>
  </si>
  <si>
    <t xml:space="preserve">Hiladora-moldeadora: más doble crema y mozzarella</t>
  </si>
  <si>
    <t xml:space="preserve">Horas extra restantes que elimina la hiladora (0,5 h/día)</t>
  </si>
  <si>
    <t xml:space="preserve">Limpieza CIP automática del circuito de quesos</t>
  </si>
  <si>
    <t xml:space="preserve">Contrato de venta del suero enfriado</t>
  </si>
  <si>
    <t xml:space="preserve">Mezcla óptima de los tres quesos con el costo real por lote (hallazgo H12)</t>
  </si>
  <si>
    <t xml:space="preserve">Reubicación por competencias (H10): control nocturno de la incubación del yogur por un operario del hilado (H2)</t>
  </si>
  <si>
    <t xml:space="preserve">Reubicación por competencias (H10): el otro operario cubre el mantenimiento autónomo del plan preventivo</t>
  </si>
  <si>
    <t xml:space="preserve">Respaldo: 1 contratado, 2 medido en la planta, 3 técnicamente justificado, 4 por medir en la etapa 0, 5 hipotético. El caso conservador toma cada beneficio por su factor. Reubicación: nadie sale y no se reduce la nómina. En la etapa 0 encontramos que faltaban dos puestos (H10) y, con la matriz de competencias y el método húngaro, asignamos a los 2 operarios que libera la hiladora: uno al turno de noche del yogur (H2) y otro al mantenimiento autónomo. La asignación está hecha; lo que se estima es cuánto baja la pérdida del yogur, por eso va como técnicamente justificado. El costo de selección evitado se cuenta aparte, una sola vez.</t>
  </si>
  <si>
    <t xml:space="preserve">Cada beneficio se calcula en la hoja Beneficios y costos, a partir del balance de masa y de los precios. Nadie sale de la empresa: los 2 operarios del hilado se reubican por competencias donde generan más valor.</t>
  </si>
  <si>
    <t xml:space="preserve">Beneficio de las etapas 0 y 1</t>
  </si>
  <si>
    <t xml:space="preserve">Beneficio de la etapa 2</t>
  </si>
  <si>
    <t xml:space="preserve">Ventas adicionales de las etapas 0 y 1</t>
  </si>
  <si>
    <t xml:space="preserve">Ventas adicionales de la etapa 2</t>
  </si>
  <si>
    <t xml:space="preserve">Beneficio de las etapas 0 y 1, caso conservador</t>
  </si>
  <si>
    <t xml:space="preserve">Beneficio de la etapa 2, caso conservador</t>
  </si>
  <si>
    <t xml:space="preserve">Costos operativos nuevos en régimen (mantenimiento, póliza, suscripciones, energía, vapor y calibración)</t>
  </si>
  <si>
    <t xml:space="preserve">Flujo de caja de la oferta (años 0 a 10 = 2027 a 2037; $ M constantes de 2026)</t>
  </si>
  <si>
    <t xml:space="preserve">Año 0</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</si>
  <si>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</si>
  <si>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</si>
  <si>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</si>
  <si>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</si>
  <si>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</si>
  <si>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</si>
  <si>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</si>
  <si>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</si>
  <si>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</si>
  <si>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</si>
  <si>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Año (número)</t>
  </si>
  <si>
    <t xml:space="preserve">Inflación del año</t>
  </si>
  <si>
    <t xml:space="preserve">Índice de precios (2026 = 1)</t>
  </si>
  <si>
    <t xml:space="preserve">Salario mínimo real (2026 = 1)</t>
  </si>
  <si>
    <t xml:space="preserve">Factor de pesos constantes</t>
  </si>
  <si>
    <t xml:space="preserve">Reposición de equipos</t>
  </si>
  <si>
    <t xml:space="preserve">IVA de equipos y contratos</t>
  </si>
  <si>
    <t xml:space="preserve">Beneficio total</t>
  </si>
  <si>
    <t xml:space="preserve">Costos operativos nuevos</t>
  </si>
  <si>
    <t xml:space="preserve">Costo de la transición del personal</t>
  </si>
  <si>
    <t xml:space="preserve">GMF de los pagos del proyecto</t>
  </si>
  <si>
    <t xml:space="preserve">Depreciación y gastos deducibles de la inversión</t>
  </si>
  <si>
    <t xml:space="preserve">Descuento tributario (art. 255)</t>
  </si>
  <si>
    <t xml:space="preserve">Crédito fiscal por innovación (art. 256-1)</t>
  </si>
  <si>
    <t xml:space="preserve">IVA recuperado como descuento de renta (art. 258-1)</t>
  </si>
  <si>
    <t xml:space="preserve">Ventas adicionales</t>
  </si>
  <si>
    <t xml:space="preserve">Inversión en capital de trabajo</t>
  </si>
  <si>
    <t xml:space="preserve">Valor de los equipos al año 10, después de impuestos</t>
  </si>
  <si>
    <t xml:space="preserve">Flujo de caja libre en pesos corrientes</t>
  </si>
  <si>
    <t xml:space="preserve">Flujo acumulado</t>
  </si>
  <si>
    <t xml:space="preserve">Recuperación (auxiliar)</t>
  </si>
  <si>
    <t xml:space="preserve">Factor de descuento del proyecto</t>
  </si>
  <si>
    <t xml:space="preserve">Flujo descontado</t>
  </si>
  <si>
    <t xml:space="preserve">Flujo descontado acumulado</t>
  </si>
  <si>
    <t xml:space="preserve">Recuperación descontada (auxiliar)</t>
  </si>
  <si>
    <t xml:space="preserve">Saldo del crédito al cierre del año, pesos corrientes</t>
  </si>
  <si>
    <t xml:space="preserve">Desembolso del crédito</t>
  </si>
  <si>
    <t xml:space="preserve">Intereses</t>
  </si>
  <si>
    <t xml:space="preserve">Abono a capital</t>
  </si>
  <si>
    <t xml:space="preserve">Garantía del crédito</t>
  </si>
  <si>
    <t xml:space="preserve">GMF del servicio de la deuda</t>
  </si>
  <si>
    <t xml:space="preserve">Ahorro de impuesto por los gastos financieros</t>
  </si>
  <si>
    <t xml:space="preserve">Flujo del inversionista</t>
  </si>
  <si>
    <t xml:space="preserve">Flujo del inversionista en pesos corrientes</t>
  </si>
  <si>
    <t xml:space="preserve">Factor de descuento del inversionista</t>
  </si>
  <si>
    <t xml:space="preserve">Flujo de la operación disponible para la deuda</t>
  </si>
  <si>
    <t xml:space="preserve">El crédito cubre el 65 % de cada desembolso y se pacta en pesos corrientes: durante la gracia se pagan solo intereses y después abonos iguales. Los pagos del crédito, la depreciación fiscal, la cartera y el IVA recuperado se pasan a pesos constantes con el índice de precios de la ruta. Los ahorros de mano de obra crecen con el salario mínimo real. La cobertura compara el flujo de la operación con intereses, abonos y comisión.</t>
  </si>
  <si>
    <t xml:space="preserve">TIR del proyecto en pesos corrientes (se compara con el costo de capital)</t>
  </si>
  <si>
    <t xml:space="preserve">Tasa real equivalente (costo de capital sin la inflación promedio)</t>
  </si>
  <si>
    <t xml:space="preserve">Recuperación (años desde el año 0)</t>
  </si>
  <si>
    <t xml:space="preserve">Recuperación descontada (años desde el año 0)</t>
  </si>
  <si>
    <t xml:space="preserve">ROI a 10 años (flujo libre acumulado / inversión; no es anual ni descontado)</t>
  </si>
  <si>
    <t xml:space="preserve">TIR del inversionista con el crédito, en pesos corrientes (se compara con el 25 %)</t>
  </si>
  <si>
    <t xml:space="preserve">TIR del inversionista en pesos constantes</t>
  </si>
  <si>
    <t xml:space="preserve">VPN del inversionista al 25 % ($ M de 2026)</t>
  </si>
  <si>
    <t xml:space="preserve">Cobertura mínima del servicio de la deuda (años 2 a 8; los bancos piden 1,2 o más)</t>
  </si>
  <si>
    <t xml:space="preserve">Aporte propio neto en los años 0 y 1 ($ M)</t>
  </si>
  <si>
    <t xml:space="preserve">Inversión total ($ M)</t>
  </si>
  <si>
    <t xml:space="preserve">Beneficio anual pleno, a salarios de 2026 ($ M)</t>
  </si>
  <si>
    <t xml:space="preserve">Costos operativos nuevos en régimen ($ M/año)</t>
  </si>
  <si>
    <t xml:space="preserve">Cómo leerlo</t>
  </si>
  <si>
    <t xml:space="preserve">• Los flujos están en pesos constantes de 2026; el VPN los descuenta al costo de capital del proyecto con la inflación de cada año (hoja Entorno). La TIR en pesos corrientes se compara con ese costo de capital.</t>
  </si>
  <si>
    <t xml:space="preserve">• Calendario: la etapa 0 y la etapa 1 se hacen en 2027 (año 0) y la etapa 1 rinde desde mitad de ese año; la etapa 2 se compra en 2028 si pasa la compuerta y rinde desde 2029.</t>
  </si>
  <si>
    <t xml:space="preserve">• La TIR del proyecto no depende de cómo se pague; la del inversionista mide lo que gana el dinero propio con el 65 % en crédito.</t>
  </si>
  <si>
    <t xml:space="preserve">• Lo compartido con yogur y UHT se reparte según la leche, las ventas o un circuito de tres. El SCADA y el MES son solo de la quesería.</t>
  </si>
  <si>
    <t xml:space="preserve">• Escenarios y Riesgo prueban los supuestos que más pesan; Herramientas muestra de dónde sale el valor y las compuertas; Empresa, el efecto en Lácteos Fúquene.</t>
  </si>
  <si>
    <t xml:space="preserve">Entorno económico y político del proyecto</t>
  </si>
  <si>
    <t xml:space="preserve">La quesería se ejecuta en 2027 y 2028 y opera hasta 2037. Precios en pesos de 2026; esta hoja dice cuánto cambian año por año la inflación y el salario mínimo.</t>
  </si>
  <si>
    <t xml:space="preserve">Inflación y salario mínimo, año por año</t>
  </si>
  <si>
    <t xml:space="preserve">Promedio</t>
  </si>
  <si>
    <t xml:space="preserve">Año calendario</t>
  </si>
  <si>
    <t xml:space="preserve">Ruta 1 · base: inflación de cada año</t>
  </si>
  <si>
    <t xml:space="preserve">Ruta 2 · consenso de los analistas</t>
  </si>
  <si>
    <t xml:space="preserve">Ruta 3 · inflación persistente</t>
  </si>
  <si>
    <t xml:space="preserve">Promedio geométrico de 2027 a 2037. La ruta que usa el modelo se elige en los supuestos de la hoja Quesería.</t>
  </si>
  <si>
    <t xml:space="preserve">Incremento del salario mínimo para 2027</t>
  </si>
  <si>
    <t xml:space="preserve">Davivienda: inflación de 2026 (6,91 %) − productividad (0,32 %) + «sorpresa política» (1,91 %). Gremios: 8 % a 9,5 %; Credicorp: 9 % a 10 %.</t>
  </si>
  <si>
    <t xml:space="preserve">Aumento real del salario mínimo desde 2028</t>
  </si>
  <si>
    <t xml:space="preserve">El Gobierno plantea volver a ajustarlo por inflación y productividad; la productividad del trabajo ha estado cerca de cero.</t>
  </si>
  <si>
    <t xml:space="preserve">Salario mínimo real de 2027 con la ruta base (2026 = 1)</t>
  </si>
  <si>
    <t xml:space="preserve">Cuánto sube por encima de la inflación.</t>
  </si>
  <si>
    <t xml:space="preserve">Salario mínimo real de 2028 con la ruta base (2026 = 1)</t>
  </si>
  <si>
    <t xml:space="preserve">Reajusta los contratos de IntegraMotion: la etapa 2 se ejecuta en 2028.</t>
  </si>
  <si>
    <t xml:space="preserve">Salario mínimo de 2027 en pesos</t>
  </si>
  <si>
    <t xml:space="preserve">Decreto de 2026: $1.750.905.</t>
  </si>
  <si>
    <t xml:space="preserve">Afecta lo que depende del salario: horas extra y reubicación de operarios (beneficios), traslape del personal y honorarios de IntegraMotion.</t>
  </si>
  <si>
    <t xml:space="preserve">Cómo se armaron las rutas</t>
  </si>
  <si>
    <t xml:space="preserve">• Encuesta de analistas del Banco de la República (septiembre de 2026): 6,8 % al cierre de 2026, 5,1 % al cierre de 2027, 4,0 % en agosto de 2028 y 3,4 % a cinco años. Los analistas han subido su pronóstico casi todos los meses de 2026.</t>
  </si>
  <si>
    <t xml:space="preserve">• Inflación de septiembre de 2026: 6,29 % anual (DANE), la más alta desde julio de 2024. Tasa del Banco de la República: 12,25 % desde el 1 de octubre, con una subida de 25 puntos básicos y la junta dividida.</t>
  </si>
  <si>
    <t xml:space="preserve">• Rutas en promedio de cada año. Consenso: de 6,8 % en diciembre de 2026 a 5,1 % en diciembre de 2027 da 5,9 % para 2027; luego 4,5 %, 3,7 % y 3,4 %. Ruta base: por encima del consenso cada año, con más margen desde 2028, y 4 % desde 2030, el techo del rango de la meta (2 % a 4 %). Ruta persistente: la inflación se queda cerca del dato de septiembre todo el horizonte.</t>
  </si>
  <si>
    <t xml:space="preserve">Lectura política y económica (octubre de 2026)</t>
  </si>
  <si>
    <t xml:space="preserve">• Salario mínimo: en 2026 subió 23,7 %, muy por encima de la inflación. El Gobierno de Abelardo de la Espriella y su ministro de Hacienda piden volver a un ajuste técnico (inflación más productividad); los analistas esperan 8 % a 10 % para 2027 por una prima política. La decisión se toma a más tardar el 30 de diciembre.</t>
  </si>
  <si>
    <t xml:space="preserve">• Presupuesto General de 2027: el Congreso lo aprobó el 20 de octubre por $634,9 billones, pero quedó en vilo por un presunto vicio de trámite en el artículo 65 (Senado y Cámara habrían aprobado textos distintos); si se confirma, el Gobierno lo expide por decreto. Suma incertidumbre fiscal: hace menos probable que las tasas de interés bajen rápido.</t>
  </si>
  <si>
    <t xml:space="preserve">• Política monetaria: el Banco de la República volvió a subir la tasa en septiembre. Davivienda espera bajadas graduales hasta 11 % al cierre de 2027. El crédito de fomento se pacta sobre la IBR más un margen, así que sigue esa tendencia.</t>
  </si>
  <si>
    <t xml:space="preserve">• Impuestos: el Gobierno anunció una reforma para bajar la carga de las empresas, sin tarifa definida todavía. El modelo deja la renta en 35 % y prueba 30 % en la hoja Escenarios.</t>
  </si>
  <si>
    <t xml:space="preserve">• Energía: el gas para la industria depende cada vez más de importaciones y El Niño presiona las tarifas. La hoja Escenarios prueba costos operativos 30 % más altos.</t>
  </si>
  <si>
    <t xml:space="preserve">Cómo entra al modelo</t>
  </si>
  <si>
    <t xml:space="preserve">• Los flujos siguen en pesos constantes de 2026. Lo que se pacta en pesos corrientes (el crédito, la depreciación fiscal, la cartera y el IVA que se recupera) se convierte con el índice de precios de la ruta.</t>
  </si>
  <si>
    <t xml:space="preserve">• El VPN descuenta los flujos al costo de capital del proyecto en pesos corrientes. La TIR en pesos corrientes se compara con ese costo; la TIR en pesos constantes, con la tasa real equivalente.</t>
  </si>
  <si>
    <t xml:space="preserve">• Más inflación no crea valor por sí sola: solo cambia el valor real de lo que se pactó en pesos (sobre todo la deuda). Lo que sí cambia el resultado es lo que sube más o menos que la inflación, como el salario mínimo.</t>
  </si>
  <si>
    <t xml:space="preserve">• Los contratos de IntegraMotion se reajustan con el salario mínimo del año en que se ejecutan; así la integradora no pierde valor si el mínimo sube más que la inflación.</t>
  </si>
  <si>
    <t xml:space="preserve">Fuentes</t>
  </si>
  <si>
    <t xml:space="preserve">• Encuesta de analistas del Banco de la República, septiembre de 2026: infobae.com/colombia/2026/09/17/el-banco-de-la-republica-elevo-la-expectativa-de-inflacion-para-diciembre-de-2026-seria-casi-del-7/</t>
  </si>
  <si>
    <t xml:space="preserve">• Decisión de la junta del Banco de la República, septiembre de 2026: banrep.gov.co/en/news/board-directors/september-2026</t>
  </si>
  <si>
    <t xml:space="preserve">• Inflación de septiembre de 2026 (DANE, vía INCP): incp.org.co/?p=136856</t>
  </si>
  <si>
    <t xml:space="preserve">• Salario mínimo 2027, Davivienda: portafolio.co/economia/empleo/salario-minimo-subiria-148-827-en-2027-segun-expertos-de-davivienda-inflacion-seria-clave-en-el-calculo-503911</t>
  </si>
  <si>
    <t xml:space="preserve">• Salario mínimo 2027, gremios y BDO: elcolombiano.com/negocios/salario-minimo-2027-pulso-ajuste-inflacion-productividad-LD42142845</t>
  </si>
  <si>
    <t xml:space="preserve">• Presupuesto de 2027 aprobado y en vilo: portafolio.co/economia/gobierno/presupuesto-de-2027-recien-aprobado-en-vilo-por-inminente-hundimiento-por-vicio-de-tramite-en-el-congreso-504829</t>
  </si>
  <si>
    <t xml:space="preserve">Beneficios y costos operativos de la quesería</t>
  </si>
  <si>
    <t xml:space="preserve">Cada beneficio sale del balance de masa, de los precios y de la mejora que se espera; cada costo nuevo, del consumo de los equipos. $ M constantes de 2026. Las cifras en azul se miden en la etapa 0.</t>
  </si>
  <si>
    <t xml:space="preserve">Datos de la operación</t>
  </si>
  <si>
    <t xml:space="preserve">Dato</t>
  </si>
  <si>
    <t xml:space="preserve">Días de operación al año</t>
  </si>
  <si>
    <t xml:space="preserve">Caso: lunes a sábado menos festivos.</t>
  </si>
  <si>
    <t xml:space="preserve">Densidad de la leche</t>
  </si>
  <si>
    <t xml:space="preserve">kg/L</t>
  </si>
  <si>
    <t xml:space="preserve">Valor típico.</t>
  </si>
  <si>
    <t xml:space="preserve">Grasa de la leche cruda</t>
  </si>
  <si>
    <t xml:space="preserve">% m/m</t>
  </si>
  <si>
    <t xml:space="preserve">Hato Holstein de la sabana de Ubaté.</t>
  </si>
  <si>
    <t xml:space="preserve">Grasa de la crema</t>
  </si>
  <si>
    <t xml:space="preserve">Descremadora centrífuga.</t>
  </si>
  <si>
    <t xml:space="preserve">Grasa de más que se deja hoy al estandarizar a mano</t>
  </si>
  <si>
    <t xml:space="preserve">puntos</t>
  </si>
  <si>
    <t xml:space="preserve">Cuadro de Pearson y muestreo: el operario deja margen para no quedar por debajo del mínimo.</t>
  </si>
  <si>
    <t xml:space="preserve">Grasa de más con el medidor en línea</t>
  </si>
  <si>
    <t xml:space="preserve">Medidor de grasa y densidad con válvula de remezcla.</t>
  </si>
  <si>
    <t xml:space="preserve">Crema añadida al fundido del doble crema</t>
  </si>
  <si>
    <t xml:space="preserve">kg/día</t>
  </si>
  <si>
    <t xml:space="preserve">Sale de la crema de la estandarización.</t>
  </si>
  <si>
    <t xml:space="preserve">Agua de lavado del grano del campesino</t>
  </si>
  <si>
    <t xml:space="preserve">kg/kg leche</t>
  </si>
  <si>
    <t xml:space="preserve">Sale con el suero.</t>
  </si>
  <si>
    <t xml:space="preserve">Queso adicional por el corte con sensor de coagulación</t>
  </si>
  <si>
    <t xml:space="preserve">Menos finos al suero en el campesino y la mozzarella (0,15 puntos de rendimiento).</t>
  </si>
  <si>
    <t xml:space="preserve">Queso adicional con la hiladora-moldeadora</t>
  </si>
  <si>
    <t xml:space="preserve">% del queso hilado</t>
  </si>
  <si>
    <t xml:space="preserve">Menos grasa y finos al agua de hilado que en la marmita a mano.</t>
  </si>
  <si>
    <t xml:space="preserve">Sobrepeso de los quesos hoy</t>
  </si>
  <si>
    <t xml:space="preserve">% del peso</t>
  </si>
  <si>
    <t xml:space="preserve">Igual al de las bolsas UHT del caso.</t>
  </si>
  <si>
    <t xml:space="preserve">Sobrepeso con la controladora de peso</t>
  </si>
  <si>
    <t xml:space="preserve">La controladora rechaza y ajusta el corte.</t>
  </si>
  <si>
    <t xml:space="preserve">Empaque del producto que deja de regalarse</t>
  </si>
  <si>
    <t xml:space="preserve">% del precio</t>
  </si>
  <si>
    <t xml:space="preserve">El queso recuperado se vende, pero lleva su empaque.</t>
  </si>
  <si>
    <t xml:space="preserve">Merma y devoluciones hoy</t>
  </si>
  <si>
    <t xml:space="preserve">% ventas</t>
  </si>
  <si>
    <t xml:space="preserve">Estado de resultados del caso.</t>
  </si>
  <si>
    <t xml:space="preserve">Merma con trazabilidad y registros electrónicos</t>
  </si>
  <si>
    <t xml:space="preserve">Control de temperatura, lotes y vida útil.</t>
  </si>
  <si>
    <t xml:space="preserve">Gasto de mantenimiento de la planta</t>
  </si>
  <si>
    <t xml:space="preserve">Ahorro neto del mantenimiento preventivo</t>
  </si>
  <si>
    <t xml:space="preserve">% del gasto</t>
  </si>
  <si>
    <t xml:space="preserve">Hipótesis: el correctivo que se evita menos el preventivo que se agrega. Hoy el preventivo es menos del 20 % de las horas (EDT de la producción); según PNNL/DOE el preventivo cuesta 12–18 % menos que el correctivo y el predictivo otro 8–12 % menos. Se mide en la etapa 0 con órdenes de trabajo, repuestos y horas de parada.</t>
  </si>
  <si>
    <t xml:space="preserve">Gasto de la planta en energía, agua, gas y químicos</t>
  </si>
  <si>
    <t xml:space="preserve">Ahorro con limpieza CIP automática</t>
  </si>
  <si>
    <t xml:space="preserve">% de ese gasto</t>
  </si>
  <si>
    <t xml:space="preserve">Recuperación de soluciones y ciclos medidos en lugar de lavado a mano.</t>
  </si>
  <si>
    <t xml:space="preserve">Parte del circuito de quesos en la limpieza</t>
  </si>
  <si>
    <t xml:space="preserve">Uno de los tres circuitos (quesos, yogur y UHT).</t>
  </si>
  <si>
    <t xml:space="preserve">Horas extra diarias del hilado que se evitan en cada etapa</t>
  </si>
  <si>
    <t xml:space="preserve">h/día</t>
  </si>
  <si>
    <t xml:space="preserve">VSM: el hilado a mano necesita 8,4 h en una ventana de 7,4 h.</t>
  </si>
  <si>
    <t xml:space="preserve">Operarios del hilado</t>
  </si>
  <si>
    <t xml:space="preserve">personas</t>
  </si>
  <si>
    <t xml:space="preserve">Dos parejas.</t>
  </si>
  <si>
    <t xml:space="preserve">Costo de la hora extra</t>
  </si>
  <si>
    <t xml:space="preserve">$/h</t>
  </si>
  <si>
    <t xml:space="preserve">Costo de la hora de un salario mínimo más el recargo de 25 %.</t>
  </si>
  <si>
    <t xml:space="preserve">Precio de la crema vendida</t>
  </si>
  <si>
    <t xml:space="preserve">$/kg</t>
  </si>
  <si>
    <t xml:space="preserve">Crema al 40 % a granel.</t>
  </si>
  <si>
    <t xml:space="preserve">Precio de la leche entera UHT</t>
  </si>
  <si>
    <t xml:space="preserve">$/L</t>
  </si>
  <si>
    <t xml:space="preserve">Precio a distribuidor del caso.</t>
  </si>
  <si>
    <t xml:space="preserve">Precio del suero hoy, sin enfriar</t>
  </si>
  <si>
    <t xml:space="preserve">Precio del suero enfriado con contrato</t>
  </si>
  <si>
    <t xml:space="preserve">Contrato anual con una fábrica de alimento balanceado; se valida en la etapa 0 con dos cotizaciones.</t>
  </si>
  <si>
    <t xml:space="preserve">Ventas de la quesería que hoy salen incompletas o tarde por paros que Ventas no conoce</t>
  </si>
  <si>
    <t xml:space="preserve">% ventas de quesos</t>
  </si>
  <si>
    <t xml:space="preserve">Caso de estudio, hallazgo H9 (registro de despachos de 2026): Ventas promete sin saber qué máquinas están en falla.</t>
  </si>
  <si>
    <t xml:space="preserve">Descuento con que se coloca ese queso en otro cliente o canal</t>
  </si>
  <si>
    <t xml:space="preserve">Caso de estudio: el queso fresco que no sale a tiempo se coloca en mayoristas con descuento.</t>
  </si>
  <si>
    <t xml:space="preserve">Parte de esos incumplimientos que se evita con el estado de la planta en el ERP</t>
  </si>
  <si>
    <t xml:space="preserve">Estimado: los paros siguen ocurriendo, pero Ventas los ve en el ERP y promete con la capacidad real.</t>
  </si>
  <si>
    <t xml:space="preserve">Horas al día de supervisores y planeador conciliando registros de papel y Excel</t>
  </si>
  <si>
    <t xml:space="preserve">Caso de estudio, hallazgo H9: planeación semanal en Excel y registros en papel. El MES los registra solos; el tiempo liberado se usa en mejora.</t>
  </si>
  <si>
    <t xml:space="preserve">Costo de una hora de supervisor</t>
  </si>
  <si>
    <t xml:space="preserve">Salario de unos $3,5 M al mes con factor prestacional de 1,52, entre 182 horas.</t>
  </si>
  <si>
    <t xml:space="preserve">Ventas del yogur</t>
  </si>
  <si>
    <t xml:space="preserve">Ventas del UHT</t>
  </si>
  <si>
    <t xml:space="preserve">Yogur que se sobreacidifica o se reprocesa (H2)</t>
  </si>
  <si>
    <t xml:space="preserve">% de la producción</t>
  </si>
  <si>
    <t xml:space="preserve">Sobrellenado de los vasos de yogur (H3)</t>
  </si>
  <si>
    <t xml:space="preserve">Sobrellenado de las bolsas de UHT (H3)</t>
  </si>
  <si>
    <t xml:space="preserve">% del volumen</t>
  </si>
  <si>
    <t xml:space="preserve">Producto perdido en las interfases del UHT (H4)</t>
  </si>
  <si>
    <t xml:space="preserve">Operarios liberados que cubren un puesto que la planta tendría que contratar</t>
  </si>
  <si>
    <t xml:space="preserve">Hallazgo H10 de la etapa 0: el plan preventivo necesita un puesto de mantenimiento autónomo (inspección, lubricación y limpieza técnica) que hoy no existe. La asignación por competencias pone ahí a uno de los operarios que libera la hiladora.</t>
  </si>
  <si>
    <t xml:space="preserve">Queso adicional con el balance de sólidos y la humedad controlados por lote</t>
  </si>
  <si>
    <t xml:space="preserve">% del queso</t>
  </si>
  <si>
    <t xml:space="preserve">Hallazgo H11 de la etapa 0. Por la fórmula de Van Slyke el rendimiento va con 1/(1 − humedad): subir la humedad promedio 0,25 puntos dentro de la norma del queso (de 50,00 a 50,25 %) da 0,5 % más queso; también sale de llevar a la mediana los lotes que hoy pierden más grasa y proteína al suero. La etapa 0 mide la dispersión real con un mes de lotes. No incluye el sensor ni la hiladora.</t>
  </si>
  <si>
    <t xml:space="preserve">Lo que puede bajar la leche de cada queso frente a hoy</t>
  </si>
  <si>
    <t xml:space="preserve">% de su leche</t>
  </si>
  <si>
    <t xml:space="preserve">Hallazgo H12. Bajar la producción de un queso no tiene límite de mercado; se limita para no perder clientes del campesino.</t>
  </si>
  <si>
    <t xml:space="preserve">Lo que el mercado absorbe de más de campesino</t>
  </si>
  <si>
    <t xml:space="preserve">% de su producción</t>
  </si>
  <si>
    <t xml:space="preserve">Estudio de mercado de la empresa (tabla de esta hoja): el campesino no sube en la mezcla óptima porque es el que menos deja por litro.</t>
  </si>
  <si>
    <t xml:space="preserve">Lo que el mercado absorbe de más de doble crema</t>
  </si>
  <si>
    <t xml:space="preserve">Estudio de mercado de la empresa: la región central (unos 12,8 millones de habitantes, DANE 2026) consume unas 15.000 a 19.000 t de queso al año; los hilados son cerca del 28 % (Nielsen). 15 % más de doble crema son unas 18 t al año, menos del 0,5 % de los hilados de la región y un 6 % de lo que ese mercado crece en un año. El doble crema casi no compite con importados.</t>
  </si>
  <si>
    <t xml:space="preserve">Lo que el mercado absorbe de más de mozzarella</t>
  </si>
  <si>
    <t xml:space="preserve">Estudio de mercado de la empresa: la mozzarella para pizzerías compite con la de Estados Unidos, que entra sin arancel ni cupo desde enero de 2026; por eso se limita a 5 %.</t>
  </si>
  <si>
    <t xml:space="preserve">Yogur sobreacidificado con control nocturno de la incubación por pH</t>
  </si>
  <si>
    <t xml:space="preserve">Hallazgos H2 y H10: nadie vigila de noche la incubación del yogur. La asignación por competencias pone ahí al operario que conoce la acidificación de la cuajada (pH 5,1 a 5,3): mide el pH cada hora y corta la incubación a tiempo. Estimado: la pérdida baja a la mitad.</t>
  </si>
  <si>
    <t xml:space="preserve">Quesos</t>
  </si>
  <si>
    <t xml:space="preserve">Referencia</t>
  </si>
  <si>
    <t xml:space="preserve">Leche (L/día)</t>
  </si>
  <si>
    <t xml:space="preserve">Grasa objetivo</t>
  </si>
  <si>
    <t xml:space="preserve">Rendimiento (kg/kg)</t>
  </si>
  <si>
    <t xml:space="preserve">Precio ($/kg)</t>
  </si>
  <si>
    <t xml:space="preserve">Insumos y empaque ($/kg)</t>
  </si>
  <si>
    <t xml:space="preserve">Q1 campesino</t>
  </si>
  <si>
    <t xml:space="preserve">Q2 doble crema (leche entera, sin estandarizar)</t>
  </si>
  <si>
    <t xml:space="preserve">Q3 mozzarella</t>
  </si>
  <si>
    <t xml:space="preserve">Rendimiento del campesino y la mozzarella sobre leche estandarizada; el del doble crema, sobre leche entera e incluye la crema del fundido. Precios: Corabastos y mercado mayorista, 2026.</t>
  </si>
  <si>
    <t xml:space="preserve">Estandarización de grasa de toda la recepción (kg/día)</t>
  </si>
  <si>
    <t xml:space="preserve">Crema retirada hoy</t>
  </si>
  <si>
    <t xml:space="preserve">Crema con medidor</t>
  </si>
  <si>
    <t xml:space="preserve">Crema adicional</t>
  </si>
  <si>
    <t xml:space="preserve">L1 leche entera UHT</t>
  </si>
  <si>
    <t xml:space="preserve">L2 deslactosada</t>
  </si>
  <si>
    <t xml:space="preserve">L3 bebida láctea</t>
  </si>
  <si>
    <t xml:space="preserve">Y1 yogur natural</t>
  </si>
  <si>
    <t xml:space="preserve">Y2 yogur de fresa</t>
  </si>
  <si>
    <t xml:space="preserve">Y3 yogur de mora</t>
  </si>
  <si>
    <t xml:space="preserve">Balance de grasa: crema = leche × (grasa de la leche − grasa objetivo) / (grasa de la crema − grasa objetivo). Hoy el objetivo lleva la grasa de más del ajuste manual. El doble crema usa leche entera y no se estandariza.</t>
  </si>
  <si>
    <t xml:space="preserve">Balance de masa de los quesos (kg/día)</t>
  </si>
  <si>
    <t xml:space="preserve">Corriente</t>
  </si>
  <si>
    <t xml:space="preserve">Q2 doble crema</t>
  </si>
  <si>
    <t xml:space="preserve">Leche</t>
  </si>
  <si>
    <t xml:space="preserve">Crema retirada en la estandarización</t>
  </si>
  <si>
    <t xml:space="preserve">Crema añadida al fundido</t>
  </si>
  <si>
    <t xml:space="preserve">Leche para quesería</t>
  </si>
  <si>
    <t xml:space="preserve">Agua de lavado del grano</t>
  </si>
  <si>
    <t xml:space="preserve">Queso hoy</t>
  </si>
  <si>
    <t xml:space="preserve">Suero</t>
  </si>
  <si>
    <t xml:space="preserve">Cierre: entradas − salidas (debe ser 0)</t>
  </si>
  <si>
    <t xml:space="preserve">Queso adicional por el sensor de coagulación (etapa 1)</t>
  </si>
  <si>
    <t xml:space="preserve">Queso adicional por la hiladora (etapa 2)</t>
  </si>
  <si>
    <t xml:space="preserve">Queso que pasa por el hilado con la hiladora</t>
  </si>
  <si>
    <t xml:space="preserve">Queso adicional frente a la producción actual</t>
  </si>
  <si>
    <t xml:space="preserve">Se vende a los mismos clientes: es menos del 2 % del queso que ya se despacha.</t>
  </si>
  <si>
    <t xml:space="preserve">El suero total coincide con los 8.188 kg/día del caso. El queso adicional usa la misma leche: no se compra más.</t>
  </si>
  <si>
    <t xml:space="preserve">Mezcla óptima de los tres quesos (programación lineal, desde la etapa 2)</t>
  </si>
  <si>
    <t xml:space="preserve">Los 9.000 L de la quesería se reparten hoy por costumbre. Con el costo real por lote, cada litro va al queso que más deja, dentro de lo que absorbe el mercado según el estudio de mercado de la empresa (más doble crema; poca mozzarella más, porque compite con la importada) y con la capacidad que libera la hiladora. Es un programa lineal con una restricción de leche y cotas por queso; esta tabla lo resuelve ordenando los quesos por margen por litro, que para esa estructura da el óptimo exacto.</t>
  </si>
  <si>
    <t xml:space="preserve">Queso</t>
  </si>
  <si>
    <t xml:space="preserve">Leche hoy (L/día)</t>
  </si>
  <si>
    <t xml:space="preserve">Margen por litro ($/L)</t>
  </si>
  <si>
    <t xml:space="preserve">Mínimo (L/día)</t>
  </si>
  <si>
    <t xml:space="preserve">Máximo (L/día)</t>
  </si>
  <si>
    <t xml:space="preserve">Puesto por margen</t>
  </si>
  <si>
    <t xml:space="preserve">Leche óptima (L/día)</t>
  </si>
  <si>
    <t xml:space="preserve">Cambio (L/día)</t>
  </si>
  <si>
    <t xml:space="preserve">Margen adicional de la mezcla óptima ($ M/año)</t>
  </si>
  <si>
    <t xml:space="preserve">Ventas adicionales de la mezcla óptima ($ M/año)</t>
  </si>
  <si>
    <t xml:space="preserve">Horas de hiladora al día con la mezcla óptima (300 kg/h)</t>
  </si>
  <si>
    <t xml:space="preserve">Cabe en un turno: la hiladora libera la capacidad que el hilado a mano no tiene.</t>
  </si>
  <si>
    <t xml:space="preserve">Comprobación: leche óptima − leche de hoy (L/día)</t>
  </si>
  <si>
    <t xml:space="preserve">Margen por litro: queso por litro × (precio − insumos) más la crema que se retira y se vende, menos la crema que se añade al fundido. La leche cuesta lo mismo en los tres, así que no cambia la decisión. Método: Meneghini et al. (2016), programación lineal de la mezcla en una láctea de Brasil.</t>
  </si>
  <si>
    <t xml:space="preserve">Estudio de mercado: ¿la región absorbe la nueva mezcla?</t>
  </si>
  <si>
    <t xml:space="preserve">Lácteos Fúquene vende en Bogotá, Cundinamarca y Boyacá. Con fuentes públicas se estima el tamaño del mercado de quesos de esa región y se compara con el queso de más que pide la mezcla óptima. Los límites de la mezcla (supuestos de arriba) salen de este análisis.</t>
  </si>
  <si>
    <t xml:space="preserve">Fuente o cálculo</t>
  </si>
  <si>
    <t xml:space="preserve">Población de Bogotá, Cundinamarca y Boyacá en 2026</t>
  </si>
  <si>
    <t xml:space="preserve">DANE, proyecciones con base en el censo de 2018: Bogotá 7.945.996, Cundinamarca 3.601.277, Boyacá 1.295.848.</t>
  </si>
  <si>
    <t xml:space="preserve">Consumo de queso por persona (bajo)</t>
  </si>
  <si>
    <t xml:space="preserve">kg/año</t>
  </si>
  <si>
    <t xml:space="preserve">Cundinamarca, Nielsen 2017 (Portafolio, 26 de septiembre de 2018).</t>
  </si>
  <si>
    <t xml:space="preserve">Consumo de queso por persona (alto)</t>
  </si>
  <si>
    <t xml:space="preserve">Promedio nacional (Portafolio, 13 de agosto de 2024).</t>
  </si>
  <si>
    <t xml:space="preserve">Mercado de queso de la región (bajo)</t>
  </si>
  <si>
    <t xml:space="preserve">t/año</t>
  </si>
  <si>
    <t xml:space="preserve">Población × consumo por persona.</t>
  </si>
  <si>
    <t xml:space="preserve">Mercado de queso de la región (alto)</t>
  </si>
  <si>
    <t xml:space="preserve">Participación de los quesos hilados (doble crema, mozzarella)</t>
  </si>
  <si>
    <t xml:space="preserve">% del mercado</t>
  </si>
  <si>
    <t xml:space="preserve">Nielsen 2017: frescos 32 %, hilados 28 %, gratinados 6 %, maduros 2 % (Portafolio, 2018).</t>
  </si>
  <si>
    <t xml:space="preserve">Mercado de hilados de la región (bajo)</t>
  </si>
  <si>
    <t xml:space="preserve">Se toma el bajo para ser prudentes.</t>
  </si>
  <si>
    <t xml:space="preserve">Crecimiento del mercado de queso</t>
  </si>
  <si>
    <t xml:space="preserve">% al año</t>
  </si>
  <si>
    <t xml:space="preserve">Portafolio, 13 de agosto de 2024. Nielsen (Portafolio, 9 de noviembre de 2023) ve a Cundinamarca y Boyacá entre las regiones que más crecen.</t>
  </si>
  <si>
    <t xml:space="preserve">Crecimiento anual de los hilados de la región</t>
  </si>
  <si>
    <t xml:space="preserve">Mercado bajo × crecimiento.</t>
  </si>
  <si>
    <t xml:space="preserve">Hilados que produce hoy Lácteos Fúquene</t>
  </si>
  <si>
    <t xml:space="preserve">Balance de masa de esta hoja.</t>
  </si>
  <si>
    <t xml:space="preserve">Participación de Lácteos Fúquene en los hilados de la región</t>
  </si>
  <si>
    <t xml:space="preserve">Con el mercado bajo.</t>
  </si>
  <si>
    <t xml:space="preserve">Hilados de más con la mezcla óptima</t>
  </si>
  <si>
    <t xml:space="preserve">Cambio de leche × queso por litro × días.</t>
  </si>
  <si>
    <t xml:space="preserve">Hilados de más frente al mercado de la región</t>
  </si>
  <si>
    <t xml:space="preserve">Es lo que tendría que ganar de mercado.</t>
  </si>
  <si>
    <t xml:space="preserve">Hilados de más frente a lo que crece ese mercado en un año</t>
  </si>
  <si>
    <t xml:space="preserve">Si es pequeño, se vende con el crecimiento del mercado, sin quitarle clientes a nadie ni bajar el precio.</t>
  </si>
  <si>
    <t xml:space="preserve">Lectura: el doble crema de más es una fracción pequeña de lo que crece el mercado de hilados de la región y casi no compite con importados, así que se puede subir 15 %. La mozzarella sí compite con la de Estados Unidos, que entra sin arancel ni cupo desde 2026: se limita a 5 %. El campesino baja 15 % sin problema de mercado. Ventas confirma estos límites en la etapa 0 con sus clientes.</t>
  </si>
  <si>
    <t xml:space="preserve">Beneficio planta ($ M/año)</t>
  </si>
  <si>
    <t xml:space="preserve">Δ ventas planta ($ M/año)</t>
  </si>
  <si>
    <t xml:space="preserve">Cálculo</t>
  </si>
  <si>
    <t xml:space="preserve">Horas extra del hilado evitadas con el orden del hilado</t>
  </si>
  <si>
    <t xml:space="preserve">Horas × operarios × días × costo de la hora extra.</t>
  </si>
  <si>
    <t xml:space="preserve">Mayor rendimiento del campesino y la mozzarella</t>
  </si>
  <si>
    <t xml:space="preserve">Queso adicional × (precio − insumos) × días.</t>
  </si>
  <si>
    <t xml:space="preserve">Estandarización de grasa en línea (toda la recepción)</t>
  </si>
  <si>
    <t xml:space="preserve">Crema adicional × (precio de la crema − leche UHT que deja de venderse) × días.</t>
  </si>
  <si>
    <t xml:space="preserve">Menor merma y devoluciones (toda la planta)</t>
  </si>
  <si>
    <t xml:space="preserve">Reducción de la merma × ventas de la planta.</t>
  </si>
  <si>
    <t xml:space="preserve">Mantenimiento preventivo (toda la planta)</t>
  </si>
  <si>
    <t xml:space="preserve">Ahorro × gasto de mantenimiento.</t>
  </si>
  <si>
    <t xml:space="preserve">Menor sobrepeso de los tres quesos</t>
  </si>
  <si>
    <t xml:space="preserve">Sobrepeso evitado × ventas de quesos, menos el empaque.</t>
  </si>
  <si>
    <t xml:space="preserve">Programación con el estado real de la planta (MES y ERP integrados)</t>
  </si>
  <si>
    <t xml:space="preserve">Pedidos que dejan de salir tarde o incompletos × descuento evitado, más las horas de conciliación que registra el MES.</t>
  </si>
  <si>
    <t xml:space="preserve">Balance de sólidos y humedad por lote en el MES (H11)</t>
  </si>
  <si>
    <t xml:space="preserve">Queso que se recupera × (precio − insumos) × días.</t>
  </si>
  <si>
    <t xml:space="preserve">Horas extra restantes que elimina la hiladora</t>
  </si>
  <si>
    <t xml:space="preserve">Igual que en la etapa 1.</t>
  </si>
  <si>
    <t xml:space="preserve">Limpieza CIP automática (las tres líneas)</t>
  </si>
  <si>
    <t xml:space="preserve">Ahorro × gasto de energía, agua, gas y químicos; la quesería toma su circuito.</t>
  </si>
  <si>
    <t xml:space="preserve">Suero × días × (precio con contrato − precio actual). La energía del enfriamiento va en los costos.</t>
  </si>
  <si>
    <t xml:space="preserve">Mezcla óptima de los tres quesos con el costo real por lote (H12)</t>
  </si>
  <si>
    <t xml:space="preserve">Programación lineal de la mezcla (tabla de arriba).</t>
  </si>
  <si>
    <t xml:space="preserve">Reubicación por competencias (H10): control nocturno de la incubación del yogur (H2)</t>
  </si>
  <si>
    <t xml:space="preserve">Yogur que deja de perderse × ventas del yogur × costo variable: leche, insumos y energía que se dejan de botar. La nómina no se cuenta porque no cambia.</t>
  </si>
  <si>
    <t xml:space="preserve">Reubicación por competencias (H10): mantenimiento autónomo del plan preventivo</t>
  </si>
  <si>
    <t xml:space="preserve">Contratación que se evita × costo anual de un operario.</t>
  </si>
  <si>
    <t xml:space="preserve">Cada hallazgo de la quesería tiene una medida en la oferta y un beneficio. De yogur y UHT, la oferta toma solo lo que resuelve la reubicación del personal (H2); el resto, a precio de venta, es la base de la ampliación a esas líneas, que usa la misma plataforma.</t>
  </si>
  <si>
    <t xml:space="preserve">Valor para la planta ($ M/año)</t>
  </si>
  <si>
    <t xml:space="preserve">Se carga a la quesería ($ M/año)</t>
  </si>
  <si>
    <t xml:space="preserve">H1. Grasa estandarizada a mano</t>
  </si>
  <si>
    <t xml:space="preserve">Medidor de grasa en línea con válvula de remezcla</t>
  </si>
  <si>
    <t xml:space="preserve">1</t>
  </si>
  <si>
    <t xml:space="preserve">H2. Yogur incubado de noche sin vigilancia</t>
  </si>
  <si>
    <t xml:space="preserve">Control nocturno por pH con un operario del hilado reubicado (H10)</t>
  </si>
  <si>
    <t xml:space="preserve">2</t>
  </si>
  <si>
    <t xml:space="preserve">H2. Lo que queda del yogur sobreacidificado</t>
  </si>
  <si>
    <t xml:space="preserve">Fuera de esta oferta: fin de la incubación por pH en línea (ampliación a yogur)</t>
  </si>
  <si>
    <t xml:space="preserve">—</t>
  </si>
  <si>
    <t xml:space="preserve">H3. Producto regalado en el llenado: quesos</t>
  </si>
  <si>
    <t xml:space="preserve">Controladora de peso y detector de metales (E18)</t>
  </si>
  <si>
    <t xml:space="preserve">H3. Producto regalado en el llenado: yogur y UHT</t>
  </si>
  <si>
    <t xml:space="preserve">Fuera de esta oferta: llenado controlado por peso (ampliación)</t>
  </si>
  <si>
    <t xml:space="preserve">H4. Pérdidas del UHT en arranques y cambios</t>
  </si>
  <si>
    <t xml:space="preserve">Fuera de esta oferta: corte de interfases por conductividad (ampliación a UHT)</t>
  </si>
  <si>
    <t xml:space="preserve">H5. Hilado manual, cuello de botella</t>
  </si>
  <si>
    <t xml:space="preserve">Orden del hilado (etapa 0) e hiladora-moldeadora (etapa 2): horas extra y más queso</t>
  </si>
  <si>
    <t xml:space="preserve">0 y 2</t>
  </si>
  <si>
    <t xml:space="preserve">H6. Registros críticos en papel</t>
  </si>
  <si>
    <t xml:space="preserve">SCADA, historiador y MES con trazabilidad por lote: menor merma</t>
  </si>
  <si>
    <t xml:space="preserve">H7. Limpieza y mantenimiento manuales y correctivos</t>
  </si>
  <si>
    <t xml:space="preserve">Plan de mantenimiento preventivo (etapa 0) y CIP automático (etapa 2)</t>
  </si>
  <si>
    <t xml:space="preserve">H8. Suero vendido barato</t>
  </si>
  <si>
    <t xml:space="preserve">Enfriador y tanque del suero con contrato de venta</t>
  </si>
  <si>
    <t xml:space="preserve">H9. Información en islas</t>
  </si>
  <si>
    <t xml:space="preserve">MES con estado de máquinas, paros y OEE enlazado al ERP</t>
  </si>
  <si>
    <t xml:space="preserve">H10. Puestos asignados por costumbre, no por competencias</t>
  </si>
  <si>
    <t xml:space="preserve">Matriz de competencias y asignación por el método húngaro: un operario al turno de noche del yogur (valor en H2) y otro al mantenimiento autónomo</t>
  </si>
  <si>
    <t xml:space="preserve">H11. No se sabe cuánto queso sale de cada litro, lote por lote</t>
  </si>
  <si>
    <t xml:space="preserve">Balance de sólidos y humedad por lote en el MES, con analizador de leche y suero</t>
  </si>
  <si>
    <t xml:space="preserve">H12. El costo y la mezcla de quesos se deciden con promedios</t>
  </si>
  <si>
    <t xml:space="preserve">Costo real por lote y mezcla óptima por programación lineal, en la reunión mensual de ventas y operaciones</t>
  </si>
  <si>
    <t xml:space="preserve">Innovación de la oferta (no viene de una pérdida)</t>
  </si>
  <si>
    <t xml:space="preserve">Corte del cuajo con sensor de coagulación: más rendimiento</t>
  </si>
  <si>
    <t xml:space="preserve">Valor de las medidas de la oferta</t>
  </si>
  <si>
    <t xml:space="preserve">Pérdidas de yogur y UHT que quedan para la ampliación</t>
  </si>
  <si>
    <t xml:space="preserve">Lo que se carga a la quesería es su parte de lo común a la planta (36 % de la leche para grasa y mantenimiento, su parte de las ventas para la merma, un tercio del CIP). Coincide con el beneficio anual pleno de la hoja Quesería.</t>
  </si>
  <si>
    <t xml:space="preserve">Cómo se mide cada beneficio: matriz de trazabilidad</t>
  </si>
  <si>
    <t xml:space="preserve">Cada beneficio tiene línea base, indicador, fuente del dato, responsable y criterio de aceptación. La etapa 0 mide la línea base con un protocolo de medida y verificación; las compuertas comparan contra ella. La última columna dice qué no entra en cada beneficio, para no contar dos veces el mismo producto.</t>
  </si>
  <si>
    <t xml:space="preserve">Línea base de hoy y fuente</t>
  </si>
  <si>
    <t xml:space="preserve">Responsable y frecuencia</t>
  </si>
  <si>
    <t xml:space="preserve">Criterio de aceptación</t>
  </si>
  <si>
    <t xml:space="preserve">Qué no incluye</t>
  </si>
  <si>
    <t xml:space="preserve">Horas extra del hilado (orden del hilado)</t>
  </si>
  <si>
    <t xml:space="preserve">8,4 h/día de hilado; horas extra de 3 meses de nómina</t>
  </si>
  <si>
    <t xml:space="preserve">Horas extra por tonelada hilada</t>
  </si>
  <si>
    <t xml:space="preserve">Jefe de quesería; mensual</t>
  </si>
  <si>
    <t xml:space="preserve">0,5 h/día menos, sostenido 2 meses (compuerta 1)</t>
  </si>
  <si>
    <t xml:space="preserve">Las horas que elimina la hiladora (etapa 2).</t>
  </si>
  <si>
    <t xml:space="preserve">Rendimiento por el sensor de coagulación</t>
  </si>
  <si>
    <t xml:space="preserve">kg de queso por 100 L de cada tina y referencia; un mes de registros de lote</t>
  </si>
  <si>
    <t xml:space="preserve">Rendimiento corregido por grasa y proteína de la leche</t>
  </si>
  <si>
    <t xml:space="preserve">Ingeniero de procesos; por lote</t>
  </si>
  <si>
    <t xml:space="preserve">Prueba en una tina con equipo de demostración antes de comprar (compuerta 1)</t>
  </si>
  <si>
    <t xml:space="preserve">El queso adicional de la hiladora.</t>
  </si>
  <si>
    <t xml:space="preserve">0,08 puntos de grasa de más por referencia; laboratorio</t>
  </si>
  <si>
    <t xml:space="preserve">Grasa real menos objetivo, por lote</t>
  </si>
  <si>
    <t xml:space="preserve">Jefe de calidad; diario</t>
  </si>
  <si>
    <t xml:space="preserve">Desviación menor a 0,02 puntos en 3 meses</t>
  </si>
  <si>
    <t xml:space="preserve">El rendimiento del sensor.</t>
  </si>
  <si>
    <t xml:space="preserve">Menor merma y devoluciones</t>
  </si>
  <si>
    <t xml:space="preserve">2,0 % de las ventas, por causa (vencimiento, cadena de frío, empaque, devolución); ERP</t>
  </si>
  <si>
    <t xml:space="preserve">Merma por causa sobre ventas</t>
  </si>
  <si>
    <t xml:space="preserve">Jefes de logística y calidad; mensual</t>
  </si>
  <si>
    <t xml:space="preserve">1,5 % sostenido 6 meses</t>
  </si>
  <si>
    <t xml:space="preserve">El sobrepeso (sale dentro del empaque y no se registra como merma) y el yogur sobreacidificado (H2).</t>
  </si>
  <si>
    <t xml:space="preserve">Mantenimiento preventivo</t>
  </si>
  <si>
    <t xml:space="preserve">Gasto de 12 meses en órdenes, repuestos y paros</t>
  </si>
  <si>
    <t xml:space="preserve">Gasto de mantenimiento por hora de operación</t>
  </si>
  <si>
    <t xml:space="preserve">Jefe de mantenimiento; mensual</t>
  </si>
  <si>
    <t xml:space="preserve">Ahorro neto de 20 % frente a la línea base</t>
  </si>
  <si>
    <t xml:space="preserve">El mantenimiento de los equipos nuevos (3 % de su costo, en costos nuevos).</t>
  </si>
  <si>
    <t xml:space="preserve">Menor sobrepeso de los quesos</t>
  </si>
  <si>
    <t xml:space="preserve">1,0 % sobre el peso declarado; muestreo de 30 unidades por turno</t>
  </si>
  <si>
    <t xml:space="preserve">Sobrepeso promedio por referencia</t>
  </si>
  <si>
    <t xml:space="preserve">Jefe de calidad; por turno</t>
  </si>
  <si>
    <t xml:space="preserve">0,5 % con la controladora de peso</t>
  </si>
  <si>
    <t xml:space="preserve">La merma y las devoluciones.</t>
  </si>
  <si>
    <t xml:space="preserve">Programación con el estado real de la planta (H9)</t>
  </si>
  <si>
    <t xml:space="preserve">1 % de las ventas de quesos tarde o incompleto; 1,5 h/día de conciliación</t>
  </si>
  <si>
    <t xml:space="preserve">Pedidos completos y a tiempo (OTIF); horas de digitación</t>
  </si>
  <si>
    <t xml:space="preserve">Jefe de planeación y gerente comercial; mensual</t>
  </si>
  <si>
    <t xml:space="preserve">Dos tercios menos de pedidos incumplidos en 6 meses</t>
  </si>
  <si>
    <t xml:space="preserve">El descuento por otras causas (precio, cliente).</t>
  </si>
  <si>
    <t xml:space="preserve">Hiladora: más doble crema y mozzarella</t>
  </si>
  <si>
    <t xml:space="preserve">kg/h y queso perdido en el hilado manual; registros de lote</t>
  </si>
  <si>
    <t xml:space="preserve">Rendimiento y capacidad del hilado</t>
  </si>
  <si>
    <t xml:space="preserve">Prueba en la fábrica del proveedor con leche de la planta (compuerta 2)</t>
  </si>
  <si>
    <t xml:space="preserve">El rendimiento del sensor de coagulación.</t>
  </si>
  <si>
    <t xml:space="preserve">Horas extra restantes (hiladora)</t>
  </si>
  <si>
    <t xml:space="preserve">Las que quedan después del orden del hilado</t>
  </si>
  <si>
    <t xml:space="preserve">Cero horas extra de hilado en régimen</t>
  </si>
  <si>
    <t xml:space="preserve">Las del orden del hilado (etapa 0).</t>
  </si>
  <si>
    <t xml:space="preserve">CIP automático</t>
  </si>
  <si>
    <t xml:space="preserve">Agua, químicos, vapor y horas por ciclo de lavado</t>
  </si>
  <si>
    <t xml:space="preserve">Costo por ciclo, con limpieza validada (ATP)</t>
  </si>
  <si>
    <t xml:space="preserve">Jefes de mantenimiento y calidad; mensual</t>
  </si>
  <si>
    <t xml:space="preserve">Un tercio menos de gasto, sin fallas de limpieza</t>
  </si>
  <si>
    <t xml:space="preserve">La energía del CIP (en costos nuevos).</t>
  </si>
  <si>
    <t xml:space="preserve">Venta del suero enfriado</t>
  </si>
  <si>
    <t xml:space="preserve">8.188 kg/día a $30/kg</t>
  </si>
  <si>
    <t xml:space="preserve">Precio neto por kg vendido</t>
  </si>
  <si>
    <t xml:space="preserve">Gerente comercial; mensual</t>
  </si>
  <si>
    <t xml:space="preserve">Contrato firmado a $45/kg o más antes de comprar el enfriador (compuerta 2)</t>
  </si>
  <si>
    <t xml:space="preserve">La energía del enfriamiento (en costos nuevos).</t>
  </si>
  <si>
    <t xml:space="preserve">Balance de sólidos y humedad por lote (H11)</t>
  </si>
  <si>
    <t xml:space="preserve">Rendimiento de cada lote frente al de Van Slyke; humedad del queso y grasa y proteína del suero (un mes de lotes, laboratorio)</t>
  </si>
  <si>
    <t xml:space="preserve">Eficiencia de rendimiento por lote</t>
  </si>
  <si>
    <t xml:space="preserve">Ingeniero de procesos y jefe de calidad; por lote</t>
  </si>
  <si>
    <t xml:space="preserve">Lotes bajos llevados a la mediana: 0,5 % más queso en 6 meses</t>
  </si>
  <si>
    <t xml:space="preserve">El sensor de coagulación y la hiladora (se descuentan de la línea base).</t>
  </si>
  <si>
    <t xml:space="preserve">Mezcla óptima de los quesos (H12)</t>
  </si>
  <si>
    <t xml:space="preserve">Leche por queso de hoy (4.500 / 3.000 / 1.500 L) y costo real por lote de un mes</t>
  </si>
  <si>
    <t xml:space="preserve">Margen de contribución de la quesería por litro</t>
  </si>
  <si>
    <t xml:space="preserve">Ingeniero de gestión y finanzas con Ventas; mensual</t>
  </si>
  <si>
    <t xml:space="preserve">Mezcla aprobada en la reunión mensual y ventas del doble crema sin bajar el precio</t>
  </si>
  <si>
    <t xml:space="preserve">El queso adicional de la hiladora (va en su beneficio).</t>
  </si>
  <si>
    <t xml:space="preserve">Control nocturno del yogur (H10 y H2)</t>
  </si>
  <si>
    <t xml:space="preserve">2 % de lotes fuera de pH final; registro de pH por turno</t>
  </si>
  <si>
    <t xml:space="preserve">Lotes sobreacidificados o reprocesados</t>
  </si>
  <si>
    <t xml:space="preserve">Jefe de producción de yogur; semanal</t>
  </si>
  <si>
    <t xml:space="preserve">1 % en 3 meses</t>
  </si>
  <si>
    <t xml:space="preserve">La nómina: se valora a costo variable (leche, insumos, energía).</t>
  </si>
  <si>
    <t xml:space="preserve">Mantenimiento autónomo (H10)</t>
  </si>
  <si>
    <t xml:space="preserve">Puesto que pide el plan preventivo y no existe</t>
  </si>
  <si>
    <t xml:space="preserve">Tareas de inspección y lubricación cumplidas</t>
  </si>
  <si>
    <t xml:space="preserve">90 % de cumplimiento sin contratar</t>
  </si>
  <si>
    <t xml:space="preserve">El ahorro del plan preventivo.</t>
  </si>
  <si>
    <t xml:space="preserve">Tarifa de energía eléctrica</t>
  </si>
  <si>
    <t xml:space="preserve">$/kWh</t>
  </si>
  <si>
    <t xml:space="preserve">Enel Colombia, tarifa comercial e industrial, agosto de 2026.</t>
  </si>
  <si>
    <t xml:space="preserve">Precio del gas natural para la industria</t>
  </si>
  <si>
    <t xml:space="preserve">US$/MBTU</t>
  </si>
  <si>
    <t xml:space="preserve">Precio esperado para la industria en 2026 con gas importado (Vanti, en Portafolio).</t>
  </si>
  <si>
    <t xml:space="preserve">Tasa de cambio</t>
  </si>
  <si>
    <t xml:space="preserve">$/US$</t>
  </si>
  <si>
    <t xml:space="preserve">Hoja Cotizaciones.</t>
  </si>
  <si>
    <t xml:space="preserve">Energía útil de un kg de vapor</t>
  </si>
  <si>
    <t xml:space="preserve">MJ/kg</t>
  </si>
  <si>
    <t xml:space="preserve">Vapor saturado de baja presión.</t>
  </si>
  <si>
    <t xml:space="preserve">Eficiencia de la caldera</t>
  </si>
  <si>
    <t xml:space="preserve">Caldera de gas en buen estado.</t>
  </si>
  <si>
    <t xml:space="preserve">Costo del vapor</t>
  </si>
  <si>
    <t xml:space="preserve">1 MBTU = 1.055 MJ.</t>
  </si>
  <si>
    <t xml:space="preserve">Vapor de la hiladora</t>
  </si>
  <si>
    <t xml:space="preserve">kg/kg de queso hilado</t>
  </si>
  <si>
    <t xml:space="preserve">Hiladora con inyección de vapor; se cuenta todo como adicional aunque reemplaza el agua caliente de las marmitas.</t>
  </si>
  <si>
    <t xml:space="preserve">Calor específico del suero</t>
  </si>
  <si>
    <t xml:space="preserve">kJ/kg·K</t>
  </si>
  <si>
    <t xml:space="preserve">Enfriamiento con agua helada</t>
  </si>
  <si>
    <t xml:space="preserve">°C</t>
  </si>
  <si>
    <t xml:space="preserve">De 20 a 4 °C; el primer tramo, de 38 a 20 °C, se hace con agua de torre.</t>
  </si>
  <si>
    <t xml:space="preserve">Rendimiento del equipo de agua helada</t>
  </si>
  <si>
    <t xml:space="preserve">kWh frío/kWh eléctrico</t>
  </si>
  <si>
    <t xml:space="preserve">Valor típico de un enfriador de agua.</t>
  </si>
  <si>
    <t xml:space="preserve">Consumo eléctrico</t>
  </si>
  <si>
    <t xml:space="preserve">kW</t>
  </si>
  <si>
    <t xml:space="preserve">kWh/día</t>
  </si>
  <si>
    <t xml:space="preserve">Días/año</t>
  </si>
  <si>
    <t xml:space="preserve">kWh/año</t>
  </si>
  <si>
    <t xml:space="preserve">Quesería ($ M/año)</t>
  </si>
  <si>
    <t xml:space="preserve">Controladora de peso y detector de metales</t>
  </si>
  <si>
    <t xml:space="preserve">Medidor de grasa en línea (recepción común)</t>
  </si>
  <si>
    <t xml:space="preserve">SCADA: servidor, red y estaciones</t>
  </si>
  <si>
    <t xml:space="preserve">Hiladora-moldeadora: motores y bombas</t>
  </si>
  <si>
    <t xml:space="preserve">CIP: bombas de impulsión y retorno</t>
  </si>
  <si>
    <t xml:space="preserve">Enfriamiento del suero: agua helada y bombas</t>
  </si>
  <si>
    <t xml:space="preserve">kg de vapor/día</t>
  </si>
  <si>
    <t xml:space="preserve">Las liras con variador reemplazan motores que ya existen: no suman consumo.</t>
  </si>
  <si>
    <t xml:space="preserve">Costo del enfriamiento por kg de suero</t>
  </si>
  <si>
    <t xml:space="preserve">Antes se suponían $5/kg; el cálculo de energía da esta cifra.</t>
  </si>
  <si>
    <t xml:space="preserve">Calibración y verificación</t>
  </si>
  <si>
    <t xml:space="preserve">$ M/año (planta)</t>
  </si>
  <si>
    <t xml:space="preserve">Controladora de peso: calibración con pesas patrón</t>
  </si>
  <si>
    <t xml:space="preserve">Detector de metales: probetas de prueba y verificación</t>
  </si>
  <si>
    <t xml:space="preserve">Medidor de grasa: contraste con el laboratorio y recalibración</t>
  </si>
  <si>
    <t xml:space="preserve">Sensores de coagulación, temperatura y caudal de las tinas</t>
  </si>
  <si>
    <t xml:space="preserve">Conductivímetros y temperatura del CIP</t>
  </si>
  <si>
    <t xml:space="preserve">Laboratorio acreditado por el ONAC; se cotiza en la etapa 0.</t>
  </si>
  <si>
    <t xml:space="preserve">Costos nuevos de la quesería ($ M/año)</t>
  </si>
  <si>
    <t xml:space="preserve">Etapa 1</t>
  </si>
  <si>
    <t xml:space="preserve">Etapa 2</t>
  </si>
  <si>
    <t xml:space="preserve">Energía, vapor y calibración</t>
  </si>
  <si>
    <t xml:space="preserve">Se suman al mantenimiento de los equipos nuevos (3 % de su costo al año) y a las suscripciones del SCADA de la hoja Quesería.</t>
  </si>
  <si>
    <t xml:space="preserve">Cotizaciones y precios de referencia de los equipos</t>
  </si>
  <si>
    <t xml:space="preserve">Precios publicados en octubre de 2026, convertidos a pesos con la TRM y el euro del día. Sin cotización formal todavía: las cifras en azul se reemplazan cuando lleguen las de los proveedores.</t>
  </si>
  <si>
    <t xml:space="preserve">Tasas de cambio y factores</t>
  </si>
  <si>
    <t xml:space="preserve">Concepto</t>
  </si>
  <si>
    <t xml:space="preserve">Fuente</t>
  </si>
  <si>
    <t xml:space="preserve">Tasa representativa del mercado (16 de octubre de 2026)</t>
  </si>
  <si>
    <t xml:space="preserve">Superintendencia Financiera, citada por Noticias Caracol, 16-oct-2026.</t>
  </si>
  <si>
    <t xml:space="preserve">Euro en pesos (15 de octubre de 2026)</t>
  </si>
  <si>
    <t xml:space="preserve">$/€</t>
  </si>
  <si>
    <t xml:space="preserve">Investing.com, citado por Portafolio, 15-oct-2026.</t>
  </si>
  <si>
    <t xml:space="preserve">Flete, seguro, arancel y nacionalización de un equipo importado</t>
  </si>
  <si>
    <t xml:space="preserve">Supuesto: flete marítimo e internación desde Asia o Europa; confirmar con el agente de aduanas.</t>
  </si>
  <si>
    <t xml:space="preserve">Instalación, integración y puesta en marcha</t>
  </si>
  <si>
    <t xml:space="preserve">Supuesto: montaje, cableado al PLC y pruebas en sitio.</t>
  </si>
  <si>
    <t xml:space="preserve">Equipos de la inversión</t>
  </si>
  <si>
    <t xml:space="preserve">Equipo</t>
  </si>
  <si>
    <t xml:space="preserve">Precio de referencia</t>
  </si>
  <si>
    <t xml:space="preserve">Moneda</t>
  </si>
  <si>
    <t xml:space="preserve">Precio en $ M</t>
  </si>
  <si>
    <t xml:space="preserve">Con nacionalización e instalación ($ M)</t>
  </si>
  <si>
    <t xml:space="preserve">Valor en el modelo ($ M)</t>
  </si>
  <si>
    <t xml:space="preserve">Estado</t>
  </si>
  <si>
    <t xml:space="preserve">Lectura</t>
  </si>
  <si>
    <t xml:space="preserve">Controladora de peso y detector de metales (estación E18)</t>
  </si>
  <si>
    <t xml:space="preserve">US$</t>
  </si>
  <si>
    <t xml:space="preserve">Precio publicado</t>
  </si>
  <si>
    <t xml:space="preserve">Made-in-China, catálogo de controladoras de peso: equipo combinado con detector de metales, US$6.500–7.000 por unidad (oct-2026).</t>
  </si>
  <si>
    <t xml:space="preserve">Equipo de origen chino. Una marca europea puede costar 3 a 4 veces más; se recomienda pedir las dos cotizaciones.</t>
  </si>
  <si>
    <t xml:space="preserve">Hiladora-moldeadora continua de 300 kg/h</t>
  </si>
  <si>
    <t xml:space="preserve">€</t>
  </si>
  <si>
    <t xml:space="preserve">Estimado con referencias</t>
  </si>
  <si>
    <t xml:space="preserve">Werktuigen: DIMA 100 Compact usada (2023), 100 kg/h, €39.000. Ullmer's: cocedora-hiladora DIMA usada, US$35.000. Made-in-China: cocedora-hiladora por lotes, US$12.500–18.500.</t>
  </si>
  <si>
    <t xml:space="preserve">Las referencias son de máquinas usadas de 100 kg/h o de equipos por lotes. Una continua nueva de 300 kg/h (Milkylab, CMT, Dima) es de precio a solicitud; el estimado equivale a unos US$102.000.</t>
  </si>
  <si>
    <t xml:space="preserve">Accio: sistemas CIP automáticos de US$4.000–10.000 (estaciones pequeñas) hasta US$80.000 (línea completa de leche).</t>
  </si>
  <si>
    <t xml:space="preserve">El estimado (un tercio de una estación de tres circuitos) está dentro del rango publicado.</t>
  </si>
  <si>
    <t xml:space="preserve">SCADA, historiador y MES ligero (licencias Ignition)</t>
  </si>
  <si>
    <t xml:space="preserve">Valorado en el BOM</t>
  </si>
  <si>
    <t xml:space="preserve">Detalle ítem por ítem en la hoja BOM.</t>
  </si>
  <si>
    <t xml:space="preserve">Las licencias son una parte; el valor del modelo incluye servidor, red e instrumentación de la quesería.</t>
  </si>
  <si>
    <t xml:space="preserve">Controlador de las tinas (CompactLogix 1769-L33ER)</t>
  </si>
  <si>
    <t xml:space="preserve">NJT Automation: 1769-L33ER nuevo, caja abierta, US$2.199,99.</t>
  </si>
  <si>
    <t xml:space="preserve">Componente incluido en la automatización de las tinas; se muestra como referencia del costo del control.</t>
  </si>
  <si>
    <t xml:space="preserve">Automatización de 2 tinas (liras con variador, sensor de coagulación, dosificación)</t>
  </si>
  <si>
    <t xml:space="preserve">Tina del doble crema: medición y mando básicos</t>
  </si>
  <si>
    <t xml:space="preserve">Medidor de grasa en línea (planta)</t>
  </si>
  <si>
    <t xml:space="preserve">Enfriador de placas y tanque pulmón del suero</t>
  </si>
  <si>
    <t xml:space="preserve">Estimado</t>
  </si>
  <si>
    <t xml:space="preserve">Pendiente de cotización.</t>
  </si>
  <si>
    <t xml:space="preserve">Siguiente paso: solicitud formal de cotización a proveedores en Colombia (equipos de proceso lácteo, instrumentación y control) para la hiladora, las tinas, el medidor de grasa, el CIP y la estación E18.</t>
  </si>
  <si>
    <t xml:space="preserve">BOM: lista de materiales del proyecto, del diseño técnico a la inversión</t>
  </si>
  <si>
    <t xml:space="preserve">Cada ítem sale del diseño técnico del proyecto (instrumentación de la sección 7 del README, modelo físico ISA-88, arquitectura ISA-95) y entra a la inversión de la hoja Quesería por su rubro. Lo especifica el paquete de la EDT indicado; el ingeniero de gestión y finanzas lo cotiza (paquete 6.1).</t>
  </si>
  <si>
    <t xml:space="preserve">Tasas y factores</t>
  </si>
  <si>
    <t xml:space="preserve">Dólar</t>
  </si>
  <si>
    <t xml:space="preserve">Euro</t>
  </si>
  <si>
    <t xml:space="preserve">Libra esterlina</t>
  </si>
  <si>
    <t xml:space="preserve">$/£</t>
  </si>
  <si>
    <t xml:space="preserve">Dólar × 1,33 US$/£ (estimado, octubre de 2026).</t>
  </si>
  <si>
    <t xml:space="preserve">Importación directa</t>
  </si>
  <si>
    <t xml:space="preserve">Flete, seguro, arancel y aduana de un equipo que se trae del exterior; hoja Cotizaciones.</t>
  </si>
  <si>
    <t xml:space="preserve">Instalación</t>
  </si>
  <si>
    <t xml:space="preserve">Montaje, cableado al PLC y pruebas; hoja Cotizaciones.</t>
  </si>
  <si>
    <t xml:space="preserve">Compra a un distribuidor en Colombia</t>
  </si>
  <si>
    <t xml:space="preserve">Instrumentos, control y red comprados a distribuidores con stock local (Endress+Hauser, Rockwell, Siemens): el precio local suele ser el de lista más 10 a 20 %. Confirmar con su cotización.</t>
  </si>
  <si>
    <t xml:space="preserve">Lista de materiales</t>
  </si>
  <si>
    <t xml:space="preserve">Tag</t>
  </si>
  <si>
    <t xml:space="preserve">Descripción</t>
  </si>
  <si>
    <t xml:space="preserve">Rubro de la inversión</t>
  </si>
  <si>
    <t xml:space="preserve">Cantidad</t>
  </si>
  <si>
    <t xml:space="preserve">Precio unitario</t>
  </si>
  <si>
    <t xml:space="preserve">Origen (0 nacional, 1 importado, 2 distribuidor)</t>
  </si>
  <si>
    <t xml:space="preserve">Instalación (1 = sí)</t>
  </si>
  <si>
    <t xml:space="preserve">Valor ($ M)</t>
  </si>
  <si>
    <t xml:space="preserve">Paquete de la EDT</t>
  </si>
  <si>
    <t xml:space="preserve">Madurez (1 a 4)</t>
  </si>
  <si>
    <t xml:space="preserve">IR-01</t>
  </si>
  <si>
    <t xml:space="preserve">Cámara termográfica para mantenimiento predictivo (FLIR E8 Pro)</t>
  </si>
  <si>
    <t xml:space="preserve">Etapa 0: herramientas de mantenimiento y medición</t>
  </si>
  <si>
    <t xml:space="preserve">2.1</t>
  </si>
  <si>
    <t xml:space="preserve">FLIR, precio de lista 2026.</t>
  </si>
  <si>
    <t xml:space="preserve">D0</t>
  </si>
  <si>
    <t xml:space="preserve">VA-01</t>
  </si>
  <si>
    <t xml:space="preserve">Analizador de vibraciones portátil</t>
  </si>
  <si>
    <t xml:space="preserve">Estimado.</t>
  </si>
  <si>
    <t xml:space="preserve">UL-01</t>
  </si>
  <si>
    <t xml:space="preserve">Detector ultrasónico de fugas de aire y vapor</t>
  </si>
  <si>
    <t xml:space="preserve">CMMS</t>
  </si>
  <si>
    <t xml:space="preserve">Software de mantenimiento (CMMS), suscripción del primer año</t>
  </si>
  <si>
    <t xml:space="preserve">$</t>
  </si>
  <si>
    <t xml:space="preserve">Estimado: unos $0,5 M al mes.</t>
  </si>
  <si>
    <t xml:space="preserve">BAL-02</t>
  </si>
  <si>
    <t xml:space="preserve">Pesas patrón y calibración de las básculas de la planta</t>
  </si>
  <si>
    <t xml:space="preserve">2.3</t>
  </si>
  <si>
    <t xml:space="preserve">MANT</t>
  </si>
  <si>
    <t xml:space="preserve">Repuestos y reparaciones urgentes que deje el diagnóstico (sellos, rodamientos, trampas de vapor)</t>
  </si>
  <si>
    <t xml:space="preserve">Estimado del diagnóstico; se ajusta con el inventario de fallas.</t>
  </si>
  <si>
    <t xml:space="preserve">FT-301/303</t>
  </si>
  <si>
    <t xml:space="preserve">Caudalímetro electromagnético sanitario DN50 (Promag H 100)</t>
  </si>
  <si>
    <t xml:space="preserve">Tinas TQ-301 y TQ-303, control y tablero</t>
  </si>
  <si>
    <t xml:space="preserve">3.1</t>
  </si>
  <si>
    <t xml:space="preserve">Instrumart, precio de lista (oct-2026).</t>
  </si>
  <si>
    <t xml:space="preserve">T13</t>
  </si>
  <si>
    <t xml:space="preserve">LT-301/303</t>
  </si>
  <si>
    <t xml:space="preserve">Radar de nivel sanitario (Micropilot FMR43)</t>
  </si>
  <si>
    <t xml:space="preserve">Instrumart, precio de lista.</t>
  </si>
  <si>
    <t xml:space="preserve">LSHH-301/303</t>
  </si>
  <si>
    <t xml:space="preserve">Interruptor de nivel alto por vibración (Liquiphant FTL33)</t>
  </si>
  <si>
    <t xml:space="preserve">TT-301/303</t>
  </si>
  <si>
    <t xml:space="preserve">RTD sanitaria Pt100 con transmisor de 4–20 mA</t>
  </si>
  <si>
    <t xml:space="preserve">Intempco RS80, US$230,50 (Instrumart), más transmisor estimado en US$250.</t>
  </si>
  <si>
    <t xml:space="preserve">XV-301/303</t>
  </si>
  <si>
    <t xml:space="preserve">Válvula de mariposa sanitaria DN50 con actuador neumático y posicionador on/off</t>
  </si>
  <si>
    <t xml:space="preserve">Tameson, precio de lista.</t>
  </si>
  <si>
    <t xml:space="preserve">TV-301/303</t>
  </si>
  <si>
    <t xml:space="preserve">Válvula de control del agua caliente y fría de la camisa</t>
  </si>
  <si>
    <t xml:space="preserve">SC-301/303</t>
  </si>
  <si>
    <t xml:space="preserve">Variador de velocidad de las liras de corte y agitación (PowerFlex 525, 7,5 kW)</t>
  </si>
  <si>
    <t xml:space="preserve">Estimado nuevo; NJT Automation lo publica usado en US$549,99. Las liras y sus motores ya existen.</t>
  </si>
  <si>
    <t xml:space="preserve">AT-301/303</t>
  </si>
  <si>
    <t xml:space="preserve">Sensor de coagulación en línea (tipo CoAguLite) con su transmisor</t>
  </si>
  <si>
    <t xml:space="preserve">Precio a solicitud; usa el PLC y el SCADA de la planta. Estimado.</t>
  </si>
  <si>
    <t xml:space="preserve">P-DOS</t>
  </si>
  <si>
    <t xml:space="preserve">Bombas dosificadoras de cuajo, cloruro de calcio y cultivo (ProMinent Gamma X)</t>
  </si>
  <si>
    <t xml:space="preserve">£</t>
  </si>
  <si>
    <t xml:space="preserve">TF Pumps, precio de lista.</t>
  </si>
  <si>
    <t xml:space="preserve">XV-DOS</t>
  </si>
  <si>
    <t xml:space="preserve">Válvulas de destino de la dosificación a cada tina</t>
  </si>
  <si>
    <t xml:space="preserve">BAL-01</t>
  </si>
  <si>
    <t xml:space="preserve">Balanza de ingredientes con salida Ethernet</t>
  </si>
  <si>
    <t xml:space="preserve">pH-M01</t>
  </si>
  <si>
    <t xml:space="preserve">pHmetro de mesa calibrado para la muestra de cuajada</t>
  </si>
  <si>
    <t xml:space="preserve">PLC-300</t>
  </si>
  <si>
    <t xml:space="preserve">Controlador CompactLogix 5380 (5069-L320ER)</t>
  </si>
  <si>
    <t xml:space="preserve">3.2</t>
  </si>
  <si>
    <t xml:space="preserve">NJT Automation, reacondicionado; nuevo con el distribuidor.</t>
  </si>
  <si>
    <t xml:space="preserve">AI-300</t>
  </si>
  <si>
    <t xml:space="preserve">Módulo de 8 entradas analógicas (5069-IF8)</t>
  </si>
  <si>
    <t xml:space="preserve">NJT Automation.</t>
  </si>
  <si>
    <t xml:space="preserve">AO-300</t>
  </si>
  <si>
    <t xml:space="preserve">Módulo de 4 salidas analógicas (5069-OF4)</t>
  </si>
  <si>
    <t xml:space="preserve">DI-300</t>
  </si>
  <si>
    <t xml:space="preserve">Módulo de 16 entradas digitales (5069-IB16)</t>
  </si>
  <si>
    <t xml:space="preserve">NJT Automation, nuevo en caja abierta.</t>
  </si>
  <si>
    <t xml:space="preserve">DO-300</t>
  </si>
  <si>
    <t xml:space="preserve">Módulo de 16 salidas digitales (5069-OB16)</t>
  </si>
  <si>
    <t xml:space="preserve">PS-300</t>
  </si>
  <si>
    <t xml:space="preserve">Distribuidor de potencia del bus (5069-FPD) y fuente de 24 V</t>
  </si>
  <si>
    <t xml:space="preserve">TC-300</t>
  </si>
  <si>
    <t xml:space="preserve">Tablero de control en acero inoxidable: protecciones, borneras, cableado y canalización</t>
  </si>
  <si>
    <t xml:space="preserve">Estimado de un tablerista nacional.</t>
  </si>
  <si>
    <t xml:space="preserve">FT-302</t>
  </si>
  <si>
    <t xml:space="preserve">Tina TQ-302 del doble crema</t>
  </si>
  <si>
    <t xml:space="preserve">Instrumart.</t>
  </si>
  <si>
    <t xml:space="preserve">T2</t>
  </si>
  <si>
    <t xml:space="preserve">LT-302</t>
  </si>
  <si>
    <t xml:space="preserve">LSHH-302</t>
  </si>
  <si>
    <t xml:space="preserve">Interruptor de nivel alto (Liquiphant FTL33)</t>
  </si>
  <si>
    <t xml:space="preserve">TT-302</t>
  </si>
  <si>
    <t xml:space="preserve">RTD sanitaria Pt100 con transmisor</t>
  </si>
  <si>
    <t xml:space="preserve">Intempco RS80 más transmisor estimado.</t>
  </si>
  <si>
    <t xml:space="preserve">XV-302</t>
  </si>
  <si>
    <t xml:space="preserve">Válvula de mariposa sanitaria DN50 con actuador neumático</t>
  </si>
  <si>
    <t xml:space="preserve">Tameson.</t>
  </si>
  <si>
    <t xml:space="preserve">TV-302</t>
  </si>
  <si>
    <t xml:space="preserve">Válvula de control de la camisa</t>
  </si>
  <si>
    <t xml:space="preserve">E18</t>
  </si>
  <si>
    <t xml:space="preserve">Controladora de peso con detector de metales (estación E18)</t>
  </si>
  <si>
    <t xml:space="preserve">Estación E18 de inspección</t>
  </si>
  <si>
    <t xml:space="preserve">AT-GR</t>
  </si>
  <si>
    <t xml:space="preserve">Analizador de grasa en línea para la estandarización (NIR)</t>
  </si>
  <si>
    <t xml:space="preserve">Estandarización de grasa (recepción)</t>
  </si>
  <si>
    <t xml:space="preserve">FOSS, Anton Paar y Maselli: precio a solicitud. Estimado.</t>
  </si>
  <si>
    <t xml:space="preserve">GR</t>
  </si>
  <si>
    <t xml:space="preserve">FV-GR</t>
  </si>
  <si>
    <t xml:space="preserve">Válvula de remezcla de crema para la estandarización</t>
  </si>
  <si>
    <t xml:space="preserve">IGN-P</t>
  </si>
  <si>
    <t xml:space="preserve">Ignition Platform (servidor)</t>
  </si>
  <si>
    <t xml:space="preserve">SCADA, historiador y MES</t>
  </si>
  <si>
    <t xml:space="preserve">3.3</t>
  </si>
  <si>
    <t xml:space="preserve">Inductive Automation, lista 2026 (G2).</t>
  </si>
  <si>
    <t xml:space="preserve">SC</t>
  </si>
  <si>
    <t xml:space="preserve">IGN-A</t>
  </si>
  <si>
    <t xml:space="preserve">Ignition Application Building Suite (pantallas, alarmas, reportes)</t>
  </si>
  <si>
    <t xml:space="preserve">IGN-H</t>
  </si>
  <si>
    <t xml:space="preserve">Ignition Industrial Historian</t>
  </si>
  <si>
    <t xml:space="preserve">SRV-01</t>
  </si>
  <si>
    <t xml:space="preserve">Servidor del SCADA y el MES (Dell PowerEdge T160) con soporte de 3 años</t>
  </si>
  <si>
    <t xml:space="preserve">2.5</t>
  </si>
  <si>
    <t xml:space="preserve">SHI: configuración base más soporte ProSupport de 3 años (US$1.279).</t>
  </si>
  <si>
    <t xml:space="preserve">SW-01/02</t>
  </si>
  <si>
    <t xml:space="preserve">Switch industrial administrable</t>
  </si>
  <si>
    <t xml:space="preserve">AN-01</t>
  </si>
  <si>
    <t xml:space="preserve">Analizador de leche y suero por ultrasonido (grasa, proteína, sólidos no grasos y densidad) para el balance de sólidos por lote</t>
  </si>
  <si>
    <t xml:space="preserve">5.1</t>
  </si>
  <si>
    <t xml:space="preserve">Milkotester Master Pro, lista de Serowar 2026; calibración para suero.</t>
  </si>
  <si>
    <t xml:space="preserve">FW-01</t>
  </si>
  <si>
    <t xml:space="preserve">Firewall industrial entre la red de planta y la del ERP (zonas y conductos de IEC 62443), con un año de protección</t>
  </si>
  <si>
    <t xml:space="preserve">FortiGate Rugged 60F con FortiCare y UTP por un año (FGR-60F-BDL-950-12), lista de AVFirewalls 2026.</t>
  </si>
  <si>
    <t xml:space="preserve">HMI-01/02</t>
  </si>
  <si>
    <t xml:space="preserve">Estación de operación de acero inoxidable en la sala de tinas</t>
  </si>
  <si>
    <t xml:space="preserve">UPS-01</t>
  </si>
  <si>
    <t xml:space="preserve">UPS del servidor y del tablero</t>
  </si>
  <si>
    <t xml:space="preserve">MON-AT</t>
  </si>
  <si>
    <t xml:space="preserve">Monitoreo de estado de equipos antiguos (prensa, termoformadora, empacadoras, marmitas): transformador de corriente y contacto de marcha</t>
  </si>
  <si>
    <t xml:space="preserve">RIO-01/02</t>
  </si>
  <si>
    <t xml:space="preserve">Módulo de E/S remotas Ethernet para el monitoreo de equipos antiguos</t>
  </si>
  <si>
    <t xml:space="preserve">Precio de referencia de módulos Ethernet de 8 entradas digitales.</t>
  </si>
  <si>
    <t xml:space="preserve">HI-306</t>
  </si>
  <si>
    <t xml:space="preserve">Hiladora-moldeadora continua de 300 kg/h (E13), con su PLC y protocolo abierto</t>
  </si>
  <si>
    <t xml:space="preserve">Hiladora E13</t>
  </si>
  <si>
    <t xml:space="preserve">HI</t>
  </si>
  <si>
    <t xml:space="preserve">CIP-01</t>
  </si>
  <si>
    <t xml:space="preserve">CIP del circuito de quesos</t>
  </si>
  <si>
    <t xml:space="preserve">CIP</t>
  </si>
  <si>
    <t xml:space="preserve">HE-SU</t>
  </si>
  <si>
    <t xml:space="preserve">SU</t>
  </si>
  <si>
    <t xml:space="preserve">IO-E2</t>
  </si>
  <si>
    <t xml:space="preserve">Módulos de E/S para el CIP y el suero (5069: 1 IF8, 1 OF4, 2 IB16, 1 OB16)</t>
  </si>
  <si>
    <t xml:space="preserve">Instrumentación y control de la etapa 2</t>
  </si>
  <si>
    <t xml:space="preserve">NJT Automation y estimados, como en la etapa 1.</t>
  </si>
  <si>
    <t xml:space="preserve">E2</t>
  </si>
  <si>
    <t xml:space="preserve">TC-E2</t>
  </si>
  <si>
    <t xml:space="preserve">Ampliación del tablero de control</t>
  </si>
  <si>
    <t xml:space="preserve">FT/LT/TT-SU</t>
  </si>
  <si>
    <t xml:space="preserve">Caudal, nivel y temperatura del suero</t>
  </si>
  <si>
    <t xml:space="preserve">Mismos instrumentos de la etapa 1 en versión básica.</t>
  </si>
  <si>
    <t xml:space="preserve">TT/AT-315</t>
  </si>
  <si>
    <t xml:space="preserve">Temperatura y concentración de la salmuera (E15)</t>
  </si>
  <si>
    <t xml:space="preserve">CP-01</t>
  </si>
  <si>
    <t xml:space="preserve">Celda de paletizado con cobot, llave en mano (brazo, pinza, base, transportador y seguridad)</t>
  </si>
  <si>
    <t xml:space="preserve">Celda de paletizado (etapa 3, fuera de la evaluación)</t>
  </si>
  <si>
    <t xml:space="preserve">4.2</t>
  </si>
  <si>
    <t xml:space="preserve">Standard Bots (2026): celdas con cobot de US$60.000 a 160.000; brazo desde US$39.500.</t>
  </si>
  <si>
    <t xml:space="preserve">CP</t>
  </si>
  <si>
    <t xml:space="preserve">Total del BOM</t>
  </si>
  <si>
    <t xml:space="preserve">Hiladora, CIP y suero toman su valor de la hoja Cotizaciones, que ya incluye importación e instalación. Las licencias de Ignition no pagan importación ni instalación. Lo que es común a la planta lo paga la quesería en proporción a su leche (36 % de la recepción): las herramientas de mantenimiento, la estandarización de grasa y la plataforma del SCADA (licencias, servidor y red), que después reciben las demás líneas sin comprarla de nuevo. La señal de cada instrumento y actuador está en la lista de señales del paquete 3.1; el número de módulos de E/S cubre las señales con una reserva cercana al 25 %.</t>
  </si>
  <si>
    <t xml:space="preserve">Del BOM a la inversión de la quesería</t>
  </si>
  <si>
    <t xml:space="preserve">Rubro en la hoja Quesería</t>
  </si>
  <si>
    <t xml:space="preserve">Valor del BOM ($ M)</t>
  </si>
  <si>
    <t xml:space="preserve">Madurez ponderada</t>
  </si>
  <si>
    <t xml:space="preserve">Reparto a la quesería</t>
  </si>
  <si>
    <t xml:space="preserve">A la quesería ($ M)</t>
  </si>
  <si>
    <t xml:space="preserve">% imprevistos ponderado</t>
  </si>
  <si>
    <t xml:space="preserve">Valor en la hoja Quesería ($ M)</t>
  </si>
  <si>
    <t xml:space="preserve">Diferencia</t>
  </si>
  <si>
    <t xml:space="preserve">Fuera de la evaluación: se valora para la decisión de la etapa 3.</t>
  </si>
  <si>
    <t xml:space="preserve">Total que entra a la inversión (sin imprevistos)</t>
  </si>
  <si>
    <t xml:space="preserve">Comprobación: BOM que entra a la quesería − rubros de equipos de la hoja Quesería ($ M)</t>
  </si>
  <si>
    <t xml:space="preserve">El reparto de cada rubro pondera la parte de la quesería de cada ítem. Los imprevistos de cada rubro se ponderan con la madurez del precio de cada ítem; la hoja Quesería toma del BOM la madurez ponderada y el porcentaje de imprevistos de cada rubro.</t>
  </si>
  <si>
    <t xml:space="preserve">Escenarios de la oferta</t>
  </si>
  <si>
    <t xml:space="preserve">La misma evaluación de la hoja Quesería con los supuestos que más mueven el resultado. La columna Oferta reproduce la hoja Quesería. Los flujos de cada escenario están agrupados debajo: se abren con el signo + de la izquierda.</t>
  </si>
  <si>
    <t xml:space="preserve">Qué cambia en cada escenario</t>
  </si>
  <si>
    <t xml:space="preserve">Sin arranque en 2027</t>
  </si>
  <si>
    <t xml:space="preserve">Beneficios +20 %</t>
  </si>
  <si>
    <t xml:space="preserve">Inversión −20 %</t>
  </si>
  <si>
    <t xml:space="preserve">Costos operativos +30 %</t>
  </si>
  <si>
    <t xml:space="preserve">Costos operativos −30 %</t>
  </si>
  <si>
    <t xml:space="preserve">Inflación del consenso</t>
  </si>
  <si>
    <t xml:space="preserve">Inflación persistente</t>
  </si>
  <si>
    <t xml:space="preserve">Salario mínimo 2027: 7 %</t>
  </si>
  <si>
    <t xml:space="preserve">Salario mínimo 2027: 10 %</t>
  </si>
  <si>
    <t xml:space="preserve">Renta 30 %</t>
  </si>
  <si>
    <t xml:space="preserve">Crédito ordinario</t>
  </si>
  <si>
    <t xml:space="preserve">Garantía del FNG</t>
  </si>
  <si>
    <t xml:space="preserve">Sin las dos gestiones</t>
  </si>
  <si>
    <t xml:space="preserve">Adverso combinado</t>
  </si>
  <si>
    <t xml:space="preserve">Sin herramientas</t>
  </si>
  <si>
    <t xml:space="preserve">Con el costo de capital del proyecto</t>
  </si>
  <si>
    <t xml:space="preserve">Horas extra restantes que elimina la hiladora (1 = se cuentan)</t>
  </si>
  <si>
    <t xml:space="preserve">Descuento tributario del suero (1 = se toma)</t>
  </si>
  <si>
    <t xml:space="preserve">Valor de los equipos al año 10 (1 = se cuenta)</t>
  </si>
  <si>
    <t xml:space="preserve">Reubicación de los 2 operarios del hilado (1 = se cuenta)</t>
  </si>
  <si>
    <t xml:space="preserve">Factor de beneficios</t>
  </si>
  <si>
    <t xml:space="preserve">Factor de inversión</t>
  </si>
  <si>
    <t xml:space="preserve">Factor de costos operativos nuevos</t>
  </si>
  <si>
    <t xml:space="preserve">Tasa del crédito</t>
  </si>
  <si>
    <t xml:space="preserve">Ruta de inflación (1 base, 2 consenso, 3 persistente)</t>
  </si>
  <si>
    <t xml:space="preserve">Incremento del salario mínimo de 2027</t>
  </si>
  <si>
    <t xml:space="preserve">Costo de capital (1 = del proyecto; 0 = 16 % de la empresa)</t>
  </si>
  <si>
    <t xml:space="preserve">Depreciación fiscal por tipo de activo (1 = sí; 0 = todo a 10 años)</t>
  </si>
  <si>
    <t xml:space="preserve">Crédito fiscal por innovación, art. 256-1 (1 = se obtiene)</t>
  </si>
  <si>
    <t xml:space="preserve">Etapa 2 (1 = se hace)</t>
  </si>
  <si>
    <t xml:space="preserve">Beneficios según su respaldo (1 = caso conservador)</t>
  </si>
  <si>
    <t xml:space="preserve">Arranque de la etapa 1 en 2027 (1 = se cuenta)</t>
  </si>
  <si>
    <t xml:space="preserve">Ajuste de las tasas nominales por la inflación de la ruta (Fisher)</t>
  </si>
  <si>
    <t xml:space="preserve">Conservador: cada beneficio según su respaldo (contratado y medido 100 %, técnicamente justificado 75 %, por medir 50 %, hipotético 0 %), sin descuento ambiental ni crédito fiscal, con garantía del FNG y sin valor final de los equipos. Conservador con compuerta: lo mismo, pero la etapa 2 no se hace porque sus condiciones no se cumplen. Las rutas de inflación mueven las tasas nominales en la misma proporción (Fisher). Crédito ordinario: 15,7 %, tasa de los créditos empresariales a medianas empresas a 3–5 años en la misma fuente. Garantía del FNG: si el banco no acepta la prenda. Sin crédito fiscal: si el CNBT no certifica la inversión. Renta 30 %: si prospera la reducción anunciada por el Gobierno. Adverso combinado: beneficios −20 %, inversión +20 % y costos +30 % a la vez. Los escenarios de herramientas se explican en la hoja Herramientas.</t>
  </si>
  <si>
    <t xml:space="preserve">Resultados por escenario</t>
  </si>
  <si>
    <t xml:space="preserve">TIR del proyecto en pesos corrientes (frente al costo de capital)</t>
  </si>
  <si>
    <t xml:space="preserve">VPN al costo de capital ($ M de 2026)</t>
  </si>
  <si>
    <t xml:space="preserve">TIR del inversionista en pesos corrientes (frente al 25 %)</t>
  </si>
  <si>
    <t xml:space="preserve">Flujos de cada escenario (años 0 a 10)</t>
  </si>
  <si>
    <t xml:space="preserve">Análisis de riesgo de la oferta</t>
  </si>
  <si>
    <t xml:space="preserve">Cuánto puede empeorar cada supuesto antes de que el proyecto deje de valer la pena, y qué supuestos pesan más. Se calcula con la hoja Escenarios.</t>
  </si>
  <si>
    <t xml:space="preserve">Punto de equilibrio: variación que deja el VPN en cero</t>
  </si>
  <si>
    <t xml:space="preserve">Variación de equilibrio</t>
  </si>
  <si>
    <t xml:space="preserve">Valor de equilibrio</t>
  </si>
  <si>
    <t xml:space="preserve">Valor de la oferta</t>
  </si>
  <si>
    <t xml:space="preserve">Los beneficios pueden caer esta fracción y el proyecto todavía devuelve su costo de capital.</t>
  </si>
  <si>
    <t xml:space="preserve">La inversión puede subir esta fracción, además de los imprevistos que ya incluye.</t>
  </si>
  <si>
    <t xml:space="preserve">Los costos nuevos pueden subir esta fracción.</t>
  </si>
  <si>
    <t xml:space="preserve">El VPN cambia en línea recta con cada factor; por eso basta un escenario para hallar el punto donde se hace cero. En ese punto la TIR en pesos corrientes iguala el costo de capital.</t>
  </si>
  <si>
    <t xml:space="preserve">Sensibilidad del VPN (gráfico de tornado)</t>
  </si>
  <si>
    <t xml:space="preserve">VPN con el valor desfavorable</t>
  </si>
  <si>
    <t xml:space="preserve">VPN con el valor favorable</t>
  </si>
  <si>
    <t xml:space="preserve">Cambio desfavorable</t>
  </si>
  <si>
    <t xml:space="preserve">Cambio favorable</t>
  </si>
  <si>
    <t xml:space="preserve">Valores probados</t>
  </si>
  <si>
    <t xml:space="preserve">−20 % / +20 %</t>
  </si>
  <si>
    <t xml:space="preserve">Reubicación del personal</t>
  </si>
  <si>
    <t xml:space="preserve">Sin reubicación / con reubicación</t>
  </si>
  <si>
    <t xml:space="preserve">+20 % / −20 %</t>
  </si>
  <si>
    <t xml:space="preserve">+30 % / −30 %</t>
  </si>
  <si>
    <t xml:space="preserve">Supuestos del escenario conservador</t>
  </si>
  <si>
    <t xml:space="preserve">Beneficios según su respaldo / oferta</t>
  </si>
  <si>
    <t xml:space="preserve">Inflación</t>
  </si>
  <si>
    <t xml:space="preserve">Consenso de analistas / persistente</t>
  </si>
  <si>
    <t xml:space="preserve">Salario mínimo de 2027</t>
  </si>
  <si>
    <t xml:space="preserve">7 % / 10 %</t>
  </si>
  <si>
    <t xml:space="preserve">Gestiones de IntegraMotion (prenda y crédito fiscal)</t>
  </si>
  <si>
    <t xml:space="preserve">Sin ellas / con ellas</t>
  </si>
  <si>
    <t xml:space="preserve">VPN de la oferta ($ M)</t>
  </si>
  <si>
    <t xml:space="preserve">Inflación: las tasas nominales se mueven con la inflación de cada ruta, así que el cambio de VPN viene solo de lo pactado en pesos corrientes (deuda, depreciación fiscal, IVA y cartera). Salario mínimo: si sube más, valen más las horas extra y el puesto que se cubre con la reubicación.</t>
  </si>
  <si>
    <t xml:space="preserve">TIR en pesos corrientes</t>
  </si>
  <si>
    <t xml:space="preserve">VPN ($ M)</t>
  </si>
  <si>
    <t xml:space="preserve">Cobertura mínima</t>
  </si>
  <si>
    <t xml:space="preserve">Beneficios según su respaldo, haciendo la etapa 2 de todos modos.</t>
  </si>
  <si>
    <t xml:space="preserve">Beneficios según su respaldo; la compuerta detiene la etapa 2.</t>
  </si>
  <si>
    <t xml:space="preserve">Tres supuestos malos a la vez: es la prueba más dura.</t>
  </si>
  <si>
    <t xml:space="preserve">La inflación se queda cerca del 6,5 % hasta 2037.</t>
  </si>
  <si>
    <t xml:space="preserve">Si prospera la reducción de impuestos anunciada.</t>
  </si>
  <si>
    <t xml:space="preserve">Sin la línea de fomento.</t>
  </si>
  <si>
    <t xml:space="preserve">Si el banco no acepta la prenda.</t>
  </si>
  <si>
    <t xml:space="preserve">Si el CNBT no certifica la inversión.</t>
  </si>
  <si>
    <t xml:space="preserve">Ninguna de las dos gestiones sale.</t>
  </si>
  <si>
    <t xml:space="preserve">Primera compuerta no superada: se sale en la semana 16</t>
  </si>
  <si>
    <t xml:space="preserve">Se paga el contrato principal completo y las herramientas de la etapa 0; no se compran equipos ni se usa crédito. Es la pérdida que se acepta, con los ahorros conservadores de la etapa 0; el cálculo y su sensibilidad están en la hoja Herramientas.</t>
  </si>
  <si>
    <t xml:space="preserve">Plan de respuesta a los riesgos</t>
  </si>
  <si>
    <t xml:space="preserve">Toda empresa asume riesgos; la oferta no los elimina. Para cada uno define antes qué señal lo activa, la estrategia (evitar, mitigar, transferir o aceptar con una reserva, según el PMBOK), quién responde y con qué recursos.</t>
  </si>
  <si>
    <t xml:space="preserve">Señal que activa la respuesta</t>
  </si>
  <si>
    <t xml:space="preserve">Estrategia</t>
  </si>
  <si>
    <t xml:space="preserve">Quién responde</t>
  </si>
  <si>
    <t xml:space="preserve">Respuesta preparada, costo y dónde está en el modelo</t>
  </si>
  <si>
    <t xml:space="preserve">Los beneficios de la etapa 1 no se dan (rendimiento, grasa, merma, sobrepeso)</t>
  </si>
  <si>
    <t xml:space="preserve">La línea base medida en la etapa 0 da menos que el modelo; o 2 meses seguidos bajo la meta</t>
  </si>
  <si>
    <t xml:space="preserve">Evitar</t>
  </si>
  <si>
    <t xml:space="preserve">Jefe de quesería e ingeniero de procesos</t>
  </si>
  <si>
    <t xml:space="preserve">Primera compuerta: si con las pérdidas medidas la etapa 1 no tiene VPN positivo, no se compra. Lo comprometido es el contrato principal y las herramientas de la etapa 0; lo que se pierde está calculado en la hoja Herramientas. Ya comprada, el soporte del otrosí 1 ajusta recetas.</t>
  </si>
  <si>
    <t xml:space="preserve">La integración falla: la hiladora, el CIP o SAP no entregan los datos esperados</t>
  </si>
  <si>
    <t xml:space="preserve">El proveedor no entrega lista de señales y protocolo antes del otrosí 2; falla la prueba de interfaz con SAP</t>
  </si>
  <si>
    <t xml:space="preserve">Transferir y mitigar</t>
  </si>
  <si>
    <t xml:space="preserve">IntegraMotion y el proveedor del equipo</t>
  </si>
  <si>
    <t xml:space="preserve">La orden de compra exige lista de señales, protocolo abierto (EtherNet/IP u OPC UA) y pruebas en fábrica con acta. La interfaz con SAP se prueba con el PLC emulado antes del montaje. Si no alcanza, orden de cambio con las mismas tarifas.</t>
  </si>
  <si>
    <t xml:space="preserve">Retraso o falla en la puesta en marcha</t>
  </si>
  <si>
    <t xml:space="preserve">SPI del contrato menor a 0,90 (control por valor ganado); prueba de aceptación fallida</t>
  </si>
  <si>
    <t xml:space="preserve">Mitigar y transferir</t>
  </si>
  <si>
    <t xml:space="preserve">Director de proyecto de IntegraMotion</t>
  </si>
  <si>
    <t xml:space="preserve">Validación virtual antes del montaje y arranque tina por tina. Los retrasos de terceros se trasladan a sus contratos. Las horas extra de IntegraMotion salen de su imprevisto del AIU, no del cliente. Cada mes de retraso de la etapa 1 cuesta unos $20 M de beneficio.</t>
  </si>
  <si>
    <t xml:space="preserve">La limpieza o la trazabilidad no cumplen lo sanitario</t>
  </si>
  <si>
    <t xml:space="preserve">Hisopados ATP o análisis microbiológicos fuera de límite; observación del INVIMA</t>
  </si>
  <si>
    <t xml:space="preserve">Jefe de calidad con IntegraMotion</t>
  </si>
  <si>
    <t xml:space="preserve">El CIP se valida con el protocolo del proveedor (conductividad, temperatura, tiempo) antes de liberar. Los registros del punto crítico pasan al historiador con respaldo en papel dos meses; el termógrafo no se retira hasta validar.</t>
  </si>
  <si>
    <t xml:space="preserve">Nadie compra el suero a $45/kg</t>
  </si>
  <si>
    <t xml:space="preserve">No hay contrato firmado en la segunda compuerta</t>
  </si>
  <si>
    <t xml:space="preserve">Gerente comercial de Lácteos Fúquene</t>
  </si>
  <si>
    <t xml:space="preserve">El enfriador no se compra. Se pierden $36,1 M al año de beneficio, no la inversión.</t>
  </si>
  <si>
    <t xml:space="preserve">La reubicación no funciona en la práctica</t>
  </si>
  <si>
    <t xml:space="preserve">El yogur sobreacidificado no baja en 3 meses; el operario no alcanza el desempeño del puesto</t>
  </si>
  <si>
    <t xml:space="preserve">Mitigar</t>
  </si>
  <si>
    <t xml:space="preserve">Gestión humana y jefe de producción</t>
  </si>
  <si>
    <t xml:space="preserve">Formación y dos semanas de acompañamiento en el otrosí 2. La matriz de competencias da la segunda mejor asignación. El escenario Sin reubicación del personal muestra el efecto.</t>
  </si>
  <si>
    <t xml:space="preserve">La cobertura de la deuda baja de 1,2</t>
  </si>
  <si>
    <t xml:space="preserve">La proyección de caja de 2029 muestra menos de 1,2 para 2030</t>
  </si>
  <si>
    <t xml:space="preserve">Gerente financiero de Lácteos Fúquene</t>
  </si>
  <si>
    <t xml:space="preserve">Prepago en 2029 con la segunda mitad del crédito fiscal y el IVA recuperado (supuesto de prepago de la hoja Quesería) o reserva de caja para la cuota de 2030. La deuda total de la empresa nunca pasa de 1,3 veces su EBITDA.</t>
  </si>
  <si>
    <t xml:space="preserve">La segunda compuerta no se supera y la deuda de la etapa 1 queda con menos beneficio</t>
  </si>
  <si>
    <t xml:space="preserve">Segunda compuerta no aprobada: con solo las etapas 0 y 1, la cobertura mínima de la deuda baja de 1,2</t>
  </si>
  <si>
    <t xml:space="preserve">Gerente financiero de Lácteos Fúquene con IntegraMotion</t>
  </si>
  <si>
    <t xml:space="preserve">El crédito de la etapa 2 no se desembolsa. Con la holgura de caja de 2027 se prepaga una pequeña parte del saldo, o se deja como reserva, y la cobertura vuelve a 1,2 (monto en la hoja Herramientas). Se acuerda con el banco al aprobar el crédito.</t>
  </si>
  <si>
    <t xml:space="preserve">Falta caja durante la implementación (anticipos, IVA que se recupera un año después)</t>
  </si>
  <si>
    <t xml:space="preserve">El flujo mensual del año 0 deja la caja por debajo de un mes de nómina</t>
  </si>
  <si>
    <t xml:space="preserve">Desembolsos del crédito atados a los hitos de pago; el aporte del dueño del año 0 es un 36 % de la caja de 2026 (hoja Empresa).</t>
  </si>
  <si>
    <t xml:space="preserve">El CNBT no certifica la inversión en innovación o la CAR no da el certificado del suero</t>
  </si>
  <si>
    <t xml:space="preserve">Resolución negativa o demora de más de 6 meses</t>
  </si>
  <si>
    <t xml:space="preserve">Aceptar con reserva</t>
  </si>
  <si>
    <t xml:space="preserve">IntegraMotion (ingeniero de gestión y finanzas)</t>
  </si>
  <si>
    <t xml:space="preserve">Se postula antes de ejecutar y solo con la parte de desarrollo. La etapa 2 no depende del crédito fiscal. Sin él el proyecto sigue creando valor (escenario Sin crédito fiscal por innovación).</t>
  </si>
  <si>
    <t xml:space="preserve">El banco exige la garantía del FNG</t>
  </si>
  <si>
    <t xml:space="preserve">Respuesta del comité de crédito</t>
  </si>
  <si>
    <t xml:space="preserve">IntegraMotion con el banco</t>
  </si>
  <si>
    <t xml:space="preserve">Prenda con avalúo de los equipos y el balance de la empresa ($6.500 M en activos fijos, deuda de 0,8 veces el EBITDA). El escenario Garantía del FNG muestra el efecto.</t>
  </si>
  <si>
    <t xml:space="preserve">La hiladora cuesta más que el estimado</t>
  </si>
  <si>
    <t xml:space="preserve">Cotización formal por encima del rubro con sus imprevistos</t>
  </si>
  <si>
    <t xml:space="preserve">Ingeniero de gestión y finanzas</t>
  </si>
  <si>
    <t xml:space="preserve">Imprevistos de 15 %; precio en pesos fijado al firmar o cubierto con un forward; la etapa 2 se puede aplazar sin perder la etapa 1.</t>
  </si>
  <si>
    <t xml:space="preserve">Fallas, repuestos importados u obsolescencia en 10 años</t>
  </si>
  <si>
    <t xml:space="preserve">Sube el tiempo de reparación; aviso de fin de soporte del fabricante</t>
  </si>
  <si>
    <t xml:space="preserve">Jefe de mantenimiento</t>
  </si>
  <si>
    <t xml:space="preserve">Equipos con distribuidor en Colombia (Rockwell, Endress+Hauser), repuestos críticos en la etapa 0, reposiciones de los años 5 y 6 en el flujo y mantenimiento de 3 % al año.</t>
  </si>
  <si>
    <t xml:space="preserve">Un ataque informático llega a la planta por la red del ERP</t>
  </si>
  <si>
    <t xml:space="preserve">Alertas del firewall; accesos remotos no autorizados</t>
  </si>
  <si>
    <t xml:space="preserve">IntegraMotion en el diseño; TI de la empresa en la operación</t>
  </si>
  <si>
    <t xml:space="preserve">Firewall entre la red de planta y la del ERP (zonas y conductos de IEC 62443), acceso remoto solo por VPN con doble factor y respaldos del PLC y el SCADA. El PLC sigue operando si cae la red. Costo: ítem FW-01 del BOM y su renovación.</t>
  </si>
  <si>
    <t xml:space="preserve">Sube el gas o la energía; la inflación no baja; el salario mínimo sube más</t>
  </si>
  <si>
    <t xml:space="preserve">Tarifas y decretos de cada año</t>
  </si>
  <si>
    <t xml:space="preserve">Aceptar</t>
  </si>
  <si>
    <t xml:space="preserve">Gerente financiero</t>
  </si>
  <si>
    <t xml:space="preserve">Los escenarios de costos +30 %, inflación y salario mínimo muestran que el proyecto los aguanta; los otrosíes se reajustan con el salario mínimo.</t>
  </si>
  <si>
    <t xml:space="preserve">Herramientas económicas de la oferta</t>
  </si>
  <si>
    <t xml:space="preserve">Lo que se hace con ingeniería económica, sin comprar equipos ni cambiar líneas, para que el valor de la propuesta no dependa de supuestos mal analizados. Se calcula con la hoja Escenarios.</t>
  </si>
  <si>
    <t xml:space="preserve">Herramientas, una sobre otra</t>
  </si>
  <si>
    <t xml:space="preserve">Paso</t>
  </si>
  <si>
    <t xml:space="preserve">Costo de capital</t>
  </si>
  <si>
    <t xml:space="preserve">VPN ($ M de 2026)</t>
  </si>
  <si>
    <t xml:space="preserve">Estado y base</t>
  </si>
  <si>
    <t xml:space="preserve">Punto de partida: costo de capital de 16 %, todo depreciado a 10 años, garantía del FNG</t>
  </si>
  <si>
    <t xml:space="preserve">Referencia.</t>
  </si>
  <si>
    <t xml:space="preserve">+ Costo de capital con la deuda que financia el proyecto</t>
  </si>
  <si>
    <t xml:space="preserve">El 16 % usaba el 18 % de la deuda actual de la empresa; el proyecto se financia con Bancóldex al 14,1 % más la garantía.</t>
  </si>
  <si>
    <t xml:space="preserve">+ Depreciación por tipo de activo y gastos deducibles en el año</t>
  </si>
  <si>
    <t xml:space="preserve">Art. 137 ET: equipo de cómputo y redes al 20 % anual; el diagnóstico, la formación y el aval son gastos del año.</t>
  </si>
  <si>
    <t xml:space="preserve">+ Prenda sobre los equipos en lugar de la garantía del FNG</t>
  </si>
  <si>
    <t xml:space="preserve">Gestión de IntegraMotion ante el banco (Ley 1676 de 2013).</t>
  </si>
  <si>
    <t xml:space="preserve">+ Crédito fiscal por innovación (art. 256-1 ET)</t>
  </si>
  <si>
    <t xml:space="preserve">Gestión de IntegraMotion ante Minciencias y el CNBT: 50 % de la parte de desarrollo de la etapa 1.</t>
  </si>
  <si>
    <t xml:space="preserve">Cada fila suma la herramienta a las de arriba; todas están en la oferta. Las dos primeras corrigen el análisis; las dos últimas son gestiones que IntegraMotion hace por el cliente.</t>
  </si>
  <si>
    <t xml:space="preserve">Cómo se consiguen las dos gestiones</t>
  </si>
  <si>
    <t xml:space="preserve">• Prenda sobre los equipos: avalúo de los equipos financiados, contrato de garantía mobiliaria inscrito en el registro de Confecámaras (Ley 1676 de 2013) y póliza todo riesgo endosada al banco. Argumento ante el banco: $6.500 M en activos fijos y deuda de 0,8 veces el EBITDA. Costo: avalúo y registro, y la póliza dentro de los costos operativos.</t>
  </si>
  <si>
    <t xml:space="preserve">• Crédito fiscal por innovación (art. 256-1): Lácteos Fúquene es mediana empresa. Se formula el proyecto de innovación (corte del cuajo con sensor de coagulación y modelo de control, estandarización de grasa por balance de masa en línea y MES) y se postula en la convocatoria de beneficios tributarios de Minciencias antes de ejecutarlo, con el aval de un actor reconocido. El CNBT certifica la inversión y el crédito se compensa con impuestos nacionales en los dos años siguientes (o en títulos TIDIS si supera 1.000 UVT).</t>
  </si>
  <si>
    <t xml:space="preserve">• Base del crédito: solo la parte de desarrollo; la compra de equipos estándar (controladora de peso, medidor de grasa, tina básica) no califica. Responsable: ingeniero de gestión y finanzas, como entregable del contrato principal.</t>
  </si>
  <si>
    <t xml:space="preserve">Beneficios tributarios y de financiación: requisitos y qué pasa si no se aprueban</t>
  </si>
  <si>
    <t xml:space="preserve">Postular no es obtener. Cada beneficio tiene su requisito, quién lo aprueba, cuándo llega y una respuesta si no se aprueba.</t>
  </si>
  <si>
    <t xml:space="preserve">Quién lo aprueba</t>
  </si>
  <si>
    <t xml:space="preserve">Requisito y rubros elegibles</t>
  </si>
  <si>
    <t xml:space="preserve">Cuándo llega</t>
  </si>
  <si>
    <t xml:space="preserve">Si no se aprueba</t>
  </si>
  <si>
    <t xml:space="preserve">Crédito fiscal por innovación (art. 256-1 ET)</t>
  </si>
  <si>
    <t xml:space="preserve">CNBT, con la calificación de Minciencias</t>
  </si>
  <si>
    <t xml:space="preserve">Mediana empresa; proyecto de innovación con aval de un actor reconocido, postulado antes de ejecutar. Solo la parte de desarrollo: tinas con sensor, SCADA y MES, su ingeniería y el aval.</t>
  </si>
  <si>
    <t xml:space="preserve">Mitad en 2028 y mitad en 2029</t>
  </si>
  <si>
    <t xml:space="preserve">El VPN baja pero sigue positivo (escenario Sin crédito fiscal). La etapa 2 no depende de él.</t>
  </si>
  <si>
    <t xml:space="preserve">Descuento por inversión ambiental (art. 255 ET)</t>
  </si>
  <si>
    <t xml:space="preserve">CAR de Cundinamarca (certificado)</t>
  </si>
  <si>
    <t xml:space="preserve">Enfriador y tanque del suero, que dejan de verterlo; 25 % de la inversión con tope de 25 % del impuesto.</t>
  </si>
  <si>
    <t xml:space="preserve">Se pierde el descuento; el enfriador se justifica con el contrato del suero.</t>
  </si>
  <si>
    <t xml:space="preserve">IVA de equipos y contratos (art. 258-1 ET)</t>
  </si>
  <si>
    <t xml:space="preserve">DIAN, en la declaración de renta</t>
  </si>
  <si>
    <t xml:space="preserve">IVA pagado en bienes de capital y su instalación; se descuenta en la renta del año siguiente.</t>
  </si>
  <si>
    <t xml:space="preserve">2028 y 2029</t>
  </si>
  <si>
    <t xml:space="preserve">Es un derecho de la norma, no una postulación; el riesgo es de calendario, no de aprobación.</t>
  </si>
  <si>
    <t xml:space="preserve">Crédito de fomento con prenda (Bancóldex)</t>
  </si>
  <si>
    <t xml:space="preserve">Banco de la empresa (redescuento de Bancóldex)</t>
  </si>
  <si>
    <t xml:space="preserve">Mediana empresa con capacidad de pago; prenda inscrita sobre los equipos (Ley 1676 de 2013).</t>
  </si>
  <si>
    <t xml:space="preserve">Desembolsos en el año 0 y 2028</t>
  </si>
  <si>
    <t xml:space="preserve">Garantía del FNG o crédito ordinario: escenarios con su efecto en el VPN y la cobertura.</t>
  </si>
  <si>
    <t xml:space="preserve">Cómo se escogieron las medidas de valor del MES: matriz de criterios</t>
  </si>
  <si>
    <t xml:space="preserve">Candidatas que salieron del diagnóstico. Puntaje de 1 a 5 en cada criterio; el total pondera por el peso. Se escogieron las tres primeras: las tres usan los datos del MES que instala el proyecto y se quedan en la línea de quesos.</t>
  </si>
  <si>
    <t xml:space="preserve">Medida candidata</t>
  </si>
  <si>
    <t xml:space="preserve">Se queda en la línea de quesos</t>
  </si>
  <si>
    <t xml:space="preserve">Usa lo que instala el proyecto (MES, SCADA, ERP, sensores)</t>
  </si>
  <si>
    <t xml:space="preserve">Tamaño del valor</t>
  </si>
  <si>
    <t xml:space="preserve">Se mide con una línea base en la etapa 0</t>
  </si>
  <si>
    <t xml:space="preserve">Depende poco de supuestos externos</t>
  </si>
  <si>
    <t xml:space="preserve">Cuesta poco</t>
  </si>
  <si>
    <t xml:space="preserve">Puntaje</t>
  </si>
  <si>
    <t xml:space="preserve">Puesto</t>
  </si>
  <si>
    <t xml:space="preserve">Peso del criterio</t>
  </si>
  <si>
    <t xml:space="preserve">Balance de sólidos y humedad por lote en el MES</t>
  </si>
  <si>
    <t xml:space="preserve">Costo real por referencia y por lote</t>
  </si>
  <si>
    <t xml:space="preserve">Mezcla óptima de los tres quesos (programación lineal)</t>
  </si>
  <si>
    <t xml:space="preserve">Gestión de energía de la quesería con el SCADA</t>
  </si>
  <si>
    <t xml:space="preserve">Reunión de ventas y operaciones de quesos</t>
  </si>
  <si>
    <t xml:space="preserve">Trazabilidad por lote como herramienta comercial</t>
  </si>
  <si>
    <t xml:space="preserve">Leche por calidad hacia la quesería</t>
  </si>
  <si>
    <t xml:space="preserve">Capital de trabajo (cartera)</t>
  </si>
  <si>
    <t xml:space="preserve">Comprobación: los pesos suman 100 %</t>
  </si>
  <si>
    <t xml:space="preserve">La trazabilidad comercial queda como valor cualitativo (permite certificarse y entrar a cadenas exigentes); la leche por calidad, como recomendación que sale de los datos del balance de sólidos, porque se decide en la recepción común a las tres líneas.</t>
  </si>
  <si>
    <t xml:space="preserve">Propuestas operativas y organizacionales que aseguran los beneficios</t>
  </si>
  <si>
    <t xml:space="preserve">Propuesta</t>
  </si>
  <si>
    <t xml:space="preserve">Efecto en el VPN ($ M)</t>
  </si>
  <si>
    <t xml:space="preserve">Qué asegura</t>
  </si>
  <si>
    <t xml:space="preserve">Arranque de la etapa 1 en mayo de 2027</t>
  </si>
  <si>
    <t xml:space="preserve">El contrato principal se hace en el semestre 2026-2 y el otrosí 1 en marzo y abril de 2027. Se ganan 8 meses de beneficio y la compuerta de diciembre se decide con datos medidos, no con promesas.</t>
  </si>
  <si>
    <t xml:space="preserve">Línea base medida con un protocolo de medida y verificación (etapa 0)</t>
  </si>
  <si>
    <t xml:space="preserve">Responsable: jefe de quesería con el ingeniero de procesos. Indicadores normalizados para que no se confundan con cambios de volumen o de mezcla: horas extra por tonelada, mantenimiento por hora de operación, merma y sobrepeso por producto y lote, rendimiento por litro y por receta; registro diario en el MES y revisión mensual.</t>
  </si>
  <si>
    <t xml:space="preserve">Reubicación por competencias del personal liberado</t>
  </si>
  <si>
    <t xml:space="preserve">Matriz de competencias de la etapa 0: cada operario que libera la hiladora va al puesto donde genera más valor, no solo a manejar o mantener la máquina. Cubrir el mantenimiento autónomo con alguien de la planta ahorra además el costo de reemplazo (valor del año 2 en la columna).</t>
  </si>
  <si>
    <t xml:space="preserve">Contrato del suero antes de comprar el enfriador</t>
  </si>
  <si>
    <t xml:space="preserve">El beneficio del suero pasa a "contratado"; si no hay comprador, no se compra el equipo.</t>
  </si>
  <si>
    <t xml:space="preserve">Utilidad de IntegraMotion atada a los resultados</t>
  </si>
  <si>
    <t xml:space="preserve">Propuesta de contrato: la utilidad del AIU del contrato principal y del otrosí 1 (10 % de su costo directo) queda contingente. Se paga completa si el beneficio verificado a 12 meses llega al 80 % de la meta, en proporción entre 50 % y 80 %, y nada por debajo de 50 %. No está en el VPN de la quesería, que la paga completa.</t>
  </si>
  <si>
    <t xml:space="preserve">Bonificación del equipo de la quesería por metas</t>
  </si>
  <si>
    <t xml:space="preserve">Se paga solo de ahorro ya verificado en merma, sobrepeso y rendimiento; su monto se fija en la etapa 0. No está en el VPN: al definirlo se resta del beneficio.</t>
  </si>
  <si>
    <t xml:space="preserve">Caso conservador con la compuerta de la etapa 2</t>
  </si>
  <si>
    <t xml:space="preserve">Si solo se cuenta lo respaldado y aun así se compra la etapa 1: por eso hace falta la primera compuerta.</t>
  </si>
  <si>
    <t xml:space="preserve">Caso conservador haciendo la etapa 2 de todos modos</t>
  </si>
  <si>
    <t xml:space="preserve">Sin ninguna compuerta.</t>
  </si>
  <si>
    <t xml:space="preserve">Si la primera compuerta no se supera: lo que se pierde</t>
  </si>
  <si>
    <t xml:space="preserve">Si la línea base medida en la etapa 0 solo respalda el caso conservador, la etapa 1 no se compra. La primera compuerta está en la semana 16, cuando el contrato principal ya entregó toda su ingeniería: ese contrato se paga completo, igual que las herramientas de mantenimiento y medición de la etapa 0 (hoja BOM). Lo que se evita es la compra de equipos y los dos otrosíes. Quedan el diagnóstico, el orden del hilado, el plan de mantenimiento preventivo y el mantenimiento autónomo, y la ingeniería de las etapas 1 y 2 lista para retomarla.</t>
  </si>
  <si>
    <t xml:space="preserve">$ M de 2026</t>
  </si>
  <si>
    <t xml:space="preserve">Costo comprometido con imprevistos: herramientas de la etapa 0 y contrato principal completo</t>
  </si>
  <si>
    <t xml:space="preserve">Ahorros, caso conservador (horas extra por el orden del hilado y mantenimiento preventivo)</t>
  </si>
  <si>
    <t xml:space="preserve">Impuesto de renta, pagado al año siguiente (sin equipos que activar, el costo es gasto deducible; el del año 10 se cierra en el año 10)</t>
  </si>
  <si>
    <t xml:space="preserve">Flujo de caja libre de la etapa 0</t>
  </si>
  <si>
    <t xml:space="preserve">VPN si se sale en la primera compuerta ($ M de 2026)</t>
  </si>
  <si>
    <t xml:space="preserve">Descontado al costo de capital del caso conservador (con FNG). Es la pérdida que se acepta si las pérdidas medidas no justifican la etapa 1: los ahorros de la etapa 0 recuperan una parte del contrato principal, no todo. A cambio, la empresa no compra equipos que no se pagarían (caso conservador haciendo la etapa 1, arriba).</t>
  </si>
  <si>
    <t xml:space="preserve">Parte del costo comprometido que recuperan los ahorros de la etapa 0</t>
  </si>
  <si>
    <t xml:space="preserve">Si no se da el ahorro de mantenimiento</t>
  </si>
  <si>
    <t xml:space="preserve">El mantenimiento es cerca de tres cuartos del ahorro de la etapa 0: es lo primero que se mide.</t>
  </si>
  <si>
    <t xml:space="preserve">Si el ahorro neto de mantenimiento es 10 % del gasto y no 20 %</t>
  </si>
  <si>
    <t xml:space="preserve">Si ambos ahorros son la mitad del caso conservador</t>
  </si>
  <si>
    <t xml:space="preserve">Ahorro que haría falta para recuperar todo lo comprometido (veces el caso conservador)</t>
  </si>
  <si>
    <t xml:space="preserve">La etapa 0 sola no recupera el contrato principal: para eso está la etapa 1.</t>
  </si>
  <si>
    <t xml:space="preserve">Si el costo comprometido no fuera deducible</t>
  </si>
  <si>
    <t xml:space="preserve">Sin equipos que activar, el contrato y las herramientas son gastos del año con relación de causalidad (art. 107 ET).</t>
  </si>
  <si>
    <t xml:space="preserve">Valor de cada etapa (análisis incremental)</t>
  </si>
  <si>
    <t xml:space="preserve">Lo que vale el proyecto si se queda en la etapa 1. Crea valor, pero su cobertura mínima de la deuda queda bajo 1,2: ver el prepago de abajo.</t>
  </si>
  <si>
    <t xml:space="preserve">Etapa 2, incremental</t>
  </si>
  <si>
    <t xml:space="preserve">Lo que agrega la hiladora, el CIP y el suero sobre la etapa 1.</t>
  </si>
  <si>
    <t xml:space="preserve">Proyecto completo (oferta)</t>
  </si>
  <si>
    <t xml:space="preserve">Flujo incremental de la etapa 2 en pesos corrientes ($ M)</t>
  </si>
  <si>
    <t xml:space="preserve">Oferta − solo etapas 0 y 1</t>
  </si>
  <si>
    <t xml:space="preserve">Solo etapas 0 y 1: cobertura mínima de la deuda (veces)</t>
  </si>
  <si>
    <t xml:space="preserve">Sin la etapa 2 no se desembolsa su crédito, pero la deuda de la etapa 1 se paga con menos beneficio.</t>
  </si>
  <si>
    <t xml:space="preserve">Prepago al cierre del año 1 que deja la cobertura mínima en 1,2 ($ M corrientes)</t>
  </si>
  <si>
    <t xml:space="preserve">Reduce en la misma proporción todas las cuotas que siguen. Aproximado: no recalcula el menor ahorro de impuesto por los intereses.</t>
  </si>
  <si>
    <t xml:space="preserve">Caja del año 1 que queda después del servicio de la deuda, solo etapas 0 y 1 ($ M de 2026)</t>
  </si>
  <si>
    <t xml:space="preserve">El año 1 tiene holgura de sobra para el prepago: es la respuesta preparada si la segunda compuerta no se supera.</t>
  </si>
  <si>
    <t xml:space="preserve">Primera compuerta, para comprar la etapa 1 (al cerrar la etapa 0): decide si la pérdida que se quiere atacar existe y es del tamaño supuesto.</t>
  </si>
  <si>
    <t xml:space="preserve">• Línea base medida con 12 meses de registros de la planta y 4 semanas de medición de los seis indicadores (rendimiento por producto, grasa, merma, sobrepeso, horas extra y gasto de mantenimiento), con el protocolo del paquete 2.3.</t>
  </si>
  <si>
    <t xml:space="preserve">• Con esas pérdidas medidas, el VPN de la etapa 1 en el caso conservador es mayor que cero.</t>
  </si>
  <si>
    <t xml:space="preserve">• Prueba del sensor de coagulación en una tina durante 10 lotes, con equipo de demostración del proveedor y sin comprarlo: en 8 lotes o más, el corte que indica el sensor queda a ±2 minutos del que fija el maestro quesero. Si el proveedor cobra la demostración, se paga con los imprevistos de la etapa 0.</t>
  </si>
  <si>
    <t xml:space="preserve">• Orden del hilado y plan de mantenimiento en marcha: en las últimas 4 semanas, las horas extra del hilado bajan 0,5 h/día frente a la línea base y se cumple el 90 % o más de las órdenes preventivas.</t>
  </si>
  <si>
    <t xml:space="preserve">• Matriz de competencias completa para el 100 % de los operarios de quesos y yogur.</t>
  </si>
  <si>
    <t xml:space="preserve">• Proyecto de innovación radicado ante Minciencias y carta de aprobación del crédito con prenda.</t>
  </si>
  <si>
    <t xml:space="preserve">Segunda compuerta, para aprobar la etapa 2 (diciembre de 2027): verifica que la automatización ya instalada logró la mejora, con al menos 8 meses de operación.</t>
  </si>
  <si>
    <t xml:space="preserve">• Con 8 meses de operación, el beneficio medido de la etapa 1 en rendimiento, grasa, sobrepeso y merma es igual o mayor al del caso conservador, contra la línea base de la etapa 0.</t>
  </si>
  <si>
    <t xml:space="preserve">• Contrato de compra del suero firmado a $45/kg o más, con precio reajustado cada año por el IPC.</t>
  </si>
  <si>
    <t xml:space="preserve">• Plan de reasignación firmado por gestión humana con puesto de yogur o UHT, competencias, formación y fecha para cada uno de los 2 operarios; así se confirma que esas 2 contrataciones se evitan.</t>
  </si>
  <si>
    <t xml:space="preserve">• Cotización formal de la hiladora igual o menor al rubro con sus imprevistos.</t>
  </si>
  <si>
    <t xml:space="preserve">• Cobertura de la deuda proyectada con la etapa 2 igual o mayor a 1,2. Si la etapa 2 no se aprueba, se hace el prepago calculado arriba (Valor de cada etapa) para que la deuda de la etapa 1 también la cumpla.</t>
  </si>
  <si>
    <t xml:space="preserve">Si alguna no se cumple, la empresa se queda en la etapa 1, que crea valor por sí sola, y no pierde lo ganado.</t>
  </si>
  <si>
    <t xml:space="preserve">Otras protecciones en los contratos</t>
  </si>
  <si>
    <t xml:space="preserve">• Contratos de IntegraMotion liquidados con el salario mínimo del año en que se firman (hoja IntegraMotion).</t>
  </si>
  <si>
    <t xml:space="preserve">• Contrato del suero con precio reajustado cada año por el IPC, para que su beneficio se mantenga en pesos constantes.</t>
  </si>
  <si>
    <t xml:space="preserve">• Hiladora cotizada en euros: precio fijado en pesos al firmar la compra, o cubierto con un contrato a plazo (forward) con el banco.</t>
  </si>
  <si>
    <t xml:space="preserve">• Pagos a IntegraMotion por hitos (30/40/30 y 50/50): la quesería paga a medida que recibe.</t>
  </si>
  <si>
    <t xml:space="preserve">Efecto del proyecto en Lácteos Fúquene</t>
  </si>
  <si>
    <t xml:space="preserve">Estado de resultados y endeudamiento de la empresa con el proyecto. Sin el proyecto la empresa se mantiene igual a 2026, en pesos constantes (supuesto didáctico). $ M constantes de 2026.</t>
  </si>
  <si>
    <t xml:space="preserve">La empresa en 2026 (caso de estudio)</t>
  </si>
  <si>
    <t xml:space="preserve">Ventas</t>
  </si>
  <si>
    <t xml:space="preserve">Estado de resultados y balance del caso.</t>
  </si>
  <si>
    <t xml:space="preserve">EBITDA</t>
  </si>
  <si>
    <t xml:space="preserve">Depreciación</t>
  </si>
  <si>
    <t xml:space="preserve">Utilidad neta</t>
  </si>
  <si>
    <t xml:space="preserve">Deuda financiera</t>
  </si>
  <si>
    <t xml:space="preserve">Caja y bancos</t>
  </si>
  <si>
    <t xml:space="preserve">Con el proyecto (años 0 a 10)</t>
  </si>
  <si>
    <t xml:space="preserve">Ventas sin el proyecto</t>
  </si>
  <si>
    <t xml:space="preserve">Ventas adicionales del proyecto</t>
  </si>
  <si>
    <t xml:space="preserve">Ventas con el proyecto</t>
  </si>
  <si>
    <t xml:space="preserve">EBITDA sin el proyecto</t>
  </si>
  <si>
    <t xml:space="preserve">EBITDA del proyecto</t>
  </si>
  <si>
    <t xml:space="preserve">EBITDA con el proyecto</t>
  </si>
  <si>
    <t xml:space="preserve">Margen EBITDA</t>
  </si>
  <si>
    <t xml:space="preserve">Intereses, comisiones y GMF</t>
  </si>
  <si>
    <t xml:space="preserve">Utilidad antes de impuestos</t>
  </si>
  <si>
    <t xml:space="preserve">Impuesto antes de descuentos</t>
  </si>
  <si>
    <t xml:space="preserve">Descuentos de renta del proyecto (art. 255 y 258-1)</t>
  </si>
  <si>
    <t xml:space="preserve">Crédito fiscal por innovación</t>
  </si>
  <si>
    <t xml:space="preserve">Utilidad neta con el proyecto</t>
  </si>
  <si>
    <t xml:space="preserve">Cambio de la utilidad neta</t>
  </si>
  <si>
    <t xml:space="preserve">Deuda financiera actual</t>
  </si>
  <si>
    <t xml:space="preserve">Saldo del crédito del proyecto</t>
  </si>
  <si>
    <t xml:space="preserve">Deuda total / EBITDA (veces)</t>
  </si>
  <si>
    <t xml:space="preserve">EBITDA / gastos financieros (veces)</t>
  </si>
  <si>
    <t xml:space="preserve">Salida de caja de los socios en el año</t>
  </si>
  <si>
    <t xml:space="preserve">Salida de caja / caja y bancos de 2026</t>
  </si>
  <si>
    <t xml:space="preserve">Deuda actual: se supone que se refinancia y se mantiene. El crédito del proyecto se muestra en pesos constantes. La utilidad neta sin el proyecto es la de 2026.</t>
  </si>
  <si>
    <t xml:space="preserve">Deuda total / EBITDA más alta (los bancos suelen pedir 3 veces o menos)</t>
  </si>
  <si>
    <t xml:space="preserve">Deuda / EBITDA de 2026, sin el proyecto</t>
  </si>
  <si>
    <t xml:space="preserve">EBITDA / gastos financieros más bajo</t>
  </si>
  <si>
    <t xml:space="preserve">Mayor salida de caja de los socios frente a la caja de 2026</t>
  </si>
  <si>
    <t xml:space="preserve">Cambio de la utilidad neta en el año 2</t>
  </si>
  <si>
    <t xml:space="preserve">Cambio de la utilidad neta en el año 5</t>
  </si>
  <si>
    <t xml:space="preserve">IntegraMotion S.A.S.: cuánto cuesta la ingeniería de la quesería y cómo se reparte</t>
  </si>
  <si>
    <t xml:space="preserve">Cifras de la empresa integradora, no del cliente. Millones de pesos de 2026. Texto azul: datos de entrada; negro: fórmulas.</t>
  </si>
  <si>
    <t xml:space="preserve">Salario mínimo mensual de 2026</t>
  </si>
  <si>
    <t xml:space="preserve">$ M/mes</t>
  </si>
  <si>
    <t xml:space="preserve">Decreto 1469 de 2025.</t>
  </si>
  <si>
    <t xml:space="preserve">Horas de referencia al mes</t>
  </si>
  <si>
    <t xml:space="preserve">h/mes</t>
  </si>
  <si>
    <t xml:space="preserve">Convierte un pago mensual en tarifa por hora (42 h × 52 semanas ÷ 12). Al director, con contrato laboral, le aplica la jornada de la Ley 2101 de 2021; a los socios por prestación de servicios no: es solo la unidad para estimar.</t>
  </si>
  <si>
    <t xml:space="preserve">Honorario de referencia de un socio, tiempo completo</t>
  </si>
  <si>
    <t xml:space="preserve">SMMLV/mes</t>
  </si>
  <si>
    <t xml:space="preserve">SCI, honorarios de referencia, categoría 8: de 4,2 a 5,4 SMMLV (punto medio). Cada socio tiene una especialización en su área, que la SCI cuenta como 2 años de experiencia específica.</t>
  </si>
  <si>
    <t xml:space="preserve">Salario del director (representante legal), tiempo completo</t>
  </si>
  <si>
    <t xml:space="preserve">Contrato laboral; tope de la categoría 8 de la SCI por la dirección y la responsabilidad legal.</t>
  </si>
  <si>
    <t xml:space="preserve">Factor prestacional del salario</t>
  </si>
  <si>
    <t xml:space="preserve">x</t>
  </si>
  <si>
    <t xml:space="preserve">Prima, cesantías e intereses, vacaciones, pensión, ARL y caja (exonerado de salud, SENA e ICBF por debajo de 10 SMMLV).</t>
  </si>
  <si>
    <t xml:space="preserve">La misma de la hoja Cotizaciones (octubre de 2026).</t>
  </si>
  <si>
    <t xml:space="preserve">Ocupación facturada del equipo</t>
  </si>
  <si>
    <t xml:space="preserve">% de la capacidad</t>
  </si>
  <si>
    <t xml:space="preserve">Supuesto del plan de negocio: el resto es tiempo comercial, formación y propuestas. Reparte el costo anual del conocimiento entre las horas que se facturan.</t>
  </si>
  <si>
    <t xml:space="preserve">Administración (A del AIU)</t>
  </si>
  <si>
    <t xml:space="preserve">% costo directo</t>
  </si>
  <si>
    <t xml:space="preserve">Cubre los gastos de funcionamiento de IntegraMotion durante los 8 meses de los tres contratos, aunque no tenga otros clientes (detalle al final de esta hoja).</t>
  </si>
  <si>
    <t xml:space="preserve">Imprevistos (I del AIU)</t>
  </si>
  <si>
    <t xml:space="preserve">Reserva del contrato.</t>
  </si>
  <si>
    <t xml:space="preserve">Utilidad (U del AIU)</t>
  </si>
  <si>
    <t xml:space="preserve">Margen de la empresa; de ahí salen los dividendos.</t>
  </si>
  <si>
    <t xml:space="preserve">IVA sobre servicios de ingeniería</t>
  </si>
  <si>
    <t xml:space="preserve">Lo cobra IntegraMotion y lo paga a la DIAN; no es ingreso.</t>
  </si>
  <si>
    <t xml:space="preserve">Impuesto de renta de IntegraMotion</t>
  </si>
  <si>
    <t xml:space="preserve">Régimen ordinario de personas jurídicas.</t>
  </si>
  <si>
    <t xml:space="preserve">Aportes a seguridad social de un independiente</t>
  </si>
  <si>
    <t xml:space="preserve">% del honorario</t>
  </si>
  <si>
    <t xml:space="preserve">Sobre el 40 % del honorario: salud 12,5 %, pensión 16 % y ARL 0,522 %.</t>
  </si>
  <si>
    <t xml:space="preserve">Costo de un viaje Bogotá–Ubaté</t>
  </si>
  <si>
    <t xml:space="preserve">$ M/viaje</t>
  </si>
  <si>
    <t xml:space="preserve">Transporte y viáticos del día por persona.</t>
  </si>
  <si>
    <t xml:space="preserve">Socios</t>
  </si>
  <si>
    <t xml:space="preserve">Los seis integrantes del Equipo 5, con acciones iguales. El director también es socio: recibe salario por su contrato laboral y dividendo como los demás. Los otros cinco cobran honorarios por entregables.</t>
  </si>
  <si>
    <t xml:space="preserve">El costo del conocimiento: certificaciones, cursos y licencias de cada rol</t>
  </si>
  <si>
    <t xml:space="preserve">Lo que cuesta tener y mantener la especialidad con la que se hace el proyecto. Se paga aunque no haya contrato, así que se reparte entre las horas que el ingeniero factura en un año. Precios en dólares; los marcados como estimados se cotizan con el fabricante.</t>
  </si>
  <si>
    <t xml:space="preserve">Certificación, curso o licencia</t>
  </si>
  <si>
    <t xml:space="preserve">Rol</t>
  </si>
  <si>
    <t xml:space="preserve">Precio (US$)</t>
  </si>
  <si>
    <t xml:space="preserve">Vigencia (años)</t>
  </si>
  <si>
    <t xml:space="preserve">Personas que la comparten</t>
  </si>
  <si>
    <t xml:space="preserve">Se usa en esta oferta (1 = sí)</t>
  </si>
  <si>
    <t xml:space="preserve">US$ por persona al año</t>
  </si>
  <si>
    <t xml:space="preserve">Examen de certificación PMP (miembro del PMI)</t>
  </si>
  <si>
    <t xml:space="preserve">Dirección</t>
  </si>
  <si>
    <t xml:space="preserve">PMI, tarifa 2025–2026 (PM Study Circle).</t>
  </si>
  <si>
    <t xml:space="preserve">Membresía anual del PMI</t>
  </si>
  <si>
    <t xml:space="preserve">PMI (PM Study Circle).</t>
  </si>
  <si>
    <t xml:space="preserve">Curso de 35 horas exigido para el examen PMP</t>
  </si>
  <si>
    <t xml:space="preserve">Estimado; varía por proveedor.</t>
  </si>
  <si>
    <t xml:space="preserve">Renovación de la certificación PMP (60 PDU cada 3 años)</t>
  </si>
  <si>
    <t xml:space="preserve">PMI, miembros (PM Study Circle).</t>
  </si>
  <si>
    <t xml:space="preserve">Lean Six Sigma Green Belt (40 horas)</t>
  </si>
  <si>
    <t xml:space="preserve">Procesos</t>
  </si>
  <si>
    <t xml:space="preserve">Learners Ink, curso presencial en Colombia, 2026.</t>
  </si>
  <si>
    <t xml:space="preserve">Control por lotes con ISA-88 (ISA, curso IC40, 3 días)</t>
  </si>
  <si>
    <t xml:space="preserve">ISA; precio a solicitud, estimado.</t>
  </si>
  <si>
    <t xml:space="preserve">Studio 5000 Logix Designer nivel 1 (Rockwell, CCP146)</t>
  </si>
  <si>
    <t xml:space="preserve">Automatización</t>
  </si>
  <si>
    <t xml:space="preserve">Estimado igual al nivel 3; precio a solicitud del distribuidor.</t>
  </si>
  <si>
    <t xml:space="preserve">Studio 5000 Logix Designer nivel 3 (Rockwell, CCP143, 4 días)</t>
  </si>
  <si>
    <t xml:space="preserve">Agilix Solutions, distribuidor de Rockwell, 2026.</t>
  </si>
  <si>
    <t xml:space="preserve">Certificaciones Ignition Core y Gold (Inductive Automation)</t>
  </si>
  <si>
    <t xml:space="preserve">Exámenes de US$350 y US$500 (Industrial Monitor Direct).</t>
  </si>
  <si>
    <t xml:space="preserve">Licencia de Studio 5000 Logix Designer Full, perpetua</t>
  </si>
  <si>
    <t xml:space="preserve">Industrial Monitor Direct; se amortiza en 5 años.</t>
  </si>
  <si>
    <t xml:space="preserve">Tecnomatix Plant Simulation, suscripción anual</t>
  </si>
  <si>
    <t xml:space="preserve">Robótica y simulación</t>
  </si>
  <si>
    <t xml:space="preserve">Siemens, Plant Simulation Foundation, US$250/mes (FitGap).</t>
  </si>
  <si>
    <t xml:space="preserve">RobotStudio Premium, suscripción anual (ABB)</t>
  </si>
  <si>
    <t xml:space="preserve">Desde US$3.400 al año (FitGap). Se usa en el diseño de la celda de paletizado (paquete 4.2).</t>
  </si>
  <si>
    <t xml:space="preserve">NX Mechatronics Concept Designer, suscripción anual (Siemens)</t>
  </si>
  <si>
    <t xml:space="preserve">Precio a solicitud, estimado.</t>
  </si>
  <si>
    <t xml:space="preserve">Curso de Plant Simulation (Siemens Xcelerator Academy)</t>
  </si>
  <si>
    <t xml:space="preserve">Curso de modelación financiera y evaluación de proyectos</t>
  </si>
  <si>
    <t xml:space="preserve">Gestión y finanzas</t>
  </si>
  <si>
    <t xml:space="preserve">Las certificaciones se renuevan cada 3 años; las licencias perpetuas se amortizan en 5 y las suscripciones son anuales. Las licencias que quedan en la planta (Ignition, servidor) las paga Lácteos Fúquene en la inversión del SCADA. Regla de asignación: lo que usa el proyecto entra en la hora del rol; lo que no usa se cobra en el proyecto que lo use (columna en 0); los gastos generales de la empresa van en la administración.</t>
  </si>
  <si>
    <t xml:space="preserve">Lo que cuesta y lo que vale una hora de cada rol</t>
  </si>
  <si>
    <t xml:space="preserve">Vínculo</t>
  </si>
  <si>
    <t xml:space="preserve">Remuneración de referencia ($ M/mes)</t>
  </si>
  <si>
    <t xml:space="preserve">Costo laboral ($ M/mes)</t>
  </si>
  <si>
    <t xml:space="preserve">Remuneración por hora ($/h)</t>
  </si>
  <si>
    <t xml:space="preserve">Conocimiento ($/h)</t>
  </si>
  <si>
    <t xml:space="preserve">Costo para IntegraMotion ($/h)</t>
  </si>
  <si>
    <t xml:space="preserve">Tarifa al cliente sin IVA ($/h)</t>
  </si>
  <si>
    <t xml:space="preserve">Rol en la EDT</t>
  </si>
  <si>
    <t xml:space="preserve">Factor de venta (tarifa ÷ remuneración)</t>
  </si>
  <si>
    <t xml:space="preserve">Director de proyecto</t>
  </si>
  <si>
    <t xml:space="preserve">Contrato laboral</t>
  </si>
  <si>
    <t xml:space="preserve">Ingeniero de procesos y producción</t>
  </si>
  <si>
    <t xml:space="preserve">Honorarios</t>
  </si>
  <si>
    <t xml:space="preserve">Ingeniero de automatización y control (2)</t>
  </si>
  <si>
    <t xml:space="preserve">Ingeniero de robótica y simulación</t>
  </si>
  <si>
    <t xml:space="preserve">Tres magnitudes distintas: la remuneración de referencia del profesional (SCI), el costo que soporta IntegraMotion (remuneración más conocimiento) y la tarifa al cliente (costo más AIU). El factor de venta es un control: cuántas veces la remuneración se cobra al cliente.</t>
  </si>
  <si>
    <t xml:space="preserve">Los cinco socios con honorarios tienen contrato de prestación de servicios: sin horario ni subordinación, se les paga por entregables (valor = horas estimadas × honorario por hora) y pagan su propia seguridad social como independientes. El director, como empleado, la recibe en el factor prestacional.</t>
  </si>
  <si>
    <t xml:space="preserve">Horas de ingeniería por contrato y etapa, estimadas desde el trabajo</t>
  </si>
  <si>
    <t xml:space="preserve">El contrato principal son las 16 semanas de la EDT del proyecto: diagnóstico, diseño, programación y validación virtual de todo el proyecto, con el BOM cotizado al final. Los otrosíes amplían el contrato si se superan las compuertas: el otrosí 1 implementa la etapa 1 en la planta y el otrosí 2 hace la ingeniería de detalle y la implementación de la etapa 2. Tiempos de referencia de los integradores (Industrial Monitor Direct): de 1 a 2 h por señal digital y de 1,5 a 2,5 h por señal analógica, con un factor de 1,3 por ser control por lotes de alimentos; pantallas de 6 h porque se parte de plantillas propias.</t>
  </si>
  <si>
    <t xml:space="preserve">Actividad</t>
  </si>
  <si>
    <t xml:space="preserve">Contrato</t>
  </si>
  <si>
    <t xml:space="preserve">Horas por unidad</t>
  </si>
  <si>
    <t xml:space="preserve">Costo ($ M)</t>
  </si>
  <si>
    <t xml:space="preserve">Entregable y criterio de aceptación</t>
  </si>
  <si>
    <t xml:space="preserve">Inicio y planeación: alcance, requisitos, responsables y EDT definidos</t>
  </si>
  <si>
    <t xml:space="preserve">Contrato principal</t>
  </si>
  <si>
    <t xml:space="preserve">etapa</t>
  </si>
  <si>
    <t xml:space="preserve">1.1</t>
  </si>
  <si>
    <t xml:space="preserve">Plan con alcance, EDT de 19 paquetes, cronograma, matriz de responsables y línea base de valor ganado (Anexo 3), entregado en la semana 1.</t>
  </si>
  <si>
    <t xml:space="preserve">Análisis del problema: diagnóstico de las líneas y plan de mantenimiento preventivo</t>
  </si>
  <si>
    <t xml:space="preserve">diagnóstico</t>
  </si>
  <si>
    <t xml:space="preserve">Informe con tres visitas, entrevistas e historial de fallas de 12 meses de cada equipo de la quesería; plan preventivo con tarea, frecuencia y responsable para el 100 % de esos equipos.</t>
  </si>
  <si>
    <t xml:space="preserve">VSM de las líneas, protocolo de medida y verificación y línea base</t>
  </si>
  <si>
    <t xml:space="preserve">protocolo</t>
  </si>
  <si>
    <t xml:space="preserve">VSM con tiempo de ciclo y de espera de cada paso; protocolo con variable, instrumento, frecuencia y fórmula de cada beneficio; línea base con 4 semanas de datos de los seis indicadores (rendimiento, grasa, merma, sobrepeso, horas extra y mantenimiento).</t>
  </si>
  <si>
    <t xml:space="preserve">Medidas organizacionales: orden del hilado y estándares de trabajo</t>
  </si>
  <si>
    <t xml:space="preserve">estándar</t>
  </si>
  <si>
    <t xml:space="preserve">2.4</t>
  </si>
  <si>
    <t xml:space="preserve">Estándar de trabajo del hilado aplicado 2 semanas en los dos turnos, con las horas extra del hilado registradas antes y después.</t>
  </si>
  <si>
    <t xml:space="preserve">Matriz de competencias del personal y plan de reubicación</t>
  </si>
  <si>
    <t xml:space="preserve">plan</t>
  </si>
  <si>
    <t xml:space="preserve">Matriz con los cinco criterios (proceso, habilidades, condición física, formación e intereses) para el 100 % de los operarios de quesos y yogur; plan que asigna puesto, formación y fecha a cada operario que libera la hiladora.</t>
  </si>
  <si>
    <t xml:space="preserve">Línea base económica y modelo financiero</t>
  </si>
  <si>
    <t xml:space="preserve">modelo</t>
  </si>
  <si>
    <t xml:space="preserve">6.1</t>
  </si>
  <si>
    <t xml:space="preserve">Modelo financiero con la línea base medida, los escenarios y sus comprobaciones internas sin error; calcula el VPN de la etapa 1 con las pérdidas medidas.</t>
  </si>
  <si>
    <t xml:space="preserve">EDT de la producción: fases, recetas y permisos ISA-88</t>
  </si>
  <si>
    <t xml:space="preserve">especificación</t>
  </si>
  <si>
    <t xml:space="preserve">2.2</t>
  </si>
  <si>
    <t xml:space="preserve">Fases, permisos e interbloqueos de las tres recetas; cada paso de la receta escrita actual del jefe de quesería queda asignado a una fase.</t>
  </si>
  <si>
    <t xml:space="preserve">Recetas de las tres referencias y balance de masa</t>
  </si>
  <si>
    <t xml:space="preserve">recetas</t>
  </si>
  <si>
    <t xml:space="preserve">Tres recetas maestras con parámetros y tolerancias; el balance de masa cierra con diferencia menor al 2 % frente a los lotes de la línea base.</t>
  </si>
  <si>
    <t xml:space="preserve">Arquitectura ISA-95: control, red y flujos de información con el MES y el ERP</t>
  </si>
  <si>
    <t xml:space="preserve">documento</t>
  </si>
  <si>
    <t xml:space="preserve">Red por zonas y conductos (IEC 62443), flujos PLC–Ignition–MES–ERP e identificador común de lote, orden y equipo en los cuatro niveles.</t>
  </si>
  <si>
    <t xml:space="preserve">Selección y especificación de instrumentos y actuadores (hojas de datos)</t>
  </si>
  <si>
    <t xml:space="preserve">equipos</t>
  </si>
  <si>
    <t xml:space="preserve">Una hoja de datos por cada uno de los 22 instrumentos y actuadores del BOM, con rango, material, señal y protocolo.</t>
  </si>
  <si>
    <t xml:space="preserve">Lista de señales y planos de lazo y conexionado</t>
  </si>
  <si>
    <t xml:space="preserve">planos</t>
  </si>
  <si>
    <t xml:space="preserve">Lista con el 100 % de las señales del BOM y 20 planos de lazo y conexionado; ninguna señal sin plano.</t>
  </si>
  <si>
    <t xml:space="preserve">BOM técnico: cantidades y especificaciones para cotizar</t>
  </si>
  <si>
    <t xml:space="preserve">Cada ítem con tag, especificación, cantidad y paquete de la EDT; cuadra uno a uno con la lista de señales.</t>
  </si>
  <si>
    <t xml:space="preserve">Especificación funcional ISA-88: lógica de control</t>
  </si>
  <si>
    <t xml:space="preserve">Estados, transiciones, modos y alarmas de cada fase ISA-88, entregados antes de empezar a programar.</t>
  </si>
  <si>
    <t xml:space="preserve">Programación de señales analógicas (3 tinas y medidor de grasa)</t>
  </si>
  <si>
    <t xml:space="preserve">señales</t>
  </si>
  <si>
    <t xml:space="preserve">Las 26 señales escaladas y con alarmas; el 100 % pasa la prueba de punta a punta en el emulador.</t>
  </si>
  <si>
    <t xml:space="preserve">Programación de señales digitales (tinas, grasa y estación de peso)</t>
  </si>
  <si>
    <t xml:space="preserve">Las 47 señales con su estado y su falla; el 100 % pasa la prueba en el emulador.</t>
  </si>
  <si>
    <t xml:space="preserve">Lógica de fases ISA-88 (clases reutilizables)</t>
  </si>
  <si>
    <t xml:space="preserve">fases</t>
  </si>
  <si>
    <t xml:space="preserve">Siete clases de fase con su máquina de estados; cada una pasa la prueba de todas sus transiciones.</t>
  </si>
  <si>
    <t xml:space="preserve">Configuración de las fases en cada tina</t>
  </si>
  <si>
    <t xml:space="preserve">tinas</t>
  </si>
  <si>
    <t xml:space="preserve">Fases instanciadas en TQ-301, 302 y 303; una receta completa corre en el emulador en cada tina.</t>
  </si>
  <si>
    <t xml:space="preserve">Lazos de control (temperatura de 3 tinas y grasa)</t>
  </si>
  <si>
    <t xml:space="preserve">lazos</t>
  </si>
  <si>
    <t xml:space="preserve">Cuatro lazos configurados; en simulación cada uno llega a su consigna con sobrepico menor al 10 %. La sintonía fina va en la puesta en marcha.</t>
  </si>
  <si>
    <t xml:space="preserve">Pantallas del SCADA en Ignition</t>
  </si>
  <si>
    <t xml:space="preserve">pantallas</t>
  </si>
  <si>
    <t xml:space="preserve">16 pantallas desde plantillas propias, con navegación y permisos por rol; en la prueba, tres operarios completan las tareas de un lote sin ayuda.</t>
  </si>
  <si>
    <t xml:space="preserve">Alarmas, historiador y tendencias</t>
  </si>
  <si>
    <t xml:space="preserve">paquete</t>
  </si>
  <si>
    <t xml:space="preserve">Alarmas con prioridad asignada; el 100 % de las variables del lote queda en el historiador con su tendencia.</t>
  </si>
  <si>
    <t xml:space="preserve">MES ligero: lotes, recetas, consumos y calidad</t>
  </si>
  <si>
    <t xml:space="preserve">Lote, receta, consumos, calidad y genealogía en Ignition con PostgreSQL; en la prueba, un lote se rastrea de la leche recibida al queso empacado en menos de 5 minutos. No incluye inventarios ni programación de la producción.</t>
  </si>
  <si>
    <t xml:space="preserve">Estado de las máquinas, paros y OEE en el MES, para equipos nuevos y antiguos</t>
  </si>
  <si>
    <t xml:space="preserve">Estado de cada máquina en tiempo real (las antiguas con sensor de corriente y E/S remotas), causas de paro y OEE por turno; el tiempo de paro difiere menos del 5 % del registro manual de una semana.</t>
  </si>
  <si>
    <t xml:space="preserve">Publicación del estado de la planta y el OEE al ERP</t>
  </si>
  <si>
    <t xml:space="preserve">interfaz</t>
  </si>
  <si>
    <t xml:space="preserve">5.3</t>
  </si>
  <si>
    <t xml:space="preserve">Capacidad disponible y paros activos de cada máquina visibles en SAP Business One con menos de 5 minutos de retraso.</t>
  </si>
  <si>
    <t xml:space="preserve">Proceso de promesa de entrega con la capacidad real (Ventas y Operaciones)</t>
  </si>
  <si>
    <t xml:space="preserve">procedimiento</t>
  </si>
  <si>
    <t xml:space="preserve">5.2</t>
  </si>
  <si>
    <t xml:space="preserve">Procedimiento escrito para prometer pedidos con el estado de la planta; indicador de pedidos completos y a tiempo calculado para las 4 semanas de la línea base.</t>
  </si>
  <si>
    <t xml:space="preserve">Configuración funcional del ERP: compras, inventarios, costos y ventas de la quesería</t>
  </si>
  <si>
    <t xml:space="preserve">Maestros y flujos de compras, inventarios, costos y ventas de la quesería, y lista de campos que intercambia con el MES. La parametrización la hace el proveedor del ERP.</t>
  </si>
  <si>
    <t xml:space="preserve">Interfaz MES–ERP por API (Node-RED)</t>
  </si>
  <si>
    <t xml:space="preserve">Órdenes y reportes con SAP Business One; en la prueba, 100 transacciones sin pérdida, con reintento y registro de cada error.</t>
  </si>
  <si>
    <t xml:space="preserve">Balance de sólidos y humedad por lote en el MES: rendimiento real frente al de Van Slyke y alertas</t>
  </si>
  <si>
    <t xml:space="preserve">Cada lote con su rendimiento, su eficiencia frente a Van Slyke y la grasa y proteína que van al suero; la alerta se activa con un lote de prueba fuera de la banda.</t>
  </si>
  <si>
    <t xml:space="preserve">Costo real por lote y por referencia con los datos del MES y el ERP</t>
  </si>
  <si>
    <t xml:space="preserve">Costo por kilo de cada queso y de cada lote; el total de un mes difiere menos del 2 % del costo de la contabilidad.</t>
  </si>
  <si>
    <t xml:space="preserve">Modelo de mezcla óptima de los tres quesos (programación lineal) y reunión mensual de ventas y operaciones</t>
  </si>
  <si>
    <t xml:space="preserve">Mezcla del mes con las restricciones de leche, demanda e hilado, comparada con la real; probada con los datos de la línea base.</t>
  </si>
  <si>
    <t xml:space="preserve">Solicitud de compra de repuestos desde el MES al ERP cuando el plan preventivo o una falla lo piden</t>
  </si>
  <si>
    <t xml:space="preserve">En la prueba, una orden de mantenimiento del MES crea en SAP Business One la solicitud del repuesto con su código y su cantidad.</t>
  </si>
  <si>
    <t xml:space="preserve">Comunicaciones (controladora de peso, medidor de grasa, OPC UA)</t>
  </si>
  <si>
    <t xml:space="preserve">enlaces</t>
  </si>
  <si>
    <t xml:space="preserve">Cuatro enlaces probados; si se pierde la comunicación, la alarma sale en menos de 10 segundos y el equipo queda en estado seguro.</t>
  </si>
  <si>
    <t xml:space="preserve">Pruebas de aceptación en fábrica con el PLC emulado (15 % de la programación)</t>
  </si>
  <si>
    <t xml:space="preserve">h de programación</t>
  </si>
  <si>
    <t xml:space="preserve">Protocolo con las secuencias completas de las tres recetas, las fallas y los interbloqueos en el PLC emulado; el 100 % de los casos aprobado, y los que fallan, corregidos y probados de nuevo.</t>
  </si>
  <si>
    <t xml:space="preserve">Modelo de la quesería en Plant Simulation y validación de capacidad</t>
  </si>
  <si>
    <t xml:space="preserve">4.1</t>
  </si>
  <si>
    <t xml:space="preserve">Modelo en Plant Simulation con diferencia menor al 10 % en la producción diaria frente a los tiempos del VSM.</t>
  </si>
  <si>
    <t xml:space="preserve">Gemelo virtual en NX MCD conectado al PLC emulado</t>
  </si>
  <si>
    <t xml:space="preserve">gemelo</t>
  </si>
  <si>
    <t xml:space="preserve">4.3</t>
  </si>
  <si>
    <t xml:space="preserve">Gemelo de una tina y del hilado conectado al PLC emulado; una receta completa corre con los tiempos del VSM ±10 %.</t>
  </si>
  <si>
    <t xml:space="preserve">BOM consolidado: solicitud y comparación de cotizaciones</t>
  </si>
  <si>
    <t xml:space="preserve">Dos cotizaciones por cada equipo principal y BOM valorado con la madurez del precio de cada ítem.</t>
  </si>
  <si>
    <t xml:space="preserve">Financiación: crédito con prenda, hitos de pago, leasing y postulación ante Minciencias</t>
  </si>
  <si>
    <t xml:space="preserve">trámite</t>
  </si>
  <si>
    <t xml:space="preserve">6.2</t>
  </si>
  <si>
    <t xml:space="preserve">Solicitud de crédito con prenda radicada en el banco y proyecto radicado ante Minciencias, con número de radicado. La aprobación depende del banco y de Minciencias, no del contratista.</t>
  </si>
  <si>
    <t xml:space="preserve">Ingeniería básica de la etapa 2: interfaces con la hiladora, el CIP y el suero</t>
  </si>
  <si>
    <t xml:space="preserve">Especificación de interfaces de la hiladora, el CIP y el suero y lista preliminar de señales, con el detalle que piden dos proveedores para cotizar.</t>
  </si>
  <si>
    <t xml:space="preserve">Recetas preliminares de hilado y limpieza CIP</t>
  </si>
  <si>
    <t xml:space="preserve">Parámetros de hilado (temperatura, tiempo, pH) y de limpieza (concentración, temperatura, tiempo), cada uno con su fuente.</t>
  </si>
  <si>
    <t xml:space="preserve">Escenario de la hiladora en Plant Simulation</t>
  </si>
  <si>
    <t xml:space="preserve">escenario</t>
  </si>
  <si>
    <t xml:space="preserve">Horas de hilado por día con la hiladora de 300 kg/h para la mezcla actual y la óptima, en el modelo validado.</t>
  </si>
  <si>
    <t xml:space="preserve">Celda de paletizado en RobotStudio: alcance, patrón de estiba, efector y seguridad (ISO 10218)</t>
  </si>
  <si>
    <t xml:space="preserve">celda</t>
  </si>
  <si>
    <t xml:space="preserve">Celda simulada en RobotStudio con tiempo de ciclo, alcance, patrón de estiba y zonas de seguridad (ISO 10218); el ciclo cubre la producción diaria.</t>
  </si>
  <si>
    <t xml:space="preserve">Señales e interbloqueos de la celda de paletizado con el PLC</t>
  </si>
  <si>
    <t xml:space="preserve">Lista de señales e interbloqueos de la celda con el PLC, con las de seguridad separadas.</t>
  </si>
  <si>
    <t xml:space="preserve">Documentación de la ingeniería: programas, planos y especificaciones</t>
  </si>
  <si>
    <t xml:space="preserve">1.3</t>
  </si>
  <si>
    <t xml:space="preserve">Programas, planos y especificaciones en formato editable, con copia de respaldo; el 100 % de los documentos del índice entregado.</t>
  </si>
  <si>
    <t xml:space="preserve">Informe final y sustentación de la consultoría</t>
  </si>
  <si>
    <t xml:space="preserve">informe</t>
  </si>
  <si>
    <t xml:space="preserve">Informe con la línea base, los resultados del modelo y la medición de cada criterio de la primera compuerta, presentado en la semana 16.</t>
  </si>
  <si>
    <t xml:space="preserve">Seguimiento y compuertas (10 % de las horas del equipo en el contrato)</t>
  </si>
  <si>
    <t xml:space="preserve">h del equipo</t>
  </si>
  <si>
    <t xml:space="preserve">1.2</t>
  </si>
  <si>
    <t xml:space="preserve">Informe semanal de avance con valor ganado, registro de cambios y de riesgos, y acta de la primera compuerta.</t>
  </si>
  <si>
    <t xml:space="preserve">Supervisión del montaje de instrumentos y tableros por el contratista</t>
  </si>
  <si>
    <t xml:space="preserve">Otrosí 1</t>
  </si>
  <si>
    <t xml:space="preserve">semanas-persona</t>
  </si>
  <si>
    <t xml:space="preserve">Montaje revisado contra los planos; lista de pendientes cerrada antes de energizar.</t>
  </si>
  <si>
    <t xml:space="preserve">Puesta en marcha y pruebas en sitio: control</t>
  </si>
  <si>
    <t xml:space="preserve">Lazos de temperatura con error en régimen menor a 0,5 °C; prueba en sitio con el 100 % de las señales verificadas.</t>
  </si>
  <si>
    <t xml:space="preserve">Puesta en marcha y pruebas en sitio: proceso</t>
  </si>
  <si>
    <t xml:space="preserve">Tres lotes seguidos de cada receta dentro de la especificación de humedad, grasa y peso.</t>
  </si>
  <si>
    <t xml:space="preserve">Capacitación de operarios y supervisores</t>
  </si>
  <si>
    <t xml:space="preserve">programa</t>
  </si>
  <si>
    <t xml:space="preserve">Sesiones en cada turno; cada operario de la quesería obtiene 80 % o más en la evaluación práctica, o repite la sesión sin costo.</t>
  </si>
  <si>
    <t xml:space="preserve">Capacitación de mantenimiento e instrumentación</t>
  </si>
  <si>
    <t xml:space="preserve">Cada técnico resuelve en la evaluación práctica tres fallas simuladas de instrumentación.</t>
  </si>
  <si>
    <t xml:space="preserve">Manuales y documentación final</t>
  </si>
  <si>
    <t xml:space="preserve">Manuales de operación y mantenimiento, programas y planos según lo construido, entregados antes del fin del soporte.</t>
  </si>
  <si>
    <t xml:space="preserve">Soporte después del arranque (3 meses)</t>
  </si>
  <si>
    <t xml:space="preserve">semanas</t>
  </si>
  <si>
    <t xml:space="preserve">Hasta 8 h por semana; cada incidencia registrada y respondida en menos de 24 horas hábiles.</t>
  </si>
  <si>
    <t xml:space="preserve">Dirección y segunda compuerta (10 % de las horas del equipo en el contrato)</t>
  </si>
  <si>
    <t xml:space="preserve">Informe semanal con valor ganado, control del montaje y de cambios, y acta de la segunda compuerta.</t>
  </si>
  <si>
    <t xml:space="preserve">Ingeniería de detalle de la etapa 2 con la documentación del proveedor</t>
  </si>
  <si>
    <t xml:space="preserve">Otrosí 2</t>
  </si>
  <si>
    <t xml:space="preserve">Especificación de interfaces final, entregada 10 días hábiles después de recibir la documentación del proveedor.</t>
  </si>
  <si>
    <t xml:space="preserve">Programación de señales analógicas (CIP, suero e hiladora)</t>
  </si>
  <si>
    <t xml:space="preserve">Las 14 señales escaladas; el 100 % pasa la prueba en el emulador.</t>
  </si>
  <si>
    <t xml:space="preserve">Programación de señales digitales</t>
  </si>
  <si>
    <t xml:space="preserve">Las 38 señales; el 100 % pasa la prueba en el emulador.</t>
  </si>
  <si>
    <t xml:space="preserve">Secuencias del CIP</t>
  </si>
  <si>
    <t xml:space="preserve">pasos</t>
  </si>
  <si>
    <t xml:space="preserve">Seis pasos con tiempos, temperaturas y conductividad dentro de la receta de limpieza; cada ciclo queda en el historiador.</t>
  </si>
  <si>
    <t xml:space="preserve">Comunicación con el PLC de la hiladora</t>
  </si>
  <si>
    <t xml:space="preserve">enlace</t>
  </si>
  <si>
    <t xml:space="preserve">Enlace por EtherNet/IP u OPC UA con el 100 % de las señales documentadas por el proveedor.</t>
  </si>
  <si>
    <t xml:space="preserve">Pantallas del SCADA</t>
  </si>
  <si>
    <t xml:space="preserve">Seis pantallas desde las plantillas de la etapa 1, con navegación y permisos por rol.</t>
  </si>
  <si>
    <t xml:space="preserve">Lotes de la hiladora y del suero en el MES</t>
  </si>
  <si>
    <t xml:space="preserve">Cada lote de hilado y el destino del suero quedan en la genealogía del lote del MES.</t>
  </si>
  <si>
    <t xml:space="preserve">Pruebas con el PLC emulado (15 % de la programación)</t>
  </si>
  <si>
    <t xml:space="preserve">Secuencias del CIP y enlace con la hiladora en el emulador; el 100 % de los casos aprobado.</t>
  </si>
  <si>
    <t xml:space="preserve">Gemelo y simulación con la hiladora</t>
  </si>
  <si>
    <t xml:space="preserve">Modelo con la hiladora; la producción diaria simulada difiere menos del 10 % de la medida.</t>
  </si>
  <si>
    <t xml:space="preserve">Prueba en sitio con el 100 % de las señales verificadas.</t>
  </si>
  <si>
    <t xml:space="preserve">Tres lotes seguidos de doble crema y de mozzarella dentro de la especificación de humedad, grasa y peso.</t>
  </si>
  <si>
    <t xml:space="preserve">Recetas de hilado y validación de la limpieza CIP</t>
  </si>
  <si>
    <t xml:space="preserve">Recetas de hilado en el MES; limpieza validada con hisopados ATP bajo el límite del plan de saneamiento en tres ciclos seguidos.</t>
  </si>
  <si>
    <t xml:space="preserve">Formación de los operarios reubicados: control de la incubación por pH y mantenimiento autónomo</t>
  </si>
  <si>
    <t xml:space="preserve">Cada operario reubicado completa dos semanas de acompañamiento y obtiene 80 % o más en la evaluación práctica de su nuevo puesto.</t>
  </si>
  <si>
    <t xml:space="preserve">Capacitación del personal de la hiladora y el CIP</t>
  </si>
  <si>
    <t xml:space="preserve">Sesiones en cada turno; cada persona obtiene 80 % o más en la evaluación práctica, o repite la sesión sin costo.</t>
  </si>
  <si>
    <t xml:space="preserve">Documentación de la etapa 2</t>
  </si>
  <si>
    <t xml:space="preserve">Manuales y planos según lo construido de la etapa 2.</t>
  </si>
  <si>
    <t xml:space="preserve">Soporte después del arranque (2 meses)</t>
  </si>
  <si>
    <t xml:space="preserve">Hasta 8 h por semana durante dos meses; cada incidencia respondida en menos de 24 horas hábiles.</t>
  </si>
  <si>
    <t xml:space="preserve">Certificación ante el CNBT y verificación de beneficios</t>
  </si>
  <si>
    <t xml:space="preserve">Solicitud radicada ante el CNBT e informe de beneficios medido con el protocolo de la etapa 0. La certificación la decide el CNBT.</t>
  </si>
  <si>
    <t xml:space="preserve">Pruebas de aceptación de la hiladora en la fábrica del proveedor</t>
  </si>
  <si>
    <t xml:space="preserve">visita</t>
  </si>
  <si>
    <t xml:space="preserve">Acta de pruebas en la fábrica del proveedor o con su representante: 300 kg/h y secuencias de mando probadas.</t>
  </si>
  <si>
    <t xml:space="preserve">Dirección del proyecto (10 % de las horas del equipo en el contrato)</t>
  </si>
  <si>
    <t xml:space="preserve">Informe semanal con valor ganado, control del proveedor y de cambios, y acta de cierre.</t>
  </si>
  <si>
    <t xml:space="preserve">Horas por rol, contrato y etapa</t>
  </si>
  <si>
    <t xml:space="preserve">Contrato principal · etapa 0</t>
  </si>
  <si>
    <t xml:space="preserve">Contrato principal · etapa 1</t>
  </si>
  <si>
    <t xml:space="preserve">Contrato principal · etapa 2 (básica)</t>
  </si>
  <si>
    <t xml:space="preserve">Contrato principal · celda de paletizado</t>
  </si>
  <si>
    <t xml:space="preserve">Otrosí 1 · implementación etapa 1</t>
  </si>
  <si>
    <t xml:space="preserve">Otrosí 2 · etapa 2</t>
  </si>
  <si>
    <t xml:space="preserve">Personas</t>
  </si>
  <si>
    <t xml:space="preserve">Dedicación en el contrato principal (16 semanas)</t>
  </si>
  <si>
    <t xml:space="preserve">Horas: Director de proyecto</t>
  </si>
  <si>
    <t xml:space="preserve">Horas: Ingeniero de procesos y producción</t>
  </si>
  <si>
    <t xml:space="preserve">Horas: Ingeniero de automatización y control (2)</t>
  </si>
  <si>
    <t xml:space="preserve">Horas: Ingeniero de robótica y simulación</t>
  </si>
  <si>
    <t xml:space="preserve">Horas: Ingeniero de gestión y finanzas</t>
  </si>
  <si>
    <t xml:space="preserve">Horas del equipo</t>
  </si>
  <si>
    <t xml:space="preserve">Dedicación: horas del contrato principal ÷ (personas × 16 semanas × 42 h). Los otrosíes se ejecutan en 2 meses cada uno, más el soporte de los meses siguientes.</t>
  </si>
  <si>
    <t xml:space="preserve">Lo que cuesta la ingeniería de cada contrato ($ M)</t>
  </si>
  <si>
    <t xml:space="preserve">Cómo se calcula</t>
  </si>
  <si>
    <t xml:space="preserve">Mano de obra (honorarios y salario)</t>
  </si>
  <si>
    <t xml:space="preserve">Horas de cada rol × honorario o salario por hora.</t>
  </si>
  <si>
    <t xml:space="preserve">Conocimiento (certificaciones, cursos y licencias)</t>
  </si>
  <si>
    <t xml:space="preserve">Horas de cada rol × costo del conocimiento por hora.</t>
  </si>
  <si>
    <t xml:space="preserve">Viajes a planta (persona-día)</t>
  </si>
  <si>
    <t xml:space="preserve">Otrosí 1: 15 días de puesta en marcha con 2 personas. Costo por persona-día en los supuestos.</t>
  </si>
  <si>
    <t xml:space="preserve">Viajes a planta</t>
  </si>
  <si>
    <t xml:space="preserve">Instrumentos de prueba y calibración</t>
  </si>
  <si>
    <t xml:space="preserve">Alquiler de calibradores, pesas patrón y probetas para las pruebas en sitio.</t>
  </si>
  <si>
    <t xml:space="preserve">Costo directo</t>
  </si>
  <si>
    <t xml:space="preserve">Administración</t>
  </si>
  <si>
    <t xml:space="preserve">Gastos de funcionamiento de la empresa.</t>
  </si>
  <si>
    <t xml:space="preserve">Imprevistos</t>
  </si>
  <si>
    <t xml:space="preserve">Utilidad</t>
  </si>
  <si>
    <t xml:space="preserve">Precio sin IVA</t>
  </si>
  <si>
    <t xml:space="preserve">IVA</t>
  </si>
  <si>
    <t xml:space="preserve">Precio con IVA</t>
  </si>
  <si>
    <t xml:space="preserve">Precio de la hora, promedio, sin IVA ($/h)</t>
  </si>
  <si>
    <t xml:space="preserve">Parte del precio que es conocimiento</t>
  </si>
  <si>
    <t xml:space="preserve">Conocimiento con su AIU, sobre el precio.</t>
  </si>
  <si>
    <t xml:space="preserve">El contrato principal es casi todo diseño y validación virtual: es donde más pesa el conocimiento (ISA-88, PLC, SCADA, MES, simulación, gemelo y RobotStudio). Los otrosíes son trabajo en planta: montaje supervisado, puesta en marcha, capacitación y soporte.</t>
  </si>
  <si>
    <t xml:space="preserve">Costo de la ingeniería por paquete de la EDT del proyecto</t>
  </si>
  <si>
    <t xml:space="preserve">Cada actividad tiene su paquete de la EDT del proyecto y la duración que le da la EDT (README del proyecto, sección 3.1). La columna de personas dice cuántos ingenieros a tiempo completo necesita el paquete para caber en esas semanas: si supera los que tiene el rol, el paquete se solapa con otros o se alarga dentro de las 16 semanas.</t>
  </si>
  <si>
    <t xml:space="preserve">Semanas en la EDT</t>
  </si>
  <si>
    <t xml:space="preserve">Horas contrato principal</t>
  </si>
  <si>
    <t xml:space="preserve">Horas otrosí 1</t>
  </si>
  <si>
    <t xml:space="preserve">Horas otrosí 2</t>
  </si>
  <si>
    <t xml:space="preserve">Personas a tiempo completo (contrato principal)</t>
  </si>
  <si>
    <t xml:space="preserve">Costo de personal y conocimiento ($ M)</t>
  </si>
  <si>
    <t xml:space="preserve">Precio sin IVA ($ M)</t>
  </si>
  <si>
    <t xml:space="preserve">Parte del precio</t>
  </si>
  <si>
    <t xml:space="preserve">1. Gestión del proyecto</t>
  </si>
  <si>
    <t xml:space="preserve">1.1 Inicio y planeación</t>
  </si>
  <si>
    <t xml:space="preserve">1.2 Seguimiento y compuertas</t>
  </si>
  <si>
    <t xml:space="preserve">1.3 Informe final y sustentación</t>
  </si>
  <si>
    <t xml:space="preserve">2. Ingeniería de proceso</t>
  </si>
  <si>
    <t xml:space="preserve">2.1 Análisis del problema</t>
  </si>
  <si>
    <t xml:space="preserve">2.2 EDT de la producción</t>
  </si>
  <si>
    <t xml:space="preserve">2.3 VSM de las líneas</t>
  </si>
  <si>
    <t xml:space="preserve">2.4 Medidas organizacionales</t>
  </si>
  <si>
    <t xml:space="preserve">2.5 Arquitectura ISA-95</t>
  </si>
  <si>
    <t xml:space="preserve">3. Automatización y control</t>
  </si>
  <si>
    <t xml:space="preserve">3.1 Instrumentación</t>
  </si>
  <si>
    <t xml:space="preserve">3.2 PLC e ISA-88</t>
  </si>
  <si>
    <t xml:space="preserve">3.3 SCADA</t>
  </si>
  <si>
    <t xml:space="preserve">4. Robótica y simulación</t>
  </si>
  <si>
    <t xml:space="preserve">4.1 Plant Simulation</t>
  </si>
  <si>
    <t xml:space="preserve">4.2 RobotStudio</t>
  </si>
  <si>
    <t xml:space="preserve">4.3 NX MCD</t>
  </si>
  <si>
    <t xml:space="preserve">5. MES y ERP</t>
  </si>
  <si>
    <t xml:space="preserve">5.1 Implementación MES</t>
  </si>
  <si>
    <t xml:space="preserve">5.2 Implementación ERP (configuración funcional)</t>
  </si>
  <si>
    <t xml:space="preserve">5.3 Integración y comunicación</t>
  </si>
  <si>
    <t xml:space="preserve">6. Finanzas y oferta</t>
  </si>
  <si>
    <t xml:space="preserve">6.1 Modelo financiero y oferta</t>
  </si>
  <si>
    <t xml:space="preserve">6.2 Financiación</t>
  </si>
  <si>
    <t xml:space="preserve">Viajes e instrumentos de prueba, con su AIU</t>
  </si>
  <si>
    <t xml:space="preserve">Total de los paquetes</t>
  </si>
  <si>
    <t xml:space="preserve">Comprobación: total de los paquetes − precio de los tres contratos ($ M)</t>
  </si>
  <si>
    <t xml:space="preserve">Contrato principal: 16 semanas de la EDT del proyecto (semestre 2026-2)</t>
  </si>
  <si>
    <t xml:space="preserve">Costo por hora ($)</t>
  </si>
  <si>
    <t xml:space="preserve">De ese costo: conocimiento ($ M)</t>
  </si>
  <si>
    <t xml:space="preserve">Personal y conocimiento ($ M)</t>
  </si>
  <si>
    <t xml:space="preserve">Los 19 paquetes de la EDT: diagnóstico, diseño, programación y validación virtual de todo el proyecto, celda de paletizado incluida, y BOM cotizado.</t>
  </si>
  <si>
    <t xml:space="preserve">Otrosí 1: implementación de la etapa 1 (2 meses, 2027)</t>
  </si>
  <si>
    <t xml:space="preserve">Se firma si se supera la primera compuerta: montaje supervisado, puesta en marcha, capacitación y soporte de la etapa 1.</t>
  </si>
  <si>
    <t xml:space="preserve">Otrosí 2: ingeniería de detalle e implementación de la etapa 2 (2 meses, 2028)</t>
  </si>
  <si>
    <t xml:space="preserve">Se firma si se supera la segunda compuerta: integración de la hiladora, el CIP y el suero, puesta en marcha y certificación ante el CNBT.</t>
  </si>
  <si>
    <t xml:space="preserve">Estado de resultados de IntegraMotion por el proyecto ($ M)</t>
  </si>
  <si>
    <t xml:space="preserve">Ingresos (precio sin IVA)</t>
  </si>
  <si>
    <t xml:space="preserve">− Honorarios de los socios</t>
  </si>
  <si>
    <t xml:space="preserve">− Salario del director, costo empresa</t>
  </si>
  <si>
    <t xml:space="preserve">− Conocimiento: certificaciones, cursos y licencias</t>
  </si>
  <si>
    <t xml:space="preserve">− Viajes</t>
  </si>
  <si>
    <t xml:space="preserve">− Instrumentos de prueba</t>
  </si>
  <si>
    <t xml:space="preserve">− Administración</t>
  </si>
  <si>
    <t xml:space="preserve">− Imprevistos (se gastan)</t>
  </si>
  <si>
    <t xml:space="preserve">− Impuesto de renta</t>
  </si>
  <si>
    <t xml:space="preserve">Utilidad neta = dividendos</t>
  </si>
  <si>
    <t xml:space="preserve">Dividendo por socio</t>
  </si>
  <si>
    <t xml:space="preserve">El IVA no es ingreso: se cobra al cliente y se paga a la DIAN. El cliente retiene en la fuente sobre los pagos; es un anticipo del impuesto de renta de IntegraMotion.</t>
  </si>
  <si>
    <t xml:space="preserve">Margen de IntegraMotion y qué pasa si las horas se pasan</t>
  </si>
  <si>
    <t xml:space="preserve">Utilidad del AIU sobre el precio sin IVA</t>
  </si>
  <si>
    <t xml:space="preserve">El 10 % se aplica al costo directo; sobre el precio es menos.</t>
  </si>
  <si>
    <t xml:space="preserve">Utilidad antes de impuestos sobre ventas</t>
  </si>
  <si>
    <t xml:space="preserve">Utilidad neta sobre ventas</t>
  </si>
  <si>
    <t xml:space="preserve">Factor de venta promedio (precio ÷ remuneración del equipo)</t>
  </si>
  <si>
    <t xml:space="preserve">Control de consistencia: la tarifa cubre remuneración, conocimiento, viajes, gastos, imprevistos y utilidad.</t>
  </si>
  <si>
    <t xml:space="preserve">Utilidad antes de impuestos si no se gastan los imprevistos</t>
  </si>
  <si>
    <t xml:space="preserve">El estado de resultados supone, por prudencia, que la reserva se consume.</t>
  </si>
  <si>
    <t xml:space="preserve">Utilidad antes de impuestos si las horas reales son 10 % más</t>
  </si>
  <si>
    <t xml:space="preserve">Precio cerrado: el sobrecosto lo absorben primero los imprevistos y después la utilidad.</t>
  </si>
  <si>
    <t xml:space="preserve">Utilidad antes de impuestos si las horas reales son 20 % más</t>
  </si>
  <si>
    <t xml:space="preserve">Sobrecosto de horas que deja la utilidad en cero</t>
  </si>
  <si>
    <t xml:space="preserve">Por encima de esto IntegraMotion pierde; por eso los cambios de alcance van por orden de cambio.</t>
  </si>
  <si>
    <t xml:space="preserve">Lo que recibe cada socio por el proyecto ($ M)</t>
  </si>
  <si>
    <t xml:space="preserve">Socio</t>
  </si>
  <si>
    <t xml:space="preserve">Sueldo u honorarios</t>
  </si>
  <si>
    <t xml:space="preserve">Aportes propios</t>
  </si>
  <si>
    <t xml:space="preserve">Dividendo</t>
  </si>
  <si>
    <t xml:space="preserve">Total neto</t>
  </si>
  <si>
    <t xml:space="preserve">Ingeniero de automatización y control (2) — cada uno</t>
  </si>
  <si>
    <t xml:space="preserve">Director: sueldo con prestaciones, que la empresa paga aparte. Socios con honorarios: pagan su seguridad social sobre el 40 % del honorario. Las certificaciones y licencias las paga la empresa, no el socio. Dividendos por debajo de 1.090 UVT al año: sin retención en la fuente (art. 242 ET).</t>
  </si>
  <si>
    <t xml:space="preserve">Pagos de Lácteos Fúquene a IntegraMotion</t>
  </si>
  <si>
    <t xml:space="preserve">Hito</t>
  </si>
  <si>
    <t xml:space="preserve">% del contrato</t>
  </si>
  <si>
    <t xml:space="preserve">Sin IVA ($ M)</t>
  </si>
  <si>
    <t xml:space="preserve">Con IVA ($ M)</t>
  </si>
  <si>
    <t xml:space="preserve">Cuándo</t>
  </si>
  <si>
    <t xml:space="preserve">Pago del contrato principal: anticipo a la firma</t>
  </si>
  <si>
    <t xml:space="preserve">Semestre 2026-2, semana 1</t>
  </si>
  <si>
    <t xml:space="preserve">Pago del contrato principal: ingeniería de la etapa 1 aceptada</t>
  </si>
  <si>
    <t xml:space="preserve">Semestre 2026-2, semana 10</t>
  </si>
  <si>
    <t xml:space="preserve">Pago del contrato principal: informe final y primera compuerta</t>
  </si>
  <si>
    <t xml:space="preserve">Semestre 2026-2, semana 16</t>
  </si>
  <si>
    <t xml:space="preserve">Pago del otrosí 1: inicio del montaje</t>
  </si>
  <si>
    <t xml:space="preserve">Marzo de 2027, después de la primera compuerta</t>
  </si>
  <si>
    <t xml:space="preserve">Pago del otrosí 1: prueba en sitio de la etapa 1</t>
  </si>
  <si>
    <t xml:space="preserve">Abril de 2027</t>
  </si>
  <si>
    <t xml:space="preserve">Pago del otrosí 2: inicio de la integración</t>
  </si>
  <si>
    <t xml:space="preserve">2028, después de la segunda compuerta</t>
  </si>
  <si>
    <t xml:space="preserve">Pago del otrosí 2: aceptación en sitio de la hiladora</t>
  </si>
  <si>
    <t xml:space="preserve">Control del contrato principal por valor ganado</t>
  </si>
  <si>
    <t xml:space="preserve">Línea base de costo del contrato principal: cada paquete reparte su costo de personal y conocimiento en las semanas que le da la EDT, desde la semana de inicio del cronograma (en azul, ajustable). En la ejecución se llenan cada semana el valor ganado (costo presupuestado del trabajo terminado) y el costo real; el modelo calcula los índices y el estado. Así IntegraMotion controla las horas de un contrato de precio fijo.</t>
  </si>
  <si>
    <t xml:space="preserve">Semana de inicio</t>
  </si>
  <si>
    <t xml:space="preserve">Semanas</t>
  </si>
  <si>
    <t xml:space="preserve">Semana final</t>
  </si>
  <si>
    <t xml:space="preserve">Costo presupuestado ($ M)</t>
  </si>
  <si>
    <t xml:space="preserve">Presupuesto a la terminación (BAC): costo de personal y conocimiento del contrato principal</t>
  </si>
  <si>
    <t xml:space="preserve">Comprobación: BAC − costo de personal y conocimiento del contrato principal</t>
  </si>
  <si>
    <t xml:space="preserve">Comprobación: ningún paquete termina después de la semana 16</t>
  </si>
  <si>
    <t xml:space="preserve">Semana</t>
  </si>
  <si>
    <t xml:space="preserve">Valor planeado de la semana ($ M)</t>
  </si>
  <si>
    <t xml:space="preserve">Valor planeado acumulado PV ($ M)</t>
  </si>
  <si>
    <t xml:space="preserve">Avance planeado</t>
  </si>
  <si>
    <t xml:space="preserve">Facturado acumulado sin IVA ($ M)</t>
  </si>
  <si>
    <t xml:space="preserve">Valor ganado acumulado EV ($ M)</t>
  </si>
  <si>
    <t xml:space="preserve">Costo real acumulado AC ($ M)</t>
  </si>
  <si>
    <t xml:space="preserve">CPI = EV/AC</t>
  </si>
  <si>
    <t xml:space="preserve">SPI = EV/PV</t>
  </si>
  <si>
    <t xml:space="preserve">Costo estimado a la terminación EAC ($ M)</t>
  </si>
  <si>
    <t xml:space="preserve">Comprobación: PV de la semana 16 − BAC</t>
  </si>
  <si>
    <t xml:space="preserve">Reglas: CPI y SPI de 0,95 o más, en control. Entre 0,90 y 0,95, alerta: el director revisa el paquete en la reunión semanal (paquete 1.2). Menos de 0,90, plan de recuperación con el cliente: reasignar horas entre roles, solapar paquetes o tramitar una orden de cambio si el alcance cambió.</t>
  </si>
  <si>
    <t xml:space="preserve">El sobrecosto que no viene de un cambio de alcance lo absorbe IntegraMotion con su imprevisto del AIU, no el cliente. La columna de facturación muestra la caja: el anticipo de 30 % cubre las primeras semanas y el hito de la semana 10 llega cuando ya se ha ejecutado más de la mitad del costo.</t>
  </si>
  <si>
    <t xml:space="preserve">Alcance, exclusiones y responsabilidades del proveedor</t>
  </si>
  <si>
    <t xml:space="preserve">• El contrato principal cubre los 19 paquetes de la EDT del proyecto en 16 semanas. Los otrosíes amplían su alcance y su valor solo si se superan las compuertas; si no, el contrato termina con la ingeniería, el BOM cotizado y la decisión documentada.</t>
  </si>
  <si>
    <t xml:space="preserve">• IntegraMotion hace la ingeniería, la integración y la gerencia; no vende equipos ni hace montajes. Lo que hacen terceros, quién los contrata y dónde está su costo va en la tabla de abajo. Tampoco incluye la ampliación a yogur y UHT ni la compra e instalación de la celda de paletizado.</t>
  </si>
  <si>
    <t xml:space="preserve">• El proveedor de la hiladora y del CIP entrega, antes del otrosí 2, la lista de señales y un protocolo abierto (EtherNet/IP u OPC UA), hace las pruebas en su fábrica con acta y corrige las fallas de fábrica en su garantía.</t>
  </si>
  <si>
    <t xml:space="preserve">• Las pruebas en la fábrica del proveedor se hacen con su representante en Colombia o de forma remota; los viajes internacionales no están incluidos y, si el cliente los pide, se facturan aparte.</t>
  </si>
  <si>
    <t xml:space="preserve">• Soporte después del arranque: hasta 8 h por semana, remoto y con visitas programadas, durante 3 meses (otrosí 1) y 2 meses (otrosí 2). Fuera de eso, por horas a la tarifa de cada rol.</t>
  </si>
  <si>
    <t xml:space="preserve">• Cambios de alcance: por orden de cambio valorada con las mismas tarifas y aprobada antes de ejecutarse. Cada actividad tiene su entregable y su criterio de aceptación; el pago por hitos se libera con esas actas.</t>
  </si>
  <si>
    <t xml:space="preserve">Trabajo</t>
  </si>
  <si>
    <t xml:space="preserve">Quién lo hace</t>
  </si>
  <si>
    <t xml:space="preserve">Dónde está su costo</t>
  </si>
  <si>
    <t xml:space="preserve">Diagnóstico, diseño, programación, validación virtual, BOM y gestiones</t>
  </si>
  <si>
    <t xml:space="preserve">Contrato principal.</t>
  </si>
  <si>
    <t xml:space="preserve">Supervisión del montaje, puesta en marcha, capacitación y soporte</t>
  </si>
  <si>
    <t xml:space="preserve">Otrosí 1 y otrosí 2.</t>
  </si>
  <si>
    <t xml:space="preserve">Suministro de equipos e instrumentos</t>
  </si>
  <si>
    <t xml:space="preserve">Proveedores; los compra Lácteos Fúquene con el BOM</t>
  </si>
  <si>
    <t xml:space="preserve">Hoja BOM.</t>
  </si>
  <si>
    <t xml:space="preserve">Montaje mecánico, tubería sanitaria y aire comprimido</t>
  </si>
  <si>
    <t xml:space="preserve">Contratista de montaje que contrata Lácteos Fúquene; IntegraMotion lo supervisa</t>
  </si>
  <si>
    <t xml:space="preserve">Instalación del BOM: 15 % de los ítems que la llevan.</t>
  </si>
  <si>
    <t xml:space="preserve">Instalación eléctrica de potencia, canalización y cableado de campo</t>
  </si>
  <si>
    <t xml:space="preserve">Contratista eléctrico con RETIE que contrata Lácteos Fúquene</t>
  </si>
  <si>
    <t xml:space="preserve">Fabricación del tablero de control</t>
  </si>
  <si>
    <t xml:space="preserve">Tablerista nacional</t>
  </si>
  <si>
    <t xml:space="preserve">Ítems TC-300 y TC-E2 del BOM.</t>
  </si>
  <si>
    <t xml:space="preserve">Planos de detalle de obra, eléctricos de potencia, hidráulicos, mecánicos y de reubicación de equipos</t>
  </si>
  <si>
    <t xml:space="preserve">Contratista de montaje; IntegraMotion entrega los planos de lazo y conexionado y la distribución conceptual</t>
  </si>
  <si>
    <t xml:space="preserve">Instalación y pruebas en fábrica de la hiladora y del CIP</t>
  </si>
  <si>
    <t xml:space="preserve">Proveedor de cada equipo</t>
  </si>
  <si>
    <t xml:space="preserve">Precio del equipo, con instalación (hoja Cotizaciones).</t>
  </si>
  <si>
    <t xml:space="preserve">Parametrización de SAP Business One</t>
  </si>
  <si>
    <t xml:space="preserve">Proveedor del ERP</t>
  </si>
  <si>
    <t xml:space="preserve">Rubro de la inversión.</t>
  </si>
  <si>
    <t xml:space="preserve">Formación de los operarios</t>
  </si>
  <si>
    <t xml:space="preserve">SENA y proveedores de los equipos</t>
  </si>
  <si>
    <t xml:space="preserve">Calibración acreditada de instrumentos</t>
  </si>
  <si>
    <t xml:space="preserve">Laboratorio acreditado por el ONAC</t>
  </si>
  <si>
    <t xml:space="preserve">Costos operativos nuevos.</t>
  </si>
  <si>
    <t xml:space="preserve">Aval del proyecto de innovación</t>
  </si>
  <si>
    <t xml:space="preserve">Actor reconocido por Minciencias</t>
  </si>
  <si>
    <t xml:space="preserve">Cómo se fijó el precio</t>
  </si>
  <si>
    <t xml:space="preserve">• Horas desde el trabajo: señales, fases, pantallas, recetas y semanas en planta, con tiempos de referencia de los integradores, cada una en su paquete de la EDT del proyecto.</t>
  </si>
  <si>
    <t xml:space="preserve">• Costo de cada hora por capas: honorario de referencia de la SCI para ingenieros con especialización (categoría 8), más el costo anual de las certificaciones, cursos y licencias de cada rol repartido entre sus horas facturadas.</t>
  </si>
  <si>
    <t xml:space="preserve">• Precio: costo directo (personal, conocimiento, viajes e instrumentos) más el AIU, más IVA.</t>
  </si>
  <si>
    <t xml:space="preserve">• Los programas del PLC, las pantallas del SCADA, el gemelo, la celda en RobotStudio y la documentación se entregan al cliente; las licencias de producción quedan a su nombre.</t>
  </si>
  <si>
    <t xml:space="preserve">• El contrato principal se ejecuta en el semestre 2026-2, en pesos de 2026. Cada otrosí se reajusta con el incremento del salario mínimo del año en que se ejecuta (2027 y 2028): así IntegraMotion no pierde valor si el mínimo sube más que la inflación.</t>
  </si>
  <si>
    <t xml:space="preserve">Gastos de funcionamiento de IntegraMotion durante el proyecto</t>
  </si>
  <si>
    <t xml:space="preserve">Lo que cuesta que la empresa funcione mientras dura el proyecto, sin contar con otros clientes. Precios de 2026; las cifras en azul son supuestos o referencias publicadas.</t>
  </si>
  <si>
    <t xml:space="preserve">Gasto</t>
  </si>
  <si>
    <t xml:space="preserve">Oficina virtual en Bogotá: domicilio comercial, correspondencia y salas de reunión por uso</t>
  </si>
  <si>
    <t xml:space="preserve">Encuentra24, Regus 94 Trece (Calle 94A n.° 13-72), oct-2026: $295.000/mes.</t>
  </si>
  <si>
    <t xml:space="preserve">Un puesto de coworking para el director (incluye energía, internet, aseo y recepción)</t>
  </si>
  <si>
    <t xml:space="preserve">Office Hub, Regus Chapinero (Calle 65A n.° 7-18): $1.364.823/mes. El resto del equipo trabaja en la planta o de forma remota.</t>
  </si>
  <si>
    <t xml:space="preserve">Contador (contabilidad, nómina de una persona, IVA, retenciones y renta)</t>
  </si>
  <si>
    <t xml:space="preserve">Cuánto Me Cuesta (2026): $0,8–1,5 M al mes para una pyme.</t>
  </si>
  <si>
    <t xml:space="preserve">Software contable y facturación electrónica</t>
  </si>
  <si>
    <t xml:space="preserve">Siigo Nube Emprendedor, $191.327/mes (Alegra, jul-2026). Las licencias de ingeniería van en el costo del conocimiento de cada hora.</t>
  </si>
  <si>
    <t xml:space="preserve">Microsoft 365 Business Standard (6 usuarios)</t>
  </si>
  <si>
    <t xml:space="preserve">US$14 por usuario al mes desde jul-2026 (Bestructured, 2026).</t>
  </si>
  <si>
    <t xml:space="preserve">Planes de datos móviles (6 líneas)</t>
  </si>
  <si>
    <t xml:space="preserve">Claro pospago 60 GB, $44.900/mes (Enter.co, mar-2025).</t>
  </si>
  <si>
    <t xml:space="preserve">Portátiles de ingeniería (6 × $4,5 M, depreciados en 5 años)</t>
  </si>
  <si>
    <t xml:space="preserve">Supuesto; el equipo de cómputo se deprecia en 5 años.</t>
  </si>
  <si>
    <t xml:space="preserve">Pólizas de responsabilidad civil profesional y de cumplimiento</t>
  </si>
  <si>
    <t xml:space="preserve">Supuesto: unos $3 M al año.</t>
  </si>
  <si>
    <t xml:space="preserve">Asesoría del SG-SST (hasta 10 trabajadores)</t>
  </si>
  <si>
    <t xml:space="preserve">Supuesto; Resolución 0312 de 2019.</t>
  </si>
  <si>
    <t xml:space="preserve">Gastos bancarios, transporte local y papelería</t>
  </si>
  <si>
    <t xml:space="preserve">Supuesto.</t>
  </si>
  <si>
    <t xml:space="preserve">Gastos fijos al mes</t>
  </si>
  <si>
    <t xml:space="preserve">Dedicación contratada del director durante el proyecto</t>
  </si>
  <si>
    <t xml:space="preserve">Contrato laboral por obra o labor durante los 8 meses de los tres contratos.</t>
  </si>
  <si>
    <t xml:space="preserve">Lo que debe cubrir la administración del AIU</t>
  </si>
  <si>
    <t xml:space="preserve">Gastos fijos de los 8 meses</t>
  </si>
  <si>
    <t xml:space="preserve">Tiempo contratado del director que no se factura a la quesería</t>
  </si>
  <si>
    <t xml:space="preserve">Impuesto de industria y comercio (9,66 por mil de los ingresos)</t>
  </si>
  <si>
    <t xml:space="preserve">Administración cobrada en los tres contratos</t>
  </si>
  <si>
    <t xml:space="preserve">Holgura</t>
  </si>
  <si>
    <t xml:space="preserve">Utilidad antes de impuestos con estos gastos reales</t>
  </si>
  <si>
    <t xml:space="preserve">La administración del AIU deja a IntegraMotion cubierta aunque la quesería sea su único contrato. Como los gastos fijos son los mismos y el costo directo creció con el conocimiento, basta un porcentaje menor.</t>
  </si>
  <si>
    <t xml:space="preserve">Entregables de cada rol y pago por hito</t>
  </si>
  <si>
    <t xml:space="preserve">Los cinco socios tienen contratos de prestación de servicios por productos; el director, contrato laboral. El valor de cada contrato son las horas estimadas por la tarifa, y se paga en los mismos hitos en que Lácteos Fúquene le paga a IntegraMotion.</t>
  </si>
  <si>
    <t xml:space="preserve">Contrato principal (16 semanas)</t>
  </si>
  <si>
    <t xml:space="preserve">Entregables</t>
  </si>
  <si>
    <t xml:space="preserve">Firma (30%)</t>
  </si>
  <si>
    <t xml:space="preserve">Ingeniería aprobada (40%)</t>
  </si>
  <si>
    <t xml:space="preserve">Informe final (30%)</t>
  </si>
  <si>
    <t xml:space="preserve">Plan del proyecto y EDT aprobados, seguimiento, control de cambios y riesgos, informe final y primera compuerta (paquetes 1.1–1.3).</t>
  </si>
  <si>
    <t xml:space="preserve">Diagnóstico y plan de mantenimiento, VSM y línea base, estándar del hilado, fases y recetas ISA-88 de las tres referencias y parámetros preliminares del hilado y el CIP (2.1–2.4).</t>
  </si>
  <si>
    <t xml:space="preserve">Prestación de servicios</t>
  </si>
  <si>
    <t xml:space="preserve">Arquitectura ISA-95, hojas de datos, lista de señales, planos y BOM técnico; especificación funcional y programa del PLC por fases ISA-88 en Studio 5000; SCADA, historiador y MES ligero en Ignition, con estado de las máquinas, paros y OEE; interfaz con el ERP; pruebas con el PLC emulado; ingeniería básica de la etapa 2 y señales de la celda de paletizado (2.5, 3.1–3.3, 5.1, 5.3).</t>
  </si>
  <si>
    <t xml:space="preserve">Modelo de la quesería en Plant Simulation, celda de paletizado en RobotStudio y gemelo virtual en NX MCD conectado al PLC emulado (4.1–4.3).</t>
  </si>
  <si>
    <t xml:space="preserve">Modelo financiero y oferta, BOM valorado con cotizaciones, configuración funcional del ERP y proceso de promesa de entrega con la capacidad real, financiación con prenda y postulación ante Minciencias para el crédito fiscal (5.2, 6.1–6.2).</t>
  </si>
  <si>
    <t xml:space="preserve">Otrosí 1 (etapa 1)</t>
  </si>
  <si>
    <t xml:space="preserve">Inicio del montaje (50%)</t>
  </si>
  <si>
    <t xml:space="preserve">Prueba en sitio (50%)</t>
  </si>
  <si>
    <t xml:space="preserve">Control del montaje, de los cambios y de los riesgos; acta de la segunda compuerta.</t>
  </si>
  <si>
    <t xml:space="preserve">Lotes de prueba de las tres recetas y capacitación de operarios y supervisores.</t>
  </si>
  <si>
    <t xml:space="preserve">Supervisión del montaje, sintonía de lazos, prueba en sitio, capacitación de mantenimiento, manuales y soporte de 3 meses.</t>
  </si>
  <si>
    <t xml:space="preserve">Otrosí 2 (etapa 2)</t>
  </si>
  <si>
    <t xml:space="preserve">Inicio (50%)</t>
  </si>
  <si>
    <t xml:space="preserve">Aceptación de la hiladora (50%)</t>
  </si>
  <si>
    <t xml:space="preserve">Control del proveedor de la hiladora y el CIP, pruebas de aceptación en su fábrica, cambios y cierre.</t>
  </si>
  <si>
    <t xml:space="preserve">Recetas de hilado, validación de la limpieza CIP, lotes de prueba y capacitación del personal.</t>
  </si>
  <si>
    <t xml:space="preserve">Ingeniería de detalle, programación del CIP, del suero y del enlace con la hiladora, pruebas, puesta en marcha, documentación y soporte de 2 meses.</t>
  </si>
  <si>
    <t xml:space="preserve">Actualización del modelo y del gemelo virtual con la hiladora.</t>
  </si>
  <si>
    <t xml:space="preserve">Certificación de la inversión en innovación ante el CNBT, verificación de beneficios contra la línea base y cierre económico.</t>
  </si>
  <si>
    <t xml:space="preserve">Plan de negocio de IntegraMotion: un año tipo</t>
  </si>
  <si>
    <t xml:space="preserve">La quesería se cotiza como un contrato típico de la empresa. El plan supone varios contratos de este tamaño al año; el punto de equilibrio dice cuánta ocupación necesita la empresa para no perder.</t>
  </si>
  <si>
    <t xml:space="preserve">Supuesto del plan: el resto es tiempo comercial, formación y propuestas.</t>
  </si>
  <si>
    <t xml:space="preserve">Capacidad del equipo</t>
  </si>
  <si>
    <t xml:space="preserve">h/año</t>
  </si>
  <si>
    <t xml:space="preserve">6 personas × 182 h de referencia × 12 meses.</t>
  </si>
  <si>
    <t xml:space="preserve">Horas facturadas</t>
  </si>
  <si>
    <t xml:space="preserve">Contratos del tamaño de la quesería al año</t>
  </si>
  <si>
    <t xml:space="preserve">contratos</t>
  </si>
  <si>
    <t xml:space="preserve">Horas facturadas ÷ horas de los tres contratos de la quesería.</t>
  </si>
  <si>
    <t xml:space="preserve">Precio promedio por hora, sin IVA</t>
  </si>
  <si>
    <t xml:space="preserve">El de los contratos de la quesería.</t>
  </si>
  <si>
    <t xml:space="preserve">Costo directo promedio por hora</t>
  </si>
  <si>
    <t xml:space="preserve">Honorarios, salario del director facturado, conocimiento, viajes e instrumentos.</t>
  </si>
  <si>
    <t xml:space="preserve">Estado de resultados del año ($ M)</t>
  </si>
  <si>
    <t xml:space="preserve">Ingresos sin IVA</t>
  </si>
  <si>
    <t xml:space="preserve">Horas facturadas × precio por hora.</t>
  </si>
  <si>
    <t xml:space="preserve">− Costo directo</t>
  </si>
  <si>
    <t xml:space="preserve">− Imprevistos que se gastan</t>
  </si>
  <si>
    <t xml:space="preserve">− Gastos fijos de funcionamiento</t>
  </si>
  <si>
    <t xml:space="preserve">Tabla de gastos de arriba, 12 meses.</t>
  </si>
  <si>
    <t xml:space="preserve">− Director a tiempo completo: tiempo no facturado</t>
  </si>
  <si>
    <t xml:space="preserve">Con varios contratos, el director es empleado de tiempo completo; su tiempo facturado ya va en el costo directo.</t>
  </si>
  <si>
    <t xml:space="preserve">− Impuesto de industria y comercio (9,66 por mil)</t>
  </si>
  <si>
    <t xml:space="preserve">− Impuesto de renta (35 %)</t>
  </si>
  <si>
    <t xml:space="preserve">Utilidad neta del año = dividendos</t>
  </si>
  <si>
    <t xml:space="preserve">Dividendo por socio al año</t>
  </si>
  <si>
    <t xml:space="preserve">Honorarios de un socio al año (a la ocupación del plan)</t>
  </si>
  <si>
    <t xml:space="preserve">Honorario de referencia × 12 × ocupación: al socio se le paga lo que entrega.</t>
  </si>
  <si>
    <t xml:space="preserve">Ocupación de equilibrio (utilidad cero)</t>
  </si>
  <si>
    <t xml:space="preserve">Por debajo de esta ocupación la empresa pierde plata.</t>
  </si>
  <si>
    <t xml:space="preserve">IntegraMotion es una empresa nueva: este es su plan, no su historia. Con la quesería sola cubre sus gastos de los 8 meses (sección de arriba); para crecer necesita la ocupación del plan, que es tarea del área comercial.</t>
  </si>
  <si>
    <t xml:space="preserve">Precio en pesos del año en que se ejecuta cada contrato</t>
  </si>
  <si>
    <t xml:space="preserve">2026 (base)</t>
  </si>
  <si>
    <t xml:space="preserve">2027</t>
  </si>
  <si>
    <t xml:space="preserve">Salario mínimo mensual ($ M)</t>
  </si>
  <si>
    <t xml:space="preserve">2027: incremento de la hoja Entorno. 2028: inflación de la ruta base más el aumento real.</t>
  </si>
  <si>
    <t xml:space="preserve">Honorario de referencia de un socio ($ M/mes)</t>
  </si>
  <si>
    <t xml:space="preserve">4,8 salarios mínimos del año.</t>
  </si>
  <si>
    <t xml:space="preserve">Precio promedio de una hora facturada, sin IVA ($)</t>
  </si>
  <si>
    <t xml:space="preserve">Sube con el salario mínimo: el costo de la hora son honorarios.</t>
  </si>
  <si>
    <t xml:space="preserve">Contrato principal, sin IVA ($ M)</t>
  </si>
  <si>
    <t xml:space="preserve">Se ejecuta en el semestre 2026-2: vale lo de la columna 2026.</t>
  </si>
  <si>
    <t xml:space="preserve">Otrosí 1, sin IVA ($ M)</t>
  </si>
  <si>
    <t xml:space="preserve">Se firma en 2027, después de la primera compuerta.</t>
  </si>
  <si>
    <t xml:space="preserve">Otrosí 2, sin IVA ($ M)</t>
  </si>
  <si>
    <t xml:space="preserve">Se firma después de la segunda compuerta, con el salario mínimo de 2028.</t>
  </si>
  <si>
    <t xml:space="preserve">Valor de cada contrato en el año en que se ejecuta ($ M corrientes)</t>
  </si>
  <si>
    <t xml:space="preserve">La oferta se presenta en pesos de 2026: el contrato principal se ejecuta en el semestre 2026-2 a esos precios, y cada otrosí se liquida con el salario mínimo del año en que se firma. Así IntegraMotion no pierde valor si el mínimo sube más que la inflación, y Lácteos Fúquene sabe desde hoy cómo se calcula su precio. Los gastos de funcionamiento se cubren con la administración del AIU, que es un porcentaje del costo directo y sube con él. En el modelo de la quesería los otrosíes entran en pesos constantes de 2026: el precio corriente dividido por la inflación de cada año.</t>
  </si>
  <si>
    <t xml:space="preserve">Análisis de precios unitarios (APU) de la ingeniería de IntegraMotion</t>
  </si>
  <si>
    <t xml:space="preserve">Cada hora de ingeniería se costea por componentes: mano de obra, conocimiento (certificaciones, cursos y licencias), transporte e instrumentos. El presupuesto multiplica horas por precio unitario y suma el AIU. Debe dar lo mismo que la hoja IntegraMotion.</t>
  </si>
  <si>
    <t xml:space="preserve">Contrato principal: las 16 semanas de la EDT del proyecto</t>
  </si>
  <si>
    <t xml:space="preserve">APU por hora de ingeniería (pesos por hora)</t>
  </si>
  <si>
    <t xml:space="preserve">Mano de obra</t>
  </si>
  <si>
    <t xml:space="preserve">Conocimiento</t>
  </si>
  <si>
    <t xml:space="preserve">Transporte a planta</t>
  </si>
  <si>
    <t xml:space="preserve">Instrumentos</t>
  </si>
  <si>
    <t xml:space="preserve">Costo directo unitario</t>
  </si>
  <si>
    <t xml:space="preserve">hora</t>
  </si>
  <si>
    <t xml:space="preserve">Mano de obra: salario o honorario mensual ÷ 182 horas de referencia (director con factor prestacional 1,38). Conocimiento: costo anual de certificaciones, cursos y licencias del rol ÷ sus horas facturadas al año. Transporte e instrumentos: total del contrato ÷ horas del equipo.</t>
  </si>
  <si>
    <t xml:space="preserve">Presupuesto del contrato ($ M)</t>
  </si>
  <si>
    <t xml:space="preserve">Ítem</t>
  </si>
  <si>
    <t xml:space="preserve">Valor unitario ($)</t>
  </si>
  <si>
    <t xml:space="preserve">Valor total ($ M)</t>
  </si>
  <si>
    <t xml:space="preserve">h</t>
  </si>
  <si>
    <t xml:space="preserve">Valor sin IVA</t>
  </si>
  <si>
    <t xml:space="preserve">Valor con IVA</t>
  </si>
  <si>
    <t xml:space="preserve">Comprobación: diferencia con la hoja IntegraMotion ($ M)</t>
  </si>
  <si>
    <t xml:space="preserve">Otrosí 2: ingeniería de detalle e implementación de la etapa 2</t>
  </si>
  <si>
    <t xml:space="preserve">Los socios con honorarios pagan su propia seguridad social; por eso su mano de obra es el honorario por hora. El AIU se aplica sobre el costo directo, como en el resto del modelo.</t>
  </si>
  <si>
    <t xml:space="preserve">Chequeos del modelo</t>
  </si>
  <si>
    <t xml:space="preserve">Cada chequeo calcula una diferencia que debe ser cero. Si alguno dice Revisar, hay un error de fórmula o de enlace.</t>
  </si>
  <si>
    <t xml:space="preserve">Chequeo</t>
  </si>
  <si>
    <t xml:space="preserve">Qué compara</t>
  </si>
  <si>
    <t xml:space="preserve">Empresa: descuentos de renta que superan el impuesto de algún año (capacidad tributaria)</t>
  </si>
  <si>
    <t xml:space="preserve">La empresa paga suficiente renta cada año para usar los descuentos y el crédito fiscal.</t>
  </si>
  <si>
    <t xml:space="preserve">Inversión: suma de los componentes − (año 0 + año 1)</t>
  </si>
  <si>
    <t xml:space="preserve">Tabla de inversión de la hoja Quesería.</t>
  </si>
  <si>
    <t xml:space="preserve">Beneficios: suma de la tabla − (etapas 0 y 1 + etapa 2)</t>
  </si>
  <si>
    <t xml:space="preserve">Tabla de beneficios de la hoja Quesería.</t>
  </si>
  <si>
    <t xml:space="preserve">Hallazgos: lo que se carga a la quesería − beneficio anual pleno</t>
  </si>
  <si>
    <t xml:space="preserve">Todo beneficio de la oferta viene de un hallazgo o de la innovación del sensor de coagulación.</t>
  </si>
  <si>
    <t xml:space="preserve">Beneficios: hoja Quesería − hoja Beneficios y costos (valor planta)</t>
  </si>
  <si>
    <t xml:space="preserve">Que cada beneficio venga de su cálculo.</t>
  </si>
  <si>
    <t xml:space="preserve">Flujo de caja libre: suma de los años − suma de sus componentes</t>
  </si>
  <si>
    <t xml:space="preserve">Que el flujo sume todos sus rubros con el signo correcto.</t>
  </si>
  <si>
    <t xml:space="preserve">Crédito: saldo al final del año 8</t>
  </si>
  <si>
    <t xml:space="preserve">El crédito queda pagado.</t>
  </si>
  <si>
    <t xml:space="preserve">Crédito: abonos en pesos corrientes − desembolsos en pesos corrientes</t>
  </si>
  <si>
    <t xml:space="preserve">Se devuelve lo que se prestó.</t>
  </si>
  <si>
    <t xml:space="preserve">Escenarios: TIR de la columna Oferta − TIR de la hoja Quesería</t>
  </si>
  <si>
    <t xml:space="preserve">La hoja Escenarios reproduce la oferta.</t>
  </si>
  <si>
    <t xml:space="preserve">Escenarios: VPN de la columna Oferta − VPN de la hoja Quesería</t>
  </si>
  <si>
    <t xml:space="preserve">Escenarios: cobertura mínima de la columna Oferta − la de la hoja Quesería</t>
  </si>
  <si>
    <t xml:space="preserve">Depreciación fiscal: etapa 1 deducida en pesos corrientes − su costo</t>
  </si>
  <si>
    <t xml:space="preserve">Cada rubro se deduce completo según su vida fiscal; la reposición del año 6 deduce 4 de sus 5 años dentro del horizonte (escenario Solo etapas 0 y 1).</t>
  </si>
  <si>
    <t xml:space="preserve">Balance de masa de los quesos: entradas − salidas</t>
  </si>
  <si>
    <t xml:space="preserve">Leche, crema y agua que entran = queso, crema y suero que salen.</t>
  </si>
  <si>
    <t xml:space="preserve">Leche: recepción − leche repartida en las nueve referencias</t>
  </si>
  <si>
    <t xml:space="preserve">La estandarización usa toda la leche de la planta.</t>
  </si>
  <si>
    <t xml:space="preserve">Leche: quesería − (campesino + doble crema + mozzarella)</t>
  </si>
  <si>
    <t xml:space="preserve">Costos nuevos: total − suma de energía, vapor y calibración</t>
  </si>
  <si>
    <t xml:space="preserve">Tabla de costos de la hoja Beneficios y costos.</t>
  </si>
  <si>
    <t xml:space="preserve">Empresa: utilidad neta de 2026 calculada − la del caso</t>
  </si>
  <si>
    <t xml:space="preserve">El estado de resultados del caso cuadra con la tarifa de renta.</t>
  </si>
  <si>
    <t xml:space="preserve">Empresa: EBITDA del proyecto − (beneficios − costos − traslape) del flujo</t>
  </si>
  <si>
    <t xml:space="preserve">El estado de resultados de la empresa toma lo mismo que el flujo del proyecto.</t>
  </si>
  <si>
    <t xml:space="preserve">Cotizaciones: valor del modelo − valor de la tabla de inversión (8 equipos)</t>
  </si>
  <si>
    <t xml:space="preserve">Que la inversión use los precios de la hoja Cotizaciones.</t>
  </si>
  <si>
    <t xml:space="preserve">APU: presupuesto del contrato principal − precio de la hoja IntegraMotion</t>
  </si>
  <si>
    <t xml:space="preserve">El APU reproduce el precio de cada contrato.</t>
  </si>
  <si>
    <t xml:space="preserve">APU: presupuesto del otrosí 1 − precio de la hoja IntegraMotion</t>
  </si>
  <si>
    <t xml:space="preserve">APU: presupuesto del otrosí 2 − precio de la hoja IntegraMotion</t>
  </si>
  <si>
    <t xml:space="preserve">Contrato principal: hoja Quesería − hoja IntegraMotion</t>
  </si>
  <si>
    <t xml:space="preserve">La inversión toma el precio sin IVA del contrato, completo aunque esté repartido en dos rubros.</t>
  </si>
  <si>
    <t xml:space="preserve">Otrosí 1: hoja Quesería − hoja IntegraMotion reajustada</t>
  </si>
  <si>
    <t xml:space="preserve">Otrosí 2: hoja Quesería − hoja IntegraMotion reajustada</t>
  </si>
  <si>
    <t xml:space="preserve">Resumen: presupuesto − inversión de la hoja Quesería</t>
  </si>
  <si>
    <t xml:space="preserve">El cuadro de presupuesto suma toda la inversión.</t>
  </si>
  <si>
    <t xml:space="preserve">Resumen: líneas del flujo − flujo de caja libre</t>
  </si>
  <si>
    <t xml:space="preserve">El flujo resumido cuadra con el de la hoja Quesería.</t>
  </si>
  <si>
    <t xml:space="preserve">BOM: lo que entra a la quesería − rubros de equipos de la hoja Quesería</t>
  </si>
  <si>
    <t xml:space="preserve">Cada rubro de equipos de la inversión es la suma de sus ítems en el BOM.</t>
  </si>
  <si>
    <t xml:space="preserve">IntegraMotion: precio por paquete de la EDT − precio de los tres contratos</t>
  </si>
  <si>
    <t xml:space="preserve">Los paquetes de la EDT reparten el mismo precio de los tres contratos.</t>
  </si>
  <si>
    <t xml:space="preserve">Beneficios y costos: leche de la mezcla óptima − leche de hoy</t>
  </si>
  <si>
    <t xml:space="preserve">La mezcla óptima reparte los mismos litros.</t>
  </si>
  <si>
    <t xml:space="preserve">Herramientas: pesos de la matriz de criterios − 100 %</t>
  </si>
  <si>
    <t xml:space="preserve">Los pesos de los criterios suman 100 %.</t>
  </si>
  <si>
    <t xml:space="preserve">IntegraMotion: línea base de valor ganado − costo del contrato principal</t>
  </si>
  <si>
    <t xml:space="preserve">La curva S reparte todo el costo de personal y conocimiento del contrato principal.</t>
  </si>
  <si>
    <t xml:space="preserve">IntegraMotion: PV de la semana 16 − BAC</t>
  </si>
  <si>
    <t xml:space="preserve">La curva S llega al presupuesto completo.</t>
  </si>
  <si>
    <t xml:space="preserve">IntegraMotion: semana final del cronograma − 16 (0 o menos)</t>
  </si>
  <si>
    <t xml:space="preserve">Ningún paquete se sale de las 16 semanas.</t>
  </si>
  <si>
    <t xml:space="preserve">Estado general del modelo</t>
  </si>
</sst>
</file>

<file path=xl/styles.xml><?xml version="1.0" encoding="utf-8"?>
<styleSheet xmlns="http://schemas.openxmlformats.org/spreadsheetml/2006/main">
  <numFmts count="20">
    <numFmt numFmtId="164" formatCode="General"/>
    <numFmt numFmtId="165" formatCode="0.0%;\(0.0%\);\-"/>
    <numFmt numFmtId="166" formatCode="#,##0;\(#,##0\);\-"/>
    <numFmt numFmtId="167" formatCode="0.0"/>
    <numFmt numFmtId="168" formatCode="0.00"/>
    <numFmt numFmtId="169" formatCode="#,##0.0;\(#,##0.0\);\-"/>
    <numFmt numFmtId="170" formatCode="0.000;\-0.000;0.000"/>
    <numFmt numFmtId="171" formatCode="0"/>
    <numFmt numFmtId="172" formatCode="0.00%;\(0.00%\);\-"/>
    <numFmt numFmtId="173" formatCode="0.000"/>
    <numFmt numFmtId="174" formatCode="0.0;\-0.0;\-"/>
    <numFmt numFmtId="175" formatCode="0%"/>
    <numFmt numFmtId="176" formatCode="\$#,##0"/>
    <numFmt numFmtId="177" formatCode="#,##0"/>
    <numFmt numFmtId="178" formatCode="#,##0.0"/>
    <numFmt numFmtId="179" formatCode="#,##0.00"/>
    <numFmt numFmtId="180" formatCode="#,##0.000"/>
    <numFmt numFmtId="181" formatCode="0.0#"/>
    <numFmt numFmtId="182" formatCode="#,##0.000;\(#,##0.000\);\-"/>
    <numFmt numFmtId="183" formatCode="\$#,##0;&quot;($&quot;#,##0\);\-"/>
  </numFmts>
  <fonts count="1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1"/>
      <color rgb="FFFFFFFF"/>
      <name val="Arial"/>
      <family val="0"/>
      <charset val="1"/>
    </font>
    <font>
      <b val="true"/>
      <sz val="10"/>
      <name val="Arial"/>
      <family val="0"/>
      <charset val="1"/>
    </font>
    <font>
      <sz val="10"/>
      <name val="Arial"/>
      <family val="0"/>
      <charset val="1"/>
    </font>
    <font>
      <i val="true"/>
      <sz val="9"/>
      <color rgb="FF595959"/>
      <name val="Arial"/>
      <family val="0"/>
      <charset val="1"/>
    </font>
    <font>
      <u val="single"/>
      <sz val="10"/>
      <color rgb="FF0563C1"/>
      <name val="Arial"/>
      <family val="0"/>
      <charset val="1"/>
    </font>
    <font>
      <sz val="10"/>
      <color rgb="FF0000FF"/>
      <name val="Arial"/>
      <family val="0"/>
      <charset val="1"/>
    </font>
    <font>
      <b val="true"/>
      <sz val="16"/>
      <color rgb="FF1F3864"/>
      <name val="Arial"/>
      <family val="0"/>
      <charset val="1"/>
    </font>
    <font>
      <sz val="10"/>
      <color rgb="FF1F3864"/>
      <name val="Arial"/>
      <family val="0"/>
      <charset val="1"/>
    </font>
    <font>
      <b val="true"/>
      <sz val="14"/>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EAF0F8"/>
        <bgColor rgb="FFFFFFFF"/>
      </patternFill>
    </fill>
    <fill>
      <patternFill patternType="solid">
        <fgColor rgb="FFD9D9D9"/>
        <bgColor rgb="FFEAF0F8"/>
      </patternFill>
    </fill>
  </fills>
  <borders count="3">
    <border diagonalUp="false" diagonalDown="false">
      <left/>
      <right/>
      <top/>
      <bottom/>
      <diagonal/>
    </border>
    <border diagonalUp="false" diagonalDown="false">
      <left/>
      <right/>
      <top style="thin">
        <color rgb="FF808080"/>
      </top>
      <bottom/>
      <diagonal/>
    </border>
    <border diagonalUp="false" diagonalDown="false">
      <left/>
      <right/>
      <top style="thin">
        <color rgb="FFA6A6A6"/>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9" fontId="12" fillId="4" borderId="0" xfId="0" applyFont="true" applyBorder="false" applyAlignment="true" applyProtection="false">
      <alignment horizontal="left" vertical="bottom" textRotation="0" wrapText="false" indent="0" shrinkToFit="false"/>
      <protection locked="true" hidden="false"/>
    </xf>
    <xf numFmtId="164" fontId="12" fillId="4" borderId="0" xfId="0" applyFont="true" applyBorder="false" applyAlignment="true" applyProtection="false">
      <alignment horizontal="left" vertical="bottom" textRotation="0" wrapText="fals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left"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center"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8" fontId="8" fillId="0" borderId="0" xfId="0" applyFont="true" applyBorder="false" applyAlignment="true" applyProtection="false">
      <alignment horizontal="right"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71" fontId="11" fillId="3"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center"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0" borderId="2" xfId="0" applyFont="true" applyBorder="tru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8" fontId="11"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top" textRotation="0" wrapText="false" indent="0" shrinkToFit="false"/>
      <protection locked="true" hidden="false"/>
    </xf>
    <xf numFmtId="180" fontId="11"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81" fontId="11"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left" vertical="bottom" textRotation="0" wrapText="false" indent="0" shrinkToFit="false"/>
      <protection locked="true" hidden="false"/>
    </xf>
    <xf numFmtId="182" fontId="11"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82" fontId="7" fillId="0" borderId="0" xfId="0" applyFont="true" applyBorder="false" applyAlignment="false" applyProtection="false">
      <alignment horizontal="general" vertical="bottom" textRotation="0" wrapText="false" indent="0" shrinkToFit="false"/>
      <protection locked="true" hidden="false"/>
    </xf>
    <xf numFmtId="182" fontId="7" fillId="3" borderId="0" xfId="0" applyFont="true" applyBorder="false" applyAlignment="false" applyProtection="false">
      <alignment horizontal="general" vertical="bottom" textRotation="0" wrapText="false" indent="0" shrinkToFit="false"/>
      <protection locked="true" hidden="false"/>
    </xf>
    <xf numFmtId="183" fontId="8" fillId="0"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83"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6A6A6"/>
      <rgbColor rgb="FF808080"/>
      <rgbColor rgb="FF9999FF"/>
      <rgbColor rgb="FFBE4B48"/>
      <rgbColor rgb="FFFFFFCC"/>
      <rgbColor rgb="FFEAF0F8"/>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8B855"/>
      <rgbColor rgb="FFFFCC00"/>
      <rgbColor rgb="FFFF9900"/>
      <rgbColor rgb="FFFF6600"/>
      <rgbColor rgb="FF7D5FA0"/>
      <rgbColor rgb="FF878787"/>
      <rgbColor rgb="FF1F3864"/>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Cambio del VPN frente a la oferta ($ M)</a:t>
            </a:r>
          </a:p>
        </c:rich>
      </c:tx>
      <c:overlay val="0"/>
      <c:spPr>
        <a:noFill/>
        <a:ln w="0">
          <a:noFill/>
        </a:ln>
      </c:spPr>
    </c:title>
    <c:autoTitleDeleted val="0"/>
    <c:plotArea>
      <c:barChart>
        <c:barDir val="bar"/>
        <c:grouping val="clustered"/>
        <c:varyColors val="0"/>
        <c:ser>
          <c:idx val="0"/>
          <c:order val="0"/>
          <c:tx>
            <c:strRef>
              <c:f>Riesgo!D12</c:f>
              <c:strCache>
                <c:ptCount val="1"/>
                <c:pt idx="0">
                  <c:v>Cambio desfavorable</c:v>
                </c:pt>
              </c:strCache>
            </c:strRef>
          </c:tx>
          <c:spPr>
            <a:solidFill>
              <a:srgbClr val="c00000"/>
            </a:solidFill>
            <a:ln w="0">
              <a:solidFill>
                <a:srgbClr val="c00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Riesgo!$A$13:$A$20</c:f>
              <c:strCache>
                <c:ptCount val="8"/>
                <c:pt idx="0">
                  <c:v>Beneficios</c:v>
                </c:pt>
                <c:pt idx="1">
                  <c:v>Reubicación del personal</c:v>
                </c:pt>
                <c:pt idx="2">
                  <c:v>Inversión</c:v>
                </c:pt>
                <c:pt idx="3">
                  <c:v>Costos operativos nuevos</c:v>
                </c:pt>
                <c:pt idx="4">
                  <c:v>Supuestos del escenario conservador</c:v>
                </c:pt>
                <c:pt idx="5">
                  <c:v>Inflación</c:v>
                </c:pt>
                <c:pt idx="6">
                  <c:v>Salario mínimo de 2027</c:v>
                </c:pt>
                <c:pt idx="7">
                  <c:v>Gestiones de IntegraMotion (prenda y crédito fiscal)</c:v>
                </c:pt>
              </c:strCache>
            </c:strRef>
          </c:cat>
          <c:val>
            <c:numRef>
              <c:f>Riesgo!$D$13:$D$20</c:f>
              <c:numCache>
                <c:formatCode>#,##0;\(#,##0\);\-</c:formatCode>
                <c:ptCount val="8"/>
                <c:pt idx="0">
                  <c:v>-394.638140889259</c:v>
                </c:pt>
                <c:pt idx="1">
                  <c:v>-351.263144589887</c:v>
                </c:pt>
                <c:pt idx="2">
                  <c:v>-246.430956431082</c:v>
                </c:pt>
                <c:pt idx="3">
                  <c:v>-104.828193578775</c:v>
                </c:pt>
                <c:pt idx="4">
                  <c:v>-961.328458331185</c:v>
                </c:pt>
                <c:pt idx="5">
                  <c:v>-9.34953393218325</c:v>
                </c:pt>
                <c:pt idx="6">
                  <c:v>-2.85675111366606</c:v>
                </c:pt>
                <c:pt idx="7">
                  <c:v>-312.515448940139</c:v>
                </c:pt>
              </c:numCache>
            </c:numRef>
          </c:val>
        </c:ser>
        <c:ser>
          <c:idx val="1"/>
          <c:order val="1"/>
          <c:tx>
            <c:strRef>
              <c:f>Riesgo!E12</c:f>
              <c:strCache>
                <c:ptCount val="1"/>
                <c:pt idx="0">
                  <c:v>Cambio favorable</c:v>
                </c:pt>
              </c:strCache>
            </c:strRef>
          </c:tx>
          <c:spPr>
            <a:solidFill>
              <a:srgbClr val="2e75b6"/>
            </a:solidFill>
            <a:ln w="0">
              <a:solidFill>
                <a:srgbClr val="2e75b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Riesgo!$A$13:$A$20</c:f>
              <c:strCache>
                <c:ptCount val="8"/>
                <c:pt idx="0">
                  <c:v>Beneficios</c:v>
                </c:pt>
                <c:pt idx="1">
                  <c:v>Reubicación del personal</c:v>
                </c:pt>
                <c:pt idx="2">
                  <c:v>Inversión</c:v>
                </c:pt>
                <c:pt idx="3">
                  <c:v>Costos operativos nuevos</c:v>
                </c:pt>
                <c:pt idx="4">
                  <c:v>Supuestos del escenario conservador</c:v>
                </c:pt>
                <c:pt idx="5">
                  <c:v>Inflación</c:v>
                </c:pt>
                <c:pt idx="6">
                  <c:v>Salario mínimo de 2027</c:v>
                </c:pt>
                <c:pt idx="7">
                  <c:v>Gestiones de IntegraMotion (prenda y crédito fiscal)</c:v>
                </c:pt>
              </c:strCache>
            </c:strRef>
          </c:cat>
          <c:val>
            <c:numRef>
              <c:f>Riesgo!$E$13:$E$20</c:f>
              <c:numCache>
                <c:formatCode>#,##0;\(#,##0\);\-</c:formatCode>
                <c:ptCount val="8"/>
                <c:pt idx="0">
                  <c:v>394.638140889259</c:v>
                </c:pt>
                <c:pt idx="1">
                  <c:v>0</c:v>
                </c:pt>
                <c:pt idx="2">
                  <c:v>246.430956431081</c:v>
                </c:pt>
                <c:pt idx="3">
                  <c:v>104.828193578775</c:v>
                </c:pt>
                <c:pt idx="4">
                  <c:v>0</c:v>
                </c:pt>
                <c:pt idx="5">
                  <c:v>27.1887351477552</c:v>
                </c:pt>
                <c:pt idx="6">
                  <c:v>2.85675111366612</c:v>
                </c:pt>
                <c:pt idx="7">
                  <c:v>0</c:v>
                </c:pt>
              </c:numCache>
            </c:numRef>
          </c:val>
        </c:ser>
        <c:gapWidth val="150"/>
        <c:overlap val="100"/>
        <c:axId val="26182495"/>
        <c:axId val="59548863"/>
      </c:barChart>
      <c:catAx>
        <c:axId val="2618249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9548863"/>
        <c:crosses val="autoZero"/>
        <c:auto val="1"/>
        <c:lblAlgn val="ctr"/>
        <c:lblOffset val="100"/>
        <c:noMultiLvlLbl val="0"/>
      </c:catAx>
      <c:valAx>
        <c:axId val="5954886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18249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Curva S del contrato principal</a:t>
            </a:r>
          </a:p>
        </c:rich>
      </c:tx>
      <c:overlay val="0"/>
      <c:spPr>
        <a:noFill/>
        <a:ln w="0">
          <a:noFill/>
        </a:ln>
      </c:spPr>
    </c:title>
    <c:autoTitleDeleted val="0"/>
    <c:plotArea>
      <c:lineChart>
        <c:grouping val="standard"/>
        <c:varyColors val="0"/>
        <c:ser>
          <c:idx val="0"/>
          <c:order val="0"/>
          <c:tx>
            <c:strRef>
              <c:f>IntegraMotion!C320</c:f>
              <c:strCache>
                <c:ptCount val="1"/>
                <c:pt idx="0">
                  <c:v>Valor planeado acumulado PV ($ M)</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IntegraMotion!$C$321:$C$336</c:f>
              <c:numCache>
                <c:formatCode>#,##0.0;\(#,##0.0\);\-</c:formatCode>
                <c:ptCount val="16"/>
                <c:pt idx="0">
                  <c:v>7.20524433315258</c:v>
                </c:pt>
                <c:pt idx="1">
                  <c:v>14.4104886663052</c:v>
                </c:pt>
                <c:pt idx="2">
                  <c:v>19.797660178631</c:v>
                </c:pt>
                <c:pt idx="3">
                  <c:v>25.1848316909568</c:v>
                </c:pt>
                <c:pt idx="4">
                  <c:v>31.2849452981718</c:v>
                </c:pt>
                <c:pt idx="5">
                  <c:v>42.1113449711639</c:v>
                </c:pt>
                <c:pt idx="6">
                  <c:v>52.937744644156</c:v>
                </c:pt>
                <c:pt idx="7">
                  <c:v>70.0668847234023</c:v>
                </c:pt>
                <c:pt idx="8">
                  <c:v>84.0379504338191</c:v>
                </c:pt>
                <c:pt idx="9">
                  <c:v>101.009916208426</c:v>
                </c:pt>
                <c:pt idx="10">
                  <c:v>120.169782760112</c:v>
                </c:pt>
                <c:pt idx="11">
                  <c:v>131.586766033226</c:v>
                </c:pt>
                <c:pt idx="12">
                  <c:v>139.287794012428</c:v>
                </c:pt>
                <c:pt idx="13">
                  <c:v>146.98882199163</c:v>
                </c:pt>
                <c:pt idx="14">
                  <c:v>150.001766163485</c:v>
                </c:pt>
                <c:pt idx="15">
                  <c:v>153.01471033534</c:v>
                </c:pt>
              </c:numCache>
            </c:numRef>
          </c:val>
          <c:smooth val="1"/>
        </c:ser>
        <c:ser>
          <c:idx val="1"/>
          <c:order val="1"/>
          <c:tx>
            <c:strRef>
              <c:f>IntegraMotion!E320</c:f>
              <c:strCache>
                <c:ptCount val="1"/>
                <c:pt idx="0">
                  <c:v>Facturado acumulado sin IVA ($ M)</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IntegraMotion!$E$321:$E$336</c:f>
              <c:numCache>
                <c:formatCode>#,##0.0;\(#,##0.0\);\-</c:formatCode>
                <c:ptCount val="16"/>
                <c:pt idx="0">
                  <c:v>67.0180342098366</c:v>
                </c:pt>
                <c:pt idx="1">
                  <c:v>67.0180342098366</c:v>
                </c:pt>
                <c:pt idx="2">
                  <c:v>67.0180342098366</c:v>
                </c:pt>
                <c:pt idx="3">
                  <c:v>67.0180342098366</c:v>
                </c:pt>
                <c:pt idx="4">
                  <c:v>67.0180342098366</c:v>
                </c:pt>
                <c:pt idx="5">
                  <c:v>67.0180342098366</c:v>
                </c:pt>
                <c:pt idx="6">
                  <c:v>67.0180342098366</c:v>
                </c:pt>
                <c:pt idx="7">
                  <c:v>67.0180342098366</c:v>
                </c:pt>
                <c:pt idx="8">
                  <c:v>67.0180342098366</c:v>
                </c:pt>
                <c:pt idx="9">
                  <c:v>156.375413156285</c:v>
                </c:pt>
                <c:pt idx="10">
                  <c:v>156.375413156285</c:v>
                </c:pt>
                <c:pt idx="11">
                  <c:v>156.375413156285</c:v>
                </c:pt>
                <c:pt idx="12">
                  <c:v>156.375413156285</c:v>
                </c:pt>
                <c:pt idx="13">
                  <c:v>156.375413156285</c:v>
                </c:pt>
                <c:pt idx="14">
                  <c:v>156.375413156285</c:v>
                </c:pt>
                <c:pt idx="15">
                  <c:v>223.393447366122</c:v>
                </c:pt>
              </c:numCache>
            </c:numRef>
          </c:val>
          <c:smooth val="1"/>
        </c:ser>
        <c:ser>
          <c:idx val="2"/>
          <c:order val="2"/>
          <c:tx>
            <c:strRef>
              <c:f>IntegraMotion!F320</c:f>
              <c:strCache>
                <c:ptCount val="1"/>
                <c:pt idx="0">
                  <c:v>Valor ganado acumulado EV ($ M)</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IntegraMotion!$F$321:$F$336</c:f>
              <c:numCache>
                <c:formatCode>General</c:formatCode>
                <c:ptCount val="16"/>
              </c:numCache>
            </c:numRef>
          </c:val>
          <c:smooth val="1"/>
        </c:ser>
        <c:ser>
          <c:idx val="3"/>
          <c:order val="3"/>
          <c:tx>
            <c:strRef>
              <c:f>IntegraMotion!G320</c:f>
              <c:strCache>
                <c:ptCount val="1"/>
                <c:pt idx="0">
                  <c:v>Costo real acumulado AC ($ M)</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IntegraMotion!$G$321:$G$336</c:f>
              <c:numCache>
                <c:formatCode>General</c:formatCode>
                <c:ptCount val="16"/>
              </c:numCache>
            </c:numRef>
          </c:val>
          <c:smooth val="1"/>
        </c:ser>
        <c:hiLowLines>
          <c:spPr>
            <a:ln w="0">
              <a:noFill/>
            </a:ln>
          </c:spPr>
        </c:hiLowLines>
        <c:marker val="0"/>
        <c:axId val="11205834"/>
        <c:axId val="34673032"/>
      </c:lineChart>
      <c:catAx>
        <c:axId val="1120583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Semana</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673032"/>
        <c:crosses val="autoZero"/>
        <c:auto val="1"/>
        <c:lblAlgn val="ctr"/>
        <c:lblOffset val="100"/>
        <c:noMultiLvlLbl val="0"/>
      </c:catAx>
      <c:valAx>
        <c:axId val="346730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M</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2058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174600</xdr:rowOff>
    </xdr:from>
    <xdr:to>
      <xdr:col>4</xdr:col>
      <xdr:colOff>276840</xdr:colOff>
      <xdr:row>36</xdr:row>
      <xdr:rowOff>6480</xdr:rowOff>
    </xdr:to>
    <xdr:graphicFrame>
      <xdr:nvGraphicFramePr>
        <xdr:cNvPr id="0" name="Chart 1"/>
        <xdr:cNvGraphicFramePr/>
      </xdr:nvGraphicFramePr>
      <xdr:xfrm>
        <a:off x="0" y="438156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338</xdr:row>
      <xdr:rowOff>14040</xdr:rowOff>
    </xdr:from>
    <xdr:to>
      <xdr:col>3</xdr:col>
      <xdr:colOff>558720</xdr:colOff>
      <xdr:row>352</xdr:row>
      <xdr:rowOff>36360</xdr:rowOff>
    </xdr:to>
    <xdr:graphicFrame>
      <xdr:nvGraphicFramePr>
        <xdr:cNvPr id="1" name="Chart 1"/>
        <xdr:cNvGraphicFramePr/>
      </xdr:nvGraphicFramePr>
      <xdr:xfrm>
        <a:off x="0" y="6988500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odelo_financiero_queseria_v2.xlsx" TargetMode="External"/><Relationship Id="rId2" Type="http://schemas.openxmlformats.org/officeDocument/2006/relationships/hyperlink" Target="Modelo_financiero_queseria_v2.xlsx" TargetMode="External"/><Relationship Id="rId3" Type="http://schemas.openxmlformats.org/officeDocument/2006/relationships/hyperlink" Target="Modelo_financiero_queseria_v2.xlsx" TargetMode="External"/><Relationship Id="rId4" Type="http://schemas.openxmlformats.org/officeDocument/2006/relationships/hyperlink" Target="Modelo_financiero_queseria_v2.xlsx" TargetMode="External"/><Relationship Id="rId5" Type="http://schemas.openxmlformats.org/officeDocument/2006/relationships/hyperlink" Target="Modelo_financiero_queseria_v2.xlsx" TargetMode="External"/><Relationship Id="rId6" Type="http://schemas.openxmlformats.org/officeDocument/2006/relationships/hyperlink" Target="Modelo_financiero_queseria_v2.xlsx" TargetMode="External"/><Relationship Id="rId7" Type="http://schemas.openxmlformats.org/officeDocument/2006/relationships/hyperlink" Target="Modelo_financiero_queseria_v2.xlsx" TargetMode="External"/><Relationship Id="rId8" Type="http://schemas.openxmlformats.org/officeDocument/2006/relationships/hyperlink" Target="Modelo_financiero_queseria_v2.xlsx" TargetMode="External"/><Relationship Id="rId9" Type="http://schemas.openxmlformats.org/officeDocument/2006/relationships/hyperlink" Target="Modelo_financiero_queseria_v2.xlsx" TargetMode="External"/><Relationship Id="rId10" Type="http://schemas.openxmlformats.org/officeDocument/2006/relationships/hyperlink" Target="Modelo_financiero_queseria_v2.xlsx" TargetMode="External"/><Relationship Id="rId11" Type="http://schemas.openxmlformats.org/officeDocument/2006/relationships/hyperlink" Target="Modelo_financiero_queseria_v2.xlsx" TargetMode="External"/><Relationship Id="rId12" Type="http://schemas.openxmlformats.org/officeDocument/2006/relationships/hyperlink" Target="Modelo_financiero_queseria_v2.xlsx" TargetMode="External"/><Relationship Id="rId13" Type="http://schemas.openxmlformats.org/officeDocument/2006/relationships/hyperlink" Target="Modelo_financiero_queseria_v2.xlsx" TargetMode="Externa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0"/>
    <col collapsed="false" customWidth="true" hidden="false" outlineLevel="0" max="4" min="4" style="0" width="7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c r="D5" s="4"/>
    </row>
    <row r="6" customFormat="false" ht="15" hidden="false" customHeight="false" outlineLevel="0" collapsed="false">
      <c r="B6" s="5" t="s">
        <v>3</v>
      </c>
      <c r="C6" s="6" t="s">
        <v>4</v>
      </c>
    </row>
    <row r="7" customFormat="false" ht="15" hidden="false" customHeight="false" outlineLevel="0" collapsed="false">
      <c r="B7" s="5" t="s">
        <v>5</v>
      </c>
      <c r="C7" s="6" t="s">
        <v>6</v>
      </c>
    </row>
    <row r="8" customFormat="false" ht="15" hidden="false" customHeight="false" outlineLevel="0" collapsed="false">
      <c r="B8" s="5" t="s">
        <v>7</v>
      </c>
      <c r="C8" s="6" t="s">
        <v>8</v>
      </c>
    </row>
    <row r="9" customFormat="false" ht="15" hidden="false" customHeight="false" outlineLevel="0" collapsed="false">
      <c r="B9" s="5" t="s">
        <v>9</v>
      </c>
      <c r="C9" s="7" t="str">
        <f aca="false">Chequeos!$C$41</f>
        <v>OK</v>
      </c>
    </row>
    <row r="10" customFormat="false" ht="15" hidden="false" customHeight="false" outlineLevel="0" collapsed="false">
      <c r="B10" s="5" t="s">
        <v>10</v>
      </c>
      <c r="C10" s="6" t="str">
        <f aca="false">Chequeos!$B$41</f>
        <v>34 de 34</v>
      </c>
    </row>
    <row r="12" customFormat="false" ht="15" hidden="false" customHeight="false" outlineLevel="0" collapsed="false">
      <c r="B12" s="3" t="s">
        <v>11</v>
      </c>
      <c r="C12" s="4"/>
      <c r="D12" s="4"/>
    </row>
    <row r="13" customFormat="false" ht="15" hidden="false" customHeight="false" outlineLevel="0" collapsed="false">
      <c r="B13" s="6" t="s">
        <v>12</v>
      </c>
      <c r="C13" s="8" t="n">
        <f aca="false">Quesería!B177</f>
        <v>0.1470725</v>
      </c>
      <c r="D13" s="9" t="s">
        <v>13</v>
      </c>
    </row>
    <row r="14" customFormat="false" ht="15" hidden="false" customHeight="false" outlineLevel="0" collapsed="false">
      <c r="B14" s="6" t="s">
        <v>14</v>
      </c>
      <c r="C14" s="8" t="n">
        <f aca="false">Quesería!B178</f>
        <v>0.226125774918278</v>
      </c>
      <c r="D14" s="9" t="s">
        <v>15</v>
      </c>
    </row>
    <row r="15" customFormat="false" ht="15" hidden="false" customHeight="false" outlineLevel="0" collapsed="false">
      <c r="B15" s="6" t="s">
        <v>16</v>
      </c>
      <c r="C15" s="8" t="n">
        <f aca="false">Quesería!B179</f>
        <v>0.17587013407988</v>
      </c>
      <c r="D15" s="9" t="s">
        <v>17</v>
      </c>
    </row>
    <row r="16" customFormat="false" ht="15" hidden="false" customHeight="false" outlineLevel="0" collapsed="false">
      <c r="B16" s="6" t="s">
        <v>18</v>
      </c>
      <c r="C16" s="8" t="n">
        <f aca="false">Quesería!B180</f>
        <v>0.0996090543813608</v>
      </c>
      <c r="D16" s="9" t="s">
        <v>19</v>
      </c>
    </row>
    <row r="17" customFormat="false" ht="15" hidden="false" customHeight="false" outlineLevel="0" collapsed="false">
      <c r="B17" s="6" t="s">
        <v>20</v>
      </c>
      <c r="C17" s="10" t="n">
        <f aca="false">Quesería!B181</f>
        <v>502.976125498281</v>
      </c>
      <c r="D17" s="9" t="s">
        <v>21</v>
      </c>
    </row>
    <row r="18" customFormat="false" ht="15" hidden="false" customHeight="false" outlineLevel="0" collapsed="false">
      <c r="B18" s="6" t="s">
        <v>22</v>
      </c>
      <c r="C18" s="11" t="n">
        <f aca="false">Quesería!B182</f>
        <v>4.77005630759528</v>
      </c>
      <c r="D18" s="9" t="s">
        <v>23</v>
      </c>
    </row>
    <row r="19" customFormat="false" ht="15" hidden="false" customHeight="false" outlineLevel="0" collapsed="false">
      <c r="B19" s="6" t="s">
        <v>24</v>
      </c>
      <c r="C19" s="11" t="n">
        <f aca="false">Quesería!B183</f>
        <v>6.71288322261245</v>
      </c>
      <c r="D19" s="9" t="s">
        <v>25</v>
      </c>
    </row>
    <row r="20" customFormat="false" ht="15" hidden="false" customHeight="false" outlineLevel="0" collapsed="false">
      <c r="B20" s="6" t="s">
        <v>26</v>
      </c>
      <c r="C20" s="8" t="n">
        <f aca="false">Quesería!B185</f>
        <v>0.407599554247206</v>
      </c>
      <c r="D20" s="9" t="s">
        <v>27</v>
      </c>
    </row>
    <row r="21" customFormat="false" ht="15" hidden="false" customHeight="false" outlineLevel="0" collapsed="false">
      <c r="B21" s="6" t="s">
        <v>28</v>
      </c>
      <c r="C21" s="12" t="n">
        <f aca="false">Quesería!B188</f>
        <v>1.30556256990244</v>
      </c>
      <c r="D21" s="9" t="s">
        <v>29</v>
      </c>
    </row>
    <row r="22" customFormat="false" ht="15" hidden="false" customHeight="false" outlineLevel="0" collapsed="false">
      <c r="B22" s="6" t="s">
        <v>30</v>
      </c>
      <c r="C22" s="10" t="n">
        <f aca="false">Escenarios!$T$33</f>
        <v>266.308886204684</v>
      </c>
      <c r="D22" s="9" t="s">
        <v>31</v>
      </c>
    </row>
    <row r="23" customFormat="false" ht="15" hidden="false" customHeight="false" outlineLevel="0" collapsed="false">
      <c r="B23" s="6" t="s">
        <v>32</v>
      </c>
      <c r="C23" s="10" t="n">
        <f aca="false">Herramientas!B59</f>
        <v>-48.8670853775761</v>
      </c>
      <c r="D23" s="9" t="s">
        <v>33</v>
      </c>
    </row>
    <row r="24" customFormat="false" ht="15" hidden="false" customHeight="false" outlineLevel="0" collapsed="false">
      <c r="B24" s="6" t="s">
        <v>34</v>
      </c>
      <c r="C24" s="12" t="n">
        <f aca="false">Empresa!$B$41</f>
        <v>1.28156576326651</v>
      </c>
      <c r="D24" s="9" t="s">
        <v>35</v>
      </c>
    </row>
    <row r="25" customFormat="false" ht="15" hidden="false" customHeight="false" outlineLevel="0" collapsed="false">
      <c r="B25" s="6" t="s">
        <v>36</v>
      </c>
      <c r="C25" s="10" t="n">
        <f aca="false">Quesería!$F$97</f>
        <v>1689.26930610618</v>
      </c>
      <c r="D25" s="9" t="s">
        <v>37</v>
      </c>
    </row>
    <row r="26" customFormat="false" ht="15" hidden="false" customHeight="false" outlineLevel="0" collapsed="false">
      <c r="B26" s="6" t="s">
        <v>38</v>
      </c>
      <c r="C26" s="10" t="n">
        <f aca="false">Quesería!$E$127</f>
        <v>538.531663249737</v>
      </c>
      <c r="D26" s="9" t="s">
        <v>39</v>
      </c>
    </row>
    <row r="28" customFormat="false" ht="15" hidden="false" customHeight="false" outlineLevel="0" collapsed="false">
      <c r="B28" s="3" t="s">
        <v>40</v>
      </c>
      <c r="C28" s="4"/>
      <c r="D28" s="4"/>
    </row>
    <row r="29" customFormat="false" ht="15" hidden="false" customHeight="false" outlineLevel="0" collapsed="false">
      <c r="B29" s="13" t="s">
        <v>41</v>
      </c>
      <c r="C29" s="14" t="s">
        <v>42</v>
      </c>
      <c r="D29" s="14"/>
    </row>
    <row r="30" customFormat="false" ht="15" hidden="false" customHeight="false" outlineLevel="0" collapsed="false">
      <c r="B30" s="13" t="s">
        <v>43</v>
      </c>
      <c r="C30" s="14" t="s">
        <v>44</v>
      </c>
      <c r="D30" s="14"/>
    </row>
    <row r="31" customFormat="false" ht="15" hidden="false" customHeight="false" outlineLevel="0" collapsed="false">
      <c r="B31" s="13" t="s">
        <v>45</v>
      </c>
      <c r="C31" s="14" t="s">
        <v>46</v>
      </c>
      <c r="D31" s="14"/>
    </row>
    <row r="32" customFormat="false" ht="15" hidden="false" customHeight="false" outlineLevel="0" collapsed="false">
      <c r="B32" s="13" t="s">
        <v>47</v>
      </c>
      <c r="C32" s="14" t="s">
        <v>48</v>
      </c>
      <c r="D32" s="14"/>
    </row>
    <row r="33" customFormat="false" ht="15" hidden="false" customHeight="false" outlineLevel="0" collapsed="false">
      <c r="B33" s="13" t="s">
        <v>49</v>
      </c>
      <c r="C33" s="14" t="s">
        <v>50</v>
      </c>
      <c r="D33" s="14"/>
    </row>
    <row r="34" customFormat="false" ht="15" hidden="false" customHeight="false" outlineLevel="0" collapsed="false">
      <c r="B34" s="13" t="s">
        <v>51</v>
      </c>
      <c r="C34" s="14" t="s">
        <v>52</v>
      </c>
      <c r="D34" s="14"/>
    </row>
    <row r="35" customFormat="false" ht="15" hidden="false" customHeight="false" outlineLevel="0" collapsed="false">
      <c r="B35" s="13" t="s">
        <v>53</v>
      </c>
      <c r="C35" s="14" t="s">
        <v>54</v>
      </c>
      <c r="D35" s="14"/>
    </row>
    <row r="36" customFormat="false" ht="15" hidden="false" customHeight="false" outlineLevel="0" collapsed="false">
      <c r="B36" s="13" t="s">
        <v>55</v>
      </c>
      <c r="C36" s="14" t="s">
        <v>56</v>
      </c>
      <c r="D36" s="14"/>
    </row>
    <row r="37" customFormat="false" ht="15" hidden="false" customHeight="false" outlineLevel="0" collapsed="false">
      <c r="B37" s="13" t="s">
        <v>57</v>
      </c>
      <c r="C37" s="14" t="s">
        <v>58</v>
      </c>
      <c r="D37" s="14"/>
    </row>
    <row r="38" customFormat="false" ht="15" hidden="false" customHeight="false" outlineLevel="0" collapsed="false">
      <c r="B38" s="13" t="s">
        <v>59</v>
      </c>
      <c r="C38" s="14" t="s">
        <v>60</v>
      </c>
      <c r="D38" s="14"/>
    </row>
    <row r="39" customFormat="false" ht="15" hidden="false" customHeight="false" outlineLevel="0" collapsed="false">
      <c r="B39" s="13" t="s">
        <v>61</v>
      </c>
      <c r="C39" s="14" t="s">
        <v>62</v>
      </c>
      <c r="D39" s="14"/>
    </row>
    <row r="40" customFormat="false" ht="15" hidden="false" customHeight="false" outlineLevel="0" collapsed="false">
      <c r="B40" s="13" t="s">
        <v>63</v>
      </c>
      <c r="C40" s="14" t="s">
        <v>64</v>
      </c>
      <c r="D40" s="14"/>
    </row>
    <row r="41" customFormat="false" ht="15" hidden="false" customHeight="false" outlineLevel="0" collapsed="false">
      <c r="B41" s="13" t="s">
        <v>65</v>
      </c>
      <c r="C41" s="14" t="s">
        <v>66</v>
      </c>
      <c r="D41" s="14"/>
    </row>
    <row r="43" customFormat="false" ht="15" hidden="false" customHeight="false" outlineLevel="0" collapsed="false">
      <c r="B43" s="3" t="s">
        <v>67</v>
      </c>
      <c r="C43" s="4"/>
      <c r="D43" s="4"/>
    </row>
    <row r="44" customFormat="false" ht="15" hidden="false" customHeight="false" outlineLevel="0" collapsed="false">
      <c r="B44" s="15" t="s">
        <v>68</v>
      </c>
      <c r="C44" s="9" t="s">
        <v>69</v>
      </c>
    </row>
    <row r="45" customFormat="false" ht="15" hidden="false" customHeight="false" outlineLevel="0" collapsed="false">
      <c r="B45" s="6" t="s">
        <v>70</v>
      </c>
      <c r="C45" s="9" t="s">
        <v>71</v>
      </c>
    </row>
    <row r="46" customFormat="false" ht="15" hidden="false" customHeight="false" outlineLevel="0" collapsed="false">
      <c r="B46" s="7" t="s">
        <v>72</v>
      </c>
      <c r="C46" s="9" t="s">
        <v>73</v>
      </c>
    </row>
  </sheetData>
  <mergeCells count="13">
    <mergeCell ref="C29:D29"/>
    <mergeCell ref="C30:D30"/>
    <mergeCell ref="C31:D31"/>
    <mergeCell ref="C32:D32"/>
    <mergeCell ref="C33:D33"/>
    <mergeCell ref="C34:D34"/>
    <mergeCell ref="C35:D35"/>
    <mergeCell ref="C36:D36"/>
    <mergeCell ref="C37:D37"/>
    <mergeCell ref="C38:D38"/>
    <mergeCell ref="C39:D39"/>
    <mergeCell ref="C40:D40"/>
    <mergeCell ref="C41:D41"/>
  </mergeCells>
  <hyperlinks>
    <hyperlink ref="B29" r:id="rId1" location="'Resumen'!A1" display="Resumen"/>
    <hyperlink ref="B30" r:id="rId2" location="'Quesería'!A1" display="Quesería"/>
    <hyperlink ref="B31" r:id="rId3" location="'Entorno'!A1" display="Entorno"/>
    <hyperlink ref="B32" r:id="rId4" location="'Beneficios%20y%20costos'!A1" display="Beneficios y costos"/>
    <hyperlink ref="B33" r:id="rId5" location="'Cotizaciones'!A1" display="Cotizaciones"/>
    <hyperlink ref="B34" r:id="rId6" location="'BOM'!A1" display="BOM"/>
    <hyperlink ref="B35" r:id="rId7" location="'Escenarios'!A1" display="Escenarios"/>
    <hyperlink ref="B36" r:id="rId8" location="'Riesgo'!A1" display="Riesgo"/>
    <hyperlink ref="B37" r:id="rId9" location="'Herramientas'!A1" display="Herramientas"/>
    <hyperlink ref="B38" r:id="rId10" location="'Empresa'!A1" display="Empresa"/>
    <hyperlink ref="B39" r:id="rId11" location="'IntegraMotion'!A1" display="IntegraMotion"/>
    <hyperlink ref="B40" r:id="rId12" location="'APU'!A1" display="APU"/>
    <hyperlink ref="B41" r:id="rId13" location="'Chequeos'!A1" display="Chequeo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12" min="2" style="0" width="11.5"/>
  </cols>
  <sheetData>
    <row r="1" customFormat="false" ht="19.7" hidden="false" customHeight="false" outlineLevel="0" collapsed="false">
      <c r="A1" s="16" t="s">
        <v>74</v>
      </c>
    </row>
    <row r="2" customFormat="false" ht="15" hidden="false" customHeight="false" outlineLevel="0" collapsed="false">
      <c r="A2" s="17" t="s">
        <v>75</v>
      </c>
    </row>
    <row r="4" customFormat="false" ht="15" hidden="false" customHeight="false" outlineLevel="0" collapsed="false">
      <c r="A4" s="3" t="s">
        <v>76</v>
      </c>
      <c r="B4" s="4"/>
      <c r="C4" s="4"/>
      <c r="D4" s="4"/>
      <c r="E4" s="4"/>
      <c r="F4" s="4"/>
      <c r="G4" s="4"/>
      <c r="H4" s="4"/>
      <c r="I4" s="4"/>
      <c r="J4" s="4"/>
      <c r="K4" s="4"/>
      <c r="L4" s="4"/>
    </row>
    <row r="5" customFormat="false" ht="15" hidden="false" customHeight="false" outlineLevel="0" collapsed="false">
      <c r="A5" s="18" t="s">
        <v>77</v>
      </c>
      <c r="B5" s="19"/>
      <c r="C5" s="19"/>
      <c r="D5" s="19"/>
      <c r="E5" s="18" t="s">
        <v>78</v>
      </c>
      <c r="F5" s="19"/>
      <c r="G5" s="19"/>
      <c r="H5" s="19"/>
      <c r="I5" s="18" t="s">
        <v>79</v>
      </c>
      <c r="J5" s="19"/>
      <c r="K5" s="19"/>
      <c r="L5" s="19"/>
    </row>
    <row r="6" customFormat="false" ht="24" hidden="false" customHeight="true" outlineLevel="0" collapsed="false">
      <c r="A6" s="20" t="n">
        <f aca="false">Quesería!$B$190</f>
        <v>1689.26930610618</v>
      </c>
      <c r="B6" s="19"/>
      <c r="C6" s="19"/>
      <c r="D6" s="19"/>
      <c r="E6" s="20" t="n">
        <f aca="false">IntegraMotion!$I$149</f>
        <v>376.01435157109</v>
      </c>
      <c r="F6" s="19"/>
      <c r="G6" s="19"/>
      <c r="H6" s="19"/>
      <c r="I6" s="21" t="s">
        <v>80</v>
      </c>
      <c r="J6" s="19"/>
      <c r="K6" s="19"/>
      <c r="L6" s="19"/>
    </row>
    <row r="7" customFormat="false" ht="36" hidden="false" customHeight="true" outlineLevel="0" collapsed="false">
      <c r="A7" s="22" t="s">
        <v>81</v>
      </c>
      <c r="B7" s="22"/>
      <c r="C7" s="22"/>
      <c r="D7" s="22"/>
      <c r="E7" s="22" t="s">
        <v>82</v>
      </c>
      <c r="F7" s="22"/>
      <c r="G7" s="22"/>
      <c r="H7" s="22"/>
      <c r="I7" s="22" t="s">
        <v>83</v>
      </c>
      <c r="J7" s="22"/>
      <c r="K7" s="22"/>
      <c r="L7" s="22"/>
    </row>
    <row r="9" customFormat="false" ht="15" hidden="false" customHeight="false" outlineLevel="0" collapsed="false">
      <c r="A9" s="3" t="s">
        <v>84</v>
      </c>
      <c r="B9" s="4"/>
      <c r="C9" s="4"/>
      <c r="D9" s="4"/>
      <c r="E9" s="4"/>
      <c r="F9" s="4"/>
      <c r="G9" s="4"/>
      <c r="H9" s="4"/>
      <c r="I9" s="4"/>
      <c r="J9" s="4"/>
      <c r="K9" s="4"/>
      <c r="L9" s="4"/>
    </row>
    <row r="10" customFormat="false" ht="43.5" hidden="false" customHeight="true" outlineLevel="0" collapsed="false">
      <c r="A10" s="23" t="s">
        <v>85</v>
      </c>
      <c r="B10" s="24" t="s">
        <v>86</v>
      </c>
      <c r="C10" s="24" t="s">
        <v>87</v>
      </c>
      <c r="D10" s="24" t="s">
        <v>88</v>
      </c>
    </row>
    <row r="11" customFormat="false" ht="15" hidden="false" customHeight="false" outlineLevel="0" collapsed="false">
      <c r="A11" s="6" t="s">
        <v>89</v>
      </c>
      <c r="B11" s="25" t="n">
        <f aca="false">Quesería!$F$70*(Quesería!$C$70=0)+Quesería!$F$71*(Quesería!$C$71=0)+Quesería!$F$72*(Quesería!$C$72=0)+Quesería!$F$73*(Quesería!$C$73=0)+Quesería!$F$74*(Quesería!$C$74=0)+Quesería!$F$75*(Quesería!$C$75=0)+Quesería!$F$84*(Quesería!$C$84=0)+Quesería!$F$85*(Quesería!$C$85=0)+Quesería!$F$86*(Quesería!$C$86=0)+Quesería!$F$87*(Quesería!$C$87=0)</f>
        <v>484.365667179112</v>
      </c>
      <c r="C11" s="25" t="n">
        <f aca="false">Quesería!$F$70*(Quesería!$C$70=1)+Quesería!$F$71*(Quesería!$C$71=1)+Quesería!$F$72*(Quesería!$C$72=1)+Quesería!$F$73*(Quesería!$C$73=1)+Quesería!$F$74*(Quesería!$C$74=1)+Quesería!$F$75*(Quesería!$C$75=1)+Quesería!$F$84*(Quesería!$C$84=1)+Quesería!$F$85*(Quesería!$C$85=1)+Quesería!$F$86*(Quesería!$C$86=1)+Quesería!$F$87*(Quesería!$C$87=1)</f>
        <v>568.781866866667</v>
      </c>
      <c r="D11" s="25" t="n">
        <f aca="false">B11+C11</f>
        <v>1053.14753404578</v>
      </c>
    </row>
    <row r="12" customFormat="false" ht="15" hidden="false" customHeight="false" outlineLevel="0" collapsed="false">
      <c r="A12" s="6" t="s">
        <v>90</v>
      </c>
      <c r="B12" s="25" t="n">
        <f aca="false">Quesería!$F$76*(Quesería!$C$76=0)+Quesería!$F$77*(Quesería!$C$77=0)+Quesería!$F$78*(Quesería!$C$78=0)+Quesería!$F$79*(Quesería!$C$79=0)+Quesería!$F$88*(Quesería!$C$88=0)</f>
        <v>289.956158381384</v>
      </c>
      <c r="C12" s="25" t="n">
        <f aca="false">Quesería!$F$76*(Quesería!$C$76=1)+Quesería!$F$77*(Quesería!$C$77=1)+Quesería!$F$78*(Quesería!$C$78=1)+Quesería!$F$79*(Quesería!$C$79=1)+Quesería!$F$88*(Quesería!$C$88=1)</f>
        <v>90.1060315312683</v>
      </c>
      <c r="D12" s="25" t="n">
        <f aca="false">B12+C12</f>
        <v>380.062189912652</v>
      </c>
    </row>
    <row r="13" customFormat="false" ht="15" hidden="false" customHeight="false" outlineLevel="0" collapsed="false">
      <c r="A13" s="6" t="s">
        <v>91</v>
      </c>
      <c r="B13" s="25" t="n">
        <f aca="false">Quesería!$F$80*(Quesería!$C$80=0)+Quesería!$F$81*(Quesería!$C$81=0)+Quesería!$F$82*(Quesería!$C$82=0)</f>
        <v>46.6666666666667</v>
      </c>
      <c r="C13" s="25" t="n">
        <f aca="false">Quesería!$F$80*(Quesería!$C$80=1)+Quesería!$F$81*(Quesería!$C$81=1)+Quesería!$F$82*(Quesería!$C$82=1)</f>
        <v>0</v>
      </c>
      <c r="D13" s="25" t="n">
        <f aca="false">B13+C13</f>
        <v>46.6666666666667</v>
      </c>
    </row>
    <row r="14" customFormat="false" ht="15" hidden="false" customHeight="false" outlineLevel="0" collapsed="false">
      <c r="A14" s="6" t="s">
        <v>92</v>
      </c>
      <c r="B14" s="25" t="n">
        <f aca="false">Quesería!$F$83*(Quesería!$C$83=0)+Quesería!$F$89*(Quesería!$C$89=0)</f>
        <v>109.811747204514</v>
      </c>
      <c r="C14" s="25" t="n">
        <f aca="false">Quesería!$F$83*(Quesería!$C$83=1)+Quesería!$F$89*(Quesería!$C$89=1)</f>
        <v>99.5811682765634</v>
      </c>
      <c r="D14" s="25" t="n">
        <f aca="false">B14+C14</f>
        <v>209.392915481078</v>
      </c>
    </row>
    <row r="15" customFormat="false" ht="15" hidden="false" customHeight="false" outlineLevel="0" collapsed="false">
      <c r="A15" s="5" t="s">
        <v>77</v>
      </c>
      <c r="B15" s="26" t="n">
        <f aca="false">SUM(B11:B14)</f>
        <v>930.800239431677</v>
      </c>
      <c r="C15" s="26" t="n">
        <f aca="false">SUM(C11:C14)</f>
        <v>758.469066674498</v>
      </c>
      <c r="D15" s="26" t="n">
        <f aca="false">SUM(D11:D14)</f>
        <v>1689.26930610618</v>
      </c>
    </row>
    <row r="16" customFormat="false" ht="15" hidden="false" customHeight="false" outlineLevel="0" collapsed="false">
      <c r="A16" s="9" t="s">
        <v>93</v>
      </c>
      <c r="D16" s="27" t="n">
        <f aca="false">D15-Quesería!$B$190</f>
        <v>0</v>
      </c>
    </row>
    <row r="18" customFormat="false" ht="15" hidden="false" customHeight="false" outlineLevel="0" collapsed="false">
      <c r="A18" s="3" t="s">
        <v>94</v>
      </c>
      <c r="B18" s="4"/>
      <c r="C18" s="4"/>
      <c r="D18" s="4"/>
      <c r="E18" s="4"/>
      <c r="F18" s="4"/>
      <c r="G18" s="4"/>
      <c r="H18" s="4"/>
      <c r="I18" s="4"/>
      <c r="J18" s="4"/>
      <c r="K18" s="4"/>
      <c r="L18" s="4"/>
    </row>
    <row r="19" customFormat="false" ht="57.75" hidden="false" customHeight="true" outlineLevel="0" collapsed="false">
      <c r="A19" s="23" t="s">
        <v>95</v>
      </c>
      <c r="B19" s="24" t="s">
        <v>96</v>
      </c>
      <c r="C19" s="24" t="s">
        <v>97</v>
      </c>
      <c r="D19" s="24" t="s">
        <v>98</v>
      </c>
      <c r="E19" s="24" t="s">
        <v>99</v>
      </c>
      <c r="F19" s="24" t="s">
        <v>100</v>
      </c>
    </row>
    <row r="20" customFormat="false" ht="15" hidden="false" customHeight="false" outlineLevel="0" collapsed="false">
      <c r="A20" s="6" t="s">
        <v>101</v>
      </c>
      <c r="B20" s="28" t="s">
        <v>80</v>
      </c>
      <c r="C20" s="29" t="n">
        <f aca="false">IntegraMotion!$H$139</f>
        <v>2680.59125</v>
      </c>
      <c r="D20" s="25" t="n">
        <f aca="false">IntegraMotion!$H$145</f>
        <v>160.71471033534</v>
      </c>
      <c r="E20" s="30" t="n">
        <f aca="false">IntegraMotion!$H$149</f>
        <v>223.393447366122</v>
      </c>
      <c r="F20" s="25" t="n">
        <f aca="false">IntegraMotion!$H$151</f>
        <v>265.838202365685</v>
      </c>
    </row>
    <row r="21" customFormat="false" ht="15" hidden="false" customHeight="false" outlineLevel="0" collapsed="false">
      <c r="A21" s="6" t="s">
        <v>102</v>
      </c>
      <c r="B21" s="28" t="s">
        <v>103</v>
      </c>
      <c r="C21" s="29" t="n">
        <f aca="false">IntegraMotion!$F$139</f>
        <v>611.6</v>
      </c>
      <c r="D21" s="25" t="n">
        <f aca="false">IntegraMotion!$F$145</f>
        <v>46.7834589902711</v>
      </c>
      <c r="E21" s="30" t="n">
        <f aca="false">IntegraMotion!$F$149</f>
        <v>65.0290079964768</v>
      </c>
      <c r="F21" s="25" t="n">
        <f aca="false">IntegraMotion!$F$151</f>
        <v>77.3845195158074</v>
      </c>
    </row>
    <row r="22" customFormat="false" ht="15" hidden="false" customHeight="false" outlineLevel="0" collapsed="false">
      <c r="A22" s="6" t="s">
        <v>104</v>
      </c>
      <c r="B22" s="28" t="s">
        <v>103</v>
      </c>
      <c r="C22" s="29" t="n">
        <f aca="false">IntegraMotion!$G$139</f>
        <v>1004.8425</v>
      </c>
      <c r="D22" s="25" t="n">
        <f aca="false">IntegraMotion!$G$145</f>
        <v>63.0157526679796</v>
      </c>
      <c r="E22" s="30" t="n">
        <f aca="false">IntegraMotion!$G$149</f>
        <v>87.5918962084916</v>
      </c>
      <c r="F22" s="25" t="n">
        <f aca="false">IntegraMotion!$G$151</f>
        <v>104.234356488105</v>
      </c>
    </row>
    <row r="23" customFormat="false" ht="15" hidden="false" customHeight="false" outlineLevel="0" collapsed="false">
      <c r="A23" s="5" t="s">
        <v>88</v>
      </c>
      <c r="C23" s="31" t="n">
        <f aca="false">SUM(C20:C22)</f>
        <v>4297.03375</v>
      </c>
      <c r="D23" s="26" t="n">
        <f aca="false">SUM(D20:D22)</f>
        <v>270.51392199359</v>
      </c>
      <c r="E23" s="26" t="n">
        <f aca="false">SUM(E20:E22)</f>
        <v>376.01435157109</v>
      </c>
      <c r="F23" s="26" t="n">
        <f aca="false">SUM(F20:F22)</f>
        <v>447.457078369598</v>
      </c>
    </row>
    <row r="24" customFormat="false" ht="15" hidden="false" customHeight="false" outlineLevel="0" collapsed="false">
      <c r="A24" s="6" t="s">
        <v>105</v>
      </c>
      <c r="E24" s="25" t="n">
        <f aca="false">D12-E23</f>
        <v>4.04783834156154</v>
      </c>
    </row>
    <row r="25" customFormat="false" ht="15" hidden="false" customHeight="false" outlineLevel="0" collapsed="false">
      <c r="A25" s="5" t="s">
        <v>106</v>
      </c>
      <c r="E25" s="30" t="n">
        <f aca="false">D12</f>
        <v>380.062189912652</v>
      </c>
    </row>
    <row r="26" customFormat="false" ht="27.75" hidden="false" customHeight="true" outlineLevel="0" collapsed="false">
      <c r="A26" s="32" t="s">
        <v>107</v>
      </c>
      <c r="B26" s="32"/>
      <c r="C26" s="32"/>
      <c r="D26" s="32"/>
      <c r="E26" s="32"/>
      <c r="F26" s="32"/>
      <c r="G26" s="32"/>
      <c r="H26" s="32"/>
      <c r="I26" s="32"/>
      <c r="J26" s="32"/>
      <c r="K26" s="32"/>
      <c r="L26" s="32"/>
    </row>
    <row r="28" customFormat="false" ht="15" hidden="false" customHeight="false" outlineLevel="0" collapsed="false">
      <c r="A28" s="3" t="s">
        <v>108</v>
      </c>
      <c r="B28" s="4"/>
      <c r="C28" s="4"/>
      <c r="D28" s="4"/>
      <c r="E28" s="4"/>
      <c r="F28" s="4"/>
      <c r="G28" s="4"/>
      <c r="H28" s="4"/>
      <c r="I28" s="4"/>
      <c r="J28" s="4"/>
      <c r="K28" s="4"/>
      <c r="L28" s="4"/>
    </row>
    <row r="29" customFormat="false" ht="43.5" hidden="false" customHeight="true" outlineLevel="0" collapsed="false">
      <c r="A29" s="23" t="s">
        <v>109</v>
      </c>
      <c r="B29" s="24" t="s">
        <v>110</v>
      </c>
      <c r="C29" s="24" t="s">
        <v>111</v>
      </c>
      <c r="D29" s="24" t="s">
        <v>112</v>
      </c>
      <c r="E29" s="24" t="s">
        <v>113</v>
      </c>
      <c r="F29" s="24" t="s">
        <v>114</v>
      </c>
    </row>
    <row r="30" customFormat="false" ht="15" hidden="false" customHeight="false" outlineLevel="0" collapsed="false">
      <c r="A30" s="6" t="str">
        <f aca="false">BOM!A72</f>
        <v>Etapa 0: herramientas de mantenimiento y medición</v>
      </c>
      <c r="B30" s="33" t="n">
        <f aca="false">BOM!C72</f>
        <v>0</v>
      </c>
      <c r="C30" s="33" t="n">
        <f aca="false">BOM!E72</f>
        <v>6</v>
      </c>
      <c r="D30" s="25" t="n">
        <f aca="false">BOM!F72</f>
        <v>56.872527971</v>
      </c>
      <c r="E30" s="34" t="n">
        <f aca="false">BOM!H72</f>
        <v>0.36</v>
      </c>
      <c r="F30" s="25" t="n">
        <f aca="false">BOM!I72</f>
        <v>20.47411006956</v>
      </c>
    </row>
    <row r="31" customFormat="false" ht="15" hidden="false" customHeight="false" outlineLevel="0" collapsed="false">
      <c r="A31" s="6" t="str">
        <f aca="false">BOM!A73</f>
        <v>Tinas TQ-301 y TQ-303, control y tablero</v>
      </c>
      <c r="B31" s="33" t="n">
        <f aca="false">BOM!C73</f>
        <v>1</v>
      </c>
      <c r="C31" s="33" t="n">
        <f aca="false">BOM!E73</f>
        <v>19</v>
      </c>
      <c r="D31" s="25" t="n">
        <f aca="false">BOM!F73</f>
        <v>267.509653045577</v>
      </c>
      <c r="E31" s="34" t="n">
        <f aca="false">BOM!H73</f>
        <v>1</v>
      </c>
      <c r="F31" s="25" t="n">
        <f aca="false">BOM!I73</f>
        <v>267.509653045577</v>
      </c>
    </row>
    <row r="32" customFormat="false" ht="15" hidden="false" customHeight="false" outlineLevel="0" collapsed="false">
      <c r="A32" s="6" t="str">
        <f aca="false">BOM!A74</f>
        <v>Tina TQ-302 del doble crema</v>
      </c>
      <c r="B32" s="33" t="n">
        <f aca="false">BOM!C74</f>
        <v>1</v>
      </c>
      <c r="C32" s="33" t="n">
        <f aca="false">BOM!E74</f>
        <v>6</v>
      </c>
      <c r="D32" s="25" t="n">
        <f aca="false">BOM!F74</f>
        <v>47.746860805791</v>
      </c>
      <c r="E32" s="34" t="n">
        <f aca="false">BOM!H74</f>
        <v>1</v>
      </c>
      <c r="F32" s="25" t="n">
        <f aca="false">BOM!I74</f>
        <v>47.746860805791</v>
      </c>
    </row>
    <row r="33" customFormat="false" ht="15" hidden="false" customHeight="false" outlineLevel="0" collapsed="false">
      <c r="A33" s="6" t="str">
        <f aca="false">BOM!A75</f>
        <v>Estación E18 de inspección</v>
      </c>
      <c r="B33" s="33" t="n">
        <f aca="false">BOM!C75</f>
        <v>1</v>
      </c>
      <c r="C33" s="33" t="n">
        <f aca="false">BOM!E75</f>
        <v>1</v>
      </c>
      <c r="D33" s="25" t="n">
        <f aca="false">BOM!F75</f>
        <v>33.1788639</v>
      </c>
      <c r="E33" s="34" t="n">
        <f aca="false">BOM!H75</f>
        <v>1</v>
      </c>
      <c r="F33" s="25" t="n">
        <f aca="false">BOM!I75</f>
        <v>33.1788639</v>
      </c>
    </row>
    <row r="34" customFormat="false" ht="15" hidden="false" customHeight="false" outlineLevel="0" collapsed="false">
      <c r="A34" s="6" t="str">
        <f aca="false">BOM!A76</f>
        <v>Estandarización de grasa (recepción)</v>
      </c>
      <c r="B34" s="33" t="n">
        <f aca="false">BOM!C76</f>
        <v>1</v>
      </c>
      <c r="C34" s="33" t="n">
        <f aca="false">BOM!E76</f>
        <v>2</v>
      </c>
      <c r="D34" s="25" t="n">
        <f aca="false">BOM!F76</f>
        <v>129.98093385</v>
      </c>
      <c r="E34" s="34" t="n">
        <f aca="false">BOM!H76</f>
        <v>0.36</v>
      </c>
      <c r="F34" s="25" t="n">
        <f aca="false">BOM!I76</f>
        <v>46.793136186</v>
      </c>
    </row>
    <row r="35" customFormat="false" ht="15" hidden="false" customHeight="false" outlineLevel="0" collapsed="false">
      <c r="A35" s="6" t="str">
        <f aca="false">BOM!A77</f>
        <v>SCADA, historiador y MES</v>
      </c>
      <c r="B35" s="33" t="n">
        <f aca="false">BOM!C77</f>
        <v>1</v>
      </c>
      <c r="C35" s="33" t="n">
        <f aca="false">BOM!E77</f>
        <v>11</v>
      </c>
      <c r="D35" s="25" t="n">
        <f aca="false">BOM!F77</f>
        <v>130.792130937844</v>
      </c>
      <c r="E35" s="34" t="n">
        <f aca="false">BOM!H77</f>
        <v>0.524978396481776</v>
      </c>
      <c r="F35" s="25" t="n">
        <f aca="false">BOM!I77</f>
        <v>68.6630431721838</v>
      </c>
    </row>
    <row r="36" customFormat="false" ht="15" hidden="false" customHeight="false" outlineLevel="0" collapsed="false">
      <c r="A36" s="6" t="str">
        <f aca="false">BOM!A78</f>
        <v>Hiladora E13</v>
      </c>
      <c r="B36" s="33" t="n">
        <f aca="false">BOM!C78</f>
        <v>2</v>
      </c>
      <c r="C36" s="33" t="n">
        <f aca="false">BOM!E78</f>
        <v>1</v>
      </c>
      <c r="D36" s="25" t="n">
        <f aca="false">BOM!F78</f>
        <v>322.6</v>
      </c>
      <c r="E36" s="34" t="n">
        <f aca="false">BOM!H78</f>
        <v>1</v>
      </c>
      <c r="F36" s="25" t="n">
        <f aca="false">BOM!I78</f>
        <v>322.6</v>
      </c>
    </row>
    <row r="37" customFormat="false" ht="15" hidden="false" customHeight="false" outlineLevel="0" collapsed="false">
      <c r="A37" s="6" t="str">
        <f aca="false">BOM!A79</f>
        <v>CIP del circuito de quesos</v>
      </c>
      <c r="B37" s="33" t="n">
        <f aca="false">BOM!C79</f>
        <v>2</v>
      </c>
      <c r="C37" s="33" t="n">
        <f aca="false">BOM!E79</f>
        <v>1</v>
      </c>
      <c r="D37" s="25" t="n">
        <f aca="false">BOM!F79</f>
        <v>106.666666666667</v>
      </c>
      <c r="E37" s="34" t="n">
        <f aca="false">BOM!H79</f>
        <v>1</v>
      </c>
      <c r="F37" s="25" t="n">
        <f aca="false">BOM!I79</f>
        <v>106.666666666667</v>
      </c>
    </row>
    <row r="38" customFormat="false" ht="15" hidden="false" customHeight="false" outlineLevel="0" collapsed="false">
      <c r="A38" s="6" t="str">
        <f aca="false">BOM!A80</f>
        <v>Suero</v>
      </c>
      <c r="B38" s="33" t="n">
        <f aca="false">BOM!C80</f>
        <v>2</v>
      </c>
      <c r="C38" s="33" t="n">
        <f aca="false">BOM!E80</f>
        <v>1</v>
      </c>
      <c r="D38" s="25" t="n">
        <f aca="false">BOM!F80</f>
        <v>80</v>
      </c>
      <c r="E38" s="34" t="n">
        <f aca="false">BOM!H80</f>
        <v>1</v>
      </c>
      <c r="F38" s="25" t="n">
        <f aca="false">BOM!I80</f>
        <v>80</v>
      </c>
    </row>
    <row r="39" customFormat="false" ht="15" hidden="false" customHeight="false" outlineLevel="0" collapsed="false">
      <c r="A39" s="6" t="str">
        <f aca="false">BOM!A81</f>
        <v>Instrumentación y control de la etapa 2</v>
      </c>
      <c r="B39" s="33" t="n">
        <f aca="false">BOM!C81</f>
        <v>2</v>
      </c>
      <c r="C39" s="33" t="n">
        <f aca="false">BOM!E81</f>
        <v>4</v>
      </c>
      <c r="D39" s="25" t="n">
        <f aca="false">BOM!F81</f>
        <v>59.5152002</v>
      </c>
      <c r="E39" s="34" t="n">
        <f aca="false">BOM!H81</f>
        <v>1</v>
      </c>
      <c r="F39" s="25" t="n">
        <f aca="false">BOM!I81</f>
        <v>59.5152002</v>
      </c>
    </row>
    <row r="40" customFormat="false" ht="15" hidden="false" customHeight="false" outlineLevel="0" collapsed="false">
      <c r="A40" s="5" t="s">
        <v>115</v>
      </c>
      <c r="C40" s="35" t="n">
        <f aca="false">SUM(C30:C39)</f>
        <v>52</v>
      </c>
      <c r="F40" s="26" t="n">
        <f aca="false">SUM(F30:F39)</f>
        <v>1053.14753404578</v>
      </c>
    </row>
    <row r="41" customFormat="false" ht="15" hidden="false" customHeight="false" outlineLevel="0" collapsed="false">
      <c r="A41" s="9" t="s">
        <v>116</v>
      </c>
      <c r="D41" s="36" t="n">
        <f aca="false">BOM!F82</f>
        <v>521.382147</v>
      </c>
    </row>
    <row r="43" customFormat="false" ht="15" hidden="false" customHeight="false" outlineLevel="0" collapsed="false">
      <c r="A43" s="3" t="s">
        <v>117</v>
      </c>
      <c r="B43" s="4"/>
      <c r="C43" s="4"/>
      <c r="D43" s="4"/>
      <c r="E43" s="4"/>
      <c r="F43" s="4"/>
      <c r="G43" s="4"/>
      <c r="H43" s="4"/>
      <c r="I43" s="4"/>
      <c r="J43" s="4"/>
      <c r="K43" s="4"/>
      <c r="L43" s="4"/>
    </row>
    <row r="44" customFormat="false" ht="30" hidden="false" customHeight="true" outlineLevel="0" collapsed="false">
      <c r="A44" s="23" t="s">
        <v>118</v>
      </c>
      <c r="B44" s="24" t="s">
        <v>110</v>
      </c>
      <c r="C44" s="24" t="s">
        <v>119</v>
      </c>
      <c r="D44" s="24" t="s">
        <v>120</v>
      </c>
    </row>
    <row r="45" customFormat="false" ht="15" hidden="false" customHeight="false" outlineLevel="0" collapsed="false">
      <c r="A45" s="6" t="str">
        <f aca="false">Quesería!A104</f>
        <v>Horas extra del hilado evitadas con el orden del hilado (0,5 h/día)</v>
      </c>
      <c r="B45" s="33" t="n">
        <f aca="false">Quesería!B104</f>
        <v>1</v>
      </c>
      <c r="C45" s="25" t="n">
        <f aca="false">Quesería!E104</f>
        <v>11.76</v>
      </c>
      <c r="D45" s="33" t="n">
        <f aca="false">Quesería!H104</f>
        <v>3</v>
      </c>
    </row>
    <row r="46" customFormat="false" ht="15" hidden="false" customHeight="false" outlineLevel="0" collapsed="false">
      <c r="A46" s="6" t="str">
        <f aca="false">Quesería!A105</f>
        <v>Mayor rendimiento del campesino y la mozzarella (sensor de coagulación)</v>
      </c>
      <c r="B46" s="33" t="n">
        <f aca="false">Quesería!B105</f>
        <v>1</v>
      </c>
      <c r="C46" s="25" t="n">
        <f aca="false">Quesería!E105</f>
        <v>52.7983953135048</v>
      </c>
      <c r="D46" s="33" t="n">
        <f aca="false">Quesería!H105</f>
        <v>3</v>
      </c>
    </row>
    <row r="47" customFormat="false" ht="15" hidden="false" customHeight="false" outlineLevel="0" collapsed="false">
      <c r="A47" s="6" t="str">
        <f aca="false">Quesería!A106</f>
        <v>Estandarización de grasa en línea</v>
      </c>
      <c r="B47" s="33" t="n">
        <f aca="false">Quesería!B106</f>
        <v>1</v>
      </c>
      <c r="C47" s="25" t="n">
        <f aca="false">Quesería!E106</f>
        <v>18.7214975275507</v>
      </c>
      <c r="D47" s="33" t="n">
        <f aca="false">Quesería!H106</f>
        <v>3</v>
      </c>
    </row>
    <row r="48" customFormat="false" ht="15" hidden="false" customHeight="false" outlineLevel="0" collapsed="false">
      <c r="A48" s="6" t="str">
        <f aca="false">Quesería!A107</f>
        <v>Menor merma (de 2,0 a 1,5 % de las ventas)</v>
      </c>
      <c r="B48" s="33" t="n">
        <f aca="false">Quesería!B107</f>
        <v>1</v>
      </c>
      <c r="C48" s="25" t="n">
        <f aca="false">Quesería!E107</f>
        <v>33.86</v>
      </c>
      <c r="D48" s="33" t="n">
        <f aca="false">Quesería!H107</f>
        <v>4</v>
      </c>
    </row>
    <row r="49" customFormat="false" ht="15" hidden="false" customHeight="false" outlineLevel="0" collapsed="false">
      <c r="A49" s="6" t="str">
        <f aca="false">Quesería!A108</f>
        <v>Mantenimiento preventivo (ahorro neto de 20 % del gasto)</v>
      </c>
      <c r="B49" s="33" t="n">
        <f aca="false">Quesería!B108</f>
        <v>1</v>
      </c>
      <c r="C49" s="25" t="n">
        <f aca="false">Quesería!E108</f>
        <v>32.904</v>
      </c>
      <c r="D49" s="33" t="n">
        <f aca="false">Quesería!H108</f>
        <v>3</v>
      </c>
    </row>
    <row r="50" customFormat="false" ht="15" hidden="false" customHeight="false" outlineLevel="0" collapsed="false">
      <c r="A50" s="6" t="str">
        <f aca="false">Quesería!A109</f>
        <v>Menor sobrepeso de los tres quesos (de 1,0 a 0,5 %)</v>
      </c>
      <c r="B50" s="33" t="n">
        <f aca="false">Quesería!B109</f>
        <v>1</v>
      </c>
      <c r="C50" s="25" t="n">
        <f aca="false">Quesería!E109</f>
        <v>32.5056</v>
      </c>
      <c r="D50" s="33" t="n">
        <f aca="false">Quesería!H109</f>
        <v>4</v>
      </c>
    </row>
    <row r="51" customFormat="false" ht="15" hidden="false" customHeight="false" outlineLevel="0" collapsed="false">
      <c r="A51" s="6" t="str">
        <f aca="false">Quesería!A110</f>
        <v>Programación con el estado real de la planta: MES con estado de máquinas, paros y OEE enlazado al ERP (hallazgo H9)</v>
      </c>
      <c r="B51" s="33" t="n">
        <f aca="false">Quesería!B110</f>
        <v>1</v>
      </c>
      <c r="C51" s="25" t="n">
        <f aca="false">Quesería!E110</f>
        <v>26.333</v>
      </c>
      <c r="D51" s="33" t="n">
        <f aca="false">Quesería!H110</f>
        <v>3</v>
      </c>
    </row>
    <row r="52" customFormat="false" ht="15" hidden="false" customHeight="false" outlineLevel="0" collapsed="false">
      <c r="A52" s="6" t="str">
        <f aca="false">Quesería!A111</f>
        <v>Balance de sólidos y humedad por lote en el MES (hallazgo H11)</v>
      </c>
      <c r="B52" s="33" t="n">
        <f aca="false">Quesería!B111</f>
        <v>1</v>
      </c>
      <c r="C52" s="25" t="n">
        <f aca="false">Quesería!E111</f>
        <v>32.5510516813505</v>
      </c>
      <c r="D52" s="33" t="n">
        <f aca="false">Quesería!H111</f>
        <v>4</v>
      </c>
    </row>
    <row r="53" customFormat="false" ht="15" hidden="false" customHeight="false" outlineLevel="0" collapsed="false">
      <c r="A53" s="6" t="str">
        <f aca="false">Quesería!A112</f>
        <v>Hiladora-moldeadora: más doble crema y mozzarella</v>
      </c>
      <c r="B53" s="33" t="n">
        <f aca="false">Quesería!B112</f>
        <v>2</v>
      </c>
      <c r="C53" s="25" t="n">
        <f aca="false">Quesería!E112</f>
        <v>70.7031730842444</v>
      </c>
      <c r="D53" s="33" t="n">
        <f aca="false">Quesería!H112</f>
        <v>3</v>
      </c>
    </row>
    <row r="54" customFormat="false" ht="15" hidden="false" customHeight="false" outlineLevel="0" collapsed="false">
      <c r="A54" s="6" t="str">
        <f aca="false">Quesería!A113</f>
        <v>Horas extra restantes que elimina la hiladora (0,5 h/día)</v>
      </c>
      <c r="B54" s="33" t="n">
        <f aca="false">Quesería!B113</f>
        <v>2</v>
      </c>
      <c r="C54" s="25" t="n">
        <f aca="false">Quesería!E113</f>
        <v>11.76</v>
      </c>
      <c r="D54" s="33" t="n">
        <f aca="false">Quesería!H113</f>
        <v>3</v>
      </c>
    </row>
    <row r="55" customFormat="false" ht="15" hidden="false" customHeight="false" outlineLevel="0" collapsed="false">
      <c r="A55" s="6" t="str">
        <f aca="false">Quesería!A114</f>
        <v>Limpieza CIP automática del circuito de quesos</v>
      </c>
      <c r="B55" s="33" t="n">
        <f aca="false">Quesería!B114</f>
        <v>2</v>
      </c>
      <c r="C55" s="25" t="n">
        <f aca="false">Quesería!E114</f>
        <v>40.6</v>
      </c>
      <c r="D55" s="33" t="n">
        <f aca="false">Quesería!H114</f>
        <v>4</v>
      </c>
    </row>
    <row r="56" customFormat="false" ht="15" hidden="false" customHeight="false" outlineLevel="0" collapsed="false">
      <c r="A56" s="6" t="str">
        <f aca="false">Quesería!A115</f>
        <v>Contrato de venta del suero enfriado</v>
      </c>
      <c r="B56" s="33" t="n">
        <f aca="false">Quesería!B115</f>
        <v>2</v>
      </c>
      <c r="C56" s="25" t="n">
        <f aca="false">Quesería!E115</f>
        <v>36.1108213118971</v>
      </c>
      <c r="D56" s="33" t="n">
        <f aca="false">Quesería!H115</f>
        <v>1</v>
      </c>
    </row>
    <row r="57" customFormat="false" ht="15" hidden="false" customHeight="false" outlineLevel="0" collapsed="false">
      <c r="A57" s="6" t="str">
        <f aca="false">Quesería!A116</f>
        <v>Mezcla óptima de los tres quesos con el costo real por lote (hallazgo H12)</v>
      </c>
      <c r="B57" s="33" t="n">
        <f aca="false">Quesería!B116</f>
        <v>2</v>
      </c>
      <c r="C57" s="25" t="n">
        <f aca="false">Quesería!E116</f>
        <v>34.1492443311894</v>
      </c>
      <c r="D57" s="33" t="n">
        <f aca="false">Quesería!H116</f>
        <v>4</v>
      </c>
    </row>
    <row r="58" customFormat="false" ht="15" hidden="false" customHeight="false" outlineLevel="0" collapsed="false">
      <c r="A58" s="6" t="str">
        <f aca="false">Quesería!A117</f>
        <v>Reubicación por competencias (H10): control nocturno de la incubación del yogur por un operario del hilado (H2)</v>
      </c>
      <c r="B58" s="33" t="n">
        <f aca="false">Quesería!B117</f>
        <v>2</v>
      </c>
      <c r="C58" s="25" t="n">
        <f aca="false">Quesería!E117</f>
        <v>67.77488</v>
      </c>
      <c r="D58" s="33" t="n">
        <f aca="false">Quesería!H117</f>
        <v>3</v>
      </c>
    </row>
    <row r="59" customFormat="false" ht="15" hidden="false" customHeight="false" outlineLevel="0" collapsed="false">
      <c r="A59" s="6" t="str">
        <f aca="false">Quesería!A118</f>
        <v>Reubicación por competencias (H10): el otro operario cubre el mantenimiento autónomo del plan preventivo</v>
      </c>
      <c r="B59" s="33" t="n">
        <f aca="false">Quesería!B118</f>
        <v>2</v>
      </c>
      <c r="C59" s="25" t="n">
        <f aca="false">Quesería!E118</f>
        <v>36</v>
      </c>
      <c r="D59" s="33" t="n">
        <f aca="false">Quesería!H118</f>
        <v>3</v>
      </c>
    </row>
    <row r="60" customFormat="false" ht="15" hidden="false" customHeight="false" outlineLevel="0" collapsed="false">
      <c r="A60" s="5" t="s">
        <v>121</v>
      </c>
      <c r="C60" s="26" t="n">
        <f aca="false">SUM(C45:C59)</f>
        <v>538.531663249737</v>
      </c>
    </row>
    <row r="61" customFormat="false" ht="15" hidden="false" customHeight="false" outlineLevel="0" collapsed="false">
      <c r="A61" s="6" t="s">
        <v>122</v>
      </c>
      <c r="C61" s="25" t="n">
        <f aca="false">Quesería!$B$192</f>
        <v>95.9432442337815</v>
      </c>
    </row>
    <row r="62" customFormat="false" ht="15" hidden="false" customHeight="false" outlineLevel="0" collapsed="false">
      <c r="A62" s="9" t="s">
        <v>123</v>
      </c>
    </row>
    <row r="64" customFormat="false" ht="15" hidden="false" customHeight="false" outlineLevel="0" collapsed="false">
      <c r="A64" s="3" t="s">
        <v>124</v>
      </c>
      <c r="B64" s="4"/>
      <c r="C64" s="4"/>
      <c r="D64" s="4"/>
      <c r="E64" s="4"/>
      <c r="F64" s="4"/>
      <c r="G64" s="4"/>
      <c r="H64" s="4"/>
      <c r="I64" s="4"/>
      <c r="J64" s="4"/>
      <c r="K64" s="4"/>
      <c r="L64" s="4"/>
    </row>
    <row r="65" customFormat="false" ht="30" hidden="false" customHeight="true" outlineLevel="0" collapsed="false">
      <c r="A65" s="23" t="s">
        <v>125</v>
      </c>
      <c r="B65" s="24" t="s">
        <v>110</v>
      </c>
      <c r="C65" s="24" t="s">
        <v>126</v>
      </c>
      <c r="D65" s="24" t="s">
        <v>127</v>
      </c>
    </row>
    <row r="66" customFormat="false" ht="15" hidden="false" customHeight="false" outlineLevel="0" collapsed="false">
      <c r="A66" s="6" t="str">
        <f aca="false">'Beneficios y costos'!A140</f>
        <v>H1. Grasa estandarizada a mano</v>
      </c>
      <c r="B66" s="28" t="str">
        <f aca="false">'Beneficios y costos'!C140&amp;""</f>
        <v>1</v>
      </c>
      <c r="C66" s="25" t="n">
        <f aca="false">'Beneficios y costos'!D140</f>
        <v>52.0041597987519</v>
      </c>
      <c r="D66" s="25" t="n">
        <f aca="false">'Beneficios y costos'!E140</f>
        <v>18.7214975275507</v>
      </c>
    </row>
    <row r="67" customFormat="false" ht="15" hidden="false" customHeight="false" outlineLevel="0" collapsed="false">
      <c r="A67" s="6" t="str">
        <f aca="false">'Beneficios y costos'!A141</f>
        <v>H2. Yogur incubado de noche sin vigilancia</v>
      </c>
      <c r="B67" s="28" t="str">
        <f aca="false">'Beneficios y costos'!C141&amp;""</f>
        <v>2</v>
      </c>
      <c r="C67" s="25" t="n">
        <f aca="false">'Beneficios y costos'!D141</f>
        <v>67.77488</v>
      </c>
      <c r="D67" s="25" t="n">
        <f aca="false">'Beneficios y costos'!E141</f>
        <v>67.77488</v>
      </c>
    </row>
    <row r="68" customFormat="false" ht="15" hidden="false" customHeight="false" outlineLevel="0" collapsed="false">
      <c r="A68" s="6" t="str">
        <f aca="false">'Beneficios y costos'!A142</f>
        <v>H2. Lo que queda del yogur sobreacidificado</v>
      </c>
      <c r="B68" s="28" t="str">
        <f aca="false">'Beneficios y costos'!C142&amp;""</f>
        <v>—</v>
      </c>
      <c r="C68" s="25" t="n">
        <f aca="false">'Beneficios y costos'!D142</f>
        <v>98.51</v>
      </c>
      <c r="D68" s="25" t="n">
        <f aca="false">'Beneficios y costos'!E142</f>
        <v>0</v>
      </c>
    </row>
    <row r="69" customFormat="false" ht="15" hidden="false" customHeight="false" outlineLevel="0" collapsed="false">
      <c r="A69" s="6" t="str">
        <f aca="false">'Beneficios y costos'!A143</f>
        <v>H3. Producto regalado en el llenado: quesos</v>
      </c>
      <c r="B69" s="28" t="str">
        <f aca="false">'Beneficios y costos'!C143&amp;""</f>
        <v>1</v>
      </c>
      <c r="C69" s="25" t="n">
        <f aca="false">'Beneficios y costos'!D143</f>
        <v>32.5056</v>
      </c>
      <c r="D69" s="25" t="n">
        <f aca="false">'Beneficios y costos'!E143</f>
        <v>32.5056</v>
      </c>
    </row>
    <row r="70" customFormat="false" ht="15" hidden="false" customHeight="false" outlineLevel="0" collapsed="false">
      <c r="A70" s="6" t="str">
        <f aca="false">'Beneficios y costos'!A144</f>
        <v>H3. Producto regalado en el llenado: yogur y UHT</v>
      </c>
      <c r="B70" s="28" t="str">
        <f aca="false">'Beneficios y costos'!C144&amp;""</f>
        <v>—</v>
      </c>
      <c r="C70" s="25" t="n">
        <f aca="false">'Beneficios y costos'!D144</f>
        <v>307.3632</v>
      </c>
      <c r="D70" s="25" t="n">
        <f aca="false">'Beneficios y costos'!E144</f>
        <v>0</v>
      </c>
    </row>
    <row r="71" customFormat="false" ht="15" hidden="false" customHeight="false" outlineLevel="0" collapsed="false">
      <c r="A71" s="6" t="str">
        <f aca="false">'Beneficios y costos'!A145</f>
        <v>H4. Pérdidas del UHT en arranques y cambios</v>
      </c>
      <c r="B71" s="28" t="str">
        <f aca="false">'Beneficios y costos'!C145&amp;""</f>
        <v>—</v>
      </c>
      <c r="C71" s="25" t="n">
        <f aca="false">'Beneficios y costos'!D145</f>
        <v>123.15</v>
      </c>
      <c r="D71" s="25" t="n">
        <f aca="false">'Beneficios y costos'!E145</f>
        <v>0</v>
      </c>
    </row>
    <row r="72" customFormat="false" ht="15" hidden="false" customHeight="false" outlineLevel="0" collapsed="false">
      <c r="A72" s="6" t="str">
        <f aca="false">'Beneficios y costos'!A146</f>
        <v>H5. Hilado manual, cuello de botella</v>
      </c>
      <c r="B72" s="28" t="str">
        <f aca="false">'Beneficios y costos'!C146&amp;""</f>
        <v>0 y 2</v>
      </c>
      <c r="C72" s="25" t="n">
        <f aca="false">'Beneficios y costos'!D146</f>
        <v>94.2231730842444</v>
      </c>
      <c r="D72" s="25" t="n">
        <f aca="false">'Beneficios y costos'!E146</f>
        <v>94.2231730842444</v>
      </c>
    </row>
    <row r="73" customFormat="false" ht="15" hidden="false" customHeight="false" outlineLevel="0" collapsed="false">
      <c r="A73" s="6" t="str">
        <f aca="false">'Beneficios y costos'!A147</f>
        <v>H6. Registros críticos en papel</v>
      </c>
      <c r="B73" s="28" t="str">
        <f aca="false">'Beneficios y costos'!C147&amp;""</f>
        <v>1</v>
      </c>
      <c r="C73" s="25" t="n">
        <f aca="false">'Beneficios y costos'!D147</f>
        <v>152.285</v>
      </c>
      <c r="D73" s="25" t="n">
        <f aca="false">'Beneficios y costos'!E147</f>
        <v>33.86</v>
      </c>
    </row>
    <row r="74" customFormat="false" ht="15" hidden="false" customHeight="false" outlineLevel="0" collapsed="false">
      <c r="A74" s="6" t="str">
        <f aca="false">'Beneficios y costos'!A148</f>
        <v>H7. Limpieza y mantenimiento manuales y correctivos</v>
      </c>
      <c r="B74" s="28" t="str">
        <f aca="false">'Beneficios y costos'!C148&amp;""</f>
        <v>0 y 2</v>
      </c>
      <c r="C74" s="25" t="n">
        <f aca="false">'Beneficios y costos'!D148</f>
        <v>213.2</v>
      </c>
      <c r="D74" s="25" t="n">
        <f aca="false">'Beneficios y costos'!E148</f>
        <v>73.504</v>
      </c>
    </row>
    <row r="75" customFormat="false" ht="15" hidden="false" customHeight="false" outlineLevel="0" collapsed="false">
      <c r="A75" s="6" t="str">
        <f aca="false">'Beneficios y costos'!A149</f>
        <v>H8. Suero vendido barato</v>
      </c>
      <c r="B75" s="28" t="str">
        <f aca="false">'Beneficios y costos'!C149&amp;""</f>
        <v>2</v>
      </c>
      <c r="C75" s="25" t="n">
        <f aca="false">'Beneficios y costos'!D149</f>
        <v>36.1108213118971</v>
      </c>
      <c r="D75" s="25" t="n">
        <f aca="false">'Beneficios y costos'!E149</f>
        <v>36.1108213118971</v>
      </c>
    </row>
    <row r="76" customFormat="false" ht="15" hidden="false" customHeight="false" outlineLevel="0" collapsed="false">
      <c r="A76" s="6" t="str">
        <f aca="false">'Beneficios y costos'!A150</f>
        <v>H9. Información en islas</v>
      </c>
      <c r="B76" s="28" t="str">
        <f aca="false">'Beneficios y costos'!C150&amp;""</f>
        <v>1</v>
      </c>
      <c r="C76" s="25" t="n">
        <f aca="false">'Beneficios y costos'!D150</f>
        <v>26.333</v>
      </c>
      <c r="D76" s="25" t="n">
        <f aca="false">'Beneficios y costos'!E150</f>
        <v>26.333</v>
      </c>
    </row>
    <row r="77" customFormat="false" ht="15" hidden="false" customHeight="false" outlineLevel="0" collapsed="false">
      <c r="A77" s="6" t="str">
        <f aca="false">'Beneficios y costos'!A151</f>
        <v>H10. Puestos asignados por costumbre, no por competencias</v>
      </c>
      <c r="B77" s="28" t="str">
        <f aca="false">'Beneficios y costos'!C151&amp;""</f>
        <v>0 y 2</v>
      </c>
      <c r="C77" s="25" t="n">
        <f aca="false">'Beneficios y costos'!D151</f>
        <v>36</v>
      </c>
      <c r="D77" s="25" t="n">
        <f aca="false">'Beneficios y costos'!E151</f>
        <v>36</v>
      </c>
    </row>
    <row r="78" customFormat="false" ht="15" hidden="false" customHeight="false" outlineLevel="0" collapsed="false">
      <c r="A78" s="6" t="str">
        <f aca="false">'Beneficios y costos'!A152</f>
        <v>H11. No se sabe cuánto queso sale de cada litro, lote por lote</v>
      </c>
      <c r="B78" s="28" t="str">
        <f aca="false">'Beneficios y costos'!C152&amp;""</f>
        <v>1</v>
      </c>
      <c r="C78" s="25" t="n">
        <f aca="false">'Beneficios y costos'!D152</f>
        <v>32.5510516813505</v>
      </c>
      <c r="D78" s="25" t="n">
        <f aca="false">'Beneficios y costos'!E152</f>
        <v>32.5510516813505</v>
      </c>
    </row>
    <row r="79" customFormat="false" ht="15" hidden="false" customHeight="false" outlineLevel="0" collapsed="false">
      <c r="A79" s="6" t="str">
        <f aca="false">'Beneficios y costos'!A153</f>
        <v>H12. El costo y la mezcla de quesos se deciden con promedios</v>
      </c>
      <c r="B79" s="28" t="str">
        <f aca="false">'Beneficios y costos'!C153&amp;""</f>
        <v>2</v>
      </c>
      <c r="C79" s="25" t="n">
        <f aca="false">'Beneficios y costos'!D153</f>
        <v>34.1492443311894</v>
      </c>
      <c r="D79" s="25" t="n">
        <f aca="false">'Beneficios y costos'!E153</f>
        <v>34.1492443311894</v>
      </c>
    </row>
    <row r="80" customFormat="false" ht="15" hidden="false" customHeight="false" outlineLevel="0" collapsed="false">
      <c r="A80" s="6" t="str">
        <f aca="false">'Beneficios y costos'!A154</f>
        <v>Innovación de la oferta (no viene de una pérdida)</v>
      </c>
      <c r="B80" s="28" t="str">
        <f aca="false">'Beneficios y costos'!C154&amp;""</f>
        <v>1</v>
      </c>
      <c r="C80" s="25" t="n">
        <f aca="false">'Beneficios y costos'!D154</f>
        <v>52.7983953135048</v>
      </c>
      <c r="D80" s="25" t="n">
        <f aca="false">'Beneficios y costos'!E154</f>
        <v>52.7983953135048</v>
      </c>
    </row>
    <row r="81" customFormat="false" ht="15" hidden="false" customHeight="false" outlineLevel="0" collapsed="false">
      <c r="A81" s="5" t="str">
        <f aca="false">'Beneficios y costos'!A155</f>
        <v>Valor de las medidas de la oferta</v>
      </c>
      <c r="B81" s="28" t="str">
        <f aca="false">'Beneficios y costos'!C155&amp;""</f>
        <v/>
      </c>
      <c r="C81" s="30" t="n">
        <f aca="false">'Beneficios y costos'!D155</f>
        <v>829.935325520938</v>
      </c>
      <c r="D81" s="30" t="n">
        <f aca="false">'Beneficios y costos'!E155</f>
        <v>538.531663249737</v>
      </c>
    </row>
    <row r="82" customFormat="false" ht="15" hidden="false" customHeight="false" outlineLevel="0" collapsed="false">
      <c r="A82" s="5" t="str">
        <f aca="false">'Beneficios y costos'!A156</f>
        <v>Pérdidas de yogur y UHT que quedan para la ampliación</v>
      </c>
      <c r="B82" s="28" t="str">
        <f aca="false">'Beneficios y costos'!C156&amp;""</f>
        <v/>
      </c>
      <c r="C82" s="30" t="n">
        <f aca="false">'Beneficios y costos'!D156</f>
        <v>529.0232</v>
      </c>
      <c r="D82" s="30" t="n">
        <f aca="false">'Beneficios y costos'!E156</f>
        <v>0</v>
      </c>
    </row>
    <row r="83" customFormat="false" ht="15" hidden="false" customHeight="false" outlineLevel="0" collapsed="false">
      <c r="A83" s="9" t="s">
        <v>128</v>
      </c>
    </row>
    <row r="85" customFormat="false" ht="15" hidden="false" customHeight="false" outlineLevel="0" collapsed="false">
      <c r="A85" s="3" t="s">
        <v>129</v>
      </c>
      <c r="B85" s="4"/>
      <c r="C85" s="4"/>
      <c r="D85" s="4"/>
      <c r="E85" s="4"/>
      <c r="F85" s="4"/>
      <c r="G85" s="4"/>
      <c r="H85" s="4"/>
      <c r="I85" s="4"/>
      <c r="J85" s="4"/>
      <c r="K85" s="4"/>
      <c r="L85" s="4"/>
    </row>
    <row r="86" customFormat="false" ht="15" hidden="false" customHeight="false" outlineLevel="0" collapsed="false">
      <c r="A86" s="23" t="s">
        <v>130</v>
      </c>
      <c r="B86" s="24" t="s">
        <v>131</v>
      </c>
      <c r="C86" s="24" t="s">
        <v>132</v>
      </c>
      <c r="D86" s="24" t="s">
        <v>133</v>
      </c>
      <c r="E86" s="24" t="s">
        <v>134</v>
      </c>
      <c r="F86" s="24" t="s">
        <v>135</v>
      </c>
      <c r="G86" s="24" t="s">
        <v>136</v>
      </c>
      <c r="H86" s="24" t="s">
        <v>137</v>
      </c>
      <c r="I86" s="24" t="s">
        <v>138</v>
      </c>
      <c r="J86" s="24" t="s">
        <v>139</v>
      </c>
      <c r="K86" s="24" t="s">
        <v>140</v>
      </c>
      <c r="L86" s="24" t="s">
        <v>141</v>
      </c>
    </row>
    <row r="87" customFormat="false" ht="15" hidden="false" customHeight="false" outlineLevel="0" collapsed="false">
      <c r="A87" s="6" t="s">
        <v>142</v>
      </c>
      <c r="B87" s="25" t="n">
        <f aca="false">Quesería!B142</f>
        <v>120.716772261203</v>
      </c>
      <c r="C87" s="25" t="n">
        <f aca="false">Quesería!C142</f>
        <v>181.328317354069</v>
      </c>
      <c r="D87" s="25" t="n">
        <f aca="false">Quesería!D142</f>
        <v>477.033083150451</v>
      </c>
      <c r="E87" s="25" t="n">
        <f aca="false">Quesería!E142</f>
        <v>540.853870336907</v>
      </c>
      <c r="F87" s="25" t="n">
        <f aca="false">Quesería!F142</f>
        <v>541.163081372343</v>
      </c>
      <c r="G87" s="25" t="n">
        <f aca="false">Quesería!G142</f>
        <v>541.473838462956</v>
      </c>
      <c r="H87" s="25" t="n">
        <f aca="false">Quesería!H142</f>
        <v>541.786149339022</v>
      </c>
      <c r="I87" s="25" t="n">
        <f aca="false">Quesería!I142</f>
        <v>542.100021769468</v>
      </c>
      <c r="J87" s="25" t="n">
        <f aca="false">Quesería!J142</f>
        <v>542.415463562067</v>
      </c>
      <c r="K87" s="25" t="n">
        <f aca="false">Quesería!K142</f>
        <v>542.732482563628</v>
      </c>
      <c r="L87" s="25" t="n">
        <f aca="false">Quesería!L142</f>
        <v>543.051086660198</v>
      </c>
    </row>
    <row r="88" customFormat="false" ht="15" hidden="false" customHeight="false" outlineLevel="0" collapsed="false">
      <c r="A88" s="6" t="s">
        <v>143</v>
      </c>
      <c r="B88" s="25" t="n">
        <f aca="false">-(Quesería!B143+Quesería!B144+Quesería!B145)</f>
        <v>-4.31966364396742</v>
      </c>
      <c r="C88" s="25" t="n">
        <f aca="false">-(Quesería!C143+Quesería!C144+Quesería!C145)</f>
        <v>-64.4640576255051</v>
      </c>
      <c r="D88" s="25" t="n">
        <f aca="false">-(Quesería!D143+Quesería!D144+Quesería!D145)</f>
        <v>-96.3270172107166</v>
      </c>
      <c r="E88" s="25" t="n">
        <f aca="false">-(Quesería!E143+Quesería!E144+Quesería!E145)</f>
        <v>-96.3270172107166</v>
      </c>
      <c r="F88" s="25" t="n">
        <f aca="false">-(Quesería!F143+Quesería!F144+Quesería!F145)</f>
        <v>-96.3270172107166</v>
      </c>
      <c r="G88" s="25" t="n">
        <f aca="false">-(Quesería!G143+Quesería!G144+Quesería!G145)</f>
        <v>-96.4577516449165</v>
      </c>
      <c r="H88" s="25" t="n">
        <f aca="false">-(Quesería!H143+Quesería!H144+Quesería!H145)</f>
        <v>-96.5478295919008</v>
      </c>
      <c r="I88" s="25" t="n">
        <f aca="false">-(Quesería!I143+Quesería!I144+Quesería!I145)</f>
        <v>-96.3270172107166</v>
      </c>
      <c r="J88" s="25" t="n">
        <f aca="false">-(Quesería!J143+Quesería!J144+Quesería!J145)</f>
        <v>-96.3270172107166</v>
      </c>
      <c r="K88" s="25" t="n">
        <f aca="false">-(Quesería!K143+Quesería!K144+Quesería!K145)</f>
        <v>-96.3270172107166</v>
      </c>
      <c r="L88" s="25" t="n">
        <f aca="false">-(Quesería!L143+Quesería!L144+Quesería!L145)</f>
        <v>-96.3270172107166</v>
      </c>
    </row>
    <row r="89" customFormat="false" ht="15" hidden="false" customHeight="false" outlineLevel="0" collapsed="false">
      <c r="A89" s="6" t="s">
        <v>144</v>
      </c>
      <c r="B89" s="25" t="n">
        <f aca="false">-Quesería!B150</f>
        <v>9.59839124703308</v>
      </c>
      <c r="C89" s="25" t="n">
        <f aca="false">-Quesería!C150</f>
        <v>287.35904962886</v>
      </c>
      <c r="D89" s="25" t="n">
        <f aca="false">-Quesería!D150</f>
        <v>189.725322279336</v>
      </c>
      <c r="E89" s="25" t="n">
        <f aca="false">-Quesería!E150</f>
        <v>-104.732731328365</v>
      </c>
      <c r="F89" s="25" t="n">
        <f aca="false">-Quesería!F150</f>
        <v>-106.799371634489</v>
      </c>
      <c r="G89" s="25" t="n">
        <f aca="false">-Quesería!G150</f>
        <v>-108.768350824566</v>
      </c>
      <c r="H89" s="25" t="n">
        <f aca="false">-Quesería!H150</f>
        <v>-108.111395718431</v>
      </c>
      <c r="I89" s="25" t="n">
        <f aca="false">-Quesería!I150</f>
        <v>-103.326831874739</v>
      </c>
      <c r="J89" s="25" t="n">
        <f aca="false">-Quesería!J150</f>
        <v>-113.615483721767</v>
      </c>
      <c r="K89" s="25" t="n">
        <f aca="false">-Quesería!K150</f>
        <v>-115.364233940474</v>
      </c>
      <c r="L89" s="25" t="n">
        <f aca="false">-Quesería!L150</f>
        <v>-117.05054688212</v>
      </c>
    </row>
    <row r="90" customFormat="false" ht="15" hidden="false" customHeight="false" outlineLevel="0" collapsed="false">
      <c r="A90" s="6" t="s">
        <v>145</v>
      </c>
      <c r="B90" s="25" t="n">
        <f aca="false">-(Quesería!B137+Quesería!B138+Quesería!B139)</f>
        <v>-1079.91591099185</v>
      </c>
      <c r="C90" s="25" t="n">
        <f aca="false">-(Quesería!C137+Quesería!C138+Quesería!C139)</f>
        <v>-902.578189342653</v>
      </c>
      <c r="D90" s="25" t="n">
        <f aca="false">-(Quesería!D137+Quesería!D138+Quesería!D139)</f>
        <v>-0</v>
      </c>
      <c r="E90" s="25" t="n">
        <f aca="false">-(Quesería!E137+Quesería!E138+Quesería!E139)</f>
        <v>-0</v>
      </c>
      <c r="F90" s="25" t="n">
        <f aca="false">-(Quesería!F137+Quesería!F138+Quesería!F139)</f>
        <v>-0</v>
      </c>
      <c r="G90" s="25" t="n">
        <f aca="false">-(Quesería!G137+Quesería!G138+Quesería!G139)</f>
        <v>-32.6836085499595</v>
      </c>
      <c r="H90" s="25" t="n">
        <f aca="false">-(Quesería!H137+Quesería!H138+Quesería!H139)</f>
        <v>-55.2030952960367</v>
      </c>
      <c r="I90" s="25" t="n">
        <f aca="false">-(Quesería!I137+Quesería!I138+Quesería!I139)</f>
        <v>-0</v>
      </c>
      <c r="J90" s="25" t="n">
        <f aca="false">-(Quesería!J137+Quesería!J138+Quesería!J139)</f>
        <v>-0</v>
      </c>
      <c r="K90" s="25" t="n">
        <f aca="false">-(Quesería!K137+Quesería!K138+Quesería!K139)</f>
        <v>-0</v>
      </c>
      <c r="L90" s="25" t="n">
        <f aca="false">-(Quesería!L137+Quesería!L138+Quesería!L139)</f>
        <v>-0</v>
      </c>
    </row>
    <row r="91" customFormat="false" ht="15" hidden="false" customHeight="false" outlineLevel="0" collapsed="false">
      <c r="A91" s="6" t="s">
        <v>146</v>
      </c>
      <c r="B91" s="25" t="n">
        <f aca="false">-Quesería!B152+Quesería!B153</f>
        <v>-7.23146900616979</v>
      </c>
      <c r="C91" s="25" t="n">
        <f aca="false">-Quesería!C152+Quesería!C153</f>
        <v>-1.42287846600884</v>
      </c>
      <c r="D91" s="25" t="n">
        <f aca="false">-Quesería!D152+Quesería!D153</f>
        <v>-14.0205300736897</v>
      </c>
      <c r="E91" s="25" t="n">
        <f aca="false">-Quesería!E152+Quesería!E153</f>
        <v>-5.27597549905193</v>
      </c>
      <c r="F91" s="25" t="n">
        <f aca="false">-Quesería!F152+Quesería!F153</f>
        <v>-1.01552107473577</v>
      </c>
      <c r="G91" s="25" t="n">
        <f aca="false">-Quesería!G152+Quesería!G153</f>
        <v>-1.01552107473577</v>
      </c>
      <c r="H91" s="25" t="n">
        <f aca="false">-Quesería!H152+Quesería!H153</f>
        <v>-1.01552107473577</v>
      </c>
      <c r="I91" s="25" t="n">
        <f aca="false">-Quesería!I152+Quesería!I153</f>
        <v>-1.01552107473577</v>
      </c>
      <c r="J91" s="25" t="n">
        <f aca="false">-Quesería!J152+Quesería!J153</f>
        <v>-1.01552107473577</v>
      </c>
      <c r="K91" s="25" t="n">
        <f aca="false">-Quesería!K152+Quesería!K153</f>
        <v>-1.01552107473577</v>
      </c>
      <c r="L91" s="25" t="n">
        <f aca="false">-Quesería!L152+Quesería!L153</f>
        <v>92.5117994268484</v>
      </c>
    </row>
    <row r="92" customFormat="false" ht="15" hidden="false" customHeight="false" outlineLevel="0" collapsed="false">
      <c r="A92" s="5" t="s">
        <v>147</v>
      </c>
      <c r="B92" s="26" t="n">
        <f aca="false">Quesería!B154</f>
        <v>-961.151880133756</v>
      </c>
      <c r="C92" s="26" t="n">
        <f aca="false">Quesería!C154</f>
        <v>-499.777758451238</v>
      </c>
      <c r="D92" s="26" t="n">
        <f aca="false">Quesería!D154</f>
        <v>556.410858145381</v>
      </c>
      <c r="E92" s="26" t="n">
        <f aca="false">Quesería!E154</f>
        <v>334.518146298773</v>
      </c>
      <c r="F92" s="26" t="n">
        <f aca="false">Quesería!F154</f>
        <v>337.021171452401</v>
      </c>
      <c r="G92" s="26" t="n">
        <f aca="false">Quesería!G154</f>
        <v>302.548606368777</v>
      </c>
      <c r="H92" s="26" t="n">
        <f aca="false">Quesería!H154</f>
        <v>280.908307657918</v>
      </c>
      <c r="I92" s="26" t="n">
        <f aca="false">Quesería!I154</f>
        <v>341.430651609277</v>
      </c>
      <c r="J92" s="26" t="n">
        <f aca="false">Quesería!J154</f>
        <v>331.457441554847</v>
      </c>
      <c r="K92" s="26" t="n">
        <f aca="false">Quesería!K154</f>
        <v>330.025710337702</v>
      </c>
      <c r="L92" s="26" t="n">
        <f aca="false">Quesería!L154</f>
        <v>422.18532199421</v>
      </c>
    </row>
    <row r="93" customFormat="false" ht="15" hidden="false" customHeight="false" outlineLevel="0" collapsed="false">
      <c r="A93" s="6" t="s">
        <v>148</v>
      </c>
      <c r="B93" s="25" t="n">
        <f aca="false">Quesería!B169</f>
        <v>-358.744924503166</v>
      </c>
      <c r="C93" s="25" t="n">
        <f aca="false">Quesería!C169</f>
        <v>-59.8505919146794</v>
      </c>
      <c r="D93" s="25" t="n">
        <f aca="false">Quesería!D169</f>
        <v>369.958340335805</v>
      </c>
      <c r="E93" s="25" t="n">
        <f aca="false">Quesería!E169</f>
        <v>87.5221689109349</v>
      </c>
      <c r="F93" s="25" t="n">
        <f aca="false">Quesería!F169</f>
        <v>114.048242679885</v>
      </c>
      <c r="G93" s="25" t="n">
        <f aca="false">Quesería!G169</f>
        <v>102.116178059796</v>
      </c>
      <c r="H93" s="25" t="n">
        <f aca="false">Quesería!H169</f>
        <v>101.612336772039</v>
      </c>
      <c r="I93" s="25" t="n">
        <f aca="false">Quesería!I169</f>
        <v>181.941754481276</v>
      </c>
      <c r="J93" s="25" t="n">
        <f aca="false">Quesería!J169</f>
        <v>263.386390588464</v>
      </c>
      <c r="K93" s="25" t="n">
        <f aca="false">Quesería!K169</f>
        <v>330.025710337702</v>
      </c>
      <c r="L93" s="25" t="n">
        <f aca="false">Quesería!L169</f>
        <v>422.18532199421</v>
      </c>
    </row>
    <row r="94" customFormat="false" ht="15" hidden="false" customHeight="false" outlineLevel="0" collapsed="false">
      <c r="A94" s="6" t="s">
        <v>149</v>
      </c>
      <c r="B94" s="37" t="str">
        <f aca="false">Quesería!B173</f>
        <v/>
      </c>
      <c r="C94" s="37" t="n">
        <f aca="false">Quesería!C173</f>
        <v>5.3085144611143</v>
      </c>
      <c r="D94" s="37" t="n">
        <f aca="false">Quesería!D173</f>
        <v>2.57051358553503</v>
      </c>
      <c r="E94" s="37" t="n">
        <f aca="false">Quesería!E173</f>
        <v>1.30556256990244</v>
      </c>
      <c r="F94" s="37" t="n">
        <f aca="false">Quesería!F173</f>
        <v>1.44805134568726</v>
      </c>
      <c r="G94" s="37" t="n">
        <f aca="false">Quesería!G173</f>
        <v>1.4798119606799</v>
      </c>
      <c r="H94" s="37" t="n">
        <f aca="false">Quesería!H173</f>
        <v>1.5663884826325</v>
      </c>
      <c r="I94" s="37" t="n">
        <f aca="false">Quesería!I173</f>
        <v>2.08033998964414</v>
      </c>
      <c r="J94" s="37" t="n">
        <f aca="false">Quesería!J173</f>
        <v>4.71870245762</v>
      </c>
      <c r="K94" s="37" t="str">
        <f aca="false">Quesería!K173</f>
        <v/>
      </c>
      <c r="L94" s="37" t="str">
        <f aca="false">Quesería!L173</f>
        <v/>
      </c>
    </row>
    <row r="95" customFormat="false" ht="15" hidden="false" customHeight="false" outlineLevel="0" collapsed="false">
      <c r="A95" s="9" t="s">
        <v>150</v>
      </c>
      <c r="L95" s="27" t="n">
        <f aca="false">ABS(SUM(B87:B91)-B92)+ABS(SUM(C87:C91)-C92)+ABS(SUM(D87:D91)-D92)+ABS(SUM(E87:E91)-E92)+ABS(SUM(F87:F91)-F92)+ABS(SUM(G87:G91)-G92)+ABS(SUM(H87:H91)-H92)+ABS(SUM(I87:I91)-I92)+ABS(SUM(J87:J91)-J92)+ABS(SUM(K87:K91)-K92)+ABS(SUM(L87:L91)-L92)</f>
        <v>0</v>
      </c>
    </row>
    <row r="97" customFormat="false" ht="15" hidden="false" customHeight="false" outlineLevel="0" collapsed="false">
      <c r="A97" s="3" t="s">
        <v>151</v>
      </c>
      <c r="B97" s="4"/>
      <c r="C97" s="4"/>
      <c r="D97" s="4"/>
      <c r="E97" s="4"/>
      <c r="F97" s="4"/>
      <c r="G97" s="4"/>
      <c r="H97" s="4"/>
      <c r="I97" s="4"/>
      <c r="J97" s="4"/>
      <c r="K97" s="4"/>
      <c r="L97" s="4"/>
    </row>
    <row r="98" customFormat="false" ht="30" hidden="false" customHeight="true" outlineLevel="0" collapsed="false">
      <c r="A98" s="23" t="s">
        <v>152</v>
      </c>
      <c r="B98" s="24" t="s">
        <v>153</v>
      </c>
      <c r="C98" s="24" t="s">
        <v>154</v>
      </c>
    </row>
    <row r="99" customFormat="false" ht="15" hidden="false" customHeight="false" outlineLevel="0" collapsed="false">
      <c r="A99" s="6" t="s">
        <v>155</v>
      </c>
      <c r="B99" s="30" t="n">
        <f aca="false">Quesería!$B$181</f>
        <v>502.976125498281</v>
      </c>
      <c r="C99" s="38" t="s">
        <v>156</v>
      </c>
    </row>
    <row r="100" customFormat="false" ht="15" hidden="false" customHeight="false" outlineLevel="0" collapsed="false">
      <c r="A100" s="6" t="s">
        <v>14</v>
      </c>
      <c r="B100" s="8" t="n">
        <f aca="false">Quesería!$B$178</f>
        <v>0.226125774918278</v>
      </c>
      <c r="C100" s="39" t="n">
        <f aca="false">Quesería!$B$177</f>
        <v>0.1470725</v>
      </c>
    </row>
    <row r="101" customFormat="false" ht="15" hidden="false" customHeight="false" outlineLevel="0" collapsed="false">
      <c r="A101" s="6" t="s">
        <v>16</v>
      </c>
      <c r="B101" s="8" t="n">
        <f aca="false">Quesería!$B$179</f>
        <v>0.17587013407988</v>
      </c>
      <c r="C101" s="39" t="n">
        <f aca="false">Quesería!$B$180</f>
        <v>0.0996090543813608</v>
      </c>
    </row>
    <row r="102" customFormat="false" ht="15" hidden="false" customHeight="false" outlineLevel="0" collapsed="false">
      <c r="A102" s="6" t="s">
        <v>157</v>
      </c>
      <c r="B102" s="8" t="n">
        <f aca="false">Quesería!$B$185</f>
        <v>0.407599554247206</v>
      </c>
      <c r="C102" s="39" t="n">
        <f aca="false">Quesería!$B$11</f>
        <v>0.25</v>
      </c>
    </row>
    <row r="103" customFormat="false" ht="15" hidden="false" customHeight="false" outlineLevel="0" collapsed="false">
      <c r="A103" s="6" t="s">
        <v>158</v>
      </c>
      <c r="B103" s="11" t="n">
        <f aca="false">Quesería!$B$182</f>
        <v>4.77005630759528</v>
      </c>
      <c r="C103" s="38" t="s">
        <v>159</v>
      </c>
    </row>
    <row r="104" customFormat="false" ht="15" hidden="false" customHeight="false" outlineLevel="0" collapsed="false">
      <c r="A104" s="6" t="s">
        <v>24</v>
      </c>
      <c r="B104" s="11" t="n">
        <f aca="false">Quesería!$B$183</f>
        <v>6.71288322261245</v>
      </c>
      <c r="C104" s="38" t="s">
        <v>159</v>
      </c>
    </row>
    <row r="105" customFormat="false" ht="15" hidden="false" customHeight="false" outlineLevel="0" collapsed="false">
      <c r="A105" s="6" t="s">
        <v>160</v>
      </c>
      <c r="B105" s="8" t="n">
        <f aca="false">Quesería!$B$184</f>
        <v>1.05109148104221</v>
      </c>
    </row>
    <row r="106" customFormat="false" ht="15" hidden="false" customHeight="false" outlineLevel="0" collapsed="false">
      <c r="A106" s="6" t="s">
        <v>28</v>
      </c>
      <c r="B106" s="12" t="n">
        <f aca="false">Quesería!$B$188</f>
        <v>1.30556256990244</v>
      </c>
      <c r="C106" s="40" t="n">
        <v>1.2</v>
      </c>
    </row>
    <row r="107" customFormat="false" ht="15" hidden="false" customHeight="false" outlineLevel="0" collapsed="false">
      <c r="A107" s="6" t="s">
        <v>161</v>
      </c>
      <c r="B107" s="30" t="n">
        <f aca="false">Quesería!$B$189</f>
        <v>418.595516417845</v>
      </c>
    </row>
    <row r="109" customFormat="false" ht="15" hidden="false" customHeight="false" outlineLevel="0" collapsed="false">
      <c r="A109" s="3" t="s">
        <v>162</v>
      </c>
      <c r="B109" s="4"/>
      <c r="C109" s="4"/>
      <c r="D109" s="4"/>
      <c r="E109" s="4"/>
      <c r="F109" s="4"/>
      <c r="G109" s="4"/>
      <c r="H109" s="4"/>
      <c r="I109" s="4"/>
      <c r="J109" s="4"/>
      <c r="K109" s="4"/>
      <c r="L109" s="4"/>
    </row>
    <row r="110" customFormat="false" ht="43.5" hidden="false" customHeight="true" outlineLevel="0" collapsed="false">
      <c r="A110" s="23" t="s">
        <v>163</v>
      </c>
      <c r="B110" s="24" t="s">
        <v>164</v>
      </c>
      <c r="C110" s="24" t="s">
        <v>165</v>
      </c>
      <c r="D110" s="24" t="s">
        <v>166</v>
      </c>
      <c r="E110" s="24" t="s">
        <v>167</v>
      </c>
    </row>
    <row r="111" customFormat="false" ht="15" hidden="false" customHeight="false" outlineLevel="0" collapsed="false">
      <c r="A111" s="5" t="s">
        <v>153</v>
      </c>
      <c r="B111" s="30" t="n">
        <f aca="false">Escenarios!B33</f>
        <v>502.976125498281</v>
      </c>
      <c r="C111" s="8" t="n">
        <f aca="false">Escenarios!B31</f>
        <v>0.226125774918278</v>
      </c>
      <c r="D111" s="8" t="n">
        <f aca="false">Escenarios!B37</f>
        <v>0.407599554247206</v>
      </c>
      <c r="E111" s="12" t="n">
        <f aca="false">Escenarios!B39</f>
        <v>1.30556256990244</v>
      </c>
    </row>
    <row r="112" customFormat="false" ht="15" hidden="false" customHeight="false" outlineLevel="0" collapsed="false">
      <c r="A112" s="6" t="s">
        <v>168</v>
      </c>
      <c r="B112" s="25" t="n">
        <f aca="false">Escenarios!T33</f>
        <v>266.308886204684</v>
      </c>
      <c r="C112" s="34" t="n">
        <f aca="false">Escenarios!T31</f>
        <v>0.185693384348158</v>
      </c>
      <c r="D112" s="34" t="n">
        <f aca="false">Escenarios!T37</f>
        <v>0.280866147178324</v>
      </c>
      <c r="E112" s="37" t="n">
        <f aca="false">Escenarios!T39</f>
        <v>1.30556256990244</v>
      </c>
    </row>
    <row r="113" customFormat="false" ht="15" hidden="false" customHeight="false" outlineLevel="0" collapsed="false">
      <c r="A113" s="6" t="s">
        <v>169</v>
      </c>
      <c r="B113" s="25" t="n">
        <f aca="false">Escenarios!F33</f>
        <v>151.712980908394</v>
      </c>
      <c r="C113" s="34" t="n">
        <f aca="false">Escenarios!F31</f>
        <v>0.172547733188473</v>
      </c>
      <c r="D113" s="34" t="n">
        <f aca="false">Escenarios!F37</f>
        <v>0.282030189640686</v>
      </c>
      <c r="E113" s="37" t="n">
        <f aca="false">Escenarios!F39</f>
        <v>1.07000146750991</v>
      </c>
    </row>
    <row r="114" customFormat="false" ht="15" hidden="false" customHeight="false" outlineLevel="0" collapsed="false">
      <c r="A114" s="6" t="s">
        <v>170</v>
      </c>
      <c r="B114" s="25" t="n">
        <f aca="false">Escenarios!G33</f>
        <v>108.337984609022</v>
      </c>
      <c r="C114" s="34" t="n">
        <f aca="false">Escenarios!G31</f>
        <v>0.165016828357864</v>
      </c>
      <c r="D114" s="34" t="n">
        <f aca="false">Escenarios!G37</f>
        <v>0.258245474900737</v>
      </c>
      <c r="E114" s="37" t="n">
        <f aca="false">Escenarios!G39</f>
        <v>1.06709104781319</v>
      </c>
    </row>
    <row r="115" customFormat="false" ht="15" hidden="false" customHeight="false" outlineLevel="0" collapsed="false">
      <c r="A115" s="6" t="s">
        <v>171</v>
      </c>
      <c r="B115" s="25" t="n">
        <f aca="false">Escenarios!I33</f>
        <v>256.545169067199</v>
      </c>
      <c r="C115" s="34" t="n">
        <f aca="false">Escenarios!I31</f>
        <v>0.181962252423027</v>
      </c>
      <c r="D115" s="34" t="n">
        <f aca="false">Escenarios!I37</f>
        <v>0.299335290977672</v>
      </c>
      <c r="E115" s="37" t="n">
        <f aca="false">Escenarios!I39</f>
        <v>1.13015647435672</v>
      </c>
    </row>
    <row r="116" customFormat="false" ht="15" hidden="false" customHeight="false" outlineLevel="0" collapsed="false">
      <c r="A116" s="6" t="s">
        <v>172</v>
      </c>
      <c r="B116" s="25" t="n">
        <f aca="false">Escenarios!Y33</f>
        <v>286.189595655785</v>
      </c>
      <c r="C116" s="34" t="n">
        <f aca="false">Escenarios!Y31</f>
        <v>0.234932263833018</v>
      </c>
      <c r="D116" s="34" t="n">
        <f aca="false">Escenarios!Y37</f>
        <v>0.496640507160863</v>
      </c>
      <c r="E116" s="37" t="n">
        <f aca="false">Escenarios!Y39</f>
        <v>1.15934491900943</v>
      </c>
    </row>
    <row r="117" customFormat="false" ht="15" hidden="false" customHeight="false" outlineLevel="0" collapsed="false">
      <c r="A117" s="6" t="s">
        <v>173</v>
      </c>
      <c r="B117" s="25" t="n">
        <f aca="false">Escenarios!C33</f>
        <v>-458.352332832904</v>
      </c>
      <c r="C117" s="34" t="n">
        <f aca="false">Escenarios!C31</f>
        <v>0.0815488178439258</v>
      </c>
      <c r="D117" s="34" t="n">
        <f aca="false">Escenarios!C37</f>
        <v>0.0564419774733789</v>
      </c>
      <c r="E117" s="37" t="n">
        <f aca="false">Escenarios!C39</f>
        <v>0.893332461164914</v>
      </c>
    </row>
    <row r="118" customFormat="false" ht="15" hidden="false" customHeight="false" outlineLevel="0" collapsed="false">
      <c r="A118" s="6" t="s">
        <v>174</v>
      </c>
      <c r="B118" s="25" t="n">
        <f aca="false">Escenarios!D33</f>
        <v>-340.708446867415</v>
      </c>
      <c r="C118" s="34" t="n">
        <f aca="false">Escenarios!D31</f>
        <v>0.0517128081309421</v>
      </c>
      <c r="D118" s="34" t="n">
        <f aca="false">Escenarios!D37</f>
        <v>-0.000659537606921579</v>
      </c>
      <c r="E118" s="37" t="n">
        <f aca="false">Escenarios!D39</f>
        <v>0.604444031794327</v>
      </c>
    </row>
    <row r="119" customFormat="false" ht="15" hidden="false" customHeight="false" outlineLevel="0" collapsed="false">
      <c r="A119" s="9" t="s">
        <v>175</v>
      </c>
    </row>
    <row r="121" customFormat="false" ht="15" hidden="false" customHeight="false" outlineLevel="0" collapsed="false">
      <c r="A121" s="3" t="s">
        <v>176</v>
      </c>
      <c r="B121" s="4"/>
      <c r="C121" s="4"/>
      <c r="D121" s="4"/>
      <c r="E121" s="4"/>
      <c r="F121" s="4"/>
      <c r="G121" s="4"/>
      <c r="H121" s="4"/>
      <c r="I121" s="4"/>
      <c r="J121" s="4"/>
      <c r="K121" s="4"/>
      <c r="L121" s="4"/>
    </row>
    <row r="122" customFormat="false" ht="15" hidden="false" customHeight="false" outlineLevel="0" collapsed="false">
      <c r="A122" s="6" t="s">
        <v>177</v>
      </c>
      <c r="B122" s="8" t="n">
        <f aca="false">Quesería!$B$44</f>
        <v>0.65</v>
      </c>
    </row>
    <row r="123" customFormat="false" ht="15" hidden="false" customHeight="false" outlineLevel="0" collapsed="false">
      <c r="A123" s="6" t="s">
        <v>178</v>
      </c>
      <c r="B123" s="8" t="n">
        <f aca="false">Quesería!$B$45</f>
        <v>0.141</v>
      </c>
    </row>
    <row r="124" customFormat="false" ht="15" hidden="false" customHeight="false" outlineLevel="0" collapsed="false">
      <c r="A124" s="6" t="s">
        <v>179</v>
      </c>
      <c r="B124" s="41" t="n">
        <f aca="false">Quesería!$B$46</f>
        <v>7</v>
      </c>
    </row>
    <row r="125" customFormat="false" ht="15" hidden="false" customHeight="false" outlineLevel="0" collapsed="false">
      <c r="A125" s="6" t="s">
        <v>180</v>
      </c>
      <c r="B125" s="8" t="n">
        <f aca="false">Quesería!$B$48</f>
        <v>0</v>
      </c>
    </row>
    <row r="126" customFormat="false" ht="15" hidden="false" customHeight="false" outlineLevel="0" collapsed="false">
      <c r="A126" s="6" t="s">
        <v>181</v>
      </c>
      <c r="B126" s="5" t="s">
        <v>182</v>
      </c>
    </row>
    <row r="127" customFormat="false" ht="15" hidden="false" customHeight="false" outlineLevel="0" collapsed="false">
      <c r="A127" s="6" t="s">
        <v>183</v>
      </c>
      <c r="B127" s="30" t="n">
        <f aca="false">Quesería!C148+Quesería!D148</f>
        <v>270.309241770289</v>
      </c>
    </row>
  </sheetData>
  <mergeCells count="4">
    <mergeCell ref="A7:D7"/>
    <mergeCell ref="E7:H7"/>
    <mergeCell ref="I7:L7"/>
    <mergeCell ref="A26:L2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2" man="true" max="16383" min="0"/>
    <brk id="96"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1"/>
    <col collapsed="false" customWidth="true" hidden="false" outlineLevel="0" max="5" min="5" style="0" width="13"/>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12"/>
    <col collapsed="false" customWidth="true" hidden="false" outlineLevel="0" max="13" min="11" style="0" width="11"/>
  </cols>
  <sheetData>
    <row r="1" customFormat="false" ht="17.35" hidden="false" customHeight="false" outlineLevel="0" collapsed="false">
      <c r="A1" s="42" t="s">
        <v>184</v>
      </c>
    </row>
    <row r="2" customFormat="false" ht="15" hidden="false" customHeight="false" outlineLevel="0" collapsed="false">
      <c r="A2" s="9" t="s">
        <v>185</v>
      </c>
    </row>
    <row r="4" customFormat="false" ht="15" hidden="false" customHeight="false" outlineLevel="0" collapsed="false">
      <c r="A4" s="3" t="s">
        <v>186</v>
      </c>
      <c r="B4" s="4"/>
      <c r="C4" s="4"/>
      <c r="D4" s="4"/>
      <c r="E4" s="4"/>
      <c r="F4" s="4"/>
      <c r="G4" s="4"/>
      <c r="H4" s="4"/>
      <c r="I4" s="4"/>
      <c r="J4" s="4"/>
      <c r="K4" s="4"/>
      <c r="L4" s="4"/>
    </row>
    <row r="5" customFormat="false" ht="23.85" hidden="false" customHeight="false" outlineLevel="0" collapsed="false">
      <c r="A5" s="23" t="s">
        <v>187</v>
      </c>
      <c r="B5" s="24" t="s">
        <v>188</v>
      </c>
      <c r="C5" s="24" t="s">
        <v>189</v>
      </c>
      <c r="D5" s="24" t="s">
        <v>190</v>
      </c>
    </row>
    <row r="6" customFormat="false" ht="15" hidden="false" customHeight="false" outlineLevel="0" collapsed="false">
      <c r="A6" s="43" t="s">
        <v>191</v>
      </c>
      <c r="B6" s="44"/>
      <c r="C6" s="44"/>
      <c r="D6" s="44"/>
    </row>
    <row r="7" customFormat="false" ht="15" hidden="false" customHeight="false" outlineLevel="0" collapsed="false">
      <c r="A7" s="6" t="s">
        <v>192</v>
      </c>
      <c r="B7" s="45" t="n">
        <v>1</v>
      </c>
      <c r="C7" s="9" t="s">
        <v>193</v>
      </c>
      <c r="D7" s="9" t="s">
        <v>194</v>
      </c>
    </row>
    <row r="8" customFormat="false" ht="15" hidden="false" customHeight="false" outlineLevel="0" collapsed="false">
      <c r="A8" s="6" t="s">
        <v>195</v>
      </c>
      <c r="B8" s="46" t="n">
        <v>0.16</v>
      </c>
      <c r="C8" s="9" t="s">
        <v>196</v>
      </c>
      <c r="D8" s="9" t="s">
        <v>197</v>
      </c>
    </row>
    <row r="9" customFormat="false" ht="15" hidden="false" customHeight="false" outlineLevel="0" collapsed="false">
      <c r="A9" s="6" t="s">
        <v>198</v>
      </c>
      <c r="B9" s="47" t="n">
        <f aca="false">$B$44*($B$45+$B$49*$B$51*1.19)*(1-$B$54)+(1-$B$44)*$B$11</f>
        <v>0.1470725</v>
      </c>
      <c r="C9" s="9" t="s">
        <v>196</v>
      </c>
      <c r="D9" s="9" t="s">
        <v>199</v>
      </c>
    </row>
    <row r="10" customFormat="false" ht="15" hidden="false" customHeight="false" outlineLevel="0" collapsed="false">
      <c r="A10" s="6" t="s">
        <v>18</v>
      </c>
      <c r="B10" s="34" t="n">
        <f aca="false">(1+$B$9)/(1+CHOOSE($B$7,Entorno!$M$7,Entorno!$M$8,Entorno!$M$9))-1</f>
        <v>0.0996090543813608</v>
      </c>
      <c r="C10" s="9" t="s">
        <v>196</v>
      </c>
      <c r="D10" s="9" t="s">
        <v>200</v>
      </c>
    </row>
    <row r="11" customFormat="false" ht="15" hidden="false" customHeight="false" outlineLevel="0" collapsed="false">
      <c r="A11" s="6" t="s">
        <v>201</v>
      </c>
      <c r="B11" s="46" t="n">
        <v>0.25</v>
      </c>
      <c r="C11" s="9" t="s">
        <v>196</v>
      </c>
      <c r="D11" s="9" t="s">
        <v>202</v>
      </c>
    </row>
    <row r="12" customFormat="false" ht="15" hidden="false" customHeight="false" outlineLevel="0" collapsed="false">
      <c r="A12" s="6" t="s">
        <v>203</v>
      </c>
      <c r="B12" s="34" t="n">
        <f aca="false">(1+$B$11)/(1+CHOOSE($B$7,Entorno!$M$7,Entorno!$M$8,Entorno!$M$9))-1</f>
        <v>0.198277631079728</v>
      </c>
      <c r="C12" s="9" t="s">
        <v>196</v>
      </c>
      <c r="D12" s="9" t="s">
        <v>204</v>
      </c>
    </row>
    <row r="13" customFormat="false" ht="15" hidden="false" customHeight="false" outlineLevel="0" collapsed="false">
      <c r="A13" s="43" t="s">
        <v>205</v>
      </c>
      <c r="B13" s="44"/>
      <c r="C13" s="44"/>
      <c r="D13" s="44"/>
    </row>
    <row r="14" customFormat="false" ht="15" hidden="false" customHeight="false" outlineLevel="0" collapsed="false">
      <c r="A14" s="6" t="s">
        <v>206</v>
      </c>
      <c r="B14" s="48" t="n">
        <v>9000</v>
      </c>
      <c r="C14" s="9" t="s">
        <v>207</v>
      </c>
      <c r="D14" s="9" t="s">
        <v>208</v>
      </c>
    </row>
    <row r="15" customFormat="false" ht="15" hidden="false" customHeight="false" outlineLevel="0" collapsed="false">
      <c r="A15" s="6" t="s">
        <v>209</v>
      </c>
      <c r="B15" s="48" t="n">
        <v>25000</v>
      </c>
      <c r="C15" s="9" t="s">
        <v>207</v>
      </c>
      <c r="D15" s="9" t="s">
        <v>210</v>
      </c>
    </row>
    <row r="16" customFormat="false" ht="15" hidden="false" customHeight="false" outlineLevel="0" collapsed="false">
      <c r="A16" s="6" t="s">
        <v>211</v>
      </c>
      <c r="B16" s="34" t="n">
        <f aca="false">$B$14/$B$15</f>
        <v>0.36</v>
      </c>
      <c r="C16" s="9" t="s">
        <v>196</v>
      </c>
      <c r="D16" s="9" t="s">
        <v>212</v>
      </c>
    </row>
    <row r="17" customFormat="false" ht="15" hidden="false" customHeight="false" outlineLevel="0" collapsed="false">
      <c r="A17" s="6" t="s">
        <v>213</v>
      </c>
      <c r="B17" s="48" t="n">
        <v>6772</v>
      </c>
      <c r="C17" s="9" t="s">
        <v>214</v>
      </c>
      <c r="D17" s="9" t="s">
        <v>215</v>
      </c>
    </row>
    <row r="18" customFormat="false" ht="15" hidden="false" customHeight="false" outlineLevel="0" collapsed="false">
      <c r="A18" s="6" t="s">
        <v>216</v>
      </c>
      <c r="B18" s="48" t="n">
        <v>30457</v>
      </c>
      <c r="C18" s="9" t="s">
        <v>214</v>
      </c>
      <c r="D18" s="9" t="s">
        <v>210</v>
      </c>
    </row>
    <row r="19" customFormat="false" ht="15" hidden="false" customHeight="false" outlineLevel="0" collapsed="false">
      <c r="A19" s="6" t="s">
        <v>217</v>
      </c>
      <c r="B19" s="34" t="n">
        <f aca="false">$B$17/$B$18</f>
        <v>0.22234625865975</v>
      </c>
      <c r="C19" s="9" t="s">
        <v>196</v>
      </c>
      <c r="D19" s="9" t="s">
        <v>218</v>
      </c>
    </row>
    <row r="20" customFormat="false" ht="15" hidden="false" customHeight="false" outlineLevel="0" collapsed="false">
      <c r="A20" s="6" t="s">
        <v>219</v>
      </c>
      <c r="B20" s="49" t="n">
        <v>0.75</v>
      </c>
      <c r="C20" s="9" t="s">
        <v>220</v>
      </c>
      <c r="D20" s="9" t="s">
        <v>221</v>
      </c>
    </row>
    <row r="21" customFormat="false" ht="15" hidden="false" customHeight="false" outlineLevel="0" collapsed="false">
      <c r="A21" s="6" t="s">
        <v>222</v>
      </c>
      <c r="B21" s="45" t="n">
        <v>8</v>
      </c>
      <c r="C21" s="9" t="s">
        <v>223</v>
      </c>
      <c r="D21" s="9" t="s">
        <v>224</v>
      </c>
    </row>
    <row r="22" customFormat="false" ht="15" hidden="false" customHeight="false" outlineLevel="0" collapsed="false">
      <c r="A22" s="6" t="s">
        <v>225</v>
      </c>
      <c r="B22" s="50" t="n">
        <v>36</v>
      </c>
      <c r="C22" s="9" t="s">
        <v>214</v>
      </c>
      <c r="D22" s="9" t="s">
        <v>226</v>
      </c>
    </row>
    <row r="23" customFormat="false" ht="15" hidden="false" customHeight="false" outlineLevel="0" collapsed="false">
      <c r="A23" s="6" t="s">
        <v>227</v>
      </c>
      <c r="B23" s="45" t="n">
        <v>3</v>
      </c>
      <c r="C23" s="9" t="s">
        <v>223</v>
      </c>
      <c r="D23" s="9" t="s">
        <v>228</v>
      </c>
    </row>
    <row r="24" customFormat="false" ht="15" hidden="false" customHeight="false" outlineLevel="0" collapsed="false">
      <c r="A24" s="6" t="s">
        <v>229</v>
      </c>
      <c r="B24" s="46" t="n">
        <v>0.3</v>
      </c>
      <c r="C24" s="9" t="s">
        <v>230</v>
      </c>
      <c r="D24" s="9" t="s">
        <v>231</v>
      </c>
    </row>
    <row r="25" customFormat="false" ht="15" hidden="false" customHeight="false" outlineLevel="0" collapsed="false">
      <c r="A25" s="43" t="s">
        <v>232</v>
      </c>
      <c r="B25" s="44"/>
      <c r="C25" s="44"/>
      <c r="D25" s="44"/>
    </row>
    <row r="26" customFormat="false" ht="15" hidden="false" customHeight="false" outlineLevel="0" collapsed="false">
      <c r="A26" s="6" t="s">
        <v>233</v>
      </c>
      <c r="B26" s="46" t="n">
        <v>0.05</v>
      </c>
      <c r="C26" s="9" t="s">
        <v>234</v>
      </c>
      <c r="D26" s="9" t="s">
        <v>235</v>
      </c>
    </row>
    <row r="27" customFormat="false" ht="15" hidden="false" customHeight="false" outlineLevel="0" collapsed="false">
      <c r="A27" s="6" t="s">
        <v>236</v>
      </c>
      <c r="B27" s="46" t="n">
        <v>0.1</v>
      </c>
      <c r="C27" s="9" t="s">
        <v>234</v>
      </c>
      <c r="D27" s="9" t="s">
        <v>237</v>
      </c>
    </row>
    <row r="28" customFormat="false" ht="15" hidden="false" customHeight="false" outlineLevel="0" collapsed="false">
      <c r="A28" s="6" t="s">
        <v>238</v>
      </c>
      <c r="B28" s="46" t="n">
        <v>0.15</v>
      </c>
      <c r="C28" s="9" t="s">
        <v>234</v>
      </c>
      <c r="D28" s="9" t="s">
        <v>239</v>
      </c>
    </row>
    <row r="29" customFormat="false" ht="15" hidden="false" customHeight="false" outlineLevel="0" collapsed="false">
      <c r="A29" s="6" t="s">
        <v>240</v>
      </c>
      <c r="B29" s="46" t="n">
        <v>0.25</v>
      </c>
      <c r="C29" s="9" t="s">
        <v>234</v>
      </c>
      <c r="D29" s="9" t="s">
        <v>241</v>
      </c>
    </row>
    <row r="30" customFormat="false" ht="15" hidden="false" customHeight="false" outlineLevel="0" collapsed="false">
      <c r="A30" s="6" t="s">
        <v>242</v>
      </c>
      <c r="B30" s="51" t="n">
        <v>10</v>
      </c>
      <c r="C30" s="9" t="s">
        <v>243</v>
      </c>
      <c r="D30" s="9" t="s">
        <v>244</v>
      </c>
    </row>
    <row r="31" customFormat="false" ht="15" hidden="false" customHeight="false" outlineLevel="0" collapsed="false">
      <c r="A31" s="6" t="s">
        <v>245</v>
      </c>
      <c r="B31" s="46" t="n">
        <v>0.03</v>
      </c>
      <c r="C31" s="9" t="s">
        <v>246</v>
      </c>
      <c r="D31" s="9" t="s">
        <v>247</v>
      </c>
    </row>
    <row r="32" customFormat="false" ht="15" hidden="false" customHeight="false" outlineLevel="0" collapsed="false">
      <c r="A32" s="6" t="s">
        <v>248</v>
      </c>
      <c r="B32" s="50" t="n">
        <v>13.6</v>
      </c>
      <c r="C32" s="9" t="s">
        <v>214</v>
      </c>
      <c r="D32" s="9" t="s">
        <v>249</v>
      </c>
    </row>
    <row r="33" customFormat="false" ht="15" hidden="false" customHeight="false" outlineLevel="0" collapsed="false">
      <c r="A33" s="6" t="s">
        <v>250</v>
      </c>
      <c r="B33" s="52" t="n">
        <v>0.0025</v>
      </c>
      <c r="C33" s="9" t="s">
        <v>246</v>
      </c>
      <c r="D33" s="9" t="s">
        <v>251</v>
      </c>
    </row>
    <row r="34" customFormat="false" ht="15" hidden="false" customHeight="false" outlineLevel="0" collapsed="false">
      <c r="A34" s="6" t="s">
        <v>252</v>
      </c>
      <c r="B34" s="46" t="n">
        <v>0.4</v>
      </c>
      <c r="C34" s="9" t="s">
        <v>253</v>
      </c>
      <c r="D34" s="9" t="s">
        <v>254</v>
      </c>
    </row>
    <row r="35" customFormat="false" ht="15" hidden="false" customHeight="false" outlineLevel="0" collapsed="false">
      <c r="A35" s="6" t="s">
        <v>255</v>
      </c>
      <c r="B35" s="46" t="n">
        <v>0.1</v>
      </c>
      <c r="C35" s="9" t="s">
        <v>256</v>
      </c>
      <c r="D35" s="9" t="s">
        <v>257</v>
      </c>
    </row>
    <row r="36" customFormat="false" ht="15" hidden="false" customHeight="false" outlineLevel="0" collapsed="false">
      <c r="A36" s="6" t="s">
        <v>258</v>
      </c>
      <c r="B36" s="46" t="n">
        <v>0.1</v>
      </c>
      <c r="C36" s="9" t="s">
        <v>259</v>
      </c>
      <c r="D36" s="9" t="s">
        <v>260</v>
      </c>
    </row>
    <row r="37" customFormat="false" ht="15" hidden="false" customHeight="false" outlineLevel="0" collapsed="false">
      <c r="A37" s="43" t="s">
        <v>261</v>
      </c>
      <c r="B37" s="44"/>
      <c r="C37" s="44"/>
      <c r="D37" s="44"/>
    </row>
    <row r="38" customFormat="false" ht="15" hidden="false" customHeight="false" outlineLevel="0" collapsed="false">
      <c r="A38" s="6" t="s">
        <v>262</v>
      </c>
      <c r="B38" s="51" t="n">
        <v>30</v>
      </c>
      <c r="C38" s="9" t="s">
        <v>263</v>
      </c>
      <c r="D38" s="9" t="s">
        <v>264</v>
      </c>
    </row>
    <row r="39" customFormat="false" ht="15" hidden="false" customHeight="false" outlineLevel="0" collapsed="false">
      <c r="A39" s="6" t="s">
        <v>265</v>
      </c>
      <c r="B39" s="51" t="n">
        <v>5</v>
      </c>
      <c r="C39" s="9" t="s">
        <v>263</v>
      </c>
      <c r="D39" s="9" t="s">
        <v>266</v>
      </c>
    </row>
    <row r="40" customFormat="false" ht="15" hidden="false" customHeight="false" outlineLevel="0" collapsed="false">
      <c r="A40" s="6" t="s">
        <v>267</v>
      </c>
      <c r="B40" s="46" t="n">
        <v>0.82</v>
      </c>
      <c r="C40" s="9" t="s">
        <v>196</v>
      </c>
      <c r="D40" s="9" t="s">
        <v>268</v>
      </c>
    </row>
    <row r="41" customFormat="false" ht="15" hidden="false" customHeight="false" outlineLevel="0" collapsed="false">
      <c r="A41" s="6" t="s">
        <v>269</v>
      </c>
      <c r="B41" s="46" t="n">
        <v>0.688</v>
      </c>
      <c r="C41" s="9" t="s">
        <v>196</v>
      </c>
      <c r="D41" s="9" t="s">
        <v>270</v>
      </c>
    </row>
    <row r="42" customFormat="false" ht="15" hidden="false" customHeight="false" outlineLevel="0" collapsed="false">
      <c r="A42" s="6" t="s">
        <v>271</v>
      </c>
      <c r="B42" s="51" t="n">
        <v>22</v>
      </c>
      <c r="C42" s="9" t="s">
        <v>263</v>
      </c>
      <c r="D42" s="9" t="s">
        <v>272</v>
      </c>
    </row>
    <row r="43" customFormat="false" ht="15" hidden="false" customHeight="false" outlineLevel="0" collapsed="false">
      <c r="A43" s="43" t="s">
        <v>176</v>
      </c>
      <c r="B43" s="44"/>
      <c r="C43" s="44"/>
      <c r="D43" s="44"/>
    </row>
    <row r="44" customFormat="false" ht="15" hidden="false" customHeight="false" outlineLevel="0" collapsed="false">
      <c r="A44" s="6" t="s">
        <v>273</v>
      </c>
      <c r="B44" s="46" t="n">
        <v>0.65</v>
      </c>
      <c r="C44" s="9" t="s">
        <v>196</v>
      </c>
      <c r="D44" s="9" t="s">
        <v>274</v>
      </c>
    </row>
    <row r="45" customFormat="false" ht="15" hidden="false" customHeight="false" outlineLevel="0" collapsed="false">
      <c r="A45" s="6" t="s">
        <v>275</v>
      </c>
      <c r="B45" s="49" t="n">
        <v>0.141</v>
      </c>
      <c r="C45" s="9" t="s">
        <v>196</v>
      </c>
      <c r="D45" s="9" t="s">
        <v>276</v>
      </c>
    </row>
    <row r="46" customFormat="false" ht="15" hidden="false" customHeight="false" outlineLevel="0" collapsed="false">
      <c r="A46" s="6" t="s">
        <v>277</v>
      </c>
      <c r="B46" s="51" t="n">
        <v>7</v>
      </c>
      <c r="C46" s="9" t="s">
        <v>243</v>
      </c>
      <c r="D46" s="9" t="s">
        <v>278</v>
      </c>
    </row>
    <row r="47" customFormat="false" ht="15" hidden="false" customHeight="false" outlineLevel="0" collapsed="false">
      <c r="A47" s="6" t="s">
        <v>279</v>
      </c>
      <c r="B47" s="51" t="n">
        <v>1</v>
      </c>
      <c r="C47" s="9" t="s">
        <v>243</v>
      </c>
      <c r="D47" s="9" t="s">
        <v>280</v>
      </c>
    </row>
    <row r="48" customFormat="false" ht="15" hidden="false" customHeight="false" outlineLevel="0" collapsed="false">
      <c r="A48" s="6" t="s">
        <v>281</v>
      </c>
      <c r="B48" s="46" t="n">
        <v>0</v>
      </c>
      <c r="C48" s="9" t="s">
        <v>196</v>
      </c>
      <c r="D48" s="9" t="s">
        <v>282</v>
      </c>
    </row>
    <row r="49" customFormat="false" ht="15" hidden="false" customHeight="false" outlineLevel="0" collapsed="false">
      <c r="A49" s="6" t="s">
        <v>283</v>
      </c>
      <c r="B49" s="45" t="n">
        <v>0</v>
      </c>
      <c r="C49" s="9" t="s">
        <v>284</v>
      </c>
      <c r="D49" s="9" t="s">
        <v>285</v>
      </c>
    </row>
    <row r="50" customFormat="false" ht="15" hidden="false" customHeight="false" outlineLevel="0" collapsed="false">
      <c r="A50" s="6" t="s">
        <v>286</v>
      </c>
      <c r="B50" s="50" t="n">
        <v>4</v>
      </c>
      <c r="C50" s="9" t="s">
        <v>130</v>
      </c>
      <c r="D50" s="9" t="s">
        <v>287</v>
      </c>
    </row>
    <row r="51" customFormat="false" ht="15" hidden="false" customHeight="false" outlineLevel="0" collapsed="false">
      <c r="A51" s="6" t="s">
        <v>288</v>
      </c>
      <c r="B51" s="52" t="n">
        <v>0.0199</v>
      </c>
      <c r="C51" s="9" t="s">
        <v>289</v>
      </c>
      <c r="D51" s="9" t="s">
        <v>290</v>
      </c>
    </row>
    <row r="52" customFormat="false" ht="15" hidden="false" customHeight="false" outlineLevel="0" collapsed="false">
      <c r="A52" s="6" t="s">
        <v>291</v>
      </c>
      <c r="B52" s="52" t="n">
        <v>0.004</v>
      </c>
      <c r="C52" s="9" t="s">
        <v>292</v>
      </c>
      <c r="D52" s="9" t="s">
        <v>293</v>
      </c>
    </row>
    <row r="53" customFormat="false" ht="15" hidden="false" customHeight="false" outlineLevel="0" collapsed="false">
      <c r="A53" s="43" t="s">
        <v>294</v>
      </c>
      <c r="B53" s="44"/>
      <c r="C53" s="44"/>
      <c r="D53" s="44"/>
    </row>
    <row r="54" customFormat="false" ht="15" hidden="false" customHeight="false" outlineLevel="0" collapsed="false">
      <c r="A54" s="6" t="s">
        <v>295</v>
      </c>
      <c r="B54" s="46" t="n">
        <v>0.35</v>
      </c>
      <c r="C54" s="9" t="s">
        <v>196</v>
      </c>
      <c r="D54" s="9" t="s">
        <v>296</v>
      </c>
    </row>
    <row r="55" customFormat="false" ht="15" hidden="false" customHeight="false" outlineLevel="0" collapsed="false">
      <c r="A55" s="6" t="s">
        <v>297</v>
      </c>
      <c r="B55" s="46" t="n">
        <v>0.19</v>
      </c>
      <c r="C55" s="9" t="s">
        <v>196</v>
      </c>
      <c r="D55" s="9" t="s">
        <v>298</v>
      </c>
    </row>
    <row r="56" customFormat="false" ht="15" hidden="false" customHeight="false" outlineLevel="0" collapsed="false">
      <c r="A56" s="6" t="s">
        <v>299</v>
      </c>
      <c r="B56" s="46" t="n">
        <v>0.25</v>
      </c>
      <c r="C56" s="9" t="s">
        <v>300</v>
      </c>
      <c r="D56" s="9" t="s">
        <v>301</v>
      </c>
    </row>
    <row r="57" customFormat="false" ht="15" hidden="false" customHeight="false" outlineLevel="0" collapsed="false">
      <c r="A57" s="6" t="s">
        <v>302</v>
      </c>
      <c r="B57" s="46" t="n">
        <v>0.25</v>
      </c>
      <c r="C57" s="9" t="s">
        <v>303</v>
      </c>
      <c r="D57" s="9" t="s">
        <v>304</v>
      </c>
    </row>
    <row r="58" customFormat="false" ht="15" hidden="false" customHeight="false" outlineLevel="0" collapsed="false">
      <c r="A58" s="6" t="s">
        <v>305</v>
      </c>
      <c r="B58" s="48" t="n">
        <v>334</v>
      </c>
      <c r="C58" s="9" t="s">
        <v>214</v>
      </c>
      <c r="D58" s="9" t="s">
        <v>306</v>
      </c>
    </row>
    <row r="59" customFormat="false" ht="15" hidden="false" customHeight="false" outlineLevel="0" collapsed="false">
      <c r="A59" s="6" t="s">
        <v>307</v>
      </c>
      <c r="B59" s="45" t="n">
        <v>1</v>
      </c>
      <c r="C59" s="9" t="s">
        <v>284</v>
      </c>
      <c r="D59" s="9" t="s">
        <v>308</v>
      </c>
    </row>
    <row r="60" customFormat="false" ht="15" hidden="false" customHeight="false" outlineLevel="0" collapsed="false">
      <c r="A60" s="6" t="s">
        <v>309</v>
      </c>
      <c r="B60" s="49" t="n">
        <v>0.5</v>
      </c>
      <c r="C60" s="9" t="s">
        <v>300</v>
      </c>
      <c r="D60" s="9" t="s">
        <v>310</v>
      </c>
    </row>
    <row r="61" customFormat="false" ht="15" hidden="false" customHeight="false" outlineLevel="0" collapsed="false">
      <c r="A61" s="43" t="s">
        <v>311</v>
      </c>
      <c r="B61" s="44"/>
      <c r="C61" s="44"/>
      <c r="D61" s="44"/>
    </row>
    <row r="62" customFormat="false" ht="15" hidden="false" customHeight="false" outlineLevel="0" collapsed="false">
      <c r="A62" s="6" t="s">
        <v>312</v>
      </c>
      <c r="B62" s="46" t="n">
        <v>1</v>
      </c>
      <c r="C62" s="9" t="s">
        <v>313</v>
      </c>
      <c r="D62" s="9" t="s">
        <v>314</v>
      </c>
    </row>
    <row r="63" customFormat="false" ht="15" hidden="false" customHeight="false" outlineLevel="0" collapsed="false">
      <c r="A63" s="6" t="s">
        <v>315</v>
      </c>
      <c r="B63" s="46" t="n">
        <v>1</v>
      </c>
      <c r="C63" s="9" t="s">
        <v>313</v>
      </c>
      <c r="D63" s="9" t="s">
        <v>316</v>
      </c>
    </row>
    <row r="64" customFormat="false" ht="15" hidden="false" customHeight="false" outlineLevel="0" collapsed="false">
      <c r="A64" s="6" t="s">
        <v>317</v>
      </c>
      <c r="B64" s="46" t="n">
        <v>0.75</v>
      </c>
      <c r="C64" s="9" t="s">
        <v>313</v>
      </c>
      <c r="D64" s="9" t="s">
        <v>318</v>
      </c>
    </row>
    <row r="65" customFormat="false" ht="15" hidden="false" customHeight="false" outlineLevel="0" collapsed="false">
      <c r="A65" s="6" t="s">
        <v>319</v>
      </c>
      <c r="B65" s="46" t="n">
        <v>0.5</v>
      </c>
      <c r="C65" s="9" t="s">
        <v>313</v>
      </c>
      <c r="D65" s="9" t="s">
        <v>320</v>
      </c>
    </row>
    <row r="66" customFormat="false" ht="15" hidden="false" customHeight="false" outlineLevel="0" collapsed="false">
      <c r="A66" s="6" t="s">
        <v>321</v>
      </c>
      <c r="B66" s="46" t="n">
        <v>0</v>
      </c>
      <c r="C66" s="9" t="s">
        <v>313</v>
      </c>
      <c r="D66" s="9" t="s">
        <v>322</v>
      </c>
    </row>
    <row r="68" customFormat="false" ht="15" hidden="false" customHeight="false" outlineLevel="0" collapsed="false">
      <c r="A68" s="3" t="s">
        <v>323</v>
      </c>
      <c r="B68" s="4"/>
      <c r="C68" s="4"/>
      <c r="D68" s="4"/>
      <c r="E68" s="4"/>
      <c r="F68" s="4"/>
      <c r="G68" s="4"/>
      <c r="H68" s="4"/>
      <c r="I68" s="4"/>
      <c r="J68" s="4"/>
      <c r="K68" s="4"/>
      <c r="L68" s="4"/>
    </row>
    <row r="69" customFormat="false" ht="30" hidden="false" customHeight="true" outlineLevel="0" collapsed="false">
      <c r="A69" s="23" t="s">
        <v>324</v>
      </c>
      <c r="B69" s="24" t="s">
        <v>110</v>
      </c>
      <c r="C69" s="24" t="s">
        <v>325</v>
      </c>
      <c r="D69" s="24" t="s">
        <v>326</v>
      </c>
      <c r="E69" s="24" t="s">
        <v>327</v>
      </c>
      <c r="F69" s="24" t="s">
        <v>43</v>
      </c>
      <c r="G69" s="24" t="s">
        <v>328</v>
      </c>
      <c r="H69" s="24" t="s">
        <v>329</v>
      </c>
      <c r="I69" s="24" t="s">
        <v>330</v>
      </c>
      <c r="J69" s="24" t="s">
        <v>331</v>
      </c>
      <c r="K69" s="24" t="s">
        <v>332</v>
      </c>
    </row>
    <row r="70" customFormat="false" ht="15" hidden="false" customHeight="false" outlineLevel="0" collapsed="false">
      <c r="A70" s="6" t="s">
        <v>333</v>
      </c>
      <c r="B70" s="53" t="n">
        <v>0</v>
      </c>
      <c r="C70" s="53" t="n">
        <v>0</v>
      </c>
      <c r="D70" s="25" t="n">
        <f aca="false">BOM!$F$72</f>
        <v>56.872527971</v>
      </c>
      <c r="E70" s="34" t="n">
        <f aca="false">BOM!$H$72</f>
        <v>0.36</v>
      </c>
      <c r="F70" s="25" t="n">
        <f aca="false">D70*E70</f>
        <v>20.47411006956</v>
      </c>
      <c r="G70" s="53" t="n">
        <v>0</v>
      </c>
      <c r="H70" s="33" t="n">
        <f aca="false">ROUND(BOM!$G$72,0)</f>
        <v>4</v>
      </c>
      <c r="I70" s="34" t="n">
        <f aca="false">BOM!$J$72</f>
        <v>0.21827576485487</v>
      </c>
      <c r="J70" s="53" t="n">
        <v>0</v>
      </c>
      <c r="K70" s="53" t="n">
        <v>0</v>
      </c>
    </row>
    <row r="71" customFormat="false" ht="15" hidden="false" customHeight="false" outlineLevel="0" collapsed="false">
      <c r="A71" s="6" t="s">
        <v>334</v>
      </c>
      <c r="B71" s="53" t="n">
        <v>1</v>
      </c>
      <c r="C71" s="53" t="n">
        <v>0</v>
      </c>
      <c r="D71" s="25" t="n">
        <f aca="false">BOM!$F$73</f>
        <v>267.509653045577</v>
      </c>
      <c r="E71" s="34" t="n">
        <f aca="false">BOM!$H$73</f>
        <v>1</v>
      </c>
      <c r="F71" s="25" t="n">
        <f aca="false">D71*E71</f>
        <v>267.509653045577</v>
      </c>
      <c r="G71" s="53" t="n">
        <v>1</v>
      </c>
      <c r="H71" s="33" t="n">
        <f aca="false">ROUND(BOM!$G$73,0)</f>
        <v>3</v>
      </c>
      <c r="I71" s="34" t="n">
        <f aca="false">BOM!$J$73</f>
        <v>0.182293239181008</v>
      </c>
      <c r="J71" s="53" t="n">
        <v>10</v>
      </c>
      <c r="K71" s="53" t="n">
        <v>1</v>
      </c>
    </row>
    <row r="72" customFormat="false" ht="15" hidden="false" customHeight="false" outlineLevel="0" collapsed="false">
      <c r="A72" s="6" t="s">
        <v>335</v>
      </c>
      <c r="B72" s="53" t="n">
        <v>1</v>
      </c>
      <c r="C72" s="53" t="n">
        <v>0</v>
      </c>
      <c r="D72" s="25" t="n">
        <f aca="false">BOM!$F$74</f>
        <v>47.746860805791</v>
      </c>
      <c r="E72" s="34" t="n">
        <f aca="false">BOM!$H$74</f>
        <v>1</v>
      </c>
      <c r="F72" s="25" t="n">
        <f aca="false">D72*E72</f>
        <v>47.746860805791</v>
      </c>
      <c r="G72" s="53" t="n">
        <v>1</v>
      </c>
      <c r="H72" s="33" t="n">
        <f aca="false">ROUND(BOM!$G$74,0)</f>
        <v>2</v>
      </c>
      <c r="I72" s="34" t="n">
        <f aca="false">BOM!$J$74</f>
        <v>0.135038542396636</v>
      </c>
      <c r="J72" s="53" t="n">
        <v>10</v>
      </c>
      <c r="K72" s="53" t="n">
        <v>0</v>
      </c>
    </row>
    <row r="73" customFormat="false" ht="15" hidden="false" customHeight="false" outlineLevel="0" collapsed="false">
      <c r="A73" s="6" t="s">
        <v>336</v>
      </c>
      <c r="B73" s="53" t="n">
        <v>1</v>
      </c>
      <c r="C73" s="53" t="n">
        <v>0</v>
      </c>
      <c r="D73" s="25" t="n">
        <f aca="false">BOM!$F$75</f>
        <v>33.1788639</v>
      </c>
      <c r="E73" s="34" t="n">
        <f aca="false">BOM!$H$75</f>
        <v>1</v>
      </c>
      <c r="F73" s="25" t="n">
        <f aca="false">D73*E73</f>
        <v>33.1788639</v>
      </c>
      <c r="G73" s="53" t="n">
        <v>1</v>
      </c>
      <c r="H73" s="33" t="n">
        <f aca="false">ROUND(BOM!$G$75,0)</f>
        <v>2</v>
      </c>
      <c r="I73" s="34" t="n">
        <f aca="false">BOM!$J$75</f>
        <v>0.1</v>
      </c>
      <c r="J73" s="53" t="n">
        <v>10</v>
      </c>
      <c r="K73" s="53" t="n">
        <v>0</v>
      </c>
    </row>
    <row r="74" customFormat="false" ht="15" hidden="false" customHeight="false" outlineLevel="0" collapsed="false">
      <c r="A74" s="6" t="s">
        <v>337</v>
      </c>
      <c r="B74" s="53" t="n">
        <v>1</v>
      </c>
      <c r="C74" s="53" t="n">
        <v>0</v>
      </c>
      <c r="D74" s="25" t="n">
        <f aca="false">BOM!$F$76</f>
        <v>129.98093385</v>
      </c>
      <c r="E74" s="34" t="n">
        <f aca="false">BOM!$H$76</f>
        <v>0.36</v>
      </c>
      <c r="F74" s="25" t="n">
        <f aca="false">D74*E74</f>
        <v>46.793136186</v>
      </c>
      <c r="G74" s="53" t="n">
        <v>1</v>
      </c>
      <c r="H74" s="33" t="n">
        <f aca="false">ROUND(BOM!$G$76,0)</f>
        <v>4</v>
      </c>
      <c r="I74" s="34" t="n">
        <f aca="false">BOM!$J$76</f>
        <v>0.25</v>
      </c>
      <c r="J74" s="53" t="n">
        <v>10</v>
      </c>
      <c r="K74" s="53" t="n">
        <v>0</v>
      </c>
    </row>
    <row r="75" customFormat="false" ht="15" hidden="false" customHeight="false" outlineLevel="0" collapsed="false">
      <c r="A75" s="6" t="s">
        <v>338</v>
      </c>
      <c r="B75" s="53" t="n">
        <v>1</v>
      </c>
      <c r="C75" s="53" t="n">
        <v>0</v>
      </c>
      <c r="D75" s="25" t="n">
        <f aca="false">BOM!$F$77</f>
        <v>130.792130937844</v>
      </c>
      <c r="E75" s="34" t="n">
        <f aca="false">BOM!$H$77</f>
        <v>0.524978396481776</v>
      </c>
      <c r="F75" s="25" t="n">
        <f aca="false">D75*E75</f>
        <v>68.6630431721838</v>
      </c>
      <c r="G75" s="53" t="n">
        <v>1</v>
      </c>
      <c r="H75" s="33" t="n">
        <f aca="false">ROUND(BOM!$G$77,0)</f>
        <v>3</v>
      </c>
      <c r="I75" s="34" t="n">
        <f aca="false">BOM!$J$77</f>
        <v>0.149754006701615</v>
      </c>
      <c r="J75" s="53" t="n">
        <v>5</v>
      </c>
      <c r="K75" s="53" t="n">
        <v>1</v>
      </c>
    </row>
    <row r="76" customFormat="false" ht="15" hidden="false" customHeight="false" outlineLevel="0" collapsed="false">
      <c r="A76" s="6" t="s">
        <v>339</v>
      </c>
      <c r="B76" s="53" t="n">
        <v>1</v>
      </c>
      <c r="C76" s="53" t="n">
        <v>0</v>
      </c>
      <c r="D76" s="25" t="n">
        <f aca="false">IntegraMotion!$C$149</f>
        <v>162.405063246097</v>
      </c>
      <c r="E76" s="46" t="n">
        <v>1</v>
      </c>
      <c r="F76" s="25" t="n">
        <f aca="false">D76*E76</f>
        <v>162.405063246097</v>
      </c>
      <c r="G76" s="53" t="n">
        <v>0</v>
      </c>
      <c r="H76" s="53" t="n">
        <v>1</v>
      </c>
      <c r="I76" s="34" t="n">
        <f aca="false">CHOOSE(H76,$B$26,$B$27,$B$28,$B$29)</f>
        <v>0.05</v>
      </c>
      <c r="J76" s="53" t="n">
        <v>10</v>
      </c>
      <c r="K76" s="53" t="n">
        <v>1</v>
      </c>
    </row>
    <row r="77" customFormat="false" ht="15" hidden="false" customHeight="false" outlineLevel="0" collapsed="false">
      <c r="A77" s="6" t="s">
        <v>340</v>
      </c>
      <c r="B77" s="53" t="n">
        <v>1</v>
      </c>
      <c r="C77" s="53" t="n">
        <v>0</v>
      </c>
      <c r="D77" s="25" t="n">
        <f aca="false">IntegraMotion!$B$149</f>
        <v>37.1472181651973</v>
      </c>
      <c r="E77" s="46" t="n">
        <v>1</v>
      </c>
      <c r="F77" s="25" t="n">
        <f aca="false">D77*E77</f>
        <v>37.1472181651973</v>
      </c>
      <c r="G77" s="53" t="n">
        <v>0</v>
      </c>
      <c r="H77" s="53" t="n">
        <v>1</v>
      </c>
      <c r="I77" s="34" t="n">
        <f aca="false">CHOOSE(H77,$B$26,$B$27,$B$28,$B$29)</f>
        <v>0.05</v>
      </c>
      <c r="J77" s="53" t="n">
        <v>0</v>
      </c>
      <c r="K77" s="53" t="n">
        <v>0</v>
      </c>
    </row>
    <row r="78" customFormat="false" ht="15" hidden="false" customHeight="false" outlineLevel="0" collapsed="false">
      <c r="A78" s="6" t="s">
        <v>341</v>
      </c>
      <c r="B78" s="53" t="n">
        <v>1</v>
      </c>
      <c r="C78" s="53" t="n">
        <v>0</v>
      </c>
      <c r="D78" s="25" t="n">
        <f aca="false">(IntegraMotion!$D$149+IntegraMotion!$E$149)</f>
        <v>23.8411659548278</v>
      </c>
      <c r="E78" s="46" t="n">
        <v>1</v>
      </c>
      <c r="F78" s="25" t="n">
        <f aca="false">D78*E78</f>
        <v>23.8411659548278</v>
      </c>
      <c r="G78" s="53" t="n">
        <v>0</v>
      </c>
      <c r="H78" s="53" t="n">
        <v>1</v>
      </c>
      <c r="I78" s="34" t="n">
        <f aca="false">CHOOSE(H78,$B$26,$B$27,$B$28,$B$29)</f>
        <v>0.05</v>
      </c>
      <c r="J78" s="53" t="n">
        <v>0</v>
      </c>
      <c r="K78" s="53" t="n">
        <v>0</v>
      </c>
    </row>
    <row r="79" customFormat="false" ht="15" hidden="false" customHeight="false" outlineLevel="0" collapsed="false">
      <c r="A79" s="6" t="s">
        <v>342</v>
      </c>
      <c r="B79" s="53" t="n">
        <v>1</v>
      </c>
      <c r="C79" s="53" t="n">
        <v>0</v>
      </c>
      <c r="D79" s="25" t="n">
        <f aca="false">IntegraMotion!$D$223*Entorno!$B$14</f>
        <v>66.5627110152616</v>
      </c>
      <c r="E79" s="46" t="n">
        <v>1</v>
      </c>
      <c r="F79" s="25" t="n">
        <f aca="false">D79*E79</f>
        <v>66.5627110152616</v>
      </c>
      <c r="G79" s="53" t="n">
        <v>0</v>
      </c>
      <c r="H79" s="53" t="n">
        <v>1</v>
      </c>
      <c r="I79" s="34" t="n">
        <f aca="false">CHOOSE(H79,$B$26,$B$27,$B$28,$B$29)</f>
        <v>0.05</v>
      </c>
      <c r="J79" s="53" t="n">
        <v>10</v>
      </c>
      <c r="K79" s="53" t="n">
        <v>1</v>
      </c>
    </row>
    <row r="80" customFormat="false" ht="15" hidden="false" customHeight="false" outlineLevel="0" collapsed="false">
      <c r="A80" s="6" t="s">
        <v>343</v>
      </c>
      <c r="B80" s="53" t="n">
        <v>1</v>
      </c>
      <c r="C80" s="53" t="n">
        <v>0</v>
      </c>
      <c r="D80" s="50" t="n">
        <v>25</v>
      </c>
      <c r="E80" s="46" t="n">
        <v>1</v>
      </c>
      <c r="F80" s="25" t="n">
        <f aca="false">D80*E80</f>
        <v>25</v>
      </c>
      <c r="G80" s="53" t="n">
        <v>0</v>
      </c>
      <c r="H80" s="53" t="n">
        <v>4</v>
      </c>
      <c r="I80" s="34" t="n">
        <f aca="false">CHOOSE(H80,$B$26,$B$27,$B$28,$B$29)</f>
        <v>0.25</v>
      </c>
      <c r="J80" s="53" t="n">
        <v>0</v>
      </c>
      <c r="K80" s="53" t="n">
        <v>0</v>
      </c>
    </row>
    <row r="81" customFormat="false" ht="15" hidden="false" customHeight="false" outlineLevel="0" collapsed="false">
      <c r="A81" s="6" t="s">
        <v>344</v>
      </c>
      <c r="B81" s="53" t="n">
        <v>1</v>
      </c>
      <c r="C81" s="53" t="n">
        <v>0</v>
      </c>
      <c r="D81" s="25" t="n">
        <f aca="false">20/3</f>
        <v>6.66666666666667</v>
      </c>
      <c r="E81" s="46" t="n">
        <v>1</v>
      </c>
      <c r="F81" s="25" t="n">
        <f aca="false">D81*E81</f>
        <v>6.66666666666667</v>
      </c>
      <c r="G81" s="53" t="n">
        <v>0</v>
      </c>
      <c r="H81" s="53" t="n">
        <v>1</v>
      </c>
      <c r="I81" s="34" t="n">
        <f aca="false">CHOOSE(H81,$B$26,$B$27,$B$28,$B$29)</f>
        <v>0.05</v>
      </c>
      <c r="J81" s="53" t="n">
        <v>0</v>
      </c>
      <c r="K81" s="53" t="n">
        <v>0</v>
      </c>
    </row>
    <row r="82" customFormat="false" ht="15" hidden="false" customHeight="false" outlineLevel="0" collapsed="false">
      <c r="A82" s="6" t="s">
        <v>345</v>
      </c>
      <c r="B82" s="53" t="n">
        <v>1</v>
      </c>
      <c r="C82" s="53" t="n">
        <v>0</v>
      </c>
      <c r="D82" s="50" t="n">
        <v>15</v>
      </c>
      <c r="E82" s="46" t="n">
        <v>1</v>
      </c>
      <c r="F82" s="25" t="n">
        <f aca="false">D82*E82</f>
        <v>15</v>
      </c>
      <c r="G82" s="53" t="n">
        <v>0</v>
      </c>
      <c r="H82" s="53" t="n">
        <v>4</v>
      </c>
      <c r="I82" s="34" t="n">
        <f aca="false">CHOOSE(H82,$B$26,$B$27,$B$28,$B$29)</f>
        <v>0.25</v>
      </c>
      <c r="J82" s="53" t="n">
        <v>0</v>
      </c>
      <c r="K82" s="53" t="n">
        <v>1</v>
      </c>
    </row>
    <row r="83" customFormat="false" ht="15" hidden="false" customHeight="false" outlineLevel="0" collapsed="false">
      <c r="A83" s="6" t="s">
        <v>346</v>
      </c>
      <c r="B83" s="53" t="n">
        <v>1</v>
      </c>
      <c r="C83" s="53" t="n">
        <v>0</v>
      </c>
      <c r="D83" s="25" t="n">
        <f aca="false">SUMPRODUCT(F70:F82,I70:I82)</f>
        <v>109.811747204514</v>
      </c>
      <c r="E83" s="46" t="n">
        <v>1</v>
      </c>
      <c r="F83" s="25" t="n">
        <f aca="false">D83*E83</f>
        <v>109.811747204514</v>
      </c>
      <c r="G83" s="53" t="n">
        <v>0</v>
      </c>
      <c r="K83" s="53" t="n">
        <v>0</v>
      </c>
    </row>
    <row r="84" customFormat="false" ht="15" hidden="false" customHeight="false" outlineLevel="0" collapsed="false">
      <c r="A84" s="6" t="s">
        <v>347</v>
      </c>
      <c r="B84" s="53" t="n">
        <v>2</v>
      </c>
      <c r="C84" s="53" t="n">
        <v>1</v>
      </c>
      <c r="D84" s="25" t="n">
        <f aca="false">BOM!$F$78</f>
        <v>322.6</v>
      </c>
      <c r="E84" s="34" t="n">
        <f aca="false">BOM!$H$78</f>
        <v>1</v>
      </c>
      <c r="F84" s="25" t="n">
        <f aca="false">D84*E84</f>
        <v>322.6</v>
      </c>
      <c r="G84" s="53" t="n">
        <v>1</v>
      </c>
      <c r="H84" s="33" t="n">
        <f aca="false">ROUND(BOM!$G$78,0)</f>
        <v>3</v>
      </c>
      <c r="I84" s="34" t="n">
        <f aca="false">BOM!$J$78</f>
        <v>0.15</v>
      </c>
      <c r="J84" s="53" t="n">
        <v>10</v>
      </c>
      <c r="K84" s="53" t="n">
        <v>0</v>
      </c>
    </row>
    <row r="85" customFormat="false" ht="15" hidden="false" customHeight="false" outlineLevel="0" collapsed="false">
      <c r="A85" s="6" t="s">
        <v>348</v>
      </c>
      <c r="B85" s="53" t="n">
        <v>2</v>
      </c>
      <c r="C85" s="53" t="n">
        <v>1</v>
      </c>
      <c r="D85" s="25" t="n">
        <f aca="false">BOM!$F$79</f>
        <v>106.666666666667</v>
      </c>
      <c r="E85" s="34" t="n">
        <f aca="false">BOM!$H$79</f>
        <v>1</v>
      </c>
      <c r="F85" s="25" t="n">
        <f aca="false">D85*E85</f>
        <v>106.666666666667</v>
      </c>
      <c r="G85" s="53" t="n">
        <v>1</v>
      </c>
      <c r="H85" s="33" t="n">
        <f aca="false">ROUND(BOM!$G$79,0)</f>
        <v>3</v>
      </c>
      <c r="I85" s="34" t="n">
        <f aca="false">BOM!$J$79</f>
        <v>0.15</v>
      </c>
      <c r="J85" s="53" t="n">
        <v>10</v>
      </c>
      <c r="K85" s="53" t="n">
        <v>0</v>
      </c>
    </row>
    <row r="86" customFormat="false" ht="15" hidden="false" customHeight="false" outlineLevel="0" collapsed="false">
      <c r="A86" s="6" t="s">
        <v>349</v>
      </c>
      <c r="B86" s="53" t="n">
        <v>2</v>
      </c>
      <c r="C86" s="53" t="n">
        <v>1</v>
      </c>
      <c r="D86" s="25" t="n">
        <f aca="false">BOM!$F$80</f>
        <v>80</v>
      </c>
      <c r="E86" s="34" t="n">
        <f aca="false">BOM!$H$80</f>
        <v>1</v>
      </c>
      <c r="F86" s="25" t="n">
        <f aca="false">D86*E86</f>
        <v>80</v>
      </c>
      <c r="G86" s="53" t="n">
        <v>1</v>
      </c>
      <c r="H86" s="33" t="n">
        <f aca="false">ROUND(BOM!$G$80,0)</f>
        <v>4</v>
      </c>
      <c r="I86" s="34" t="n">
        <f aca="false">BOM!$J$80</f>
        <v>0.25</v>
      </c>
      <c r="J86" s="53" t="n">
        <v>10</v>
      </c>
      <c r="K86" s="53" t="n">
        <v>0</v>
      </c>
    </row>
    <row r="87" customFormat="false" ht="15" hidden="false" customHeight="false" outlineLevel="0" collapsed="false">
      <c r="A87" s="6" t="s">
        <v>350</v>
      </c>
      <c r="B87" s="53" t="n">
        <v>2</v>
      </c>
      <c r="C87" s="53" t="n">
        <v>1</v>
      </c>
      <c r="D87" s="25" t="n">
        <f aca="false">BOM!$F$81</f>
        <v>59.5152002</v>
      </c>
      <c r="E87" s="34" t="n">
        <f aca="false">BOM!$H$81</f>
        <v>1</v>
      </c>
      <c r="F87" s="25" t="n">
        <f aca="false">D87*E87</f>
        <v>59.5152002</v>
      </c>
      <c r="G87" s="53" t="n">
        <v>1</v>
      </c>
      <c r="H87" s="33" t="n">
        <f aca="false">ROUND(BOM!$G$81,0)</f>
        <v>3</v>
      </c>
      <c r="I87" s="34" t="n">
        <f aca="false">BOM!$J$81</f>
        <v>0.179548529856075</v>
      </c>
      <c r="J87" s="53" t="n">
        <v>10</v>
      </c>
      <c r="K87" s="53" t="n">
        <v>0</v>
      </c>
    </row>
    <row r="88" customFormat="false" ht="15" hidden="false" customHeight="false" outlineLevel="0" collapsed="false">
      <c r="A88" s="6" t="s">
        <v>351</v>
      </c>
      <c r="B88" s="53" t="n">
        <v>2</v>
      </c>
      <c r="C88" s="53" t="n">
        <v>1</v>
      </c>
      <c r="D88" s="25" t="n">
        <f aca="false">IntegraMotion!$D$243*Entorno!$B$15</f>
        <v>90.1060315312683</v>
      </c>
      <c r="E88" s="46" t="n">
        <v>1</v>
      </c>
      <c r="F88" s="25" t="n">
        <f aca="false">D88*E88</f>
        <v>90.1060315312683</v>
      </c>
      <c r="G88" s="53" t="n">
        <v>0</v>
      </c>
      <c r="H88" s="53" t="n">
        <v>1</v>
      </c>
      <c r="I88" s="34" t="n">
        <f aca="false">CHOOSE(H88,$B$26,$B$27,$B$28,$B$29)</f>
        <v>0.05</v>
      </c>
      <c r="J88" s="53" t="n">
        <v>10</v>
      </c>
      <c r="K88" s="53" t="n">
        <v>0</v>
      </c>
    </row>
    <row r="89" customFormat="false" ht="15" hidden="false" customHeight="false" outlineLevel="0" collapsed="false">
      <c r="A89" s="6" t="s">
        <v>352</v>
      </c>
      <c r="B89" s="53" t="n">
        <v>2</v>
      </c>
      <c r="C89" s="53" t="n">
        <v>1</v>
      </c>
      <c r="D89" s="25" t="n">
        <f aca="false">SUMPRODUCT(F84:F88,I84:I88)</f>
        <v>99.5811682765634</v>
      </c>
      <c r="E89" s="46" t="n">
        <v>1</v>
      </c>
      <c r="F89" s="25" t="n">
        <f aca="false">D89*E89</f>
        <v>99.5811682765634</v>
      </c>
      <c r="G89" s="53" t="n">
        <v>0</v>
      </c>
      <c r="K89" s="53" t="n">
        <v>0</v>
      </c>
    </row>
    <row r="90" customFormat="false" ht="15" hidden="false" customHeight="false" outlineLevel="0" collapsed="false">
      <c r="A90" s="9" t="s">
        <v>353</v>
      </c>
    </row>
    <row r="91" customFormat="false" ht="15" hidden="false" customHeight="false" outlineLevel="0" collapsed="false">
      <c r="A91" s="9" t="s">
        <v>354</v>
      </c>
    </row>
    <row r="92" customFormat="false" ht="15" hidden="false" customHeight="false" outlineLevel="0" collapsed="false">
      <c r="A92" s="5" t="s">
        <v>355</v>
      </c>
      <c r="F92" s="30" t="n">
        <f aca="false">SUMIFS(F70:F89,C70:C89,0)</f>
        <v>930.800239431677</v>
      </c>
    </row>
    <row r="93" customFormat="false" ht="15" hidden="false" customHeight="false" outlineLevel="0" collapsed="false">
      <c r="A93" s="5" t="s">
        <v>356</v>
      </c>
      <c r="F93" s="30" t="n">
        <f aca="false">SUMIFS(F70:F89,C70:C89,1)</f>
        <v>758.469066674498</v>
      </c>
    </row>
    <row r="94" customFormat="false" ht="15" hidden="false" customHeight="false" outlineLevel="0" collapsed="false">
      <c r="A94" s="6" t="s">
        <v>357</v>
      </c>
      <c r="F94" s="25" t="n">
        <f aca="false">SUMIFS(F70:F89,C70:C89,0,G70:G89,1)</f>
        <v>463.891557109552</v>
      </c>
    </row>
    <row r="95" customFormat="false" ht="15" hidden="false" customHeight="false" outlineLevel="0" collapsed="false">
      <c r="A95" s="6" t="s">
        <v>358</v>
      </c>
      <c r="F95" s="25" t="n">
        <f aca="false">SUMIFS(F70:F89,C70:C89,1,G70:G89,1)</f>
        <v>568.781866866667</v>
      </c>
    </row>
    <row r="96" customFormat="false" ht="15" hidden="false" customHeight="false" outlineLevel="0" collapsed="false">
      <c r="A96" s="6" t="s">
        <v>359</v>
      </c>
      <c r="F96" s="34" t="n">
        <f aca="false">(F83+F89)/(SUM(F70:F89)-F83-F89)</f>
        <v>0.14149351716641</v>
      </c>
    </row>
    <row r="97" customFormat="false" ht="15" hidden="false" customHeight="false" outlineLevel="0" collapsed="false">
      <c r="A97" s="5" t="s">
        <v>360</v>
      </c>
      <c r="F97" s="54" t="n">
        <f aca="false">$F$92+$F$93</f>
        <v>1689.26930610618</v>
      </c>
    </row>
    <row r="98" customFormat="false" ht="15" hidden="false" customHeight="false" outlineLevel="0" collapsed="false">
      <c r="A98" s="6" t="s">
        <v>361</v>
      </c>
      <c r="F98" s="25" t="n">
        <f aca="false">SUMPRODUCT(F70:F89,K70:K89)</f>
        <v>580.14047047912</v>
      </c>
    </row>
    <row r="99" customFormat="false" ht="15" hidden="false" customHeight="false" outlineLevel="0" collapsed="false">
      <c r="A99" s="6" t="s">
        <v>362</v>
      </c>
      <c r="F99" s="25" t="n">
        <f aca="false">$B$34*F75</f>
        <v>27.4652172688735</v>
      </c>
    </row>
    <row r="100" customFormat="false" ht="15" hidden="false" customHeight="false" outlineLevel="0" collapsed="false">
      <c r="A100" s="6" t="s">
        <v>363</v>
      </c>
      <c r="F100" s="25" t="n">
        <f aca="false">$B$35*$F$94</f>
        <v>46.3891557109552</v>
      </c>
    </row>
    <row r="102" customFormat="false" ht="15" hidden="false" customHeight="false" outlineLevel="0" collapsed="false">
      <c r="A102" s="3" t="s">
        <v>117</v>
      </c>
      <c r="B102" s="4"/>
      <c r="C102" s="4"/>
      <c r="D102" s="4"/>
      <c r="E102" s="4"/>
      <c r="F102" s="4"/>
      <c r="G102" s="4"/>
      <c r="H102" s="4"/>
      <c r="I102" s="4"/>
      <c r="J102" s="4"/>
      <c r="K102" s="4"/>
      <c r="L102" s="4"/>
    </row>
    <row r="103" customFormat="false" ht="30" hidden="false" customHeight="true" outlineLevel="0" collapsed="false">
      <c r="A103" s="23" t="s">
        <v>118</v>
      </c>
      <c r="B103" s="24" t="s">
        <v>110</v>
      </c>
      <c r="C103" s="24" t="s">
        <v>326</v>
      </c>
      <c r="D103" s="24" t="s">
        <v>327</v>
      </c>
      <c r="E103" s="24" t="s">
        <v>43</v>
      </c>
      <c r="F103" s="24" t="s">
        <v>364</v>
      </c>
      <c r="G103" s="24" t="s">
        <v>365</v>
      </c>
      <c r="H103" s="24" t="s">
        <v>120</v>
      </c>
      <c r="I103" s="24" t="s">
        <v>366</v>
      </c>
      <c r="J103" s="24" t="s">
        <v>367</v>
      </c>
    </row>
    <row r="104" customFormat="false" ht="15" hidden="false" customHeight="false" outlineLevel="0" collapsed="false">
      <c r="A104" s="6" t="s">
        <v>368</v>
      </c>
      <c r="B104" s="53" t="n">
        <v>1</v>
      </c>
      <c r="C104" s="25" t="n">
        <f aca="false">'Beneficios y costos'!$C$121</f>
        <v>11.76</v>
      </c>
      <c r="D104" s="46" t="n">
        <v>1</v>
      </c>
      <c r="E104" s="25" t="n">
        <f aca="false">C104*D104</f>
        <v>11.76</v>
      </c>
      <c r="F104" s="25" t="n">
        <f aca="false">'Beneficios y costos'!$D$121</f>
        <v>0</v>
      </c>
      <c r="G104" s="25" t="n">
        <f aca="false">F104*D104</f>
        <v>0</v>
      </c>
      <c r="H104" s="53" t="n">
        <v>3</v>
      </c>
      <c r="I104" s="34" t="n">
        <f aca="false">CHOOSE(H104,$B$62,$B$63,$B$64,$B$65,$B$66)</f>
        <v>0.75</v>
      </c>
      <c r="J104" s="25" t="n">
        <f aca="false">E104*I104</f>
        <v>8.82</v>
      </c>
    </row>
    <row r="105" customFormat="false" ht="15" hidden="false" customHeight="false" outlineLevel="0" collapsed="false">
      <c r="A105" s="6" t="s">
        <v>369</v>
      </c>
      <c r="B105" s="53" t="n">
        <v>1</v>
      </c>
      <c r="C105" s="25" t="n">
        <f aca="false">'Beneficios y costos'!$C$122</f>
        <v>52.7983953135048</v>
      </c>
      <c r="D105" s="46" t="n">
        <v>1</v>
      </c>
      <c r="E105" s="25" t="n">
        <f aca="false">C105*D105</f>
        <v>52.7983953135048</v>
      </c>
      <c r="F105" s="25" t="n">
        <f aca="false">'Beneficios y costos'!$D$122</f>
        <v>54.8252688906753</v>
      </c>
      <c r="G105" s="25" t="n">
        <f aca="false">F105*D105</f>
        <v>54.8252688906753</v>
      </c>
      <c r="H105" s="53" t="n">
        <v>3</v>
      </c>
      <c r="I105" s="34" t="n">
        <f aca="false">CHOOSE(H105,$B$62,$B$63,$B$64,$B$65,$B$66)</f>
        <v>0.75</v>
      </c>
      <c r="J105" s="25" t="n">
        <f aca="false">E105*I105</f>
        <v>39.5987964851286</v>
      </c>
    </row>
    <row r="106" customFormat="false" ht="15" hidden="false" customHeight="false" outlineLevel="0" collapsed="false">
      <c r="A106" s="6" t="s">
        <v>370</v>
      </c>
      <c r="B106" s="53" t="n">
        <v>1</v>
      </c>
      <c r="C106" s="25" t="n">
        <f aca="false">'Beneficios y costos'!$C$123</f>
        <v>52.0041597987519</v>
      </c>
      <c r="D106" s="34" t="n">
        <f aca="false">$B$16</f>
        <v>0.36</v>
      </c>
      <c r="E106" s="25" t="n">
        <f aca="false">C106*D106</f>
        <v>18.7214975275507</v>
      </c>
      <c r="F106" s="25" t="n">
        <f aca="false">'Beneficios y costos'!$D$123</f>
        <v>52.0041597987519</v>
      </c>
      <c r="G106" s="25" t="n">
        <f aca="false">F106*D106</f>
        <v>18.7214975275507</v>
      </c>
      <c r="H106" s="53" t="n">
        <v>3</v>
      </c>
      <c r="I106" s="34" t="n">
        <f aca="false">CHOOSE(H106,$B$62,$B$63,$B$64,$B$65,$B$66)</f>
        <v>0.75</v>
      </c>
      <c r="J106" s="25" t="n">
        <f aca="false">E106*I106</f>
        <v>14.041123145663</v>
      </c>
    </row>
    <row r="107" customFormat="false" ht="15" hidden="false" customHeight="false" outlineLevel="0" collapsed="false">
      <c r="A107" s="6" t="s">
        <v>371</v>
      </c>
      <c r="B107" s="53" t="n">
        <v>1</v>
      </c>
      <c r="C107" s="25" t="n">
        <f aca="false">'Beneficios y costos'!$C$124</f>
        <v>152.285</v>
      </c>
      <c r="D107" s="34" t="n">
        <f aca="false">$B$19</f>
        <v>0.22234625865975</v>
      </c>
      <c r="E107" s="25" t="n">
        <f aca="false">C107*D107</f>
        <v>33.86</v>
      </c>
      <c r="F107" s="50" t="n">
        <v>0</v>
      </c>
      <c r="G107" s="25" t="n">
        <f aca="false">F107*D107</f>
        <v>0</v>
      </c>
      <c r="H107" s="53" t="n">
        <v>4</v>
      </c>
      <c r="I107" s="34" t="n">
        <f aca="false">CHOOSE(H107,$B$62,$B$63,$B$64,$B$65,$B$66)</f>
        <v>0.5</v>
      </c>
      <c r="J107" s="25" t="n">
        <f aca="false">E107*I107</f>
        <v>16.93</v>
      </c>
    </row>
    <row r="108" customFormat="false" ht="15" hidden="false" customHeight="false" outlineLevel="0" collapsed="false">
      <c r="A108" s="6" t="s">
        <v>372</v>
      </c>
      <c r="B108" s="53" t="n">
        <v>1</v>
      </c>
      <c r="C108" s="25" t="n">
        <f aca="false">'Beneficios y costos'!$C$125</f>
        <v>91.4</v>
      </c>
      <c r="D108" s="34" t="n">
        <f aca="false">$B$16</f>
        <v>0.36</v>
      </c>
      <c r="E108" s="25" t="n">
        <f aca="false">C108*D108</f>
        <v>32.904</v>
      </c>
      <c r="F108" s="50" t="n">
        <v>0</v>
      </c>
      <c r="G108" s="25" t="n">
        <f aca="false">F108*D108</f>
        <v>0</v>
      </c>
      <c r="H108" s="53" t="n">
        <v>3</v>
      </c>
      <c r="I108" s="34" t="n">
        <f aca="false">CHOOSE(H108,$B$62,$B$63,$B$64,$B$65,$B$66)</f>
        <v>0.75</v>
      </c>
      <c r="J108" s="25" t="n">
        <f aca="false">E108*I108</f>
        <v>24.678</v>
      </c>
    </row>
    <row r="109" customFormat="false" ht="15" hidden="false" customHeight="false" outlineLevel="0" collapsed="false">
      <c r="A109" s="6" t="s">
        <v>373</v>
      </c>
      <c r="B109" s="53" t="n">
        <v>1</v>
      </c>
      <c r="C109" s="25" t="n">
        <f aca="false">'Beneficios y costos'!$C$126</f>
        <v>32.5056</v>
      </c>
      <c r="D109" s="46" t="n">
        <v>1</v>
      </c>
      <c r="E109" s="25" t="n">
        <f aca="false">C109*D109</f>
        <v>32.5056</v>
      </c>
      <c r="F109" s="25" t="n">
        <f aca="false">'Beneficios y costos'!$D$126</f>
        <v>33.86</v>
      </c>
      <c r="G109" s="25" t="n">
        <f aca="false">F109*D109</f>
        <v>33.86</v>
      </c>
      <c r="H109" s="53" t="n">
        <v>4</v>
      </c>
      <c r="I109" s="34" t="n">
        <f aca="false">CHOOSE(H109,$B$62,$B$63,$B$64,$B$65,$B$66)</f>
        <v>0.5</v>
      </c>
      <c r="J109" s="25" t="n">
        <f aca="false">E109*I109</f>
        <v>16.2528</v>
      </c>
    </row>
    <row r="110" customFormat="false" ht="15" hidden="false" customHeight="false" outlineLevel="0" collapsed="false">
      <c r="A110" s="6" t="s">
        <v>374</v>
      </c>
      <c r="B110" s="53" t="n">
        <v>1</v>
      </c>
      <c r="C110" s="25" t="n">
        <f aca="false">'Beneficios y costos'!$C$127</f>
        <v>26.333</v>
      </c>
      <c r="D110" s="46" t="n">
        <v>1</v>
      </c>
      <c r="E110" s="25" t="n">
        <f aca="false">C110*D110</f>
        <v>26.333</v>
      </c>
      <c r="F110" s="25" t="n">
        <f aca="false">'Beneficios y costos'!$D$127</f>
        <v>13.544</v>
      </c>
      <c r="G110" s="25" t="n">
        <f aca="false">F110*D110</f>
        <v>13.544</v>
      </c>
      <c r="H110" s="53" t="n">
        <v>3</v>
      </c>
      <c r="I110" s="34" t="n">
        <f aca="false">CHOOSE(H110,$B$62,$B$63,$B$64,$B$65,$B$66)</f>
        <v>0.75</v>
      </c>
      <c r="J110" s="25" t="n">
        <f aca="false">E110*I110</f>
        <v>19.74975</v>
      </c>
    </row>
    <row r="111" customFormat="false" ht="15" hidden="false" customHeight="false" outlineLevel="0" collapsed="false">
      <c r="A111" s="6" t="s">
        <v>375</v>
      </c>
      <c r="B111" s="53" t="n">
        <v>1</v>
      </c>
      <c r="C111" s="25" t="n">
        <f aca="false">'Beneficios y costos'!$C$128</f>
        <v>32.5510516813505</v>
      </c>
      <c r="D111" s="46" t="n">
        <v>1</v>
      </c>
      <c r="E111" s="25" t="n">
        <f aca="false">C111*D111</f>
        <v>32.5510516813505</v>
      </c>
      <c r="F111" s="25" t="n">
        <f aca="false">'Beneficios y costos'!$D$128</f>
        <v>33.8578076141479</v>
      </c>
      <c r="G111" s="25" t="n">
        <f aca="false">F111*D111</f>
        <v>33.8578076141479</v>
      </c>
      <c r="H111" s="53" t="n">
        <v>4</v>
      </c>
      <c r="I111" s="34" t="n">
        <f aca="false">CHOOSE(H111,$B$62,$B$63,$B$64,$B$65,$B$66)</f>
        <v>0.5</v>
      </c>
      <c r="J111" s="25" t="n">
        <f aca="false">E111*I111</f>
        <v>16.2755258406752</v>
      </c>
    </row>
    <row r="112" customFormat="false" ht="15" hidden="false" customHeight="false" outlineLevel="0" collapsed="false">
      <c r="A112" s="6" t="s">
        <v>376</v>
      </c>
      <c r="B112" s="53" t="n">
        <v>2</v>
      </c>
      <c r="C112" s="25" t="n">
        <f aca="false">'Beneficios y costos'!$C$129</f>
        <v>70.7031730842444</v>
      </c>
      <c r="D112" s="46" t="n">
        <v>1</v>
      </c>
      <c r="E112" s="25" t="n">
        <f aca="false">C112*D112</f>
        <v>70.7031730842444</v>
      </c>
      <c r="F112" s="25" t="n">
        <f aca="false">'Beneficios y costos'!$D$129</f>
        <v>73.5484542250804</v>
      </c>
      <c r="G112" s="25" t="n">
        <f aca="false">F112*D112</f>
        <v>73.5484542250804</v>
      </c>
      <c r="H112" s="53" t="n">
        <v>3</v>
      </c>
      <c r="I112" s="34" t="n">
        <f aca="false">CHOOSE(H112,$B$62,$B$63,$B$64,$B$65,$B$66)</f>
        <v>0.75</v>
      </c>
      <c r="J112" s="25" t="n">
        <f aca="false">E112*I112</f>
        <v>53.0273798131833</v>
      </c>
    </row>
    <row r="113" customFormat="false" ht="15" hidden="false" customHeight="false" outlineLevel="0" collapsed="false">
      <c r="A113" s="6" t="s">
        <v>377</v>
      </c>
      <c r="B113" s="53" t="n">
        <v>2</v>
      </c>
      <c r="C113" s="25" t="n">
        <f aca="false">'Beneficios y costos'!$C$130</f>
        <v>11.76</v>
      </c>
      <c r="D113" s="46" t="n">
        <v>1</v>
      </c>
      <c r="E113" s="25" t="n">
        <f aca="false">C113*D113</f>
        <v>11.76</v>
      </c>
      <c r="F113" s="50" t="n">
        <v>0</v>
      </c>
      <c r="G113" s="25" t="n">
        <f aca="false">F113*D113</f>
        <v>0</v>
      </c>
      <c r="H113" s="53" t="n">
        <v>3</v>
      </c>
      <c r="I113" s="34" t="n">
        <f aca="false">CHOOSE(H113,$B$62,$B$63,$B$64,$B$65,$B$66)</f>
        <v>0.75</v>
      </c>
      <c r="J113" s="25" t="n">
        <f aca="false">E113*I113</f>
        <v>8.82</v>
      </c>
    </row>
    <row r="114" customFormat="false" ht="15" hidden="false" customHeight="false" outlineLevel="0" collapsed="false">
      <c r="A114" s="6" t="s">
        <v>378</v>
      </c>
      <c r="B114" s="53" t="n">
        <v>2</v>
      </c>
      <c r="C114" s="25" t="n">
        <f aca="false">'Beneficios y costos'!$C$131</f>
        <v>121.8</v>
      </c>
      <c r="D114" s="34" t="n">
        <f aca="false">'Beneficios y costos'!$B$25</f>
        <v>0.333333333333333</v>
      </c>
      <c r="E114" s="25" t="n">
        <f aca="false">C114*D114</f>
        <v>40.6</v>
      </c>
      <c r="F114" s="50" t="n">
        <v>0</v>
      </c>
      <c r="G114" s="25" t="n">
        <f aca="false">F114*D114</f>
        <v>0</v>
      </c>
      <c r="H114" s="53" t="n">
        <v>4</v>
      </c>
      <c r="I114" s="34" t="n">
        <f aca="false">CHOOSE(H114,$B$62,$B$63,$B$64,$B$65,$B$66)</f>
        <v>0.5</v>
      </c>
      <c r="J114" s="25" t="n">
        <f aca="false">E114*I114</f>
        <v>20.3</v>
      </c>
    </row>
    <row r="115" customFormat="false" ht="15" hidden="false" customHeight="false" outlineLevel="0" collapsed="false">
      <c r="A115" s="6" t="s">
        <v>379</v>
      </c>
      <c r="B115" s="53" t="n">
        <v>2</v>
      </c>
      <c r="C115" s="25" t="n">
        <f aca="false">'Beneficios y costos'!$C$132</f>
        <v>36.1108213118971</v>
      </c>
      <c r="D115" s="46" t="n">
        <v>1</v>
      </c>
      <c r="E115" s="25" t="n">
        <f aca="false">C115*D115</f>
        <v>36.1108213118971</v>
      </c>
      <c r="F115" s="25" t="n">
        <f aca="false">'Beneficios y costos'!$D$132</f>
        <v>36.1108213118971</v>
      </c>
      <c r="G115" s="25" t="n">
        <f aca="false">F115*D115</f>
        <v>36.1108213118971</v>
      </c>
      <c r="H115" s="53" t="n">
        <v>1</v>
      </c>
      <c r="I115" s="34" t="n">
        <f aca="false">CHOOSE(H115,$B$62,$B$63,$B$64,$B$65,$B$66)</f>
        <v>1</v>
      </c>
      <c r="J115" s="25" t="n">
        <f aca="false">E115*I115</f>
        <v>36.1108213118971</v>
      </c>
    </row>
    <row r="116" customFormat="false" ht="15" hidden="false" customHeight="false" outlineLevel="0" collapsed="false">
      <c r="A116" s="6" t="s">
        <v>380</v>
      </c>
      <c r="B116" s="53" t="n">
        <v>2</v>
      </c>
      <c r="C116" s="25" t="n">
        <f aca="false">'Beneficios y costos'!$C$133</f>
        <v>34.1492443311894</v>
      </c>
      <c r="D116" s="46" t="n">
        <v>1</v>
      </c>
      <c r="E116" s="25" t="n">
        <f aca="false">C116*D116</f>
        <v>34.1492443311894</v>
      </c>
      <c r="F116" s="25" t="n">
        <f aca="false">'Beneficios y costos'!$D$133</f>
        <v>80.0496393569128</v>
      </c>
      <c r="G116" s="25" t="n">
        <f aca="false">F116*D116</f>
        <v>80.0496393569128</v>
      </c>
      <c r="H116" s="53" t="n">
        <v>4</v>
      </c>
      <c r="I116" s="34" t="n">
        <f aca="false">CHOOSE(H116,$B$62,$B$63,$B$64,$B$65,$B$66)</f>
        <v>0.5</v>
      </c>
      <c r="J116" s="25" t="n">
        <f aca="false">E116*I116</f>
        <v>17.0746221655947</v>
      </c>
    </row>
    <row r="117" customFormat="false" ht="15" hidden="false" customHeight="false" outlineLevel="0" collapsed="false">
      <c r="A117" s="6" t="s">
        <v>381</v>
      </c>
      <c r="B117" s="53" t="n">
        <v>2</v>
      </c>
      <c r="C117" s="25" t="n">
        <f aca="false">'Beneficios y costos'!$C$134</f>
        <v>67.77488</v>
      </c>
      <c r="D117" s="46" t="n">
        <v>1</v>
      </c>
      <c r="E117" s="25" t="n">
        <f aca="false">C117*D117</f>
        <v>67.77488</v>
      </c>
      <c r="F117" s="50" t="n">
        <v>0</v>
      </c>
      <c r="G117" s="25" t="n">
        <f aca="false">F117*D117</f>
        <v>0</v>
      </c>
      <c r="H117" s="53" t="n">
        <v>3</v>
      </c>
      <c r="I117" s="34" t="n">
        <f aca="false">CHOOSE(H117,$B$62,$B$63,$B$64,$B$65,$B$66)</f>
        <v>0.75</v>
      </c>
      <c r="J117" s="25" t="n">
        <f aca="false">E117*I117</f>
        <v>50.83116</v>
      </c>
    </row>
    <row r="118" customFormat="false" ht="15" hidden="false" customHeight="false" outlineLevel="0" collapsed="false">
      <c r="A118" s="6" t="s">
        <v>382</v>
      </c>
      <c r="B118" s="53" t="n">
        <v>2</v>
      </c>
      <c r="C118" s="25" t="n">
        <f aca="false">'Beneficios y costos'!$C$135</f>
        <v>36</v>
      </c>
      <c r="D118" s="46" t="n">
        <v>1</v>
      </c>
      <c r="E118" s="25" t="n">
        <f aca="false">C118*D118</f>
        <v>36</v>
      </c>
      <c r="F118" s="50" t="n">
        <v>0</v>
      </c>
      <c r="G118" s="25" t="n">
        <f aca="false">F118*D118</f>
        <v>0</v>
      </c>
      <c r="H118" s="53" t="n">
        <v>3</v>
      </c>
      <c r="I118" s="34" t="n">
        <f aca="false">CHOOSE(H118,$B$62,$B$63,$B$64,$B$65,$B$66)</f>
        <v>0.75</v>
      </c>
      <c r="J118" s="25" t="n">
        <f aca="false">E118*I118</f>
        <v>27</v>
      </c>
    </row>
    <row r="119" customFormat="false" ht="15" hidden="false" customHeight="false" outlineLevel="0" collapsed="false">
      <c r="A119" s="9" t="s">
        <v>383</v>
      </c>
    </row>
    <row r="120" customFormat="false" ht="15" hidden="false" customHeight="false" outlineLevel="0" collapsed="false">
      <c r="A120" s="9" t="s">
        <v>384</v>
      </c>
    </row>
    <row r="121" customFormat="false" ht="15" hidden="false" customHeight="false" outlineLevel="0" collapsed="false">
      <c r="A121" s="5" t="s">
        <v>385</v>
      </c>
      <c r="E121" s="30" t="n">
        <f aca="false">SUMIFS(E104:E118,B104:B118,1)</f>
        <v>241.433544522406</v>
      </c>
    </row>
    <row r="122" customFormat="false" ht="15" hidden="false" customHeight="false" outlineLevel="0" collapsed="false">
      <c r="A122" s="5" t="s">
        <v>386</v>
      </c>
      <c r="E122" s="30" t="n">
        <f aca="false">SUMIFS(E104:E118,B104:B118,2)</f>
        <v>297.098118727331</v>
      </c>
    </row>
    <row r="123" customFormat="false" ht="15" hidden="false" customHeight="false" outlineLevel="0" collapsed="false">
      <c r="A123" s="6" t="s">
        <v>387</v>
      </c>
      <c r="G123" s="25" t="n">
        <f aca="false">SUMIFS(G104:G118,B104:B118,1)</f>
        <v>154.808574032374</v>
      </c>
    </row>
    <row r="124" customFormat="false" ht="15" hidden="false" customHeight="false" outlineLevel="0" collapsed="false">
      <c r="A124" s="6" t="s">
        <v>388</v>
      </c>
      <c r="G124" s="25" t="n">
        <f aca="false">SUMIFS(G104:G118,B104:B118,2)</f>
        <v>189.70891489389</v>
      </c>
    </row>
    <row r="125" customFormat="false" ht="15" hidden="false" customHeight="false" outlineLevel="0" collapsed="false">
      <c r="A125" s="6" t="s">
        <v>389</v>
      </c>
      <c r="J125" s="25" t="n">
        <f aca="false">SUMIFS(J104:J118,B104:B118,1)</f>
        <v>156.345995471467</v>
      </c>
    </row>
    <row r="126" customFormat="false" ht="15" hidden="false" customHeight="false" outlineLevel="0" collapsed="false">
      <c r="A126" s="6" t="s">
        <v>390</v>
      </c>
      <c r="J126" s="25" t="n">
        <f aca="false">SUMIFS(J104:J118,B104:B118,2)</f>
        <v>213.163983290675</v>
      </c>
    </row>
    <row r="127" customFormat="false" ht="15" hidden="false" customHeight="false" outlineLevel="0" collapsed="false">
      <c r="A127" s="5" t="s">
        <v>121</v>
      </c>
      <c r="E127" s="54" t="n">
        <f aca="false">$E$121+$E$122</f>
        <v>538.531663249737</v>
      </c>
    </row>
    <row r="128" customFormat="false" ht="15" hidden="false" customHeight="false" outlineLevel="0" collapsed="false">
      <c r="A128" s="6" t="s">
        <v>391</v>
      </c>
      <c r="E128" s="25" t="n">
        <f aca="false">($B$31+$B$33)*($F$94+$F$95)+$B$32+'Beneficios y costos'!$D$211</f>
        <v>95.9432442337815</v>
      </c>
    </row>
    <row r="130" customFormat="false" ht="15" hidden="false" customHeight="false" outlineLevel="0" collapsed="false">
      <c r="A130" s="3" t="s">
        <v>392</v>
      </c>
      <c r="B130" s="4"/>
      <c r="C130" s="4"/>
      <c r="D130" s="4"/>
      <c r="E130" s="4"/>
      <c r="F130" s="4"/>
      <c r="G130" s="4"/>
      <c r="H130" s="4"/>
      <c r="I130" s="4"/>
      <c r="J130" s="4"/>
      <c r="K130" s="4"/>
      <c r="L130" s="4"/>
    </row>
    <row r="131" customFormat="false" ht="15" hidden="false" customHeight="false" outlineLevel="0" collapsed="false">
      <c r="A131" s="23" t="s">
        <v>130</v>
      </c>
      <c r="B131" s="24" t="s">
        <v>393</v>
      </c>
      <c r="C131" s="24" t="s">
        <v>394</v>
      </c>
      <c r="D131" s="24" t="s">
        <v>395</v>
      </c>
      <c r="E131" s="24" t="s">
        <v>396</v>
      </c>
      <c r="F131" s="24" t="s">
        <v>397</v>
      </c>
      <c r="G131" s="24" t="s">
        <v>398</v>
      </c>
      <c r="H131" s="24" t="s">
        <v>399</v>
      </c>
      <c r="I131" s="24" t="s">
        <v>400</v>
      </c>
      <c r="J131" s="24" t="s">
        <v>401</v>
      </c>
      <c r="K131" s="24" t="s">
        <v>402</v>
      </c>
      <c r="L131" s="24" t="s">
        <v>403</v>
      </c>
    </row>
    <row r="132" customFormat="false" ht="15" hidden="false" customHeight="false" outlineLevel="0" collapsed="false">
      <c r="A132" s="9" t="s">
        <v>404</v>
      </c>
      <c r="B132" s="55" t="n">
        <v>0</v>
      </c>
      <c r="C132" s="55" t="n">
        <v>1</v>
      </c>
      <c r="D132" s="55" t="n">
        <v>2</v>
      </c>
      <c r="E132" s="55" t="n">
        <v>3</v>
      </c>
      <c r="F132" s="55" t="n">
        <v>4</v>
      </c>
      <c r="G132" s="55" t="n">
        <v>5</v>
      </c>
      <c r="H132" s="55" t="n">
        <v>6</v>
      </c>
      <c r="I132" s="55" t="n">
        <v>7</v>
      </c>
      <c r="J132" s="55" t="n">
        <v>8</v>
      </c>
      <c r="K132" s="55" t="n">
        <v>9</v>
      </c>
      <c r="L132" s="55" t="n">
        <v>10</v>
      </c>
    </row>
    <row r="133" customFormat="false" ht="15" hidden="false" customHeight="false" outlineLevel="0" collapsed="false">
      <c r="A133" s="9" t="s">
        <v>405</v>
      </c>
      <c r="B133" s="56" t="n">
        <f aca="false">CHOOSE($B$7,Entorno!B$7,Entorno!B$8,Entorno!B$9)</f>
        <v>0.06</v>
      </c>
      <c r="C133" s="56" t="n">
        <f aca="false">CHOOSE($B$7,Entorno!C$7,Entorno!C$8,Entorno!C$9)</f>
        <v>0.05</v>
      </c>
      <c r="D133" s="56" t="n">
        <f aca="false">CHOOSE($B$7,Entorno!D$7,Entorno!D$8,Entorno!D$9)</f>
        <v>0.045</v>
      </c>
      <c r="E133" s="56" t="n">
        <f aca="false">CHOOSE($B$7,Entorno!E$7,Entorno!E$8,Entorno!E$9)</f>
        <v>0.04</v>
      </c>
      <c r="F133" s="56" t="n">
        <f aca="false">CHOOSE($B$7,Entorno!F$7,Entorno!F$8,Entorno!F$9)</f>
        <v>0.04</v>
      </c>
      <c r="G133" s="56" t="n">
        <f aca="false">CHOOSE($B$7,Entorno!G$7,Entorno!G$8,Entorno!G$9)</f>
        <v>0.04</v>
      </c>
      <c r="H133" s="56" t="n">
        <f aca="false">CHOOSE($B$7,Entorno!H$7,Entorno!H$8,Entorno!H$9)</f>
        <v>0.04</v>
      </c>
      <c r="I133" s="56" t="n">
        <f aca="false">CHOOSE($B$7,Entorno!I$7,Entorno!I$8,Entorno!I$9)</f>
        <v>0.04</v>
      </c>
      <c r="J133" s="56" t="n">
        <f aca="false">CHOOSE($B$7,Entorno!J$7,Entorno!J$8,Entorno!J$9)</f>
        <v>0.04</v>
      </c>
      <c r="K133" s="56" t="n">
        <f aca="false">CHOOSE($B$7,Entorno!K$7,Entorno!K$8,Entorno!K$9)</f>
        <v>0.04</v>
      </c>
      <c r="L133" s="56" t="n">
        <f aca="false">CHOOSE($B$7,Entorno!L$7,Entorno!L$8,Entorno!L$9)</f>
        <v>0.04</v>
      </c>
    </row>
    <row r="134" customFormat="false" ht="15" hidden="false" customHeight="false" outlineLevel="0" collapsed="false">
      <c r="A134" s="9" t="s">
        <v>406</v>
      </c>
      <c r="B134" s="57" t="n">
        <f aca="false">1+B133</f>
        <v>1.06</v>
      </c>
      <c r="C134" s="57" t="n">
        <f aca="false">B134*(1+C133)</f>
        <v>1.113</v>
      </c>
      <c r="D134" s="57" t="n">
        <f aca="false">C134*(1+D133)</f>
        <v>1.163085</v>
      </c>
      <c r="E134" s="57" t="n">
        <f aca="false">D134*(1+E133)</f>
        <v>1.2096084</v>
      </c>
      <c r="F134" s="57" t="n">
        <f aca="false">E134*(1+F133)</f>
        <v>1.257992736</v>
      </c>
      <c r="G134" s="57" t="n">
        <f aca="false">F134*(1+G133)</f>
        <v>1.30831244544</v>
      </c>
      <c r="H134" s="57" t="n">
        <f aca="false">G134*(1+H133)</f>
        <v>1.3606449432576</v>
      </c>
      <c r="I134" s="57" t="n">
        <f aca="false">H134*(1+I133)</f>
        <v>1.4150707409879</v>
      </c>
      <c r="J134" s="57" t="n">
        <f aca="false">I134*(1+J133)</f>
        <v>1.47167357062742</v>
      </c>
      <c r="K134" s="57" t="n">
        <f aca="false">J134*(1+K133)</f>
        <v>1.53054051345252</v>
      </c>
      <c r="L134" s="57" t="n">
        <f aca="false">K134*(1+L133)</f>
        <v>1.59176213399062</v>
      </c>
    </row>
    <row r="135" customFormat="false" ht="15" hidden="false" customHeight="false" outlineLevel="0" collapsed="false">
      <c r="A135" s="9" t="s">
        <v>407</v>
      </c>
      <c r="B135" s="57" t="n">
        <f aca="false">(1+Entorno!$B$12)/(1+B133)</f>
        <v>1.02358490566038</v>
      </c>
      <c r="C135" s="57" t="n">
        <f aca="false">B135*(1+Entorno!$B$13)</f>
        <v>1.02870283018868</v>
      </c>
      <c r="D135" s="57" t="n">
        <f aca="false">C135*(1+Entorno!$B$13)</f>
        <v>1.03384634433962</v>
      </c>
      <c r="E135" s="57" t="n">
        <f aca="false">D135*(1+Entorno!$B$13)</f>
        <v>1.03901557606132</v>
      </c>
      <c r="F135" s="57" t="n">
        <f aca="false">E135*(1+Entorno!$B$13)</f>
        <v>1.04421065394163</v>
      </c>
      <c r="G135" s="57" t="n">
        <f aca="false">F135*(1+Entorno!$B$13)</f>
        <v>1.04943170721133</v>
      </c>
      <c r="H135" s="57" t="n">
        <f aca="false">G135*(1+Entorno!$B$13)</f>
        <v>1.05467886574739</v>
      </c>
      <c r="I135" s="57" t="n">
        <f aca="false">H135*(1+Entorno!$B$13)</f>
        <v>1.05995226007613</v>
      </c>
      <c r="J135" s="57" t="n">
        <f aca="false">I135*(1+Entorno!$B$13)</f>
        <v>1.06525202137651</v>
      </c>
      <c r="K135" s="57" t="n">
        <f aca="false">J135*(1+Entorno!$B$13)</f>
        <v>1.07057828148339</v>
      </c>
      <c r="L135" s="57" t="n">
        <f aca="false">K135*(1+Entorno!$B$13)</f>
        <v>1.07593117289081</v>
      </c>
    </row>
    <row r="136" customFormat="false" ht="15" hidden="false" customHeight="false" outlineLevel="0" collapsed="false">
      <c r="A136" s="9" t="s">
        <v>408</v>
      </c>
      <c r="B136" s="57" t="n">
        <f aca="false">1/B134</f>
        <v>0.943396226415094</v>
      </c>
      <c r="C136" s="57" t="n">
        <f aca="false">1/C134</f>
        <v>0.898472596585804</v>
      </c>
      <c r="D136" s="57" t="n">
        <f aca="false">1/D134</f>
        <v>0.859782389077324</v>
      </c>
      <c r="E136" s="57" t="n">
        <f aca="false">1/E134</f>
        <v>0.826713835651273</v>
      </c>
      <c r="F136" s="57" t="n">
        <f aca="false">1/F134</f>
        <v>0.794917149664686</v>
      </c>
      <c r="G136" s="57" t="n">
        <f aca="false">1/G134</f>
        <v>0.764343413139121</v>
      </c>
      <c r="H136" s="57" t="n">
        <f aca="false">1/H134</f>
        <v>0.734945589556847</v>
      </c>
      <c r="I136" s="57" t="n">
        <f aca="false">1/I134</f>
        <v>0.706678451496968</v>
      </c>
      <c r="J136" s="57" t="n">
        <f aca="false">1/J134</f>
        <v>0.679498511054777</v>
      </c>
      <c r="K136" s="57" t="n">
        <f aca="false">1/K134</f>
        <v>0.653363952937286</v>
      </c>
      <c r="L136" s="57" t="n">
        <f aca="false">1/L134</f>
        <v>0.628234570132006</v>
      </c>
    </row>
    <row r="137" customFormat="false" ht="15" hidden="false" customHeight="false" outlineLevel="0" collapsed="false">
      <c r="A137" s="6" t="s">
        <v>323</v>
      </c>
      <c r="B137" s="29" t="n">
        <f aca="false">IF(B$132=0,$F$92,IF(B$132=1,$F$93*1,0))*1</f>
        <v>930.800239431677</v>
      </c>
      <c r="C137" s="29" t="n">
        <f aca="false">IF(C$132=0,$F$92,IF(C$132=1,$F$93*1,0))*1</f>
        <v>758.469066674498</v>
      </c>
      <c r="D137" s="29" t="n">
        <f aca="false">IF(D$132=0,$F$92,IF(D$132=1,$F$93*1,0))*1</f>
        <v>0</v>
      </c>
      <c r="E137" s="29" t="n">
        <f aca="false">IF(E$132=0,$F$92,IF(E$132=1,$F$93*1,0))*1</f>
        <v>0</v>
      </c>
      <c r="F137" s="29" t="n">
        <f aca="false">IF(F$132=0,$F$92,IF(F$132=1,$F$93*1,0))*1</f>
        <v>0</v>
      </c>
      <c r="G137" s="29" t="n">
        <f aca="false">IF(G$132=0,$F$92,IF(G$132=1,$F$93*1,0))*1</f>
        <v>0</v>
      </c>
      <c r="H137" s="29" t="n">
        <f aca="false">IF(H$132=0,$F$92,IF(H$132=1,$F$93*1,0))*1</f>
        <v>0</v>
      </c>
      <c r="I137" s="29" t="n">
        <f aca="false">IF(I$132=0,$F$92,IF(I$132=1,$F$93*1,0))*1</f>
        <v>0</v>
      </c>
      <c r="J137" s="29" t="n">
        <f aca="false">IF(J$132=0,$F$92,IF(J$132=1,$F$93*1,0))*1</f>
        <v>0</v>
      </c>
      <c r="K137" s="29" t="n">
        <f aca="false">IF(K$132=0,$F$92,IF(K$132=1,$F$93*1,0))*1</f>
        <v>0</v>
      </c>
      <c r="L137" s="29" t="n">
        <f aca="false">IF(L$132=0,$F$92,IF(L$132=1,$F$93*1,0))*1</f>
        <v>0</v>
      </c>
    </row>
    <row r="138" customFormat="false" ht="15" hidden="false" customHeight="false" outlineLevel="0" collapsed="false">
      <c r="A138" s="6" t="s">
        <v>409</v>
      </c>
      <c r="B138" s="29" t="n">
        <f aca="false">IF(B$132=5,$F$99,IF(B$132=6,$F$100,0))*1</f>
        <v>0</v>
      </c>
      <c r="C138" s="29" t="n">
        <f aca="false">IF(C$132=5,$F$99,IF(C$132=6,$F$100,0))*1</f>
        <v>0</v>
      </c>
      <c r="D138" s="29" t="n">
        <f aca="false">IF(D$132=5,$F$99,IF(D$132=6,$F$100,0))*1</f>
        <v>0</v>
      </c>
      <c r="E138" s="29" t="n">
        <f aca="false">IF(E$132=5,$F$99,IF(E$132=6,$F$100,0))*1</f>
        <v>0</v>
      </c>
      <c r="F138" s="29" t="n">
        <f aca="false">IF(F$132=5,$F$99,IF(F$132=6,$F$100,0))*1</f>
        <v>0</v>
      </c>
      <c r="G138" s="29" t="n">
        <f aca="false">IF(G$132=5,$F$99,IF(G$132=6,$F$100,0))*1</f>
        <v>27.4652172688735</v>
      </c>
      <c r="H138" s="29" t="n">
        <f aca="false">IF(H$132=5,$F$99,IF(H$132=6,$F$100,0))*1</f>
        <v>46.3891557109552</v>
      </c>
      <c r="I138" s="29" t="n">
        <f aca="false">IF(I$132=5,$F$99,IF(I$132=6,$F$100,0))*1</f>
        <v>0</v>
      </c>
      <c r="J138" s="29" t="n">
        <f aca="false">IF(J$132=5,$F$99,IF(J$132=6,$F$100,0))*1</f>
        <v>0</v>
      </c>
      <c r="K138" s="29" t="n">
        <f aca="false">IF(K$132=5,$F$99,IF(K$132=6,$F$100,0))*1</f>
        <v>0</v>
      </c>
      <c r="L138" s="29" t="n">
        <f aca="false">IF(L$132=5,$F$99,IF(L$132=6,$F$100,0))*1</f>
        <v>0</v>
      </c>
    </row>
    <row r="139" customFormat="false" ht="15" hidden="false" customHeight="false" outlineLevel="0" collapsed="false">
      <c r="A139" s="6" t="s">
        <v>410</v>
      </c>
      <c r="B139" s="29" t="n">
        <f aca="false">$B$55*(IF(B$132=0,SUMPRODUCT(($C$70:$C$89=0)*($H$70:$H$89&gt;0)*($J$70:$J$89&gt;0)*$F$70:$F$89*(1+$I$70:$I$89)),IF(B$132=1,SUMPRODUCT(($C$70:$C$89=1)*($H$70:$H$89&gt;0)*($J$70:$J$89&gt;0)*$F$70:$F$89*(1+$I$70:$I$89))*1,0))*1+B138)</f>
        <v>149.115671560178</v>
      </c>
      <c r="C139" s="29" t="n">
        <f aca="false">$B$55*(IF(C$132=0,SUMPRODUCT(($C$70:$C$89=0)*($H$70:$H$89&gt;0)*($J$70:$J$89&gt;0)*$F$70:$F$89*(1+$I$70:$I$89)),IF(C$132=1,SUMPRODUCT(($C$70:$C$89=1)*($H$70:$H$89&gt;0)*($J$70:$J$89&gt;0)*$F$70:$F$89*(1+$I$70:$I$89))*1,0))*1+C138)</f>
        <v>144.109122668155</v>
      </c>
      <c r="D139" s="29" t="n">
        <f aca="false">$B$55*(IF(D$132=0,SUMPRODUCT(($C$70:$C$89=0)*($H$70:$H$89&gt;0)*($J$70:$J$89&gt;0)*$F$70:$F$89*(1+$I$70:$I$89)),IF(D$132=1,SUMPRODUCT(($C$70:$C$89=1)*($H$70:$H$89&gt;0)*($J$70:$J$89&gt;0)*$F$70:$F$89*(1+$I$70:$I$89))*1,0))*1+D138)</f>
        <v>0</v>
      </c>
      <c r="E139" s="29" t="n">
        <f aca="false">$B$55*(IF(E$132=0,SUMPRODUCT(($C$70:$C$89=0)*($H$70:$H$89&gt;0)*($J$70:$J$89&gt;0)*$F$70:$F$89*(1+$I$70:$I$89)),IF(E$132=1,SUMPRODUCT(($C$70:$C$89=1)*($H$70:$H$89&gt;0)*($J$70:$J$89&gt;0)*$F$70:$F$89*(1+$I$70:$I$89))*1,0))*1+E138)</f>
        <v>0</v>
      </c>
      <c r="F139" s="29" t="n">
        <f aca="false">$B$55*(IF(F$132=0,SUMPRODUCT(($C$70:$C$89=0)*($H$70:$H$89&gt;0)*($J$70:$J$89&gt;0)*$F$70:$F$89*(1+$I$70:$I$89)),IF(F$132=1,SUMPRODUCT(($C$70:$C$89=1)*($H$70:$H$89&gt;0)*($J$70:$J$89&gt;0)*$F$70:$F$89*(1+$I$70:$I$89))*1,0))*1+F138)</f>
        <v>0</v>
      </c>
      <c r="G139" s="29" t="n">
        <f aca="false">$B$55*(IF(G$132=0,SUMPRODUCT(($C$70:$C$89=0)*($H$70:$H$89&gt;0)*($J$70:$J$89&gt;0)*$F$70:$F$89*(1+$I$70:$I$89)),IF(G$132=1,SUMPRODUCT(($C$70:$C$89=1)*($H$70:$H$89&gt;0)*($J$70:$J$89&gt;0)*$F$70:$F$89*(1+$I$70:$I$89))*1,0))*1+G138)</f>
        <v>5.21839128108597</v>
      </c>
      <c r="H139" s="29" t="n">
        <f aca="false">$B$55*(IF(H$132=0,SUMPRODUCT(($C$70:$C$89=0)*($H$70:$H$89&gt;0)*($J$70:$J$89&gt;0)*$F$70:$F$89*(1+$I$70:$I$89)),IF(H$132=1,SUMPRODUCT(($C$70:$C$89=1)*($H$70:$H$89&gt;0)*($J$70:$J$89&gt;0)*$F$70:$F$89*(1+$I$70:$I$89))*1,0))*1+H138)</f>
        <v>8.8139395850815</v>
      </c>
      <c r="I139" s="29" t="n">
        <f aca="false">$B$55*(IF(I$132=0,SUMPRODUCT(($C$70:$C$89=0)*($H$70:$H$89&gt;0)*($J$70:$J$89&gt;0)*$F$70:$F$89*(1+$I$70:$I$89)),IF(I$132=1,SUMPRODUCT(($C$70:$C$89=1)*($H$70:$H$89&gt;0)*($J$70:$J$89&gt;0)*$F$70:$F$89*(1+$I$70:$I$89))*1,0))*1+I138)</f>
        <v>0</v>
      </c>
      <c r="J139" s="29" t="n">
        <f aca="false">$B$55*(IF(J$132=0,SUMPRODUCT(($C$70:$C$89=0)*($H$70:$H$89&gt;0)*($J$70:$J$89&gt;0)*$F$70:$F$89*(1+$I$70:$I$89)),IF(J$132=1,SUMPRODUCT(($C$70:$C$89=1)*($H$70:$H$89&gt;0)*($J$70:$J$89&gt;0)*$F$70:$F$89*(1+$I$70:$I$89))*1,0))*1+J138)</f>
        <v>0</v>
      </c>
      <c r="K139" s="29" t="n">
        <f aca="false">$B$55*(IF(K$132=0,SUMPRODUCT(($C$70:$C$89=0)*($H$70:$H$89&gt;0)*($J$70:$J$89&gt;0)*$F$70:$F$89*(1+$I$70:$I$89)),IF(K$132=1,SUMPRODUCT(($C$70:$C$89=1)*($H$70:$H$89&gt;0)*($J$70:$J$89&gt;0)*$F$70:$F$89*(1+$I$70:$I$89))*1,0))*1+K138)</f>
        <v>0</v>
      </c>
      <c r="L139" s="29" t="n">
        <f aca="false">$B$55*(IF(L$132=0,SUMPRODUCT(($C$70:$C$89=0)*($H$70:$H$89&gt;0)*($J$70:$J$89&gt;0)*$F$70:$F$89*(1+$I$70:$I$89)),IF(L$132=1,SUMPRODUCT(($C$70:$C$89=1)*($H$70:$H$89&gt;0)*($J$70:$J$89&gt;0)*$F$70:$F$89*(1+$I$70:$I$89))*1,0))*1+L138)</f>
        <v>0</v>
      </c>
    </row>
    <row r="140" customFormat="false" ht="15" hidden="false" customHeight="false" outlineLevel="0" collapsed="false">
      <c r="A140" s="6" t="s">
        <v>385</v>
      </c>
      <c r="B140" s="29" t="n">
        <f aca="false">IF(B$132=0,(0*$J$125+(1-0)*$E$121)*$B$20*$B$21/12*1,((0*$J$125+(1-0)*$E$121)+(0*$J$104+(1-0)*$E$104)*(B135-1))*IF(B$132=1,$B$20,1))*1</f>
        <v>120.716772261203</v>
      </c>
      <c r="C140" s="29" t="n">
        <f aca="false">IF(C$132=0,(0*$J$125+(1-0)*$E$121)*$B$20*$B$21/12*1,((0*$J$125+(1-0)*$E$121)+(0*$J$104+(1-0)*$E$104)*(C135-1))*IF(C$132=1,$B$20,1))*1</f>
        <v>181.328317354069</v>
      </c>
      <c r="D140" s="29" t="n">
        <f aca="false">IF(D$132=0,(0*$J$125+(1-0)*$E$121)*$B$20*$B$21/12*1,((0*$J$125+(1-0)*$E$121)+(0*$J$104+(1-0)*$E$104)*(D135-1))*IF(D$132=1,$B$20,1))*1</f>
        <v>241.83157753184</v>
      </c>
      <c r="E140" s="29" t="n">
        <f aca="false">IF(E$132=0,(0*$J$125+(1-0)*$E$121)*$B$20*$B$21/12*1,((0*$J$125+(1-0)*$E$121)+(0*$J$104+(1-0)*$E$104)*(E135-1))*IF(E$132=1,$B$20,1))*1</f>
        <v>241.892367696887</v>
      </c>
      <c r="F140" s="29" t="n">
        <f aca="false">IF(F$132=0,(0*$J$125+(1-0)*$E$121)*$B$20*$B$21/12*1,((0*$J$125+(1-0)*$E$121)+(0*$J$104+(1-0)*$E$104)*(F135-1))*IF(F$132=1,$B$20,1))*1</f>
        <v>241.95346181276</v>
      </c>
      <c r="G140" s="29" t="n">
        <f aca="false">IF(G$132=0,(0*$J$125+(1-0)*$E$121)*$B$20*$B$21/12*1,((0*$J$125+(1-0)*$E$121)+(0*$J$104+(1-0)*$E$104)*(G135-1))*IF(G$132=1,$B$20,1))*1</f>
        <v>242.014861399211</v>
      </c>
      <c r="H140" s="29" t="n">
        <f aca="false">IF(H$132=0,(0*$J$125+(1-0)*$E$121)*$B$20*$B$21/12*1,((0*$J$125+(1-0)*$E$121)+(0*$J$104+(1-0)*$E$104)*(H135-1))*IF(H$132=1,$B$20,1))*1</f>
        <v>242.076567983595</v>
      </c>
      <c r="I140" s="29" t="n">
        <f aca="false">IF(I$132=0,(0*$J$125+(1-0)*$E$121)*$B$20*$B$21/12*1,((0*$J$125+(1-0)*$E$121)+(0*$J$104+(1-0)*$E$104)*(I135-1))*IF(I$132=1,$B$20,1))*1</f>
        <v>242.138583100901</v>
      </c>
      <c r="J140" s="29" t="n">
        <f aca="false">IF(J$132=0,(0*$J$125+(1-0)*$E$121)*$B$20*$B$21/12*1,((0*$J$125+(1-0)*$E$121)+(0*$J$104+(1-0)*$E$104)*(J135-1))*IF(J$132=1,$B$20,1))*1</f>
        <v>242.200908293794</v>
      </c>
      <c r="K140" s="29" t="n">
        <f aca="false">IF(K$132=0,(0*$J$125+(1-0)*$E$121)*$B$20*$B$21/12*1,((0*$J$125+(1-0)*$E$121)+(0*$J$104+(1-0)*$E$104)*(K135-1))*IF(K$132=1,$B$20,1))*1</f>
        <v>242.263545112651</v>
      </c>
      <c r="L140" s="29" t="n">
        <f aca="false">IF(L$132=0,(0*$J$125+(1-0)*$E$121)*$B$20*$B$21/12*1,((0*$J$125+(1-0)*$E$121)+(0*$J$104+(1-0)*$E$104)*(L135-1))*IF(L$132=1,$B$20,1))*1</f>
        <v>242.326495115602</v>
      </c>
    </row>
    <row r="141" customFormat="false" ht="15" hidden="false" customHeight="false" outlineLevel="0" collapsed="false">
      <c r="A141" s="6" t="s">
        <v>386</v>
      </c>
      <c r="B141" s="29" t="n">
        <f aca="false">IF(B$132&lt;=1,0,(((0*$J$126+(1-0)*$E$122)-(0*$J$113+(1-0)*$E$113)+1*(0*$J$113+(1-0)*$E$113)-(1-1)*((0*$J$118+(1-0)*$E$118)+(0*$J$117+(1-0)*$E$117)))+(1*(0*$J$113+(1-0)*$E$113)+1*(0*$J$118+(1-0)*$E$118))*(B135-1))*IF(B$132=2,$B$20,1)+IF(B$132=2,$B$24*1*(0*$J$118+(1-0)*$E$118)*B135,0))*1*1</f>
        <v>0</v>
      </c>
      <c r="C141" s="29" t="n">
        <f aca="false">IF(C$132&lt;=1,0,(((0*$J$126+(1-0)*$E$122)-(0*$J$113+(1-0)*$E$113)+1*(0*$J$113+(1-0)*$E$113)-(1-1)*((0*$J$118+(1-0)*$E$118)+(0*$J$117+(1-0)*$E$117)))+(1*(0*$J$113+(1-0)*$E$113)+1*(0*$J$118+(1-0)*$E$118))*(C135-1))*IF(C$132=2,$B$20,1)+IF(C$132=2,$B$24*1*(0*$J$118+(1-0)*$E$118)*C135,0))*1*1</f>
        <v>0</v>
      </c>
      <c r="D141" s="29" t="n">
        <f aca="false">IF(D$132&lt;=1,0,(((0*$J$126+(1-0)*$E$122)-(0*$J$113+(1-0)*$E$113)+1*(0*$J$113+(1-0)*$E$113)-(1-1)*((0*$J$118+(1-0)*$E$118)+(0*$J$117+(1-0)*$E$117)))+(1*(0*$J$113+(1-0)*$E$113)+1*(0*$J$118+(1-0)*$E$118))*(D135-1))*IF(D$132=2,$B$20,1)+IF(D$132=2,$B$24*1*(0*$J$118+(1-0)*$E$118)*D135,0))*1*1</f>
        <v>235.201505618611</v>
      </c>
      <c r="E141" s="29" t="n">
        <f aca="false">IF(E$132&lt;=1,0,(((0*$J$126+(1-0)*$E$122)-(0*$J$113+(1-0)*$E$113)+1*(0*$J$113+(1-0)*$E$113)-(1-1)*((0*$J$118+(1-0)*$E$118)+(0*$J$117+(1-0)*$E$117)))+(1*(0*$J$113+(1-0)*$E$113)+1*(0*$J$118+(1-0)*$E$118))*(E135-1))*IF(E$132=2,$B$20,1)+IF(E$132=2,$B$24*1*(0*$J$118+(1-0)*$E$118)*E135,0))*1*1</f>
        <v>298.96150264002</v>
      </c>
      <c r="F141" s="29" t="n">
        <f aca="false">IF(F$132&lt;=1,0,(((0*$J$126+(1-0)*$E$122)-(0*$J$113+(1-0)*$E$113)+1*(0*$J$113+(1-0)*$E$113)-(1-1)*((0*$J$118+(1-0)*$E$118)+(0*$J$117+(1-0)*$E$117)))+(1*(0*$J$113+(1-0)*$E$113)+1*(0*$J$118+(1-0)*$E$118))*(F135-1))*IF(F$132=2,$B$20,1)+IF(F$132=2,$B$24*1*(0*$J$118+(1-0)*$E$118)*F135,0))*1*1</f>
        <v>299.209619559583</v>
      </c>
      <c r="G141" s="29" t="n">
        <f aca="false">IF(G$132&lt;=1,0,(((0*$J$126+(1-0)*$E$122)-(0*$J$113+(1-0)*$E$113)+1*(0*$J$113+(1-0)*$E$113)-(1-1)*((0*$J$118+(1-0)*$E$118)+(0*$J$117+(1-0)*$E$117)))+(1*(0*$J$113+(1-0)*$E$113)+1*(0*$J$118+(1-0)*$E$118))*(G135-1))*IF(G$132=2,$B$20,1)+IF(G$132=2,$B$24*1*(0*$J$118+(1-0)*$E$118)*G135,0))*1*1</f>
        <v>299.458977063744</v>
      </c>
      <c r="H141" s="29" t="n">
        <f aca="false">IF(H$132&lt;=1,0,(((0*$J$126+(1-0)*$E$122)-(0*$J$113+(1-0)*$E$113)+1*(0*$J$113+(1-0)*$E$113)-(1-1)*((0*$J$118+(1-0)*$E$118)+(0*$J$117+(1-0)*$E$117)))+(1*(0*$J$113+(1-0)*$E$113)+1*(0*$J$118+(1-0)*$E$118))*(H135-1))*IF(H$132=2,$B$20,1)+IF(H$132=2,$B$24*1*(0*$J$118+(1-0)*$E$118)*H135,0))*1*1</f>
        <v>299.709581355426</v>
      </c>
      <c r="I141" s="29" t="n">
        <f aca="false">IF(I$132&lt;=1,0,(((0*$J$126+(1-0)*$E$122)-(0*$J$113+(1-0)*$E$113)+1*(0*$J$113+(1-0)*$E$113)-(1-1)*((0*$J$118+(1-0)*$E$118)+(0*$J$117+(1-0)*$E$117)))+(1*(0*$J$113+(1-0)*$E$113)+1*(0*$J$118+(1-0)*$E$118))*(I135-1))*IF(I$132=2,$B$20,1)+IF(I$132=2,$B$24*1*(0*$J$118+(1-0)*$E$118)*I135,0))*1*1</f>
        <v>299.961438668567</v>
      </c>
      <c r="J141" s="29" t="n">
        <f aca="false">IF(J$132&lt;=1,0,(((0*$J$126+(1-0)*$E$122)-(0*$J$113+(1-0)*$E$113)+1*(0*$J$113+(1-0)*$E$113)-(1-1)*((0*$J$118+(1-0)*$E$118)+(0*$J$117+(1-0)*$E$117)))+(1*(0*$J$113+(1-0)*$E$113)+1*(0*$J$118+(1-0)*$E$118))*(J135-1))*IF(J$132=2,$B$20,1)+IF(J$132=2,$B$24*1*(0*$J$118+(1-0)*$E$118)*J135,0))*1*1</f>
        <v>300.214555268273</v>
      </c>
      <c r="K141" s="29" t="n">
        <f aca="false">IF(K$132&lt;=1,0,(((0*$J$126+(1-0)*$E$122)-(0*$J$113+(1-0)*$E$113)+1*(0*$J$113+(1-0)*$E$113)-(1-1)*((0*$J$118+(1-0)*$E$118)+(0*$J$117+(1-0)*$E$117)))+(1*(0*$J$113+(1-0)*$E$113)+1*(0*$J$118+(1-0)*$E$118))*(K135-1))*IF(K$132=2,$B$20,1)+IF(K$132=2,$B$24*1*(0*$J$118+(1-0)*$E$118)*K135,0))*1*1</f>
        <v>300.468937450978</v>
      </c>
      <c r="L141" s="29" t="n">
        <f aca="false">IF(L$132&lt;=1,0,(((0*$J$126+(1-0)*$E$122)-(0*$J$113+(1-0)*$E$113)+1*(0*$J$113+(1-0)*$E$113)-(1-1)*((0*$J$118+(1-0)*$E$118)+(0*$J$117+(1-0)*$E$117)))+(1*(0*$J$113+(1-0)*$E$113)+1*(0*$J$118+(1-0)*$E$118))*(L135-1))*IF(L$132=2,$B$20,1)+IF(L$132=2,$B$24*1*(0*$J$118+(1-0)*$E$118)*L135,0))*1*1</f>
        <v>300.724591544596</v>
      </c>
    </row>
    <row r="142" customFormat="false" ht="15" hidden="false" customHeight="false" outlineLevel="0" collapsed="false">
      <c r="A142" s="5" t="s">
        <v>411</v>
      </c>
      <c r="B142" s="10" t="n">
        <f aca="false">B140+B141</f>
        <v>120.716772261203</v>
      </c>
      <c r="C142" s="10" t="n">
        <f aca="false">C140+C141</f>
        <v>181.328317354069</v>
      </c>
      <c r="D142" s="10" t="n">
        <f aca="false">D140+D141</f>
        <v>477.033083150451</v>
      </c>
      <c r="E142" s="10" t="n">
        <f aca="false">E140+E141</f>
        <v>540.853870336907</v>
      </c>
      <c r="F142" s="10" t="n">
        <f aca="false">F140+F141</f>
        <v>541.163081372343</v>
      </c>
      <c r="G142" s="10" t="n">
        <f aca="false">G140+G141</f>
        <v>541.473838462956</v>
      </c>
      <c r="H142" s="10" t="n">
        <f aca="false">H140+H141</f>
        <v>541.786149339022</v>
      </c>
      <c r="I142" s="10" t="n">
        <f aca="false">I140+I141</f>
        <v>542.100021769468</v>
      </c>
      <c r="J142" s="10" t="n">
        <f aca="false">J140+J141</f>
        <v>542.415463562067</v>
      </c>
      <c r="K142" s="10" t="n">
        <f aca="false">K140+K141</f>
        <v>542.732482563628</v>
      </c>
      <c r="L142" s="10" t="n">
        <f aca="false">L140+L141</f>
        <v>543.051086660198</v>
      </c>
    </row>
    <row r="143" customFormat="false" ht="15" hidden="false" customHeight="false" outlineLevel="0" collapsed="false">
      <c r="A143" s="6" t="s">
        <v>412</v>
      </c>
      <c r="B143" s="29" t="n">
        <f aca="false">(IF(B$132&gt;=1,($B$31+$B$33)*$F$94*1+$B$32+'Beneficios y costos'!$B$211,0)+IF(B$132&gt;=2,(($B$31+$B$33)*$F$95*1+'Beneficios y costos'!$C$211)*1,0))*1</f>
        <v>0</v>
      </c>
      <c r="C143" s="29" t="n">
        <f aca="false">(IF(C$132&gt;=1,($B$31+$B$33)*$F$94*1+$B$32+'Beneficios y costos'!$B$211,0)+IF(C$132&gt;=2,(($B$31+$B$33)*$F$95*1+'Beneficios y costos'!$C$211)*1,0))*1</f>
        <v>42.0946487260605</v>
      </c>
      <c r="D143" s="29" t="n">
        <f aca="false">(IF(D$132&gt;=1,($B$31+$B$33)*$F$94*1+$B$32+'Beneficios y costos'!$B$211,0)+IF(D$132&gt;=2,(($B$31+$B$33)*$F$95*1+'Beneficios y costos'!$C$211)*1,0))*1</f>
        <v>95.9432442337815</v>
      </c>
      <c r="E143" s="29" t="n">
        <f aca="false">(IF(E$132&gt;=1,($B$31+$B$33)*$F$94*1+$B$32+'Beneficios y costos'!$B$211,0)+IF(E$132&gt;=2,(($B$31+$B$33)*$F$95*1+'Beneficios y costos'!$C$211)*1,0))*1</f>
        <v>95.9432442337815</v>
      </c>
      <c r="F143" s="29" t="n">
        <f aca="false">(IF(F$132&gt;=1,($B$31+$B$33)*$F$94*1+$B$32+'Beneficios y costos'!$B$211,0)+IF(F$132&gt;=2,(($B$31+$B$33)*$F$95*1+'Beneficios y costos'!$C$211)*1,0))*1</f>
        <v>95.9432442337815</v>
      </c>
      <c r="G143" s="29" t="n">
        <f aca="false">(IF(G$132&gt;=1,($B$31+$B$33)*$F$94*1+$B$32+'Beneficios y costos'!$B$211,0)+IF(G$132&gt;=2,(($B$31+$B$33)*$F$95*1+'Beneficios y costos'!$C$211)*1,0))*1</f>
        <v>95.9432442337815</v>
      </c>
      <c r="H143" s="29" t="n">
        <f aca="false">(IF(H$132&gt;=1,($B$31+$B$33)*$F$94*1+$B$32+'Beneficios y costos'!$B$211,0)+IF(H$132&gt;=2,(($B$31+$B$33)*$F$95*1+'Beneficios y costos'!$C$211)*1,0))*1</f>
        <v>95.9432442337815</v>
      </c>
      <c r="I143" s="29" t="n">
        <f aca="false">(IF(I$132&gt;=1,($B$31+$B$33)*$F$94*1+$B$32+'Beneficios y costos'!$B$211,0)+IF(I$132&gt;=2,(($B$31+$B$33)*$F$95*1+'Beneficios y costos'!$C$211)*1,0))*1</f>
        <v>95.9432442337815</v>
      </c>
      <c r="J143" s="29" t="n">
        <f aca="false">(IF(J$132&gt;=1,($B$31+$B$33)*$F$94*1+$B$32+'Beneficios y costos'!$B$211,0)+IF(J$132&gt;=2,(($B$31+$B$33)*$F$95*1+'Beneficios y costos'!$C$211)*1,0))*1</f>
        <v>95.9432442337815</v>
      </c>
      <c r="K143" s="29" t="n">
        <f aca="false">(IF(K$132&gt;=1,($B$31+$B$33)*$F$94*1+$B$32+'Beneficios y costos'!$B$211,0)+IF(K$132&gt;=2,(($B$31+$B$33)*$F$95*1+'Beneficios y costos'!$C$211)*1,0))*1</f>
        <v>95.9432442337815</v>
      </c>
      <c r="L143" s="29" t="n">
        <f aca="false">(IF(L$132&gt;=1,($B$31+$B$33)*$F$94*1+$B$32+'Beneficios y costos'!$B$211,0)+IF(L$132&gt;=2,(($B$31+$B$33)*$F$95*1+'Beneficios y costos'!$C$211)*1,0))*1</f>
        <v>95.9432442337815</v>
      </c>
    </row>
    <row r="144" customFormat="false" ht="15" hidden="false" customHeight="false" outlineLevel="0" collapsed="false">
      <c r="A144" s="6" t="s">
        <v>413</v>
      </c>
      <c r="B144" s="29" t="n">
        <f aca="false">IF(B$132=1,2*$B$22*$B$23/12*B135,0)*1</f>
        <v>0</v>
      </c>
      <c r="C144" s="29" t="n">
        <f aca="false">IF(C$132=1,2*$B$22*$B$23/12*C135,0)*1</f>
        <v>18.5166509433962</v>
      </c>
      <c r="D144" s="29" t="n">
        <f aca="false">IF(D$132=1,2*$B$22*$B$23/12*D135,0)*1</f>
        <v>0</v>
      </c>
      <c r="E144" s="29" t="n">
        <f aca="false">IF(E$132=1,2*$B$22*$B$23/12*E135,0)*1</f>
        <v>0</v>
      </c>
      <c r="F144" s="29" t="n">
        <f aca="false">IF(F$132=1,2*$B$22*$B$23/12*F135,0)*1</f>
        <v>0</v>
      </c>
      <c r="G144" s="29" t="n">
        <f aca="false">IF(G$132=1,2*$B$22*$B$23/12*G135,0)*1</f>
        <v>0</v>
      </c>
      <c r="H144" s="29" t="n">
        <f aca="false">IF(H$132=1,2*$B$22*$B$23/12*H135,0)*1</f>
        <v>0</v>
      </c>
      <c r="I144" s="29" t="n">
        <f aca="false">IF(I$132=1,2*$B$22*$B$23/12*I135,0)*1</f>
        <v>0</v>
      </c>
      <c r="J144" s="29" t="n">
        <f aca="false">IF(J$132=1,2*$B$22*$B$23/12*J135,0)*1</f>
        <v>0</v>
      </c>
      <c r="K144" s="29" t="n">
        <f aca="false">IF(K$132=1,2*$B$22*$B$23/12*K135,0)*1</f>
        <v>0</v>
      </c>
      <c r="L144" s="29" t="n">
        <f aca="false">IF(L$132=1,2*$B$22*$B$23/12*L135,0)*1</f>
        <v>0</v>
      </c>
    </row>
    <row r="145" customFormat="false" ht="15" hidden="false" customHeight="false" outlineLevel="0" collapsed="false">
      <c r="A145" s="6" t="s">
        <v>414</v>
      </c>
      <c r="B145" s="29" t="n">
        <f aca="false">$B$52*(B137+B138+B139+B143+B144)</f>
        <v>4.31966364396742</v>
      </c>
      <c r="C145" s="29" t="n">
        <f aca="false">$B$52*(C137+C138+C139+C143+C144)</f>
        <v>3.85275795604844</v>
      </c>
      <c r="D145" s="29" t="n">
        <f aca="false">$B$52*(D137+D138+D139+D143+D144)</f>
        <v>0.383772976935126</v>
      </c>
      <c r="E145" s="29" t="n">
        <f aca="false">$B$52*(E137+E138+E139+E143+E144)</f>
        <v>0.383772976935126</v>
      </c>
      <c r="F145" s="29" t="n">
        <f aca="false">$B$52*(F137+F138+F139+F143+F144)</f>
        <v>0.383772976935126</v>
      </c>
      <c r="G145" s="29" t="n">
        <f aca="false">$B$52*(G137+G138+G139+G143+G144)</f>
        <v>0.514507411134964</v>
      </c>
      <c r="H145" s="29" t="n">
        <f aca="false">$B$52*(H137+H138+H139+H143+H144)</f>
        <v>0.604585358119273</v>
      </c>
      <c r="I145" s="29" t="n">
        <f aca="false">$B$52*(I137+I138+I139+I143+I144)</f>
        <v>0.383772976935126</v>
      </c>
      <c r="J145" s="29" t="n">
        <f aca="false">$B$52*(J137+J138+J139+J143+J144)</f>
        <v>0.383772976935126</v>
      </c>
      <c r="K145" s="29" t="n">
        <f aca="false">$B$52*(K137+K138+K139+K143+K144)</f>
        <v>0.383772976935126</v>
      </c>
      <c r="L145" s="29" t="n">
        <f aca="false">$B$52*(L137+L138+L139+L143+L144)</f>
        <v>0.383772976935126</v>
      </c>
    </row>
    <row r="146" customFormat="false" ht="15" hidden="false" customHeight="false" outlineLevel="0" collapsed="false">
      <c r="A146" s="6" t="s">
        <v>415</v>
      </c>
      <c r="B146" s="29" t="n">
        <f aca="false">(IF(1=1,(SUMPRODUCT(($C$70:$C$89=0)*($J$70:$J$89&gt;0)*(B$132&gt;=1)*(B$132&lt;=$J$70:$J$89)*($H$70:$H$89&gt;0)*$F$70:$F$89*(1+$I$70:$I$89)/($J$70:$J$89+($J$70:$J$89=0)))+SUMPRODUCT(($C$70:$C$89=0)*($J$70:$J$89=0)*(B$132=0)*($H$70:$H$89&gt;0)*$F$70:$F$89*(1+$I$70:$I$89)))*$B$134+(SUMPRODUCT(($C$70:$C$89=1)*($J$70:$J$89&gt;0)*(B$132&gt;=2)*(B$132&lt;=$J$70:$J$89+1)*($H$70:$H$89&gt;0)*$F$70:$F$89*(1+$I$70:$I$89)/($J$70:$J$89+($J$70:$J$89=0)))+SUMPRODUCT(($C$70:$C$89=1)*($J$70:$J$89=0)*(B$132=1)*($H$70:$H$89&gt;0)*$F$70:$F$89*(1+$I$70:$I$89)))*$C$134*1,IF(AND(B$132&gt;=1,B$132&lt;=$B$30),$F$92/$B$30,0)*$B$134+IF(AND(B$132&gt;=2,B$132&lt;=$B$30+1),$F$93/$B$30,0)*$C$134*1)*1+IF(AND(B$132&gt;=6,B$132&lt;=10),$G138*$G134/5,0)+IF(AND(B$132&gt;=7,B$132&lt;=11),$H138*$H134/5,0))*B136</f>
        <v>145.980915430742</v>
      </c>
      <c r="C146" s="29" t="n">
        <f aca="false">(IF(1=1,(SUMPRODUCT(($C$70:$C$89=0)*($J$70:$J$89&gt;0)*(C$132&gt;=1)*(C$132&lt;=$J$70:$J$89)*($H$70:$H$89&gt;0)*$F$70:$F$89*(1+$I$70:$I$89)/($J$70:$J$89+($J$70:$J$89=0)))+SUMPRODUCT(($C$70:$C$89=0)*($J$70:$J$89=0)*(C$132=0)*($H$70:$H$89&gt;0)*$F$70:$F$89*(1+$I$70:$I$89)))*$B$134+(SUMPRODUCT(($C$70:$C$89=1)*($J$70:$J$89&gt;0)*(C$132&gt;=2)*(C$132&lt;=$J$70:$J$89+1)*($H$70:$H$89&gt;0)*$F$70:$F$89*(1+$I$70:$I$89)/($J$70:$J$89+($J$70:$J$89=0)))+SUMPRODUCT(($C$70:$C$89=1)*($J$70:$J$89=0)*(C$132=1)*($H$70:$H$89&gt;0)*$F$70:$F$89*(1+$I$70:$I$89)))*$C$134*1,IF(AND(C$132&gt;=1,C$132&lt;=$B$30),$F$92/$B$30,0)*$B$134+IF(AND(C$132&gt;=2,C$132&lt;=$B$30+1),$F$93/$B$30,0)*$C$134*1)*1+IF(AND(C$132&gt;=6,C$132&lt;=10),$G138*$G134/5,0)+IF(AND(C$132&gt;=7,C$132&lt;=11),$H138*$H134/5,0))*C136</f>
        <v>82.2633269524265</v>
      </c>
      <c r="D146" s="29" t="n">
        <f aca="false">(IF(1=1,(SUMPRODUCT(($C$70:$C$89=0)*($J$70:$J$89&gt;0)*(D$132&gt;=1)*(D$132&lt;=$J$70:$J$89)*($H$70:$H$89&gt;0)*$F$70:$F$89*(1+$I$70:$I$89)/($J$70:$J$89+($J$70:$J$89=0)))+SUMPRODUCT(($C$70:$C$89=0)*($J$70:$J$89=0)*(D$132=0)*($H$70:$H$89&gt;0)*$F$70:$F$89*(1+$I$70:$I$89)))*$B$134+(SUMPRODUCT(($C$70:$C$89=1)*($J$70:$J$89&gt;0)*(D$132&gt;=2)*(D$132&lt;=$J$70:$J$89+1)*($H$70:$H$89&gt;0)*$F$70:$F$89*(1+$I$70:$I$89)/($J$70:$J$89+($J$70:$J$89=0)))+SUMPRODUCT(($C$70:$C$89=1)*($J$70:$J$89=0)*(D$132=1)*($H$70:$H$89&gt;0)*$F$70:$F$89*(1+$I$70:$I$89)))*$C$134*1,IF(AND(D$132&gt;=1,D$132&lt;=$B$30),$F$92/$B$30,0)*$B$134+IF(AND(D$132&gt;=2,D$132&lt;=$B$30+1),$F$93/$B$30,0)*$C$134*1)*1+IF(AND(D$132&gt;=6,D$132&lt;=10),$G138*$G134/5,0)+IF(AND(D$132&gt;=7,D$132&lt;=11),$H138*$H134/5,0))*D136</f>
        <v>151.301658966389</v>
      </c>
      <c r="E146" s="29" t="n">
        <f aca="false">(IF(1=1,(SUMPRODUCT(($C$70:$C$89=0)*($J$70:$J$89&gt;0)*(E$132&gt;=1)*(E$132&lt;=$J$70:$J$89)*($H$70:$H$89&gt;0)*$F$70:$F$89*(1+$I$70:$I$89)/($J$70:$J$89+($J$70:$J$89=0)))+SUMPRODUCT(($C$70:$C$89=0)*($J$70:$J$89=0)*(E$132=0)*($H$70:$H$89&gt;0)*$F$70:$F$89*(1+$I$70:$I$89)))*$B$134+(SUMPRODUCT(($C$70:$C$89=1)*($J$70:$J$89&gt;0)*(E$132&gt;=2)*(E$132&lt;=$J$70:$J$89+1)*($H$70:$H$89&gt;0)*$F$70:$F$89*(1+$I$70:$I$89)/($J$70:$J$89+($J$70:$J$89=0)))+SUMPRODUCT(($C$70:$C$89=1)*($J$70:$J$89=0)*(E$132=1)*($H$70:$H$89&gt;0)*$F$70:$F$89*(1+$I$70:$I$89)))*$C$134*1,IF(AND(E$132&gt;=1,E$132&lt;=$B$30),$F$92/$B$30,0)*$B$134+IF(AND(E$132&gt;=2,E$132&lt;=$B$30+1),$F$93/$B$30,0)*$C$134*1)*1+IF(AND(E$132&gt;=6,E$132&lt;=10),$G138*$G134/5,0)+IF(AND(E$132&gt;=7,E$132&lt;=11),$H138*$H134/5,0))*E136</f>
        <v>145.482364390759</v>
      </c>
      <c r="F146" s="29" t="n">
        <f aca="false">(IF(1=1,(SUMPRODUCT(($C$70:$C$89=0)*($J$70:$J$89&gt;0)*(F$132&gt;=1)*(F$132&lt;=$J$70:$J$89)*($H$70:$H$89&gt;0)*$F$70:$F$89*(1+$I$70:$I$89)/($J$70:$J$89+($J$70:$J$89=0)))+SUMPRODUCT(($C$70:$C$89=0)*($J$70:$J$89=0)*(F$132=0)*($H$70:$H$89&gt;0)*$F$70:$F$89*(1+$I$70:$I$89)))*$B$134+(SUMPRODUCT(($C$70:$C$89=1)*($J$70:$J$89&gt;0)*(F$132&gt;=2)*(F$132&lt;=$J$70:$J$89+1)*($H$70:$H$89&gt;0)*$F$70:$F$89*(1+$I$70:$I$89)/($J$70:$J$89+($J$70:$J$89=0)))+SUMPRODUCT(($C$70:$C$89=1)*($J$70:$J$89=0)*(F$132=1)*($H$70:$H$89&gt;0)*$F$70:$F$89*(1+$I$70:$I$89)))*$C$134*1,IF(AND(F$132&gt;=1,F$132&lt;=$B$30),$F$92/$B$30,0)*$B$134+IF(AND(F$132&gt;=2,F$132&lt;=$B$30+1),$F$93/$B$30,0)*$C$134*1)*1+IF(AND(F$132&gt;=6,F$132&lt;=10),$G138*$G134/5,0)+IF(AND(F$132&gt;=7,F$132&lt;=11),$H138*$H134/5,0))*F136</f>
        <v>139.886888837268</v>
      </c>
      <c r="G146" s="29" t="n">
        <f aca="false">(IF(1=1,(SUMPRODUCT(($C$70:$C$89=0)*($J$70:$J$89&gt;0)*(G$132&gt;=1)*(G$132&lt;=$J$70:$J$89)*($H$70:$H$89&gt;0)*$F$70:$F$89*(1+$I$70:$I$89)/($J$70:$J$89+($J$70:$J$89=0)))+SUMPRODUCT(($C$70:$C$89=0)*($J$70:$J$89=0)*(G$132=0)*($H$70:$H$89&gt;0)*$F$70:$F$89*(1+$I$70:$I$89)))*$B$134+(SUMPRODUCT(($C$70:$C$89=1)*($J$70:$J$89&gt;0)*(G$132&gt;=2)*(G$132&lt;=$J$70:$J$89+1)*($H$70:$H$89&gt;0)*$F$70:$F$89*(1+$I$70:$I$89)/($J$70:$J$89+($J$70:$J$89=0)))+SUMPRODUCT(($C$70:$C$89=1)*($J$70:$J$89=0)*(G$132=1)*($H$70:$H$89&gt;0)*$F$70:$F$89*(1+$I$70:$I$89)))*$C$134*1,IF(AND(G$132&gt;=1,G$132&lt;=$B$30),$F$92/$B$30,0)*$B$134+IF(AND(G$132&gt;=2,G$132&lt;=$B$30+1),$F$93/$B$30,0)*$C$134*1)*1+IF(AND(G$132&gt;=6,G$132&lt;=10),$G138*$G134/5,0)+IF(AND(G$132&gt;=7,G$132&lt;=11),$H138*$H134/5,0))*G136</f>
        <v>134.506623881988</v>
      </c>
      <c r="H146" s="29" t="n">
        <f aca="false">(IF(1=1,(SUMPRODUCT(($C$70:$C$89=0)*($J$70:$J$89&gt;0)*(H$132&gt;=1)*(H$132&lt;=$J$70:$J$89)*($H$70:$H$89&gt;0)*$F$70:$F$89*(1+$I$70:$I$89)/($J$70:$J$89+($J$70:$J$89=0)))+SUMPRODUCT(($C$70:$C$89=0)*($J$70:$J$89=0)*(H$132=0)*($H$70:$H$89&gt;0)*$F$70:$F$89*(1+$I$70:$I$89)))*$B$134+(SUMPRODUCT(($C$70:$C$89=1)*($J$70:$J$89&gt;0)*(H$132&gt;=2)*(H$132&lt;=$J$70:$J$89+1)*($H$70:$H$89&gt;0)*$F$70:$F$89*(1+$I$70:$I$89)/($J$70:$J$89+($J$70:$J$89=0)))+SUMPRODUCT(($C$70:$C$89=1)*($J$70:$J$89=0)*(H$132=1)*($H$70:$H$89&gt;0)*$F$70:$F$89*(1+$I$70:$I$89)))*$C$134*1,IF(AND(H$132&gt;=1,H$132&lt;=$B$30),$F$92/$B$30,0)*$B$134+IF(AND(H$132&gt;=2,H$132&lt;=$B$30+1),$F$93/$B$30,0)*$C$134*1)*1+IF(AND(H$132&gt;=6,H$132&lt;=10),$G138*$G134/5,0)+IF(AND(H$132&gt;=7,H$132&lt;=11),$H138*$H134/5,0))*H136</f>
        <v>122.314670590318</v>
      </c>
      <c r="I146" s="29" t="n">
        <f aca="false">(IF(1=1,(SUMPRODUCT(($C$70:$C$89=0)*($J$70:$J$89&gt;0)*(I$132&gt;=1)*(I$132&lt;=$J$70:$J$89)*($H$70:$H$89&gt;0)*$F$70:$F$89*(1+$I$70:$I$89)/($J$70:$J$89+($J$70:$J$89=0)))+SUMPRODUCT(($C$70:$C$89=0)*($J$70:$J$89=0)*(I$132=0)*($H$70:$H$89&gt;0)*$F$70:$F$89*(1+$I$70:$I$89)))*$B$134+(SUMPRODUCT(($C$70:$C$89=1)*($J$70:$J$89&gt;0)*(I$132&gt;=2)*(I$132&lt;=$J$70:$J$89+1)*($H$70:$H$89&gt;0)*$F$70:$F$89*(1+$I$70:$I$89)/($J$70:$J$89+($J$70:$J$89=0)))+SUMPRODUCT(($C$70:$C$89=1)*($J$70:$J$89=0)*(I$132=1)*($H$70:$H$89&gt;0)*$F$70:$F$89*(1+$I$70:$I$89)))*$C$134*1,IF(AND(I$132&gt;=1,I$132&lt;=$B$30),$F$92/$B$30,0)*$B$134+IF(AND(I$132&gt;=2,I$132&lt;=$B$30+1),$F$93/$B$30,0)*$C$134*1)*1+IF(AND(I$132&gt;=6,I$132&lt;=10),$G138*$G134/5,0)+IF(AND(I$132&gt;=7,I$132&lt;=11),$H138*$H134/5,0))*I136</f>
        <v>126.531251665874</v>
      </c>
      <c r="J146" s="29" t="n">
        <f aca="false">(IF(1=1,(SUMPRODUCT(($C$70:$C$89=0)*($J$70:$J$89&gt;0)*(J$132&gt;=1)*(J$132&lt;=$J$70:$J$89)*($H$70:$H$89&gt;0)*$F$70:$F$89*(1+$I$70:$I$89)/($J$70:$J$89+($J$70:$J$89=0)))+SUMPRODUCT(($C$70:$C$89=0)*($J$70:$J$89=0)*(J$132=0)*($H$70:$H$89&gt;0)*$F$70:$F$89*(1+$I$70:$I$89)))*$B$134+(SUMPRODUCT(($C$70:$C$89=1)*($J$70:$J$89&gt;0)*(J$132&gt;=2)*(J$132&lt;=$J$70:$J$89+1)*($H$70:$H$89&gt;0)*$F$70:$F$89*(1+$I$70:$I$89)/($J$70:$J$89+($J$70:$J$89=0)))+SUMPRODUCT(($C$70:$C$89=1)*($J$70:$J$89=0)*(J$132=1)*($H$70:$H$89&gt;0)*$F$70:$F$89*(1+$I$70:$I$89)))*$C$134*1,IF(AND(J$132&gt;=1,J$132&lt;=$B$30),$F$92/$B$30,0)*$B$134+IF(AND(J$132&gt;=2,J$132&lt;=$B$30+1),$F$93/$B$30,0)*$C$134*1)*1+IF(AND(J$132&gt;=6,J$132&lt;=10),$G138*$G134/5,0)+IF(AND(J$132&gt;=7,J$132&lt;=11),$H138*$H134/5,0))*J136</f>
        <v>121.66466506334</v>
      </c>
      <c r="K146" s="29" t="n">
        <f aca="false">(IF(1=1,(SUMPRODUCT(($C$70:$C$89=0)*($J$70:$J$89&gt;0)*(K$132&gt;=1)*(K$132&lt;=$J$70:$J$89)*($H$70:$H$89&gt;0)*$F$70:$F$89*(1+$I$70:$I$89)/($J$70:$J$89+($J$70:$J$89=0)))+SUMPRODUCT(($C$70:$C$89=0)*($J$70:$J$89=0)*(K$132=0)*($H$70:$H$89&gt;0)*$F$70:$F$89*(1+$I$70:$I$89)))*$B$134+(SUMPRODUCT(($C$70:$C$89=1)*($J$70:$J$89&gt;0)*(K$132&gt;=2)*(K$132&lt;=$J$70:$J$89+1)*($H$70:$H$89&gt;0)*$F$70:$F$89*(1+$I$70:$I$89)/($J$70:$J$89+($J$70:$J$89=0)))+SUMPRODUCT(($C$70:$C$89=1)*($J$70:$J$89=0)*(K$132=1)*($H$70:$H$89&gt;0)*$F$70:$F$89*(1+$I$70:$I$89)))*$C$134*1,IF(AND(K$132&gt;=1,K$132&lt;=$B$30),$F$92/$B$30,0)*$B$134+IF(AND(K$132&gt;=2,K$132&lt;=$B$30+1),$F$93/$B$30,0)*$C$134*1)*1+IF(AND(K$132&gt;=6,K$132&lt;=10),$G138*$G134/5,0)+IF(AND(K$132&gt;=7,K$132&lt;=11),$H138*$H134/5,0))*K136</f>
        <v>116.985254868597</v>
      </c>
      <c r="L146" s="29" t="n">
        <f aca="false">(IF(1=1,(SUMPRODUCT(($C$70:$C$89=0)*($J$70:$J$89&gt;0)*(L$132&gt;=1)*(L$132&lt;=$J$70:$J$89)*($H$70:$H$89&gt;0)*$F$70:$F$89*(1+$I$70:$I$89)/($J$70:$J$89+($J$70:$J$89=0)))+SUMPRODUCT(($C$70:$C$89=0)*($J$70:$J$89=0)*(L$132=0)*($H$70:$H$89&gt;0)*$F$70:$F$89*(1+$I$70:$I$89)))*$B$134+(SUMPRODUCT(($C$70:$C$89=1)*($J$70:$J$89&gt;0)*(L$132&gt;=2)*(L$132&lt;=$J$70:$J$89+1)*($H$70:$H$89&gt;0)*$F$70:$F$89*(1+$I$70:$I$89)/($J$70:$J$89+($J$70:$J$89=0)))+SUMPRODUCT(($C$70:$C$89=1)*($J$70:$J$89=0)*(L$132=1)*($H$70:$H$89&gt;0)*$F$70:$F$89*(1+$I$70:$I$89)))*$C$134*1,IF(AND(L$132&gt;=1,L$132&lt;=$B$30),$F$92/$B$30,0)*$B$134+IF(AND(L$132&gt;=2,L$132&lt;=$B$30+1),$F$93/$B$30,0)*$C$134*1)*1+IF(AND(L$132&gt;=6,L$132&lt;=10),$G138*$G134/5,0)+IF(AND(L$132&gt;=7,L$132&lt;=11),$H138*$H134/5,0))*L136</f>
        <v>112.485821989035</v>
      </c>
    </row>
    <row r="147" customFormat="false" ht="15" hidden="false" customHeight="false" outlineLevel="0" collapsed="false">
      <c r="A147" s="9" t="s">
        <v>416</v>
      </c>
      <c r="B147" s="58" t="n">
        <f aca="false">IF(B$132=1,MIN(1*$B$56*$F$86*1*1,$B$57*$B$58),0)</f>
        <v>0</v>
      </c>
      <c r="C147" s="58" t="n">
        <f aca="false">IF(C$132=1,MIN(1*$B$56*$F$86*1*1,$B$57*$B$58),0)</f>
        <v>20</v>
      </c>
      <c r="D147" s="58" t="n">
        <f aca="false">IF(D$132=1,MIN(1*$B$56*$F$86*1*1,$B$57*$B$58),0)</f>
        <v>0</v>
      </c>
      <c r="E147" s="58" t="n">
        <f aca="false">IF(E$132=1,MIN(1*$B$56*$F$86*1*1,$B$57*$B$58),0)</f>
        <v>0</v>
      </c>
      <c r="F147" s="58" t="n">
        <f aca="false">IF(F$132=1,MIN(1*$B$56*$F$86*1*1,$B$57*$B$58),0)</f>
        <v>0</v>
      </c>
      <c r="G147" s="58" t="n">
        <f aca="false">IF(G$132=1,MIN(1*$B$56*$F$86*1*1,$B$57*$B$58),0)</f>
        <v>0</v>
      </c>
      <c r="H147" s="58" t="n">
        <f aca="false">IF(H$132=1,MIN(1*$B$56*$F$86*1*1,$B$57*$B$58),0)</f>
        <v>0</v>
      </c>
      <c r="I147" s="58" t="n">
        <f aca="false">IF(I$132=1,MIN(1*$B$56*$F$86*1*1,$B$57*$B$58),0)</f>
        <v>0</v>
      </c>
      <c r="J147" s="58" t="n">
        <f aca="false">IF(J$132=1,MIN(1*$B$56*$F$86*1*1,$B$57*$B$58),0)</f>
        <v>0</v>
      </c>
      <c r="K147" s="58" t="n">
        <f aca="false">IF(K$132=1,MIN(1*$B$56*$F$86*1*1,$B$57*$B$58),0)</f>
        <v>0</v>
      </c>
      <c r="L147" s="58" t="n">
        <f aca="false">IF(L$132=1,MIN(1*$B$56*$F$86*1*1,$B$57*$B$58),0)</f>
        <v>0</v>
      </c>
    </row>
    <row r="148" customFormat="false" ht="15" hidden="false" customHeight="false" outlineLevel="0" collapsed="false">
      <c r="A148" s="9" t="s">
        <v>417</v>
      </c>
      <c r="B148" s="58" t="n">
        <v>0</v>
      </c>
      <c r="C148" s="58" t="n">
        <f aca="false">$B$59*$B$60*$F$98*1*$B$134/C134/2</f>
        <v>138.12868344741</v>
      </c>
      <c r="D148" s="58" t="n">
        <f aca="false">$B$59*$B$60*$F$98*1*$B$134/D134/2</f>
        <v>132.18055832288</v>
      </c>
      <c r="E148" s="58" t="n">
        <v>0</v>
      </c>
      <c r="F148" s="58" t="n">
        <v>0</v>
      </c>
      <c r="G148" s="58" t="n">
        <v>0</v>
      </c>
      <c r="H148" s="58" t="n">
        <v>0</v>
      </c>
      <c r="I148" s="58" t="n">
        <v>0</v>
      </c>
      <c r="J148" s="58" t="n">
        <v>0</v>
      </c>
      <c r="K148" s="58" t="n">
        <v>0</v>
      </c>
      <c r="L148" s="58" t="n">
        <v>0</v>
      </c>
    </row>
    <row r="149" customFormat="false" ht="15" hidden="false" customHeight="false" outlineLevel="0" collapsed="false">
      <c r="A149" s="9" t="s">
        <v>418</v>
      </c>
      <c r="B149" s="58" t="n">
        <f aca="false">0</f>
        <v>0</v>
      </c>
      <c r="C149" s="58" t="n">
        <f aca="false">B139*B134/C134</f>
        <v>142.014925295407</v>
      </c>
      <c r="D149" s="58" t="n">
        <f aca="false">C139*C134/D134</f>
        <v>137.903466668091</v>
      </c>
      <c r="E149" s="58" t="n">
        <f aca="false">D139*D134/E134</f>
        <v>0</v>
      </c>
      <c r="F149" s="58" t="n">
        <f aca="false">E139*E134/F134</f>
        <v>0</v>
      </c>
      <c r="G149" s="58" t="n">
        <f aca="false">F139*F134/G134</f>
        <v>0</v>
      </c>
      <c r="H149" s="58" t="n">
        <f aca="false">G139*G134/H134</f>
        <v>5.01768392412113</v>
      </c>
      <c r="I149" s="58" t="n">
        <f aca="false">H139*H134/I134</f>
        <v>8.47494190873221</v>
      </c>
      <c r="J149" s="58" t="n">
        <f aca="false">I139*I134/J134</f>
        <v>0</v>
      </c>
      <c r="K149" s="58" t="n">
        <f aca="false">J139*J134/K134</f>
        <v>0</v>
      </c>
      <c r="L149" s="58" t="n">
        <f aca="false">K139*K134/L134</f>
        <v>0</v>
      </c>
    </row>
    <row r="150" customFormat="false" ht="15" hidden="false" customHeight="false" outlineLevel="0" collapsed="false">
      <c r="A150" s="6" t="s">
        <v>295</v>
      </c>
      <c r="B150" s="29" t="n">
        <f aca="false">$B$54*(B142-B143-B144-0.5*B145-B146)-B147-B148-B149</f>
        <v>-9.59839124703308</v>
      </c>
      <c r="C150" s="29" t="n">
        <f aca="false">$B$54*(C142-C143-C144-0.5*C145-C146)-C147-C148-C149</f>
        <v>-287.35904962886</v>
      </c>
      <c r="D150" s="29" t="n">
        <f aca="false">$B$54*(D142-D143-D144-0.5*D145-D146)-D147-D148-D149</f>
        <v>-189.725322279336</v>
      </c>
      <c r="E150" s="29" t="n">
        <f aca="false">$B$54*(E142-E143-E144-0.5*E145-E146)-E147-E148-E149</f>
        <v>104.732731328365</v>
      </c>
      <c r="F150" s="29" t="n">
        <f aca="false">$B$54*(F142-F143-F144-0.5*F145-F146)-F147-F148-F149</f>
        <v>106.799371634489</v>
      </c>
      <c r="G150" s="29" t="n">
        <f aca="false">$B$54*(G142-G143-G144-0.5*G145-G146)-G147-G148-G149</f>
        <v>108.768350824566</v>
      </c>
      <c r="H150" s="29" t="n">
        <f aca="false">$B$54*(H142-H143-H144-0.5*H145-H146)-H147-H148-H149</f>
        <v>108.111395718431</v>
      </c>
      <c r="I150" s="29" t="n">
        <f aca="false">$B$54*(I142-I143-I144-0.5*I145-I146)-I147-I148-I149</f>
        <v>103.326831874739</v>
      </c>
      <c r="J150" s="29" t="n">
        <f aca="false">$B$54*(J142-J143-J144-0.5*J145-J146)-J147-J148-J149</f>
        <v>113.615483721767</v>
      </c>
      <c r="K150" s="29" t="n">
        <f aca="false">$B$54*(K142-K143-K144-0.5*K145-K146)-K147-K148-K149</f>
        <v>115.364233940474</v>
      </c>
      <c r="L150" s="29" t="n">
        <f aca="false">$B$54*(L142-L143-L144-0.5*L145-L146)-L147-L148-L149</f>
        <v>117.05054688212</v>
      </c>
    </row>
    <row r="151" customFormat="false" ht="15" hidden="false" customHeight="false" outlineLevel="0" collapsed="false">
      <c r="A151" s="9" t="s">
        <v>419</v>
      </c>
      <c r="B151" s="58" t="n">
        <f aca="false">(IF(B$132&gt;=1,$G$123*IF(B$132=1,$B$20,1),$G$123*$B$20*$B$21/12*1)+IF(B$132&gt;=2,$G$124*1*IF(B$132=2,$B$20,1),0))*1</f>
        <v>77.4042870161869</v>
      </c>
      <c r="C151" s="58" t="n">
        <f aca="false">(IF(C$132&gt;=1,$G$123*IF(C$132=1,$B$20,1),$G$123*$B$20*$B$21/12*1)+IF(C$132&gt;=2,$G$124*1*IF(C$132=2,$B$20,1),0))*1</f>
        <v>116.10643052428</v>
      </c>
      <c r="D151" s="58" t="n">
        <f aca="false">(IF(D$132&gt;=1,$G$123*IF(D$132=1,$B$20,1),$G$123*$B$20*$B$21/12*1)+IF(D$132&gt;=2,$G$124*1*IF(D$132=2,$B$20,1),0))*1</f>
        <v>297.090260202792</v>
      </c>
      <c r="E151" s="58" t="n">
        <f aca="false">(IF(E$132&gt;=1,$G$123*IF(E$132=1,$B$20,1),$G$123*$B$20*$B$21/12*1)+IF(E$132&gt;=2,$G$124*1*IF(E$132=2,$B$20,1),0))*1</f>
        <v>344.517488926264</v>
      </c>
      <c r="F151" s="58" t="n">
        <f aca="false">(IF(F$132&gt;=1,$G$123*IF(F$132=1,$B$20,1),$G$123*$B$20*$B$21/12*1)+IF(F$132&gt;=2,$G$124*1*IF(F$132=2,$B$20,1),0))*1</f>
        <v>344.517488926264</v>
      </c>
      <c r="G151" s="58" t="n">
        <f aca="false">(IF(G$132&gt;=1,$G$123*IF(G$132=1,$B$20,1),$G$123*$B$20*$B$21/12*1)+IF(G$132&gt;=2,$G$124*1*IF(G$132=2,$B$20,1),0))*1</f>
        <v>344.517488926264</v>
      </c>
      <c r="H151" s="58" t="n">
        <f aca="false">(IF(H$132&gt;=1,$G$123*IF(H$132=1,$B$20,1),$G$123*$B$20*$B$21/12*1)+IF(H$132&gt;=2,$G$124*1*IF(H$132=2,$B$20,1),0))*1</f>
        <v>344.517488926264</v>
      </c>
      <c r="I151" s="58" t="n">
        <f aca="false">(IF(I$132&gt;=1,$G$123*IF(I$132=1,$B$20,1),$G$123*$B$20*$B$21/12*1)+IF(I$132&gt;=2,$G$124*1*IF(I$132=2,$B$20,1),0))*1</f>
        <v>344.517488926264</v>
      </c>
      <c r="J151" s="58" t="n">
        <f aca="false">(IF(J$132&gt;=1,$G$123*IF(J$132=1,$B$20,1),$G$123*$B$20*$B$21/12*1)+IF(J$132&gt;=2,$G$124*1*IF(J$132=2,$B$20,1),0))*1</f>
        <v>344.517488926264</v>
      </c>
      <c r="K151" s="58" t="n">
        <f aca="false">(IF(K$132&gt;=1,$G$123*IF(K$132=1,$B$20,1),$G$123*$B$20*$B$21/12*1)+IF(K$132&gt;=2,$G$124*1*IF(K$132=2,$B$20,1),0))*1</f>
        <v>344.517488926264</v>
      </c>
      <c r="L151" s="58" t="n">
        <f aca="false">(IF(L$132&gt;=1,$G$123*IF(L$132=1,$B$20,1),$G$123*$B$20*$B$21/12*1)+IF(L$132&gt;=2,$G$124*1*IF(L$132=2,$B$20,1),0))*1</f>
        <v>344.517488926264</v>
      </c>
    </row>
    <row r="152" customFormat="false" ht="15" hidden="false" customHeight="false" outlineLevel="0" collapsed="false">
      <c r="A152" s="6" t="s">
        <v>420</v>
      </c>
      <c r="B152" s="29" t="n">
        <f aca="false">(B151*($B$38+$B$40*$B$39)/365-B143*$B$42/365)</f>
        <v>7.23146900616979</v>
      </c>
      <c r="C152" s="29" t="n">
        <f aca="false">(C151*($B$38+$B$40*$B$39)/365-C143*$B$42/365)-(B151*($B$38+$B$40*$B$39)/365-B143*$B$42/365)*B134/C134</f>
        <v>1.42287846600884</v>
      </c>
      <c r="D152" s="29" t="n">
        <f aca="false">(D151*($B$38+$B$40*$B$39)/365-D143*$B$42/365)-(C151*($B$38+$B$40*$B$39)/365-C143*$B$42/365)*C134/D134</f>
        <v>14.0205300736897</v>
      </c>
      <c r="E152" s="29" t="n">
        <f aca="false">(E151*($B$38+$B$40*$B$39)/365-E143*$B$42/365)-(D151*($B$38+$B$40*$B$39)/365-D143*$B$42/365)*D134/E134</f>
        <v>5.27597549905193</v>
      </c>
      <c r="F152" s="29" t="n">
        <f aca="false">(F151*($B$38+$B$40*$B$39)/365-F143*$B$42/365)-(E151*($B$38+$B$40*$B$39)/365-E143*$B$42/365)*E134/F134</f>
        <v>1.01552107473577</v>
      </c>
      <c r="G152" s="29" t="n">
        <f aca="false">(G151*($B$38+$B$40*$B$39)/365-G143*$B$42/365)-(F151*($B$38+$B$40*$B$39)/365-F143*$B$42/365)*F134/G134</f>
        <v>1.01552107473577</v>
      </c>
      <c r="H152" s="29" t="n">
        <f aca="false">(H151*($B$38+$B$40*$B$39)/365-H143*$B$42/365)-(G151*($B$38+$B$40*$B$39)/365-G143*$B$42/365)*G134/H134</f>
        <v>1.01552107473577</v>
      </c>
      <c r="I152" s="29" t="n">
        <f aca="false">(I151*($B$38+$B$40*$B$39)/365-I143*$B$42/365)-(H151*($B$38+$B$40*$B$39)/365-H143*$B$42/365)*H134/I134</f>
        <v>1.01552107473577</v>
      </c>
      <c r="J152" s="29" t="n">
        <f aca="false">(J151*($B$38+$B$40*$B$39)/365-J143*$B$42/365)-(I151*($B$38+$B$40*$B$39)/365-I143*$B$42/365)*I134/J134</f>
        <v>1.01552107473577</v>
      </c>
      <c r="K152" s="29" t="n">
        <f aca="false">(K151*($B$38+$B$40*$B$39)/365-K143*$B$42/365)-(J151*($B$38+$B$40*$B$39)/365-J143*$B$42/365)*J134/K134</f>
        <v>1.01552107473577</v>
      </c>
      <c r="L152" s="29" t="n">
        <f aca="false">-(K151*($B$38+$B$40*$B$39)/365-K143*$B$42/365)*K134/L134</f>
        <v>-25.3880268683941</v>
      </c>
    </row>
    <row r="153" customFormat="false" ht="15" hidden="false" customHeight="false" outlineLevel="0" collapsed="false">
      <c r="A153" s="6" t="s">
        <v>421</v>
      </c>
      <c r="B153" s="29" t="n">
        <v>0</v>
      </c>
      <c r="C153" s="29" t="n">
        <v>0</v>
      </c>
      <c r="D153" s="29" t="n">
        <v>0</v>
      </c>
      <c r="E153" s="29" t="n">
        <v>0</v>
      </c>
      <c r="F153" s="29" t="n">
        <v>0</v>
      </c>
      <c r="G153" s="29" t="n">
        <v>0</v>
      </c>
      <c r="H153" s="29" t="n">
        <v>0</v>
      </c>
      <c r="I153" s="29" t="n">
        <v>0</v>
      </c>
      <c r="J153" s="29" t="n">
        <v>0</v>
      </c>
      <c r="K153" s="29" t="n">
        <v>0</v>
      </c>
      <c r="L153" s="29" t="n">
        <f aca="false">1*$B$36*($F$94+$F$95*1)*1*(1-$B$54)</f>
        <v>67.1237725584543</v>
      </c>
    </row>
    <row r="154" customFormat="false" ht="15" hidden="false" customHeight="false" outlineLevel="0" collapsed="false">
      <c r="A154" s="5" t="s">
        <v>147</v>
      </c>
      <c r="B154" s="59" t="n">
        <f aca="false">B142-B143-B144-B145-B150-B137-B138-B139-B152+B153</f>
        <v>-961.151880133756</v>
      </c>
      <c r="C154" s="59" t="n">
        <f aca="false">C142-C143-C144-C145-C150-C137-C138-C139-C152+C153</f>
        <v>-499.777758451238</v>
      </c>
      <c r="D154" s="59" t="n">
        <f aca="false">D142-D143-D144-D145-D150-D137-D138-D139-D152+D153</f>
        <v>556.410858145381</v>
      </c>
      <c r="E154" s="59" t="n">
        <f aca="false">E142-E143-E144-E145-E150-E137-E138-E139-E152+E153</f>
        <v>334.518146298773</v>
      </c>
      <c r="F154" s="59" t="n">
        <f aca="false">F142-F143-F144-F145-F150-F137-F138-F139-F152+F153</f>
        <v>337.021171452401</v>
      </c>
      <c r="G154" s="59" t="n">
        <f aca="false">G142-G143-G144-G145-G150-G137-G138-G139-G152+G153</f>
        <v>302.548606368777</v>
      </c>
      <c r="H154" s="59" t="n">
        <f aca="false">H142-H143-H144-H145-H150-H137-H138-H139-H152+H153</f>
        <v>280.908307657918</v>
      </c>
      <c r="I154" s="59" t="n">
        <f aca="false">I142-I143-I144-I145-I150-I137-I138-I139-I152+I153</f>
        <v>341.430651609277</v>
      </c>
      <c r="J154" s="59" t="n">
        <f aca="false">J142-J143-J144-J145-J150-J137-J138-J139-J152+J153</f>
        <v>331.457441554847</v>
      </c>
      <c r="K154" s="59" t="n">
        <f aca="false">K142-K143-K144-K145-K150-K137-K138-K139-K152+K153</f>
        <v>330.025710337702</v>
      </c>
      <c r="L154" s="59" t="n">
        <f aca="false">L142-L143-L144-L145-L150-L137-L138-L139-L152+L153</f>
        <v>422.18532199421</v>
      </c>
    </row>
    <row r="155" customFormat="false" ht="15" hidden="false" customHeight="false" outlineLevel="0" collapsed="false">
      <c r="A155" s="9" t="s">
        <v>422</v>
      </c>
      <c r="B155" s="58" t="n">
        <f aca="false">B154*B134</f>
        <v>-1018.82099294178</v>
      </c>
      <c r="C155" s="58" t="n">
        <f aca="false">C154*C134</f>
        <v>-556.252645156228</v>
      </c>
      <c r="D155" s="58" t="n">
        <f aca="false">D154*D134</f>
        <v>647.15312294602</v>
      </c>
      <c r="E155" s="58" t="n">
        <f aca="false">E154*E134</f>
        <v>404.635959715425</v>
      </c>
      <c r="F155" s="58" t="n">
        <f aca="false">F154*F134</f>
        <v>423.970185565331</v>
      </c>
      <c r="G155" s="58" t="n">
        <f aca="false">G154*G134</f>
        <v>395.828107062799</v>
      </c>
      <c r="H155" s="58" t="n">
        <f aca="false">H154*H134</f>
        <v>382.216468333796</v>
      </c>
      <c r="I155" s="58" t="n">
        <f aca="false">I154*I134</f>
        <v>483.148525168723</v>
      </c>
      <c r="J155" s="58" t="n">
        <f aca="false">J154*J134</f>
        <v>487.797156524052</v>
      </c>
      <c r="K155" s="58" t="n">
        <f aca="false">K154*K134</f>
        <v>505.117720152798</v>
      </c>
      <c r="L155" s="58" t="n">
        <f aca="false">L154*L134</f>
        <v>672.01860907702</v>
      </c>
    </row>
    <row r="156" customFormat="false" ht="15" hidden="false" customHeight="false" outlineLevel="0" collapsed="false">
      <c r="A156" s="6" t="s">
        <v>423</v>
      </c>
      <c r="B156" s="29" t="n">
        <f aca="false">B154</f>
        <v>-961.151880133756</v>
      </c>
      <c r="C156" s="29" t="n">
        <f aca="false">B156+C154</f>
        <v>-1460.92963858499</v>
      </c>
      <c r="D156" s="29" t="n">
        <f aca="false">C156+D154</f>
        <v>-904.518780439613</v>
      </c>
      <c r="E156" s="29" t="n">
        <f aca="false">D156+E154</f>
        <v>-570.00063414084</v>
      </c>
      <c r="F156" s="29" t="n">
        <f aca="false">E156+F154</f>
        <v>-232.979462688438</v>
      </c>
      <c r="G156" s="29" t="n">
        <f aca="false">F156+G154</f>
        <v>69.569143680339</v>
      </c>
      <c r="H156" s="29" t="n">
        <f aca="false">G156+H154</f>
        <v>350.477451338257</v>
      </c>
      <c r="I156" s="29" t="n">
        <f aca="false">H156+I154</f>
        <v>691.908102947534</v>
      </c>
      <c r="J156" s="29" t="n">
        <f aca="false">I156+J154</f>
        <v>1023.36554450238</v>
      </c>
      <c r="K156" s="29" t="n">
        <f aca="false">J156+K154</f>
        <v>1353.39125484008</v>
      </c>
      <c r="L156" s="29" t="n">
        <f aca="false">K156+L154</f>
        <v>1775.57657683429</v>
      </c>
    </row>
    <row r="157" customFormat="false" ht="15" hidden="false" customHeight="false" outlineLevel="0" collapsed="false">
      <c r="A157" s="9" t="s">
        <v>424</v>
      </c>
      <c r="B157" s="60" t="n">
        <v>0</v>
      </c>
      <c r="C157" s="60" t="n">
        <f aca="false">IF(AND(B156&lt;0,C156&gt;=0),B$132+(-B156)/C154,0)</f>
        <v>0</v>
      </c>
      <c r="D157" s="60" t="n">
        <f aca="false">IF(AND(C156&lt;0,D156&gt;=0),C$132+(-C156)/D154,0)</f>
        <v>0</v>
      </c>
      <c r="E157" s="60" t="n">
        <f aca="false">IF(AND(D156&lt;0,E156&gt;=0),D$132+(-D156)/E154,0)</f>
        <v>0</v>
      </c>
      <c r="F157" s="60" t="n">
        <f aca="false">IF(AND(E156&lt;0,F156&gt;=0),E$132+(-E156)/F154,0)</f>
        <v>0</v>
      </c>
      <c r="G157" s="60" t="n">
        <f aca="false">IF(AND(F156&lt;0,G156&gt;=0),F$132+(-F156)/G154,0)</f>
        <v>4.77005630759528</v>
      </c>
      <c r="H157" s="60" t="n">
        <f aca="false">IF(AND(G156&lt;0,H156&gt;=0),G$132+(-G156)/H154,0)</f>
        <v>0</v>
      </c>
      <c r="I157" s="60" t="n">
        <f aca="false">IF(AND(H156&lt;0,I156&gt;=0),H$132+(-H156)/I154,0)</f>
        <v>0</v>
      </c>
      <c r="J157" s="60" t="n">
        <f aca="false">IF(AND(I156&lt;0,J156&gt;=0),I$132+(-I156)/J154,0)</f>
        <v>0</v>
      </c>
      <c r="K157" s="60" t="n">
        <f aca="false">IF(AND(J156&lt;0,K156&gt;=0),J$132+(-J156)/K154,0)</f>
        <v>0</v>
      </c>
      <c r="L157" s="60" t="n">
        <f aca="false">IF(AND(K156&lt;0,L156&gt;=0),K$132+(-K156)/L154,0)</f>
        <v>0</v>
      </c>
    </row>
    <row r="158" customFormat="false" ht="15" hidden="false" customHeight="false" outlineLevel="0" collapsed="false">
      <c r="A158" s="9" t="s">
        <v>425</v>
      </c>
      <c r="B158" s="57" t="n">
        <f aca="false">(B134/$B$134)/(1+$B$9)^B$132</f>
        <v>1</v>
      </c>
      <c r="C158" s="57" t="n">
        <f aca="false">(C134/$B$134)/(1+$B$9)^C$132</f>
        <v>0.915373701313561</v>
      </c>
      <c r="D158" s="57" t="n">
        <f aca="false">(D134/$B$134)/(1+$B$9)^D$132</f>
        <v>0.833918970137172</v>
      </c>
      <c r="E158" s="57" t="n">
        <f aca="false">(E134/$B$134)/(1+$B$9)^E$132</f>
        <v>0.756077518153961</v>
      </c>
      <c r="F158" s="57" t="n">
        <f aca="false">(F134/$B$134)/(1+$B$9)^F$132</f>
        <v>0.685502109831871</v>
      </c>
      <c r="G158" s="57" t="n">
        <f aca="false">(G134/$B$134)/(1+$B$9)^G$132</f>
        <v>0.621514502549008</v>
      </c>
      <c r="H158" s="57" t="n">
        <f aca="false">(H134/$B$134)/(1+$B$9)^H$132</f>
        <v>0.563499763660072</v>
      </c>
      <c r="I158" s="57" t="n">
        <f aca="false">(I134/$B$134)/(1+$B$9)^I$132</f>
        <v>0.510900360880829</v>
      </c>
      <c r="J158" s="57" t="n">
        <f aca="false">(J134/$B$134)/(1+$B$9)^J$132</f>
        <v>0.463210804300567</v>
      </c>
      <c r="K158" s="57" t="n">
        <f aca="false">(K134/$B$134)/(1+$B$9)^K$132</f>
        <v>0.419972788531318</v>
      </c>
      <c r="L158" s="57" t="n">
        <f aca="false">(L134/$B$134)/(1+$B$9)^L$132</f>
        <v>0.380770788308996</v>
      </c>
    </row>
    <row r="159" customFormat="false" ht="15" hidden="false" customHeight="false" outlineLevel="0" collapsed="false">
      <c r="A159" s="9" t="s">
        <v>426</v>
      </c>
      <c r="B159" s="58" t="n">
        <f aca="false">B154*B158</f>
        <v>-961.151880133756</v>
      </c>
      <c r="C159" s="58" t="n">
        <f aca="false">C154*C158</f>
        <v>-457.483416587705</v>
      </c>
      <c r="D159" s="58" t="n">
        <f aca="false">D154*D158</f>
        <v>464.001569797736</v>
      </c>
      <c r="E159" s="58" t="n">
        <f aca="false">E154*E158</f>
        <v>252.92164983104</v>
      </c>
      <c r="F159" s="58" t="n">
        <f aca="false">F154*F158</f>
        <v>231.02872408863</v>
      </c>
      <c r="G159" s="58" t="n">
        <f aca="false">G154*G158</f>
        <v>188.038346584186</v>
      </c>
      <c r="H159" s="58" t="n">
        <f aca="false">H154*H158</f>
        <v>158.291764975387</v>
      </c>
      <c r="I159" s="58" t="n">
        <f aca="false">I154*I158</f>
        <v>174.437043122956</v>
      </c>
      <c r="J159" s="58" t="n">
        <f aca="false">J154*J158</f>
        <v>153.534668094029</v>
      </c>
      <c r="K159" s="58" t="n">
        <f aca="false">K154*K158</f>
        <v>138.601817857554</v>
      </c>
      <c r="L159" s="58" t="n">
        <f aca="false">L154*L158</f>
        <v>160.755837868223</v>
      </c>
    </row>
    <row r="160" customFormat="false" ht="15" hidden="false" customHeight="false" outlineLevel="0" collapsed="false">
      <c r="A160" s="9" t="s">
        <v>427</v>
      </c>
      <c r="B160" s="58" t="n">
        <f aca="false">B159</f>
        <v>-961.151880133756</v>
      </c>
      <c r="C160" s="58" t="n">
        <f aca="false">B160+C159</f>
        <v>-1418.63529672146</v>
      </c>
      <c r="D160" s="58" t="n">
        <f aca="false">C160+D159</f>
        <v>-954.633726923724</v>
      </c>
      <c r="E160" s="58" t="n">
        <f aca="false">D160+E159</f>
        <v>-701.712077092684</v>
      </c>
      <c r="F160" s="58" t="n">
        <f aca="false">E160+F159</f>
        <v>-470.683353004054</v>
      </c>
      <c r="G160" s="58" t="n">
        <f aca="false">F160+G159</f>
        <v>-282.645006419868</v>
      </c>
      <c r="H160" s="58" t="n">
        <f aca="false">G160+H159</f>
        <v>-124.35324144448</v>
      </c>
      <c r="I160" s="58" t="n">
        <f aca="false">H160+I159</f>
        <v>50.0838016784759</v>
      </c>
      <c r="J160" s="58" t="n">
        <f aca="false">I160+J159</f>
        <v>203.618469772505</v>
      </c>
      <c r="K160" s="58" t="n">
        <f aca="false">J160+K159</f>
        <v>342.220287630059</v>
      </c>
      <c r="L160" s="58" t="n">
        <f aca="false">K160+L159</f>
        <v>502.976125498281</v>
      </c>
    </row>
    <row r="161" customFormat="false" ht="15" hidden="false" customHeight="false" outlineLevel="0" collapsed="false">
      <c r="A161" s="9" t="s">
        <v>428</v>
      </c>
      <c r="B161" s="60" t="n">
        <v>0</v>
      </c>
      <c r="C161" s="60" t="n">
        <f aca="false">IF(AND(B160&lt;0,C160&gt;=0),B$132+(-B160)/C159,0)</f>
        <v>0</v>
      </c>
      <c r="D161" s="60" t="n">
        <f aca="false">IF(AND(C160&lt;0,D160&gt;=0),C$132+(-C160)/D159,0)</f>
        <v>0</v>
      </c>
      <c r="E161" s="60" t="n">
        <f aca="false">IF(AND(D160&lt;0,E160&gt;=0),D$132+(-D160)/E159,0)</f>
        <v>0</v>
      </c>
      <c r="F161" s="60" t="n">
        <f aca="false">IF(AND(E160&lt;0,F160&gt;=0),E$132+(-E160)/F159,0)</f>
        <v>0</v>
      </c>
      <c r="G161" s="60" t="n">
        <f aca="false">IF(AND(F160&lt;0,G160&gt;=0),F$132+(-F160)/G159,0)</f>
        <v>0</v>
      </c>
      <c r="H161" s="60" t="n">
        <f aca="false">IF(AND(G160&lt;0,H160&gt;=0),G$132+(-G160)/H159,0)</f>
        <v>0</v>
      </c>
      <c r="I161" s="60" t="n">
        <f aca="false">IF(AND(H160&lt;0,I160&gt;=0),H$132+(-H160)/I159,0)</f>
        <v>6.71288322261245</v>
      </c>
      <c r="J161" s="60" t="n">
        <f aca="false">IF(AND(I160&lt;0,J160&gt;=0),I$132+(-I160)/J159,0)</f>
        <v>0</v>
      </c>
      <c r="K161" s="60" t="n">
        <f aca="false">IF(AND(J160&lt;0,K160&gt;=0),J$132+(-J160)/K159,0)</f>
        <v>0</v>
      </c>
      <c r="L161" s="60" t="n">
        <f aca="false">IF(AND(K160&lt;0,L160&gt;=0),K$132+(-K160)/L159,0)</f>
        <v>0</v>
      </c>
    </row>
    <row r="162" customFormat="false" ht="15" hidden="false" customHeight="false" outlineLevel="0" collapsed="false">
      <c r="A162" s="9" t="s">
        <v>429</v>
      </c>
      <c r="B162" s="58" t="n">
        <f aca="false">IF(B$132&lt;0,0,($B$44*$B$137*$B$134)*(1-MAX(0,MIN(B$132-0-$B$47,($B$46-$B$47)))/($B$46-$B$47))*IF(B$132&gt;=2,1-$B$48,1))+IF(B$132&lt;1,0,($B$44*$C$137*$C$134)*(1-MAX(0,MIN(B$132-1-$B$47,($B$46-$B$47)))/($B$46-$B$47))*IF(B$132&gt;=2,1-$B$48,1))</f>
        <v>641.321364968425</v>
      </c>
      <c r="C162" s="58" t="n">
        <f aca="false">IF(C$132&lt;0,0,($B$44*$B$137*$B$134)*(1-MAX(0,MIN(C$132-0-$B$47,($B$46-$B$47)))/($B$46-$B$47))*IF(C$132&gt;=2,1-$B$48,1))+IF(C$132&lt;1,0,($B$44*$C$137*$C$134)*(1-MAX(0,MIN(C$132-1-$B$47,($B$46-$B$47)))/($B$46-$B$47))*IF(C$132&gt;=2,1-$B$48,1))</f>
        <v>1190.03581125409</v>
      </c>
      <c r="D162" s="58" t="n">
        <f aca="false">IF(D$132&lt;0,0,($B$44*$B$137*$B$134)*(1-MAX(0,MIN(D$132-0-$B$47,($B$46-$B$47)))/($B$46-$B$47))*IF(D$132&gt;=2,1-$B$48,1))+IF(D$132&lt;1,0,($B$44*$C$137*$C$134)*(1-MAX(0,MIN(D$132-1-$B$47,($B$46-$B$47)))/($B$46-$B$47))*IF(D$132&gt;=2,1-$B$48,1))</f>
        <v>1083.14891709269</v>
      </c>
      <c r="E162" s="58" t="n">
        <f aca="false">IF(E$132&lt;0,0,($B$44*$B$137*$B$134)*(1-MAX(0,MIN(E$132-0-$B$47,($B$46-$B$47)))/($B$46-$B$47))*IF(E$132&gt;=2,1-$B$48,1))+IF(E$132&lt;1,0,($B$44*$C$137*$C$134)*(1-MAX(0,MIN(E$132-1-$B$47,($B$46-$B$47)))/($B$46-$B$47))*IF(E$132&gt;=2,1-$B$48,1))</f>
        <v>884.809615217005</v>
      </c>
      <c r="F162" s="58" t="n">
        <f aca="false">IF(F$132&lt;0,0,($B$44*$B$137*$B$134)*(1-MAX(0,MIN(F$132-0-$B$47,($B$46-$B$47)))/($B$46-$B$47))*IF(F$132&gt;=2,1-$B$48,1))+IF(F$132&lt;1,0,($B$44*$C$137*$C$134)*(1-MAX(0,MIN(F$132-1-$B$47,($B$46-$B$47)))/($B$46-$B$47))*IF(F$132&gt;=2,1-$B$48,1))</f>
        <v>686.470313341323</v>
      </c>
      <c r="G162" s="58" t="n">
        <f aca="false">IF(G$132&lt;0,0,($B$44*$B$137*$B$134)*(1-MAX(0,MIN(G$132-0-$B$47,($B$46-$B$47)))/($B$46-$B$47))*IF(G$132&gt;=2,1-$B$48,1))+IF(G$132&lt;1,0,($B$44*$C$137*$C$134)*(1-MAX(0,MIN(G$132-1-$B$47,($B$46-$B$47)))/($B$46-$B$47))*IF(G$132&gt;=2,1-$B$48,1))</f>
        <v>488.131011465641</v>
      </c>
      <c r="H162" s="58" t="n">
        <f aca="false">IF(H$132&lt;0,0,($B$44*$B$137*$B$134)*(1-MAX(0,MIN(H$132-0-$B$47,($B$46-$B$47)))/($B$46-$B$47))*IF(H$132&gt;=2,1-$B$48,1))+IF(H$132&lt;1,0,($B$44*$C$137*$C$134)*(1-MAX(0,MIN(H$132-1-$B$47,($B$46-$B$47)))/($B$46-$B$47))*IF(H$132&gt;=2,1-$B$48,1))</f>
        <v>289.79170958996</v>
      </c>
      <c r="I162" s="58" t="n">
        <f aca="false">IF(I$132&lt;0,0,($B$44*$B$137*$B$134)*(1-MAX(0,MIN(I$132-0-$B$47,($B$46-$B$47)))/($B$46-$B$47))*IF(I$132&gt;=2,1-$B$48,1))+IF(I$132&lt;1,0,($B$44*$C$137*$C$134)*(1-MAX(0,MIN(I$132-1-$B$47,($B$46-$B$47)))/($B$46-$B$47))*IF(I$132&gt;=2,1-$B$48,1))</f>
        <v>91.4524077142776</v>
      </c>
      <c r="J162" s="58" t="n">
        <f aca="false">IF(J$132&lt;0,0,($B$44*$B$137*$B$134)*(1-MAX(0,MIN(J$132-0-$B$47,($B$46-$B$47)))/($B$46-$B$47))*IF(J$132&gt;=2,1-$B$48,1))+IF(J$132&lt;1,0,($B$44*$C$137*$C$134)*(1-MAX(0,MIN(J$132-1-$B$47,($B$46-$B$47)))/($B$46-$B$47))*IF(J$132&gt;=2,1-$B$48,1))</f>
        <v>0</v>
      </c>
      <c r="K162" s="58" t="n">
        <f aca="false">IF(K$132&lt;0,0,($B$44*$B$137*$B$134)*(1-MAX(0,MIN(K$132-0-$B$47,($B$46-$B$47)))/($B$46-$B$47))*IF(K$132&gt;=2,1-$B$48,1))+IF(K$132&lt;1,0,($B$44*$C$137*$C$134)*(1-MAX(0,MIN(K$132-1-$B$47,($B$46-$B$47)))/($B$46-$B$47))*IF(K$132&gt;=2,1-$B$48,1))</f>
        <v>0</v>
      </c>
      <c r="L162" s="58" t="n">
        <f aca="false">IF(L$132&lt;0,0,($B$44*$B$137*$B$134)*(1-MAX(0,MIN(L$132-0-$B$47,($B$46-$B$47)))/($B$46-$B$47))*IF(L$132&gt;=2,1-$B$48,1))+IF(L$132&lt;1,0,($B$44*$C$137*$C$134)*(1-MAX(0,MIN(L$132-1-$B$47,($B$46-$B$47)))/($B$46-$B$47))*IF(L$132&gt;=2,1-$B$48,1))</f>
        <v>0</v>
      </c>
    </row>
    <row r="163" customFormat="false" ht="15" hidden="false" customHeight="false" outlineLevel="0" collapsed="false">
      <c r="A163" s="6" t="s">
        <v>430</v>
      </c>
      <c r="B163" s="29" t="n">
        <f aca="false">$B$44*B137</f>
        <v>605.02015563059</v>
      </c>
      <c r="C163" s="29" t="n">
        <f aca="false">$B$44*C137</f>
        <v>493.004893338424</v>
      </c>
      <c r="D163" s="29" t="n">
        <f aca="false">$B$44*D137</f>
        <v>0</v>
      </c>
      <c r="E163" s="29" t="n">
        <f aca="false">$B$44*E137</f>
        <v>0</v>
      </c>
      <c r="F163" s="29" t="n">
        <f aca="false">$B$44*F137</f>
        <v>0</v>
      </c>
      <c r="G163" s="29" t="n">
        <f aca="false">$B$44*G137</f>
        <v>0</v>
      </c>
      <c r="H163" s="29" t="n">
        <f aca="false">$B$44*H137</f>
        <v>0</v>
      </c>
      <c r="I163" s="29" t="n">
        <f aca="false">$B$44*I137</f>
        <v>0</v>
      </c>
      <c r="J163" s="29" t="n">
        <f aca="false">$B$44*J137</f>
        <v>0</v>
      </c>
      <c r="K163" s="29" t="n">
        <f aca="false">$B$44*K137</f>
        <v>0</v>
      </c>
      <c r="L163" s="29" t="n">
        <f aca="false">$B$44*L137</f>
        <v>0</v>
      </c>
    </row>
    <row r="164" customFormat="false" ht="15" hidden="false" customHeight="false" outlineLevel="0" collapsed="false">
      <c r="A164" s="6" t="s">
        <v>431</v>
      </c>
      <c r="B164" s="29" t="n">
        <f aca="false">(IF(AND(B$132&gt;0,B$132&lt;=0+$B$46),($B$45+0)*($B$44*$B$137*$B$134)*(1-MAX(0,MIN((B$132-1)-0-$B$47,($B$46-$B$47)))/($B$46-$B$47))*IF(B$132&gt;2,1-$B$48,1),0)+IF(AND(B$132&gt;1,B$132&lt;=1+$B$46),($B$45+0)*($B$44*$C$137*$C$134)*(1-MAX(0,MIN((B$132-1)-1-$B$47,($B$46-$B$47)))/($B$46-$B$47))*IF(B$132&gt;2,1-$B$48,1),0))*B136</f>
        <v>0</v>
      </c>
      <c r="C164" s="29" t="n">
        <f aca="false">(IF(AND(C$132&gt;0,C$132&lt;=0+$B$46),($B$45+0)*($B$44*$B$137*$B$134)*(1-MAX(0,MIN((C$132-1)-0-$B$47,($B$46-$B$47)))/($B$46-$B$47))*IF(C$132&gt;2,1-$B$48,1),0)+IF(AND(C$132&gt;1,C$132&lt;=1+$B$46),($B$45+0)*($B$44*$C$137*$C$134)*(1-MAX(0,MIN((C$132-1)-1-$B$47,($B$46-$B$47)))/($B$46-$B$47))*IF(C$132&gt;2,1-$B$48,1),0))*C136</f>
        <v>81.2455637561078</v>
      </c>
      <c r="D164" s="29" t="n">
        <f aca="false">(IF(AND(D$132&gt;0,D$132&lt;=0+$B$46),($B$45+0)*($B$44*$B$137*$B$134)*(1-MAX(0,MIN((D$132-1)-0-$B$47,($B$46-$B$47)))/($B$46-$B$47))*IF(D$132&gt;2,1-$B$48,1),0)+IF(AND(D$132&gt;1,D$132&lt;=1+$B$46),($B$45+0)*($B$44*$C$137*$C$134)*(1-MAX(0,MIN((D$132-1)-1-$B$47,($B$46-$B$47)))/($B$46-$B$47))*IF(D$132&gt;2,1-$B$48,1),0))*D136</f>
        <v>144.267228437154</v>
      </c>
      <c r="E164" s="29" t="n">
        <f aca="false">(IF(AND(E$132&gt;0,E$132&lt;=0+$B$46),($B$45+0)*($B$44*$B$137*$B$134)*(1-MAX(0,MIN((E$132-1)-0-$B$47,($B$46-$B$47)))/($B$46-$B$47))*IF(E$132&gt;2,1-$B$48,1),0)+IF(AND(E$132&gt;1,E$132&lt;=1+$B$46),($B$45+0)*($B$44*$C$137*$C$134)*(1-MAX(0,MIN((E$132-1)-1-$B$47,($B$46-$B$47)))/($B$46-$B$47))*IF(E$132&gt;2,1-$B$48,1),0))*E136</f>
        <v>126.259041612202</v>
      </c>
      <c r="F164" s="29" t="n">
        <f aca="false">(IF(AND(F$132&gt;0,F$132&lt;=0+$B$46),($B$45+0)*($B$44*$B$137*$B$134)*(1-MAX(0,MIN((F$132-1)-0-$B$47,($B$46-$B$47)))/($B$46-$B$47))*IF(F$132&gt;2,1-$B$48,1),0)+IF(AND(F$132&gt;1,F$132&lt;=1+$B$46),($B$45+0)*($B$44*$C$137*$C$134)*(1-MAX(0,MIN((F$132-1)-1-$B$47,($B$46-$B$47)))/($B$46-$B$47))*IF(F$132&gt;2,1-$B$48,1),0))*F136</f>
        <v>99.1723975627135</v>
      </c>
      <c r="G164" s="29" t="n">
        <f aca="false">(IF(AND(G$132&gt;0,G$132&lt;=0+$B$46),($B$45+0)*($B$44*$B$137*$B$134)*(1-MAX(0,MIN((G$132-1)-0-$B$47,($B$46-$B$47)))/($B$46-$B$47))*IF(G$132&gt;2,1-$B$48,1),0)+IF(AND(G$132&gt;1,G$132&lt;=1+$B$46),($B$45+0)*($B$44*$C$137*$C$134)*(1-MAX(0,MIN((G$132-1)-1-$B$47,($B$46-$B$47)))/($B$46-$B$47))*IF(G$132&gt;2,1-$B$48,1),0))*G136</f>
        <v>73.9825677868365</v>
      </c>
      <c r="H164" s="29" t="n">
        <f aca="false">(IF(AND(H$132&gt;0,H$132&lt;=0+$B$46),($B$45+0)*($B$44*$B$137*$B$134)*(1-MAX(0,MIN((H$132-1)-0-$B$47,($B$46-$B$47)))/($B$46-$B$47))*IF(H$132&gt;2,1-$B$48,1),0)+IF(AND(H$132&gt;1,H$132&lt;=1+$B$46),($B$45+0)*($B$44*$C$137*$C$134)*(1-MAX(0,MIN((H$132-1)-1-$B$47,($B$46-$B$47)))/($B$46-$B$47))*IF(H$132&gt;2,1-$B$48,1),0))*H136</f>
        <v>50.583712494366</v>
      </c>
      <c r="I164" s="29" t="n">
        <f aca="false">(IF(AND(I$132&gt;0,I$132&lt;=0+$B$46),($B$45+0)*($B$44*$B$137*$B$134)*(1-MAX(0,MIN((I$132-1)-0-$B$47,($B$46-$B$47)))/($B$46-$B$47))*IF(I$132&gt;2,1-$B$48,1),0)+IF(AND(I$132&gt;1,I$132&lt;=1+$B$46),($B$45+0)*($B$44*$C$137*$C$134)*(1-MAX(0,MIN((I$132-1)-1-$B$47,($B$46-$B$47)))/($B$46-$B$47))*IF(I$132&gt;2,1-$B$48,1),0))*I136</f>
        <v>28.8753274791465</v>
      </c>
      <c r="J164" s="29" t="n">
        <f aca="false">(IF(AND(J$132&gt;0,J$132&lt;=0+$B$46),($B$45+0)*($B$44*$B$137*$B$134)*(1-MAX(0,MIN((J$132-1)-0-$B$47,($B$46-$B$47)))/($B$46-$B$47))*IF(J$132&gt;2,1-$B$48,1),0)+IF(AND(J$132&gt;1,J$132&lt;=1+$B$46),($B$45+0)*($B$44*$C$137*$C$134)*(1-MAX(0,MIN((J$132-1)-1-$B$47,($B$46-$B$47)))/($B$46-$B$47))*IF(J$132&gt;2,1-$B$48,1),0))*J136</f>
        <v>8.76199025726588</v>
      </c>
      <c r="K164" s="29" t="n">
        <f aca="false">(IF(AND(K$132&gt;0,K$132&lt;=0+$B$46),($B$45+0)*($B$44*$B$137*$B$134)*(1-MAX(0,MIN((K$132-1)-0-$B$47,($B$46-$B$47)))/($B$46-$B$47))*IF(K$132&gt;2,1-$B$48,1),0)+IF(AND(K$132&gt;1,K$132&lt;=1+$B$46),($B$45+0)*($B$44*$C$137*$C$134)*(1-MAX(0,MIN((K$132-1)-1-$B$47,($B$46-$B$47)))/($B$46-$B$47))*IF(K$132&gt;2,1-$B$48,1),0))*K136</f>
        <v>0</v>
      </c>
      <c r="L164" s="29" t="n">
        <f aca="false">(IF(AND(L$132&gt;0,L$132&lt;=0+$B$46),($B$45+0)*($B$44*$B$137*$B$134)*(1-MAX(0,MIN((L$132-1)-0-$B$47,($B$46-$B$47)))/($B$46-$B$47))*IF(L$132&gt;2,1-$B$48,1),0)+IF(AND(L$132&gt;1,L$132&lt;=1+$B$46),($B$45+0)*($B$44*$C$137*$C$134)*(1-MAX(0,MIN((L$132-1)-1-$B$47,($B$46-$B$47)))/($B$46-$B$47))*IF(L$132&gt;2,1-$B$48,1),0))*L136</f>
        <v>0</v>
      </c>
    </row>
    <row r="165" customFormat="false" ht="15" hidden="false" customHeight="false" outlineLevel="0" collapsed="false">
      <c r="A165" s="6" t="s">
        <v>432</v>
      </c>
      <c r="B165" s="29" t="n">
        <f aca="false">((IF(AND(B$132&gt;0+$B$47,B$132&lt;=0+$B$46),($B$44*$B$137*$B$134)/($B$46-$B$47),0)*IF(B$132&gt;2,1-$B$48,1)+IF(B$132=2,$B$48*($B$44*$B$137*$B$134)*(1-MAX(0,MIN(2-0-$B$47,($B$46-$B$47)))/($B$46-$B$47)),0))+(IF(AND(B$132&gt;1+$B$47,B$132&lt;=1+$B$46),($B$44*$C$137*$C$134)/($B$46-$B$47),0)*IF(B$132&gt;2,1-$B$48,1)+IF(B$132=2,$B$48*($B$44*$C$137*$C$134)*(1-MAX(0,MIN(2-1-$B$47,($B$46-$B$47)))/($B$46-$B$47)),0)))*B136</f>
        <v>0</v>
      </c>
      <c r="C165" s="29" t="n">
        <f aca="false">((IF(AND(C$132&gt;0+$B$47,C$132&lt;=0+$B$46),($B$44*$B$137*$B$134)/($B$46-$B$47),0)*IF(C$132&gt;2,1-$B$48,1)+IF(C$132=2,$B$48*($B$44*$B$137*$B$134)*(1-MAX(0,MIN(2-0-$B$47,($B$46-$B$47)))/($B$46-$B$47)),0))+(IF(AND(C$132&gt;1+$B$47,C$132&lt;=1+$B$46),($B$44*$C$137*$C$134)/($B$46-$B$47),0)*IF(C$132&gt;2,1-$B$48,1)+IF(C$132=2,$B$48*($B$44*$C$137*$C$134)*(1-MAX(0,MIN(2-1-$B$47,($B$46-$B$47)))/($B$46-$B$47)),0)))*C136</f>
        <v>0</v>
      </c>
      <c r="D165" s="29" t="n">
        <f aca="false">((IF(AND(D$132&gt;0+$B$47,D$132&lt;=0+$B$46),($B$44*$B$137*$B$134)/($B$46-$B$47),0)*IF(D$132&gt;2,1-$B$48,1)+IF(D$132=2,$B$48*($B$44*$B$137*$B$134)*(1-MAX(0,MIN(2-0-$B$47,($B$46-$B$47)))/($B$46-$B$47)),0))+(IF(AND(D$132&gt;1+$B$47,D$132&lt;=1+$B$46),($B$44*$C$137*$C$134)/($B$46-$B$47),0)*IF(D$132&gt;2,1-$B$48,1)+IF(D$132=2,$B$48*($B$44*$C$137*$C$134)*(1-MAX(0,MIN(2-1-$B$47,($B$46-$B$47)))/($B$46-$B$47)),0)))*D136</f>
        <v>91.8994692231472</v>
      </c>
      <c r="E165" s="29" t="n">
        <f aca="false">((IF(AND(E$132&gt;0+$B$47,E$132&lt;=0+$B$46),($B$44*$B$137*$B$134)/($B$46-$B$47),0)*IF(E$132&gt;2,1-$B$48,1)+IF(E$132=2,$B$48*($B$44*$B$137*$B$134)*(1-MAX(0,MIN(2-0-$B$47,($B$46-$B$47)))/($B$46-$B$47)),0))+(IF(AND(E$132&gt;1+$B$47,E$132&lt;=1+$B$46),($B$44*$C$137*$C$134)/($B$46-$B$47),0)*IF(E$132&gt;2,1-$B$48,1)+IF(E$132=2,$B$48*($B$44*$C$137*$C$134)*(1-MAX(0,MIN(2-1-$B$47,($B$46-$B$47)))/($B$46-$B$47)),0)))*E136</f>
        <v>163.969845014041</v>
      </c>
      <c r="F165" s="29" t="n">
        <f aca="false">((IF(AND(F$132&gt;0+$B$47,F$132&lt;=0+$B$46),($B$44*$B$137*$B$134)/($B$46-$B$47),0)*IF(F$132&gt;2,1-$B$48,1)+IF(F$132=2,$B$48*($B$44*$B$137*$B$134)*(1-MAX(0,MIN(2-0-$B$47,($B$46-$B$47)))/($B$46-$B$47)),0))+(IF(AND(F$132&gt;1+$B$47,F$132&lt;=1+$B$46),($B$44*$C$137*$C$134)/($B$46-$B$47),0)*IF(F$132&gt;2,1-$B$48,1)+IF(F$132=2,$B$48*($B$44*$C$137*$C$134)*(1-MAX(0,MIN(2-1-$B$47,($B$46-$B$47)))/($B$46-$B$47)),0)))*F136</f>
        <v>157.663312513501</v>
      </c>
      <c r="G165" s="29" t="n">
        <f aca="false">((IF(AND(G$132&gt;0+$B$47,G$132&lt;=0+$B$46),($B$44*$B$137*$B$134)/($B$46-$B$47),0)*IF(G$132&gt;2,1-$B$48,1)+IF(G$132=2,$B$48*($B$44*$B$137*$B$134)*(1-MAX(0,MIN(2-0-$B$47,($B$46-$B$47)))/($B$46-$B$47)),0))+(IF(AND(G$132&gt;1+$B$47,G$132&lt;=1+$B$46),($B$44*$C$137*$C$134)/($B$46-$B$47),0)*IF(G$132&gt;2,1-$B$48,1)+IF(G$132=2,$B$48*($B$44*$C$137*$C$134)*(1-MAX(0,MIN(2-1-$B$47,($B$46-$B$47)))/($B$46-$B$47)),0)))*G136</f>
        <v>151.599338955289</v>
      </c>
      <c r="H165" s="29" t="n">
        <f aca="false">((IF(AND(H$132&gt;0+$B$47,H$132&lt;=0+$B$46),($B$44*$B$137*$B$134)/($B$46-$B$47),0)*IF(H$132&gt;2,1-$B$48,1)+IF(H$132=2,$B$48*($B$44*$B$137*$B$134)*(1-MAX(0,MIN(2-0-$B$47,($B$46-$B$47)))/($B$46-$B$47)),0))+(IF(AND(H$132&gt;1+$B$47,H$132&lt;=1+$B$46),($B$44*$C$137*$C$134)/($B$46-$B$47),0)*IF(H$132&gt;2,1-$B$48,1)+IF(H$132=2,$B$48*($B$44*$C$137*$C$134)*(1-MAX(0,MIN(2-1-$B$47,($B$46-$B$47)))/($B$46-$B$47)),0)))*H136</f>
        <v>145.768595149317</v>
      </c>
      <c r="I165" s="29" t="n">
        <f aca="false">((IF(AND(I$132&gt;0+$B$47,I$132&lt;=0+$B$46),($B$44*$B$137*$B$134)/($B$46-$B$47),0)*IF(I$132&gt;2,1-$B$48,1)+IF(I$132=2,$B$48*($B$44*$B$137*$B$134)*(1-MAX(0,MIN(2-0-$B$47,($B$46-$B$47)))/($B$46-$B$47)),0))+(IF(AND(I$132&gt;1+$B$47,I$132&lt;=1+$B$46),($B$44*$C$137*$C$134)/($B$46-$B$47),0)*IF(I$132&gt;2,1-$B$48,1)+IF(I$132=2,$B$48*($B$44*$C$137*$C$134)*(1-MAX(0,MIN(2-1-$B$47,($B$46-$B$47)))/($B$46-$B$47)),0)))*I136</f>
        <v>140.162110720497</v>
      </c>
      <c r="J165" s="29" t="n">
        <f aca="false">((IF(AND(J$132&gt;0+$B$47,J$132&lt;=0+$B$46),($B$44*$B$137*$B$134)/($B$46-$B$47),0)*IF(J$132&gt;2,1-$B$48,1)+IF(J$132=2,$B$48*($B$44*$B$137*$B$134)*(1-MAX(0,MIN(2-0-$B$47,($B$46-$B$47)))/($B$46-$B$47)),0))+(IF(AND(J$132&gt;1+$B$47,J$132&lt;=1+$B$46),($B$44*$C$137*$C$134)/($B$46-$B$47),0)*IF(J$132&gt;2,1-$B$48,1)+IF(J$132=2,$B$48*($B$44*$C$137*$C$134)*(1-MAX(0,MIN(2-1-$B$47,($B$46-$B$47)))/($B$46-$B$47)),0)))*J136</f>
        <v>62.1417748742261</v>
      </c>
      <c r="K165" s="29" t="n">
        <f aca="false">((IF(AND(K$132&gt;0+$B$47,K$132&lt;=0+$B$46),($B$44*$B$137*$B$134)/($B$46-$B$47),0)*IF(K$132&gt;2,1-$B$48,1)+IF(K$132=2,$B$48*($B$44*$B$137*$B$134)*(1-MAX(0,MIN(2-0-$B$47,($B$46-$B$47)))/($B$46-$B$47)),0))+(IF(AND(K$132&gt;1+$B$47,K$132&lt;=1+$B$46),($B$44*$C$137*$C$134)/($B$46-$B$47),0)*IF(K$132&gt;2,1-$B$48,1)+IF(K$132=2,$B$48*($B$44*$C$137*$C$134)*(1-MAX(0,MIN(2-1-$B$47,($B$46-$B$47)))/($B$46-$B$47)),0)))*K136</f>
        <v>0</v>
      </c>
      <c r="L165" s="29" t="n">
        <f aca="false">((IF(AND(L$132&gt;0+$B$47,L$132&lt;=0+$B$46),($B$44*$B$137*$B$134)/($B$46-$B$47),0)*IF(L$132&gt;2,1-$B$48,1)+IF(L$132=2,$B$48*($B$44*$B$137*$B$134)*(1-MAX(0,MIN(2-0-$B$47,($B$46-$B$47)))/($B$46-$B$47)),0))+(IF(AND(L$132&gt;1+$B$47,L$132&lt;=1+$B$46),($B$44*$C$137*$C$134)/($B$46-$B$47),0)*IF(L$132&gt;2,1-$B$48,1)+IF(L$132=2,$B$48*($B$44*$C$137*$C$134)*(1-MAX(0,MIN(2-1-$B$47,($B$46-$B$47)))/($B$46-$B$47)),0)))*L136</f>
        <v>0</v>
      </c>
    </row>
    <row r="166" customFormat="false" ht="15" hidden="false" customHeight="false" outlineLevel="0" collapsed="false">
      <c r="A166" s="6" t="s">
        <v>433</v>
      </c>
      <c r="B166" s="29" t="n">
        <f aca="false">$B$49*$B$51*(1+0.19)*B162*B136+(1-$B$49)*IF(B$132=0,$B$50,0)</f>
        <v>4</v>
      </c>
      <c r="C166" s="29" t="n">
        <f aca="false">$B$49*$B$51*(1+0.19)*C162*C136+(1-$B$49)*IF(C$132=0,$B$50,0)</f>
        <v>0</v>
      </c>
      <c r="D166" s="29" t="n">
        <f aca="false">$B$49*$B$51*(1+0.19)*D162*D136+(1-$B$49)*IF(D$132=0,$B$50,0)</f>
        <v>0</v>
      </c>
      <c r="E166" s="29" t="n">
        <f aca="false">$B$49*$B$51*(1+0.19)*E162*E136+(1-$B$49)*IF(E$132=0,$B$50,0)</f>
        <v>0</v>
      </c>
      <c r="F166" s="29" t="n">
        <f aca="false">$B$49*$B$51*(1+0.19)*F162*F136+(1-$B$49)*IF(F$132=0,$B$50,0)</f>
        <v>0</v>
      </c>
      <c r="G166" s="29" t="n">
        <f aca="false">$B$49*$B$51*(1+0.19)*G162*G136+(1-$B$49)*IF(G$132=0,$B$50,0)</f>
        <v>0</v>
      </c>
      <c r="H166" s="29" t="n">
        <f aca="false">$B$49*$B$51*(1+0.19)*H162*H136+(1-$B$49)*IF(H$132=0,$B$50,0)</f>
        <v>0</v>
      </c>
      <c r="I166" s="29" t="n">
        <f aca="false">$B$49*$B$51*(1+0.19)*I162*I136+(1-$B$49)*IF(I$132=0,$B$50,0)</f>
        <v>0</v>
      </c>
      <c r="J166" s="29" t="n">
        <f aca="false">$B$49*$B$51*(1+0.19)*J162*J136+(1-$B$49)*IF(J$132=0,$B$50,0)</f>
        <v>0</v>
      </c>
      <c r="K166" s="29" t="n">
        <f aca="false">$B$49*$B$51*(1+0.19)*K162*K136+(1-$B$49)*IF(K$132=0,$B$50,0)</f>
        <v>0</v>
      </c>
      <c r="L166" s="29" t="n">
        <f aca="false">$B$49*$B$51*(1+0.19)*L162*L136+(1-$B$49)*IF(L$132=0,$B$50,0)</f>
        <v>0</v>
      </c>
    </row>
    <row r="167" customFormat="false" ht="15" hidden="false" customHeight="false" outlineLevel="0" collapsed="false">
      <c r="A167" s="6" t="s">
        <v>434</v>
      </c>
      <c r="B167" s="29" t="n">
        <f aca="false">$B$52*(B164+B165+B166)</f>
        <v>0.016</v>
      </c>
      <c r="C167" s="29" t="n">
        <f aca="false">$B$52*(C164+C165+C166)</f>
        <v>0.324982255024431</v>
      </c>
      <c r="D167" s="29" t="n">
        <f aca="false">$B$52*(D164+D165+D166)</f>
        <v>0.944666790641204</v>
      </c>
      <c r="E167" s="29" t="n">
        <f aca="false">$B$52*(E164+E165+E166)</f>
        <v>1.16091554650497</v>
      </c>
      <c r="F167" s="29" t="n">
        <f aca="false">$B$52*(F164+F165+F166)</f>
        <v>1.02734284030486</v>
      </c>
      <c r="G167" s="29" t="n">
        <f aca="false">$B$52*(G164+G165+G166)</f>
        <v>0.902327626968503</v>
      </c>
      <c r="H167" s="29" t="n">
        <f aca="false">$B$52*(H164+H165+H166)</f>
        <v>0.78540923057473</v>
      </c>
      <c r="I167" s="29" t="n">
        <f aca="false">$B$52*(I164+I165+I166)</f>
        <v>0.676149752798573</v>
      </c>
      <c r="J167" s="29" t="n">
        <f aca="false">$B$52*(J164+J165+J166)</f>
        <v>0.283615060525968</v>
      </c>
      <c r="K167" s="29" t="n">
        <f aca="false">$B$52*(K164+K165+K166)</f>
        <v>0</v>
      </c>
      <c r="L167" s="29" t="n">
        <f aca="false">$B$52*(L164+L165+L166)</f>
        <v>0</v>
      </c>
    </row>
    <row r="168" customFormat="false" ht="15" hidden="false" customHeight="false" outlineLevel="0" collapsed="false">
      <c r="A168" s="6" t="s">
        <v>435</v>
      </c>
      <c r="B168" s="29" t="n">
        <f aca="false">$B$54*(B164+B166+0.5*B167)</f>
        <v>1.4028</v>
      </c>
      <c r="C168" s="29" t="n">
        <f aca="false">$B$54*(C164+C166+0.5*C167)</f>
        <v>28.492819209267</v>
      </c>
      <c r="D168" s="29" t="n">
        <f aca="false">$B$54*(D164+D166+0.5*D167)</f>
        <v>50.658846641366</v>
      </c>
      <c r="E168" s="29" t="n">
        <f aca="false">$B$54*(E164+E166+0.5*E167)</f>
        <v>44.393824784909</v>
      </c>
      <c r="F168" s="29" t="n">
        <f aca="false">$B$54*(F164+F166+0.5*F167)</f>
        <v>34.8901241440031</v>
      </c>
      <c r="G168" s="29" t="n">
        <f aca="false">$B$54*(G164+G166+0.5*G167)</f>
        <v>26.0518060601123</v>
      </c>
      <c r="H168" s="29" t="n">
        <f aca="false">$B$54*(H164+H166+0.5*H167)</f>
        <v>17.8417459883787</v>
      </c>
      <c r="I168" s="29" t="n">
        <f aca="false">$B$54*(I164+I166+0.5*I167)</f>
        <v>10.224690824441</v>
      </c>
      <c r="J168" s="29" t="n">
        <f aca="false">$B$54*(J164+J166+0.5*J167)</f>
        <v>3.1163292256351</v>
      </c>
      <c r="K168" s="29" t="n">
        <f aca="false">$B$54*(K164+K166+0.5*K167)</f>
        <v>0</v>
      </c>
      <c r="L168" s="29" t="n">
        <f aca="false">$B$54*(L164+L166+0.5*L167)</f>
        <v>0</v>
      </c>
    </row>
    <row r="169" customFormat="false" ht="15" hidden="false" customHeight="false" outlineLevel="0" collapsed="false">
      <c r="A169" s="5" t="s">
        <v>436</v>
      </c>
      <c r="B169" s="59" t="n">
        <f aca="false">B154+B163-B164-B165-B166-B167+B168</f>
        <v>-358.744924503166</v>
      </c>
      <c r="C169" s="59" t="n">
        <f aca="false">C154+C163-C164-C165-C166-C167+C168</f>
        <v>-59.8505919146794</v>
      </c>
      <c r="D169" s="59" t="n">
        <f aca="false">D154+D163-D164-D165-D166-D167+D168</f>
        <v>369.958340335805</v>
      </c>
      <c r="E169" s="59" t="n">
        <f aca="false">E154+E163-E164-E165-E166-E167+E168</f>
        <v>87.5221689109349</v>
      </c>
      <c r="F169" s="59" t="n">
        <f aca="false">F154+F163-F164-F165-F166-F167+F168</f>
        <v>114.048242679885</v>
      </c>
      <c r="G169" s="59" t="n">
        <f aca="false">G154+G163-G164-G165-G166-G167+G168</f>
        <v>102.116178059796</v>
      </c>
      <c r="H169" s="59" t="n">
        <f aca="false">H154+H163-H164-H165-H166-H167+H168</f>
        <v>101.612336772039</v>
      </c>
      <c r="I169" s="59" t="n">
        <f aca="false">I154+I163-I164-I165-I166-I167+I168</f>
        <v>181.941754481276</v>
      </c>
      <c r="J169" s="59" t="n">
        <f aca="false">J154+J163-J164-J165-J166-J167+J168</f>
        <v>263.386390588464</v>
      </c>
      <c r="K169" s="59" t="n">
        <f aca="false">K154+K163-K164-K165-K166-K167+K168</f>
        <v>330.025710337702</v>
      </c>
      <c r="L169" s="59" t="n">
        <f aca="false">L154+L163-L164-L165-L166-L167+L168</f>
        <v>422.18532199421</v>
      </c>
    </row>
    <row r="170" customFormat="false" ht="15" hidden="false" customHeight="false" outlineLevel="0" collapsed="false">
      <c r="A170" s="9" t="s">
        <v>437</v>
      </c>
      <c r="B170" s="58" t="n">
        <f aca="false">B169*B134</f>
        <v>-380.269619973356</v>
      </c>
      <c r="C170" s="58" t="n">
        <f aca="false">C169*C134</f>
        <v>-66.6137088010382</v>
      </c>
      <c r="D170" s="58" t="n">
        <f aca="false">D169*D134</f>
        <v>430.292996269469</v>
      </c>
      <c r="E170" s="58" t="n">
        <f aca="false">E169*E134</f>
        <v>105.867550700886</v>
      </c>
      <c r="F170" s="58" t="n">
        <f aca="false">F169*F134</f>
        <v>143.471860844861</v>
      </c>
      <c r="G170" s="58" t="n">
        <f aca="false">G169*G134</f>
        <v>133.599866636398</v>
      </c>
      <c r="H170" s="58" t="n">
        <f aca="false">H169*H134</f>
        <v>138.258312201463</v>
      </c>
      <c r="I170" s="58" t="n">
        <f aca="false">I169*I134</f>
        <v>257.460453330459</v>
      </c>
      <c r="J170" s="58" t="n">
        <f aca="false">J169*J134</f>
        <v>387.618789891994</v>
      </c>
      <c r="K170" s="58" t="n">
        <f aca="false">K169*K134</f>
        <v>505.117720152798</v>
      </c>
      <c r="L170" s="58" t="n">
        <f aca="false">L169*L134</f>
        <v>672.01860907702</v>
      </c>
    </row>
    <row r="171" customFormat="false" ht="15" hidden="false" customHeight="false" outlineLevel="0" collapsed="false">
      <c r="A171" s="9" t="s">
        <v>438</v>
      </c>
      <c r="B171" s="57" t="n">
        <f aca="false">(B134/$B$134)/(1+$B$11+0)^B$132</f>
        <v>1</v>
      </c>
      <c r="C171" s="57" t="n">
        <f aca="false">(C134/$B$134)/(1+$B$11+0)^C$132</f>
        <v>0.84</v>
      </c>
      <c r="D171" s="57" t="n">
        <f aca="false">(D134/$B$134)/(1+$B$11+0)^D$132</f>
        <v>0.70224</v>
      </c>
      <c r="E171" s="57" t="n">
        <f aca="false">(E134/$B$134)/(1+$B$11+0)^E$132</f>
        <v>0.58426368</v>
      </c>
      <c r="F171" s="57" t="n">
        <f aca="false">(F134/$B$134)/(1+$B$11+0)^F$132</f>
        <v>0.48610738176</v>
      </c>
      <c r="G171" s="57" t="n">
        <f aca="false">(G134/$B$134)/(1+$B$11+0)^G$132</f>
        <v>0.40444134162432</v>
      </c>
      <c r="H171" s="57" t="n">
        <f aca="false">(H134/$B$134)/(1+$B$11+0)^H$132</f>
        <v>0.336495196231434</v>
      </c>
      <c r="I171" s="57" t="n">
        <f aca="false">(I134/$B$134)/(1+$B$11+0)^I$132</f>
        <v>0.279964003264553</v>
      </c>
      <c r="J171" s="57" t="n">
        <f aca="false">(J134/$B$134)/(1+$B$11+0)^J$132</f>
        <v>0.232930050716108</v>
      </c>
      <c r="K171" s="57" t="n">
        <f aca="false">(K134/$B$134)/(1+$B$11+0)^K$132</f>
        <v>0.193797802195802</v>
      </c>
      <c r="L171" s="57" t="n">
        <f aca="false">(L134/$B$134)/(1+$B$11+0)^L$132</f>
        <v>0.161239771426907</v>
      </c>
    </row>
    <row r="172" customFormat="false" ht="15" hidden="false" customHeight="false" outlineLevel="0" collapsed="false">
      <c r="A172" s="9" t="s">
        <v>439</v>
      </c>
      <c r="B172" s="58" t="n">
        <f aca="false">B154+B137+B139+B168</f>
        <v>120.166830858099</v>
      </c>
      <c r="C172" s="58" t="n">
        <f aca="false">C154+C137+C139+C168</f>
        <v>431.293250100682</v>
      </c>
      <c r="D172" s="58" t="n">
        <f aca="false">D154+D137+D139+D168</f>
        <v>607.069704786747</v>
      </c>
      <c r="E172" s="58" t="n">
        <f aca="false">E154+E137+E139+E168</f>
        <v>378.911971083682</v>
      </c>
      <c r="F172" s="58" t="n">
        <f aca="false">F154+F137+F139+F168</f>
        <v>371.911295596404</v>
      </c>
      <c r="G172" s="58" t="n">
        <f aca="false">G154+G137+G139+G168</f>
        <v>333.818803709976</v>
      </c>
      <c r="H172" s="58" t="n">
        <f aca="false">H154+H137+H139+H168</f>
        <v>307.563993231378</v>
      </c>
      <c r="I172" s="58" t="n">
        <f aca="false">I154+I137+I139+I168</f>
        <v>351.655342433718</v>
      </c>
      <c r="J172" s="58" t="n">
        <f aca="false">J154+J137+J139+J168</f>
        <v>334.573770780482</v>
      </c>
      <c r="K172" s="58" t="n">
        <f aca="false">K154+K137+K139+K168</f>
        <v>330.025710337702</v>
      </c>
      <c r="L172" s="58" t="n">
        <f aca="false">L154+L137+L139+L168</f>
        <v>422.18532199421</v>
      </c>
    </row>
    <row r="173" customFormat="false" ht="15" hidden="false" customHeight="false" outlineLevel="0" collapsed="false">
      <c r="A173" s="5" t="s">
        <v>149</v>
      </c>
      <c r="B173" s="12" t="str">
        <f aca="false">IF(AND(B$132&gt;=1,(B164+B165+B166)&gt;0.001),B172/(B164+B165+B166),"")</f>
        <v/>
      </c>
      <c r="C173" s="12" t="n">
        <f aca="false">IF(AND(C$132&gt;=1,(C164+C165+C166)&gt;0.001),C172/(C164+C165+C166),"")</f>
        <v>5.3085144611143</v>
      </c>
      <c r="D173" s="12" t="n">
        <f aca="false">IF(AND(D$132&gt;=1,(D164+D165+D166)&gt;0.001),D172/(D164+D165+D166),"")</f>
        <v>2.57051358553503</v>
      </c>
      <c r="E173" s="12" t="n">
        <f aca="false">IF(AND(E$132&gt;=1,(E164+E165+E166)&gt;0.001),E172/(E164+E165+E166),"")</f>
        <v>1.30556256990244</v>
      </c>
      <c r="F173" s="12" t="n">
        <f aca="false">IF(AND(F$132&gt;=1,(F164+F165+F166)&gt;0.001),F172/(F164+F165+F166),"")</f>
        <v>1.44805134568726</v>
      </c>
      <c r="G173" s="12" t="n">
        <f aca="false">IF(AND(G$132&gt;=1,(G164+G165+G166)&gt;0.001),G172/(G164+G165+G166),"")</f>
        <v>1.4798119606799</v>
      </c>
      <c r="H173" s="12" t="n">
        <f aca="false">IF(AND(H$132&gt;=1,(H164+H165+H166)&gt;0.001),H172/(H164+H165+H166),"")</f>
        <v>1.5663884826325</v>
      </c>
      <c r="I173" s="12" t="n">
        <f aca="false">IF(AND(I$132&gt;=1,(I164+I165+I166)&gt;0.001),I172/(I164+I165+I166),"")</f>
        <v>2.08033998964414</v>
      </c>
      <c r="J173" s="12" t="n">
        <f aca="false">IF(AND(J$132&gt;=1,(J164+J165+J166)&gt;0.001),J172/(J164+J165+J166),"")</f>
        <v>4.71870245762</v>
      </c>
      <c r="K173" s="12" t="str">
        <f aca="false">IF(AND(K$132&gt;=1,(K164+K165+K166)&gt;0.001),K172/(K164+K165+K166),"")</f>
        <v/>
      </c>
      <c r="L173" s="12" t="str">
        <f aca="false">IF(AND(L$132&gt;=1,(L164+L165+L166)&gt;0.001),L172/(L164+L165+L166),"")</f>
        <v/>
      </c>
    </row>
    <row r="174" customFormat="false" ht="15" hidden="false" customHeight="false" outlineLevel="0" collapsed="false">
      <c r="A174" s="9" t="s">
        <v>440</v>
      </c>
    </row>
    <row r="176" customFormat="false" ht="15" hidden="false" customHeight="false" outlineLevel="0" collapsed="false">
      <c r="A176" s="3" t="s">
        <v>11</v>
      </c>
      <c r="B176" s="4"/>
      <c r="C176" s="4"/>
      <c r="D176" s="4"/>
      <c r="E176" s="4"/>
      <c r="F176" s="4"/>
      <c r="G176" s="4"/>
      <c r="H176" s="4"/>
      <c r="I176" s="4"/>
      <c r="J176" s="4"/>
      <c r="K176" s="4"/>
      <c r="L176" s="4"/>
    </row>
    <row r="177" customFormat="false" ht="15" hidden="false" customHeight="false" outlineLevel="0" collapsed="false">
      <c r="A177" s="6" t="s">
        <v>198</v>
      </c>
      <c r="B177" s="34" t="n">
        <f aca="false">$B$9</f>
        <v>0.1470725</v>
      </c>
    </row>
    <row r="178" customFormat="false" ht="15" hidden="false" customHeight="false" outlineLevel="0" collapsed="false">
      <c r="A178" s="5" t="s">
        <v>441</v>
      </c>
      <c r="B178" s="61" t="n">
        <f aca="false">IRR(B155:L155)</f>
        <v>0.226125774918278</v>
      </c>
    </row>
    <row r="179" customFormat="false" ht="15" hidden="false" customHeight="false" outlineLevel="0" collapsed="false">
      <c r="A179" s="6" t="s">
        <v>16</v>
      </c>
      <c r="B179" s="34" t="n">
        <f aca="false">IRR(B154:L154)</f>
        <v>0.17587013407988</v>
      </c>
    </row>
    <row r="180" customFormat="false" ht="15" hidden="false" customHeight="false" outlineLevel="0" collapsed="false">
      <c r="A180" s="6" t="s">
        <v>442</v>
      </c>
      <c r="B180" s="34" t="n">
        <f aca="false">(1+$B$9)/L134^(1/11)-1</f>
        <v>0.0996090543813608</v>
      </c>
    </row>
    <row r="181" customFormat="false" ht="15" hidden="false" customHeight="false" outlineLevel="0" collapsed="false">
      <c r="A181" s="5" t="s">
        <v>20</v>
      </c>
      <c r="B181" s="62" t="n">
        <f aca="false">SUMPRODUCT(B154:L154,B158:L158)</f>
        <v>502.976125498281</v>
      </c>
    </row>
    <row r="182" customFormat="false" ht="15" hidden="false" customHeight="false" outlineLevel="0" collapsed="false">
      <c r="A182" s="5" t="s">
        <v>443</v>
      </c>
      <c r="B182" s="63" t="n">
        <f aca="false">SUM(B157:L157)</f>
        <v>4.77005630759528</v>
      </c>
    </row>
    <row r="183" customFormat="false" ht="15" hidden="false" customHeight="false" outlineLevel="0" collapsed="false">
      <c r="A183" s="6" t="s">
        <v>444</v>
      </c>
      <c r="B183" s="64" t="n">
        <f aca="false">IF(SUM(B161:L161)=0,"Más de 10",SUM(B161:L161))</f>
        <v>6.71288322261245</v>
      </c>
    </row>
    <row r="184" customFormat="false" ht="15" hidden="false" customHeight="false" outlineLevel="0" collapsed="false">
      <c r="A184" s="5" t="s">
        <v>445</v>
      </c>
      <c r="B184" s="65" t="n">
        <f aca="false">SUM(B154:L154)/SUM(B137:L137)</f>
        <v>1.05109148104221</v>
      </c>
    </row>
    <row r="185" customFormat="false" ht="15" hidden="false" customHeight="false" outlineLevel="0" collapsed="false">
      <c r="A185" s="5" t="s">
        <v>446</v>
      </c>
      <c r="B185" s="61" t="n">
        <f aca="false">IFERROR(IRR(B170:L170),"No existe")</f>
        <v>0.407599554247206</v>
      </c>
    </row>
    <row r="186" customFormat="false" ht="15" hidden="false" customHeight="false" outlineLevel="0" collapsed="false">
      <c r="A186" s="6" t="s">
        <v>447</v>
      </c>
      <c r="B186" s="34" t="n">
        <f aca="false">IFERROR(IRR(B169:L169),"No existe")</f>
        <v>0.348871257184366</v>
      </c>
    </row>
    <row r="187" customFormat="false" ht="15" hidden="false" customHeight="false" outlineLevel="0" collapsed="false">
      <c r="A187" s="6" t="s">
        <v>448</v>
      </c>
      <c r="B187" s="29" t="n">
        <f aca="false">SUMPRODUCT(B169:L169,B171:L171)</f>
        <v>277.1669770095</v>
      </c>
    </row>
    <row r="188" customFormat="false" ht="15" hidden="false" customHeight="false" outlineLevel="0" collapsed="false">
      <c r="A188" s="5" t="s">
        <v>449</v>
      </c>
      <c r="B188" s="66" t="n">
        <f aca="false">MIN(D173:L173)</f>
        <v>1.30556256990244</v>
      </c>
    </row>
    <row r="189" customFormat="false" ht="15" hidden="false" customHeight="false" outlineLevel="0" collapsed="false">
      <c r="A189" s="6" t="s">
        <v>450</v>
      </c>
      <c r="B189" s="29" t="n">
        <f aca="false">-(B169+C169)</f>
        <v>418.595516417845</v>
      </c>
    </row>
    <row r="190" customFormat="false" ht="15" hidden="false" customHeight="false" outlineLevel="0" collapsed="false">
      <c r="A190" s="6" t="s">
        <v>451</v>
      </c>
      <c r="B190" s="29" t="n">
        <f aca="false">$F$97</f>
        <v>1689.26930610618</v>
      </c>
    </row>
    <row r="191" customFormat="false" ht="15" hidden="false" customHeight="false" outlineLevel="0" collapsed="false">
      <c r="A191" s="6" t="s">
        <v>452</v>
      </c>
      <c r="B191" s="29" t="n">
        <f aca="false">$E$127</f>
        <v>538.531663249737</v>
      </c>
    </row>
    <row r="192" customFormat="false" ht="15" hidden="false" customHeight="false" outlineLevel="0" collapsed="false">
      <c r="A192" s="6" t="s">
        <v>453</v>
      </c>
      <c r="B192" s="29" t="n">
        <f aca="false">$E$128</f>
        <v>95.9432442337815</v>
      </c>
    </row>
    <row r="194" customFormat="false" ht="15" hidden="false" customHeight="false" outlineLevel="0" collapsed="false">
      <c r="A194" s="3" t="s">
        <v>454</v>
      </c>
      <c r="B194" s="4"/>
      <c r="C194" s="4"/>
      <c r="D194" s="4"/>
      <c r="E194" s="4"/>
      <c r="F194" s="4"/>
      <c r="G194" s="4"/>
      <c r="H194" s="4"/>
      <c r="I194" s="4"/>
      <c r="J194" s="4"/>
      <c r="K194" s="4"/>
      <c r="L194" s="4"/>
    </row>
    <row r="195" customFormat="false" ht="15" hidden="false" customHeight="false" outlineLevel="0" collapsed="false">
      <c r="A195" s="9" t="s">
        <v>455</v>
      </c>
    </row>
    <row r="196" customFormat="false" ht="15" hidden="false" customHeight="false" outlineLevel="0" collapsed="false">
      <c r="A196" s="9" t="s">
        <v>456</v>
      </c>
    </row>
    <row r="197" customFormat="false" ht="15" hidden="false" customHeight="false" outlineLevel="0" collapsed="false">
      <c r="A197" s="9" t="s">
        <v>457</v>
      </c>
    </row>
    <row r="198" customFormat="false" ht="15" hidden="false" customHeight="false" outlineLevel="0" collapsed="false">
      <c r="A198" s="9" t="s">
        <v>458</v>
      </c>
    </row>
    <row r="199" customFormat="false" ht="15" hidden="false" customHeight="false" outlineLevel="0" collapsed="false">
      <c r="A199" s="9" t="s">
        <v>459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13" min="2" style="0" width="9.51"/>
  </cols>
  <sheetData>
    <row r="1" customFormat="false" ht="17.35" hidden="false" customHeight="false" outlineLevel="0" collapsed="false">
      <c r="A1" s="42" t="s">
        <v>460</v>
      </c>
    </row>
    <row r="2" customFormat="false" ht="15" hidden="false" customHeight="false" outlineLevel="0" collapsed="false">
      <c r="A2" s="9" t="s">
        <v>461</v>
      </c>
    </row>
    <row r="4" customFormat="false" ht="15" hidden="false" customHeight="false" outlineLevel="0" collapsed="false">
      <c r="A4" s="3" t="s">
        <v>462</v>
      </c>
      <c r="B4" s="4"/>
      <c r="C4" s="4"/>
      <c r="D4" s="4"/>
      <c r="E4" s="4"/>
      <c r="F4" s="4"/>
      <c r="G4" s="4"/>
      <c r="H4" s="4"/>
      <c r="I4" s="4"/>
      <c r="J4" s="4"/>
      <c r="K4" s="4"/>
      <c r="L4" s="4"/>
      <c r="M4" s="4"/>
    </row>
    <row r="5" customFormat="false" ht="15" hidden="false" customHeight="false" outlineLevel="0" collapsed="false">
      <c r="A5" s="23"/>
      <c r="B5" s="24" t="s">
        <v>393</v>
      </c>
      <c r="C5" s="24" t="s">
        <v>394</v>
      </c>
      <c r="D5" s="24" t="s">
        <v>395</v>
      </c>
      <c r="E5" s="24" t="s">
        <v>396</v>
      </c>
      <c r="F5" s="24" t="s">
        <v>397</v>
      </c>
      <c r="G5" s="24" t="s">
        <v>398</v>
      </c>
      <c r="H5" s="24" t="s">
        <v>399</v>
      </c>
      <c r="I5" s="24" t="s">
        <v>400</v>
      </c>
      <c r="J5" s="24" t="s">
        <v>401</v>
      </c>
      <c r="K5" s="24" t="s">
        <v>402</v>
      </c>
      <c r="L5" s="24" t="s">
        <v>403</v>
      </c>
      <c r="M5" s="24" t="s">
        <v>463</v>
      </c>
    </row>
    <row r="6" customFormat="false" ht="15" hidden="false" customHeight="false" outlineLevel="0" collapsed="false">
      <c r="A6" s="9" t="s">
        <v>464</v>
      </c>
      <c r="B6" s="55" t="n">
        <v>2027</v>
      </c>
      <c r="C6" s="55" t="n">
        <v>2028</v>
      </c>
      <c r="D6" s="55" t="n">
        <v>2029</v>
      </c>
      <c r="E6" s="55" t="n">
        <v>2030</v>
      </c>
      <c r="F6" s="55" t="n">
        <v>2031</v>
      </c>
      <c r="G6" s="55" t="n">
        <v>2032</v>
      </c>
      <c r="H6" s="55" t="n">
        <v>2033</v>
      </c>
      <c r="I6" s="55" t="n">
        <v>2034</v>
      </c>
      <c r="J6" s="55" t="n">
        <v>2035</v>
      </c>
      <c r="K6" s="55" t="n">
        <v>2036</v>
      </c>
      <c r="L6" s="55" t="n">
        <v>2037</v>
      </c>
    </row>
    <row r="7" customFormat="false" ht="15" hidden="false" customHeight="false" outlineLevel="0" collapsed="false">
      <c r="A7" s="5" t="s">
        <v>465</v>
      </c>
      <c r="B7" s="46" t="n">
        <v>0.06</v>
      </c>
      <c r="C7" s="46" t="n">
        <v>0.05</v>
      </c>
      <c r="D7" s="46" t="n">
        <v>0.045</v>
      </c>
      <c r="E7" s="46" t="n">
        <v>0.04</v>
      </c>
      <c r="F7" s="46" t="n">
        <v>0.04</v>
      </c>
      <c r="G7" s="46" t="n">
        <v>0.04</v>
      </c>
      <c r="H7" s="46" t="n">
        <v>0.04</v>
      </c>
      <c r="I7" s="46" t="n">
        <v>0.04</v>
      </c>
      <c r="J7" s="46" t="n">
        <v>0.04</v>
      </c>
      <c r="K7" s="46" t="n">
        <v>0.04</v>
      </c>
      <c r="L7" s="46" t="n">
        <v>0.04</v>
      </c>
      <c r="M7" s="8" t="n">
        <f aca="false">EXP(SUMPRODUCT(LN(1+B7:L7))/11)-1</f>
        <v>0.043163927606382</v>
      </c>
    </row>
    <row r="8" customFormat="false" ht="15" hidden="false" customHeight="false" outlineLevel="0" collapsed="false">
      <c r="A8" s="6" t="s">
        <v>466</v>
      </c>
      <c r="B8" s="46" t="n">
        <v>0.059</v>
      </c>
      <c r="C8" s="46" t="n">
        <v>0.045</v>
      </c>
      <c r="D8" s="46" t="n">
        <v>0.037</v>
      </c>
      <c r="E8" s="46" t="n">
        <v>0.034</v>
      </c>
      <c r="F8" s="46" t="n">
        <v>0.034</v>
      </c>
      <c r="G8" s="46" t="n">
        <v>0.034</v>
      </c>
      <c r="H8" s="46" t="n">
        <v>0.034</v>
      </c>
      <c r="I8" s="46" t="n">
        <v>0.034</v>
      </c>
      <c r="J8" s="46" t="n">
        <v>0.034</v>
      </c>
      <c r="K8" s="46" t="n">
        <v>0.034</v>
      </c>
      <c r="L8" s="46" t="n">
        <v>0.034</v>
      </c>
      <c r="M8" s="8" t="n">
        <f aca="false">EXP(SUMPRODUCT(LN(1+B8:L8))/11)-1</f>
        <v>0.0375187115400344</v>
      </c>
    </row>
    <row r="9" customFormat="false" ht="15" hidden="false" customHeight="false" outlineLevel="0" collapsed="false">
      <c r="A9" s="6" t="s">
        <v>467</v>
      </c>
      <c r="B9" s="46" t="n">
        <v>0.065</v>
      </c>
      <c r="C9" s="46" t="n">
        <v>0.065</v>
      </c>
      <c r="D9" s="46" t="n">
        <v>0.065</v>
      </c>
      <c r="E9" s="46" t="n">
        <v>0.065</v>
      </c>
      <c r="F9" s="46" t="n">
        <v>0.065</v>
      </c>
      <c r="G9" s="46" t="n">
        <v>0.065</v>
      </c>
      <c r="H9" s="46" t="n">
        <v>0.065</v>
      </c>
      <c r="I9" s="46" t="n">
        <v>0.065</v>
      </c>
      <c r="J9" s="46" t="n">
        <v>0.065</v>
      </c>
      <c r="K9" s="46" t="n">
        <v>0.065</v>
      </c>
      <c r="L9" s="46" t="n">
        <v>0.065</v>
      </c>
      <c r="M9" s="8" t="n">
        <f aca="false">EXP(SUMPRODUCT(LN(1+B9:L9))/11)-1</f>
        <v>0.065</v>
      </c>
    </row>
    <row r="10" customFormat="false" ht="15" hidden="false" customHeight="false" outlineLevel="0" collapsed="false">
      <c r="A10" s="9" t="s">
        <v>468</v>
      </c>
    </row>
    <row r="12" customFormat="false" ht="15" hidden="false" customHeight="false" outlineLevel="0" collapsed="false">
      <c r="A12" s="6" t="s">
        <v>469</v>
      </c>
      <c r="B12" s="49" t="n">
        <v>0.085</v>
      </c>
      <c r="D12" s="9" t="s">
        <v>470</v>
      </c>
    </row>
    <row r="13" customFormat="false" ht="15" hidden="false" customHeight="false" outlineLevel="0" collapsed="false">
      <c r="A13" s="6" t="s">
        <v>471</v>
      </c>
      <c r="B13" s="46" t="n">
        <v>0.005</v>
      </c>
      <c r="D13" s="9" t="s">
        <v>472</v>
      </c>
    </row>
    <row r="14" customFormat="false" ht="15" hidden="false" customHeight="false" outlineLevel="0" collapsed="false">
      <c r="A14" s="6" t="s">
        <v>473</v>
      </c>
      <c r="B14" s="67" t="n">
        <f aca="false">(1+B12)/(1+B7)</f>
        <v>1.02358490566038</v>
      </c>
      <c r="D14" s="9" t="s">
        <v>474</v>
      </c>
    </row>
    <row r="15" customFormat="false" ht="15" hidden="false" customHeight="false" outlineLevel="0" collapsed="false">
      <c r="A15" s="6" t="s">
        <v>475</v>
      </c>
      <c r="B15" s="67" t="n">
        <f aca="false">B14*(1+B13)</f>
        <v>1.02870283018868</v>
      </c>
      <c r="D15" s="9" t="s">
        <v>476</v>
      </c>
    </row>
    <row r="16" customFormat="false" ht="15" hidden="false" customHeight="false" outlineLevel="0" collapsed="false">
      <c r="A16" s="6" t="s">
        <v>477</v>
      </c>
      <c r="B16" s="68" t="n">
        <f aca="false">1750905*(1+B12)</f>
        <v>1899731.925</v>
      </c>
      <c r="D16" s="9" t="s">
        <v>478</v>
      </c>
    </row>
    <row r="17" customFormat="false" ht="15" hidden="false" customHeight="false" outlineLevel="0" collapsed="false">
      <c r="A17" s="9" t="s">
        <v>479</v>
      </c>
    </row>
    <row r="19" customFormat="false" ht="15" hidden="false" customHeight="false" outlineLevel="0" collapsed="false">
      <c r="A19" s="3" t="s">
        <v>480</v>
      </c>
      <c r="B19" s="4"/>
      <c r="C19" s="4"/>
      <c r="D19" s="4"/>
      <c r="E19" s="4"/>
      <c r="F19" s="4"/>
      <c r="G19" s="4"/>
      <c r="H19" s="4"/>
      <c r="I19" s="4"/>
      <c r="J19" s="4"/>
      <c r="K19" s="4"/>
      <c r="L19" s="4"/>
      <c r="M19" s="4"/>
    </row>
    <row r="20" customFormat="false" ht="15" hidden="false" customHeight="false" outlineLevel="0" collapsed="false">
      <c r="A20" s="9" t="s">
        <v>481</v>
      </c>
    </row>
    <row r="21" customFormat="false" ht="15" hidden="false" customHeight="false" outlineLevel="0" collapsed="false">
      <c r="A21" s="9" t="s">
        <v>482</v>
      </c>
    </row>
    <row r="22" customFormat="false" ht="15" hidden="false" customHeight="false" outlineLevel="0" collapsed="false">
      <c r="A22" s="9" t="s">
        <v>483</v>
      </c>
    </row>
    <row r="24" customFormat="false" ht="15" hidden="false" customHeight="false" outlineLevel="0" collapsed="false">
      <c r="A24" s="3" t="s">
        <v>484</v>
      </c>
      <c r="B24" s="4"/>
      <c r="C24" s="4"/>
      <c r="D24" s="4"/>
      <c r="E24" s="4"/>
      <c r="F24" s="4"/>
      <c r="G24" s="4"/>
      <c r="H24" s="4"/>
      <c r="I24" s="4"/>
      <c r="J24" s="4"/>
      <c r="K24" s="4"/>
      <c r="L24" s="4"/>
      <c r="M24" s="4"/>
    </row>
    <row r="25" customFormat="false" ht="15" hidden="false" customHeight="false" outlineLevel="0" collapsed="false">
      <c r="A25" s="9" t="s">
        <v>485</v>
      </c>
    </row>
    <row r="26" customFormat="false" ht="15" hidden="false" customHeight="false" outlineLevel="0" collapsed="false">
      <c r="A26" s="9" t="s">
        <v>486</v>
      </c>
    </row>
    <row r="27" customFormat="false" ht="15" hidden="false" customHeight="false" outlineLevel="0" collapsed="false">
      <c r="A27" s="9" t="s">
        <v>487</v>
      </c>
    </row>
    <row r="28" customFormat="false" ht="15" hidden="false" customHeight="false" outlineLevel="0" collapsed="false">
      <c r="A28" s="9" t="s">
        <v>488</v>
      </c>
    </row>
    <row r="29" customFormat="false" ht="15" hidden="false" customHeight="false" outlineLevel="0" collapsed="false">
      <c r="A29" s="9" t="s">
        <v>489</v>
      </c>
    </row>
    <row r="31" customFormat="false" ht="15" hidden="false" customHeight="false" outlineLevel="0" collapsed="false">
      <c r="A31" s="3" t="s">
        <v>490</v>
      </c>
      <c r="B31" s="4"/>
      <c r="C31" s="4"/>
      <c r="D31" s="4"/>
      <c r="E31" s="4"/>
      <c r="F31" s="4"/>
      <c r="G31" s="4"/>
      <c r="H31" s="4"/>
      <c r="I31" s="4"/>
      <c r="J31" s="4"/>
      <c r="K31" s="4"/>
      <c r="L31" s="4"/>
      <c r="M31" s="4"/>
    </row>
    <row r="32" customFormat="false" ht="15" hidden="false" customHeight="false" outlineLevel="0" collapsed="false">
      <c r="A32" s="9" t="s">
        <v>491</v>
      </c>
    </row>
    <row r="33" customFormat="false" ht="15" hidden="false" customHeight="false" outlineLevel="0" collapsed="false">
      <c r="A33" s="9" t="s">
        <v>492</v>
      </c>
    </row>
    <row r="34" customFormat="false" ht="15" hidden="false" customHeight="false" outlineLevel="0" collapsed="false">
      <c r="A34" s="9" t="s">
        <v>493</v>
      </c>
    </row>
    <row r="35" customFormat="false" ht="15" hidden="false" customHeight="false" outlineLevel="0" collapsed="false">
      <c r="A35" s="9" t="s">
        <v>494</v>
      </c>
    </row>
    <row r="37" customFormat="false" ht="15" hidden="false" customHeight="false" outlineLevel="0" collapsed="false">
      <c r="A37" s="3" t="s">
        <v>495</v>
      </c>
      <c r="B37" s="4"/>
      <c r="C37" s="4"/>
      <c r="D37" s="4"/>
      <c r="E37" s="4"/>
      <c r="F37" s="4"/>
      <c r="G37" s="4"/>
      <c r="H37" s="4"/>
      <c r="I37" s="4"/>
      <c r="J37" s="4"/>
      <c r="K37" s="4"/>
      <c r="L37" s="4"/>
      <c r="M37" s="4"/>
    </row>
    <row r="38" customFormat="false" ht="15" hidden="false" customHeight="false" outlineLevel="0" collapsed="false">
      <c r="A38" s="9" t="s">
        <v>496</v>
      </c>
    </row>
    <row r="39" customFormat="false" ht="15" hidden="false" customHeight="false" outlineLevel="0" collapsed="false">
      <c r="A39" s="9" t="s">
        <v>497</v>
      </c>
    </row>
    <row r="40" customFormat="false" ht="15" hidden="false" customHeight="false" outlineLevel="0" collapsed="false">
      <c r="A40" s="9" t="s">
        <v>498</v>
      </c>
    </row>
    <row r="41" customFormat="false" ht="15" hidden="false" customHeight="false" outlineLevel="0" collapsed="false">
      <c r="A41" s="9" t="s">
        <v>499</v>
      </c>
    </row>
    <row r="42" customFormat="false" ht="15" hidden="false" customHeight="false" outlineLevel="0" collapsed="false">
      <c r="A42" s="9" t="s">
        <v>500</v>
      </c>
    </row>
    <row r="43" customFormat="false" ht="15" hidden="false" customHeight="false" outlineLevel="0" collapsed="false">
      <c r="A43" s="9" t="s">
        <v>501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1" min="2" style="0" width="12"/>
  </cols>
  <sheetData>
    <row r="1" customFormat="false" ht="17.35" hidden="false" customHeight="false" outlineLevel="0" collapsed="false">
      <c r="A1" s="42" t="s">
        <v>502</v>
      </c>
    </row>
    <row r="2" customFormat="false" ht="15" hidden="false" customHeight="false" outlineLevel="0" collapsed="false">
      <c r="A2" s="9" t="s">
        <v>503</v>
      </c>
    </row>
    <row r="4" customFormat="false" ht="15" hidden="false" customHeight="false" outlineLevel="0" collapsed="false">
      <c r="A4" s="3" t="s">
        <v>504</v>
      </c>
      <c r="B4" s="4"/>
      <c r="C4" s="4"/>
      <c r="D4" s="4"/>
      <c r="E4" s="4"/>
      <c r="F4" s="4"/>
      <c r="G4" s="4"/>
      <c r="H4" s="4"/>
      <c r="I4" s="4"/>
      <c r="J4" s="4"/>
      <c r="K4" s="4"/>
    </row>
    <row r="5" customFormat="false" ht="23.85" hidden="false" customHeight="false" outlineLevel="0" collapsed="false">
      <c r="A5" s="23" t="s">
        <v>505</v>
      </c>
      <c r="B5" s="24" t="s">
        <v>188</v>
      </c>
      <c r="C5" s="24" t="s">
        <v>189</v>
      </c>
      <c r="D5" s="24" t="s">
        <v>190</v>
      </c>
    </row>
    <row r="6" customFormat="false" ht="15" hidden="false" customHeight="false" outlineLevel="0" collapsed="false">
      <c r="A6" s="6" t="s">
        <v>506</v>
      </c>
      <c r="B6" s="51" t="n">
        <v>294</v>
      </c>
      <c r="C6" s="9" t="s">
        <v>263</v>
      </c>
      <c r="D6" s="9" t="s">
        <v>507</v>
      </c>
    </row>
    <row r="7" customFormat="false" ht="15" hidden="false" customHeight="false" outlineLevel="0" collapsed="false">
      <c r="A7" s="6" t="s">
        <v>508</v>
      </c>
      <c r="B7" s="69" t="n">
        <v>1.03</v>
      </c>
      <c r="C7" s="9" t="s">
        <v>509</v>
      </c>
      <c r="D7" s="9" t="s">
        <v>510</v>
      </c>
    </row>
    <row r="8" customFormat="false" ht="15" hidden="false" customHeight="false" outlineLevel="0" collapsed="false">
      <c r="A8" s="6" t="s">
        <v>511</v>
      </c>
      <c r="B8" s="52" t="n">
        <v>0.036</v>
      </c>
      <c r="C8" s="9" t="s">
        <v>512</v>
      </c>
      <c r="D8" s="9" t="s">
        <v>513</v>
      </c>
    </row>
    <row r="9" customFormat="false" ht="15" hidden="false" customHeight="false" outlineLevel="0" collapsed="false">
      <c r="A9" s="6" t="s">
        <v>514</v>
      </c>
      <c r="B9" s="46" t="n">
        <v>0.4</v>
      </c>
      <c r="C9" s="9" t="s">
        <v>512</v>
      </c>
      <c r="D9" s="9" t="s">
        <v>515</v>
      </c>
    </row>
    <row r="10" customFormat="false" ht="15" hidden="false" customHeight="false" outlineLevel="0" collapsed="false">
      <c r="A10" s="6" t="s">
        <v>516</v>
      </c>
      <c r="B10" s="52" t="n">
        <v>0.0008</v>
      </c>
      <c r="C10" s="9" t="s">
        <v>517</v>
      </c>
      <c r="D10" s="9" t="s">
        <v>518</v>
      </c>
    </row>
    <row r="11" customFormat="false" ht="15" hidden="false" customHeight="false" outlineLevel="0" collapsed="false">
      <c r="A11" s="6" t="s">
        <v>519</v>
      </c>
      <c r="B11" s="52" t="n">
        <v>0.0003</v>
      </c>
      <c r="C11" s="9" t="s">
        <v>517</v>
      </c>
      <c r="D11" s="9" t="s">
        <v>520</v>
      </c>
    </row>
    <row r="12" customFormat="false" ht="15" hidden="false" customHeight="false" outlineLevel="0" collapsed="false">
      <c r="A12" s="6" t="s">
        <v>521</v>
      </c>
      <c r="B12" s="48" t="n">
        <v>30</v>
      </c>
      <c r="C12" s="9" t="s">
        <v>522</v>
      </c>
      <c r="D12" s="9" t="s">
        <v>523</v>
      </c>
    </row>
    <row r="13" customFormat="false" ht="15" hidden="false" customHeight="false" outlineLevel="0" collapsed="false">
      <c r="A13" s="6" t="s">
        <v>524</v>
      </c>
      <c r="B13" s="46" t="n">
        <v>0.03</v>
      </c>
      <c r="C13" s="9" t="s">
        <v>525</v>
      </c>
      <c r="D13" s="9" t="s">
        <v>526</v>
      </c>
    </row>
    <row r="14" customFormat="false" ht="15" hidden="false" customHeight="false" outlineLevel="0" collapsed="false">
      <c r="A14" s="6" t="s">
        <v>527</v>
      </c>
      <c r="B14" s="52" t="n">
        <v>0.0015</v>
      </c>
      <c r="C14" s="9" t="s">
        <v>525</v>
      </c>
      <c r="D14" s="9" t="s">
        <v>528</v>
      </c>
    </row>
    <row r="15" customFormat="false" ht="15" hidden="false" customHeight="false" outlineLevel="0" collapsed="false">
      <c r="A15" s="6" t="s">
        <v>529</v>
      </c>
      <c r="B15" s="46" t="n">
        <v>0.02</v>
      </c>
      <c r="C15" s="9" t="s">
        <v>530</v>
      </c>
      <c r="D15" s="9" t="s">
        <v>531</v>
      </c>
    </row>
    <row r="16" customFormat="false" ht="15" hidden="false" customHeight="false" outlineLevel="0" collapsed="false">
      <c r="A16" s="6" t="s">
        <v>532</v>
      </c>
      <c r="B16" s="46" t="n">
        <v>0.01</v>
      </c>
      <c r="C16" s="9" t="s">
        <v>533</v>
      </c>
      <c r="D16" s="9" t="s">
        <v>534</v>
      </c>
    </row>
    <row r="17" customFormat="false" ht="15" hidden="false" customHeight="false" outlineLevel="0" collapsed="false">
      <c r="A17" s="6" t="s">
        <v>535</v>
      </c>
      <c r="B17" s="46" t="n">
        <v>0.005</v>
      </c>
      <c r="C17" s="9" t="s">
        <v>533</v>
      </c>
      <c r="D17" s="9" t="s">
        <v>536</v>
      </c>
    </row>
    <row r="18" customFormat="false" ht="15" hidden="false" customHeight="false" outlineLevel="0" collapsed="false">
      <c r="A18" s="6" t="s">
        <v>537</v>
      </c>
      <c r="B18" s="46" t="n">
        <v>0.04</v>
      </c>
      <c r="C18" s="9" t="s">
        <v>538</v>
      </c>
      <c r="D18" s="9" t="s">
        <v>539</v>
      </c>
    </row>
    <row r="19" customFormat="false" ht="15" hidden="false" customHeight="false" outlineLevel="0" collapsed="false">
      <c r="A19" s="6" t="s">
        <v>540</v>
      </c>
      <c r="B19" s="46" t="n">
        <v>0.02</v>
      </c>
      <c r="C19" s="9" t="s">
        <v>541</v>
      </c>
      <c r="D19" s="9" t="s">
        <v>542</v>
      </c>
    </row>
    <row r="20" customFormat="false" ht="15" hidden="false" customHeight="false" outlineLevel="0" collapsed="false">
      <c r="A20" s="6" t="s">
        <v>543</v>
      </c>
      <c r="B20" s="46" t="n">
        <v>0.015</v>
      </c>
      <c r="C20" s="9" t="s">
        <v>541</v>
      </c>
      <c r="D20" s="9" t="s">
        <v>544</v>
      </c>
    </row>
    <row r="21" customFormat="false" ht="15" hidden="false" customHeight="false" outlineLevel="0" collapsed="false">
      <c r="A21" s="6" t="s">
        <v>545</v>
      </c>
      <c r="B21" s="50" t="n">
        <v>457</v>
      </c>
      <c r="C21" s="9" t="s">
        <v>214</v>
      </c>
      <c r="D21" s="9" t="s">
        <v>542</v>
      </c>
    </row>
    <row r="22" customFormat="false" ht="15" hidden="false" customHeight="false" outlineLevel="0" collapsed="false">
      <c r="A22" s="6" t="s">
        <v>546</v>
      </c>
      <c r="B22" s="46" t="n">
        <v>0.2</v>
      </c>
      <c r="C22" s="9" t="s">
        <v>547</v>
      </c>
      <c r="D22" s="9" t="s">
        <v>548</v>
      </c>
    </row>
    <row r="23" customFormat="false" ht="15" hidden="false" customHeight="false" outlineLevel="0" collapsed="false">
      <c r="A23" s="6" t="s">
        <v>549</v>
      </c>
      <c r="B23" s="50" t="n">
        <v>1218</v>
      </c>
      <c r="C23" s="9" t="s">
        <v>214</v>
      </c>
      <c r="D23" s="9" t="s">
        <v>542</v>
      </c>
    </row>
    <row r="24" customFormat="false" ht="15" hidden="false" customHeight="false" outlineLevel="0" collapsed="false">
      <c r="A24" s="6" t="s">
        <v>550</v>
      </c>
      <c r="B24" s="46" t="n">
        <v>0.1</v>
      </c>
      <c r="C24" s="9" t="s">
        <v>551</v>
      </c>
      <c r="D24" s="9" t="s">
        <v>552</v>
      </c>
    </row>
    <row r="25" customFormat="false" ht="15" hidden="false" customHeight="false" outlineLevel="0" collapsed="false">
      <c r="A25" s="6" t="s">
        <v>553</v>
      </c>
      <c r="B25" s="34" t="n">
        <f aca="false">1/3</f>
        <v>0.333333333333333</v>
      </c>
      <c r="C25" s="9" t="s">
        <v>196</v>
      </c>
      <c r="D25" s="9" t="s">
        <v>554</v>
      </c>
    </row>
    <row r="26" customFormat="false" ht="15" hidden="false" customHeight="false" outlineLevel="0" collapsed="false">
      <c r="A26" s="6" t="s">
        <v>555</v>
      </c>
      <c r="B26" s="70" t="n">
        <v>0.5</v>
      </c>
      <c r="C26" s="9" t="s">
        <v>556</v>
      </c>
      <c r="D26" s="9" t="s">
        <v>557</v>
      </c>
    </row>
    <row r="27" customFormat="false" ht="15" hidden="false" customHeight="false" outlineLevel="0" collapsed="false">
      <c r="A27" s="6" t="s">
        <v>558</v>
      </c>
      <c r="B27" s="51" t="n">
        <v>4</v>
      </c>
      <c r="C27" s="9" t="s">
        <v>559</v>
      </c>
      <c r="D27" s="9" t="s">
        <v>560</v>
      </c>
    </row>
    <row r="28" customFormat="false" ht="15" hidden="false" customHeight="false" outlineLevel="0" collapsed="false">
      <c r="A28" s="6" t="s">
        <v>561</v>
      </c>
      <c r="B28" s="48" t="n">
        <v>20000</v>
      </c>
      <c r="C28" s="9" t="s">
        <v>562</v>
      </c>
      <c r="D28" s="9" t="s">
        <v>563</v>
      </c>
    </row>
    <row r="29" customFormat="false" ht="15" hidden="false" customHeight="false" outlineLevel="0" collapsed="false">
      <c r="A29" s="6" t="s">
        <v>564</v>
      </c>
      <c r="B29" s="48" t="n">
        <v>9000</v>
      </c>
      <c r="C29" s="9" t="s">
        <v>565</v>
      </c>
      <c r="D29" s="9" t="s">
        <v>566</v>
      </c>
    </row>
    <row r="30" customFormat="false" ht="15" hidden="false" customHeight="false" outlineLevel="0" collapsed="false">
      <c r="A30" s="6" t="s">
        <v>567</v>
      </c>
      <c r="B30" s="48" t="n">
        <v>3100</v>
      </c>
      <c r="C30" s="9" t="s">
        <v>568</v>
      </c>
      <c r="D30" s="9" t="s">
        <v>569</v>
      </c>
    </row>
    <row r="31" customFormat="false" ht="15" hidden="false" customHeight="false" outlineLevel="0" collapsed="false">
      <c r="A31" s="6" t="s">
        <v>570</v>
      </c>
      <c r="B31" s="48" t="n">
        <v>30</v>
      </c>
      <c r="C31" s="9" t="s">
        <v>565</v>
      </c>
      <c r="D31" s="9" t="s">
        <v>210</v>
      </c>
    </row>
    <row r="32" customFormat="false" ht="15" hidden="false" customHeight="false" outlineLevel="0" collapsed="false">
      <c r="A32" s="6" t="s">
        <v>571</v>
      </c>
      <c r="B32" s="48" t="n">
        <v>45</v>
      </c>
      <c r="C32" s="9" t="s">
        <v>565</v>
      </c>
      <c r="D32" s="9" t="s">
        <v>572</v>
      </c>
    </row>
    <row r="33" customFormat="false" ht="15" hidden="false" customHeight="false" outlineLevel="0" collapsed="false">
      <c r="A33" s="6" t="s">
        <v>573</v>
      </c>
      <c r="B33" s="46" t="n">
        <v>0.01</v>
      </c>
      <c r="C33" s="9" t="s">
        <v>574</v>
      </c>
      <c r="D33" s="9" t="s">
        <v>575</v>
      </c>
    </row>
    <row r="34" customFormat="false" ht="15" hidden="false" customHeight="false" outlineLevel="0" collapsed="false">
      <c r="A34" s="6" t="s">
        <v>576</v>
      </c>
      <c r="B34" s="46" t="n">
        <v>0.3</v>
      </c>
      <c r="C34" s="9" t="s">
        <v>538</v>
      </c>
      <c r="D34" s="9" t="s">
        <v>577</v>
      </c>
    </row>
    <row r="35" customFormat="false" ht="15" hidden="false" customHeight="false" outlineLevel="0" collapsed="false">
      <c r="A35" s="6" t="s">
        <v>578</v>
      </c>
      <c r="B35" s="34" t="n">
        <f aca="false">2/3</f>
        <v>0.666666666666667</v>
      </c>
      <c r="C35" s="9" t="s">
        <v>196</v>
      </c>
      <c r="D35" s="9" t="s">
        <v>579</v>
      </c>
    </row>
    <row r="36" customFormat="false" ht="15" hidden="false" customHeight="false" outlineLevel="0" collapsed="false">
      <c r="A36" s="6" t="s">
        <v>580</v>
      </c>
      <c r="B36" s="70" t="n">
        <v>1.5</v>
      </c>
      <c r="C36" s="9" t="s">
        <v>556</v>
      </c>
      <c r="D36" s="9" t="s">
        <v>581</v>
      </c>
    </row>
    <row r="37" customFormat="false" ht="15" hidden="false" customHeight="false" outlineLevel="0" collapsed="false">
      <c r="A37" s="6" t="s">
        <v>582</v>
      </c>
      <c r="B37" s="48" t="n">
        <v>29000</v>
      </c>
      <c r="C37" s="9" t="s">
        <v>562</v>
      </c>
      <c r="D37" s="9" t="s">
        <v>583</v>
      </c>
    </row>
    <row r="38" customFormat="false" ht="15" hidden="false" customHeight="false" outlineLevel="0" collapsed="false">
      <c r="A38" s="6" t="s">
        <v>584</v>
      </c>
      <c r="B38" s="48" t="n">
        <v>9851</v>
      </c>
      <c r="C38" s="9" t="s">
        <v>214</v>
      </c>
      <c r="D38" s="9" t="s">
        <v>210</v>
      </c>
    </row>
    <row r="39" customFormat="false" ht="15" hidden="false" customHeight="false" outlineLevel="0" collapsed="false">
      <c r="A39" s="6" t="s">
        <v>585</v>
      </c>
      <c r="B39" s="48" t="n">
        <v>12315</v>
      </c>
      <c r="C39" s="9" t="s">
        <v>214</v>
      </c>
      <c r="D39" s="9" t="s">
        <v>210</v>
      </c>
    </row>
    <row r="40" customFormat="false" ht="15" hidden="false" customHeight="false" outlineLevel="0" collapsed="false">
      <c r="A40" s="6" t="s">
        <v>586</v>
      </c>
      <c r="B40" s="46" t="n">
        <v>0.02</v>
      </c>
      <c r="C40" s="9" t="s">
        <v>587</v>
      </c>
      <c r="D40" s="9" t="s">
        <v>210</v>
      </c>
    </row>
    <row r="41" customFormat="false" ht="15" hidden="false" customHeight="false" outlineLevel="0" collapsed="false">
      <c r="A41" s="6" t="s">
        <v>588</v>
      </c>
      <c r="B41" s="46" t="n">
        <v>0.02</v>
      </c>
      <c r="C41" s="9" t="s">
        <v>533</v>
      </c>
      <c r="D41" s="9" t="s">
        <v>210</v>
      </c>
    </row>
    <row r="42" customFormat="false" ht="15" hidden="false" customHeight="false" outlineLevel="0" collapsed="false">
      <c r="A42" s="6" t="s">
        <v>589</v>
      </c>
      <c r="B42" s="46" t="n">
        <v>0.01</v>
      </c>
      <c r="C42" s="9" t="s">
        <v>590</v>
      </c>
      <c r="D42" s="9" t="s">
        <v>210</v>
      </c>
    </row>
    <row r="43" customFormat="false" ht="15" hidden="false" customHeight="false" outlineLevel="0" collapsed="false">
      <c r="A43" s="6" t="s">
        <v>591</v>
      </c>
      <c r="B43" s="46" t="n">
        <v>0.01</v>
      </c>
      <c r="C43" s="9" t="s">
        <v>590</v>
      </c>
      <c r="D43" s="9" t="s">
        <v>210</v>
      </c>
    </row>
    <row r="44" customFormat="false" ht="15" hidden="false" customHeight="false" outlineLevel="0" collapsed="false">
      <c r="A44" s="6" t="s">
        <v>592</v>
      </c>
      <c r="B44" s="51" t="n">
        <v>1</v>
      </c>
      <c r="C44" s="9" t="s">
        <v>559</v>
      </c>
      <c r="D44" s="9" t="s">
        <v>593</v>
      </c>
    </row>
    <row r="45" customFormat="false" ht="15" hidden="false" customHeight="false" outlineLevel="0" collapsed="false">
      <c r="A45" s="6" t="s">
        <v>594</v>
      </c>
      <c r="B45" s="46" t="n">
        <v>0.005</v>
      </c>
      <c r="C45" s="9" t="s">
        <v>595</v>
      </c>
      <c r="D45" s="9" t="s">
        <v>596</v>
      </c>
    </row>
    <row r="46" customFormat="false" ht="15" hidden="false" customHeight="false" outlineLevel="0" collapsed="false">
      <c r="A46" s="6" t="s">
        <v>597</v>
      </c>
      <c r="B46" s="46" t="n">
        <v>0.15</v>
      </c>
      <c r="C46" s="9" t="s">
        <v>598</v>
      </c>
      <c r="D46" s="9" t="s">
        <v>599</v>
      </c>
    </row>
    <row r="47" customFormat="false" ht="15" hidden="false" customHeight="false" outlineLevel="0" collapsed="false">
      <c r="A47" s="6" t="s">
        <v>600</v>
      </c>
      <c r="B47" s="46" t="n">
        <v>0.05</v>
      </c>
      <c r="C47" s="9" t="s">
        <v>601</v>
      </c>
      <c r="D47" s="9" t="s">
        <v>602</v>
      </c>
    </row>
    <row r="48" customFormat="false" ht="15" hidden="false" customHeight="false" outlineLevel="0" collapsed="false">
      <c r="A48" s="6" t="s">
        <v>603</v>
      </c>
      <c r="B48" s="46" t="n">
        <v>0.15</v>
      </c>
      <c r="C48" s="9" t="s">
        <v>601</v>
      </c>
      <c r="D48" s="9" t="s">
        <v>604</v>
      </c>
    </row>
    <row r="49" customFormat="false" ht="15" hidden="false" customHeight="false" outlineLevel="0" collapsed="false">
      <c r="A49" s="6" t="s">
        <v>605</v>
      </c>
      <c r="B49" s="46" t="n">
        <v>0.05</v>
      </c>
      <c r="C49" s="9" t="s">
        <v>601</v>
      </c>
      <c r="D49" s="9" t="s">
        <v>606</v>
      </c>
    </row>
    <row r="50" customFormat="false" ht="15" hidden="false" customHeight="false" outlineLevel="0" collapsed="false">
      <c r="A50" s="6" t="s">
        <v>607</v>
      </c>
      <c r="B50" s="46" t="n">
        <v>0.01</v>
      </c>
      <c r="C50" s="9" t="s">
        <v>587</v>
      </c>
      <c r="D50" s="9" t="s">
        <v>608</v>
      </c>
    </row>
    <row r="52" customFormat="false" ht="15" hidden="false" customHeight="false" outlineLevel="0" collapsed="false">
      <c r="A52" s="3" t="s">
        <v>609</v>
      </c>
      <c r="B52" s="4"/>
      <c r="C52" s="4"/>
      <c r="D52" s="4"/>
      <c r="E52" s="4"/>
      <c r="F52" s="4"/>
      <c r="G52" s="4"/>
      <c r="H52" s="4"/>
      <c r="I52" s="4"/>
      <c r="J52" s="4"/>
      <c r="K52" s="4"/>
    </row>
    <row r="53" customFormat="false" ht="35.05" hidden="false" customHeight="false" outlineLevel="0" collapsed="false">
      <c r="A53" s="23" t="s">
        <v>610</v>
      </c>
      <c r="B53" s="24" t="s">
        <v>611</v>
      </c>
      <c r="C53" s="24" t="s">
        <v>612</v>
      </c>
      <c r="D53" s="24" t="s">
        <v>613</v>
      </c>
      <c r="E53" s="24" t="s">
        <v>614</v>
      </c>
      <c r="F53" s="24" t="s">
        <v>615</v>
      </c>
    </row>
    <row r="54" customFormat="false" ht="15" hidden="false" customHeight="false" outlineLevel="0" collapsed="false">
      <c r="A54" s="6" t="s">
        <v>616</v>
      </c>
      <c r="B54" s="48" t="n">
        <v>4500</v>
      </c>
      <c r="C54" s="52" t="n">
        <v>0.026</v>
      </c>
      <c r="D54" s="46" t="n">
        <v>0.12</v>
      </c>
      <c r="E54" s="48" t="n">
        <v>19500</v>
      </c>
      <c r="F54" s="48" t="n">
        <v>750</v>
      </c>
    </row>
    <row r="55" customFormat="false" ht="15" hidden="false" customHeight="false" outlineLevel="0" collapsed="false">
      <c r="A55" s="6" t="s">
        <v>617</v>
      </c>
      <c r="B55" s="48" t="n">
        <v>3000</v>
      </c>
      <c r="C55" s="71" t="n">
        <f aca="false">$B$8</f>
        <v>0.036</v>
      </c>
      <c r="D55" s="46" t="n">
        <v>0.13</v>
      </c>
      <c r="E55" s="48" t="n">
        <v>22000</v>
      </c>
      <c r="F55" s="48" t="n">
        <v>900</v>
      </c>
    </row>
    <row r="56" customFormat="false" ht="15" hidden="false" customHeight="false" outlineLevel="0" collapsed="false">
      <c r="A56" s="6" t="s">
        <v>618</v>
      </c>
      <c r="B56" s="48" t="n">
        <v>1500</v>
      </c>
      <c r="C56" s="52" t="n">
        <v>0.026</v>
      </c>
      <c r="D56" s="46" t="n">
        <v>0.1</v>
      </c>
      <c r="E56" s="48" t="n">
        <v>24000</v>
      </c>
      <c r="F56" s="48" t="n">
        <v>800</v>
      </c>
    </row>
    <row r="57" customFormat="false" ht="15" hidden="false" customHeight="false" outlineLevel="0" collapsed="false">
      <c r="A57" s="9" t="s">
        <v>619</v>
      </c>
    </row>
    <row r="59" customFormat="false" ht="15" hidden="false" customHeight="false" outlineLevel="0" collapsed="false">
      <c r="A59" s="3" t="s">
        <v>620</v>
      </c>
      <c r="B59" s="4"/>
      <c r="C59" s="4"/>
      <c r="D59" s="4"/>
      <c r="E59" s="4"/>
      <c r="F59" s="4"/>
      <c r="G59" s="4"/>
      <c r="H59" s="4"/>
      <c r="I59" s="4"/>
      <c r="J59" s="4"/>
      <c r="K59" s="4"/>
    </row>
    <row r="60" customFormat="false" ht="23.85" hidden="false" customHeight="false" outlineLevel="0" collapsed="false">
      <c r="A60" s="23" t="s">
        <v>610</v>
      </c>
      <c r="B60" s="24" t="s">
        <v>611</v>
      </c>
      <c r="C60" s="24" t="s">
        <v>612</v>
      </c>
      <c r="D60" s="24" t="s">
        <v>621</v>
      </c>
      <c r="E60" s="24" t="s">
        <v>622</v>
      </c>
      <c r="F60" s="24" t="s">
        <v>623</v>
      </c>
    </row>
    <row r="61" customFormat="false" ht="15" hidden="false" customHeight="false" outlineLevel="0" collapsed="false">
      <c r="A61" s="6" t="s">
        <v>624</v>
      </c>
      <c r="B61" s="48" t="n">
        <v>6500</v>
      </c>
      <c r="C61" s="52" t="n">
        <v>0.03</v>
      </c>
      <c r="D61" s="25" t="n">
        <f aca="false">MAX(0,B61*$B$7*($B$8-(C61+$B$10))/($B$9-(C61+$B$10)))</f>
        <v>94.2957746478873</v>
      </c>
      <c r="E61" s="25" t="n">
        <f aca="false">MAX(0,B61*$B$7*($B$8-(C61+$B$11))/($B$9-(C61+$B$11)))</f>
        <v>103.222883418988</v>
      </c>
      <c r="F61" s="25" t="n">
        <f aca="false">E61-D61</f>
        <v>8.92710877110098</v>
      </c>
    </row>
    <row r="62" customFormat="false" ht="15" hidden="false" customHeight="false" outlineLevel="0" collapsed="false">
      <c r="A62" s="6" t="s">
        <v>625</v>
      </c>
      <c r="B62" s="48" t="n">
        <v>3500</v>
      </c>
      <c r="C62" s="52" t="n">
        <v>0.015</v>
      </c>
      <c r="D62" s="25" t="n">
        <f aca="false">MAX(0,B62*$B$7*($B$8-(C62+$B$10))/($B$9-(C62+$B$10)))</f>
        <v>189.539302446642</v>
      </c>
      <c r="E62" s="25" t="n">
        <f aca="false">MAX(0,B62*$B$7*($B$8-(C62+$B$11))/($B$9-(C62+$B$11)))</f>
        <v>193.978424746556</v>
      </c>
      <c r="F62" s="25" t="n">
        <f aca="false">E62-D62</f>
        <v>4.43912229991338</v>
      </c>
    </row>
    <row r="63" customFormat="false" ht="15" hidden="false" customHeight="false" outlineLevel="0" collapsed="false">
      <c r="A63" s="6" t="s">
        <v>626</v>
      </c>
      <c r="B63" s="48" t="n">
        <v>2000</v>
      </c>
      <c r="C63" s="52" t="n">
        <v>0.02</v>
      </c>
      <c r="D63" s="25" t="n">
        <f aca="false">MAX(0,B63*$B$7*($B$8-(C63+$B$10))/($B$9-(C63+$B$10)))</f>
        <v>82.5738396624472</v>
      </c>
      <c r="E63" s="25" t="n">
        <f aca="false">MAX(0,B63*$B$7*($B$8-(C63+$B$11))/($B$9-(C63+$B$11)))</f>
        <v>85.1777719252041</v>
      </c>
      <c r="F63" s="25" t="n">
        <f aca="false">E63-D63</f>
        <v>2.60393226275684</v>
      </c>
    </row>
    <row r="64" customFormat="false" ht="15" hidden="false" customHeight="false" outlineLevel="0" collapsed="false">
      <c r="A64" s="6" t="s">
        <v>616</v>
      </c>
      <c r="B64" s="29" t="n">
        <f aca="false">B54</f>
        <v>4500</v>
      </c>
      <c r="C64" s="71" t="n">
        <f aca="false">C54</f>
        <v>0.026</v>
      </c>
      <c r="D64" s="25" t="n">
        <f aca="false">MAX(0,B64*$B$7*($B$8-(C64+$B$10))/($B$9-(C64+$B$10)))</f>
        <v>114.260450160772</v>
      </c>
      <c r="E64" s="25" t="n">
        <f aca="false">MAX(0,B64*$B$7*($B$8-(C64+$B$11))/($B$9-(C64+$B$11)))</f>
        <v>120.309071447685</v>
      </c>
      <c r="F64" s="25" t="n">
        <f aca="false">E64-D64</f>
        <v>6.04862128691357</v>
      </c>
    </row>
    <row r="65" customFormat="false" ht="15" hidden="false" customHeight="false" outlineLevel="0" collapsed="false">
      <c r="A65" s="6" t="s">
        <v>618</v>
      </c>
      <c r="B65" s="29" t="n">
        <f aca="false">B56</f>
        <v>1500</v>
      </c>
      <c r="C65" s="71" t="n">
        <f aca="false">C56</f>
        <v>0.026</v>
      </c>
      <c r="D65" s="25" t="n">
        <f aca="false">MAX(0,B65*$B$7*($B$8-(C65+$B$10))/($B$9-(C65+$B$10)))</f>
        <v>38.0868167202572</v>
      </c>
      <c r="E65" s="25" t="n">
        <f aca="false">MAX(0,B65*$B$7*($B$8-(C65+$B$11))/($B$9-(C65+$B$11)))</f>
        <v>40.1030238158951</v>
      </c>
      <c r="F65" s="25" t="n">
        <f aca="false">E65-D65</f>
        <v>2.01620709563786</v>
      </c>
    </row>
    <row r="66" customFormat="false" ht="15" hidden="false" customHeight="false" outlineLevel="0" collapsed="false">
      <c r="A66" s="6" t="s">
        <v>627</v>
      </c>
      <c r="B66" s="48" t="n">
        <v>1400</v>
      </c>
      <c r="C66" s="52" t="n">
        <v>0.03</v>
      </c>
      <c r="D66" s="25" t="n">
        <f aca="false">MAX(0,B66*$B$7*($B$8-(C66+$B$10))/($B$9-(C66+$B$10)))</f>
        <v>20.3098591549296</v>
      </c>
      <c r="E66" s="25" t="n">
        <f aca="false">MAX(0,B66*$B$7*($B$8-(C66+$B$11))/($B$9-(C66+$B$11)))</f>
        <v>22.2326210440898</v>
      </c>
      <c r="F66" s="25" t="n">
        <f aca="false">E66-D66</f>
        <v>1.92276188916021</v>
      </c>
    </row>
    <row r="67" customFormat="false" ht="15" hidden="false" customHeight="false" outlineLevel="0" collapsed="false">
      <c r="A67" s="6" t="s">
        <v>628</v>
      </c>
      <c r="B67" s="48" t="n">
        <v>1400</v>
      </c>
      <c r="C67" s="52" t="n">
        <v>0.03</v>
      </c>
      <c r="D67" s="25" t="n">
        <f aca="false">MAX(0,B67*$B$7*($B$8-(C67+$B$10))/($B$9-(C67+$B$10)))</f>
        <v>20.3098591549296</v>
      </c>
      <c r="E67" s="25" t="n">
        <f aca="false">MAX(0,B67*$B$7*($B$8-(C67+$B$11))/($B$9-(C67+$B$11)))</f>
        <v>22.2326210440898</v>
      </c>
      <c r="F67" s="25" t="n">
        <f aca="false">E67-D67</f>
        <v>1.92276188916021</v>
      </c>
    </row>
    <row r="68" customFormat="false" ht="15" hidden="false" customHeight="false" outlineLevel="0" collapsed="false">
      <c r="A68" s="6" t="s">
        <v>629</v>
      </c>
      <c r="B68" s="48" t="n">
        <v>1200</v>
      </c>
      <c r="C68" s="52" t="n">
        <v>0.03</v>
      </c>
      <c r="D68" s="25" t="n">
        <f aca="false">MAX(0,B68*$B$7*($B$8-(C68+$B$10))/($B$9-(C68+$B$10)))</f>
        <v>17.4084507042254</v>
      </c>
      <c r="E68" s="25" t="n">
        <f aca="false">MAX(0,B68*$B$7*($B$8-(C68+$B$11))/($B$9-(C68+$B$11)))</f>
        <v>19.0565323235055</v>
      </c>
      <c r="F68" s="25" t="n">
        <f aca="false">E68-D68</f>
        <v>1.64808161928018</v>
      </c>
    </row>
    <row r="69" customFormat="false" ht="15" hidden="false" customHeight="false" outlineLevel="0" collapsed="false">
      <c r="A69" s="5" t="s">
        <v>88</v>
      </c>
      <c r="B69" s="10" t="n">
        <f aca="false">SUM(B61:B68)</f>
        <v>22000</v>
      </c>
      <c r="D69" s="30" t="n">
        <f aca="false">SUM(D61:D68)</f>
        <v>576.78435265209</v>
      </c>
      <c r="E69" s="30" t="n">
        <f aca="false">SUM(E61:E68)</f>
        <v>606.312949766014</v>
      </c>
      <c r="F69" s="30" t="n">
        <f aca="false">SUM(F61:F68)</f>
        <v>29.5285971139232</v>
      </c>
    </row>
    <row r="70" customFormat="false" ht="15" hidden="false" customHeight="false" outlineLevel="0" collapsed="false">
      <c r="A70" s="9" t="s">
        <v>630</v>
      </c>
    </row>
    <row r="72" customFormat="false" ht="15" hidden="false" customHeight="false" outlineLevel="0" collapsed="false">
      <c r="A72" s="3" t="s">
        <v>631</v>
      </c>
      <c r="B72" s="4"/>
      <c r="C72" s="4"/>
      <c r="D72" s="4"/>
      <c r="E72" s="4"/>
      <c r="F72" s="4"/>
      <c r="G72" s="4"/>
      <c r="H72" s="4"/>
      <c r="I72" s="4"/>
      <c r="J72" s="4"/>
      <c r="K72" s="4"/>
    </row>
    <row r="73" customFormat="false" ht="23.85" hidden="false" customHeight="false" outlineLevel="0" collapsed="false">
      <c r="A73" s="23" t="s">
        <v>632</v>
      </c>
      <c r="B73" s="24" t="s">
        <v>616</v>
      </c>
      <c r="C73" s="24" t="s">
        <v>633</v>
      </c>
      <c r="D73" s="24" t="s">
        <v>618</v>
      </c>
      <c r="E73" s="24" t="s">
        <v>88</v>
      </c>
    </row>
    <row r="74" customFormat="false" ht="15" hidden="false" customHeight="false" outlineLevel="0" collapsed="false">
      <c r="A74" s="6" t="s">
        <v>634</v>
      </c>
      <c r="B74" s="25" t="n">
        <f aca="false">B54*$B$7</f>
        <v>4635</v>
      </c>
      <c r="C74" s="25" t="n">
        <f aca="false">B55*$B$7</f>
        <v>3090</v>
      </c>
      <c r="D74" s="25" t="n">
        <f aca="false">B56*$B$7</f>
        <v>1545</v>
      </c>
      <c r="E74" s="25" t="n">
        <f aca="false">SUM(B74:D74)</f>
        <v>9270</v>
      </c>
    </row>
    <row r="75" customFormat="false" ht="15" hidden="false" customHeight="false" outlineLevel="0" collapsed="false">
      <c r="A75" s="6" t="s">
        <v>635</v>
      </c>
      <c r="B75" s="25" t="n">
        <f aca="false">D64</f>
        <v>114.260450160772</v>
      </c>
      <c r="C75" s="25" t="n">
        <f aca="false">0</f>
        <v>0</v>
      </c>
      <c r="D75" s="25" t="n">
        <f aca="false">D65</f>
        <v>38.0868167202572</v>
      </c>
      <c r="E75" s="25" t="n">
        <f aca="false">SUM(B75:D75)</f>
        <v>152.347266881029</v>
      </c>
    </row>
    <row r="76" customFormat="false" ht="15" hidden="false" customHeight="false" outlineLevel="0" collapsed="false">
      <c r="A76" s="6" t="s">
        <v>636</v>
      </c>
      <c r="B76" s="25" t="n">
        <f aca="false">0</f>
        <v>0</v>
      </c>
      <c r="C76" s="25" t="n">
        <f aca="false">$B$12</f>
        <v>30</v>
      </c>
      <c r="D76" s="25" t="n">
        <f aca="false">0</f>
        <v>0</v>
      </c>
      <c r="E76" s="25" t="n">
        <f aca="false">SUM(B76:D76)</f>
        <v>30</v>
      </c>
    </row>
    <row r="77" customFormat="false" ht="15" hidden="false" customHeight="false" outlineLevel="0" collapsed="false">
      <c r="A77" s="6" t="s">
        <v>637</v>
      </c>
      <c r="B77" s="25" t="n">
        <f aca="false">B74-B75</f>
        <v>4520.73954983923</v>
      </c>
      <c r="C77" s="25" t="n">
        <f aca="false">C74-C75</f>
        <v>3090</v>
      </c>
      <c r="D77" s="25" t="n">
        <f aca="false">D74-D75</f>
        <v>1506.91318327974</v>
      </c>
      <c r="E77" s="25" t="n">
        <f aca="false">SUM(B77:D77)</f>
        <v>9117.65273311897</v>
      </c>
    </row>
    <row r="78" customFormat="false" ht="15" hidden="false" customHeight="false" outlineLevel="0" collapsed="false">
      <c r="A78" s="6" t="s">
        <v>638</v>
      </c>
      <c r="B78" s="25" t="n">
        <f aca="false">B77*$B$13</f>
        <v>135.622186495177</v>
      </c>
      <c r="C78" s="25" t="n">
        <f aca="false">0</f>
        <v>0</v>
      </c>
      <c r="D78" s="25" t="n">
        <f aca="false">0</f>
        <v>0</v>
      </c>
      <c r="E78" s="25" t="n">
        <f aca="false">SUM(B78:D78)</f>
        <v>135.622186495177</v>
      </c>
    </row>
    <row r="79" customFormat="false" ht="15" hidden="false" customHeight="false" outlineLevel="0" collapsed="false">
      <c r="A79" s="5" t="s">
        <v>639</v>
      </c>
      <c r="B79" s="30" t="n">
        <f aca="false">B77*D54</f>
        <v>542.488745980707</v>
      </c>
      <c r="C79" s="30" t="n">
        <f aca="false">C77*D55</f>
        <v>401.7</v>
      </c>
      <c r="D79" s="30" t="n">
        <f aca="false">D77*D56</f>
        <v>150.691318327974</v>
      </c>
      <c r="E79" s="30" t="n">
        <f aca="false">SUM(B79:D79)</f>
        <v>1094.88006430868</v>
      </c>
    </row>
    <row r="80" customFormat="false" ht="15" hidden="false" customHeight="false" outlineLevel="0" collapsed="false">
      <c r="A80" s="6" t="s">
        <v>640</v>
      </c>
      <c r="B80" s="25" t="n">
        <f aca="false">B77+B76+B78-B79</f>
        <v>4113.8729903537</v>
      </c>
      <c r="C80" s="25" t="n">
        <f aca="false">C77+C76+C78-C79</f>
        <v>2718.3</v>
      </c>
      <c r="D80" s="25" t="n">
        <f aca="false">D77+D76+D78-D79</f>
        <v>1356.22186495177</v>
      </c>
      <c r="E80" s="25" t="n">
        <f aca="false">SUM(B80:D80)</f>
        <v>8188.39485530547</v>
      </c>
    </row>
    <row r="81" customFormat="false" ht="15" hidden="false" customHeight="false" outlineLevel="0" collapsed="false">
      <c r="A81" s="6" t="s">
        <v>641</v>
      </c>
      <c r="B81" s="25" t="n">
        <f aca="false">(B74+B76+B78)-(B75+B79+B80)</f>
        <v>0</v>
      </c>
      <c r="C81" s="25" t="n">
        <f aca="false">(C74+C76+C78)-(C75+C79+C80)</f>
        <v>0</v>
      </c>
      <c r="D81" s="25" t="n">
        <f aca="false">(D74+D76+D78)-(D75+D79+D80)</f>
        <v>0</v>
      </c>
      <c r="E81" s="25" t="n">
        <f aca="false">SUM(B81:D81)</f>
        <v>0</v>
      </c>
    </row>
    <row r="82" customFormat="false" ht="15" hidden="false" customHeight="false" outlineLevel="0" collapsed="false">
      <c r="A82" s="6" t="s">
        <v>642</v>
      </c>
      <c r="B82" s="25" t="n">
        <f aca="false">B77*$B$14</f>
        <v>6.78110932475884</v>
      </c>
      <c r="C82" s="25" t="n">
        <f aca="false">0</f>
        <v>0</v>
      </c>
      <c r="D82" s="25" t="n">
        <f aca="false">D77*$B$14</f>
        <v>2.26036977491961</v>
      </c>
      <c r="E82" s="25" t="n">
        <f aca="false">SUM(B82:D82)</f>
        <v>9.04147909967846</v>
      </c>
    </row>
    <row r="83" customFormat="false" ht="15" hidden="false" customHeight="false" outlineLevel="0" collapsed="false">
      <c r="A83" s="6" t="s">
        <v>643</v>
      </c>
      <c r="B83" s="25" t="n">
        <f aca="false">0</f>
        <v>0</v>
      </c>
      <c r="C83" s="25" t="n">
        <f aca="false">(C79+C82)*$B$15</f>
        <v>8.034</v>
      </c>
      <c r="D83" s="25" t="n">
        <f aca="false">(D79+D82)*$B$15</f>
        <v>3.05903376205788</v>
      </c>
      <c r="E83" s="25" t="n">
        <f aca="false">SUM(B83:D83)</f>
        <v>11.0930337620579</v>
      </c>
    </row>
    <row r="84" customFormat="false" ht="15" hidden="false" customHeight="false" outlineLevel="0" collapsed="false">
      <c r="A84" s="6" t="s">
        <v>644</v>
      </c>
      <c r="B84" s="25" t="n">
        <f aca="false">0</f>
        <v>0</v>
      </c>
      <c r="C84" s="25" t="n">
        <f aca="false">C79+C82+C83</f>
        <v>409.734</v>
      </c>
      <c r="D84" s="25" t="n">
        <f aca="false">D79+D82+D83</f>
        <v>156.010721864952</v>
      </c>
      <c r="E84" s="25" t="n">
        <f aca="false">SUM(B84:D84)</f>
        <v>565.744721864952</v>
      </c>
    </row>
    <row r="85" customFormat="false" ht="15" hidden="false" customHeight="false" outlineLevel="0" collapsed="false">
      <c r="A85" s="6" t="s">
        <v>645</v>
      </c>
      <c r="B85" s="72" t="n">
        <f aca="false">(E82+E83)/E79</f>
        <v>0.018389697208022</v>
      </c>
      <c r="D85" s="9" t="s">
        <v>646</v>
      </c>
    </row>
    <row r="86" customFormat="false" ht="15" hidden="false" customHeight="false" outlineLevel="0" collapsed="false">
      <c r="A86" s="9" t="s">
        <v>647</v>
      </c>
    </row>
    <row r="88" customFormat="false" ht="15" hidden="false" customHeight="false" outlineLevel="0" collapsed="false">
      <c r="A88" s="3" t="s">
        <v>648</v>
      </c>
      <c r="B88" s="4"/>
      <c r="C88" s="4"/>
      <c r="D88" s="4"/>
      <c r="E88" s="4"/>
      <c r="F88" s="4"/>
      <c r="G88" s="4"/>
      <c r="H88" s="4"/>
      <c r="I88" s="4"/>
      <c r="J88" s="4"/>
      <c r="K88" s="4"/>
    </row>
    <row r="89" customFormat="false" ht="15" hidden="false" customHeight="false" outlineLevel="0" collapsed="false">
      <c r="A89" s="9" t="s">
        <v>649</v>
      </c>
    </row>
    <row r="90" customFormat="false" ht="43.5" hidden="false" customHeight="true" outlineLevel="0" collapsed="false">
      <c r="A90" s="23" t="s">
        <v>650</v>
      </c>
      <c r="B90" s="24" t="s">
        <v>651</v>
      </c>
      <c r="C90" s="24" t="s">
        <v>652</v>
      </c>
      <c r="D90" s="24" t="s">
        <v>653</v>
      </c>
      <c r="E90" s="24" t="s">
        <v>654</v>
      </c>
      <c r="F90" s="24" t="s">
        <v>655</v>
      </c>
      <c r="G90" s="24" t="s">
        <v>656</v>
      </c>
      <c r="H90" s="24" t="s">
        <v>657</v>
      </c>
    </row>
    <row r="91" customFormat="false" ht="15" hidden="false" customHeight="false" outlineLevel="0" collapsed="false">
      <c r="A91" s="6" t="str">
        <f aca="false">A54</f>
        <v>Q1 campesino</v>
      </c>
      <c r="B91" s="29" t="n">
        <f aca="false">B54</f>
        <v>4500</v>
      </c>
      <c r="C91" s="29" t="n">
        <f aca="false">(B79*(E54-F54)+(B75-B76)*$B$29)/B54</f>
        <v>2488.89067524116</v>
      </c>
      <c r="D91" s="29" t="n">
        <f aca="false">B91*(1-$B$46)</f>
        <v>3825</v>
      </c>
      <c r="E91" s="29" t="n">
        <f aca="false">B91*(1+$B$47)</f>
        <v>4725</v>
      </c>
      <c r="F91" s="73" t="n">
        <f aca="false">RANK(C91,$C$91:$C$93,0)</f>
        <v>3</v>
      </c>
      <c r="G91" s="10" t="n">
        <f aca="false">D91+MIN(E91-D91,MAX(0,(SUM($B$91:$B$93)-SUM($D$91:$D$93))-SUMIF($F$91:$F$93,"&lt;"&amp;F91,$E$91:$E$93)+SUMIF($F$91:$F$93,"&lt;"&amp;F91,$D$91:$D$93)))</f>
        <v>3975</v>
      </c>
      <c r="H91" s="29" t="n">
        <f aca="false">G91-B91</f>
        <v>-525</v>
      </c>
    </row>
    <row r="92" customFormat="false" ht="15" hidden="false" customHeight="false" outlineLevel="0" collapsed="false">
      <c r="A92" s="6" t="str">
        <f aca="false">A55</f>
        <v>Q2 doble crema (leche entera, sin estandarizar)</v>
      </c>
      <c r="B92" s="29" t="n">
        <f aca="false">B55</f>
        <v>3000</v>
      </c>
      <c r="C92" s="29" t="n">
        <f aca="false">(C79*(E55-F55)+(C75-C76)*$B$29)/B55</f>
        <v>2735.29</v>
      </c>
      <c r="D92" s="29" t="n">
        <f aca="false">B92*(1-$B$46)</f>
        <v>2550</v>
      </c>
      <c r="E92" s="29" t="n">
        <f aca="false">B92*(1+$B$48)</f>
        <v>3450</v>
      </c>
      <c r="F92" s="73" t="n">
        <f aca="false">RANK(C92,$C$91:$C$93,0)</f>
        <v>1</v>
      </c>
      <c r="G92" s="10" t="n">
        <f aca="false">D92+MIN(E92-D92,MAX(0,(SUM($B$91:$B$93)-SUM($D$91:$D$93))-SUMIF($F$91:$F$93,"&lt;"&amp;F92,$E$91:$E$93)+SUMIF($F$91:$F$93,"&lt;"&amp;F92,$D$91:$D$93)))</f>
        <v>3450</v>
      </c>
      <c r="H92" s="29" t="n">
        <f aca="false">G92-B92</f>
        <v>450</v>
      </c>
    </row>
    <row r="93" customFormat="false" ht="15" hidden="false" customHeight="false" outlineLevel="0" collapsed="false">
      <c r="A93" s="6" t="str">
        <f aca="false">A56</f>
        <v>Q3 mozzarella</v>
      </c>
      <c r="B93" s="29" t="n">
        <f aca="false">B56</f>
        <v>1500</v>
      </c>
      <c r="C93" s="29" t="n">
        <f aca="false">(D79*(E56-F56)+(D75-D76)*$B$29)/B56</f>
        <v>2559.21329046088</v>
      </c>
      <c r="D93" s="29" t="n">
        <f aca="false">B93*(1-$B$46)</f>
        <v>1275</v>
      </c>
      <c r="E93" s="29" t="n">
        <f aca="false">B93*(1+$B$49)</f>
        <v>1575</v>
      </c>
      <c r="F93" s="73" t="n">
        <f aca="false">RANK(C93,$C$91:$C$93,0)</f>
        <v>2</v>
      </c>
      <c r="G93" s="10" t="n">
        <f aca="false">D93+MIN(E93-D93,MAX(0,(SUM($B$91:$B$93)-SUM($D$91:$D$93))-SUMIF($F$91:$F$93,"&lt;"&amp;F93,$E$91:$E$93)+SUMIF($F$91:$F$93,"&lt;"&amp;F93,$D$91:$D$93)))</f>
        <v>1575</v>
      </c>
      <c r="H93" s="29" t="n">
        <f aca="false">G93-B93</f>
        <v>75</v>
      </c>
    </row>
    <row r="94" customFormat="false" ht="15" hidden="false" customHeight="false" outlineLevel="0" collapsed="false">
      <c r="A94" s="5" t="s">
        <v>658</v>
      </c>
      <c r="C94" s="30" t="n">
        <f aca="false">SUMPRODUCT(H91:H93,C91:C93)*$B$6/1000000</f>
        <v>34.1492443311894</v>
      </c>
    </row>
    <row r="95" customFormat="false" ht="15" hidden="false" customHeight="false" outlineLevel="0" collapsed="false">
      <c r="A95" s="6" t="s">
        <v>659</v>
      </c>
      <c r="C95" s="25" t="n">
        <f aca="false">(H91*B79/B54*E54+H92*C79/B55*E55+H93*D79/B56*E56)*$B$6/1000000</f>
        <v>80.0496393569128</v>
      </c>
    </row>
    <row r="96" customFormat="false" ht="15" hidden="false" customHeight="false" outlineLevel="0" collapsed="false">
      <c r="A96" s="6" t="s">
        <v>660</v>
      </c>
      <c r="C96" s="64" t="n">
        <f aca="false">(G92*C79/B55+G93*D79/B56)/300</f>
        <v>2.06726961414791</v>
      </c>
      <c r="D96" s="9" t="s">
        <v>661</v>
      </c>
    </row>
    <row r="97" customFormat="false" ht="15" hidden="false" customHeight="false" outlineLevel="0" collapsed="false">
      <c r="A97" s="6" t="s">
        <v>662</v>
      </c>
      <c r="C97" s="29" t="n">
        <f aca="false">SUM(G91:G93)-SUM(B91:B93)</f>
        <v>0</v>
      </c>
    </row>
    <row r="98" customFormat="false" ht="15" hidden="false" customHeight="false" outlineLevel="0" collapsed="false">
      <c r="A98" s="9" t="s">
        <v>663</v>
      </c>
    </row>
    <row r="100" customFormat="false" ht="15" hidden="false" customHeight="false" outlineLevel="0" collapsed="false">
      <c r="A100" s="3" t="s">
        <v>664</v>
      </c>
      <c r="B100" s="4"/>
      <c r="C100" s="4"/>
      <c r="D100" s="4"/>
      <c r="E100" s="4"/>
      <c r="F100" s="4"/>
      <c r="G100" s="4"/>
      <c r="H100" s="4"/>
      <c r="I100" s="4"/>
      <c r="J100" s="4"/>
      <c r="K100" s="4"/>
    </row>
    <row r="101" customFormat="false" ht="15" hidden="false" customHeight="false" outlineLevel="0" collapsed="false">
      <c r="A101" s="9" t="s">
        <v>665</v>
      </c>
    </row>
    <row r="102" customFormat="false" ht="23.85" hidden="false" customHeight="false" outlineLevel="0" collapsed="false">
      <c r="A102" s="23" t="s">
        <v>505</v>
      </c>
      <c r="B102" s="24" t="s">
        <v>188</v>
      </c>
      <c r="C102" s="24" t="s">
        <v>189</v>
      </c>
      <c r="D102" s="24" t="s">
        <v>666</v>
      </c>
    </row>
    <row r="103" customFormat="false" ht="15" hidden="false" customHeight="false" outlineLevel="0" collapsed="false">
      <c r="A103" s="6" t="s">
        <v>667</v>
      </c>
      <c r="B103" s="74" t="n">
        <v>12843121</v>
      </c>
      <c r="C103" s="9" t="s">
        <v>559</v>
      </c>
      <c r="D103" s="9" t="s">
        <v>668</v>
      </c>
    </row>
    <row r="104" customFormat="false" ht="15" hidden="false" customHeight="false" outlineLevel="0" collapsed="false">
      <c r="A104" s="6" t="s">
        <v>669</v>
      </c>
      <c r="B104" s="70" t="n">
        <v>1.2</v>
      </c>
      <c r="C104" s="9" t="s">
        <v>670</v>
      </c>
      <c r="D104" s="9" t="s">
        <v>671</v>
      </c>
    </row>
    <row r="105" customFormat="false" ht="15" hidden="false" customHeight="false" outlineLevel="0" collapsed="false">
      <c r="A105" s="6" t="s">
        <v>672</v>
      </c>
      <c r="B105" s="70" t="n">
        <v>1.5</v>
      </c>
      <c r="C105" s="9" t="s">
        <v>670</v>
      </c>
      <c r="D105" s="9" t="s">
        <v>673</v>
      </c>
    </row>
    <row r="106" customFormat="false" ht="15" hidden="false" customHeight="false" outlineLevel="0" collapsed="false">
      <c r="A106" s="6" t="s">
        <v>674</v>
      </c>
      <c r="B106" s="75" t="n">
        <f aca="false">B103*B104/1000</f>
        <v>15411.7452</v>
      </c>
      <c r="C106" s="9" t="s">
        <v>675</v>
      </c>
      <c r="D106" s="9" t="s">
        <v>676</v>
      </c>
    </row>
    <row r="107" customFormat="false" ht="15" hidden="false" customHeight="false" outlineLevel="0" collapsed="false">
      <c r="A107" s="6" t="s">
        <v>677</v>
      </c>
      <c r="B107" s="75" t="n">
        <f aca="false">B103*B105/1000</f>
        <v>19264.6815</v>
      </c>
      <c r="C107" s="9" t="s">
        <v>675</v>
      </c>
      <c r="D107" s="9" t="s">
        <v>676</v>
      </c>
    </row>
    <row r="108" customFormat="false" ht="15" hidden="false" customHeight="false" outlineLevel="0" collapsed="false">
      <c r="A108" s="6" t="s">
        <v>678</v>
      </c>
      <c r="B108" s="46" t="n">
        <v>0.28</v>
      </c>
      <c r="C108" s="9" t="s">
        <v>679</v>
      </c>
      <c r="D108" s="9" t="s">
        <v>680</v>
      </c>
    </row>
    <row r="109" customFormat="false" ht="15" hidden="false" customHeight="false" outlineLevel="0" collapsed="false">
      <c r="A109" s="6" t="s">
        <v>681</v>
      </c>
      <c r="B109" s="75" t="n">
        <f aca="false">B106*B108</f>
        <v>4315.288656</v>
      </c>
      <c r="C109" s="9" t="s">
        <v>675</v>
      </c>
      <c r="D109" s="9" t="s">
        <v>682</v>
      </c>
    </row>
    <row r="110" customFormat="false" ht="15" hidden="false" customHeight="false" outlineLevel="0" collapsed="false">
      <c r="A110" s="6" t="s">
        <v>683</v>
      </c>
      <c r="B110" s="46" t="n">
        <v>0.068</v>
      </c>
      <c r="C110" s="9" t="s">
        <v>684</v>
      </c>
      <c r="D110" s="9" t="s">
        <v>685</v>
      </c>
    </row>
    <row r="111" customFormat="false" ht="15" hidden="false" customHeight="false" outlineLevel="0" collapsed="false">
      <c r="A111" s="6" t="s">
        <v>686</v>
      </c>
      <c r="B111" s="75" t="n">
        <f aca="false">B109*B110</f>
        <v>293.439628608</v>
      </c>
      <c r="C111" s="9" t="s">
        <v>675</v>
      </c>
      <c r="D111" s="9" t="s">
        <v>687</v>
      </c>
    </row>
    <row r="112" customFormat="false" ht="15" hidden="false" customHeight="false" outlineLevel="0" collapsed="false">
      <c r="A112" s="6" t="s">
        <v>688</v>
      </c>
      <c r="B112" s="75" t="n">
        <f aca="false">(C79+D79)*$B$6/1000</f>
        <v>162.403047588424</v>
      </c>
      <c r="C112" s="9" t="s">
        <v>675</v>
      </c>
      <c r="D112" s="9" t="s">
        <v>689</v>
      </c>
    </row>
    <row r="113" customFormat="false" ht="15" hidden="false" customHeight="false" outlineLevel="0" collapsed="false">
      <c r="A113" s="6" t="s">
        <v>690</v>
      </c>
      <c r="B113" s="34" t="n">
        <f aca="false">B112/B109</f>
        <v>0.0376343416477177</v>
      </c>
      <c r="C113" s="9" t="s">
        <v>196</v>
      </c>
      <c r="D113" s="9" t="s">
        <v>691</v>
      </c>
    </row>
    <row r="114" customFormat="false" ht="15" hidden="false" customHeight="false" outlineLevel="0" collapsed="false">
      <c r="A114" s="6" t="s">
        <v>692</v>
      </c>
      <c r="B114" s="76" t="n">
        <f aca="false">(H92*C79/B55+H93*D79/B56)*$B$6/1000</f>
        <v>19.9301323794212</v>
      </c>
      <c r="C114" s="9" t="s">
        <v>675</v>
      </c>
      <c r="D114" s="9" t="s">
        <v>693</v>
      </c>
    </row>
    <row r="115" customFormat="false" ht="15" hidden="false" customHeight="false" outlineLevel="0" collapsed="false">
      <c r="A115" s="6" t="s">
        <v>694</v>
      </c>
      <c r="B115" s="71" t="n">
        <f aca="false">B114/B109</f>
        <v>0.00461849344694711</v>
      </c>
      <c r="C115" s="9" t="s">
        <v>196</v>
      </c>
      <c r="D115" s="9" t="s">
        <v>695</v>
      </c>
    </row>
    <row r="116" customFormat="false" ht="15" hidden="false" customHeight="false" outlineLevel="0" collapsed="false">
      <c r="A116" s="6" t="s">
        <v>696</v>
      </c>
      <c r="B116" s="34" t="n">
        <f aca="false">B114/B111</f>
        <v>0.067919021278634</v>
      </c>
      <c r="C116" s="9" t="s">
        <v>196</v>
      </c>
      <c r="D116" s="9" t="s">
        <v>697</v>
      </c>
    </row>
    <row r="117" customFormat="false" ht="15" hidden="false" customHeight="false" outlineLevel="0" collapsed="false">
      <c r="A117" s="9" t="s">
        <v>698</v>
      </c>
    </row>
    <row r="119" customFormat="false" ht="15" hidden="false" customHeight="false" outlineLevel="0" collapsed="false">
      <c r="A119" s="3" t="s">
        <v>117</v>
      </c>
      <c r="B119" s="4"/>
      <c r="C119" s="4"/>
      <c r="D119" s="4"/>
      <c r="E119" s="4"/>
      <c r="F119" s="4"/>
      <c r="G119" s="4"/>
      <c r="H119" s="4"/>
      <c r="I119" s="4"/>
      <c r="J119" s="4"/>
      <c r="K119" s="4"/>
    </row>
    <row r="120" customFormat="false" ht="30" hidden="false" customHeight="true" outlineLevel="0" collapsed="false">
      <c r="A120" s="23" t="s">
        <v>118</v>
      </c>
      <c r="B120" s="24" t="s">
        <v>110</v>
      </c>
      <c r="C120" s="24" t="s">
        <v>699</v>
      </c>
      <c r="D120" s="24" t="s">
        <v>700</v>
      </c>
      <c r="E120" s="24" t="s">
        <v>701</v>
      </c>
    </row>
    <row r="121" customFormat="false" ht="15" hidden="false" customHeight="false" outlineLevel="0" collapsed="false">
      <c r="A121" s="6" t="s">
        <v>702</v>
      </c>
      <c r="B121" s="33" t="n">
        <v>1</v>
      </c>
      <c r="C121" s="25" t="n">
        <f aca="false">$B$26*$B$27*$B$6*$B$28/1000000</f>
        <v>11.76</v>
      </c>
      <c r="D121" s="25" t="n">
        <f aca="false">0</f>
        <v>0</v>
      </c>
      <c r="E121" s="9" t="s">
        <v>703</v>
      </c>
    </row>
    <row r="122" customFormat="false" ht="15" hidden="false" customHeight="false" outlineLevel="0" collapsed="false">
      <c r="A122" s="6" t="s">
        <v>704</v>
      </c>
      <c r="B122" s="33" t="n">
        <v>1</v>
      </c>
      <c r="C122" s="25" t="n">
        <f aca="false">(B82*(E54-F54)+D82*(E56-F56))*$B$6/1000000</f>
        <v>52.7983953135048</v>
      </c>
      <c r="D122" s="25" t="n">
        <f aca="false">(B82*E54+D82*E56)*$B$6/1000000</f>
        <v>54.8252688906753</v>
      </c>
      <c r="E122" s="9" t="s">
        <v>705</v>
      </c>
    </row>
    <row r="123" customFormat="false" ht="15" hidden="false" customHeight="false" outlineLevel="0" collapsed="false">
      <c r="A123" s="6" t="s">
        <v>706</v>
      </c>
      <c r="B123" s="33" t="n">
        <v>1</v>
      </c>
      <c r="C123" s="25" t="n">
        <f aca="false">F69*$B$6*($B$29-$B$30/$B$7)/1000000</f>
        <v>52.0041597987519</v>
      </c>
      <c r="D123" s="25" t="n">
        <f aca="false">F69*$B$6*($B$29-$B$30/$B$7)/1000000</f>
        <v>52.0041597987519</v>
      </c>
      <c r="E123" s="9" t="s">
        <v>707</v>
      </c>
    </row>
    <row r="124" customFormat="false" ht="15" hidden="false" customHeight="false" outlineLevel="0" collapsed="false">
      <c r="A124" s="6" t="s">
        <v>708</v>
      </c>
      <c r="B124" s="33" t="n">
        <v>1</v>
      </c>
      <c r="C124" s="25" t="n">
        <f aca="false">($B$19-$B$20)*Quesería!$B$18</f>
        <v>152.285</v>
      </c>
      <c r="D124" s="25" t="n">
        <f aca="false">0</f>
        <v>0</v>
      </c>
      <c r="E124" s="9" t="s">
        <v>709</v>
      </c>
    </row>
    <row r="125" customFormat="false" ht="15" hidden="false" customHeight="false" outlineLevel="0" collapsed="false">
      <c r="A125" s="6" t="s">
        <v>710</v>
      </c>
      <c r="B125" s="33" t="n">
        <v>1</v>
      </c>
      <c r="C125" s="25" t="n">
        <f aca="false">$B$22*$B$21</f>
        <v>91.4</v>
      </c>
      <c r="D125" s="25" t="n">
        <f aca="false">0</f>
        <v>0</v>
      </c>
      <c r="E125" s="9" t="s">
        <v>711</v>
      </c>
    </row>
    <row r="126" customFormat="false" ht="15" hidden="false" customHeight="false" outlineLevel="0" collapsed="false">
      <c r="A126" s="6" t="s">
        <v>712</v>
      </c>
      <c r="B126" s="33" t="n">
        <v>1</v>
      </c>
      <c r="C126" s="25" t="n">
        <f aca="false">($B$16-$B$17)*Quesería!$B$17*(1-$B$18)</f>
        <v>32.5056</v>
      </c>
      <c r="D126" s="25" t="n">
        <f aca="false">($B$16-$B$17)*Quesería!$B$17</f>
        <v>33.86</v>
      </c>
      <c r="E126" s="9" t="s">
        <v>713</v>
      </c>
    </row>
    <row r="127" customFormat="false" ht="15" hidden="false" customHeight="false" outlineLevel="0" collapsed="false">
      <c r="A127" s="6" t="s">
        <v>714</v>
      </c>
      <c r="B127" s="33" t="n">
        <v>1</v>
      </c>
      <c r="C127" s="25" t="n">
        <f aca="false">Quesería!$B$17*$B$33*$B$34*$B$35+$B$36*$B$6*$B$37/1000000</f>
        <v>26.333</v>
      </c>
      <c r="D127" s="25" t="n">
        <f aca="false">Quesería!$B$17*$B$33*$B$34*$B$35</f>
        <v>13.544</v>
      </c>
      <c r="E127" s="9" t="s">
        <v>715</v>
      </c>
    </row>
    <row r="128" customFormat="false" ht="15" hidden="false" customHeight="false" outlineLevel="0" collapsed="false">
      <c r="A128" s="6" t="s">
        <v>716</v>
      </c>
      <c r="B128" s="33" t="n">
        <v>1</v>
      </c>
      <c r="C128" s="25" t="n">
        <f aca="false">$B$45*(B79*(E54-F54)+C79*(E55-F55)+D79*(E56-F56))*$B$6/1000000</f>
        <v>32.5510516813505</v>
      </c>
      <c r="D128" s="25" t="n">
        <f aca="false">$B$45*(B79*E54+C79*E55+D79*E56)*$B$6/1000000</f>
        <v>33.8578076141479</v>
      </c>
      <c r="E128" s="9" t="s">
        <v>717</v>
      </c>
    </row>
    <row r="129" customFormat="false" ht="15" hidden="false" customHeight="false" outlineLevel="0" collapsed="false">
      <c r="A129" s="6" t="s">
        <v>376</v>
      </c>
      <c r="B129" s="33" t="n">
        <v>2</v>
      </c>
      <c r="C129" s="25" t="n">
        <f aca="false">(C83*(E55-F55)+D83*(E56-F56))*$B$6/1000000</f>
        <v>70.7031730842444</v>
      </c>
      <c r="D129" s="25" t="n">
        <f aca="false">(C83*E55+D83*E56)*$B$6/1000000</f>
        <v>73.5484542250804</v>
      </c>
      <c r="E129" s="9" t="s">
        <v>705</v>
      </c>
    </row>
    <row r="130" customFormat="false" ht="15" hidden="false" customHeight="false" outlineLevel="0" collapsed="false">
      <c r="A130" s="6" t="s">
        <v>718</v>
      </c>
      <c r="B130" s="33" t="n">
        <v>2</v>
      </c>
      <c r="C130" s="25" t="n">
        <f aca="false">$B$26*$B$27*$B$6*$B$28/1000000</f>
        <v>11.76</v>
      </c>
      <c r="D130" s="25" t="n">
        <f aca="false">0</f>
        <v>0</v>
      </c>
      <c r="E130" s="9" t="s">
        <v>719</v>
      </c>
    </row>
    <row r="131" customFormat="false" ht="15" hidden="false" customHeight="false" outlineLevel="0" collapsed="false">
      <c r="A131" s="6" t="s">
        <v>720</v>
      </c>
      <c r="B131" s="33" t="n">
        <v>2</v>
      </c>
      <c r="C131" s="25" t="n">
        <f aca="false">$B$24*$B$23</f>
        <v>121.8</v>
      </c>
      <c r="D131" s="25" t="n">
        <f aca="false">0</f>
        <v>0</v>
      </c>
      <c r="E131" s="9" t="s">
        <v>721</v>
      </c>
    </row>
    <row r="132" customFormat="false" ht="15" hidden="false" customHeight="false" outlineLevel="0" collapsed="false">
      <c r="A132" s="6" t="s">
        <v>379</v>
      </c>
      <c r="B132" s="33" t="n">
        <v>2</v>
      </c>
      <c r="C132" s="25" t="n">
        <f aca="false">E80*$B$6*($B$32-$B$31)/1000000</f>
        <v>36.1108213118971</v>
      </c>
      <c r="D132" s="25" t="n">
        <f aca="false">E80*$B$6*($B$32-$B$31)/1000000</f>
        <v>36.1108213118971</v>
      </c>
      <c r="E132" s="9" t="s">
        <v>722</v>
      </c>
    </row>
    <row r="133" customFormat="false" ht="15" hidden="false" customHeight="false" outlineLevel="0" collapsed="false">
      <c r="A133" s="6" t="s">
        <v>723</v>
      </c>
      <c r="B133" s="33" t="n">
        <v>2</v>
      </c>
      <c r="C133" s="25" t="n">
        <f aca="false">C94</f>
        <v>34.1492443311894</v>
      </c>
      <c r="D133" s="25" t="n">
        <f aca="false">C95</f>
        <v>80.0496393569128</v>
      </c>
      <c r="E133" s="9" t="s">
        <v>724</v>
      </c>
    </row>
    <row r="134" customFormat="false" ht="15" hidden="false" customHeight="false" outlineLevel="0" collapsed="false">
      <c r="A134" s="6" t="s">
        <v>725</v>
      </c>
      <c r="B134" s="33" t="n">
        <v>2</v>
      </c>
      <c r="C134" s="25" t="n">
        <f aca="false">($B$40-$B$50)*$B$38*Quesería!$B$41</f>
        <v>67.77488</v>
      </c>
      <c r="D134" s="25" t="n">
        <f aca="false">0</f>
        <v>0</v>
      </c>
      <c r="E134" s="9" t="s">
        <v>726</v>
      </c>
    </row>
    <row r="135" customFormat="false" ht="15" hidden="false" customHeight="false" outlineLevel="0" collapsed="false">
      <c r="A135" s="6" t="s">
        <v>727</v>
      </c>
      <c r="B135" s="33" t="n">
        <v>2</v>
      </c>
      <c r="C135" s="25" t="n">
        <f aca="false">$B$44*Quesería!$B$22</f>
        <v>36</v>
      </c>
      <c r="D135" s="25" t="n">
        <f aca="false">0</f>
        <v>0</v>
      </c>
      <c r="E135" s="9" t="s">
        <v>728</v>
      </c>
    </row>
    <row r="137" customFormat="false" ht="15" hidden="false" customHeight="false" outlineLevel="0" collapsed="false">
      <c r="A137" s="3" t="s">
        <v>124</v>
      </c>
      <c r="B137" s="4"/>
      <c r="C137" s="4"/>
      <c r="D137" s="4"/>
      <c r="E137" s="4"/>
      <c r="F137" s="4"/>
      <c r="G137" s="4"/>
      <c r="H137" s="4"/>
      <c r="I137" s="4"/>
      <c r="J137" s="4"/>
      <c r="K137" s="4"/>
    </row>
    <row r="138" customFormat="false" ht="15" hidden="false" customHeight="false" outlineLevel="0" collapsed="false">
      <c r="A138" s="9" t="s">
        <v>729</v>
      </c>
    </row>
    <row r="139" customFormat="false" ht="30" hidden="false" customHeight="true" outlineLevel="0" collapsed="false">
      <c r="A139" s="23" t="s">
        <v>125</v>
      </c>
      <c r="B139" s="24" t="s">
        <v>118</v>
      </c>
      <c r="C139" s="24" t="s">
        <v>110</v>
      </c>
      <c r="D139" s="24" t="s">
        <v>730</v>
      </c>
      <c r="E139" s="24" t="s">
        <v>731</v>
      </c>
    </row>
    <row r="140" customFormat="false" ht="15" hidden="false" customHeight="false" outlineLevel="0" collapsed="false">
      <c r="A140" s="6" t="s">
        <v>732</v>
      </c>
      <c r="B140" s="9" t="s">
        <v>733</v>
      </c>
      <c r="C140" s="28" t="s">
        <v>734</v>
      </c>
      <c r="D140" s="25" t="n">
        <f aca="false">C123</f>
        <v>52.0041597987519</v>
      </c>
      <c r="E140" s="25" t="n">
        <f aca="false">C123*Quesería!$B$16</f>
        <v>18.7214975275507</v>
      </c>
    </row>
    <row r="141" customFormat="false" ht="15" hidden="false" customHeight="false" outlineLevel="0" collapsed="false">
      <c r="A141" s="6" t="s">
        <v>735</v>
      </c>
      <c r="B141" s="9" t="s">
        <v>736</v>
      </c>
      <c r="C141" s="28" t="s">
        <v>737</v>
      </c>
      <c r="D141" s="25" t="n">
        <f aca="false">C134</f>
        <v>67.77488</v>
      </c>
      <c r="E141" s="25" t="n">
        <f aca="false">C134</f>
        <v>67.77488</v>
      </c>
    </row>
    <row r="142" customFormat="false" ht="15" hidden="false" customHeight="false" outlineLevel="0" collapsed="false">
      <c r="A142" s="6" t="s">
        <v>738</v>
      </c>
      <c r="B142" s="9" t="s">
        <v>739</v>
      </c>
      <c r="C142" s="28" t="s">
        <v>740</v>
      </c>
      <c r="D142" s="25" t="n">
        <f aca="false">$B$50*$B$38</f>
        <v>98.51</v>
      </c>
      <c r="E142" s="25" t="n">
        <f aca="false">0</f>
        <v>0</v>
      </c>
    </row>
    <row r="143" customFormat="false" ht="15" hidden="false" customHeight="false" outlineLevel="0" collapsed="false">
      <c r="A143" s="6" t="s">
        <v>741</v>
      </c>
      <c r="B143" s="9" t="s">
        <v>742</v>
      </c>
      <c r="C143" s="28" t="s">
        <v>734</v>
      </c>
      <c r="D143" s="25" t="n">
        <f aca="false">C126</f>
        <v>32.5056</v>
      </c>
      <c r="E143" s="25" t="n">
        <f aca="false">C126</f>
        <v>32.5056</v>
      </c>
    </row>
    <row r="144" customFormat="false" ht="15" hidden="false" customHeight="false" outlineLevel="0" collapsed="false">
      <c r="A144" s="6" t="s">
        <v>743</v>
      </c>
      <c r="B144" s="9" t="s">
        <v>744</v>
      </c>
      <c r="C144" s="28" t="s">
        <v>740</v>
      </c>
      <c r="D144" s="25" t="n">
        <f aca="false">($B$41*$B$38+$B$42*$B$39)*(1-$B$18)</f>
        <v>307.3632</v>
      </c>
      <c r="E144" s="25" t="n">
        <f aca="false">0</f>
        <v>0</v>
      </c>
    </row>
    <row r="145" customFormat="false" ht="15" hidden="false" customHeight="false" outlineLevel="0" collapsed="false">
      <c r="A145" s="6" t="s">
        <v>745</v>
      </c>
      <c r="B145" s="9" t="s">
        <v>746</v>
      </c>
      <c r="C145" s="28" t="s">
        <v>740</v>
      </c>
      <c r="D145" s="25" t="n">
        <f aca="false">$B$43*$B$39</f>
        <v>123.15</v>
      </c>
      <c r="E145" s="25" t="n">
        <f aca="false">0</f>
        <v>0</v>
      </c>
    </row>
    <row r="146" customFormat="false" ht="15" hidden="false" customHeight="false" outlineLevel="0" collapsed="false">
      <c r="A146" s="6" t="s">
        <v>747</v>
      </c>
      <c r="B146" s="9" t="s">
        <v>748</v>
      </c>
      <c r="C146" s="28" t="s">
        <v>749</v>
      </c>
      <c r="D146" s="25" t="n">
        <f aca="false">C121+C130+C129</f>
        <v>94.2231730842444</v>
      </c>
      <c r="E146" s="25" t="n">
        <f aca="false">C121+C130+C129</f>
        <v>94.2231730842444</v>
      </c>
    </row>
    <row r="147" customFormat="false" ht="15" hidden="false" customHeight="false" outlineLevel="0" collapsed="false">
      <c r="A147" s="6" t="s">
        <v>750</v>
      </c>
      <c r="B147" s="9" t="s">
        <v>751</v>
      </c>
      <c r="C147" s="28" t="s">
        <v>734</v>
      </c>
      <c r="D147" s="25" t="n">
        <f aca="false">C124</f>
        <v>152.285</v>
      </c>
      <c r="E147" s="25" t="n">
        <f aca="false">C124*Quesería!$B$19</f>
        <v>33.86</v>
      </c>
    </row>
    <row r="148" customFormat="false" ht="15" hidden="false" customHeight="false" outlineLevel="0" collapsed="false">
      <c r="A148" s="6" t="s">
        <v>752</v>
      </c>
      <c r="B148" s="9" t="s">
        <v>753</v>
      </c>
      <c r="C148" s="28" t="s">
        <v>749</v>
      </c>
      <c r="D148" s="25" t="n">
        <f aca="false">C125+C131</f>
        <v>213.2</v>
      </c>
      <c r="E148" s="25" t="n">
        <f aca="false">C125*Quesería!$B$16+C131*$B$25</f>
        <v>73.504</v>
      </c>
    </row>
    <row r="149" customFormat="false" ht="15" hidden="false" customHeight="false" outlineLevel="0" collapsed="false">
      <c r="A149" s="6" t="s">
        <v>754</v>
      </c>
      <c r="B149" s="9" t="s">
        <v>755</v>
      </c>
      <c r="C149" s="28" t="s">
        <v>737</v>
      </c>
      <c r="D149" s="25" t="n">
        <f aca="false">C132</f>
        <v>36.1108213118971</v>
      </c>
      <c r="E149" s="25" t="n">
        <f aca="false">C132</f>
        <v>36.1108213118971</v>
      </c>
    </row>
    <row r="150" customFormat="false" ht="15" hidden="false" customHeight="false" outlineLevel="0" collapsed="false">
      <c r="A150" s="6" t="s">
        <v>756</v>
      </c>
      <c r="B150" s="9" t="s">
        <v>757</v>
      </c>
      <c r="C150" s="28" t="s">
        <v>734</v>
      </c>
      <c r="D150" s="25" t="n">
        <f aca="false">C127</f>
        <v>26.333</v>
      </c>
      <c r="E150" s="25" t="n">
        <f aca="false">C127</f>
        <v>26.333</v>
      </c>
    </row>
    <row r="151" customFormat="false" ht="15" hidden="false" customHeight="false" outlineLevel="0" collapsed="false">
      <c r="A151" s="6" t="s">
        <v>758</v>
      </c>
      <c r="B151" s="9" t="s">
        <v>759</v>
      </c>
      <c r="C151" s="28" t="s">
        <v>749</v>
      </c>
      <c r="D151" s="25" t="n">
        <f aca="false">C135</f>
        <v>36</v>
      </c>
      <c r="E151" s="25" t="n">
        <f aca="false">C135</f>
        <v>36</v>
      </c>
    </row>
    <row r="152" customFormat="false" ht="15" hidden="false" customHeight="false" outlineLevel="0" collapsed="false">
      <c r="A152" s="6" t="s">
        <v>760</v>
      </c>
      <c r="B152" s="9" t="s">
        <v>761</v>
      </c>
      <c r="C152" s="28" t="s">
        <v>734</v>
      </c>
      <c r="D152" s="25" t="n">
        <f aca="false">C128</f>
        <v>32.5510516813505</v>
      </c>
      <c r="E152" s="25" t="n">
        <f aca="false">C128</f>
        <v>32.5510516813505</v>
      </c>
    </row>
    <row r="153" customFormat="false" ht="15" hidden="false" customHeight="false" outlineLevel="0" collapsed="false">
      <c r="A153" s="6" t="s">
        <v>762</v>
      </c>
      <c r="B153" s="9" t="s">
        <v>763</v>
      </c>
      <c r="C153" s="28" t="s">
        <v>737</v>
      </c>
      <c r="D153" s="25" t="n">
        <f aca="false">C133</f>
        <v>34.1492443311894</v>
      </c>
      <c r="E153" s="25" t="n">
        <f aca="false">C133</f>
        <v>34.1492443311894</v>
      </c>
    </row>
    <row r="154" customFormat="false" ht="15" hidden="false" customHeight="false" outlineLevel="0" collapsed="false">
      <c r="A154" s="6" t="s">
        <v>764</v>
      </c>
      <c r="B154" s="9" t="s">
        <v>765</v>
      </c>
      <c r="C154" s="28" t="s">
        <v>734</v>
      </c>
      <c r="D154" s="25" t="n">
        <f aca="false">C122</f>
        <v>52.7983953135048</v>
      </c>
      <c r="E154" s="25" t="n">
        <f aca="false">C122</f>
        <v>52.7983953135048</v>
      </c>
    </row>
    <row r="155" customFormat="false" ht="15" hidden="false" customHeight="false" outlineLevel="0" collapsed="false">
      <c r="A155" s="5" t="s">
        <v>766</v>
      </c>
      <c r="D155" s="30" t="n">
        <f aca="false">D140+D141+D143+D146+D147+D148+D149+D150+D151+D152+D153+D154</f>
        <v>829.935325520938</v>
      </c>
      <c r="E155" s="30" t="n">
        <f aca="false">SUM(E140:E154)</f>
        <v>538.531663249737</v>
      </c>
    </row>
    <row r="156" customFormat="false" ht="15" hidden="false" customHeight="false" outlineLevel="0" collapsed="false">
      <c r="A156" s="5" t="s">
        <v>767</v>
      </c>
      <c r="D156" s="30" t="n">
        <f aca="false">D142+D144+D145</f>
        <v>529.0232</v>
      </c>
    </row>
    <row r="157" customFormat="false" ht="15" hidden="false" customHeight="false" outlineLevel="0" collapsed="false">
      <c r="A157" s="9" t="s">
        <v>768</v>
      </c>
    </row>
    <row r="159" customFormat="false" ht="15" hidden="false" customHeight="false" outlineLevel="0" collapsed="false">
      <c r="A159" s="3" t="s">
        <v>769</v>
      </c>
      <c r="B159" s="4"/>
      <c r="C159" s="4"/>
      <c r="D159" s="4"/>
      <c r="E159" s="4"/>
      <c r="F159" s="4"/>
      <c r="G159" s="4"/>
      <c r="H159" s="4"/>
      <c r="I159" s="4"/>
      <c r="J159" s="4"/>
      <c r="K159" s="4"/>
    </row>
    <row r="160" customFormat="false" ht="15" hidden="false" customHeight="false" outlineLevel="0" collapsed="false">
      <c r="A160" s="9" t="s">
        <v>770</v>
      </c>
    </row>
    <row r="161" customFormat="false" ht="30" hidden="false" customHeight="true" outlineLevel="0" collapsed="false">
      <c r="A161" s="23" t="s">
        <v>119</v>
      </c>
      <c r="B161" s="24" t="s">
        <v>771</v>
      </c>
      <c r="C161" s="24"/>
      <c r="D161" s="24" t="s">
        <v>152</v>
      </c>
      <c r="E161" s="24"/>
      <c r="F161" s="24" t="s">
        <v>772</v>
      </c>
      <c r="G161" s="24"/>
      <c r="H161" s="24" t="s">
        <v>773</v>
      </c>
      <c r="I161" s="24"/>
      <c r="J161" s="24" t="s">
        <v>774</v>
      </c>
      <c r="K161" s="24"/>
    </row>
    <row r="162" customFormat="false" ht="54" hidden="false" customHeight="true" outlineLevel="0" collapsed="false">
      <c r="A162" s="77" t="s">
        <v>775</v>
      </c>
      <c r="B162" s="32" t="s">
        <v>776</v>
      </c>
      <c r="C162" s="32"/>
      <c r="D162" s="32" t="s">
        <v>777</v>
      </c>
      <c r="E162" s="32"/>
      <c r="F162" s="32" t="s">
        <v>778</v>
      </c>
      <c r="G162" s="32"/>
      <c r="H162" s="32" t="s">
        <v>779</v>
      </c>
      <c r="I162" s="32"/>
      <c r="J162" s="32" t="s">
        <v>780</v>
      </c>
      <c r="K162" s="32"/>
    </row>
    <row r="163" customFormat="false" ht="54" hidden="false" customHeight="true" outlineLevel="0" collapsed="false">
      <c r="A163" s="77" t="s">
        <v>781</v>
      </c>
      <c r="B163" s="32" t="s">
        <v>782</v>
      </c>
      <c r="C163" s="32"/>
      <c r="D163" s="32" t="s">
        <v>783</v>
      </c>
      <c r="E163" s="32"/>
      <c r="F163" s="32" t="s">
        <v>784</v>
      </c>
      <c r="G163" s="32"/>
      <c r="H163" s="32" t="s">
        <v>785</v>
      </c>
      <c r="I163" s="32"/>
      <c r="J163" s="32" t="s">
        <v>786</v>
      </c>
      <c r="K163" s="32"/>
    </row>
    <row r="164" customFormat="false" ht="54" hidden="false" customHeight="true" outlineLevel="0" collapsed="false">
      <c r="A164" s="77" t="s">
        <v>370</v>
      </c>
      <c r="B164" s="32" t="s">
        <v>787</v>
      </c>
      <c r="C164" s="32"/>
      <c r="D164" s="32" t="s">
        <v>788</v>
      </c>
      <c r="E164" s="32"/>
      <c r="F164" s="32" t="s">
        <v>789</v>
      </c>
      <c r="G164" s="32"/>
      <c r="H164" s="32" t="s">
        <v>790</v>
      </c>
      <c r="I164" s="32"/>
      <c r="J164" s="32" t="s">
        <v>791</v>
      </c>
      <c r="K164" s="32"/>
    </row>
    <row r="165" customFormat="false" ht="54" hidden="false" customHeight="true" outlineLevel="0" collapsed="false">
      <c r="A165" s="77" t="s">
        <v>792</v>
      </c>
      <c r="B165" s="32" t="s">
        <v>793</v>
      </c>
      <c r="C165" s="32"/>
      <c r="D165" s="32" t="s">
        <v>794</v>
      </c>
      <c r="E165" s="32"/>
      <c r="F165" s="32" t="s">
        <v>795</v>
      </c>
      <c r="G165" s="32"/>
      <c r="H165" s="32" t="s">
        <v>796</v>
      </c>
      <c r="I165" s="32"/>
      <c r="J165" s="32" t="s">
        <v>797</v>
      </c>
      <c r="K165" s="32"/>
    </row>
    <row r="166" customFormat="false" ht="54" hidden="false" customHeight="true" outlineLevel="0" collapsed="false">
      <c r="A166" s="77" t="s">
        <v>798</v>
      </c>
      <c r="B166" s="32" t="s">
        <v>799</v>
      </c>
      <c r="C166" s="32"/>
      <c r="D166" s="32" t="s">
        <v>800</v>
      </c>
      <c r="E166" s="32"/>
      <c r="F166" s="32" t="s">
        <v>801</v>
      </c>
      <c r="G166" s="32"/>
      <c r="H166" s="32" t="s">
        <v>802</v>
      </c>
      <c r="I166" s="32"/>
      <c r="J166" s="32" t="s">
        <v>803</v>
      </c>
      <c r="K166" s="32"/>
    </row>
    <row r="167" customFormat="false" ht="54" hidden="false" customHeight="true" outlineLevel="0" collapsed="false">
      <c r="A167" s="77" t="s">
        <v>804</v>
      </c>
      <c r="B167" s="32" t="s">
        <v>805</v>
      </c>
      <c r="C167" s="32"/>
      <c r="D167" s="32" t="s">
        <v>806</v>
      </c>
      <c r="E167" s="32"/>
      <c r="F167" s="32" t="s">
        <v>807</v>
      </c>
      <c r="G167" s="32"/>
      <c r="H167" s="32" t="s">
        <v>808</v>
      </c>
      <c r="I167" s="32"/>
      <c r="J167" s="32" t="s">
        <v>809</v>
      </c>
      <c r="K167" s="32"/>
    </row>
    <row r="168" customFormat="false" ht="54" hidden="false" customHeight="true" outlineLevel="0" collapsed="false">
      <c r="A168" s="77" t="s">
        <v>810</v>
      </c>
      <c r="B168" s="32" t="s">
        <v>811</v>
      </c>
      <c r="C168" s="32"/>
      <c r="D168" s="32" t="s">
        <v>812</v>
      </c>
      <c r="E168" s="32"/>
      <c r="F168" s="32" t="s">
        <v>813</v>
      </c>
      <c r="G168" s="32"/>
      <c r="H168" s="32" t="s">
        <v>814</v>
      </c>
      <c r="I168" s="32"/>
      <c r="J168" s="32" t="s">
        <v>815</v>
      </c>
      <c r="K168" s="32"/>
    </row>
    <row r="169" customFormat="false" ht="54" hidden="false" customHeight="true" outlineLevel="0" collapsed="false">
      <c r="A169" s="77" t="s">
        <v>816</v>
      </c>
      <c r="B169" s="32" t="s">
        <v>817</v>
      </c>
      <c r="C169" s="32"/>
      <c r="D169" s="32" t="s">
        <v>818</v>
      </c>
      <c r="E169" s="32"/>
      <c r="F169" s="32" t="s">
        <v>784</v>
      </c>
      <c r="G169" s="32"/>
      <c r="H169" s="32" t="s">
        <v>819</v>
      </c>
      <c r="I169" s="32"/>
      <c r="J169" s="32" t="s">
        <v>820</v>
      </c>
      <c r="K169" s="32"/>
    </row>
    <row r="170" customFormat="false" ht="54" hidden="false" customHeight="true" outlineLevel="0" collapsed="false">
      <c r="A170" s="77" t="s">
        <v>821</v>
      </c>
      <c r="B170" s="32" t="s">
        <v>822</v>
      </c>
      <c r="C170" s="32"/>
      <c r="D170" s="32" t="s">
        <v>777</v>
      </c>
      <c r="E170" s="32"/>
      <c r="F170" s="32" t="s">
        <v>778</v>
      </c>
      <c r="G170" s="32"/>
      <c r="H170" s="32" t="s">
        <v>823</v>
      </c>
      <c r="I170" s="32"/>
      <c r="J170" s="32" t="s">
        <v>824</v>
      </c>
      <c r="K170" s="32"/>
    </row>
    <row r="171" customFormat="false" ht="54" hidden="false" customHeight="true" outlineLevel="0" collapsed="false">
      <c r="A171" s="77" t="s">
        <v>825</v>
      </c>
      <c r="B171" s="32" t="s">
        <v>826</v>
      </c>
      <c r="C171" s="32"/>
      <c r="D171" s="32" t="s">
        <v>827</v>
      </c>
      <c r="E171" s="32"/>
      <c r="F171" s="32" t="s">
        <v>828</v>
      </c>
      <c r="G171" s="32"/>
      <c r="H171" s="32" t="s">
        <v>829</v>
      </c>
      <c r="I171" s="32"/>
      <c r="J171" s="32" t="s">
        <v>830</v>
      </c>
      <c r="K171" s="32"/>
    </row>
    <row r="172" customFormat="false" ht="54" hidden="false" customHeight="true" outlineLevel="0" collapsed="false">
      <c r="A172" s="77" t="s">
        <v>831</v>
      </c>
      <c r="B172" s="32" t="s">
        <v>832</v>
      </c>
      <c r="C172" s="32"/>
      <c r="D172" s="32" t="s">
        <v>833</v>
      </c>
      <c r="E172" s="32"/>
      <c r="F172" s="32" t="s">
        <v>834</v>
      </c>
      <c r="G172" s="32"/>
      <c r="H172" s="32" t="s">
        <v>835</v>
      </c>
      <c r="I172" s="32"/>
      <c r="J172" s="32" t="s">
        <v>836</v>
      </c>
      <c r="K172" s="32"/>
    </row>
    <row r="173" customFormat="false" ht="54" hidden="false" customHeight="true" outlineLevel="0" collapsed="false">
      <c r="A173" s="77" t="s">
        <v>837</v>
      </c>
      <c r="B173" s="32" t="s">
        <v>838</v>
      </c>
      <c r="C173" s="32"/>
      <c r="D173" s="32" t="s">
        <v>839</v>
      </c>
      <c r="E173" s="32"/>
      <c r="F173" s="32" t="s">
        <v>840</v>
      </c>
      <c r="G173" s="32"/>
      <c r="H173" s="32" t="s">
        <v>841</v>
      </c>
      <c r="I173" s="32"/>
      <c r="J173" s="32" t="s">
        <v>842</v>
      </c>
      <c r="K173" s="32"/>
    </row>
    <row r="174" customFormat="false" ht="54" hidden="false" customHeight="true" outlineLevel="0" collapsed="false">
      <c r="A174" s="77" t="s">
        <v>843</v>
      </c>
      <c r="B174" s="32" t="s">
        <v>844</v>
      </c>
      <c r="C174" s="32"/>
      <c r="D174" s="32" t="s">
        <v>845</v>
      </c>
      <c r="E174" s="32"/>
      <c r="F174" s="32" t="s">
        <v>846</v>
      </c>
      <c r="G174" s="32"/>
      <c r="H174" s="32" t="s">
        <v>847</v>
      </c>
      <c r="I174" s="32"/>
      <c r="J174" s="32" t="s">
        <v>848</v>
      </c>
      <c r="K174" s="32"/>
    </row>
    <row r="175" customFormat="false" ht="54" hidden="false" customHeight="true" outlineLevel="0" collapsed="false">
      <c r="A175" s="77" t="s">
        <v>849</v>
      </c>
      <c r="B175" s="32" t="s">
        <v>850</v>
      </c>
      <c r="C175" s="32"/>
      <c r="D175" s="32" t="s">
        <v>851</v>
      </c>
      <c r="E175" s="32"/>
      <c r="F175" s="32" t="s">
        <v>852</v>
      </c>
      <c r="G175" s="32"/>
      <c r="H175" s="32" t="s">
        <v>853</v>
      </c>
      <c r="I175" s="32"/>
      <c r="J175" s="32" t="s">
        <v>854</v>
      </c>
      <c r="K175" s="32"/>
    </row>
    <row r="176" customFormat="false" ht="54" hidden="false" customHeight="true" outlineLevel="0" collapsed="false">
      <c r="A176" s="77" t="s">
        <v>855</v>
      </c>
      <c r="B176" s="32" t="s">
        <v>856</v>
      </c>
      <c r="C176" s="32"/>
      <c r="D176" s="32" t="s">
        <v>857</v>
      </c>
      <c r="E176" s="32"/>
      <c r="F176" s="32" t="s">
        <v>801</v>
      </c>
      <c r="G176" s="32"/>
      <c r="H176" s="32" t="s">
        <v>858</v>
      </c>
      <c r="I176" s="32"/>
      <c r="J176" s="32" t="s">
        <v>859</v>
      </c>
      <c r="K176" s="32"/>
    </row>
    <row r="178" customFormat="false" ht="15" hidden="false" customHeight="false" outlineLevel="0" collapsed="false">
      <c r="A178" s="3" t="s">
        <v>412</v>
      </c>
      <c r="B178" s="4"/>
      <c r="C178" s="4"/>
      <c r="D178" s="4"/>
      <c r="E178" s="4"/>
      <c r="F178" s="4"/>
      <c r="G178" s="4"/>
      <c r="H178" s="4"/>
      <c r="I178" s="4"/>
      <c r="J178" s="4"/>
      <c r="K178" s="4"/>
    </row>
    <row r="179" customFormat="false" ht="23.85" hidden="false" customHeight="false" outlineLevel="0" collapsed="false">
      <c r="A179" s="23" t="s">
        <v>505</v>
      </c>
      <c r="B179" s="24" t="s">
        <v>188</v>
      </c>
      <c r="C179" s="24" t="s">
        <v>189</v>
      </c>
      <c r="D179" s="24" t="s">
        <v>190</v>
      </c>
    </row>
    <row r="180" customFormat="false" ht="15" hidden="false" customHeight="false" outlineLevel="0" collapsed="false">
      <c r="A180" s="6" t="s">
        <v>860</v>
      </c>
      <c r="B180" s="48" t="n">
        <v>1036</v>
      </c>
      <c r="C180" s="9" t="s">
        <v>861</v>
      </c>
      <c r="D180" s="9" t="s">
        <v>862</v>
      </c>
    </row>
    <row r="181" customFormat="false" ht="15" hidden="false" customHeight="false" outlineLevel="0" collapsed="false">
      <c r="A181" s="6" t="s">
        <v>863</v>
      </c>
      <c r="B181" s="70" t="n">
        <v>20</v>
      </c>
      <c r="C181" s="9" t="s">
        <v>864</v>
      </c>
      <c r="D181" s="9" t="s">
        <v>865</v>
      </c>
    </row>
    <row r="182" customFormat="false" ht="15" hidden="false" customHeight="false" outlineLevel="0" collapsed="false">
      <c r="A182" s="6" t="s">
        <v>866</v>
      </c>
      <c r="B182" s="75" t="n">
        <f aca="false">Cotizaciones!$B$6</f>
        <v>3170.46</v>
      </c>
      <c r="C182" s="9" t="s">
        <v>867</v>
      </c>
      <c r="D182" s="9" t="s">
        <v>868</v>
      </c>
    </row>
    <row r="183" customFormat="false" ht="15" hidden="false" customHeight="false" outlineLevel="0" collapsed="false">
      <c r="A183" s="6" t="s">
        <v>869</v>
      </c>
      <c r="B183" s="70" t="n">
        <v>2.7</v>
      </c>
      <c r="C183" s="9" t="s">
        <v>870</v>
      </c>
      <c r="D183" s="9" t="s">
        <v>871</v>
      </c>
    </row>
    <row r="184" customFormat="false" ht="15" hidden="false" customHeight="false" outlineLevel="0" collapsed="false">
      <c r="A184" s="6" t="s">
        <v>872</v>
      </c>
      <c r="B184" s="46" t="n">
        <v>0.8</v>
      </c>
      <c r="C184" s="9" t="s">
        <v>196</v>
      </c>
      <c r="D184" s="9" t="s">
        <v>873</v>
      </c>
    </row>
    <row r="185" customFormat="false" ht="15" hidden="false" customHeight="false" outlineLevel="0" collapsed="false">
      <c r="A185" s="6" t="s">
        <v>874</v>
      </c>
      <c r="B185" s="29" t="n">
        <f aca="false">B183/B184/1055*B181*B182</f>
        <v>202.849336492891</v>
      </c>
      <c r="C185" s="9" t="s">
        <v>565</v>
      </c>
      <c r="D185" s="9" t="s">
        <v>875</v>
      </c>
    </row>
    <row r="186" customFormat="false" ht="15" hidden="false" customHeight="false" outlineLevel="0" collapsed="false">
      <c r="A186" s="6" t="s">
        <v>876</v>
      </c>
      <c r="B186" s="69" t="n">
        <v>0.15</v>
      </c>
      <c r="C186" s="9" t="s">
        <v>877</v>
      </c>
      <c r="D186" s="9" t="s">
        <v>878</v>
      </c>
    </row>
    <row r="187" customFormat="false" ht="15" hidden="false" customHeight="false" outlineLevel="0" collapsed="false">
      <c r="A187" s="6" t="s">
        <v>879</v>
      </c>
      <c r="B187" s="70" t="n">
        <v>3.9</v>
      </c>
      <c r="C187" s="9" t="s">
        <v>880</v>
      </c>
      <c r="D187" s="9"/>
    </row>
    <row r="188" customFormat="false" ht="15" hidden="false" customHeight="false" outlineLevel="0" collapsed="false">
      <c r="A188" s="6" t="s">
        <v>881</v>
      </c>
      <c r="B188" s="51" t="n">
        <v>16</v>
      </c>
      <c r="C188" s="9" t="s">
        <v>882</v>
      </c>
      <c r="D188" s="9" t="s">
        <v>883</v>
      </c>
    </row>
    <row r="189" customFormat="false" ht="15" hidden="false" customHeight="false" outlineLevel="0" collapsed="false">
      <c r="A189" s="6" t="s">
        <v>884</v>
      </c>
      <c r="B189" s="70" t="n">
        <v>3</v>
      </c>
      <c r="C189" s="9" t="s">
        <v>885</v>
      </c>
      <c r="D189" s="9" t="s">
        <v>886</v>
      </c>
    </row>
    <row r="191" customFormat="false" ht="30" hidden="false" customHeight="true" outlineLevel="0" collapsed="false">
      <c r="A191" s="23" t="s">
        <v>887</v>
      </c>
      <c r="B191" s="24" t="s">
        <v>110</v>
      </c>
      <c r="C191" s="24" t="s">
        <v>888</v>
      </c>
      <c r="D191" s="24" t="s">
        <v>556</v>
      </c>
      <c r="E191" s="24" t="s">
        <v>889</v>
      </c>
      <c r="F191" s="24" t="s">
        <v>890</v>
      </c>
      <c r="G191" s="24" t="s">
        <v>891</v>
      </c>
      <c r="H191" s="24" t="s">
        <v>214</v>
      </c>
      <c r="I191" s="24" t="s">
        <v>327</v>
      </c>
      <c r="J191" s="24" t="s">
        <v>892</v>
      </c>
    </row>
    <row r="192" customFormat="false" ht="15" hidden="false" customHeight="false" outlineLevel="0" collapsed="false">
      <c r="A192" s="6" t="s">
        <v>893</v>
      </c>
      <c r="B192" s="53" t="n">
        <v>1</v>
      </c>
      <c r="C192" s="70" t="n">
        <v>1.2</v>
      </c>
      <c r="D192" s="70" t="n">
        <v>8</v>
      </c>
      <c r="E192" s="25" t="n">
        <f aca="false">C192*D192</f>
        <v>9.6</v>
      </c>
      <c r="F192" s="73" t="n">
        <f aca="false">$B$6</f>
        <v>294</v>
      </c>
      <c r="G192" s="29" t="n">
        <f aca="false">E192*F192</f>
        <v>2822.4</v>
      </c>
      <c r="H192" s="25" t="n">
        <f aca="false">G192*$B$180/1000000</f>
        <v>2.9240064</v>
      </c>
      <c r="I192" s="46" t="n">
        <v>1</v>
      </c>
      <c r="J192" s="25" t="n">
        <f aca="false">H192*I192</f>
        <v>2.9240064</v>
      </c>
    </row>
    <row r="193" customFormat="false" ht="15" hidden="false" customHeight="false" outlineLevel="0" collapsed="false">
      <c r="A193" s="6" t="s">
        <v>894</v>
      </c>
      <c r="B193" s="53" t="n">
        <v>1</v>
      </c>
      <c r="C193" s="70" t="n">
        <v>0.3</v>
      </c>
      <c r="D193" s="70" t="n">
        <v>10</v>
      </c>
      <c r="E193" s="25" t="n">
        <f aca="false">C193*D193</f>
        <v>3</v>
      </c>
      <c r="F193" s="73" t="n">
        <f aca="false">$B$6</f>
        <v>294</v>
      </c>
      <c r="G193" s="29" t="n">
        <f aca="false">E193*F193</f>
        <v>882</v>
      </c>
      <c r="H193" s="25" t="n">
        <f aca="false">G193*$B$180/1000000</f>
        <v>0.913752</v>
      </c>
      <c r="I193" s="34" t="n">
        <f aca="false">Quesería!$B$16</f>
        <v>0.36</v>
      </c>
      <c r="J193" s="25" t="n">
        <f aca="false">H193*I193</f>
        <v>0.32895072</v>
      </c>
    </row>
    <row r="194" customFormat="false" ht="15" hidden="false" customHeight="false" outlineLevel="0" collapsed="false">
      <c r="A194" s="6" t="s">
        <v>895</v>
      </c>
      <c r="B194" s="53" t="n">
        <v>1</v>
      </c>
      <c r="C194" s="70" t="n">
        <v>0.6</v>
      </c>
      <c r="D194" s="70" t="n">
        <v>24</v>
      </c>
      <c r="E194" s="25" t="n">
        <f aca="false">C194*D194</f>
        <v>14.4</v>
      </c>
      <c r="F194" s="51" t="n">
        <v>365</v>
      </c>
      <c r="G194" s="29" t="n">
        <f aca="false">E194*F194</f>
        <v>5256</v>
      </c>
      <c r="H194" s="25" t="n">
        <f aca="false">G194*$B$180/1000000</f>
        <v>5.445216</v>
      </c>
      <c r="I194" s="46" t="n">
        <v>1</v>
      </c>
      <c r="J194" s="25" t="n">
        <f aca="false">H194*I194</f>
        <v>5.445216</v>
      </c>
    </row>
    <row r="195" customFormat="false" ht="15" hidden="false" customHeight="false" outlineLevel="0" collapsed="false">
      <c r="A195" s="6" t="s">
        <v>896</v>
      </c>
      <c r="B195" s="53" t="n">
        <v>2</v>
      </c>
      <c r="C195" s="70" t="n">
        <v>7.5</v>
      </c>
      <c r="D195" s="70" t="n">
        <v>4</v>
      </c>
      <c r="E195" s="25" t="n">
        <f aca="false">C195*D195</f>
        <v>30</v>
      </c>
      <c r="F195" s="73" t="n">
        <f aca="false">$B$6</f>
        <v>294</v>
      </c>
      <c r="G195" s="29" t="n">
        <f aca="false">E195*F195</f>
        <v>8820</v>
      </c>
      <c r="H195" s="25" t="n">
        <f aca="false">G195*$B$180/1000000</f>
        <v>9.13752</v>
      </c>
      <c r="I195" s="46" t="n">
        <v>1</v>
      </c>
      <c r="J195" s="25" t="n">
        <f aca="false">H195*I195</f>
        <v>9.13752</v>
      </c>
    </row>
    <row r="196" customFormat="false" ht="15" hidden="false" customHeight="false" outlineLevel="0" collapsed="false">
      <c r="A196" s="6" t="s">
        <v>897</v>
      </c>
      <c r="B196" s="53" t="n">
        <v>2</v>
      </c>
      <c r="C196" s="70" t="n">
        <v>7.7</v>
      </c>
      <c r="D196" s="70" t="n">
        <v>1.5</v>
      </c>
      <c r="E196" s="25" t="n">
        <f aca="false">C196*D196</f>
        <v>11.55</v>
      </c>
      <c r="F196" s="73" t="n">
        <f aca="false">$B$6</f>
        <v>294</v>
      </c>
      <c r="G196" s="29" t="n">
        <f aca="false">E196*F196</f>
        <v>3395.7</v>
      </c>
      <c r="H196" s="25" t="n">
        <f aca="false">G196*$B$180/1000000</f>
        <v>3.5179452</v>
      </c>
      <c r="I196" s="46" t="n">
        <v>1</v>
      </c>
      <c r="J196" s="25" t="n">
        <f aca="false">H196*I196</f>
        <v>3.5179452</v>
      </c>
    </row>
    <row r="197" customFormat="false" ht="15" hidden="false" customHeight="false" outlineLevel="0" collapsed="false">
      <c r="A197" s="6" t="s">
        <v>898</v>
      </c>
      <c r="B197" s="53" t="n">
        <v>2</v>
      </c>
      <c r="E197" s="25" t="n">
        <f aca="false">E80*$B$187*$B$188/3600/$B$189+2*4</f>
        <v>55.3107258306538</v>
      </c>
      <c r="F197" s="73" t="n">
        <f aca="false">$B$6</f>
        <v>294</v>
      </c>
      <c r="G197" s="29" t="n">
        <f aca="false">E197*F197</f>
        <v>16261.3533942122</v>
      </c>
      <c r="H197" s="25" t="n">
        <f aca="false">G197*$B$180/1000000</f>
        <v>16.8467621164039</v>
      </c>
      <c r="I197" s="46" t="n">
        <v>1</v>
      </c>
      <c r="J197" s="25" t="n">
        <f aca="false">H197*I197</f>
        <v>16.8467621164039</v>
      </c>
    </row>
    <row r="198" customFormat="false" ht="15" hidden="false" customHeight="false" outlineLevel="0" collapsed="false">
      <c r="A198" s="6" t="s">
        <v>876</v>
      </c>
      <c r="B198" s="53" t="n">
        <v>2</v>
      </c>
      <c r="E198" s="25" t="n">
        <f aca="false">$B$186*E84</f>
        <v>84.8617082797428</v>
      </c>
      <c r="F198" s="73" t="n">
        <f aca="false">$B$6</f>
        <v>294</v>
      </c>
      <c r="G198" s="9" t="s">
        <v>899</v>
      </c>
      <c r="H198" s="25" t="n">
        <f aca="false">E198*F198*$B$185/1000000</f>
        <v>5.06095751815053</v>
      </c>
      <c r="I198" s="46" t="n">
        <v>1</v>
      </c>
      <c r="J198" s="25" t="n">
        <f aca="false">H198*I198</f>
        <v>5.06095751815053</v>
      </c>
    </row>
    <row r="199" customFormat="false" ht="15" hidden="false" customHeight="false" outlineLevel="0" collapsed="false">
      <c r="A199" s="9" t="s">
        <v>900</v>
      </c>
    </row>
    <row r="200" customFormat="false" ht="15" hidden="false" customHeight="false" outlineLevel="0" collapsed="false">
      <c r="A200" s="6" t="s">
        <v>901</v>
      </c>
      <c r="B200" s="64" t="n">
        <f aca="false">J197*1000000/(E80*$B$6)</f>
        <v>6.99794196214537</v>
      </c>
      <c r="C200" s="9" t="s">
        <v>565</v>
      </c>
      <c r="D200" s="9" t="s">
        <v>902</v>
      </c>
    </row>
    <row r="202" customFormat="false" ht="23.85" hidden="false" customHeight="false" outlineLevel="0" collapsed="false">
      <c r="A202" s="23" t="s">
        <v>903</v>
      </c>
      <c r="B202" s="24" t="s">
        <v>110</v>
      </c>
      <c r="C202" s="24" t="s">
        <v>904</v>
      </c>
      <c r="D202" s="24" t="s">
        <v>327</v>
      </c>
      <c r="E202" s="24" t="s">
        <v>892</v>
      </c>
    </row>
    <row r="203" customFormat="false" ht="15" hidden="false" customHeight="false" outlineLevel="0" collapsed="false">
      <c r="A203" s="6" t="s">
        <v>905</v>
      </c>
      <c r="B203" s="53" t="n">
        <v>1</v>
      </c>
      <c r="C203" s="50" t="n">
        <v>1.5</v>
      </c>
      <c r="D203" s="46" t="n">
        <v>1</v>
      </c>
      <c r="E203" s="25" t="n">
        <f aca="false">C203*D203</f>
        <v>1.5</v>
      </c>
    </row>
    <row r="204" customFormat="false" ht="15" hidden="false" customHeight="false" outlineLevel="0" collapsed="false">
      <c r="A204" s="6" t="s">
        <v>906</v>
      </c>
      <c r="B204" s="53" t="n">
        <v>1</v>
      </c>
      <c r="C204" s="50" t="n">
        <v>0.5</v>
      </c>
      <c r="D204" s="46" t="n">
        <v>1</v>
      </c>
      <c r="E204" s="25" t="n">
        <f aca="false">C204*D204</f>
        <v>0.5</v>
      </c>
    </row>
    <row r="205" customFormat="false" ht="15" hidden="false" customHeight="false" outlineLevel="0" collapsed="false">
      <c r="A205" s="6" t="s">
        <v>907</v>
      </c>
      <c r="B205" s="53" t="n">
        <v>1</v>
      </c>
      <c r="C205" s="50" t="n">
        <v>2</v>
      </c>
      <c r="D205" s="34" t="n">
        <f aca="false">Quesería!$B$16</f>
        <v>0.36</v>
      </c>
      <c r="E205" s="25" t="n">
        <f aca="false">C205*D205</f>
        <v>0.72</v>
      </c>
    </row>
    <row r="206" customFormat="false" ht="15" hidden="false" customHeight="false" outlineLevel="0" collapsed="false">
      <c r="A206" s="6" t="s">
        <v>908</v>
      </c>
      <c r="B206" s="53" t="n">
        <v>1</v>
      </c>
      <c r="C206" s="50" t="n">
        <v>2</v>
      </c>
      <c r="D206" s="46" t="n">
        <v>1</v>
      </c>
      <c r="E206" s="25" t="n">
        <f aca="false">C206*D206</f>
        <v>2</v>
      </c>
    </row>
    <row r="207" customFormat="false" ht="15" hidden="false" customHeight="false" outlineLevel="0" collapsed="false">
      <c r="A207" s="6" t="s">
        <v>909</v>
      </c>
      <c r="B207" s="53" t="n">
        <v>2</v>
      </c>
      <c r="C207" s="50" t="n">
        <v>0.8</v>
      </c>
      <c r="D207" s="46" t="n">
        <v>1</v>
      </c>
      <c r="E207" s="25" t="n">
        <f aca="false">C207*D207</f>
        <v>0.8</v>
      </c>
    </row>
    <row r="208" customFormat="false" ht="15" hidden="false" customHeight="false" outlineLevel="0" collapsed="false">
      <c r="A208" s="9" t="s">
        <v>910</v>
      </c>
    </row>
    <row r="210" customFormat="false" ht="15" hidden="false" customHeight="false" outlineLevel="0" collapsed="false">
      <c r="A210" s="23" t="s">
        <v>911</v>
      </c>
      <c r="B210" s="24" t="s">
        <v>912</v>
      </c>
      <c r="C210" s="24" t="s">
        <v>913</v>
      </c>
      <c r="D210" s="24" t="s">
        <v>88</v>
      </c>
    </row>
    <row r="211" customFormat="false" ht="15" hidden="false" customHeight="false" outlineLevel="0" collapsed="false">
      <c r="A211" s="5" t="s">
        <v>914</v>
      </c>
      <c r="B211" s="30" t="n">
        <f aca="false">SUMIFS(J192:J198,B192:B198,1)+SUMIFS(E203:E207,B203:B207,1)</f>
        <v>13.41817312</v>
      </c>
      <c r="C211" s="30" t="n">
        <f aca="false">SUMIFS(J192:J198,B192:B198,2)+SUMIFS(E203:E207,B203:B207,2)</f>
        <v>35.3631848345544</v>
      </c>
      <c r="D211" s="54" t="n">
        <f aca="false">B211+C211</f>
        <v>48.7813579545544</v>
      </c>
    </row>
    <row r="212" customFormat="false" ht="15" hidden="false" customHeight="false" outlineLevel="0" collapsed="false">
      <c r="A212" s="9" t="s">
        <v>915</v>
      </c>
    </row>
  </sheetData>
  <mergeCells count="75">
    <mergeCell ref="B162:C162"/>
    <mergeCell ref="D162:E162"/>
    <mergeCell ref="F162:G162"/>
    <mergeCell ref="H162:I162"/>
    <mergeCell ref="J162:K162"/>
    <mergeCell ref="B163:C163"/>
    <mergeCell ref="D163:E163"/>
    <mergeCell ref="F163:G163"/>
    <mergeCell ref="H163:I163"/>
    <mergeCell ref="J163:K163"/>
    <mergeCell ref="B164:C164"/>
    <mergeCell ref="D164:E164"/>
    <mergeCell ref="F164:G164"/>
    <mergeCell ref="H164:I164"/>
    <mergeCell ref="J164:K164"/>
    <mergeCell ref="B165:C165"/>
    <mergeCell ref="D165:E165"/>
    <mergeCell ref="F165:G165"/>
    <mergeCell ref="H165:I165"/>
    <mergeCell ref="J165:K165"/>
    <mergeCell ref="B166:C166"/>
    <mergeCell ref="D166:E166"/>
    <mergeCell ref="F166:G166"/>
    <mergeCell ref="H166:I166"/>
    <mergeCell ref="J166:K166"/>
    <mergeCell ref="B167:C167"/>
    <mergeCell ref="D167:E167"/>
    <mergeCell ref="F167:G167"/>
    <mergeCell ref="H167:I167"/>
    <mergeCell ref="J167:K167"/>
    <mergeCell ref="B168:C168"/>
    <mergeCell ref="D168:E168"/>
    <mergeCell ref="F168:G168"/>
    <mergeCell ref="H168:I168"/>
    <mergeCell ref="J168:K168"/>
    <mergeCell ref="B169:C169"/>
    <mergeCell ref="D169:E169"/>
    <mergeCell ref="F169:G169"/>
    <mergeCell ref="H169:I169"/>
    <mergeCell ref="J169:K169"/>
    <mergeCell ref="B170:C170"/>
    <mergeCell ref="D170:E170"/>
    <mergeCell ref="F170:G170"/>
    <mergeCell ref="H170:I170"/>
    <mergeCell ref="J170:K170"/>
    <mergeCell ref="B171:C171"/>
    <mergeCell ref="D171:E171"/>
    <mergeCell ref="F171:G171"/>
    <mergeCell ref="H171:I171"/>
    <mergeCell ref="J171:K171"/>
    <mergeCell ref="B172:C172"/>
    <mergeCell ref="D172:E172"/>
    <mergeCell ref="F172:G172"/>
    <mergeCell ref="H172:I172"/>
    <mergeCell ref="J172:K172"/>
    <mergeCell ref="B173:C173"/>
    <mergeCell ref="D173:E173"/>
    <mergeCell ref="F173:G173"/>
    <mergeCell ref="H173:I173"/>
    <mergeCell ref="J173:K173"/>
    <mergeCell ref="B174:C174"/>
    <mergeCell ref="D174:E174"/>
    <mergeCell ref="F174:G174"/>
    <mergeCell ref="H174:I174"/>
    <mergeCell ref="J174:K174"/>
    <mergeCell ref="B175:C175"/>
    <mergeCell ref="D175:E175"/>
    <mergeCell ref="F175:G175"/>
    <mergeCell ref="H175:I175"/>
    <mergeCell ref="J175:K175"/>
    <mergeCell ref="B176:C176"/>
    <mergeCell ref="D176:E176"/>
    <mergeCell ref="F176:G176"/>
    <mergeCell ref="H176:I176"/>
    <mergeCell ref="J176:K1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2"/>
    <col collapsed="false" customWidth="true" hidden="false" outlineLevel="0" max="6" min="5" style="0" width="13"/>
    <col collapsed="false" customWidth="true" hidden="false" outlineLevel="0" max="7" min="7" style="0" width="14"/>
    <col collapsed="false" customWidth="true" hidden="false" outlineLevel="0" max="8" min="8" style="0" width="18"/>
    <col collapsed="false" customWidth="true" hidden="false" outlineLevel="0" max="9" min="9" style="0" width="60"/>
  </cols>
  <sheetData>
    <row r="1" customFormat="false" ht="17.35" hidden="false" customHeight="false" outlineLevel="0" collapsed="false">
      <c r="A1" s="42" t="s">
        <v>916</v>
      </c>
    </row>
    <row r="2" customFormat="false" ht="15" hidden="false" customHeight="false" outlineLevel="0" collapsed="false">
      <c r="A2" s="9" t="s">
        <v>917</v>
      </c>
    </row>
    <row r="4" customFormat="false" ht="15" hidden="false" customHeight="false" outlineLevel="0" collapsed="false">
      <c r="A4" s="3" t="s">
        <v>918</v>
      </c>
      <c r="B4" s="4"/>
      <c r="C4" s="4"/>
      <c r="D4" s="4"/>
      <c r="E4" s="4"/>
      <c r="F4" s="4"/>
      <c r="G4" s="4"/>
      <c r="H4" s="4"/>
      <c r="I4" s="4"/>
    </row>
    <row r="5" customFormat="false" ht="15" hidden="false" customHeight="false" outlineLevel="0" collapsed="false">
      <c r="A5" s="23" t="s">
        <v>919</v>
      </c>
      <c r="B5" s="24" t="s">
        <v>188</v>
      </c>
      <c r="C5" s="24" t="s">
        <v>189</v>
      </c>
      <c r="D5" s="24" t="s">
        <v>920</v>
      </c>
    </row>
    <row r="6" customFormat="false" ht="15" hidden="false" customHeight="false" outlineLevel="0" collapsed="false">
      <c r="A6" s="6" t="s">
        <v>921</v>
      </c>
      <c r="B6" s="78" t="n">
        <v>3170.46</v>
      </c>
      <c r="C6" s="6" t="s">
        <v>867</v>
      </c>
      <c r="D6" s="9" t="s">
        <v>922</v>
      </c>
    </row>
    <row r="7" customFormat="false" ht="15" hidden="false" customHeight="false" outlineLevel="0" collapsed="false">
      <c r="A7" s="6" t="s">
        <v>923</v>
      </c>
      <c r="B7" s="78" t="n">
        <v>3569.9</v>
      </c>
      <c r="C7" s="6" t="s">
        <v>924</v>
      </c>
      <c r="D7" s="9" t="s">
        <v>925</v>
      </c>
    </row>
    <row r="8" customFormat="false" ht="15" hidden="false" customHeight="false" outlineLevel="0" collapsed="false">
      <c r="A8" s="6" t="s">
        <v>926</v>
      </c>
      <c r="B8" s="46" t="n">
        <v>0.3</v>
      </c>
      <c r="C8" s="6" t="s">
        <v>538</v>
      </c>
      <c r="D8" s="9" t="s">
        <v>927</v>
      </c>
    </row>
    <row r="9" customFormat="false" ht="15" hidden="false" customHeight="false" outlineLevel="0" collapsed="false">
      <c r="A9" s="6" t="s">
        <v>928</v>
      </c>
      <c r="B9" s="46" t="n">
        <v>0.15</v>
      </c>
      <c r="C9" s="6" t="s">
        <v>538</v>
      </c>
      <c r="D9" s="9" t="s">
        <v>929</v>
      </c>
    </row>
    <row r="11" customFormat="false" ht="15" hidden="false" customHeight="false" outlineLevel="0" collapsed="false">
      <c r="A11" s="3" t="s">
        <v>930</v>
      </c>
      <c r="B11" s="4"/>
      <c r="C11" s="4"/>
      <c r="D11" s="4"/>
      <c r="E11" s="4"/>
      <c r="F11" s="4"/>
      <c r="G11" s="4"/>
      <c r="H11" s="4"/>
      <c r="I11" s="4"/>
    </row>
    <row r="12" customFormat="false" ht="57.45" hidden="false" customHeight="false" outlineLevel="0" collapsed="false">
      <c r="A12" s="23" t="s">
        <v>931</v>
      </c>
      <c r="B12" s="24" t="s">
        <v>932</v>
      </c>
      <c r="C12" s="24" t="s">
        <v>933</v>
      </c>
      <c r="D12" s="24" t="s">
        <v>934</v>
      </c>
      <c r="E12" s="24" t="s">
        <v>935</v>
      </c>
      <c r="F12" s="24" t="s">
        <v>936</v>
      </c>
      <c r="G12" s="24" t="s">
        <v>937</v>
      </c>
      <c r="H12" s="24" t="s">
        <v>610</v>
      </c>
      <c r="I12" s="24" t="s">
        <v>938</v>
      </c>
    </row>
    <row r="13" customFormat="false" ht="61.5" hidden="false" customHeight="true" outlineLevel="0" collapsed="false">
      <c r="A13" s="77" t="s">
        <v>939</v>
      </c>
      <c r="B13" s="74" t="n">
        <v>7000</v>
      </c>
      <c r="C13" s="6" t="s">
        <v>940</v>
      </c>
      <c r="D13" s="25" t="n">
        <f aca="false">B13*$B$6/1000000</f>
        <v>22.19322</v>
      </c>
      <c r="E13" s="25" t="n">
        <f aca="false">D13*(1+$B$8)*(1+$B$9)</f>
        <v>33.1788639</v>
      </c>
      <c r="F13" s="30" t="n">
        <f aca="false">E13</f>
        <v>33.1788639</v>
      </c>
      <c r="G13" s="77" t="s">
        <v>941</v>
      </c>
      <c r="H13" s="79" t="s">
        <v>942</v>
      </c>
      <c r="I13" s="79" t="s">
        <v>943</v>
      </c>
    </row>
    <row r="14" customFormat="false" ht="61.5" hidden="false" customHeight="true" outlineLevel="0" collapsed="false">
      <c r="A14" s="77" t="s">
        <v>944</v>
      </c>
      <c r="B14" s="74" t="n">
        <v>39000</v>
      </c>
      <c r="C14" s="6" t="s">
        <v>945</v>
      </c>
      <c r="D14" s="25" t="n">
        <f aca="false">B14*$B$7/1000000</f>
        <v>139.2261</v>
      </c>
      <c r="E14" s="25" t="n">
        <f aca="false">D14*(1+$B$8)*(1+$B$9)</f>
        <v>208.1430195</v>
      </c>
      <c r="F14" s="50" t="n">
        <v>322.6</v>
      </c>
      <c r="G14" s="77" t="s">
        <v>946</v>
      </c>
      <c r="H14" s="79" t="s">
        <v>947</v>
      </c>
      <c r="I14" s="79" t="s">
        <v>948</v>
      </c>
    </row>
    <row r="15" customFormat="false" ht="61.5" hidden="false" customHeight="true" outlineLevel="0" collapsed="false">
      <c r="A15" s="77" t="s">
        <v>348</v>
      </c>
      <c r="B15" s="74" t="n">
        <v>5000</v>
      </c>
      <c r="C15" s="6" t="s">
        <v>940</v>
      </c>
      <c r="D15" s="25" t="n">
        <f aca="false">B15*$B$6/1000000</f>
        <v>15.8523</v>
      </c>
      <c r="E15" s="25" t="n">
        <f aca="false">D15*(1+$B$8)*(1+$B$9)</f>
        <v>23.6991885</v>
      </c>
      <c r="F15" s="25" t="n">
        <f aca="false">320/3</f>
        <v>106.666666666667</v>
      </c>
      <c r="G15" s="77" t="s">
        <v>946</v>
      </c>
      <c r="H15" s="79" t="s">
        <v>949</v>
      </c>
      <c r="I15" s="79" t="s">
        <v>950</v>
      </c>
    </row>
    <row r="16" customFormat="false" ht="61.5" hidden="false" customHeight="true" outlineLevel="0" collapsed="false">
      <c r="A16" s="77" t="s">
        <v>951</v>
      </c>
      <c r="B16" s="74" t="n">
        <v>9500</v>
      </c>
      <c r="C16" s="6" t="s">
        <v>940</v>
      </c>
      <c r="D16" s="25" t="n">
        <f aca="false">B16*$B$6/1000000</f>
        <v>30.11937</v>
      </c>
      <c r="E16" s="25" t="n">
        <f aca="false">D16*(1+$B$8)*(1+$B$9)</f>
        <v>45.02845815</v>
      </c>
      <c r="F16" s="25" t="n">
        <f aca="false">BOM!$F$77</f>
        <v>130.792130937844</v>
      </c>
      <c r="G16" s="77" t="s">
        <v>952</v>
      </c>
      <c r="H16" s="79" t="s">
        <v>953</v>
      </c>
      <c r="I16" s="79" t="s">
        <v>954</v>
      </c>
    </row>
    <row r="17" customFormat="false" ht="61.5" hidden="false" customHeight="true" outlineLevel="0" collapsed="false">
      <c r="A17" s="77" t="s">
        <v>955</v>
      </c>
      <c r="B17" s="74" t="n">
        <v>2200</v>
      </c>
      <c r="C17" s="6" t="s">
        <v>940</v>
      </c>
      <c r="D17" s="25" t="n">
        <f aca="false">B17*$B$6/1000000</f>
        <v>6.975012</v>
      </c>
      <c r="E17" s="25" t="n">
        <f aca="false">D17*(1+$B$8)*(1+$B$9)</f>
        <v>10.42764294</v>
      </c>
      <c r="F17" s="30" t="n">
        <f aca="false">E17</f>
        <v>10.42764294</v>
      </c>
      <c r="G17" s="77" t="s">
        <v>941</v>
      </c>
      <c r="H17" s="79" t="s">
        <v>956</v>
      </c>
      <c r="I17" s="79" t="s">
        <v>957</v>
      </c>
    </row>
    <row r="18" customFormat="false" ht="61.5" hidden="false" customHeight="true" outlineLevel="0" collapsed="false">
      <c r="A18" s="77" t="s">
        <v>958</v>
      </c>
      <c r="F18" s="25" t="n">
        <f aca="false">BOM!$F$73</f>
        <v>267.509653045577</v>
      </c>
      <c r="G18" s="77" t="s">
        <v>952</v>
      </c>
      <c r="H18" s="79" t="s">
        <v>953</v>
      </c>
      <c r="I18" s="79"/>
    </row>
    <row r="19" customFormat="false" ht="61.5" hidden="false" customHeight="true" outlineLevel="0" collapsed="false">
      <c r="A19" s="77" t="s">
        <v>959</v>
      </c>
      <c r="F19" s="25" t="n">
        <f aca="false">BOM!$F$74</f>
        <v>47.746860805791</v>
      </c>
      <c r="G19" s="77" t="s">
        <v>952</v>
      </c>
      <c r="H19" s="79" t="s">
        <v>953</v>
      </c>
      <c r="I19" s="79"/>
    </row>
    <row r="20" customFormat="false" ht="61.5" hidden="false" customHeight="true" outlineLevel="0" collapsed="false">
      <c r="A20" s="77" t="s">
        <v>960</v>
      </c>
      <c r="F20" s="25" t="n">
        <f aca="false">BOM!$F$76</f>
        <v>129.98093385</v>
      </c>
      <c r="G20" s="77" t="s">
        <v>952</v>
      </c>
      <c r="H20" s="79" t="s">
        <v>953</v>
      </c>
      <c r="I20" s="79"/>
    </row>
    <row r="21" customFormat="false" ht="61.5" hidden="false" customHeight="true" outlineLevel="0" collapsed="false">
      <c r="A21" s="77" t="s">
        <v>961</v>
      </c>
      <c r="F21" s="50" t="n">
        <v>80</v>
      </c>
      <c r="G21" s="77" t="s">
        <v>962</v>
      </c>
      <c r="H21" s="79" t="s">
        <v>963</v>
      </c>
      <c r="I21" s="79"/>
    </row>
    <row r="23" customFormat="false" ht="15" hidden="false" customHeight="false" outlineLevel="0" collapsed="false">
      <c r="A23" s="9" t="s">
        <v>964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4"/>
    <col collapsed="false" customWidth="true" hidden="false" outlineLevel="0" max="3" min="3" style="0" width="7"/>
    <col collapsed="false" customWidth="true" hidden="false" outlineLevel="0" max="4" min="4" style="0" width="30"/>
    <col collapsed="false" customWidth="true" hidden="false" outlineLevel="0" max="5" min="5" style="0" width="9"/>
    <col collapsed="false" customWidth="true" hidden="false" outlineLevel="0" max="6" min="6" style="0" width="12"/>
    <col collapsed="false" customWidth="true" hidden="false" outlineLevel="0" max="7" min="7" style="0" width="8"/>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9"/>
    <col collapsed="false" customWidth="true" hidden="false" outlineLevel="0" max="14" min="14" style="0" width="10"/>
    <col collapsed="false" customWidth="true" hidden="false" outlineLevel="0" max="15" min="15" style="0" width="60"/>
    <col collapsed="false" customWidth="true" hidden="true" outlineLevel="0" max="16" min="16" style="0" width="13"/>
  </cols>
  <sheetData>
    <row r="1" customFormat="false" ht="17.35" hidden="false" customHeight="false" outlineLevel="0" collapsed="false">
      <c r="A1" s="42" t="s">
        <v>965</v>
      </c>
    </row>
    <row r="2" customFormat="false" ht="27.75" hidden="false" customHeight="true" outlineLevel="0" collapsed="false">
      <c r="A2" s="14" t="s">
        <v>966</v>
      </c>
      <c r="B2" s="14"/>
      <c r="C2" s="14"/>
      <c r="D2" s="14"/>
      <c r="E2" s="14"/>
      <c r="F2" s="14"/>
      <c r="G2" s="14"/>
      <c r="H2" s="14"/>
      <c r="I2" s="14"/>
      <c r="J2" s="14"/>
      <c r="K2" s="14"/>
      <c r="L2" s="14"/>
      <c r="M2" s="14"/>
      <c r="N2" s="14"/>
      <c r="O2" s="14"/>
    </row>
    <row r="4" customFormat="false" ht="15" hidden="false" customHeight="false" outlineLevel="0" collapsed="false">
      <c r="A4" s="3" t="s">
        <v>967</v>
      </c>
      <c r="B4" s="4"/>
      <c r="C4" s="4"/>
      <c r="D4" s="4"/>
      <c r="E4" s="4"/>
      <c r="F4" s="4"/>
    </row>
    <row r="5" customFormat="false" ht="15" hidden="false" customHeight="false" outlineLevel="0" collapsed="false">
      <c r="A5" s="23" t="s">
        <v>919</v>
      </c>
      <c r="B5" s="24"/>
      <c r="C5" s="24" t="s">
        <v>188</v>
      </c>
      <c r="D5" s="24" t="s">
        <v>189</v>
      </c>
      <c r="E5" s="24" t="s">
        <v>920</v>
      </c>
    </row>
    <row r="6" customFormat="false" ht="15" hidden="false" customHeight="false" outlineLevel="0" collapsed="false">
      <c r="A6" s="6" t="s">
        <v>968</v>
      </c>
      <c r="C6" s="80" t="n">
        <f aca="false">Cotizaciones!$B$6</f>
        <v>3170.46</v>
      </c>
      <c r="D6" s="6" t="s">
        <v>867</v>
      </c>
      <c r="E6" s="9" t="s">
        <v>868</v>
      </c>
    </row>
    <row r="7" customFormat="false" ht="15" hidden="false" customHeight="false" outlineLevel="0" collapsed="false">
      <c r="A7" s="6" t="s">
        <v>969</v>
      </c>
      <c r="C7" s="80" t="n">
        <f aca="false">Cotizaciones!$B$7</f>
        <v>3569.9</v>
      </c>
      <c r="D7" s="6" t="s">
        <v>924</v>
      </c>
      <c r="E7" s="9" t="s">
        <v>868</v>
      </c>
    </row>
    <row r="8" customFormat="false" ht="15" hidden="false" customHeight="false" outlineLevel="0" collapsed="false">
      <c r="A8" s="6" t="s">
        <v>970</v>
      </c>
      <c r="C8" s="80" t="n">
        <f aca="false">C6*1.33</f>
        <v>4216.7118</v>
      </c>
      <c r="D8" s="6" t="s">
        <v>971</v>
      </c>
      <c r="E8" s="9" t="s">
        <v>972</v>
      </c>
    </row>
    <row r="9" customFormat="false" ht="15" hidden="false" customHeight="false" outlineLevel="0" collapsed="false">
      <c r="A9" s="6" t="s">
        <v>973</v>
      </c>
      <c r="C9" s="34" t="n">
        <f aca="false">Cotizaciones!$B$8</f>
        <v>0.3</v>
      </c>
      <c r="D9" s="6" t="s">
        <v>538</v>
      </c>
      <c r="E9" s="9" t="s">
        <v>974</v>
      </c>
    </row>
    <row r="10" customFormat="false" ht="15" hidden="false" customHeight="false" outlineLevel="0" collapsed="false">
      <c r="A10" s="6" t="s">
        <v>975</v>
      </c>
      <c r="C10" s="34" t="n">
        <f aca="false">Cotizaciones!$B$9</f>
        <v>0.15</v>
      </c>
      <c r="D10" s="6" t="s">
        <v>538</v>
      </c>
      <c r="E10" s="9" t="s">
        <v>976</v>
      </c>
    </row>
    <row r="11" customFormat="false" ht="15" hidden="false" customHeight="false" outlineLevel="0" collapsed="false">
      <c r="A11" s="6" t="s">
        <v>977</v>
      </c>
      <c r="C11" s="46" t="n">
        <v>0.15</v>
      </c>
      <c r="D11" s="6" t="s">
        <v>538</v>
      </c>
      <c r="E11" s="9" t="s">
        <v>978</v>
      </c>
    </row>
    <row r="12" customFormat="false" ht="15" hidden="false" customHeight="false" outlineLevel="0" collapsed="false">
      <c r="A12" s="3" t="s">
        <v>979</v>
      </c>
      <c r="B12" s="4"/>
      <c r="C12" s="4"/>
      <c r="D12" s="4"/>
      <c r="E12" s="4"/>
      <c r="F12" s="4"/>
      <c r="G12" s="4"/>
      <c r="H12" s="4"/>
      <c r="I12" s="4"/>
      <c r="J12" s="4"/>
      <c r="K12" s="4"/>
      <c r="L12" s="4"/>
      <c r="M12" s="4"/>
      <c r="N12" s="4"/>
      <c r="O12" s="4"/>
    </row>
    <row r="13" customFormat="false" ht="30" hidden="false" customHeight="true" outlineLevel="0" collapsed="false">
      <c r="A13" s="23" t="s">
        <v>980</v>
      </c>
      <c r="B13" s="24" t="s">
        <v>981</v>
      </c>
      <c r="C13" s="24" t="s">
        <v>110</v>
      </c>
      <c r="D13" s="24" t="s">
        <v>982</v>
      </c>
      <c r="E13" s="24" t="s">
        <v>983</v>
      </c>
      <c r="F13" s="24" t="s">
        <v>984</v>
      </c>
      <c r="G13" s="24" t="s">
        <v>933</v>
      </c>
      <c r="H13" s="24" t="s">
        <v>985</v>
      </c>
      <c r="I13" s="24" t="s">
        <v>986</v>
      </c>
      <c r="J13" s="24" t="s">
        <v>987</v>
      </c>
      <c r="K13" s="24" t="s">
        <v>113</v>
      </c>
      <c r="L13" s="24" t="s">
        <v>988</v>
      </c>
      <c r="M13" s="24" t="s">
        <v>989</v>
      </c>
      <c r="N13" s="24" t="s">
        <v>330</v>
      </c>
      <c r="O13" s="24" t="s">
        <v>920</v>
      </c>
    </row>
    <row r="14" customFormat="false" ht="15" hidden="false" customHeight="false" outlineLevel="0" collapsed="false">
      <c r="A14" s="6" t="s">
        <v>990</v>
      </c>
      <c r="B14" s="77" t="s">
        <v>991</v>
      </c>
      <c r="C14" s="53" t="n">
        <v>0</v>
      </c>
      <c r="D14" s="9" t="s">
        <v>992</v>
      </c>
      <c r="E14" s="74" t="n">
        <v>1</v>
      </c>
      <c r="F14" s="78" t="n">
        <v>3299</v>
      </c>
      <c r="G14" s="6" t="s">
        <v>940</v>
      </c>
      <c r="H14" s="53" t="n">
        <v>2</v>
      </c>
      <c r="I14" s="53" t="n">
        <v>0</v>
      </c>
      <c r="J14" s="25" t="n">
        <f aca="false">E14*F14*$C$6/1000000*(1+(H14=1)*$C$9+(H14=2)*$C$11)*(1+I14*$C$10)</f>
        <v>12.028249671</v>
      </c>
      <c r="K14" s="34" t="n">
        <f aca="false">Quesería!$B$16</f>
        <v>0.36</v>
      </c>
      <c r="L14" s="28" t="s">
        <v>993</v>
      </c>
      <c r="M14" s="53" t="n">
        <v>2</v>
      </c>
      <c r="N14" s="34" t="n">
        <f aca="false">CHOOSE(M14,Quesería!$B$26,Quesería!$B$27,Quesería!$B$28,Quesería!$B$29)</f>
        <v>0.1</v>
      </c>
      <c r="O14" s="79" t="s">
        <v>994</v>
      </c>
      <c r="P14" s="81" t="s">
        <v>995</v>
      </c>
    </row>
    <row r="15" customFormat="false" ht="15" hidden="false" customHeight="false" outlineLevel="0" collapsed="false">
      <c r="A15" s="6" t="s">
        <v>996</v>
      </c>
      <c r="B15" s="77" t="s">
        <v>997</v>
      </c>
      <c r="C15" s="53" t="n">
        <v>0</v>
      </c>
      <c r="D15" s="9" t="s">
        <v>992</v>
      </c>
      <c r="E15" s="74" t="n">
        <v>1</v>
      </c>
      <c r="F15" s="78" t="n">
        <v>1500</v>
      </c>
      <c r="G15" s="6" t="s">
        <v>940</v>
      </c>
      <c r="H15" s="53" t="n">
        <v>2</v>
      </c>
      <c r="I15" s="53" t="n">
        <v>0</v>
      </c>
      <c r="J15" s="25" t="n">
        <f aca="false">E15*F15*$C$6/1000000*(1+(H15=1)*$C$9+(H15=2)*$C$11)*(1+I15*$C$10)</f>
        <v>5.4690435</v>
      </c>
      <c r="K15" s="34" t="n">
        <f aca="false">Quesería!$B$16</f>
        <v>0.36</v>
      </c>
      <c r="L15" s="28" t="s">
        <v>993</v>
      </c>
      <c r="M15" s="53" t="n">
        <v>4</v>
      </c>
      <c r="N15" s="34" t="n">
        <f aca="false">CHOOSE(M15,Quesería!$B$26,Quesería!$B$27,Quesería!$B$28,Quesería!$B$29)</f>
        <v>0.25</v>
      </c>
      <c r="O15" s="79" t="s">
        <v>998</v>
      </c>
      <c r="P15" s="81" t="s">
        <v>995</v>
      </c>
    </row>
    <row r="16" customFormat="false" ht="15" hidden="false" customHeight="false" outlineLevel="0" collapsed="false">
      <c r="A16" s="6" t="s">
        <v>999</v>
      </c>
      <c r="B16" s="77" t="s">
        <v>1000</v>
      </c>
      <c r="C16" s="53" t="n">
        <v>0</v>
      </c>
      <c r="D16" s="9" t="s">
        <v>992</v>
      </c>
      <c r="E16" s="74" t="n">
        <v>1</v>
      </c>
      <c r="F16" s="78" t="n">
        <v>1200</v>
      </c>
      <c r="G16" s="6" t="s">
        <v>940</v>
      </c>
      <c r="H16" s="53" t="n">
        <v>2</v>
      </c>
      <c r="I16" s="53" t="n">
        <v>0</v>
      </c>
      <c r="J16" s="25" t="n">
        <f aca="false">E16*F16*$C$6/1000000*(1+(H16=1)*$C$9+(H16=2)*$C$11)*(1+I16*$C$10)</f>
        <v>4.3752348</v>
      </c>
      <c r="K16" s="34" t="n">
        <f aca="false">Quesería!$B$16</f>
        <v>0.36</v>
      </c>
      <c r="L16" s="28" t="s">
        <v>993</v>
      </c>
      <c r="M16" s="53" t="n">
        <v>4</v>
      </c>
      <c r="N16" s="34" t="n">
        <f aca="false">CHOOSE(M16,Quesería!$B$26,Quesería!$B$27,Quesería!$B$28,Quesería!$B$29)</f>
        <v>0.25</v>
      </c>
      <c r="O16" s="79" t="s">
        <v>998</v>
      </c>
      <c r="P16" s="81" t="s">
        <v>995</v>
      </c>
    </row>
    <row r="17" customFormat="false" ht="15" hidden="false" customHeight="false" outlineLevel="0" collapsed="false">
      <c r="A17" s="6" t="s">
        <v>1001</v>
      </c>
      <c r="B17" s="77" t="s">
        <v>1002</v>
      </c>
      <c r="C17" s="53" t="n">
        <v>0</v>
      </c>
      <c r="D17" s="9" t="s">
        <v>992</v>
      </c>
      <c r="E17" s="74" t="n">
        <v>1</v>
      </c>
      <c r="F17" s="74" t="n">
        <v>6000000</v>
      </c>
      <c r="G17" s="6" t="s">
        <v>1003</v>
      </c>
      <c r="H17" s="53" t="n">
        <v>0</v>
      </c>
      <c r="I17" s="53" t="n">
        <v>0</v>
      </c>
      <c r="J17" s="25" t="n">
        <f aca="false">E17*F17*1/1000000*(1+(H17=1)*$C$9+(H17=2)*$C$11)*(1+I17*$C$10)</f>
        <v>6</v>
      </c>
      <c r="K17" s="34" t="n">
        <f aca="false">Quesería!$B$16</f>
        <v>0.36</v>
      </c>
      <c r="L17" s="28" t="s">
        <v>993</v>
      </c>
      <c r="M17" s="53" t="n">
        <v>4</v>
      </c>
      <c r="N17" s="34" t="n">
        <f aca="false">CHOOSE(M17,Quesería!$B$26,Quesería!$B$27,Quesería!$B$28,Quesería!$B$29)</f>
        <v>0.25</v>
      </c>
      <c r="O17" s="79" t="s">
        <v>1004</v>
      </c>
      <c r="P17" s="81" t="s">
        <v>995</v>
      </c>
    </row>
    <row r="18" customFormat="false" ht="15" hidden="false" customHeight="false" outlineLevel="0" collapsed="false">
      <c r="A18" s="6" t="s">
        <v>1005</v>
      </c>
      <c r="B18" s="77" t="s">
        <v>1006</v>
      </c>
      <c r="C18" s="53" t="n">
        <v>0</v>
      </c>
      <c r="D18" s="9" t="s">
        <v>992</v>
      </c>
      <c r="E18" s="74" t="n">
        <v>1</v>
      </c>
      <c r="F18" s="74" t="n">
        <v>4000000</v>
      </c>
      <c r="G18" s="6" t="s">
        <v>1003</v>
      </c>
      <c r="H18" s="53" t="n">
        <v>0</v>
      </c>
      <c r="I18" s="53" t="n">
        <v>0</v>
      </c>
      <c r="J18" s="25" t="n">
        <f aca="false">E18*F18*1/1000000*(1+(H18=1)*$C$9+(H18=2)*$C$11)*(1+I18*$C$10)</f>
        <v>4</v>
      </c>
      <c r="K18" s="34" t="n">
        <f aca="false">Quesería!$B$16</f>
        <v>0.36</v>
      </c>
      <c r="L18" s="28" t="s">
        <v>1007</v>
      </c>
      <c r="M18" s="53" t="n">
        <v>4</v>
      </c>
      <c r="N18" s="34" t="n">
        <f aca="false">CHOOSE(M18,Quesería!$B$26,Quesería!$B$27,Quesería!$B$28,Quesería!$B$29)</f>
        <v>0.25</v>
      </c>
      <c r="O18" s="79" t="s">
        <v>998</v>
      </c>
      <c r="P18" s="81" t="s">
        <v>995</v>
      </c>
    </row>
    <row r="19" customFormat="false" ht="23.85" hidden="false" customHeight="false" outlineLevel="0" collapsed="false">
      <c r="A19" s="6" t="s">
        <v>1008</v>
      </c>
      <c r="B19" s="77" t="s">
        <v>1009</v>
      </c>
      <c r="C19" s="53" t="n">
        <v>0</v>
      </c>
      <c r="D19" s="9" t="s">
        <v>992</v>
      </c>
      <c r="E19" s="74" t="n">
        <v>1</v>
      </c>
      <c r="F19" s="74" t="n">
        <v>25000000</v>
      </c>
      <c r="G19" s="6" t="s">
        <v>1003</v>
      </c>
      <c r="H19" s="53" t="n">
        <v>0</v>
      </c>
      <c r="I19" s="53" t="n">
        <v>0</v>
      </c>
      <c r="J19" s="25" t="n">
        <f aca="false">E19*F19*1/1000000*(1+(H19=1)*$C$9+(H19=2)*$C$11)*(1+I19*$C$10)</f>
        <v>25</v>
      </c>
      <c r="K19" s="34" t="n">
        <f aca="false">Quesería!$B$16</f>
        <v>0.36</v>
      </c>
      <c r="L19" s="28" t="s">
        <v>993</v>
      </c>
      <c r="M19" s="53" t="n">
        <v>4</v>
      </c>
      <c r="N19" s="34" t="n">
        <f aca="false">CHOOSE(M19,Quesería!$B$26,Quesería!$B$27,Quesería!$B$28,Quesería!$B$29)</f>
        <v>0.25</v>
      </c>
      <c r="O19" s="79" t="s">
        <v>1010</v>
      </c>
      <c r="P19" s="81" t="s">
        <v>995</v>
      </c>
    </row>
    <row r="20" customFormat="false" ht="15" hidden="false" customHeight="false" outlineLevel="0" collapsed="false">
      <c r="A20" s="6" t="s">
        <v>1011</v>
      </c>
      <c r="B20" s="77" t="s">
        <v>1012</v>
      </c>
      <c r="C20" s="53" t="n">
        <v>1</v>
      </c>
      <c r="D20" s="9" t="s">
        <v>1013</v>
      </c>
      <c r="E20" s="74" t="n">
        <v>2</v>
      </c>
      <c r="F20" s="78" t="n">
        <v>4816.4</v>
      </c>
      <c r="G20" s="6" t="s">
        <v>940</v>
      </c>
      <c r="H20" s="53" t="n">
        <v>2</v>
      </c>
      <c r="I20" s="53" t="n">
        <v>1</v>
      </c>
      <c r="J20" s="25" t="n">
        <f aca="false">E20*F20*$C$6/1000000*(1+(H20=1)*$C$9+(H20=2)*$C$11)*(1+I20*$C$10)</f>
        <v>40.38968837388</v>
      </c>
      <c r="K20" s="46" t="n">
        <v>1</v>
      </c>
      <c r="L20" s="28" t="s">
        <v>1014</v>
      </c>
      <c r="M20" s="53" t="n">
        <v>2</v>
      </c>
      <c r="N20" s="34" t="n">
        <f aca="false">CHOOSE(M20,Quesería!$B$26,Quesería!$B$27,Quesería!$B$28,Quesería!$B$29)</f>
        <v>0.1</v>
      </c>
      <c r="O20" s="79" t="s">
        <v>1015</v>
      </c>
      <c r="P20" s="81" t="s">
        <v>1016</v>
      </c>
    </row>
    <row r="21" customFormat="false" ht="15" hidden="false" customHeight="false" outlineLevel="0" collapsed="false">
      <c r="A21" s="6" t="s">
        <v>1017</v>
      </c>
      <c r="B21" s="77" t="s">
        <v>1018</v>
      </c>
      <c r="C21" s="53" t="n">
        <v>1</v>
      </c>
      <c r="D21" s="9" t="s">
        <v>1013</v>
      </c>
      <c r="E21" s="74" t="n">
        <v>2</v>
      </c>
      <c r="F21" s="78" t="n">
        <v>1936.25</v>
      </c>
      <c r="G21" s="6" t="s">
        <v>940</v>
      </c>
      <c r="H21" s="53" t="n">
        <v>2</v>
      </c>
      <c r="I21" s="53" t="n">
        <v>1</v>
      </c>
      <c r="J21" s="25" t="n">
        <f aca="false">E21*F21*$C$6/1000000*(1+(H21=1)*$C$9+(H21=2)*$C$11)*(1+I21*$C$10)</f>
        <v>16.237134397875</v>
      </c>
      <c r="K21" s="46" t="n">
        <v>1</v>
      </c>
      <c r="L21" s="28" t="s">
        <v>1014</v>
      </c>
      <c r="M21" s="53" t="n">
        <v>2</v>
      </c>
      <c r="N21" s="34" t="n">
        <f aca="false">CHOOSE(M21,Quesería!$B$26,Quesería!$B$27,Quesería!$B$28,Quesería!$B$29)</f>
        <v>0.1</v>
      </c>
      <c r="O21" s="79" t="s">
        <v>1019</v>
      </c>
      <c r="P21" s="81" t="s">
        <v>1016</v>
      </c>
    </row>
    <row r="22" customFormat="false" ht="15" hidden="false" customHeight="false" outlineLevel="0" collapsed="false">
      <c r="A22" s="6" t="s">
        <v>1020</v>
      </c>
      <c r="B22" s="77" t="s">
        <v>1021</v>
      </c>
      <c r="C22" s="53" t="n">
        <v>1</v>
      </c>
      <c r="D22" s="9" t="s">
        <v>1013</v>
      </c>
      <c r="E22" s="74" t="n">
        <v>2</v>
      </c>
      <c r="F22" s="78" t="n">
        <v>436.59</v>
      </c>
      <c r="G22" s="6" t="s">
        <v>940</v>
      </c>
      <c r="H22" s="53" t="n">
        <v>2</v>
      </c>
      <c r="I22" s="53" t="n">
        <v>1</v>
      </c>
      <c r="J22" s="25" t="n">
        <f aca="false">E22*F22*$C$6/1000000*(1+(H22=1)*$C$9+(H22=2)*$C$11)*(1+I22*$C$10)</f>
        <v>3.661185542553</v>
      </c>
      <c r="K22" s="46" t="n">
        <v>1</v>
      </c>
      <c r="L22" s="28" t="s">
        <v>1014</v>
      </c>
      <c r="M22" s="53" t="n">
        <v>2</v>
      </c>
      <c r="N22" s="34" t="n">
        <f aca="false">CHOOSE(M22,Quesería!$B$26,Quesería!$B$27,Quesería!$B$28,Quesería!$B$29)</f>
        <v>0.1</v>
      </c>
      <c r="O22" s="79" t="s">
        <v>1019</v>
      </c>
      <c r="P22" s="81" t="s">
        <v>1016</v>
      </c>
    </row>
    <row r="23" customFormat="false" ht="15" hidden="false" customHeight="false" outlineLevel="0" collapsed="false">
      <c r="A23" s="6" t="s">
        <v>1022</v>
      </c>
      <c r="B23" s="77" t="s">
        <v>1023</v>
      </c>
      <c r="C23" s="53" t="n">
        <v>1</v>
      </c>
      <c r="D23" s="9" t="s">
        <v>1013</v>
      </c>
      <c r="E23" s="74" t="n">
        <v>2</v>
      </c>
      <c r="F23" s="78" t="n">
        <v>480</v>
      </c>
      <c r="G23" s="6" t="s">
        <v>940</v>
      </c>
      <c r="H23" s="53" t="n">
        <v>2</v>
      </c>
      <c r="I23" s="53" t="n">
        <v>1</v>
      </c>
      <c r="J23" s="25" t="n">
        <f aca="false">E23*F23*$C$6/1000000*(1+(H23=1)*$C$9+(H23=2)*$C$11)*(1+I23*$C$10)</f>
        <v>4.025216016</v>
      </c>
      <c r="K23" s="46" t="n">
        <v>1</v>
      </c>
      <c r="L23" s="28" t="s">
        <v>1014</v>
      </c>
      <c r="M23" s="53" t="n">
        <v>3</v>
      </c>
      <c r="N23" s="34" t="n">
        <f aca="false">CHOOSE(M23,Quesería!$B$26,Quesería!$B$27,Quesería!$B$28,Quesería!$B$29)</f>
        <v>0.15</v>
      </c>
      <c r="O23" s="79" t="s">
        <v>1024</v>
      </c>
      <c r="P23" s="81" t="s">
        <v>1016</v>
      </c>
    </row>
    <row r="24" customFormat="false" ht="23.85" hidden="false" customHeight="false" outlineLevel="0" collapsed="false">
      <c r="A24" s="6" t="s">
        <v>1025</v>
      </c>
      <c r="B24" s="77" t="s">
        <v>1026</v>
      </c>
      <c r="C24" s="53" t="n">
        <v>1</v>
      </c>
      <c r="D24" s="9" t="s">
        <v>1013</v>
      </c>
      <c r="E24" s="74" t="n">
        <v>2</v>
      </c>
      <c r="F24" s="78" t="n">
        <v>1218.22</v>
      </c>
      <c r="G24" s="6" t="s">
        <v>940</v>
      </c>
      <c r="H24" s="53" t="n">
        <v>2</v>
      </c>
      <c r="I24" s="53" t="n">
        <v>1</v>
      </c>
      <c r="J24" s="25" t="n">
        <f aca="false">E24*F24*$C$6/1000000*(1+(H24=1)*$C$9+(H24=2)*$C$11)*(1+I24*$C$10)</f>
        <v>10.215830531274</v>
      </c>
      <c r="K24" s="46" t="n">
        <v>1</v>
      </c>
      <c r="L24" s="28" t="s">
        <v>1014</v>
      </c>
      <c r="M24" s="53" t="n">
        <v>2</v>
      </c>
      <c r="N24" s="34" t="n">
        <f aca="false">CHOOSE(M24,Quesería!$B$26,Quesería!$B$27,Quesería!$B$28,Quesería!$B$29)</f>
        <v>0.1</v>
      </c>
      <c r="O24" s="79" t="s">
        <v>1027</v>
      </c>
      <c r="P24" s="81" t="s">
        <v>1016</v>
      </c>
    </row>
    <row r="25" customFormat="false" ht="15" hidden="false" customHeight="false" outlineLevel="0" collapsed="false">
      <c r="A25" s="6" t="s">
        <v>1028</v>
      </c>
      <c r="B25" s="77" t="s">
        <v>1029</v>
      </c>
      <c r="C25" s="53" t="n">
        <v>1</v>
      </c>
      <c r="D25" s="9" t="s">
        <v>1013</v>
      </c>
      <c r="E25" s="74" t="n">
        <v>2</v>
      </c>
      <c r="F25" s="78" t="n">
        <v>2500</v>
      </c>
      <c r="G25" s="6" t="s">
        <v>940</v>
      </c>
      <c r="H25" s="53" t="n">
        <v>2</v>
      </c>
      <c r="I25" s="53" t="n">
        <v>1</v>
      </c>
      <c r="J25" s="25" t="n">
        <f aca="false">E25*F25*$C$6/1000000*(1+(H25=1)*$C$9+(H25=2)*$C$11)*(1+I25*$C$10)</f>
        <v>20.96466675</v>
      </c>
      <c r="K25" s="46" t="n">
        <v>1</v>
      </c>
      <c r="L25" s="28" t="s">
        <v>1014</v>
      </c>
      <c r="M25" s="53" t="n">
        <v>4</v>
      </c>
      <c r="N25" s="34" t="n">
        <f aca="false">CHOOSE(M25,Quesería!$B$26,Quesería!$B$27,Quesería!$B$28,Quesería!$B$29)</f>
        <v>0.25</v>
      </c>
      <c r="O25" s="79" t="s">
        <v>998</v>
      </c>
      <c r="P25" s="81" t="s">
        <v>1016</v>
      </c>
    </row>
    <row r="26" customFormat="false" ht="23.85" hidden="false" customHeight="false" outlineLevel="0" collapsed="false">
      <c r="A26" s="6" t="s">
        <v>1030</v>
      </c>
      <c r="B26" s="77" t="s">
        <v>1031</v>
      </c>
      <c r="C26" s="53" t="n">
        <v>1</v>
      </c>
      <c r="D26" s="9" t="s">
        <v>1013</v>
      </c>
      <c r="E26" s="74" t="n">
        <v>2</v>
      </c>
      <c r="F26" s="78" t="n">
        <v>1850</v>
      </c>
      <c r="G26" s="6" t="s">
        <v>940</v>
      </c>
      <c r="H26" s="53" t="n">
        <v>2</v>
      </c>
      <c r="I26" s="53" t="n">
        <v>1</v>
      </c>
      <c r="J26" s="25" t="n">
        <f aca="false">E26*F26*$C$6/1000000*(1+(H26=1)*$C$9+(H26=2)*$C$11)*(1+I26*$C$10)</f>
        <v>15.513853395</v>
      </c>
      <c r="K26" s="46" t="n">
        <v>1</v>
      </c>
      <c r="L26" s="28" t="s">
        <v>1014</v>
      </c>
      <c r="M26" s="53" t="n">
        <v>3</v>
      </c>
      <c r="N26" s="34" t="n">
        <f aca="false">CHOOSE(M26,Quesería!$B$26,Quesería!$B$27,Quesería!$B$28,Quesería!$B$29)</f>
        <v>0.15</v>
      </c>
      <c r="O26" s="79" t="s">
        <v>1032</v>
      </c>
      <c r="P26" s="81" t="s">
        <v>1016</v>
      </c>
    </row>
    <row r="27" customFormat="false" ht="23.85" hidden="false" customHeight="false" outlineLevel="0" collapsed="false">
      <c r="A27" s="6" t="s">
        <v>1033</v>
      </c>
      <c r="B27" s="77" t="s">
        <v>1034</v>
      </c>
      <c r="C27" s="53" t="n">
        <v>1</v>
      </c>
      <c r="D27" s="9" t="s">
        <v>1013</v>
      </c>
      <c r="E27" s="74" t="n">
        <v>2</v>
      </c>
      <c r="F27" s="78" t="n">
        <v>6000</v>
      </c>
      <c r="G27" s="6" t="s">
        <v>940</v>
      </c>
      <c r="H27" s="53" t="n">
        <v>1</v>
      </c>
      <c r="I27" s="53" t="n">
        <v>1</v>
      </c>
      <c r="J27" s="25" t="n">
        <f aca="false">E27*F27*$C$6/1000000*(1+(H27=1)*$C$9+(H27=2)*$C$11)*(1+I27*$C$10)</f>
        <v>56.8780524</v>
      </c>
      <c r="K27" s="46" t="n">
        <v>1</v>
      </c>
      <c r="L27" s="28" t="s">
        <v>1014</v>
      </c>
      <c r="M27" s="53" t="n">
        <v>4</v>
      </c>
      <c r="N27" s="34" t="n">
        <f aca="false">CHOOSE(M27,Quesería!$B$26,Quesería!$B$27,Quesería!$B$28,Quesería!$B$29)</f>
        <v>0.25</v>
      </c>
      <c r="O27" s="79" t="s">
        <v>1035</v>
      </c>
      <c r="P27" s="81" t="s">
        <v>1016</v>
      </c>
    </row>
    <row r="28" customFormat="false" ht="23.85" hidden="false" customHeight="false" outlineLevel="0" collapsed="false">
      <c r="A28" s="6" t="s">
        <v>1036</v>
      </c>
      <c r="B28" s="77" t="s">
        <v>1037</v>
      </c>
      <c r="C28" s="53" t="n">
        <v>1</v>
      </c>
      <c r="D28" s="9" t="s">
        <v>1013</v>
      </c>
      <c r="E28" s="74" t="n">
        <v>3</v>
      </c>
      <c r="F28" s="78" t="n">
        <v>1421</v>
      </c>
      <c r="G28" s="6" t="s">
        <v>1038</v>
      </c>
      <c r="H28" s="53" t="n">
        <v>2</v>
      </c>
      <c r="I28" s="53" t="n">
        <v>1</v>
      </c>
      <c r="J28" s="25" t="n">
        <f aca="false">E28*F28*$C$8/1000000*(1+(H28=1)*$C$9+(H28=2)*$C$11)*(1+I28*$C$10)</f>
        <v>23.7730515784965</v>
      </c>
      <c r="K28" s="46" t="n">
        <v>1</v>
      </c>
      <c r="L28" s="28" t="s">
        <v>1014</v>
      </c>
      <c r="M28" s="53" t="n">
        <v>2</v>
      </c>
      <c r="N28" s="34" t="n">
        <f aca="false">CHOOSE(M28,Quesería!$B$26,Quesería!$B$27,Quesería!$B$28,Quesería!$B$29)</f>
        <v>0.1</v>
      </c>
      <c r="O28" s="79" t="s">
        <v>1039</v>
      </c>
      <c r="P28" s="81" t="s">
        <v>1016</v>
      </c>
    </row>
    <row r="29" customFormat="false" ht="15" hidden="false" customHeight="false" outlineLevel="0" collapsed="false">
      <c r="A29" s="6" t="s">
        <v>1040</v>
      </c>
      <c r="B29" s="77" t="s">
        <v>1041</v>
      </c>
      <c r="C29" s="53" t="n">
        <v>1</v>
      </c>
      <c r="D29" s="9" t="s">
        <v>1013</v>
      </c>
      <c r="E29" s="74" t="n">
        <v>6</v>
      </c>
      <c r="F29" s="78" t="n">
        <v>300</v>
      </c>
      <c r="G29" s="6" t="s">
        <v>940</v>
      </c>
      <c r="H29" s="53" t="n">
        <v>2</v>
      </c>
      <c r="I29" s="53" t="n">
        <v>1</v>
      </c>
      <c r="J29" s="25" t="n">
        <f aca="false">E29*F29*$C$6/1000000*(1+(H29=1)*$C$9+(H29=2)*$C$11)*(1+I29*$C$10)</f>
        <v>7.54728003</v>
      </c>
      <c r="K29" s="46" t="n">
        <v>1</v>
      </c>
      <c r="L29" s="28" t="s">
        <v>1014</v>
      </c>
      <c r="M29" s="53" t="n">
        <v>4</v>
      </c>
      <c r="N29" s="34" t="n">
        <f aca="false">CHOOSE(M29,Quesería!$B$26,Quesería!$B$27,Quesería!$B$28,Quesería!$B$29)</f>
        <v>0.25</v>
      </c>
      <c r="O29" s="79" t="s">
        <v>998</v>
      </c>
      <c r="P29" s="81" t="s">
        <v>1016</v>
      </c>
    </row>
    <row r="30" customFormat="false" ht="15" hidden="false" customHeight="false" outlineLevel="0" collapsed="false">
      <c r="A30" s="6" t="s">
        <v>1042</v>
      </c>
      <c r="B30" s="77" t="s">
        <v>1043</v>
      </c>
      <c r="C30" s="53" t="n">
        <v>1</v>
      </c>
      <c r="D30" s="9" t="s">
        <v>1013</v>
      </c>
      <c r="E30" s="74" t="n">
        <v>1</v>
      </c>
      <c r="F30" s="78" t="n">
        <v>1500</v>
      </c>
      <c r="G30" s="6" t="s">
        <v>940</v>
      </c>
      <c r="H30" s="53" t="n">
        <v>2</v>
      </c>
      <c r="I30" s="53" t="n">
        <v>1</v>
      </c>
      <c r="J30" s="25" t="n">
        <f aca="false">E30*F30*$C$6/1000000*(1+(H30=1)*$C$9+(H30=2)*$C$11)*(1+I30*$C$10)</f>
        <v>6.289400025</v>
      </c>
      <c r="K30" s="46" t="n">
        <v>1</v>
      </c>
      <c r="L30" s="28" t="s">
        <v>1014</v>
      </c>
      <c r="M30" s="53" t="n">
        <v>4</v>
      </c>
      <c r="N30" s="34" t="n">
        <f aca="false">CHOOSE(M30,Quesería!$B$26,Quesería!$B$27,Quesería!$B$28,Quesería!$B$29)</f>
        <v>0.25</v>
      </c>
      <c r="O30" s="79" t="s">
        <v>998</v>
      </c>
      <c r="P30" s="81" t="s">
        <v>1016</v>
      </c>
    </row>
    <row r="31" customFormat="false" ht="15" hidden="false" customHeight="false" outlineLevel="0" collapsed="false">
      <c r="A31" s="6" t="s">
        <v>1044</v>
      </c>
      <c r="B31" s="77" t="s">
        <v>1045</v>
      </c>
      <c r="C31" s="53" t="n">
        <v>1</v>
      </c>
      <c r="D31" s="9" t="s">
        <v>1013</v>
      </c>
      <c r="E31" s="74" t="n">
        <v>1</v>
      </c>
      <c r="F31" s="78" t="n">
        <v>1200</v>
      </c>
      <c r="G31" s="6" t="s">
        <v>940</v>
      </c>
      <c r="H31" s="53" t="n">
        <v>2</v>
      </c>
      <c r="I31" s="53" t="n">
        <v>0</v>
      </c>
      <c r="J31" s="25" t="n">
        <f aca="false">E31*F31*$C$6/1000000*(1+(H31=1)*$C$9+(H31=2)*$C$11)*(1+I31*$C$10)</f>
        <v>4.3752348</v>
      </c>
      <c r="K31" s="46" t="n">
        <v>1</v>
      </c>
      <c r="L31" s="28" t="s">
        <v>1014</v>
      </c>
      <c r="M31" s="53" t="n">
        <v>4</v>
      </c>
      <c r="N31" s="34" t="n">
        <f aca="false">CHOOSE(M31,Quesería!$B$26,Quesería!$B$27,Quesería!$B$28,Quesería!$B$29)</f>
        <v>0.25</v>
      </c>
      <c r="O31" s="79" t="s">
        <v>998</v>
      </c>
      <c r="P31" s="81" t="s">
        <v>1016</v>
      </c>
    </row>
    <row r="32" customFormat="false" ht="15" hidden="false" customHeight="false" outlineLevel="0" collapsed="false">
      <c r="A32" s="6" t="s">
        <v>1046</v>
      </c>
      <c r="B32" s="77" t="s">
        <v>1047</v>
      </c>
      <c r="C32" s="53" t="n">
        <v>1</v>
      </c>
      <c r="D32" s="9" t="s">
        <v>1013</v>
      </c>
      <c r="E32" s="74" t="n">
        <v>1</v>
      </c>
      <c r="F32" s="78" t="n">
        <v>2199.99</v>
      </c>
      <c r="G32" s="6" t="s">
        <v>940</v>
      </c>
      <c r="H32" s="53" t="n">
        <v>2</v>
      </c>
      <c r="I32" s="53" t="n">
        <v>1</v>
      </c>
      <c r="J32" s="25" t="n">
        <f aca="false">E32*F32*$C$6/1000000*(1+(H32=1)*$C$9+(H32=2)*$C$11)*(1+I32*$C$10)</f>
        <v>9.2244114406665</v>
      </c>
      <c r="K32" s="46" t="n">
        <v>1</v>
      </c>
      <c r="L32" s="28" t="s">
        <v>1048</v>
      </c>
      <c r="M32" s="53" t="n">
        <v>3</v>
      </c>
      <c r="N32" s="34" t="n">
        <f aca="false">CHOOSE(M32,Quesería!$B$26,Quesería!$B$27,Quesería!$B$28,Quesería!$B$29)</f>
        <v>0.15</v>
      </c>
      <c r="O32" s="79" t="s">
        <v>1049</v>
      </c>
      <c r="P32" s="81" t="s">
        <v>1016</v>
      </c>
    </row>
    <row r="33" customFormat="false" ht="15" hidden="false" customHeight="false" outlineLevel="0" collapsed="false">
      <c r="A33" s="6" t="s">
        <v>1050</v>
      </c>
      <c r="B33" s="77" t="s">
        <v>1051</v>
      </c>
      <c r="C33" s="53" t="n">
        <v>1</v>
      </c>
      <c r="D33" s="9" t="s">
        <v>1013</v>
      </c>
      <c r="E33" s="74" t="n">
        <v>3</v>
      </c>
      <c r="F33" s="78" t="n">
        <v>449.99</v>
      </c>
      <c r="G33" s="6" t="s">
        <v>940</v>
      </c>
      <c r="H33" s="53" t="n">
        <v>2</v>
      </c>
      <c r="I33" s="53" t="n">
        <v>1</v>
      </c>
      <c r="J33" s="25" t="n">
        <f aca="false">E33*F33*$C$6/1000000*(1+(H33=1)*$C$9+(H33=2)*$C$11)*(1+I33*$C$10)</f>
        <v>5.6603342344995</v>
      </c>
      <c r="K33" s="46" t="n">
        <v>1</v>
      </c>
      <c r="L33" s="28" t="s">
        <v>1048</v>
      </c>
      <c r="M33" s="53" t="n">
        <v>3</v>
      </c>
      <c r="N33" s="34" t="n">
        <f aca="false">CHOOSE(M33,Quesería!$B$26,Quesería!$B$27,Quesería!$B$28,Quesería!$B$29)</f>
        <v>0.15</v>
      </c>
      <c r="O33" s="79" t="s">
        <v>1052</v>
      </c>
      <c r="P33" s="81" t="s">
        <v>1016</v>
      </c>
    </row>
    <row r="34" customFormat="false" ht="15" hidden="false" customHeight="false" outlineLevel="0" collapsed="false">
      <c r="A34" s="6" t="s">
        <v>1053</v>
      </c>
      <c r="B34" s="77" t="s">
        <v>1054</v>
      </c>
      <c r="C34" s="53" t="n">
        <v>1</v>
      </c>
      <c r="D34" s="9" t="s">
        <v>1013</v>
      </c>
      <c r="E34" s="74" t="n">
        <v>2</v>
      </c>
      <c r="F34" s="78" t="n">
        <v>600</v>
      </c>
      <c r="G34" s="6" t="s">
        <v>940</v>
      </c>
      <c r="H34" s="53" t="n">
        <v>2</v>
      </c>
      <c r="I34" s="53" t="n">
        <v>1</v>
      </c>
      <c r="J34" s="25" t="n">
        <f aca="false">E34*F34*$C$6/1000000*(1+(H34=1)*$C$9+(H34=2)*$C$11)*(1+I34*$C$10)</f>
        <v>5.03152002</v>
      </c>
      <c r="K34" s="46" t="n">
        <v>1</v>
      </c>
      <c r="L34" s="28" t="s">
        <v>1048</v>
      </c>
      <c r="M34" s="53" t="n">
        <v>4</v>
      </c>
      <c r="N34" s="34" t="n">
        <f aca="false">CHOOSE(M34,Quesería!$B$26,Quesería!$B$27,Quesería!$B$28,Quesería!$B$29)</f>
        <v>0.25</v>
      </c>
      <c r="O34" s="79" t="s">
        <v>998</v>
      </c>
      <c r="P34" s="81" t="s">
        <v>1016</v>
      </c>
    </row>
    <row r="35" customFormat="false" ht="15" hidden="false" customHeight="false" outlineLevel="0" collapsed="false">
      <c r="A35" s="6" t="s">
        <v>1055</v>
      </c>
      <c r="B35" s="77" t="s">
        <v>1056</v>
      </c>
      <c r="C35" s="53" t="n">
        <v>1</v>
      </c>
      <c r="D35" s="9" t="s">
        <v>1013</v>
      </c>
      <c r="E35" s="74" t="n">
        <v>2</v>
      </c>
      <c r="F35" s="78" t="n">
        <v>419.99</v>
      </c>
      <c r="G35" s="6" t="s">
        <v>940</v>
      </c>
      <c r="H35" s="53" t="n">
        <v>2</v>
      </c>
      <c r="I35" s="53" t="n">
        <v>1</v>
      </c>
      <c r="J35" s="25" t="n">
        <f aca="false">E35*F35*$C$6/1000000*(1+(H35=1)*$C$9+(H35=2)*$C$11)*(1+I35*$C$10)</f>
        <v>3.521980155333</v>
      </c>
      <c r="K35" s="46" t="n">
        <v>1</v>
      </c>
      <c r="L35" s="28" t="s">
        <v>1048</v>
      </c>
      <c r="M35" s="53" t="n">
        <v>2</v>
      </c>
      <c r="N35" s="34" t="n">
        <f aca="false">CHOOSE(M35,Quesería!$B$26,Quesería!$B$27,Quesería!$B$28,Quesería!$B$29)</f>
        <v>0.1</v>
      </c>
      <c r="O35" s="79" t="s">
        <v>1057</v>
      </c>
      <c r="P35" s="81" t="s">
        <v>1016</v>
      </c>
    </row>
    <row r="36" customFormat="false" ht="15" hidden="false" customHeight="false" outlineLevel="0" collapsed="false">
      <c r="A36" s="6" t="s">
        <v>1058</v>
      </c>
      <c r="B36" s="77" t="s">
        <v>1059</v>
      </c>
      <c r="C36" s="53" t="n">
        <v>1</v>
      </c>
      <c r="D36" s="9" t="s">
        <v>1013</v>
      </c>
      <c r="E36" s="74" t="n">
        <v>2</v>
      </c>
      <c r="F36" s="78" t="n">
        <v>450</v>
      </c>
      <c r="G36" s="6" t="s">
        <v>940</v>
      </c>
      <c r="H36" s="53" t="n">
        <v>2</v>
      </c>
      <c r="I36" s="53" t="n">
        <v>1</v>
      </c>
      <c r="J36" s="25" t="n">
        <f aca="false">E36*F36*$C$6/1000000*(1+(H36=1)*$C$9+(H36=2)*$C$11)*(1+I36*$C$10)</f>
        <v>3.773640015</v>
      </c>
      <c r="K36" s="46" t="n">
        <v>1</v>
      </c>
      <c r="L36" s="28" t="s">
        <v>1048</v>
      </c>
      <c r="M36" s="53" t="n">
        <v>4</v>
      </c>
      <c r="N36" s="34" t="n">
        <f aca="false">CHOOSE(M36,Quesería!$B$26,Quesería!$B$27,Quesería!$B$28,Quesería!$B$29)</f>
        <v>0.25</v>
      </c>
      <c r="O36" s="79" t="s">
        <v>998</v>
      </c>
      <c r="P36" s="81" t="s">
        <v>1016</v>
      </c>
    </row>
    <row r="37" customFormat="false" ht="15" hidden="false" customHeight="false" outlineLevel="0" collapsed="false">
      <c r="A37" s="6" t="s">
        <v>1060</v>
      </c>
      <c r="B37" s="77" t="s">
        <v>1061</v>
      </c>
      <c r="C37" s="53" t="n">
        <v>1</v>
      </c>
      <c r="D37" s="9" t="s">
        <v>1013</v>
      </c>
      <c r="E37" s="74" t="n">
        <v>1</v>
      </c>
      <c r="F37" s="78" t="n">
        <v>400</v>
      </c>
      <c r="G37" s="6" t="s">
        <v>940</v>
      </c>
      <c r="H37" s="53" t="n">
        <v>2</v>
      </c>
      <c r="I37" s="53" t="n">
        <v>1</v>
      </c>
      <c r="J37" s="25" t="n">
        <f aca="false">E37*F37*$C$6/1000000*(1+(H37=1)*$C$9+(H37=2)*$C$11)*(1+I37*$C$10)</f>
        <v>1.67717334</v>
      </c>
      <c r="K37" s="46" t="n">
        <v>1</v>
      </c>
      <c r="L37" s="28" t="s">
        <v>1048</v>
      </c>
      <c r="M37" s="53" t="n">
        <v>4</v>
      </c>
      <c r="N37" s="34" t="n">
        <f aca="false">CHOOSE(M37,Quesería!$B$26,Quesería!$B$27,Quesería!$B$28,Quesería!$B$29)</f>
        <v>0.25</v>
      </c>
      <c r="O37" s="79" t="s">
        <v>998</v>
      </c>
      <c r="P37" s="81" t="s">
        <v>1016</v>
      </c>
    </row>
    <row r="38" customFormat="false" ht="23.85" hidden="false" customHeight="false" outlineLevel="0" collapsed="false">
      <c r="A38" s="6" t="s">
        <v>1062</v>
      </c>
      <c r="B38" s="77" t="s">
        <v>1063</v>
      </c>
      <c r="C38" s="53" t="n">
        <v>1</v>
      </c>
      <c r="D38" s="9" t="s">
        <v>1013</v>
      </c>
      <c r="E38" s="74" t="n">
        <v>1</v>
      </c>
      <c r="F38" s="74" t="n">
        <v>25000000</v>
      </c>
      <c r="G38" s="6" t="s">
        <v>1003</v>
      </c>
      <c r="H38" s="53" t="n">
        <v>0</v>
      </c>
      <c r="I38" s="53" t="n">
        <v>1</v>
      </c>
      <c r="J38" s="25" t="n">
        <f aca="false">E38*F38*1/1000000*(1+(H38=1)*$C$9+(H38=2)*$C$11)*(1+I38*$C$10)</f>
        <v>28.75</v>
      </c>
      <c r="K38" s="46" t="n">
        <v>1</v>
      </c>
      <c r="L38" s="28" t="s">
        <v>1014</v>
      </c>
      <c r="M38" s="53" t="n">
        <v>4</v>
      </c>
      <c r="N38" s="34" t="n">
        <f aca="false">CHOOSE(M38,Quesería!$B$26,Quesería!$B$27,Quesería!$B$28,Quesería!$B$29)</f>
        <v>0.25</v>
      </c>
      <c r="O38" s="79" t="s">
        <v>1064</v>
      </c>
      <c r="P38" s="81" t="s">
        <v>1016</v>
      </c>
    </row>
    <row r="39" customFormat="false" ht="15" hidden="false" customHeight="false" outlineLevel="0" collapsed="false">
      <c r="A39" s="6" t="s">
        <v>1065</v>
      </c>
      <c r="B39" s="77" t="s">
        <v>1012</v>
      </c>
      <c r="C39" s="53" t="n">
        <v>1</v>
      </c>
      <c r="D39" s="9" t="s">
        <v>1066</v>
      </c>
      <c r="E39" s="74" t="n">
        <v>1</v>
      </c>
      <c r="F39" s="78" t="n">
        <v>4816.4</v>
      </c>
      <c r="G39" s="6" t="s">
        <v>940</v>
      </c>
      <c r="H39" s="53" t="n">
        <v>2</v>
      </c>
      <c r="I39" s="53" t="n">
        <v>1</v>
      </c>
      <c r="J39" s="25" t="n">
        <f aca="false">E39*F39*$C$6/1000000*(1+(H39=1)*$C$9+(H39=2)*$C$11)*(1+I39*$C$10)</f>
        <v>20.19484418694</v>
      </c>
      <c r="K39" s="46" t="n">
        <v>1</v>
      </c>
      <c r="L39" s="28" t="s">
        <v>1014</v>
      </c>
      <c r="M39" s="53" t="n">
        <v>2</v>
      </c>
      <c r="N39" s="34" t="n">
        <f aca="false">CHOOSE(M39,Quesería!$B$26,Quesería!$B$27,Quesería!$B$28,Quesería!$B$29)</f>
        <v>0.1</v>
      </c>
      <c r="O39" s="79" t="s">
        <v>1067</v>
      </c>
      <c r="P39" s="81" t="s">
        <v>1068</v>
      </c>
    </row>
    <row r="40" customFormat="false" ht="15" hidden="false" customHeight="false" outlineLevel="0" collapsed="false">
      <c r="A40" s="6" t="s">
        <v>1069</v>
      </c>
      <c r="B40" s="77" t="s">
        <v>1018</v>
      </c>
      <c r="C40" s="53" t="n">
        <v>1</v>
      </c>
      <c r="D40" s="9" t="s">
        <v>1066</v>
      </c>
      <c r="E40" s="74" t="n">
        <v>1</v>
      </c>
      <c r="F40" s="78" t="n">
        <v>1936.25</v>
      </c>
      <c r="G40" s="6" t="s">
        <v>940</v>
      </c>
      <c r="H40" s="53" t="n">
        <v>2</v>
      </c>
      <c r="I40" s="53" t="n">
        <v>1</v>
      </c>
      <c r="J40" s="25" t="n">
        <f aca="false">E40*F40*$C$6/1000000*(1+(H40=1)*$C$9+(H40=2)*$C$11)*(1+I40*$C$10)</f>
        <v>8.1185671989375</v>
      </c>
      <c r="K40" s="46" t="n">
        <v>1</v>
      </c>
      <c r="L40" s="28" t="s">
        <v>1014</v>
      </c>
      <c r="M40" s="53" t="n">
        <v>2</v>
      </c>
      <c r="N40" s="34" t="n">
        <f aca="false">CHOOSE(M40,Quesería!$B$26,Quesería!$B$27,Quesería!$B$28,Quesería!$B$29)</f>
        <v>0.1</v>
      </c>
      <c r="O40" s="79" t="s">
        <v>1067</v>
      </c>
      <c r="P40" s="81" t="s">
        <v>1068</v>
      </c>
    </row>
    <row r="41" customFormat="false" ht="15" hidden="false" customHeight="false" outlineLevel="0" collapsed="false">
      <c r="A41" s="6" t="s">
        <v>1070</v>
      </c>
      <c r="B41" s="77" t="s">
        <v>1071</v>
      </c>
      <c r="C41" s="53" t="n">
        <v>1</v>
      </c>
      <c r="D41" s="9" t="s">
        <v>1066</v>
      </c>
      <c r="E41" s="74" t="n">
        <v>1</v>
      </c>
      <c r="F41" s="78" t="n">
        <v>436.59</v>
      </c>
      <c r="G41" s="6" t="s">
        <v>940</v>
      </c>
      <c r="H41" s="53" t="n">
        <v>2</v>
      </c>
      <c r="I41" s="53" t="n">
        <v>1</v>
      </c>
      <c r="J41" s="25" t="n">
        <f aca="false">E41*F41*$C$6/1000000*(1+(H41=1)*$C$9+(H41=2)*$C$11)*(1+I41*$C$10)</f>
        <v>1.8305927712765</v>
      </c>
      <c r="K41" s="46" t="n">
        <v>1</v>
      </c>
      <c r="L41" s="28" t="s">
        <v>1014</v>
      </c>
      <c r="M41" s="53" t="n">
        <v>2</v>
      </c>
      <c r="N41" s="34" t="n">
        <f aca="false">CHOOSE(M41,Quesería!$B$26,Quesería!$B$27,Quesería!$B$28,Quesería!$B$29)</f>
        <v>0.1</v>
      </c>
      <c r="O41" s="79" t="s">
        <v>1067</v>
      </c>
      <c r="P41" s="81" t="s">
        <v>1068</v>
      </c>
    </row>
    <row r="42" customFormat="false" ht="15" hidden="false" customHeight="false" outlineLevel="0" collapsed="false">
      <c r="A42" s="6" t="s">
        <v>1072</v>
      </c>
      <c r="B42" s="77" t="s">
        <v>1073</v>
      </c>
      <c r="C42" s="53" t="n">
        <v>1</v>
      </c>
      <c r="D42" s="9" t="s">
        <v>1066</v>
      </c>
      <c r="E42" s="74" t="n">
        <v>1</v>
      </c>
      <c r="F42" s="78" t="n">
        <v>480</v>
      </c>
      <c r="G42" s="6" t="s">
        <v>940</v>
      </c>
      <c r="H42" s="53" t="n">
        <v>2</v>
      </c>
      <c r="I42" s="53" t="n">
        <v>1</v>
      </c>
      <c r="J42" s="25" t="n">
        <f aca="false">E42*F42*$C$6/1000000*(1+(H42=1)*$C$9+(H42=2)*$C$11)*(1+I42*$C$10)</f>
        <v>2.012608008</v>
      </c>
      <c r="K42" s="46" t="n">
        <v>1</v>
      </c>
      <c r="L42" s="28" t="s">
        <v>1014</v>
      </c>
      <c r="M42" s="53" t="n">
        <v>3</v>
      </c>
      <c r="N42" s="34" t="n">
        <f aca="false">CHOOSE(M42,Quesería!$B$26,Quesería!$B$27,Quesería!$B$28,Quesería!$B$29)</f>
        <v>0.15</v>
      </c>
      <c r="O42" s="79" t="s">
        <v>1074</v>
      </c>
      <c r="P42" s="81" t="s">
        <v>1068</v>
      </c>
    </row>
    <row r="43" customFormat="false" ht="15" hidden="false" customHeight="false" outlineLevel="0" collapsed="false">
      <c r="A43" s="6" t="s">
        <v>1075</v>
      </c>
      <c r="B43" s="77" t="s">
        <v>1076</v>
      </c>
      <c r="C43" s="53" t="n">
        <v>1</v>
      </c>
      <c r="D43" s="9" t="s">
        <v>1066</v>
      </c>
      <c r="E43" s="74" t="n">
        <v>1</v>
      </c>
      <c r="F43" s="78" t="n">
        <v>1218.22</v>
      </c>
      <c r="G43" s="6" t="s">
        <v>940</v>
      </c>
      <c r="H43" s="53" t="n">
        <v>2</v>
      </c>
      <c r="I43" s="53" t="n">
        <v>1</v>
      </c>
      <c r="J43" s="25" t="n">
        <f aca="false">E43*F43*$C$6/1000000*(1+(H43=1)*$C$9+(H43=2)*$C$11)*(1+I43*$C$10)</f>
        <v>5.107915265637</v>
      </c>
      <c r="K43" s="46" t="n">
        <v>1</v>
      </c>
      <c r="L43" s="28" t="s">
        <v>1014</v>
      </c>
      <c r="M43" s="53" t="n">
        <v>2</v>
      </c>
      <c r="N43" s="34" t="n">
        <f aca="false">CHOOSE(M43,Quesería!$B$26,Quesería!$B$27,Quesería!$B$28,Quesería!$B$29)</f>
        <v>0.1</v>
      </c>
      <c r="O43" s="79" t="s">
        <v>1077</v>
      </c>
      <c r="P43" s="81" t="s">
        <v>1068</v>
      </c>
    </row>
    <row r="44" customFormat="false" ht="15" hidden="false" customHeight="false" outlineLevel="0" collapsed="false">
      <c r="A44" s="6" t="s">
        <v>1078</v>
      </c>
      <c r="B44" s="77" t="s">
        <v>1079</v>
      </c>
      <c r="C44" s="53" t="n">
        <v>1</v>
      </c>
      <c r="D44" s="9" t="s">
        <v>1066</v>
      </c>
      <c r="E44" s="74" t="n">
        <v>1</v>
      </c>
      <c r="F44" s="78" t="n">
        <v>2500</v>
      </c>
      <c r="G44" s="6" t="s">
        <v>940</v>
      </c>
      <c r="H44" s="53" t="n">
        <v>2</v>
      </c>
      <c r="I44" s="53" t="n">
        <v>1</v>
      </c>
      <c r="J44" s="25" t="n">
        <f aca="false">E44*F44*$C$6/1000000*(1+(H44=1)*$C$9+(H44=2)*$C$11)*(1+I44*$C$10)</f>
        <v>10.482333375</v>
      </c>
      <c r="K44" s="46" t="n">
        <v>1</v>
      </c>
      <c r="L44" s="28" t="s">
        <v>1014</v>
      </c>
      <c r="M44" s="53" t="n">
        <v>4</v>
      </c>
      <c r="N44" s="34" t="n">
        <f aca="false">CHOOSE(M44,Quesería!$B$26,Quesería!$B$27,Quesería!$B$28,Quesería!$B$29)</f>
        <v>0.25</v>
      </c>
      <c r="O44" s="79" t="s">
        <v>998</v>
      </c>
      <c r="P44" s="81" t="s">
        <v>1068</v>
      </c>
    </row>
    <row r="45" customFormat="false" ht="15" hidden="false" customHeight="false" outlineLevel="0" collapsed="false">
      <c r="A45" s="6" t="s">
        <v>1080</v>
      </c>
      <c r="B45" s="77" t="s">
        <v>1081</v>
      </c>
      <c r="C45" s="53" t="n">
        <v>1</v>
      </c>
      <c r="D45" s="9" t="s">
        <v>1082</v>
      </c>
      <c r="E45" s="74" t="n">
        <v>1</v>
      </c>
      <c r="F45" s="80" t="n">
        <f aca="false">Cotizaciones!$B$13</f>
        <v>7000</v>
      </c>
      <c r="G45" s="6" t="s">
        <v>940</v>
      </c>
      <c r="H45" s="53" t="n">
        <v>1</v>
      </c>
      <c r="I45" s="53" t="n">
        <v>1</v>
      </c>
      <c r="J45" s="25" t="n">
        <f aca="false">E45*F45*$C$6/1000000*(1+(H45=1)*$C$9+(H45=2)*$C$11)*(1+I45*$C$10)</f>
        <v>33.1788639</v>
      </c>
      <c r="K45" s="46" t="n">
        <v>1</v>
      </c>
      <c r="L45" s="28" t="s">
        <v>1014</v>
      </c>
      <c r="M45" s="53" t="n">
        <v>2</v>
      </c>
      <c r="N45" s="34" t="n">
        <f aca="false">CHOOSE(M45,Quesería!$B$26,Quesería!$B$27,Quesería!$B$28,Quesería!$B$29)</f>
        <v>0.1</v>
      </c>
      <c r="O45" s="79" t="s">
        <v>868</v>
      </c>
      <c r="P45" s="81" t="s">
        <v>1080</v>
      </c>
    </row>
    <row r="46" customFormat="false" ht="15" hidden="false" customHeight="false" outlineLevel="0" collapsed="false">
      <c r="A46" s="6" t="s">
        <v>1083</v>
      </c>
      <c r="B46" s="77" t="s">
        <v>1084</v>
      </c>
      <c r="C46" s="53" t="n">
        <v>1</v>
      </c>
      <c r="D46" s="9" t="s">
        <v>1085</v>
      </c>
      <c r="E46" s="74" t="n">
        <v>1</v>
      </c>
      <c r="F46" s="78" t="n">
        <v>28000</v>
      </c>
      <c r="G46" s="6" t="s">
        <v>940</v>
      </c>
      <c r="H46" s="53" t="n">
        <v>2</v>
      </c>
      <c r="I46" s="53" t="n">
        <v>1</v>
      </c>
      <c r="J46" s="25" t="n">
        <f aca="false">E46*F46*$C$6/1000000*(1+(H46=1)*$C$9+(H46=2)*$C$11)*(1+I46*$C$10)</f>
        <v>117.4021338</v>
      </c>
      <c r="K46" s="34" t="n">
        <f aca="false">Quesería!$B$16</f>
        <v>0.36</v>
      </c>
      <c r="L46" s="28" t="s">
        <v>1014</v>
      </c>
      <c r="M46" s="53" t="n">
        <v>4</v>
      </c>
      <c r="N46" s="34" t="n">
        <f aca="false">CHOOSE(M46,Quesería!$B$26,Quesería!$B$27,Quesería!$B$28,Quesería!$B$29)</f>
        <v>0.25</v>
      </c>
      <c r="O46" s="79" t="s">
        <v>1086</v>
      </c>
      <c r="P46" s="81" t="s">
        <v>1087</v>
      </c>
    </row>
    <row r="47" customFormat="false" ht="15" hidden="false" customHeight="false" outlineLevel="0" collapsed="false">
      <c r="A47" s="6" t="s">
        <v>1088</v>
      </c>
      <c r="B47" s="77" t="s">
        <v>1089</v>
      </c>
      <c r="C47" s="53" t="n">
        <v>1</v>
      </c>
      <c r="D47" s="9" t="s">
        <v>1085</v>
      </c>
      <c r="E47" s="74" t="n">
        <v>1</v>
      </c>
      <c r="F47" s="78" t="n">
        <v>3000</v>
      </c>
      <c r="G47" s="6" t="s">
        <v>940</v>
      </c>
      <c r="H47" s="53" t="n">
        <v>2</v>
      </c>
      <c r="I47" s="53" t="n">
        <v>1</v>
      </c>
      <c r="J47" s="25" t="n">
        <f aca="false">E47*F47*$C$6/1000000*(1+(H47=1)*$C$9+(H47=2)*$C$11)*(1+I47*$C$10)</f>
        <v>12.57880005</v>
      </c>
      <c r="K47" s="34" t="n">
        <f aca="false">Quesería!$B$16</f>
        <v>0.36</v>
      </c>
      <c r="L47" s="28" t="s">
        <v>1014</v>
      </c>
      <c r="M47" s="53" t="n">
        <v>4</v>
      </c>
      <c r="N47" s="34" t="n">
        <f aca="false">CHOOSE(M47,Quesería!$B$26,Quesería!$B$27,Quesería!$B$28,Quesería!$B$29)</f>
        <v>0.25</v>
      </c>
      <c r="O47" s="79" t="s">
        <v>998</v>
      </c>
      <c r="P47" s="81" t="s">
        <v>1087</v>
      </c>
    </row>
    <row r="48" customFormat="false" ht="15" hidden="false" customHeight="false" outlineLevel="0" collapsed="false">
      <c r="A48" s="6" t="s">
        <v>1090</v>
      </c>
      <c r="B48" s="77" t="s">
        <v>1091</v>
      </c>
      <c r="C48" s="53" t="n">
        <v>1</v>
      </c>
      <c r="D48" s="9" t="s">
        <v>1092</v>
      </c>
      <c r="E48" s="74" t="n">
        <v>1</v>
      </c>
      <c r="F48" s="78" t="n">
        <v>1200</v>
      </c>
      <c r="G48" s="6" t="s">
        <v>940</v>
      </c>
      <c r="H48" s="53" t="n">
        <v>0</v>
      </c>
      <c r="I48" s="53" t="n">
        <v>0</v>
      </c>
      <c r="J48" s="25" t="n">
        <f aca="false">E48*F48*$C$6/1000000*(1+(H48=1)*$C$9+(H48=2)*$C$11)*(1+I48*$C$10)</f>
        <v>3.804552</v>
      </c>
      <c r="K48" s="34" t="n">
        <f aca="false">Quesería!$B$16</f>
        <v>0.36</v>
      </c>
      <c r="L48" s="28" t="s">
        <v>1093</v>
      </c>
      <c r="M48" s="53" t="n">
        <v>2</v>
      </c>
      <c r="N48" s="34" t="n">
        <f aca="false">CHOOSE(M48,Quesería!$B$26,Quesería!$B$27,Quesería!$B$28,Quesería!$B$29)</f>
        <v>0.1</v>
      </c>
      <c r="O48" s="79" t="s">
        <v>1094</v>
      </c>
      <c r="P48" s="81" t="s">
        <v>1095</v>
      </c>
    </row>
    <row r="49" customFormat="false" ht="15" hidden="false" customHeight="false" outlineLevel="0" collapsed="false">
      <c r="A49" s="6" t="s">
        <v>1096</v>
      </c>
      <c r="B49" s="77" t="s">
        <v>1097</v>
      </c>
      <c r="C49" s="53" t="n">
        <v>1</v>
      </c>
      <c r="D49" s="9" t="s">
        <v>1092</v>
      </c>
      <c r="E49" s="74" t="n">
        <v>1</v>
      </c>
      <c r="F49" s="78" t="n">
        <v>13500</v>
      </c>
      <c r="G49" s="6" t="s">
        <v>940</v>
      </c>
      <c r="H49" s="53" t="n">
        <v>0</v>
      </c>
      <c r="I49" s="53" t="n">
        <v>0</v>
      </c>
      <c r="J49" s="25" t="n">
        <f aca="false">E49*F49*$C$6/1000000*(1+(H49=1)*$C$9+(H49=2)*$C$11)*(1+I49*$C$10)</f>
        <v>42.80121</v>
      </c>
      <c r="K49" s="34" t="n">
        <f aca="false">Quesería!$B$16</f>
        <v>0.36</v>
      </c>
      <c r="L49" s="28" t="s">
        <v>1093</v>
      </c>
      <c r="M49" s="53" t="n">
        <v>2</v>
      </c>
      <c r="N49" s="34" t="n">
        <f aca="false">CHOOSE(M49,Quesería!$B$26,Quesería!$B$27,Quesería!$B$28,Quesería!$B$29)</f>
        <v>0.1</v>
      </c>
      <c r="O49" s="79" t="s">
        <v>1094</v>
      </c>
      <c r="P49" s="81" t="s">
        <v>1095</v>
      </c>
    </row>
    <row r="50" customFormat="false" ht="15" hidden="false" customHeight="false" outlineLevel="0" collapsed="false">
      <c r="A50" s="6" t="s">
        <v>1098</v>
      </c>
      <c r="B50" s="77" t="s">
        <v>1099</v>
      </c>
      <c r="C50" s="53" t="n">
        <v>1</v>
      </c>
      <c r="D50" s="9" t="s">
        <v>1092</v>
      </c>
      <c r="E50" s="74" t="n">
        <v>1</v>
      </c>
      <c r="F50" s="78" t="n">
        <v>3500</v>
      </c>
      <c r="G50" s="6" t="s">
        <v>940</v>
      </c>
      <c r="H50" s="53" t="n">
        <v>0</v>
      </c>
      <c r="I50" s="53" t="n">
        <v>0</v>
      </c>
      <c r="J50" s="25" t="n">
        <f aca="false">E50*F50*$C$6/1000000*(1+(H50=1)*$C$9+(H50=2)*$C$11)*(1+I50*$C$10)</f>
        <v>11.09661</v>
      </c>
      <c r="K50" s="34" t="n">
        <f aca="false">Quesería!$B$16</f>
        <v>0.36</v>
      </c>
      <c r="L50" s="28" t="s">
        <v>1093</v>
      </c>
      <c r="M50" s="53" t="n">
        <v>2</v>
      </c>
      <c r="N50" s="34" t="n">
        <f aca="false">CHOOSE(M50,Quesería!$B$26,Quesería!$B$27,Quesería!$B$28,Quesería!$B$29)</f>
        <v>0.1</v>
      </c>
      <c r="O50" s="79" t="s">
        <v>1094</v>
      </c>
      <c r="P50" s="81" t="s">
        <v>1095</v>
      </c>
    </row>
    <row r="51" customFormat="false" ht="23.85" hidden="false" customHeight="false" outlineLevel="0" collapsed="false">
      <c r="A51" s="6" t="s">
        <v>1100</v>
      </c>
      <c r="B51" s="77" t="s">
        <v>1101</v>
      </c>
      <c r="C51" s="53" t="n">
        <v>1</v>
      </c>
      <c r="D51" s="9" t="s">
        <v>1092</v>
      </c>
      <c r="E51" s="74" t="n">
        <v>1</v>
      </c>
      <c r="F51" s="78" t="n">
        <v>2500</v>
      </c>
      <c r="G51" s="6" t="s">
        <v>940</v>
      </c>
      <c r="H51" s="53" t="n">
        <v>2</v>
      </c>
      <c r="I51" s="53" t="n">
        <v>1</v>
      </c>
      <c r="J51" s="25" t="n">
        <f aca="false">E51*F51*$C$6/1000000*(1+(H51=1)*$C$9+(H51=2)*$C$11)*(1+I51*$C$10)</f>
        <v>10.482333375</v>
      </c>
      <c r="K51" s="34" t="n">
        <f aca="false">Quesería!$B$16</f>
        <v>0.36</v>
      </c>
      <c r="L51" s="28" t="s">
        <v>1102</v>
      </c>
      <c r="M51" s="53" t="n">
        <v>3</v>
      </c>
      <c r="N51" s="34" t="n">
        <f aca="false">CHOOSE(M51,Quesería!$B$26,Quesería!$B$27,Quesería!$B$28,Quesería!$B$29)</f>
        <v>0.15</v>
      </c>
      <c r="O51" s="79" t="s">
        <v>1103</v>
      </c>
      <c r="P51" s="81" t="s">
        <v>1095</v>
      </c>
    </row>
    <row r="52" customFormat="false" ht="15" hidden="false" customHeight="false" outlineLevel="0" collapsed="false">
      <c r="A52" s="6" t="s">
        <v>1104</v>
      </c>
      <c r="B52" s="77" t="s">
        <v>1105</v>
      </c>
      <c r="C52" s="53" t="n">
        <v>1</v>
      </c>
      <c r="D52" s="9" t="s">
        <v>1092</v>
      </c>
      <c r="E52" s="74" t="n">
        <v>2</v>
      </c>
      <c r="F52" s="78" t="n">
        <v>1200</v>
      </c>
      <c r="G52" s="6" t="s">
        <v>940</v>
      </c>
      <c r="H52" s="53" t="n">
        <v>2</v>
      </c>
      <c r="I52" s="53" t="n">
        <v>1</v>
      </c>
      <c r="J52" s="25" t="n">
        <f aca="false">E52*F52*$C$6/1000000*(1+(H52=1)*$C$9+(H52=2)*$C$11)*(1+I52*$C$10)</f>
        <v>10.06304004</v>
      </c>
      <c r="K52" s="34" t="n">
        <f aca="false">Quesería!$B$16</f>
        <v>0.36</v>
      </c>
      <c r="L52" s="28" t="s">
        <v>1102</v>
      </c>
      <c r="M52" s="53" t="n">
        <v>4</v>
      </c>
      <c r="N52" s="34" t="n">
        <f aca="false">CHOOSE(M52,Quesería!$B$26,Quesería!$B$27,Quesería!$B$28,Quesería!$B$29)</f>
        <v>0.25</v>
      </c>
      <c r="O52" s="79" t="s">
        <v>998</v>
      </c>
      <c r="P52" s="81" t="s">
        <v>1095</v>
      </c>
    </row>
    <row r="53" customFormat="false" ht="23.85" hidden="false" customHeight="false" outlineLevel="0" collapsed="false">
      <c r="A53" s="6" t="s">
        <v>1106</v>
      </c>
      <c r="B53" s="77" t="s">
        <v>1107</v>
      </c>
      <c r="C53" s="53" t="n">
        <v>1</v>
      </c>
      <c r="D53" s="9" t="s">
        <v>1092</v>
      </c>
      <c r="E53" s="74" t="n">
        <v>1</v>
      </c>
      <c r="F53" s="78" t="n">
        <v>1139.3</v>
      </c>
      <c r="G53" s="6" t="s">
        <v>945</v>
      </c>
      <c r="H53" s="53" t="n">
        <v>1</v>
      </c>
      <c r="I53" s="53" t="n">
        <v>0</v>
      </c>
      <c r="J53" s="25" t="n">
        <f aca="false">E53*F53*$C$7/1000000*(1+(H53=1)*$C$9+(H53=2)*$C$11)*(1+I53*$C$10)</f>
        <v>5.287343191</v>
      </c>
      <c r="K53" s="46" t="n">
        <v>1</v>
      </c>
      <c r="L53" s="28" t="s">
        <v>1108</v>
      </c>
      <c r="M53" s="53" t="n">
        <v>2</v>
      </c>
      <c r="N53" s="34" t="n">
        <f aca="false">CHOOSE(M53,Quesería!$B$26,Quesería!$B$27,Quesería!$B$28,Quesería!$B$29)</f>
        <v>0.1</v>
      </c>
      <c r="O53" s="79" t="s">
        <v>1109</v>
      </c>
      <c r="P53" s="81" t="s">
        <v>1095</v>
      </c>
    </row>
    <row r="54" customFormat="false" ht="23.85" hidden="false" customHeight="false" outlineLevel="0" collapsed="false">
      <c r="A54" s="6" t="s">
        <v>1110</v>
      </c>
      <c r="B54" s="77" t="s">
        <v>1111</v>
      </c>
      <c r="C54" s="53" t="n">
        <v>1</v>
      </c>
      <c r="D54" s="9" t="s">
        <v>1092</v>
      </c>
      <c r="E54" s="74" t="n">
        <v>1</v>
      </c>
      <c r="F54" s="78" t="n">
        <v>3690.64</v>
      </c>
      <c r="G54" s="6" t="s">
        <v>940</v>
      </c>
      <c r="H54" s="53" t="n">
        <v>2</v>
      </c>
      <c r="I54" s="53" t="n">
        <v>1</v>
      </c>
      <c r="J54" s="25" t="n">
        <f aca="false">E54*F54*$C$6/1000000*(1+(H54=1)*$C$9+(H54=2)*$C$11)*(1+I54*$C$10)</f>
        <v>15.474607538844</v>
      </c>
      <c r="K54" s="34" t="n">
        <f aca="false">Quesería!$B$16</f>
        <v>0.36</v>
      </c>
      <c r="L54" s="28" t="s">
        <v>1102</v>
      </c>
      <c r="M54" s="53" t="n">
        <v>2</v>
      </c>
      <c r="N54" s="34" t="n">
        <f aca="false">CHOOSE(M54,Quesería!$B$26,Quesería!$B$27,Quesería!$B$28,Quesería!$B$29)</f>
        <v>0.1</v>
      </c>
      <c r="O54" s="79" t="s">
        <v>1112</v>
      </c>
      <c r="P54" s="81" t="s">
        <v>1095</v>
      </c>
    </row>
    <row r="55" customFormat="false" ht="15" hidden="false" customHeight="false" outlineLevel="0" collapsed="false">
      <c r="A55" s="6" t="s">
        <v>1113</v>
      </c>
      <c r="B55" s="77" t="s">
        <v>1114</v>
      </c>
      <c r="C55" s="53" t="n">
        <v>1</v>
      </c>
      <c r="D55" s="9" t="s">
        <v>1092</v>
      </c>
      <c r="E55" s="74" t="n">
        <v>2</v>
      </c>
      <c r="F55" s="78" t="n">
        <v>2500</v>
      </c>
      <c r="G55" s="6" t="s">
        <v>940</v>
      </c>
      <c r="H55" s="53" t="n">
        <v>2</v>
      </c>
      <c r="I55" s="53" t="n">
        <v>1</v>
      </c>
      <c r="J55" s="25" t="n">
        <f aca="false">E55*F55*$C$6/1000000*(1+(H55=1)*$C$9+(H55=2)*$C$11)*(1+I55*$C$10)</f>
        <v>20.96466675</v>
      </c>
      <c r="K55" s="46" t="n">
        <v>1</v>
      </c>
      <c r="L55" s="28" t="s">
        <v>1093</v>
      </c>
      <c r="M55" s="53" t="n">
        <v>4</v>
      </c>
      <c r="N55" s="34" t="n">
        <f aca="false">CHOOSE(M55,Quesería!$B$26,Quesería!$B$27,Quesería!$B$28,Quesería!$B$29)</f>
        <v>0.25</v>
      </c>
      <c r="O55" s="79" t="s">
        <v>998</v>
      </c>
      <c r="P55" s="81" t="s">
        <v>1095</v>
      </c>
    </row>
    <row r="56" customFormat="false" ht="15" hidden="false" customHeight="false" outlineLevel="0" collapsed="false">
      <c r="A56" s="6" t="s">
        <v>1115</v>
      </c>
      <c r="B56" s="77" t="s">
        <v>1116</v>
      </c>
      <c r="C56" s="53" t="n">
        <v>1</v>
      </c>
      <c r="D56" s="9" t="s">
        <v>1092</v>
      </c>
      <c r="E56" s="74" t="n">
        <v>1</v>
      </c>
      <c r="F56" s="78" t="n">
        <v>800</v>
      </c>
      <c r="G56" s="6" t="s">
        <v>940</v>
      </c>
      <c r="H56" s="53" t="n">
        <v>2</v>
      </c>
      <c r="I56" s="53" t="n">
        <v>1</v>
      </c>
      <c r="J56" s="25" t="n">
        <f aca="false">E56*F56*$C$6/1000000*(1+(H56=1)*$C$9+(H56=2)*$C$11)*(1+I56*$C$10)</f>
        <v>3.35434668</v>
      </c>
      <c r="K56" s="34" t="n">
        <f aca="false">Quesería!$B$16</f>
        <v>0.36</v>
      </c>
      <c r="L56" s="28" t="s">
        <v>1102</v>
      </c>
      <c r="M56" s="53" t="n">
        <v>4</v>
      </c>
      <c r="N56" s="34" t="n">
        <f aca="false">CHOOSE(M56,Quesería!$B$26,Quesería!$B$27,Quesería!$B$28,Quesería!$B$29)</f>
        <v>0.25</v>
      </c>
      <c r="O56" s="79" t="s">
        <v>998</v>
      </c>
      <c r="P56" s="81" t="s">
        <v>1095</v>
      </c>
    </row>
    <row r="57" customFormat="false" ht="35.05" hidden="false" customHeight="false" outlineLevel="0" collapsed="false">
      <c r="A57" s="6" t="s">
        <v>1117</v>
      </c>
      <c r="B57" s="77" t="s">
        <v>1118</v>
      </c>
      <c r="C57" s="53" t="n">
        <v>1</v>
      </c>
      <c r="D57" s="9" t="s">
        <v>1092</v>
      </c>
      <c r="E57" s="74" t="n">
        <v>6</v>
      </c>
      <c r="F57" s="78" t="n">
        <v>180</v>
      </c>
      <c r="G57" s="6" t="s">
        <v>940</v>
      </c>
      <c r="H57" s="53" t="n">
        <v>2</v>
      </c>
      <c r="I57" s="53" t="n">
        <v>1</v>
      </c>
      <c r="J57" s="25" t="n">
        <f aca="false">E57*F57*$C$6/1000000*(1+(H57=1)*$C$9+(H57=2)*$C$11)*(1+I57*$C$10)</f>
        <v>4.528368018</v>
      </c>
      <c r="K57" s="46" t="n">
        <v>1</v>
      </c>
      <c r="L57" s="28" t="s">
        <v>1108</v>
      </c>
      <c r="M57" s="53" t="n">
        <v>4</v>
      </c>
      <c r="N57" s="34" t="n">
        <f aca="false">CHOOSE(M57,Quesería!$B$26,Quesería!$B$27,Quesería!$B$28,Quesería!$B$29)</f>
        <v>0.25</v>
      </c>
      <c r="O57" s="79" t="s">
        <v>998</v>
      </c>
      <c r="P57" s="81" t="s">
        <v>1095</v>
      </c>
    </row>
    <row r="58" customFormat="false" ht="23.85" hidden="false" customHeight="false" outlineLevel="0" collapsed="false">
      <c r="A58" s="6" t="s">
        <v>1119</v>
      </c>
      <c r="B58" s="77" t="s">
        <v>1120</v>
      </c>
      <c r="C58" s="53" t="n">
        <v>1</v>
      </c>
      <c r="D58" s="9" t="s">
        <v>1092</v>
      </c>
      <c r="E58" s="74" t="n">
        <v>2</v>
      </c>
      <c r="F58" s="78" t="n">
        <v>350</v>
      </c>
      <c r="G58" s="6" t="s">
        <v>940</v>
      </c>
      <c r="H58" s="53" t="n">
        <v>2</v>
      </c>
      <c r="I58" s="53" t="n">
        <v>1</v>
      </c>
      <c r="J58" s="25" t="n">
        <f aca="false">E58*F58*$C$6/1000000*(1+(H58=1)*$C$9+(H58=2)*$C$11)*(1+I58*$C$10)</f>
        <v>2.935053345</v>
      </c>
      <c r="K58" s="46" t="n">
        <v>1</v>
      </c>
      <c r="L58" s="28" t="s">
        <v>1108</v>
      </c>
      <c r="M58" s="53" t="n">
        <v>3</v>
      </c>
      <c r="N58" s="34" t="n">
        <f aca="false">CHOOSE(M58,Quesería!$B$26,Quesería!$B$27,Quesería!$B$28,Quesería!$B$29)</f>
        <v>0.15</v>
      </c>
      <c r="O58" s="79" t="s">
        <v>1121</v>
      </c>
      <c r="P58" s="81" t="s">
        <v>1095</v>
      </c>
    </row>
    <row r="59" customFormat="false" ht="23.85" hidden="false" customHeight="false" outlineLevel="0" collapsed="false">
      <c r="A59" s="6" t="s">
        <v>1122</v>
      </c>
      <c r="B59" s="77" t="s">
        <v>1123</v>
      </c>
      <c r="C59" s="53" t="n">
        <v>2</v>
      </c>
      <c r="D59" s="9" t="s">
        <v>1124</v>
      </c>
      <c r="E59" s="74" t="n">
        <v>1</v>
      </c>
      <c r="F59" s="75" t="n">
        <f aca="false">Cotizaciones!$F$14*1000000</f>
        <v>322600000</v>
      </c>
      <c r="G59" s="6" t="s">
        <v>1003</v>
      </c>
      <c r="H59" s="53" t="n">
        <v>0</v>
      </c>
      <c r="I59" s="53" t="n">
        <v>0</v>
      </c>
      <c r="J59" s="25" t="n">
        <f aca="false">E59*F59/1000000</f>
        <v>322.6</v>
      </c>
      <c r="K59" s="46" t="n">
        <v>1</v>
      </c>
      <c r="L59" s="28" t="s">
        <v>1014</v>
      </c>
      <c r="M59" s="53" t="n">
        <v>3</v>
      </c>
      <c r="N59" s="34" t="n">
        <f aca="false">CHOOSE(M59,Quesería!$B$26,Quesería!$B$27,Quesería!$B$28,Quesería!$B$29)</f>
        <v>0.15</v>
      </c>
      <c r="O59" s="79" t="s">
        <v>868</v>
      </c>
      <c r="P59" s="81" t="s">
        <v>1125</v>
      </c>
    </row>
    <row r="60" customFormat="false" ht="15" hidden="false" customHeight="false" outlineLevel="0" collapsed="false">
      <c r="A60" s="6" t="s">
        <v>1126</v>
      </c>
      <c r="B60" s="77" t="s">
        <v>348</v>
      </c>
      <c r="C60" s="53" t="n">
        <v>2</v>
      </c>
      <c r="D60" s="9" t="s">
        <v>1127</v>
      </c>
      <c r="E60" s="74" t="n">
        <v>1</v>
      </c>
      <c r="F60" s="75" t="n">
        <f aca="false">Cotizaciones!$F$15*1000000</f>
        <v>106666666.666667</v>
      </c>
      <c r="G60" s="6" t="s">
        <v>1003</v>
      </c>
      <c r="H60" s="53" t="n">
        <v>0</v>
      </c>
      <c r="I60" s="53" t="n">
        <v>0</v>
      </c>
      <c r="J60" s="25" t="n">
        <f aca="false">E60*F60/1000000</f>
        <v>106.666666666667</v>
      </c>
      <c r="K60" s="46" t="n">
        <v>1</v>
      </c>
      <c r="L60" s="28" t="s">
        <v>1014</v>
      </c>
      <c r="M60" s="53" t="n">
        <v>3</v>
      </c>
      <c r="N60" s="34" t="n">
        <f aca="false">CHOOSE(M60,Quesería!$B$26,Quesería!$B$27,Quesería!$B$28,Quesería!$B$29)</f>
        <v>0.15</v>
      </c>
      <c r="O60" s="79" t="s">
        <v>868</v>
      </c>
      <c r="P60" s="81" t="s">
        <v>1128</v>
      </c>
    </row>
    <row r="61" customFormat="false" ht="15" hidden="false" customHeight="false" outlineLevel="0" collapsed="false">
      <c r="A61" s="6" t="s">
        <v>1129</v>
      </c>
      <c r="B61" s="77" t="s">
        <v>961</v>
      </c>
      <c r="C61" s="53" t="n">
        <v>2</v>
      </c>
      <c r="D61" s="9" t="s">
        <v>640</v>
      </c>
      <c r="E61" s="74" t="n">
        <v>1</v>
      </c>
      <c r="F61" s="75" t="n">
        <f aca="false">Cotizaciones!$F$21*1000000</f>
        <v>80000000</v>
      </c>
      <c r="G61" s="6" t="s">
        <v>1003</v>
      </c>
      <c r="H61" s="53" t="n">
        <v>0</v>
      </c>
      <c r="I61" s="53" t="n">
        <v>0</v>
      </c>
      <c r="J61" s="25" t="n">
        <f aca="false">E61*F61/1000000</f>
        <v>80</v>
      </c>
      <c r="K61" s="46" t="n">
        <v>1</v>
      </c>
      <c r="L61" s="28" t="s">
        <v>1014</v>
      </c>
      <c r="M61" s="53" t="n">
        <v>4</v>
      </c>
      <c r="N61" s="34" t="n">
        <f aca="false">CHOOSE(M61,Quesería!$B$26,Quesería!$B$27,Quesería!$B$28,Quesería!$B$29)</f>
        <v>0.25</v>
      </c>
      <c r="O61" s="79" t="s">
        <v>868</v>
      </c>
      <c r="P61" s="81" t="s">
        <v>1130</v>
      </c>
    </row>
    <row r="62" customFormat="false" ht="23.85" hidden="false" customHeight="false" outlineLevel="0" collapsed="false">
      <c r="A62" s="6" t="s">
        <v>1131</v>
      </c>
      <c r="B62" s="77" t="s">
        <v>1132</v>
      </c>
      <c r="C62" s="53" t="n">
        <v>2</v>
      </c>
      <c r="D62" s="9" t="s">
        <v>1133</v>
      </c>
      <c r="E62" s="74" t="n">
        <v>1</v>
      </c>
      <c r="F62" s="78" t="n">
        <v>2800</v>
      </c>
      <c r="G62" s="6" t="s">
        <v>940</v>
      </c>
      <c r="H62" s="53" t="n">
        <v>2</v>
      </c>
      <c r="I62" s="53" t="n">
        <v>1</v>
      </c>
      <c r="J62" s="25" t="n">
        <f aca="false">E62*F62*$C$6/1000000*(1+(H62=1)*$C$9+(H62=2)*$C$11)*(1+I62*$C$10)</f>
        <v>11.74021338</v>
      </c>
      <c r="K62" s="46" t="n">
        <v>1</v>
      </c>
      <c r="L62" s="28" t="s">
        <v>1048</v>
      </c>
      <c r="M62" s="53" t="n">
        <v>3</v>
      </c>
      <c r="N62" s="34" t="n">
        <f aca="false">CHOOSE(M62,Quesería!$B$26,Quesería!$B$27,Quesería!$B$28,Quesería!$B$29)</f>
        <v>0.15</v>
      </c>
      <c r="O62" s="79" t="s">
        <v>1134</v>
      </c>
      <c r="P62" s="81" t="s">
        <v>1135</v>
      </c>
    </row>
    <row r="63" customFormat="false" ht="15" hidden="false" customHeight="false" outlineLevel="0" collapsed="false">
      <c r="A63" s="6" t="s">
        <v>1136</v>
      </c>
      <c r="B63" s="77" t="s">
        <v>1137</v>
      </c>
      <c r="C63" s="53" t="n">
        <v>2</v>
      </c>
      <c r="D63" s="9" t="s">
        <v>1133</v>
      </c>
      <c r="E63" s="74" t="n">
        <v>1</v>
      </c>
      <c r="F63" s="74" t="n">
        <v>8000000</v>
      </c>
      <c r="G63" s="6" t="s">
        <v>1003</v>
      </c>
      <c r="H63" s="53" t="n">
        <v>0</v>
      </c>
      <c r="I63" s="53" t="n">
        <v>1</v>
      </c>
      <c r="J63" s="25" t="n">
        <f aca="false">E63*F63*1/1000000*(1+(H63=1)*$C$9+(H63=2)*$C$11)*(1+I63*$C$10)</f>
        <v>9.2</v>
      </c>
      <c r="K63" s="46" t="n">
        <v>1</v>
      </c>
      <c r="L63" s="28" t="s">
        <v>1014</v>
      </c>
      <c r="M63" s="53" t="n">
        <v>4</v>
      </c>
      <c r="N63" s="34" t="n">
        <f aca="false">CHOOSE(M63,Quesería!$B$26,Quesería!$B$27,Quesería!$B$28,Quesería!$B$29)</f>
        <v>0.25</v>
      </c>
      <c r="O63" s="79" t="s">
        <v>998</v>
      </c>
      <c r="P63" s="81" t="s">
        <v>1135</v>
      </c>
    </row>
    <row r="64" customFormat="false" ht="15" hidden="false" customHeight="false" outlineLevel="0" collapsed="false">
      <c r="A64" s="6" t="s">
        <v>1138</v>
      </c>
      <c r="B64" s="77" t="s">
        <v>1139</v>
      </c>
      <c r="C64" s="53" t="n">
        <v>2</v>
      </c>
      <c r="D64" s="9" t="s">
        <v>1133</v>
      </c>
      <c r="E64" s="74" t="n">
        <v>1</v>
      </c>
      <c r="F64" s="78" t="n">
        <v>7200</v>
      </c>
      <c r="G64" s="6" t="s">
        <v>940</v>
      </c>
      <c r="H64" s="53" t="n">
        <v>2</v>
      </c>
      <c r="I64" s="53" t="n">
        <v>1</v>
      </c>
      <c r="J64" s="25" t="n">
        <f aca="false">E64*F64*$C$6/1000000*(1+(H64=1)*$C$9+(H64=2)*$C$11)*(1+I64*$C$10)</f>
        <v>30.18912012</v>
      </c>
      <c r="K64" s="46" t="n">
        <v>1</v>
      </c>
      <c r="L64" s="28" t="s">
        <v>1014</v>
      </c>
      <c r="M64" s="53" t="n">
        <v>3</v>
      </c>
      <c r="N64" s="34" t="n">
        <f aca="false">CHOOSE(M64,Quesería!$B$26,Quesería!$B$27,Quesería!$B$28,Quesería!$B$29)</f>
        <v>0.15</v>
      </c>
      <c r="O64" s="79" t="s">
        <v>1140</v>
      </c>
      <c r="P64" s="81" t="s">
        <v>1135</v>
      </c>
    </row>
    <row r="65" customFormat="false" ht="15" hidden="false" customHeight="false" outlineLevel="0" collapsed="false">
      <c r="A65" s="6" t="s">
        <v>1141</v>
      </c>
      <c r="B65" s="77" t="s">
        <v>1142</v>
      </c>
      <c r="C65" s="53" t="n">
        <v>2</v>
      </c>
      <c r="D65" s="9" t="s">
        <v>1133</v>
      </c>
      <c r="E65" s="74" t="n">
        <v>1</v>
      </c>
      <c r="F65" s="78" t="n">
        <v>2000</v>
      </c>
      <c r="G65" s="6" t="s">
        <v>940</v>
      </c>
      <c r="H65" s="53" t="n">
        <v>2</v>
      </c>
      <c r="I65" s="53" t="n">
        <v>1</v>
      </c>
      <c r="J65" s="25" t="n">
        <f aca="false">E65*F65*$C$6/1000000*(1+(H65=1)*$C$9+(H65=2)*$C$11)*(1+I65*$C$10)</f>
        <v>8.3858667</v>
      </c>
      <c r="K65" s="46" t="n">
        <v>1</v>
      </c>
      <c r="L65" s="28" t="s">
        <v>1014</v>
      </c>
      <c r="M65" s="53" t="n">
        <v>4</v>
      </c>
      <c r="N65" s="34" t="n">
        <f aca="false">CHOOSE(M65,Quesería!$B$26,Quesería!$B$27,Quesería!$B$28,Quesería!$B$29)</f>
        <v>0.25</v>
      </c>
      <c r="O65" s="79" t="s">
        <v>998</v>
      </c>
      <c r="P65" s="81" t="s">
        <v>1135</v>
      </c>
    </row>
    <row r="66" customFormat="false" ht="23.85" hidden="false" customHeight="false" outlineLevel="0" collapsed="false">
      <c r="A66" s="6" t="s">
        <v>1143</v>
      </c>
      <c r="B66" s="77" t="s">
        <v>1144</v>
      </c>
      <c r="C66" s="53" t="n">
        <v>3</v>
      </c>
      <c r="D66" s="9" t="s">
        <v>1145</v>
      </c>
      <c r="E66" s="74" t="n">
        <v>1</v>
      </c>
      <c r="F66" s="78" t="n">
        <v>110000</v>
      </c>
      <c r="G66" s="6" t="s">
        <v>940</v>
      </c>
      <c r="H66" s="53" t="n">
        <v>1</v>
      </c>
      <c r="I66" s="53" t="n">
        <v>1</v>
      </c>
      <c r="J66" s="25" t="n">
        <f aca="false">E66*F66*$C$6/1000000*(1+(H66=1)*$C$9+(H66=2)*$C$11)*(1+I66*$C$10)</f>
        <v>521.382147</v>
      </c>
      <c r="K66" s="46" t="n">
        <v>1</v>
      </c>
      <c r="L66" s="28" t="s">
        <v>1146</v>
      </c>
      <c r="M66" s="53" t="n">
        <v>3</v>
      </c>
      <c r="N66" s="34" t="n">
        <f aca="false">CHOOSE(M66,Quesería!$B$26,Quesería!$B$27,Quesería!$B$28,Quesería!$B$29)</f>
        <v>0.15</v>
      </c>
      <c r="O66" s="79" t="s">
        <v>1147</v>
      </c>
      <c r="P66" s="81" t="s">
        <v>1148</v>
      </c>
    </row>
    <row r="67" customFormat="false" ht="15" hidden="false" customHeight="false" outlineLevel="0" collapsed="false">
      <c r="A67" s="5" t="s">
        <v>1149</v>
      </c>
      <c r="J67" s="54" t="n">
        <f aca="false">SUM(J14:J66)</f>
        <v>1756.24498437688</v>
      </c>
    </row>
    <row r="68" customFormat="false" ht="39.75" hidden="false" customHeight="true" outlineLevel="0" collapsed="false">
      <c r="A68" s="32" t="s">
        <v>1150</v>
      </c>
      <c r="B68" s="32"/>
      <c r="C68" s="32"/>
      <c r="D68" s="32"/>
      <c r="E68" s="32"/>
      <c r="F68" s="32"/>
      <c r="G68" s="32"/>
      <c r="H68" s="32"/>
      <c r="I68" s="32"/>
      <c r="J68" s="32"/>
      <c r="K68" s="32"/>
      <c r="L68" s="32"/>
      <c r="M68" s="32"/>
      <c r="N68" s="32"/>
      <c r="O68" s="32"/>
    </row>
    <row r="70" customFormat="false" ht="15" hidden="false" customHeight="false" outlineLevel="0" collapsed="false">
      <c r="A70" s="3" t="s">
        <v>1151</v>
      </c>
      <c r="B70" s="4"/>
      <c r="C70" s="4"/>
      <c r="D70" s="4"/>
      <c r="E70" s="4"/>
      <c r="F70" s="4"/>
      <c r="G70" s="4"/>
      <c r="H70" s="4"/>
      <c r="I70" s="4"/>
      <c r="J70" s="4"/>
      <c r="K70" s="4"/>
      <c r="L70" s="4"/>
      <c r="M70" s="4"/>
      <c r="N70" s="4"/>
      <c r="O70" s="4"/>
    </row>
    <row r="71" customFormat="false" ht="30" hidden="false" customHeight="true" outlineLevel="0" collapsed="false">
      <c r="A71" s="23" t="s">
        <v>109</v>
      </c>
      <c r="B71" s="24"/>
      <c r="C71" s="24" t="s">
        <v>110</v>
      </c>
      <c r="D71" s="24" t="s">
        <v>1152</v>
      </c>
      <c r="E71" s="24" t="s">
        <v>111</v>
      </c>
      <c r="F71" s="24" t="s">
        <v>1153</v>
      </c>
      <c r="G71" s="24" t="s">
        <v>1154</v>
      </c>
      <c r="H71" s="24" t="s">
        <v>1155</v>
      </c>
      <c r="I71" s="24" t="s">
        <v>1156</v>
      </c>
      <c r="J71" s="24" t="s">
        <v>1157</v>
      </c>
      <c r="K71" s="24" t="s">
        <v>1158</v>
      </c>
      <c r="L71" s="24" t="s">
        <v>1159</v>
      </c>
    </row>
    <row r="72" customFormat="false" ht="15" hidden="false" customHeight="false" outlineLevel="0" collapsed="false">
      <c r="A72" s="82" t="s">
        <v>992</v>
      </c>
      <c r="B72" s="82"/>
      <c r="C72" s="33" t="n">
        <f aca="false">Quesería!B70</f>
        <v>0</v>
      </c>
      <c r="D72" s="9" t="s">
        <v>333</v>
      </c>
      <c r="E72" s="73" t="n">
        <f aca="false">COUNTIF($P$14:$P$66,"D0")</f>
        <v>6</v>
      </c>
      <c r="F72" s="25" t="n">
        <f aca="false">SUMIF($P$14:$P$66,"D0",$J$14:$J$66)</f>
        <v>56.872527971</v>
      </c>
      <c r="G72" s="64" t="n">
        <f aca="false">IF(F72&gt;0,SUMPRODUCT(($P$14:$P$66="D0")*$J$14:$J$66*$M$14:$M$66)/F72,0)</f>
        <v>3.57701019806493</v>
      </c>
      <c r="H72" s="34" t="n">
        <f aca="false">IF(F72&gt;0,SUMPRODUCT(($P$14:$P$66="D0")*$J$14:$J$66*$K$14:$K$66)/F72,0)</f>
        <v>0.36</v>
      </c>
      <c r="I72" s="25" t="n">
        <f aca="false">F72*H72</f>
        <v>20.47411006956</v>
      </c>
      <c r="J72" s="34" t="n">
        <f aca="false">IF(F72&gt;0,SUMPRODUCT(($P$14:$P$66="D0")*$J$14:$J$66*$N$14:$N$66)/F72,0)</f>
        <v>0.21827576485487</v>
      </c>
      <c r="K72" s="25" t="n">
        <f aca="false">Quesería!F70</f>
        <v>20.47411006956</v>
      </c>
      <c r="L72" s="83" t="n">
        <f aca="false">I72-K72</f>
        <v>0</v>
      </c>
    </row>
    <row r="73" customFormat="false" ht="15" hidden="false" customHeight="false" outlineLevel="0" collapsed="false">
      <c r="A73" s="82" t="s">
        <v>1013</v>
      </c>
      <c r="B73" s="82"/>
      <c r="C73" s="33" t="n">
        <f aca="false">Quesería!B71</f>
        <v>1</v>
      </c>
      <c r="D73" s="9" t="s">
        <v>334</v>
      </c>
      <c r="E73" s="73" t="n">
        <f aca="false">COUNTIF($P$14:$P$66,"T13")</f>
        <v>19</v>
      </c>
      <c r="F73" s="25" t="n">
        <f aca="false">SUMIF($P$14:$P$66,"T13",$J$14:$J$66)</f>
        <v>267.509653045577</v>
      </c>
      <c r="G73" s="64" t="n">
        <f aca="false">IF(F73&gt;0,SUMPRODUCT(($P$14:$P$66="T13")*$J$14:$J$66*$M$14:$M$66)/F73,0)</f>
        <v>3.14013736092806</v>
      </c>
      <c r="H73" s="34" t="n">
        <f aca="false">IF(F73&gt;0,SUMPRODUCT(($P$14:$P$66="T13")*$J$14:$J$66*$K$14:$K$66)/F73,0)</f>
        <v>1</v>
      </c>
      <c r="I73" s="25" t="n">
        <f aca="false">F73*H73</f>
        <v>267.509653045577</v>
      </c>
      <c r="J73" s="34" t="n">
        <f aca="false">IF(F73&gt;0,SUMPRODUCT(($P$14:$P$66="T13")*$J$14:$J$66*$N$14:$N$66)/F73,0)</f>
        <v>0.182293239181008</v>
      </c>
      <c r="K73" s="25" t="n">
        <f aca="false">Quesería!F71</f>
        <v>267.509653045577</v>
      </c>
      <c r="L73" s="83" t="n">
        <f aca="false">I73-K73</f>
        <v>0</v>
      </c>
    </row>
    <row r="74" customFormat="false" ht="15" hidden="false" customHeight="false" outlineLevel="0" collapsed="false">
      <c r="A74" s="82" t="s">
        <v>1066</v>
      </c>
      <c r="B74" s="82"/>
      <c r="C74" s="33" t="n">
        <f aca="false">Quesería!B72</f>
        <v>1</v>
      </c>
      <c r="D74" s="9" t="s">
        <v>335</v>
      </c>
      <c r="E74" s="73" t="n">
        <f aca="false">COUNTIF($P$14:$P$66,"T2")</f>
        <v>6</v>
      </c>
      <c r="F74" s="25" t="n">
        <f aca="false">SUMIF($P$14:$P$66,"T2",$J$14:$J$66)</f>
        <v>47.746860805791</v>
      </c>
      <c r="G74" s="64" t="n">
        <f aca="false">IF(F74&gt;0,SUMPRODUCT(($P$14:$P$66="T2")*$J$14:$J$66*$M$14:$M$66)/F74,0)</f>
        <v>2.48123110860543</v>
      </c>
      <c r="H74" s="34" t="n">
        <f aca="false">IF(F74&gt;0,SUMPRODUCT(($P$14:$P$66="T2")*$J$14:$J$66*$K$14:$K$66)/F74,0)</f>
        <v>1</v>
      </c>
      <c r="I74" s="25" t="n">
        <f aca="false">F74*H74</f>
        <v>47.746860805791</v>
      </c>
      <c r="J74" s="34" t="n">
        <f aca="false">IF(F74&gt;0,SUMPRODUCT(($P$14:$P$66="T2")*$J$14:$J$66*$N$14:$N$66)/F74,0)</f>
        <v>0.135038542396636</v>
      </c>
      <c r="K74" s="25" t="n">
        <f aca="false">Quesería!F72</f>
        <v>47.746860805791</v>
      </c>
      <c r="L74" s="83" t="n">
        <f aca="false">I74-K74</f>
        <v>0</v>
      </c>
    </row>
    <row r="75" customFormat="false" ht="15" hidden="false" customHeight="false" outlineLevel="0" collapsed="false">
      <c r="A75" s="82" t="s">
        <v>1082</v>
      </c>
      <c r="B75" s="82"/>
      <c r="C75" s="33" t="n">
        <f aca="false">Quesería!B73</f>
        <v>1</v>
      </c>
      <c r="D75" s="9" t="s">
        <v>336</v>
      </c>
      <c r="E75" s="73" t="n">
        <f aca="false">COUNTIF($P$14:$P$66,"E18")</f>
        <v>1</v>
      </c>
      <c r="F75" s="25" t="n">
        <f aca="false">SUMIF($P$14:$P$66,"E18",$J$14:$J$66)</f>
        <v>33.1788639</v>
      </c>
      <c r="G75" s="64" t="n">
        <f aca="false">IF(F75&gt;0,SUMPRODUCT(($P$14:$P$66="E18")*$J$14:$J$66*$M$14:$M$66)/F75,0)</f>
        <v>2</v>
      </c>
      <c r="H75" s="34" t="n">
        <f aca="false">IF(F75&gt;0,SUMPRODUCT(($P$14:$P$66="E18")*$J$14:$J$66*$K$14:$K$66)/F75,0)</f>
        <v>1</v>
      </c>
      <c r="I75" s="25" t="n">
        <f aca="false">F75*H75</f>
        <v>33.1788639</v>
      </c>
      <c r="J75" s="34" t="n">
        <f aca="false">IF(F75&gt;0,SUMPRODUCT(($P$14:$P$66="E18")*$J$14:$J$66*$N$14:$N$66)/F75,0)</f>
        <v>0.1</v>
      </c>
      <c r="K75" s="25" t="n">
        <f aca="false">Quesería!F73</f>
        <v>33.1788639</v>
      </c>
      <c r="L75" s="83" t="n">
        <f aca="false">I75-K75</f>
        <v>0</v>
      </c>
    </row>
    <row r="76" customFormat="false" ht="15" hidden="false" customHeight="false" outlineLevel="0" collapsed="false">
      <c r="A76" s="82" t="s">
        <v>1085</v>
      </c>
      <c r="B76" s="82"/>
      <c r="C76" s="33" t="n">
        <f aca="false">Quesería!B74</f>
        <v>1</v>
      </c>
      <c r="D76" s="9" t="s">
        <v>337</v>
      </c>
      <c r="E76" s="73" t="n">
        <f aca="false">COUNTIF($P$14:$P$66,"GR")</f>
        <v>2</v>
      </c>
      <c r="F76" s="25" t="n">
        <f aca="false">SUMIF($P$14:$P$66,"GR",$J$14:$J$66)</f>
        <v>129.98093385</v>
      </c>
      <c r="G76" s="64" t="n">
        <f aca="false">IF(F76&gt;0,SUMPRODUCT(($P$14:$P$66="GR")*$J$14:$J$66*$M$14:$M$66)/F76,0)</f>
        <v>4</v>
      </c>
      <c r="H76" s="34" t="n">
        <f aca="false">IF(F76&gt;0,SUMPRODUCT(($P$14:$P$66="GR")*$J$14:$J$66*$K$14:$K$66)/F76,0)</f>
        <v>0.36</v>
      </c>
      <c r="I76" s="25" t="n">
        <f aca="false">F76*H76</f>
        <v>46.793136186</v>
      </c>
      <c r="J76" s="34" t="n">
        <f aca="false">IF(F76&gt;0,SUMPRODUCT(($P$14:$P$66="GR")*$J$14:$J$66*$N$14:$N$66)/F76,0)</f>
        <v>0.25</v>
      </c>
      <c r="K76" s="25" t="n">
        <f aca="false">Quesería!F74</f>
        <v>46.793136186</v>
      </c>
      <c r="L76" s="83" t="n">
        <f aca="false">I76-K76</f>
        <v>0</v>
      </c>
    </row>
    <row r="77" customFormat="false" ht="15" hidden="false" customHeight="false" outlineLevel="0" collapsed="false">
      <c r="A77" s="82" t="s">
        <v>1092</v>
      </c>
      <c r="B77" s="82"/>
      <c r="C77" s="33" t="n">
        <f aca="false">Quesería!B75</f>
        <v>1</v>
      </c>
      <c r="D77" s="9" t="s">
        <v>338</v>
      </c>
      <c r="E77" s="73" t="n">
        <f aca="false">COUNTIF($P$14:$P$66,"SC")</f>
        <v>11</v>
      </c>
      <c r="F77" s="25" t="n">
        <f aca="false">SUMIF($P$14:$P$66,"SC",$J$14:$J$66)</f>
        <v>130.792130937844</v>
      </c>
      <c r="G77" s="64" t="n">
        <f aca="false">IF(F77&gt;0,SUMPRODUCT(($P$14:$P$66="SC")*$J$14:$J$66*$M$14:$M$66)/F77,0)</f>
        <v>2.69758194963089</v>
      </c>
      <c r="H77" s="34" t="n">
        <f aca="false">IF(F77&gt;0,SUMPRODUCT(($P$14:$P$66="SC")*$J$14:$J$66*$K$14:$K$66)/F77,0)</f>
        <v>0.524978396481776</v>
      </c>
      <c r="I77" s="25" t="n">
        <f aca="false">F77*H77</f>
        <v>68.6630431721838</v>
      </c>
      <c r="J77" s="34" t="n">
        <f aca="false">IF(F77&gt;0,SUMPRODUCT(($P$14:$P$66="SC")*$J$14:$J$66*$N$14:$N$66)/F77,0)</f>
        <v>0.149754006701615</v>
      </c>
      <c r="K77" s="25" t="n">
        <f aca="false">Quesería!F75</f>
        <v>68.6630431721838</v>
      </c>
      <c r="L77" s="83" t="n">
        <f aca="false">I77-K77</f>
        <v>0</v>
      </c>
    </row>
    <row r="78" customFormat="false" ht="15" hidden="false" customHeight="false" outlineLevel="0" collapsed="false">
      <c r="A78" s="82" t="s">
        <v>1124</v>
      </c>
      <c r="B78" s="82"/>
      <c r="C78" s="33" t="n">
        <f aca="false">Quesería!B84</f>
        <v>2</v>
      </c>
      <c r="D78" s="9" t="s">
        <v>347</v>
      </c>
      <c r="E78" s="73" t="n">
        <f aca="false">COUNTIF($P$14:$P$66,"HI")</f>
        <v>1</v>
      </c>
      <c r="F78" s="25" t="n">
        <f aca="false">SUMIF($P$14:$P$66,"HI",$J$14:$J$66)</f>
        <v>322.6</v>
      </c>
      <c r="G78" s="64" t="n">
        <f aca="false">IF(F78&gt;0,SUMPRODUCT(($P$14:$P$66="HI")*$J$14:$J$66*$M$14:$M$66)/F78,0)</f>
        <v>3</v>
      </c>
      <c r="H78" s="34" t="n">
        <f aca="false">IF(F78&gt;0,SUMPRODUCT(($P$14:$P$66="HI")*$J$14:$J$66*$K$14:$K$66)/F78,0)</f>
        <v>1</v>
      </c>
      <c r="I78" s="25" t="n">
        <f aca="false">F78*H78</f>
        <v>322.6</v>
      </c>
      <c r="J78" s="34" t="n">
        <f aca="false">IF(F78&gt;0,SUMPRODUCT(($P$14:$P$66="HI")*$J$14:$J$66*$N$14:$N$66)/F78,0)</f>
        <v>0.15</v>
      </c>
      <c r="K78" s="25" t="n">
        <f aca="false">Quesería!F84</f>
        <v>322.6</v>
      </c>
      <c r="L78" s="83" t="n">
        <f aca="false">I78-K78</f>
        <v>0</v>
      </c>
    </row>
    <row r="79" customFormat="false" ht="15" hidden="false" customHeight="false" outlineLevel="0" collapsed="false">
      <c r="A79" s="82" t="s">
        <v>1127</v>
      </c>
      <c r="B79" s="82"/>
      <c r="C79" s="33" t="n">
        <f aca="false">Quesería!B85</f>
        <v>2</v>
      </c>
      <c r="D79" s="9" t="s">
        <v>348</v>
      </c>
      <c r="E79" s="73" t="n">
        <f aca="false">COUNTIF($P$14:$P$66,"CIP")</f>
        <v>1</v>
      </c>
      <c r="F79" s="25" t="n">
        <f aca="false">SUMIF($P$14:$P$66,"CIP",$J$14:$J$66)</f>
        <v>106.666666666667</v>
      </c>
      <c r="G79" s="64" t="n">
        <f aca="false">IF(F79&gt;0,SUMPRODUCT(($P$14:$P$66="CIP")*$J$14:$J$66*$M$14:$M$66)/F79,0)</f>
        <v>3</v>
      </c>
      <c r="H79" s="34" t="n">
        <f aca="false">IF(F79&gt;0,SUMPRODUCT(($P$14:$P$66="CIP")*$J$14:$J$66*$K$14:$K$66)/F79,0)</f>
        <v>1</v>
      </c>
      <c r="I79" s="25" t="n">
        <f aca="false">F79*H79</f>
        <v>106.666666666667</v>
      </c>
      <c r="J79" s="34" t="n">
        <f aca="false">IF(F79&gt;0,SUMPRODUCT(($P$14:$P$66="CIP")*$J$14:$J$66*$N$14:$N$66)/F79,0)</f>
        <v>0.15</v>
      </c>
      <c r="K79" s="25" t="n">
        <f aca="false">Quesería!F85</f>
        <v>106.666666666667</v>
      </c>
      <c r="L79" s="83" t="n">
        <f aca="false">I79-K79</f>
        <v>0</v>
      </c>
    </row>
    <row r="80" customFormat="false" ht="15" hidden="false" customHeight="false" outlineLevel="0" collapsed="false">
      <c r="A80" s="82" t="s">
        <v>640</v>
      </c>
      <c r="B80" s="82"/>
      <c r="C80" s="33" t="n">
        <f aca="false">Quesería!B86</f>
        <v>2</v>
      </c>
      <c r="D80" s="9" t="s">
        <v>349</v>
      </c>
      <c r="E80" s="73" t="n">
        <f aca="false">COUNTIF($P$14:$P$66,"SU")</f>
        <v>1</v>
      </c>
      <c r="F80" s="25" t="n">
        <f aca="false">SUMIF($P$14:$P$66,"SU",$J$14:$J$66)</f>
        <v>80</v>
      </c>
      <c r="G80" s="64" t="n">
        <f aca="false">IF(F80&gt;0,SUMPRODUCT(($P$14:$P$66="SU")*$J$14:$J$66*$M$14:$M$66)/F80,0)</f>
        <v>4</v>
      </c>
      <c r="H80" s="34" t="n">
        <f aca="false">IF(F80&gt;0,SUMPRODUCT(($P$14:$P$66="SU")*$J$14:$J$66*$K$14:$K$66)/F80,0)</f>
        <v>1</v>
      </c>
      <c r="I80" s="25" t="n">
        <f aca="false">F80*H80</f>
        <v>80</v>
      </c>
      <c r="J80" s="34" t="n">
        <f aca="false">IF(F80&gt;0,SUMPRODUCT(($P$14:$P$66="SU")*$J$14:$J$66*$N$14:$N$66)/F80,0)</f>
        <v>0.25</v>
      </c>
      <c r="K80" s="25" t="n">
        <f aca="false">Quesería!F86</f>
        <v>80</v>
      </c>
      <c r="L80" s="83" t="n">
        <f aca="false">I80-K80</f>
        <v>0</v>
      </c>
    </row>
    <row r="81" customFormat="false" ht="15" hidden="false" customHeight="false" outlineLevel="0" collapsed="false">
      <c r="A81" s="82" t="s">
        <v>1133</v>
      </c>
      <c r="B81" s="82"/>
      <c r="C81" s="33" t="n">
        <f aca="false">Quesería!B87</f>
        <v>2</v>
      </c>
      <c r="D81" s="9" t="s">
        <v>350</v>
      </c>
      <c r="E81" s="73" t="n">
        <f aca="false">COUNTIF($P$14:$P$66,"E2")</f>
        <v>4</v>
      </c>
      <c r="F81" s="25" t="n">
        <f aca="false">SUMIF($P$14:$P$66,"E2",$J$14:$J$66)</f>
        <v>59.5152002</v>
      </c>
      <c r="G81" s="64" t="n">
        <f aca="false">IF(F81&gt;0,SUMPRODUCT(($P$14:$P$66="E2")*$J$14:$J$66*$M$14:$M$66)/F81,0)</f>
        <v>3.29548529856075</v>
      </c>
      <c r="H81" s="34" t="n">
        <f aca="false">IF(F81&gt;0,SUMPRODUCT(($P$14:$P$66="E2")*$J$14:$J$66*$K$14:$K$66)/F81,0)</f>
        <v>1</v>
      </c>
      <c r="I81" s="25" t="n">
        <f aca="false">F81*H81</f>
        <v>59.5152002</v>
      </c>
      <c r="J81" s="34" t="n">
        <f aca="false">IF(F81&gt;0,SUMPRODUCT(($P$14:$P$66="E2")*$J$14:$J$66*$N$14:$N$66)/F81,0)</f>
        <v>0.179548529856075</v>
      </c>
      <c r="K81" s="25" t="n">
        <f aca="false">Quesería!F87</f>
        <v>59.5152002</v>
      </c>
      <c r="L81" s="83" t="n">
        <f aca="false">I81-K81</f>
        <v>0</v>
      </c>
    </row>
    <row r="82" customFormat="false" ht="15" hidden="false" customHeight="false" outlineLevel="0" collapsed="false">
      <c r="A82" s="84" t="s">
        <v>1145</v>
      </c>
      <c r="B82" s="84"/>
      <c r="C82" s="33" t="n">
        <v>3</v>
      </c>
      <c r="D82" s="9" t="s">
        <v>1160</v>
      </c>
      <c r="E82" s="73" t="n">
        <f aca="false">COUNTIF($P$14:$P$66,"CP")</f>
        <v>1</v>
      </c>
      <c r="F82" s="25" t="n">
        <f aca="false">SUMIF($P$14:$P$66,"CP",$J$14:$J$66)</f>
        <v>521.382147</v>
      </c>
      <c r="G82" s="64" t="n">
        <f aca="false">IF(F82&gt;0,SUMPRODUCT(($P$14:$P$66="CP")*$J$14:$J$66*$M$14:$M$66)/F82,0)</f>
        <v>3</v>
      </c>
      <c r="J82" s="34" t="n">
        <f aca="false">IF(F82&gt;0,SUMPRODUCT(($P$14:$P$66="CP")*$J$14:$J$66*$N$14:$N$66)/F82,0)</f>
        <v>0.15</v>
      </c>
    </row>
    <row r="83" customFormat="false" ht="15" hidden="false" customHeight="false" outlineLevel="0" collapsed="false">
      <c r="A83" s="5" t="s">
        <v>1161</v>
      </c>
      <c r="I83" s="54" t="n">
        <f aca="false">SUM(I72:I82)</f>
        <v>1053.14753404578</v>
      </c>
      <c r="K83" s="30" t="n">
        <f aca="false">SUM(K72:K82)</f>
        <v>1053.14753404578</v>
      </c>
    </row>
    <row r="84" customFormat="false" ht="15" hidden="false" customHeight="false" outlineLevel="0" collapsed="false">
      <c r="A84" s="6" t="s">
        <v>1162</v>
      </c>
      <c r="L84" s="83" t="n">
        <f aca="false">SUM(L72:L82)</f>
        <v>0</v>
      </c>
    </row>
    <row r="85" customFormat="false" ht="27.75" hidden="false" customHeight="true" outlineLevel="0" collapsed="false">
      <c r="A85" s="32" t="s">
        <v>1163</v>
      </c>
      <c r="B85" s="32"/>
      <c r="C85" s="32"/>
      <c r="D85" s="32"/>
      <c r="E85" s="32"/>
      <c r="F85" s="32"/>
      <c r="G85" s="32"/>
      <c r="H85" s="32"/>
      <c r="I85" s="32"/>
      <c r="J85" s="32"/>
      <c r="K85" s="32"/>
      <c r="L85" s="32"/>
      <c r="M85" s="32"/>
      <c r="N85" s="32"/>
      <c r="O85" s="32"/>
    </row>
  </sheetData>
  <mergeCells count="14">
    <mergeCell ref="A2:O2"/>
    <mergeCell ref="A68:O68"/>
    <mergeCell ref="A72:B72"/>
    <mergeCell ref="A73:B73"/>
    <mergeCell ref="A74:B74"/>
    <mergeCell ref="A75:B75"/>
    <mergeCell ref="A76:B76"/>
    <mergeCell ref="A77:B77"/>
    <mergeCell ref="A78:B78"/>
    <mergeCell ref="A79:B79"/>
    <mergeCell ref="A80:B80"/>
    <mergeCell ref="A81:B81"/>
    <mergeCell ref="A82:B82"/>
    <mergeCell ref="A85:O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0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1" outlineLevelCol="0"/>
  <cols>
    <col collapsed="false" customWidth="true" hidden="false" outlineLevel="0" max="1" min="1" style="0" width="58"/>
    <col collapsed="false" customWidth="true" hidden="false" outlineLevel="0" max="19" min="2" style="0" width="12"/>
  </cols>
  <sheetData>
    <row r="1" customFormat="false" ht="17.35" hidden="false" customHeight="false" outlineLevel="0" collapsed="false">
      <c r="A1" s="42" t="s">
        <v>1164</v>
      </c>
    </row>
    <row r="2" customFormat="false" ht="15" hidden="false" customHeight="false" outlineLevel="0" collapsed="false">
      <c r="A2" s="9" t="s">
        <v>1165</v>
      </c>
    </row>
    <row r="4" customFormat="false" ht="15" hidden="false" customHeight="false" outlineLevel="0" collapsed="false">
      <c r="A4" s="3" t="s">
        <v>1166</v>
      </c>
      <c r="B4" s="4"/>
      <c r="C4" s="4"/>
      <c r="D4" s="4"/>
      <c r="E4" s="4"/>
      <c r="F4" s="4"/>
      <c r="G4" s="4"/>
      <c r="H4" s="4"/>
      <c r="I4" s="4"/>
      <c r="J4" s="4"/>
      <c r="K4" s="4"/>
      <c r="L4" s="4"/>
      <c r="M4" s="4"/>
      <c r="N4" s="4"/>
      <c r="O4" s="4"/>
      <c r="P4" s="4"/>
      <c r="Q4" s="4"/>
      <c r="R4" s="4"/>
      <c r="S4" s="4"/>
      <c r="T4" s="4"/>
      <c r="U4" s="4"/>
      <c r="V4" s="4"/>
      <c r="W4" s="4"/>
      <c r="X4" s="4"/>
      <c r="Y4" s="4"/>
    </row>
    <row r="5" customFormat="false" ht="42" hidden="false" customHeight="true" outlineLevel="0" collapsed="false">
      <c r="A5" s="23" t="s">
        <v>187</v>
      </c>
      <c r="B5" s="24" t="s">
        <v>153</v>
      </c>
      <c r="C5" s="24" t="s">
        <v>173</v>
      </c>
      <c r="D5" s="24" t="s">
        <v>174</v>
      </c>
      <c r="E5" s="24" t="s">
        <v>1167</v>
      </c>
      <c r="F5" s="24" t="s">
        <v>169</v>
      </c>
      <c r="G5" s="24" t="s">
        <v>170</v>
      </c>
      <c r="H5" s="24" t="s">
        <v>1168</v>
      </c>
      <c r="I5" s="24" t="s">
        <v>171</v>
      </c>
      <c r="J5" s="24" t="s">
        <v>1169</v>
      </c>
      <c r="K5" s="24" t="s">
        <v>1170</v>
      </c>
      <c r="L5" s="24" t="s">
        <v>1171</v>
      </c>
      <c r="M5" s="24" t="s">
        <v>1172</v>
      </c>
      <c r="N5" s="24" t="s">
        <v>1173</v>
      </c>
      <c r="O5" s="24" t="s">
        <v>1174</v>
      </c>
      <c r="P5" s="24" t="s">
        <v>1175</v>
      </c>
      <c r="Q5" s="24" t="s">
        <v>1176</v>
      </c>
      <c r="R5" s="24" t="s">
        <v>1177</v>
      </c>
      <c r="S5" s="24" t="s">
        <v>1178</v>
      </c>
      <c r="T5" s="24" t="s">
        <v>168</v>
      </c>
      <c r="U5" s="24" t="s">
        <v>1179</v>
      </c>
      <c r="V5" s="24" t="s">
        <v>1180</v>
      </c>
      <c r="W5" s="24" t="s">
        <v>1181</v>
      </c>
      <c r="X5" s="24" t="s">
        <v>1182</v>
      </c>
      <c r="Y5" s="24" t="s">
        <v>172</v>
      </c>
    </row>
    <row r="6" customFormat="false" ht="15" hidden="false" customHeight="false" outlineLevel="0" collapsed="false">
      <c r="A6" s="6" t="s">
        <v>1183</v>
      </c>
      <c r="B6" s="33" t="n">
        <v>1</v>
      </c>
      <c r="C6" s="33" t="n">
        <v>1</v>
      </c>
      <c r="D6" s="33" t="n">
        <v>1</v>
      </c>
      <c r="E6" s="33" t="n">
        <v>1</v>
      </c>
      <c r="F6" s="33" t="n">
        <v>1</v>
      </c>
      <c r="G6" s="33" t="n">
        <v>1</v>
      </c>
      <c r="H6" s="33" t="n">
        <v>1</v>
      </c>
      <c r="I6" s="33" t="n">
        <v>1</v>
      </c>
      <c r="J6" s="33" t="n">
        <v>1</v>
      </c>
      <c r="K6" s="33" t="n">
        <v>1</v>
      </c>
      <c r="L6" s="33" t="n">
        <v>1</v>
      </c>
      <c r="M6" s="33" t="n">
        <v>1</v>
      </c>
      <c r="N6" s="33" t="n">
        <v>1</v>
      </c>
      <c r="O6" s="33" t="n">
        <v>1</v>
      </c>
      <c r="P6" s="33" t="n">
        <v>1</v>
      </c>
      <c r="Q6" s="33" t="n">
        <v>1</v>
      </c>
      <c r="R6" s="33" t="n">
        <v>1</v>
      </c>
      <c r="S6" s="33" t="n">
        <v>1</v>
      </c>
      <c r="T6" s="33" t="n">
        <v>1</v>
      </c>
      <c r="U6" s="33" t="n">
        <v>1</v>
      </c>
      <c r="V6" s="33" t="n">
        <v>1</v>
      </c>
      <c r="W6" s="33" t="n">
        <v>1</v>
      </c>
      <c r="X6" s="33" t="n">
        <v>1</v>
      </c>
      <c r="Y6" s="33" t="n">
        <v>1</v>
      </c>
    </row>
    <row r="7" customFormat="false" ht="15" hidden="false" customHeight="false" outlineLevel="0" collapsed="false">
      <c r="A7" s="6" t="s">
        <v>1184</v>
      </c>
      <c r="B7" s="33" t="n">
        <v>1</v>
      </c>
      <c r="C7" s="53" t="n">
        <v>0</v>
      </c>
      <c r="D7" s="53" t="n">
        <v>0</v>
      </c>
      <c r="E7" s="33" t="n">
        <v>1</v>
      </c>
      <c r="F7" s="33" t="n">
        <v>1</v>
      </c>
      <c r="G7" s="33" t="n">
        <v>1</v>
      </c>
      <c r="H7" s="33" t="n">
        <v>1</v>
      </c>
      <c r="I7" s="33" t="n">
        <v>1</v>
      </c>
      <c r="J7" s="33" t="n">
        <v>1</v>
      </c>
      <c r="K7" s="33" t="n">
        <v>1</v>
      </c>
      <c r="L7" s="33" t="n">
        <v>1</v>
      </c>
      <c r="M7" s="33" t="n">
        <v>1</v>
      </c>
      <c r="N7" s="33" t="n">
        <v>1</v>
      </c>
      <c r="O7" s="33" t="n">
        <v>1</v>
      </c>
      <c r="P7" s="33" t="n">
        <v>1</v>
      </c>
      <c r="Q7" s="33" t="n">
        <v>1</v>
      </c>
      <c r="R7" s="33" t="n">
        <v>1</v>
      </c>
      <c r="S7" s="33" t="n">
        <v>1</v>
      </c>
      <c r="T7" s="33" t="n">
        <v>1</v>
      </c>
      <c r="U7" s="33" t="n">
        <v>1</v>
      </c>
      <c r="V7" s="33" t="n">
        <v>1</v>
      </c>
      <c r="W7" s="33" t="n">
        <v>1</v>
      </c>
      <c r="X7" s="33" t="n">
        <v>1</v>
      </c>
      <c r="Y7" s="33" t="n">
        <v>1</v>
      </c>
    </row>
    <row r="8" customFormat="false" ht="15" hidden="false" customHeight="false" outlineLevel="0" collapsed="false">
      <c r="A8" s="6" t="s">
        <v>1185</v>
      </c>
      <c r="B8" s="33" t="n">
        <v>1</v>
      </c>
      <c r="C8" s="53" t="n">
        <v>0</v>
      </c>
      <c r="D8" s="53" t="n">
        <v>0</v>
      </c>
      <c r="E8" s="33" t="n">
        <v>1</v>
      </c>
      <c r="F8" s="33" t="n">
        <v>1</v>
      </c>
      <c r="G8" s="33" t="n">
        <v>1</v>
      </c>
      <c r="H8" s="33" t="n">
        <v>1</v>
      </c>
      <c r="I8" s="33" t="n">
        <v>1</v>
      </c>
      <c r="J8" s="33" t="n">
        <v>1</v>
      </c>
      <c r="K8" s="33" t="n">
        <v>1</v>
      </c>
      <c r="L8" s="33" t="n">
        <v>1</v>
      </c>
      <c r="M8" s="33" t="n">
        <v>1</v>
      </c>
      <c r="N8" s="33" t="n">
        <v>1</v>
      </c>
      <c r="O8" s="33" t="n">
        <v>1</v>
      </c>
      <c r="P8" s="33" t="n">
        <v>1</v>
      </c>
      <c r="Q8" s="33" t="n">
        <v>1</v>
      </c>
      <c r="R8" s="33" t="n">
        <v>1</v>
      </c>
      <c r="S8" s="33" t="n">
        <v>1</v>
      </c>
      <c r="T8" s="33" t="n">
        <v>1</v>
      </c>
      <c r="U8" s="33" t="n">
        <v>1</v>
      </c>
      <c r="V8" s="33" t="n">
        <v>1</v>
      </c>
      <c r="W8" s="33" t="n">
        <v>1</v>
      </c>
      <c r="X8" s="33" t="n">
        <v>1</v>
      </c>
      <c r="Y8" s="33" t="n">
        <v>1</v>
      </c>
    </row>
    <row r="9" customFormat="false" ht="15" hidden="false" customHeight="false" outlineLevel="0" collapsed="false">
      <c r="A9" s="6" t="s">
        <v>1186</v>
      </c>
      <c r="B9" s="33" t="n">
        <v>1</v>
      </c>
      <c r="C9" s="33" t="n">
        <v>1</v>
      </c>
      <c r="D9" s="33" t="n">
        <v>1</v>
      </c>
      <c r="E9" s="33" t="n">
        <v>1</v>
      </c>
      <c r="F9" s="53" t="n">
        <v>0</v>
      </c>
      <c r="G9" s="33" t="n">
        <v>1</v>
      </c>
      <c r="H9" s="33" t="n">
        <v>1</v>
      </c>
      <c r="I9" s="33" t="n">
        <v>1</v>
      </c>
      <c r="J9" s="33" t="n">
        <v>1</v>
      </c>
      <c r="K9" s="33" t="n">
        <v>1</v>
      </c>
      <c r="L9" s="33" t="n">
        <v>1</v>
      </c>
      <c r="M9" s="33" t="n">
        <v>1</v>
      </c>
      <c r="N9" s="33" t="n">
        <v>1</v>
      </c>
      <c r="O9" s="33" t="n">
        <v>1</v>
      </c>
      <c r="P9" s="33" t="n">
        <v>1</v>
      </c>
      <c r="Q9" s="33" t="n">
        <v>1</v>
      </c>
      <c r="R9" s="33" t="n">
        <v>1</v>
      </c>
      <c r="S9" s="33" t="n">
        <v>1</v>
      </c>
      <c r="T9" s="33" t="n">
        <v>1</v>
      </c>
      <c r="U9" s="33" t="n">
        <v>1</v>
      </c>
      <c r="V9" s="33" t="n">
        <v>1</v>
      </c>
      <c r="W9" s="33" t="n">
        <v>1</v>
      </c>
      <c r="X9" s="33" t="n">
        <v>1</v>
      </c>
      <c r="Y9" s="33" t="n">
        <v>1</v>
      </c>
    </row>
    <row r="10" customFormat="false" ht="15" hidden="false" customHeight="false" outlineLevel="0" collapsed="false">
      <c r="A10" s="6" t="s">
        <v>1187</v>
      </c>
      <c r="B10" s="85" t="n">
        <v>1</v>
      </c>
      <c r="C10" s="85" t="n">
        <v>1</v>
      </c>
      <c r="D10" s="85" t="n">
        <v>1</v>
      </c>
      <c r="E10" s="85" t="n">
        <v>1</v>
      </c>
      <c r="F10" s="85" t="n">
        <v>1</v>
      </c>
      <c r="G10" s="86" t="n">
        <v>0.8</v>
      </c>
      <c r="H10" s="86" t="n">
        <v>1.2</v>
      </c>
      <c r="I10" s="85" t="n">
        <v>1</v>
      </c>
      <c r="J10" s="85" t="n">
        <v>1</v>
      </c>
      <c r="K10" s="85" t="n">
        <v>1</v>
      </c>
      <c r="L10" s="85" t="n">
        <v>1</v>
      </c>
      <c r="M10" s="85" t="n">
        <v>1</v>
      </c>
      <c r="N10" s="85" t="n">
        <v>1</v>
      </c>
      <c r="O10" s="85" t="n">
        <v>1</v>
      </c>
      <c r="P10" s="85" t="n">
        <v>1</v>
      </c>
      <c r="Q10" s="85" t="n">
        <v>1</v>
      </c>
      <c r="R10" s="85" t="n">
        <v>1</v>
      </c>
      <c r="S10" s="85" t="n">
        <v>1</v>
      </c>
      <c r="T10" s="85" t="n">
        <v>1</v>
      </c>
      <c r="U10" s="85" t="n">
        <v>1</v>
      </c>
      <c r="V10" s="86" t="n">
        <v>0.8</v>
      </c>
      <c r="W10" s="85" t="n">
        <v>1</v>
      </c>
      <c r="X10" s="85" t="n">
        <v>1</v>
      </c>
      <c r="Y10" s="85" t="n">
        <v>1</v>
      </c>
    </row>
    <row r="11" customFormat="false" ht="15" hidden="false" customHeight="false" outlineLevel="0" collapsed="false">
      <c r="A11" s="6" t="s">
        <v>1188</v>
      </c>
      <c r="B11" s="85" t="n">
        <v>1</v>
      </c>
      <c r="C11" s="85" t="n">
        <v>1</v>
      </c>
      <c r="D11" s="85" t="n">
        <v>1</v>
      </c>
      <c r="E11" s="85" t="n">
        <v>1</v>
      </c>
      <c r="F11" s="85" t="n">
        <v>1</v>
      </c>
      <c r="G11" s="85" t="n">
        <v>1</v>
      </c>
      <c r="H11" s="85" t="n">
        <v>1</v>
      </c>
      <c r="I11" s="86" t="n">
        <v>1.2</v>
      </c>
      <c r="J11" s="86" t="n">
        <v>0.8</v>
      </c>
      <c r="K11" s="85" t="n">
        <v>1</v>
      </c>
      <c r="L11" s="85" t="n">
        <v>1</v>
      </c>
      <c r="M11" s="85" t="n">
        <v>1</v>
      </c>
      <c r="N11" s="85" t="n">
        <v>1</v>
      </c>
      <c r="O11" s="85" t="n">
        <v>1</v>
      </c>
      <c r="P11" s="85" t="n">
        <v>1</v>
      </c>
      <c r="Q11" s="85" t="n">
        <v>1</v>
      </c>
      <c r="R11" s="85" t="n">
        <v>1</v>
      </c>
      <c r="S11" s="85" t="n">
        <v>1</v>
      </c>
      <c r="T11" s="85" t="n">
        <v>1</v>
      </c>
      <c r="U11" s="85" t="n">
        <v>1</v>
      </c>
      <c r="V11" s="86" t="n">
        <v>1.2</v>
      </c>
      <c r="W11" s="85" t="n">
        <v>1</v>
      </c>
      <c r="X11" s="85" t="n">
        <v>1</v>
      </c>
      <c r="Y11" s="85" t="n">
        <v>1</v>
      </c>
    </row>
    <row r="12" customFormat="false" ht="15" hidden="false" customHeight="false" outlineLevel="0" collapsed="false">
      <c r="A12" s="6" t="s">
        <v>1189</v>
      </c>
      <c r="B12" s="85" t="n">
        <v>1</v>
      </c>
      <c r="C12" s="85" t="n">
        <v>1</v>
      </c>
      <c r="D12" s="85" t="n">
        <v>1</v>
      </c>
      <c r="E12" s="85" t="n">
        <v>1</v>
      </c>
      <c r="F12" s="85" t="n">
        <v>1</v>
      </c>
      <c r="G12" s="85" t="n">
        <v>1</v>
      </c>
      <c r="H12" s="85" t="n">
        <v>1</v>
      </c>
      <c r="I12" s="85" t="n">
        <v>1</v>
      </c>
      <c r="J12" s="85" t="n">
        <v>1</v>
      </c>
      <c r="K12" s="86" t="n">
        <v>1.3</v>
      </c>
      <c r="L12" s="86" t="n">
        <v>0.7</v>
      </c>
      <c r="M12" s="85" t="n">
        <v>1</v>
      </c>
      <c r="N12" s="85" t="n">
        <v>1</v>
      </c>
      <c r="O12" s="85" t="n">
        <v>1</v>
      </c>
      <c r="P12" s="85" t="n">
        <v>1</v>
      </c>
      <c r="Q12" s="85" t="n">
        <v>1</v>
      </c>
      <c r="R12" s="85" t="n">
        <v>1</v>
      </c>
      <c r="S12" s="85" t="n">
        <v>1</v>
      </c>
      <c r="T12" s="85" t="n">
        <v>1</v>
      </c>
      <c r="U12" s="85" t="n">
        <v>1</v>
      </c>
      <c r="V12" s="86" t="n">
        <v>1.3</v>
      </c>
      <c r="W12" s="85" t="n">
        <v>1</v>
      </c>
      <c r="X12" s="85" t="n">
        <v>1</v>
      </c>
      <c r="Y12" s="85" t="n">
        <v>1</v>
      </c>
    </row>
    <row r="13" customFormat="false" ht="15" hidden="false" customHeight="false" outlineLevel="0" collapsed="false">
      <c r="A13" s="6" t="s">
        <v>283</v>
      </c>
      <c r="B13" s="33" t="n">
        <f aca="false">Quesería!$B$49</f>
        <v>0</v>
      </c>
      <c r="C13" s="53" t="n">
        <v>1</v>
      </c>
      <c r="D13" s="53" t="n">
        <v>1</v>
      </c>
      <c r="E13" s="33" t="n">
        <f aca="false">Quesería!$B$49</f>
        <v>0</v>
      </c>
      <c r="F13" s="33" t="n">
        <f aca="false">Quesería!$B$49</f>
        <v>0</v>
      </c>
      <c r="G13" s="33" t="n">
        <f aca="false">Quesería!$B$49</f>
        <v>0</v>
      </c>
      <c r="H13" s="33" t="n">
        <f aca="false">Quesería!$B$49</f>
        <v>0</v>
      </c>
      <c r="I13" s="33" t="n">
        <f aca="false">Quesería!$B$49</f>
        <v>0</v>
      </c>
      <c r="J13" s="33" t="n">
        <f aca="false">Quesería!$B$49</f>
        <v>0</v>
      </c>
      <c r="K13" s="33" t="n">
        <f aca="false">Quesería!$B$49</f>
        <v>0</v>
      </c>
      <c r="L13" s="33" t="n">
        <f aca="false">Quesería!$B$49</f>
        <v>0</v>
      </c>
      <c r="M13" s="33" t="n">
        <f aca="false">Quesería!$B$49</f>
        <v>0</v>
      </c>
      <c r="N13" s="33" t="n">
        <f aca="false">Quesería!$B$49</f>
        <v>0</v>
      </c>
      <c r="O13" s="33" t="n">
        <f aca="false">Quesería!$B$49</f>
        <v>0</v>
      </c>
      <c r="P13" s="33" t="n">
        <f aca="false">Quesería!$B$49</f>
        <v>0</v>
      </c>
      <c r="Q13" s="33" t="n">
        <f aca="false">Quesería!$B$49</f>
        <v>0</v>
      </c>
      <c r="R13" s="33" t="n">
        <f aca="false">Quesería!$B$49</f>
        <v>0</v>
      </c>
      <c r="S13" s="53" t="n">
        <v>1</v>
      </c>
      <c r="T13" s="33" t="n">
        <f aca="false">Quesería!$B$49</f>
        <v>0</v>
      </c>
      <c r="U13" s="53" t="n">
        <v>1</v>
      </c>
      <c r="V13" s="33" t="n">
        <f aca="false">Quesería!$B$49</f>
        <v>0</v>
      </c>
      <c r="W13" s="53" t="n">
        <v>1</v>
      </c>
      <c r="X13" s="53" t="n">
        <v>1</v>
      </c>
      <c r="Y13" s="33" t="n">
        <f aca="false">Quesería!$B$49</f>
        <v>0</v>
      </c>
    </row>
    <row r="14" customFormat="false" ht="15" hidden="false" customHeight="false" outlineLevel="0" collapsed="false">
      <c r="A14" s="6" t="s">
        <v>1190</v>
      </c>
      <c r="B14" s="87" t="n">
        <f aca="false">Quesería!$B$45</f>
        <v>0.141</v>
      </c>
      <c r="C14" s="87" t="n">
        <f aca="false">Quesería!$B$45</f>
        <v>0.141</v>
      </c>
      <c r="D14" s="87" t="n">
        <f aca="false">Quesería!$B$45</f>
        <v>0.141</v>
      </c>
      <c r="E14" s="87" t="n">
        <f aca="false">Quesería!$B$45</f>
        <v>0.141</v>
      </c>
      <c r="F14" s="87" t="n">
        <f aca="false">Quesería!$B$45</f>
        <v>0.141</v>
      </c>
      <c r="G14" s="87" t="n">
        <f aca="false">Quesería!$B$45</f>
        <v>0.141</v>
      </c>
      <c r="H14" s="87" t="n">
        <f aca="false">Quesería!$B$45</f>
        <v>0.141</v>
      </c>
      <c r="I14" s="87" t="n">
        <f aca="false">Quesería!$B$45</f>
        <v>0.141</v>
      </c>
      <c r="J14" s="87" t="n">
        <f aca="false">Quesería!$B$45</f>
        <v>0.141</v>
      </c>
      <c r="K14" s="87" t="n">
        <f aca="false">Quesería!$B$45</f>
        <v>0.141</v>
      </c>
      <c r="L14" s="87" t="n">
        <f aca="false">Quesería!$B$45</f>
        <v>0.141</v>
      </c>
      <c r="M14" s="87" t="n">
        <f aca="false">Quesería!$B$45</f>
        <v>0.141</v>
      </c>
      <c r="N14" s="87" t="n">
        <f aca="false">Quesería!$B$45</f>
        <v>0.141</v>
      </c>
      <c r="O14" s="87" t="n">
        <f aca="false">Quesería!$B$45</f>
        <v>0.141</v>
      </c>
      <c r="P14" s="87" t="n">
        <f aca="false">Quesería!$B$45</f>
        <v>0.141</v>
      </c>
      <c r="Q14" s="87" t="n">
        <f aca="false">Quesería!$B$45</f>
        <v>0.141</v>
      </c>
      <c r="R14" s="88" t="n">
        <v>0.157</v>
      </c>
      <c r="S14" s="87" t="n">
        <f aca="false">Quesería!$B$45</f>
        <v>0.141</v>
      </c>
      <c r="T14" s="87" t="n">
        <f aca="false">Quesería!$B$45</f>
        <v>0.141</v>
      </c>
      <c r="U14" s="87" t="n">
        <f aca="false">Quesería!$B$45</f>
        <v>0.141</v>
      </c>
      <c r="V14" s="87" t="n">
        <f aca="false">Quesería!$B$45</f>
        <v>0.141</v>
      </c>
      <c r="W14" s="87" t="n">
        <f aca="false">Quesería!$B$45</f>
        <v>0.141</v>
      </c>
      <c r="X14" s="87" t="n">
        <f aca="false">Quesería!$B$45</f>
        <v>0.141</v>
      </c>
      <c r="Y14" s="87" t="n">
        <f aca="false">Quesería!$B$45</f>
        <v>0.141</v>
      </c>
    </row>
    <row r="15" customFormat="false" ht="15" hidden="false" customHeight="false" outlineLevel="0" collapsed="false">
      <c r="A15" s="6" t="s">
        <v>1191</v>
      </c>
      <c r="B15" s="33" t="n">
        <f aca="false">Quesería!$B$7</f>
        <v>1</v>
      </c>
      <c r="C15" s="33" t="n">
        <f aca="false">Quesería!$B$7</f>
        <v>1</v>
      </c>
      <c r="D15" s="33" t="n">
        <f aca="false">Quesería!$B$7</f>
        <v>1</v>
      </c>
      <c r="E15" s="33" t="n">
        <f aca="false">Quesería!$B$7</f>
        <v>1</v>
      </c>
      <c r="F15" s="33" t="n">
        <f aca="false">Quesería!$B$7</f>
        <v>1</v>
      </c>
      <c r="G15" s="33" t="n">
        <f aca="false">Quesería!$B$7</f>
        <v>1</v>
      </c>
      <c r="H15" s="33" t="n">
        <f aca="false">Quesería!$B$7</f>
        <v>1</v>
      </c>
      <c r="I15" s="33" t="n">
        <f aca="false">Quesería!$B$7</f>
        <v>1</v>
      </c>
      <c r="J15" s="33" t="n">
        <f aca="false">Quesería!$B$7</f>
        <v>1</v>
      </c>
      <c r="K15" s="33" t="n">
        <f aca="false">Quesería!$B$7</f>
        <v>1</v>
      </c>
      <c r="L15" s="33" t="n">
        <f aca="false">Quesería!$B$7</f>
        <v>1</v>
      </c>
      <c r="M15" s="53" t="n">
        <v>2</v>
      </c>
      <c r="N15" s="53" t="n">
        <v>3</v>
      </c>
      <c r="O15" s="33" t="n">
        <f aca="false">Quesería!$B$7</f>
        <v>1</v>
      </c>
      <c r="P15" s="33" t="n">
        <f aca="false">Quesería!$B$7</f>
        <v>1</v>
      </c>
      <c r="Q15" s="33" t="n">
        <f aca="false">Quesería!$B$7</f>
        <v>1</v>
      </c>
      <c r="R15" s="33" t="n">
        <f aca="false">Quesería!$B$7</f>
        <v>1</v>
      </c>
      <c r="S15" s="33" t="n">
        <f aca="false">Quesería!$B$7</f>
        <v>1</v>
      </c>
      <c r="T15" s="33" t="n">
        <f aca="false">Quesería!$B$7</f>
        <v>1</v>
      </c>
      <c r="U15" s="33" t="n">
        <f aca="false">Quesería!$B$7</f>
        <v>1</v>
      </c>
      <c r="V15" s="33" t="n">
        <f aca="false">Quesería!$B$7</f>
        <v>1</v>
      </c>
      <c r="W15" s="33" t="n">
        <f aca="false">Quesería!$B$7</f>
        <v>1</v>
      </c>
      <c r="X15" s="33" t="n">
        <f aca="false">Quesería!$B$7</f>
        <v>1</v>
      </c>
      <c r="Y15" s="33" t="n">
        <f aca="false">Quesería!$B$7</f>
        <v>1</v>
      </c>
    </row>
    <row r="16" customFormat="false" ht="15" hidden="false" customHeight="false" outlineLevel="0" collapsed="false">
      <c r="A16" s="6" t="s">
        <v>1192</v>
      </c>
      <c r="B16" s="87" t="n">
        <f aca="false">Entorno!$B$12</f>
        <v>0.085</v>
      </c>
      <c r="C16" s="87" t="n">
        <f aca="false">Entorno!$B$12</f>
        <v>0.085</v>
      </c>
      <c r="D16" s="87" t="n">
        <f aca="false">Entorno!$B$12</f>
        <v>0.085</v>
      </c>
      <c r="E16" s="87" t="n">
        <f aca="false">Entorno!$B$12</f>
        <v>0.085</v>
      </c>
      <c r="F16" s="87" t="n">
        <f aca="false">Entorno!$B$12</f>
        <v>0.085</v>
      </c>
      <c r="G16" s="87" t="n">
        <f aca="false">Entorno!$B$12</f>
        <v>0.085</v>
      </c>
      <c r="H16" s="87" t="n">
        <f aca="false">Entorno!$B$12</f>
        <v>0.085</v>
      </c>
      <c r="I16" s="87" t="n">
        <f aca="false">Entorno!$B$12</f>
        <v>0.085</v>
      </c>
      <c r="J16" s="87" t="n">
        <f aca="false">Entorno!$B$12</f>
        <v>0.085</v>
      </c>
      <c r="K16" s="87" t="n">
        <f aca="false">Entorno!$B$12</f>
        <v>0.085</v>
      </c>
      <c r="L16" s="87" t="n">
        <f aca="false">Entorno!$B$12</f>
        <v>0.085</v>
      </c>
      <c r="M16" s="87" t="n">
        <f aca="false">Entorno!$B$12</f>
        <v>0.085</v>
      </c>
      <c r="N16" s="87" t="n">
        <f aca="false">Entorno!$B$12</f>
        <v>0.085</v>
      </c>
      <c r="O16" s="88" t="n">
        <v>0.07</v>
      </c>
      <c r="P16" s="88" t="n">
        <v>0.1</v>
      </c>
      <c r="Q16" s="87" t="n">
        <f aca="false">Entorno!$B$12</f>
        <v>0.085</v>
      </c>
      <c r="R16" s="87" t="n">
        <f aca="false">Entorno!$B$12</f>
        <v>0.085</v>
      </c>
      <c r="S16" s="87" t="n">
        <f aca="false">Entorno!$B$12</f>
        <v>0.085</v>
      </c>
      <c r="T16" s="87" t="n">
        <f aca="false">Entorno!$B$12</f>
        <v>0.085</v>
      </c>
      <c r="U16" s="87" t="n">
        <f aca="false">Entorno!$B$12</f>
        <v>0.085</v>
      </c>
      <c r="V16" s="87" t="n">
        <f aca="false">Entorno!$B$12</f>
        <v>0.085</v>
      </c>
      <c r="W16" s="87" t="n">
        <f aca="false">Entorno!$B$12</f>
        <v>0.085</v>
      </c>
      <c r="X16" s="87" t="n">
        <f aca="false">Entorno!$B$12</f>
        <v>0.085</v>
      </c>
      <c r="Y16" s="87" t="n">
        <f aca="false">Entorno!$B$12</f>
        <v>0.085</v>
      </c>
    </row>
    <row r="17" customFormat="false" ht="15" hidden="false" customHeight="false" outlineLevel="0" collapsed="false">
      <c r="A17" s="6" t="s">
        <v>295</v>
      </c>
      <c r="B17" s="87" t="n">
        <f aca="false">Quesería!$B$54</f>
        <v>0.35</v>
      </c>
      <c r="C17" s="87" t="n">
        <f aca="false">Quesería!$B$54</f>
        <v>0.35</v>
      </c>
      <c r="D17" s="87" t="n">
        <f aca="false">Quesería!$B$54</f>
        <v>0.35</v>
      </c>
      <c r="E17" s="87" t="n">
        <f aca="false">Quesería!$B$54</f>
        <v>0.35</v>
      </c>
      <c r="F17" s="87" t="n">
        <f aca="false">Quesería!$B$54</f>
        <v>0.35</v>
      </c>
      <c r="G17" s="87" t="n">
        <f aca="false">Quesería!$B$54</f>
        <v>0.35</v>
      </c>
      <c r="H17" s="87" t="n">
        <f aca="false">Quesería!$B$54</f>
        <v>0.35</v>
      </c>
      <c r="I17" s="87" t="n">
        <f aca="false">Quesería!$B$54</f>
        <v>0.35</v>
      </c>
      <c r="J17" s="87" t="n">
        <f aca="false">Quesería!$B$54</f>
        <v>0.35</v>
      </c>
      <c r="K17" s="87" t="n">
        <f aca="false">Quesería!$B$54</f>
        <v>0.35</v>
      </c>
      <c r="L17" s="87" t="n">
        <f aca="false">Quesería!$B$54</f>
        <v>0.35</v>
      </c>
      <c r="M17" s="87" t="n">
        <f aca="false">Quesería!$B$54</f>
        <v>0.35</v>
      </c>
      <c r="N17" s="87" t="n">
        <f aca="false">Quesería!$B$54</f>
        <v>0.35</v>
      </c>
      <c r="O17" s="87" t="n">
        <f aca="false">Quesería!$B$54</f>
        <v>0.35</v>
      </c>
      <c r="P17" s="87" t="n">
        <f aca="false">Quesería!$B$54</f>
        <v>0.35</v>
      </c>
      <c r="Q17" s="88" t="n">
        <v>0.3</v>
      </c>
      <c r="R17" s="87" t="n">
        <f aca="false">Quesería!$B$54</f>
        <v>0.35</v>
      </c>
      <c r="S17" s="87" t="n">
        <f aca="false">Quesería!$B$54</f>
        <v>0.35</v>
      </c>
      <c r="T17" s="87" t="n">
        <f aca="false">Quesería!$B$54</f>
        <v>0.35</v>
      </c>
      <c r="U17" s="87" t="n">
        <f aca="false">Quesería!$B$54</f>
        <v>0.35</v>
      </c>
      <c r="V17" s="87" t="n">
        <f aca="false">Quesería!$B$54</f>
        <v>0.35</v>
      </c>
      <c r="W17" s="87" t="n">
        <f aca="false">Quesería!$B$54</f>
        <v>0.35</v>
      </c>
      <c r="X17" s="87" t="n">
        <f aca="false">Quesería!$B$54</f>
        <v>0.35</v>
      </c>
      <c r="Y17" s="87" t="n">
        <f aca="false">Quesería!$B$54</f>
        <v>0.35</v>
      </c>
    </row>
    <row r="18" customFormat="false" ht="15" hidden="false" customHeight="false" outlineLevel="0" collapsed="false">
      <c r="A18" s="6" t="s">
        <v>1193</v>
      </c>
      <c r="B18" s="33" t="n">
        <v>1</v>
      </c>
      <c r="C18" s="33" t="n">
        <v>1</v>
      </c>
      <c r="D18" s="33" t="n">
        <v>1</v>
      </c>
      <c r="E18" s="33" t="n">
        <v>1</v>
      </c>
      <c r="F18" s="33" t="n">
        <v>1</v>
      </c>
      <c r="G18" s="33" t="n">
        <v>1</v>
      </c>
      <c r="H18" s="33" t="n">
        <v>1</v>
      </c>
      <c r="I18" s="33" t="n">
        <v>1</v>
      </c>
      <c r="J18" s="33" t="n">
        <v>1</v>
      </c>
      <c r="K18" s="33" t="n">
        <v>1</v>
      </c>
      <c r="L18" s="33" t="n">
        <v>1</v>
      </c>
      <c r="M18" s="33" t="n">
        <v>1</v>
      </c>
      <c r="N18" s="33" t="n">
        <v>1</v>
      </c>
      <c r="O18" s="33" t="n">
        <v>1</v>
      </c>
      <c r="P18" s="33" t="n">
        <v>1</v>
      </c>
      <c r="Q18" s="33" t="n">
        <v>1</v>
      </c>
      <c r="R18" s="33" t="n">
        <v>1</v>
      </c>
      <c r="S18" s="33" t="n">
        <v>1</v>
      </c>
      <c r="T18" s="33" t="n">
        <v>1</v>
      </c>
      <c r="U18" s="33" t="n">
        <v>1</v>
      </c>
      <c r="V18" s="33" t="n">
        <v>1</v>
      </c>
      <c r="W18" s="53" t="n">
        <v>0</v>
      </c>
      <c r="X18" s="33" t="n">
        <v>1</v>
      </c>
      <c r="Y18" s="33" t="n">
        <v>1</v>
      </c>
    </row>
    <row r="19" customFormat="false" ht="15" hidden="false" customHeight="false" outlineLevel="0" collapsed="false">
      <c r="A19" s="6" t="s">
        <v>1194</v>
      </c>
      <c r="B19" s="33" t="n">
        <v>1</v>
      </c>
      <c r="C19" s="33" t="n">
        <v>1</v>
      </c>
      <c r="D19" s="33" t="n">
        <v>1</v>
      </c>
      <c r="E19" s="33" t="n">
        <v>1</v>
      </c>
      <c r="F19" s="33" t="n">
        <v>1</v>
      </c>
      <c r="G19" s="33" t="n">
        <v>1</v>
      </c>
      <c r="H19" s="33" t="n">
        <v>1</v>
      </c>
      <c r="I19" s="33" t="n">
        <v>1</v>
      </c>
      <c r="J19" s="33" t="n">
        <v>1</v>
      </c>
      <c r="K19" s="33" t="n">
        <v>1</v>
      </c>
      <c r="L19" s="33" t="n">
        <v>1</v>
      </c>
      <c r="M19" s="33" t="n">
        <v>1</v>
      </c>
      <c r="N19" s="33" t="n">
        <v>1</v>
      </c>
      <c r="O19" s="33" t="n">
        <v>1</v>
      </c>
      <c r="P19" s="33" t="n">
        <v>1</v>
      </c>
      <c r="Q19" s="33" t="n">
        <v>1</v>
      </c>
      <c r="R19" s="33" t="n">
        <v>1</v>
      </c>
      <c r="S19" s="33" t="n">
        <v>1</v>
      </c>
      <c r="T19" s="33" t="n">
        <v>1</v>
      </c>
      <c r="U19" s="33" t="n">
        <v>1</v>
      </c>
      <c r="V19" s="33" t="n">
        <v>1</v>
      </c>
      <c r="W19" s="53" t="n">
        <v>0</v>
      </c>
      <c r="X19" s="53" t="n">
        <v>0</v>
      </c>
      <c r="Y19" s="33" t="n">
        <v>1</v>
      </c>
    </row>
    <row r="20" customFormat="false" ht="15" hidden="false" customHeight="false" outlineLevel="0" collapsed="false">
      <c r="A20" s="6" t="s">
        <v>1195</v>
      </c>
      <c r="B20" s="33" t="n">
        <f aca="false">Quesería!$B$59</f>
        <v>1</v>
      </c>
      <c r="C20" s="53" t="n">
        <v>0</v>
      </c>
      <c r="D20" s="53" t="n">
        <v>0</v>
      </c>
      <c r="E20" s="33" t="n">
        <f aca="false">Quesería!$B$59</f>
        <v>1</v>
      </c>
      <c r="F20" s="33" t="n">
        <f aca="false">Quesería!$B$59</f>
        <v>1</v>
      </c>
      <c r="G20" s="33" t="n">
        <f aca="false">Quesería!$B$59</f>
        <v>1</v>
      </c>
      <c r="H20" s="33" t="n">
        <f aca="false">Quesería!$B$59</f>
        <v>1</v>
      </c>
      <c r="I20" s="33" t="n">
        <f aca="false">Quesería!$B$59</f>
        <v>1</v>
      </c>
      <c r="J20" s="33" t="n">
        <f aca="false">Quesería!$B$59</f>
        <v>1</v>
      </c>
      <c r="K20" s="33" t="n">
        <f aca="false">Quesería!$B$59</f>
        <v>1</v>
      </c>
      <c r="L20" s="33" t="n">
        <f aca="false">Quesería!$B$59</f>
        <v>1</v>
      </c>
      <c r="M20" s="33" t="n">
        <f aca="false">Quesería!$B$59</f>
        <v>1</v>
      </c>
      <c r="N20" s="33" t="n">
        <f aca="false">Quesería!$B$59</f>
        <v>1</v>
      </c>
      <c r="O20" s="33" t="n">
        <f aca="false">Quesería!$B$59</f>
        <v>1</v>
      </c>
      <c r="P20" s="33" t="n">
        <f aca="false">Quesería!$B$59</f>
        <v>1</v>
      </c>
      <c r="Q20" s="33" t="n">
        <f aca="false">Quesería!$B$59</f>
        <v>1</v>
      </c>
      <c r="R20" s="33" t="n">
        <f aca="false">Quesería!$B$59</f>
        <v>1</v>
      </c>
      <c r="S20" s="33" t="n">
        <f aca="false">Quesería!$B$59</f>
        <v>1</v>
      </c>
      <c r="T20" s="53" t="n">
        <v>0</v>
      </c>
      <c r="U20" s="53" t="n">
        <v>0</v>
      </c>
      <c r="V20" s="33" t="n">
        <f aca="false">Quesería!$B$59</f>
        <v>1</v>
      </c>
      <c r="W20" s="53" t="n">
        <v>0</v>
      </c>
      <c r="X20" s="53" t="n">
        <v>0</v>
      </c>
      <c r="Y20" s="33" t="n">
        <f aca="false">Quesería!$B$59</f>
        <v>1</v>
      </c>
    </row>
    <row r="21" customFormat="false" ht="15" hidden="false" customHeight="false" outlineLevel="0" collapsed="false">
      <c r="A21" s="6" t="s">
        <v>1196</v>
      </c>
      <c r="B21" s="33" t="n">
        <v>1</v>
      </c>
      <c r="C21" s="33" t="n">
        <v>1</v>
      </c>
      <c r="D21" s="53" t="n">
        <v>0</v>
      </c>
      <c r="E21" s="33" t="n">
        <v>1</v>
      </c>
      <c r="F21" s="33" t="n">
        <v>1</v>
      </c>
      <c r="G21" s="33" t="n">
        <v>1</v>
      </c>
      <c r="H21" s="33" t="n">
        <v>1</v>
      </c>
      <c r="I21" s="33" t="n">
        <v>1</v>
      </c>
      <c r="J21" s="33" t="n">
        <v>1</v>
      </c>
      <c r="K21" s="33" t="n">
        <v>1</v>
      </c>
      <c r="L21" s="33" t="n">
        <v>1</v>
      </c>
      <c r="M21" s="33" t="n">
        <v>1</v>
      </c>
      <c r="N21" s="33" t="n">
        <v>1</v>
      </c>
      <c r="O21" s="33" t="n">
        <v>1</v>
      </c>
      <c r="P21" s="33" t="n">
        <v>1</v>
      </c>
      <c r="Q21" s="33" t="n">
        <v>1</v>
      </c>
      <c r="R21" s="33" t="n">
        <v>1</v>
      </c>
      <c r="S21" s="33" t="n">
        <v>1</v>
      </c>
      <c r="T21" s="33" t="n">
        <v>1</v>
      </c>
      <c r="U21" s="33" t="n">
        <v>1</v>
      </c>
      <c r="V21" s="33" t="n">
        <v>1</v>
      </c>
      <c r="W21" s="33" t="n">
        <v>1</v>
      </c>
      <c r="X21" s="33" t="n">
        <v>1</v>
      </c>
      <c r="Y21" s="53" t="n">
        <v>0</v>
      </c>
    </row>
    <row r="22" customFormat="false" ht="15" hidden="false" customHeight="false" outlineLevel="0" collapsed="false">
      <c r="A22" s="6" t="s">
        <v>1197</v>
      </c>
      <c r="B22" s="33" t="n">
        <v>0</v>
      </c>
      <c r="C22" s="53" t="n">
        <v>1</v>
      </c>
      <c r="D22" s="53" t="n">
        <v>1</v>
      </c>
      <c r="E22" s="33" t="n">
        <v>0</v>
      </c>
      <c r="F22" s="33" t="n">
        <v>0</v>
      </c>
      <c r="G22" s="33" t="n">
        <v>0</v>
      </c>
      <c r="H22" s="33" t="n">
        <v>0</v>
      </c>
      <c r="I22" s="33" t="n">
        <v>0</v>
      </c>
      <c r="J22" s="33" t="n">
        <v>0</v>
      </c>
      <c r="K22" s="33" t="n">
        <v>0</v>
      </c>
      <c r="L22" s="33" t="n">
        <v>0</v>
      </c>
      <c r="M22" s="33" t="n">
        <v>0</v>
      </c>
      <c r="N22" s="33" t="n">
        <v>0</v>
      </c>
      <c r="O22" s="33" t="n">
        <v>0</v>
      </c>
      <c r="P22" s="33" t="n">
        <v>0</v>
      </c>
      <c r="Q22" s="33" t="n">
        <v>0</v>
      </c>
      <c r="R22" s="33" t="n">
        <v>0</v>
      </c>
      <c r="S22" s="33" t="n">
        <v>0</v>
      </c>
      <c r="T22" s="33" t="n">
        <v>0</v>
      </c>
      <c r="U22" s="33" t="n">
        <v>0</v>
      </c>
      <c r="V22" s="33" t="n">
        <v>0</v>
      </c>
      <c r="W22" s="33" t="n">
        <v>0</v>
      </c>
      <c r="X22" s="33" t="n">
        <v>0</v>
      </c>
      <c r="Y22" s="33" t="n">
        <v>0</v>
      </c>
    </row>
    <row r="23" customFormat="false" ht="15" hidden="false" customHeight="false" outlineLevel="0" collapsed="false">
      <c r="A23" s="6" t="s">
        <v>1198</v>
      </c>
      <c r="B23" s="33" t="n">
        <v>1</v>
      </c>
      <c r="C23" s="33" t="n">
        <v>1</v>
      </c>
      <c r="D23" s="33" t="n">
        <v>1</v>
      </c>
      <c r="E23" s="53" t="n">
        <v>0</v>
      </c>
      <c r="F23" s="33" t="n">
        <v>1</v>
      </c>
      <c r="G23" s="33" t="n">
        <v>1</v>
      </c>
      <c r="H23" s="33" t="n">
        <v>1</v>
      </c>
      <c r="I23" s="33" t="n">
        <v>1</v>
      </c>
      <c r="J23" s="33" t="n">
        <v>1</v>
      </c>
      <c r="K23" s="33" t="n">
        <v>1</v>
      </c>
      <c r="L23" s="33" t="n">
        <v>1</v>
      </c>
      <c r="M23" s="33" t="n">
        <v>1</v>
      </c>
      <c r="N23" s="33" t="n">
        <v>1</v>
      </c>
      <c r="O23" s="33" t="n">
        <v>1</v>
      </c>
      <c r="P23" s="33" t="n">
        <v>1</v>
      </c>
      <c r="Q23" s="33" t="n">
        <v>1</v>
      </c>
      <c r="R23" s="33" t="n">
        <v>1</v>
      </c>
      <c r="S23" s="33" t="n">
        <v>1</v>
      </c>
      <c r="T23" s="33" t="n">
        <v>1</v>
      </c>
      <c r="U23" s="33" t="n">
        <v>1</v>
      </c>
      <c r="V23" s="33" t="n">
        <v>1</v>
      </c>
      <c r="W23" s="33" t="n">
        <v>1</v>
      </c>
      <c r="X23" s="33" t="n">
        <v>1</v>
      </c>
      <c r="Y23" s="33" t="n">
        <v>1</v>
      </c>
    </row>
    <row r="24" customFormat="false" ht="15" hidden="false" customHeight="false" outlineLevel="0" collapsed="false">
      <c r="A24" s="6" t="s">
        <v>1199</v>
      </c>
      <c r="B24" s="89" t="n">
        <f aca="false">CHOOSE(B$15,Entorno!$M$7,Entorno!$M$8,Entorno!$M$9)-CHOOSE(Quesería!$B$7,Entorno!$M$7,Entorno!$M$8,Entorno!$M$9)</f>
        <v>0</v>
      </c>
      <c r="C24" s="89" t="n">
        <f aca="false">CHOOSE(C$15,Entorno!$M$7,Entorno!$M$8,Entorno!$M$9)-CHOOSE(Quesería!$B$7,Entorno!$M$7,Entorno!$M$8,Entorno!$M$9)</f>
        <v>0</v>
      </c>
      <c r="D24" s="89" t="n">
        <f aca="false">CHOOSE(D$15,Entorno!$M$7,Entorno!$M$8,Entorno!$M$9)-CHOOSE(Quesería!$B$7,Entorno!$M$7,Entorno!$M$8,Entorno!$M$9)</f>
        <v>0</v>
      </c>
      <c r="E24" s="89" t="n">
        <f aca="false">CHOOSE(E$15,Entorno!$M$7,Entorno!$M$8,Entorno!$M$9)-CHOOSE(Quesería!$B$7,Entorno!$M$7,Entorno!$M$8,Entorno!$M$9)</f>
        <v>0</v>
      </c>
      <c r="F24" s="89" t="n">
        <f aca="false">CHOOSE(F$15,Entorno!$M$7,Entorno!$M$8,Entorno!$M$9)-CHOOSE(Quesería!$B$7,Entorno!$M$7,Entorno!$M$8,Entorno!$M$9)</f>
        <v>0</v>
      </c>
      <c r="G24" s="89" t="n">
        <f aca="false">CHOOSE(G$15,Entorno!$M$7,Entorno!$M$8,Entorno!$M$9)-CHOOSE(Quesería!$B$7,Entorno!$M$7,Entorno!$M$8,Entorno!$M$9)</f>
        <v>0</v>
      </c>
      <c r="H24" s="89" t="n">
        <f aca="false">CHOOSE(H$15,Entorno!$M$7,Entorno!$M$8,Entorno!$M$9)-CHOOSE(Quesería!$B$7,Entorno!$M$7,Entorno!$M$8,Entorno!$M$9)</f>
        <v>0</v>
      </c>
      <c r="I24" s="89" t="n">
        <f aca="false">CHOOSE(I$15,Entorno!$M$7,Entorno!$M$8,Entorno!$M$9)-CHOOSE(Quesería!$B$7,Entorno!$M$7,Entorno!$M$8,Entorno!$M$9)</f>
        <v>0</v>
      </c>
      <c r="J24" s="89" t="n">
        <f aca="false">CHOOSE(J$15,Entorno!$M$7,Entorno!$M$8,Entorno!$M$9)-CHOOSE(Quesería!$B$7,Entorno!$M$7,Entorno!$M$8,Entorno!$M$9)</f>
        <v>0</v>
      </c>
      <c r="K24" s="89" t="n">
        <f aca="false">CHOOSE(K$15,Entorno!$M$7,Entorno!$M$8,Entorno!$M$9)-CHOOSE(Quesería!$B$7,Entorno!$M$7,Entorno!$M$8,Entorno!$M$9)</f>
        <v>0</v>
      </c>
      <c r="L24" s="89" t="n">
        <f aca="false">CHOOSE(L$15,Entorno!$M$7,Entorno!$M$8,Entorno!$M$9)-CHOOSE(Quesería!$B$7,Entorno!$M$7,Entorno!$M$8,Entorno!$M$9)</f>
        <v>0</v>
      </c>
      <c r="M24" s="89" t="n">
        <f aca="false">CHOOSE(M$15,Entorno!$M$7,Entorno!$M$8,Entorno!$M$9)-CHOOSE(Quesería!$B$7,Entorno!$M$7,Entorno!$M$8,Entorno!$M$9)</f>
        <v>-0.0056452160663476</v>
      </c>
      <c r="N24" s="89" t="n">
        <f aca="false">CHOOSE(N$15,Entorno!$M$7,Entorno!$M$8,Entorno!$M$9)-CHOOSE(Quesería!$B$7,Entorno!$M$7,Entorno!$M$8,Entorno!$M$9)</f>
        <v>0.021836072393618</v>
      </c>
      <c r="O24" s="89" t="n">
        <f aca="false">CHOOSE(O$15,Entorno!$M$7,Entorno!$M$8,Entorno!$M$9)-CHOOSE(Quesería!$B$7,Entorno!$M$7,Entorno!$M$8,Entorno!$M$9)</f>
        <v>0</v>
      </c>
      <c r="P24" s="89" t="n">
        <f aca="false">CHOOSE(P$15,Entorno!$M$7,Entorno!$M$8,Entorno!$M$9)-CHOOSE(Quesería!$B$7,Entorno!$M$7,Entorno!$M$8,Entorno!$M$9)</f>
        <v>0</v>
      </c>
      <c r="Q24" s="89" t="n">
        <f aca="false">CHOOSE(Q$15,Entorno!$M$7,Entorno!$M$8,Entorno!$M$9)-CHOOSE(Quesería!$B$7,Entorno!$M$7,Entorno!$M$8,Entorno!$M$9)</f>
        <v>0</v>
      </c>
      <c r="R24" s="89" t="n">
        <f aca="false">CHOOSE(R$15,Entorno!$M$7,Entorno!$M$8,Entorno!$M$9)-CHOOSE(Quesería!$B$7,Entorno!$M$7,Entorno!$M$8,Entorno!$M$9)</f>
        <v>0</v>
      </c>
      <c r="S24" s="89" t="n">
        <f aca="false">CHOOSE(S$15,Entorno!$M$7,Entorno!$M$8,Entorno!$M$9)-CHOOSE(Quesería!$B$7,Entorno!$M$7,Entorno!$M$8,Entorno!$M$9)</f>
        <v>0</v>
      </c>
      <c r="T24" s="89" t="n">
        <f aca="false">CHOOSE(T$15,Entorno!$M$7,Entorno!$M$8,Entorno!$M$9)-CHOOSE(Quesería!$B$7,Entorno!$M$7,Entorno!$M$8,Entorno!$M$9)</f>
        <v>0</v>
      </c>
      <c r="U24" s="89" t="n">
        <f aca="false">CHOOSE(U$15,Entorno!$M$7,Entorno!$M$8,Entorno!$M$9)-CHOOSE(Quesería!$B$7,Entorno!$M$7,Entorno!$M$8,Entorno!$M$9)</f>
        <v>0</v>
      </c>
      <c r="V24" s="89" t="n">
        <f aca="false">CHOOSE(V$15,Entorno!$M$7,Entorno!$M$8,Entorno!$M$9)-CHOOSE(Quesería!$B$7,Entorno!$M$7,Entorno!$M$8,Entorno!$M$9)</f>
        <v>0</v>
      </c>
      <c r="W24" s="89" t="n">
        <f aca="false">CHOOSE(W$15,Entorno!$M$7,Entorno!$M$8,Entorno!$M$9)-CHOOSE(Quesería!$B$7,Entorno!$M$7,Entorno!$M$8,Entorno!$M$9)</f>
        <v>0</v>
      </c>
      <c r="X24" s="89" t="n">
        <f aca="false">CHOOSE(X$15,Entorno!$M$7,Entorno!$M$8,Entorno!$M$9)-CHOOSE(Quesería!$B$7,Entorno!$M$7,Entorno!$M$8,Entorno!$M$9)</f>
        <v>0</v>
      </c>
      <c r="Y24" s="89" t="n">
        <f aca="false">CHOOSE(Y$15,Entorno!$M$7,Entorno!$M$8,Entorno!$M$9)-CHOOSE(Quesería!$B$7,Entorno!$M$7,Entorno!$M$8,Entorno!$M$9)</f>
        <v>0</v>
      </c>
    </row>
    <row r="25" customFormat="false" ht="15" hidden="false" customHeight="false" outlineLevel="0" collapsed="false">
      <c r="A25" s="5" t="s">
        <v>12</v>
      </c>
      <c r="B25" s="90" t="n">
        <f aca="false">IF(B$18=1,Quesería!$B$44*(B$14+B$24+B$13*Quesería!$B$51*1.19)*(1-B$17)+(1-Quesería!$B$44)*(Quesería!$B$11+B$24),Quesería!$B$8+B$24)</f>
        <v>0.1470725</v>
      </c>
      <c r="C25" s="90" t="n">
        <f aca="false">IF(C$18=1,Quesería!$B$44*(C$14+C$24+C$13*Quesería!$B$51*1.19)*(1-C$17)+(1-Quesería!$B$44)*(Quesería!$B$11+C$24),Quesería!$B$8+C$24)</f>
        <v>0.1570777225</v>
      </c>
      <c r="D25" s="90" t="n">
        <f aca="false">IF(D$18=1,Quesería!$B$44*(D$14+D$24+D$13*Quesería!$B$51*1.19)*(1-D$17)+(1-Quesería!$B$44)*(Quesería!$B$11+D$24),Quesería!$B$8+D$24)</f>
        <v>0.1570777225</v>
      </c>
      <c r="E25" s="90" t="n">
        <f aca="false">IF(E$18=1,Quesería!$B$44*(E$14+E$24+E$13*Quesería!$B$51*1.19)*(1-E$17)+(1-Quesería!$B$44)*(Quesería!$B$11+E$24),Quesería!$B$8+E$24)</f>
        <v>0.1470725</v>
      </c>
      <c r="F25" s="90" t="n">
        <f aca="false">IF(F$18=1,Quesería!$B$44*(F$14+F$24+F$13*Quesería!$B$51*1.19)*(1-F$17)+(1-Quesería!$B$44)*(Quesería!$B$11+F$24),Quesería!$B$8+F$24)</f>
        <v>0.1470725</v>
      </c>
      <c r="G25" s="90" t="n">
        <f aca="false">IF(G$18=1,Quesería!$B$44*(G$14+G$24+G$13*Quesería!$B$51*1.19)*(1-G$17)+(1-Quesería!$B$44)*(Quesería!$B$11+G$24),Quesería!$B$8+G$24)</f>
        <v>0.1470725</v>
      </c>
      <c r="H25" s="90" t="n">
        <f aca="false">IF(H$18=1,Quesería!$B$44*(H$14+H$24+H$13*Quesería!$B$51*1.19)*(1-H$17)+(1-Quesería!$B$44)*(Quesería!$B$11+H$24),Quesería!$B$8+H$24)</f>
        <v>0.1470725</v>
      </c>
      <c r="I25" s="90" t="n">
        <f aca="false">IF(I$18=1,Quesería!$B$44*(I$14+I$24+I$13*Quesería!$B$51*1.19)*(1-I$17)+(1-Quesería!$B$44)*(Quesería!$B$11+I$24),Quesería!$B$8+I$24)</f>
        <v>0.1470725</v>
      </c>
      <c r="J25" s="90" t="n">
        <f aca="false">IF(J$18=1,Quesería!$B$44*(J$14+J$24+J$13*Quesería!$B$51*1.19)*(1-J$17)+(1-Quesería!$B$44)*(Quesería!$B$11+J$24),Quesería!$B$8+J$24)</f>
        <v>0.1470725</v>
      </c>
      <c r="K25" s="90" t="n">
        <f aca="false">IF(K$18=1,Quesería!$B$44*(K$14+K$24+K$13*Quesería!$B$51*1.19)*(1-K$17)+(1-Quesería!$B$44)*(Quesería!$B$11+K$24),Quesería!$B$8+K$24)</f>
        <v>0.1470725</v>
      </c>
      <c r="L25" s="90" t="n">
        <f aca="false">IF(L$18=1,Quesería!$B$44*(L$14+L$24+L$13*Quesería!$B$51*1.19)*(1-L$17)+(1-Quesería!$B$44)*(Quesería!$B$11+L$24),Quesería!$B$8+L$24)</f>
        <v>0.1470725</v>
      </c>
      <c r="M25" s="90" t="n">
        <f aca="false">IF(M$18=1,Quesería!$B$44*(M$14+M$24+M$13*Quesería!$B$51*1.19)*(1-M$17)+(1-Quesería!$B$44)*(Quesería!$B$11+M$24),Quesería!$B$8+M$24)</f>
        <v>0.142711570588746</v>
      </c>
      <c r="N25" s="90" t="n">
        <f aca="false">IF(N$18=1,Quesería!$B$44*(N$14+N$24+N$13*Quesería!$B$51*1.19)*(1-N$17)+(1-Quesería!$B$44)*(Quesería!$B$11+N$24),Quesería!$B$8+N$24)</f>
        <v>0.16394086592407</v>
      </c>
      <c r="O25" s="90" t="n">
        <f aca="false">IF(O$18=1,Quesería!$B$44*(O$14+O$24+O$13*Quesería!$B$51*1.19)*(1-O$17)+(1-Quesería!$B$44)*(Quesería!$B$11+O$24),Quesería!$B$8+O$24)</f>
        <v>0.1470725</v>
      </c>
      <c r="P25" s="90" t="n">
        <f aca="false">IF(P$18=1,Quesería!$B$44*(P$14+P$24+P$13*Quesería!$B$51*1.19)*(1-P$17)+(1-Quesería!$B$44)*(Quesería!$B$11+P$24),Quesería!$B$8+P$24)</f>
        <v>0.1470725</v>
      </c>
      <c r="Q25" s="90" t="n">
        <f aca="false">IF(Q$18=1,Quesería!$B$44*(Q$14+Q$24+Q$13*Quesería!$B$51*1.19)*(1-Q$17)+(1-Quesería!$B$44)*(Quesería!$B$11+Q$24),Quesería!$B$8+Q$24)</f>
        <v>0.151655</v>
      </c>
      <c r="R25" s="90" t="n">
        <f aca="false">IF(R$18=1,Quesería!$B$44*(R$14+R$24+R$13*Quesería!$B$51*1.19)*(1-R$17)+(1-Quesería!$B$44)*(Quesería!$B$11+R$24),Quesería!$B$8+R$24)</f>
        <v>0.1538325</v>
      </c>
      <c r="S25" s="90" t="n">
        <f aca="false">IF(S$18=1,Quesería!$B$44*(S$14+S$24+S$13*Quesería!$B$51*1.19)*(1-S$17)+(1-Quesería!$B$44)*(Quesería!$B$11+S$24),Quesería!$B$8+S$24)</f>
        <v>0.1570777225</v>
      </c>
      <c r="T25" s="90" t="n">
        <f aca="false">IF(T$18=1,Quesería!$B$44*(T$14+T$24+T$13*Quesería!$B$51*1.19)*(1-T$17)+(1-Quesería!$B$44)*(Quesería!$B$11+T$24),Quesería!$B$8+T$24)</f>
        <v>0.1470725</v>
      </c>
      <c r="U25" s="90" t="n">
        <f aca="false">IF(U$18=1,Quesería!$B$44*(U$14+U$24+U$13*Quesería!$B$51*1.19)*(1-U$17)+(1-Quesería!$B$44)*(Quesería!$B$11+U$24),Quesería!$B$8+U$24)</f>
        <v>0.1570777225</v>
      </c>
      <c r="V25" s="90" t="n">
        <f aca="false">IF(V$18=1,Quesería!$B$44*(V$14+V$24+V$13*Quesería!$B$51*1.19)*(1-V$17)+(1-Quesería!$B$44)*(Quesería!$B$11+V$24),Quesería!$B$8+V$24)</f>
        <v>0.1470725</v>
      </c>
      <c r="W25" s="90" t="n">
        <f aca="false">IF(W$18=1,Quesería!$B$44*(W$14+W$24+W$13*Quesería!$B$51*1.19)*(1-W$17)+(1-Quesería!$B$44)*(Quesería!$B$11+W$24),Quesería!$B$8+W$24)</f>
        <v>0.16</v>
      </c>
      <c r="X25" s="90" t="n">
        <f aca="false">IF(X$18=1,Quesería!$B$44*(X$14+X$24+X$13*Quesería!$B$51*1.19)*(1-X$17)+(1-Quesería!$B$44)*(Quesería!$B$11+X$24),Quesería!$B$8+X$24)</f>
        <v>0.1570777225</v>
      </c>
      <c r="Y25" s="90" t="n">
        <f aca="false">IF(Y$18=1,Quesería!$B$44*(Y$14+Y$24+Y$13*Quesería!$B$51*1.19)*(1-Y$17)+(1-Quesería!$B$44)*(Quesería!$B$11+Y$24),Quesería!$B$8+Y$24)</f>
        <v>0.1470725</v>
      </c>
    </row>
    <row r="26" customFormat="false" ht="15" hidden="false" customHeight="false" outlineLevel="0" collapsed="false">
      <c r="A26" s="9" t="s">
        <v>1200</v>
      </c>
    </row>
    <row r="28" customFormat="false" ht="15" hidden="false" customHeight="false" outlineLevel="0" collapsed="false">
      <c r="A28" s="3" t="s">
        <v>1201</v>
      </c>
      <c r="B28" s="4"/>
      <c r="C28" s="4"/>
      <c r="D28" s="4"/>
      <c r="E28" s="4"/>
      <c r="F28" s="4"/>
      <c r="G28" s="4"/>
      <c r="H28" s="4"/>
      <c r="I28" s="4"/>
      <c r="J28" s="4"/>
      <c r="K28" s="4"/>
      <c r="L28" s="4"/>
      <c r="M28" s="4"/>
      <c r="N28" s="4"/>
      <c r="O28" s="4"/>
      <c r="P28" s="4"/>
      <c r="Q28" s="4"/>
      <c r="R28" s="4"/>
      <c r="S28" s="4"/>
      <c r="T28" s="4"/>
      <c r="U28" s="4"/>
      <c r="V28" s="4"/>
      <c r="W28" s="4"/>
      <c r="X28" s="4"/>
      <c r="Y28" s="4"/>
    </row>
    <row r="29" customFormat="false" ht="42" hidden="false" customHeight="true" outlineLevel="0" collapsed="false">
      <c r="A29" s="23"/>
      <c r="B29" s="24" t="s">
        <v>153</v>
      </c>
      <c r="C29" s="24" t="s">
        <v>173</v>
      </c>
      <c r="D29" s="24" t="s">
        <v>174</v>
      </c>
      <c r="E29" s="24" t="s">
        <v>1167</v>
      </c>
      <c r="F29" s="24" t="s">
        <v>169</v>
      </c>
      <c r="G29" s="24" t="s">
        <v>170</v>
      </c>
      <c r="H29" s="24" t="s">
        <v>1168</v>
      </c>
      <c r="I29" s="24" t="s">
        <v>171</v>
      </c>
      <c r="J29" s="24" t="s">
        <v>1169</v>
      </c>
      <c r="K29" s="24" t="s">
        <v>1170</v>
      </c>
      <c r="L29" s="24" t="s">
        <v>1171</v>
      </c>
      <c r="M29" s="24" t="s">
        <v>1172</v>
      </c>
      <c r="N29" s="24" t="s">
        <v>1173</v>
      </c>
      <c r="O29" s="24" t="s">
        <v>1174</v>
      </c>
      <c r="P29" s="24" t="s">
        <v>1175</v>
      </c>
      <c r="Q29" s="24" t="s">
        <v>1176</v>
      </c>
      <c r="R29" s="24" t="s">
        <v>1177</v>
      </c>
      <c r="S29" s="24" t="s">
        <v>1178</v>
      </c>
      <c r="T29" s="24" t="s">
        <v>168</v>
      </c>
      <c r="U29" s="24" t="s">
        <v>1179</v>
      </c>
      <c r="V29" s="24" t="s">
        <v>1180</v>
      </c>
      <c r="W29" s="24" t="s">
        <v>1181</v>
      </c>
      <c r="X29" s="24" t="s">
        <v>1182</v>
      </c>
      <c r="Y29" s="24" t="s">
        <v>172</v>
      </c>
    </row>
    <row r="30" customFormat="false" ht="15" hidden="false" customHeight="false" outlineLevel="0" collapsed="false">
      <c r="A30" s="6" t="s">
        <v>12</v>
      </c>
      <c r="B30" s="34" t="n">
        <f aca="false">$B$25</f>
        <v>0.1470725</v>
      </c>
      <c r="C30" s="34" t="n">
        <f aca="false">$C$25</f>
        <v>0.1570777225</v>
      </c>
      <c r="D30" s="34" t="n">
        <f aca="false">$D$25</f>
        <v>0.1570777225</v>
      </c>
      <c r="E30" s="34" t="n">
        <f aca="false">$E$25</f>
        <v>0.1470725</v>
      </c>
      <c r="F30" s="34" t="n">
        <f aca="false">$F$25</f>
        <v>0.1470725</v>
      </c>
      <c r="G30" s="34" t="n">
        <f aca="false">$G$25</f>
        <v>0.1470725</v>
      </c>
      <c r="H30" s="34" t="n">
        <f aca="false">$H$25</f>
        <v>0.1470725</v>
      </c>
      <c r="I30" s="34" t="n">
        <f aca="false">$I$25</f>
        <v>0.1470725</v>
      </c>
      <c r="J30" s="34" t="n">
        <f aca="false">$J$25</f>
        <v>0.1470725</v>
      </c>
      <c r="K30" s="34" t="n">
        <f aca="false">$K$25</f>
        <v>0.1470725</v>
      </c>
      <c r="L30" s="34" t="n">
        <f aca="false">$L$25</f>
        <v>0.1470725</v>
      </c>
      <c r="M30" s="34" t="n">
        <f aca="false">$M$25</f>
        <v>0.142711570588746</v>
      </c>
      <c r="N30" s="34" t="n">
        <f aca="false">$N$25</f>
        <v>0.16394086592407</v>
      </c>
      <c r="O30" s="34" t="n">
        <f aca="false">$O$25</f>
        <v>0.1470725</v>
      </c>
      <c r="P30" s="34" t="n">
        <f aca="false">$P$25</f>
        <v>0.1470725</v>
      </c>
      <c r="Q30" s="34" t="n">
        <f aca="false">$Q$25</f>
        <v>0.151655</v>
      </c>
      <c r="R30" s="34" t="n">
        <f aca="false">$R$25</f>
        <v>0.1538325</v>
      </c>
      <c r="S30" s="34" t="n">
        <f aca="false">$S$25</f>
        <v>0.1570777225</v>
      </c>
      <c r="T30" s="34" t="n">
        <f aca="false">$T$25</f>
        <v>0.1470725</v>
      </c>
      <c r="U30" s="34" t="n">
        <f aca="false">$U$25</f>
        <v>0.1570777225</v>
      </c>
      <c r="V30" s="34" t="n">
        <f aca="false">$V$25</f>
        <v>0.1470725</v>
      </c>
      <c r="W30" s="34" t="n">
        <f aca="false">$W$25</f>
        <v>0.16</v>
      </c>
      <c r="X30" s="34" t="n">
        <f aca="false">$X$25</f>
        <v>0.1570777225</v>
      </c>
      <c r="Y30" s="34" t="n">
        <f aca="false">$Y$25</f>
        <v>0.1470725</v>
      </c>
    </row>
    <row r="31" customFormat="false" ht="15" hidden="false" customHeight="false" outlineLevel="0" collapsed="false">
      <c r="A31" s="5" t="s">
        <v>1202</v>
      </c>
      <c r="B31" s="61" t="n">
        <f aca="false">IRR(B68:L68)</f>
        <v>0.226125774918278</v>
      </c>
      <c r="C31" s="8" t="n">
        <f aca="false">IRR(B111:L111)</f>
        <v>0.0815488178439258</v>
      </c>
      <c r="D31" s="8" t="n">
        <f aca="false">IRR(B154:L154)</f>
        <v>0.0517128081309421</v>
      </c>
      <c r="E31" s="8" t="n">
        <f aca="false">IRR(B197:L197)</f>
        <v>0.211110475660406</v>
      </c>
      <c r="F31" s="8" t="n">
        <f aca="false">IRR(B240:L240)</f>
        <v>0.172547733188473</v>
      </c>
      <c r="G31" s="8" t="n">
        <f aca="false">IRR(B283:L283)</f>
        <v>0.165016828357864</v>
      </c>
      <c r="H31" s="8" t="n">
        <f aca="false">IRR(B326:L326)</f>
        <v>0.282494846091073</v>
      </c>
      <c r="I31" s="8" t="n">
        <f aca="false">IRR(B369:L369)</f>
        <v>0.181962252423027</v>
      </c>
      <c r="J31" s="8" t="n">
        <f aca="false">IRR(B412:L412)</f>
        <v>0.287801100087068</v>
      </c>
      <c r="K31" s="8" t="n">
        <f aca="false">IRR(B455:L455)</f>
        <v>0.210521886873893</v>
      </c>
      <c r="L31" s="8" t="n">
        <f aca="false">IRR(B498:L498)</f>
        <v>0.241361533170378</v>
      </c>
      <c r="M31" s="8" t="n">
        <f aca="false">IRR(B541:L541)</f>
        <v>0.22040626149571</v>
      </c>
      <c r="N31" s="8" t="n">
        <f aca="false">IRR(B584:L584)</f>
        <v>0.246913230798526</v>
      </c>
      <c r="O31" s="8" t="n">
        <f aca="false">IRR(B627:L627)</f>
        <v>0.225717478575982</v>
      </c>
      <c r="P31" s="8" t="n">
        <f aca="false">IRR(B670:L670)</f>
        <v>0.22653368544744</v>
      </c>
      <c r="Q31" s="8" t="n">
        <f aca="false">IRR(B713:L713)</f>
        <v>0.237464441918404</v>
      </c>
      <c r="R31" s="8" t="n">
        <f aca="false">IRR(B756:L756)</f>
        <v>0.226125774918278</v>
      </c>
      <c r="S31" s="8" t="n">
        <f aca="false">IRR(B799:L799)</f>
        <v>0.226125774918278</v>
      </c>
      <c r="T31" s="8" t="n">
        <f aca="false">IRR(B842:L842)</f>
        <v>0.185693384348158</v>
      </c>
      <c r="U31" s="8" t="n">
        <f aca="false">IRR(B885:L885)</f>
        <v>0.185693384348158</v>
      </c>
      <c r="V31" s="8" t="n">
        <f aca="false">IRR(B928:L928)</f>
        <v>0.110537287861494</v>
      </c>
      <c r="W31" s="8" t="n">
        <f aca="false">IRR(B971:L971)</f>
        <v>0.180321637808098</v>
      </c>
      <c r="X31" s="8" t="n">
        <f aca="false">IRR(B1014:L1014)</f>
        <v>0.180321637808098</v>
      </c>
      <c r="Y31" s="8" t="n">
        <f aca="false">IRR(B1057:L1057)</f>
        <v>0.234932263833018</v>
      </c>
    </row>
    <row r="32" customFormat="false" ht="15" hidden="false" customHeight="false" outlineLevel="0" collapsed="false">
      <c r="A32" s="6" t="s">
        <v>16</v>
      </c>
      <c r="B32" s="34" t="n">
        <f aca="false">IRR(B67:L67)</f>
        <v>0.17587013407988</v>
      </c>
      <c r="C32" s="34" t="n">
        <f aca="false">IRR(B110:L110)</f>
        <v>0.0378407134949734</v>
      </c>
      <c r="D32" s="34" t="n">
        <f aca="false">IRR(B153:L153)</f>
        <v>0.00851832522248742</v>
      </c>
      <c r="E32" s="34" t="n">
        <f aca="false">IRR(B196:L196)</f>
        <v>0.161509163724884</v>
      </c>
      <c r="F32" s="34" t="n">
        <f aca="false">IRR(B239:L239)</f>
        <v>0.124649938028424</v>
      </c>
      <c r="G32" s="34" t="n">
        <f aca="false">IRR(B282:L282)</f>
        <v>0.117461807875544</v>
      </c>
      <c r="H32" s="34" t="n">
        <f aca="false">IRR(B325:L325)</f>
        <v>0.229727783879209</v>
      </c>
      <c r="I32" s="34" t="n">
        <f aca="false">IRR(B368:L368)</f>
        <v>0.133657278165615</v>
      </c>
      <c r="J32" s="34" t="n">
        <f aca="false">IRR(B411:L411)</f>
        <v>0.234802384356891</v>
      </c>
      <c r="K32" s="34" t="n">
        <f aca="false">IRR(B454:L454)</f>
        <v>0.160962937356118</v>
      </c>
      <c r="L32" s="34" t="n">
        <f aca="false">IRR(B497:L497)</f>
        <v>0.190424005824838</v>
      </c>
      <c r="M32" s="34" t="n">
        <f aca="false">IRR(B540:L540)</f>
        <v>0.177494500769583</v>
      </c>
      <c r="N32" s="34" t="n">
        <f aca="false">IRR(B583:L583)</f>
        <v>0.170810545350728</v>
      </c>
      <c r="O32" s="34" t="n">
        <f aca="false">IRR(B626:L626)</f>
        <v>0.175479832548219</v>
      </c>
      <c r="P32" s="34" t="n">
        <f aca="false">IRR(B669:L669)</f>
        <v>0.176260066087216</v>
      </c>
      <c r="Q32" s="34" t="n">
        <f aca="false">IRR(B712:L712)</f>
        <v>0.186712170159356</v>
      </c>
      <c r="R32" s="34" t="n">
        <f aca="false">IRR(B755:L755)</f>
        <v>0.17587013407988</v>
      </c>
      <c r="S32" s="34" t="n">
        <f aca="false">IRR(B798:L798)</f>
        <v>0.17587013407988</v>
      </c>
      <c r="T32" s="34" t="n">
        <f aca="false">IRR(B841:L841)</f>
        <v>0.137465815045317</v>
      </c>
      <c r="U32" s="34" t="n">
        <f aca="false">IRR(B884:L884)</f>
        <v>0.137465815045317</v>
      </c>
      <c r="V32" s="34" t="n">
        <f aca="false">IRR(B927:L927)</f>
        <v>0.0653702981867471</v>
      </c>
      <c r="W32" s="34" t="n">
        <f aca="false">IRR(B970:L970)</f>
        <v>0.132315527721376</v>
      </c>
      <c r="X32" s="34" t="n">
        <f aca="false">IRR(B1013:L1013)</f>
        <v>0.132315527721376</v>
      </c>
      <c r="Y32" s="34" t="n">
        <f aca="false">IRR(B1056:L1056)</f>
        <v>0.182830457427272</v>
      </c>
    </row>
    <row r="33" customFormat="false" ht="15" hidden="false" customHeight="false" outlineLevel="0" collapsed="false">
      <c r="A33" s="5" t="s">
        <v>1203</v>
      </c>
      <c r="B33" s="10" t="n">
        <f aca="false">SUMPRODUCT(B67:L67,B71:L71)</f>
        <v>502.976125498281</v>
      </c>
      <c r="C33" s="10" t="n">
        <f aca="false">SUMPRODUCT(B110:L110,B114:L114)</f>
        <v>-458.352332832904</v>
      </c>
      <c r="D33" s="10" t="n">
        <f aca="false">SUMPRODUCT(B153:L153,B157:L157)</f>
        <v>-340.708446867415</v>
      </c>
      <c r="E33" s="10" t="n">
        <f aca="false">SUMPRODUCT(B196:L196,B200:L200)</f>
        <v>425.437410105991</v>
      </c>
      <c r="F33" s="10" t="n">
        <f aca="false">SUMPRODUCT(B239:L239,B243:L243)</f>
        <v>151.712980908394</v>
      </c>
      <c r="G33" s="10" t="n">
        <f aca="false">SUMPRODUCT(B282:L282,B286:L286)</f>
        <v>108.337984609022</v>
      </c>
      <c r="H33" s="10" t="n">
        <f aca="false">SUMPRODUCT(B325:L325,B329:L329)</f>
        <v>897.61426638754</v>
      </c>
      <c r="I33" s="10" t="n">
        <f aca="false">SUMPRODUCT(B368:L368,B372:L372)</f>
        <v>256.545169067199</v>
      </c>
      <c r="J33" s="10" t="n">
        <f aca="false">SUMPRODUCT(B411:L411,B415:L415)</f>
        <v>749.407081929362</v>
      </c>
      <c r="K33" s="10" t="n">
        <f aca="false">SUMPRODUCT(B454:L454,B458:L458)</f>
        <v>398.147931919506</v>
      </c>
      <c r="L33" s="10" t="n">
        <f aca="false">SUMPRODUCT(B497:L497,B501:L501)</f>
        <v>607.804319077056</v>
      </c>
      <c r="M33" s="10" t="n">
        <f aca="false">SUMPRODUCT(B540:L540,B544:L544)</f>
        <v>493.626591566098</v>
      </c>
      <c r="N33" s="10" t="n">
        <f aca="false">SUMPRODUCT(B583:L583,B587:L587)</f>
        <v>530.164860646036</v>
      </c>
      <c r="O33" s="10" t="n">
        <f aca="false">SUMPRODUCT(B626:L626,B630:L630)</f>
        <v>500.119374384615</v>
      </c>
      <c r="P33" s="10" t="n">
        <f aca="false">SUMPRODUCT(B669:L669,B673:L673)</f>
        <v>505.832876611947</v>
      </c>
      <c r="Q33" s="10" t="n">
        <f aca="false">SUMPRODUCT(B712:L712,B716:L716)</f>
        <v>545.72931023073</v>
      </c>
      <c r="R33" s="10" t="n">
        <f aca="false">SUMPRODUCT(B755:L755,B759:L759)</f>
        <v>449.128816891533</v>
      </c>
      <c r="S33" s="10" t="n">
        <f aca="false">SUMPRODUCT(B798:L798,B802:L802)</f>
        <v>424.136564120436</v>
      </c>
      <c r="T33" s="10" t="n">
        <f aca="false">SUMPRODUCT(B841:L841,B845:L845)</f>
        <v>266.308886204684</v>
      </c>
      <c r="U33" s="10" t="n">
        <f aca="false">SUMPRODUCT(B884:L884,B888:L888)</f>
        <v>190.460676558142</v>
      </c>
      <c r="V33" s="10" t="n">
        <f aca="false">SUMPRODUCT(B927:L927,B931:L931)</f>
        <v>-250.267608897874</v>
      </c>
      <c r="W33" s="10" t="n">
        <f aca="false">SUMPRODUCT(B970:L970,B974:L974)</f>
        <v>138.137515732045</v>
      </c>
      <c r="X33" s="10" t="n">
        <f aca="false">SUMPRODUCT(B1013:L1013,B1017:L1017)</f>
        <v>159.615835860488</v>
      </c>
      <c r="Y33" s="10" t="n">
        <f aca="false">SUMPRODUCT(B1056:L1056,B1060:L1060)</f>
        <v>286.189595655785</v>
      </c>
    </row>
    <row r="34" customFormat="false" ht="15" hidden="false" customHeight="false" outlineLevel="0" collapsed="false">
      <c r="A34" s="6" t="s">
        <v>158</v>
      </c>
      <c r="B34" s="64" t="n">
        <f aca="false">SUM(B70:L70)</f>
        <v>4.77005630759528</v>
      </c>
      <c r="C34" s="64" t="n">
        <f aca="false">SUM(B113:L113)</f>
        <v>8.44025548498589</v>
      </c>
      <c r="D34" s="64" t="n">
        <f aca="false">SUM(B156:L156)</f>
        <v>9.60280993092141</v>
      </c>
      <c r="E34" s="64" t="n">
        <f aca="false">SUM(B199:L199)</f>
        <v>5.03044553111935</v>
      </c>
      <c r="F34" s="64" t="n">
        <f aca="false">SUM(B242:L242)</f>
        <v>5.91593160908917</v>
      </c>
      <c r="G34" s="64" t="n">
        <f aca="false">SUM(B285:L285)</f>
        <v>6.09119612822751</v>
      </c>
      <c r="H34" s="64" t="n">
        <f aca="false">SUM(B328:L328)</f>
        <v>3.99532763989633</v>
      </c>
      <c r="I34" s="64" t="n">
        <f aca="false">SUM(B371:L371)</f>
        <v>5.66845374418449</v>
      </c>
      <c r="J34" s="64" t="n">
        <f aca="false">SUM(B414:L414)</f>
        <v>3.94294258267061</v>
      </c>
      <c r="K34" s="64" t="n">
        <f aca="false">SUM(B457:L457)</f>
        <v>5.04550018426903</v>
      </c>
      <c r="L34" s="64" t="n">
        <f aca="false">SUM(B500:L500)</f>
        <v>4.52980454545215</v>
      </c>
      <c r="M34" s="64" t="n">
        <f aca="false">SUM(B543:L543)</f>
        <v>4.74288290378181</v>
      </c>
      <c r="N34" s="64" t="n">
        <f aca="false">SUM(B586:L586)</f>
        <v>4.85225113335344</v>
      </c>
      <c r="O34" s="64" t="n">
        <f aca="false">SUM(B629:L629)</f>
        <v>4.77668943889264</v>
      </c>
      <c r="P34" s="64" t="n">
        <f aca="false">SUM(B672:L672)</f>
        <v>4.76344774263726</v>
      </c>
      <c r="Q34" s="64" t="n">
        <f aca="false">SUM(B715:L715)</f>
        <v>4.59991651340683</v>
      </c>
      <c r="R34" s="64" t="n">
        <f aca="false">SUM(B758:L758)</f>
        <v>4.77005630759528</v>
      </c>
      <c r="S34" s="64" t="n">
        <f aca="false">SUM(B801:L801)</f>
        <v>4.77005630759528</v>
      </c>
      <c r="T34" s="64" t="n">
        <f aca="false">SUM(B844:L844)</f>
        <v>5.71461075595673</v>
      </c>
      <c r="U34" s="64" t="n">
        <f aca="false">SUM(B887:L887)</f>
        <v>5.71461075595673</v>
      </c>
      <c r="V34" s="64" t="n">
        <f aca="false">SUM(B930:L930)</f>
        <v>7.54608022560053</v>
      </c>
      <c r="W34" s="64" t="n">
        <f aca="false">SUM(B973:L973)</f>
        <v>5.8414353984231</v>
      </c>
      <c r="X34" s="64" t="n">
        <f aca="false">SUM(B1016:L1016)</f>
        <v>5.8414353984231</v>
      </c>
      <c r="Y34" s="64" t="n">
        <f aca="false">SUM(B1059:L1059)</f>
        <v>3.78860135798209</v>
      </c>
    </row>
    <row r="35" customFormat="false" ht="15" hidden="false" customHeight="false" outlineLevel="0" collapsed="false">
      <c r="A35" s="6" t="s">
        <v>24</v>
      </c>
      <c r="B35" s="64" t="n">
        <f aca="false">IF(SUM(B74:L74)=0,"Más de 10",SUM(B74:L74))</f>
        <v>6.71288322261245</v>
      </c>
      <c r="C35" s="64" t="str">
        <f aca="false">IF(SUM(B117:L117)=0,"Más de 10",SUM(B117:L117))</f>
        <v>Más de 10</v>
      </c>
      <c r="D35" s="64" t="str">
        <f aca="false">IF(SUM(B160:L160)=0,"Más de 10",SUM(B160:L160))</f>
        <v>Más de 10</v>
      </c>
      <c r="E35" s="64" t="n">
        <f aca="false">IF(SUM(B203:L203)=0,"Más de 10",SUM(B203:L203))</f>
        <v>7.17881898632171</v>
      </c>
      <c r="F35" s="64" t="n">
        <f aca="false">IF(SUM(B246:L246)=0,"Más de 10",SUM(B246:L246))</f>
        <v>8.84195877505056</v>
      </c>
      <c r="G35" s="64" t="n">
        <f aca="false">IF(SUM(B289:L289)=0,"Más de 10",SUM(B289:L289))</f>
        <v>9.17624877263568</v>
      </c>
      <c r="H35" s="64" t="n">
        <f aca="false">IF(SUM(B332:L332)=0,"Más de 10",SUM(B332:L332))</f>
        <v>5.2767251650563</v>
      </c>
      <c r="I35" s="64" t="n">
        <f aca="false">IF(SUM(B375:L375)=0,"Más de 10",SUM(B375:L375))</f>
        <v>8.36167230142484</v>
      </c>
      <c r="J35" s="64" t="n">
        <f aca="false">IF(SUM(B418:L418)=0,"Más de 10",SUM(B418:L418))</f>
        <v>5.16430375026737</v>
      </c>
      <c r="K35" s="64" t="n">
        <f aca="false">IF(SUM(B461:L461)=0,"Más de 10",SUM(B461:L461))</f>
        <v>7.20987033993032</v>
      </c>
      <c r="L35" s="64" t="n">
        <f aca="false">IF(SUM(B504:L504)=0,"Más de 10",SUM(B504:L504))</f>
        <v>6.29042693444125</v>
      </c>
      <c r="M35" s="64" t="n">
        <f aca="false">IF(SUM(B547:L547)=0,"Más de 10",SUM(B547:L547))</f>
        <v>6.73109288733707</v>
      </c>
      <c r="N35" s="64" t="n">
        <f aca="false">IF(SUM(B590:L590)=0,"Más de 10",SUM(B590:L590))</f>
        <v>6.69222047714889</v>
      </c>
      <c r="O35" s="64" t="n">
        <f aca="false">IF(SUM(B633:L633)=0,"Más de 10",SUM(B633:L633))</f>
        <v>6.7246552689266</v>
      </c>
      <c r="P35" s="64" t="n">
        <f aca="false">IF(SUM(B676:L676)=0,"Más de 10",SUM(B676:L676))</f>
        <v>6.70115020490405</v>
      </c>
      <c r="Q35" s="64" t="n">
        <f aca="false">IF(SUM(B719:L719)=0,"Más de 10",SUM(B719:L719))</f>
        <v>6.51085447183523</v>
      </c>
      <c r="R35" s="64" t="n">
        <f aca="false">IF(SUM(B762:L762)=0,"Más de 10",SUM(B762:L762))</f>
        <v>6.88292097539361</v>
      </c>
      <c r="S35" s="64" t="n">
        <f aca="false">IF(SUM(B805:L805)=0,"Más de 10",SUM(B805:L805))</f>
        <v>6.96745732038728</v>
      </c>
      <c r="T35" s="64" t="n">
        <f aca="false">IF(SUM(B848:L848)=0,"Más de 10",SUM(B848:L848))</f>
        <v>8.23844398314499</v>
      </c>
      <c r="U35" s="64" t="n">
        <f aca="false">IF(SUM(B891:L891)=0,"Más de 10",SUM(B891:L891))</f>
        <v>8.66393830639223</v>
      </c>
      <c r="V35" s="64" t="str">
        <f aca="false">IF(SUM(B934:L934)=0,"Más de 10",SUM(B934:L934))</f>
        <v>Más de 10</v>
      </c>
      <c r="W35" s="64" t="n">
        <f aca="false">IF(SUM(B977:L977)=0,"Más de 10",SUM(B977:L977))</f>
        <v>9.05058417377243</v>
      </c>
      <c r="X35" s="64" t="n">
        <f aca="false">IF(SUM(B1020:L1020)=0,"Más de 10",SUM(B1020:L1020))</f>
        <v>8.92016975900028</v>
      </c>
      <c r="Y35" s="64" t="n">
        <f aca="false">IF(SUM(B1063:L1063)=0,"Más de 10",SUM(B1063:L1063))</f>
        <v>6.04098781725699</v>
      </c>
    </row>
    <row r="36" customFormat="false" ht="15" hidden="false" customHeight="false" outlineLevel="0" collapsed="false">
      <c r="A36" s="6" t="s">
        <v>160</v>
      </c>
      <c r="B36" s="91" t="n">
        <f aca="false">SUM(B67:L67)/SUM(B50:L50)</f>
        <v>1.05109148104221</v>
      </c>
      <c r="C36" s="91" t="n">
        <f aca="false">SUM(B110:L110)/SUM(B93:L93)</f>
        <v>0.217440288164986</v>
      </c>
      <c r="D36" s="91" t="n">
        <f aca="false">SUM(B153:L153)/SUM(B136:L136)</f>
        <v>0.0455884889175757</v>
      </c>
      <c r="E36" s="91" t="n">
        <f aca="false">SUM(B196:L196)/SUM(B179:L179)</f>
        <v>1.00484571903113</v>
      </c>
      <c r="F36" s="91" t="n">
        <f aca="false">SUM(B239:L239)/SUM(B222:L222)</f>
        <v>0.690691268306797</v>
      </c>
      <c r="G36" s="91" t="n">
        <f aca="false">SUM(B282:L282)/SUM(B265:L265)</f>
        <v>0.658734781245618</v>
      </c>
      <c r="H36" s="91" t="n">
        <f aca="false">SUM(B325:L325)/SUM(B308:L308)</f>
        <v>1.44344818083881</v>
      </c>
      <c r="I36" s="91" t="n">
        <f aca="false">SUM(B368:L368)/SUM(B351:L351)</f>
        <v>0.763129095017304</v>
      </c>
      <c r="J36" s="91" t="n">
        <f aca="false">SUM(B411:L411)/SUM(B394:L394)</f>
        <v>1.48303506007958</v>
      </c>
      <c r="K36" s="91" t="n">
        <f aca="false">SUM(B454:L454)/SUM(B437:L437)</f>
        <v>0.946360520873125</v>
      </c>
      <c r="L36" s="91" t="n">
        <f aca="false">SUM(B497:L497)/SUM(B480:L480)</f>
        <v>1.1558224412113</v>
      </c>
      <c r="M36" s="91" t="n">
        <f aca="false">SUM(B540:L540)/SUM(B523:L523)</f>
        <v>1.06204695642764</v>
      </c>
      <c r="N36" s="91" t="n">
        <f aca="false">SUM(B583:L583)/SUM(B566:L566)</f>
        <v>1.01552248558246</v>
      </c>
      <c r="O36" s="91" t="n">
        <f aca="false">SUM(B626:L626)/SUM(B609:L609)</f>
        <v>1.04814284101475</v>
      </c>
      <c r="P36" s="91" t="n">
        <f aca="false">SUM(B669:L669)/SUM(B652:L652)</f>
        <v>1.05404012106967</v>
      </c>
      <c r="Q36" s="91" t="n">
        <f aca="false">SUM(B712:L712)/SUM(B695:L695)</f>
        <v>1.13658491289985</v>
      </c>
      <c r="R36" s="91" t="n">
        <f aca="false">SUM(B755:L755)/SUM(B738:L738)</f>
        <v>1.05109148104221</v>
      </c>
      <c r="S36" s="91" t="n">
        <f aca="false">SUM(B798:L798)/SUM(B781:L781)</f>
        <v>1.05109148104221</v>
      </c>
      <c r="T36" s="91" t="n">
        <f aca="false">SUM(B841:L841)/SUM(B824:L824)</f>
        <v>0.891075999322865</v>
      </c>
      <c r="U36" s="91" t="n">
        <f aca="false">SUM(B884:L884)/SUM(B867:L867)</f>
        <v>0.891075999322865</v>
      </c>
      <c r="V36" s="91" t="n">
        <f aca="false">SUM(B927:L927)/SUM(B910:L910)</f>
        <v>0.342776625404242</v>
      </c>
      <c r="W36" s="91" t="n">
        <f aca="false">SUM(B970:L970)/SUM(B953:L953)</f>
        <v>0.883740494894561</v>
      </c>
      <c r="X36" s="91" t="n">
        <f aca="false">SUM(B1013:L1013)/SUM(B996:L996)</f>
        <v>0.883740494894561</v>
      </c>
      <c r="Y36" s="91" t="n">
        <f aca="false">SUM(B1056:L1056)/SUM(B1039:L1039)</f>
        <v>0.97848581320222</v>
      </c>
    </row>
    <row r="37" customFormat="false" ht="15" hidden="false" customHeight="false" outlineLevel="0" collapsed="false">
      <c r="A37" s="5" t="s">
        <v>1204</v>
      </c>
      <c r="B37" s="61" t="n">
        <f aca="false">IFERROR(IRR(B83:L83),"No existe")</f>
        <v>0.407599554247206</v>
      </c>
      <c r="C37" s="8" t="n">
        <f aca="false">IFERROR(IRR(B126:L126),"No existe")</f>
        <v>0.0564419774733789</v>
      </c>
      <c r="D37" s="8" t="n">
        <f aca="false">IFERROR(IRR(B169:L169),"No existe")</f>
        <v>-0.000659537606921579</v>
      </c>
      <c r="E37" s="8" t="n">
        <f aca="false">IFERROR(IRR(B212:L212),"No existe")</f>
        <v>0.34883089346493</v>
      </c>
      <c r="F37" s="8" t="n">
        <f aca="false">IFERROR(IRR(B255:L255),"No existe")</f>
        <v>0.282030189640686</v>
      </c>
      <c r="G37" s="8" t="n">
        <f aca="false">IFERROR(IRR(B298:L298),"No existe")</f>
        <v>0.258245474900737</v>
      </c>
      <c r="H37" s="8" t="n">
        <f aca="false">IFERROR(IRR(B341:L341),"No existe")</f>
        <v>0.552134317150405</v>
      </c>
      <c r="I37" s="8" t="n">
        <f aca="false">IFERROR(IRR(B384:L384),"No existe")</f>
        <v>0.299335290977672</v>
      </c>
      <c r="J37" s="8" t="n">
        <f aca="false">IFERROR(IRR(B427:L427),"No existe")</f>
        <v>0.565158948856981</v>
      </c>
      <c r="K37" s="8" t="n">
        <f aca="false">IFERROR(IRR(B470:L470),"No existe")</f>
        <v>0.369448985163965</v>
      </c>
      <c r="L37" s="8" t="n">
        <f aca="false">IFERROR(IRR(B513:L513),"No existe")</f>
        <v>0.445005607797053</v>
      </c>
      <c r="M37" s="8" t="n">
        <f aca="false">IFERROR(IRR(B556:L556),"No existe")</f>
        <v>0.402630307702897</v>
      </c>
      <c r="N37" s="8" t="n">
        <f aca="false">IFERROR(IRR(B599:L599),"No existe")</f>
        <v>0.423476311795342</v>
      </c>
      <c r="O37" s="8" t="n">
        <f aca="false">IFERROR(IRR(B642:L642),"No existe")</f>
        <v>0.406671619719665</v>
      </c>
      <c r="P37" s="8" t="n">
        <f aca="false">IFERROR(IRR(B685:L685),"No existe")</f>
        <v>0.408526284414657</v>
      </c>
      <c r="Q37" s="8" t="n">
        <f aca="false">IFERROR(IRR(B728:L728),"No existe")</f>
        <v>0.42151504136186</v>
      </c>
      <c r="R37" s="8" t="n">
        <f aca="false">IFERROR(IRR(B771:L771),"No existe")</f>
        <v>0.391119117899775</v>
      </c>
      <c r="S37" s="8" t="n">
        <f aca="false">IFERROR(IRR(B814:L814),"No existe")</f>
        <v>0.376494888503076</v>
      </c>
      <c r="T37" s="8" t="n">
        <f aca="false">IFERROR(IRR(B857:L857),"No existe")</f>
        <v>0.280866147178324</v>
      </c>
      <c r="U37" s="8" t="n">
        <f aca="false">IFERROR(IRR(B900:L900),"No existe")</f>
        <v>0.260073507905463</v>
      </c>
      <c r="V37" s="8" t="n">
        <f aca="false">IFERROR(IRR(B943:L943),"No existe")</f>
        <v>0.131957021249146</v>
      </c>
      <c r="W37" s="8" t="n">
        <f aca="false">IFERROR(IRR(B986:L986),"No existe")</f>
        <v>0.244057975755026</v>
      </c>
      <c r="X37" s="8" t="n">
        <f aca="false">IFERROR(IRR(B1029:L1029),"No existe")</f>
        <v>0.244057975755026</v>
      </c>
      <c r="Y37" s="8" t="n">
        <f aca="false">IFERROR(IRR(B1072:L1072),"No existe")</f>
        <v>0.496640507160863</v>
      </c>
    </row>
    <row r="38" customFormat="false" ht="15" hidden="false" customHeight="false" outlineLevel="0" collapsed="false">
      <c r="A38" s="6" t="s">
        <v>447</v>
      </c>
      <c r="B38" s="34" t="n">
        <f aca="false">IFERROR(IRR(B82:L82),"No existe")</f>
        <v>0.348871257184366</v>
      </c>
      <c r="C38" s="34" t="n">
        <f aca="false">IFERROR(IRR(B125:L125),"No existe")</f>
        <v>0.0144301380746945</v>
      </c>
      <c r="D38" s="34" t="n">
        <f aca="false">IFERROR(IRR(B168:L168),"No existe")</f>
        <v>-0.040489299459275</v>
      </c>
      <c r="E38" s="34" t="n">
        <f aca="false">IFERROR(IRR(B211:L211),"No existe")</f>
        <v>0.292876267687652</v>
      </c>
      <c r="F38" s="34" t="n">
        <f aca="false">IFERROR(IRR(B254:L254),"No existe")</f>
        <v>0.229204571014647</v>
      </c>
      <c r="G38" s="34" t="n">
        <f aca="false">IFERROR(IRR(B297:L297),"No existe")</f>
        <v>0.206587047978896</v>
      </c>
      <c r="H38" s="34" t="n">
        <f aca="false">IFERROR(IRR(B340:L340),"No existe")</f>
        <v>0.486565087866919</v>
      </c>
      <c r="I38" s="34" t="n">
        <f aca="false">IFERROR(IRR(B383:L383),"No existe")</f>
        <v>0.245724390610629</v>
      </c>
      <c r="J38" s="34" t="n">
        <f aca="false">IFERROR(IRR(B426:L426),"No existe")</f>
        <v>0.498994964239762</v>
      </c>
      <c r="K38" s="34" t="n">
        <f aca="false">IFERROR(IRR(B469:L469),"No existe")</f>
        <v>0.312542617574338</v>
      </c>
      <c r="L38" s="34" t="n">
        <f aca="false">IFERROR(IRR(B512:L512),"No existe")</f>
        <v>0.384491263172621</v>
      </c>
      <c r="M38" s="34" t="n">
        <f aca="false">IFERROR(IRR(B555:L555),"No existe")</f>
        <v>0.352200119269441</v>
      </c>
      <c r="N38" s="34" t="n">
        <f aca="false">IFERROR(IRR(B598:L598),"No existe")</f>
        <v>0.336597475864171</v>
      </c>
      <c r="O38" s="34" t="n">
        <f aca="false">IFERROR(IRR(B641:L641),"No existe")</f>
        <v>0.347986601370899</v>
      </c>
      <c r="P38" s="34" t="n">
        <f aca="false">IFERROR(IRR(B684:L684),"No existe")</f>
        <v>0.349754768829641</v>
      </c>
      <c r="Q38" s="34" t="n">
        <f aca="false">IFERROR(IRR(B727:L727),"No existe")</f>
        <v>0.362190685255046</v>
      </c>
      <c r="R38" s="34" t="n">
        <f aca="false">IFERROR(IRR(B770:L770),"No existe")</f>
        <v>0.333233454972807</v>
      </c>
      <c r="S38" s="34" t="n">
        <f aca="false">IFERROR(IRR(B813:L813),"No existe")</f>
        <v>0.319349584518852</v>
      </c>
      <c r="T38" s="34" t="n">
        <f aca="false">IFERROR(IRR(B856:L856),"No existe")</f>
        <v>0.228755201370008</v>
      </c>
      <c r="U38" s="34" t="n">
        <f aca="false">IFERROR(IRR(B899:L899),"No existe")</f>
        <v>0.208967612953356</v>
      </c>
      <c r="V38" s="34" t="n">
        <f aca="false">IFERROR(IRR(B942:L942),"No existe")</f>
        <v>0.0862231858180904</v>
      </c>
      <c r="W38" s="34" t="n">
        <f aca="false">IFERROR(IRR(B985:L985),"No existe")</f>
        <v>0.193613885805915</v>
      </c>
      <c r="X38" s="34" t="n">
        <f aca="false">IFERROR(IRR(B1028:L1028),"No existe")</f>
        <v>0.193613885805915</v>
      </c>
      <c r="Y38" s="34" t="n">
        <f aca="false">IFERROR(IRR(B1071:L1071),"No existe")</f>
        <v>0.430653269978325</v>
      </c>
    </row>
    <row r="39" customFormat="false" ht="15" hidden="false" customHeight="false" outlineLevel="0" collapsed="false">
      <c r="A39" s="6" t="s">
        <v>28</v>
      </c>
      <c r="B39" s="37" t="n">
        <f aca="false">MIN(D86:L86)</f>
        <v>1.30556256990244</v>
      </c>
      <c r="C39" s="37" t="n">
        <f aca="false">MIN(D129:L129)</f>
        <v>0.893332461164914</v>
      </c>
      <c r="D39" s="37" t="n">
        <f aca="false">MIN(D172:L172)</f>
        <v>0.604444031794327</v>
      </c>
      <c r="E39" s="37" t="n">
        <f aca="false">MIN(D215:L215)</f>
        <v>1.30556256990244</v>
      </c>
      <c r="F39" s="37" t="n">
        <f aca="false">MIN(D258:L258)</f>
        <v>1.07000146750991</v>
      </c>
      <c r="G39" s="37" t="n">
        <f aca="false">MIN(D301:L301)</f>
        <v>1.06709104781319</v>
      </c>
      <c r="H39" s="37" t="n">
        <f aca="false">MIN(D344:L344)</f>
        <v>1.5440340919917</v>
      </c>
      <c r="I39" s="37" t="n">
        <f aca="false">MIN(D387:L387)</f>
        <v>1.13015647435672</v>
      </c>
      <c r="J39" s="37" t="n">
        <f aca="false">MIN(D430:L430)</f>
        <v>1.56867171322103</v>
      </c>
      <c r="K39" s="37" t="n">
        <f aca="false">MIN(D473:L473)</f>
        <v>1.24100252175819</v>
      </c>
      <c r="L39" s="37" t="n">
        <f aca="false">MIN(D516:L516)</f>
        <v>1.3701226180467</v>
      </c>
      <c r="M39" s="37" t="n">
        <f aca="false">MIN(D559:L559)</f>
        <v>1.30728491905099</v>
      </c>
      <c r="N39" s="37" t="n">
        <f aca="false">MIN(D602:L602)</f>
        <v>1.28998255550772</v>
      </c>
      <c r="O39" s="37" t="n">
        <f aca="false">MIN(D645:L645)</f>
        <v>1.3036477884041</v>
      </c>
      <c r="P39" s="37" t="n">
        <f aca="false">MIN(D688:L688)</f>
        <v>1.30747735140079</v>
      </c>
      <c r="Q39" s="37" t="n">
        <f aca="false">MIN(D731:L731)</f>
        <v>1.33526272791264</v>
      </c>
      <c r="R39" s="37" t="n">
        <f aca="false">MIN(D774:L774)</f>
        <v>1.26064286972334</v>
      </c>
      <c r="S39" s="37" t="n">
        <f aca="false">MIN(D817:L817)</f>
        <v>1.25178160785853</v>
      </c>
      <c r="T39" s="37" t="n">
        <f aca="false">MIN(D860:L860)</f>
        <v>1.30556256990244</v>
      </c>
      <c r="U39" s="37" t="n">
        <f aca="false">MIN(D903:L903)</f>
        <v>1.25178160785853</v>
      </c>
      <c r="V39" s="37" t="n">
        <f aca="false">MIN(D946:L946)</f>
        <v>0.87386620966335</v>
      </c>
      <c r="W39" s="37" t="n">
        <f aca="false">MIN(D989:L989)</f>
        <v>1.25846682217337</v>
      </c>
      <c r="X39" s="37" t="n">
        <f aca="false">MIN(D1032:L1032)</f>
        <v>1.25846682217337</v>
      </c>
      <c r="Y39" s="37" t="n">
        <f aca="false">MIN(D1075:L1075)</f>
        <v>1.15934491900943</v>
      </c>
    </row>
    <row r="41" customFormat="false" ht="15" hidden="false" customHeight="false" outlineLevel="0" collapsed="false">
      <c r="A41" s="3" t="s">
        <v>1205</v>
      </c>
      <c r="B41" s="4"/>
      <c r="C41" s="4"/>
      <c r="D41" s="4"/>
      <c r="E41" s="4"/>
      <c r="F41" s="4"/>
      <c r="G41" s="4"/>
      <c r="H41" s="4"/>
      <c r="I41" s="4"/>
      <c r="J41" s="4"/>
      <c r="K41" s="4"/>
      <c r="L41" s="4"/>
      <c r="M41" s="4"/>
      <c r="N41" s="4"/>
      <c r="O41" s="4"/>
      <c r="P41" s="4"/>
      <c r="Q41" s="4"/>
      <c r="R41" s="4"/>
      <c r="S41" s="4"/>
      <c r="T41" s="4"/>
      <c r="U41" s="4"/>
      <c r="V41" s="4"/>
      <c r="W41" s="4"/>
      <c r="X41" s="4"/>
      <c r="Y41" s="4"/>
    </row>
    <row r="42" customFormat="false" ht="15" hidden="false" customHeight="false" outlineLevel="0" collapsed="false">
      <c r="A42" s="23" t="s">
        <v>130</v>
      </c>
      <c r="B42" s="24" t="s">
        <v>393</v>
      </c>
      <c r="C42" s="24" t="s">
        <v>394</v>
      </c>
      <c r="D42" s="24" t="s">
        <v>395</v>
      </c>
      <c r="E42" s="24" t="s">
        <v>396</v>
      </c>
      <c r="F42" s="24" t="s">
        <v>397</v>
      </c>
      <c r="G42" s="24" t="s">
        <v>398</v>
      </c>
      <c r="H42" s="24" t="s">
        <v>399</v>
      </c>
      <c r="I42" s="24" t="s">
        <v>400</v>
      </c>
      <c r="J42" s="24" t="s">
        <v>401</v>
      </c>
      <c r="K42" s="24" t="s">
        <v>402</v>
      </c>
      <c r="L42" s="24" t="s">
        <v>403</v>
      </c>
    </row>
    <row r="43" customFormat="false" ht="15" hidden="false" customHeight="false" outlineLevel="0" collapsed="false">
      <c r="A43" s="9" t="s">
        <v>404</v>
      </c>
      <c r="B43" s="55" t="n">
        <v>0</v>
      </c>
      <c r="C43" s="55" t="n">
        <v>1</v>
      </c>
      <c r="D43" s="55" t="n">
        <v>2</v>
      </c>
      <c r="E43" s="55" t="n">
        <v>3</v>
      </c>
      <c r="F43" s="55" t="n">
        <v>4</v>
      </c>
      <c r="G43" s="55" t="n">
        <v>5</v>
      </c>
      <c r="H43" s="55" t="n">
        <v>6</v>
      </c>
      <c r="I43" s="55" t="n">
        <v>7</v>
      </c>
      <c r="J43" s="55" t="n">
        <v>8</v>
      </c>
      <c r="K43" s="55" t="n">
        <v>9</v>
      </c>
      <c r="L43" s="55" t="n">
        <v>10</v>
      </c>
    </row>
    <row r="45" customFormat="false" ht="15" hidden="false" customHeight="false" outlineLevel="0" collapsed="false">
      <c r="A45" s="43" t="s">
        <v>153</v>
      </c>
      <c r="B45" s="44"/>
      <c r="C45" s="44"/>
      <c r="D45" s="44"/>
      <c r="E45" s="44"/>
      <c r="F45" s="44"/>
      <c r="G45" s="44"/>
      <c r="H45" s="44"/>
      <c r="I45" s="44"/>
      <c r="J45" s="44"/>
      <c r="K45" s="44"/>
      <c r="L45" s="44"/>
    </row>
    <row r="46" customFormat="false" ht="15" hidden="true" customHeight="false" outlineLevel="1" collapsed="false">
      <c r="A46" s="9" t="s">
        <v>405</v>
      </c>
      <c r="B46" s="56" t="n">
        <f aca="false">CHOOSE($B$15,Entorno!B$7,Entorno!B$8,Entorno!B$9)</f>
        <v>0.06</v>
      </c>
      <c r="C46" s="56" t="n">
        <f aca="false">CHOOSE($B$15,Entorno!C$7,Entorno!C$8,Entorno!C$9)</f>
        <v>0.05</v>
      </c>
      <c r="D46" s="56" t="n">
        <f aca="false">CHOOSE($B$15,Entorno!D$7,Entorno!D$8,Entorno!D$9)</f>
        <v>0.045</v>
      </c>
      <c r="E46" s="56" t="n">
        <f aca="false">CHOOSE($B$15,Entorno!E$7,Entorno!E$8,Entorno!E$9)</f>
        <v>0.04</v>
      </c>
      <c r="F46" s="56" t="n">
        <f aca="false">CHOOSE($B$15,Entorno!F$7,Entorno!F$8,Entorno!F$9)</f>
        <v>0.04</v>
      </c>
      <c r="G46" s="56" t="n">
        <f aca="false">CHOOSE($B$15,Entorno!G$7,Entorno!G$8,Entorno!G$9)</f>
        <v>0.04</v>
      </c>
      <c r="H46" s="56" t="n">
        <f aca="false">CHOOSE($B$15,Entorno!H$7,Entorno!H$8,Entorno!H$9)</f>
        <v>0.04</v>
      </c>
      <c r="I46" s="56" t="n">
        <f aca="false">CHOOSE($B$15,Entorno!I$7,Entorno!I$8,Entorno!I$9)</f>
        <v>0.04</v>
      </c>
      <c r="J46" s="56" t="n">
        <f aca="false">CHOOSE($B$15,Entorno!J$7,Entorno!J$8,Entorno!J$9)</f>
        <v>0.04</v>
      </c>
      <c r="K46" s="56" t="n">
        <f aca="false">CHOOSE($B$15,Entorno!K$7,Entorno!K$8,Entorno!K$9)</f>
        <v>0.04</v>
      </c>
      <c r="L46" s="56" t="n">
        <f aca="false">CHOOSE($B$15,Entorno!L$7,Entorno!L$8,Entorno!L$9)</f>
        <v>0.04</v>
      </c>
    </row>
    <row r="47" customFormat="false" ht="15" hidden="true" customHeight="false" outlineLevel="1" collapsed="false">
      <c r="A47" s="9" t="s">
        <v>406</v>
      </c>
      <c r="B47" s="57" t="n">
        <f aca="false">1+B46</f>
        <v>1.06</v>
      </c>
      <c r="C47" s="57" t="n">
        <f aca="false">B47*(1+C46)</f>
        <v>1.113</v>
      </c>
      <c r="D47" s="57" t="n">
        <f aca="false">C47*(1+D46)</f>
        <v>1.163085</v>
      </c>
      <c r="E47" s="57" t="n">
        <f aca="false">D47*(1+E46)</f>
        <v>1.2096084</v>
      </c>
      <c r="F47" s="57" t="n">
        <f aca="false">E47*(1+F46)</f>
        <v>1.257992736</v>
      </c>
      <c r="G47" s="57" t="n">
        <f aca="false">F47*(1+G46)</f>
        <v>1.30831244544</v>
      </c>
      <c r="H47" s="57" t="n">
        <f aca="false">G47*(1+H46)</f>
        <v>1.3606449432576</v>
      </c>
      <c r="I47" s="57" t="n">
        <f aca="false">H47*(1+I46)</f>
        <v>1.4150707409879</v>
      </c>
      <c r="J47" s="57" t="n">
        <f aca="false">I47*(1+J46)</f>
        <v>1.47167357062742</v>
      </c>
      <c r="K47" s="57" t="n">
        <f aca="false">J47*(1+K46)</f>
        <v>1.53054051345252</v>
      </c>
      <c r="L47" s="57" t="n">
        <f aca="false">K47*(1+L46)</f>
        <v>1.59176213399062</v>
      </c>
    </row>
    <row r="48" customFormat="false" ht="15" hidden="true" customHeight="false" outlineLevel="1" collapsed="false">
      <c r="A48" s="9" t="s">
        <v>407</v>
      </c>
      <c r="B48" s="57" t="n">
        <f aca="false">(1+$B$16)/(1+B46)</f>
        <v>1.02358490566038</v>
      </c>
      <c r="C48" s="57" t="n">
        <f aca="false">B48*(1+Entorno!$B$13)</f>
        <v>1.02870283018868</v>
      </c>
      <c r="D48" s="57" t="n">
        <f aca="false">C48*(1+Entorno!$B$13)</f>
        <v>1.03384634433962</v>
      </c>
      <c r="E48" s="57" t="n">
        <f aca="false">D48*(1+Entorno!$B$13)</f>
        <v>1.03901557606132</v>
      </c>
      <c r="F48" s="57" t="n">
        <f aca="false">E48*(1+Entorno!$B$13)</f>
        <v>1.04421065394163</v>
      </c>
      <c r="G48" s="57" t="n">
        <f aca="false">F48*(1+Entorno!$B$13)</f>
        <v>1.04943170721133</v>
      </c>
      <c r="H48" s="57" t="n">
        <f aca="false">G48*(1+Entorno!$B$13)</f>
        <v>1.05467886574739</v>
      </c>
      <c r="I48" s="57" t="n">
        <f aca="false">H48*(1+Entorno!$B$13)</f>
        <v>1.05995226007613</v>
      </c>
      <c r="J48" s="57" t="n">
        <f aca="false">I48*(1+Entorno!$B$13)</f>
        <v>1.06525202137651</v>
      </c>
      <c r="K48" s="57" t="n">
        <f aca="false">J48*(1+Entorno!$B$13)</f>
        <v>1.07057828148339</v>
      </c>
      <c r="L48" s="57" t="n">
        <f aca="false">K48*(1+Entorno!$B$13)</f>
        <v>1.07593117289081</v>
      </c>
    </row>
    <row r="49" customFormat="false" ht="15" hidden="true" customHeight="false" outlineLevel="1" collapsed="false">
      <c r="A49" s="9" t="s">
        <v>408</v>
      </c>
      <c r="B49" s="57" t="n">
        <f aca="false">1/B47</f>
        <v>0.943396226415094</v>
      </c>
      <c r="C49" s="57" t="n">
        <f aca="false">1/C47</f>
        <v>0.898472596585804</v>
      </c>
      <c r="D49" s="57" t="n">
        <f aca="false">1/D47</f>
        <v>0.859782389077324</v>
      </c>
      <c r="E49" s="57" t="n">
        <f aca="false">1/E47</f>
        <v>0.826713835651273</v>
      </c>
      <c r="F49" s="57" t="n">
        <f aca="false">1/F47</f>
        <v>0.794917149664686</v>
      </c>
      <c r="G49" s="57" t="n">
        <f aca="false">1/G47</f>
        <v>0.764343413139121</v>
      </c>
      <c r="H49" s="57" t="n">
        <f aca="false">1/H47</f>
        <v>0.734945589556847</v>
      </c>
      <c r="I49" s="57" t="n">
        <f aca="false">1/I47</f>
        <v>0.706678451496968</v>
      </c>
      <c r="J49" s="57" t="n">
        <f aca="false">1/J47</f>
        <v>0.679498511054777</v>
      </c>
      <c r="K49" s="57" t="n">
        <f aca="false">1/K47</f>
        <v>0.653363952937286</v>
      </c>
      <c r="L49" s="57" t="n">
        <f aca="false">1/L47</f>
        <v>0.628234570132006</v>
      </c>
    </row>
    <row r="50" customFormat="false" ht="15" hidden="true" customHeight="false" outlineLevel="1" collapsed="false">
      <c r="A50" s="6" t="s">
        <v>323</v>
      </c>
      <c r="B50" s="29" t="n">
        <f aca="false">IF(B$43=0,Quesería!$F$92,IF(B$43=1,Quesería!$F$93*$B$21,0))*$B$11</f>
        <v>930.800239431677</v>
      </c>
      <c r="C50" s="29" t="n">
        <f aca="false">IF(C$43=0,Quesería!$F$92,IF(C$43=1,Quesería!$F$93*$B$21,0))*$B$11</f>
        <v>758.469066674498</v>
      </c>
      <c r="D50" s="29" t="n">
        <f aca="false">IF(D$43=0,Quesería!$F$92,IF(D$43=1,Quesería!$F$93*$B$21,0))*$B$11</f>
        <v>0</v>
      </c>
      <c r="E50" s="29" t="n">
        <f aca="false">IF(E$43=0,Quesería!$F$92,IF(E$43=1,Quesería!$F$93*$B$21,0))*$B$11</f>
        <v>0</v>
      </c>
      <c r="F50" s="29" t="n">
        <f aca="false">IF(F$43=0,Quesería!$F$92,IF(F$43=1,Quesería!$F$93*$B$21,0))*$B$11</f>
        <v>0</v>
      </c>
      <c r="G50" s="29" t="n">
        <f aca="false">IF(G$43=0,Quesería!$F$92,IF(G$43=1,Quesería!$F$93*$B$21,0))*$B$11</f>
        <v>0</v>
      </c>
      <c r="H50" s="29" t="n">
        <f aca="false">IF(H$43=0,Quesería!$F$92,IF(H$43=1,Quesería!$F$93*$B$21,0))*$B$11</f>
        <v>0</v>
      </c>
      <c r="I50" s="29" t="n">
        <f aca="false">IF(I$43=0,Quesería!$F$92,IF(I$43=1,Quesería!$F$93*$B$21,0))*$B$11</f>
        <v>0</v>
      </c>
      <c r="J50" s="29" t="n">
        <f aca="false">IF(J$43=0,Quesería!$F$92,IF(J$43=1,Quesería!$F$93*$B$21,0))*$B$11</f>
        <v>0</v>
      </c>
      <c r="K50" s="29" t="n">
        <f aca="false">IF(K$43=0,Quesería!$F$92,IF(K$43=1,Quesería!$F$93*$B$21,0))*$B$11</f>
        <v>0</v>
      </c>
      <c r="L50" s="29" t="n">
        <f aca="false">IF(L$43=0,Quesería!$F$92,IF(L$43=1,Quesería!$F$93*$B$21,0))*$B$11</f>
        <v>0</v>
      </c>
    </row>
    <row r="51" customFormat="false" ht="15" hidden="true" customHeight="false" outlineLevel="1" collapsed="false">
      <c r="A51" s="6" t="s">
        <v>409</v>
      </c>
      <c r="B51" s="29" t="n">
        <f aca="false">IF(B$43=5,Quesería!$F$99,IF(B$43=6,Quesería!$F$100,0))*$B$11</f>
        <v>0</v>
      </c>
      <c r="C51" s="29" t="n">
        <f aca="false">IF(C$43=5,Quesería!$F$99,IF(C$43=6,Quesería!$F$100,0))*$B$11</f>
        <v>0</v>
      </c>
      <c r="D51" s="29" t="n">
        <f aca="false">IF(D$43=5,Quesería!$F$99,IF(D$43=6,Quesería!$F$100,0))*$B$11</f>
        <v>0</v>
      </c>
      <c r="E51" s="29" t="n">
        <f aca="false">IF(E$43=5,Quesería!$F$99,IF(E$43=6,Quesería!$F$100,0))*$B$11</f>
        <v>0</v>
      </c>
      <c r="F51" s="29" t="n">
        <f aca="false">IF(F$43=5,Quesería!$F$99,IF(F$43=6,Quesería!$F$100,0))*$B$11</f>
        <v>0</v>
      </c>
      <c r="G51" s="29" t="n">
        <f aca="false">IF(G$43=5,Quesería!$F$99,IF(G$43=6,Quesería!$F$100,0))*$B$11</f>
        <v>27.4652172688735</v>
      </c>
      <c r="H51" s="29" t="n">
        <f aca="false">IF(H$43=5,Quesería!$F$99,IF(H$43=6,Quesería!$F$100,0))*$B$11</f>
        <v>46.3891557109552</v>
      </c>
      <c r="I51" s="29" t="n">
        <f aca="false">IF(I$43=5,Quesería!$F$99,IF(I$43=6,Quesería!$F$100,0))*$B$11</f>
        <v>0</v>
      </c>
      <c r="J51" s="29" t="n">
        <f aca="false">IF(J$43=5,Quesería!$F$99,IF(J$43=6,Quesería!$F$100,0))*$B$11</f>
        <v>0</v>
      </c>
      <c r="K51" s="29" t="n">
        <f aca="false">IF(K$43=5,Quesería!$F$99,IF(K$43=6,Quesería!$F$100,0))*$B$11</f>
        <v>0</v>
      </c>
      <c r="L51" s="29" t="n">
        <f aca="false">IF(L$43=5,Quesería!$F$99,IF(L$43=6,Quesería!$F$100,0))*$B$11</f>
        <v>0</v>
      </c>
    </row>
    <row r="52" customFormat="false" ht="15" hidden="true" customHeight="false" outlineLevel="1" collapsed="false">
      <c r="A52" s="6" t="s">
        <v>410</v>
      </c>
      <c r="B52" s="29" t="n">
        <f aca="false">Quesería!$B$55*(IF(B$43=0,SUMPRODUCT((Quesería!$C$70:$C$89=0)*(Quesería!$H$70:$H$89&gt;0)*(Quesería!$J$70:$J$89&gt;0)*Quesería!$F$70:$F$89*(1+Quesería!$I$70:$I$89)),IF(B$43=1,SUMPRODUCT((Quesería!$C$70:$C$89=1)*(Quesería!$H$70:$H$89&gt;0)*(Quesería!$J$70:$J$89&gt;0)*Quesería!$F$70:$F$89*(1+Quesería!$I$70:$I$89))*$B$21,0))*$B$11+B51)</f>
        <v>149.115671560178</v>
      </c>
      <c r="C52" s="29" t="n">
        <f aca="false">Quesería!$B$55*(IF(C$43=0,SUMPRODUCT((Quesería!$C$70:$C$89=0)*(Quesería!$H$70:$H$89&gt;0)*(Quesería!$J$70:$J$89&gt;0)*Quesería!$F$70:$F$89*(1+Quesería!$I$70:$I$89)),IF(C$43=1,SUMPRODUCT((Quesería!$C$70:$C$89=1)*(Quesería!$H$70:$H$89&gt;0)*(Quesería!$J$70:$J$89&gt;0)*Quesería!$F$70:$F$89*(1+Quesería!$I$70:$I$89))*$B$21,0))*$B$11+C51)</f>
        <v>144.109122668155</v>
      </c>
      <c r="D52" s="29" t="n">
        <f aca="false">Quesería!$B$55*(IF(D$43=0,SUMPRODUCT((Quesería!$C$70:$C$89=0)*(Quesería!$H$70:$H$89&gt;0)*(Quesería!$J$70:$J$89&gt;0)*Quesería!$F$70:$F$89*(1+Quesería!$I$70:$I$89)),IF(D$43=1,SUMPRODUCT((Quesería!$C$70:$C$89=1)*(Quesería!$H$70:$H$89&gt;0)*(Quesería!$J$70:$J$89&gt;0)*Quesería!$F$70:$F$89*(1+Quesería!$I$70:$I$89))*$B$21,0))*$B$11+D51)</f>
        <v>0</v>
      </c>
      <c r="E52" s="29" t="n">
        <f aca="false">Quesería!$B$55*(IF(E$43=0,SUMPRODUCT((Quesería!$C$70:$C$89=0)*(Quesería!$H$70:$H$89&gt;0)*(Quesería!$J$70:$J$89&gt;0)*Quesería!$F$70:$F$89*(1+Quesería!$I$70:$I$89)),IF(E$43=1,SUMPRODUCT((Quesería!$C$70:$C$89=1)*(Quesería!$H$70:$H$89&gt;0)*(Quesería!$J$70:$J$89&gt;0)*Quesería!$F$70:$F$89*(1+Quesería!$I$70:$I$89))*$B$21,0))*$B$11+E51)</f>
        <v>0</v>
      </c>
      <c r="F52" s="29" t="n">
        <f aca="false">Quesería!$B$55*(IF(F$43=0,SUMPRODUCT((Quesería!$C$70:$C$89=0)*(Quesería!$H$70:$H$89&gt;0)*(Quesería!$J$70:$J$89&gt;0)*Quesería!$F$70:$F$89*(1+Quesería!$I$70:$I$89)),IF(F$43=1,SUMPRODUCT((Quesería!$C$70:$C$89=1)*(Quesería!$H$70:$H$89&gt;0)*(Quesería!$J$70:$J$89&gt;0)*Quesería!$F$70:$F$89*(1+Quesería!$I$70:$I$89))*$B$21,0))*$B$11+F51)</f>
        <v>0</v>
      </c>
      <c r="G52" s="29" t="n">
        <f aca="false">Quesería!$B$55*(IF(G$43=0,SUMPRODUCT((Quesería!$C$70:$C$89=0)*(Quesería!$H$70:$H$89&gt;0)*(Quesería!$J$70:$J$89&gt;0)*Quesería!$F$70:$F$89*(1+Quesería!$I$70:$I$89)),IF(G$43=1,SUMPRODUCT((Quesería!$C$70:$C$89=1)*(Quesería!$H$70:$H$89&gt;0)*(Quesería!$J$70:$J$89&gt;0)*Quesería!$F$70:$F$89*(1+Quesería!$I$70:$I$89))*$B$21,0))*$B$11+G51)</f>
        <v>5.21839128108597</v>
      </c>
      <c r="H52" s="29" t="n">
        <f aca="false">Quesería!$B$55*(IF(H$43=0,SUMPRODUCT((Quesería!$C$70:$C$89=0)*(Quesería!$H$70:$H$89&gt;0)*(Quesería!$J$70:$J$89&gt;0)*Quesería!$F$70:$F$89*(1+Quesería!$I$70:$I$89)),IF(H$43=1,SUMPRODUCT((Quesería!$C$70:$C$89=1)*(Quesería!$H$70:$H$89&gt;0)*(Quesería!$J$70:$J$89&gt;0)*Quesería!$F$70:$F$89*(1+Quesería!$I$70:$I$89))*$B$21,0))*$B$11+H51)</f>
        <v>8.8139395850815</v>
      </c>
      <c r="I52" s="29" t="n">
        <f aca="false">Quesería!$B$55*(IF(I$43=0,SUMPRODUCT((Quesería!$C$70:$C$89=0)*(Quesería!$H$70:$H$89&gt;0)*(Quesería!$J$70:$J$89&gt;0)*Quesería!$F$70:$F$89*(1+Quesería!$I$70:$I$89)),IF(I$43=1,SUMPRODUCT((Quesería!$C$70:$C$89=1)*(Quesería!$H$70:$H$89&gt;0)*(Quesería!$J$70:$J$89&gt;0)*Quesería!$F$70:$F$89*(1+Quesería!$I$70:$I$89))*$B$21,0))*$B$11+I51)</f>
        <v>0</v>
      </c>
      <c r="J52" s="29" t="n">
        <f aca="false">Quesería!$B$55*(IF(J$43=0,SUMPRODUCT((Quesería!$C$70:$C$89=0)*(Quesería!$H$70:$H$89&gt;0)*(Quesería!$J$70:$J$89&gt;0)*Quesería!$F$70:$F$89*(1+Quesería!$I$70:$I$89)),IF(J$43=1,SUMPRODUCT((Quesería!$C$70:$C$89=1)*(Quesería!$H$70:$H$89&gt;0)*(Quesería!$J$70:$J$89&gt;0)*Quesería!$F$70:$F$89*(1+Quesería!$I$70:$I$89))*$B$21,0))*$B$11+J51)</f>
        <v>0</v>
      </c>
      <c r="K52" s="29" t="n">
        <f aca="false">Quesería!$B$55*(IF(K$43=0,SUMPRODUCT((Quesería!$C$70:$C$89=0)*(Quesería!$H$70:$H$89&gt;0)*(Quesería!$J$70:$J$89&gt;0)*Quesería!$F$70:$F$89*(1+Quesería!$I$70:$I$89)),IF(K$43=1,SUMPRODUCT((Quesería!$C$70:$C$89=1)*(Quesería!$H$70:$H$89&gt;0)*(Quesería!$J$70:$J$89&gt;0)*Quesería!$F$70:$F$89*(1+Quesería!$I$70:$I$89))*$B$21,0))*$B$11+K51)</f>
        <v>0</v>
      </c>
      <c r="L52" s="29" t="n">
        <f aca="false">Quesería!$B$55*(IF(L$43=0,SUMPRODUCT((Quesería!$C$70:$C$89=0)*(Quesería!$H$70:$H$89&gt;0)*(Quesería!$J$70:$J$89&gt;0)*Quesería!$F$70:$F$89*(1+Quesería!$I$70:$I$89)),IF(L$43=1,SUMPRODUCT((Quesería!$C$70:$C$89=1)*(Quesería!$H$70:$H$89&gt;0)*(Quesería!$J$70:$J$89&gt;0)*Quesería!$F$70:$F$89*(1+Quesería!$I$70:$I$89))*$B$21,0))*$B$11+L51)</f>
        <v>0</v>
      </c>
    </row>
    <row r="53" customFormat="false" ht="15" hidden="true" customHeight="false" outlineLevel="1" collapsed="false">
      <c r="A53" s="6" t="s">
        <v>385</v>
      </c>
      <c r="B53" s="29" t="n">
        <f aca="false">IF(B$43=0,($B$22*Quesería!$J$125+(1-$B$22)*Quesería!$E$121)*Quesería!$B$20*Quesería!$B$21/12*$B$23,(($B$22*Quesería!$J$125+(1-$B$22)*Quesería!$E$121)+($B$22*Quesería!$J$104+(1-$B$22)*Quesería!$E$104)*(B48-1))*IF(B$43=1,Quesería!$B$20,1))*$B$10</f>
        <v>120.716772261203</v>
      </c>
      <c r="C53" s="29" t="n">
        <f aca="false">IF(C$43=0,($B$22*Quesería!$J$125+(1-$B$22)*Quesería!$E$121)*Quesería!$B$20*Quesería!$B$21/12*$B$23,(($B$22*Quesería!$J$125+(1-$B$22)*Quesería!$E$121)+($B$22*Quesería!$J$104+(1-$B$22)*Quesería!$E$104)*(C48-1))*IF(C$43=1,Quesería!$B$20,1))*$B$10</f>
        <v>181.328317354069</v>
      </c>
      <c r="D53" s="29" t="n">
        <f aca="false">IF(D$43=0,($B$22*Quesería!$J$125+(1-$B$22)*Quesería!$E$121)*Quesería!$B$20*Quesería!$B$21/12*$B$23,(($B$22*Quesería!$J$125+(1-$B$22)*Quesería!$E$121)+($B$22*Quesería!$J$104+(1-$B$22)*Quesería!$E$104)*(D48-1))*IF(D$43=1,Quesería!$B$20,1))*$B$10</f>
        <v>241.83157753184</v>
      </c>
      <c r="E53" s="29" t="n">
        <f aca="false">IF(E$43=0,($B$22*Quesería!$J$125+(1-$B$22)*Quesería!$E$121)*Quesería!$B$20*Quesería!$B$21/12*$B$23,(($B$22*Quesería!$J$125+(1-$B$22)*Quesería!$E$121)+($B$22*Quesería!$J$104+(1-$B$22)*Quesería!$E$104)*(E48-1))*IF(E$43=1,Quesería!$B$20,1))*$B$10</f>
        <v>241.892367696887</v>
      </c>
      <c r="F53" s="29" t="n">
        <f aca="false">IF(F$43=0,($B$22*Quesería!$J$125+(1-$B$22)*Quesería!$E$121)*Quesería!$B$20*Quesería!$B$21/12*$B$23,(($B$22*Quesería!$J$125+(1-$B$22)*Quesería!$E$121)+($B$22*Quesería!$J$104+(1-$B$22)*Quesería!$E$104)*(F48-1))*IF(F$43=1,Quesería!$B$20,1))*$B$10</f>
        <v>241.95346181276</v>
      </c>
      <c r="G53" s="29" t="n">
        <f aca="false">IF(G$43=0,($B$22*Quesería!$J$125+(1-$B$22)*Quesería!$E$121)*Quesería!$B$20*Quesería!$B$21/12*$B$23,(($B$22*Quesería!$J$125+(1-$B$22)*Quesería!$E$121)+($B$22*Quesería!$J$104+(1-$B$22)*Quesería!$E$104)*(G48-1))*IF(G$43=1,Quesería!$B$20,1))*$B$10</f>
        <v>242.014861399211</v>
      </c>
      <c r="H53" s="29" t="n">
        <f aca="false">IF(H$43=0,($B$22*Quesería!$J$125+(1-$B$22)*Quesería!$E$121)*Quesería!$B$20*Quesería!$B$21/12*$B$23,(($B$22*Quesería!$J$125+(1-$B$22)*Quesería!$E$121)+($B$22*Quesería!$J$104+(1-$B$22)*Quesería!$E$104)*(H48-1))*IF(H$43=1,Quesería!$B$20,1))*$B$10</f>
        <v>242.076567983595</v>
      </c>
      <c r="I53" s="29" t="n">
        <f aca="false">IF(I$43=0,($B$22*Quesería!$J$125+(1-$B$22)*Quesería!$E$121)*Quesería!$B$20*Quesería!$B$21/12*$B$23,(($B$22*Quesería!$J$125+(1-$B$22)*Quesería!$E$121)+($B$22*Quesería!$J$104+(1-$B$22)*Quesería!$E$104)*(I48-1))*IF(I$43=1,Quesería!$B$20,1))*$B$10</f>
        <v>242.138583100901</v>
      </c>
      <c r="J53" s="29" t="n">
        <f aca="false">IF(J$43=0,($B$22*Quesería!$J$125+(1-$B$22)*Quesería!$E$121)*Quesería!$B$20*Quesería!$B$21/12*$B$23,(($B$22*Quesería!$J$125+(1-$B$22)*Quesería!$E$121)+($B$22*Quesería!$J$104+(1-$B$22)*Quesería!$E$104)*(J48-1))*IF(J$43=1,Quesería!$B$20,1))*$B$10</f>
        <v>242.200908293794</v>
      </c>
      <c r="K53" s="29" t="n">
        <f aca="false">IF(K$43=0,($B$22*Quesería!$J$125+(1-$B$22)*Quesería!$E$121)*Quesería!$B$20*Quesería!$B$21/12*$B$23,(($B$22*Quesería!$J$125+(1-$B$22)*Quesería!$E$121)+($B$22*Quesería!$J$104+(1-$B$22)*Quesería!$E$104)*(K48-1))*IF(K$43=1,Quesería!$B$20,1))*$B$10</f>
        <v>242.263545112651</v>
      </c>
      <c r="L53" s="29" t="n">
        <f aca="false">IF(L$43=0,($B$22*Quesería!$J$125+(1-$B$22)*Quesería!$E$121)*Quesería!$B$20*Quesería!$B$21/12*$B$23,(($B$22*Quesería!$J$125+(1-$B$22)*Quesería!$E$121)+($B$22*Quesería!$J$104+(1-$B$22)*Quesería!$E$104)*(L48-1))*IF(L$43=1,Quesería!$B$20,1))*$B$10</f>
        <v>242.326495115602</v>
      </c>
    </row>
    <row r="54" customFormat="false" ht="15" hidden="true" customHeight="false" outlineLevel="1" collapsed="false">
      <c r="A54" s="6" t="s">
        <v>386</v>
      </c>
      <c r="B54" s="29" t="n">
        <f aca="false">IF(B$43&lt;=1,0,((($B$22*Quesería!$J$126+(1-$B$22)*Quesería!$E$122)-($B$22*Quesería!$J$113+(1-$B$22)*Quesería!$E$113)+$B$6*($B$22*Quesería!$J$113+(1-$B$22)*Quesería!$E$113)-(1-$B$9)*(($B$22*Quesería!$J$118+(1-$B$22)*Quesería!$E$118)+($B$22*Quesería!$J$117+(1-$B$22)*Quesería!$E$117)))+($B$6*($B$22*Quesería!$J$113+(1-$B$22)*Quesería!$E$113)+$B$9*($B$22*Quesería!$J$118+(1-$B$22)*Quesería!$E$118))*(B48-1))*IF(B$43=2,Quesería!$B$20,1)+IF(B$43=2,Quesería!$B$24*$B$9*($B$22*Quesería!$J$118+(1-$B$22)*Quesería!$E$118)*B48,0))*$B$10*$B$21</f>
        <v>0</v>
      </c>
      <c r="C54" s="29" t="n">
        <f aca="false">IF(C$43&lt;=1,0,((($B$22*Quesería!$J$126+(1-$B$22)*Quesería!$E$122)-($B$22*Quesería!$J$113+(1-$B$22)*Quesería!$E$113)+$B$6*($B$22*Quesería!$J$113+(1-$B$22)*Quesería!$E$113)-(1-$B$9)*(($B$22*Quesería!$J$118+(1-$B$22)*Quesería!$E$118)+($B$22*Quesería!$J$117+(1-$B$22)*Quesería!$E$117)))+($B$6*($B$22*Quesería!$J$113+(1-$B$22)*Quesería!$E$113)+$B$9*($B$22*Quesería!$J$118+(1-$B$22)*Quesería!$E$118))*(C48-1))*IF(C$43=2,Quesería!$B$20,1)+IF(C$43=2,Quesería!$B$24*$B$9*($B$22*Quesería!$J$118+(1-$B$22)*Quesería!$E$118)*C48,0))*$B$10*$B$21</f>
        <v>0</v>
      </c>
      <c r="D54" s="29" t="n">
        <f aca="false">IF(D$43&lt;=1,0,((($B$22*Quesería!$J$126+(1-$B$22)*Quesería!$E$122)-($B$22*Quesería!$J$113+(1-$B$22)*Quesería!$E$113)+$B$6*($B$22*Quesería!$J$113+(1-$B$22)*Quesería!$E$113)-(1-$B$9)*(($B$22*Quesería!$J$118+(1-$B$22)*Quesería!$E$118)+($B$22*Quesería!$J$117+(1-$B$22)*Quesería!$E$117)))+($B$6*($B$22*Quesería!$J$113+(1-$B$22)*Quesería!$E$113)+$B$9*($B$22*Quesería!$J$118+(1-$B$22)*Quesería!$E$118))*(D48-1))*IF(D$43=2,Quesería!$B$20,1)+IF(D$43=2,Quesería!$B$24*$B$9*($B$22*Quesería!$J$118+(1-$B$22)*Quesería!$E$118)*D48,0))*$B$10*$B$21</f>
        <v>235.201505618611</v>
      </c>
      <c r="E54" s="29" t="n">
        <f aca="false">IF(E$43&lt;=1,0,((($B$22*Quesería!$J$126+(1-$B$22)*Quesería!$E$122)-($B$22*Quesería!$J$113+(1-$B$22)*Quesería!$E$113)+$B$6*($B$22*Quesería!$J$113+(1-$B$22)*Quesería!$E$113)-(1-$B$9)*(($B$22*Quesería!$J$118+(1-$B$22)*Quesería!$E$118)+($B$22*Quesería!$J$117+(1-$B$22)*Quesería!$E$117)))+($B$6*($B$22*Quesería!$J$113+(1-$B$22)*Quesería!$E$113)+$B$9*($B$22*Quesería!$J$118+(1-$B$22)*Quesería!$E$118))*(E48-1))*IF(E$43=2,Quesería!$B$20,1)+IF(E$43=2,Quesería!$B$24*$B$9*($B$22*Quesería!$J$118+(1-$B$22)*Quesería!$E$118)*E48,0))*$B$10*$B$21</f>
        <v>298.96150264002</v>
      </c>
      <c r="F54" s="29" t="n">
        <f aca="false">IF(F$43&lt;=1,0,((($B$22*Quesería!$J$126+(1-$B$22)*Quesería!$E$122)-($B$22*Quesería!$J$113+(1-$B$22)*Quesería!$E$113)+$B$6*($B$22*Quesería!$J$113+(1-$B$22)*Quesería!$E$113)-(1-$B$9)*(($B$22*Quesería!$J$118+(1-$B$22)*Quesería!$E$118)+($B$22*Quesería!$J$117+(1-$B$22)*Quesería!$E$117)))+($B$6*($B$22*Quesería!$J$113+(1-$B$22)*Quesería!$E$113)+$B$9*($B$22*Quesería!$J$118+(1-$B$22)*Quesería!$E$118))*(F48-1))*IF(F$43=2,Quesería!$B$20,1)+IF(F$43=2,Quesería!$B$24*$B$9*($B$22*Quesería!$J$118+(1-$B$22)*Quesería!$E$118)*F48,0))*$B$10*$B$21</f>
        <v>299.209619559583</v>
      </c>
      <c r="G54" s="29" t="n">
        <f aca="false">IF(G$43&lt;=1,0,((($B$22*Quesería!$J$126+(1-$B$22)*Quesería!$E$122)-($B$22*Quesería!$J$113+(1-$B$22)*Quesería!$E$113)+$B$6*($B$22*Quesería!$J$113+(1-$B$22)*Quesería!$E$113)-(1-$B$9)*(($B$22*Quesería!$J$118+(1-$B$22)*Quesería!$E$118)+($B$22*Quesería!$J$117+(1-$B$22)*Quesería!$E$117)))+($B$6*($B$22*Quesería!$J$113+(1-$B$22)*Quesería!$E$113)+$B$9*($B$22*Quesería!$J$118+(1-$B$22)*Quesería!$E$118))*(G48-1))*IF(G$43=2,Quesería!$B$20,1)+IF(G$43=2,Quesería!$B$24*$B$9*($B$22*Quesería!$J$118+(1-$B$22)*Quesería!$E$118)*G48,0))*$B$10*$B$21</f>
        <v>299.458977063744</v>
      </c>
      <c r="H54" s="29" t="n">
        <f aca="false">IF(H$43&lt;=1,0,((($B$22*Quesería!$J$126+(1-$B$22)*Quesería!$E$122)-($B$22*Quesería!$J$113+(1-$B$22)*Quesería!$E$113)+$B$6*($B$22*Quesería!$J$113+(1-$B$22)*Quesería!$E$113)-(1-$B$9)*(($B$22*Quesería!$J$118+(1-$B$22)*Quesería!$E$118)+($B$22*Quesería!$J$117+(1-$B$22)*Quesería!$E$117)))+($B$6*($B$22*Quesería!$J$113+(1-$B$22)*Quesería!$E$113)+$B$9*($B$22*Quesería!$J$118+(1-$B$22)*Quesería!$E$118))*(H48-1))*IF(H$43=2,Quesería!$B$20,1)+IF(H$43=2,Quesería!$B$24*$B$9*($B$22*Quesería!$J$118+(1-$B$22)*Quesería!$E$118)*H48,0))*$B$10*$B$21</f>
        <v>299.709581355426</v>
      </c>
      <c r="I54" s="29" t="n">
        <f aca="false">IF(I$43&lt;=1,0,((($B$22*Quesería!$J$126+(1-$B$22)*Quesería!$E$122)-($B$22*Quesería!$J$113+(1-$B$22)*Quesería!$E$113)+$B$6*($B$22*Quesería!$J$113+(1-$B$22)*Quesería!$E$113)-(1-$B$9)*(($B$22*Quesería!$J$118+(1-$B$22)*Quesería!$E$118)+($B$22*Quesería!$J$117+(1-$B$22)*Quesería!$E$117)))+($B$6*($B$22*Quesería!$J$113+(1-$B$22)*Quesería!$E$113)+$B$9*($B$22*Quesería!$J$118+(1-$B$22)*Quesería!$E$118))*(I48-1))*IF(I$43=2,Quesería!$B$20,1)+IF(I$43=2,Quesería!$B$24*$B$9*($B$22*Quesería!$J$118+(1-$B$22)*Quesería!$E$118)*I48,0))*$B$10*$B$21</f>
        <v>299.961438668567</v>
      </c>
      <c r="J54" s="29" t="n">
        <f aca="false">IF(J$43&lt;=1,0,((($B$22*Quesería!$J$126+(1-$B$22)*Quesería!$E$122)-($B$22*Quesería!$J$113+(1-$B$22)*Quesería!$E$113)+$B$6*($B$22*Quesería!$J$113+(1-$B$22)*Quesería!$E$113)-(1-$B$9)*(($B$22*Quesería!$J$118+(1-$B$22)*Quesería!$E$118)+($B$22*Quesería!$J$117+(1-$B$22)*Quesería!$E$117)))+($B$6*($B$22*Quesería!$J$113+(1-$B$22)*Quesería!$E$113)+$B$9*($B$22*Quesería!$J$118+(1-$B$22)*Quesería!$E$118))*(J48-1))*IF(J$43=2,Quesería!$B$20,1)+IF(J$43=2,Quesería!$B$24*$B$9*($B$22*Quesería!$J$118+(1-$B$22)*Quesería!$E$118)*J48,0))*$B$10*$B$21</f>
        <v>300.214555268273</v>
      </c>
      <c r="K54" s="29" t="n">
        <f aca="false">IF(K$43&lt;=1,0,((($B$22*Quesería!$J$126+(1-$B$22)*Quesería!$E$122)-($B$22*Quesería!$J$113+(1-$B$22)*Quesería!$E$113)+$B$6*($B$22*Quesería!$J$113+(1-$B$22)*Quesería!$E$113)-(1-$B$9)*(($B$22*Quesería!$J$118+(1-$B$22)*Quesería!$E$118)+($B$22*Quesería!$J$117+(1-$B$22)*Quesería!$E$117)))+($B$6*($B$22*Quesería!$J$113+(1-$B$22)*Quesería!$E$113)+$B$9*($B$22*Quesería!$J$118+(1-$B$22)*Quesería!$E$118))*(K48-1))*IF(K$43=2,Quesería!$B$20,1)+IF(K$43=2,Quesería!$B$24*$B$9*($B$22*Quesería!$J$118+(1-$B$22)*Quesería!$E$118)*K48,0))*$B$10*$B$21</f>
        <v>300.468937450978</v>
      </c>
      <c r="L54" s="29" t="n">
        <f aca="false">IF(L$43&lt;=1,0,((($B$22*Quesería!$J$126+(1-$B$22)*Quesería!$E$122)-($B$22*Quesería!$J$113+(1-$B$22)*Quesería!$E$113)+$B$6*($B$22*Quesería!$J$113+(1-$B$22)*Quesería!$E$113)-(1-$B$9)*(($B$22*Quesería!$J$118+(1-$B$22)*Quesería!$E$118)+($B$22*Quesería!$J$117+(1-$B$22)*Quesería!$E$117)))+($B$6*($B$22*Quesería!$J$113+(1-$B$22)*Quesería!$E$113)+$B$9*($B$22*Quesería!$J$118+(1-$B$22)*Quesería!$E$118))*(L48-1))*IF(L$43=2,Quesería!$B$20,1)+IF(L$43=2,Quesería!$B$24*$B$9*($B$22*Quesería!$J$118+(1-$B$22)*Quesería!$E$118)*L48,0))*$B$10*$B$21</f>
        <v>300.724591544596</v>
      </c>
    </row>
    <row r="55" customFormat="false" ht="15" hidden="true" customHeight="false" outlineLevel="1" collapsed="false">
      <c r="A55" s="5" t="s">
        <v>411</v>
      </c>
      <c r="B55" s="10" t="n">
        <f aca="false">B53+B54</f>
        <v>120.716772261203</v>
      </c>
      <c r="C55" s="10" t="n">
        <f aca="false">C53+C54</f>
        <v>181.328317354069</v>
      </c>
      <c r="D55" s="10" t="n">
        <f aca="false">D53+D54</f>
        <v>477.033083150451</v>
      </c>
      <c r="E55" s="10" t="n">
        <f aca="false">E53+E54</f>
        <v>540.853870336907</v>
      </c>
      <c r="F55" s="10" t="n">
        <f aca="false">F53+F54</f>
        <v>541.163081372343</v>
      </c>
      <c r="G55" s="10" t="n">
        <f aca="false">G53+G54</f>
        <v>541.473838462956</v>
      </c>
      <c r="H55" s="10" t="n">
        <f aca="false">H53+H54</f>
        <v>541.786149339022</v>
      </c>
      <c r="I55" s="10" t="n">
        <f aca="false">I53+I54</f>
        <v>542.100021769468</v>
      </c>
      <c r="J55" s="10" t="n">
        <f aca="false">J53+J54</f>
        <v>542.415463562067</v>
      </c>
      <c r="K55" s="10" t="n">
        <f aca="false">K53+K54</f>
        <v>542.732482563628</v>
      </c>
      <c r="L55" s="10" t="n">
        <f aca="false">L53+L54</f>
        <v>543.051086660198</v>
      </c>
    </row>
    <row r="56" customFormat="false" ht="15" hidden="true" customHeight="false" outlineLevel="1" collapsed="false">
      <c r="A56" s="6" t="s">
        <v>412</v>
      </c>
      <c r="B56" s="29" t="n">
        <f aca="false">(IF(B$43&gt;=1,(Quesería!$B$31+Quesería!$B$33)*Quesería!$F$94*$B$11+Quesería!$B$32+'Beneficios y costos'!$B$211,0)+IF(B$43&gt;=2,((Quesería!$B$31+Quesería!$B$33)*Quesería!$F$95*$B$11+'Beneficios y costos'!$C$211)*$B$21,0))*$B$12</f>
        <v>0</v>
      </c>
      <c r="C56" s="29" t="n">
        <f aca="false">(IF(C$43&gt;=1,(Quesería!$B$31+Quesería!$B$33)*Quesería!$F$94*$B$11+Quesería!$B$32+'Beneficios y costos'!$B$211,0)+IF(C$43&gt;=2,((Quesería!$B$31+Quesería!$B$33)*Quesería!$F$95*$B$11+'Beneficios y costos'!$C$211)*$B$21,0))*$B$12</f>
        <v>42.0946487260605</v>
      </c>
      <c r="D56" s="29" t="n">
        <f aca="false">(IF(D$43&gt;=1,(Quesería!$B$31+Quesería!$B$33)*Quesería!$F$94*$B$11+Quesería!$B$32+'Beneficios y costos'!$B$211,0)+IF(D$43&gt;=2,((Quesería!$B$31+Quesería!$B$33)*Quesería!$F$95*$B$11+'Beneficios y costos'!$C$211)*$B$21,0))*$B$12</f>
        <v>95.9432442337815</v>
      </c>
      <c r="E56" s="29" t="n">
        <f aca="false">(IF(E$43&gt;=1,(Quesería!$B$31+Quesería!$B$33)*Quesería!$F$94*$B$11+Quesería!$B$32+'Beneficios y costos'!$B$211,0)+IF(E$43&gt;=2,((Quesería!$B$31+Quesería!$B$33)*Quesería!$F$95*$B$11+'Beneficios y costos'!$C$211)*$B$21,0))*$B$12</f>
        <v>95.9432442337815</v>
      </c>
      <c r="F56" s="29" t="n">
        <f aca="false">(IF(F$43&gt;=1,(Quesería!$B$31+Quesería!$B$33)*Quesería!$F$94*$B$11+Quesería!$B$32+'Beneficios y costos'!$B$211,0)+IF(F$43&gt;=2,((Quesería!$B$31+Quesería!$B$33)*Quesería!$F$95*$B$11+'Beneficios y costos'!$C$211)*$B$21,0))*$B$12</f>
        <v>95.9432442337815</v>
      </c>
      <c r="G56" s="29" t="n">
        <f aca="false">(IF(G$43&gt;=1,(Quesería!$B$31+Quesería!$B$33)*Quesería!$F$94*$B$11+Quesería!$B$32+'Beneficios y costos'!$B$211,0)+IF(G$43&gt;=2,((Quesería!$B$31+Quesería!$B$33)*Quesería!$F$95*$B$11+'Beneficios y costos'!$C$211)*$B$21,0))*$B$12</f>
        <v>95.9432442337815</v>
      </c>
      <c r="H56" s="29" t="n">
        <f aca="false">(IF(H$43&gt;=1,(Quesería!$B$31+Quesería!$B$33)*Quesería!$F$94*$B$11+Quesería!$B$32+'Beneficios y costos'!$B$211,0)+IF(H$43&gt;=2,((Quesería!$B$31+Quesería!$B$33)*Quesería!$F$95*$B$11+'Beneficios y costos'!$C$211)*$B$21,0))*$B$12</f>
        <v>95.9432442337815</v>
      </c>
      <c r="I56" s="29" t="n">
        <f aca="false">(IF(I$43&gt;=1,(Quesería!$B$31+Quesería!$B$33)*Quesería!$F$94*$B$11+Quesería!$B$32+'Beneficios y costos'!$B$211,0)+IF(I$43&gt;=2,((Quesería!$B$31+Quesería!$B$33)*Quesería!$F$95*$B$11+'Beneficios y costos'!$C$211)*$B$21,0))*$B$12</f>
        <v>95.9432442337815</v>
      </c>
      <c r="J56" s="29" t="n">
        <f aca="false">(IF(J$43&gt;=1,(Quesería!$B$31+Quesería!$B$33)*Quesería!$F$94*$B$11+Quesería!$B$32+'Beneficios y costos'!$B$211,0)+IF(J$43&gt;=2,((Quesería!$B$31+Quesería!$B$33)*Quesería!$F$95*$B$11+'Beneficios y costos'!$C$211)*$B$21,0))*$B$12</f>
        <v>95.9432442337815</v>
      </c>
      <c r="K56" s="29" t="n">
        <f aca="false">(IF(K$43&gt;=1,(Quesería!$B$31+Quesería!$B$33)*Quesería!$F$94*$B$11+Quesería!$B$32+'Beneficios y costos'!$B$211,0)+IF(K$43&gt;=2,((Quesería!$B$31+Quesería!$B$33)*Quesería!$F$95*$B$11+'Beneficios y costos'!$C$211)*$B$21,0))*$B$12</f>
        <v>95.9432442337815</v>
      </c>
      <c r="L56" s="29" t="n">
        <f aca="false">(IF(L$43&gt;=1,(Quesería!$B$31+Quesería!$B$33)*Quesería!$F$94*$B$11+Quesería!$B$32+'Beneficios y costos'!$B$211,0)+IF(L$43&gt;=2,((Quesería!$B$31+Quesería!$B$33)*Quesería!$F$95*$B$11+'Beneficios y costos'!$C$211)*$B$21,0))*$B$12</f>
        <v>95.9432442337815</v>
      </c>
    </row>
    <row r="57" customFormat="false" ht="15" hidden="true" customHeight="false" outlineLevel="1" collapsed="false">
      <c r="A57" s="6" t="s">
        <v>413</v>
      </c>
      <c r="B57" s="29" t="n">
        <f aca="false">IF(B$43=1,2*Quesería!$B$22*Quesería!$B$23/12*B48,0)*$B$21</f>
        <v>0</v>
      </c>
      <c r="C57" s="29" t="n">
        <f aca="false">IF(C$43=1,2*Quesería!$B$22*Quesería!$B$23/12*C48,0)*$B$21</f>
        <v>18.5166509433962</v>
      </c>
      <c r="D57" s="29" t="n">
        <f aca="false">IF(D$43=1,2*Quesería!$B$22*Quesería!$B$23/12*D48,0)*$B$21</f>
        <v>0</v>
      </c>
      <c r="E57" s="29" t="n">
        <f aca="false">IF(E$43=1,2*Quesería!$B$22*Quesería!$B$23/12*E48,0)*$B$21</f>
        <v>0</v>
      </c>
      <c r="F57" s="29" t="n">
        <f aca="false">IF(F$43=1,2*Quesería!$B$22*Quesería!$B$23/12*F48,0)*$B$21</f>
        <v>0</v>
      </c>
      <c r="G57" s="29" t="n">
        <f aca="false">IF(G$43=1,2*Quesería!$B$22*Quesería!$B$23/12*G48,0)*$B$21</f>
        <v>0</v>
      </c>
      <c r="H57" s="29" t="n">
        <f aca="false">IF(H$43=1,2*Quesería!$B$22*Quesería!$B$23/12*H48,0)*$B$21</f>
        <v>0</v>
      </c>
      <c r="I57" s="29" t="n">
        <f aca="false">IF(I$43=1,2*Quesería!$B$22*Quesería!$B$23/12*I48,0)*$B$21</f>
        <v>0</v>
      </c>
      <c r="J57" s="29" t="n">
        <f aca="false">IF(J$43=1,2*Quesería!$B$22*Quesería!$B$23/12*J48,0)*$B$21</f>
        <v>0</v>
      </c>
      <c r="K57" s="29" t="n">
        <f aca="false">IF(K$43=1,2*Quesería!$B$22*Quesería!$B$23/12*K48,0)*$B$21</f>
        <v>0</v>
      </c>
      <c r="L57" s="29" t="n">
        <f aca="false">IF(L$43=1,2*Quesería!$B$22*Quesería!$B$23/12*L48,0)*$B$21</f>
        <v>0</v>
      </c>
    </row>
    <row r="58" customFormat="false" ht="15" hidden="true" customHeight="false" outlineLevel="1" collapsed="false">
      <c r="A58" s="6" t="s">
        <v>414</v>
      </c>
      <c r="B58" s="29" t="n">
        <f aca="false">Quesería!$B$52*(B50+B51+B52+B56+B57)</f>
        <v>4.31966364396742</v>
      </c>
      <c r="C58" s="29" t="n">
        <f aca="false">Quesería!$B$52*(C50+C51+C52+C56+C57)</f>
        <v>3.85275795604844</v>
      </c>
      <c r="D58" s="29" t="n">
        <f aca="false">Quesería!$B$52*(D50+D51+D52+D56+D57)</f>
        <v>0.383772976935126</v>
      </c>
      <c r="E58" s="29" t="n">
        <f aca="false">Quesería!$B$52*(E50+E51+E52+E56+E57)</f>
        <v>0.383772976935126</v>
      </c>
      <c r="F58" s="29" t="n">
        <f aca="false">Quesería!$B$52*(F50+F51+F52+F56+F57)</f>
        <v>0.383772976935126</v>
      </c>
      <c r="G58" s="29" t="n">
        <f aca="false">Quesería!$B$52*(G50+G51+G52+G56+G57)</f>
        <v>0.514507411134964</v>
      </c>
      <c r="H58" s="29" t="n">
        <f aca="false">Quesería!$B$52*(H50+H51+H52+H56+H57)</f>
        <v>0.604585358119273</v>
      </c>
      <c r="I58" s="29" t="n">
        <f aca="false">Quesería!$B$52*(I50+I51+I52+I56+I57)</f>
        <v>0.383772976935126</v>
      </c>
      <c r="J58" s="29" t="n">
        <f aca="false">Quesería!$B$52*(J50+J51+J52+J56+J57)</f>
        <v>0.383772976935126</v>
      </c>
      <c r="K58" s="29" t="n">
        <f aca="false">Quesería!$B$52*(K50+K51+K52+K56+K57)</f>
        <v>0.383772976935126</v>
      </c>
      <c r="L58" s="29" t="n">
        <f aca="false">Quesería!$B$52*(L50+L51+L52+L56+L57)</f>
        <v>0.383772976935126</v>
      </c>
    </row>
    <row r="59" customFormat="false" ht="15" hidden="true" customHeight="false" outlineLevel="1" collapsed="false">
      <c r="A59" s="6" t="s">
        <v>415</v>
      </c>
      <c r="B59" s="29" t="n">
        <f aca="false">(IF($B$19=1,(SUMPRODUCT((Quesería!$C$70:$C$89=0)*(Quesería!$J$70:$J$89&gt;0)*(B$43&gt;=1)*(B$43&lt;=Quesería!$J$70:$J$89)*(Quesería!$H$70:$H$89&gt;0)*Quesería!$F$70:$F$89*(1+Quesería!$I$70:$I$89)/(Quesería!$J$70:$J$89+(Quesería!$J$70:$J$89=0)))+SUMPRODUCT((Quesería!$C$70:$C$89=0)*(Quesería!$J$70:$J$89=0)*(B$43=0)*(Quesería!$H$70:$H$89&gt;0)*Quesería!$F$70:$F$89*(1+Quesería!$I$70:$I$89)))*$B$47+(SUMPRODUCT((Quesería!$C$70:$C$89=1)*(Quesería!$J$70:$J$89&gt;0)*(B$43&gt;=2)*(B$43&lt;=Quesería!$J$70:$J$89+1)*(Quesería!$H$70:$H$89&gt;0)*Quesería!$F$70:$F$89*(1+Quesería!$I$70:$I$89)/(Quesería!$J$70:$J$89+(Quesería!$J$70:$J$89=0)))+SUMPRODUCT((Quesería!$C$70:$C$89=1)*(Quesería!$J$70:$J$89=0)*(B$43=1)*(Quesería!$H$70:$H$89&gt;0)*Quesería!$F$70:$F$89*(1+Quesería!$I$70:$I$89)))*$C$47*$B$21,IF(AND(B$43&gt;=1,B$43&lt;=Quesería!$B$30),Quesería!$F$92/Quesería!$B$30,0)*$B$47+IF(AND(B$43&gt;=2,B$43&lt;=Quesería!$B$30+1),Quesería!$F$93/Quesería!$B$30,0)*$C$47*$B$21)*$B$11+IF(AND(B$43&gt;=6,B$43&lt;=10),$G51*$G47/5,0)+IF(AND(B$43&gt;=7,B$43&lt;=11),$H51*$H47/5,0))*B49</f>
        <v>145.980915430742</v>
      </c>
      <c r="C59" s="29" t="n">
        <f aca="false">(IF($B$19=1,(SUMPRODUCT((Quesería!$C$70:$C$89=0)*(Quesería!$J$70:$J$89&gt;0)*(C$43&gt;=1)*(C$43&lt;=Quesería!$J$70:$J$89)*(Quesería!$H$70:$H$89&gt;0)*Quesería!$F$70:$F$89*(1+Quesería!$I$70:$I$89)/(Quesería!$J$70:$J$89+(Quesería!$J$70:$J$89=0)))+SUMPRODUCT((Quesería!$C$70:$C$89=0)*(Quesería!$J$70:$J$89=0)*(C$43=0)*(Quesería!$H$70:$H$89&gt;0)*Quesería!$F$70:$F$89*(1+Quesería!$I$70:$I$89)))*$B$47+(SUMPRODUCT((Quesería!$C$70:$C$89=1)*(Quesería!$J$70:$J$89&gt;0)*(C$43&gt;=2)*(C$43&lt;=Quesería!$J$70:$J$89+1)*(Quesería!$H$70:$H$89&gt;0)*Quesería!$F$70:$F$89*(1+Quesería!$I$70:$I$89)/(Quesería!$J$70:$J$89+(Quesería!$J$70:$J$89=0)))+SUMPRODUCT((Quesería!$C$70:$C$89=1)*(Quesería!$J$70:$J$89=0)*(C$43=1)*(Quesería!$H$70:$H$89&gt;0)*Quesería!$F$70:$F$89*(1+Quesería!$I$70:$I$89)))*$C$47*$B$21,IF(AND(C$43&gt;=1,C$43&lt;=Quesería!$B$30),Quesería!$F$92/Quesería!$B$30,0)*$B$47+IF(AND(C$43&gt;=2,C$43&lt;=Quesería!$B$30+1),Quesería!$F$93/Quesería!$B$30,0)*$C$47*$B$21)*$B$11+IF(AND(C$43&gt;=6,C$43&lt;=10),$G51*$G47/5,0)+IF(AND(C$43&gt;=7,C$43&lt;=11),$H51*$H47/5,0))*C49</f>
        <v>82.2633269524265</v>
      </c>
      <c r="D59" s="29" t="n">
        <f aca="false">(IF($B$19=1,(SUMPRODUCT((Quesería!$C$70:$C$89=0)*(Quesería!$J$70:$J$89&gt;0)*(D$43&gt;=1)*(D$43&lt;=Quesería!$J$70:$J$89)*(Quesería!$H$70:$H$89&gt;0)*Quesería!$F$70:$F$89*(1+Quesería!$I$70:$I$89)/(Quesería!$J$70:$J$89+(Quesería!$J$70:$J$89=0)))+SUMPRODUCT((Quesería!$C$70:$C$89=0)*(Quesería!$J$70:$J$89=0)*(D$43=0)*(Quesería!$H$70:$H$89&gt;0)*Quesería!$F$70:$F$89*(1+Quesería!$I$70:$I$89)))*$B$47+(SUMPRODUCT((Quesería!$C$70:$C$89=1)*(Quesería!$J$70:$J$89&gt;0)*(D$43&gt;=2)*(D$43&lt;=Quesería!$J$70:$J$89+1)*(Quesería!$H$70:$H$89&gt;0)*Quesería!$F$70:$F$89*(1+Quesería!$I$70:$I$89)/(Quesería!$J$70:$J$89+(Quesería!$J$70:$J$89=0)))+SUMPRODUCT((Quesería!$C$70:$C$89=1)*(Quesería!$J$70:$J$89=0)*(D$43=1)*(Quesería!$H$70:$H$89&gt;0)*Quesería!$F$70:$F$89*(1+Quesería!$I$70:$I$89)))*$C$47*$B$21,IF(AND(D$43&gt;=1,D$43&lt;=Quesería!$B$30),Quesería!$F$92/Quesería!$B$30,0)*$B$47+IF(AND(D$43&gt;=2,D$43&lt;=Quesería!$B$30+1),Quesería!$F$93/Quesería!$B$30,0)*$C$47*$B$21)*$B$11+IF(AND(D$43&gt;=6,D$43&lt;=10),$G51*$G47/5,0)+IF(AND(D$43&gt;=7,D$43&lt;=11),$H51*$H47/5,0))*D49</f>
        <v>151.301658966389</v>
      </c>
      <c r="E59" s="29" t="n">
        <f aca="false">(IF($B$19=1,(SUMPRODUCT((Quesería!$C$70:$C$89=0)*(Quesería!$J$70:$J$89&gt;0)*(E$43&gt;=1)*(E$43&lt;=Quesería!$J$70:$J$89)*(Quesería!$H$70:$H$89&gt;0)*Quesería!$F$70:$F$89*(1+Quesería!$I$70:$I$89)/(Quesería!$J$70:$J$89+(Quesería!$J$70:$J$89=0)))+SUMPRODUCT((Quesería!$C$70:$C$89=0)*(Quesería!$J$70:$J$89=0)*(E$43=0)*(Quesería!$H$70:$H$89&gt;0)*Quesería!$F$70:$F$89*(1+Quesería!$I$70:$I$89)))*$B$47+(SUMPRODUCT((Quesería!$C$70:$C$89=1)*(Quesería!$J$70:$J$89&gt;0)*(E$43&gt;=2)*(E$43&lt;=Quesería!$J$70:$J$89+1)*(Quesería!$H$70:$H$89&gt;0)*Quesería!$F$70:$F$89*(1+Quesería!$I$70:$I$89)/(Quesería!$J$70:$J$89+(Quesería!$J$70:$J$89=0)))+SUMPRODUCT((Quesería!$C$70:$C$89=1)*(Quesería!$J$70:$J$89=0)*(E$43=1)*(Quesería!$H$70:$H$89&gt;0)*Quesería!$F$70:$F$89*(1+Quesería!$I$70:$I$89)))*$C$47*$B$21,IF(AND(E$43&gt;=1,E$43&lt;=Quesería!$B$30),Quesería!$F$92/Quesería!$B$30,0)*$B$47+IF(AND(E$43&gt;=2,E$43&lt;=Quesería!$B$30+1),Quesería!$F$93/Quesería!$B$30,0)*$C$47*$B$21)*$B$11+IF(AND(E$43&gt;=6,E$43&lt;=10),$G51*$G47/5,0)+IF(AND(E$43&gt;=7,E$43&lt;=11),$H51*$H47/5,0))*E49</f>
        <v>145.482364390759</v>
      </c>
      <c r="F59" s="29" t="n">
        <f aca="false">(IF($B$19=1,(SUMPRODUCT((Quesería!$C$70:$C$89=0)*(Quesería!$J$70:$J$89&gt;0)*(F$43&gt;=1)*(F$43&lt;=Quesería!$J$70:$J$89)*(Quesería!$H$70:$H$89&gt;0)*Quesería!$F$70:$F$89*(1+Quesería!$I$70:$I$89)/(Quesería!$J$70:$J$89+(Quesería!$J$70:$J$89=0)))+SUMPRODUCT((Quesería!$C$70:$C$89=0)*(Quesería!$J$70:$J$89=0)*(F$43=0)*(Quesería!$H$70:$H$89&gt;0)*Quesería!$F$70:$F$89*(1+Quesería!$I$70:$I$89)))*$B$47+(SUMPRODUCT((Quesería!$C$70:$C$89=1)*(Quesería!$J$70:$J$89&gt;0)*(F$43&gt;=2)*(F$43&lt;=Quesería!$J$70:$J$89+1)*(Quesería!$H$70:$H$89&gt;0)*Quesería!$F$70:$F$89*(1+Quesería!$I$70:$I$89)/(Quesería!$J$70:$J$89+(Quesería!$J$70:$J$89=0)))+SUMPRODUCT((Quesería!$C$70:$C$89=1)*(Quesería!$J$70:$J$89=0)*(F$43=1)*(Quesería!$H$70:$H$89&gt;0)*Quesería!$F$70:$F$89*(1+Quesería!$I$70:$I$89)))*$C$47*$B$21,IF(AND(F$43&gt;=1,F$43&lt;=Quesería!$B$30),Quesería!$F$92/Quesería!$B$30,0)*$B$47+IF(AND(F$43&gt;=2,F$43&lt;=Quesería!$B$30+1),Quesería!$F$93/Quesería!$B$30,0)*$C$47*$B$21)*$B$11+IF(AND(F$43&gt;=6,F$43&lt;=10),$G51*$G47/5,0)+IF(AND(F$43&gt;=7,F$43&lt;=11),$H51*$H47/5,0))*F49</f>
        <v>139.886888837268</v>
      </c>
      <c r="G59" s="29" t="n">
        <f aca="false">(IF($B$19=1,(SUMPRODUCT((Quesería!$C$70:$C$89=0)*(Quesería!$J$70:$J$89&gt;0)*(G$43&gt;=1)*(G$43&lt;=Quesería!$J$70:$J$89)*(Quesería!$H$70:$H$89&gt;0)*Quesería!$F$70:$F$89*(1+Quesería!$I$70:$I$89)/(Quesería!$J$70:$J$89+(Quesería!$J$70:$J$89=0)))+SUMPRODUCT((Quesería!$C$70:$C$89=0)*(Quesería!$J$70:$J$89=0)*(G$43=0)*(Quesería!$H$70:$H$89&gt;0)*Quesería!$F$70:$F$89*(1+Quesería!$I$70:$I$89)))*$B$47+(SUMPRODUCT((Quesería!$C$70:$C$89=1)*(Quesería!$J$70:$J$89&gt;0)*(G$43&gt;=2)*(G$43&lt;=Quesería!$J$70:$J$89+1)*(Quesería!$H$70:$H$89&gt;0)*Quesería!$F$70:$F$89*(1+Quesería!$I$70:$I$89)/(Quesería!$J$70:$J$89+(Quesería!$J$70:$J$89=0)))+SUMPRODUCT((Quesería!$C$70:$C$89=1)*(Quesería!$J$70:$J$89=0)*(G$43=1)*(Quesería!$H$70:$H$89&gt;0)*Quesería!$F$70:$F$89*(1+Quesería!$I$70:$I$89)))*$C$47*$B$21,IF(AND(G$43&gt;=1,G$43&lt;=Quesería!$B$30),Quesería!$F$92/Quesería!$B$30,0)*$B$47+IF(AND(G$43&gt;=2,G$43&lt;=Quesería!$B$30+1),Quesería!$F$93/Quesería!$B$30,0)*$C$47*$B$21)*$B$11+IF(AND(G$43&gt;=6,G$43&lt;=10),$G51*$G47/5,0)+IF(AND(G$43&gt;=7,G$43&lt;=11),$H51*$H47/5,0))*G49</f>
        <v>134.506623881988</v>
      </c>
      <c r="H59" s="29" t="n">
        <f aca="false">(IF($B$19=1,(SUMPRODUCT((Quesería!$C$70:$C$89=0)*(Quesería!$J$70:$J$89&gt;0)*(H$43&gt;=1)*(H$43&lt;=Quesería!$J$70:$J$89)*(Quesería!$H$70:$H$89&gt;0)*Quesería!$F$70:$F$89*(1+Quesería!$I$70:$I$89)/(Quesería!$J$70:$J$89+(Quesería!$J$70:$J$89=0)))+SUMPRODUCT((Quesería!$C$70:$C$89=0)*(Quesería!$J$70:$J$89=0)*(H$43=0)*(Quesería!$H$70:$H$89&gt;0)*Quesería!$F$70:$F$89*(1+Quesería!$I$70:$I$89)))*$B$47+(SUMPRODUCT((Quesería!$C$70:$C$89=1)*(Quesería!$J$70:$J$89&gt;0)*(H$43&gt;=2)*(H$43&lt;=Quesería!$J$70:$J$89+1)*(Quesería!$H$70:$H$89&gt;0)*Quesería!$F$70:$F$89*(1+Quesería!$I$70:$I$89)/(Quesería!$J$70:$J$89+(Quesería!$J$70:$J$89=0)))+SUMPRODUCT((Quesería!$C$70:$C$89=1)*(Quesería!$J$70:$J$89=0)*(H$43=1)*(Quesería!$H$70:$H$89&gt;0)*Quesería!$F$70:$F$89*(1+Quesería!$I$70:$I$89)))*$C$47*$B$21,IF(AND(H$43&gt;=1,H$43&lt;=Quesería!$B$30),Quesería!$F$92/Quesería!$B$30,0)*$B$47+IF(AND(H$43&gt;=2,H$43&lt;=Quesería!$B$30+1),Quesería!$F$93/Quesería!$B$30,0)*$C$47*$B$21)*$B$11+IF(AND(H$43&gt;=6,H$43&lt;=10),$G51*$G47/5,0)+IF(AND(H$43&gt;=7,H$43&lt;=11),$H51*$H47/5,0))*H49</f>
        <v>122.314670590318</v>
      </c>
      <c r="I59" s="29" t="n">
        <f aca="false">(IF($B$19=1,(SUMPRODUCT((Quesería!$C$70:$C$89=0)*(Quesería!$J$70:$J$89&gt;0)*(I$43&gt;=1)*(I$43&lt;=Quesería!$J$70:$J$89)*(Quesería!$H$70:$H$89&gt;0)*Quesería!$F$70:$F$89*(1+Quesería!$I$70:$I$89)/(Quesería!$J$70:$J$89+(Quesería!$J$70:$J$89=0)))+SUMPRODUCT((Quesería!$C$70:$C$89=0)*(Quesería!$J$70:$J$89=0)*(I$43=0)*(Quesería!$H$70:$H$89&gt;0)*Quesería!$F$70:$F$89*(1+Quesería!$I$70:$I$89)))*$B$47+(SUMPRODUCT((Quesería!$C$70:$C$89=1)*(Quesería!$J$70:$J$89&gt;0)*(I$43&gt;=2)*(I$43&lt;=Quesería!$J$70:$J$89+1)*(Quesería!$H$70:$H$89&gt;0)*Quesería!$F$70:$F$89*(1+Quesería!$I$70:$I$89)/(Quesería!$J$70:$J$89+(Quesería!$J$70:$J$89=0)))+SUMPRODUCT((Quesería!$C$70:$C$89=1)*(Quesería!$J$70:$J$89=0)*(I$43=1)*(Quesería!$H$70:$H$89&gt;0)*Quesería!$F$70:$F$89*(1+Quesería!$I$70:$I$89)))*$C$47*$B$21,IF(AND(I$43&gt;=1,I$43&lt;=Quesería!$B$30),Quesería!$F$92/Quesería!$B$30,0)*$B$47+IF(AND(I$43&gt;=2,I$43&lt;=Quesería!$B$30+1),Quesería!$F$93/Quesería!$B$30,0)*$C$47*$B$21)*$B$11+IF(AND(I$43&gt;=6,I$43&lt;=10),$G51*$G47/5,0)+IF(AND(I$43&gt;=7,I$43&lt;=11),$H51*$H47/5,0))*I49</f>
        <v>126.531251665874</v>
      </c>
      <c r="J59" s="29" t="n">
        <f aca="false">(IF($B$19=1,(SUMPRODUCT((Quesería!$C$70:$C$89=0)*(Quesería!$J$70:$J$89&gt;0)*(J$43&gt;=1)*(J$43&lt;=Quesería!$J$70:$J$89)*(Quesería!$H$70:$H$89&gt;0)*Quesería!$F$70:$F$89*(1+Quesería!$I$70:$I$89)/(Quesería!$J$70:$J$89+(Quesería!$J$70:$J$89=0)))+SUMPRODUCT((Quesería!$C$70:$C$89=0)*(Quesería!$J$70:$J$89=0)*(J$43=0)*(Quesería!$H$70:$H$89&gt;0)*Quesería!$F$70:$F$89*(1+Quesería!$I$70:$I$89)))*$B$47+(SUMPRODUCT((Quesería!$C$70:$C$89=1)*(Quesería!$J$70:$J$89&gt;0)*(J$43&gt;=2)*(J$43&lt;=Quesería!$J$70:$J$89+1)*(Quesería!$H$70:$H$89&gt;0)*Quesería!$F$70:$F$89*(1+Quesería!$I$70:$I$89)/(Quesería!$J$70:$J$89+(Quesería!$J$70:$J$89=0)))+SUMPRODUCT((Quesería!$C$70:$C$89=1)*(Quesería!$J$70:$J$89=0)*(J$43=1)*(Quesería!$H$70:$H$89&gt;0)*Quesería!$F$70:$F$89*(1+Quesería!$I$70:$I$89)))*$C$47*$B$21,IF(AND(J$43&gt;=1,J$43&lt;=Quesería!$B$30),Quesería!$F$92/Quesería!$B$30,0)*$B$47+IF(AND(J$43&gt;=2,J$43&lt;=Quesería!$B$30+1),Quesería!$F$93/Quesería!$B$30,0)*$C$47*$B$21)*$B$11+IF(AND(J$43&gt;=6,J$43&lt;=10),$G51*$G47/5,0)+IF(AND(J$43&gt;=7,J$43&lt;=11),$H51*$H47/5,0))*J49</f>
        <v>121.66466506334</v>
      </c>
      <c r="K59" s="29" t="n">
        <f aca="false">(IF($B$19=1,(SUMPRODUCT((Quesería!$C$70:$C$89=0)*(Quesería!$J$70:$J$89&gt;0)*(K$43&gt;=1)*(K$43&lt;=Quesería!$J$70:$J$89)*(Quesería!$H$70:$H$89&gt;0)*Quesería!$F$70:$F$89*(1+Quesería!$I$70:$I$89)/(Quesería!$J$70:$J$89+(Quesería!$J$70:$J$89=0)))+SUMPRODUCT((Quesería!$C$70:$C$89=0)*(Quesería!$J$70:$J$89=0)*(K$43=0)*(Quesería!$H$70:$H$89&gt;0)*Quesería!$F$70:$F$89*(1+Quesería!$I$70:$I$89)))*$B$47+(SUMPRODUCT((Quesería!$C$70:$C$89=1)*(Quesería!$J$70:$J$89&gt;0)*(K$43&gt;=2)*(K$43&lt;=Quesería!$J$70:$J$89+1)*(Quesería!$H$70:$H$89&gt;0)*Quesería!$F$70:$F$89*(1+Quesería!$I$70:$I$89)/(Quesería!$J$70:$J$89+(Quesería!$J$70:$J$89=0)))+SUMPRODUCT((Quesería!$C$70:$C$89=1)*(Quesería!$J$70:$J$89=0)*(K$43=1)*(Quesería!$H$70:$H$89&gt;0)*Quesería!$F$70:$F$89*(1+Quesería!$I$70:$I$89)))*$C$47*$B$21,IF(AND(K$43&gt;=1,K$43&lt;=Quesería!$B$30),Quesería!$F$92/Quesería!$B$30,0)*$B$47+IF(AND(K$43&gt;=2,K$43&lt;=Quesería!$B$30+1),Quesería!$F$93/Quesería!$B$30,0)*$C$47*$B$21)*$B$11+IF(AND(K$43&gt;=6,K$43&lt;=10),$G51*$G47/5,0)+IF(AND(K$43&gt;=7,K$43&lt;=11),$H51*$H47/5,0))*K49</f>
        <v>116.985254868597</v>
      </c>
      <c r="L59" s="29" t="n">
        <f aca="false">(IF($B$19=1,(SUMPRODUCT((Quesería!$C$70:$C$89=0)*(Quesería!$J$70:$J$89&gt;0)*(L$43&gt;=1)*(L$43&lt;=Quesería!$J$70:$J$89)*(Quesería!$H$70:$H$89&gt;0)*Quesería!$F$70:$F$89*(1+Quesería!$I$70:$I$89)/(Quesería!$J$70:$J$89+(Quesería!$J$70:$J$89=0)))+SUMPRODUCT((Quesería!$C$70:$C$89=0)*(Quesería!$J$70:$J$89=0)*(L$43=0)*(Quesería!$H$70:$H$89&gt;0)*Quesería!$F$70:$F$89*(1+Quesería!$I$70:$I$89)))*$B$47+(SUMPRODUCT((Quesería!$C$70:$C$89=1)*(Quesería!$J$70:$J$89&gt;0)*(L$43&gt;=2)*(L$43&lt;=Quesería!$J$70:$J$89+1)*(Quesería!$H$70:$H$89&gt;0)*Quesería!$F$70:$F$89*(1+Quesería!$I$70:$I$89)/(Quesería!$J$70:$J$89+(Quesería!$J$70:$J$89=0)))+SUMPRODUCT((Quesería!$C$70:$C$89=1)*(Quesería!$J$70:$J$89=0)*(L$43=1)*(Quesería!$H$70:$H$89&gt;0)*Quesería!$F$70:$F$89*(1+Quesería!$I$70:$I$89)))*$C$47*$B$21,IF(AND(L$43&gt;=1,L$43&lt;=Quesería!$B$30),Quesería!$F$92/Quesería!$B$30,0)*$B$47+IF(AND(L$43&gt;=2,L$43&lt;=Quesería!$B$30+1),Quesería!$F$93/Quesería!$B$30,0)*$C$47*$B$21)*$B$11+IF(AND(L$43&gt;=6,L$43&lt;=10),$G51*$G47/5,0)+IF(AND(L$43&gt;=7,L$43&lt;=11),$H51*$H47/5,0))*L49</f>
        <v>112.485821989035</v>
      </c>
    </row>
    <row r="60" customFormat="false" ht="15" hidden="true" customHeight="false" outlineLevel="1" collapsed="false">
      <c r="A60" s="9" t="s">
        <v>416</v>
      </c>
      <c r="B60" s="58" t="n">
        <f aca="false">IF(B$43=1,MIN($B$7*Quesería!$B$56*Quesería!$F$86*$B$11*$B$21,Quesería!$B$57*Quesería!$B$58),0)</f>
        <v>0</v>
      </c>
      <c r="C60" s="58" t="n">
        <f aca="false">IF(C$43=1,MIN($B$7*Quesería!$B$56*Quesería!$F$86*$B$11*$B$21,Quesería!$B$57*Quesería!$B$58),0)</f>
        <v>20</v>
      </c>
      <c r="D60" s="58" t="n">
        <f aca="false">IF(D$43=1,MIN($B$7*Quesería!$B$56*Quesería!$F$86*$B$11*$B$21,Quesería!$B$57*Quesería!$B$58),0)</f>
        <v>0</v>
      </c>
      <c r="E60" s="58" t="n">
        <f aca="false">IF(E$43=1,MIN($B$7*Quesería!$B$56*Quesería!$F$86*$B$11*$B$21,Quesería!$B$57*Quesería!$B$58),0)</f>
        <v>0</v>
      </c>
      <c r="F60" s="58" t="n">
        <f aca="false">IF(F$43=1,MIN($B$7*Quesería!$B$56*Quesería!$F$86*$B$11*$B$21,Quesería!$B$57*Quesería!$B$58),0)</f>
        <v>0</v>
      </c>
      <c r="G60" s="58" t="n">
        <f aca="false">IF(G$43=1,MIN($B$7*Quesería!$B$56*Quesería!$F$86*$B$11*$B$21,Quesería!$B$57*Quesería!$B$58),0)</f>
        <v>0</v>
      </c>
      <c r="H60" s="58" t="n">
        <f aca="false">IF(H$43=1,MIN($B$7*Quesería!$B$56*Quesería!$F$86*$B$11*$B$21,Quesería!$B$57*Quesería!$B$58),0)</f>
        <v>0</v>
      </c>
      <c r="I60" s="58" t="n">
        <f aca="false">IF(I$43=1,MIN($B$7*Quesería!$B$56*Quesería!$F$86*$B$11*$B$21,Quesería!$B$57*Quesería!$B$58),0)</f>
        <v>0</v>
      </c>
      <c r="J60" s="58" t="n">
        <f aca="false">IF(J$43=1,MIN($B$7*Quesería!$B$56*Quesería!$F$86*$B$11*$B$21,Quesería!$B$57*Quesería!$B$58),0)</f>
        <v>0</v>
      </c>
      <c r="K60" s="58" t="n">
        <f aca="false">IF(K$43=1,MIN($B$7*Quesería!$B$56*Quesería!$F$86*$B$11*$B$21,Quesería!$B$57*Quesería!$B$58),0)</f>
        <v>0</v>
      </c>
      <c r="L60" s="58" t="n">
        <f aca="false">IF(L$43=1,MIN($B$7*Quesería!$B$56*Quesería!$F$86*$B$11*$B$21,Quesería!$B$57*Quesería!$B$58),0)</f>
        <v>0</v>
      </c>
    </row>
    <row r="61" customFormat="false" ht="15" hidden="true" customHeight="false" outlineLevel="1" collapsed="false">
      <c r="A61" s="9" t="s">
        <v>417</v>
      </c>
      <c r="B61" s="58" t="n">
        <v>0</v>
      </c>
      <c r="C61" s="58" t="n">
        <f aca="false">$B$20*Quesería!$B$60*Quesería!$F$98*$B$11*$B$47/C47/2</f>
        <v>138.12868344741</v>
      </c>
      <c r="D61" s="58" t="n">
        <f aca="false">$B$20*Quesería!$B$60*Quesería!$F$98*$B$11*$B$47/D47/2</f>
        <v>132.18055832288</v>
      </c>
      <c r="E61" s="58" t="n">
        <v>0</v>
      </c>
      <c r="F61" s="58" t="n">
        <v>0</v>
      </c>
      <c r="G61" s="58" t="n">
        <v>0</v>
      </c>
      <c r="H61" s="58" t="n">
        <v>0</v>
      </c>
      <c r="I61" s="58" t="n">
        <v>0</v>
      </c>
      <c r="J61" s="58" t="n">
        <v>0</v>
      </c>
      <c r="K61" s="58" t="n">
        <v>0</v>
      </c>
      <c r="L61" s="58" t="n">
        <v>0</v>
      </c>
    </row>
    <row r="62" customFormat="false" ht="15" hidden="true" customHeight="false" outlineLevel="1" collapsed="false">
      <c r="A62" s="9" t="s">
        <v>418</v>
      </c>
      <c r="B62" s="58" t="n">
        <f aca="false">0</f>
        <v>0</v>
      </c>
      <c r="C62" s="58" t="n">
        <f aca="false">B52*B47/C47</f>
        <v>142.014925295407</v>
      </c>
      <c r="D62" s="58" t="n">
        <f aca="false">C52*C47/D47</f>
        <v>137.903466668091</v>
      </c>
      <c r="E62" s="58" t="n">
        <f aca="false">D52*D47/E47</f>
        <v>0</v>
      </c>
      <c r="F62" s="58" t="n">
        <f aca="false">E52*E47/F47</f>
        <v>0</v>
      </c>
      <c r="G62" s="58" t="n">
        <f aca="false">F52*F47/G47</f>
        <v>0</v>
      </c>
      <c r="H62" s="58" t="n">
        <f aca="false">G52*G47/H47</f>
        <v>5.01768392412113</v>
      </c>
      <c r="I62" s="58" t="n">
        <f aca="false">H52*H47/I47</f>
        <v>8.47494190873221</v>
      </c>
      <c r="J62" s="58" t="n">
        <f aca="false">I52*I47/J47</f>
        <v>0</v>
      </c>
      <c r="K62" s="58" t="n">
        <f aca="false">J52*J47/K47</f>
        <v>0</v>
      </c>
      <c r="L62" s="58" t="n">
        <f aca="false">K52*K47/L47</f>
        <v>0</v>
      </c>
    </row>
    <row r="63" customFormat="false" ht="15" hidden="true" customHeight="false" outlineLevel="1" collapsed="false">
      <c r="A63" s="6" t="s">
        <v>295</v>
      </c>
      <c r="B63" s="29" t="n">
        <f aca="false">$B$17*(B55-B56-B57-0.5*B58-B59)-B60-B61-B62</f>
        <v>-9.59839124703308</v>
      </c>
      <c r="C63" s="29" t="n">
        <f aca="false">$B$17*(C55-C56-C57-0.5*C58-C59)-C60-C61-C62</f>
        <v>-287.35904962886</v>
      </c>
      <c r="D63" s="29" t="n">
        <f aca="false">$B$17*(D55-D56-D57-0.5*D58-D59)-D60-D61-D62</f>
        <v>-189.725322279336</v>
      </c>
      <c r="E63" s="29" t="n">
        <f aca="false">$B$17*(E55-E56-E57-0.5*E58-E59)-E60-E61-E62</f>
        <v>104.732731328365</v>
      </c>
      <c r="F63" s="29" t="n">
        <f aca="false">$B$17*(F55-F56-F57-0.5*F58-F59)-F60-F61-F62</f>
        <v>106.799371634489</v>
      </c>
      <c r="G63" s="29" t="n">
        <f aca="false">$B$17*(G55-G56-G57-0.5*G58-G59)-G60-G61-G62</f>
        <v>108.768350824566</v>
      </c>
      <c r="H63" s="29" t="n">
        <f aca="false">$B$17*(H55-H56-H57-0.5*H58-H59)-H60-H61-H62</f>
        <v>108.111395718431</v>
      </c>
      <c r="I63" s="29" t="n">
        <f aca="false">$B$17*(I55-I56-I57-0.5*I58-I59)-I60-I61-I62</f>
        <v>103.326831874739</v>
      </c>
      <c r="J63" s="29" t="n">
        <f aca="false">$B$17*(J55-J56-J57-0.5*J58-J59)-J60-J61-J62</f>
        <v>113.615483721767</v>
      </c>
      <c r="K63" s="29" t="n">
        <f aca="false">$B$17*(K55-K56-K57-0.5*K58-K59)-K60-K61-K62</f>
        <v>115.364233940474</v>
      </c>
      <c r="L63" s="29" t="n">
        <f aca="false">$B$17*(L55-L56-L57-0.5*L58-L59)-L60-L61-L62</f>
        <v>117.05054688212</v>
      </c>
    </row>
    <row r="64" customFormat="false" ht="15" hidden="true" customHeight="false" outlineLevel="1" collapsed="false">
      <c r="A64" s="9" t="s">
        <v>419</v>
      </c>
      <c r="B64" s="58" t="n">
        <f aca="false">(IF(B$43&gt;=1,Quesería!$G$123*IF(B$43=1,Quesería!$B$20,1),Quesería!$G$123*Quesería!$B$20*Quesería!$B$21/12*$B$23)+IF(B$43&gt;=2,Quesería!$G$124*$B$21*IF(B$43=2,Quesería!$B$20,1),0))*$B$10</f>
        <v>77.4042870161869</v>
      </c>
      <c r="C64" s="58" t="n">
        <f aca="false">(IF(C$43&gt;=1,Quesería!$G$123*IF(C$43=1,Quesería!$B$20,1),Quesería!$G$123*Quesería!$B$20*Quesería!$B$21/12*$B$23)+IF(C$43&gt;=2,Quesería!$G$124*$B$21*IF(C$43=2,Quesería!$B$20,1),0))*$B$10</f>
        <v>116.10643052428</v>
      </c>
      <c r="D64" s="58" t="n">
        <f aca="false">(IF(D$43&gt;=1,Quesería!$G$123*IF(D$43=1,Quesería!$B$20,1),Quesería!$G$123*Quesería!$B$20*Quesería!$B$21/12*$B$23)+IF(D$43&gt;=2,Quesería!$G$124*$B$21*IF(D$43=2,Quesería!$B$20,1),0))*$B$10</f>
        <v>297.090260202792</v>
      </c>
      <c r="E64" s="58" t="n">
        <f aca="false">(IF(E$43&gt;=1,Quesería!$G$123*IF(E$43=1,Quesería!$B$20,1),Quesería!$G$123*Quesería!$B$20*Quesería!$B$21/12*$B$23)+IF(E$43&gt;=2,Quesería!$G$124*$B$21*IF(E$43=2,Quesería!$B$20,1),0))*$B$10</f>
        <v>344.517488926264</v>
      </c>
      <c r="F64" s="58" t="n">
        <f aca="false">(IF(F$43&gt;=1,Quesería!$G$123*IF(F$43=1,Quesería!$B$20,1),Quesería!$G$123*Quesería!$B$20*Quesería!$B$21/12*$B$23)+IF(F$43&gt;=2,Quesería!$G$124*$B$21*IF(F$43=2,Quesería!$B$20,1),0))*$B$10</f>
        <v>344.517488926264</v>
      </c>
      <c r="G64" s="58" t="n">
        <f aca="false">(IF(G$43&gt;=1,Quesería!$G$123*IF(G$43=1,Quesería!$B$20,1),Quesería!$G$123*Quesería!$B$20*Quesería!$B$21/12*$B$23)+IF(G$43&gt;=2,Quesería!$G$124*$B$21*IF(G$43=2,Quesería!$B$20,1),0))*$B$10</f>
        <v>344.517488926264</v>
      </c>
      <c r="H64" s="58" t="n">
        <f aca="false">(IF(H$43&gt;=1,Quesería!$G$123*IF(H$43=1,Quesería!$B$20,1),Quesería!$G$123*Quesería!$B$20*Quesería!$B$21/12*$B$23)+IF(H$43&gt;=2,Quesería!$G$124*$B$21*IF(H$43=2,Quesería!$B$20,1),0))*$B$10</f>
        <v>344.517488926264</v>
      </c>
      <c r="I64" s="58" t="n">
        <f aca="false">(IF(I$43&gt;=1,Quesería!$G$123*IF(I$43=1,Quesería!$B$20,1),Quesería!$G$123*Quesería!$B$20*Quesería!$B$21/12*$B$23)+IF(I$43&gt;=2,Quesería!$G$124*$B$21*IF(I$43=2,Quesería!$B$20,1),0))*$B$10</f>
        <v>344.517488926264</v>
      </c>
      <c r="J64" s="58" t="n">
        <f aca="false">(IF(J$43&gt;=1,Quesería!$G$123*IF(J$43=1,Quesería!$B$20,1),Quesería!$G$123*Quesería!$B$20*Quesería!$B$21/12*$B$23)+IF(J$43&gt;=2,Quesería!$G$124*$B$21*IF(J$43=2,Quesería!$B$20,1),0))*$B$10</f>
        <v>344.517488926264</v>
      </c>
      <c r="K64" s="58" t="n">
        <f aca="false">(IF(K$43&gt;=1,Quesería!$G$123*IF(K$43=1,Quesería!$B$20,1),Quesería!$G$123*Quesería!$B$20*Quesería!$B$21/12*$B$23)+IF(K$43&gt;=2,Quesería!$G$124*$B$21*IF(K$43=2,Quesería!$B$20,1),0))*$B$10</f>
        <v>344.517488926264</v>
      </c>
      <c r="L64" s="58" t="n">
        <f aca="false">(IF(L$43&gt;=1,Quesería!$G$123*IF(L$43=1,Quesería!$B$20,1),Quesería!$G$123*Quesería!$B$20*Quesería!$B$21/12*$B$23)+IF(L$43&gt;=2,Quesería!$G$124*$B$21*IF(L$43=2,Quesería!$B$20,1),0))*$B$10</f>
        <v>344.517488926264</v>
      </c>
    </row>
    <row r="65" customFormat="false" ht="15" hidden="true" customHeight="false" outlineLevel="1" collapsed="false">
      <c r="A65" s="6" t="s">
        <v>420</v>
      </c>
      <c r="B65" s="29" t="n">
        <f aca="false">(B64*(Quesería!$B$38+Quesería!$B$40*Quesería!$B$39)/365-B56*Quesería!$B$42/365)</f>
        <v>7.23146900616979</v>
      </c>
      <c r="C65" s="29" t="n">
        <f aca="false">(C64*(Quesería!$B$38+Quesería!$B$40*Quesería!$B$39)/365-C56*Quesería!$B$42/365)-(B64*(Quesería!$B$38+Quesería!$B$40*Quesería!$B$39)/365-B56*Quesería!$B$42/365)*B47/C47</f>
        <v>1.42287846600884</v>
      </c>
      <c r="D65" s="29" t="n">
        <f aca="false">(D64*(Quesería!$B$38+Quesería!$B$40*Quesería!$B$39)/365-D56*Quesería!$B$42/365)-(C64*(Quesería!$B$38+Quesería!$B$40*Quesería!$B$39)/365-C56*Quesería!$B$42/365)*C47/D47</f>
        <v>14.0205300736897</v>
      </c>
      <c r="E65" s="29" t="n">
        <f aca="false">(E64*(Quesería!$B$38+Quesería!$B$40*Quesería!$B$39)/365-E56*Quesería!$B$42/365)-(D64*(Quesería!$B$38+Quesería!$B$40*Quesería!$B$39)/365-D56*Quesería!$B$42/365)*D47/E47</f>
        <v>5.27597549905193</v>
      </c>
      <c r="F65" s="29" t="n">
        <f aca="false">(F64*(Quesería!$B$38+Quesería!$B$40*Quesería!$B$39)/365-F56*Quesería!$B$42/365)-(E64*(Quesería!$B$38+Quesería!$B$40*Quesería!$B$39)/365-E56*Quesería!$B$42/365)*E47/F47</f>
        <v>1.01552107473577</v>
      </c>
      <c r="G65" s="29" t="n">
        <f aca="false">(G64*(Quesería!$B$38+Quesería!$B$40*Quesería!$B$39)/365-G56*Quesería!$B$42/365)-(F64*(Quesería!$B$38+Quesería!$B$40*Quesería!$B$39)/365-F56*Quesería!$B$42/365)*F47/G47</f>
        <v>1.01552107473577</v>
      </c>
      <c r="H65" s="29" t="n">
        <f aca="false">(H64*(Quesería!$B$38+Quesería!$B$40*Quesería!$B$39)/365-H56*Quesería!$B$42/365)-(G64*(Quesería!$B$38+Quesería!$B$40*Quesería!$B$39)/365-G56*Quesería!$B$42/365)*G47/H47</f>
        <v>1.01552107473577</v>
      </c>
      <c r="I65" s="29" t="n">
        <f aca="false">(I64*(Quesería!$B$38+Quesería!$B$40*Quesería!$B$39)/365-I56*Quesería!$B$42/365)-(H64*(Quesería!$B$38+Quesería!$B$40*Quesería!$B$39)/365-H56*Quesería!$B$42/365)*H47/I47</f>
        <v>1.01552107473577</v>
      </c>
      <c r="J65" s="29" t="n">
        <f aca="false">(J64*(Quesería!$B$38+Quesería!$B$40*Quesería!$B$39)/365-J56*Quesería!$B$42/365)-(I64*(Quesería!$B$38+Quesería!$B$40*Quesería!$B$39)/365-I56*Quesería!$B$42/365)*I47/J47</f>
        <v>1.01552107473577</v>
      </c>
      <c r="K65" s="29" t="n">
        <f aca="false">(K64*(Quesería!$B$38+Quesería!$B$40*Quesería!$B$39)/365-K56*Quesería!$B$42/365)-(J64*(Quesería!$B$38+Quesería!$B$40*Quesería!$B$39)/365-J56*Quesería!$B$42/365)*J47/K47</f>
        <v>1.01552107473577</v>
      </c>
      <c r="L65" s="29" t="n">
        <f aca="false">-(K64*(Quesería!$B$38+Quesería!$B$40*Quesería!$B$39)/365-K56*Quesería!$B$42/365)*K47/L47</f>
        <v>-25.3880268683941</v>
      </c>
    </row>
    <row r="66" customFormat="false" ht="15" hidden="true" customHeight="false" outlineLevel="1" collapsed="false">
      <c r="A66" s="6" t="s">
        <v>421</v>
      </c>
      <c r="B66" s="29" t="n">
        <v>0</v>
      </c>
      <c r="C66" s="29" t="n">
        <v>0</v>
      </c>
      <c r="D66" s="29" t="n">
        <v>0</v>
      </c>
      <c r="E66" s="29" t="n">
        <v>0</v>
      </c>
      <c r="F66" s="29" t="n">
        <v>0</v>
      </c>
      <c r="G66" s="29" t="n">
        <v>0</v>
      </c>
      <c r="H66" s="29" t="n">
        <v>0</v>
      </c>
      <c r="I66" s="29" t="n">
        <v>0</v>
      </c>
      <c r="J66" s="29" t="n">
        <v>0</v>
      </c>
      <c r="K66" s="29" t="n">
        <v>0</v>
      </c>
      <c r="L66" s="29" t="n">
        <f aca="false">$B$8*Quesería!$B$36*(Quesería!$F$94+Quesería!$F$95*$B$21)*$B$11*(1-$B$17)</f>
        <v>67.1237725584543</v>
      </c>
    </row>
    <row r="67" customFormat="false" ht="15" hidden="true" customHeight="false" outlineLevel="1" collapsed="false">
      <c r="A67" s="5" t="s">
        <v>147</v>
      </c>
      <c r="B67" s="59" t="n">
        <f aca="false">B55-B56-B57-B58-B63-B50-B51-B52-B65+B66</f>
        <v>-961.151880133756</v>
      </c>
      <c r="C67" s="59" t="n">
        <f aca="false">C55-C56-C57-C58-C63-C50-C51-C52-C65+C66</f>
        <v>-499.777758451238</v>
      </c>
      <c r="D67" s="59" t="n">
        <f aca="false">D55-D56-D57-D58-D63-D50-D51-D52-D65+D66</f>
        <v>556.410858145381</v>
      </c>
      <c r="E67" s="59" t="n">
        <f aca="false">E55-E56-E57-E58-E63-E50-E51-E52-E65+E66</f>
        <v>334.518146298773</v>
      </c>
      <c r="F67" s="59" t="n">
        <f aca="false">F55-F56-F57-F58-F63-F50-F51-F52-F65+F66</f>
        <v>337.021171452401</v>
      </c>
      <c r="G67" s="59" t="n">
        <f aca="false">G55-G56-G57-G58-G63-G50-G51-G52-G65+G66</f>
        <v>302.548606368777</v>
      </c>
      <c r="H67" s="59" t="n">
        <f aca="false">H55-H56-H57-H58-H63-H50-H51-H52-H65+H66</f>
        <v>280.908307657918</v>
      </c>
      <c r="I67" s="59" t="n">
        <f aca="false">I55-I56-I57-I58-I63-I50-I51-I52-I65+I66</f>
        <v>341.430651609277</v>
      </c>
      <c r="J67" s="59" t="n">
        <f aca="false">J55-J56-J57-J58-J63-J50-J51-J52-J65+J66</f>
        <v>331.457441554847</v>
      </c>
      <c r="K67" s="59" t="n">
        <f aca="false">K55-K56-K57-K58-K63-K50-K51-K52-K65+K66</f>
        <v>330.025710337702</v>
      </c>
      <c r="L67" s="59" t="n">
        <f aca="false">L55-L56-L57-L58-L63-L50-L51-L52-L65+L66</f>
        <v>422.18532199421</v>
      </c>
    </row>
    <row r="68" customFormat="false" ht="15" hidden="true" customHeight="false" outlineLevel="1" collapsed="false">
      <c r="A68" s="9" t="s">
        <v>422</v>
      </c>
      <c r="B68" s="58" t="n">
        <f aca="false">B67*B47</f>
        <v>-1018.82099294178</v>
      </c>
      <c r="C68" s="58" t="n">
        <f aca="false">C67*C47</f>
        <v>-556.252645156228</v>
      </c>
      <c r="D68" s="58" t="n">
        <f aca="false">D67*D47</f>
        <v>647.15312294602</v>
      </c>
      <c r="E68" s="58" t="n">
        <f aca="false">E67*E47</f>
        <v>404.635959715425</v>
      </c>
      <c r="F68" s="58" t="n">
        <f aca="false">F67*F47</f>
        <v>423.970185565331</v>
      </c>
      <c r="G68" s="58" t="n">
        <f aca="false">G67*G47</f>
        <v>395.828107062799</v>
      </c>
      <c r="H68" s="58" t="n">
        <f aca="false">H67*H47</f>
        <v>382.216468333796</v>
      </c>
      <c r="I68" s="58" t="n">
        <f aca="false">I67*I47</f>
        <v>483.148525168723</v>
      </c>
      <c r="J68" s="58" t="n">
        <f aca="false">J67*J47</f>
        <v>487.797156524052</v>
      </c>
      <c r="K68" s="58" t="n">
        <f aca="false">K67*K47</f>
        <v>505.117720152798</v>
      </c>
      <c r="L68" s="58" t="n">
        <f aca="false">L67*L47</f>
        <v>672.01860907702</v>
      </c>
    </row>
    <row r="69" customFormat="false" ht="15" hidden="true" customHeight="false" outlineLevel="1" collapsed="false">
      <c r="A69" s="6" t="s">
        <v>423</v>
      </c>
      <c r="B69" s="29" t="n">
        <f aca="false">B67</f>
        <v>-961.151880133756</v>
      </c>
      <c r="C69" s="29" t="n">
        <f aca="false">B69+C67</f>
        <v>-1460.92963858499</v>
      </c>
      <c r="D69" s="29" t="n">
        <f aca="false">C69+D67</f>
        <v>-904.518780439613</v>
      </c>
      <c r="E69" s="29" t="n">
        <f aca="false">D69+E67</f>
        <v>-570.00063414084</v>
      </c>
      <c r="F69" s="29" t="n">
        <f aca="false">E69+F67</f>
        <v>-232.979462688438</v>
      </c>
      <c r="G69" s="29" t="n">
        <f aca="false">F69+G67</f>
        <v>69.569143680339</v>
      </c>
      <c r="H69" s="29" t="n">
        <f aca="false">G69+H67</f>
        <v>350.477451338257</v>
      </c>
      <c r="I69" s="29" t="n">
        <f aca="false">H69+I67</f>
        <v>691.908102947534</v>
      </c>
      <c r="J69" s="29" t="n">
        <f aca="false">I69+J67</f>
        <v>1023.36554450238</v>
      </c>
      <c r="K69" s="29" t="n">
        <f aca="false">J69+K67</f>
        <v>1353.39125484008</v>
      </c>
      <c r="L69" s="29" t="n">
        <f aca="false">K69+L67</f>
        <v>1775.57657683429</v>
      </c>
    </row>
    <row r="70" customFormat="false" ht="15" hidden="true" customHeight="false" outlineLevel="1" collapsed="false">
      <c r="A70" s="9" t="s">
        <v>424</v>
      </c>
      <c r="B70" s="60" t="n">
        <v>0</v>
      </c>
      <c r="C70" s="60" t="n">
        <f aca="false">IF(AND(B69&lt;0,C69&gt;=0),B$43+(-B69)/C67,0)</f>
        <v>0</v>
      </c>
      <c r="D70" s="60" t="n">
        <f aca="false">IF(AND(C69&lt;0,D69&gt;=0),C$43+(-C69)/D67,0)</f>
        <v>0</v>
      </c>
      <c r="E70" s="60" t="n">
        <f aca="false">IF(AND(D69&lt;0,E69&gt;=0),D$43+(-D69)/E67,0)</f>
        <v>0</v>
      </c>
      <c r="F70" s="60" t="n">
        <f aca="false">IF(AND(E69&lt;0,F69&gt;=0),E$43+(-E69)/F67,0)</f>
        <v>0</v>
      </c>
      <c r="G70" s="60" t="n">
        <f aca="false">IF(AND(F69&lt;0,G69&gt;=0),F$43+(-F69)/G67,0)</f>
        <v>4.77005630759528</v>
      </c>
      <c r="H70" s="60" t="n">
        <f aca="false">IF(AND(G69&lt;0,H69&gt;=0),G$43+(-G69)/H67,0)</f>
        <v>0</v>
      </c>
      <c r="I70" s="60" t="n">
        <f aca="false">IF(AND(H69&lt;0,I69&gt;=0),H$43+(-H69)/I67,0)</f>
        <v>0</v>
      </c>
      <c r="J70" s="60" t="n">
        <f aca="false">IF(AND(I69&lt;0,J69&gt;=0),I$43+(-I69)/J67,0)</f>
        <v>0</v>
      </c>
      <c r="K70" s="60" t="n">
        <f aca="false">IF(AND(J69&lt;0,K69&gt;=0),J$43+(-J69)/K67,0)</f>
        <v>0</v>
      </c>
      <c r="L70" s="60" t="n">
        <f aca="false">IF(AND(K69&lt;0,L69&gt;=0),K$43+(-K69)/L67,0)</f>
        <v>0</v>
      </c>
    </row>
    <row r="71" customFormat="false" ht="15" hidden="true" customHeight="false" outlineLevel="1" collapsed="false">
      <c r="A71" s="9" t="s">
        <v>425</v>
      </c>
      <c r="B71" s="57" t="n">
        <f aca="false">(B47/$B$47)/(1+$B$25)^B$43</f>
        <v>1</v>
      </c>
      <c r="C71" s="57" t="n">
        <f aca="false">(C47/$B$47)/(1+$B$25)^C$43</f>
        <v>0.915373701313561</v>
      </c>
      <c r="D71" s="57" t="n">
        <f aca="false">(D47/$B$47)/(1+$B$25)^D$43</f>
        <v>0.833918970137172</v>
      </c>
      <c r="E71" s="57" t="n">
        <f aca="false">(E47/$B$47)/(1+$B$25)^E$43</f>
        <v>0.756077518153961</v>
      </c>
      <c r="F71" s="57" t="n">
        <f aca="false">(F47/$B$47)/(1+$B$25)^F$43</f>
        <v>0.685502109831871</v>
      </c>
      <c r="G71" s="57" t="n">
        <f aca="false">(G47/$B$47)/(1+$B$25)^G$43</f>
        <v>0.621514502549008</v>
      </c>
      <c r="H71" s="57" t="n">
        <f aca="false">(H47/$B$47)/(1+$B$25)^H$43</f>
        <v>0.563499763660072</v>
      </c>
      <c r="I71" s="57" t="n">
        <f aca="false">(I47/$B$47)/(1+$B$25)^I$43</f>
        <v>0.510900360880829</v>
      </c>
      <c r="J71" s="57" t="n">
        <f aca="false">(J47/$B$47)/(1+$B$25)^J$43</f>
        <v>0.463210804300567</v>
      </c>
      <c r="K71" s="57" t="n">
        <f aca="false">(K47/$B$47)/(1+$B$25)^K$43</f>
        <v>0.419972788531318</v>
      </c>
      <c r="L71" s="57" t="n">
        <f aca="false">(L47/$B$47)/(1+$B$25)^L$43</f>
        <v>0.380770788308996</v>
      </c>
    </row>
    <row r="72" customFormat="false" ht="15" hidden="true" customHeight="false" outlineLevel="1" collapsed="false">
      <c r="A72" s="9" t="s">
        <v>426</v>
      </c>
      <c r="B72" s="58" t="n">
        <f aca="false">B67*B71</f>
        <v>-961.151880133756</v>
      </c>
      <c r="C72" s="58" t="n">
        <f aca="false">C67*C71</f>
        <v>-457.483416587705</v>
      </c>
      <c r="D72" s="58" t="n">
        <f aca="false">D67*D71</f>
        <v>464.001569797736</v>
      </c>
      <c r="E72" s="58" t="n">
        <f aca="false">E67*E71</f>
        <v>252.92164983104</v>
      </c>
      <c r="F72" s="58" t="n">
        <f aca="false">F67*F71</f>
        <v>231.02872408863</v>
      </c>
      <c r="G72" s="58" t="n">
        <f aca="false">G67*G71</f>
        <v>188.038346584186</v>
      </c>
      <c r="H72" s="58" t="n">
        <f aca="false">H67*H71</f>
        <v>158.291764975387</v>
      </c>
      <c r="I72" s="58" t="n">
        <f aca="false">I67*I71</f>
        <v>174.437043122956</v>
      </c>
      <c r="J72" s="58" t="n">
        <f aca="false">J67*J71</f>
        <v>153.534668094029</v>
      </c>
      <c r="K72" s="58" t="n">
        <f aca="false">K67*K71</f>
        <v>138.601817857554</v>
      </c>
      <c r="L72" s="58" t="n">
        <f aca="false">L67*L71</f>
        <v>160.755837868223</v>
      </c>
    </row>
    <row r="73" customFormat="false" ht="15" hidden="true" customHeight="false" outlineLevel="1" collapsed="false">
      <c r="A73" s="9" t="s">
        <v>427</v>
      </c>
      <c r="B73" s="58" t="n">
        <f aca="false">B72</f>
        <v>-961.151880133756</v>
      </c>
      <c r="C73" s="58" t="n">
        <f aca="false">B73+C72</f>
        <v>-1418.63529672146</v>
      </c>
      <c r="D73" s="58" t="n">
        <f aca="false">C73+D72</f>
        <v>-954.633726923724</v>
      </c>
      <c r="E73" s="58" t="n">
        <f aca="false">D73+E72</f>
        <v>-701.712077092684</v>
      </c>
      <c r="F73" s="58" t="n">
        <f aca="false">E73+F72</f>
        <v>-470.683353004054</v>
      </c>
      <c r="G73" s="58" t="n">
        <f aca="false">F73+G72</f>
        <v>-282.645006419868</v>
      </c>
      <c r="H73" s="58" t="n">
        <f aca="false">G73+H72</f>
        <v>-124.35324144448</v>
      </c>
      <c r="I73" s="58" t="n">
        <f aca="false">H73+I72</f>
        <v>50.0838016784759</v>
      </c>
      <c r="J73" s="58" t="n">
        <f aca="false">I73+J72</f>
        <v>203.618469772505</v>
      </c>
      <c r="K73" s="58" t="n">
        <f aca="false">J73+K72</f>
        <v>342.220287630059</v>
      </c>
      <c r="L73" s="58" t="n">
        <f aca="false">K73+L72</f>
        <v>502.976125498281</v>
      </c>
    </row>
    <row r="74" customFormat="false" ht="15" hidden="true" customHeight="false" outlineLevel="1" collapsed="false">
      <c r="A74" s="9" t="s">
        <v>428</v>
      </c>
      <c r="B74" s="60" t="n">
        <v>0</v>
      </c>
      <c r="C74" s="60" t="n">
        <f aca="false">IF(AND(B73&lt;0,C73&gt;=0),B$43+(-B73)/C72,0)</f>
        <v>0</v>
      </c>
      <c r="D74" s="60" t="n">
        <f aca="false">IF(AND(C73&lt;0,D73&gt;=0),C$43+(-C73)/D72,0)</f>
        <v>0</v>
      </c>
      <c r="E74" s="60" t="n">
        <f aca="false">IF(AND(D73&lt;0,E73&gt;=0),D$43+(-D73)/E72,0)</f>
        <v>0</v>
      </c>
      <c r="F74" s="60" t="n">
        <f aca="false">IF(AND(E73&lt;0,F73&gt;=0),E$43+(-E73)/F72,0)</f>
        <v>0</v>
      </c>
      <c r="G74" s="60" t="n">
        <f aca="false">IF(AND(F73&lt;0,G73&gt;=0),F$43+(-F73)/G72,0)</f>
        <v>0</v>
      </c>
      <c r="H74" s="60" t="n">
        <f aca="false">IF(AND(G73&lt;0,H73&gt;=0),G$43+(-G73)/H72,0)</f>
        <v>0</v>
      </c>
      <c r="I74" s="60" t="n">
        <f aca="false">IF(AND(H73&lt;0,I73&gt;=0),H$43+(-H73)/I72,0)</f>
        <v>6.71288322261245</v>
      </c>
      <c r="J74" s="60" t="n">
        <f aca="false">IF(AND(I73&lt;0,J73&gt;=0),I$43+(-I73)/J72,0)</f>
        <v>0</v>
      </c>
      <c r="K74" s="60" t="n">
        <f aca="false">IF(AND(J73&lt;0,K73&gt;=0),J$43+(-J73)/K72,0)</f>
        <v>0</v>
      </c>
      <c r="L74" s="60" t="n">
        <f aca="false">IF(AND(K73&lt;0,L73&gt;=0),K$43+(-K73)/L72,0)</f>
        <v>0</v>
      </c>
    </row>
    <row r="75" customFormat="false" ht="15" hidden="true" customHeight="false" outlineLevel="1" collapsed="false">
      <c r="A75" s="9" t="s">
        <v>429</v>
      </c>
      <c r="B75" s="58" t="n">
        <f aca="false">IF(B$43&lt;0,0,(Quesería!$B$44*$B$50*$B$47)*(1-MAX(0,MIN(B$43-0-Quesería!$B$47,(Quesería!$B$46-Quesería!$B$47)))/(Quesería!$B$46-Quesería!$B$47))*IF(B$43&gt;=2,1-Quesería!$B$48,1))+IF(B$43&lt;1,0,(Quesería!$B$44*$C$50*$C$47)*(1-MAX(0,MIN(B$43-1-Quesería!$B$47,(Quesería!$B$46-Quesería!$B$47)))/(Quesería!$B$46-Quesería!$B$47))*IF(B$43&gt;=2,1-Quesería!$B$48,1))</f>
        <v>641.321364968425</v>
      </c>
      <c r="C75" s="58" t="n">
        <f aca="false">IF(C$43&lt;0,0,(Quesería!$B$44*$B$50*$B$47)*(1-MAX(0,MIN(C$43-0-Quesería!$B$47,(Quesería!$B$46-Quesería!$B$47)))/(Quesería!$B$46-Quesería!$B$47))*IF(C$43&gt;=2,1-Quesería!$B$48,1))+IF(C$43&lt;1,0,(Quesería!$B$44*$C$50*$C$47)*(1-MAX(0,MIN(C$43-1-Quesería!$B$47,(Quesería!$B$46-Quesería!$B$47)))/(Quesería!$B$46-Quesería!$B$47))*IF(C$43&gt;=2,1-Quesería!$B$48,1))</f>
        <v>1190.03581125409</v>
      </c>
      <c r="D75" s="58" t="n">
        <f aca="false">IF(D$43&lt;0,0,(Quesería!$B$44*$B$50*$B$47)*(1-MAX(0,MIN(D$43-0-Quesería!$B$47,(Quesería!$B$46-Quesería!$B$47)))/(Quesería!$B$46-Quesería!$B$47))*IF(D$43&gt;=2,1-Quesería!$B$48,1))+IF(D$43&lt;1,0,(Quesería!$B$44*$C$50*$C$47)*(1-MAX(0,MIN(D$43-1-Quesería!$B$47,(Quesería!$B$46-Quesería!$B$47)))/(Quesería!$B$46-Quesería!$B$47))*IF(D$43&gt;=2,1-Quesería!$B$48,1))</f>
        <v>1083.14891709269</v>
      </c>
      <c r="E75" s="58" t="n">
        <f aca="false">IF(E$43&lt;0,0,(Quesería!$B$44*$B$50*$B$47)*(1-MAX(0,MIN(E$43-0-Quesería!$B$47,(Quesería!$B$46-Quesería!$B$47)))/(Quesería!$B$46-Quesería!$B$47))*IF(E$43&gt;=2,1-Quesería!$B$48,1))+IF(E$43&lt;1,0,(Quesería!$B$44*$C$50*$C$47)*(1-MAX(0,MIN(E$43-1-Quesería!$B$47,(Quesería!$B$46-Quesería!$B$47)))/(Quesería!$B$46-Quesería!$B$47))*IF(E$43&gt;=2,1-Quesería!$B$48,1))</f>
        <v>884.809615217005</v>
      </c>
      <c r="F75" s="58" t="n">
        <f aca="false">IF(F$43&lt;0,0,(Quesería!$B$44*$B$50*$B$47)*(1-MAX(0,MIN(F$43-0-Quesería!$B$47,(Quesería!$B$46-Quesería!$B$47)))/(Quesería!$B$46-Quesería!$B$47))*IF(F$43&gt;=2,1-Quesería!$B$48,1))+IF(F$43&lt;1,0,(Quesería!$B$44*$C$50*$C$47)*(1-MAX(0,MIN(F$43-1-Quesería!$B$47,(Quesería!$B$46-Quesería!$B$47)))/(Quesería!$B$46-Quesería!$B$47))*IF(F$43&gt;=2,1-Quesería!$B$48,1))</f>
        <v>686.470313341323</v>
      </c>
      <c r="G75" s="58" t="n">
        <f aca="false">IF(G$43&lt;0,0,(Quesería!$B$44*$B$50*$B$47)*(1-MAX(0,MIN(G$43-0-Quesería!$B$47,(Quesería!$B$46-Quesería!$B$47)))/(Quesería!$B$46-Quesería!$B$47))*IF(G$43&gt;=2,1-Quesería!$B$48,1))+IF(G$43&lt;1,0,(Quesería!$B$44*$C$50*$C$47)*(1-MAX(0,MIN(G$43-1-Quesería!$B$47,(Quesería!$B$46-Quesería!$B$47)))/(Quesería!$B$46-Quesería!$B$47))*IF(G$43&gt;=2,1-Quesería!$B$48,1))</f>
        <v>488.131011465641</v>
      </c>
      <c r="H75" s="58" t="n">
        <f aca="false">IF(H$43&lt;0,0,(Quesería!$B$44*$B$50*$B$47)*(1-MAX(0,MIN(H$43-0-Quesería!$B$47,(Quesería!$B$46-Quesería!$B$47)))/(Quesería!$B$46-Quesería!$B$47))*IF(H$43&gt;=2,1-Quesería!$B$48,1))+IF(H$43&lt;1,0,(Quesería!$B$44*$C$50*$C$47)*(1-MAX(0,MIN(H$43-1-Quesería!$B$47,(Quesería!$B$46-Quesería!$B$47)))/(Quesería!$B$46-Quesería!$B$47))*IF(H$43&gt;=2,1-Quesería!$B$48,1))</f>
        <v>289.79170958996</v>
      </c>
      <c r="I75" s="58" t="n">
        <f aca="false">IF(I$43&lt;0,0,(Quesería!$B$44*$B$50*$B$47)*(1-MAX(0,MIN(I$43-0-Quesería!$B$47,(Quesería!$B$46-Quesería!$B$47)))/(Quesería!$B$46-Quesería!$B$47))*IF(I$43&gt;=2,1-Quesería!$B$48,1))+IF(I$43&lt;1,0,(Quesería!$B$44*$C$50*$C$47)*(1-MAX(0,MIN(I$43-1-Quesería!$B$47,(Quesería!$B$46-Quesería!$B$47)))/(Quesería!$B$46-Quesería!$B$47))*IF(I$43&gt;=2,1-Quesería!$B$48,1))</f>
        <v>91.4524077142776</v>
      </c>
      <c r="J75" s="58" t="n">
        <f aca="false">IF(J$43&lt;0,0,(Quesería!$B$44*$B$50*$B$47)*(1-MAX(0,MIN(J$43-0-Quesería!$B$47,(Quesería!$B$46-Quesería!$B$47)))/(Quesería!$B$46-Quesería!$B$47))*IF(J$43&gt;=2,1-Quesería!$B$48,1))+IF(J$43&lt;1,0,(Quesería!$B$44*$C$50*$C$47)*(1-MAX(0,MIN(J$43-1-Quesería!$B$47,(Quesería!$B$46-Quesería!$B$47)))/(Quesería!$B$46-Quesería!$B$47))*IF(J$43&gt;=2,1-Quesería!$B$48,1))</f>
        <v>0</v>
      </c>
      <c r="K75" s="58" t="n">
        <f aca="false">IF(K$43&lt;0,0,(Quesería!$B$44*$B$50*$B$47)*(1-MAX(0,MIN(K$43-0-Quesería!$B$47,(Quesería!$B$46-Quesería!$B$47)))/(Quesería!$B$46-Quesería!$B$47))*IF(K$43&gt;=2,1-Quesería!$B$48,1))+IF(K$43&lt;1,0,(Quesería!$B$44*$C$50*$C$47)*(1-MAX(0,MIN(K$43-1-Quesería!$B$47,(Quesería!$B$46-Quesería!$B$47)))/(Quesería!$B$46-Quesería!$B$47))*IF(K$43&gt;=2,1-Quesería!$B$48,1))</f>
        <v>0</v>
      </c>
      <c r="L75" s="58" t="n">
        <f aca="false">IF(L$43&lt;0,0,(Quesería!$B$44*$B$50*$B$47)*(1-MAX(0,MIN(L$43-0-Quesería!$B$47,(Quesería!$B$46-Quesería!$B$47)))/(Quesería!$B$46-Quesería!$B$47))*IF(L$43&gt;=2,1-Quesería!$B$48,1))+IF(L$43&lt;1,0,(Quesería!$B$44*$C$50*$C$47)*(1-MAX(0,MIN(L$43-1-Quesería!$B$47,(Quesería!$B$46-Quesería!$B$47)))/(Quesería!$B$46-Quesería!$B$47))*IF(L$43&gt;=2,1-Quesería!$B$48,1))</f>
        <v>0</v>
      </c>
    </row>
    <row r="76" customFormat="false" ht="15" hidden="true" customHeight="false" outlineLevel="1" collapsed="false">
      <c r="A76" s="6" t="s">
        <v>430</v>
      </c>
      <c r="B76" s="29" t="n">
        <f aca="false">Quesería!$B$44*B50</f>
        <v>605.02015563059</v>
      </c>
      <c r="C76" s="29" t="n">
        <f aca="false">Quesería!$B$44*C50</f>
        <v>493.004893338424</v>
      </c>
      <c r="D76" s="29" t="n">
        <f aca="false">Quesería!$B$44*D50</f>
        <v>0</v>
      </c>
      <c r="E76" s="29" t="n">
        <f aca="false">Quesería!$B$44*E50</f>
        <v>0</v>
      </c>
      <c r="F76" s="29" t="n">
        <f aca="false">Quesería!$B$44*F50</f>
        <v>0</v>
      </c>
      <c r="G76" s="29" t="n">
        <f aca="false">Quesería!$B$44*G50</f>
        <v>0</v>
      </c>
      <c r="H76" s="29" t="n">
        <f aca="false">Quesería!$B$44*H50</f>
        <v>0</v>
      </c>
      <c r="I76" s="29" t="n">
        <f aca="false">Quesería!$B$44*I50</f>
        <v>0</v>
      </c>
      <c r="J76" s="29" t="n">
        <f aca="false">Quesería!$B$44*J50</f>
        <v>0</v>
      </c>
      <c r="K76" s="29" t="n">
        <f aca="false">Quesería!$B$44*K50</f>
        <v>0</v>
      </c>
      <c r="L76" s="29" t="n">
        <f aca="false">Quesería!$B$44*L50</f>
        <v>0</v>
      </c>
    </row>
    <row r="77" customFormat="false" ht="15" hidden="true" customHeight="false" outlineLevel="1" collapsed="false">
      <c r="A77" s="6" t="s">
        <v>431</v>
      </c>
      <c r="B77" s="29" t="n">
        <f aca="false">(IF(AND(B$43&gt;0,B$43&lt;=0+Quesería!$B$46),($B$14+$B$24)*(Quesería!$B$44*$B$50*$B$47)*(1-MAX(0,MIN((B$43-1)-0-Quesería!$B$47,(Quesería!$B$46-Quesería!$B$47)))/(Quesería!$B$46-Quesería!$B$47))*IF(B$43&gt;2,1-Quesería!$B$48,1),0)+IF(AND(B$43&gt;1,B$43&lt;=1+Quesería!$B$46),($B$14+$B$24)*(Quesería!$B$44*$C$50*$C$47)*(1-MAX(0,MIN((B$43-1)-1-Quesería!$B$47,(Quesería!$B$46-Quesería!$B$47)))/(Quesería!$B$46-Quesería!$B$47))*IF(B$43&gt;2,1-Quesería!$B$48,1),0))*B49</f>
        <v>0</v>
      </c>
      <c r="C77" s="29" t="n">
        <f aca="false">(IF(AND(C$43&gt;0,C$43&lt;=0+Quesería!$B$46),($B$14+$B$24)*(Quesería!$B$44*$B$50*$B$47)*(1-MAX(0,MIN((C$43-1)-0-Quesería!$B$47,(Quesería!$B$46-Quesería!$B$47)))/(Quesería!$B$46-Quesería!$B$47))*IF(C$43&gt;2,1-Quesería!$B$48,1),0)+IF(AND(C$43&gt;1,C$43&lt;=1+Quesería!$B$46),($B$14+$B$24)*(Quesería!$B$44*$C$50*$C$47)*(1-MAX(0,MIN((C$43-1)-1-Quesería!$B$47,(Quesería!$B$46-Quesería!$B$47)))/(Quesería!$B$46-Quesería!$B$47))*IF(C$43&gt;2,1-Quesería!$B$48,1),0))*C49</f>
        <v>81.2455637561078</v>
      </c>
      <c r="D77" s="29" t="n">
        <f aca="false">(IF(AND(D$43&gt;0,D$43&lt;=0+Quesería!$B$46),($B$14+$B$24)*(Quesería!$B$44*$B$50*$B$47)*(1-MAX(0,MIN((D$43-1)-0-Quesería!$B$47,(Quesería!$B$46-Quesería!$B$47)))/(Quesería!$B$46-Quesería!$B$47))*IF(D$43&gt;2,1-Quesería!$B$48,1),0)+IF(AND(D$43&gt;1,D$43&lt;=1+Quesería!$B$46),($B$14+$B$24)*(Quesería!$B$44*$C$50*$C$47)*(1-MAX(0,MIN((D$43-1)-1-Quesería!$B$47,(Quesería!$B$46-Quesería!$B$47)))/(Quesería!$B$46-Quesería!$B$47))*IF(D$43&gt;2,1-Quesería!$B$48,1),0))*D49</f>
        <v>144.267228437154</v>
      </c>
      <c r="E77" s="29" t="n">
        <f aca="false">(IF(AND(E$43&gt;0,E$43&lt;=0+Quesería!$B$46),($B$14+$B$24)*(Quesería!$B$44*$B$50*$B$47)*(1-MAX(0,MIN((E$43-1)-0-Quesería!$B$47,(Quesería!$B$46-Quesería!$B$47)))/(Quesería!$B$46-Quesería!$B$47))*IF(E$43&gt;2,1-Quesería!$B$48,1),0)+IF(AND(E$43&gt;1,E$43&lt;=1+Quesería!$B$46),($B$14+$B$24)*(Quesería!$B$44*$C$50*$C$47)*(1-MAX(0,MIN((E$43-1)-1-Quesería!$B$47,(Quesería!$B$46-Quesería!$B$47)))/(Quesería!$B$46-Quesería!$B$47))*IF(E$43&gt;2,1-Quesería!$B$48,1),0))*E49</f>
        <v>126.259041612202</v>
      </c>
      <c r="F77" s="29" t="n">
        <f aca="false">(IF(AND(F$43&gt;0,F$43&lt;=0+Quesería!$B$46),($B$14+$B$24)*(Quesería!$B$44*$B$50*$B$47)*(1-MAX(0,MIN((F$43-1)-0-Quesería!$B$47,(Quesería!$B$46-Quesería!$B$47)))/(Quesería!$B$46-Quesería!$B$47))*IF(F$43&gt;2,1-Quesería!$B$48,1),0)+IF(AND(F$43&gt;1,F$43&lt;=1+Quesería!$B$46),($B$14+$B$24)*(Quesería!$B$44*$C$50*$C$47)*(1-MAX(0,MIN((F$43-1)-1-Quesería!$B$47,(Quesería!$B$46-Quesería!$B$47)))/(Quesería!$B$46-Quesería!$B$47))*IF(F$43&gt;2,1-Quesería!$B$48,1),0))*F49</f>
        <v>99.1723975627135</v>
      </c>
      <c r="G77" s="29" t="n">
        <f aca="false">(IF(AND(G$43&gt;0,G$43&lt;=0+Quesería!$B$46),($B$14+$B$24)*(Quesería!$B$44*$B$50*$B$47)*(1-MAX(0,MIN((G$43-1)-0-Quesería!$B$47,(Quesería!$B$46-Quesería!$B$47)))/(Quesería!$B$46-Quesería!$B$47))*IF(G$43&gt;2,1-Quesería!$B$48,1),0)+IF(AND(G$43&gt;1,G$43&lt;=1+Quesería!$B$46),($B$14+$B$24)*(Quesería!$B$44*$C$50*$C$47)*(1-MAX(0,MIN((G$43-1)-1-Quesería!$B$47,(Quesería!$B$46-Quesería!$B$47)))/(Quesería!$B$46-Quesería!$B$47))*IF(G$43&gt;2,1-Quesería!$B$48,1),0))*G49</f>
        <v>73.9825677868365</v>
      </c>
      <c r="H77" s="29" t="n">
        <f aca="false">(IF(AND(H$43&gt;0,H$43&lt;=0+Quesería!$B$46),($B$14+$B$24)*(Quesería!$B$44*$B$50*$B$47)*(1-MAX(0,MIN((H$43-1)-0-Quesería!$B$47,(Quesería!$B$46-Quesería!$B$47)))/(Quesería!$B$46-Quesería!$B$47))*IF(H$43&gt;2,1-Quesería!$B$48,1),0)+IF(AND(H$43&gt;1,H$43&lt;=1+Quesería!$B$46),($B$14+$B$24)*(Quesería!$B$44*$C$50*$C$47)*(1-MAX(0,MIN((H$43-1)-1-Quesería!$B$47,(Quesería!$B$46-Quesería!$B$47)))/(Quesería!$B$46-Quesería!$B$47))*IF(H$43&gt;2,1-Quesería!$B$48,1),0))*H49</f>
        <v>50.583712494366</v>
      </c>
      <c r="I77" s="29" t="n">
        <f aca="false">(IF(AND(I$43&gt;0,I$43&lt;=0+Quesería!$B$46),($B$14+$B$24)*(Quesería!$B$44*$B$50*$B$47)*(1-MAX(0,MIN((I$43-1)-0-Quesería!$B$47,(Quesería!$B$46-Quesería!$B$47)))/(Quesería!$B$46-Quesería!$B$47))*IF(I$43&gt;2,1-Quesería!$B$48,1),0)+IF(AND(I$43&gt;1,I$43&lt;=1+Quesería!$B$46),($B$14+$B$24)*(Quesería!$B$44*$C$50*$C$47)*(1-MAX(0,MIN((I$43-1)-1-Quesería!$B$47,(Quesería!$B$46-Quesería!$B$47)))/(Quesería!$B$46-Quesería!$B$47))*IF(I$43&gt;2,1-Quesería!$B$48,1),0))*I49</f>
        <v>28.8753274791465</v>
      </c>
      <c r="J77" s="29" t="n">
        <f aca="false">(IF(AND(J$43&gt;0,J$43&lt;=0+Quesería!$B$46),($B$14+$B$24)*(Quesería!$B$44*$B$50*$B$47)*(1-MAX(0,MIN((J$43-1)-0-Quesería!$B$47,(Quesería!$B$46-Quesería!$B$47)))/(Quesería!$B$46-Quesería!$B$47))*IF(J$43&gt;2,1-Quesería!$B$48,1),0)+IF(AND(J$43&gt;1,J$43&lt;=1+Quesería!$B$46),($B$14+$B$24)*(Quesería!$B$44*$C$50*$C$47)*(1-MAX(0,MIN((J$43-1)-1-Quesería!$B$47,(Quesería!$B$46-Quesería!$B$47)))/(Quesería!$B$46-Quesería!$B$47))*IF(J$43&gt;2,1-Quesería!$B$48,1),0))*J49</f>
        <v>8.76199025726588</v>
      </c>
      <c r="K77" s="29" t="n">
        <f aca="false">(IF(AND(K$43&gt;0,K$43&lt;=0+Quesería!$B$46),($B$14+$B$24)*(Quesería!$B$44*$B$50*$B$47)*(1-MAX(0,MIN((K$43-1)-0-Quesería!$B$47,(Quesería!$B$46-Quesería!$B$47)))/(Quesería!$B$46-Quesería!$B$47))*IF(K$43&gt;2,1-Quesería!$B$48,1),0)+IF(AND(K$43&gt;1,K$43&lt;=1+Quesería!$B$46),($B$14+$B$24)*(Quesería!$B$44*$C$50*$C$47)*(1-MAX(0,MIN((K$43-1)-1-Quesería!$B$47,(Quesería!$B$46-Quesería!$B$47)))/(Quesería!$B$46-Quesería!$B$47))*IF(K$43&gt;2,1-Quesería!$B$48,1),0))*K49</f>
        <v>0</v>
      </c>
      <c r="L77" s="29" t="n">
        <f aca="false">(IF(AND(L$43&gt;0,L$43&lt;=0+Quesería!$B$46),($B$14+$B$24)*(Quesería!$B$44*$B$50*$B$47)*(1-MAX(0,MIN((L$43-1)-0-Quesería!$B$47,(Quesería!$B$46-Quesería!$B$47)))/(Quesería!$B$46-Quesería!$B$47))*IF(L$43&gt;2,1-Quesería!$B$48,1),0)+IF(AND(L$43&gt;1,L$43&lt;=1+Quesería!$B$46),($B$14+$B$24)*(Quesería!$B$44*$C$50*$C$47)*(1-MAX(0,MIN((L$43-1)-1-Quesería!$B$47,(Quesería!$B$46-Quesería!$B$47)))/(Quesería!$B$46-Quesería!$B$47))*IF(L$43&gt;2,1-Quesería!$B$48,1),0))*L49</f>
        <v>0</v>
      </c>
    </row>
    <row r="78" customFormat="false" ht="15" hidden="true" customHeight="false" outlineLevel="1" collapsed="false">
      <c r="A78" s="6" t="s">
        <v>432</v>
      </c>
      <c r="B78" s="29" t="n">
        <f aca="false">((IF(AND(B$43&gt;0+Quesería!$B$47,B$43&lt;=0+Quesería!$B$46),(Quesería!$B$44*$B$50*$B$47)/(Quesería!$B$46-Quesería!$B$47),0)*IF(B$43&gt;2,1-Quesería!$B$48,1)+IF(B$43=2,Quesería!$B$48*(Quesería!$B$44*$B$50*$B$47)*(1-MAX(0,MIN(2-0-Quesería!$B$47,(Quesería!$B$46-Quesería!$B$47)))/(Quesería!$B$46-Quesería!$B$47)),0))+(IF(AND(B$43&gt;1+Quesería!$B$47,B$43&lt;=1+Quesería!$B$46),(Quesería!$B$44*$C$50*$C$47)/(Quesería!$B$46-Quesería!$B$47),0)*IF(B$43&gt;2,1-Quesería!$B$48,1)+IF(B$43=2,Quesería!$B$48*(Quesería!$B$44*$C$50*$C$47)*(1-MAX(0,MIN(2-1-Quesería!$B$47,(Quesería!$B$46-Quesería!$B$47)))/(Quesería!$B$46-Quesería!$B$47)),0)))*B49</f>
        <v>0</v>
      </c>
      <c r="C78" s="29" t="n">
        <f aca="false">((IF(AND(C$43&gt;0+Quesería!$B$47,C$43&lt;=0+Quesería!$B$46),(Quesería!$B$44*$B$50*$B$47)/(Quesería!$B$46-Quesería!$B$47),0)*IF(C$43&gt;2,1-Quesería!$B$48,1)+IF(C$43=2,Quesería!$B$48*(Quesería!$B$44*$B$50*$B$47)*(1-MAX(0,MIN(2-0-Quesería!$B$47,(Quesería!$B$46-Quesería!$B$47)))/(Quesería!$B$46-Quesería!$B$47)),0))+(IF(AND(C$43&gt;1+Quesería!$B$47,C$43&lt;=1+Quesería!$B$46),(Quesería!$B$44*$C$50*$C$47)/(Quesería!$B$46-Quesería!$B$47),0)*IF(C$43&gt;2,1-Quesería!$B$48,1)+IF(C$43=2,Quesería!$B$48*(Quesería!$B$44*$C$50*$C$47)*(1-MAX(0,MIN(2-1-Quesería!$B$47,(Quesería!$B$46-Quesería!$B$47)))/(Quesería!$B$46-Quesería!$B$47)),0)))*C49</f>
        <v>0</v>
      </c>
      <c r="D78" s="29" t="n">
        <f aca="false">((IF(AND(D$43&gt;0+Quesería!$B$47,D$43&lt;=0+Quesería!$B$46),(Quesería!$B$44*$B$50*$B$47)/(Quesería!$B$46-Quesería!$B$47),0)*IF(D$43&gt;2,1-Quesería!$B$48,1)+IF(D$43=2,Quesería!$B$48*(Quesería!$B$44*$B$50*$B$47)*(1-MAX(0,MIN(2-0-Quesería!$B$47,(Quesería!$B$46-Quesería!$B$47)))/(Quesería!$B$46-Quesería!$B$47)),0))+(IF(AND(D$43&gt;1+Quesería!$B$47,D$43&lt;=1+Quesería!$B$46),(Quesería!$B$44*$C$50*$C$47)/(Quesería!$B$46-Quesería!$B$47),0)*IF(D$43&gt;2,1-Quesería!$B$48,1)+IF(D$43=2,Quesería!$B$48*(Quesería!$B$44*$C$50*$C$47)*(1-MAX(0,MIN(2-1-Quesería!$B$47,(Quesería!$B$46-Quesería!$B$47)))/(Quesería!$B$46-Quesería!$B$47)),0)))*D49</f>
        <v>91.8994692231472</v>
      </c>
      <c r="E78" s="29" t="n">
        <f aca="false">((IF(AND(E$43&gt;0+Quesería!$B$47,E$43&lt;=0+Quesería!$B$46),(Quesería!$B$44*$B$50*$B$47)/(Quesería!$B$46-Quesería!$B$47),0)*IF(E$43&gt;2,1-Quesería!$B$48,1)+IF(E$43=2,Quesería!$B$48*(Quesería!$B$44*$B$50*$B$47)*(1-MAX(0,MIN(2-0-Quesería!$B$47,(Quesería!$B$46-Quesería!$B$47)))/(Quesería!$B$46-Quesería!$B$47)),0))+(IF(AND(E$43&gt;1+Quesería!$B$47,E$43&lt;=1+Quesería!$B$46),(Quesería!$B$44*$C$50*$C$47)/(Quesería!$B$46-Quesería!$B$47),0)*IF(E$43&gt;2,1-Quesería!$B$48,1)+IF(E$43=2,Quesería!$B$48*(Quesería!$B$44*$C$50*$C$47)*(1-MAX(0,MIN(2-1-Quesería!$B$47,(Quesería!$B$46-Quesería!$B$47)))/(Quesería!$B$46-Quesería!$B$47)),0)))*E49</f>
        <v>163.969845014041</v>
      </c>
      <c r="F78" s="29" t="n">
        <f aca="false">((IF(AND(F$43&gt;0+Quesería!$B$47,F$43&lt;=0+Quesería!$B$46),(Quesería!$B$44*$B$50*$B$47)/(Quesería!$B$46-Quesería!$B$47),0)*IF(F$43&gt;2,1-Quesería!$B$48,1)+IF(F$43=2,Quesería!$B$48*(Quesería!$B$44*$B$50*$B$47)*(1-MAX(0,MIN(2-0-Quesería!$B$47,(Quesería!$B$46-Quesería!$B$47)))/(Quesería!$B$46-Quesería!$B$47)),0))+(IF(AND(F$43&gt;1+Quesería!$B$47,F$43&lt;=1+Quesería!$B$46),(Quesería!$B$44*$C$50*$C$47)/(Quesería!$B$46-Quesería!$B$47),0)*IF(F$43&gt;2,1-Quesería!$B$48,1)+IF(F$43=2,Quesería!$B$48*(Quesería!$B$44*$C$50*$C$47)*(1-MAX(0,MIN(2-1-Quesería!$B$47,(Quesería!$B$46-Quesería!$B$47)))/(Quesería!$B$46-Quesería!$B$47)),0)))*F49</f>
        <v>157.663312513501</v>
      </c>
      <c r="G78" s="29" t="n">
        <f aca="false">((IF(AND(G$43&gt;0+Quesería!$B$47,G$43&lt;=0+Quesería!$B$46),(Quesería!$B$44*$B$50*$B$47)/(Quesería!$B$46-Quesería!$B$47),0)*IF(G$43&gt;2,1-Quesería!$B$48,1)+IF(G$43=2,Quesería!$B$48*(Quesería!$B$44*$B$50*$B$47)*(1-MAX(0,MIN(2-0-Quesería!$B$47,(Quesería!$B$46-Quesería!$B$47)))/(Quesería!$B$46-Quesería!$B$47)),0))+(IF(AND(G$43&gt;1+Quesería!$B$47,G$43&lt;=1+Quesería!$B$46),(Quesería!$B$44*$C$50*$C$47)/(Quesería!$B$46-Quesería!$B$47),0)*IF(G$43&gt;2,1-Quesería!$B$48,1)+IF(G$43=2,Quesería!$B$48*(Quesería!$B$44*$C$50*$C$47)*(1-MAX(0,MIN(2-1-Quesería!$B$47,(Quesería!$B$46-Quesería!$B$47)))/(Quesería!$B$46-Quesería!$B$47)),0)))*G49</f>
        <v>151.599338955289</v>
      </c>
      <c r="H78" s="29" t="n">
        <f aca="false">((IF(AND(H$43&gt;0+Quesería!$B$47,H$43&lt;=0+Quesería!$B$46),(Quesería!$B$44*$B$50*$B$47)/(Quesería!$B$46-Quesería!$B$47),0)*IF(H$43&gt;2,1-Quesería!$B$48,1)+IF(H$43=2,Quesería!$B$48*(Quesería!$B$44*$B$50*$B$47)*(1-MAX(0,MIN(2-0-Quesería!$B$47,(Quesería!$B$46-Quesería!$B$47)))/(Quesería!$B$46-Quesería!$B$47)),0))+(IF(AND(H$43&gt;1+Quesería!$B$47,H$43&lt;=1+Quesería!$B$46),(Quesería!$B$44*$C$50*$C$47)/(Quesería!$B$46-Quesería!$B$47),0)*IF(H$43&gt;2,1-Quesería!$B$48,1)+IF(H$43=2,Quesería!$B$48*(Quesería!$B$44*$C$50*$C$47)*(1-MAX(0,MIN(2-1-Quesería!$B$47,(Quesería!$B$46-Quesería!$B$47)))/(Quesería!$B$46-Quesería!$B$47)),0)))*H49</f>
        <v>145.768595149317</v>
      </c>
      <c r="I78" s="29" t="n">
        <f aca="false">((IF(AND(I$43&gt;0+Quesería!$B$47,I$43&lt;=0+Quesería!$B$46),(Quesería!$B$44*$B$50*$B$47)/(Quesería!$B$46-Quesería!$B$47),0)*IF(I$43&gt;2,1-Quesería!$B$48,1)+IF(I$43=2,Quesería!$B$48*(Quesería!$B$44*$B$50*$B$47)*(1-MAX(0,MIN(2-0-Quesería!$B$47,(Quesería!$B$46-Quesería!$B$47)))/(Quesería!$B$46-Quesería!$B$47)),0))+(IF(AND(I$43&gt;1+Quesería!$B$47,I$43&lt;=1+Quesería!$B$46),(Quesería!$B$44*$C$50*$C$47)/(Quesería!$B$46-Quesería!$B$47),0)*IF(I$43&gt;2,1-Quesería!$B$48,1)+IF(I$43=2,Quesería!$B$48*(Quesería!$B$44*$C$50*$C$47)*(1-MAX(0,MIN(2-1-Quesería!$B$47,(Quesería!$B$46-Quesería!$B$47)))/(Quesería!$B$46-Quesería!$B$47)),0)))*I49</f>
        <v>140.162110720497</v>
      </c>
      <c r="J78" s="29" t="n">
        <f aca="false">((IF(AND(J$43&gt;0+Quesería!$B$47,J$43&lt;=0+Quesería!$B$46),(Quesería!$B$44*$B$50*$B$47)/(Quesería!$B$46-Quesería!$B$47),0)*IF(J$43&gt;2,1-Quesería!$B$48,1)+IF(J$43=2,Quesería!$B$48*(Quesería!$B$44*$B$50*$B$47)*(1-MAX(0,MIN(2-0-Quesería!$B$47,(Quesería!$B$46-Quesería!$B$47)))/(Quesería!$B$46-Quesería!$B$47)),0))+(IF(AND(J$43&gt;1+Quesería!$B$47,J$43&lt;=1+Quesería!$B$46),(Quesería!$B$44*$C$50*$C$47)/(Quesería!$B$46-Quesería!$B$47),0)*IF(J$43&gt;2,1-Quesería!$B$48,1)+IF(J$43=2,Quesería!$B$48*(Quesería!$B$44*$C$50*$C$47)*(1-MAX(0,MIN(2-1-Quesería!$B$47,(Quesería!$B$46-Quesería!$B$47)))/(Quesería!$B$46-Quesería!$B$47)),0)))*J49</f>
        <v>62.1417748742261</v>
      </c>
      <c r="K78" s="29" t="n">
        <f aca="false">((IF(AND(K$43&gt;0+Quesería!$B$47,K$43&lt;=0+Quesería!$B$46),(Quesería!$B$44*$B$50*$B$47)/(Quesería!$B$46-Quesería!$B$47),0)*IF(K$43&gt;2,1-Quesería!$B$48,1)+IF(K$43=2,Quesería!$B$48*(Quesería!$B$44*$B$50*$B$47)*(1-MAX(0,MIN(2-0-Quesería!$B$47,(Quesería!$B$46-Quesería!$B$47)))/(Quesería!$B$46-Quesería!$B$47)),0))+(IF(AND(K$43&gt;1+Quesería!$B$47,K$43&lt;=1+Quesería!$B$46),(Quesería!$B$44*$C$50*$C$47)/(Quesería!$B$46-Quesería!$B$47),0)*IF(K$43&gt;2,1-Quesería!$B$48,1)+IF(K$43=2,Quesería!$B$48*(Quesería!$B$44*$C$50*$C$47)*(1-MAX(0,MIN(2-1-Quesería!$B$47,(Quesería!$B$46-Quesería!$B$47)))/(Quesería!$B$46-Quesería!$B$47)),0)))*K49</f>
        <v>0</v>
      </c>
      <c r="L78" s="29" t="n">
        <f aca="false">((IF(AND(L$43&gt;0+Quesería!$B$47,L$43&lt;=0+Quesería!$B$46),(Quesería!$B$44*$B$50*$B$47)/(Quesería!$B$46-Quesería!$B$47),0)*IF(L$43&gt;2,1-Quesería!$B$48,1)+IF(L$43=2,Quesería!$B$48*(Quesería!$B$44*$B$50*$B$47)*(1-MAX(0,MIN(2-0-Quesería!$B$47,(Quesería!$B$46-Quesería!$B$47)))/(Quesería!$B$46-Quesería!$B$47)),0))+(IF(AND(L$43&gt;1+Quesería!$B$47,L$43&lt;=1+Quesería!$B$46),(Quesería!$B$44*$C$50*$C$47)/(Quesería!$B$46-Quesería!$B$47),0)*IF(L$43&gt;2,1-Quesería!$B$48,1)+IF(L$43=2,Quesería!$B$48*(Quesería!$B$44*$C$50*$C$47)*(1-MAX(0,MIN(2-1-Quesería!$B$47,(Quesería!$B$46-Quesería!$B$47)))/(Quesería!$B$46-Quesería!$B$47)),0)))*L49</f>
        <v>0</v>
      </c>
    </row>
    <row r="79" customFormat="false" ht="15" hidden="true" customHeight="false" outlineLevel="1" collapsed="false">
      <c r="A79" s="6" t="s">
        <v>433</v>
      </c>
      <c r="B79" s="29" t="n">
        <f aca="false">$B$13*Quesería!$B$51*(1+0.19)*B75*B49+(1-$B$13)*IF(B$43=0,Quesería!$B$50,0)</f>
        <v>4</v>
      </c>
      <c r="C79" s="29" t="n">
        <f aca="false">$B$13*Quesería!$B$51*(1+0.19)*C75*C49+(1-$B$13)*IF(C$43=0,Quesería!$B$50,0)</f>
        <v>0</v>
      </c>
      <c r="D79" s="29" t="n">
        <f aca="false">$B$13*Quesería!$B$51*(1+0.19)*D75*D49+(1-$B$13)*IF(D$43=0,Quesería!$B$50,0)</f>
        <v>0</v>
      </c>
      <c r="E79" s="29" t="n">
        <f aca="false">$B$13*Quesería!$B$51*(1+0.19)*E75*E49+(1-$B$13)*IF(E$43=0,Quesería!$B$50,0)</f>
        <v>0</v>
      </c>
      <c r="F79" s="29" t="n">
        <f aca="false">$B$13*Quesería!$B$51*(1+0.19)*F75*F49+(1-$B$13)*IF(F$43=0,Quesería!$B$50,0)</f>
        <v>0</v>
      </c>
      <c r="G79" s="29" t="n">
        <f aca="false">$B$13*Quesería!$B$51*(1+0.19)*G75*G49+(1-$B$13)*IF(G$43=0,Quesería!$B$50,0)</f>
        <v>0</v>
      </c>
      <c r="H79" s="29" t="n">
        <f aca="false">$B$13*Quesería!$B$51*(1+0.19)*H75*H49+(1-$B$13)*IF(H$43=0,Quesería!$B$50,0)</f>
        <v>0</v>
      </c>
      <c r="I79" s="29" t="n">
        <f aca="false">$B$13*Quesería!$B$51*(1+0.19)*I75*I49+(1-$B$13)*IF(I$43=0,Quesería!$B$50,0)</f>
        <v>0</v>
      </c>
      <c r="J79" s="29" t="n">
        <f aca="false">$B$13*Quesería!$B$51*(1+0.19)*J75*J49+(1-$B$13)*IF(J$43=0,Quesería!$B$50,0)</f>
        <v>0</v>
      </c>
      <c r="K79" s="29" t="n">
        <f aca="false">$B$13*Quesería!$B$51*(1+0.19)*K75*K49+(1-$B$13)*IF(K$43=0,Quesería!$B$50,0)</f>
        <v>0</v>
      </c>
      <c r="L79" s="29" t="n">
        <f aca="false">$B$13*Quesería!$B$51*(1+0.19)*L75*L49+(1-$B$13)*IF(L$43=0,Quesería!$B$50,0)</f>
        <v>0</v>
      </c>
    </row>
    <row r="80" customFormat="false" ht="15" hidden="true" customHeight="false" outlineLevel="1" collapsed="false">
      <c r="A80" s="6" t="s">
        <v>434</v>
      </c>
      <c r="B80" s="29" t="n">
        <f aca="false">Quesería!$B$52*(B77+B78+B79)</f>
        <v>0.016</v>
      </c>
      <c r="C80" s="29" t="n">
        <f aca="false">Quesería!$B$52*(C77+C78+C79)</f>
        <v>0.324982255024431</v>
      </c>
      <c r="D80" s="29" t="n">
        <f aca="false">Quesería!$B$52*(D77+D78+D79)</f>
        <v>0.944666790641204</v>
      </c>
      <c r="E80" s="29" t="n">
        <f aca="false">Quesería!$B$52*(E77+E78+E79)</f>
        <v>1.16091554650497</v>
      </c>
      <c r="F80" s="29" t="n">
        <f aca="false">Quesería!$B$52*(F77+F78+F79)</f>
        <v>1.02734284030486</v>
      </c>
      <c r="G80" s="29" t="n">
        <f aca="false">Quesería!$B$52*(G77+G78+G79)</f>
        <v>0.902327626968503</v>
      </c>
      <c r="H80" s="29" t="n">
        <f aca="false">Quesería!$B$52*(H77+H78+H79)</f>
        <v>0.78540923057473</v>
      </c>
      <c r="I80" s="29" t="n">
        <f aca="false">Quesería!$B$52*(I77+I78+I79)</f>
        <v>0.676149752798573</v>
      </c>
      <c r="J80" s="29" t="n">
        <f aca="false">Quesería!$B$52*(J77+J78+J79)</f>
        <v>0.283615060525968</v>
      </c>
      <c r="K80" s="29" t="n">
        <f aca="false">Quesería!$B$52*(K77+K78+K79)</f>
        <v>0</v>
      </c>
      <c r="L80" s="29" t="n">
        <f aca="false">Quesería!$B$52*(L77+L78+L79)</f>
        <v>0</v>
      </c>
    </row>
    <row r="81" customFormat="false" ht="15" hidden="true" customHeight="false" outlineLevel="1" collapsed="false">
      <c r="A81" s="6" t="s">
        <v>435</v>
      </c>
      <c r="B81" s="29" t="n">
        <f aca="false">$B$17*(B77+B79+0.5*B80)</f>
        <v>1.4028</v>
      </c>
      <c r="C81" s="29" t="n">
        <f aca="false">$B$17*(C77+C79+0.5*C80)</f>
        <v>28.492819209267</v>
      </c>
      <c r="D81" s="29" t="n">
        <f aca="false">$B$17*(D77+D79+0.5*D80)</f>
        <v>50.658846641366</v>
      </c>
      <c r="E81" s="29" t="n">
        <f aca="false">$B$17*(E77+E79+0.5*E80)</f>
        <v>44.393824784909</v>
      </c>
      <c r="F81" s="29" t="n">
        <f aca="false">$B$17*(F77+F79+0.5*F80)</f>
        <v>34.8901241440031</v>
      </c>
      <c r="G81" s="29" t="n">
        <f aca="false">$B$17*(G77+G79+0.5*G80)</f>
        <v>26.0518060601123</v>
      </c>
      <c r="H81" s="29" t="n">
        <f aca="false">$B$17*(H77+H79+0.5*H80)</f>
        <v>17.8417459883787</v>
      </c>
      <c r="I81" s="29" t="n">
        <f aca="false">$B$17*(I77+I79+0.5*I80)</f>
        <v>10.224690824441</v>
      </c>
      <c r="J81" s="29" t="n">
        <f aca="false">$B$17*(J77+J79+0.5*J80)</f>
        <v>3.1163292256351</v>
      </c>
      <c r="K81" s="29" t="n">
        <f aca="false">$B$17*(K77+K79+0.5*K80)</f>
        <v>0</v>
      </c>
      <c r="L81" s="29" t="n">
        <f aca="false">$B$17*(L77+L79+0.5*L80)</f>
        <v>0</v>
      </c>
    </row>
    <row r="82" customFormat="false" ht="15" hidden="true" customHeight="false" outlineLevel="1" collapsed="false">
      <c r="A82" s="5" t="s">
        <v>436</v>
      </c>
      <c r="B82" s="59" t="n">
        <f aca="false">B67+B76-B77-B78-B79-B80+B81</f>
        <v>-358.744924503166</v>
      </c>
      <c r="C82" s="59" t="n">
        <f aca="false">C67+C76-C77-C78-C79-C80+C81</f>
        <v>-59.8505919146794</v>
      </c>
      <c r="D82" s="59" t="n">
        <f aca="false">D67+D76-D77-D78-D79-D80+D81</f>
        <v>369.958340335805</v>
      </c>
      <c r="E82" s="59" t="n">
        <f aca="false">E67+E76-E77-E78-E79-E80+E81</f>
        <v>87.5221689109349</v>
      </c>
      <c r="F82" s="59" t="n">
        <f aca="false">F67+F76-F77-F78-F79-F80+F81</f>
        <v>114.048242679885</v>
      </c>
      <c r="G82" s="59" t="n">
        <f aca="false">G67+G76-G77-G78-G79-G80+G81</f>
        <v>102.116178059796</v>
      </c>
      <c r="H82" s="59" t="n">
        <f aca="false">H67+H76-H77-H78-H79-H80+H81</f>
        <v>101.612336772039</v>
      </c>
      <c r="I82" s="59" t="n">
        <f aca="false">I67+I76-I77-I78-I79-I80+I81</f>
        <v>181.941754481276</v>
      </c>
      <c r="J82" s="59" t="n">
        <f aca="false">J67+J76-J77-J78-J79-J80+J81</f>
        <v>263.386390588464</v>
      </c>
      <c r="K82" s="59" t="n">
        <f aca="false">K67+K76-K77-K78-K79-K80+K81</f>
        <v>330.025710337702</v>
      </c>
      <c r="L82" s="59" t="n">
        <f aca="false">L67+L76-L77-L78-L79-L80+L81</f>
        <v>422.18532199421</v>
      </c>
    </row>
    <row r="83" customFormat="false" ht="15" hidden="true" customHeight="false" outlineLevel="1" collapsed="false">
      <c r="A83" s="9" t="s">
        <v>437</v>
      </c>
      <c r="B83" s="58" t="n">
        <f aca="false">B82*B47</f>
        <v>-380.269619973356</v>
      </c>
      <c r="C83" s="58" t="n">
        <f aca="false">C82*C47</f>
        <v>-66.6137088010382</v>
      </c>
      <c r="D83" s="58" t="n">
        <f aca="false">D82*D47</f>
        <v>430.292996269469</v>
      </c>
      <c r="E83" s="58" t="n">
        <f aca="false">E82*E47</f>
        <v>105.867550700886</v>
      </c>
      <c r="F83" s="58" t="n">
        <f aca="false">F82*F47</f>
        <v>143.471860844861</v>
      </c>
      <c r="G83" s="58" t="n">
        <f aca="false">G82*G47</f>
        <v>133.599866636398</v>
      </c>
      <c r="H83" s="58" t="n">
        <f aca="false">H82*H47</f>
        <v>138.258312201463</v>
      </c>
      <c r="I83" s="58" t="n">
        <f aca="false">I82*I47</f>
        <v>257.460453330459</v>
      </c>
      <c r="J83" s="58" t="n">
        <f aca="false">J82*J47</f>
        <v>387.618789891994</v>
      </c>
      <c r="K83" s="58" t="n">
        <f aca="false">K82*K47</f>
        <v>505.117720152798</v>
      </c>
      <c r="L83" s="58" t="n">
        <f aca="false">L82*L47</f>
        <v>672.01860907702</v>
      </c>
    </row>
    <row r="84" customFormat="false" ht="15" hidden="true" customHeight="false" outlineLevel="1" collapsed="false">
      <c r="A84" s="9" t="s">
        <v>438</v>
      </c>
      <c r="B84" s="57" t="n">
        <f aca="false">(B47/$B$47)/(1+Quesería!$B$11+$B$24)^B$43</f>
        <v>1</v>
      </c>
      <c r="C84" s="57" t="n">
        <f aca="false">(C47/$B$47)/(1+Quesería!$B$11+$B$24)^C$43</f>
        <v>0.84</v>
      </c>
      <c r="D84" s="57" t="n">
        <f aca="false">(D47/$B$47)/(1+Quesería!$B$11+$B$24)^D$43</f>
        <v>0.70224</v>
      </c>
      <c r="E84" s="57" t="n">
        <f aca="false">(E47/$B$47)/(1+Quesería!$B$11+$B$24)^E$43</f>
        <v>0.58426368</v>
      </c>
      <c r="F84" s="57" t="n">
        <f aca="false">(F47/$B$47)/(1+Quesería!$B$11+$B$24)^F$43</f>
        <v>0.48610738176</v>
      </c>
      <c r="G84" s="57" t="n">
        <f aca="false">(G47/$B$47)/(1+Quesería!$B$11+$B$24)^G$43</f>
        <v>0.40444134162432</v>
      </c>
      <c r="H84" s="57" t="n">
        <f aca="false">(H47/$B$47)/(1+Quesería!$B$11+$B$24)^H$43</f>
        <v>0.336495196231434</v>
      </c>
      <c r="I84" s="57" t="n">
        <f aca="false">(I47/$B$47)/(1+Quesería!$B$11+$B$24)^I$43</f>
        <v>0.279964003264553</v>
      </c>
      <c r="J84" s="57" t="n">
        <f aca="false">(J47/$B$47)/(1+Quesería!$B$11+$B$24)^J$43</f>
        <v>0.232930050716108</v>
      </c>
      <c r="K84" s="57" t="n">
        <f aca="false">(K47/$B$47)/(1+Quesería!$B$11+$B$24)^K$43</f>
        <v>0.193797802195802</v>
      </c>
      <c r="L84" s="57" t="n">
        <f aca="false">(L47/$B$47)/(1+Quesería!$B$11+$B$24)^L$43</f>
        <v>0.161239771426907</v>
      </c>
    </row>
    <row r="85" customFormat="false" ht="15" hidden="true" customHeight="false" outlineLevel="1" collapsed="false">
      <c r="A85" s="9" t="s">
        <v>439</v>
      </c>
      <c r="B85" s="58" t="n">
        <f aca="false">B67+B50+B52+B81</f>
        <v>120.166830858099</v>
      </c>
      <c r="C85" s="58" t="n">
        <f aca="false">C67+C50+C52+C81</f>
        <v>431.293250100682</v>
      </c>
      <c r="D85" s="58" t="n">
        <f aca="false">D67+D50+D52+D81</f>
        <v>607.069704786747</v>
      </c>
      <c r="E85" s="58" t="n">
        <f aca="false">E67+E50+E52+E81</f>
        <v>378.911971083682</v>
      </c>
      <c r="F85" s="58" t="n">
        <f aca="false">F67+F50+F52+F81</f>
        <v>371.911295596404</v>
      </c>
      <c r="G85" s="58" t="n">
        <f aca="false">G67+G50+G52+G81</f>
        <v>333.818803709976</v>
      </c>
      <c r="H85" s="58" t="n">
        <f aca="false">H67+H50+H52+H81</f>
        <v>307.563993231378</v>
      </c>
      <c r="I85" s="58" t="n">
        <f aca="false">I67+I50+I52+I81</f>
        <v>351.655342433718</v>
      </c>
      <c r="J85" s="58" t="n">
        <f aca="false">J67+J50+J52+J81</f>
        <v>334.573770780482</v>
      </c>
      <c r="K85" s="58" t="n">
        <f aca="false">K67+K50+K52+K81</f>
        <v>330.025710337702</v>
      </c>
      <c r="L85" s="58" t="n">
        <f aca="false">L67+L50+L52+L81</f>
        <v>422.18532199421</v>
      </c>
    </row>
    <row r="86" customFormat="false" ht="15" hidden="true" customHeight="false" outlineLevel="1" collapsed="false">
      <c r="A86" s="5" t="s">
        <v>149</v>
      </c>
      <c r="B86" s="12" t="str">
        <f aca="false">IF(AND(B$43&gt;=1,(B77+B78+B79)&gt;0.001),B85/(B77+B78+B79),"")</f>
        <v/>
      </c>
      <c r="C86" s="12" t="n">
        <f aca="false">IF(AND(C$43&gt;=1,(C77+C78+C79)&gt;0.001),C85/(C77+C78+C79),"")</f>
        <v>5.3085144611143</v>
      </c>
      <c r="D86" s="12" t="n">
        <f aca="false">IF(AND(D$43&gt;=1,(D77+D78+D79)&gt;0.001),D85/(D77+D78+D79),"")</f>
        <v>2.57051358553503</v>
      </c>
      <c r="E86" s="12" t="n">
        <f aca="false">IF(AND(E$43&gt;=1,(E77+E78+E79)&gt;0.001),E85/(E77+E78+E79),"")</f>
        <v>1.30556256990244</v>
      </c>
      <c r="F86" s="12" t="n">
        <f aca="false">IF(AND(F$43&gt;=1,(F77+F78+F79)&gt;0.001),F85/(F77+F78+F79),"")</f>
        <v>1.44805134568726</v>
      </c>
      <c r="G86" s="12" t="n">
        <f aca="false">IF(AND(G$43&gt;=1,(G77+G78+G79)&gt;0.001),G85/(G77+G78+G79),"")</f>
        <v>1.4798119606799</v>
      </c>
      <c r="H86" s="12" t="n">
        <f aca="false">IF(AND(H$43&gt;=1,(H77+H78+H79)&gt;0.001),H85/(H77+H78+H79),"")</f>
        <v>1.5663884826325</v>
      </c>
      <c r="I86" s="12" t="n">
        <f aca="false">IF(AND(I$43&gt;=1,(I77+I78+I79)&gt;0.001),I85/(I77+I78+I79),"")</f>
        <v>2.08033998964414</v>
      </c>
      <c r="J86" s="12" t="n">
        <f aca="false">IF(AND(J$43&gt;=1,(J77+J78+J79)&gt;0.001),J85/(J77+J78+J79),"")</f>
        <v>4.71870245762</v>
      </c>
      <c r="K86" s="12" t="str">
        <f aca="false">IF(AND(K$43&gt;=1,(K77+K78+K79)&gt;0.001),K85/(K77+K78+K79),"")</f>
        <v/>
      </c>
      <c r="L86" s="12" t="str">
        <f aca="false">IF(AND(L$43&gt;=1,(L77+L78+L79)&gt;0.001),L85/(L77+L78+L79),"")</f>
        <v/>
      </c>
    </row>
    <row r="88" customFormat="false" ht="15" hidden="false" customHeight="false" outlineLevel="0" collapsed="false">
      <c r="A88" s="43" t="s">
        <v>173</v>
      </c>
      <c r="B88" s="44"/>
      <c r="C88" s="44"/>
      <c r="D88" s="44"/>
      <c r="E88" s="44"/>
      <c r="F88" s="44"/>
      <c r="G88" s="44"/>
      <c r="H88" s="44"/>
      <c r="I88" s="44"/>
      <c r="J88" s="44"/>
      <c r="K88" s="44"/>
      <c r="L88" s="44"/>
    </row>
    <row r="89" customFormat="false" ht="15" hidden="true" customHeight="false" outlineLevel="1" collapsed="false">
      <c r="A89" s="9" t="s">
        <v>405</v>
      </c>
      <c r="B89" s="56" t="n">
        <f aca="false">CHOOSE($C$15,Entorno!B$7,Entorno!B$8,Entorno!B$9)</f>
        <v>0.06</v>
      </c>
      <c r="C89" s="56" t="n">
        <f aca="false">CHOOSE($C$15,Entorno!C$7,Entorno!C$8,Entorno!C$9)</f>
        <v>0.05</v>
      </c>
      <c r="D89" s="56" t="n">
        <f aca="false">CHOOSE($C$15,Entorno!D$7,Entorno!D$8,Entorno!D$9)</f>
        <v>0.045</v>
      </c>
      <c r="E89" s="56" t="n">
        <f aca="false">CHOOSE($C$15,Entorno!E$7,Entorno!E$8,Entorno!E$9)</f>
        <v>0.04</v>
      </c>
      <c r="F89" s="56" t="n">
        <f aca="false">CHOOSE($C$15,Entorno!F$7,Entorno!F$8,Entorno!F$9)</f>
        <v>0.04</v>
      </c>
      <c r="G89" s="56" t="n">
        <f aca="false">CHOOSE($C$15,Entorno!G$7,Entorno!G$8,Entorno!G$9)</f>
        <v>0.04</v>
      </c>
      <c r="H89" s="56" t="n">
        <f aca="false">CHOOSE($C$15,Entorno!H$7,Entorno!H$8,Entorno!H$9)</f>
        <v>0.04</v>
      </c>
      <c r="I89" s="56" t="n">
        <f aca="false">CHOOSE($C$15,Entorno!I$7,Entorno!I$8,Entorno!I$9)</f>
        <v>0.04</v>
      </c>
      <c r="J89" s="56" t="n">
        <f aca="false">CHOOSE($C$15,Entorno!J$7,Entorno!J$8,Entorno!J$9)</f>
        <v>0.04</v>
      </c>
      <c r="K89" s="56" t="n">
        <f aca="false">CHOOSE($C$15,Entorno!K$7,Entorno!K$8,Entorno!K$9)</f>
        <v>0.04</v>
      </c>
      <c r="L89" s="56" t="n">
        <f aca="false">CHOOSE($C$15,Entorno!L$7,Entorno!L$8,Entorno!L$9)</f>
        <v>0.04</v>
      </c>
    </row>
    <row r="90" customFormat="false" ht="15" hidden="true" customHeight="false" outlineLevel="1" collapsed="false">
      <c r="A90" s="9" t="s">
        <v>406</v>
      </c>
      <c r="B90" s="57" t="n">
        <f aca="false">1+B89</f>
        <v>1.06</v>
      </c>
      <c r="C90" s="57" t="n">
        <f aca="false">B90*(1+C89)</f>
        <v>1.113</v>
      </c>
      <c r="D90" s="57" t="n">
        <f aca="false">C90*(1+D89)</f>
        <v>1.163085</v>
      </c>
      <c r="E90" s="57" t="n">
        <f aca="false">D90*(1+E89)</f>
        <v>1.2096084</v>
      </c>
      <c r="F90" s="57" t="n">
        <f aca="false">E90*(1+F89)</f>
        <v>1.257992736</v>
      </c>
      <c r="G90" s="57" t="n">
        <f aca="false">F90*(1+G89)</f>
        <v>1.30831244544</v>
      </c>
      <c r="H90" s="57" t="n">
        <f aca="false">G90*(1+H89)</f>
        <v>1.3606449432576</v>
      </c>
      <c r="I90" s="57" t="n">
        <f aca="false">H90*(1+I89)</f>
        <v>1.4150707409879</v>
      </c>
      <c r="J90" s="57" t="n">
        <f aca="false">I90*(1+J89)</f>
        <v>1.47167357062742</v>
      </c>
      <c r="K90" s="57" t="n">
        <f aca="false">J90*(1+K89)</f>
        <v>1.53054051345252</v>
      </c>
      <c r="L90" s="57" t="n">
        <f aca="false">K90*(1+L89)</f>
        <v>1.59176213399062</v>
      </c>
    </row>
    <row r="91" customFormat="false" ht="15" hidden="true" customHeight="false" outlineLevel="1" collapsed="false">
      <c r="A91" s="9" t="s">
        <v>407</v>
      </c>
      <c r="B91" s="57" t="n">
        <f aca="false">(1+$C$16)/(1+B89)</f>
        <v>1.02358490566038</v>
      </c>
      <c r="C91" s="57" t="n">
        <f aca="false">B91*(1+Entorno!$B$13)</f>
        <v>1.02870283018868</v>
      </c>
      <c r="D91" s="57" t="n">
        <f aca="false">C91*(1+Entorno!$B$13)</f>
        <v>1.03384634433962</v>
      </c>
      <c r="E91" s="57" t="n">
        <f aca="false">D91*(1+Entorno!$B$13)</f>
        <v>1.03901557606132</v>
      </c>
      <c r="F91" s="57" t="n">
        <f aca="false">E91*(1+Entorno!$B$13)</f>
        <v>1.04421065394163</v>
      </c>
      <c r="G91" s="57" t="n">
        <f aca="false">F91*(1+Entorno!$B$13)</f>
        <v>1.04943170721133</v>
      </c>
      <c r="H91" s="57" t="n">
        <f aca="false">G91*(1+Entorno!$B$13)</f>
        <v>1.05467886574739</v>
      </c>
      <c r="I91" s="57" t="n">
        <f aca="false">H91*(1+Entorno!$B$13)</f>
        <v>1.05995226007613</v>
      </c>
      <c r="J91" s="57" t="n">
        <f aca="false">I91*(1+Entorno!$B$13)</f>
        <v>1.06525202137651</v>
      </c>
      <c r="K91" s="57" t="n">
        <f aca="false">J91*(1+Entorno!$B$13)</f>
        <v>1.07057828148339</v>
      </c>
      <c r="L91" s="57" t="n">
        <f aca="false">K91*(1+Entorno!$B$13)</f>
        <v>1.07593117289081</v>
      </c>
    </row>
    <row r="92" customFormat="false" ht="15" hidden="true" customHeight="false" outlineLevel="1" collapsed="false">
      <c r="A92" s="9" t="s">
        <v>408</v>
      </c>
      <c r="B92" s="57" t="n">
        <f aca="false">1/B90</f>
        <v>0.943396226415094</v>
      </c>
      <c r="C92" s="57" t="n">
        <f aca="false">1/C90</f>
        <v>0.898472596585804</v>
      </c>
      <c r="D92" s="57" t="n">
        <f aca="false">1/D90</f>
        <v>0.859782389077324</v>
      </c>
      <c r="E92" s="57" t="n">
        <f aca="false">1/E90</f>
        <v>0.826713835651273</v>
      </c>
      <c r="F92" s="57" t="n">
        <f aca="false">1/F90</f>
        <v>0.794917149664686</v>
      </c>
      <c r="G92" s="57" t="n">
        <f aca="false">1/G90</f>
        <v>0.764343413139121</v>
      </c>
      <c r="H92" s="57" t="n">
        <f aca="false">1/H90</f>
        <v>0.734945589556847</v>
      </c>
      <c r="I92" s="57" t="n">
        <f aca="false">1/I90</f>
        <v>0.706678451496968</v>
      </c>
      <c r="J92" s="57" t="n">
        <f aca="false">1/J90</f>
        <v>0.679498511054777</v>
      </c>
      <c r="K92" s="57" t="n">
        <f aca="false">1/K90</f>
        <v>0.653363952937286</v>
      </c>
      <c r="L92" s="57" t="n">
        <f aca="false">1/L90</f>
        <v>0.628234570132006</v>
      </c>
    </row>
    <row r="93" customFormat="false" ht="15" hidden="true" customHeight="false" outlineLevel="1" collapsed="false">
      <c r="A93" s="6" t="s">
        <v>323</v>
      </c>
      <c r="B93" s="29" t="n">
        <f aca="false">IF(B$43=0,Quesería!$F$92,IF(B$43=1,Quesería!$F$93*$C$21,0))*$C$11</f>
        <v>930.800239431677</v>
      </c>
      <c r="C93" s="29" t="n">
        <f aca="false">IF(C$43=0,Quesería!$F$92,IF(C$43=1,Quesería!$F$93*$C$21,0))*$C$11</f>
        <v>758.469066674498</v>
      </c>
      <c r="D93" s="29" t="n">
        <f aca="false">IF(D$43=0,Quesería!$F$92,IF(D$43=1,Quesería!$F$93*$C$21,0))*$C$11</f>
        <v>0</v>
      </c>
      <c r="E93" s="29" t="n">
        <f aca="false">IF(E$43=0,Quesería!$F$92,IF(E$43=1,Quesería!$F$93*$C$21,0))*$C$11</f>
        <v>0</v>
      </c>
      <c r="F93" s="29" t="n">
        <f aca="false">IF(F$43=0,Quesería!$F$92,IF(F$43=1,Quesería!$F$93*$C$21,0))*$C$11</f>
        <v>0</v>
      </c>
      <c r="G93" s="29" t="n">
        <f aca="false">IF(G$43=0,Quesería!$F$92,IF(G$43=1,Quesería!$F$93*$C$21,0))*$C$11</f>
        <v>0</v>
      </c>
      <c r="H93" s="29" t="n">
        <f aca="false">IF(H$43=0,Quesería!$F$92,IF(H$43=1,Quesería!$F$93*$C$21,0))*$C$11</f>
        <v>0</v>
      </c>
      <c r="I93" s="29" t="n">
        <f aca="false">IF(I$43=0,Quesería!$F$92,IF(I$43=1,Quesería!$F$93*$C$21,0))*$C$11</f>
        <v>0</v>
      </c>
      <c r="J93" s="29" t="n">
        <f aca="false">IF(J$43=0,Quesería!$F$92,IF(J$43=1,Quesería!$F$93*$C$21,0))*$C$11</f>
        <v>0</v>
      </c>
      <c r="K93" s="29" t="n">
        <f aca="false">IF(K$43=0,Quesería!$F$92,IF(K$43=1,Quesería!$F$93*$C$21,0))*$C$11</f>
        <v>0</v>
      </c>
      <c r="L93" s="29" t="n">
        <f aca="false">IF(L$43=0,Quesería!$F$92,IF(L$43=1,Quesería!$F$93*$C$21,0))*$C$11</f>
        <v>0</v>
      </c>
    </row>
    <row r="94" customFormat="false" ht="15" hidden="true" customHeight="false" outlineLevel="1" collapsed="false">
      <c r="A94" s="6" t="s">
        <v>409</v>
      </c>
      <c r="B94" s="29" t="n">
        <f aca="false">IF(B$43=5,Quesería!$F$99,IF(B$43=6,Quesería!$F$100,0))*$C$11</f>
        <v>0</v>
      </c>
      <c r="C94" s="29" t="n">
        <f aca="false">IF(C$43=5,Quesería!$F$99,IF(C$43=6,Quesería!$F$100,0))*$C$11</f>
        <v>0</v>
      </c>
      <c r="D94" s="29" t="n">
        <f aca="false">IF(D$43=5,Quesería!$F$99,IF(D$43=6,Quesería!$F$100,0))*$C$11</f>
        <v>0</v>
      </c>
      <c r="E94" s="29" t="n">
        <f aca="false">IF(E$43=5,Quesería!$F$99,IF(E$43=6,Quesería!$F$100,0))*$C$11</f>
        <v>0</v>
      </c>
      <c r="F94" s="29" t="n">
        <f aca="false">IF(F$43=5,Quesería!$F$99,IF(F$43=6,Quesería!$F$100,0))*$C$11</f>
        <v>0</v>
      </c>
      <c r="G94" s="29" t="n">
        <f aca="false">IF(G$43=5,Quesería!$F$99,IF(G$43=6,Quesería!$F$100,0))*$C$11</f>
        <v>27.4652172688735</v>
      </c>
      <c r="H94" s="29" t="n">
        <f aca="false">IF(H$43=5,Quesería!$F$99,IF(H$43=6,Quesería!$F$100,0))*$C$11</f>
        <v>46.3891557109552</v>
      </c>
      <c r="I94" s="29" t="n">
        <f aca="false">IF(I$43=5,Quesería!$F$99,IF(I$43=6,Quesería!$F$100,0))*$C$11</f>
        <v>0</v>
      </c>
      <c r="J94" s="29" t="n">
        <f aca="false">IF(J$43=5,Quesería!$F$99,IF(J$43=6,Quesería!$F$100,0))*$C$11</f>
        <v>0</v>
      </c>
      <c r="K94" s="29" t="n">
        <f aca="false">IF(K$43=5,Quesería!$F$99,IF(K$43=6,Quesería!$F$100,0))*$C$11</f>
        <v>0</v>
      </c>
      <c r="L94" s="29" t="n">
        <f aca="false">IF(L$43=5,Quesería!$F$99,IF(L$43=6,Quesería!$F$100,0))*$C$11</f>
        <v>0</v>
      </c>
    </row>
    <row r="95" customFormat="false" ht="15" hidden="true" customHeight="false" outlineLevel="1" collapsed="false">
      <c r="A95" s="6" t="s">
        <v>410</v>
      </c>
      <c r="B95" s="29" t="n">
        <f aca="false">Quesería!$B$55*(IF(B$43=0,SUMPRODUCT((Quesería!$C$70:$C$89=0)*(Quesería!$H$70:$H$89&gt;0)*(Quesería!$J$70:$J$89&gt;0)*Quesería!$F$70:$F$89*(1+Quesería!$I$70:$I$89)),IF(B$43=1,SUMPRODUCT((Quesería!$C$70:$C$89=1)*(Quesería!$H$70:$H$89&gt;0)*(Quesería!$J$70:$J$89&gt;0)*Quesería!$F$70:$F$89*(1+Quesería!$I$70:$I$89))*$C$21,0))*$C$11+B94)</f>
        <v>149.115671560178</v>
      </c>
      <c r="C95" s="29" t="n">
        <f aca="false">Quesería!$B$55*(IF(C$43=0,SUMPRODUCT((Quesería!$C$70:$C$89=0)*(Quesería!$H$70:$H$89&gt;0)*(Quesería!$J$70:$J$89&gt;0)*Quesería!$F$70:$F$89*(1+Quesería!$I$70:$I$89)),IF(C$43=1,SUMPRODUCT((Quesería!$C$70:$C$89=1)*(Quesería!$H$70:$H$89&gt;0)*(Quesería!$J$70:$J$89&gt;0)*Quesería!$F$70:$F$89*(1+Quesería!$I$70:$I$89))*$C$21,0))*$C$11+C94)</f>
        <v>144.109122668155</v>
      </c>
      <c r="D95" s="29" t="n">
        <f aca="false">Quesería!$B$55*(IF(D$43=0,SUMPRODUCT((Quesería!$C$70:$C$89=0)*(Quesería!$H$70:$H$89&gt;0)*(Quesería!$J$70:$J$89&gt;0)*Quesería!$F$70:$F$89*(1+Quesería!$I$70:$I$89)),IF(D$43=1,SUMPRODUCT((Quesería!$C$70:$C$89=1)*(Quesería!$H$70:$H$89&gt;0)*(Quesería!$J$70:$J$89&gt;0)*Quesería!$F$70:$F$89*(1+Quesería!$I$70:$I$89))*$C$21,0))*$C$11+D94)</f>
        <v>0</v>
      </c>
      <c r="E95" s="29" t="n">
        <f aca="false">Quesería!$B$55*(IF(E$43=0,SUMPRODUCT((Quesería!$C$70:$C$89=0)*(Quesería!$H$70:$H$89&gt;0)*(Quesería!$J$70:$J$89&gt;0)*Quesería!$F$70:$F$89*(1+Quesería!$I$70:$I$89)),IF(E$43=1,SUMPRODUCT((Quesería!$C$70:$C$89=1)*(Quesería!$H$70:$H$89&gt;0)*(Quesería!$J$70:$J$89&gt;0)*Quesería!$F$70:$F$89*(1+Quesería!$I$70:$I$89))*$C$21,0))*$C$11+E94)</f>
        <v>0</v>
      </c>
      <c r="F95" s="29" t="n">
        <f aca="false">Quesería!$B$55*(IF(F$43=0,SUMPRODUCT((Quesería!$C$70:$C$89=0)*(Quesería!$H$70:$H$89&gt;0)*(Quesería!$J$70:$J$89&gt;0)*Quesería!$F$70:$F$89*(1+Quesería!$I$70:$I$89)),IF(F$43=1,SUMPRODUCT((Quesería!$C$70:$C$89=1)*(Quesería!$H$70:$H$89&gt;0)*(Quesería!$J$70:$J$89&gt;0)*Quesería!$F$70:$F$89*(1+Quesería!$I$70:$I$89))*$C$21,0))*$C$11+F94)</f>
        <v>0</v>
      </c>
      <c r="G95" s="29" t="n">
        <f aca="false">Quesería!$B$55*(IF(G$43=0,SUMPRODUCT((Quesería!$C$70:$C$89=0)*(Quesería!$H$70:$H$89&gt;0)*(Quesería!$J$70:$J$89&gt;0)*Quesería!$F$70:$F$89*(1+Quesería!$I$70:$I$89)),IF(G$43=1,SUMPRODUCT((Quesería!$C$70:$C$89=1)*(Quesería!$H$70:$H$89&gt;0)*(Quesería!$J$70:$J$89&gt;0)*Quesería!$F$70:$F$89*(1+Quesería!$I$70:$I$89))*$C$21,0))*$C$11+G94)</f>
        <v>5.21839128108597</v>
      </c>
      <c r="H95" s="29" t="n">
        <f aca="false">Quesería!$B$55*(IF(H$43=0,SUMPRODUCT((Quesería!$C$70:$C$89=0)*(Quesería!$H$70:$H$89&gt;0)*(Quesería!$J$70:$J$89&gt;0)*Quesería!$F$70:$F$89*(1+Quesería!$I$70:$I$89)),IF(H$43=1,SUMPRODUCT((Quesería!$C$70:$C$89=1)*(Quesería!$H$70:$H$89&gt;0)*(Quesería!$J$70:$J$89&gt;0)*Quesería!$F$70:$F$89*(1+Quesería!$I$70:$I$89))*$C$21,0))*$C$11+H94)</f>
        <v>8.8139395850815</v>
      </c>
      <c r="I95" s="29" t="n">
        <f aca="false">Quesería!$B$55*(IF(I$43=0,SUMPRODUCT((Quesería!$C$70:$C$89=0)*(Quesería!$H$70:$H$89&gt;0)*(Quesería!$J$70:$J$89&gt;0)*Quesería!$F$70:$F$89*(1+Quesería!$I$70:$I$89)),IF(I$43=1,SUMPRODUCT((Quesería!$C$70:$C$89=1)*(Quesería!$H$70:$H$89&gt;0)*(Quesería!$J$70:$J$89&gt;0)*Quesería!$F$70:$F$89*(1+Quesería!$I$70:$I$89))*$C$21,0))*$C$11+I94)</f>
        <v>0</v>
      </c>
      <c r="J95" s="29" t="n">
        <f aca="false">Quesería!$B$55*(IF(J$43=0,SUMPRODUCT((Quesería!$C$70:$C$89=0)*(Quesería!$H$70:$H$89&gt;0)*(Quesería!$J$70:$J$89&gt;0)*Quesería!$F$70:$F$89*(1+Quesería!$I$70:$I$89)),IF(J$43=1,SUMPRODUCT((Quesería!$C$70:$C$89=1)*(Quesería!$H$70:$H$89&gt;0)*(Quesería!$J$70:$J$89&gt;0)*Quesería!$F$70:$F$89*(1+Quesería!$I$70:$I$89))*$C$21,0))*$C$11+J94)</f>
        <v>0</v>
      </c>
      <c r="K95" s="29" t="n">
        <f aca="false">Quesería!$B$55*(IF(K$43=0,SUMPRODUCT((Quesería!$C$70:$C$89=0)*(Quesería!$H$70:$H$89&gt;0)*(Quesería!$J$70:$J$89&gt;0)*Quesería!$F$70:$F$89*(1+Quesería!$I$70:$I$89)),IF(K$43=1,SUMPRODUCT((Quesería!$C$70:$C$89=1)*(Quesería!$H$70:$H$89&gt;0)*(Quesería!$J$70:$J$89&gt;0)*Quesería!$F$70:$F$89*(1+Quesería!$I$70:$I$89))*$C$21,0))*$C$11+K94)</f>
        <v>0</v>
      </c>
      <c r="L95" s="29" t="n">
        <f aca="false">Quesería!$B$55*(IF(L$43=0,SUMPRODUCT((Quesería!$C$70:$C$89=0)*(Quesería!$H$70:$H$89&gt;0)*(Quesería!$J$70:$J$89&gt;0)*Quesería!$F$70:$F$89*(1+Quesería!$I$70:$I$89)),IF(L$43=1,SUMPRODUCT((Quesería!$C$70:$C$89=1)*(Quesería!$H$70:$H$89&gt;0)*(Quesería!$J$70:$J$89&gt;0)*Quesería!$F$70:$F$89*(1+Quesería!$I$70:$I$89))*$C$21,0))*$C$11+L94)</f>
        <v>0</v>
      </c>
    </row>
    <row r="96" customFormat="false" ht="15" hidden="true" customHeight="false" outlineLevel="1" collapsed="false">
      <c r="A96" s="6" t="s">
        <v>385</v>
      </c>
      <c r="B96" s="29" t="n">
        <f aca="false">IF(B$43=0,($C$22*Quesería!$J$125+(1-$C$22)*Quesería!$E$121)*Quesería!$B$20*Quesería!$B$21/12*$C$23,(($C$22*Quesería!$J$125+(1-$C$22)*Quesería!$E$121)+($C$22*Quesería!$J$104+(1-$C$22)*Quesería!$E$104)*(B91-1))*IF(B$43=1,Quesería!$B$20,1))*$C$10</f>
        <v>78.1729977357335</v>
      </c>
      <c r="C96" s="29" t="n">
        <f aca="false">IF(C$43=0,($C$22*Quesería!$J$125+(1-$C$22)*Quesería!$E$121)*Quesería!$B$20*Quesería!$B$21/12*$C$23,(($C$22*Quesería!$J$125+(1-$C$22)*Quesería!$E$121)+($C$22*Quesería!$J$104+(1-$C$22)*Quesería!$E$104)*(C91-1))*IF(C$43=1,Quesería!$B$20,1))*$C$10</f>
        <v>117.449365825298</v>
      </c>
      <c r="D96" s="29" t="n">
        <f aca="false">IF(D$43=0,($C$22*Quesería!$J$125+(1-$C$22)*Quesería!$E$121)*Quesería!$B$20*Quesería!$B$21/12*$C$23,(($C$22*Quesería!$J$125+(1-$C$22)*Quesería!$E$121)+($C$22*Quesería!$J$104+(1-$C$22)*Quesería!$E$104)*(D91-1))*IF(D$43=1,Quesería!$B$20,1))*$C$10</f>
        <v>156.644520228542</v>
      </c>
      <c r="E96" s="29" t="n">
        <f aca="false">IF(E$43=0,($C$22*Quesería!$J$125+(1-$C$22)*Quesería!$E$121)*Quesería!$B$20*Quesería!$B$21/12*$C$23,(($C$22*Quesería!$J$125+(1-$C$22)*Quesería!$E$121)+($C$22*Quesería!$J$104+(1-$C$22)*Quesería!$E$104)*(E91-1))*IF(E$43=1,Quesería!$B$20,1))*$C$10</f>
        <v>156.690112852328</v>
      </c>
      <c r="F96" s="29" t="n">
        <f aca="false">IF(F$43=0,($C$22*Quesería!$J$125+(1-$C$22)*Quesería!$E$121)*Quesería!$B$20*Quesería!$B$21/12*$C$23,(($C$22*Quesería!$J$125+(1-$C$22)*Quesería!$E$121)+($C$22*Quesería!$J$104+(1-$C$22)*Quesería!$E$104)*(F91-1))*IF(F$43=1,Quesería!$B$20,1))*$C$10</f>
        <v>156.735933439232</v>
      </c>
      <c r="G96" s="29" t="n">
        <f aca="false">IF(G$43=0,($C$22*Quesería!$J$125+(1-$C$22)*Quesería!$E$121)*Quesería!$B$20*Quesería!$B$21/12*$C$23,(($C$22*Quesería!$J$125+(1-$C$22)*Quesería!$E$121)+($C$22*Quesería!$J$104+(1-$C$22)*Quesería!$E$104)*(G91-1))*IF(G$43=1,Quesería!$B$20,1))*$C$10</f>
        <v>156.781983129071</v>
      </c>
      <c r="H96" s="29" t="n">
        <f aca="false">IF(H$43=0,($C$22*Quesería!$J$125+(1-$C$22)*Quesería!$E$121)*Quesería!$B$20*Quesería!$B$21/12*$C$23,(($C$22*Quesería!$J$125+(1-$C$22)*Quesería!$E$121)+($C$22*Quesería!$J$104+(1-$C$22)*Quesería!$E$104)*(H91-1))*IF(H$43=1,Quesería!$B$20,1))*$C$10</f>
        <v>156.828263067359</v>
      </c>
      <c r="I96" s="29" t="n">
        <f aca="false">IF(I$43=0,($C$22*Quesería!$J$125+(1-$C$22)*Quesería!$E$121)*Quesería!$B$20*Quesería!$B$21/12*$C$23,(($C$22*Quesería!$J$125+(1-$C$22)*Quesería!$E$121)+($C$22*Quesería!$J$104+(1-$C$22)*Quesería!$E$104)*(I91-1))*IF(I$43=1,Quesería!$B$20,1))*$C$10</f>
        <v>156.874774405338</v>
      </c>
      <c r="J96" s="29" t="n">
        <f aca="false">IF(J$43=0,($C$22*Quesería!$J$125+(1-$C$22)*Quesería!$E$121)*Quesería!$B$20*Quesería!$B$21/12*$C$23,(($C$22*Quesería!$J$125+(1-$C$22)*Quesería!$E$121)+($C$22*Quesería!$J$104+(1-$C$22)*Quesería!$E$104)*(J91-1))*IF(J$43=1,Quesería!$B$20,1))*$C$10</f>
        <v>156.921518300008</v>
      </c>
      <c r="K96" s="29" t="n">
        <f aca="false">IF(K$43=0,($C$22*Quesería!$J$125+(1-$C$22)*Quesería!$E$121)*Quesería!$B$20*Quesería!$B$21/12*$C$23,(($C$22*Quesería!$J$125+(1-$C$22)*Quesería!$E$121)+($C$22*Quesería!$J$104+(1-$C$22)*Quesería!$E$104)*(K91-1))*IF(K$43=1,Quesería!$B$20,1))*$C$10</f>
        <v>156.96849591415</v>
      </c>
      <c r="L96" s="29" t="n">
        <f aca="false">IF(L$43=0,($C$22*Quesería!$J$125+(1-$C$22)*Quesería!$E$121)*Quesería!$B$20*Quesería!$B$21/12*$C$23,(($C$22*Quesería!$J$125+(1-$C$22)*Quesería!$E$121)+($C$22*Quesería!$J$104+(1-$C$22)*Quesería!$E$104)*(L91-1))*IF(L$43=1,Quesería!$B$20,1))*$C$10</f>
        <v>157.015708416364</v>
      </c>
    </row>
    <row r="97" customFormat="false" ht="15" hidden="true" customHeight="false" outlineLevel="1" collapsed="false">
      <c r="A97" s="6" t="s">
        <v>386</v>
      </c>
      <c r="B97" s="29" t="n">
        <f aca="false">IF(B$43&lt;=1,0,((($C$22*Quesería!$J$126+(1-$C$22)*Quesería!$E$122)-($C$22*Quesería!$J$113+(1-$C$22)*Quesería!$E$113)+$C$6*($C$22*Quesería!$J$113+(1-$C$22)*Quesería!$E$113)-(1-$C$9)*(($C$22*Quesería!$J$118+(1-$C$22)*Quesería!$E$118)+($C$22*Quesería!$J$117+(1-$C$22)*Quesería!$E$117)))+($C$6*($C$22*Quesería!$J$113+(1-$C$22)*Quesería!$E$113)+$C$9*($C$22*Quesería!$J$118+(1-$C$22)*Quesería!$E$118))*(B91-1))*IF(B$43=2,Quesería!$B$20,1)+IF(B$43=2,Quesería!$B$24*$C$9*($C$22*Quesería!$J$118+(1-$C$22)*Quesería!$E$118)*B91,0))*$C$10*$C$21</f>
        <v>0</v>
      </c>
      <c r="C97" s="29" t="n">
        <f aca="false">IF(C$43&lt;=1,0,((($C$22*Quesería!$J$126+(1-$C$22)*Quesería!$E$122)-($C$22*Quesería!$J$113+(1-$C$22)*Quesería!$E$113)+$C$6*($C$22*Quesería!$J$113+(1-$C$22)*Quesería!$E$113)-(1-$C$9)*(($C$22*Quesería!$J$118+(1-$C$22)*Quesería!$E$118)+($C$22*Quesería!$J$117+(1-$C$22)*Quesería!$E$117)))+($C$6*($C$22*Quesería!$J$113+(1-$C$22)*Quesería!$E$113)+$C$9*($C$22*Quesería!$J$118+(1-$C$22)*Quesería!$E$118))*(C91-1))*IF(C$43=2,Quesería!$B$20,1)+IF(C$43=2,Quesería!$B$24*$C$9*($C$22*Quesería!$J$118+(1-$C$22)*Quesería!$E$118)*C91,0))*$C$10*$C$21</f>
        <v>0</v>
      </c>
      <c r="D97" s="29" t="n">
        <f aca="false">IF(D$43&lt;=1,0,((($C$22*Quesería!$J$126+(1-$C$22)*Quesería!$E$122)-($C$22*Quesería!$J$113+(1-$C$22)*Quesería!$E$113)+$C$6*($C$22*Quesería!$J$113+(1-$C$22)*Quesería!$E$113)-(1-$C$9)*(($C$22*Quesería!$J$118+(1-$C$22)*Quesería!$E$118)+($C$22*Quesería!$J$117+(1-$C$22)*Quesería!$E$117)))+($C$6*($C$22*Quesería!$J$113+(1-$C$22)*Quesería!$E$113)+$C$9*($C$22*Quesería!$J$118+(1-$C$22)*Quesería!$E$118))*(D91-1))*IF(D$43=2,Quesería!$B$20,1)+IF(D$43=2,Quesería!$B$24*$C$9*($C$22*Quesería!$J$118+(1-$C$22)*Quesería!$E$118)*D91,0))*$C$10*$C$21</f>
        <v>169.156424897841</v>
      </c>
      <c r="E97" s="29" t="n">
        <f aca="false">IF(E$43&lt;=1,0,((($C$22*Quesería!$J$126+(1-$C$22)*Quesería!$E$122)-($C$22*Quesería!$J$113+(1-$C$22)*Quesería!$E$113)+$C$6*($C$22*Quesería!$J$113+(1-$C$22)*Quesería!$E$113)-(1-$C$9)*(($C$22*Quesería!$J$118+(1-$C$22)*Quesería!$E$118)+($C$22*Quesería!$J$117+(1-$C$22)*Quesería!$E$117)))+($C$6*($C$22*Quesería!$J$113+(1-$C$22)*Quesería!$E$113)+$C$9*($C$22*Quesería!$J$118+(1-$C$22)*Quesería!$E$118))*(E91-1))*IF(E$43=2,Quesería!$B$20,1)+IF(E$43=2,Quesería!$B$24*$C$9*($C$22*Quesería!$J$118+(1-$C$22)*Quesería!$E$118)*E91,0))*$C$10*$C$21</f>
        <v>214.561521225192</v>
      </c>
      <c r="F97" s="29" t="n">
        <f aca="false">IF(F$43&lt;=1,0,((($C$22*Quesería!$J$126+(1-$C$22)*Quesería!$E$122)-($C$22*Quesería!$J$113+(1-$C$22)*Quesería!$E$113)+$C$6*($C$22*Quesería!$J$113+(1-$C$22)*Quesería!$E$113)-(1-$C$9)*(($C$22*Quesería!$J$118+(1-$C$22)*Quesería!$E$118)+($C$22*Quesería!$J$117+(1-$C$22)*Quesería!$E$117)))+($C$6*($C$22*Quesería!$J$113+(1-$C$22)*Quesería!$E$113)+$C$9*($C$22*Quesería!$J$118+(1-$C$22)*Quesería!$E$118))*(F91-1))*IF(F$43=2,Quesería!$B$20,1)+IF(F$43=2,Quesería!$B$24*$C$9*($C$22*Quesería!$J$118+(1-$C$22)*Quesería!$E$118)*F91,0))*$C$10*$C$21</f>
        <v>214.747608914864</v>
      </c>
      <c r="G97" s="29" t="n">
        <f aca="false">IF(G$43&lt;=1,0,((($C$22*Quesería!$J$126+(1-$C$22)*Quesería!$E$122)-($C$22*Quesería!$J$113+(1-$C$22)*Quesería!$E$113)+$C$6*($C$22*Quesería!$J$113+(1-$C$22)*Quesería!$E$113)-(1-$C$9)*(($C$22*Quesería!$J$118+(1-$C$22)*Quesería!$E$118)+($C$22*Quesería!$J$117+(1-$C$22)*Quesería!$E$117)))+($C$6*($C$22*Quesería!$J$113+(1-$C$22)*Quesería!$E$113)+$C$9*($C$22*Quesería!$J$118+(1-$C$22)*Quesería!$E$118))*(G91-1))*IF(G$43=2,Quesería!$B$20,1)+IF(G$43=2,Quesería!$B$24*$C$9*($C$22*Quesería!$J$118+(1-$C$22)*Quesería!$E$118)*G91,0))*$C$10*$C$21</f>
        <v>214.934627042985</v>
      </c>
      <c r="H97" s="29" t="n">
        <f aca="false">IF(H$43&lt;=1,0,((($C$22*Quesería!$J$126+(1-$C$22)*Quesería!$E$122)-($C$22*Quesería!$J$113+(1-$C$22)*Quesería!$E$113)+$C$6*($C$22*Quesería!$J$113+(1-$C$22)*Quesería!$E$113)-(1-$C$9)*(($C$22*Quesería!$J$118+(1-$C$22)*Quesería!$E$118)+($C$22*Quesería!$J$117+(1-$C$22)*Quesería!$E$117)))+($C$6*($C$22*Quesería!$J$113+(1-$C$22)*Quesería!$E$113)+$C$9*($C$22*Quesería!$J$118+(1-$C$22)*Quesería!$E$118))*(H91-1))*IF(H$43=2,Quesería!$B$20,1)+IF(H$43=2,Quesería!$B$24*$C$9*($C$22*Quesería!$J$118+(1-$C$22)*Quesería!$E$118)*H91,0))*$C$10*$C$21</f>
        <v>215.122580261747</v>
      </c>
      <c r="I97" s="29" t="n">
        <f aca="false">IF(I$43&lt;=1,0,((($C$22*Quesería!$J$126+(1-$C$22)*Quesería!$E$122)-($C$22*Quesería!$J$113+(1-$C$22)*Quesería!$E$113)+$C$6*($C$22*Quesería!$J$113+(1-$C$22)*Quesería!$E$113)-(1-$C$9)*(($C$22*Quesería!$J$118+(1-$C$22)*Quesería!$E$118)+($C$22*Quesería!$J$117+(1-$C$22)*Quesería!$E$117)))+($C$6*($C$22*Quesería!$J$113+(1-$C$22)*Quesería!$E$113)+$C$9*($C$22*Quesería!$J$118+(1-$C$22)*Quesería!$E$118))*(I91-1))*IF(I$43=2,Quesería!$B$20,1)+IF(I$43=2,Quesería!$B$24*$C$9*($C$22*Quesería!$J$118+(1-$C$22)*Quesería!$E$118)*I91,0))*$C$10*$C$21</f>
        <v>215.311473246602</v>
      </c>
      <c r="J97" s="29" t="n">
        <f aca="false">IF(J$43&lt;=1,0,((($C$22*Quesería!$J$126+(1-$C$22)*Quesería!$E$122)-($C$22*Quesería!$J$113+(1-$C$22)*Quesería!$E$113)+$C$6*($C$22*Quesería!$J$113+(1-$C$22)*Quesería!$E$113)-(1-$C$9)*(($C$22*Quesería!$J$118+(1-$C$22)*Quesería!$E$118)+($C$22*Quesería!$J$117+(1-$C$22)*Quesería!$E$117)))+($C$6*($C$22*Quesería!$J$113+(1-$C$22)*Quesería!$E$113)+$C$9*($C$22*Quesería!$J$118+(1-$C$22)*Quesería!$E$118))*(J91-1))*IF(J$43=2,Quesería!$B$20,1)+IF(J$43=2,Quesería!$B$24*$C$9*($C$22*Quesería!$J$118+(1-$C$22)*Quesería!$E$118)*J91,0))*$C$10*$C$21</f>
        <v>215.501310696382</v>
      </c>
      <c r="K97" s="29" t="n">
        <f aca="false">IF(K$43&lt;=1,0,((($C$22*Quesería!$J$126+(1-$C$22)*Quesería!$E$122)-($C$22*Quesería!$J$113+(1-$C$22)*Quesería!$E$113)+$C$6*($C$22*Quesería!$J$113+(1-$C$22)*Quesería!$E$113)-(1-$C$9)*(($C$22*Quesería!$J$118+(1-$C$22)*Quesería!$E$118)+($C$22*Quesería!$J$117+(1-$C$22)*Quesería!$E$117)))+($C$6*($C$22*Quesería!$J$113+(1-$C$22)*Quesería!$E$113)+$C$9*($C$22*Quesería!$J$118+(1-$C$22)*Quesería!$E$118))*(K91-1))*IF(K$43=2,Quesería!$B$20,1)+IF(K$43=2,Quesería!$B$24*$C$9*($C$22*Quesería!$J$118+(1-$C$22)*Quesería!$E$118)*K91,0))*$C$10*$C$21</f>
        <v>215.69209733341</v>
      </c>
      <c r="L97" s="29" t="n">
        <f aca="false">IF(L$43&lt;=1,0,((($C$22*Quesería!$J$126+(1-$C$22)*Quesería!$E$122)-($C$22*Quesería!$J$113+(1-$C$22)*Quesería!$E$113)+$C$6*($C$22*Quesería!$J$113+(1-$C$22)*Quesería!$E$113)-(1-$C$9)*(($C$22*Quesería!$J$118+(1-$C$22)*Quesería!$E$118)+($C$22*Quesería!$J$117+(1-$C$22)*Quesería!$E$117)))+($C$6*($C$22*Quesería!$J$113+(1-$C$22)*Quesería!$E$113)+$C$9*($C$22*Quesería!$J$118+(1-$C$22)*Quesería!$E$118))*(L91-1))*IF(L$43=2,Quesería!$B$20,1)+IF(L$43=2,Quesería!$B$24*$C$9*($C$22*Quesería!$J$118+(1-$C$22)*Quesería!$E$118)*L91,0))*$C$10*$C$21</f>
        <v>215.883837903624</v>
      </c>
    </row>
    <row r="98" customFormat="false" ht="15" hidden="true" customHeight="false" outlineLevel="1" collapsed="false">
      <c r="A98" s="5" t="s">
        <v>411</v>
      </c>
      <c r="B98" s="10" t="n">
        <f aca="false">B96+B97</f>
        <v>78.1729977357335</v>
      </c>
      <c r="C98" s="10" t="n">
        <f aca="false">C96+C97</f>
        <v>117.449365825298</v>
      </c>
      <c r="D98" s="10" t="n">
        <f aca="false">D96+D97</f>
        <v>325.800945126384</v>
      </c>
      <c r="E98" s="10" t="n">
        <f aca="false">E96+E97</f>
        <v>371.251634077519</v>
      </c>
      <c r="F98" s="10" t="n">
        <f aca="false">F96+F97</f>
        <v>371.483542354096</v>
      </c>
      <c r="G98" s="10" t="n">
        <f aca="false">G96+G97</f>
        <v>371.716610172056</v>
      </c>
      <c r="H98" s="10" t="n">
        <f aca="false">H96+H97</f>
        <v>371.950843329106</v>
      </c>
      <c r="I98" s="10" t="n">
        <f aca="false">I96+I97</f>
        <v>372.18624765194</v>
      </c>
      <c r="J98" s="10" t="n">
        <f aca="false">J96+J97</f>
        <v>372.422828996389</v>
      </c>
      <c r="K98" s="10" t="n">
        <f aca="false">K96+K97</f>
        <v>372.660593247561</v>
      </c>
      <c r="L98" s="10" t="n">
        <f aca="false">L96+L97</f>
        <v>372.899546319988</v>
      </c>
    </row>
    <row r="99" customFormat="false" ht="15" hidden="true" customHeight="false" outlineLevel="1" collapsed="false">
      <c r="A99" s="6" t="s">
        <v>412</v>
      </c>
      <c r="B99" s="29" t="n">
        <f aca="false">(IF(B$43&gt;=1,(Quesería!$B$31+Quesería!$B$33)*Quesería!$F$94*$C$11+Quesería!$B$32+'Beneficios y costos'!$B$211,0)+IF(B$43&gt;=2,((Quesería!$B$31+Quesería!$B$33)*Quesería!$F$95*$C$11+'Beneficios y costos'!$C$211)*$C$21,0))*$C$12</f>
        <v>0</v>
      </c>
      <c r="C99" s="29" t="n">
        <f aca="false">(IF(C$43&gt;=1,(Quesería!$B$31+Quesería!$B$33)*Quesería!$F$94*$C$11+Quesería!$B$32+'Beneficios y costos'!$B$211,0)+IF(C$43&gt;=2,((Quesería!$B$31+Quesería!$B$33)*Quesería!$F$95*$C$11+'Beneficios y costos'!$C$211)*$C$21,0))*$C$12</f>
        <v>42.0946487260605</v>
      </c>
      <c r="D99" s="29" t="n">
        <f aca="false">(IF(D$43&gt;=1,(Quesería!$B$31+Quesería!$B$33)*Quesería!$F$94*$C$11+Quesería!$B$32+'Beneficios y costos'!$B$211,0)+IF(D$43&gt;=2,((Quesería!$B$31+Quesería!$B$33)*Quesería!$F$95*$C$11+'Beneficios y costos'!$C$211)*$C$21,0))*$C$12</f>
        <v>95.9432442337815</v>
      </c>
      <c r="E99" s="29" t="n">
        <f aca="false">(IF(E$43&gt;=1,(Quesería!$B$31+Quesería!$B$33)*Quesería!$F$94*$C$11+Quesería!$B$32+'Beneficios y costos'!$B$211,0)+IF(E$43&gt;=2,((Quesería!$B$31+Quesería!$B$33)*Quesería!$F$95*$C$11+'Beneficios y costos'!$C$211)*$C$21,0))*$C$12</f>
        <v>95.9432442337815</v>
      </c>
      <c r="F99" s="29" t="n">
        <f aca="false">(IF(F$43&gt;=1,(Quesería!$B$31+Quesería!$B$33)*Quesería!$F$94*$C$11+Quesería!$B$32+'Beneficios y costos'!$B$211,0)+IF(F$43&gt;=2,((Quesería!$B$31+Quesería!$B$33)*Quesería!$F$95*$C$11+'Beneficios y costos'!$C$211)*$C$21,0))*$C$12</f>
        <v>95.9432442337815</v>
      </c>
      <c r="G99" s="29" t="n">
        <f aca="false">(IF(G$43&gt;=1,(Quesería!$B$31+Quesería!$B$33)*Quesería!$F$94*$C$11+Quesería!$B$32+'Beneficios y costos'!$B$211,0)+IF(G$43&gt;=2,((Quesería!$B$31+Quesería!$B$33)*Quesería!$F$95*$C$11+'Beneficios y costos'!$C$211)*$C$21,0))*$C$12</f>
        <v>95.9432442337815</v>
      </c>
      <c r="H99" s="29" t="n">
        <f aca="false">(IF(H$43&gt;=1,(Quesería!$B$31+Quesería!$B$33)*Quesería!$F$94*$C$11+Quesería!$B$32+'Beneficios y costos'!$B$211,0)+IF(H$43&gt;=2,((Quesería!$B$31+Quesería!$B$33)*Quesería!$F$95*$C$11+'Beneficios y costos'!$C$211)*$C$21,0))*$C$12</f>
        <v>95.9432442337815</v>
      </c>
      <c r="I99" s="29" t="n">
        <f aca="false">(IF(I$43&gt;=1,(Quesería!$B$31+Quesería!$B$33)*Quesería!$F$94*$C$11+Quesería!$B$32+'Beneficios y costos'!$B$211,0)+IF(I$43&gt;=2,((Quesería!$B$31+Quesería!$B$33)*Quesería!$F$95*$C$11+'Beneficios y costos'!$C$211)*$C$21,0))*$C$12</f>
        <v>95.9432442337815</v>
      </c>
      <c r="J99" s="29" t="n">
        <f aca="false">(IF(J$43&gt;=1,(Quesería!$B$31+Quesería!$B$33)*Quesería!$F$94*$C$11+Quesería!$B$32+'Beneficios y costos'!$B$211,0)+IF(J$43&gt;=2,((Quesería!$B$31+Quesería!$B$33)*Quesería!$F$95*$C$11+'Beneficios y costos'!$C$211)*$C$21,0))*$C$12</f>
        <v>95.9432442337815</v>
      </c>
      <c r="K99" s="29" t="n">
        <f aca="false">(IF(K$43&gt;=1,(Quesería!$B$31+Quesería!$B$33)*Quesería!$F$94*$C$11+Quesería!$B$32+'Beneficios y costos'!$B$211,0)+IF(K$43&gt;=2,((Quesería!$B$31+Quesería!$B$33)*Quesería!$F$95*$C$11+'Beneficios y costos'!$C$211)*$C$21,0))*$C$12</f>
        <v>95.9432442337815</v>
      </c>
      <c r="L99" s="29" t="n">
        <f aca="false">(IF(L$43&gt;=1,(Quesería!$B$31+Quesería!$B$33)*Quesería!$F$94*$C$11+Quesería!$B$32+'Beneficios y costos'!$B$211,0)+IF(L$43&gt;=2,((Quesería!$B$31+Quesería!$B$33)*Quesería!$F$95*$C$11+'Beneficios y costos'!$C$211)*$C$21,0))*$C$12</f>
        <v>95.9432442337815</v>
      </c>
    </row>
    <row r="100" customFormat="false" ht="15" hidden="true" customHeight="false" outlineLevel="1" collapsed="false">
      <c r="A100" s="6" t="s">
        <v>413</v>
      </c>
      <c r="B100" s="29" t="n">
        <f aca="false">IF(B$43=1,2*Quesería!$B$22*Quesería!$B$23/12*B91,0)*$C$21</f>
        <v>0</v>
      </c>
      <c r="C100" s="29" t="n">
        <f aca="false">IF(C$43=1,2*Quesería!$B$22*Quesería!$B$23/12*C91,0)*$C$21</f>
        <v>18.5166509433962</v>
      </c>
      <c r="D100" s="29" t="n">
        <f aca="false">IF(D$43=1,2*Quesería!$B$22*Quesería!$B$23/12*D91,0)*$C$21</f>
        <v>0</v>
      </c>
      <c r="E100" s="29" t="n">
        <f aca="false">IF(E$43=1,2*Quesería!$B$22*Quesería!$B$23/12*E91,0)*$C$21</f>
        <v>0</v>
      </c>
      <c r="F100" s="29" t="n">
        <f aca="false">IF(F$43=1,2*Quesería!$B$22*Quesería!$B$23/12*F91,0)*$C$21</f>
        <v>0</v>
      </c>
      <c r="G100" s="29" t="n">
        <f aca="false">IF(G$43=1,2*Quesería!$B$22*Quesería!$B$23/12*G91,0)*$C$21</f>
        <v>0</v>
      </c>
      <c r="H100" s="29" t="n">
        <f aca="false">IF(H$43=1,2*Quesería!$B$22*Quesería!$B$23/12*H91,0)*$C$21</f>
        <v>0</v>
      </c>
      <c r="I100" s="29" t="n">
        <f aca="false">IF(I$43=1,2*Quesería!$B$22*Quesería!$B$23/12*I91,0)*$C$21</f>
        <v>0</v>
      </c>
      <c r="J100" s="29" t="n">
        <f aca="false">IF(J$43=1,2*Quesería!$B$22*Quesería!$B$23/12*J91,0)*$C$21</f>
        <v>0</v>
      </c>
      <c r="K100" s="29" t="n">
        <f aca="false">IF(K$43=1,2*Quesería!$B$22*Quesería!$B$23/12*K91,0)*$C$21</f>
        <v>0</v>
      </c>
      <c r="L100" s="29" t="n">
        <f aca="false">IF(L$43=1,2*Quesería!$B$22*Quesería!$B$23/12*L91,0)*$C$21</f>
        <v>0</v>
      </c>
    </row>
    <row r="101" customFormat="false" ht="15" hidden="true" customHeight="false" outlineLevel="1" collapsed="false">
      <c r="A101" s="6" t="s">
        <v>414</v>
      </c>
      <c r="B101" s="29" t="n">
        <f aca="false">Quesería!$B$52*(B93+B94+B95+B99+B100)</f>
        <v>4.31966364396742</v>
      </c>
      <c r="C101" s="29" t="n">
        <f aca="false">Quesería!$B$52*(C93+C94+C95+C99+C100)</f>
        <v>3.85275795604844</v>
      </c>
      <c r="D101" s="29" t="n">
        <f aca="false">Quesería!$B$52*(D93+D94+D95+D99+D100)</f>
        <v>0.383772976935126</v>
      </c>
      <c r="E101" s="29" t="n">
        <f aca="false">Quesería!$B$52*(E93+E94+E95+E99+E100)</f>
        <v>0.383772976935126</v>
      </c>
      <c r="F101" s="29" t="n">
        <f aca="false">Quesería!$B$52*(F93+F94+F95+F99+F100)</f>
        <v>0.383772976935126</v>
      </c>
      <c r="G101" s="29" t="n">
        <f aca="false">Quesería!$B$52*(G93+G94+G95+G99+G100)</f>
        <v>0.514507411134964</v>
      </c>
      <c r="H101" s="29" t="n">
        <f aca="false">Quesería!$B$52*(H93+H94+H95+H99+H100)</f>
        <v>0.604585358119273</v>
      </c>
      <c r="I101" s="29" t="n">
        <f aca="false">Quesería!$B$52*(I93+I94+I95+I99+I100)</f>
        <v>0.383772976935126</v>
      </c>
      <c r="J101" s="29" t="n">
        <f aca="false">Quesería!$B$52*(J93+J94+J95+J99+J100)</f>
        <v>0.383772976935126</v>
      </c>
      <c r="K101" s="29" t="n">
        <f aca="false">Quesería!$B$52*(K93+K94+K95+K99+K100)</f>
        <v>0.383772976935126</v>
      </c>
      <c r="L101" s="29" t="n">
        <f aca="false">Quesería!$B$52*(L93+L94+L95+L99+L100)</f>
        <v>0.383772976935126</v>
      </c>
    </row>
    <row r="102" customFormat="false" ht="15" hidden="true" customHeight="false" outlineLevel="1" collapsed="false">
      <c r="A102" s="6" t="s">
        <v>415</v>
      </c>
      <c r="B102" s="29" t="n">
        <f aca="false">(IF($C$19=1,(SUMPRODUCT((Quesería!$C$70:$C$89=0)*(Quesería!$J$70:$J$89&gt;0)*(B$43&gt;=1)*(B$43&lt;=Quesería!$J$70:$J$89)*(Quesería!$H$70:$H$89&gt;0)*Quesería!$F$70:$F$89*(1+Quesería!$I$70:$I$89)/(Quesería!$J$70:$J$89+(Quesería!$J$70:$J$89=0)))+SUMPRODUCT((Quesería!$C$70:$C$89=0)*(Quesería!$J$70:$J$89=0)*(B$43=0)*(Quesería!$H$70:$H$89&gt;0)*Quesería!$F$70:$F$89*(1+Quesería!$I$70:$I$89)))*$B$90+(SUMPRODUCT((Quesería!$C$70:$C$89=1)*(Quesería!$J$70:$J$89&gt;0)*(B$43&gt;=2)*(B$43&lt;=Quesería!$J$70:$J$89+1)*(Quesería!$H$70:$H$89&gt;0)*Quesería!$F$70:$F$89*(1+Quesería!$I$70:$I$89)/(Quesería!$J$70:$J$89+(Quesería!$J$70:$J$89=0)))+SUMPRODUCT((Quesería!$C$70:$C$89=1)*(Quesería!$J$70:$J$89=0)*(B$43=1)*(Quesería!$H$70:$H$89&gt;0)*Quesería!$F$70:$F$89*(1+Quesería!$I$70:$I$89)))*$C$90*$C$21,IF(AND(B$43&gt;=1,B$43&lt;=Quesería!$B$30),Quesería!$F$92/Quesería!$B$30,0)*$B$90+IF(AND(B$43&gt;=2,B$43&lt;=Quesería!$B$30+1),Quesería!$F$93/Quesería!$B$30,0)*$C$90*$C$21)*$C$11+IF(AND(B$43&gt;=6,B$43&lt;=10),$G94*$G90/5,0)+IF(AND(B$43&gt;=7,B$43&lt;=11),$H94*$H90/5,0))*B92</f>
        <v>145.980915430742</v>
      </c>
      <c r="C102" s="29" t="n">
        <f aca="false">(IF($C$19=1,(SUMPRODUCT((Quesería!$C$70:$C$89=0)*(Quesería!$J$70:$J$89&gt;0)*(C$43&gt;=1)*(C$43&lt;=Quesería!$J$70:$J$89)*(Quesería!$H$70:$H$89&gt;0)*Quesería!$F$70:$F$89*(1+Quesería!$I$70:$I$89)/(Quesería!$J$70:$J$89+(Quesería!$J$70:$J$89=0)))+SUMPRODUCT((Quesería!$C$70:$C$89=0)*(Quesería!$J$70:$J$89=0)*(C$43=0)*(Quesería!$H$70:$H$89&gt;0)*Quesería!$F$70:$F$89*(1+Quesería!$I$70:$I$89)))*$B$90+(SUMPRODUCT((Quesería!$C$70:$C$89=1)*(Quesería!$J$70:$J$89&gt;0)*(C$43&gt;=2)*(C$43&lt;=Quesería!$J$70:$J$89+1)*(Quesería!$H$70:$H$89&gt;0)*Quesería!$F$70:$F$89*(1+Quesería!$I$70:$I$89)/(Quesería!$J$70:$J$89+(Quesería!$J$70:$J$89=0)))+SUMPRODUCT((Quesería!$C$70:$C$89=1)*(Quesería!$J$70:$J$89=0)*(C$43=1)*(Quesería!$H$70:$H$89&gt;0)*Quesería!$F$70:$F$89*(1+Quesería!$I$70:$I$89)))*$C$90*$C$21,IF(AND(C$43&gt;=1,C$43&lt;=Quesería!$B$30),Quesería!$F$92/Quesería!$B$30,0)*$B$90+IF(AND(C$43&gt;=2,C$43&lt;=Quesería!$B$30+1),Quesería!$F$93/Quesería!$B$30,0)*$C$90*$C$21)*$C$11+IF(AND(C$43&gt;=6,C$43&lt;=10),$G94*$G90/5,0)+IF(AND(C$43&gt;=7,C$43&lt;=11),$H94*$H90/5,0))*C92</f>
        <v>82.2633269524265</v>
      </c>
      <c r="D102" s="29" t="n">
        <f aca="false">(IF($C$19=1,(SUMPRODUCT((Quesería!$C$70:$C$89=0)*(Quesería!$J$70:$J$89&gt;0)*(D$43&gt;=1)*(D$43&lt;=Quesería!$J$70:$J$89)*(Quesería!$H$70:$H$89&gt;0)*Quesería!$F$70:$F$89*(1+Quesería!$I$70:$I$89)/(Quesería!$J$70:$J$89+(Quesería!$J$70:$J$89=0)))+SUMPRODUCT((Quesería!$C$70:$C$89=0)*(Quesería!$J$70:$J$89=0)*(D$43=0)*(Quesería!$H$70:$H$89&gt;0)*Quesería!$F$70:$F$89*(1+Quesería!$I$70:$I$89)))*$B$90+(SUMPRODUCT((Quesería!$C$70:$C$89=1)*(Quesería!$J$70:$J$89&gt;0)*(D$43&gt;=2)*(D$43&lt;=Quesería!$J$70:$J$89+1)*(Quesería!$H$70:$H$89&gt;0)*Quesería!$F$70:$F$89*(1+Quesería!$I$70:$I$89)/(Quesería!$J$70:$J$89+(Quesería!$J$70:$J$89=0)))+SUMPRODUCT((Quesería!$C$70:$C$89=1)*(Quesería!$J$70:$J$89=0)*(D$43=1)*(Quesería!$H$70:$H$89&gt;0)*Quesería!$F$70:$F$89*(1+Quesería!$I$70:$I$89)))*$C$90*$C$21,IF(AND(D$43&gt;=1,D$43&lt;=Quesería!$B$30),Quesería!$F$92/Quesería!$B$30,0)*$B$90+IF(AND(D$43&gt;=2,D$43&lt;=Quesería!$B$30+1),Quesería!$F$93/Quesería!$B$30,0)*$C$90*$C$21)*$C$11+IF(AND(D$43&gt;=6,D$43&lt;=10),$G94*$G90/5,0)+IF(AND(D$43&gt;=7,D$43&lt;=11),$H94*$H90/5,0))*D92</f>
        <v>151.301658966389</v>
      </c>
      <c r="E102" s="29" t="n">
        <f aca="false">(IF($C$19=1,(SUMPRODUCT((Quesería!$C$70:$C$89=0)*(Quesería!$J$70:$J$89&gt;0)*(E$43&gt;=1)*(E$43&lt;=Quesería!$J$70:$J$89)*(Quesería!$H$70:$H$89&gt;0)*Quesería!$F$70:$F$89*(1+Quesería!$I$70:$I$89)/(Quesería!$J$70:$J$89+(Quesería!$J$70:$J$89=0)))+SUMPRODUCT((Quesería!$C$70:$C$89=0)*(Quesería!$J$70:$J$89=0)*(E$43=0)*(Quesería!$H$70:$H$89&gt;0)*Quesería!$F$70:$F$89*(1+Quesería!$I$70:$I$89)))*$B$90+(SUMPRODUCT((Quesería!$C$70:$C$89=1)*(Quesería!$J$70:$J$89&gt;0)*(E$43&gt;=2)*(E$43&lt;=Quesería!$J$70:$J$89+1)*(Quesería!$H$70:$H$89&gt;0)*Quesería!$F$70:$F$89*(1+Quesería!$I$70:$I$89)/(Quesería!$J$70:$J$89+(Quesería!$J$70:$J$89=0)))+SUMPRODUCT((Quesería!$C$70:$C$89=1)*(Quesería!$J$70:$J$89=0)*(E$43=1)*(Quesería!$H$70:$H$89&gt;0)*Quesería!$F$70:$F$89*(1+Quesería!$I$70:$I$89)))*$C$90*$C$21,IF(AND(E$43&gt;=1,E$43&lt;=Quesería!$B$30),Quesería!$F$92/Quesería!$B$30,0)*$B$90+IF(AND(E$43&gt;=2,E$43&lt;=Quesería!$B$30+1),Quesería!$F$93/Quesería!$B$30,0)*$C$90*$C$21)*$C$11+IF(AND(E$43&gt;=6,E$43&lt;=10),$G94*$G90/5,0)+IF(AND(E$43&gt;=7,E$43&lt;=11),$H94*$H90/5,0))*E92</f>
        <v>145.482364390759</v>
      </c>
      <c r="F102" s="29" t="n">
        <f aca="false">(IF($C$19=1,(SUMPRODUCT((Quesería!$C$70:$C$89=0)*(Quesería!$J$70:$J$89&gt;0)*(F$43&gt;=1)*(F$43&lt;=Quesería!$J$70:$J$89)*(Quesería!$H$70:$H$89&gt;0)*Quesería!$F$70:$F$89*(1+Quesería!$I$70:$I$89)/(Quesería!$J$70:$J$89+(Quesería!$J$70:$J$89=0)))+SUMPRODUCT((Quesería!$C$70:$C$89=0)*(Quesería!$J$70:$J$89=0)*(F$43=0)*(Quesería!$H$70:$H$89&gt;0)*Quesería!$F$70:$F$89*(1+Quesería!$I$70:$I$89)))*$B$90+(SUMPRODUCT((Quesería!$C$70:$C$89=1)*(Quesería!$J$70:$J$89&gt;0)*(F$43&gt;=2)*(F$43&lt;=Quesería!$J$70:$J$89+1)*(Quesería!$H$70:$H$89&gt;0)*Quesería!$F$70:$F$89*(1+Quesería!$I$70:$I$89)/(Quesería!$J$70:$J$89+(Quesería!$J$70:$J$89=0)))+SUMPRODUCT((Quesería!$C$70:$C$89=1)*(Quesería!$J$70:$J$89=0)*(F$43=1)*(Quesería!$H$70:$H$89&gt;0)*Quesería!$F$70:$F$89*(1+Quesería!$I$70:$I$89)))*$C$90*$C$21,IF(AND(F$43&gt;=1,F$43&lt;=Quesería!$B$30),Quesería!$F$92/Quesería!$B$30,0)*$B$90+IF(AND(F$43&gt;=2,F$43&lt;=Quesería!$B$30+1),Quesería!$F$93/Quesería!$B$30,0)*$C$90*$C$21)*$C$11+IF(AND(F$43&gt;=6,F$43&lt;=10),$G94*$G90/5,0)+IF(AND(F$43&gt;=7,F$43&lt;=11),$H94*$H90/5,0))*F92</f>
        <v>139.886888837268</v>
      </c>
      <c r="G102" s="29" t="n">
        <f aca="false">(IF($C$19=1,(SUMPRODUCT((Quesería!$C$70:$C$89=0)*(Quesería!$J$70:$J$89&gt;0)*(G$43&gt;=1)*(G$43&lt;=Quesería!$J$70:$J$89)*(Quesería!$H$70:$H$89&gt;0)*Quesería!$F$70:$F$89*(1+Quesería!$I$70:$I$89)/(Quesería!$J$70:$J$89+(Quesería!$J$70:$J$89=0)))+SUMPRODUCT((Quesería!$C$70:$C$89=0)*(Quesería!$J$70:$J$89=0)*(G$43=0)*(Quesería!$H$70:$H$89&gt;0)*Quesería!$F$70:$F$89*(1+Quesería!$I$70:$I$89)))*$B$90+(SUMPRODUCT((Quesería!$C$70:$C$89=1)*(Quesería!$J$70:$J$89&gt;0)*(G$43&gt;=2)*(G$43&lt;=Quesería!$J$70:$J$89+1)*(Quesería!$H$70:$H$89&gt;0)*Quesería!$F$70:$F$89*(1+Quesería!$I$70:$I$89)/(Quesería!$J$70:$J$89+(Quesería!$J$70:$J$89=0)))+SUMPRODUCT((Quesería!$C$70:$C$89=1)*(Quesería!$J$70:$J$89=0)*(G$43=1)*(Quesería!$H$70:$H$89&gt;0)*Quesería!$F$70:$F$89*(1+Quesería!$I$70:$I$89)))*$C$90*$C$21,IF(AND(G$43&gt;=1,G$43&lt;=Quesería!$B$30),Quesería!$F$92/Quesería!$B$30,0)*$B$90+IF(AND(G$43&gt;=2,G$43&lt;=Quesería!$B$30+1),Quesería!$F$93/Quesería!$B$30,0)*$C$90*$C$21)*$C$11+IF(AND(G$43&gt;=6,G$43&lt;=10),$G94*$G90/5,0)+IF(AND(G$43&gt;=7,G$43&lt;=11),$H94*$H90/5,0))*G92</f>
        <v>134.506623881988</v>
      </c>
      <c r="H102" s="29" t="n">
        <f aca="false">(IF($C$19=1,(SUMPRODUCT((Quesería!$C$70:$C$89=0)*(Quesería!$J$70:$J$89&gt;0)*(H$43&gt;=1)*(H$43&lt;=Quesería!$J$70:$J$89)*(Quesería!$H$70:$H$89&gt;0)*Quesería!$F$70:$F$89*(1+Quesería!$I$70:$I$89)/(Quesería!$J$70:$J$89+(Quesería!$J$70:$J$89=0)))+SUMPRODUCT((Quesería!$C$70:$C$89=0)*(Quesería!$J$70:$J$89=0)*(H$43=0)*(Quesería!$H$70:$H$89&gt;0)*Quesería!$F$70:$F$89*(1+Quesería!$I$70:$I$89)))*$B$90+(SUMPRODUCT((Quesería!$C$70:$C$89=1)*(Quesería!$J$70:$J$89&gt;0)*(H$43&gt;=2)*(H$43&lt;=Quesería!$J$70:$J$89+1)*(Quesería!$H$70:$H$89&gt;0)*Quesería!$F$70:$F$89*(1+Quesería!$I$70:$I$89)/(Quesería!$J$70:$J$89+(Quesería!$J$70:$J$89=0)))+SUMPRODUCT((Quesería!$C$70:$C$89=1)*(Quesería!$J$70:$J$89=0)*(H$43=1)*(Quesería!$H$70:$H$89&gt;0)*Quesería!$F$70:$F$89*(1+Quesería!$I$70:$I$89)))*$C$90*$C$21,IF(AND(H$43&gt;=1,H$43&lt;=Quesería!$B$30),Quesería!$F$92/Quesería!$B$30,0)*$B$90+IF(AND(H$43&gt;=2,H$43&lt;=Quesería!$B$30+1),Quesería!$F$93/Quesería!$B$30,0)*$C$90*$C$21)*$C$11+IF(AND(H$43&gt;=6,H$43&lt;=10),$G94*$G90/5,0)+IF(AND(H$43&gt;=7,H$43&lt;=11),$H94*$H90/5,0))*H92</f>
        <v>122.314670590318</v>
      </c>
      <c r="I102" s="29" t="n">
        <f aca="false">(IF($C$19=1,(SUMPRODUCT((Quesería!$C$70:$C$89=0)*(Quesería!$J$70:$J$89&gt;0)*(I$43&gt;=1)*(I$43&lt;=Quesería!$J$70:$J$89)*(Quesería!$H$70:$H$89&gt;0)*Quesería!$F$70:$F$89*(1+Quesería!$I$70:$I$89)/(Quesería!$J$70:$J$89+(Quesería!$J$70:$J$89=0)))+SUMPRODUCT((Quesería!$C$70:$C$89=0)*(Quesería!$J$70:$J$89=0)*(I$43=0)*(Quesería!$H$70:$H$89&gt;0)*Quesería!$F$70:$F$89*(1+Quesería!$I$70:$I$89)))*$B$90+(SUMPRODUCT((Quesería!$C$70:$C$89=1)*(Quesería!$J$70:$J$89&gt;0)*(I$43&gt;=2)*(I$43&lt;=Quesería!$J$70:$J$89+1)*(Quesería!$H$70:$H$89&gt;0)*Quesería!$F$70:$F$89*(1+Quesería!$I$70:$I$89)/(Quesería!$J$70:$J$89+(Quesería!$J$70:$J$89=0)))+SUMPRODUCT((Quesería!$C$70:$C$89=1)*(Quesería!$J$70:$J$89=0)*(I$43=1)*(Quesería!$H$70:$H$89&gt;0)*Quesería!$F$70:$F$89*(1+Quesería!$I$70:$I$89)))*$C$90*$C$21,IF(AND(I$43&gt;=1,I$43&lt;=Quesería!$B$30),Quesería!$F$92/Quesería!$B$30,0)*$B$90+IF(AND(I$43&gt;=2,I$43&lt;=Quesería!$B$30+1),Quesería!$F$93/Quesería!$B$30,0)*$C$90*$C$21)*$C$11+IF(AND(I$43&gt;=6,I$43&lt;=10),$G94*$G90/5,0)+IF(AND(I$43&gt;=7,I$43&lt;=11),$H94*$H90/5,0))*I92</f>
        <v>126.531251665874</v>
      </c>
      <c r="J102" s="29" t="n">
        <f aca="false">(IF($C$19=1,(SUMPRODUCT((Quesería!$C$70:$C$89=0)*(Quesería!$J$70:$J$89&gt;0)*(J$43&gt;=1)*(J$43&lt;=Quesería!$J$70:$J$89)*(Quesería!$H$70:$H$89&gt;0)*Quesería!$F$70:$F$89*(1+Quesería!$I$70:$I$89)/(Quesería!$J$70:$J$89+(Quesería!$J$70:$J$89=0)))+SUMPRODUCT((Quesería!$C$70:$C$89=0)*(Quesería!$J$70:$J$89=0)*(J$43=0)*(Quesería!$H$70:$H$89&gt;0)*Quesería!$F$70:$F$89*(1+Quesería!$I$70:$I$89)))*$B$90+(SUMPRODUCT((Quesería!$C$70:$C$89=1)*(Quesería!$J$70:$J$89&gt;0)*(J$43&gt;=2)*(J$43&lt;=Quesería!$J$70:$J$89+1)*(Quesería!$H$70:$H$89&gt;0)*Quesería!$F$70:$F$89*(1+Quesería!$I$70:$I$89)/(Quesería!$J$70:$J$89+(Quesería!$J$70:$J$89=0)))+SUMPRODUCT((Quesería!$C$70:$C$89=1)*(Quesería!$J$70:$J$89=0)*(J$43=1)*(Quesería!$H$70:$H$89&gt;0)*Quesería!$F$70:$F$89*(1+Quesería!$I$70:$I$89)))*$C$90*$C$21,IF(AND(J$43&gt;=1,J$43&lt;=Quesería!$B$30),Quesería!$F$92/Quesería!$B$30,0)*$B$90+IF(AND(J$43&gt;=2,J$43&lt;=Quesería!$B$30+1),Quesería!$F$93/Quesería!$B$30,0)*$C$90*$C$21)*$C$11+IF(AND(J$43&gt;=6,J$43&lt;=10),$G94*$G90/5,0)+IF(AND(J$43&gt;=7,J$43&lt;=11),$H94*$H90/5,0))*J92</f>
        <v>121.66466506334</v>
      </c>
      <c r="K102" s="29" t="n">
        <f aca="false">(IF($C$19=1,(SUMPRODUCT((Quesería!$C$70:$C$89=0)*(Quesería!$J$70:$J$89&gt;0)*(K$43&gt;=1)*(K$43&lt;=Quesería!$J$70:$J$89)*(Quesería!$H$70:$H$89&gt;0)*Quesería!$F$70:$F$89*(1+Quesería!$I$70:$I$89)/(Quesería!$J$70:$J$89+(Quesería!$J$70:$J$89=0)))+SUMPRODUCT((Quesería!$C$70:$C$89=0)*(Quesería!$J$70:$J$89=0)*(K$43=0)*(Quesería!$H$70:$H$89&gt;0)*Quesería!$F$70:$F$89*(1+Quesería!$I$70:$I$89)))*$B$90+(SUMPRODUCT((Quesería!$C$70:$C$89=1)*(Quesería!$J$70:$J$89&gt;0)*(K$43&gt;=2)*(K$43&lt;=Quesería!$J$70:$J$89+1)*(Quesería!$H$70:$H$89&gt;0)*Quesería!$F$70:$F$89*(1+Quesería!$I$70:$I$89)/(Quesería!$J$70:$J$89+(Quesería!$J$70:$J$89=0)))+SUMPRODUCT((Quesería!$C$70:$C$89=1)*(Quesería!$J$70:$J$89=0)*(K$43=1)*(Quesería!$H$70:$H$89&gt;0)*Quesería!$F$70:$F$89*(1+Quesería!$I$70:$I$89)))*$C$90*$C$21,IF(AND(K$43&gt;=1,K$43&lt;=Quesería!$B$30),Quesería!$F$92/Quesería!$B$30,0)*$B$90+IF(AND(K$43&gt;=2,K$43&lt;=Quesería!$B$30+1),Quesería!$F$93/Quesería!$B$30,0)*$C$90*$C$21)*$C$11+IF(AND(K$43&gt;=6,K$43&lt;=10),$G94*$G90/5,0)+IF(AND(K$43&gt;=7,K$43&lt;=11),$H94*$H90/5,0))*K92</f>
        <v>116.985254868597</v>
      </c>
      <c r="L102" s="29" t="n">
        <f aca="false">(IF($C$19=1,(SUMPRODUCT((Quesería!$C$70:$C$89=0)*(Quesería!$J$70:$J$89&gt;0)*(L$43&gt;=1)*(L$43&lt;=Quesería!$J$70:$J$89)*(Quesería!$H$70:$H$89&gt;0)*Quesería!$F$70:$F$89*(1+Quesería!$I$70:$I$89)/(Quesería!$J$70:$J$89+(Quesería!$J$70:$J$89=0)))+SUMPRODUCT((Quesería!$C$70:$C$89=0)*(Quesería!$J$70:$J$89=0)*(L$43=0)*(Quesería!$H$70:$H$89&gt;0)*Quesería!$F$70:$F$89*(1+Quesería!$I$70:$I$89)))*$B$90+(SUMPRODUCT((Quesería!$C$70:$C$89=1)*(Quesería!$J$70:$J$89&gt;0)*(L$43&gt;=2)*(L$43&lt;=Quesería!$J$70:$J$89+1)*(Quesería!$H$70:$H$89&gt;0)*Quesería!$F$70:$F$89*(1+Quesería!$I$70:$I$89)/(Quesería!$J$70:$J$89+(Quesería!$J$70:$J$89=0)))+SUMPRODUCT((Quesería!$C$70:$C$89=1)*(Quesería!$J$70:$J$89=0)*(L$43=1)*(Quesería!$H$70:$H$89&gt;0)*Quesería!$F$70:$F$89*(1+Quesería!$I$70:$I$89)))*$C$90*$C$21,IF(AND(L$43&gt;=1,L$43&lt;=Quesería!$B$30),Quesería!$F$92/Quesería!$B$30,0)*$B$90+IF(AND(L$43&gt;=2,L$43&lt;=Quesería!$B$30+1),Quesería!$F$93/Quesería!$B$30,0)*$C$90*$C$21)*$C$11+IF(AND(L$43&gt;=6,L$43&lt;=10),$G94*$G90/5,0)+IF(AND(L$43&gt;=7,L$43&lt;=11),$H94*$H90/5,0))*L92</f>
        <v>112.485821989035</v>
      </c>
    </row>
    <row r="103" customFormat="false" ht="15" hidden="true" customHeight="false" outlineLevel="1" collapsed="false">
      <c r="A103" s="9" t="s">
        <v>416</v>
      </c>
      <c r="B103" s="58" t="n">
        <f aca="false">IF(B$43=1,MIN($C$7*Quesería!$B$56*Quesería!$F$86*$C$11*$C$21,Quesería!$B$57*Quesería!$B$58),0)</f>
        <v>0</v>
      </c>
      <c r="C103" s="58" t="n">
        <f aca="false">IF(C$43=1,MIN($C$7*Quesería!$B$56*Quesería!$F$86*$C$11*$C$21,Quesería!$B$57*Quesería!$B$58),0)</f>
        <v>0</v>
      </c>
      <c r="D103" s="58" t="n">
        <f aca="false">IF(D$43=1,MIN($C$7*Quesería!$B$56*Quesería!$F$86*$C$11*$C$21,Quesería!$B$57*Quesería!$B$58),0)</f>
        <v>0</v>
      </c>
      <c r="E103" s="58" t="n">
        <f aca="false">IF(E$43=1,MIN($C$7*Quesería!$B$56*Quesería!$F$86*$C$11*$C$21,Quesería!$B$57*Quesería!$B$58),0)</f>
        <v>0</v>
      </c>
      <c r="F103" s="58" t="n">
        <f aca="false">IF(F$43=1,MIN($C$7*Quesería!$B$56*Quesería!$F$86*$C$11*$C$21,Quesería!$B$57*Quesería!$B$58),0)</f>
        <v>0</v>
      </c>
      <c r="G103" s="58" t="n">
        <f aca="false">IF(G$43=1,MIN($C$7*Quesería!$B$56*Quesería!$F$86*$C$11*$C$21,Quesería!$B$57*Quesería!$B$58),0)</f>
        <v>0</v>
      </c>
      <c r="H103" s="58" t="n">
        <f aca="false">IF(H$43=1,MIN($C$7*Quesería!$B$56*Quesería!$F$86*$C$11*$C$21,Quesería!$B$57*Quesería!$B$58),0)</f>
        <v>0</v>
      </c>
      <c r="I103" s="58" t="n">
        <f aca="false">IF(I$43=1,MIN($C$7*Quesería!$B$56*Quesería!$F$86*$C$11*$C$21,Quesería!$B$57*Quesería!$B$58),0)</f>
        <v>0</v>
      </c>
      <c r="J103" s="58" t="n">
        <f aca="false">IF(J$43=1,MIN($C$7*Quesería!$B$56*Quesería!$F$86*$C$11*$C$21,Quesería!$B$57*Quesería!$B$58),0)</f>
        <v>0</v>
      </c>
      <c r="K103" s="58" t="n">
        <f aca="false">IF(K$43=1,MIN($C$7*Quesería!$B$56*Quesería!$F$86*$C$11*$C$21,Quesería!$B$57*Quesería!$B$58),0)</f>
        <v>0</v>
      </c>
      <c r="L103" s="58" t="n">
        <f aca="false">IF(L$43=1,MIN($C$7*Quesería!$B$56*Quesería!$F$86*$C$11*$C$21,Quesería!$B$57*Quesería!$B$58),0)</f>
        <v>0</v>
      </c>
    </row>
    <row r="104" customFormat="false" ht="15" hidden="true" customHeight="false" outlineLevel="1" collapsed="false">
      <c r="A104" s="9" t="s">
        <v>417</v>
      </c>
      <c r="B104" s="58" t="n">
        <v>0</v>
      </c>
      <c r="C104" s="58" t="n">
        <f aca="false">$C$20*Quesería!$B$60*Quesería!$F$98*$C$11*$B$90/C90/2</f>
        <v>0</v>
      </c>
      <c r="D104" s="58" t="n">
        <f aca="false">$C$20*Quesería!$B$60*Quesería!$F$98*$C$11*$B$90/D90/2</f>
        <v>0</v>
      </c>
      <c r="E104" s="58" t="n">
        <v>0</v>
      </c>
      <c r="F104" s="58" t="n">
        <v>0</v>
      </c>
      <c r="G104" s="58" t="n">
        <v>0</v>
      </c>
      <c r="H104" s="58" t="n">
        <v>0</v>
      </c>
      <c r="I104" s="58" t="n">
        <v>0</v>
      </c>
      <c r="J104" s="58" t="n">
        <v>0</v>
      </c>
      <c r="K104" s="58" t="n">
        <v>0</v>
      </c>
      <c r="L104" s="58" t="n">
        <v>0</v>
      </c>
    </row>
    <row r="105" customFormat="false" ht="15" hidden="true" customHeight="false" outlineLevel="1" collapsed="false">
      <c r="A105" s="9" t="s">
        <v>418</v>
      </c>
      <c r="B105" s="58" t="n">
        <f aca="false">0</f>
        <v>0</v>
      </c>
      <c r="C105" s="58" t="n">
        <f aca="false">B95*B90/C90</f>
        <v>142.014925295407</v>
      </c>
      <c r="D105" s="58" t="n">
        <f aca="false">C95*C90/D90</f>
        <v>137.903466668091</v>
      </c>
      <c r="E105" s="58" t="n">
        <f aca="false">D95*D90/E90</f>
        <v>0</v>
      </c>
      <c r="F105" s="58" t="n">
        <f aca="false">E95*E90/F90</f>
        <v>0</v>
      </c>
      <c r="G105" s="58" t="n">
        <f aca="false">F95*F90/G90</f>
        <v>0</v>
      </c>
      <c r="H105" s="58" t="n">
        <f aca="false">G95*G90/H90</f>
        <v>5.01768392412113</v>
      </c>
      <c r="I105" s="58" t="n">
        <f aca="false">H95*H90/I90</f>
        <v>8.47494190873221</v>
      </c>
      <c r="J105" s="58" t="n">
        <f aca="false">I95*I90/J90</f>
        <v>0</v>
      </c>
      <c r="K105" s="58" t="n">
        <f aca="false">J95*J90/K90</f>
        <v>0</v>
      </c>
      <c r="L105" s="58" t="n">
        <f aca="false">K95*K90/L90</f>
        <v>0</v>
      </c>
    </row>
    <row r="106" customFormat="false" ht="15" hidden="true" customHeight="false" outlineLevel="1" collapsed="false">
      <c r="A106" s="6" t="s">
        <v>295</v>
      </c>
      <c r="B106" s="29" t="n">
        <f aca="false">$C$17*(B98-B99-B100-0.5*B101-B102)-B103-B104-B105</f>
        <v>-24.4887123309474</v>
      </c>
      <c r="C106" s="29" t="n">
        <f aca="false">$C$17*(C98-C99-C100-0.5*C101-C102)-C103-C104-C105</f>
        <v>-151.58799921652</v>
      </c>
      <c r="D106" s="29" t="n">
        <f aca="false">$C$17*(D98-D99-D100-0.5*D101-D102)-D103-D104-D105</f>
        <v>-110.47601226488</v>
      </c>
      <c r="E106" s="29" t="n">
        <f aca="false">$C$17*(E98-E99-E100-0.5*E101-E102)-E103-E104-E105</f>
        <v>45.3719486375791</v>
      </c>
      <c r="F106" s="29" t="n">
        <f aca="false">$C$17*(F98-F99-F100-0.5*F101-F102)-F103-F104-F105</f>
        <v>47.4115329781028</v>
      </c>
      <c r="G106" s="29" t="n">
        <f aca="false">$C$17*(G98-G99-G100-0.5*G101-G102)-G103-G104-G105</f>
        <v>49.3533209227515</v>
      </c>
      <c r="H106" s="29" t="n">
        <f aca="false">$C$17*(H98-H99-H100-0.5*H101-H102)-H103-H104-H105</f>
        <v>48.6690386149601</v>
      </c>
      <c r="I106" s="29" t="n">
        <f aca="false">$C$17*(I98-I99-I100-0.5*I101-I102)-I103-I104-I105</f>
        <v>43.8570109336038</v>
      </c>
      <c r="J106" s="29" t="n">
        <f aca="false">$C$17*(J98-J99-J100-0.5*J101-J102)-J103-J104-J105</f>
        <v>54.1180616237799</v>
      </c>
      <c r="K106" s="29" t="n">
        <f aca="false">$C$17*(K98-K99-K100-0.5*K101-K102)-K103-K104-K105</f>
        <v>55.8390726798502</v>
      </c>
      <c r="L106" s="29" t="n">
        <f aca="false">$C$17*(L98-L99-L100-0.5*L101-L102)-L103-L104-L105</f>
        <v>57.4975077630462</v>
      </c>
    </row>
    <row r="107" customFormat="false" ht="15" hidden="true" customHeight="false" outlineLevel="1" collapsed="false">
      <c r="A107" s="9" t="s">
        <v>419</v>
      </c>
      <c r="B107" s="58" t="n">
        <f aca="false">(IF(B$43&gt;=1,Quesería!$G$123*IF(B$43=1,Quesería!$B$20,1),Quesería!$G$123*Quesería!$B$20*Quesería!$B$21/12*$C$23)+IF(B$43&gt;=2,Quesería!$G$124*$C$21*IF(B$43=2,Quesería!$B$20,1),0))*$C$10</f>
        <v>77.4042870161869</v>
      </c>
      <c r="C107" s="58" t="n">
        <f aca="false">(IF(C$43&gt;=1,Quesería!$G$123*IF(C$43=1,Quesería!$B$20,1),Quesería!$G$123*Quesería!$B$20*Quesería!$B$21/12*$C$23)+IF(C$43&gt;=2,Quesería!$G$124*$C$21*IF(C$43=2,Quesería!$B$20,1),0))*$C$10</f>
        <v>116.10643052428</v>
      </c>
      <c r="D107" s="58" t="n">
        <f aca="false">(IF(D$43&gt;=1,Quesería!$G$123*IF(D$43=1,Quesería!$B$20,1),Quesería!$G$123*Quesería!$B$20*Quesería!$B$21/12*$C$23)+IF(D$43&gt;=2,Quesería!$G$124*$C$21*IF(D$43=2,Quesería!$B$20,1),0))*$C$10</f>
        <v>297.090260202792</v>
      </c>
      <c r="E107" s="58" t="n">
        <f aca="false">(IF(E$43&gt;=1,Quesería!$G$123*IF(E$43=1,Quesería!$B$20,1),Quesería!$G$123*Quesería!$B$20*Quesería!$B$21/12*$C$23)+IF(E$43&gt;=2,Quesería!$G$124*$C$21*IF(E$43=2,Quesería!$B$20,1),0))*$C$10</f>
        <v>344.517488926264</v>
      </c>
      <c r="F107" s="58" t="n">
        <f aca="false">(IF(F$43&gt;=1,Quesería!$G$123*IF(F$43=1,Quesería!$B$20,1),Quesería!$G$123*Quesería!$B$20*Quesería!$B$21/12*$C$23)+IF(F$43&gt;=2,Quesería!$G$124*$C$21*IF(F$43=2,Quesería!$B$20,1),0))*$C$10</f>
        <v>344.517488926264</v>
      </c>
      <c r="G107" s="58" t="n">
        <f aca="false">(IF(G$43&gt;=1,Quesería!$G$123*IF(G$43=1,Quesería!$B$20,1),Quesería!$G$123*Quesería!$B$20*Quesería!$B$21/12*$C$23)+IF(G$43&gt;=2,Quesería!$G$124*$C$21*IF(G$43=2,Quesería!$B$20,1),0))*$C$10</f>
        <v>344.517488926264</v>
      </c>
      <c r="H107" s="58" t="n">
        <f aca="false">(IF(H$43&gt;=1,Quesería!$G$123*IF(H$43=1,Quesería!$B$20,1),Quesería!$G$123*Quesería!$B$20*Quesería!$B$21/12*$C$23)+IF(H$43&gt;=2,Quesería!$G$124*$C$21*IF(H$43=2,Quesería!$B$20,1),0))*$C$10</f>
        <v>344.517488926264</v>
      </c>
      <c r="I107" s="58" t="n">
        <f aca="false">(IF(I$43&gt;=1,Quesería!$G$123*IF(I$43=1,Quesería!$B$20,1),Quesería!$G$123*Quesería!$B$20*Quesería!$B$21/12*$C$23)+IF(I$43&gt;=2,Quesería!$G$124*$C$21*IF(I$43=2,Quesería!$B$20,1),0))*$C$10</f>
        <v>344.517488926264</v>
      </c>
      <c r="J107" s="58" t="n">
        <f aca="false">(IF(J$43&gt;=1,Quesería!$G$123*IF(J$43=1,Quesería!$B$20,1),Quesería!$G$123*Quesería!$B$20*Quesería!$B$21/12*$C$23)+IF(J$43&gt;=2,Quesería!$G$124*$C$21*IF(J$43=2,Quesería!$B$20,1),0))*$C$10</f>
        <v>344.517488926264</v>
      </c>
      <c r="K107" s="58" t="n">
        <f aca="false">(IF(K$43&gt;=1,Quesería!$G$123*IF(K$43=1,Quesería!$B$20,1),Quesería!$G$123*Quesería!$B$20*Quesería!$B$21/12*$C$23)+IF(K$43&gt;=2,Quesería!$G$124*$C$21*IF(K$43=2,Quesería!$B$20,1),0))*$C$10</f>
        <v>344.517488926264</v>
      </c>
      <c r="L107" s="58" t="n">
        <f aca="false">(IF(L$43&gt;=1,Quesería!$G$123*IF(L$43=1,Quesería!$B$20,1),Quesería!$G$123*Quesería!$B$20*Quesería!$B$21/12*$C$23)+IF(L$43&gt;=2,Quesería!$G$124*$C$21*IF(L$43=2,Quesería!$B$20,1),0))*$C$10</f>
        <v>344.517488926264</v>
      </c>
    </row>
    <row r="108" customFormat="false" ht="15" hidden="true" customHeight="false" outlineLevel="1" collapsed="false">
      <c r="A108" s="6" t="s">
        <v>420</v>
      </c>
      <c r="B108" s="29" t="n">
        <f aca="false">(B107*(Quesería!$B$38+Quesería!$B$40*Quesería!$B$39)/365-B99*Quesería!$B$42/365)</f>
        <v>7.23146900616979</v>
      </c>
      <c r="C108" s="29" t="n">
        <f aca="false">(C107*(Quesería!$B$38+Quesería!$B$40*Quesería!$B$39)/365-C99*Quesería!$B$42/365)-(B107*(Quesería!$B$38+Quesería!$B$40*Quesería!$B$39)/365-B99*Quesería!$B$42/365)*B90/C90</f>
        <v>1.42287846600884</v>
      </c>
      <c r="D108" s="29" t="n">
        <f aca="false">(D107*(Quesería!$B$38+Quesería!$B$40*Quesería!$B$39)/365-D99*Quesería!$B$42/365)-(C107*(Quesería!$B$38+Quesería!$B$40*Quesería!$B$39)/365-C99*Quesería!$B$42/365)*C90/D90</f>
        <v>14.0205300736897</v>
      </c>
      <c r="E108" s="29" t="n">
        <f aca="false">(E107*(Quesería!$B$38+Quesería!$B$40*Quesería!$B$39)/365-E99*Quesería!$B$42/365)-(D107*(Quesería!$B$38+Quesería!$B$40*Quesería!$B$39)/365-D99*Quesería!$B$42/365)*D90/E90</f>
        <v>5.27597549905193</v>
      </c>
      <c r="F108" s="29" t="n">
        <f aca="false">(F107*(Quesería!$B$38+Quesería!$B$40*Quesería!$B$39)/365-F99*Quesería!$B$42/365)-(E107*(Quesería!$B$38+Quesería!$B$40*Quesería!$B$39)/365-E99*Quesería!$B$42/365)*E90/F90</f>
        <v>1.01552107473577</v>
      </c>
      <c r="G108" s="29" t="n">
        <f aca="false">(G107*(Quesería!$B$38+Quesería!$B$40*Quesería!$B$39)/365-G99*Quesería!$B$42/365)-(F107*(Quesería!$B$38+Quesería!$B$40*Quesería!$B$39)/365-F99*Quesería!$B$42/365)*F90/G90</f>
        <v>1.01552107473577</v>
      </c>
      <c r="H108" s="29" t="n">
        <f aca="false">(H107*(Quesería!$B$38+Quesería!$B$40*Quesería!$B$39)/365-H99*Quesería!$B$42/365)-(G107*(Quesería!$B$38+Quesería!$B$40*Quesería!$B$39)/365-G99*Quesería!$B$42/365)*G90/H90</f>
        <v>1.01552107473577</v>
      </c>
      <c r="I108" s="29" t="n">
        <f aca="false">(I107*(Quesería!$B$38+Quesería!$B$40*Quesería!$B$39)/365-I99*Quesería!$B$42/365)-(H107*(Quesería!$B$38+Quesería!$B$40*Quesería!$B$39)/365-H99*Quesería!$B$42/365)*H90/I90</f>
        <v>1.01552107473577</v>
      </c>
      <c r="J108" s="29" t="n">
        <f aca="false">(J107*(Quesería!$B$38+Quesería!$B$40*Quesería!$B$39)/365-J99*Quesería!$B$42/365)-(I107*(Quesería!$B$38+Quesería!$B$40*Quesería!$B$39)/365-I99*Quesería!$B$42/365)*I90/J90</f>
        <v>1.01552107473577</v>
      </c>
      <c r="K108" s="29" t="n">
        <f aca="false">(K107*(Quesería!$B$38+Quesería!$B$40*Quesería!$B$39)/365-K99*Quesería!$B$42/365)-(J107*(Quesería!$B$38+Quesería!$B$40*Quesería!$B$39)/365-J99*Quesería!$B$42/365)*J90/K90</f>
        <v>1.01552107473577</v>
      </c>
      <c r="L108" s="29" t="n">
        <f aca="false">-(K107*(Quesería!$B$38+Quesería!$B$40*Quesería!$B$39)/365-K99*Quesería!$B$42/365)*K90/L90</f>
        <v>-25.3880268683941</v>
      </c>
    </row>
    <row r="109" customFormat="false" ht="15" hidden="true" customHeight="false" outlineLevel="1" collapsed="false">
      <c r="A109" s="6" t="s">
        <v>421</v>
      </c>
      <c r="B109" s="29" t="n">
        <v>0</v>
      </c>
      <c r="C109" s="29" t="n">
        <v>0</v>
      </c>
      <c r="D109" s="29" t="n">
        <v>0</v>
      </c>
      <c r="E109" s="29" t="n">
        <v>0</v>
      </c>
      <c r="F109" s="29" t="n">
        <v>0</v>
      </c>
      <c r="G109" s="29" t="n">
        <v>0</v>
      </c>
      <c r="H109" s="29" t="n">
        <v>0</v>
      </c>
      <c r="I109" s="29" t="n">
        <v>0</v>
      </c>
      <c r="J109" s="29" t="n">
        <v>0</v>
      </c>
      <c r="K109" s="29" t="n">
        <v>0</v>
      </c>
      <c r="L109" s="29" t="n">
        <f aca="false">$C$8*Quesería!$B$36*(Quesería!$F$94+Quesería!$F$95*$C$21)*$C$11*(1-$C$17)</f>
        <v>0</v>
      </c>
    </row>
    <row r="110" customFormat="false" ht="15" hidden="true" customHeight="false" outlineLevel="1" collapsed="false">
      <c r="A110" s="5" t="s">
        <v>147</v>
      </c>
      <c r="B110" s="59" t="n">
        <f aca="false">B98-B99-B100-B101-B106-B93-B94-B95-B108+B109</f>
        <v>-988.805333575311</v>
      </c>
      <c r="C110" s="59" t="n">
        <f aca="false">C98-C99-C100-C101-C106-C93-C94-C95-C108+C109</f>
        <v>-699.427760392348</v>
      </c>
      <c r="D110" s="59" t="n">
        <f aca="false">D98-D99-D100-D101-D106-D93-D94-D95-D108+D109</f>
        <v>325.929410106857</v>
      </c>
      <c r="E110" s="59" t="n">
        <f aca="false">E98-E99-E100-E101-E106-E93-E94-E95-E108+E109</f>
        <v>224.276692730172</v>
      </c>
      <c r="F110" s="59" t="n">
        <f aca="false">F98-F99-F100-F101-F106-F93-F94-F95-F108+F109</f>
        <v>226.729471090541</v>
      </c>
      <c r="G110" s="59" t="n">
        <f aca="false">G98-G99-G100-G101-G106-G93-G94-G95-G108+G109</f>
        <v>192.206407979693</v>
      </c>
      <c r="H110" s="59" t="n">
        <f aca="false">H98-H99-H100-H101-H106-H93-H94-H95-H108+H109</f>
        <v>170.515358751472</v>
      </c>
      <c r="I110" s="59" t="n">
        <f aca="false">I98-I99-I100-I101-I106-I93-I94-I95-I108+I109</f>
        <v>230.986698432884</v>
      </c>
      <c r="J110" s="59" t="n">
        <f aca="false">J98-J99-J100-J101-J106-J93-J94-J95-J108+J109</f>
        <v>220.962229087157</v>
      </c>
      <c r="K110" s="59" t="n">
        <f aca="false">K98-K99-K100-K101-K106-K93-K94-K95-K108+K109</f>
        <v>219.478982282258</v>
      </c>
      <c r="L110" s="59" t="n">
        <f aca="false">L98-L99-L100-L101-L106-L93-L94-L95-L108+L109</f>
        <v>244.463048214619</v>
      </c>
    </row>
    <row r="111" customFormat="false" ht="15" hidden="true" customHeight="false" outlineLevel="1" collapsed="false">
      <c r="A111" s="9" t="s">
        <v>422</v>
      </c>
      <c r="B111" s="58" t="n">
        <f aca="false">B110*B90</f>
        <v>-1048.13365358983</v>
      </c>
      <c r="C111" s="58" t="n">
        <f aca="false">C110*C90</f>
        <v>-778.463097316684</v>
      </c>
      <c r="D111" s="58" t="n">
        <f aca="false">D110*D90</f>
        <v>379.083607954134</v>
      </c>
      <c r="E111" s="58" t="n">
        <f aca="false">E110*E90</f>
        <v>271.286971450635</v>
      </c>
      <c r="F111" s="58" t="n">
        <f aca="false">F110*F90</f>
        <v>285.224027669023</v>
      </c>
      <c r="G111" s="58" t="n">
        <f aca="false">G110*G90</f>
        <v>251.46603565315</v>
      </c>
      <c r="H111" s="58" t="n">
        <f aca="false">H110*H90</f>
        <v>232.010860632946</v>
      </c>
      <c r="I111" s="58" t="n">
        <f aca="false">I110*I90</f>
        <v>326.862518509771</v>
      </c>
      <c r="J111" s="58" t="n">
        <f aca="false">J110*J90</f>
        <v>325.18427265449</v>
      </c>
      <c r="K111" s="58" t="n">
        <f aca="false">K110*K90</f>
        <v>335.921474234323</v>
      </c>
      <c r="L111" s="58" t="n">
        <f aca="false">L110*L90</f>
        <v>389.127023307953</v>
      </c>
    </row>
    <row r="112" customFormat="false" ht="15" hidden="true" customHeight="false" outlineLevel="1" collapsed="false">
      <c r="A112" s="6" t="s">
        <v>423</v>
      </c>
      <c r="B112" s="29" t="n">
        <f aca="false">B110</f>
        <v>-988.805333575311</v>
      </c>
      <c r="C112" s="29" t="n">
        <f aca="false">B112+C110</f>
        <v>-1688.23309396766</v>
      </c>
      <c r="D112" s="29" t="n">
        <f aca="false">C112+D110</f>
        <v>-1362.3036838608</v>
      </c>
      <c r="E112" s="29" t="n">
        <f aca="false">D112+E110</f>
        <v>-1138.02699113063</v>
      </c>
      <c r="F112" s="29" t="n">
        <f aca="false">E112+F110</f>
        <v>-911.29752004009</v>
      </c>
      <c r="G112" s="29" t="n">
        <f aca="false">F112+G110</f>
        <v>-719.091112060397</v>
      </c>
      <c r="H112" s="29" t="n">
        <f aca="false">G112+H110</f>
        <v>-548.575753308925</v>
      </c>
      <c r="I112" s="29" t="n">
        <f aca="false">H112+I110</f>
        <v>-317.589054876041</v>
      </c>
      <c r="J112" s="29" t="n">
        <f aca="false">I112+J110</f>
        <v>-96.6268257888837</v>
      </c>
      <c r="K112" s="29" t="n">
        <f aca="false">J112+K110</f>
        <v>122.852156493374</v>
      </c>
      <c r="L112" s="29" t="n">
        <f aca="false">K112+L110</f>
        <v>367.315204707993</v>
      </c>
    </row>
    <row r="113" customFormat="false" ht="15" hidden="true" customHeight="false" outlineLevel="1" collapsed="false">
      <c r="A113" s="9" t="s">
        <v>424</v>
      </c>
      <c r="B113" s="60" t="n">
        <v>0</v>
      </c>
      <c r="C113" s="60" t="n">
        <f aca="false">IF(AND(B112&lt;0,C112&gt;=0),B$43+(-B112)/C110,0)</f>
        <v>0</v>
      </c>
      <c r="D113" s="60" t="n">
        <f aca="false">IF(AND(C112&lt;0,D112&gt;=0),C$43+(-C112)/D110,0)</f>
        <v>0</v>
      </c>
      <c r="E113" s="60" t="n">
        <f aca="false">IF(AND(D112&lt;0,E112&gt;=0),D$43+(-D112)/E110,0)</f>
        <v>0</v>
      </c>
      <c r="F113" s="60" t="n">
        <f aca="false">IF(AND(E112&lt;0,F112&gt;=0),E$43+(-E112)/F110,0)</f>
        <v>0</v>
      </c>
      <c r="G113" s="60" t="n">
        <f aca="false">IF(AND(F112&lt;0,G112&gt;=0),F$43+(-F112)/G110,0)</f>
        <v>0</v>
      </c>
      <c r="H113" s="60" t="n">
        <f aca="false">IF(AND(G112&lt;0,H112&gt;=0),G$43+(-G112)/H110,0)</f>
        <v>0</v>
      </c>
      <c r="I113" s="60" t="n">
        <f aca="false">IF(AND(H112&lt;0,I112&gt;=0),H$43+(-H112)/I110,0)</f>
        <v>0</v>
      </c>
      <c r="J113" s="60" t="n">
        <f aca="false">IF(AND(I112&lt;0,J112&gt;=0),I$43+(-I112)/J110,0)</f>
        <v>0</v>
      </c>
      <c r="K113" s="60" t="n">
        <f aca="false">IF(AND(J112&lt;0,K112&gt;=0),J$43+(-J112)/K110,0)</f>
        <v>8.44025548498589</v>
      </c>
      <c r="L113" s="60" t="n">
        <f aca="false">IF(AND(K112&lt;0,L112&gt;=0),K$43+(-K112)/L110,0)</f>
        <v>0</v>
      </c>
    </row>
    <row r="114" customFormat="false" ht="15" hidden="true" customHeight="false" outlineLevel="1" collapsed="false">
      <c r="A114" s="9" t="s">
        <v>425</v>
      </c>
      <c r="B114" s="57" t="n">
        <f aca="false">(B90/$B$90)/(1+$C$25)^B$43</f>
        <v>1</v>
      </c>
      <c r="C114" s="57" t="n">
        <f aca="false">(C90/$B$90)/(1+$C$25)^C$43</f>
        <v>0.907458487517462</v>
      </c>
      <c r="D114" s="57" t="n">
        <f aca="false">(D90/$B$90)/(1+$C$25)^D$43</f>
        <v>0.819559568917159</v>
      </c>
      <c r="E114" s="57" t="n">
        <f aca="false">(E90/$B$90)/(1+$C$25)^E$43</f>
        <v>0.73663327458441</v>
      </c>
      <c r="F114" s="57" t="n">
        <f aca="false">(F90/$B$90)/(1+$C$25)^F$43</f>
        <v>0.6620977922836</v>
      </c>
      <c r="G114" s="57" t="n">
        <f aca="false">(G90/$B$90)/(1+$C$25)^G$43</f>
        <v>0.595104106306</v>
      </c>
      <c r="H114" s="57" t="n">
        <f aca="false">(H90/$B$90)/(1+$C$25)^H$43</f>
        <v>0.534889107726503</v>
      </c>
      <c r="I114" s="57" t="n">
        <f aca="false">(I90/$B$90)/(1+$C$25)^I$43</f>
        <v>0.480766902013848</v>
      </c>
      <c r="J114" s="57" t="n">
        <f aca="false">(J90/$B$90)/(1+$C$25)^J$43</f>
        <v>0.432120996171371</v>
      </c>
      <c r="K114" s="57" t="n">
        <f aca="false">(K90/$B$90)/(1+$C$25)^K$43</f>
        <v>0.388397276413924</v>
      </c>
      <c r="L114" s="57" t="n">
        <f aca="false">(L90/$B$90)/(1+$C$25)^L$43</f>
        <v>0.349097696391334</v>
      </c>
    </row>
    <row r="115" customFormat="false" ht="15" hidden="true" customHeight="false" outlineLevel="1" collapsed="false">
      <c r="A115" s="9" t="s">
        <v>426</v>
      </c>
      <c r="B115" s="58" t="n">
        <f aca="false">B110*B114</f>
        <v>-988.805333575311</v>
      </c>
      <c r="C115" s="58" t="n">
        <f aca="false">C110*C114</f>
        <v>-634.701657573366</v>
      </c>
      <c r="D115" s="58" t="n">
        <f aca="false">D110*D114</f>
        <v>267.1185668446</v>
      </c>
      <c r="E115" s="58" t="n">
        <f aca="false">E110*E114</f>
        <v>165.209674578788</v>
      </c>
      <c r="F115" s="58" t="n">
        <f aca="false">F110*F114</f>
        <v>150.117082254676</v>
      </c>
      <c r="G115" s="58" t="n">
        <f aca="false">G110*G114</f>
        <v>114.382822647041</v>
      </c>
      <c r="H115" s="58" t="n">
        <f aca="false">H110*H114</f>
        <v>91.2068080962395</v>
      </c>
      <c r="I115" s="58" t="n">
        <f aca="false">I110*I114</f>
        <v>111.050759411985</v>
      </c>
      <c r="J115" s="58" t="n">
        <f aca="false">J110*J114</f>
        <v>95.482418549389</v>
      </c>
      <c r="K115" s="58" t="n">
        <f aca="false">K110*K114</f>
        <v>85.2450389485289</v>
      </c>
      <c r="L115" s="58" t="n">
        <f aca="false">L110*L114</f>
        <v>85.3414869845271</v>
      </c>
    </row>
    <row r="116" customFormat="false" ht="15" hidden="true" customHeight="false" outlineLevel="1" collapsed="false">
      <c r="A116" s="9" t="s">
        <v>427</v>
      </c>
      <c r="B116" s="58" t="n">
        <f aca="false">B115</f>
        <v>-988.805333575311</v>
      </c>
      <c r="C116" s="58" t="n">
        <f aca="false">B116+C115</f>
        <v>-1623.50699114868</v>
      </c>
      <c r="D116" s="58" t="n">
        <f aca="false">C116+D115</f>
        <v>-1356.38842430408</v>
      </c>
      <c r="E116" s="58" t="n">
        <f aca="false">D116+E115</f>
        <v>-1191.17874972529</v>
      </c>
      <c r="F116" s="58" t="n">
        <f aca="false">E116+F115</f>
        <v>-1041.06166747061</v>
      </c>
      <c r="G116" s="58" t="n">
        <f aca="false">F116+G115</f>
        <v>-926.678844823573</v>
      </c>
      <c r="H116" s="58" t="n">
        <f aca="false">G116+H115</f>
        <v>-835.472036727333</v>
      </c>
      <c r="I116" s="58" t="n">
        <f aca="false">H116+I115</f>
        <v>-724.421277315349</v>
      </c>
      <c r="J116" s="58" t="n">
        <f aca="false">I116+J115</f>
        <v>-628.93885876596</v>
      </c>
      <c r="K116" s="58" t="n">
        <f aca="false">J116+K115</f>
        <v>-543.693819817431</v>
      </c>
      <c r="L116" s="58" t="n">
        <f aca="false">K116+L115</f>
        <v>-458.352332832904</v>
      </c>
    </row>
    <row r="117" customFormat="false" ht="15" hidden="true" customHeight="false" outlineLevel="1" collapsed="false">
      <c r="A117" s="9" t="s">
        <v>428</v>
      </c>
      <c r="B117" s="60" t="n">
        <v>0</v>
      </c>
      <c r="C117" s="60" t="n">
        <f aca="false">IF(AND(B116&lt;0,C116&gt;=0),B$43+(-B116)/C115,0)</f>
        <v>0</v>
      </c>
      <c r="D117" s="60" t="n">
        <f aca="false">IF(AND(C116&lt;0,D116&gt;=0),C$43+(-C116)/D115,0)</f>
        <v>0</v>
      </c>
      <c r="E117" s="60" t="n">
        <f aca="false">IF(AND(D116&lt;0,E116&gt;=0),D$43+(-D116)/E115,0)</f>
        <v>0</v>
      </c>
      <c r="F117" s="60" t="n">
        <f aca="false">IF(AND(E116&lt;0,F116&gt;=0),E$43+(-E116)/F115,0)</f>
        <v>0</v>
      </c>
      <c r="G117" s="60" t="n">
        <f aca="false">IF(AND(F116&lt;0,G116&gt;=0),F$43+(-F116)/G115,0)</f>
        <v>0</v>
      </c>
      <c r="H117" s="60" t="n">
        <f aca="false">IF(AND(G116&lt;0,H116&gt;=0),G$43+(-G116)/H115,0)</f>
        <v>0</v>
      </c>
      <c r="I117" s="60" t="n">
        <f aca="false">IF(AND(H116&lt;0,I116&gt;=0),H$43+(-H116)/I115,0)</f>
        <v>0</v>
      </c>
      <c r="J117" s="60" t="n">
        <f aca="false">IF(AND(I116&lt;0,J116&gt;=0),I$43+(-I116)/J115,0)</f>
        <v>0</v>
      </c>
      <c r="K117" s="60" t="n">
        <f aca="false">IF(AND(J116&lt;0,K116&gt;=0),J$43+(-J116)/K115,0)</f>
        <v>0</v>
      </c>
      <c r="L117" s="60" t="n">
        <f aca="false">IF(AND(K116&lt;0,L116&gt;=0),K$43+(-K116)/L115,0)</f>
        <v>0</v>
      </c>
    </row>
    <row r="118" customFormat="false" ht="15" hidden="true" customHeight="false" outlineLevel="1" collapsed="false">
      <c r="A118" s="9" t="s">
        <v>429</v>
      </c>
      <c r="B118" s="58" t="n">
        <f aca="false">IF(B$43&lt;0,0,(Quesería!$B$44*$B$93*$B$90)*(1-MAX(0,MIN(B$43-0-Quesería!$B$47,(Quesería!$B$46-Quesería!$B$47)))/(Quesería!$B$46-Quesería!$B$47))*IF(B$43&gt;=2,1-Quesería!$B$48,1))+IF(B$43&lt;1,0,(Quesería!$B$44*$C$93*$C$90)*(1-MAX(0,MIN(B$43-1-Quesería!$B$47,(Quesería!$B$46-Quesería!$B$47)))/(Quesería!$B$46-Quesería!$B$47))*IF(B$43&gt;=2,1-Quesería!$B$48,1))</f>
        <v>641.321364968425</v>
      </c>
      <c r="C118" s="58" t="n">
        <f aca="false">IF(C$43&lt;0,0,(Quesería!$B$44*$B$93*$B$90)*(1-MAX(0,MIN(C$43-0-Quesería!$B$47,(Quesería!$B$46-Quesería!$B$47)))/(Quesería!$B$46-Quesería!$B$47))*IF(C$43&gt;=2,1-Quesería!$B$48,1))+IF(C$43&lt;1,0,(Quesería!$B$44*$C$93*$C$90)*(1-MAX(0,MIN(C$43-1-Quesería!$B$47,(Quesería!$B$46-Quesería!$B$47)))/(Quesería!$B$46-Quesería!$B$47))*IF(C$43&gt;=2,1-Quesería!$B$48,1))</f>
        <v>1190.03581125409</v>
      </c>
      <c r="D118" s="58" t="n">
        <f aca="false">IF(D$43&lt;0,0,(Quesería!$B$44*$B$93*$B$90)*(1-MAX(0,MIN(D$43-0-Quesería!$B$47,(Quesería!$B$46-Quesería!$B$47)))/(Quesería!$B$46-Quesería!$B$47))*IF(D$43&gt;=2,1-Quesería!$B$48,1))+IF(D$43&lt;1,0,(Quesería!$B$44*$C$93*$C$90)*(1-MAX(0,MIN(D$43-1-Quesería!$B$47,(Quesería!$B$46-Quesería!$B$47)))/(Quesería!$B$46-Quesería!$B$47))*IF(D$43&gt;=2,1-Quesería!$B$48,1))</f>
        <v>1083.14891709269</v>
      </c>
      <c r="E118" s="58" t="n">
        <f aca="false">IF(E$43&lt;0,0,(Quesería!$B$44*$B$93*$B$90)*(1-MAX(0,MIN(E$43-0-Quesería!$B$47,(Quesería!$B$46-Quesería!$B$47)))/(Quesería!$B$46-Quesería!$B$47))*IF(E$43&gt;=2,1-Quesería!$B$48,1))+IF(E$43&lt;1,0,(Quesería!$B$44*$C$93*$C$90)*(1-MAX(0,MIN(E$43-1-Quesería!$B$47,(Quesería!$B$46-Quesería!$B$47)))/(Quesería!$B$46-Quesería!$B$47))*IF(E$43&gt;=2,1-Quesería!$B$48,1))</f>
        <v>884.809615217005</v>
      </c>
      <c r="F118" s="58" t="n">
        <f aca="false">IF(F$43&lt;0,0,(Quesería!$B$44*$B$93*$B$90)*(1-MAX(0,MIN(F$43-0-Quesería!$B$47,(Quesería!$B$46-Quesería!$B$47)))/(Quesería!$B$46-Quesería!$B$47))*IF(F$43&gt;=2,1-Quesería!$B$48,1))+IF(F$43&lt;1,0,(Quesería!$B$44*$C$93*$C$90)*(1-MAX(0,MIN(F$43-1-Quesería!$B$47,(Quesería!$B$46-Quesería!$B$47)))/(Quesería!$B$46-Quesería!$B$47))*IF(F$43&gt;=2,1-Quesería!$B$48,1))</f>
        <v>686.470313341323</v>
      </c>
      <c r="G118" s="58" t="n">
        <f aca="false">IF(G$43&lt;0,0,(Quesería!$B$44*$B$93*$B$90)*(1-MAX(0,MIN(G$43-0-Quesería!$B$47,(Quesería!$B$46-Quesería!$B$47)))/(Quesería!$B$46-Quesería!$B$47))*IF(G$43&gt;=2,1-Quesería!$B$48,1))+IF(G$43&lt;1,0,(Quesería!$B$44*$C$93*$C$90)*(1-MAX(0,MIN(G$43-1-Quesería!$B$47,(Quesería!$B$46-Quesería!$B$47)))/(Quesería!$B$46-Quesería!$B$47))*IF(G$43&gt;=2,1-Quesería!$B$48,1))</f>
        <v>488.131011465641</v>
      </c>
      <c r="H118" s="58" t="n">
        <f aca="false">IF(H$43&lt;0,0,(Quesería!$B$44*$B$93*$B$90)*(1-MAX(0,MIN(H$43-0-Quesería!$B$47,(Quesería!$B$46-Quesería!$B$47)))/(Quesería!$B$46-Quesería!$B$47))*IF(H$43&gt;=2,1-Quesería!$B$48,1))+IF(H$43&lt;1,0,(Quesería!$B$44*$C$93*$C$90)*(1-MAX(0,MIN(H$43-1-Quesería!$B$47,(Quesería!$B$46-Quesería!$B$47)))/(Quesería!$B$46-Quesería!$B$47))*IF(H$43&gt;=2,1-Quesería!$B$48,1))</f>
        <v>289.79170958996</v>
      </c>
      <c r="I118" s="58" t="n">
        <f aca="false">IF(I$43&lt;0,0,(Quesería!$B$44*$B$93*$B$90)*(1-MAX(0,MIN(I$43-0-Quesería!$B$47,(Quesería!$B$46-Quesería!$B$47)))/(Quesería!$B$46-Quesería!$B$47))*IF(I$43&gt;=2,1-Quesería!$B$48,1))+IF(I$43&lt;1,0,(Quesería!$B$44*$C$93*$C$90)*(1-MAX(0,MIN(I$43-1-Quesería!$B$47,(Quesería!$B$46-Quesería!$B$47)))/(Quesería!$B$46-Quesería!$B$47))*IF(I$43&gt;=2,1-Quesería!$B$48,1))</f>
        <v>91.4524077142776</v>
      </c>
      <c r="J118" s="58" t="n">
        <f aca="false">IF(J$43&lt;0,0,(Quesería!$B$44*$B$93*$B$90)*(1-MAX(0,MIN(J$43-0-Quesería!$B$47,(Quesería!$B$46-Quesería!$B$47)))/(Quesería!$B$46-Quesería!$B$47))*IF(J$43&gt;=2,1-Quesería!$B$48,1))+IF(J$43&lt;1,0,(Quesería!$B$44*$C$93*$C$90)*(1-MAX(0,MIN(J$43-1-Quesería!$B$47,(Quesería!$B$46-Quesería!$B$47)))/(Quesería!$B$46-Quesería!$B$47))*IF(J$43&gt;=2,1-Quesería!$B$48,1))</f>
        <v>0</v>
      </c>
      <c r="K118" s="58" t="n">
        <f aca="false">IF(K$43&lt;0,0,(Quesería!$B$44*$B$93*$B$90)*(1-MAX(0,MIN(K$43-0-Quesería!$B$47,(Quesería!$B$46-Quesería!$B$47)))/(Quesería!$B$46-Quesería!$B$47))*IF(K$43&gt;=2,1-Quesería!$B$48,1))+IF(K$43&lt;1,0,(Quesería!$B$44*$C$93*$C$90)*(1-MAX(0,MIN(K$43-1-Quesería!$B$47,(Quesería!$B$46-Quesería!$B$47)))/(Quesería!$B$46-Quesería!$B$47))*IF(K$43&gt;=2,1-Quesería!$B$48,1))</f>
        <v>0</v>
      </c>
      <c r="L118" s="58" t="n">
        <f aca="false">IF(L$43&lt;0,0,(Quesería!$B$44*$B$93*$B$90)*(1-MAX(0,MIN(L$43-0-Quesería!$B$47,(Quesería!$B$46-Quesería!$B$47)))/(Quesería!$B$46-Quesería!$B$47))*IF(L$43&gt;=2,1-Quesería!$B$48,1))+IF(L$43&lt;1,0,(Quesería!$B$44*$C$93*$C$90)*(1-MAX(0,MIN(L$43-1-Quesería!$B$47,(Quesería!$B$46-Quesería!$B$47)))/(Quesería!$B$46-Quesería!$B$47))*IF(L$43&gt;=2,1-Quesería!$B$48,1))</f>
        <v>0</v>
      </c>
    </row>
    <row r="119" customFormat="false" ht="15" hidden="true" customHeight="false" outlineLevel="1" collapsed="false">
      <c r="A119" s="6" t="s">
        <v>430</v>
      </c>
      <c r="B119" s="29" t="n">
        <f aca="false">Quesería!$B$44*B93</f>
        <v>605.02015563059</v>
      </c>
      <c r="C119" s="29" t="n">
        <f aca="false">Quesería!$B$44*C93</f>
        <v>493.004893338424</v>
      </c>
      <c r="D119" s="29" t="n">
        <f aca="false">Quesería!$B$44*D93</f>
        <v>0</v>
      </c>
      <c r="E119" s="29" t="n">
        <f aca="false">Quesería!$B$44*E93</f>
        <v>0</v>
      </c>
      <c r="F119" s="29" t="n">
        <f aca="false">Quesería!$B$44*F93</f>
        <v>0</v>
      </c>
      <c r="G119" s="29" t="n">
        <f aca="false">Quesería!$B$44*G93</f>
        <v>0</v>
      </c>
      <c r="H119" s="29" t="n">
        <f aca="false">Quesería!$B$44*H93</f>
        <v>0</v>
      </c>
      <c r="I119" s="29" t="n">
        <f aca="false">Quesería!$B$44*I93</f>
        <v>0</v>
      </c>
      <c r="J119" s="29" t="n">
        <f aca="false">Quesería!$B$44*J93</f>
        <v>0</v>
      </c>
      <c r="K119" s="29" t="n">
        <f aca="false">Quesería!$B$44*K93</f>
        <v>0</v>
      </c>
      <c r="L119" s="29" t="n">
        <f aca="false">Quesería!$B$44*L93</f>
        <v>0</v>
      </c>
    </row>
    <row r="120" customFormat="false" ht="15" hidden="true" customHeight="false" outlineLevel="1" collapsed="false">
      <c r="A120" s="6" t="s">
        <v>431</v>
      </c>
      <c r="B120" s="29" t="n">
        <f aca="false">(IF(AND(B$43&gt;0,B$43&lt;=0+Quesería!$B$46),($C$14+$C$24)*(Quesería!$B$44*$B$93*$B$90)*(1-MAX(0,MIN((B$43-1)-0-Quesería!$B$47,(Quesería!$B$46-Quesería!$B$47)))/(Quesería!$B$46-Quesería!$B$47))*IF(B$43&gt;2,1-Quesería!$B$48,1),0)+IF(AND(B$43&gt;1,B$43&lt;=1+Quesería!$B$46),($C$14+$C$24)*(Quesería!$B$44*$C$93*$C$90)*(1-MAX(0,MIN((B$43-1)-1-Quesería!$B$47,(Quesería!$B$46-Quesería!$B$47)))/(Quesería!$B$46-Quesería!$B$47))*IF(B$43&gt;2,1-Quesería!$B$48,1),0))*B92</f>
        <v>0</v>
      </c>
      <c r="C120" s="29" t="n">
        <f aca="false">(IF(AND(C$43&gt;0,C$43&lt;=0+Quesería!$B$46),($C$14+$C$24)*(Quesería!$B$44*$B$93*$B$90)*(1-MAX(0,MIN((C$43-1)-0-Quesería!$B$47,(Quesería!$B$46-Quesería!$B$47)))/(Quesería!$B$46-Quesería!$B$47))*IF(C$43&gt;2,1-Quesería!$B$48,1),0)+IF(AND(C$43&gt;1,C$43&lt;=1+Quesería!$B$46),($C$14+$C$24)*(Quesería!$B$44*$C$93*$C$90)*(1-MAX(0,MIN((C$43-1)-1-Quesería!$B$47,(Quesería!$B$46-Quesería!$B$47)))/(Quesería!$B$46-Quesería!$B$47))*IF(C$43&gt;2,1-Quesería!$B$48,1),0))*C92</f>
        <v>81.2455637561078</v>
      </c>
      <c r="D120" s="29" t="n">
        <f aca="false">(IF(AND(D$43&gt;0,D$43&lt;=0+Quesería!$B$46),($C$14+$C$24)*(Quesería!$B$44*$B$93*$B$90)*(1-MAX(0,MIN((D$43-1)-0-Quesería!$B$47,(Quesería!$B$46-Quesería!$B$47)))/(Quesería!$B$46-Quesería!$B$47))*IF(D$43&gt;2,1-Quesería!$B$48,1),0)+IF(AND(D$43&gt;1,D$43&lt;=1+Quesería!$B$46),($C$14+$C$24)*(Quesería!$B$44*$C$93*$C$90)*(1-MAX(0,MIN((D$43-1)-1-Quesería!$B$47,(Quesería!$B$46-Quesería!$B$47)))/(Quesería!$B$46-Quesería!$B$47))*IF(D$43&gt;2,1-Quesería!$B$48,1),0))*D92</f>
        <v>144.267228437154</v>
      </c>
      <c r="E120" s="29" t="n">
        <f aca="false">(IF(AND(E$43&gt;0,E$43&lt;=0+Quesería!$B$46),($C$14+$C$24)*(Quesería!$B$44*$B$93*$B$90)*(1-MAX(0,MIN((E$43-1)-0-Quesería!$B$47,(Quesería!$B$46-Quesería!$B$47)))/(Quesería!$B$46-Quesería!$B$47))*IF(E$43&gt;2,1-Quesería!$B$48,1),0)+IF(AND(E$43&gt;1,E$43&lt;=1+Quesería!$B$46),($C$14+$C$24)*(Quesería!$B$44*$C$93*$C$90)*(1-MAX(0,MIN((E$43-1)-1-Quesería!$B$47,(Quesería!$B$46-Quesería!$B$47)))/(Quesería!$B$46-Quesería!$B$47))*IF(E$43&gt;2,1-Quesería!$B$48,1),0))*E92</f>
        <v>126.259041612202</v>
      </c>
      <c r="F120" s="29" t="n">
        <f aca="false">(IF(AND(F$43&gt;0,F$43&lt;=0+Quesería!$B$46),($C$14+$C$24)*(Quesería!$B$44*$B$93*$B$90)*(1-MAX(0,MIN((F$43-1)-0-Quesería!$B$47,(Quesería!$B$46-Quesería!$B$47)))/(Quesería!$B$46-Quesería!$B$47))*IF(F$43&gt;2,1-Quesería!$B$48,1),0)+IF(AND(F$43&gt;1,F$43&lt;=1+Quesería!$B$46),($C$14+$C$24)*(Quesería!$B$44*$C$93*$C$90)*(1-MAX(0,MIN((F$43-1)-1-Quesería!$B$47,(Quesería!$B$46-Quesería!$B$47)))/(Quesería!$B$46-Quesería!$B$47))*IF(F$43&gt;2,1-Quesería!$B$48,1),0))*F92</f>
        <v>99.1723975627135</v>
      </c>
      <c r="G120" s="29" t="n">
        <f aca="false">(IF(AND(G$43&gt;0,G$43&lt;=0+Quesería!$B$46),($C$14+$C$24)*(Quesería!$B$44*$B$93*$B$90)*(1-MAX(0,MIN((G$43-1)-0-Quesería!$B$47,(Quesería!$B$46-Quesería!$B$47)))/(Quesería!$B$46-Quesería!$B$47))*IF(G$43&gt;2,1-Quesería!$B$48,1),0)+IF(AND(G$43&gt;1,G$43&lt;=1+Quesería!$B$46),($C$14+$C$24)*(Quesería!$B$44*$C$93*$C$90)*(1-MAX(0,MIN((G$43-1)-1-Quesería!$B$47,(Quesería!$B$46-Quesería!$B$47)))/(Quesería!$B$46-Quesería!$B$47))*IF(G$43&gt;2,1-Quesería!$B$48,1),0))*G92</f>
        <v>73.9825677868365</v>
      </c>
      <c r="H120" s="29" t="n">
        <f aca="false">(IF(AND(H$43&gt;0,H$43&lt;=0+Quesería!$B$46),($C$14+$C$24)*(Quesería!$B$44*$B$93*$B$90)*(1-MAX(0,MIN((H$43-1)-0-Quesería!$B$47,(Quesería!$B$46-Quesería!$B$47)))/(Quesería!$B$46-Quesería!$B$47))*IF(H$43&gt;2,1-Quesería!$B$48,1),0)+IF(AND(H$43&gt;1,H$43&lt;=1+Quesería!$B$46),($C$14+$C$24)*(Quesería!$B$44*$C$93*$C$90)*(1-MAX(0,MIN((H$43-1)-1-Quesería!$B$47,(Quesería!$B$46-Quesería!$B$47)))/(Quesería!$B$46-Quesería!$B$47))*IF(H$43&gt;2,1-Quesería!$B$48,1),0))*H92</f>
        <v>50.583712494366</v>
      </c>
      <c r="I120" s="29" t="n">
        <f aca="false">(IF(AND(I$43&gt;0,I$43&lt;=0+Quesería!$B$46),($C$14+$C$24)*(Quesería!$B$44*$B$93*$B$90)*(1-MAX(0,MIN((I$43-1)-0-Quesería!$B$47,(Quesería!$B$46-Quesería!$B$47)))/(Quesería!$B$46-Quesería!$B$47))*IF(I$43&gt;2,1-Quesería!$B$48,1),0)+IF(AND(I$43&gt;1,I$43&lt;=1+Quesería!$B$46),($C$14+$C$24)*(Quesería!$B$44*$C$93*$C$90)*(1-MAX(0,MIN((I$43-1)-1-Quesería!$B$47,(Quesería!$B$46-Quesería!$B$47)))/(Quesería!$B$46-Quesería!$B$47))*IF(I$43&gt;2,1-Quesería!$B$48,1),0))*I92</f>
        <v>28.8753274791465</v>
      </c>
      <c r="J120" s="29" t="n">
        <f aca="false">(IF(AND(J$43&gt;0,J$43&lt;=0+Quesería!$B$46),($C$14+$C$24)*(Quesería!$B$44*$B$93*$B$90)*(1-MAX(0,MIN((J$43-1)-0-Quesería!$B$47,(Quesería!$B$46-Quesería!$B$47)))/(Quesería!$B$46-Quesería!$B$47))*IF(J$43&gt;2,1-Quesería!$B$48,1),0)+IF(AND(J$43&gt;1,J$43&lt;=1+Quesería!$B$46),($C$14+$C$24)*(Quesería!$B$44*$C$93*$C$90)*(1-MAX(0,MIN((J$43-1)-1-Quesería!$B$47,(Quesería!$B$46-Quesería!$B$47)))/(Quesería!$B$46-Quesería!$B$47))*IF(J$43&gt;2,1-Quesería!$B$48,1),0))*J92</f>
        <v>8.76199025726588</v>
      </c>
      <c r="K120" s="29" t="n">
        <f aca="false">(IF(AND(K$43&gt;0,K$43&lt;=0+Quesería!$B$46),($C$14+$C$24)*(Quesería!$B$44*$B$93*$B$90)*(1-MAX(0,MIN((K$43-1)-0-Quesería!$B$47,(Quesería!$B$46-Quesería!$B$47)))/(Quesería!$B$46-Quesería!$B$47))*IF(K$43&gt;2,1-Quesería!$B$48,1),0)+IF(AND(K$43&gt;1,K$43&lt;=1+Quesería!$B$46),($C$14+$C$24)*(Quesería!$B$44*$C$93*$C$90)*(1-MAX(0,MIN((K$43-1)-1-Quesería!$B$47,(Quesería!$B$46-Quesería!$B$47)))/(Quesería!$B$46-Quesería!$B$47))*IF(K$43&gt;2,1-Quesería!$B$48,1),0))*K92</f>
        <v>0</v>
      </c>
      <c r="L120" s="29" t="n">
        <f aca="false">(IF(AND(L$43&gt;0,L$43&lt;=0+Quesería!$B$46),($C$14+$C$24)*(Quesería!$B$44*$B$93*$B$90)*(1-MAX(0,MIN((L$43-1)-0-Quesería!$B$47,(Quesería!$B$46-Quesería!$B$47)))/(Quesería!$B$46-Quesería!$B$47))*IF(L$43&gt;2,1-Quesería!$B$48,1),0)+IF(AND(L$43&gt;1,L$43&lt;=1+Quesería!$B$46),($C$14+$C$24)*(Quesería!$B$44*$C$93*$C$90)*(1-MAX(0,MIN((L$43-1)-1-Quesería!$B$47,(Quesería!$B$46-Quesería!$B$47)))/(Quesería!$B$46-Quesería!$B$47))*IF(L$43&gt;2,1-Quesería!$B$48,1),0))*L92</f>
        <v>0</v>
      </c>
    </row>
    <row r="121" customFormat="false" ht="15" hidden="true" customHeight="false" outlineLevel="1" collapsed="false">
      <c r="A121" s="6" t="s">
        <v>432</v>
      </c>
      <c r="B121" s="29" t="n">
        <f aca="false">((IF(AND(B$43&gt;0+Quesería!$B$47,B$43&lt;=0+Quesería!$B$46),(Quesería!$B$44*$B$93*$B$90)/(Quesería!$B$46-Quesería!$B$47),0)*IF(B$43&gt;2,1-Quesería!$B$48,1)+IF(B$43=2,Quesería!$B$48*(Quesería!$B$44*$B$93*$B$90)*(1-MAX(0,MIN(2-0-Quesería!$B$47,(Quesería!$B$46-Quesería!$B$47)))/(Quesería!$B$46-Quesería!$B$47)),0))+(IF(AND(B$43&gt;1+Quesería!$B$47,B$43&lt;=1+Quesería!$B$46),(Quesería!$B$44*$C$93*$C$90)/(Quesería!$B$46-Quesería!$B$47),0)*IF(B$43&gt;2,1-Quesería!$B$48,1)+IF(B$43=2,Quesería!$B$48*(Quesería!$B$44*$C$93*$C$90)*(1-MAX(0,MIN(2-1-Quesería!$B$47,(Quesería!$B$46-Quesería!$B$47)))/(Quesería!$B$46-Quesería!$B$47)),0)))*B92</f>
        <v>0</v>
      </c>
      <c r="C121" s="29" t="n">
        <f aca="false">((IF(AND(C$43&gt;0+Quesería!$B$47,C$43&lt;=0+Quesería!$B$46),(Quesería!$B$44*$B$93*$B$90)/(Quesería!$B$46-Quesería!$B$47),0)*IF(C$43&gt;2,1-Quesería!$B$48,1)+IF(C$43=2,Quesería!$B$48*(Quesería!$B$44*$B$93*$B$90)*(1-MAX(0,MIN(2-0-Quesería!$B$47,(Quesería!$B$46-Quesería!$B$47)))/(Quesería!$B$46-Quesería!$B$47)),0))+(IF(AND(C$43&gt;1+Quesería!$B$47,C$43&lt;=1+Quesería!$B$46),(Quesería!$B$44*$C$93*$C$90)/(Quesería!$B$46-Quesería!$B$47),0)*IF(C$43&gt;2,1-Quesería!$B$48,1)+IF(C$43=2,Quesería!$B$48*(Quesería!$B$44*$C$93*$C$90)*(1-MAX(0,MIN(2-1-Quesería!$B$47,(Quesería!$B$46-Quesería!$B$47)))/(Quesería!$B$46-Quesería!$B$47)),0)))*C92</f>
        <v>0</v>
      </c>
      <c r="D121" s="29" t="n">
        <f aca="false">((IF(AND(D$43&gt;0+Quesería!$B$47,D$43&lt;=0+Quesería!$B$46),(Quesería!$B$44*$B$93*$B$90)/(Quesería!$B$46-Quesería!$B$47),0)*IF(D$43&gt;2,1-Quesería!$B$48,1)+IF(D$43=2,Quesería!$B$48*(Quesería!$B$44*$B$93*$B$90)*(1-MAX(0,MIN(2-0-Quesería!$B$47,(Quesería!$B$46-Quesería!$B$47)))/(Quesería!$B$46-Quesería!$B$47)),0))+(IF(AND(D$43&gt;1+Quesería!$B$47,D$43&lt;=1+Quesería!$B$46),(Quesería!$B$44*$C$93*$C$90)/(Quesería!$B$46-Quesería!$B$47),0)*IF(D$43&gt;2,1-Quesería!$B$48,1)+IF(D$43=2,Quesería!$B$48*(Quesería!$B$44*$C$93*$C$90)*(1-MAX(0,MIN(2-1-Quesería!$B$47,(Quesería!$B$46-Quesería!$B$47)))/(Quesería!$B$46-Quesería!$B$47)),0)))*D92</f>
        <v>91.8994692231472</v>
      </c>
      <c r="E121" s="29" t="n">
        <f aca="false">((IF(AND(E$43&gt;0+Quesería!$B$47,E$43&lt;=0+Quesería!$B$46),(Quesería!$B$44*$B$93*$B$90)/(Quesería!$B$46-Quesería!$B$47),0)*IF(E$43&gt;2,1-Quesería!$B$48,1)+IF(E$43=2,Quesería!$B$48*(Quesería!$B$44*$B$93*$B$90)*(1-MAX(0,MIN(2-0-Quesería!$B$47,(Quesería!$B$46-Quesería!$B$47)))/(Quesería!$B$46-Quesería!$B$47)),0))+(IF(AND(E$43&gt;1+Quesería!$B$47,E$43&lt;=1+Quesería!$B$46),(Quesería!$B$44*$C$93*$C$90)/(Quesería!$B$46-Quesería!$B$47),0)*IF(E$43&gt;2,1-Quesería!$B$48,1)+IF(E$43=2,Quesería!$B$48*(Quesería!$B$44*$C$93*$C$90)*(1-MAX(0,MIN(2-1-Quesería!$B$47,(Quesería!$B$46-Quesería!$B$47)))/(Quesería!$B$46-Quesería!$B$47)),0)))*E92</f>
        <v>163.969845014041</v>
      </c>
      <c r="F121" s="29" t="n">
        <f aca="false">((IF(AND(F$43&gt;0+Quesería!$B$47,F$43&lt;=0+Quesería!$B$46),(Quesería!$B$44*$B$93*$B$90)/(Quesería!$B$46-Quesería!$B$47),0)*IF(F$43&gt;2,1-Quesería!$B$48,1)+IF(F$43=2,Quesería!$B$48*(Quesería!$B$44*$B$93*$B$90)*(1-MAX(0,MIN(2-0-Quesería!$B$47,(Quesería!$B$46-Quesería!$B$47)))/(Quesería!$B$46-Quesería!$B$47)),0))+(IF(AND(F$43&gt;1+Quesería!$B$47,F$43&lt;=1+Quesería!$B$46),(Quesería!$B$44*$C$93*$C$90)/(Quesería!$B$46-Quesería!$B$47),0)*IF(F$43&gt;2,1-Quesería!$B$48,1)+IF(F$43=2,Quesería!$B$48*(Quesería!$B$44*$C$93*$C$90)*(1-MAX(0,MIN(2-1-Quesería!$B$47,(Quesería!$B$46-Quesería!$B$47)))/(Quesería!$B$46-Quesería!$B$47)),0)))*F92</f>
        <v>157.663312513501</v>
      </c>
      <c r="G121" s="29" t="n">
        <f aca="false">((IF(AND(G$43&gt;0+Quesería!$B$47,G$43&lt;=0+Quesería!$B$46),(Quesería!$B$44*$B$93*$B$90)/(Quesería!$B$46-Quesería!$B$47),0)*IF(G$43&gt;2,1-Quesería!$B$48,1)+IF(G$43=2,Quesería!$B$48*(Quesería!$B$44*$B$93*$B$90)*(1-MAX(0,MIN(2-0-Quesería!$B$47,(Quesería!$B$46-Quesería!$B$47)))/(Quesería!$B$46-Quesería!$B$47)),0))+(IF(AND(G$43&gt;1+Quesería!$B$47,G$43&lt;=1+Quesería!$B$46),(Quesería!$B$44*$C$93*$C$90)/(Quesería!$B$46-Quesería!$B$47),0)*IF(G$43&gt;2,1-Quesería!$B$48,1)+IF(G$43=2,Quesería!$B$48*(Quesería!$B$44*$C$93*$C$90)*(1-MAX(0,MIN(2-1-Quesería!$B$47,(Quesería!$B$46-Quesería!$B$47)))/(Quesería!$B$46-Quesería!$B$47)),0)))*G92</f>
        <v>151.599338955289</v>
      </c>
      <c r="H121" s="29" t="n">
        <f aca="false">((IF(AND(H$43&gt;0+Quesería!$B$47,H$43&lt;=0+Quesería!$B$46),(Quesería!$B$44*$B$93*$B$90)/(Quesería!$B$46-Quesería!$B$47),0)*IF(H$43&gt;2,1-Quesería!$B$48,1)+IF(H$43=2,Quesería!$B$48*(Quesería!$B$44*$B$93*$B$90)*(1-MAX(0,MIN(2-0-Quesería!$B$47,(Quesería!$B$46-Quesería!$B$47)))/(Quesería!$B$46-Quesería!$B$47)),0))+(IF(AND(H$43&gt;1+Quesería!$B$47,H$43&lt;=1+Quesería!$B$46),(Quesería!$B$44*$C$93*$C$90)/(Quesería!$B$46-Quesería!$B$47),0)*IF(H$43&gt;2,1-Quesería!$B$48,1)+IF(H$43=2,Quesería!$B$48*(Quesería!$B$44*$C$93*$C$90)*(1-MAX(0,MIN(2-1-Quesería!$B$47,(Quesería!$B$46-Quesería!$B$47)))/(Quesería!$B$46-Quesería!$B$47)),0)))*H92</f>
        <v>145.768595149317</v>
      </c>
      <c r="I121" s="29" t="n">
        <f aca="false">((IF(AND(I$43&gt;0+Quesería!$B$47,I$43&lt;=0+Quesería!$B$46),(Quesería!$B$44*$B$93*$B$90)/(Quesería!$B$46-Quesería!$B$47),0)*IF(I$43&gt;2,1-Quesería!$B$48,1)+IF(I$43=2,Quesería!$B$48*(Quesería!$B$44*$B$93*$B$90)*(1-MAX(0,MIN(2-0-Quesería!$B$47,(Quesería!$B$46-Quesería!$B$47)))/(Quesería!$B$46-Quesería!$B$47)),0))+(IF(AND(I$43&gt;1+Quesería!$B$47,I$43&lt;=1+Quesería!$B$46),(Quesería!$B$44*$C$93*$C$90)/(Quesería!$B$46-Quesería!$B$47),0)*IF(I$43&gt;2,1-Quesería!$B$48,1)+IF(I$43=2,Quesería!$B$48*(Quesería!$B$44*$C$93*$C$90)*(1-MAX(0,MIN(2-1-Quesería!$B$47,(Quesería!$B$46-Quesería!$B$47)))/(Quesería!$B$46-Quesería!$B$47)),0)))*I92</f>
        <v>140.162110720497</v>
      </c>
      <c r="J121" s="29" t="n">
        <f aca="false">((IF(AND(J$43&gt;0+Quesería!$B$47,J$43&lt;=0+Quesería!$B$46),(Quesería!$B$44*$B$93*$B$90)/(Quesería!$B$46-Quesería!$B$47),0)*IF(J$43&gt;2,1-Quesería!$B$48,1)+IF(J$43=2,Quesería!$B$48*(Quesería!$B$44*$B$93*$B$90)*(1-MAX(0,MIN(2-0-Quesería!$B$47,(Quesería!$B$46-Quesería!$B$47)))/(Quesería!$B$46-Quesería!$B$47)),0))+(IF(AND(J$43&gt;1+Quesería!$B$47,J$43&lt;=1+Quesería!$B$46),(Quesería!$B$44*$C$93*$C$90)/(Quesería!$B$46-Quesería!$B$47),0)*IF(J$43&gt;2,1-Quesería!$B$48,1)+IF(J$43=2,Quesería!$B$48*(Quesería!$B$44*$C$93*$C$90)*(1-MAX(0,MIN(2-1-Quesería!$B$47,(Quesería!$B$46-Quesería!$B$47)))/(Quesería!$B$46-Quesería!$B$47)),0)))*J92</f>
        <v>62.1417748742261</v>
      </c>
      <c r="K121" s="29" t="n">
        <f aca="false">((IF(AND(K$43&gt;0+Quesería!$B$47,K$43&lt;=0+Quesería!$B$46),(Quesería!$B$44*$B$93*$B$90)/(Quesería!$B$46-Quesería!$B$47),0)*IF(K$43&gt;2,1-Quesería!$B$48,1)+IF(K$43=2,Quesería!$B$48*(Quesería!$B$44*$B$93*$B$90)*(1-MAX(0,MIN(2-0-Quesería!$B$47,(Quesería!$B$46-Quesería!$B$47)))/(Quesería!$B$46-Quesería!$B$47)),0))+(IF(AND(K$43&gt;1+Quesería!$B$47,K$43&lt;=1+Quesería!$B$46),(Quesería!$B$44*$C$93*$C$90)/(Quesería!$B$46-Quesería!$B$47),0)*IF(K$43&gt;2,1-Quesería!$B$48,1)+IF(K$43=2,Quesería!$B$48*(Quesería!$B$44*$C$93*$C$90)*(1-MAX(0,MIN(2-1-Quesería!$B$47,(Quesería!$B$46-Quesería!$B$47)))/(Quesería!$B$46-Quesería!$B$47)),0)))*K92</f>
        <v>0</v>
      </c>
      <c r="L121" s="29" t="n">
        <f aca="false">((IF(AND(L$43&gt;0+Quesería!$B$47,L$43&lt;=0+Quesería!$B$46),(Quesería!$B$44*$B$93*$B$90)/(Quesería!$B$46-Quesería!$B$47),0)*IF(L$43&gt;2,1-Quesería!$B$48,1)+IF(L$43=2,Quesería!$B$48*(Quesería!$B$44*$B$93*$B$90)*(1-MAX(0,MIN(2-0-Quesería!$B$47,(Quesería!$B$46-Quesería!$B$47)))/(Quesería!$B$46-Quesería!$B$47)),0))+(IF(AND(L$43&gt;1+Quesería!$B$47,L$43&lt;=1+Quesería!$B$46),(Quesería!$B$44*$C$93*$C$90)/(Quesería!$B$46-Quesería!$B$47),0)*IF(L$43&gt;2,1-Quesería!$B$48,1)+IF(L$43=2,Quesería!$B$48*(Quesería!$B$44*$C$93*$C$90)*(1-MAX(0,MIN(2-1-Quesería!$B$47,(Quesería!$B$46-Quesería!$B$47)))/(Quesería!$B$46-Quesería!$B$47)),0)))*L92</f>
        <v>0</v>
      </c>
    </row>
    <row r="122" customFormat="false" ht="15" hidden="true" customHeight="false" outlineLevel="1" collapsed="false">
      <c r="A122" s="6" t="s">
        <v>433</v>
      </c>
      <c r="B122" s="29" t="n">
        <f aca="false">$C$13*Quesería!$B$51*(1+0.19)*B118*B92+(1-$C$13)*IF(B$43=0,Quesería!$B$50,0)</f>
        <v>14.327482305488</v>
      </c>
      <c r="C122" s="29" t="n">
        <f aca="false">$C$13*Quesería!$B$51*(1+0.19)*C118*C92+(1-$C$13)*IF(C$43=0,Quesería!$B$50,0)</f>
        <v>25.3200701224691</v>
      </c>
      <c r="D122" s="29" t="n">
        <f aca="false">$C$13*Quesería!$B$51*(1+0.19)*D118*D92+(1-$C$13)*IF(D$43=0,Quesería!$B$50,0)</f>
        <v>22.0534608439383</v>
      </c>
      <c r="E122" s="29" t="n">
        <f aca="false">$C$13*Quesería!$B$51*(1+0.19)*E118*E92+(1-$C$13)*IF(E$43=0,Quesería!$B$50,0)</f>
        <v>17.3222809117016</v>
      </c>
      <c r="F122" s="29" t="n">
        <f aca="false">$C$13*Quesería!$B$51*(1+0.19)*F118*F92+(1-$C$13)*IF(F$43=0,Quesería!$B$50,0)</f>
        <v>12.9224144345424</v>
      </c>
      <c r="G122" s="29" t="n">
        <f aca="false">$C$13*Quesería!$B$51*(1+0.19)*G118*G92+(1-$C$13)*IF(G$43=0,Quesería!$B$50,0)</f>
        <v>8.8353745489521</v>
      </c>
      <c r="H122" s="29" t="n">
        <f aca="false">$C$13*Quesería!$B$51*(1+0.19)*H118*H92+(1-$C$13)*IF(H$43=0,Quesería!$B$50,0)</f>
        <v>5.04360634918451</v>
      </c>
      <c r="I122" s="29" t="n">
        <f aca="false">$C$13*Quesería!$B$51*(1+0.19)*I118*I92+(1-$C$13)*IF(I$43=0,Quesería!$B$50,0)</f>
        <v>1.53044254562841</v>
      </c>
      <c r="J122" s="29" t="n">
        <f aca="false">$C$13*Quesería!$B$51*(1+0.19)*J118*J92+(1-$C$13)*IF(J$43=0,Quesería!$B$50,0)</f>
        <v>0</v>
      </c>
      <c r="K122" s="29" t="n">
        <f aca="false">$C$13*Quesería!$B$51*(1+0.19)*K118*K92+(1-$C$13)*IF(K$43=0,Quesería!$B$50,0)</f>
        <v>0</v>
      </c>
      <c r="L122" s="29" t="n">
        <f aca="false">$C$13*Quesería!$B$51*(1+0.19)*L118*L92+(1-$C$13)*IF(L$43=0,Quesería!$B$50,0)</f>
        <v>0</v>
      </c>
    </row>
    <row r="123" customFormat="false" ht="15" hidden="true" customHeight="false" outlineLevel="1" collapsed="false">
      <c r="A123" s="6" t="s">
        <v>434</v>
      </c>
      <c r="B123" s="29" t="n">
        <f aca="false">Quesería!$B$52*(B120+B121+B122)</f>
        <v>0.057309929221952</v>
      </c>
      <c r="C123" s="29" t="n">
        <f aca="false">Quesería!$B$52*(C120+C121+C122)</f>
        <v>0.426262535514308</v>
      </c>
      <c r="D123" s="29" t="n">
        <f aca="false">Quesería!$B$52*(D120+D121+D122)</f>
        <v>1.03288063401696</v>
      </c>
      <c r="E123" s="29" t="n">
        <f aca="false">Quesería!$B$52*(E120+E121+E122)</f>
        <v>1.23020467015178</v>
      </c>
      <c r="F123" s="29" t="n">
        <f aca="false">Quesería!$B$52*(F120+F121+F122)</f>
        <v>1.07903249804303</v>
      </c>
      <c r="G123" s="29" t="n">
        <f aca="false">Quesería!$B$52*(G120+G121+G122)</f>
        <v>0.937669125164311</v>
      </c>
      <c r="H123" s="29" t="n">
        <f aca="false">Quesería!$B$52*(H120+H121+H122)</f>
        <v>0.805583655971468</v>
      </c>
      <c r="I123" s="29" t="n">
        <f aca="false">Quesería!$B$52*(I120+I121+I122)</f>
        <v>0.682271522981086</v>
      </c>
      <c r="J123" s="29" t="n">
        <f aca="false">Quesería!$B$52*(J120+J121+J122)</f>
        <v>0.283615060525968</v>
      </c>
      <c r="K123" s="29" t="n">
        <f aca="false">Quesería!$B$52*(K120+K121+K122)</f>
        <v>0</v>
      </c>
      <c r="L123" s="29" t="n">
        <f aca="false">Quesería!$B$52*(L120+L121+L122)</f>
        <v>0</v>
      </c>
    </row>
    <row r="124" customFormat="false" ht="15" hidden="true" customHeight="false" outlineLevel="1" collapsed="false">
      <c r="A124" s="6" t="s">
        <v>435</v>
      </c>
      <c r="B124" s="29" t="n">
        <f aca="false">$C$17*(B120+B122+0.5*B123)</f>
        <v>5.02464804453464</v>
      </c>
      <c r="C124" s="29" t="n">
        <f aca="false">$C$17*(C120+C122+0.5*C123)</f>
        <v>37.3725678012169</v>
      </c>
      <c r="D124" s="29" t="n">
        <f aca="false">$C$17*(D120+D122+0.5*D123)</f>
        <v>58.3929953593351</v>
      </c>
      <c r="E124" s="29" t="n">
        <f aca="false">$C$17*(E120+E122+0.5*E123)</f>
        <v>50.4687487006427</v>
      </c>
      <c r="F124" s="29" t="n">
        <f aca="false">$C$17*(F120+F122+0.5*F123)</f>
        <v>39.4220148861971</v>
      </c>
      <c r="G124" s="29" t="n">
        <f aca="false">$C$17*(G120+G122+0.5*G123)</f>
        <v>29.1503719144297</v>
      </c>
      <c r="H124" s="29" t="n">
        <f aca="false">$C$17*(H120+H122+0.5*H123)</f>
        <v>19.6105387350377</v>
      </c>
      <c r="I124" s="29" t="n">
        <f aca="false">$C$17*(I120+I122+0.5*I123)</f>
        <v>10.7614170251929</v>
      </c>
      <c r="J124" s="29" t="n">
        <f aca="false">$C$17*(J120+J122+0.5*J123)</f>
        <v>3.1163292256351</v>
      </c>
      <c r="K124" s="29" t="n">
        <f aca="false">$C$17*(K120+K122+0.5*K123)</f>
        <v>0</v>
      </c>
      <c r="L124" s="29" t="n">
        <f aca="false">$C$17*(L120+L122+0.5*L123)</f>
        <v>0</v>
      </c>
    </row>
    <row r="125" customFormat="false" ht="15" hidden="true" customHeight="false" outlineLevel="1" collapsed="false">
      <c r="A125" s="5" t="s">
        <v>436</v>
      </c>
      <c r="B125" s="59" t="n">
        <f aca="false">B110+B119-B120-B121-B122-B123+B124</f>
        <v>-393.145322134896</v>
      </c>
      <c r="C125" s="59" t="n">
        <f aca="false">C110+C119-C120-C121-C122-C123+C124</f>
        <v>-276.042195666799</v>
      </c>
      <c r="D125" s="59" t="n">
        <f aca="false">D110+D119-D120-D121-D122-D123+D124</f>
        <v>125.069366327936</v>
      </c>
      <c r="E125" s="59" t="n">
        <f aca="false">E110+E119-E120-E121-E122-E123+E124</f>
        <v>-34.0359307772815</v>
      </c>
      <c r="F125" s="59" t="n">
        <f aca="false">F110+F119-F120-F121-F122-F123+F124</f>
        <v>-4.68567103206156</v>
      </c>
      <c r="G125" s="59" t="n">
        <f aca="false">G110+G119-G120-G121-G122-G123+G124</f>
        <v>-13.9981705221196</v>
      </c>
      <c r="H125" s="59" t="n">
        <f aca="false">H110+H119-H120-H121-H122-H123+H124</f>
        <v>-12.0756001623287</v>
      </c>
      <c r="I125" s="59" t="n">
        <f aca="false">I110+I119-I120-I121-I122-I123+I124</f>
        <v>70.4979631898244</v>
      </c>
      <c r="J125" s="59" t="n">
        <f aca="false">J110+J119-J120-J121-J122-J123+J124</f>
        <v>152.891178120774</v>
      </c>
      <c r="K125" s="59" t="n">
        <f aca="false">K110+K119-K120-K121-K122-K123+K124</f>
        <v>219.478982282258</v>
      </c>
      <c r="L125" s="59" t="n">
        <f aca="false">L110+L119-L120-L121-L122-L123+L124</f>
        <v>244.463048214619</v>
      </c>
    </row>
    <row r="126" customFormat="false" ht="15" hidden="true" customHeight="false" outlineLevel="1" collapsed="false">
      <c r="A126" s="9" t="s">
        <v>437</v>
      </c>
      <c r="B126" s="58" t="n">
        <f aca="false">B125*B90</f>
        <v>-416.73404146299</v>
      </c>
      <c r="C126" s="58" t="n">
        <f aca="false">C125*C90</f>
        <v>-307.234963777147</v>
      </c>
      <c r="D126" s="58" t="n">
        <f aca="false">D125*D90</f>
        <v>145.466303935527</v>
      </c>
      <c r="E126" s="58" t="n">
        <f aca="false">E125*E90</f>
        <v>-41.1701477700183</v>
      </c>
      <c r="F126" s="58" t="n">
        <f aca="false">F125*F90</f>
        <v>-5.89454012161907</v>
      </c>
      <c r="G126" s="58" t="n">
        <f aca="false">G125*G90</f>
        <v>-18.3139807074805</v>
      </c>
      <c r="H126" s="58" t="n">
        <f aca="false">H125*H90</f>
        <v>-16.4306042976732</v>
      </c>
      <c r="I126" s="58" t="n">
        <f aca="false">I125*I90</f>
        <v>99.7596050091628</v>
      </c>
      <c r="J126" s="58" t="n">
        <f aca="false">J125*J90</f>
        <v>225.005906022433</v>
      </c>
      <c r="K126" s="58" t="n">
        <f aca="false">K125*K90</f>
        <v>335.921474234323</v>
      </c>
      <c r="L126" s="58" t="n">
        <f aca="false">L125*L90</f>
        <v>389.127023307953</v>
      </c>
    </row>
    <row r="127" customFormat="false" ht="15" hidden="true" customHeight="false" outlineLevel="1" collapsed="false">
      <c r="A127" s="9" t="s">
        <v>438</v>
      </c>
      <c r="B127" s="57" t="n">
        <f aca="false">(B90/$B$90)/(1+Quesería!$B$11+$C$24)^B$43</f>
        <v>1</v>
      </c>
      <c r="C127" s="57" t="n">
        <f aca="false">(C90/$B$90)/(1+Quesería!$B$11+$C$24)^C$43</f>
        <v>0.84</v>
      </c>
      <c r="D127" s="57" t="n">
        <f aca="false">(D90/$B$90)/(1+Quesería!$B$11+$C$24)^D$43</f>
        <v>0.70224</v>
      </c>
      <c r="E127" s="57" t="n">
        <f aca="false">(E90/$B$90)/(1+Quesería!$B$11+$C$24)^E$43</f>
        <v>0.58426368</v>
      </c>
      <c r="F127" s="57" t="n">
        <f aca="false">(F90/$B$90)/(1+Quesería!$B$11+$C$24)^F$43</f>
        <v>0.48610738176</v>
      </c>
      <c r="G127" s="57" t="n">
        <f aca="false">(G90/$B$90)/(1+Quesería!$B$11+$C$24)^G$43</f>
        <v>0.40444134162432</v>
      </c>
      <c r="H127" s="57" t="n">
        <f aca="false">(H90/$B$90)/(1+Quesería!$B$11+$C$24)^H$43</f>
        <v>0.336495196231434</v>
      </c>
      <c r="I127" s="57" t="n">
        <f aca="false">(I90/$B$90)/(1+Quesería!$B$11+$C$24)^I$43</f>
        <v>0.279964003264553</v>
      </c>
      <c r="J127" s="57" t="n">
        <f aca="false">(J90/$B$90)/(1+Quesería!$B$11+$C$24)^J$43</f>
        <v>0.232930050716108</v>
      </c>
      <c r="K127" s="57" t="n">
        <f aca="false">(K90/$B$90)/(1+Quesería!$B$11+$C$24)^K$43</f>
        <v>0.193797802195802</v>
      </c>
      <c r="L127" s="57" t="n">
        <f aca="false">(L90/$B$90)/(1+Quesería!$B$11+$C$24)^L$43</f>
        <v>0.161239771426907</v>
      </c>
    </row>
    <row r="128" customFormat="false" ht="15" hidden="true" customHeight="false" outlineLevel="1" collapsed="false">
      <c r="A128" s="9" t="s">
        <v>439</v>
      </c>
      <c r="B128" s="58" t="n">
        <f aca="false">B110+B93+B95+B124</f>
        <v>96.1352254610782</v>
      </c>
      <c r="C128" s="58" t="n">
        <f aca="false">C110+C93+C95+C124</f>
        <v>240.522996751522</v>
      </c>
      <c r="D128" s="58" t="n">
        <f aca="false">D110+D93+D95+D124</f>
        <v>384.322405466192</v>
      </c>
      <c r="E128" s="58" t="n">
        <f aca="false">E110+E93+E95+E124</f>
        <v>274.745441430814</v>
      </c>
      <c r="F128" s="58" t="n">
        <f aca="false">F110+F93+F95+F124</f>
        <v>266.151485976738</v>
      </c>
      <c r="G128" s="58" t="n">
        <f aca="false">G110+G93+G95+G124</f>
        <v>226.575171175208</v>
      </c>
      <c r="H128" s="58" t="n">
        <f aca="false">H110+H93+H95+H124</f>
        <v>198.939837071591</v>
      </c>
      <c r="I128" s="58" t="n">
        <f aca="false">I110+I93+I95+I124</f>
        <v>241.748115458077</v>
      </c>
      <c r="J128" s="58" t="n">
        <f aca="false">J110+J93+J95+J124</f>
        <v>224.078558312792</v>
      </c>
      <c r="K128" s="58" t="n">
        <f aca="false">K110+K93+K95+K124</f>
        <v>219.478982282258</v>
      </c>
      <c r="L128" s="58" t="n">
        <f aca="false">L110+L93+L95+L124</f>
        <v>244.463048214619</v>
      </c>
    </row>
    <row r="129" customFormat="false" ht="15" hidden="true" customHeight="false" outlineLevel="1" collapsed="false">
      <c r="A129" s="5" t="s">
        <v>149</v>
      </c>
      <c r="B129" s="12" t="str">
        <f aca="false">IF(AND(B$43&gt;=1,(B120+B121+B122)&gt;0.001),B128/(B120+B121+B122),"")</f>
        <v/>
      </c>
      <c r="C129" s="12" t="n">
        <f aca="false">IF(AND(C$43&gt;=1,(C120+C121+C122)&gt;0.001),C128/(C120+C121+C122),"")</f>
        <v>2.25704092395846</v>
      </c>
      <c r="D129" s="12" t="n">
        <f aca="false">IF(AND(D$43&gt;=1,(D120+D121+D122)&gt;0.001),D128/(D120+D121+D122),"")</f>
        <v>1.48835167514578</v>
      </c>
      <c r="E129" s="12" t="n">
        <f aca="false">IF(AND(E$43&gt;=1,(E120+E121+E122)&gt;0.001),E128/(E120+E121+E122),"")</f>
        <v>0.893332461164914</v>
      </c>
      <c r="F129" s="12" t="n">
        <f aca="false">IF(AND(F$43&gt;=1,(F120+F121+F122)&gt;0.001),F128/(F120+F121+F122),"")</f>
        <v>0.986630102279367</v>
      </c>
      <c r="G129" s="12" t="n">
        <f aca="false">IF(AND(G$43&gt;=1,(G120+G121+G122)&gt;0.001),G128/(G120+G121+G122),"")</f>
        <v>0.966546365213869</v>
      </c>
      <c r="H129" s="12" t="n">
        <f aca="false">IF(AND(H$43&gt;=1,(H120+H121+H122)&gt;0.001),H128/(H120+H121+H122),"")</f>
        <v>0.987804733112099</v>
      </c>
      <c r="I129" s="12" t="n">
        <f aca="false">IF(AND(I$43&gt;=1,(I120+I121+I122)&gt;0.001),I128/(I120+I121+I122),"")</f>
        <v>1.41731323858744</v>
      </c>
      <c r="J129" s="12" t="n">
        <f aca="false">IF(AND(J$43&gt;=1,(J120+J121+J122)&gt;0.001),J128/(J120+J121+J122),"")</f>
        <v>3.16031959511932</v>
      </c>
      <c r="K129" s="12" t="str">
        <f aca="false">IF(AND(K$43&gt;=1,(K120+K121+K122)&gt;0.001),K128/(K120+K121+K122),"")</f>
        <v/>
      </c>
      <c r="L129" s="12" t="str">
        <f aca="false">IF(AND(L$43&gt;=1,(L120+L121+L122)&gt;0.001),L128/(L120+L121+L122),"")</f>
        <v/>
      </c>
    </row>
    <row r="131" customFormat="false" ht="15" hidden="false" customHeight="false" outlineLevel="0" collapsed="false">
      <c r="A131" s="43" t="s">
        <v>174</v>
      </c>
      <c r="B131" s="44"/>
      <c r="C131" s="44"/>
      <c r="D131" s="44"/>
      <c r="E131" s="44"/>
      <c r="F131" s="44"/>
      <c r="G131" s="44"/>
      <c r="H131" s="44"/>
      <c r="I131" s="44"/>
      <c r="J131" s="44"/>
      <c r="K131" s="44"/>
      <c r="L131" s="44"/>
    </row>
    <row r="132" customFormat="false" ht="15" hidden="true" customHeight="false" outlineLevel="1" collapsed="false">
      <c r="A132" s="9" t="s">
        <v>405</v>
      </c>
      <c r="B132" s="56" t="n">
        <f aca="false">CHOOSE($D$15,Entorno!B$7,Entorno!B$8,Entorno!B$9)</f>
        <v>0.06</v>
      </c>
      <c r="C132" s="56" t="n">
        <f aca="false">CHOOSE($D$15,Entorno!C$7,Entorno!C$8,Entorno!C$9)</f>
        <v>0.05</v>
      </c>
      <c r="D132" s="56" t="n">
        <f aca="false">CHOOSE($D$15,Entorno!D$7,Entorno!D$8,Entorno!D$9)</f>
        <v>0.045</v>
      </c>
      <c r="E132" s="56" t="n">
        <f aca="false">CHOOSE($D$15,Entorno!E$7,Entorno!E$8,Entorno!E$9)</f>
        <v>0.04</v>
      </c>
      <c r="F132" s="56" t="n">
        <f aca="false">CHOOSE($D$15,Entorno!F$7,Entorno!F$8,Entorno!F$9)</f>
        <v>0.04</v>
      </c>
      <c r="G132" s="56" t="n">
        <f aca="false">CHOOSE($D$15,Entorno!G$7,Entorno!G$8,Entorno!G$9)</f>
        <v>0.04</v>
      </c>
      <c r="H132" s="56" t="n">
        <f aca="false">CHOOSE($D$15,Entorno!H$7,Entorno!H$8,Entorno!H$9)</f>
        <v>0.04</v>
      </c>
      <c r="I132" s="56" t="n">
        <f aca="false">CHOOSE($D$15,Entorno!I$7,Entorno!I$8,Entorno!I$9)</f>
        <v>0.04</v>
      </c>
      <c r="J132" s="56" t="n">
        <f aca="false">CHOOSE($D$15,Entorno!J$7,Entorno!J$8,Entorno!J$9)</f>
        <v>0.04</v>
      </c>
      <c r="K132" s="56" t="n">
        <f aca="false">CHOOSE($D$15,Entorno!K$7,Entorno!K$8,Entorno!K$9)</f>
        <v>0.04</v>
      </c>
      <c r="L132" s="56" t="n">
        <f aca="false">CHOOSE($D$15,Entorno!L$7,Entorno!L$8,Entorno!L$9)</f>
        <v>0.04</v>
      </c>
    </row>
    <row r="133" customFormat="false" ht="15" hidden="true" customHeight="false" outlineLevel="1" collapsed="false">
      <c r="A133" s="9" t="s">
        <v>406</v>
      </c>
      <c r="B133" s="57" t="n">
        <f aca="false">1+B132</f>
        <v>1.06</v>
      </c>
      <c r="C133" s="57" t="n">
        <f aca="false">B133*(1+C132)</f>
        <v>1.113</v>
      </c>
      <c r="D133" s="57" t="n">
        <f aca="false">C133*(1+D132)</f>
        <v>1.163085</v>
      </c>
      <c r="E133" s="57" t="n">
        <f aca="false">D133*(1+E132)</f>
        <v>1.2096084</v>
      </c>
      <c r="F133" s="57" t="n">
        <f aca="false">E133*(1+F132)</f>
        <v>1.257992736</v>
      </c>
      <c r="G133" s="57" t="n">
        <f aca="false">F133*(1+G132)</f>
        <v>1.30831244544</v>
      </c>
      <c r="H133" s="57" t="n">
        <f aca="false">G133*(1+H132)</f>
        <v>1.3606449432576</v>
      </c>
      <c r="I133" s="57" t="n">
        <f aca="false">H133*(1+I132)</f>
        <v>1.4150707409879</v>
      </c>
      <c r="J133" s="57" t="n">
        <f aca="false">I133*(1+J132)</f>
        <v>1.47167357062742</v>
      </c>
      <c r="K133" s="57" t="n">
        <f aca="false">J133*(1+K132)</f>
        <v>1.53054051345252</v>
      </c>
      <c r="L133" s="57" t="n">
        <f aca="false">K133*(1+L132)</f>
        <v>1.59176213399062</v>
      </c>
    </row>
    <row r="134" customFormat="false" ht="15" hidden="true" customHeight="false" outlineLevel="1" collapsed="false">
      <c r="A134" s="9" t="s">
        <v>407</v>
      </c>
      <c r="B134" s="57" t="n">
        <f aca="false">(1+$D$16)/(1+B132)</f>
        <v>1.02358490566038</v>
      </c>
      <c r="C134" s="57" t="n">
        <f aca="false">B134*(1+Entorno!$B$13)</f>
        <v>1.02870283018868</v>
      </c>
      <c r="D134" s="57" t="n">
        <f aca="false">C134*(1+Entorno!$B$13)</f>
        <v>1.03384634433962</v>
      </c>
      <c r="E134" s="57" t="n">
        <f aca="false">D134*(1+Entorno!$B$13)</f>
        <v>1.03901557606132</v>
      </c>
      <c r="F134" s="57" t="n">
        <f aca="false">E134*(1+Entorno!$B$13)</f>
        <v>1.04421065394163</v>
      </c>
      <c r="G134" s="57" t="n">
        <f aca="false">F134*(1+Entorno!$B$13)</f>
        <v>1.04943170721133</v>
      </c>
      <c r="H134" s="57" t="n">
        <f aca="false">G134*(1+Entorno!$B$13)</f>
        <v>1.05467886574739</v>
      </c>
      <c r="I134" s="57" t="n">
        <f aca="false">H134*(1+Entorno!$B$13)</f>
        <v>1.05995226007613</v>
      </c>
      <c r="J134" s="57" t="n">
        <f aca="false">I134*(1+Entorno!$B$13)</f>
        <v>1.06525202137651</v>
      </c>
      <c r="K134" s="57" t="n">
        <f aca="false">J134*(1+Entorno!$B$13)</f>
        <v>1.07057828148339</v>
      </c>
      <c r="L134" s="57" t="n">
        <f aca="false">K134*(1+Entorno!$B$13)</f>
        <v>1.07593117289081</v>
      </c>
    </row>
    <row r="135" customFormat="false" ht="15" hidden="true" customHeight="false" outlineLevel="1" collapsed="false">
      <c r="A135" s="9" t="s">
        <v>408</v>
      </c>
      <c r="B135" s="57" t="n">
        <f aca="false">1/B133</f>
        <v>0.943396226415094</v>
      </c>
      <c r="C135" s="57" t="n">
        <f aca="false">1/C133</f>
        <v>0.898472596585804</v>
      </c>
      <c r="D135" s="57" t="n">
        <f aca="false">1/D133</f>
        <v>0.859782389077324</v>
      </c>
      <c r="E135" s="57" t="n">
        <f aca="false">1/E133</f>
        <v>0.826713835651273</v>
      </c>
      <c r="F135" s="57" t="n">
        <f aca="false">1/F133</f>
        <v>0.794917149664686</v>
      </c>
      <c r="G135" s="57" t="n">
        <f aca="false">1/G133</f>
        <v>0.764343413139121</v>
      </c>
      <c r="H135" s="57" t="n">
        <f aca="false">1/H133</f>
        <v>0.734945589556847</v>
      </c>
      <c r="I135" s="57" t="n">
        <f aca="false">1/I133</f>
        <v>0.706678451496968</v>
      </c>
      <c r="J135" s="57" t="n">
        <f aca="false">1/J133</f>
        <v>0.679498511054777</v>
      </c>
      <c r="K135" s="57" t="n">
        <f aca="false">1/K133</f>
        <v>0.653363952937286</v>
      </c>
      <c r="L135" s="57" t="n">
        <f aca="false">1/L133</f>
        <v>0.628234570132006</v>
      </c>
    </row>
    <row r="136" customFormat="false" ht="15" hidden="true" customHeight="false" outlineLevel="1" collapsed="false">
      <c r="A136" s="6" t="s">
        <v>323</v>
      </c>
      <c r="B136" s="29" t="n">
        <f aca="false">IF(B$43=0,Quesería!$F$92,IF(B$43=1,Quesería!$F$93*$D$21,0))*$D$11</f>
        <v>930.800239431677</v>
      </c>
      <c r="C136" s="29" t="n">
        <f aca="false">IF(C$43=0,Quesería!$F$92,IF(C$43=1,Quesería!$F$93*$D$21,0))*$D$11</f>
        <v>0</v>
      </c>
      <c r="D136" s="29" t="n">
        <f aca="false">IF(D$43=0,Quesería!$F$92,IF(D$43=1,Quesería!$F$93*$D$21,0))*$D$11</f>
        <v>0</v>
      </c>
      <c r="E136" s="29" t="n">
        <f aca="false">IF(E$43=0,Quesería!$F$92,IF(E$43=1,Quesería!$F$93*$D$21,0))*$D$11</f>
        <v>0</v>
      </c>
      <c r="F136" s="29" t="n">
        <f aca="false">IF(F$43=0,Quesería!$F$92,IF(F$43=1,Quesería!$F$93*$D$21,0))*$D$11</f>
        <v>0</v>
      </c>
      <c r="G136" s="29" t="n">
        <f aca="false">IF(G$43=0,Quesería!$F$92,IF(G$43=1,Quesería!$F$93*$D$21,0))*$D$11</f>
        <v>0</v>
      </c>
      <c r="H136" s="29" t="n">
        <f aca="false">IF(H$43=0,Quesería!$F$92,IF(H$43=1,Quesería!$F$93*$D$21,0))*$D$11</f>
        <v>0</v>
      </c>
      <c r="I136" s="29" t="n">
        <f aca="false">IF(I$43=0,Quesería!$F$92,IF(I$43=1,Quesería!$F$93*$D$21,0))*$D$11</f>
        <v>0</v>
      </c>
      <c r="J136" s="29" t="n">
        <f aca="false">IF(J$43=0,Quesería!$F$92,IF(J$43=1,Quesería!$F$93*$D$21,0))*$D$11</f>
        <v>0</v>
      </c>
      <c r="K136" s="29" t="n">
        <f aca="false">IF(K$43=0,Quesería!$F$92,IF(K$43=1,Quesería!$F$93*$D$21,0))*$D$11</f>
        <v>0</v>
      </c>
      <c r="L136" s="29" t="n">
        <f aca="false">IF(L$43=0,Quesería!$F$92,IF(L$43=1,Quesería!$F$93*$D$21,0))*$D$11</f>
        <v>0</v>
      </c>
    </row>
    <row r="137" customFormat="false" ht="15" hidden="true" customHeight="false" outlineLevel="1" collapsed="false">
      <c r="A137" s="6" t="s">
        <v>409</v>
      </c>
      <c r="B137" s="29" t="n">
        <f aca="false">IF(B$43=5,Quesería!$F$99,IF(B$43=6,Quesería!$F$100,0))*$D$11</f>
        <v>0</v>
      </c>
      <c r="C137" s="29" t="n">
        <f aca="false">IF(C$43=5,Quesería!$F$99,IF(C$43=6,Quesería!$F$100,0))*$D$11</f>
        <v>0</v>
      </c>
      <c r="D137" s="29" t="n">
        <f aca="false">IF(D$43=5,Quesería!$F$99,IF(D$43=6,Quesería!$F$100,0))*$D$11</f>
        <v>0</v>
      </c>
      <c r="E137" s="29" t="n">
        <f aca="false">IF(E$43=5,Quesería!$F$99,IF(E$43=6,Quesería!$F$100,0))*$D$11</f>
        <v>0</v>
      </c>
      <c r="F137" s="29" t="n">
        <f aca="false">IF(F$43=5,Quesería!$F$99,IF(F$43=6,Quesería!$F$100,0))*$D$11</f>
        <v>0</v>
      </c>
      <c r="G137" s="29" t="n">
        <f aca="false">IF(G$43=5,Quesería!$F$99,IF(G$43=6,Quesería!$F$100,0))*$D$11</f>
        <v>27.4652172688735</v>
      </c>
      <c r="H137" s="29" t="n">
        <f aca="false">IF(H$43=5,Quesería!$F$99,IF(H$43=6,Quesería!$F$100,0))*$D$11</f>
        <v>46.3891557109552</v>
      </c>
      <c r="I137" s="29" t="n">
        <f aca="false">IF(I$43=5,Quesería!$F$99,IF(I$43=6,Quesería!$F$100,0))*$D$11</f>
        <v>0</v>
      </c>
      <c r="J137" s="29" t="n">
        <f aca="false">IF(J$43=5,Quesería!$F$99,IF(J$43=6,Quesería!$F$100,0))*$D$11</f>
        <v>0</v>
      </c>
      <c r="K137" s="29" t="n">
        <f aca="false">IF(K$43=5,Quesería!$F$99,IF(K$43=6,Quesería!$F$100,0))*$D$11</f>
        <v>0</v>
      </c>
      <c r="L137" s="29" t="n">
        <f aca="false">IF(L$43=5,Quesería!$F$99,IF(L$43=6,Quesería!$F$100,0))*$D$11</f>
        <v>0</v>
      </c>
    </row>
    <row r="138" customFormat="false" ht="15" hidden="true" customHeight="false" outlineLevel="1" collapsed="false">
      <c r="A138" s="6" t="s">
        <v>410</v>
      </c>
      <c r="B138" s="29" t="n">
        <f aca="false">Quesería!$B$55*(IF(B$43=0,SUMPRODUCT((Quesería!$C$70:$C$89=0)*(Quesería!$H$70:$H$89&gt;0)*(Quesería!$J$70:$J$89&gt;0)*Quesería!$F$70:$F$89*(1+Quesería!$I$70:$I$89)),IF(B$43=1,SUMPRODUCT((Quesería!$C$70:$C$89=1)*(Quesería!$H$70:$H$89&gt;0)*(Quesería!$J$70:$J$89&gt;0)*Quesería!$F$70:$F$89*(1+Quesería!$I$70:$I$89))*$D$21,0))*$D$11+B137)</f>
        <v>149.115671560178</v>
      </c>
      <c r="C138" s="29" t="n">
        <f aca="false">Quesería!$B$55*(IF(C$43=0,SUMPRODUCT((Quesería!$C$70:$C$89=0)*(Quesería!$H$70:$H$89&gt;0)*(Quesería!$J$70:$J$89&gt;0)*Quesería!$F$70:$F$89*(1+Quesería!$I$70:$I$89)),IF(C$43=1,SUMPRODUCT((Quesería!$C$70:$C$89=1)*(Quesería!$H$70:$H$89&gt;0)*(Quesería!$J$70:$J$89&gt;0)*Quesería!$F$70:$F$89*(1+Quesería!$I$70:$I$89))*$D$21,0))*$D$11+C137)</f>
        <v>0</v>
      </c>
      <c r="D138" s="29" t="n">
        <f aca="false">Quesería!$B$55*(IF(D$43=0,SUMPRODUCT((Quesería!$C$70:$C$89=0)*(Quesería!$H$70:$H$89&gt;0)*(Quesería!$J$70:$J$89&gt;0)*Quesería!$F$70:$F$89*(1+Quesería!$I$70:$I$89)),IF(D$43=1,SUMPRODUCT((Quesería!$C$70:$C$89=1)*(Quesería!$H$70:$H$89&gt;0)*(Quesería!$J$70:$J$89&gt;0)*Quesería!$F$70:$F$89*(1+Quesería!$I$70:$I$89))*$D$21,0))*$D$11+D137)</f>
        <v>0</v>
      </c>
      <c r="E138" s="29" t="n">
        <f aca="false">Quesería!$B$55*(IF(E$43=0,SUMPRODUCT((Quesería!$C$70:$C$89=0)*(Quesería!$H$70:$H$89&gt;0)*(Quesería!$J$70:$J$89&gt;0)*Quesería!$F$70:$F$89*(1+Quesería!$I$70:$I$89)),IF(E$43=1,SUMPRODUCT((Quesería!$C$70:$C$89=1)*(Quesería!$H$70:$H$89&gt;0)*(Quesería!$J$70:$J$89&gt;0)*Quesería!$F$70:$F$89*(1+Quesería!$I$70:$I$89))*$D$21,0))*$D$11+E137)</f>
        <v>0</v>
      </c>
      <c r="F138" s="29" t="n">
        <f aca="false">Quesería!$B$55*(IF(F$43=0,SUMPRODUCT((Quesería!$C$70:$C$89=0)*(Quesería!$H$70:$H$89&gt;0)*(Quesería!$J$70:$J$89&gt;0)*Quesería!$F$70:$F$89*(1+Quesería!$I$70:$I$89)),IF(F$43=1,SUMPRODUCT((Quesería!$C$70:$C$89=1)*(Quesería!$H$70:$H$89&gt;0)*(Quesería!$J$70:$J$89&gt;0)*Quesería!$F$70:$F$89*(1+Quesería!$I$70:$I$89))*$D$21,0))*$D$11+F137)</f>
        <v>0</v>
      </c>
      <c r="G138" s="29" t="n">
        <f aca="false">Quesería!$B$55*(IF(G$43=0,SUMPRODUCT((Quesería!$C$70:$C$89=0)*(Quesería!$H$70:$H$89&gt;0)*(Quesería!$J$70:$J$89&gt;0)*Quesería!$F$70:$F$89*(1+Quesería!$I$70:$I$89)),IF(G$43=1,SUMPRODUCT((Quesería!$C$70:$C$89=1)*(Quesería!$H$70:$H$89&gt;0)*(Quesería!$J$70:$J$89&gt;0)*Quesería!$F$70:$F$89*(1+Quesería!$I$70:$I$89))*$D$21,0))*$D$11+G137)</f>
        <v>5.21839128108597</v>
      </c>
      <c r="H138" s="29" t="n">
        <f aca="false">Quesería!$B$55*(IF(H$43=0,SUMPRODUCT((Quesería!$C$70:$C$89=0)*(Quesería!$H$70:$H$89&gt;0)*(Quesería!$J$70:$J$89&gt;0)*Quesería!$F$70:$F$89*(1+Quesería!$I$70:$I$89)),IF(H$43=1,SUMPRODUCT((Quesería!$C$70:$C$89=1)*(Quesería!$H$70:$H$89&gt;0)*(Quesería!$J$70:$J$89&gt;0)*Quesería!$F$70:$F$89*(1+Quesería!$I$70:$I$89))*$D$21,0))*$D$11+H137)</f>
        <v>8.8139395850815</v>
      </c>
      <c r="I138" s="29" t="n">
        <f aca="false">Quesería!$B$55*(IF(I$43=0,SUMPRODUCT((Quesería!$C$70:$C$89=0)*(Quesería!$H$70:$H$89&gt;0)*(Quesería!$J$70:$J$89&gt;0)*Quesería!$F$70:$F$89*(1+Quesería!$I$70:$I$89)),IF(I$43=1,SUMPRODUCT((Quesería!$C$70:$C$89=1)*(Quesería!$H$70:$H$89&gt;0)*(Quesería!$J$70:$J$89&gt;0)*Quesería!$F$70:$F$89*(1+Quesería!$I$70:$I$89))*$D$21,0))*$D$11+I137)</f>
        <v>0</v>
      </c>
      <c r="J138" s="29" t="n">
        <f aca="false">Quesería!$B$55*(IF(J$43=0,SUMPRODUCT((Quesería!$C$70:$C$89=0)*(Quesería!$H$70:$H$89&gt;0)*(Quesería!$J$70:$J$89&gt;0)*Quesería!$F$70:$F$89*(1+Quesería!$I$70:$I$89)),IF(J$43=1,SUMPRODUCT((Quesería!$C$70:$C$89=1)*(Quesería!$H$70:$H$89&gt;0)*(Quesería!$J$70:$J$89&gt;0)*Quesería!$F$70:$F$89*(1+Quesería!$I$70:$I$89))*$D$21,0))*$D$11+J137)</f>
        <v>0</v>
      </c>
      <c r="K138" s="29" t="n">
        <f aca="false">Quesería!$B$55*(IF(K$43=0,SUMPRODUCT((Quesería!$C$70:$C$89=0)*(Quesería!$H$70:$H$89&gt;0)*(Quesería!$J$70:$J$89&gt;0)*Quesería!$F$70:$F$89*(1+Quesería!$I$70:$I$89)),IF(K$43=1,SUMPRODUCT((Quesería!$C$70:$C$89=1)*(Quesería!$H$70:$H$89&gt;0)*(Quesería!$J$70:$J$89&gt;0)*Quesería!$F$70:$F$89*(1+Quesería!$I$70:$I$89))*$D$21,0))*$D$11+K137)</f>
        <v>0</v>
      </c>
      <c r="L138" s="29" t="n">
        <f aca="false">Quesería!$B$55*(IF(L$43=0,SUMPRODUCT((Quesería!$C$70:$C$89=0)*(Quesería!$H$70:$H$89&gt;0)*(Quesería!$J$70:$J$89&gt;0)*Quesería!$F$70:$F$89*(1+Quesería!$I$70:$I$89)),IF(L$43=1,SUMPRODUCT((Quesería!$C$70:$C$89=1)*(Quesería!$H$70:$H$89&gt;0)*(Quesería!$J$70:$J$89&gt;0)*Quesería!$F$70:$F$89*(1+Quesería!$I$70:$I$89))*$D$21,0))*$D$11+L137)</f>
        <v>0</v>
      </c>
    </row>
    <row r="139" customFormat="false" ht="15" hidden="true" customHeight="false" outlineLevel="1" collapsed="false">
      <c r="A139" s="6" t="s">
        <v>385</v>
      </c>
      <c r="B139" s="29" t="n">
        <f aca="false">IF(B$43=0,($D$22*Quesería!$J$125+(1-$D$22)*Quesería!$E$121)*Quesería!$B$20*Quesería!$B$21/12*$D$23,(($D$22*Quesería!$J$125+(1-$D$22)*Quesería!$E$121)+($D$22*Quesería!$J$104+(1-$D$22)*Quesería!$E$104)*(B134-1))*IF(B$43=1,Quesería!$B$20,1))*$D$10</f>
        <v>78.1729977357335</v>
      </c>
      <c r="C139" s="29" t="n">
        <f aca="false">IF(C$43=0,($D$22*Quesería!$J$125+(1-$D$22)*Quesería!$E$121)*Quesería!$B$20*Quesería!$B$21/12*$D$23,(($D$22*Quesería!$J$125+(1-$D$22)*Quesería!$E$121)+($D$22*Quesería!$J$104+(1-$D$22)*Quesería!$E$104)*(C134-1))*IF(C$43=1,Quesería!$B$20,1))*$D$10</f>
        <v>117.449365825298</v>
      </c>
      <c r="D139" s="29" t="n">
        <f aca="false">IF(D$43=0,($D$22*Quesería!$J$125+(1-$D$22)*Quesería!$E$121)*Quesería!$B$20*Quesería!$B$21/12*$D$23,(($D$22*Quesería!$J$125+(1-$D$22)*Quesería!$E$121)+($D$22*Quesería!$J$104+(1-$D$22)*Quesería!$E$104)*(D134-1))*IF(D$43=1,Quesería!$B$20,1))*$D$10</f>
        <v>156.644520228542</v>
      </c>
      <c r="E139" s="29" t="n">
        <f aca="false">IF(E$43=0,($D$22*Quesería!$J$125+(1-$D$22)*Quesería!$E$121)*Quesería!$B$20*Quesería!$B$21/12*$D$23,(($D$22*Quesería!$J$125+(1-$D$22)*Quesería!$E$121)+($D$22*Quesería!$J$104+(1-$D$22)*Quesería!$E$104)*(E134-1))*IF(E$43=1,Quesería!$B$20,1))*$D$10</f>
        <v>156.690112852328</v>
      </c>
      <c r="F139" s="29" t="n">
        <f aca="false">IF(F$43=0,($D$22*Quesería!$J$125+(1-$D$22)*Quesería!$E$121)*Quesería!$B$20*Quesería!$B$21/12*$D$23,(($D$22*Quesería!$J$125+(1-$D$22)*Quesería!$E$121)+($D$22*Quesería!$J$104+(1-$D$22)*Quesería!$E$104)*(F134-1))*IF(F$43=1,Quesería!$B$20,1))*$D$10</f>
        <v>156.735933439232</v>
      </c>
      <c r="G139" s="29" t="n">
        <f aca="false">IF(G$43=0,($D$22*Quesería!$J$125+(1-$D$22)*Quesería!$E$121)*Quesería!$B$20*Quesería!$B$21/12*$D$23,(($D$22*Quesería!$J$125+(1-$D$22)*Quesería!$E$121)+($D$22*Quesería!$J$104+(1-$D$22)*Quesería!$E$104)*(G134-1))*IF(G$43=1,Quesería!$B$20,1))*$D$10</f>
        <v>156.781983129071</v>
      </c>
      <c r="H139" s="29" t="n">
        <f aca="false">IF(H$43=0,($D$22*Quesería!$J$125+(1-$D$22)*Quesería!$E$121)*Quesería!$B$20*Quesería!$B$21/12*$D$23,(($D$22*Quesería!$J$125+(1-$D$22)*Quesería!$E$121)+($D$22*Quesería!$J$104+(1-$D$22)*Quesería!$E$104)*(H134-1))*IF(H$43=1,Quesería!$B$20,1))*$D$10</f>
        <v>156.828263067359</v>
      </c>
      <c r="I139" s="29" t="n">
        <f aca="false">IF(I$43=0,($D$22*Quesería!$J$125+(1-$D$22)*Quesería!$E$121)*Quesería!$B$20*Quesería!$B$21/12*$D$23,(($D$22*Quesería!$J$125+(1-$D$22)*Quesería!$E$121)+($D$22*Quesería!$J$104+(1-$D$22)*Quesería!$E$104)*(I134-1))*IF(I$43=1,Quesería!$B$20,1))*$D$10</f>
        <v>156.874774405338</v>
      </c>
      <c r="J139" s="29" t="n">
        <f aca="false">IF(J$43=0,($D$22*Quesería!$J$125+(1-$D$22)*Quesería!$E$121)*Quesería!$B$20*Quesería!$B$21/12*$D$23,(($D$22*Quesería!$J$125+(1-$D$22)*Quesería!$E$121)+($D$22*Quesería!$J$104+(1-$D$22)*Quesería!$E$104)*(J134-1))*IF(J$43=1,Quesería!$B$20,1))*$D$10</f>
        <v>156.921518300008</v>
      </c>
      <c r="K139" s="29" t="n">
        <f aca="false">IF(K$43=0,($D$22*Quesería!$J$125+(1-$D$22)*Quesería!$E$121)*Quesería!$B$20*Quesería!$B$21/12*$D$23,(($D$22*Quesería!$J$125+(1-$D$22)*Quesería!$E$121)+($D$22*Quesería!$J$104+(1-$D$22)*Quesería!$E$104)*(K134-1))*IF(K$43=1,Quesería!$B$20,1))*$D$10</f>
        <v>156.96849591415</v>
      </c>
      <c r="L139" s="29" t="n">
        <f aca="false">IF(L$43=0,($D$22*Quesería!$J$125+(1-$D$22)*Quesería!$E$121)*Quesería!$B$20*Quesería!$B$21/12*$D$23,(($D$22*Quesería!$J$125+(1-$D$22)*Quesería!$E$121)+($D$22*Quesería!$J$104+(1-$D$22)*Quesería!$E$104)*(L134-1))*IF(L$43=1,Quesería!$B$20,1))*$D$10</f>
        <v>157.015708416364</v>
      </c>
    </row>
    <row r="140" customFormat="false" ht="15" hidden="true" customHeight="false" outlineLevel="1" collapsed="false">
      <c r="A140" s="6" t="s">
        <v>386</v>
      </c>
      <c r="B140" s="29" t="n">
        <f aca="false">IF(B$43&lt;=1,0,((($D$22*Quesería!$J$126+(1-$D$22)*Quesería!$E$122)-($D$22*Quesería!$J$113+(1-$D$22)*Quesería!$E$113)+$D$6*($D$22*Quesería!$J$113+(1-$D$22)*Quesería!$E$113)-(1-$D$9)*(($D$22*Quesería!$J$118+(1-$D$22)*Quesería!$E$118)+($D$22*Quesería!$J$117+(1-$D$22)*Quesería!$E$117)))+($D$6*($D$22*Quesería!$J$113+(1-$D$22)*Quesería!$E$113)+$D$9*($D$22*Quesería!$J$118+(1-$D$22)*Quesería!$E$118))*(B134-1))*IF(B$43=2,Quesería!$B$20,1)+IF(B$43=2,Quesería!$B$24*$D$9*($D$22*Quesería!$J$118+(1-$D$22)*Quesería!$E$118)*B134,0))*$D$10*$D$21</f>
        <v>0</v>
      </c>
      <c r="C140" s="29" t="n">
        <f aca="false">IF(C$43&lt;=1,0,((($D$22*Quesería!$J$126+(1-$D$22)*Quesería!$E$122)-($D$22*Quesería!$J$113+(1-$D$22)*Quesería!$E$113)+$D$6*($D$22*Quesería!$J$113+(1-$D$22)*Quesería!$E$113)-(1-$D$9)*(($D$22*Quesería!$J$118+(1-$D$22)*Quesería!$E$118)+($D$22*Quesería!$J$117+(1-$D$22)*Quesería!$E$117)))+($D$6*($D$22*Quesería!$J$113+(1-$D$22)*Quesería!$E$113)+$D$9*($D$22*Quesería!$J$118+(1-$D$22)*Quesería!$E$118))*(C134-1))*IF(C$43=2,Quesería!$B$20,1)+IF(C$43=2,Quesería!$B$24*$D$9*($D$22*Quesería!$J$118+(1-$D$22)*Quesería!$E$118)*C134,0))*$D$10*$D$21</f>
        <v>0</v>
      </c>
      <c r="D140" s="29" t="n">
        <f aca="false">IF(D$43&lt;=1,0,((($D$22*Quesería!$J$126+(1-$D$22)*Quesería!$E$122)-($D$22*Quesería!$J$113+(1-$D$22)*Quesería!$E$113)+$D$6*($D$22*Quesería!$J$113+(1-$D$22)*Quesería!$E$113)-(1-$D$9)*(($D$22*Quesería!$J$118+(1-$D$22)*Quesería!$E$118)+($D$22*Quesería!$J$117+(1-$D$22)*Quesería!$E$117)))+($D$6*($D$22*Quesería!$J$113+(1-$D$22)*Quesería!$E$113)+$D$9*($D$22*Quesería!$J$118+(1-$D$22)*Quesería!$E$118))*(D134-1))*IF(D$43=2,Quesería!$B$20,1)+IF(D$43=2,Quesería!$B$24*$D$9*($D$22*Quesería!$J$118+(1-$D$22)*Quesería!$E$118)*D134,0))*$D$10*$D$21</f>
        <v>0</v>
      </c>
      <c r="E140" s="29" t="n">
        <f aca="false">IF(E$43&lt;=1,0,((($D$22*Quesería!$J$126+(1-$D$22)*Quesería!$E$122)-($D$22*Quesería!$J$113+(1-$D$22)*Quesería!$E$113)+$D$6*($D$22*Quesería!$J$113+(1-$D$22)*Quesería!$E$113)-(1-$D$9)*(($D$22*Quesería!$J$118+(1-$D$22)*Quesería!$E$118)+($D$22*Quesería!$J$117+(1-$D$22)*Quesería!$E$117)))+($D$6*($D$22*Quesería!$J$113+(1-$D$22)*Quesería!$E$113)+$D$9*($D$22*Quesería!$J$118+(1-$D$22)*Quesería!$E$118))*(E134-1))*IF(E$43=2,Quesería!$B$20,1)+IF(E$43=2,Quesería!$B$24*$D$9*($D$22*Quesería!$J$118+(1-$D$22)*Quesería!$E$118)*E134,0))*$D$10*$D$21</f>
        <v>0</v>
      </c>
      <c r="F140" s="29" t="n">
        <f aca="false">IF(F$43&lt;=1,0,((($D$22*Quesería!$J$126+(1-$D$22)*Quesería!$E$122)-($D$22*Quesería!$J$113+(1-$D$22)*Quesería!$E$113)+$D$6*($D$22*Quesería!$J$113+(1-$D$22)*Quesería!$E$113)-(1-$D$9)*(($D$22*Quesería!$J$118+(1-$D$22)*Quesería!$E$118)+($D$22*Quesería!$J$117+(1-$D$22)*Quesería!$E$117)))+($D$6*($D$22*Quesería!$J$113+(1-$D$22)*Quesería!$E$113)+$D$9*($D$22*Quesería!$J$118+(1-$D$22)*Quesería!$E$118))*(F134-1))*IF(F$43=2,Quesería!$B$20,1)+IF(F$43=2,Quesería!$B$24*$D$9*($D$22*Quesería!$J$118+(1-$D$22)*Quesería!$E$118)*F134,0))*$D$10*$D$21</f>
        <v>0</v>
      </c>
      <c r="G140" s="29" t="n">
        <f aca="false">IF(G$43&lt;=1,0,((($D$22*Quesería!$J$126+(1-$D$22)*Quesería!$E$122)-($D$22*Quesería!$J$113+(1-$D$22)*Quesería!$E$113)+$D$6*($D$22*Quesería!$J$113+(1-$D$22)*Quesería!$E$113)-(1-$D$9)*(($D$22*Quesería!$J$118+(1-$D$22)*Quesería!$E$118)+($D$22*Quesería!$J$117+(1-$D$22)*Quesería!$E$117)))+($D$6*($D$22*Quesería!$J$113+(1-$D$22)*Quesería!$E$113)+$D$9*($D$22*Quesería!$J$118+(1-$D$22)*Quesería!$E$118))*(G134-1))*IF(G$43=2,Quesería!$B$20,1)+IF(G$43=2,Quesería!$B$24*$D$9*($D$22*Quesería!$J$118+(1-$D$22)*Quesería!$E$118)*G134,0))*$D$10*$D$21</f>
        <v>0</v>
      </c>
      <c r="H140" s="29" t="n">
        <f aca="false">IF(H$43&lt;=1,0,((($D$22*Quesería!$J$126+(1-$D$22)*Quesería!$E$122)-($D$22*Quesería!$J$113+(1-$D$22)*Quesería!$E$113)+$D$6*($D$22*Quesería!$J$113+(1-$D$22)*Quesería!$E$113)-(1-$D$9)*(($D$22*Quesería!$J$118+(1-$D$22)*Quesería!$E$118)+($D$22*Quesería!$J$117+(1-$D$22)*Quesería!$E$117)))+($D$6*($D$22*Quesería!$J$113+(1-$D$22)*Quesería!$E$113)+$D$9*($D$22*Quesería!$J$118+(1-$D$22)*Quesería!$E$118))*(H134-1))*IF(H$43=2,Quesería!$B$20,1)+IF(H$43=2,Quesería!$B$24*$D$9*($D$22*Quesería!$J$118+(1-$D$22)*Quesería!$E$118)*H134,0))*$D$10*$D$21</f>
        <v>0</v>
      </c>
      <c r="I140" s="29" t="n">
        <f aca="false">IF(I$43&lt;=1,0,((($D$22*Quesería!$J$126+(1-$D$22)*Quesería!$E$122)-($D$22*Quesería!$J$113+(1-$D$22)*Quesería!$E$113)+$D$6*($D$22*Quesería!$J$113+(1-$D$22)*Quesería!$E$113)-(1-$D$9)*(($D$22*Quesería!$J$118+(1-$D$22)*Quesería!$E$118)+($D$22*Quesería!$J$117+(1-$D$22)*Quesería!$E$117)))+($D$6*($D$22*Quesería!$J$113+(1-$D$22)*Quesería!$E$113)+$D$9*($D$22*Quesería!$J$118+(1-$D$22)*Quesería!$E$118))*(I134-1))*IF(I$43=2,Quesería!$B$20,1)+IF(I$43=2,Quesería!$B$24*$D$9*($D$22*Quesería!$J$118+(1-$D$22)*Quesería!$E$118)*I134,0))*$D$10*$D$21</f>
        <v>0</v>
      </c>
      <c r="J140" s="29" t="n">
        <f aca="false">IF(J$43&lt;=1,0,((($D$22*Quesería!$J$126+(1-$D$22)*Quesería!$E$122)-($D$22*Quesería!$J$113+(1-$D$22)*Quesería!$E$113)+$D$6*($D$22*Quesería!$J$113+(1-$D$22)*Quesería!$E$113)-(1-$D$9)*(($D$22*Quesería!$J$118+(1-$D$22)*Quesería!$E$118)+($D$22*Quesería!$J$117+(1-$D$22)*Quesería!$E$117)))+($D$6*($D$22*Quesería!$J$113+(1-$D$22)*Quesería!$E$113)+$D$9*($D$22*Quesería!$J$118+(1-$D$22)*Quesería!$E$118))*(J134-1))*IF(J$43=2,Quesería!$B$20,1)+IF(J$43=2,Quesería!$B$24*$D$9*($D$22*Quesería!$J$118+(1-$D$22)*Quesería!$E$118)*J134,0))*$D$10*$D$21</f>
        <v>0</v>
      </c>
      <c r="K140" s="29" t="n">
        <f aca="false">IF(K$43&lt;=1,0,((($D$22*Quesería!$J$126+(1-$D$22)*Quesería!$E$122)-($D$22*Quesería!$J$113+(1-$D$22)*Quesería!$E$113)+$D$6*($D$22*Quesería!$J$113+(1-$D$22)*Quesería!$E$113)-(1-$D$9)*(($D$22*Quesería!$J$118+(1-$D$22)*Quesería!$E$118)+($D$22*Quesería!$J$117+(1-$D$22)*Quesería!$E$117)))+($D$6*($D$22*Quesería!$J$113+(1-$D$22)*Quesería!$E$113)+$D$9*($D$22*Quesería!$J$118+(1-$D$22)*Quesería!$E$118))*(K134-1))*IF(K$43=2,Quesería!$B$20,1)+IF(K$43=2,Quesería!$B$24*$D$9*($D$22*Quesería!$J$118+(1-$D$22)*Quesería!$E$118)*K134,0))*$D$10*$D$21</f>
        <v>0</v>
      </c>
      <c r="L140" s="29" t="n">
        <f aca="false">IF(L$43&lt;=1,0,((($D$22*Quesería!$J$126+(1-$D$22)*Quesería!$E$122)-($D$22*Quesería!$J$113+(1-$D$22)*Quesería!$E$113)+$D$6*($D$22*Quesería!$J$113+(1-$D$22)*Quesería!$E$113)-(1-$D$9)*(($D$22*Quesería!$J$118+(1-$D$22)*Quesería!$E$118)+($D$22*Quesería!$J$117+(1-$D$22)*Quesería!$E$117)))+($D$6*($D$22*Quesería!$J$113+(1-$D$22)*Quesería!$E$113)+$D$9*($D$22*Quesería!$J$118+(1-$D$22)*Quesería!$E$118))*(L134-1))*IF(L$43=2,Quesería!$B$20,1)+IF(L$43=2,Quesería!$B$24*$D$9*($D$22*Quesería!$J$118+(1-$D$22)*Quesería!$E$118)*L134,0))*$D$10*$D$21</f>
        <v>0</v>
      </c>
    </row>
    <row r="141" customFormat="false" ht="15" hidden="true" customHeight="false" outlineLevel="1" collapsed="false">
      <c r="A141" s="5" t="s">
        <v>411</v>
      </c>
      <c r="B141" s="10" t="n">
        <f aca="false">B139+B140</f>
        <v>78.1729977357335</v>
      </c>
      <c r="C141" s="10" t="n">
        <f aca="false">C139+C140</f>
        <v>117.449365825298</v>
      </c>
      <c r="D141" s="10" t="n">
        <f aca="false">D139+D140</f>
        <v>156.644520228542</v>
      </c>
      <c r="E141" s="10" t="n">
        <f aca="false">E139+E140</f>
        <v>156.690112852328</v>
      </c>
      <c r="F141" s="10" t="n">
        <f aca="false">F139+F140</f>
        <v>156.735933439232</v>
      </c>
      <c r="G141" s="10" t="n">
        <f aca="false">G139+G140</f>
        <v>156.781983129071</v>
      </c>
      <c r="H141" s="10" t="n">
        <f aca="false">H139+H140</f>
        <v>156.828263067359</v>
      </c>
      <c r="I141" s="10" t="n">
        <f aca="false">I139+I140</f>
        <v>156.874774405338</v>
      </c>
      <c r="J141" s="10" t="n">
        <f aca="false">J139+J140</f>
        <v>156.921518300008</v>
      </c>
      <c r="K141" s="10" t="n">
        <f aca="false">K139+K140</f>
        <v>156.96849591415</v>
      </c>
      <c r="L141" s="10" t="n">
        <f aca="false">L139+L140</f>
        <v>157.015708416364</v>
      </c>
    </row>
    <row r="142" customFormat="false" ht="15" hidden="true" customHeight="false" outlineLevel="1" collapsed="false">
      <c r="A142" s="6" t="s">
        <v>412</v>
      </c>
      <c r="B142" s="29" t="n">
        <f aca="false">(IF(B$43&gt;=1,(Quesería!$B$31+Quesería!$B$33)*Quesería!$F$94*$D$11+Quesería!$B$32+'Beneficios y costos'!$B$211,0)+IF(B$43&gt;=2,((Quesería!$B$31+Quesería!$B$33)*Quesería!$F$95*$D$11+'Beneficios y costos'!$C$211)*$D$21,0))*$D$12</f>
        <v>0</v>
      </c>
      <c r="C142" s="29" t="n">
        <f aca="false">(IF(C$43&gt;=1,(Quesería!$B$31+Quesería!$B$33)*Quesería!$F$94*$D$11+Quesería!$B$32+'Beneficios y costos'!$B$211,0)+IF(C$43&gt;=2,((Quesería!$B$31+Quesería!$B$33)*Quesería!$F$95*$D$11+'Beneficios y costos'!$C$211)*$D$21,0))*$D$12</f>
        <v>42.0946487260605</v>
      </c>
      <c r="D142" s="29" t="n">
        <f aca="false">(IF(D$43&gt;=1,(Quesería!$B$31+Quesería!$B$33)*Quesería!$F$94*$D$11+Quesería!$B$32+'Beneficios y costos'!$B$211,0)+IF(D$43&gt;=2,((Quesería!$B$31+Quesería!$B$33)*Quesería!$F$95*$D$11+'Beneficios y costos'!$C$211)*$D$21,0))*$D$12</f>
        <v>42.0946487260605</v>
      </c>
      <c r="E142" s="29" t="n">
        <f aca="false">(IF(E$43&gt;=1,(Quesería!$B$31+Quesería!$B$33)*Quesería!$F$94*$D$11+Quesería!$B$32+'Beneficios y costos'!$B$211,0)+IF(E$43&gt;=2,((Quesería!$B$31+Quesería!$B$33)*Quesería!$F$95*$D$11+'Beneficios y costos'!$C$211)*$D$21,0))*$D$12</f>
        <v>42.0946487260605</v>
      </c>
      <c r="F142" s="29" t="n">
        <f aca="false">(IF(F$43&gt;=1,(Quesería!$B$31+Quesería!$B$33)*Quesería!$F$94*$D$11+Quesería!$B$32+'Beneficios y costos'!$B$211,0)+IF(F$43&gt;=2,((Quesería!$B$31+Quesería!$B$33)*Quesería!$F$95*$D$11+'Beneficios y costos'!$C$211)*$D$21,0))*$D$12</f>
        <v>42.0946487260605</v>
      </c>
      <c r="G142" s="29" t="n">
        <f aca="false">(IF(G$43&gt;=1,(Quesería!$B$31+Quesería!$B$33)*Quesería!$F$94*$D$11+Quesería!$B$32+'Beneficios y costos'!$B$211,0)+IF(G$43&gt;=2,((Quesería!$B$31+Quesería!$B$33)*Quesería!$F$95*$D$11+'Beneficios y costos'!$C$211)*$D$21,0))*$D$12</f>
        <v>42.0946487260605</v>
      </c>
      <c r="H142" s="29" t="n">
        <f aca="false">(IF(H$43&gt;=1,(Quesería!$B$31+Quesería!$B$33)*Quesería!$F$94*$D$11+Quesería!$B$32+'Beneficios y costos'!$B$211,0)+IF(H$43&gt;=2,((Quesería!$B$31+Quesería!$B$33)*Quesería!$F$95*$D$11+'Beneficios y costos'!$C$211)*$D$21,0))*$D$12</f>
        <v>42.0946487260605</v>
      </c>
      <c r="I142" s="29" t="n">
        <f aca="false">(IF(I$43&gt;=1,(Quesería!$B$31+Quesería!$B$33)*Quesería!$F$94*$D$11+Quesería!$B$32+'Beneficios y costos'!$B$211,0)+IF(I$43&gt;=2,((Quesería!$B$31+Quesería!$B$33)*Quesería!$F$95*$D$11+'Beneficios y costos'!$C$211)*$D$21,0))*$D$12</f>
        <v>42.0946487260605</v>
      </c>
      <c r="J142" s="29" t="n">
        <f aca="false">(IF(J$43&gt;=1,(Quesería!$B$31+Quesería!$B$33)*Quesería!$F$94*$D$11+Quesería!$B$32+'Beneficios y costos'!$B$211,0)+IF(J$43&gt;=2,((Quesería!$B$31+Quesería!$B$33)*Quesería!$F$95*$D$11+'Beneficios y costos'!$C$211)*$D$21,0))*$D$12</f>
        <v>42.0946487260605</v>
      </c>
      <c r="K142" s="29" t="n">
        <f aca="false">(IF(K$43&gt;=1,(Quesería!$B$31+Quesería!$B$33)*Quesería!$F$94*$D$11+Quesería!$B$32+'Beneficios y costos'!$B$211,0)+IF(K$43&gt;=2,((Quesería!$B$31+Quesería!$B$33)*Quesería!$F$95*$D$11+'Beneficios y costos'!$C$211)*$D$21,0))*$D$12</f>
        <v>42.0946487260605</v>
      </c>
      <c r="L142" s="29" t="n">
        <f aca="false">(IF(L$43&gt;=1,(Quesería!$B$31+Quesería!$B$33)*Quesería!$F$94*$D$11+Quesería!$B$32+'Beneficios y costos'!$B$211,0)+IF(L$43&gt;=2,((Quesería!$B$31+Quesería!$B$33)*Quesería!$F$95*$D$11+'Beneficios y costos'!$C$211)*$D$21,0))*$D$12</f>
        <v>42.0946487260605</v>
      </c>
    </row>
    <row r="143" customFormat="false" ht="15" hidden="true" customHeight="false" outlineLevel="1" collapsed="false">
      <c r="A143" s="6" t="s">
        <v>413</v>
      </c>
      <c r="B143" s="29" t="n">
        <f aca="false">IF(B$43=1,2*Quesería!$B$22*Quesería!$B$23/12*B134,0)*$D$21</f>
        <v>0</v>
      </c>
      <c r="C143" s="29" t="n">
        <f aca="false">IF(C$43=1,2*Quesería!$B$22*Quesería!$B$23/12*C134,0)*$D$21</f>
        <v>0</v>
      </c>
      <c r="D143" s="29" t="n">
        <f aca="false">IF(D$43=1,2*Quesería!$B$22*Quesería!$B$23/12*D134,0)*$D$21</f>
        <v>0</v>
      </c>
      <c r="E143" s="29" t="n">
        <f aca="false">IF(E$43=1,2*Quesería!$B$22*Quesería!$B$23/12*E134,0)*$D$21</f>
        <v>0</v>
      </c>
      <c r="F143" s="29" t="n">
        <f aca="false">IF(F$43=1,2*Quesería!$B$22*Quesería!$B$23/12*F134,0)*$D$21</f>
        <v>0</v>
      </c>
      <c r="G143" s="29" t="n">
        <f aca="false">IF(G$43=1,2*Quesería!$B$22*Quesería!$B$23/12*G134,0)*$D$21</f>
        <v>0</v>
      </c>
      <c r="H143" s="29" t="n">
        <f aca="false">IF(H$43=1,2*Quesería!$B$22*Quesería!$B$23/12*H134,0)*$D$21</f>
        <v>0</v>
      </c>
      <c r="I143" s="29" t="n">
        <f aca="false">IF(I$43=1,2*Quesería!$B$22*Quesería!$B$23/12*I134,0)*$D$21</f>
        <v>0</v>
      </c>
      <c r="J143" s="29" t="n">
        <f aca="false">IF(J$43=1,2*Quesería!$B$22*Quesería!$B$23/12*J134,0)*$D$21</f>
        <v>0</v>
      </c>
      <c r="K143" s="29" t="n">
        <f aca="false">IF(K$43=1,2*Quesería!$B$22*Quesería!$B$23/12*K134,0)*$D$21</f>
        <v>0</v>
      </c>
      <c r="L143" s="29" t="n">
        <f aca="false">IF(L$43=1,2*Quesería!$B$22*Quesería!$B$23/12*L134,0)*$D$21</f>
        <v>0</v>
      </c>
    </row>
    <row r="144" customFormat="false" ht="15" hidden="true" customHeight="false" outlineLevel="1" collapsed="false">
      <c r="A144" s="6" t="s">
        <v>414</v>
      </c>
      <c r="B144" s="29" t="n">
        <f aca="false">Quesería!$B$52*(B136+B137+B138+B142+B143)</f>
        <v>4.31966364396742</v>
      </c>
      <c r="C144" s="29" t="n">
        <f aca="false">Quesería!$B$52*(C136+C137+C138+C142+C143)</f>
        <v>0.168378594904242</v>
      </c>
      <c r="D144" s="29" t="n">
        <f aca="false">Quesería!$B$52*(D136+D137+D138+D142+D143)</f>
        <v>0.168378594904242</v>
      </c>
      <c r="E144" s="29" t="n">
        <f aca="false">Quesería!$B$52*(E136+E137+E138+E142+E143)</f>
        <v>0.168378594904242</v>
      </c>
      <c r="F144" s="29" t="n">
        <f aca="false">Quesería!$B$52*(F136+F137+F138+F142+F143)</f>
        <v>0.168378594904242</v>
      </c>
      <c r="G144" s="29" t="n">
        <f aca="false">Quesería!$B$52*(G136+G137+G138+G142+G143)</f>
        <v>0.29911302910408</v>
      </c>
      <c r="H144" s="29" t="n">
        <f aca="false">Quesería!$B$52*(H136+H137+H138+H142+H143)</f>
        <v>0.389190976088389</v>
      </c>
      <c r="I144" s="29" t="n">
        <f aca="false">Quesería!$B$52*(I136+I137+I138+I142+I143)</f>
        <v>0.168378594904242</v>
      </c>
      <c r="J144" s="29" t="n">
        <f aca="false">Quesería!$B$52*(J136+J137+J138+J142+J143)</f>
        <v>0.168378594904242</v>
      </c>
      <c r="K144" s="29" t="n">
        <f aca="false">Quesería!$B$52*(K136+K137+K138+K142+K143)</f>
        <v>0.168378594904242</v>
      </c>
      <c r="L144" s="29" t="n">
        <f aca="false">Quesería!$B$52*(L136+L137+L138+L142+L143)</f>
        <v>0.168378594904242</v>
      </c>
    </row>
    <row r="145" customFormat="false" ht="15" hidden="true" customHeight="false" outlineLevel="1" collapsed="false">
      <c r="A145" s="6" t="s">
        <v>415</v>
      </c>
      <c r="B145" s="29" t="n">
        <f aca="false">(IF($D$19=1,(SUMPRODUCT((Quesería!$C$70:$C$89=0)*(Quesería!$J$70:$J$89&gt;0)*(B$43&gt;=1)*(B$43&lt;=Quesería!$J$70:$J$89)*(Quesería!$H$70:$H$89&gt;0)*Quesería!$F$70:$F$89*(1+Quesería!$I$70:$I$89)/(Quesería!$J$70:$J$89+(Quesería!$J$70:$J$89=0)))+SUMPRODUCT((Quesería!$C$70:$C$89=0)*(Quesería!$J$70:$J$89=0)*(B$43=0)*(Quesería!$H$70:$H$89&gt;0)*Quesería!$F$70:$F$89*(1+Quesería!$I$70:$I$89)))*$B$133+(SUMPRODUCT((Quesería!$C$70:$C$89=1)*(Quesería!$J$70:$J$89&gt;0)*(B$43&gt;=2)*(B$43&lt;=Quesería!$J$70:$J$89+1)*(Quesería!$H$70:$H$89&gt;0)*Quesería!$F$70:$F$89*(1+Quesería!$I$70:$I$89)/(Quesería!$J$70:$J$89+(Quesería!$J$70:$J$89=0)))+SUMPRODUCT((Quesería!$C$70:$C$89=1)*(Quesería!$J$70:$J$89=0)*(B$43=1)*(Quesería!$H$70:$H$89&gt;0)*Quesería!$F$70:$F$89*(1+Quesería!$I$70:$I$89)))*$C$133*$D$21,IF(AND(B$43&gt;=1,B$43&lt;=Quesería!$B$30),Quesería!$F$92/Quesería!$B$30,0)*$B$133+IF(AND(B$43&gt;=2,B$43&lt;=Quesería!$B$30+1),Quesería!$F$93/Quesería!$B$30,0)*$C$133*$D$21)*$D$11+IF(AND(B$43&gt;=6,B$43&lt;=10),$G137*$G133/5,0)+IF(AND(B$43&gt;=7,B$43&lt;=11),$H137*$H133/5,0))*B135</f>
        <v>145.980915430742</v>
      </c>
      <c r="C145" s="29" t="n">
        <f aca="false">(IF($D$19=1,(SUMPRODUCT((Quesería!$C$70:$C$89=0)*(Quesería!$J$70:$J$89&gt;0)*(C$43&gt;=1)*(C$43&lt;=Quesería!$J$70:$J$89)*(Quesería!$H$70:$H$89&gt;0)*Quesería!$F$70:$F$89*(1+Quesería!$I$70:$I$89)/(Quesería!$J$70:$J$89+(Quesería!$J$70:$J$89=0)))+SUMPRODUCT((Quesería!$C$70:$C$89=0)*(Quesería!$J$70:$J$89=0)*(C$43=0)*(Quesería!$H$70:$H$89&gt;0)*Quesería!$F$70:$F$89*(1+Quesería!$I$70:$I$89)))*$B$133+(SUMPRODUCT((Quesería!$C$70:$C$89=1)*(Quesería!$J$70:$J$89&gt;0)*(C$43&gt;=2)*(C$43&lt;=Quesería!$J$70:$J$89+1)*(Quesería!$H$70:$H$89&gt;0)*Quesería!$F$70:$F$89*(1+Quesería!$I$70:$I$89)/(Quesería!$J$70:$J$89+(Quesería!$J$70:$J$89=0)))+SUMPRODUCT((Quesería!$C$70:$C$89=1)*(Quesería!$J$70:$J$89=0)*(C$43=1)*(Quesería!$H$70:$H$89&gt;0)*Quesería!$F$70:$F$89*(1+Quesería!$I$70:$I$89)))*$C$133*$D$21,IF(AND(C$43&gt;=1,C$43&lt;=Quesería!$B$30),Quesería!$F$92/Quesería!$B$30,0)*$B$133+IF(AND(C$43&gt;=2,C$43&lt;=Quesería!$B$30+1),Quesería!$F$93/Quesería!$B$30,0)*$C$133*$D$21)*$D$11+IF(AND(C$43&gt;=6,C$43&lt;=10),$G137*$G133/5,0)+IF(AND(C$43&gt;=7,C$43&lt;=11),$H137*$H133/5,0))*C135</f>
        <v>82.2633269524265</v>
      </c>
      <c r="D145" s="29" t="n">
        <f aca="false">(IF($D$19=1,(SUMPRODUCT((Quesería!$C$70:$C$89=0)*(Quesería!$J$70:$J$89&gt;0)*(D$43&gt;=1)*(D$43&lt;=Quesería!$J$70:$J$89)*(Quesería!$H$70:$H$89&gt;0)*Quesería!$F$70:$F$89*(1+Quesería!$I$70:$I$89)/(Quesería!$J$70:$J$89+(Quesería!$J$70:$J$89=0)))+SUMPRODUCT((Quesería!$C$70:$C$89=0)*(Quesería!$J$70:$J$89=0)*(D$43=0)*(Quesería!$H$70:$H$89&gt;0)*Quesería!$F$70:$F$89*(1+Quesería!$I$70:$I$89)))*$B$133+(SUMPRODUCT((Quesería!$C$70:$C$89=1)*(Quesería!$J$70:$J$89&gt;0)*(D$43&gt;=2)*(D$43&lt;=Quesería!$J$70:$J$89+1)*(Quesería!$H$70:$H$89&gt;0)*Quesería!$F$70:$F$89*(1+Quesería!$I$70:$I$89)/(Quesería!$J$70:$J$89+(Quesería!$J$70:$J$89=0)))+SUMPRODUCT((Quesería!$C$70:$C$89=1)*(Quesería!$J$70:$J$89=0)*(D$43=1)*(Quesería!$H$70:$H$89&gt;0)*Quesería!$F$70:$F$89*(1+Quesería!$I$70:$I$89)))*$C$133*$D$21,IF(AND(D$43&gt;=1,D$43&lt;=Quesería!$B$30),Quesería!$F$92/Quesería!$B$30,0)*$B$133+IF(AND(D$43&gt;=2,D$43&lt;=Quesería!$B$30+1),Quesería!$F$93/Quesería!$B$30,0)*$C$133*$D$21)*$D$11+IF(AND(D$43&gt;=6,D$43&lt;=10),$G137*$G133/5,0)+IF(AND(D$43&gt;=7,D$43&lt;=11),$H137*$H133/5,0))*D135</f>
        <v>78.7208870358149</v>
      </c>
      <c r="E145" s="29" t="n">
        <f aca="false">(IF($D$19=1,(SUMPRODUCT((Quesería!$C$70:$C$89=0)*(Quesería!$J$70:$J$89&gt;0)*(E$43&gt;=1)*(E$43&lt;=Quesería!$J$70:$J$89)*(Quesería!$H$70:$H$89&gt;0)*Quesería!$F$70:$F$89*(1+Quesería!$I$70:$I$89)/(Quesería!$J$70:$J$89+(Quesería!$J$70:$J$89=0)))+SUMPRODUCT((Quesería!$C$70:$C$89=0)*(Quesería!$J$70:$J$89=0)*(E$43=0)*(Quesería!$H$70:$H$89&gt;0)*Quesería!$F$70:$F$89*(1+Quesería!$I$70:$I$89)))*$B$133+(SUMPRODUCT((Quesería!$C$70:$C$89=1)*(Quesería!$J$70:$J$89&gt;0)*(E$43&gt;=2)*(E$43&lt;=Quesería!$J$70:$J$89+1)*(Quesería!$H$70:$H$89&gt;0)*Quesería!$F$70:$F$89*(1+Quesería!$I$70:$I$89)/(Quesería!$J$70:$J$89+(Quesería!$J$70:$J$89=0)))+SUMPRODUCT((Quesería!$C$70:$C$89=1)*(Quesería!$J$70:$J$89=0)*(E$43=1)*(Quesería!$H$70:$H$89&gt;0)*Quesería!$F$70:$F$89*(1+Quesería!$I$70:$I$89)))*$C$133*$D$21,IF(AND(E$43&gt;=1,E$43&lt;=Quesería!$B$30),Quesería!$F$92/Quesería!$B$30,0)*$B$133+IF(AND(E$43&gt;=2,E$43&lt;=Quesería!$B$30+1),Quesería!$F$93/Quesería!$B$30,0)*$C$133*$D$21)*$D$11+IF(AND(E$43&gt;=6,E$43&lt;=10),$G137*$G133/5,0)+IF(AND(E$43&gt;=7,E$43&lt;=11),$H137*$H133/5,0))*E135</f>
        <v>75.6931606113605</v>
      </c>
      <c r="F145" s="29" t="n">
        <f aca="false">(IF($D$19=1,(SUMPRODUCT((Quesería!$C$70:$C$89=0)*(Quesería!$J$70:$J$89&gt;0)*(F$43&gt;=1)*(F$43&lt;=Quesería!$J$70:$J$89)*(Quesería!$H$70:$H$89&gt;0)*Quesería!$F$70:$F$89*(1+Quesería!$I$70:$I$89)/(Quesería!$J$70:$J$89+(Quesería!$J$70:$J$89=0)))+SUMPRODUCT((Quesería!$C$70:$C$89=0)*(Quesería!$J$70:$J$89=0)*(F$43=0)*(Quesería!$H$70:$H$89&gt;0)*Quesería!$F$70:$F$89*(1+Quesería!$I$70:$I$89)))*$B$133+(SUMPRODUCT((Quesería!$C$70:$C$89=1)*(Quesería!$J$70:$J$89&gt;0)*(F$43&gt;=2)*(F$43&lt;=Quesería!$J$70:$J$89+1)*(Quesería!$H$70:$H$89&gt;0)*Quesería!$F$70:$F$89*(1+Quesería!$I$70:$I$89)/(Quesería!$J$70:$J$89+(Quesería!$J$70:$J$89=0)))+SUMPRODUCT((Quesería!$C$70:$C$89=1)*(Quesería!$J$70:$J$89=0)*(F$43=1)*(Quesería!$H$70:$H$89&gt;0)*Quesería!$F$70:$F$89*(1+Quesería!$I$70:$I$89)))*$C$133*$D$21,IF(AND(F$43&gt;=1,F$43&lt;=Quesería!$B$30),Quesería!$F$92/Quesería!$B$30,0)*$B$133+IF(AND(F$43&gt;=2,F$43&lt;=Quesería!$B$30+1),Quesería!$F$93/Quesería!$B$30,0)*$C$133*$D$21)*$D$11+IF(AND(F$43&gt;=6,F$43&lt;=10),$G137*$G133/5,0)+IF(AND(F$43&gt;=7,F$43&lt;=11),$H137*$H133/5,0))*F135</f>
        <v>72.7818852032312</v>
      </c>
      <c r="G145" s="29" t="n">
        <f aca="false">(IF($D$19=1,(SUMPRODUCT((Quesería!$C$70:$C$89=0)*(Quesería!$J$70:$J$89&gt;0)*(G$43&gt;=1)*(G$43&lt;=Quesería!$J$70:$J$89)*(Quesería!$H$70:$H$89&gt;0)*Quesería!$F$70:$F$89*(1+Quesería!$I$70:$I$89)/(Quesería!$J$70:$J$89+(Quesería!$J$70:$J$89=0)))+SUMPRODUCT((Quesería!$C$70:$C$89=0)*(Quesería!$J$70:$J$89=0)*(G$43=0)*(Quesería!$H$70:$H$89&gt;0)*Quesería!$F$70:$F$89*(1+Quesería!$I$70:$I$89)))*$B$133+(SUMPRODUCT((Quesería!$C$70:$C$89=1)*(Quesería!$J$70:$J$89&gt;0)*(G$43&gt;=2)*(G$43&lt;=Quesería!$J$70:$J$89+1)*(Quesería!$H$70:$H$89&gt;0)*Quesería!$F$70:$F$89*(1+Quesería!$I$70:$I$89)/(Quesería!$J$70:$J$89+(Quesería!$J$70:$J$89=0)))+SUMPRODUCT((Quesería!$C$70:$C$89=1)*(Quesería!$J$70:$J$89=0)*(G$43=1)*(Quesería!$H$70:$H$89&gt;0)*Quesería!$F$70:$F$89*(1+Quesería!$I$70:$I$89)))*$C$133*$D$21,IF(AND(G$43&gt;=1,G$43&lt;=Quesería!$B$30),Quesería!$F$92/Quesería!$B$30,0)*$B$133+IF(AND(G$43&gt;=2,G$43&lt;=Quesería!$B$30+1),Quesería!$F$93/Quesería!$B$30,0)*$C$133*$D$21)*$D$11+IF(AND(G$43&gt;=6,G$43&lt;=10),$G137*$G133/5,0)+IF(AND(G$43&gt;=7,G$43&lt;=11),$H137*$H133/5,0))*G135</f>
        <v>69.9825819261839</v>
      </c>
      <c r="H145" s="29" t="n">
        <f aca="false">(IF($D$19=1,(SUMPRODUCT((Quesería!$C$70:$C$89=0)*(Quesería!$J$70:$J$89&gt;0)*(H$43&gt;=1)*(H$43&lt;=Quesería!$J$70:$J$89)*(Quesería!$H$70:$H$89&gt;0)*Quesería!$F$70:$F$89*(1+Quesería!$I$70:$I$89)/(Quesería!$J$70:$J$89+(Quesería!$J$70:$J$89=0)))+SUMPRODUCT((Quesería!$C$70:$C$89=0)*(Quesería!$J$70:$J$89=0)*(H$43=0)*(Quesería!$H$70:$H$89&gt;0)*Quesería!$F$70:$F$89*(1+Quesería!$I$70:$I$89)))*$B$133+(SUMPRODUCT((Quesería!$C$70:$C$89=1)*(Quesería!$J$70:$J$89&gt;0)*(H$43&gt;=2)*(H$43&lt;=Quesería!$J$70:$J$89+1)*(Quesería!$H$70:$H$89&gt;0)*Quesería!$F$70:$F$89*(1+Quesería!$I$70:$I$89)/(Quesería!$J$70:$J$89+(Quesería!$J$70:$J$89=0)))+SUMPRODUCT((Quesería!$C$70:$C$89=1)*(Quesería!$J$70:$J$89=0)*(H$43=1)*(Quesería!$H$70:$H$89&gt;0)*Quesería!$F$70:$F$89*(1+Quesería!$I$70:$I$89)))*$C$133*$D$21,IF(AND(H$43&gt;=1,H$43&lt;=Quesería!$B$30),Quesería!$F$92/Quesería!$B$30,0)*$B$133+IF(AND(H$43&gt;=2,H$43&lt;=Quesería!$B$30+1),Quesería!$F$93/Quesería!$B$30,0)*$C$133*$D$21)*$D$11+IF(AND(H$43&gt;=6,H$43&lt;=10),$G137*$G133/5,0)+IF(AND(H$43&gt;=7,H$43&lt;=11),$H137*$H133/5,0))*H135</f>
        <v>60.2723225558906</v>
      </c>
      <c r="I145" s="29" t="n">
        <f aca="false">(IF($D$19=1,(SUMPRODUCT((Quesería!$C$70:$C$89=0)*(Quesería!$J$70:$J$89&gt;0)*(I$43&gt;=1)*(I$43&lt;=Quesería!$J$70:$J$89)*(Quesería!$H$70:$H$89&gt;0)*Quesería!$F$70:$F$89*(1+Quesería!$I$70:$I$89)/(Quesería!$J$70:$J$89+(Quesería!$J$70:$J$89=0)))+SUMPRODUCT((Quesería!$C$70:$C$89=0)*(Quesería!$J$70:$J$89=0)*(I$43=0)*(Quesería!$H$70:$H$89&gt;0)*Quesería!$F$70:$F$89*(1+Quesería!$I$70:$I$89)))*$B$133+(SUMPRODUCT((Quesería!$C$70:$C$89=1)*(Quesería!$J$70:$J$89&gt;0)*(I$43&gt;=2)*(I$43&lt;=Quesería!$J$70:$J$89+1)*(Quesería!$H$70:$H$89&gt;0)*Quesería!$F$70:$F$89*(1+Quesería!$I$70:$I$89)/(Quesería!$J$70:$J$89+(Quesería!$J$70:$J$89=0)))+SUMPRODUCT((Quesería!$C$70:$C$89=1)*(Quesería!$J$70:$J$89=0)*(I$43=1)*(Quesería!$H$70:$H$89&gt;0)*Quesería!$F$70:$F$89*(1+Quesería!$I$70:$I$89)))*$C$133*$D$21,IF(AND(I$43&gt;=1,I$43&lt;=Quesería!$B$30),Quesería!$F$92/Quesería!$B$30,0)*$B$133+IF(AND(I$43&gt;=2,I$43&lt;=Quesería!$B$30+1),Quesería!$F$93/Quesería!$B$30,0)*$C$133*$D$21)*$D$11+IF(AND(I$43&gt;=6,I$43&lt;=10),$G137*$G133/5,0)+IF(AND(I$43&gt;=7,I$43&lt;=11),$H137*$H133/5,0))*I135</f>
        <v>66.875147786617</v>
      </c>
      <c r="J145" s="29" t="n">
        <f aca="false">(IF($D$19=1,(SUMPRODUCT((Quesería!$C$70:$C$89=0)*(Quesería!$J$70:$J$89&gt;0)*(J$43&gt;=1)*(J$43&lt;=Quesería!$J$70:$J$89)*(Quesería!$H$70:$H$89&gt;0)*Quesería!$F$70:$F$89*(1+Quesería!$I$70:$I$89)/(Quesería!$J$70:$J$89+(Quesería!$J$70:$J$89=0)))+SUMPRODUCT((Quesería!$C$70:$C$89=0)*(Quesería!$J$70:$J$89=0)*(J$43=0)*(Quesería!$H$70:$H$89&gt;0)*Quesería!$F$70:$F$89*(1+Quesería!$I$70:$I$89)))*$B$133+(SUMPRODUCT((Quesería!$C$70:$C$89=1)*(Quesería!$J$70:$J$89&gt;0)*(J$43&gt;=2)*(J$43&lt;=Quesería!$J$70:$J$89+1)*(Quesería!$H$70:$H$89&gt;0)*Quesería!$F$70:$F$89*(1+Quesería!$I$70:$I$89)/(Quesería!$J$70:$J$89+(Quesería!$J$70:$J$89=0)))+SUMPRODUCT((Quesería!$C$70:$C$89=1)*(Quesería!$J$70:$J$89=0)*(J$43=1)*(Quesería!$H$70:$H$89&gt;0)*Quesería!$F$70:$F$89*(1+Quesería!$I$70:$I$89)))*$C$133*$D$21,IF(AND(J$43&gt;=1,J$43&lt;=Quesería!$B$30),Quesería!$F$92/Quesería!$B$30,0)*$B$133+IF(AND(J$43&gt;=2,J$43&lt;=Quesería!$B$30+1),Quesería!$F$93/Quesería!$B$30,0)*$C$133*$D$21)*$D$11+IF(AND(J$43&gt;=6,J$43&lt;=10),$G137*$G133/5,0)+IF(AND(J$43&gt;=7,J$43&lt;=11),$H137*$H133/5,0))*J135</f>
        <v>64.3030267179009</v>
      </c>
      <c r="K145" s="29" t="n">
        <f aca="false">(IF($D$19=1,(SUMPRODUCT((Quesería!$C$70:$C$89=0)*(Quesería!$J$70:$J$89&gt;0)*(K$43&gt;=1)*(K$43&lt;=Quesería!$J$70:$J$89)*(Quesería!$H$70:$H$89&gt;0)*Quesería!$F$70:$F$89*(1+Quesería!$I$70:$I$89)/(Quesería!$J$70:$J$89+(Quesería!$J$70:$J$89=0)))+SUMPRODUCT((Quesería!$C$70:$C$89=0)*(Quesería!$J$70:$J$89=0)*(K$43=0)*(Quesería!$H$70:$H$89&gt;0)*Quesería!$F$70:$F$89*(1+Quesería!$I$70:$I$89)))*$B$133+(SUMPRODUCT((Quesería!$C$70:$C$89=1)*(Quesería!$J$70:$J$89&gt;0)*(K$43&gt;=2)*(K$43&lt;=Quesería!$J$70:$J$89+1)*(Quesería!$H$70:$H$89&gt;0)*Quesería!$F$70:$F$89*(1+Quesería!$I$70:$I$89)/(Quesería!$J$70:$J$89+(Quesería!$J$70:$J$89=0)))+SUMPRODUCT((Quesería!$C$70:$C$89=1)*(Quesería!$J$70:$J$89=0)*(K$43=1)*(Quesería!$H$70:$H$89&gt;0)*Quesería!$F$70:$F$89*(1+Quesería!$I$70:$I$89)))*$C$133*$D$21,IF(AND(K$43&gt;=1,K$43&lt;=Quesería!$B$30),Quesería!$F$92/Quesería!$B$30,0)*$B$133+IF(AND(K$43&gt;=2,K$43&lt;=Quesería!$B$30+1),Quesería!$F$93/Quesería!$B$30,0)*$C$133*$D$21)*$D$11+IF(AND(K$43&gt;=6,K$43&lt;=10),$G137*$G133/5,0)+IF(AND(K$43&gt;=7,K$43&lt;=11),$H137*$H133/5,0))*K135</f>
        <v>61.829833382597</v>
      </c>
      <c r="L145" s="29" t="n">
        <f aca="false">(IF($D$19=1,(SUMPRODUCT((Quesería!$C$70:$C$89=0)*(Quesería!$J$70:$J$89&gt;0)*(L$43&gt;=1)*(L$43&lt;=Quesería!$J$70:$J$89)*(Quesería!$H$70:$H$89&gt;0)*Quesería!$F$70:$F$89*(1+Quesería!$I$70:$I$89)/(Quesería!$J$70:$J$89+(Quesería!$J$70:$J$89=0)))+SUMPRODUCT((Quesería!$C$70:$C$89=0)*(Quesería!$J$70:$J$89=0)*(L$43=0)*(Quesería!$H$70:$H$89&gt;0)*Quesería!$F$70:$F$89*(1+Quesería!$I$70:$I$89)))*$B$133+(SUMPRODUCT((Quesería!$C$70:$C$89=1)*(Quesería!$J$70:$J$89&gt;0)*(L$43&gt;=2)*(L$43&lt;=Quesería!$J$70:$J$89+1)*(Quesería!$H$70:$H$89&gt;0)*Quesería!$F$70:$F$89*(1+Quesería!$I$70:$I$89)/(Quesería!$J$70:$J$89+(Quesería!$J$70:$J$89=0)))+SUMPRODUCT((Quesería!$C$70:$C$89=1)*(Quesería!$J$70:$J$89=0)*(L$43=1)*(Quesería!$H$70:$H$89&gt;0)*Quesería!$F$70:$F$89*(1+Quesería!$I$70:$I$89)))*$C$133*$D$21,IF(AND(L$43&gt;=1,L$43&lt;=Quesería!$B$30),Quesería!$F$92/Quesería!$B$30,0)*$B$133+IF(AND(L$43&gt;=2,L$43&lt;=Quesería!$B$30+1),Quesería!$F$93/Quesería!$B$30,0)*$C$133*$D$21)*$D$11+IF(AND(L$43&gt;=6,L$43&lt;=10),$G137*$G133/5,0)+IF(AND(L$43&gt;=7,L$43&lt;=11),$H137*$H133/5,0))*L135</f>
        <v>59.4517628678818</v>
      </c>
    </row>
    <row r="146" customFormat="false" ht="15" hidden="true" customHeight="false" outlineLevel="1" collapsed="false">
      <c r="A146" s="9" t="s">
        <v>416</v>
      </c>
      <c r="B146" s="58" t="n">
        <f aca="false">IF(B$43=1,MIN($D$7*Quesería!$B$56*Quesería!$F$86*$D$11*$D$21,Quesería!$B$57*Quesería!$B$58),0)</f>
        <v>0</v>
      </c>
      <c r="C146" s="58" t="n">
        <f aca="false">IF(C$43=1,MIN($D$7*Quesería!$B$56*Quesería!$F$86*$D$11*$D$21,Quesería!$B$57*Quesería!$B$58),0)</f>
        <v>0</v>
      </c>
      <c r="D146" s="58" t="n">
        <f aca="false">IF(D$43=1,MIN($D$7*Quesería!$B$56*Quesería!$F$86*$D$11*$D$21,Quesería!$B$57*Quesería!$B$58),0)</f>
        <v>0</v>
      </c>
      <c r="E146" s="58" t="n">
        <f aca="false">IF(E$43=1,MIN($D$7*Quesería!$B$56*Quesería!$F$86*$D$11*$D$21,Quesería!$B$57*Quesería!$B$58),0)</f>
        <v>0</v>
      </c>
      <c r="F146" s="58" t="n">
        <f aca="false">IF(F$43=1,MIN($D$7*Quesería!$B$56*Quesería!$F$86*$D$11*$D$21,Quesería!$B$57*Quesería!$B$58),0)</f>
        <v>0</v>
      </c>
      <c r="G146" s="58" t="n">
        <f aca="false">IF(G$43=1,MIN($D$7*Quesería!$B$56*Quesería!$F$86*$D$11*$D$21,Quesería!$B$57*Quesería!$B$58),0)</f>
        <v>0</v>
      </c>
      <c r="H146" s="58" t="n">
        <f aca="false">IF(H$43=1,MIN($D$7*Quesería!$B$56*Quesería!$F$86*$D$11*$D$21,Quesería!$B$57*Quesería!$B$58),0)</f>
        <v>0</v>
      </c>
      <c r="I146" s="58" t="n">
        <f aca="false">IF(I$43=1,MIN($D$7*Quesería!$B$56*Quesería!$F$86*$D$11*$D$21,Quesería!$B$57*Quesería!$B$58),0)</f>
        <v>0</v>
      </c>
      <c r="J146" s="58" t="n">
        <f aca="false">IF(J$43=1,MIN($D$7*Quesería!$B$56*Quesería!$F$86*$D$11*$D$21,Quesería!$B$57*Quesería!$B$58),0)</f>
        <v>0</v>
      </c>
      <c r="K146" s="58" t="n">
        <f aca="false">IF(K$43=1,MIN($D$7*Quesería!$B$56*Quesería!$F$86*$D$11*$D$21,Quesería!$B$57*Quesería!$B$58),0)</f>
        <v>0</v>
      </c>
      <c r="L146" s="58" t="n">
        <f aca="false">IF(L$43=1,MIN($D$7*Quesería!$B$56*Quesería!$F$86*$D$11*$D$21,Quesería!$B$57*Quesería!$B$58),0)</f>
        <v>0</v>
      </c>
    </row>
    <row r="147" customFormat="false" ht="15" hidden="true" customHeight="false" outlineLevel="1" collapsed="false">
      <c r="A147" s="9" t="s">
        <v>417</v>
      </c>
      <c r="B147" s="58" t="n">
        <v>0</v>
      </c>
      <c r="C147" s="58" t="n">
        <f aca="false">$D$20*Quesería!$B$60*Quesería!$F$98*$D$11*$B$133/C133/2</f>
        <v>0</v>
      </c>
      <c r="D147" s="58" t="n">
        <f aca="false">$D$20*Quesería!$B$60*Quesería!$F$98*$D$11*$B$133/D133/2</f>
        <v>0</v>
      </c>
      <c r="E147" s="58" t="n">
        <v>0</v>
      </c>
      <c r="F147" s="58" t="n">
        <v>0</v>
      </c>
      <c r="G147" s="58" t="n">
        <v>0</v>
      </c>
      <c r="H147" s="58" t="n">
        <v>0</v>
      </c>
      <c r="I147" s="58" t="n">
        <v>0</v>
      </c>
      <c r="J147" s="58" t="n">
        <v>0</v>
      </c>
      <c r="K147" s="58" t="n">
        <v>0</v>
      </c>
      <c r="L147" s="58" t="n">
        <v>0</v>
      </c>
    </row>
    <row r="148" customFormat="false" ht="15" hidden="true" customHeight="false" outlineLevel="1" collapsed="false">
      <c r="A148" s="9" t="s">
        <v>418</v>
      </c>
      <c r="B148" s="58" t="n">
        <f aca="false">0</f>
        <v>0</v>
      </c>
      <c r="C148" s="58" t="n">
        <f aca="false">B138*B133/C133</f>
        <v>142.014925295407</v>
      </c>
      <c r="D148" s="58" t="n">
        <f aca="false">C138*C133/D133</f>
        <v>0</v>
      </c>
      <c r="E148" s="58" t="n">
        <f aca="false">D138*D133/E133</f>
        <v>0</v>
      </c>
      <c r="F148" s="58" t="n">
        <f aca="false">E138*E133/F133</f>
        <v>0</v>
      </c>
      <c r="G148" s="58" t="n">
        <f aca="false">F138*F133/G133</f>
        <v>0</v>
      </c>
      <c r="H148" s="58" t="n">
        <f aca="false">G138*G133/H133</f>
        <v>5.01768392412113</v>
      </c>
      <c r="I148" s="58" t="n">
        <f aca="false">H138*H133/I133</f>
        <v>8.47494190873221</v>
      </c>
      <c r="J148" s="58" t="n">
        <f aca="false">I138*I133/J133</f>
        <v>0</v>
      </c>
      <c r="K148" s="58" t="n">
        <f aca="false">J138*J133/K133</f>
        <v>0</v>
      </c>
      <c r="L148" s="58" t="n">
        <f aca="false">K138*K133/L133</f>
        <v>0</v>
      </c>
    </row>
    <row r="149" customFormat="false" ht="15" hidden="true" customHeight="false" outlineLevel="1" collapsed="false">
      <c r="A149" s="6" t="s">
        <v>295</v>
      </c>
      <c r="B149" s="29" t="n">
        <f aca="false">$D$17*(B141-B142-B143-0.5*B144-B145)-B146-B147-B148</f>
        <v>-24.4887123309474</v>
      </c>
      <c r="C149" s="29" t="n">
        <f aca="false">$D$17*(C141-C142-C143-0.5*C144-C145)-C146-C147-C148</f>
        <v>-144.462404998131</v>
      </c>
      <c r="D149" s="29" t="n">
        <f aca="false">$D$17*(D141-D142-D143-0.5*D144-D145)-D146-D147-D148</f>
        <v>12.5106783092252</v>
      </c>
      <c r="E149" s="29" t="n">
        <f aca="false">$D$17*(E141-E142-E143-0.5*E144-E145)-E146-E147-E148</f>
        <v>13.5863399761091</v>
      </c>
      <c r="F149" s="29" t="n">
        <f aca="false">$D$17*(F141-F142-F143-0.5*F144-F145)-F146-F147-F148</f>
        <v>14.6213235743709</v>
      </c>
      <c r="G149" s="29" t="n">
        <f aca="false">$D$17*(G141-G142-G143-0.5*G144-G145)-G146-G147-G148</f>
        <v>15.5943185867961</v>
      </c>
      <c r="H149" s="29" t="n">
        <f aca="false">$D$17*(H141-H142-H143-0.5*H144-H145)-H146-H147-H148</f>
        <v>13.9756597799561</v>
      </c>
      <c r="I149" s="29" t="n">
        <f aca="false">$D$17*(I141-I142-I143-0.5*I144-I145)-I146-I147-I148</f>
        <v>8.26233409959088</v>
      </c>
      <c r="J149" s="29" t="n">
        <f aca="false">$D$17*(J141-J142-J143-0.5*J144-J145)-J146-J147-J148</f>
        <v>17.653878745508</v>
      </c>
      <c r="K149" s="29" t="n">
        <f aca="false">$D$17*(K141-K142-K143-0.5*K144-K145)-K146-K147-K148</f>
        <v>18.5359385778143</v>
      </c>
      <c r="L149" s="29" t="n">
        <f aca="false">$D$17*(L141-L142-L143-0.5*L144-L145)-L146-L147-L148</f>
        <v>19.3847876337393</v>
      </c>
    </row>
    <row r="150" customFormat="false" ht="15" hidden="true" customHeight="false" outlineLevel="1" collapsed="false">
      <c r="A150" s="9" t="s">
        <v>419</v>
      </c>
      <c r="B150" s="58" t="n">
        <f aca="false">(IF(B$43&gt;=1,Quesería!$G$123*IF(B$43=1,Quesería!$B$20,1),Quesería!$G$123*Quesería!$B$20*Quesería!$B$21/12*$D$23)+IF(B$43&gt;=2,Quesería!$G$124*$D$21*IF(B$43=2,Quesería!$B$20,1),0))*$D$10</f>
        <v>77.4042870161869</v>
      </c>
      <c r="C150" s="58" t="n">
        <f aca="false">(IF(C$43&gt;=1,Quesería!$G$123*IF(C$43=1,Quesería!$B$20,1),Quesería!$G$123*Quesería!$B$20*Quesería!$B$21/12*$D$23)+IF(C$43&gt;=2,Quesería!$G$124*$D$21*IF(C$43=2,Quesería!$B$20,1),0))*$D$10</f>
        <v>116.10643052428</v>
      </c>
      <c r="D150" s="58" t="n">
        <f aca="false">(IF(D$43&gt;=1,Quesería!$G$123*IF(D$43=1,Quesería!$B$20,1),Quesería!$G$123*Quesería!$B$20*Quesería!$B$21/12*$D$23)+IF(D$43&gt;=2,Quesería!$G$124*$D$21*IF(D$43=2,Quesería!$B$20,1),0))*$D$10</f>
        <v>154.808574032374</v>
      </c>
      <c r="E150" s="58" t="n">
        <f aca="false">(IF(E$43&gt;=1,Quesería!$G$123*IF(E$43=1,Quesería!$B$20,1),Quesería!$G$123*Quesería!$B$20*Quesería!$B$21/12*$D$23)+IF(E$43&gt;=2,Quesería!$G$124*$D$21*IF(E$43=2,Quesería!$B$20,1),0))*$D$10</f>
        <v>154.808574032374</v>
      </c>
      <c r="F150" s="58" t="n">
        <f aca="false">(IF(F$43&gt;=1,Quesería!$G$123*IF(F$43=1,Quesería!$B$20,1),Quesería!$G$123*Quesería!$B$20*Quesería!$B$21/12*$D$23)+IF(F$43&gt;=2,Quesería!$G$124*$D$21*IF(F$43=2,Quesería!$B$20,1),0))*$D$10</f>
        <v>154.808574032374</v>
      </c>
      <c r="G150" s="58" t="n">
        <f aca="false">(IF(G$43&gt;=1,Quesería!$G$123*IF(G$43=1,Quesería!$B$20,1),Quesería!$G$123*Quesería!$B$20*Quesería!$B$21/12*$D$23)+IF(G$43&gt;=2,Quesería!$G$124*$D$21*IF(G$43=2,Quesería!$B$20,1),0))*$D$10</f>
        <v>154.808574032374</v>
      </c>
      <c r="H150" s="58" t="n">
        <f aca="false">(IF(H$43&gt;=1,Quesería!$G$123*IF(H$43=1,Quesería!$B$20,1),Quesería!$G$123*Quesería!$B$20*Quesería!$B$21/12*$D$23)+IF(H$43&gt;=2,Quesería!$G$124*$D$21*IF(H$43=2,Quesería!$B$20,1),0))*$D$10</f>
        <v>154.808574032374</v>
      </c>
      <c r="I150" s="58" t="n">
        <f aca="false">(IF(I$43&gt;=1,Quesería!$G$123*IF(I$43=1,Quesería!$B$20,1),Quesería!$G$123*Quesería!$B$20*Quesería!$B$21/12*$D$23)+IF(I$43&gt;=2,Quesería!$G$124*$D$21*IF(I$43=2,Quesería!$B$20,1),0))*$D$10</f>
        <v>154.808574032374</v>
      </c>
      <c r="J150" s="58" t="n">
        <f aca="false">(IF(J$43&gt;=1,Quesería!$G$123*IF(J$43=1,Quesería!$B$20,1),Quesería!$G$123*Quesería!$B$20*Quesería!$B$21/12*$D$23)+IF(J$43&gt;=2,Quesería!$G$124*$D$21*IF(J$43=2,Quesería!$B$20,1),0))*$D$10</f>
        <v>154.808574032374</v>
      </c>
      <c r="K150" s="58" t="n">
        <f aca="false">(IF(K$43&gt;=1,Quesería!$G$123*IF(K$43=1,Quesería!$B$20,1),Quesería!$G$123*Quesería!$B$20*Quesería!$B$21/12*$D$23)+IF(K$43&gt;=2,Quesería!$G$124*$D$21*IF(K$43=2,Quesería!$B$20,1),0))*$D$10</f>
        <v>154.808574032374</v>
      </c>
      <c r="L150" s="58" t="n">
        <f aca="false">(IF(L$43&gt;=1,Quesería!$G$123*IF(L$43=1,Quesería!$B$20,1),Quesería!$G$123*Quesería!$B$20*Quesería!$B$21/12*$D$23)+IF(L$43&gt;=2,Quesería!$G$124*$D$21*IF(L$43=2,Quesería!$B$20,1),0))*$D$10</f>
        <v>154.808574032374</v>
      </c>
    </row>
    <row r="151" customFormat="false" ht="15" hidden="true" customHeight="false" outlineLevel="1" collapsed="false">
      <c r="A151" s="6" t="s">
        <v>420</v>
      </c>
      <c r="B151" s="29" t="n">
        <f aca="false">(B150*(Quesería!$B$38+Quesería!$B$40*Quesería!$B$39)/365-B142*Quesería!$B$42/365)</f>
        <v>7.23146900616979</v>
      </c>
      <c r="C151" s="29" t="n">
        <f aca="false">(C150*(Quesería!$B$38+Quesería!$B$40*Quesería!$B$39)/365-C142*Quesería!$B$42/365)-(B150*(Quesería!$B$38+Quesería!$B$40*Quesería!$B$39)/365-B142*Quesería!$B$42/365)*B133/C133</f>
        <v>1.42287846600884</v>
      </c>
      <c r="D151" s="29" t="n">
        <f aca="false">(D150*(Quesería!$B$38+Quesería!$B$40*Quesería!$B$39)/365-D142*Quesería!$B$42/365)-(C150*(Quesería!$B$38+Quesería!$B$40*Quesería!$B$39)/365-C142*Quesería!$B$42/365)*C133/D133</f>
        <v>3.97358104015171</v>
      </c>
      <c r="E151" s="29" t="n">
        <f aca="false">(E150*(Quesería!$B$38+Quesería!$B$40*Quesería!$B$39)/365-E142*Quesería!$B$42/365)-(D150*(Quesería!$B$38+Quesería!$B$40*Quesería!$B$39)/365-D142*Quesería!$B$42/365)*D133/E133</f>
        <v>0.458681781088581</v>
      </c>
      <c r="F151" s="29" t="n">
        <f aca="false">(F150*(Quesería!$B$38+Quesería!$B$40*Quesería!$B$39)/365-F142*Quesería!$B$42/365)-(E150*(Quesería!$B$38+Quesería!$B$40*Quesería!$B$39)/365-E142*Quesería!$B$42/365)*E133/F133</f>
        <v>0.458681781088579</v>
      </c>
      <c r="G151" s="29" t="n">
        <f aca="false">(G150*(Quesería!$B$38+Quesería!$B$40*Quesería!$B$39)/365-G142*Quesería!$B$42/365)-(F150*(Quesería!$B$38+Quesería!$B$40*Quesería!$B$39)/365-F142*Quesería!$B$42/365)*F133/G133</f>
        <v>0.458681781088581</v>
      </c>
      <c r="H151" s="29" t="n">
        <f aca="false">(H150*(Quesería!$B$38+Quesería!$B$40*Quesería!$B$39)/365-H142*Quesería!$B$42/365)-(G150*(Quesería!$B$38+Quesería!$B$40*Quesería!$B$39)/365-G142*Quesería!$B$42/365)*G133/H133</f>
        <v>0.458681781088581</v>
      </c>
      <c r="I151" s="29" t="n">
        <f aca="false">(I150*(Quesería!$B$38+Quesería!$B$40*Quesería!$B$39)/365-I142*Quesería!$B$42/365)-(H150*(Quesería!$B$38+Quesería!$B$40*Quesería!$B$39)/365-H142*Quesería!$B$42/365)*H133/I133</f>
        <v>0.458681781088579</v>
      </c>
      <c r="J151" s="29" t="n">
        <f aca="false">(J150*(Quesería!$B$38+Quesería!$B$40*Quesería!$B$39)/365-J142*Quesería!$B$42/365)-(I150*(Quesería!$B$38+Quesería!$B$40*Quesería!$B$39)/365-I142*Quesería!$B$42/365)*I133/J133</f>
        <v>0.458681781088579</v>
      </c>
      <c r="K151" s="29" t="n">
        <f aca="false">(K150*(Quesería!$B$38+Quesería!$B$40*Quesería!$B$39)/365-K142*Quesería!$B$42/365)-(J150*(Quesería!$B$38+Quesería!$B$40*Quesería!$B$39)/365-J142*Quesería!$B$42/365)*J133/K133</f>
        <v>0.458681781088579</v>
      </c>
      <c r="L151" s="29" t="n">
        <f aca="false">-(K150*(Quesería!$B$38+Quesería!$B$40*Quesería!$B$39)/365-K142*Quesería!$B$42/365)*K133/L133</f>
        <v>-11.4670445272145</v>
      </c>
    </row>
    <row r="152" customFormat="false" ht="15" hidden="true" customHeight="false" outlineLevel="1" collapsed="false">
      <c r="A152" s="6" t="s">
        <v>421</v>
      </c>
      <c r="B152" s="29" t="n">
        <v>0</v>
      </c>
      <c r="C152" s="29" t="n">
        <v>0</v>
      </c>
      <c r="D152" s="29" t="n">
        <v>0</v>
      </c>
      <c r="E152" s="29" t="n">
        <v>0</v>
      </c>
      <c r="F152" s="29" t="n">
        <v>0</v>
      </c>
      <c r="G152" s="29" t="n">
        <v>0</v>
      </c>
      <c r="H152" s="29" t="n">
        <v>0</v>
      </c>
      <c r="I152" s="29" t="n">
        <v>0</v>
      </c>
      <c r="J152" s="29" t="n">
        <v>0</v>
      </c>
      <c r="K152" s="29" t="n">
        <v>0</v>
      </c>
      <c r="L152" s="29" t="n">
        <f aca="false">$D$8*Quesería!$B$36*(Quesería!$F$94+Quesería!$F$95*$D$21)*$D$11*(1-$D$17)</f>
        <v>0</v>
      </c>
    </row>
    <row r="153" customFormat="false" ht="15" hidden="true" customHeight="false" outlineLevel="1" collapsed="false">
      <c r="A153" s="5" t="s">
        <v>147</v>
      </c>
      <c r="B153" s="59" t="n">
        <f aca="false">B141-B142-B143-B144-B149-B136-B137-B138-B151+B152</f>
        <v>-988.805333575311</v>
      </c>
      <c r="C153" s="59" t="n">
        <f aca="false">C141-C142-C143-C144-C149-C136-C137-C138-C151+C152</f>
        <v>218.225865036456</v>
      </c>
      <c r="D153" s="59" t="n">
        <f aca="false">D141-D142-D143-D144-D149-D136-D137-D138-D151+D152</f>
        <v>97.8972335582007</v>
      </c>
      <c r="E153" s="59" t="n">
        <f aca="false">E141-E142-E143-E144-E149-E136-E137-E138-E151+E152</f>
        <v>100.382063774165</v>
      </c>
      <c r="F153" s="59" t="n">
        <f aca="false">F141-F142-F143-F144-F149-F136-F137-F138-F151+F152</f>
        <v>99.3929007628079</v>
      </c>
      <c r="G153" s="59" t="n">
        <f aca="false">G141-G142-G143-G144-G149-G136-G137-G138-G151+G152</f>
        <v>65.6516124560622</v>
      </c>
      <c r="H153" s="59" t="n">
        <f aca="false">H141-H142-H143-H144-H149-H136-H137-H138-H151+H152</f>
        <v>44.7069865081286</v>
      </c>
      <c r="I153" s="59" t="n">
        <f aca="false">I141-I142-I143-I144-I149-I136-I137-I138-I151+I152</f>
        <v>105.890731203694</v>
      </c>
      <c r="J153" s="59" t="n">
        <f aca="false">J141-J142-J143-J144-J149-J136-J137-J138-J151+J152</f>
        <v>96.5459304524465</v>
      </c>
      <c r="K153" s="59" t="n">
        <f aca="false">K141-K142-K143-K144-K149-K136-K137-K138-K151+K152</f>
        <v>95.7108482342829</v>
      </c>
      <c r="L153" s="59" t="n">
        <f aca="false">L141-L142-L143-L144-L149-L136-L137-L138-L151+L152</f>
        <v>106.834937988874</v>
      </c>
    </row>
    <row r="154" customFormat="false" ht="15" hidden="true" customHeight="false" outlineLevel="1" collapsed="false">
      <c r="A154" s="9" t="s">
        <v>422</v>
      </c>
      <c r="B154" s="58" t="n">
        <f aca="false">B153*B133</f>
        <v>-1048.13365358983</v>
      </c>
      <c r="C154" s="58" t="n">
        <f aca="false">C153*C133</f>
        <v>242.885387785576</v>
      </c>
      <c r="D154" s="58" t="n">
        <f aca="false">D153*D133</f>
        <v>113.86280389304</v>
      </c>
      <c r="E154" s="58" t="n">
        <f aca="false">E153*E133</f>
        <v>121.422987550566</v>
      </c>
      <c r="F154" s="58" t="n">
        <f aca="false">F153*F133</f>
        <v>125.035547169581</v>
      </c>
      <c r="G154" s="58" t="n">
        <f aca="false">G153*G133</f>
        <v>85.8928216394699</v>
      </c>
      <c r="H154" s="58" t="n">
        <f aca="false">H153*H133</f>
        <v>60.8303351205709</v>
      </c>
      <c r="I154" s="58" t="n">
        <f aca="false">I153*I133</f>
        <v>149.842875468163</v>
      </c>
      <c r="J154" s="58" t="n">
        <f aca="false">J153*J133</f>
        <v>142.084094198499</v>
      </c>
      <c r="K154" s="58" t="n">
        <f aca="false">K153*K133</f>
        <v>146.489330799475</v>
      </c>
      <c r="L154" s="58" t="n">
        <f aca="false">L153*L133</f>
        <v>170.055808877926</v>
      </c>
    </row>
    <row r="155" customFormat="false" ht="15" hidden="true" customHeight="false" outlineLevel="1" collapsed="false">
      <c r="A155" s="6" t="s">
        <v>423</v>
      </c>
      <c r="B155" s="29" t="n">
        <f aca="false">B153</f>
        <v>-988.805333575311</v>
      </c>
      <c r="C155" s="29" t="n">
        <f aca="false">B155+C153</f>
        <v>-770.579468538855</v>
      </c>
      <c r="D155" s="29" t="n">
        <f aca="false">C155+D153</f>
        <v>-672.682234980654</v>
      </c>
      <c r="E155" s="29" t="n">
        <f aca="false">D155+E153</f>
        <v>-572.300171206489</v>
      </c>
      <c r="F155" s="29" t="n">
        <f aca="false">E155+F153</f>
        <v>-472.907270443681</v>
      </c>
      <c r="G155" s="29" t="n">
        <f aca="false">F155+G153</f>
        <v>-407.255657987619</v>
      </c>
      <c r="H155" s="29" t="n">
        <f aca="false">G155+H153</f>
        <v>-362.54867147949</v>
      </c>
      <c r="I155" s="29" t="n">
        <f aca="false">H155+I153</f>
        <v>-256.657940275796</v>
      </c>
      <c r="J155" s="29" t="n">
        <f aca="false">I155+J153</f>
        <v>-160.112009823349</v>
      </c>
      <c r="K155" s="29" t="n">
        <f aca="false">J155+K153</f>
        <v>-64.4011615890665</v>
      </c>
      <c r="L155" s="29" t="n">
        <f aca="false">K155+L153</f>
        <v>42.4337763998078</v>
      </c>
    </row>
    <row r="156" customFormat="false" ht="15" hidden="true" customHeight="false" outlineLevel="1" collapsed="false">
      <c r="A156" s="9" t="s">
        <v>424</v>
      </c>
      <c r="B156" s="60" t="n">
        <v>0</v>
      </c>
      <c r="C156" s="60" t="n">
        <f aca="false">IF(AND(B155&lt;0,C155&gt;=0),B$43+(-B155)/C153,0)</f>
        <v>0</v>
      </c>
      <c r="D156" s="60" t="n">
        <f aca="false">IF(AND(C155&lt;0,D155&gt;=0),C$43+(-C155)/D153,0)</f>
        <v>0</v>
      </c>
      <c r="E156" s="60" t="n">
        <f aca="false">IF(AND(D155&lt;0,E155&gt;=0),D$43+(-D155)/E153,0)</f>
        <v>0</v>
      </c>
      <c r="F156" s="60" t="n">
        <f aca="false">IF(AND(E155&lt;0,F155&gt;=0),E$43+(-E155)/F153,0)</f>
        <v>0</v>
      </c>
      <c r="G156" s="60" t="n">
        <f aca="false">IF(AND(F155&lt;0,G155&gt;=0),F$43+(-F155)/G153,0)</f>
        <v>0</v>
      </c>
      <c r="H156" s="60" t="n">
        <f aca="false">IF(AND(G155&lt;0,H155&gt;=0),G$43+(-G155)/H153,0)</f>
        <v>0</v>
      </c>
      <c r="I156" s="60" t="n">
        <f aca="false">IF(AND(H155&lt;0,I155&gt;=0),H$43+(-H155)/I153,0)</f>
        <v>0</v>
      </c>
      <c r="J156" s="60" t="n">
        <f aca="false">IF(AND(I155&lt;0,J155&gt;=0),I$43+(-I155)/J153,0)</f>
        <v>0</v>
      </c>
      <c r="K156" s="60" t="n">
        <f aca="false">IF(AND(J155&lt;0,K155&gt;=0),J$43+(-J155)/K153,0)</f>
        <v>0</v>
      </c>
      <c r="L156" s="60" t="n">
        <f aca="false">IF(AND(K155&lt;0,L155&gt;=0),K$43+(-K155)/L153,0)</f>
        <v>9.60280993092141</v>
      </c>
    </row>
    <row r="157" customFormat="false" ht="15" hidden="true" customHeight="false" outlineLevel="1" collapsed="false">
      <c r="A157" s="9" t="s">
        <v>425</v>
      </c>
      <c r="B157" s="57" t="n">
        <f aca="false">(B133/$B$133)/(1+$D$25)^B$43</f>
        <v>1</v>
      </c>
      <c r="C157" s="57" t="n">
        <f aca="false">(C133/$B$133)/(1+$D$25)^C$43</f>
        <v>0.907458487517462</v>
      </c>
      <c r="D157" s="57" t="n">
        <f aca="false">(D133/$B$133)/(1+$D$25)^D$43</f>
        <v>0.819559568917159</v>
      </c>
      <c r="E157" s="57" t="n">
        <f aca="false">(E133/$B$133)/(1+$D$25)^E$43</f>
        <v>0.73663327458441</v>
      </c>
      <c r="F157" s="57" t="n">
        <f aca="false">(F133/$B$133)/(1+$D$25)^F$43</f>
        <v>0.6620977922836</v>
      </c>
      <c r="G157" s="57" t="n">
        <f aca="false">(G133/$B$133)/(1+$D$25)^G$43</f>
        <v>0.595104106306</v>
      </c>
      <c r="H157" s="57" t="n">
        <f aca="false">(H133/$B$133)/(1+$D$25)^H$43</f>
        <v>0.534889107726503</v>
      </c>
      <c r="I157" s="57" t="n">
        <f aca="false">(I133/$B$133)/(1+$D$25)^I$43</f>
        <v>0.480766902013848</v>
      </c>
      <c r="J157" s="57" t="n">
        <f aca="false">(J133/$B$133)/(1+$D$25)^J$43</f>
        <v>0.432120996171371</v>
      </c>
      <c r="K157" s="57" t="n">
        <f aca="false">(K133/$B$133)/(1+$D$25)^K$43</f>
        <v>0.388397276413924</v>
      </c>
      <c r="L157" s="57" t="n">
        <f aca="false">(L133/$B$133)/(1+$D$25)^L$43</f>
        <v>0.349097696391334</v>
      </c>
    </row>
    <row r="158" customFormat="false" ht="15" hidden="true" customHeight="false" outlineLevel="1" collapsed="false">
      <c r="A158" s="9" t="s">
        <v>426</v>
      </c>
      <c r="B158" s="58" t="n">
        <f aca="false">B153*B157</f>
        <v>-988.805333575311</v>
      </c>
      <c r="C158" s="58" t="n">
        <f aca="false">C153*C157</f>
        <v>198.030913423172</v>
      </c>
      <c r="D158" s="58" t="n">
        <f aca="false">D153*D157</f>
        <v>80.2326145331414</v>
      </c>
      <c r="E158" s="58" t="n">
        <f aca="false">E153*E157</f>
        <v>73.9447683475044</v>
      </c>
      <c r="F158" s="58" t="n">
        <f aca="false">F153*F157</f>
        <v>65.807820163718</v>
      </c>
      <c r="G158" s="58" t="n">
        <f aca="false">G153*G157</f>
        <v>39.0695441582127</v>
      </c>
      <c r="H158" s="58" t="n">
        <f aca="false">H153*H157</f>
        <v>23.9132801224737</v>
      </c>
      <c r="I158" s="58" t="n">
        <f aca="false">I153*I157</f>
        <v>50.9087587927811</v>
      </c>
      <c r="J158" s="58" t="n">
        <f aca="false">J153*J157</f>
        <v>41.7195236434031</v>
      </c>
      <c r="K158" s="58" t="n">
        <f aca="false">K153*K157</f>
        <v>37.1738327774619</v>
      </c>
      <c r="L158" s="58" t="n">
        <f aca="false">L153*L157</f>
        <v>37.295830746027</v>
      </c>
    </row>
    <row r="159" customFormat="false" ht="15" hidden="true" customHeight="false" outlineLevel="1" collapsed="false">
      <c r="A159" s="9" t="s">
        <v>427</v>
      </c>
      <c r="B159" s="58" t="n">
        <f aca="false">B158</f>
        <v>-988.805333575311</v>
      </c>
      <c r="C159" s="58" t="n">
        <f aca="false">B159+C158</f>
        <v>-790.774420152138</v>
      </c>
      <c r="D159" s="58" t="n">
        <f aca="false">C159+D158</f>
        <v>-710.541805618997</v>
      </c>
      <c r="E159" s="58" t="n">
        <f aca="false">D159+E158</f>
        <v>-636.597037271493</v>
      </c>
      <c r="F159" s="58" t="n">
        <f aca="false">E159+F158</f>
        <v>-570.789217107774</v>
      </c>
      <c r="G159" s="58" t="n">
        <f aca="false">F159+G158</f>
        <v>-531.719672949562</v>
      </c>
      <c r="H159" s="58" t="n">
        <f aca="false">G159+H158</f>
        <v>-507.806392827088</v>
      </c>
      <c r="I159" s="58" t="n">
        <f aca="false">H159+I158</f>
        <v>-456.897634034307</v>
      </c>
      <c r="J159" s="58" t="n">
        <f aca="false">I159+J158</f>
        <v>-415.178110390904</v>
      </c>
      <c r="K159" s="58" t="n">
        <f aca="false">J159+K158</f>
        <v>-378.004277613442</v>
      </c>
      <c r="L159" s="58" t="n">
        <f aca="false">K159+L158</f>
        <v>-340.708446867415</v>
      </c>
    </row>
    <row r="160" customFormat="false" ht="15" hidden="true" customHeight="false" outlineLevel="1" collapsed="false">
      <c r="A160" s="9" t="s">
        <v>428</v>
      </c>
      <c r="B160" s="60" t="n">
        <v>0</v>
      </c>
      <c r="C160" s="60" t="n">
        <f aca="false">IF(AND(B159&lt;0,C159&gt;=0),B$43+(-B159)/C158,0)</f>
        <v>0</v>
      </c>
      <c r="D160" s="60" t="n">
        <f aca="false">IF(AND(C159&lt;0,D159&gt;=0),C$43+(-C159)/D158,0)</f>
        <v>0</v>
      </c>
      <c r="E160" s="60" t="n">
        <f aca="false">IF(AND(D159&lt;0,E159&gt;=0),D$43+(-D159)/E158,0)</f>
        <v>0</v>
      </c>
      <c r="F160" s="60" t="n">
        <f aca="false">IF(AND(E159&lt;0,F159&gt;=0),E$43+(-E159)/F158,0)</f>
        <v>0</v>
      </c>
      <c r="G160" s="60" t="n">
        <f aca="false">IF(AND(F159&lt;0,G159&gt;=0),F$43+(-F159)/G158,0)</f>
        <v>0</v>
      </c>
      <c r="H160" s="60" t="n">
        <f aca="false">IF(AND(G159&lt;0,H159&gt;=0),G$43+(-G159)/H158,0)</f>
        <v>0</v>
      </c>
      <c r="I160" s="60" t="n">
        <f aca="false">IF(AND(H159&lt;0,I159&gt;=0),H$43+(-H159)/I158,0)</f>
        <v>0</v>
      </c>
      <c r="J160" s="60" t="n">
        <f aca="false">IF(AND(I159&lt;0,J159&gt;=0),I$43+(-I159)/J158,0)</f>
        <v>0</v>
      </c>
      <c r="K160" s="60" t="n">
        <f aca="false">IF(AND(J159&lt;0,K159&gt;=0),J$43+(-J159)/K158,0)</f>
        <v>0</v>
      </c>
      <c r="L160" s="60" t="n">
        <f aca="false">IF(AND(K159&lt;0,L159&gt;=0),K$43+(-K159)/L158,0)</f>
        <v>0</v>
      </c>
    </row>
    <row r="161" customFormat="false" ht="15" hidden="true" customHeight="false" outlineLevel="1" collapsed="false">
      <c r="A161" s="9" t="s">
        <v>429</v>
      </c>
      <c r="B161" s="58" t="n">
        <f aca="false">IF(B$43&lt;0,0,(Quesería!$B$44*$B$136*$B$133)*(1-MAX(0,MIN(B$43-0-Quesería!$B$47,(Quesería!$B$46-Quesería!$B$47)))/(Quesería!$B$46-Quesería!$B$47))*IF(B$43&gt;=2,1-Quesería!$B$48,1))+IF(B$43&lt;1,0,(Quesería!$B$44*$C$136*$C$133)*(1-MAX(0,MIN(B$43-1-Quesería!$B$47,(Quesería!$B$46-Quesería!$B$47)))/(Quesería!$B$46-Quesería!$B$47))*IF(B$43&gt;=2,1-Quesería!$B$48,1))</f>
        <v>641.321364968425</v>
      </c>
      <c r="C161" s="58" t="n">
        <f aca="false">IF(C$43&lt;0,0,(Quesería!$B$44*$B$136*$B$133)*(1-MAX(0,MIN(C$43-0-Quesería!$B$47,(Quesería!$B$46-Quesería!$B$47)))/(Quesería!$B$46-Quesería!$B$47))*IF(C$43&gt;=2,1-Quesería!$B$48,1))+IF(C$43&lt;1,0,(Quesería!$B$44*$C$136*$C$133)*(1-MAX(0,MIN(C$43-1-Quesería!$B$47,(Quesería!$B$46-Quesería!$B$47)))/(Quesería!$B$46-Quesería!$B$47))*IF(C$43&gt;=2,1-Quesería!$B$48,1))</f>
        <v>641.321364968425</v>
      </c>
      <c r="D161" s="58" t="n">
        <f aca="false">IF(D$43&lt;0,0,(Quesería!$B$44*$B$136*$B$133)*(1-MAX(0,MIN(D$43-0-Quesería!$B$47,(Quesería!$B$46-Quesería!$B$47)))/(Quesería!$B$46-Quesería!$B$47))*IF(D$43&gt;=2,1-Quesería!$B$48,1))+IF(D$43&lt;1,0,(Quesería!$B$44*$C$136*$C$133)*(1-MAX(0,MIN(D$43-1-Quesería!$B$47,(Quesería!$B$46-Quesería!$B$47)))/(Quesería!$B$46-Quesería!$B$47))*IF(D$43&gt;=2,1-Quesería!$B$48,1))</f>
        <v>534.434470807021</v>
      </c>
      <c r="E161" s="58" t="n">
        <f aca="false">IF(E$43&lt;0,0,(Quesería!$B$44*$B$136*$B$133)*(1-MAX(0,MIN(E$43-0-Quesería!$B$47,(Quesería!$B$46-Quesería!$B$47)))/(Quesería!$B$46-Quesería!$B$47))*IF(E$43&gt;=2,1-Quesería!$B$48,1))+IF(E$43&lt;1,0,(Quesería!$B$44*$C$136*$C$133)*(1-MAX(0,MIN(E$43-1-Quesería!$B$47,(Quesería!$B$46-Quesería!$B$47)))/(Quesería!$B$46-Quesería!$B$47))*IF(E$43&gt;=2,1-Quesería!$B$48,1))</f>
        <v>427.547576645617</v>
      </c>
      <c r="F161" s="58" t="n">
        <f aca="false">IF(F$43&lt;0,0,(Quesería!$B$44*$B$136*$B$133)*(1-MAX(0,MIN(F$43-0-Quesería!$B$47,(Quesería!$B$46-Quesería!$B$47)))/(Quesería!$B$46-Quesería!$B$47))*IF(F$43&gt;=2,1-Quesería!$B$48,1))+IF(F$43&lt;1,0,(Quesería!$B$44*$C$136*$C$133)*(1-MAX(0,MIN(F$43-1-Quesería!$B$47,(Quesería!$B$46-Quesería!$B$47)))/(Quesería!$B$46-Quesería!$B$47))*IF(F$43&gt;=2,1-Quesería!$B$48,1))</f>
        <v>320.660682484213</v>
      </c>
      <c r="G161" s="58" t="n">
        <f aca="false">IF(G$43&lt;0,0,(Quesería!$B$44*$B$136*$B$133)*(1-MAX(0,MIN(G$43-0-Quesería!$B$47,(Quesería!$B$46-Quesería!$B$47)))/(Quesería!$B$46-Quesería!$B$47))*IF(G$43&gt;=2,1-Quesería!$B$48,1))+IF(G$43&lt;1,0,(Quesería!$B$44*$C$136*$C$133)*(1-MAX(0,MIN(G$43-1-Quesería!$B$47,(Quesería!$B$46-Quesería!$B$47)))/(Quesería!$B$46-Quesería!$B$47))*IF(G$43&gt;=2,1-Quesería!$B$48,1))</f>
        <v>213.773788322808</v>
      </c>
      <c r="H161" s="58" t="n">
        <f aca="false">IF(H$43&lt;0,0,(Quesería!$B$44*$B$136*$B$133)*(1-MAX(0,MIN(H$43-0-Quesería!$B$47,(Quesería!$B$46-Quesería!$B$47)))/(Quesería!$B$46-Quesería!$B$47))*IF(H$43&gt;=2,1-Quesería!$B$48,1))+IF(H$43&lt;1,0,(Quesería!$B$44*$C$136*$C$133)*(1-MAX(0,MIN(H$43-1-Quesería!$B$47,(Quesería!$B$46-Quesería!$B$47)))/(Quesería!$B$46-Quesería!$B$47))*IF(H$43&gt;=2,1-Quesería!$B$48,1))</f>
        <v>106.886894161404</v>
      </c>
      <c r="I161" s="58" t="n">
        <f aca="false">IF(I$43&lt;0,0,(Quesería!$B$44*$B$136*$B$133)*(1-MAX(0,MIN(I$43-0-Quesería!$B$47,(Quesería!$B$46-Quesería!$B$47)))/(Quesería!$B$46-Quesería!$B$47))*IF(I$43&gt;=2,1-Quesería!$B$48,1))+IF(I$43&lt;1,0,(Quesería!$B$44*$C$136*$C$133)*(1-MAX(0,MIN(I$43-1-Quesería!$B$47,(Quesería!$B$46-Quesería!$B$47)))/(Quesería!$B$46-Quesería!$B$47))*IF(I$43&gt;=2,1-Quesería!$B$48,1))</f>
        <v>0</v>
      </c>
      <c r="J161" s="58" t="n">
        <f aca="false">IF(J$43&lt;0,0,(Quesería!$B$44*$B$136*$B$133)*(1-MAX(0,MIN(J$43-0-Quesería!$B$47,(Quesería!$B$46-Quesería!$B$47)))/(Quesería!$B$46-Quesería!$B$47))*IF(J$43&gt;=2,1-Quesería!$B$48,1))+IF(J$43&lt;1,0,(Quesería!$B$44*$C$136*$C$133)*(1-MAX(0,MIN(J$43-1-Quesería!$B$47,(Quesería!$B$46-Quesería!$B$47)))/(Quesería!$B$46-Quesería!$B$47))*IF(J$43&gt;=2,1-Quesería!$B$48,1))</f>
        <v>0</v>
      </c>
      <c r="K161" s="58" t="n">
        <f aca="false">IF(K$43&lt;0,0,(Quesería!$B$44*$B$136*$B$133)*(1-MAX(0,MIN(K$43-0-Quesería!$B$47,(Quesería!$B$46-Quesería!$B$47)))/(Quesería!$B$46-Quesería!$B$47))*IF(K$43&gt;=2,1-Quesería!$B$48,1))+IF(K$43&lt;1,0,(Quesería!$B$44*$C$136*$C$133)*(1-MAX(0,MIN(K$43-1-Quesería!$B$47,(Quesería!$B$46-Quesería!$B$47)))/(Quesería!$B$46-Quesería!$B$47))*IF(K$43&gt;=2,1-Quesería!$B$48,1))</f>
        <v>0</v>
      </c>
      <c r="L161" s="58" t="n">
        <f aca="false">IF(L$43&lt;0,0,(Quesería!$B$44*$B$136*$B$133)*(1-MAX(0,MIN(L$43-0-Quesería!$B$47,(Quesería!$B$46-Quesería!$B$47)))/(Quesería!$B$46-Quesería!$B$47))*IF(L$43&gt;=2,1-Quesería!$B$48,1))+IF(L$43&lt;1,0,(Quesería!$B$44*$C$136*$C$133)*(1-MAX(0,MIN(L$43-1-Quesería!$B$47,(Quesería!$B$46-Quesería!$B$47)))/(Quesería!$B$46-Quesería!$B$47))*IF(L$43&gt;=2,1-Quesería!$B$48,1))</f>
        <v>0</v>
      </c>
    </row>
    <row r="162" customFormat="false" ht="15" hidden="true" customHeight="false" outlineLevel="1" collapsed="false">
      <c r="A162" s="6" t="s">
        <v>430</v>
      </c>
      <c r="B162" s="29" t="n">
        <f aca="false">Quesería!$B$44*B136</f>
        <v>605.02015563059</v>
      </c>
      <c r="C162" s="29" t="n">
        <f aca="false">Quesería!$B$44*C136</f>
        <v>0</v>
      </c>
      <c r="D162" s="29" t="n">
        <f aca="false">Quesería!$B$44*D136</f>
        <v>0</v>
      </c>
      <c r="E162" s="29" t="n">
        <f aca="false">Quesería!$B$44*E136</f>
        <v>0</v>
      </c>
      <c r="F162" s="29" t="n">
        <f aca="false">Quesería!$B$44*F136</f>
        <v>0</v>
      </c>
      <c r="G162" s="29" t="n">
        <f aca="false">Quesería!$B$44*G136</f>
        <v>0</v>
      </c>
      <c r="H162" s="29" t="n">
        <f aca="false">Quesería!$B$44*H136</f>
        <v>0</v>
      </c>
      <c r="I162" s="29" t="n">
        <f aca="false">Quesería!$B$44*I136</f>
        <v>0</v>
      </c>
      <c r="J162" s="29" t="n">
        <f aca="false">Quesería!$B$44*J136</f>
        <v>0</v>
      </c>
      <c r="K162" s="29" t="n">
        <f aca="false">Quesería!$B$44*K136</f>
        <v>0</v>
      </c>
      <c r="L162" s="29" t="n">
        <f aca="false">Quesería!$B$44*L136</f>
        <v>0</v>
      </c>
    </row>
    <row r="163" customFormat="false" ht="15" hidden="true" customHeight="false" outlineLevel="1" collapsed="false">
      <c r="A163" s="6" t="s">
        <v>431</v>
      </c>
      <c r="B163" s="29" t="n">
        <f aca="false">(IF(AND(B$43&gt;0,B$43&lt;=0+Quesería!$B$46),($D$14+$D$24)*(Quesería!$B$44*$B$136*$B$133)*(1-MAX(0,MIN((B$43-1)-0-Quesería!$B$47,(Quesería!$B$46-Quesería!$B$47)))/(Quesería!$B$46-Quesería!$B$47))*IF(B$43&gt;2,1-Quesería!$B$48,1),0)+IF(AND(B$43&gt;1,B$43&lt;=1+Quesería!$B$46),($D$14+$D$24)*(Quesería!$B$44*$C$136*$C$133)*(1-MAX(0,MIN((B$43-1)-1-Quesería!$B$47,(Quesería!$B$46-Quesería!$B$47)))/(Quesería!$B$46-Quesería!$B$47))*IF(B$43&gt;2,1-Quesería!$B$48,1),0))*B135</f>
        <v>0</v>
      </c>
      <c r="C163" s="29" t="n">
        <f aca="false">(IF(AND(C$43&gt;0,C$43&lt;=0+Quesería!$B$46),($D$14+$D$24)*(Quesería!$B$44*$B$136*$B$133)*(1-MAX(0,MIN((C$43-1)-0-Quesería!$B$47,(Quesería!$B$46-Quesería!$B$47)))/(Quesería!$B$46-Quesería!$B$47))*IF(C$43&gt;2,1-Quesería!$B$48,1),0)+IF(AND(C$43&gt;1,C$43&lt;=1+Quesería!$B$46),($D$14+$D$24)*(Quesería!$B$44*$C$136*$C$133)*(1-MAX(0,MIN((C$43-1)-1-Quesería!$B$47,(Quesería!$B$46-Quesería!$B$47)))/(Quesería!$B$46-Quesería!$B$47))*IF(C$43&gt;2,1-Quesería!$B$48,1),0))*C135</f>
        <v>81.2455637561078</v>
      </c>
      <c r="D163" s="29" t="n">
        <f aca="false">(IF(AND(D$43&gt;0,D$43&lt;=0+Quesería!$B$46),($D$14+$D$24)*(Quesería!$B$44*$B$136*$B$133)*(1-MAX(0,MIN((D$43-1)-0-Quesería!$B$47,(Quesería!$B$46-Quesería!$B$47)))/(Quesería!$B$46-Quesería!$B$47))*IF(D$43&gt;2,1-Quesería!$B$48,1),0)+IF(AND(D$43&gt;1,D$43&lt;=1+Quesería!$B$46),($D$14+$D$24)*(Quesería!$B$44*$C$136*$C$133)*(1-MAX(0,MIN((D$43-1)-1-Quesería!$B$47,(Quesería!$B$46-Quesería!$B$47)))/(Quesería!$B$46-Quesería!$B$47))*IF(D$43&gt;2,1-Quesería!$B$48,1),0))*D135</f>
        <v>77.7469509627826</v>
      </c>
      <c r="E163" s="29" t="n">
        <f aca="false">(IF(AND(E$43&gt;0,E$43&lt;=0+Quesería!$B$46),($D$14+$D$24)*(Quesería!$B$44*$B$136*$B$133)*(1-MAX(0,MIN((E$43-1)-0-Quesería!$B$47,(Quesería!$B$46-Quesería!$B$47)))/(Quesería!$B$46-Quesería!$B$47))*IF(E$43&gt;2,1-Quesería!$B$48,1),0)+IF(AND(E$43&gt;1,E$43&lt;=1+Quesería!$B$46),($D$14+$D$24)*(Quesería!$B$44*$C$136*$C$133)*(1-MAX(0,MIN((E$43-1)-1-Quesería!$B$47,(Quesería!$B$46-Quesería!$B$47)))/(Quesería!$B$46-Quesería!$B$47))*IF(E$43&gt;2,1-Quesería!$B$48,1),0))*E135</f>
        <v>62.2972363483835</v>
      </c>
      <c r="F163" s="29" t="n">
        <f aca="false">(IF(AND(F$43&gt;0,F$43&lt;=0+Quesería!$B$46),($D$14+$D$24)*(Quesería!$B$44*$B$136*$B$133)*(1-MAX(0,MIN((F$43-1)-0-Quesería!$B$47,(Quesería!$B$46-Quesería!$B$47)))/(Quesería!$B$46-Quesería!$B$47))*IF(F$43&gt;2,1-Quesería!$B$48,1),0)+IF(AND(F$43&gt;1,F$43&lt;=1+Quesería!$B$46),($D$14+$D$24)*(Quesería!$B$44*$C$136*$C$133)*(1-MAX(0,MIN((F$43-1)-1-Quesería!$B$47,(Quesería!$B$46-Quesería!$B$47)))/(Quesería!$B$46-Quesería!$B$47))*IF(F$43&gt;2,1-Quesería!$B$48,1),0))*F135</f>
        <v>47.920951037218</v>
      </c>
      <c r="G163" s="29" t="n">
        <f aca="false">(IF(AND(G$43&gt;0,G$43&lt;=0+Quesería!$B$46),($D$14+$D$24)*(Quesería!$B$44*$B$136*$B$133)*(1-MAX(0,MIN((G$43-1)-0-Quesería!$B$47,(Quesería!$B$46-Quesería!$B$47)))/(Quesería!$B$46-Quesería!$B$47))*IF(G$43&gt;2,1-Quesería!$B$48,1),0)+IF(AND(G$43&gt;1,G$43&lt;=1+Quesería!$B$46),($D$14+$D$24)*(Quesería!$B$44*$C$136*$C$133)*(1-MAX(0,MIN((G$43-1)-1-Quesería!$B$47,(Quesería!$B$46-Quesería!$B$47)))/(Quesería!$B$46-Quesería!$B$47))*IF(G$43&gt;2,1-Quesería!$B$48,1),0))*G135</f>
        <v>34.5583781518399</v>
      </c>
      <c r="H163" s="29" t="n">
        <f aca="false">(IF(AND(H$43&gt;0,H$43&lt;=0+Quesería!$B$46),($D$14+$D$24)*(Quesería!$B$44*$B$136*$B$133)*(1-MAX(0,MIN((H$43-1)-0-Quesería!$B$47,(Quesería!$B$46-Quesería!$B$47)))/(Quesería!$B$46-Quesería!$B$47))*IF(H$43&gt;2,1-Quesería!$B$48,1),0)+IF(AND(H$43&gt;1,H$43&lt;=1+Quesería!$B$46),($D$14+$D$24)*(Quesería!$B$44*$C$136*$C$133)*(1-MAX(0,MIN((H$43-1)-1-Quesería!$B$47,(Quesería!$B$46-Quesería!$B$47)))/(Quesería!$B$46-Quesería!$B$47))*IF(H$43&gt;2,1-Quesería!$B$48,1),0))*H135</f>
        <v>22.1528065075897</v>
      </c>
      <c r="I163" s="29" t="n">
        <f aca="false">(IF(AND(I$43&gt;0,I$43&lt;=0+Quesería!$B$46),($D$14+$D$24)*(Quesería!$B$44*$B$136*$B$133)*(1-MAX(0,MIN((I$43-1)-0-Quesería!$B$47,(Quesería!$B$46-Quesería!$B$47)))/(Quesería!$B$46-Quesería!$B$47))*IF(I$43&gt;2,1-Quesería!$B$48,1),0)+IF(AND(I$43&gt;1,I$43&lt;=1+Quesería!$B$46),($D$14+$D$24)*(Quesería!$B$44*$C$136*$C$133)*(1-MAX(0,MIN((I$43-1)-1-Quesería!$B$47,(Quesería!$B$46-Quesería!$B$47)))/(Quesería!$B$46-Quesería!$B$47))*IF(I$43&gt;2,1-Quesería!$B$48,1),0))*I135</f>
        <v>10.6503877440335</v>
      </c>
      <c r="J163" s="29" t="n">
        <f aca="false">(IF(AND(J$43&gt;0,J$43&lt;=0+Quesería!$B$46),($D$14+$D$24)*(Quesería!$B$44*$B$136*$B$133)*(1-MAX(0,MIN((J$43-1)-0-Quesería!$B$47,(Quesería!$B$46-Quesería!$B$47)))/(Quesería!$B$46-Quesería!$B$47))*IF(J$43&gt;2,1-Quesería!$B$48,1),0)+IF(AND(J$43&gt;1,J$43&lt;=1+Quesería!$B$46),($D$14+$D$24)*(Quesería!$B$44*$C$136*$C$133)*(1-MAX(0,MIN((J$43-1)-1-Quesería!$B$47,(Quesería!$B$46-Quesería!$B$47)))/(Quesería!$B$46-Quesería!$B$47))*IF(J$43&gt;2,1-Quesería!$B$48,1),0))*J135</f>
        <v>0</v>
      </c>
      <c r="K163" s="29" t="n">
        <f aca="false">(IF(AND(K$43&gt;0,K$43&lt;=0+Quesería!$B$46),($D$14+$D$24)*(Quesería!$B$44*$B$136*$B$133)*(1-MAX(0,MIN((K$43-1)-0-Quesería!$B$47,(Quesería!$B$46-Quesería!$B$47)))/(Quesería!$B$46-Quesería!$B$47))*IF(K$43&gt;2,1-Quesería!$B$48,1),0)+IF(AND(K$43&gt;1,K$43&lt;=1+Quesería!$B$46),($D$14+$D$24)*(Quesería!$B$44*$C$136*$C$133)*(1-MAX(0,MIN((K$43-1)-1-Quesería!$B$47,(Quesería!$B$46-Quesería!$B$47)))/(Quesería!$B$46-Quesería!$B$47))*IF(K$43&gt;2,1-Quesería!$B$48,1),0))*K135</f>
        <v>0</v>
      </c>
      <c r="L163" s="29" t="n">
        <f aca="false">(IF(AND(L$43&gt;0,L$43&lt;=0+Quesería!$B$46),($D$14+$D$24)*(Quesería!$B$44*$B$136*$B$133)*(1-MAX(0,MIN((L$43-1)-0-Quesería!$B$47,(Quesería!$B$46-Quesería!$B$47)))/(Quesería!$B$46-Quesería!$B$47))*IF(L$43&gt;2,1-Quesería!$B$48,1),0)+IF(AND(L$43&gt;1,L$43&lt;=1+Quesería!$B$46),($D$14+$D$24)*(Quesería!$B$44*$C$136*$C$133)*(1-MAX(0,MIN((L$43-1)-1-Quesería!$B$47,(Quesería!$B$46-Quesería!$B$47)))/(Quesería!$B$46-Quesería!$B$47))*IF(L$43&gt;2,1-Quesería!$B$48,1),0))*L135</f>
        <v>0</v>
      </c>
    </row>
    <row r="164" customFormat="false" ht="15" hidden="true" customHeight="false" outlineLevel="1" collapsed="false">
      <c r="A164" s="6" t="s">
        <v>432</v>
      </c>
      <c r="B164" s="29" t="n">
        <f aca="false">((IF(AND(B$43&gt;0+Quesería!$B$47,B$43&lt;=0+Quesería!$B$46),(Quesería!$B$44*$B$136*$B$133)/(Quesería!$B$46-Quesería!$B$47),0)*IF(B$43&gt;2,1-Quesería!$B$48,1)+IF(B$43=2,Quesería!$B$48*(Quesería!$B$44*$B$136*$B$133)*(1-MAX(0,MIN(2-0-Quesería!$B$47,(Quesería!$B$46-Quesería!$B$47)))/(Quesería!$B$46-Quesería!$B$47)),0))+(IF(AND(B$43&gt;1+Quesería!$B$47,B$43&lt;=1+Quesería!$B$46),(Quesería!$B$44*$C$136*$C$133)/(Quesería!$B$46-Quesería!$B$47),0)*IF(B$43&gt;2,1-Quesería!$B$48,1)+IF(B$43=2,Quesería!$B$48*(Quesería!$B$44*$C$136*$C$133)*(1-MAX(0,MIN(2-1-Quesería!$B$47,(Quesería!$B$46-Quesería!$B$47)))/(Quesería!$B$46-Quesería!$B$47)),0)))*B135</f>
        <v>0</v>
      </c>
      <c r="C164" s="29" t="n">
        <f aca="false">((IF(AND(C$43&gt;0+Quesería!$B$47,C$43&lt;=0+Quesería!$B$46),(Quesería!$B$44*$B$136*$B$133)/(Quesería!$B$46-Quesería!$B$47),0)*IF(C$43&gt;2,1-Quesería!$B$48,1)+IF(C$43=2,Quesería!$B$48*(Quesería!$B$44*$B$136*$B$133)*(1-MAX(0,MIN(2-0-Quesería!$B$47,(Quesería!$B$46-Quesería!$B$47)))/(Quesería!$B$46-Quesería!$B$47)),0))+(IF(AND(C$43&gt;1+Quesería!$B$47,C$43&lt;=1+Quesería!$B$46),(Quesería!$B$44*$C$136*$C$133)/(Quesería!$B$46-Quesería!$B$47),0)*IF(C$43&gt;2,1-Quesería!$B$48,1)+IF(C$43=2,Quesería!$B$48*(Quesería!$B$44*$C$136*$C$133)*(1-MAX(0,MIN(2-1-Quesería!$B$47,(Quesería!$B$46-Quesería!$B$47)))/(Quesería!$B$46-Quesería!$B$47)),0)))*C135</f>
        <v>0</v>
      </c>
      <c r="D164" s="29" t="n">
        <f aca="false">((IF(AND(D$43&gt;0+Quesería!$B$47,D$43&lt;=0+Quesería!$B$46),(Quesería!$B$44*$B$136*$B$133)/(Quesería!$B$46-Quesería!$B$47),0)*IF(D$43&gt;2,1-Quesería!$B$48,1)+IF(D$43=2,Quesería!$B$48*(Quesería!$B$44*$B$136*$B$133)*(1-MAX(0,MIN(2-0-Quesería!$B$47,(Quesería!$B$46-Quesería!$B$47)))/(Quesería!$B$46-Quesería!$B$47)),0))+(IF(AND(D$43&gt;1+Quesería!$B$47,D$43&lt;=1+Quesería!$B$46),(Quesería!$B$44*$C$136*$C$133)/(Quesería!$B$46-Quesería!$B$47),0)*IF(D$43&gt;2,1-Quesería!$B$48,1)+IF(D$43=2,Quesería!$B$48*(Quesería!$B$44*$C$136*$C$133)*(1-MAX(0,MIN(2-1-Quesería!$B$47,(Quesería!$B$46-Quesería!$B$47)))/(Quesería!$B$46-Quesería!$B$47)),0)))*D135</f>
        <v>91.8994692231472</v>
      </c>
      <c r="E164" s="29" t="n">
        <f aca="false">((IF(AND(E$43&gt;0+Quesería!$B$47,E$43&lt;=0+Quesería!$B$46),(Quesería!$B$44*$B$136*$B$133)/(Quesería!$B$46-Quesería!$B$47),0)*IF(E$43&gt;2,1-Quesería!$B$48,1)+IF(E$43=2,Quesería!$B$48*(Quesería!$B$44*$B$136*$B$133)*(1-MAX(0,MIN(2-0-Quesería!$B$47,(Quesería!$B$46-Quesería!$B$47)))/(Quesería!$B$46-Quesería!$B$47)),0))+(IF(AND(E$43&gt;1+Quesería!$B$47,E$43&lt;=1+Quesería!$B$46),(Quesería!$B$44*$C$136*$C$133)/(Quesería!$B$46-Quesería!$B$47),0)*IF(E$43&gt;2,1-Quesería!$B$48,1)+IF(E$43=2,Quesería!$B$48*(Quesería!$B$44*$C$136*$C$133)*(1-MAX(0,MIN(2-1-Quesería!$B$47,(Quesería!$B$46-Quesería!$B$47)))/(Quesería!$B$46-Quesería!$B$47)),0)))*E135</f>
        <v>88.3648742530262</v>
      </c>
      <c r="F164" s="29" t="n">
        <f aca="false">((IF(AND(F$43&gt;0+Quesería!$B$47,F$43&lt;=0+Quesería!$B$46),(Quesería!$B$44*$B$136*$B$133)/(Quesería!$B$46-Quesería!$B$47),0)*IF(F$43&gt;2,1-Quesería!$B$48,1)+IF(F$43=2,Quesería!$B$48*(Quesería!$B$44*$B$136*$B$133)*(1-MAX(0,MIN(2-0-Quesería!$B$47,(Quesería!$B$46-Quesería!$B$47)))/(Quesería!$B$46-Quesería!$B$47)),0))+(IF(AND(F$43&gt;1+Quesería!$B$47,F$43&lt;=1+Quesería!$B$46),(Quesería!$B$44*$C$136*$C$133)/(Quesería!$B$46-Quesería!$B$47),0)*IF(F$43&gt;2,1-Quesería!$B$48,1)+IF(F$43=2,Quesería!$B$48*(Quesería!$B$44*$C$136*$C$133)*(1-MAX(0,MIN(2-1-Quesería!$B$47,(Quesería!$B$46-Quesería!$B$47)))/(Quesería!$B$46-Quesería!$B$47)),0)))*F135</f>
        <v>84.9662252432944</v>
      </c>
      <c r="G164" s="29" t="n">
        <f aca="false">((IF(AND(G$43&gt;0+Quesería!$B$47,G$43&lt;=0+Quesería!$B$46),(Quesería!$B$44*$B$136*$B$133)/(Quesería!$B$46-Quesería!$B$47),0)*IF(G$43&gt;2,1-Quesería!$B$48,1)+IF(G$43=2,Quesería!$B$48*(Quesería!$B$44*$B$136*$B$133)*(1-MAX(0,MIN(2-0-Quesería!$B$47,(Quesería!$B$46-Quesería!$B$47)))/(Quesería!$B$46-Quesería!$B$47)),0))+(IF(AND(G$43&gt;1+Quesería!$B$47,G$43&lt;=1+Quesería!$B$46),(Quesería!$B$44*$C$136*$C$133)/(Quesería!$B$46-Quesería!$B$47),0)*IF(G$43&gt;2,1-Quesería!$B$48,1)+IF(G$43=2,Quesería!$B$48*(Quesería!$B$44*$C$136*$C$133)*(1-MAX(0,MIN(2-1-Quesería!$B$47,(Quesería!$B$46-Quesería!$B$47)))/(Quesería!$B$46-Quesería!$B$47)),0)))*G135</f>
        <v>81.6982935031677</v>
      </c>
      <c r="H164" s="29" t="n">
        <f aca="false">((IF(AND(H$43&gt;0+Quesería!$B$47,H$43&lt;=0+Quesería!$B$46),(Quesería!$B$44*$B$136*$B$133)/(Quesería!$B$46-Quesería!$B$47),0)*IF(H$43&gt;2,1-Quesería!$B$48,1)+IF(H$43=2,Quesería!$B$48*(Quesería!$B$44*$B$136*$B$133)*(1-MAX(0,MIN(2-0-Quesería!$B$47,(Quesería!$B$46-Quesería!$B$47)))/(Quesería!$B$46-Quesería!$B$47)),0))+(IF(AND(H$43&gt;1+Quesería!$B$47,H$43&lt;=1+Quesería!$B$46),(Quesería!$B$44*$C$136*$C$133)/(Quesería!$B$46-Quesería!$B$47),0)*IF(H$43&gt;2,1-Quesería!$B$48,1)+IF(H$43=2,Quesería!$B$48*(Quesería!$B$44*$C$136*$C$133)*(1-MAX(0,MIN(2-1-Quesería!$B$47,(Quesería!$B$46-Quesería!$B$47)))/(Quesería!$B$46-Quesería!$B$47)),0)))*H135</f>
        <v>78.5560514453536</v>
      </c>
      <c r="I164" s="29" t="n">
        <f aca="false">((IF(AND(I$43&gt;0+Quesería!$B$47,I$43&lt;=0+Quesería!$B$46),(Quesería!$B$44*$B$136*$B$133)/(Quesería!$B$46-Quesería!$B$47),0)*IF(I$43&gt;2,1-Quesería!$B$48,1)+IF(I$43=2,Quesería!$B$48*(Quesería!$B$44*$B$136*$B$133)*(1-MAX(0,MIN(2-0-Quesería!$B$47,(Quesería!$B$46-Quesería!$B$47)))/(Quesería!$B$46-Quesería!$B$47)),0))+(IF(AND(I$43&gt;1+Quesería!$B$47,I$43&lt;=1+Quesería!$B$46),(Quesería!$B$44*$C$136*$C$133)/(Quesería!$B$46-Quesería!$B$47),0)*IF(I$43&gt;2,1-Quesería!$B$48,1)+IF(I$43=2,Quesería!$B$48*(Quesería!$B$44*$C$136*$C$133)*(1-MAX(0,MIN(2-1-Quesería!$B$47,(Quesería!$B$46-Quesería!$B$47)))/(Quesería!$B$46-Quesería!$B$47)),0)))*I135</f>
        <v>75.5346648513015</v>
      </c>
      <c r="J164" s="29" t="n">
        <f aca="false">((IF(AND(J$43&gt;0+Quesería!$B$47,J$43&lt;=0+Quesería!$B$46),(Quesería!$B$44*$B$136*$B$133)/(Quesería!$B$46-Quesería!$B$47),0)*IF(J$43&gt;2,1-Quesería!$B$48,1)+IF(J$43=2,Quesería!$B$48*(Quesería!$B$44*$B$136*$B$133)*(1-MAX(0,MIN(2-0-Quesería!$B$47,(Quesería!$B$46-Quesería!$B$47)))/(Quesería!$B$46-Quesería!$B$47)),0))+(IF(AND(J$43&gt;1+Quesería!$B$47,J$43&lt;=1+Quesería!$B$46),(Quesería!$B$44*$C$136*$C$133)/(Quesería!$B$46-Quesería!$B$47),0)*IF(J$43&gt;2,1-Quesería!$B$48,1)+IF(J$43=2,Quesería!$B$48*(Quesería!$B$44*$C$136*$C$133)*(1-MAX(0,MIN(2-1-Quesería!$B$47,(Quesería!$B$46-Quesería!$B$47)))/(Quesería!$B$46-Quesería!$B$47)),0)))*J135</f>
        <v>0</v>
      </c>
      <c r="K164" s="29" t="n">
        <f aca="false">((IF(AND(K$43&gt;0+Quesería!$B$47,K$43&lt;=0+Quesería!$B$46),(Quesería!$B$44*$B$136*$B$133)/(Quesería!$B$46-Quesería!$B$47),0)*IF(K$43&gt;2,1-Quesería!$B$48,1)+IF(K$43=2,Quesería!$B$48*(Quesería!$B$44*$B$136*$B$133)*(1-MAX(0,MIN(2-0-Quesería!$B$47,(Quesería!$B$46-Quesería!$B$47)))/(Quesería!$B$46-Quesería!$B$47)),0))+(IF(AND(K$43&gt;1+Quesería!$B$47,K$43&lt;=1+Quesería!$B$46),(Quesería!$B$44*$C$136*$C$133)/(Quesería!$B$46-Quesería!$B$47),0)*IF(K$43&gt;2,1-Quesería!$B$48,1)+IF(K$43=2,Quesería!$B$48*(Quesería!$B$44*$C$136*$C$133)*(1-MAX(0,MIN(2-1-Quesería!$B$47,(Quesería!$B$46-Quesería!$B$47)))/(Quesería!$B$46-Quesería!$B$47)),0)))*K135</f>
        <v>0</v>
      </c>
      <c r="L164" s="29" t="n">
        <f aca="false">((IF(AND(L$43&gt;0+Quesería!$B$47,L$43&lt;=0+Quesería!$B$46),(Quesería!$B$44*$B$136*$B$133)/(Quesería!$B$46-Quesería!$B$47),0)*IF(L$43&gt;2,1-Quesería!$B$48,1)+IF(L$43=2,Quesería!$B$48*(Quesería!$B$44*$B$136*$B$133)*(1-MAX(0,MIN(2-0-Quesería!$B$47,(Quesería!$B$46-Quesería!$B$47)))/(Quesería!$B$46-Quesería!$B$47)),0))+(IF(AND(L$43&gt;1+Quesería!$B$47,L$43&lt;=1+Quesería!$B$46),(Quesería!$B$44*$C$136*$C$133)/(Quesería!$B$46-Quesería!$B$47),0)*IF(L$43&gt;2,1-Quesería!$B$48,1)+IF(L$43=2,Quesería!$B$48*(Quesería!$B$44*$C$136*$C$133)*(1-MAX(0,MIN(2-1-Quesería!$B$47,(Quesería!$B$46-Quesería!$B$47)))/(Quesería!$B$46-Quesería!$B$47)),0)))*L135</f>
        <v>0</v>
      </c>
    </row>
    <row r="165" customFormat="false" ht="15" hidden="true" customHeight="false" outlineLevel="1" collapsed="false">
      <c r="A165" s="6" t="s">
        <v>433</v>
      </c>
      <c r="B165" s="29" t="n">
        <f aca="false">$D$13*Quesería!$B$51*(1+0.19)*B161*B135+(1-$D$13)*IF(B$43=0,Quesería!$B$50,0)</f>
        <v>14.327482305488</v>
      </c>
      <c r="C165" s="29" t="n">
        <f aca="false">$D$13*Quesería!$B$51*(1+0.19)*C161*C135+(1-$D$13)*IF(C$43=0,Quesería!$B$50,0)</f>
        <v>13.6452212433219</v>
      </c>
      <c r="D165" s="29" t="n">
        <f aca="false">$D$13*Quesería!$B$51*(1+0.19)*D161*D135+(1-$D$13)*IF(D$43=0,Quesería!$B$50,0)</f>
        <v>10.8813566533668</v>
      </c>
      <c r="E165" s="29" t="n">
        <f aca="false">$D$13*Quesería!$B$51*(1+0.19)*E161*E135+(1-$D$13)*IF(E$43=0,Quesería!$B$50,0)</f>
        <v>8.37027434874366</v>
      </c>
      <c r="F165" s="29" t="n">
        <f aca="false">$D$13*Quesería!$B$51*(1+0.19)*F161*F135+(1-$D$13)*IF(F$43=0,Quesería!$B$50,0)</f>
        <v>6.03625553995937</v>
      </c>
      <c r="G165" s="29" t="n">
        <f aca="false">$D$13*Quesería!$B$51*(1+0.19)*G161*G135+(1-$D$13)*IF(G$43=0,Quesería!$B$50,0)</f>
        <v>3.86939457689703</v>
      </c>
      <c r="H165" s="29" t="n">
        <f aca="false">$D$13*Quesería!$B$51*(1+0.19)*H161*H135+(1-$D$13)*IF(H$43=0,Quesería!$B$50,0)</f>
        <v>1.86028585427742</v>
      </c>
      <c r="I165" s="29" t="n">
        <f aca="false">$D$13*Quesería!$B$51*(1+0.19)*I161*I135+(1-$D$13)*IF(I$43=0,Quesería!$B$50,0)</f>
        <v>0</v>
      </c>
      <c r="J165" s="29" t="n">
        <f aca="false">$D$13*Quesería!$B$51*(1+0.19)*J161*J135+(1-$D$13)*IF(J$43=0,Quesería!$B$50,0)</f>
        <v>0</v>
      </c>
      <c r="K165" s="29" t="n">
        <f aca="false">$D$13*Quesería!$B$51*(1+0.19)*K161*K135+(1-$D$13)*IF(K$43=0,Quesería!$B$50,0)</f>
        <v>0</v>
      </c>
      <c r="L165" s="29" t="n">
        <f aca="false">$D$13*Quesería!$B$51*(1+0.19)*L161*L135+(1-$D$13)*IF(L$43=0,Quesería!$B$50,0)</f>
        <v>0</v>
      </c>
    </row>
    <row r="166" customFormat="false" ht="15" hidden="true" customHeight="false" outlineLevel="1" collapsed="false">
      <c r="A166" s="6" t="s">
        <v>434</v>
      </c>
      <c r="B166" s="29" t="n">
        <f aca="false">Quesería!$B$52*(B163+B164+B165)</f>
        <v>0.057309929221952</v>
      </c>
      <c r="C166" s="29" t="n">
        <f aca="false">Quesería!$B$52*(C163+C164+C165)</f>
        <v>0.379563139997719</v>
      </c>
      <c r="D166" s="29" t="n">
        <f aca="false">Quesería!$B$52*(D163+D164+D165)</f>
        <v>0.722111107357186</v>
      </c>
      <c r="E166" s="29" t="n">
        <f aca="false">Quesería!$B$52*(E163+E164+E165)</f>
        <v>0.636129539800613</v>
      </c>
      <c r="F166" s="29" t="n">
        <f aca="false">Quesería!$B$52*(F163+F164+F165)</f>
        <v>0.555693727281887</v>
      </c>
      <c r="G166" s="29" t="n">
        <f aca="false">Quesería!$B$52*(G163+G164+G165)</f>
        <v>0.480504264927619</v>
      </c>
      <c r="H166" s="29" t="n">
        <f aca="false">Quesería!$B$52*(H163+H164+H165)</f>
        <v>0.410276575228883</v>
      </c>
      <c r="I166" s="29" t="n">
        <f aca="false">Quesería!$B$52*(I163+I164+I165)</f>
        <v>0.34474021038134</v>
      </c>
      <c r="J166" s="29" t="n">
        <f aca="false">Quesería!$B$52*(J163+J164+J165)</f>
        <v>0</v>
      </c>
      <c r="K166" s="29" t="n">
        <f aca="false">Quesería!$B$52*(K163+K164+K165)</f>
        <v>0</v>
      </c>
      <c r="L166" s="29" t="n">
        <f aca="false">Quesería!$B$52*(L163+L164+L165)</f>
        <v>0</v>
      </c>
    </row>
    <row r="167" customFormat="false" ht="15" hidden="true" customHeight="false" outlineLevel="1" collapsed="false">
      <c r="A167" s="6" t="s">
        <v>435</v>
      </c>
      <c r="B167" s="29" t="n">
        <f aca="false">$D$17*(B163+B165+0.5*B166)</f>
        <v>5.02464804453464</v>
      </c>
      <c r="C167" s="29" t="n">
        <f aca="false">$D$17*(C163+C165+0.5*C166)</f>
        <v>33.2781982993</v>
      </c>
      <c r="D167" s="29" t="n">
        <f aca="false">$D$17*(D163+D165+0.5*D166)</f>
        <v>31.1462771094398</v>
      </c>
      <c r="E167" s="29" t="n">
        <f aca="false">$D$17*(E163+E165+0.5*E166)</f>
        <v>24.8449514134596</v>
      </c>
      <c r="F167" s="29" t="n">
        <f aca="false">$D$17*(F163+F165+0.5*F166)</f>
        <v>18.9822687042864</v>
      </c>
      <c r="G167" s="29" t="n">
        <f aca="false">$D$17*(G163+G165+0.5*G166)</f>
        <v>13.5338087014203</v>
      </c>
      <c r="H167" s="29" t="n">
        <f aca="false">$D$17*(H163+H165+0.5*H166)</f>
        <v>8.47638072731855</v>
      </c>
      <c r="I167" s="29" t="n">
        <f aca="false">$D$17*(I163+I165+0.5*I166)</f>
        <v>3.78796524722846</v>
      </c>
      <c r="J167" s="29" t="n">
        <f aca="false">$D$17*(J163+J165+0.5*J166)</f>
        <v>0</v>
      </c>
      <c r="K167" s="29" t="n">
        <f aca="false">$D$17*(K163+K165+0.5*K166)</f>
        <v>0</v>
      </c>
      <c r="L167" s="29" t="n">
        <f aca="false">$D$17*(L163+L165+0.5*L166)</f>
        <v>0</v>
      </c>
    </row>
    <row r="168" customFormat="false" ht="15" hidden="true" customHeight="false" outlineLevel="1" collapsed="false">
      <c r="A168" s="5" t="s">
        <v>436</v>
      </c>
      <c r="B168" s="59" t="n">
        <f aca="false">B153+B162-B163-B164-B165-B166+B167</f>
        <v>-393.145322134896</v>
      </c>
      <c r="C168" s="59" t="n">
        <f aca="false">C153+C162-C163-C164-C165-C166+C167</f>
        <v>156.233715196329</v>
      </c>
      <c r="D168" s="59" t="n">
        <f aca="false">D153+D162-D163-D164-D165-D166+D167</f>
        <v>-52.2063772790132</v>
      </c>
      <c r="E168" s="59" t="n">
        <f aca="false">E153+E162-E163-E164-E165-E166+E167</f>
        <v>-34.441499302329</v>
      </c>
      <c r="F168" s="59" t="n">
        <f aca="false">F153+F162-F163-F164-F165-F166+F167</f>
        <v>-21.1039560806594</v>
      </c>
      <c r="G168" s="59" t="n">
        <f aca="false">G153+G162-G163-G164-G165-G166+G167</f>
        <v>-41.4211493393498</v>
      </c>
      <c r="H168" s="59" t="n">
        <f aca="false">H153+H162-H163-H164-H165-H166+H167</f>
        <v>-49.7960531470024</v>
      </c>
      <c r="I168" s="59" t="n">
        <f aca="false">I153+I162-I163-I164-I165-I166+I167</f>
        <v>23.1489036452063</v>
      </c>
      <c r="J168" s="59" t="n">
        <f aca="false">J153+J162-J163-J164-J165-J166+J167</f>
        <v>96.5459304524465</v>
      </c>
      <c r="K168" s="59" t="n">
        <f aca="false">K153+K162-K163-K164-K165-K166+K167</f>
        <v>95.7108482342829</v>
      </c>
      <c r="L168" s="59" t="n">
        <f aca="false">L153+L162-L163-L164-L165-L166+L167</f>
        <v>106.834937988874</v>
      </c>
    </row>
    <row r="169" customFormat="false" ht="15" hidden="true" customHeight="false" outlineLevel="1" collapsed="false">
      <c r="A169" s="9" t="s">
        <v>437</v>
      </c>
      <c r="B169" s="58" t="n">
        <f aca="false">B168*B133</f>
        <v>-416.73404146299</v>
      </c>
      <c r="C169" s="58" t="n">
        <f aca="false">C168*C133</f>
        <v>173.888125013514</v>
      </c>
      <c r="D169" s="58" t="n">
        <f aca="false">D168*D133</f>
        <v>-60.7204543175611</v>
      </c>
      <c r="E169" s="58" t="n">
        <f aca="false">E168*E133</f>
        <v>-41.6607268646913</v>
      </c>
      <c r="F169" s="58" t="n">
        <f aca="false">F168*F133</f>
        <v>-26.5486234503326</v>
      </c>
      <c r="G169" s="58" t="n">
        <f aca="false">G168*G133</f>
        <v>-54.1918051851003</v>
      </c>
      <c r="H169" s="58" t="n">
        <f aca="false">H168*H133</f>
        <v>-67.7547479086556</v>
      </c>
      <c r="I169" s="58" t="n">
        <f aca="false">I168*I133</f>
        <v>32.7573362342797</v>
      </c>
      <c r="J169" s="58" t="n">
        <f aca="false">J168*J133</f>
        <v>142.084094198499</v>
      </c>
      <c r="K169" s="58" t="n">
        <f aca="false">K168*K133</f>
        <v>146.489330799475</v>
      </c>
      <c r="L169" s="58" t="n">
        <f aca="false">L168*L133</f>
        <v>170.055808877926</v>
      </c>
    </row>
    <row r="170" customFormat="false" ht="15" hidden="true" customHeight="false" outlineLevel="1" collapsed="false">
      <c r="A170" s="9" t="s">
        <v>438</v>
      </c>
      <c r="B170" s="57" t="n">
        <f aca="false">(B133/$B$133)/(1+Quesería!$B$11+$D$24)^B$43</f>
        <v>1</v>
      </c>
      <c r="C170" s="57" t="n">
        <f aca="false">(C133/$B$133)/(1+Quesería!$B$11+$D$24)^C$43</f>
        <v>0.84</v>
      </c>
      <c r="D170" s="57" t="n">
        <f aca="false">(D133/$B$133)/(1+Quesería!$B$11+$D$24)^D$43</f>
        <v>0.70224</v>
      </c>
      <c r="E170" s="57" t="n">
        <f aca="false">(E133/$B$133)/(1+Quesería!$B$11+$D$24)^E$43</f>
        <v>0.58426368</v>
      </c>
      <c r="F170" s="57" t="n">
        <f aca="false">(F133/$B$133)/(1+Quesería!$B$11+$D$24)^F$43</f>
        <v>0.48610738176</v>
      </c>
      <c r="G170" s="57" t="n">
        <f aca="false">(G133/$B$133)/(1+Quesería!$B$11+$D$24)^G$43</f>
        <v>0.40444134162432</v>
      </c>
      <c r="H170" s="57" t="n">
        <f aca="false">(H133/$B$133)/(1+Quesería!$B$11+$D$24)^H$43</f>
        <v>0.336495196231434</v>
      </c>
      <c r="I170" s="57" t="n">
        <f aca="false">(I133/$B$133)/(1+Quesería!$B$11+$D$24)^I$43</f>
        <v>0.279964003264553</v>
      </c>
      <c r="J170" s="57" t="n">
        <f aca="false">(J133/$B$133)/(1+Quesería!$B$11+$D$24)^J$43</f>
        <v>0.232930050716108</v>
      </c>
      <c r="K170" s="57" t="n">
        <f aca="false">(K133/$B$133)/(1+Quesería!$B$11+$D$24)^K$43</f>
        <v>0.193797802195802</v>
      </c>
      <c r="L170" s="57" t="n">
        <f aca="false">(L133/$B$133)/(1+Quesería!$B$11+$D$24)^L$43</f>
        <v>0.161239771426907</v>
      </c>
    </row>
    <row r="171" customFormat="false" ht="15" hidden="true" customHeight="false" outlineLevel="1" collapsed="false">
      <c r="A171" s="9" t="s">
        <v>439</v>
      </c>
      <c r="B171" s="58" t="n">
        <f aca="false">B153+B136+B138+B167</f>
        <v>96.1352254610782</v>
      </c>
      <c r="C171" s="58" t="n">
        <f aca="false">C153+C136+C138+C167</f>
        <v>251.504063335756</v>
      </c>
      <c r="D171" s="58" t="n">
        <f aca="false">D153+D136+D138+D167</f>
        <v>129.043510667641</v>
      </c>
      <c r="E171" s="58" t="n">
        <f aca="false">E153+E136+E138+E167</f>
        <v>125.227015187625</v>
      </c>
      <c r="F171" s="58" t="n">
        <f aca="false">F153+F136+F138+F167</f>
        <v>118.375169467094</v>
      </c>
      <c r="G171" s="58" t="n">
        <f aca="false">G153+G136+G138+G167</f>
        <v>84.4038124385684</v>
      </c>
      <c r="H171" s="58" t="n">
        <f aca="false">H153+H136+H138+H167</f>
        <v>61.9973068205286</v>
      </c>
      <c r="I171" s="58" t="n">
        <f aca="false">I153+I136+I138+I167</f>
        <v>109.678696450923</v>
      </c>
      <c r="J171" s="58" t="n">
        <f aca="false">J153+J136+J138+J167</f>
        <v>96.5459304524465</v>
      </c>
      <c r="K171" s="58" t="n">
        <f aca="false">K153+K136+K138+K167</f>
        <v>95.7108482342829</v>
      </c>
      <c r="L171" s="58" t="n">
        <f aca="false">L153+L136+L138+L167</f>
        <v>106.834937988874</v>
      </c>
    </row>
    <row r="172" customFormat="false" ht="15" hidden="true" customHeight="false" outlineLevel="1" collapsed="false">
      <c r="A172" s="5" t="s">
        <v>149</v>
      </c>
      <c r="B172" s="12" t="str">
        <f aca="false">IF(AND(B$43&gt;=1,(B163+B164+B165)&gt;0.001),B171/(B163+B164+B165),"")</f>
        <v/>
      </c>
      <c r="C172" s="12" t="n">
        <f aca="false">IF(AND(C$43&gt;=1,(C163+C164+C165)&gt;0.001),C171/(C163+C164+C165),"")</f>
        <v>2.6504582435193</v>
      </c>
      <c r="D172" s="12" t="n">
        <f aca="false">IF(AND(D$43&gt;=1,(D163+D164+D165)&gt;0.001),D171/(D163+D164+D165),"")</f>
        <v>0.714812495489341</v>
      </c>
      <c r="E172" s="12" t="n">
        <f aca="false">IF(AND(E$43&gt;=1,(E163+E164+E165)&gt;0.001),E171/(E163+E164+E165),"")</f>
        <v>0.787430907402135</v>
      </c>
      <c r="F172" s="12" t="n">
        <f aca="false">IF(AND(F$43&gt;=1,(F163+F164+F165)&gt;0.001),F171/(F163+F164+F165),"")</f>
        <v>0.852089297794402</v>
      </c>
      <c r="G172" s="12" t="n">
        <f aca="false">IF(AND(G$43&gt;=1,(G163+G164+G165)&gt;0.001),G171/(G163+G164+G165),"")</f>
        <v>0.702626957546632</v>
      </c>
      <c r="H172" s="12" t="n">
        <f aca="false">IF(AND(H$43&gt;=1,(H163+H164+H165)&gt;0.001),H171/(H163+H164+H165),"")</f>
        <v>0.604444031794327</v>
      </c>
      <c r="I172" s="12" t="n">
        <f aca="false">IF(AND(I$43&gt;=1,(I163+I164+I165)&gt;0.001),I171/(I163+I164+I165),"")</f>
        <v>1.27259534162957</v>
      </c>
      <c r="J172" s="12" t="str">
        <f aca="false">IF(AND(J$43&gt;=1,(J163+J164+J165)&gt;0.001),J171/(J163+J164+J165),"")</f>
        <v/>
      </c>
      <c r="K172" s="12" t="str">
        <f aca="false">IF(AND(K$43&gt;=1,(K163+K164+K165)&gt;0.001),K171/(K163+K164+K165),"")</f>
        <v/>
      </c>
      <c r="L172" s="12" t="str">
        <f aca="false">IF(AND(L$43&gt;=1,(L163+L164+L165)&gt;0.001),L171/(L163+L164+L165),"")</f>
        <v/>
      </c>
    </row>
    <row r="174" customFormat="false" ht="15" hidden="false" customHeight="false" outlineLevel="0" collapsed="false">
      <c r="A174" s="43" t="s">
        <v>1167</v>
      </c>
      <c r="B174" s="44"/>
      <c r="C174" s="44"/>
      <c r="D174" s="44"/>
      <c r="E174" s="44"/>
      <c r="F174" s="44"/>
      <c r="G174" s="44"/>
      <c r="H174" s="44"/>
      <c r="I174" s="44"/>
      <c r="J174" s="44"/>
      <c r="K174" s="44"/>
      <c r="L174" s="44"/>
    </row>
    <row r="175" customFormat="false" ht="15" hidden="true" customHeight="false" outlineLevel="1" collapsed="false">
      <c r="A175" s="9" t="s">
        <v>405</v>
      </c>
      <c r="B175" s="56" t="n">
        <f aca="false">CHOOSE($E$15,Entorno!B$7,Entorno!B$8,Entorno!B$9)</f>
        <v>0.06</v>
      </c>
      <c r="C175" s="56" t="n">
        <f aca="false">CHOOSE($E$15,Entorno!C$7,Entorno!C$8,Entorno!C$9)</f>
        <v>0.05</v>
      </c>
      <c r="D175" s="56" t="n">
        <f aca="false">CHOOSE($E$15,Entorno!D$7,Entorno!D$8,Entorno!D$9)</f>
        <v>0.045</v>
      </c>
      <c r="E175" s="56" t="n">
        <f aca="false">CHOOSE($E$15,Entorno!E$7,Entorno!E$8,Entorno!E$9)</f>
        <v>0.04</v>
      </c>
      <c r="F175" s="56" t="n">
        <f aca="false">CHOOSE($E$15,Entorno!F$7,Entorno!F$8,Entorno!F$9)</f>
        <v>0.04</v>
      </c>
      <c r="G175" s="56" t="n">
        <f aca="false">CHOOSE($E$15,Entorno!G$7,Entorno!G$8,Entorno!G$9)</f>
        <v>0.04</v>
      </c>
      <c r="H175" s="56" t="n">
        <f aca="false">CHOOSE($E$15,Entorno!H$7,Entorno!H$8,Entorno!H$9)</f>
        <v>0.04</v>
      </c>
      <c r="I175" s="56" t="n">
        <f aca="false">CHOOSE($E$15,Entorno!I$7,Entorno!I$8,Entorno!I$9)</f>
        <v>0.04</v>
      </c>
      <c r="J175" s="56" t="n">
        <f aca="false">CHOOSE($E$15,Entorno!J$7,Entorno!J$8,Entorno!J$9)</f>
        <v>0.04</v>
      </c>
      <c r="K175" s="56" t="n">
        <f aca="false">CHOOSE($E$15,Entorno!K$7,Entorno!K$8,Entorno!K$9)</f>
        <v>0.04</v>
      </c>
      <c r="L175" s="56" t="n">
        <f aca="false">CHOOSE($E$15,Entorno!L$7,Entorno!L$8,Entorno!L$9)</f>
        <v>0.04</v>
      </c>
    </row>
    <row r="176" customFormat="false" ht="15" hidden="true" customHeight="false" outlineLevel="1" collapsed="false">
      <c r="A176" s="9" t="s">
        <v>406</v>
      </c>
      <c r="B176" s="57" t="n">
        <f aca="false">1+B175</f>
        <v>1.06</v>
      </c>
      <c r="C176" s="57" t="n">
        <f aca="false">B176*(1+C175)</f>
        <v>1.113</v>
      </c>
      <c r="D176" s="57" t="n">
        <f aca="false">C176*(1+D175)</f>
        <v>1.163085</v>
      </c>
      <c r="E176" s="57" t="n">
        <f aca="false">D176*(1+E175)</f>
        <v>1.2096084</v>
      </c>
      <c r="F176" s="57" t="n">
        <f aca="false">E176*(1+F175)</f>
        <v>1.257992736</v>
      </c>
      <c r="G176" s="57" t="n">
        <f aca="false">F176*(1+G175)</f>
        <v>1.30831244544</v>
      </c>
      <c r="H176" s="57" t="n">
        <f aca="false">G176*(1+H175)</f>
        <v>1.3606449432576</v>
      </c>
      <c r="I176" s="57" t="n">
        <f aca="false">H176*(1+I175)</f>
        <v>1.4150707409879</v>
      </c>
      <c r="J176" s="57" t="n">
        <f aca="false">I176*(1+J175)</f>
        <v>1.47167357062742</v>
      </c>
      <c r="K176" s="57" t="n">
        <f aca="false">J176*(1+K175)</f>
        <v>1.53054051345252</v>
      </c>
      <c r="L176" s="57" t="n">
        <f aca="false">K176*(1+L175)</f>
        <v>1.59176213399062</v>
      </c>
    </row>
    <row r="177" customFormat="false" ht="15" hidden="true" customHeight="false" outlineLevel="1" collapsed="false">
      <c r="A177" s="9" t="s">
        <v>407</v>
      </c>
      <c r="B177" s="57" t="n">
        <f aca="false">(1+$E$16)/(1+B175)</f>
        <v>1.02358490566038</v>
      </c>
      <c r="C177" s="57" t="n">
        <f aca="false">B177*(1+Entorno!$B$13)</f>
        <v>1.02870283018868</v>
      </c>
      <c r="D177" s="57" t="n">
        <f aca="false">C177*(1+Entorno!$B$13)</f>
        <v>1.03384634433962</v>
      </c>
      <c r="E177" s="57" t="n">
        <f aca="false">D177*(1+Entorno!$B$13)</f>
        <v>1.03901557606132</v>
      </c>
      <c r="F177" s="57" t="n">
        <f aca="false">E177*(1+Entorno!$B$13)</f>
        <v>1.04421065394163</v>
      </c>
      <c r="G177" s="57" t="n">
        <f aca="false">F177*(1+Entorno!$B$13)</f>
        <v>1.04943170721133</v>
      </c>
      <c r="H177" s="57" t="n">
        <f aca="false">G177*(1+Entorno!$B$13)</f>
        <v>1.05467886574739</v>
      </c>
      <c r="I177" s="57" t="n">
        <f aca="false">H177*(1+Entorno!$B$13)</f>
        <v>1.05995226007613</v>
      </c>
      <c r="J177" s="57" t="n">
        <f aca="false">I177*(1+Entorno!$B$13)</f>
        <v>1.06525202137651</v>
      </c>
      <c r="K177" s="57" t="n">
        <f aca="false">J177*(1+Entorno!$B$13)</f>
        <v>1.07057828148339</v>
      </c>
      <c r="L177" s="57" t="n">
        <f aca="false">K177*(1+Entorno!$B$13)</f>
        <v>1.07593117289081</v>
      </c>
    </row>
    <row r="178" customFormat="false" ht="15" hidden="true" customHeight="false" outlineLevel="1" collapsed="false">
      <c r="A178" s="9" t="s">
        <v>408</v>
      </c>
      <c r="B178" s="57" t="n">
        <f aca="false">1/B176</f>
        <v>0.943396226415094</v>
      </c>
      <c r="C178" s="57" t="n">
        <f aca="false">1/C176</f>
        <v>0.898472596585804</v>
      </c>
      <c r="D178" s="57" t="n">
        <f aca="false">1/D176</f>
        <v>0.859782389077324</v>
      </c>
      <c r="E178" s="57" t="n">
        <f aca="false">1/E176</f>
        <v>0.826713835651273</v>
      </c>
      <c r="F178" s="57" t="n">
        <f aca="false">1/F176</f>
        <v>0.794917149664686</v>
      </c>
      <c r="G178" s="57" t="n">
        <f aca="false">1/G176</f>
        <v>0.764343413139121</v>
      </c>
      <c r="H178" s="57" t="n">
        <f aca="false">1/H176</f>
        <v>0.734945589556847</v>
      </c>
      <c r="I178" s="57" t="n">
        <f aca="false">1/I176</f>
        <v>0.706678451496968</v>
      </c>
      <c r="J178" s="57" t="n">
        <f aca="false">1/J176</f>
        <v>0.679498511054777</v>
      </c>
      <c r="K178" s="57" t="n">
        <f aca="false">1/K176</f>
        <v>0.653363952937286</v>
      </c>
      <c r="L178" s="57" t="n">
        <f aca="false">1/L176</f>
        <v>0.628234570132006</v>
      </c>
    </row>
    <row r="179" customFormat="false" ht="15" hidden="true" customHeight="false" outlineLevel="1" collapsed="false">
      <c r="A179" s="6" t="s">
        <v>323</v>
      </c>
      <c r="B179" s="29" t="n">
        <f aca="false">IF(B$43=0,Quesería!$F$92,IF(B$43=1,Quesería!$F$93*$E$21,0))*$E$11</f>
        <v>930.800239431677</v>
      </c>
      <c r="C179" s="29" t="n">
        <f aca="false">IF(C$43=0,Quesería!$F$92,IF(C$43=1,Quesería!$F$93*$E$21,0))*$E$11</f>
        <v>758.469066674498</v>
      </c>
      <c r="D179" s="29" t="n">
        <f aca="false">IF(D$43=0,Quesería!$F$92,IF(D$43=1,Quesería!$F$93*$E$21,0))*$E$11</f>
        <v>0</v>
      </c>
      <c r="E179" s="29" t="n">
        <f aca="false">IF(E$43=0,Quesería!$F$92,IF(E$43=1,Quesería!$F$93*$E$21,0))*$E$11</f>
        <v>0</v>
      </c>
      <c r="F179" s="29" t="n">
        <f aca="false">IF(F$43=0,Quesería!$F$92,IF(F$43=1,Quesería!$F$93*$E$21,0))*$E$11</f>
        <v>0</v>
      </c>
      <c r="G179" s="29" t="n">
        <f aca="false">IF(G$43=0,Quesería!$F$92,IF(G$43=1,Quesería!$F$93*$E$21,0))*$E$11</f>
        <v>0</v>
      </c>
      <c r="H179" s="29" t="n">
        <f aca="false">IF(H$43=0,Quesería!$F$92,IF(H$43=1,Quesería!$F$93*$E$21,0))*$E$11</f>
        <v>0</v>
      </c>
      <c r="I179" s="29" t="n">
        <f aca="false">IF(I$43=0,Quesería!$F$92,IF(I$43=1,Quesería!$F$93*$E$21,0))*$E$11</f>
        <v>0</v>
      </c>
      <c r="J179" s="29" t="n">
        <f aca="false">IF(J$43=0,Quesería!$F$92,IF(J$43=1,Quesería!$F$93*$E$21,0))*$E$11</f>
        <v>0</v>
      </c>
      <c r="K179" s="29" t="n">
        <f aca="false">IF(K$43=0,Quesería!$F$92,IF(K$43=1,Quesería!$F$93*$E$21,0))*$E$11</f>
        <v>0</v>
      </c>
      <c r="L179" s="29" t="n">
        <f aca="false">IF(L$43=0,Quesería!$F$92,IF(L$43=1,Quesería!$F$93*$E$21,0))*$E$11</f>
        <v>0</v>
      </c>
    </row>
    <row r="180" customFormat="false" ht="15" hidden="true" customHeight="false" outlineLevel="1" collapsed="false">
      <c r="A180" s="6" t="s">
        <v>409</v>
      </c>
      <c r="B180" s="29" t="n">
        <f aca="false">IF(B$43=5,Quesería!$F$99,IF(B$43=6,Quesería!$F$100,0))*$E$11</f>
        <v>0</v>
      </c>
      <c r="C180" s="29" t="n">
        <f aca="false">IF(C$43=5,Quesería!$F$99,IF(C$43=6,Quesería!$F$100,0))*$E$11</f>
        <v>0</v>
      </c>
      <c r="D180" s="29" t="n">
        <f aca="false">IF(D$43=5,Quesería!$F$99,IF(D$43=6,Quesería!$F$100,0))*$E$11</f>
        <v>0</v>
      </c>
      <c r="E180" s="29" t="n">
        <f aca="false">IF(E$43=5,Quesería!$F$99,IF(E$43=6,Quesería!$F$100,0))*$E$11</f>
        <v>0</v>
      </c>
      <c r="F180" s="29" t="n">
        <f aca="false">IF(F$43=5,Quesería!$F$99,IF(F$43=6,Quesería!$F$100,0))*$E$11</f>
        <v>0</v>
      </c>
      <c r="G180" s="29" t="n">
        <f aca="false">IF(G$43=5,Quesería!$F$99,IF(G$43=6,Quesería!$F$100,0))*$E$11</f>
        <v>27.4652172688735</v>
      </c>
      <c r="H180" s="29" t="n">
        <f aca="false">IF(H$43=5,Quesería!$F$99,IF(H$43=6,Quesería!$F$100,0))*$E$11</f>
        <v>46.3891557109552</v>
      </c>
      <c r="I180" s="29" t="n">
        <f aca="false">IF(I$43=5,Quesería!$F$99,IF(I$43=6,Quesería!$F$100,0))*$E$11</f>
        <v>0</v>
      </c>
      <c r="J180" s="29" t="n">
        <f aca="false">IF(J$43=5,Quesería!$F$99,IF(J$43=6,Quesería!$F$100,0))*$E$11</f>
        <v>0</v>
      </c>
      <c r="K180" s="29" t="n">
        <f aca="false">IF(K$43=5,Quesería!$F$99,IF(K$43=6,Quesería!$F$100,0))*$E$11</f>
        <v>0</v>
      </c>
      <c r="L180" s="29" t="n">
        <f aca="false">IF(L$43=5,Quesería!$F$99,IF(L$43=6,Quesería!$F$100,0))*$E$11</f>
        <v>0</v>
      </c>
    </row>
    <row r="181" customFormat="false" ht="15" hidden="true" customHeight="false" outlineLevel="1" collapsed="false">
      <c r="A181" s="6" t="s">
        <v>410</v>
      </c>
      <c r="B181" s="29" t="n">
        <f aca="false">Quesería!$B$55*(IF(B$43=0,SUMPRODUCT((Quesería!$C$70:$C$89=0)*(Quesería!$H$70:$H$89&gt;0)*(Quesería!$J$70:$J$89&gt;0)*Quesería!$F$70:$F$89*(1+Quesería!$I$70:$I$89)),IF(B$43=1,SUMPRODUCT((Quesería!$C$70:$C$89=1)*(Quesería!$H$70:$H$89&gt;0)*(Quesería!$J$70:$J$89&gt;0)*Quesería!$F$70:$F$89*(1+Quesería!$I$70:$I$89))*$E$21,0))*$E$11+B180)</f>
        <v>149.115671560178</v>
      </c>
      <c r="C181" s="29" t="n">
        <f aca="false">Quesería!$B$55*(IF(C$43=0,SUMPRODUCT((Quesería!$C$70:$C$89=0)*(Quesería!$H$70:$H$89&gt;0)*(Quesería!$J$70:$J$89&gt;0)*Quesería!$F$70:$F$89*(1+Quesería!$I$70:$I$89)),IF(C$43=1,SUMPRODUCT((Quesería!$C$70:$C$89=1)*(Quesería!$H$70:$H$89&gt;0)*(Quesería!$J$70:$J$89&gt;0)*Quesería!$F$70:$F$89*(1+Quesería!$I$70:$I$89))*$E$21,0))*$E$11+C180)</f>
        <v>144.109122668155</v>
      </c>
      <c r="D181" s="29" t="n">
        <f aca="false">Quesería!$B$55*(IF(D$43=0,SUMPRODUCT((Quesería!$C$70:$C$89=0)*(Quesería!$H$70:$H$89&gt;0)*(Quesería!$J$70:$J$89&gt;0)*Quesería!$F$70:$F$89*(1+Quesería!$I$70:$I$89)),IF(D$43=1,SUMPRODUCT((Quesería!$C$70:$C$89=1)*(Quesería!$H$70:$H$89&gt;0)*(Quesería!$J$70:$J$89&gt;0)*Quesería!$F$70:$F$89*(1+Quesería!$I$70:$I$89))*$E$21,0))*$E$11+D180)</f>
        <v>0</v>
      </c>
      <c r="E181" s="29" t="n">
        <f aca="false">Quesería!$B$55*(IF(E$43=0,SUMPRODUCT((Quesería!$C$70:$C$89=0)*(Quesería!$H$70:$H$89&gt;0)*(Quesería!$J$70:$J$89&gt;0)*Quesería!$F$70:$F$89*(1+Quesería!$I$70:$I$89)),IF(E$43=1,SUMPRODUCT((Quesería!$C$70:$C$89=1)*(Quesería!$H$70:$H$89&gt;0)*(Quesería!$J$70:$J$89&gt;0)*Quesería!$F$70:$F$89*(1+Quesería!$I$70:$I$89))*$E$21,0))*$E$11+E180)</f>
        <v>0</v>
      </c>
      <c r="F181" s="29" t="n">
        <f aca="false">Quesería!$B$55*(IF(F$43=0,SUMPRODUCT((Quesería!$C$70:$C$89=0)*(Quesería!$H$70:$H$89&gt;0)*(Quesería!$J$70:$J$89&gt;0)*Quesería!$F$70:$F$89*(1+Quesería!$I$70:$I$89)),IF(F$43=1,SUMPRODUCT((Quesería!$C$70:$C$89=1)*(Quesería!$H$70:$H$89&gt;0)*(Quesería!$J$70:$J$89&gt;0)*Quesería!$F$70:$F$89*(1+Quesería!$I$70:$I$89))*$E$21,0))*$E$11+F180)</f>
        <v>0</v>
      </c>
      <c r="G181" s="29" t="n">
        <f aca="false">Quesería!$B$55*(IF(G$43=0,SUMPRODUCT((Quesería!$C$70:$C$89=0)*(Quesería!$H$70:$H$89&gt;0)*(Quesería!$J$70:$J$89&gt;0)*Quesería!$F$70:$F$89*(1+Quesería!$I$70:$I$89)),IF(G$43=1,SUMPRODUCT((Quesería!$C$70:$C$89=1)*(Quesería!$H$70:$H$89&gt;0)*(Quesería!$J$70:$J$89&gt;0)*Quesería!$F$70:$F$89*(1+Quesería!$I$70:$I$89))*$E$21,0))*$E$11+G180)</f>
        <v>5.21839128108597</v>
      </c>
      <c r="H181" s="29" t="n">
        <f aca="false">Quesería!$B$55*(IF(H$43=0,SUMPRODUCT((Quesería!$C$70:$C$89=0)*(Quesería!$H$70:$H$89&gt;0)*(Quesería!$J$70:$J$89&gt;0)*Quesería!$F$70:$F$89*(1+Quesería!$I$70:$I$89)),IF(H$43=1,SUMPRODUCT((Quesería!$C$70:$C$89=1)*(Quesería!$H$70:$H$89&gt;0)*(Quesería!$J$70:$J$89&gt;0)*Quesería!$F$70:$F$89*(1+Quesería!$I$70:$I$89))*$E$21,0))*$E$11+H180)</f>
        <v>8.8139395850815</v>
      </c>
      <c r="I181" s="29" t="n">
        <f aca="false">Quesería!$B$55*(IF(I$43=0,SUMPRODUCT((Quesería!$C$70:$C$89=0)*(Quesería!$H$70:$H$89&gt;0)*(Quesería!$J$70:$J$89&gt;0)*Quesería!$F$70:$F$89*(1+Quesería!$I$70:$I$89)),IF(I$43=1,SUMPRODUCT((Quesería!$C$70:$C$89=1)*(Quesería!$H$70:$H$89&gt;0)*(Quesería!$J$70:$J$89&gt;0)*Quesería!$F$70:$F$89*(1+Quesería!$I$70:$I$89))*$E$21,0))*$E$11+I180)</f>
        <v>0</v>
      </c>
      <c r="J181" s="29" t="n">
        <f aca="false">Quesería!$B$55*(IF(J$43=0,SUMPRODUCT((Quesería!$C$70:$C$89=0)*(Quesería!$H$70:$H$89&gt;0)*(Quesería!$J$70:$J$89&gt;0)*Quesería!$F$70:$F$89*(1+Quesería!$I$70:$I$89)),IF(J$43=1,SUMPRODUCT((Quesería!$C$70:$C$89=1)*(Quesería!$H$70:$H$89&gt;0)*(Quesería!$J$70:$J$89&gt;0)*Quesería!$F$70:$F$89*(1+Quesería!$I$70:$I$89))*$E$21,0))*$E$11+J180)</f>
        <v>0</v>
      </c>
      <c r="K181" s="29" t="n">
        <f aca="false">Quesería!$B$55*(IF(K$43=0,SUMPRODUCT((Quesería!$C$70:$C$89=0)*(Quesería!$H$70:$H$89&gt;0)*(Quesería!$J$70:$J$89&gt;0)*Quesería!$F$70:$F$89*(1+Quesería!$I$70:$I$89)),IF(K$43=1,SUMPRODUCT((Quesería!$C$70:$C$89=1)*(Quesería!$H$70:$H$89&gt;0)*(Quesería!$J$70:$J$89&gt;0)*Quesería!$F$70:$F$89*(1+Quesería!$I$70:$I$89))*$E$21,0))*$E$11+K180)</f>
        <v>0</v>
      </c>
      <c r="L181" s="29" t="n">
        <f aca="false">Quesería!$B$55*(IF(L$43=0,SUMPRODUCT((Quesería!$C$70:$C$89=0)*(Quesería!$H$70:$H$89&gt;0)*(Quesería!$J$70:$J$89&gt;0)*Quesería!$F$70:$F$89*(1+Quesería!$I$70:$I$89)),IF(L$43=1,SUMPRODUCT((Quesería!$C$70:$C$89=1)*(Quesería!$H$70:$H$89&gt;0)*(Quesería!$J$70:$J$89&gt;0)*Quesería!$F$70:$F$89*(1+Quesería!$I$70:$I$89))*$E$21,0))*$E$11+L180)</f>
        <v>0</v>
      </c>
    </row>
    <row r="182" customFormat="false" ht="15" hidden="true" customHeight="false" outlineLevel="1" collapsed="false">
      <c r="A182" s="6" t="s">
        <v>385</v>
      </c>
      <c r="B182" s="29" t="n">
        <f aca="false">IF(B$43=0,($E$22*Quesería!$J$125+(1-$E$22)*Quesería!$E$121)*Quesería!$B$20*Quesería!$B$21/12*$E$23,(($E$22*Quesería!$J$125+(1-$E$22)*Quesería!$E$121)+($E$22*Quesería!$J$104+(1-$E$22)*Quesería!$E$104)*(B177-1))*IF(B$43=1,Quesería!$B$20,1))*$E$10</f>
        <v>0</v>
      </c>
      <c r="C182" s="29" t="n">
        <f aca="false">IF(C$43=0,($E$22*Quesería!$J$125+(1-$E$22)*Quesería!$E$121)*Quesería!$B$20*Quesería!$B$21/12*$E$23,(($E$22*Quesería!$J$125+(1-$E$22)*Quesería!$E$121)+($E$22*Quesería!$J$104+(1-$E$22)*Quesería!$E$104)*(C177-1))*IF(C$43=1,Quesería!$B$20,1))*$E$10</f>
        <v>181.328317354069</v>
      </c>
      <c r="D182" s="29" t="n">
        <f aca="false">IF(D$43=0,($E$22*Quesería!$J$125+(1-$E$22)*Quesería!$E$121)*Quesería!$B$20*Quesería!$B$21/12*$E$23,(($E$22*Quesería!$J$125+(1-$E$22)*Quesería!$E$121)+($E$22*Quesería!$J$104+(1-$E$22)*Quesería!$E$104)*(D177-1))*IF(D$43=1,Quesería!$B$20,1))*$E$10</f>
        <v>241.83157753184</v>
      </c>
      <c r="E182" s="29" t="n">
        <f aca="false">IF(E$43=0,($E$22*Quesería!$J$125+(1-$E$22)*Quesería!$E$121)*Quesería!$B$20*Quesería!$B$21/12*$E$23,(($E$22*Quesería!$J$125+(1-$E$22)*Quesería!$E$121)+($E$22*Quesería!$J$104+(1-$E$22)*Quesería!$E$104)*(E177-1))*IF(E$43=1,Quesería!$B$20,1))*$E$10</f>
        <v>241.892367696887</v>
      </c>
      <c r="F182" s="29" t="n">
        <f aca="false">IF(F$43=0,($E$22*Quesería!$J$125+(1-$E$22)*Quesería!$E$121)*Quesería!$B$20*Quesería!$B$21/12*$E$23,(($E$22*Quesería!$J$125+(1-$E$22)*Quesería!$E$121)+($E$22*Quesería!$J$104+(1-$E$22)*Quesería!$E$104)*(F177-1))*IF(F$43=1,Quesería!$B$20,1))*$E$10</f>
        <v>241.95346181276</v>
      </c>
      <c r="G182" s="29" t="n">
        <f aca="false">IF(G$43=0,($E$22*Quesería!$J$125+(1-$E$22)*Quesería!$E$121)*Quesería!$B$20*Quesería!$B$21/12*$E$23,(($E$22*Quesería!$J$125+(1-$E$22)*Quesería!$E$121)+($E$22*Quesería!$J$104+(1-$E$22)*Quesería!$E$104)*(G177-1))*IF(G$43=1,Quesería!$B$20,1))*$E$10</f>
        <v>242.014861399211</v>
      </c>
      <c r="H182" s="29" t="n">
        <f aca="false">IF(H$43=0,($E$22*Quesería!$J$125+(1-$E$22)*Quesería!$E$121)*Quesería!$B$20*Quesería!$B$21/12*$E$23,(($E$22*Quesería!$J$125+(1-$E$22)*Quesería!$E$121)+($E$22*Quesería!$J$104+(1-$E$22)*Quesería!$E$104)*(H177-1))*IF(H$43=1,Quesería!$B$20,1))*$E$10</f>
        <v>242.076567983595</v>
      </c>
      <c r="I182" s="29" t="n">
        <f aca="false">IF(I$43=0,($E$22*Quesería!$J$125+(1-$E$22)*Quesería!$E$121)*Quesería!$B$20*Quesería!$B$21/12*$E$23,(($E$22*Quesería!$J$125+(1-$E$22)*Quesería!$E$121)+($E$22*Quesería!$J$104+(1-$E$22)*Quesería!$E$104)*(I177-1))*IF(I$43=1,Quesería!$B$20,1))*$E$10</f>
        <v>242.138583100901</v>
      </c>
      <c r="J182" s="29" t="n">
        <f aca="false">IF(J$43=0,($E$22*Quesería!$J$125+(1-$E$22)*Quesería!$E$121)*Quesería!$B$20*Quesería!$B$21/12*$E$23,(($E$22*Quesería!$J$125+(1-$E$22)*Quesería!$E$121)+($E$22*Quesería!$J$104+(1-$E$22)*Quesería!$E$104)*(J177-1))*IF(J$43=1,Quesería!$B$20,1))*$E$10</f>
        <v>242.200908293794</v>
      </c>
      <c r="K182" s="29" t="n">
        <f aca="false">IF(K$43=0,($E$22*Quesería!$J$125+(1-$E$22)*Quesería!$E$121)*Quesería!$B$20*Quesería!$B$21/12*$E$23,(($E$22*Quesería!$J$125+(1-$E$22)*Quesería!$E$121)+($E$22*Quesería!$J$104+(1-$E$22)*Quesería!$E$104)*(K177-1))*IF(K$43=1,Quesería!$B$20,1))*$E$10</f>
        <v>242.263545112651</v>
      </c>
      <c r="L182" s="29" t="n">
        <f aca="false">IF(L$43=0,($E$22*Quesería!$J$125+(1-$E$22)*Quesería!$E$121)*Quesería!$B$20*Quesería!$B$21/12*$E$23,(($E$22*Quesería!$J$125+(1-$E$22)*Quesería!$E$121)+($E$22*Quesería!$J$104+(1-$E$22)*Quesería!$E$104)*(L177-1))*IF(L$43=1,Quesería!$B$20,1))*$E$10</f>
        <v>242.326495115602</v>
      </c>
    </row>
    <row r="183" customFormat="false" ht="15" hidden="true" customHeight="false" outlineLevel="1" collapsed="false">
      <c r="A183" s="6" t="s">
        <v>386</v>
      </c>
      <c r="B183" s="29" t="n">
        <f aca="false">IF(B$43&lt;=1,0,((($E$22*Quesería!$J$126+(1-$E$22)*Quesería!$E$122)-($E$22*Quesería!$J$113+(1-$E$22)*Quesería!$E$113)+$E$6*($E$22*Quesería!$J$113+(1-$E$22)*Quesería!$E$113)-(1-$E$9)*(($E$22*Quesería!$J$118+(1-$E$22)*Quesería!$E$118)+($E$22*Quesería!$J$117+(1-$E$22)*Quesería!$E$117)))+($E$6*($E$22*Quesería!$J$113+(1-$E$22)*Quesería!$E$113)+$E$9*($E$22*Quesería!$J$118+(1-$E$22)*Quesería!$E$118))*(B177-1))*IF(B$43=2,Quesería!$B$20,1)+IF(B$43=2,Quesería!$B$24*$E$9*($E$22*Quesería!$J$118+(1-$E$22)*Quesería!$E$118)*B177,0))*$E$10*$E$21</f>
        <v>0</v>
      </c>
      <c r="C183" s="29" t="n">
        <f aca="false">IF(C$43&lt;=1,0,((($E$22*Quesería!$J$126+(1-$E$22)*Quesería!$E$122)-($E$22*Quesería!$J$113+(1-$E$22)*Quesería!$E$113)+$E$6*($E$22*Quesería!$J$113+(1-$E$22)*Quesería!$E$113)-(1-$E$9)*(($E$22*Quesería!$J$118+(1-$E$22)*Quesería!$E$118)+($E$22*Quesería!$J$117+(1-$E$22)*Quesería!$E$117)))+($E$6*($E$22*Quesería!$J$113+(1-$E$22)*Quesería!$E$113)+$E$9*($E$22*Quesería!$J$118+(1-$E$22)*Quesería!$E$118))*(C177-1))*IF(C$43=2,Quesería!$B$20,1)+IF(C$43=2,Quesería!$B$24*$E$9*($E$22*Quesería!$J$118+(1-$E$22)*Quesería!$E$118)*C177,0))*$E$10*$E$21</f>
        <v>0</v>
      </c>
      <c r="D183" s="29" t="n">
        <f aca="false">IF(D$43&lt;=1,0,((($E$22*Quesería!$J$126+(1-$E$22)*Quesería!$E$122)-($E$22*Quesería!$J$113+(1-$E$22)*Quesería!$E$113)+$E$6*($E$22*Quesería!$J$113+(1-$E$22)*Quesería!$E$113)-(1-$E$9)*(($E$22*Quesería!$J$118+(1-$E$22)*Quesería!$E$118)+($E$22*Quesería!$J$117+(1-$E$22)*Quesería!$E$117)))+($E$6*($E$22*Quesería!$J$113+(1-$E$22)*Quesería!$E$113)+$E$9*($E$22*Quesería!$J$118+(1-$E$22)*Quesería!$E$118))*(D177-1))*IF(D$43=2,Quesería!$B$20,1)+IF(D$43=2,Quesería!$B$24*$E$9*($E$22*Quesería!$J$118+(1-$E$22)*Quesería!$E$118)*D177,0))*$E$10*$E$21</f>
        <v>235.201505618611</v>
      </c>
      <c r="E183" s="29" t="n">
        <f aca="false">IF(E$43&lt;=1,0,((($E$22*Quesería!$J$126+(1-$E$22)*Quesería!$E$122)-($E$22*Quesería!$J$113+(1-$E$22)*Quesería!$E$113)+$E$6*($E$22*Quesería!$J$113+(1-$E$22)*Quesería!$E$113)-(1-$E$9)*(($E$22*Quesería!$J$118+(1-$E$22)*Quesería!$E$118)+($E$22*Quesería!$J$117+(1-$E$22)*Quesería!$E$117)))+($E$6*($E$22*Quesería!$J$113+(1-$E$22)*Quesería!$E$113)+$E$9*($E$22*Quesería!$J$118+(1-$E$22)*Quesería!$E$118))*(E177-1))*IF(E$43=2,Quesería!$B$20,1)+IF(E$43=2,Quesería!$B$24*$E$9*($E$22*Quesería!$J$118+(1-$E$22)*Quesería!$E$118)*E177,0))*$E$10*$E$21</f>
        <v>298.96150264002</v>
      </c>
      <c r="F183" s="29" t="n">
        <f aca="false">IF(F$43&lt;=1,0,((($E$22*Quesería!$J$126+(1-$E$22)*Quesería!$E$122)-($E$22*Quesería!$J$113+(1-$E$22)*Quesería!$E$113)+$E$6*($E$22*Quesería!$J$113+(1-$E$22)*Quesería!$E$113)-(1-$E$9)*(($E$22*Quesería!$J$118+(1-$E$22)*Quesería!$E$118)+($E$22*Quesería!$J$117+(1-$E$22)*Quesería!$E$117)))+($E$6*($E$22*Quesería!$J$113+(1-$E$22)*Quesería!$E$113)+$E$9*($E$22*Quesería!$J$118+(1-$E$22)*Quesería!$E$118))*(F177-1))*IF(F$43=2,Quesería!$B$20,1)+IF(F$43=2,Quesería!$B$24*$E$9*($E$22*Quesería!$J$118+(1-$E$22)*Quesería!$E$118)*F177,0))*$E$10*$E$21</f>
        <v>299.209619559583</v>
      </c>
      <c r="G183" s="29" t="n">
        <f aca="false">IF(G$43&lt;=1,0,((($E$22*Quesería!$J$126+(1-$E$22)*Quesería!$E$122)-($E$22*Quesería!$J$113+(1-$E$22)*Quesería!$E$113)+$E$6*($E$22*Quesería!$J$113+(1-$E$22)*Quesería!$E$113)-(1-$E$9)*(($E$22*Quesería!$J$118+(1-$E$22)*Quesería!$E$118)+($E$22*Quesería!$J$117+(1-$E$22)*Quesería!$E$117)))+($E$6*($E$22*Quesería!$J$113+(1-$E$22)*Quesería!$E$113)+$E$9*($E$22*Quesería!$J$118+(1-$E$22)*Quesería!$E$118))*(G177-1))*IF(G$43=2,Quesería!$B$20,1)+IF(G$43=2,Quesería!$B$24*$E$9*($E$22*Quesería!$J$118+(1-$E$22)*Quesería!$E$118)*G177,0))*$E$10*$E$21</f>
        <v>299.458977063744</v>
      </c>
      <c r="H183" s="29" t="n">
        <f aca="false">IF(H$43&lt;=1,0,((($E$22*Quesería!$J$126+(1-$E$22)*Quesería!$E$122)-($E$22*Quesería!$J$113+(1-$E$22)*Quesería!$E$113)+$E$6*($E$22*Quesería!$J$113+(1-$E$22)*Quesería!$E$113)-(1-$E$9)*(($E$22*Quesería!$J$118+(1-$E$22)*Quesería!$E$118)+($E$22*Quesería!$J$117+(1-$E$22)*Quesería!$E$117)))+($E$6*($E$22*Quesería!$J$113+(1-$E$22)*Quesería!$E$113)+$E$9*($E$22*Quesería!$J$118+(1-$E$22)*Quesería!$E$118))*(H177-1))*IF(H$43=2,Quesería!$B$20,1)+IF(H$43=2,Quesería!$B$24*$E$9*($E$22*Quesería!$J$118+(1-$E$22)*Quesería!$E$118)*H177,0))*$E$10*$E$21</f>
        <v>299.709581355426</v>
      </c>
      <c r="I183" s="29" t="n">
        <f aca="false">IF(I$43&lt;=1,0,((($E$22*Quesería!$J$126+(1-$E$22)*Quesería!$E$122)-($E$22*Quesería!$J$113+(1-$E$22)*Quesería!$E$113)+$E$6*($E$22*Quesería!$J$113+(1-$E$22)*Quesería!$E$113)-(1-$E$9)*(($E$22*Quesería!$J$118+(1-$E$22)*Quesería!$E$118)+($E$22*Quesería!$J$117+(1-$E$22)*Quesería!$E$117)))+($E$6*($E$22*Quesería!$J$113+(1-$E$22)*Quesería!$E$113)+$E$9*($E$22*Quesería!$J$118+(1-$E$22)*Quesería!$E$118))*(I177-1))*IF(I$43=2,Quesería!$B$20,1)+IF(I$43=2,Quesería!$B$24*$E$9*($E$22*Quesería!$J$118+(1-$E$22)*Quesería!$E$118)*I177,0))*$E$10*$E$21</f>
        <v>299.961438668567</v>
      </c>
      <c r="J183" s="29" t="n">
        <f aca="false">IF(J$43&lt;=1,0,((($E$22*Quesería!$J$126+(1-$E$22)*Quesería!$E$122)-($E$22*Quesería!$J$113+(1-$E$22)*Quesería!$E$113)+$E$6*($E$22*Quesería!$J$113+(1-$E$22)*Quesería!$E$113)-(1-$E$9)*(($E$22*Quesería!$J$118+(1-$E$22)*Quesería!$E$118)+($E$22*Quesería!$J$117+(1-$E$22)*Quesería!$E$117)))+($E$6*($E$22*Quesería!$J$113+(1-$E$22)*Quesería!$E$113)+$E$9*($E$22*Quesería!$J$118+(1-$E$22)*Quesería!$E$118))*(J177-1))*IF(J$43=2,Quesería!$B$20,1)+IF(J$43=2,Quesería!$B$24*$E$9*($E$22*Quesería!$J$118+(1-$E$22)*Quesería!$E$118)*J177,0))*$E$10*$E$21</f>
        <v>300.214555268273</v>
      </c>
      <c r="K183" s="29" t="n">
        <f aca="false">IF(K$43&lt;=1,0,((($E$22*Quesería!$J$126+(1-$E$22)*Quesería!$E$122)-($E$22*Quesería!$J$113+(1-$E$22)*Quesería!$E$113)+$E$6*($E$22*Quesería!$J$113+(1-$E$22)*Quesería!$E$113)-(1-$E$9)*(($E$22*Quesería!$J$118+(1-$E$22)*Quesería!$E$118)+($E$22*Quesería!$J$117+(1-$E$22)*Quesería!$E$117)))+($E$6*($E$22*Quesería!$J$113+(1-$E$22)*Quesería!$E$113)+$E$9*($E$22*Quesería!$J$118+(1-$E$22)*Quesería!$E$118))*(K177-1))*IF(K$43=2,Quesería!$B$20,1)+IF(K$43=2,Quesería!$B$24*$E$9*($E$22*Quesería!$J$118+(1-$E$22)*Quesería!$E$118)*K177,0))*$E$10*$E$21</f>
        <v>300.468937450978</v>
      </c>
      <c r="L183" s="29" t="n">
        <f aca="false">IF(L$43&lt;=1,0,((($E$22*Quesería!$J$126+(1-$E$22)*Quesería!$E$122)-($E$22*Quesería!$J$113+(1-$E$22)*Quesería!$E$113)+$E$6*($E$22*Quesería!$J$113+(1-$E$22)*Quesería!$E$113)-(1-$E$9)*(($E$22*Quesería!$J$118+(1-$E$22)*Quesería!$E$118)+($E$22*Quesería!$J$117+(1-$E$22)*Quesería!$E$117)))+($E$6*($E$22*Quesería!$J$113+(1-$E$22)*Quesería!$E$113)+$E$9*($E$22*Quesería!$J$118+(1-$E$22)*Quesería!$E$118))*(L177-1))*IF(L$43=2,Quesería!$B$20,1)+IF(L$43=2,Quesería!$B$24*$E$9*($E$22*Quesería!$J$118+(1-$E$22)*Quesería!$E$118)*L177,0))*$E$10*$E$21</f>
        <v>300.724591544596</v>
      </c>
    </row>
    <row r="184" customFormat="false" ht="15" hidden="true" customHeight="false" outlineLevel="1" collapsed="false">
      <c r="A184" s="5" t="s">
        <v>411</v>
      </c>
      <c r="B184" s="10" t="n">
        <f aca="false">B182+B183</f>
        <v>0</v>
      </c>
      <c r="C184" s="10" t="n">
        <f aca="false">C182+C183</f>
        <v>181.328317354069</v>
      </c>
      <c r="D184" s="10" t="n">
        <f aca="false">D182+D183</f>
        <v>477.033083150451</v>
      </c>
      <c r="E184" s="10" t="n">
        <f aca="false">E182+E183</f>
        <v>540.853870336907</v>
      </c>
      <c r="F184" s="10" t="n">
        <f aca="false">F182+F183</f>
        <v>541.163081372343</v>
      </c>
      <c r="G184" s="10" t="n">
        <f aca="false">G182+G183</f>
        <v>541.473838462956</v>
      </c>
      <c r="H184" s="10" t="n">
        <f aca="false">H182+H183</f>
        <v>541.786149339022</v>
      </c>
      <c r="I184" s="10" t="n">
        <f aca="false">I182+I183</f>
        <v>542.100021769468</v>
      </c>
      <c r="J184" s="10" t="n">
        <f aca="false">J182+J183</f>
        <v>542.415463562067</v>
      </c>
      <c r="K184" s="10" t="n">
        <f aca="false">K182+K183</f>
        <v>542.732482563628</v>
      </c>
      <c r="L184" s="10" t="n">
        <f aca="false">L182+L183</f>
        <v>543.051086660198</v>
      </c>
    </row>
    <row r="185" customFormat="false" ht="15" hidden="true" customHeight="false" outlineLevel="1" collapsed="false">
      <c r="A185" s="6" t="s">
        <v>412</v>
      </c>
      <c r="B185" s="29" t="n">
        <f aca="false">(IF(B$43&gt;=1,(Quesería!$B$31+Quesería!$B$33)*Quesería!$F$94*$E$11+Quesería!$B$32+'Beneficios y costos'!$B$211,0)+IF(B$43&gt;=2,((Quesería!$B$31+Quesería!$B$33)*Quesería!$F$95*$E$11+'Beneficios y costos'!$C$211)*$E$21,0))*$E$12</f>
        <v>0</v>
      </c>
      <c r="C185" s="29" t="n">
        <f aca="false">(IF(C$43&gt;=1,(Quesería!$B$31+Quesería!$B$33)*Quesería!$F$94*$E$11+Quesería!$B$32+'Beneficios y costos'!$B$211,0)+IF(C$43&gt;=2,((Quesería!$B$31+Quesería!$B$33)*Quesería!$F$95*$E$11+'Beneficios y costos'!$C$211)*$E$21,0))*$E$12</f>
        <v>42.0946487260605</v>
      </c>
      <c r="D185" s="29" t="n">
        <f aca="false">(IF(D$43&gt;=1,(Quesería!$B$31+Quesería!$B$33)*Quesería!$F$94*$E$11+Quesería!$B$32+'Beneficios y costos'!$B$211,0)+IF(D$43&gt;=2,((Quesería!$B$31+Quesería!$B$33)*Quesería!$F$95*$E$11+'Beneficios y costos'!$C$211)*$E$21,0))*$E$12</f>
        <v>95.9432442337815</v>
      </c>
      <c r="E185" s="29" t="n">
        <f aca="false">(IF(E$43&gt;=1,(Quesería!$B$31+Quesería!$B$33)*Quesería!$F$94*$E$11+Quesería!$B$32+'Beneficios y costos'!$B$211,0)+IF(E$43&gt;=2,((Quesería!$B$31+Quesería!$B$33)*Quesería!$F$95*$E$11+'Beneficios y costos'!$C$211)*$E$21,0))*$E$12</f>
        <v>95.9432442337815</v>
      </c>
      <c r="F185" s="29" t="n">
        <f aca="false">(IF(F$43&gt;=1,(Quesería!$B$31+Quesería!$B$33)*Quesería!$F$94*$E$11+Quesería!$B$32+'Beneficios y costos'!$B$211,0)+IF(F$43&gt;=2,((Quesería!$B$31+Quesería!$B$33)*Quesería!$F$95*$E$11+'Beneficios y costos'!$C$211)*$E$21,0))*$E$12</f>
        <v>95.9432442337815</v>
      </c>
      <c r="G185" s="29" t="n">
        <f aca="false">(IF(G$43&gt;=1,(Quesería!$B$31+Quesería!$B$33)*Quesería!$F$94*$E$11+Quesería!$B$32+'Beneficios y costos'!$B$211,0)+IF(G$43&gt;=2,((Quesería!$B$31+Quesería!$B$33)*Quesería!$F$95*$E$11+'Beneficios y costos'!$C$211)*$E$21,0))*$E$12</f>
        <v>95.9432442337815</v>
      </c>
      <c r="H185" s="29" t="n">
        <f aca="false">(IF(H$43&gt;=1,(Quesería!$B$31+Quesería!$B$33)*Quesería!$F$94*$E$11+Quesería!$B$32+'Beneficios y costos'!$B$211,0)+IF(H$43&gt;=2,((Quesería!$B$31+Quesería!$B$33)*Quesería!$F$95*$E$11+'Beneficios y costos'!$C$211)*$E$21,0))*$E$12</f>
        <v>95.9432442337815</v>
      </c>
      <c r="I185" s="29" t="n">
        <f aca="false">(IF(I$43&gt;=1,(Quesería!$B$31+Quesería!$B$33)*Quesería!$F$94*$E$11+Quesería!$B$32+'Beneficios y costos'!$B$211,0)+IF(I$43&gt;=2,((Quesería!$B$31+Quesería!$B$33)*Quesería!$F$95*$E$11+'Beneficios y costos'!$C$211)*$E$21,0))*$E$12</f>
        <v>95.9432442337815</v>
      </c>
      <c r="J185" s="29" t="n">
        <f aca="false">(IF(J$43&gt;=1,(Quesería!$B$31+Quesería!$B$33)*Quesería!$F$94*$E$11+Quesería!$B$32+'Beneficios y costos'!$B$211,0)+IF(J$43&gt;=2,((Quesería!$B$31+Quesería!$B$33)*Quesería!$F$95*$E$11+'Beneficios y costos'!$C$211)*$E$21,0))*$E$12</f>
        <v>95.9432442337815</v>
      </c>
      <c r="K185" s="29" t="n">
        <f aca="false">(IF(K$43&gt;=1,(Quesería!$B$31+Quesería!$B$33)*Quesería!$F$94*$E$11+Quesería!$B$32+'Beneficios y costos'!$B$211,0)+IF(K$43&gt;=2,((Quesería!$B$31+Quesería!$B$33)*Quesería!$F$95*$E$11+'Beneficios y costos'!$C$211)*$E$21,0))*$E$12</f>
        <v>95.9432442337815</v>
      </c>
      <c r="L185" s="29" t="n">
        <f aca="false">(IF(L$43&gt;=1,(Quesería!$B$31+Quesería!$B$33)*Quesería!$F$94*$E$11+Quesería!$B$32+'Beneficios y costos'!$B$211,0)+IF(L$43&gt;=2,((Quesería!$B$31+Quesería!$B$33)*Quesería!$F$95*$E$11+'Beneficios y costos'!$C$211)*$E$21,0))*$E$12</f>
        <v>95.9432442337815</v>
      </c>
    </row>
    <row r="186" customFormat="false" ht="15" hidden="true" customHeight="false" outlineLevel="1" collapsed="false">
      <c r="A186" s="6" t="s">
        <v>413</v>
      </c>
      <c r="B186" s="29" t="n">
        <f aca="false">IF(B$43=1,2*Quesería!$B$22*Quesería!$B$23/12*B177,0)*$E$21</f>
        <v>0</v>
      </c>
      <c r="C186" s="29" t="n">
        <f aca="false">IF(C$43=1,2*Quesería!$B$22*Quesería!$B$23/12*C177,0)*$E$21</f>
        <v>18.5166509433962</v>
      </c>
      <c r="D186" s="29" t="n">
        <f aca="false">IF(D$43=1,2*Quesería!$B$22*Quesería!$B$23/12*D177,0)*$E$21</f>
        <v>0</v>
      </c>
      <c r="E186" s="29" t="n">
        <f aca="false">IF(E$43=1,2*Quesería!$B$22*Quesería!$B$23/12*E177,0)*$E$21</f>
        <v>0</v>
      </c>
      <c r="F186" s="29" t="n">
        <f aca="false">IF(F$43=1,2*Quesería!$B$22*Quesería!$B$23/12*F177,0)*$E$21</f>
        <v>0</v>
      </c>
      <c r="G186" s="29" t="n">
        <f aca="false">IF(G$43=1,2*Quesería!$B$22*Quesería!$B$23/12*G177,0)*$E$21</f>
        <v>0</v>
      </c>
      <c r="H186" s="29" t="n">
        <f aca="false">IF(H$43=1,2*Quesería!$B$22*Quesería!$B$23/12*H177,0)*$E$21</f>
        <v>0</v>
      </c>
      <c r="I186" s="29" t="n">
        <f aca="false">IF(I$43=1,2*Quesería!$B$22*Quesería!$B$23/12*I177,0)*$E$21</f>
        <v>0</v>
      </c>
      <c r="J186" s="29" t="n">
        <f aca="false">IF(J$43=1,2*Quesería!$B$22*Quesería!$B$23/12*J177,0)*$E$21</f>
        <v>0</v>
      </c>
      <c r="K186" s="29" t="n">
        <f aca="false">IF(K$43=1,2*Quesería!$B$22*Quesería!$B$23/12*K177,0)*$E$21</f>
        <v>0</v>
      </c>
      <c r="L186" s="29" t="n">
        <f aca="false">IF(L$43=1,2*Quesería!$B$22*Quesería!$B$23/12*L177,0)*$E$21</f>
        <v>0</v>
      </c>
    </row>
    <row r="187" customFormat="false" ht="15" hidden="true" customHeight="false" outlineLevel="1" collapsed="false">
      <c r="A187" s="6" t="s">
        <v>414</v>
      </c>
      <c r="B187" s="29" t="n">
        <f aca="false">Quesería!$B$52*(B179+B180+B181+B185+B186)</f>
        <v>4.31966364396742</v>
      </c>
      <c r="C187" s="29" t="n">
        <f aca="false">Quesería!$B$52*(C179+C180+C181+C185+C186)</f>
        <v>3.85275795604844</v>
      </c>
      <c r="D187" s="29" t="n">
        <f aca="false">Quesería!$B$52*(D179+D180+D181+D185+D186)</f>
        <v>0.383772976935126</v>
      </c>
      <c r="E187" s="29" t="n">
        <f aca="false">Quesería!$B$52*(E179+E180+E181+E185+E186)</f>
        <v>0.383772976935126</v>
      </c>
      <c r="F187" s="29" t="n">
        <f aca="false">Quesería!$B$52*(F179+F180+F181+F185+F186)</f>
        <v>0.383772976935126</v>
      </c>
      <c r="G187" s="29" t="n">
        <f aca="false">Quesería!$B$52*(G179+G180+G181+G185+G186)</f>
        <v>0.514507411134964</v>
      </c>
      <c r="H187" s="29" t="n">
        <f aca="false">Quesería!$B$52*(H179+H180+H181+H185+H186)</f>
        <v>0.604585358119273</v>
      </c>
      <c r="I187" s="29" t="n">
        <f aca="false">Quesería!$B$52*(I179+I180+I181+I185+I186)</f>
        <v>0.383772976935126</v>
      </c>
      <c r="J187" s="29" t="n">
        <f aca="false">Quesería!$B$52*(J179+J180+J181+J185+J186)</f>
        <v>0.383772976935126</v>
      </c>
      <c r="K187" s="29" t="n">
        <f aca="false">Quesería!$B$52*(K179+K180+K181+K185+K186)</f>
        <v>0.383772976935126</v>
      </c>
      <c r="L187" s="29" t="n">
        <f aca="false">Quesería!$B$52*(L179+L180+L181+L185+L186)</f>
        <v>0.383772976935126</v>
      </c>
    </row>
    <row r="188" customFormat="false" ht="15" hidden="true" customHeight="false" outlineLevel="1" collapsed="false">
      <c r="A188" s="6" t="s">
        <v>415</v>
      </c>
      <c r="B188" s="29" t="n">
        <f aca="false">(IF($E$19=1,(SUMPRODUCT((Quesería!$C$70:$C$89=0)*(Quesería!$J$70:$J$89&gt;0)*(B$43&gt;=1)*(B$43&lt;=Quesería!$J$70:$J$89)*(Quesería!$H$70:$H$89&gt;0)*Quesería!$F$70:$F$89*(1+Quesería!$I$70:$I$89)/(Quesería!$J$70:$J$89+(Quesería!$J$70:$J$89=0)))+SUMPRODUCT((Quesería!$C$70:$C$89=0)*(Quesería!$J$70:$J$89=0)*(B$43=0)*(Quesería!$H$70:$H$89&gt;0)*Quesería!$F$70:$F$89*(1+Quesería!$I$70:$I$89)))*$B$176+(SUMPRODUCT((Quesería!$C$70:$C$89=1)*(Quesería!$J$70:$J$89&gt;0)*(B$43&gt;=2)*(B$43&lt;=Quesería!$J$70:$J$89+1)*(Quesería!$H$70:$H$89&gt;0)*Quesería!$F$70:$F$89*(1+Quesería!$I$70:$I$89)/(Quesería!$J$70:$J$89+(Quesería!$J$70:$J$89=0)))+SUMPRODUCT((Quesería!$C$70:$C$89=1)*(Quesería!$J$70:$J$89=0)*(B$43=1)*(Quesería!$H$70:$H$89&gt;0)*Quesería!$F$70:$F$89*(1+Quesería!$I$70:$I$89)))*$C$176*$E$21,IF(AND(B$43&gt;=1,B$43&lt;=Quesería!$B$30),Quesería!$F$92/Quesería!$B$30,0)*$B$176+IF(AND(B$43&gt;=2,B$43&lt;=Quesería!$B$30+1),Quesería!$F$93/Quesería!$B$30,0)*$C$176*$E$21)*$E$11+IF(AND(B$43&gt;=6,B$43&lt;=10),$G180*$G176/5,0)+IF(AND(B$43&gt;=7,B$43&lt;=11),$H180*$H176/5,0))*B178</f>
        <v>145.980915430742</v>
      </c>
      <c r="C188" s="29" t="n">
        <f aca="false">(IF($E$19=1,(SUMPRODUCT((Quesería!$C$70:$C$89=0)*(Quesería!$J$70:$J$89&gt;0)*(C$43&gt;=1)*(C$43&lt;=Quesería!$J$70:$J$89)*(Quesería!$H$70:$H$89&gt;0)*Quesería!$F$70:$F$89*(1+Quesería!$I$70:$I$89)/(Quesería!$J$70:$J$89+(Quesería!$J$70:$J$89=0)))+SUMPRODUCT((Quesería!$C$70:$C$89=0)*(Quesería!$J$70:$J$89=0)*(C$43=0)*(Quesería!$H$70:$H$89&gt;0)*Quesería!$F$70:$F$89*(1+Quesería!$I$70:$I$89)))*$B$176+(SUMPRODUCT((Quesería!$C$70:$C$89=1)*(Quesería!$J$70:$J$89&gt;0)*(C$43&gt;=2)*(C$43&lt;=Quesería!$J$70:$J$89+1)*(Quesería!$H$70:$H$89&gt;0)*Quesería!$F$70:$F$89*(1+Quesería!$I$70:$I$89)/(Quesería!$J$70:$J$89+(Quesería!$J$70:$J$89=0)))+SUMPRODUCT((Quesería!$C$70:$C$89=1)*(Quesería!$J$70:$J$89=0)*(C$43=1)*(Quesería!$H$70:$H$89&gt;0)*Quesería!$F$70:$F$89*(1+Quesería!$I$70:$I$89)))*$C$176*$E$21,IF(AND(C$43&gt;=1,C$43&lt;=Quesería!$B$30),Quesería!$F$92/Quesería!$B$30,0)*$B$176+IF(AND(C$43&gt;=2,C$43&lt;=Quesería!$B$30+1),Quesería!$F$93/Quesería!$B$30,0)*$C$176*$E$21)*$E$11+IF(AND(C$43&gt;=6,C$43&lt;=10),$G180*$G176/5,0)+IF(AND(C$43&gt;=7,C$43&lt;=11),$H180*$H176/5,0))*C178</f>
        <v>82.2633269524265</v>
      </c>
      <c r="D188" s="29" t="n">
        <f aca="false">(IF($E$19=1,(SUMPRODUCT((Quesería!$C$70:$C$89=0)*(Quesería!$J$70:$J$89&gt;0)*(D$43&gt;=1)*(D$43&lt;=Quesería!$J$70:$J$89)*(Quesería!$H$70:$H$89&gt;0)*Quesería!$F$70:$F$89*(1+Quesería!$I$70:$I$89)/(Quesería!$J$70:$J$89+(Quesería!$J$70:$J$89=0)))+SUMPRODUCT((Quesería!$C$70:$C$89=0)*(Quesería!$J$70:$J$89=0)*(D$43=0)*(Quesería!$H$70:$H$89&gt;0)*Quesería!$F$70:$F$89*(1+Quesería!$I$70:$I$89)))*$B$176+(SUMPRODUCT((Quesería!$C$70:$C$89=1)*(Quesería!$J$70:$J$89&gt;0)*(D$43&gt;=2)*(D$43&lt;=Quesería!$J$70:$J$89+1)*(Quesería!$H$70:$H$89&gt;0)*Quesería!$F$70:$F$89*(1+Quesería!$I$70:$I$89)/(Quesería!$J$70:$J$89+(Quesería!$J$70:$J$89=0)))+SUMPRODUCT((Quesería!$C$70:$C$89=1)*(Quesería!$J$70:$J$89=0)*(D$43=1)*(Quesería!$H$70:$H$89&gt;0)*Quesería!$F$70:$F$89*(1+Quesería!$I$70:$I$89)))*$C$176*$E$21,IF(AND(D$43&gt;=1,D$43&lt;=Quesería!$B$30),Quesería!$F$92/Quesería!$B$30,0)*$B$176+IF(AND(D$43&gt;=2,D$43&lt;=Quesería!$B$30+1),Quesería!$F$93/Quesería!$B$30,0)*$C$176*$E$21)*$E$11+IF(AND(D$43&gt;=6,D$43&lt;=10),$G180*$G176/5,0)+IF(AND(D$43&gt;=7,D$43&lt;=11),$H180*$H176/5,0))*D178</f>
        <v>151.301658966389</v>
      </c>
      <c r="E188" s="29" t="n">
        <f aca="false">(IF($E$19=1,(SUMPRODUCT((Quesería!$C$70:$C$89=0)*(Quesería!$J$70:$J$89&gt;0)*(E$43&gt;=1)*(E$43&lt;=Quesería!$J$70:$J$89)*(Quesería!$H$70:$H$89&gt;0)*Quesería!$F$70:$F$89*(1+Quesería!$I$70:$I$89)/(Quesería!$J$70:$J$89+(Quesería!$J$70:$J$89=0)))+SUMPRODUCT((Quesería!$C$70:$C$89=0)*(Quesería!$J$70:$J$89=0)*(E$43=0)*(Quesería!$H$70:$H$89&gt;0)*Quesería!$F$70:$F$89*(1+Quesería!$I$70:$I$89)))*$B$176+(SUMPRODUCT((Quesería!$C$70:$C$89=1)*(Quesería!$J$70:$J$89&gt;0)*(E$43&gt;=2)*(E$43&lt;=Quesería!$J$70:$J$89+1)*(Quesería!$H$70:$H$89&gt;0)*Quesería!$F$70:$F$89*(1+Quesería!$I$70:$I$89)/(Quesería!$J$70:$J$89+(Quesería!$J$70:$J$89=0)))+SUMPRODUCT((Quesería!$C$70:$C$89=1)*(Quesería!$J$70:$J$89=0)*(E$43=1)*(Quesería!$H$70:$H$89&gt;0)*Quesería!$F$70:$F$89*(1+Quesería!$I$70:$I$89)))*$C$176*$E$21,IF(AND(E$43&gt;=1,E$43&lt;=Quesería!$B$30),Quesería!$F$92/Quesería!$B$30,0)*$B$176+IF(AND(E$43&gt;=2,E$43&lt;=Quesería!$B$30+1),Quesería!$F$93/Quesería!$B$30,0)*$C$176*$E$21)*$E$11+IF(AND(E$43&gt;=6,E$43&lt;=10),$G180*$G176/5,0)+IF(AND(E$43&gt;=7,E$43&lt;=11),$H180*$H176/5,0))*E178</f>
        <v>145.482364390759</v>
      </c>
      <c r="F188" s="29" t="n">
        <f aca="false">(IF($E$19=1,(SUMPRODUCT((Quesería!$C$70:$C$89=0)*(Quesería!$J$70:$J$89&gt;0)*(F$43&gt;=1)*(F$43&lt;=Quesería!$J$70:$J$89)*(Quesería!$H$70:$H$89&gt;0)*Quesería!$F$70:$F$89*(1+Quesería!$I$70:$I$89)/(Quesería!$J$70:$J$89+(Quesería!$J$70:$J$89=0)))+SUMPRODUCT((Quesería!$C$70:$C$89=0)*(Quesería!$J$70:$J$89=0)*(F$43=0)*(Quesería!$H$70:$H$89&gt;0)*Quesería!$F$70:$F$89*(1+Quesería!$I$70:$I$89)))*$B$176+(SUMPRODUCT((Quesería!$C$70:$C$89=1)*(Quesería!$J$70:$J$89&gt;0)*(F$43&gt;=2)*(F$43&lt;=Quesería!$J$70:$J$89+1)*(Quesería!$H$70:$H$89&gt;0)*Quesería!$F$70:$F$89*(1+Quesería!$I$70:$I$89)/(Quesería!$J$70:$J$89+(Quesería!$J$70:$J$89=0)))+SUMPRODUCT((Quesería!$C$70:$C$89=1)*(Quesería!$J$70:$J$89=0)*(F$43=1)*(Quesería!$H$70:$H$89&gt;0)*Quesería!$F$70:$F$89*(1+Quesería!$I$70:$I$89)))*$C$176*$E$21,IF(AND(F$43&gt;=1,F$43&lt;=Quesería!$B$30),Quesería!$F$92/Quesería!$B$30,0)*$B$176+IF(AND(F$43&gt;=2,F$43&lt;=Quesería!$B$30+1),Quesería!$F$93/Quesería!$B$30,0)*$C$176*$E$21)*$E$11+IF(AND(F$43&gt;=6,F$43&lt;=10),$G180*$G176/5,0)+IF(AND(F$43&gt;=7,F$43&lt;=11),$H180*$H176/5,0))*F178</f>
        <v>139.886888837268</v>
      </c>
      <c r="G188" s="29" t="n">
        <f aca="false">(IF($E$19=1,(SUMPRODUCT((Quesería!$C$70:$C$89=0)*(Quesería!$J$70:$J$89&gt;0)*(G$43&gt;=1)*(G$43&lt;=Quesería!$J$70:$J$89)*(Quesería!$H$70:$H$89&gt;0)*Quesería!$F$70:$F$89*(1+Quesería!$I$70:$I$89)/(Quesería!$J$70:$J$89+(Quesería!$J$70:$J$89=0)))+SUMPRODUCT((Quesería!$C$70:$C$89=0)*(Quesería!$J$70:$J$89=0)*(G$43=0)*(Quesería!$H$70:$H$89&gt;0)*Quesería!$F$70:$F$89*(1+Quesería!$I$70:$I$89)))*$B$176+(SUMPRODUCT((Quesería!$C$70:$C$89=1)*(Quesería!$J$70:$J$89&gt;0)*(G$43&gt;=2)*(G$43&lt;=Quesería!$J$70:$J$89+1)*(Quesería!$H$70:$H$89&gt;0)*Quesería!$F$70:$F$89*(1+Quesería!$I$70:$I$89)/(Quesería!$J$70:$J$89+(Quesería!$J$70:$J$89=0)))+SUMPRODUCT((Quesería!$C$70:$C$89=1)*(Quesería!$J$70:$J$89=0)*(G$43=1)*(Quesería!$H$70:$H$89&gt;0)*Quesería!$F$70:$F$89*(1+Quesería!$I$70:$I$89)))*$C$176*$E$21,IF(AND(G$43&gt;=1,G$43&lt;=Quesería!$B$30),Quesería!$F$92/Quesería!$B$30,0)*$B$176+IF(AND(G$43&gt;=2,G$43&lt;=Quesería!$B$30+1),Quesería!$F$93/Quesería!$B$30,0)*$C$176*$E$21)*$E$11+IF(AND(G$43&gt;=6,G$43&lt;=10),$G180*$G176/5,0)+IF(AND(G$43&gt;=7,G$43&lt;=11),$H180*$H176/5,0))*G178</f>
        <v>134.506623881988</v>
      </c>
      <c r="H188" s="29" t="n">
        <f aca="false">(IF($E$19=1,(SUMPRODUCT((Quesería!$C$70:$C$89=0)*(Quesería!$J$70:$J$89&gt;0)*(H$43&gt;=1)*(H$43&lt;=Quesería!$J$70:$J$89)*(Quesería!$H$70:$H$89&gt;0)*Quesería!$F$70:$F$89*(1+Quesería!$I$70:$I$89)/(Quesería!$J$70:$J$89+(Quesería!$J$70:$J$89=0)))+SUMPRODUCT((Quesería!$C$70:$C$89=0)*(Quesería!$J$70:$J$89=0)*(H$43=0)*(Quesería!$H$70:$H$89&gt;0)*Quesería!$F$70:$F$89*(1+Quesería!$I$70:$I$89)))*$B$176+(SUMPRODUCT((Quesería!$C$70:$C$89=1)*(Quesería!$J$70:$J$89&gt;0)*(H$43&gt;=2)*(H$43&lt;=Quesería!$J$70:$J$89+1)*(Quesería!$H$70:$H$89&gt;0)*Quesería!$F$70:$F$89*(1+Quesería!$I$70:$I$89)/(Quesería!$J$70:$J$89+(Quesería!$J$70:$J$89=0)))+SUMPRODUCT((Quesería!$C$70:$C$89=1)*(Quesería!$J$70:$J$89=0)*(H$43=1)*(Quesería!$H$70:$H$89&gt;0)*Quesería!$F$70:$F$89*(1+Quesería!$I$70:$I$89)))*$C$176*$E$21,IF(AND(H$43&gt;=1,H$43&lt;=Quesería!$B$30),Quesería!$F$92/Quesería!$B$30,0)*$B$176+IF(AND(H$43&gt;=2,H$43&lt;=Quesería!$B$30+1),Quesería!$F$93/Quesería!$B$30,0)*$C$176*$E$21)*$E$11+IF(AND(H$43&gt;=6,H$43&lt;=10),$G180*$G176/5,0)+IF(AND(H$43&gt;=7,H$43&lt;=11),$H180*$H176/5,0))*H178</f>
        <v>122.314670590318</v>
      </c>
      <c r="I188" s="29" t="n">
        <f aca="false">(IF($E$19=1,(SUMPRODUCT((Quesería!$C$70:$C$89=0)*(Quesería!$J$70:$J$89&gt;0)*(I$43&gt;=1)*(I$43&lt;=Quesería!$J$70:$J$89)*(Quesería!$H$70:$H$89&gt;0)*Quesería!$F$70:$F$89*(1+Quesería!$I$70:$I$89)/(Quesería!$J$70:$J$89+(Quesería!$J$70:$J$89=0)))+SUMPRODUCT((Quesería!$C$70:$C$89=0)*(Quesería!$J$70:$J$89=0)*(I$43=0)*(Quesería!$H$70:$H$89&gt;0)*Quesería!$F$70:$F$89*(1+Quesería!$I$70:$I$89)))*$B$176+(SUMPRODUCT((Quesería!$C$70:$C$89=1)*(Quesería!$J$70:$J$89&gt;0)*(I$43&gt;=2)*(I$43&lt;=Quesería!$J$70:$J$89+1)*(Quesería!$H$70:$H$89&gt;0)*Quesería!$F$70:$F$89*(1+Quesería!$I$70:$I$89)/(Quesería!$J$70:$J$89+(Quesería!$J$70:$J$89=0)))+SUMPRODUCT((Quesería!$C$70:$C$89=1)*(Quesería!$J$70:$J$89=0)*(I$43=1)*(Quesería!$H$70:$H$89&gt;0)*Quesería!$F$70:$F$89*(1+Quesería!$I$70:$I$89)))*$C$176*$E$21,IF(AND(I$43&gt;=1,I$43&lt;=Quesería!$B$30),Quesería!$F$92/Quesería!$B$30,0)*$B$176+IF(AND(I$43&gt;=2,I$43&lt;=Quesería!$B$30+1),Quesería!$F$93/Quesería!$B$30,0)*$C$176*$E$21)*$E$11+IF(AND(I$43&gt;=6,I$43&lt;=10),$G180*$G176/5,0)+IF(AND(I$43&gt;=7,I$43&lt;=11),$H180*$H176/5,0))*I178</f>
        <v>126.531251665874</v>
      </c>
      <c r="J188" s="29" t="n">
        <f aca="false">(IF($E$19=1,(SUMPRODUCT((Quesería!$C$70:$C$89=0)*(Quesería!$J$70:$J$89&gt;0)*(J$43&gt;=1)*(J$43&lt;=Quesería!$J$70:$J$89)*(Quesería!$H$70:$H$89&gt;0)*Quesería!$F$70:$F$89*(1+Quesería!$I$70:$I$89)/(Quesería!$J$70:$J$89+(Quesería!$J$70:$J$89=0)))+SUMPRODUCT((Quesería!$C$70:$C$89=0)*(Quesería!$J$70:$J$89=0)*(J$43=0)*(Quesería!$H$70:$H$89&gt;0)*Quesería!$F$70:$F$89*(1+Quesería!$I$70:$I$89)))*$B$176+(SUMPRODUCT((Quesería!$C$70:$C$89=1)*(Quesería!$J$70:$J$89&gt;0)*(J$43&gt;=2)*(J$43&lt;=Quesería!$J$70:$J$89+1)*(Quesería!$H$70:$H$89&gt;0)*Quesería!$F$70:$F$89*(1+Quesería!$I$70:$I$89)/(Quesería!$J$70:$J$89+(Quesería!$J$70:$J$89=0)))+SUMPRODUCT((Quesería!$C$70:$C$89=1)*(Quesería!$J$70:$J$89=0)*(J$43=1)*(Quesería!$H$70:$H$89&gt;0)*Quesería!$F$70:$F$89*(1+Quesería!$I$70:$I$89)))*$C$176*$E$21,IF(AND(J$43&gt;=1,J$43&lt;=Quesería!$B$30),Quesería!$F$92/Quesería!$B$30,0)*$B$176+IF(AND(J$43&gt;=2,J$43&lt;=Quesería!$B$30+1),Quesería!$F$93/Quesería!$B$30,0)*$C$176*$E$21)*$E$11+IF(AND(J$43&gt;=6,J$43&lt;=10),$G180*$G176/5,0)+IF(AND(J$43&gt;=7,J$43&lt;=11),$H180*$H176/5,0))*J178</f>
        <v>121.66466506334</v>
      </c>
      <c r="K188" s="29" t="n">
        <f aca="false">(IF($E$19=1,(SUMPRODUCT((Quesería!$C$70:$C$89=0)*(Quesería!$J$70:$J$89&gt;0)*(K$43&gt;=1)*(K$43&lt;=Quesería!$J$70:$J$89)*(Quesería!$H$70:$H$89&gt;0)*Quesería!$F$70:$F$89*(1+Quesería!$I$70:$I$89)/(Quesería!$J$70:$J$89+(Quesería!$J$70:$J$89=0)))+SUMPRODUCT((Quesería!$C$70:$C$89=0)*(Quesería!$J$70:$J$89=0)*(K$43=0)*(Quesería!$H$70:$H$89&gt;0)*Quesería!$F$70:$F$89*(1+Quesería!$I$70:$I$89)))*$B$176+(SUMPRODUCT((Quesería!$C$70:$C$89=1)*(Quesería!$J$70:$J$89&gt;0)*(K$43&gt;=2)*(K$43&lt;=Quesería!$J$70:$J$89+1)*(Quesería!$H$70:$H$89&gt;0)*Quesería!$F$70:$F$89*(1+Quesería!$I$70:$I$89)/(Quesería!$J$70:$J$89+(Quesería!$J$70:$J$89=0)))+SUMPRODUCT((Quesería!$C$70:$C$89=1)*(Quesería!$J$70:$J$89=0)*(K$43=1)*(Quesería!$H$70:$H$89&gt;0)*Quesería!$F$70:$F$89*(1+Quesería!$I$70:$I$89)))*$C$176*$E$21,IF(AND(K$43&gt;=1,K$43&lt;=Quesería!$B$30),Quesería!$F$92/Quesería!$B$30,0)*$B$176+IF(AND(K$43&gt;=2,K$43&lt;=Quesería!$B$30+1),Quesería!$F$93/Quesería!$B$30,0)*$C$176*$E$21)*$E$11+IF(AND(K$43&gt;=6,K$43&lt;=10),$G180*$G176/5,0)+IF(AND(K$43&gt;=7,K$43&lt;=11),$H180*$H176/5,0))*K178</f>
        <v>116.985254868597</v>
      </c>
      <c r="L188" s="29" t="n">
        <f aca="false">(IF($E$19=1,(SUMPRODUCT((Quesería!$C$70:$C$89=0)*(Quesería!$J$70:$J$89&gt;0)*(L$43&gt;=1)*(L$43&lt;=Quesería!$J$70:$J$89)*(Quesería!$H$70:$H$89&gt;0)*Quesería!$F$70:$F$89*(1+Quesería!$I$70:$I$89)/(Quesería!$J$70:$J$89+(Quesería!$J$70:$J$89=0)))+SUMPRODUCT((Quesería!$C$70:$C$89=0)*(Quesería!$J$70:$J$89=0)*(L$43=0)*(Quesería!$H$70:$H$89&gt;0)*Quesería!$F$70:$F$89*(1+Quesería!$I$70:$I$89)))*$B$176+(SUMPRODUCT((Quesería!$C$70:$C$89=1)*(Quesería!$J$70:$J$89&gt;0)*(L$43&gt;=2)*(L$43&lt;=Quesería!$J$70:$J$89+1)*(Quesería!$H$70:$H$89&gt;0)*Quesería!$F$70:$F$89*(1+Quesería!$I$70:$I$89)/(Quesería!$J$70:$J$89+(Quesería!$J$70:$J$89=0)))+SUMPRODUCT((Quesería!$C$70:$C$89=1)*(Quesería!$J$70:$J$89=0)*(L$43=1)*(Quesería!$H$70:$H$89&gt;0)*Quesería!$F$70:$F$89*(1+Quesería!$I$70:$I$89)))*$C$176*$E$21,IF(AND(L$43&gt;=1,L$43&lt;=Quesería!$B$30),Quesería!$F$92/Quesería!$B$30,0)*$B$176+IF(AND(L$43&gt;=2,L$43&lt;=Quesería!$B$30+1),Quesería!$F$93/Quesería!$B$30,0)*$C$176*$E$21)*$E$11+IF(AND(L$43&gt;=6,L$43&lt;=10),$G180*$G176/5,0)+IF(AND(L$43&gt;=7,L$43&lt;=11),$H180*$H176/5,0))*L178</f>
        <v>112.485821989035</v>
      </c>
    </row>
    <row r="189" customFormat="false" ht="15" hidden="true" customHeight="false" outlineLevel="1" collapsed="false">
      <c r="A189" s="9" t="s">
        <v>416</v>
      </c>
      <c r="B189" s="58" t="n">
        <f aca="false">IF(B$43=1,MIN($E$7*Quesería!$B$56*Quesería!$F$86*$E$11*$E$21,Quesería!$B$57*Quesería!$B$58),0)</f>
        <v>0</v>
      </c>
      <c r="C189" s="58" t="n">
        <f aca="false">IF(C$43=1,MIN($E$7*Quesería!$B$56*Quesería!$F$86*$E$11*$E$21,Quesería!$B$57*Quesería!$B$58),0)</f>
        <v>20</v>
      </c>
      <c r="D189" s="58" t="n">
        <f aca="false">IF(D$43=1,MIN($E$7*Quesería!$B$56*Quesería!$F$86*$E$11*$E$21,Quesería!$B$57*Quesería!$B$58),0)</f>
        <v>0</v>
      </c>
      <c r="E189" s="58" t="n">
        <f aca="false">IF(E$43=1,MIN($E$7*Quesería!$B$56*Quesería!$F$86*$E$11*$E$21,Quesería!$B$57*Quesería!$B$58),0)</f>
        <v>0</v>
      </c>
      <c r="F189" s="58" t="n">
        <f aca="false">IF(F$43=1,MIN($E$7*Quesería!$B$56*Quesería!$F$86*$E$11*$E$21,Quesería!$B$57*Quesería!$B$58),0)</f>
        <v>0</v>
      </c>
      <c r="G189" s="58" t="n">
        <f aca="false">IF(G$43=1,MIN($E$7*Quesería!$B$56*Quesería!$F$86*$E$11*$E$21,Quesería!$B$57*Quesería!$B$58),0)</f>
        <v>0</v>
      </c>
      <c r="H189" s="58" t="n">
        <f aca="false">IF(H$43=1,MIN($E$7*Quesería!$B$56*Quesería!$F$86*$E$11*$E$21,Quesería!$B$57*Quesería!$B$58),0)</f>
        <v>0</v>
      </c>
      <c r="I189" s="58" t="n">
        <f aca="false">IF(I$43=1,MIN($E$7*Quesería!$B$56*Quesería!$F$86*$E$11*$E$21,Quesería!$B$57*Quesería!$B$58),0)</f>
        <v>0</v>
      </c>
      <c r="J189" s="58" t="n">
        <f aca="false">IF(J$43=1,MIN($E$7*Quesería!$B$56*Quesería!$F$86*$E$11*$E$21,Quesería!$B$57*Quesería!$B$58),0)</f>
        <v>0</v>
      </c>
      <c r="K189" s="58" t="n">
        <f aca="false">IF(K$43=1,MIN($E$7*Quesería!$B$56*Quesería!$F$86*$E$11*$E$21,Quesería!$B$57*Quesería!$B$58),0)</f>
        <v>0</v>
      </c>
      <c r="L189" s="58" t="n">
        <f aca="false">IF(L$43=1,MIN($E$7*Quesería!$B$56*Quesería!$F$86*$E$11*$E$21,Quesería!$B$57*Quesería!$B$58),0)</f>
        <v>0</v>
      </c>
    </row>
    <row r="190" customFormat="false" ht="15" hidden="true" customHeight="false" outlineLevel="1" collapsed="false">
      <c r="A190" s="9" t="s">
        <v>417</v>
      </c>
      <c r="B190" s="58" t="n">
        <v>0</v>
      </c>
      <c r="C190" s="58" t="n">
        <f aca="false">$E$20*Quesería!$B$60*Quesería!$F$98*$E$11*$B$176/C176/2</f>
        <v>138.12868344741</v>
      </c>
      <c r="D190" s="58" t="n">
        <f aca="false">$E$20*Quesería!$B$60*Quesería!$F$98*$E$11*$B$176/D176/2</f>
        <v>132.18055832288</v>
      </c>
      <c r="E190" s="58" t="n">
        <v>0</v>
      </c>
      <c r="F190" s="58" t="n">
        <v>0</v>
      </c>
      <c r="G190" s="58" t="n">
        <v>0</v>
      </c>
      <c r="H190" s="58" t="n">
        <v>0</v>
      </c>
      <c r="I190" s="58" t="n">
        <v>0</v>
      </c>
      <c r="J190" s="58" t="n">
        <v>0</v>
      </c>
      <c r="K190" s="58" t="n">
        <v>0</v>
      </c>
      <c r="L190" s="58" t="n">
        <v>0</v>
      </c>
    </row>
    <row r="191" customFormat="false" ht="15" hidden="true" customHeight="false" outlineLevel="1" collapsed="false">
      <c r="A191" s="9" t="s">
        <v>418</v>
      </c>
      <c r="B191" s="58" t="n">
        <f aca="false">0</f>
        <v>0</v>
      </c>
      <c r="C191" s="58" t="n">
        <f aca="false">B181*B176/C176</f>
        <v>142.014925295407</v>
      </c>
      <c r="D191" s="58" t="n">
        <f aca="false">C181*C176/D176</f>
        <v>137.903466668091</v>
      </c>
      <c r="E191" s="58" t="n">
        <f aca="false">D181*D176/E176</f>
        <v>0</v>
      </c>
      <c r="F191" s="58" t="n">
        <f aca="false">E181*E176/F176</f>
        <v>0</v>
      </c>
      <c r="G191" s="58" t="n">
        <f aca="false">F181*F176/G176</f>
        <v>0</v>
      </c>
      <c r="H191" s="58" t="n">
        <f aca="false">G181*G176/H176</f>
        <v>5.01768392412113</v>
      </c>
      <c r="I191" s="58" t="n">
        <f aca="false">H181*H176/I176</f>
        <v>8.47494190873221</v>
      </c>
      <c r="J191" s="58" t="n">
        <f aca="false">I181*I176/J176</f>
        <v>0</v>
      </c>
      <c r="K191" s="58" t="n">
        <f aca="false">J181*J176/K176</f>
        <v>0</v>
      </c>
      <c r="L191" s="58" t="n">
        <f aca="false">K181*K176/L176</f>
        <v>0</v>
      </c>
    </row>
    <row r="192" customFormat="false" ht="15" hidden="true" customHeight="false" outlineLevel="1" collapsed="false">
      <c r="A192" s="6" t="s">
        <v>295</v>
      </c>
      <c r="B192" s="29" t="n">
        <f aca="false">$E$17*(B184-B185-B186-0.5*B187-B188)-B189-B190-B191</f>
        <v>-51.8492615384541</v>
      </c>
      <c r="C192" s="29" t="n">
        <f aca="false">$E$17*(C184-C185-C186-0.5*C187-C188)-C189-C190-C191</f>
        <v>-287.35904962886</v>
      </c>
      <c r="D192" s="29" t="n">
        <f aca="false">$E$17*(D184-D185-D186-0.5*D187-D188)-D189-D190-D191</f>
        <v>-189.725322279336</v>
      </c>
      <c r="E192" s="29" t="n">
        <f aca="false">$E$17*(E184-E185-E186-0.5*E187-E188)-E189-E190-E191</f>
        <v>104.732731328365</v>
      </c>
      <c r="F192" s="29" t="n">
        <f aca="false">$E$17*(F184-F185-F186-0.5*F187-F188)-F189-F190-F191</f>
        <v>106.799371634489</v>
      </c>
      <c r="G192" s="29" t="n">
        <f aca="false">$E$17*(G184-G185-G186-0.5*G187-G188)-G189-G190-G191</f>
        <v>108.768350824566</v>
      </c>
      <c r="H192" s="29" t="n">
        <f aca="false">$E$17*(H184-H185-H186-0.5*H187-H188)-H189-H190-H191</f>
        <v>108.111395718431</v>
      </c>
      <c r="I192" s="29" t="n">
        <f aca="false">$E$17*(I184-I185-I186-0.5*I187-I188)-I189-I190-I191</f>
        <v>103.326831874739</v>
      </c>
      <c r="J192" s="29" t="n">
        <f aca="false">$E$17*(J184-J185-J186-0.5*J187-J188)-J189-J190-J191</f>
        <v>113.615483721767</v>
      </c>
      <c r="K192" s="29" t="n">
        <f aca="false">$E$17*(K184-K185-K186-0.5*K187-K188)-K189-K190-K191</f>
        <v>115.364233940474</v>
      </c>
      <c r="L192" s="29" t="n">
        <f aca="false">$E$17*(L184-L185-L186-0.5*L187-L188)-L189-L190-L191</f>
        <v>117.05054688212</v>
      </c>
    </row>
    <row r="193" customFormat="false" ht="15" hidden="true" customHeight="false" outlineLevel="1" collapsed="false">
      <c r="A193" s="9" t="s">
        <v>419</v>
      </c>
      <c r="B193" s="58" t="n">
        <f aca="false">(IF(B$43&gt;=1,Quesería!$G$123*IF(B$43=1,Quesería!$B$20,1),Quesería!$G$123*Quesería!$B$20*Quesería!$B$21/12*$E$23)+IF(B$43&gt;=2,Quesería!$G$124*$E$21*IF(B$43=2,Quesería!$B$20,1),0))*$E$10</f>
        <v>0</v>
      </c>
      <c r="C193" s="58" t="n">
        <f aca="false">(IF(C$43&gt;=1,Quesería!$G$123*IF(C$43=1,Quesería!$B$20,1),Quesería!$G$123*Quesería!$B$20*Quesería!$B$21/12*$E$23)+IF(C$43&gt;=2,Quesería!$G$124*$E$21*IF(C$43=2,Quesería!$B$20,1),0))*$E$10</f>
        <v>116.10643052428</v>
      </c>
      <c r="D193" s="58" t="n">
        <f aca="false">(IF(D$43&gt;=1,Quesería!$G$123*IF(D$43=1,Quesería!$B$20,1),Quesería!$G$123*Quesería!$B$20*Quesería!$B$21/12*$E$23)+IF(D$43&gt;=2,Quesería!$G$124*$E$21*IF(D$43=2,Quesería!$B$20,1),0))*$E$10</f>
        <v>297.090260202792</v>
      </c>
      <c r="E193" s="58" t="n">
        <f aca="false">(IF(E$43&gt;=1,Quesería!$G$123*IF(E$43=1,Quesería!$B$20,1),Quesería!$G$123*Quesería!$B$20*Quesería!$B$21/12*$E$23)+IF(E$43&gt;=2,Quesería!$G$124*$E$21*IF(E$43=2,Quesería!$B$20,1),0))*$E$10</f>
        <v>344.517488926264</v>
      </c>
      <c r="F193" s="58" t="n">
        <f aca="false">(IF(F$43&gt;=1,Quesería!$G$123*IF(F$43=1,Quesería!$B$20,1),Quesería!$G$123*Quesería!$B$20*Quesería!$B$21/12*$E$23)+IF(F$43&gt;=2,Quesería!$G$124*$E$21*IF(F$43=2,Quesería!$B$20,1),0))*$E$10</f>
        <v>344.517488926264</v>
      </c>
      <c r="G193" s="58" t="n">
        <f aca="false">(IF(G$43&gt;=1,Quesería!$G$123*IF(G$43=1,Quesería!$B$20,1),Quesería!$G$123*Quesería!$B$20*Quesería!$B$21/12*$E$23)+IF(G$43&gt;=2,Quesería!$G$124*$E$21*IF(G$43=2,Quesería!$B$20,1),0))*$E$10</f>
        <v>344.517488926264</v>
      </c>
      <c r="H193" s="58" t="n">
        <f aca="false">(IF(H$43&gt;=1,Quesería!$G$123*IF(H$43=1,Quesería!$B$20,1),Quesería!$G$123*Quesería!$B$20*Quesería!$B$21/12*$E$23)+IF(H$43&gt;=2,Quesería!$G$124*$E$21*IF(H$43=2,Quesería!$B$20,1),0))*$E$10</f>
        <v>344.517488926264</v>
      </c>
      <c r="I193" s="58" t="n">
        <f aca="false">(IF(I$43&gt;=1,Quesería!$G$123*IF(I$43=1,Quesería!$B$20,1),Quesería!$G$123*Quesería!$B$20*Quesería!$B$21/12*$E$23)+IF(I$43&gt;=2,Quesería!$G$124*$E$21*IF(I$43=2,Quesería!$B$20,1),0))*$E$10</f>
        <v>344.517488926264</v>
      </c>
      <c r="J193" s="58" t="n">
        <f aca="false">(IF(J$43&gt;=1,Quesería!$G$123*IF(J$43=1,Quesería!$B$20,1),Quesería!$G$123*Quesería!$B$20*Quesería!$B$21/12*$E$23)+IF(J$43&gt;=2,Quesería!$G$124*$E$21*IF(J$43=2,Quesería!$B$20,1),0))*$E$10</f>
        <v>344.517488926264</v>
      </c>
      <c r="K193" s="58" t="n">
        <f aca="false">(IF(K$43&gt;=1,Quesería!$G$123*IF(K$43=1,Quesería!$B$20,1),Quesería!$G$123*Quesería!$B$20*Quesería!$B$21/12*$E$23)+IF(K$43&gt;=2,Quesería!$G$124*$E$21*IF(K$43=2,Quesería!$B$20,1),0))*$E$10</f>
        <v>344.517488926264</v>
      </c>
      <c r="L193" s="58" t="n">
        <f aca="false">(IF(L$43&gt;=1,Quesería!$G$123*IF(L$43=1,Quesería!$B$20,1),Quesería!$G$123*Quesería!$B$20*Quesería!$B$21/12*$E$23)+IF(L$43&gt;=2,Quesería!$G$124*$E$21*IF(L$43=2,Quesería!$B$20,1),0))*$E$10</f>
        <v>344.517488926264</v>
      </c>
    </row>
    <row r="194" customFormat="false" ht="15" hidden="true" customHeight="false" outlineLevel="1" collapsed="false">
      <c r="A194" s="6" t="s">
        <v>420</v>
      </c>
      <c r="B194" s="29" t="n">
        <f aca="false">(B193*(Quesería!$B$38+Quesería!$B$40*Quesería!$B$39)/365-B185*Quesería!$B$42/365)</f>
        <v>0</v>
      </c>
      <c r="C194" s="29" t="n">
        <f aca="false">(C193*(Quesería!$B$38+Quesería!$B$40*Quesería!$B$39)/365-C185*Quesería!$B$42/365)-(B193*(Quesería!$B$38+Quesería!$B$40*Quesería!$B$39)/365-B185*Quesería!$B$42/365)*B176/C176</f>
        <v>8.30999180521817</v>
      </c>
      <c r="D194" s="29" t="n">
        <f aca="false">(D193*(Quesería!$B$38+Quesería!$B$40*Quesería!$B$39)/365-D185*Quesería!$B$42/365)-(C193*(Quesería!$B$38+Quesería!$B$40*Quesería!$B$39)/365-C185*Quesería!$B$42/365)*C176/D176</f>
        <v>14.0205300736897</v>
      </c>
      <c r="E194" s="29" t="n">
        <f aca="false">(E193*(Quesería!$B$38+Quesería!$B$40*Quesería!$B$39)/365-E185*Quesería!$B$42/365)-(D193*(Quesería!$B$38+Quesería!$B$40*Quesería!$B$39)/365-D185*Quesería!$B$42/365)*D176/E176</f>
        <v>5.27597549905193</v>
      </c>
      <c r="F194" s="29" t="n">
        <f aca="false">(F193*(Quesería!$B$38+Quesería!$B$40*Quesería!$B$39)/365-F185*Quesería!$B$42/365)-(E193*(Quesería!$B$38+Quesería!$B$40*Quesería!$B$39)/365-E185*Quesería!$B$42/365)*E176/F176</f>
        <v>1.01552107473577</v>
      </c>
      <c r="G194" s="29" t="n">
        <f aca="false">(G193*(Quesería!$B$38+Quesería!$B$40*Quesería!$B$39)/365-G185*Quesería!$B$42/365)-(F193*(Quesería!$B$38+Quesería!$B$40*Quesería!$B$39)/365-F185*Quesería!$B$42/365)*F176/G176</f>
        <v>1.01552107473577</v>
      </c>
      <c r="H194" s="29" t="n">
        <f aca="false">(H193*(Quesería!$B$38+Quesería!$B$40*Quesería!$B$39)/365-H185*Quesería!$B$42/365)-(G193*(Quesería!$B$38+Quesería!$B$40*Quesería!$B$39)/365-G185*Quesería!$B$42/365)*G176/H176</f>
        <v>1.01552107473577</v>
      </c>
      <c r="I194" s="29" t="n">
        <f aca="false">(I193*(Quesería!$B$38+Quesería!$B$40*Quesería!$B$39)/365-I185*Quesería!$B$42/365)-(H193*(Quesería!$B$38+Quesería!$B$40*Quesería!$B$39)/365-H185*Quesería!$B$42/365)*H176/I176</f>
        <v>1.01552107473577</v>
      </c>
      <c r="J194" s="29" t="n">
        <f aca="false">(J193*(Quesería!$B$38+Quesería!$B$40*Quesería!$B$39)/365-J185*Quesería!$B$42/365)-(I193*(Quesería!$B$38+Quesería!$B$40*Quesería!$B$39)/365-I185*Quesería!$B$42/365)*I176/J176</f>
        <v>1.01552107473577</v>
      </c>
      <c r="K194" s="29" t="n">
        <f aca="false">(K193*(Quesería!$B$38+Quesería!$B$40*Quesería!$B$39)/365-K185*Quesería!$B$42/365)-(J193*(Quesería!$B$38+Quesería!$B$40*Quesería!$B$39)/365-J185*Quesería!$B$42/365)*J176/K176</f>
        <v>1.01552107473577</v>
      </c>
      <c r="L194" s="29" t="n">
        <f aca="false">-(K193*(Quesería!$B$38+Quesería!$B$40*Quesería!$B$39)/365-K185*Quesería!$B$42/365)*K176/L176</f>
        <v>-25.3880268683941</v>
      </c>
    </row>
    <row r="195" customFormat="false" ht="15" hidden="true" customHeight="false" outlineLevel="1" collapsed="false">
      <c r="A195" s="6" t="s">
        <v>421</v>
      </c>
      <c r="B195" s="29" t="n">
        <v>0</v>
      </c>
      <c r="C195" s="29" t="n">
        <v>0</v>
      </c>
      <c r="D195" s="29" t="n">
        <v>0</v>
      </c>
      <c r="E195" s="29" t="n">
        <v>0</v>
      </c>
      <c r="F195" s="29" t="n">
        <v>0</v>
      </c>
      <c r="G195" s="29" t="n">
        <v>0</v>
      </c>
      <c r="H195" s="29" t="n">
        <v>0</v>
      </c>
      <c r="I195" s="29" t="n">
        <v>0</v>
      </c>
      <c r="J195" s="29" t="n">
        <v>0</v>
      </c>
      <c r="K195" s="29" t="n">
        <v>0</v>
      </c>
      <c r="L195" s="29" t="n">
        <f aca="false">$E$8*Quesería!$B$36*(Quesería!$F$94+Quesería!$F$95*$E$21)*$E$11*(1-$E$17)</f>
        <v>67.1237725584543</v>
      </c>
    </row>
    <row r="196" customFormat="false" ht="15" hidden="true" customHeight="false" outlineLevel="1" collapsed="false">
      <c r="A196" s="5" t="s">
        <v>147</v>
      </c>
      <c r="B196" s="59" t="n">
        <f aca="false">B184-B185-B186-B187-B192-B179-B180-B181-B194+B195</f>
        <v>-1032.38631309737</v>
      </c>
      <c r="C196" s="59" t="n">
        <f aca="false">C184-C185-C186-C187-C192-C179-C180-C181-C194+C195</f>
        <v>-506.664871790448</v>
      </c>
      <c r="D196" s="59" t="n">
        <f aca="false">D184-D185-D186-D187-D192-D179-D180-D181-D194+D195</f>
        <v>556.410858145381</v>
      </c>
      <c r="E196" s="59" t="n">
        <f aca="false">E184-E185-E186-E187-E192-E179-E180-E181-E194+E195</f>
        <v>334.518146298773</v>
      </c>
      <c r="F196" s="59" t="n">
        <f aca="false">F184-F185-F186-F187-F192-F179-F180-F181-F194+F195</f>
        <v>337.021171452401</v>
      </c>
      <c r="G196" s="59" t="n">
        <f aca="false">G184-G185-G186-G187-G192-G179-G180-G181-G194+G195</f>
        <v>302.548606368777</v>
      </c>
      <c r="H196" s="59" t="n">
        <f aca="false">H184-H185-H186-H187-H192-H179-H180-H181-H194+H195</f>
        <v>280.908307657918</v>
      </c>
      <c r="I196" s="59" t="n">
        <f aca="false">I184-I185-I186-I187-I192-I179-I180-I181-I194+I195</f>
        <v>341.430651609277</v>
      </c>
      <c r="J196" s="59" t="n">
        <f aca="false">J184-J185-J186-J187-J192-J179-J180-J181-J194+J195</f>
        <v>331.457441554847</v>
      </c>
      <c r="K196" s="59" t="n">
        <f aca="false">K184-K185-K186-K187-K192-K179-K180-K181-K194+K195</f>
        <v>330.025710337702</v>
      </c>
      <c r="L196" s="59" t="n">
        <f aca="false">L184-L185-L186-L187-L192-L179-L180-L181-L194+L195</f>
        <v>422.18532199421</v>
      </c>
    </row>
    <row r="197" customFormat="false" ht="15" hidden="true" customHeight="false" outlineLevel="1" collapsed="false">
      <c r="A197" s="9" t="s">
        <v>422</v>
      </c>
      <c r="B197" s="58" t="n">
        <f aca="false">B196*B176</f>
        <v>-1094.32949188321</v>
      </c>
      <c r="C197" s="58" t="n">
        <f aca="false">C196*C176</f>
        <v>-563.918002302768</v>
      </c>
      <c r="D197" s="58" t="n">
        <f aca="false">D196*D176</f>
        <v>647.15312294602</v>
      </c>
      <c r="E197" s="58" t="n">
        <f aca="false">E196*E176</f>
        <v>404.635959715425</v>
      </c>
      <c r="F197" s="58" t="n">
        <f aca="false">F196*F176</f>
        <v>423.970185565331</v>
      </c>
      <c r="G197" s="58" t="n">
        <f aca="false">G196*G176</f>
        <v>395.828107062799</v>
      </c>
      <c r="H197" s="58" t="n">
        <f aca="false">H196*H176</f>
        <v>382.216468333796</v>
      </c>
      <c r="I197" s="58" t="n">
        <f aca="false">I196*I176</f>
        <v>483.148525168723</v>
      </c>
      <c r="J197" s="58" t="n">
        <f aca="false">J196*J176</f>
        <v>487.797156524052</v>
      </c>
      <c r="K197" s="58" t="n">
        <f aca="false">K196*K176</f>
        <v>505.117720152798</v>
      </c>
      <c r="L197" s="58" t="n">
        <f aca="false">L196*L176</f>
        <v>672.01860907702</v>
      </c>
    </row>
    <row r="198" customFormat="false" ht="15" hidden="true" customHeight="false" outlineLevel="1" collapsed="false">
      <c r="A198" s="6" t="s">
        <v>423</v>
      </c>
      <c r="B198" s="29" t="n">
        <f aca="false">B196</f>
        <v>-1032.38631309737</v>
      </c>
      <c r="C198" s="29" t="n">
        <f aca="false">B198+C196</f>
        <v>-1539.05118488782</v>
      </c>
      <c r="D198" s="29" t="n">
        <f aca="false">C198+D196</f>
        <v>-982.640326742434</v>
      </c>
      <c r="E198" s="29" t="n">
        <f aca="false">D198+E196</f>
        <v>-648.122180443661</v>
      </c>
      <c r="F198" s="29" t="n">
        <f aca="false">E198+F196</f>
        <v>-311.10100899126</v>
      </c>
      <c r="G198" s="29" t="n">
        <f aca="false">F198+G196</f>
        <v>-8.55240262248236</v>
      </c>
      <c r="H198" s="29" t="n">
        <f aca="false">G198+H196</f>
        <v>272.355905035435</v>
      </c>
      <c r="I198" s="29" t="n">
        <f aca="false">H198+I196</f>
        <v>613.786556644712</v>
      </c>
      <c r="J198" s="29" t="n">
        <f aca="false">I198+J196</f>
        <v>945.24399819956</v>
      </c>
      <c r="K198" s="29" t="n">
        <f aca="false">J198+K196</f>
        <v>1275.26970853726</v>
      </c>
      <c r="L198" s="29" t="n">
        <f aca="false">K198+L196</f>
        <v>1697.45503053147</v>
      </c>
    </row>
    <row r="199" customFormat="false" ht="15" hidden="true" customHeight="false" outlineLevel="1" collapsed="false">
      <c r="A199" s="9" t="s">
        <v>424</v>
      </c>
      <c r="B199" s="60" t="n">
        <v>0</v>
      </c>
      <c r="C199" s="60" t="n">
        <f aca="false">IF(AND(B198&lt;0,C198&gt;=0),B$43+(-B198)/C196,0)</f>
        <v>0</v>
      </c>
      <c r="D199" s="60" t="n">
        <f aca="false">IF(AND(C198&lt;0,D198&gt;=0),C$43+(-C198)/D196,0)</f>
        <v>0</v>
      </c>
      <c r="E199" s="60" t="n">
        <f aca="false">IF(AND(D198&lt;0,E198&gt;=0),D$43+(-D198)/E196,0)</f>
        <v>0</v>
      </c>
      <c r="F199" s="60" t="n">
        <f aca="false">IF(AND(E198&lt;0,F198&gt;=0),E$43+(-E198)/F196,0)</f>
        <v>0</v>
      </c>
      <c r="G199" s="60" t="n">
        <f aca="false">IF(AND(F198&lt;0,G198&gt;=0),F$43+(-F198)/G196,0)</f>
        <v>0</v>
      </c>
      <c r="H199" s="60" t="n">
        <f aca="false">IF(AND(G198&lt;0,H198&gt;=0),G$43+(-G198)/H196,0)</f>
        <v>5.03044553111935</v>
      </c>
      <c r="I199" s="60" t="n">
        <f aca="false">IF(AND(H198&lt;0,I198&gt;=0),H$43+(-H198)/I196,0)</f>
        <v>0</v>
      </c>
      <c r="J199" s="60" t="n">
        <f aca="false">IF(AND(I198&lt;0,J198&gt;=0),I$43+(-I198)/J196,0)</f>
        <v>0</v>
      </c>
      <c r="K199" s="60" t="n">
        <f aca="false">IF(AND(J198&lt;0,K198&gt;=0),J$43+(-J198)/K196,0)</f>
        <v>0</v>
      </c>
      <c r="L199" s="60" t="n">
        <f aca="false">IF(AND(K198&lt;0,L198&gt;=0),K$43+(-K198)/L196,0)</f>
        <v>0</v>
      </c>
    </row>
    <row r="200" customFormat="false" ht="15" hidden="true" customHeight="false" outlineLevel="1" collapsed="false">
      <c r="A200" s="9" t="s">
        <v>425</v>
      </c>
      <c r="B200" s="57" t="n">
        <f aca="false">(B176/$B$176)/(1+$E$25)^B$43</f>
        <v>1</v>
      </c>
      <c r="C200" s="57" t="n">
        <f aca="false">(C176/$B$176)/(1+$E$25)^C$43</f>
        <v>0.915373701313561</v>
      </c>
      <c r="D200" s="57" t="n">
        <f aca="false">(D176/$B$176)/(1+$E$25)^D$43</f>
        <v>0.833918970137172</v>
      </c>
      <c r="E200" s="57" t="n">
        <f aca="false">(E176/$B$176)/(1+$E$25)^E$43</f>
        <v>0.756077518153961</v>
      </c>
      <c r="F200" s="57" t="n">
        <f aca="false">(F176/$B$176)/(1+$E$25)^F$43</f>
        <v>0.685502109831871</v>
      </c>
      <c r="G200" s="57" t="n">
        <f aca="false">(G176/$B$176)/(1+$E$25)^G$43</f>
        <v>0.621514502549008</v>
      </c>
      <c r="H200" s="57" t="n">
        <f aca="false">(H176/$B$176)/(1+$E$25)^H$43</f>
        <v>0.563499763660072</v>
      </c>
      <c r="I200" s="57" t="n">
        <f aca="false">(I176/$B$176)/(1+$E$25)^I$43</f>
        <v>0.510900360880829</v>
      </c>
      <c r="J200" s="57" t="n">
        <f aca="false">(J176/$B$176)/(1+$E$25)^J$43</f>
        <v>0.463210804300567</v>
      </c>
      <c r="K200" s="57" t="n">
        <f aca="false">(K176/$B$176)/(1+$E$25)^K$43</f>
        <v>0.419972788531318</v>
      </c>
      <c r="L200" s="57" t="n">
        <f aca="false">(L176/$B$176)/(1+$E$25)^L$43</f>
        <v>0.380770788308996</v>
      </c>
    </row>
    <row r="201" customFormat="false" ht="15" hidden="true" customHeight="false" outlineLevel="1" collapsed="false">
      <c r="A201" s="9" t="s">
        <v>426</v>
      </c>
      <c r="B201" s="58" t="n">
        <f aca="false">B196*B200</f>
        <v>-1032.38631309737</v>
      </c>
      <c r="C201" s="58" t="n">
        <f aca="false">C196*C200</f>
        <v>-463.787699016383</v>
      </c>
      <c r="D201" s="58" t="n">
        <f aca="false">D196*D200</f>
        <v>464.001569797736</v>
      </c>
      <c r="E201" s="58" t="n">
        <f aca="false">E196*E200</f>
        <v>252.92164983104</v>
      </c>
      <c r="F201" s="58" t="n">
        <f aca="false">F196*F200</f>
        <v>231.02872408863</v>
      </c>
      <c r="G201" s="58" t="n">
        <f aca="false">G196*G200</f>
        <v>188.038346584186</v>
      </c>
      <c r="H201" s="58" t="n">
        <f aca="false">H196*H200</f>
        <v>158.291764975387</v>
      </c>
      <c r="I201" s="58" t="n">
        <f aca="false">I196*I200</f>
        <v>174.437043122956</v>
      </c>
      <c r="J201" s="58" t="n">
        <f aca="false">J196*J200</f>
        <v>153.534668094029</v>
      </c>
      <c r="K201" s="58" t="n">
        <f aca="false">K196*K200</f>
        <v>138.601817857554</v>
      </c>
      <c r="L201" s="58" t="n">
        <f aca="false">L196*L200</f>
        <v>160.755837868223</v>
      </c>
    </row>
    <row r="202" customFormat="false" ht="15" hidden="true" customHeight="false" outlineLevel="1" collapsed="false">
      <c r="A202" s="9" t="s">
        <v>427</v>
      </c>
      <c r="B202" s="58" t="n">
        <f aca="false">B201</f>
        <v>-1032.38631309737</v>
      </c>
      <c r="C202" s="58" t="n">
        <f aca="false">B202+C201</f>
        <v>-1496.17401211375</v>
      </c>
      <c r="D202" s="58" t="n">
        <f aca="false">C202+D201</f>
        <v>-1032.17244231601</v>
      </c>
      <c r="E202" s="58" t="n">
        <f aca="false">D202+E201</f>
        <v>-779.250792484974</v>
      </c>
      <c r="F202" s="58" t="n">
        <f aca="false">E202+F201</f>
        <v>-548.222068396344</v>
      </c>
      <c r="G202" s="58" t="n">
        <f aca="false">F202+G201</f>
        <v>-360.183721812158</v>
      </c>
      <c r="H202" s="58" t="n">
        <f aca="false">G202+H201</f>
        <v>-201.89195683677</v>
      </c>
      <c r="I202" s="58" t="n">
        <f aca="false">H202+I201</f>
        <v>-27.4549137138141</v>
      </c>
      <c r="J202" s="58" t="n">
        <f aca="false">I202+J201</f>
        <v>126.079754380215</v>
      </c>
      <c r="K202" s="58" t="n">
        <f aca="false">J202+K201</f>
        <v>264.681572237769</v>
      </c>
      <c r="L202" s="58" t="n">
        <f aca="false">K202+L201</f>
        <v>425.437410105991</v>
      </c>
    </row>
    <row r="203" customFormat="false" ht="15" hidden="true" customHeight="false" outlineLevel="1" collapsed="false">
      <c r="A203" s="9" t="s">
        <v>428</v>
      </c>
      <c r="B203" s="60" t="n">
        <v>0</v>
      </c>
      <c r="C203" s="60" t="n">
        <f aca="false">IF(AND(B202&lt;0,C202&gt;=0),B$43+(-B202)/C201,0)</f>
        <v>0</v>
      </c>
      <c r="D203" s="60" t="n">
        <f aca="false">IF(AND(C202&lt;0,D202&gt;=0),C$43+(-C202)/D201,0)</f>
        <v>0</v>
      </c>
      <c r="E203" s="60" t="n">
        <f aca="false">IF(AND(D202&lt;0,E202&gt;=0),D$43+(-D202)/E201,0)</f>
        <v>0</v>
      </c>
      <c r="F203" s="60" t="n">
        <f aca="false">IF(AND(E202&lt;0,F202&gt;=0),E$43+(-E202)/F201,0)</f>
        <v>0</v>
      </c>
      <c r="G203" s="60" t="n">
        <f aca="false">IF(AND(F202&lt;0,G202&gt;=0),F$43+(-F202)/G201,0)</f>
        <v>0</v>
      </c>
      <c r="H203" s="60" t="n">
        <f aca="false">IF(AND(G202&lt;0,H202&gt;=0),G$43+(-G202)/H201,0)</f>
        <v>0</v>
      </c>
      <c r="I203" s="60" t="n">
        <f aca="false">IF(AND(H202&lt;0,I202&gt;=0),H$43+(-H202)/I201,0)</f>
        <v>0</v>
      </c>
      <c r="J203" s="60" t="n">
        <f aca="false">IF(AND(I202&lt;0,J202&gt;=0),I$43+(-I202)/J201,0)</f>
        <v>7.17881898632171</v>
      </c>
      <c r="K203" s="60" t="n">
        <f aca="false">IF(AND(J202&lt;0,K202&gt;=0),J$43+(-J202)/K201,0)</f>
        <v>0</v>
      </c>
      <c r="L203" s="60" t="n">
        <f aca="false">IF(AND(K202&lt;0,L202&gt;=0),K$43+(-K202)/L201,0)</f>
        <v>0</v>
      </c>
    </row>
    <row r="204" customFormat="false" ht="15" hidden="true" customHeight="false" outlineLevel="1" collapsed="false">
      <c r="A204" s="9" t="s">
        <v>429</v>
      </c>
      <c r="B204" s="58" t="n">
        <f aca="false">IF(B$43&lt;0,0,(Quesería!$B$44*$B$179*$B$176)*(1-MAX(0,MIN(B$43-0-Quesería!$B$47,(Quesería!$B$46-Quesería!$B$47)))/(Quesería!$B$46-Quesería!$B$47))*IF(B$43&gt;=2,1-Quesería!$B$48,1))+IF(B$43&lt;1,0,(Quesería!$B$44*$C$179*$C$176)*(1-MAX(0,MIN(B$43-1-Quesería!$B$47,(Quesería!$B$46-Quesería!$B$47)))/(Quesería!$B$46-Quesería!$B$47))*IF(B$43&gt;=2,1-Quesería!$B$48,1))</f>
        <v>641.321364968425</v>
      </c>
      <c r="C204" s="58" t="n">
        <f aca="false">IF(C$43&lt;0,0,(Quesería!$B$44*$B$179*$B$176)*(1-MAX(0,MIN(C$43-0-Quesería!$B$47,(Quesería!$B$46-Quesería!$B$47)))/(Quesería!$B$46-Quesería!$B$47))*IF(C$43&gt;=2,1-Quesería!$B$48,1))+IF(C$43&lt;1,0,(Quesería!$B$44*$C$179*$C$176)*(1-MAX(0,MIN(C$43-1-Quesería!$B$47,(Quesería!$B$46-Quesería!$B$47)))/(Quesería!$B$46-Quesería!$B$47))*IF(C$43&gt;=2,1-Quesería!$B$48,1))</f>
        <v>1190.03581125409</v>
      </c>
      <c r="D204" s="58" t="n">
        <f aca="false">IF(D$43&lt;0,0,(Quesería!$B$44*$B$179*$B$176)*(1-MAX(0,MIN(D$43-0-Quesería!$B$47,(Quesería!$B$46-Quesería!$B$47)))/(Quesería!$B$46-Quesería!$B$47))*IF(D$43&gt;=2,1-Quesería!$B$48,1))+IF(D$43&lt;1,0,(Quesería!$B$44*$C$179*$C$176)*(1-MAX(0,MIN(D$43-1-Quesería!$B$47,(Quesería!$B$46-Quesería!$B$47)))/(Quesería!$B$46-Quesería!$B$47))*IF(D$43&gt;=2,1-Quesería!$B$48,1))</f>
        <v>1083.14891709269</v>
      </c>
      <c r="E204" s="58" t="n">
        <f aca="false">IF(E$43&lt;0,0,(Quesería!$B$44*$B$179*$B$176)*(1-MAX(0,MIN(E$43-0-Quesería!$B$47,(Quesería!$B$46-Quesería!$B$47)))/(Quesería!$B$46-Quesería!$B$47))*IF(E$43&gt;=2,1-Quesería!$B$48,1))+IF(E$43&lt;1,0,(Quesería!$B$44*$C$179*$C$176)*(1-MAX(0,MIN(E$43-1-Quesería!$B$47,(Quesería!$B$46-Quesería!$B$47)))/(Quesería!$B$46-Quesería!$B$47))*IF(E$43&gt;=2,1-Quesería!$B$48,1))</f>
        <v>884.809615217005</v>
      </c>
      <c r="F204" s="58" t="n">
        <f aca="false">IF(F$43&lt;0,0,(Quesería!$B$44*$B$179*$B$176)*(1-MAX(0,MIN(F$43-0-Quesería!$B$47,(Quesería!$B$46-Quesería!$B$47)))/(Quesería!$B$46-Quesería!$B$47))*IF(F$43&gt;=2,1-Quesería!$B$48,1))+IF(F$43&lt;1,0,(Quesería!$B$44*$C$179*$C$176)*(1-MAX(0,MIN(F$43-1-Quesería!$B$47,(Quesería!$B$46-Quesería!$B$47)))/(Quesería!$B$46-Quesería!$B$47))*IF(F$43&gt;=2,1-Quesería!$B$48,1))</f>
        <v>686.470313341323</v>
      </c>
      <c r="G204" s="58" t="n">
        <f aca="false">IF(G$43&lt;0,0,(Quesería!$B$44*$B$179*$B$176)*(1-MAX(0,MIN(G$43-0-Quesería!$B$47,(Quesería!$B$46-Quesería!$B$47)))/(Quesería!$B$46-Quesería!$B$47))*IF(G$43&gt;=2,1-Quesería!$B$48,1))+IF(G$43&lt;1,0,(Quesería!$B$44*$C$179*$C$176)*(1-MAX(0,MIN(G$43-1-Quesería!$B$47,(Quesería!$B$46-Quesería!$B$47)))/(Quesería!$B$46-Quesería!$B$47))*IF(G$43&gt;=2,1-Quesería!$B$48,1))</f>
        <v>488.131011465641</v>
      </c>
      <c r="H204" s="58" t="n">
        <f aca="false">IF(H$43&lt;0,0,(Quesería!$B$44*$B$179*$B$176)*(1-MAX(0,MIN(H$43-0-Quesería!$B$47,(Quesería!$B$46-Quesería!$B$47)))/(Quesería!$B$46-Quesería!$B$47))*IF(H$43&gt;=2,1-Quesería!$B$48,1))+IF(H$43&lt;1,0,(Quesería!$B$44*$C$179*$C$176)*(1-MAX(0,MIN(H$43-1-Quesería!$B$47,(Quesería!$B$46-Quesería!$B$47)))/(Quesería!$B$46-Quesería!$B$47))*IF(H$43&gt;=2,1-Quesería!$B$48,1))</f>
        <v>289.79170958996</v>
      </c>
      <c r="I204" s="58" t="n">
        <f aca="false">IF(I$43&lt;0,0,(Quesería!$B$44*$B$179*$B$176)*(1-MAX(0,MIN(I$43-0-Quesería!$B$47,(Quesería!$B$46-Quesería!$B$47)))/(Quesería!$B$46-Quesería!$B$47))*IF(I$43&gt;=2,1-Quesería!$B$48,1))+IF(I$43&lt;1,0,(Quesería!$B$44*$C$179*$C$176)*(1-MAX(0,MIN(I$43-1-Quesería!$B$47,(Quesería!$B$46-Quesería!$B$47)))/(Quesería!$B$46-Quesería!$B$47))*IF(I$43&gt;=2,1-Quesería!$B$48,1))</f>
        <v>91.4524077142776</v>
      </c>
      <c r="J204" s="58" t="n">
        <f aca="false">IF(J$43&lt;0,0,(Quesería!$B$44*$B$179*$B$176)*(1-MAX(0,MIN(J$43-0-Quesería!$B$47,(Quesería!$B$46-Quesería!$B$47)))/(Quesería!$B$46-Quesería!$B$47))*IF(J$43&gt;=2,1-Quesería!$B$48,1))+IF(J$43&lt;1,0,(Quesería!$B$44*$C$179*$C$176)*(1-MAX(0,MIN(J$43-1-Quesería!$B$47,(Quesería!$B$46-Quesería!$B$47)))/(Quesería!$B$46-Quesería!$B$47))*IF(J$43&gt;=2,1-Quesería!$B$48,1))</f>
        <v>0</v>
      </c>
      <c r="K204" s="58" t="n">
        <f aca="false">IF(K$43&lt;0,0,(Quesería!$B$44*$B$179*$B$176)*(1-MAX(0,MIN(K$43-0-Quesería!$B$47,(Quesería!$B$46-Quesería!$B$47)))/(Quesería!$B$46-Quesería!$B$47))*IF(K$43&gt;=2,1-Quesería!$B$48,1))+IF(K$43&lt;1,0,(Quesería!$B$44*$C$179*$C$176)*(1-MAX(0,MIN(K$43-1-Quesería!$B$47,(Quesería!$B$46-Quesería!$B$47)))/(Quesería!$B$46-Quesería!$B$47))*IF(K$43&gt;=2,1-Quesería!$B$48,1))</f>
        <v>0</v>
      </c>
      <c r="L204" s="58" t="n">
        <f aca="false">IF(L$43&lt;0,0,(Quesería!$B$44*$B$179*$B$176)*(1-MAX(0,MIN(L$43-0-Quesería!$B$47,(Quesería!$B$46-Quesería!$B$47)))/(Quesería!$B$46-Quesería!$B$47))*IF(L$43&gt;=2,1-Quesería!$B$48,1))+IF(L$43&lt;1,0,(Quesería!$B$44*$C$179*$C$176)*(1-MAX(0,MIN(L$43-1-Quesería!$B$47,(Quesería!$B$46-Quesería!$B$47)))/(Quesería!$B$46-Quesería!$B$47))*IF(L$43&gt;=2,1-Quesería!$B$48,1))</f>
        <v>0</v>
      </c>
    </row>
    <row r="205" customFormat="false" ht="15" hidden="true" customHeight="false" outlineLevel="1" collapsed="false">
      <c r="A205" s="6" t="s">
        <v>430</v>
      </c>
      <c r="B205" s="29" t="n">
        <f aca="false">Quesería!$B$44*B179</f>
        <v>605.02015563059</v>
      </c>
      <c r="C205" s="29" t="n">
        <f aca="false">Quesería!$B$44*C179</f>
        <v>493.004893338424</v>
      </c>
      <c r="D205" s="29" t="n">
        <f aca="false">Quesería!$B$44*D179</f>
        <v>0</v>
      </c>
      <c r="E205" s="29" t="n">
        <f aca="false">Quesería!$B$44*E179</f>
        <v>0</v>
      </c>
      <c r="F205" s="29" t="n">
        <f aca="false">Quesería!$B$44*F179</f>
        <v>0</v>
      </c>
      <c r="G205" s="29" t="n">
        <f aca="false">Quesería!$B$44*G179</f>
        <v>0</v>
      </c>
      <c r="H205" s="29" t="n">
        <f aca="false">Quesería!$B$44*H179</f>
        <v>0</v>
      </c>
      <c r="I205" s="29" t="n">
        <f aca="false">Quesería!$B$44*I179</f>
        <v>0</v>
      </c>
      <c r="J205" s="29" t="n">
        <f aca="false">Quesería!$B$44*J179</f>
        <v>0</v>
      </c>
      <c r="K205" s="29" t="n">
        <f aca="false">Quesería!$B$44*K179</f>
        <v>0</v>
      </c>
      <c r="L205" s="29" t="n">
        <f aca="false">Quesería!$B$44*L179</f>
        <v>0</v>
      </c>
    </row>
    <row r="206" customFormat="false" ht="15" hidden="true" customHeight="false" outlineLevel="1" collapsed="false">
      <c r="A206" s="6" t="s">
        <v>431</v>
      </c>
      <c r="B206" s="29" t="n">
        <f aca="false">(IF(AND(B$43&gt;0,B$43&lt;=0+Quesería!$B$46),($E$14+$E$24)*(Quesería!$B$44*$B$179*$B$176)*(1-MAX(0,MIN((B$43-1)-0-Quesería!$B$47,(Quesería!$B$46-Quesería!$B$47)))/(Quesería!$B$46-Quesería!$B$47))*IF(B$43&gt;2,1-Quesería!$B$48,1),0)+IF(AND(B$43&gt;1,B$43&lt;=1+Quesería!$B$46),($E$14+$E$24)*(Quesería!$B$44*$C$179*$C$176)*(1-MAX(0,MIN((B$43-1)-1-Quesería!$B$47,(Quesería!$B$46-Quesería!$B$47)))/(Quesería!$B$46-Quesería!$B$47))*IF(B$43&gt;2,1-Quesería!$B$48,1),0))*B178</f>
        <v>0</v>
      </c>
      <c r="C206" s="29" t="n">
        <f aca="false">(IF(AND(C$43&gt;0,C$43&lt;=0+Quesería!$B$46),($E$14+$E$24)*(Quesería!$B$44*$B$179*$B$176)*(1-MAX(0,MIN((C$43-1)-0-Quesería!$B$47,(Quesería!$B$46-Quesería!$B$47)))/(Quesería!$B$46-Quesería!$B$47))*IF(C$43&gt;2,1-Quesería!$B$48,1),0)+IF(AND(C$43&gt;1,C$43&lt;=1+Quesería!$B$46),($E$14+$E$24)*(Quesería!$B$44*$C$179*$C$176)*(1-MAX(0,MIN((C$43-1)-1-Quesería!$B$47,(Quesería!$B$46-Quesería!$B$47)))/(Quesería!$B$46-Quesería!$B$47))*IF(C$43&gt;2,1-Quesería!$B$48,1),0))*C178</f>
        <v>81.2455637561078</v>
      </c>
      <c r="D206" s="29" t="n">
        <f aca="false">(IF(AND(D$43&gt;0,D$43&lt;=0+Quesería!$B$46),($E$14+$E$24)*(Quesería!$B$44*$B$179*$B$176)*(1-MAX(0,MIN((D$43-1)-0-Quesería!$B$47,(Quesería!$B$46-Quesería!$B$47)))/(Quesería!$B$46-Quesería!$B$47))*IF(D$43&gt;2,1-Quesería!$B$48,1),0)+IF(AND(D$43&gt;1,D$43&lt;=1+Quesería!$B$46),($E$14+$E$24)*(Quesería!$B$44*$C$179*$C$176)*(1-MAX(0,MIN((D$43-1)-1-Quesería!$B$47,(Quesería!$B$46-Quesería!$B$47)))/(Quesería!$B$46-Quesería!$B$47))*IF(D$43&gt;2,1-Quesería!$B$48,1),0))*D178</f>
        <v>144.267228437154</v>
      </c>
      <c r="E206" s="29" t="n">
        <f aca="false">(IF(AND(E$43&gt;0,E$43&lt;=0+Quesería!$B$46),($E$14+$E$24)*(Quesería!$B$44*$B$179*$B$176)*(1-MAX(0,MIN((E$43-1)-0-Quesería!$B$47,(Quesería!$B$46-Quesería!$B$47)))/(Quesería!$B$46-Quesería!$B$47))*IF(E$43&gt;2,1-Quesería!$B$48,1),0)+IF(AND(E$43&gt;1,E$43&lt;=1+Quesería!$B$46),($E$14+$E$24)*(Quesería!$B$44*$C$179*$C$176)*(1-MAX(0,MIN((E$43-1)-1-Quesería!$B$47,(Quesería!$B$46-Quesería!$B$47)))/(Quesería!$B$46-Quesería!$B$47))*IF(E$43&gt;2,1-Quesería!$B$48,1),0))*E178</f>
        <v>126.259041612202</v>
      </c>
      <c r="F206" s="29" t="n">
        <f aca="false">(IF(AND(F$43&gt;0,F$43&lt;=0+Quesería!$B$46),($E$14+$E$24)*(Quesería!$B$44*$B$179*$B$176)*(1-MAX(0,MIN((F$43-1)-0-Quesería!$B$47,(Quesería!$B$46-Quesería!$B$47)))/(Quesería!$B$46-Quesería!$B$47))*IF(F$43&gt;2,1-Quesería!$B$48,1),0)+IF(AND(F$43&gt;1,F$43&lt;=1+Quesería!$B$46),($E$14+$E$24)*(Quesería!$B$44*$C$179*$C$176)*(1-MAX(0,MIN((F$43-1)-1-Quesería!$B$47,(Quesería!$B$46-Quesería!$B$47)))/(Quesería!$B$46-Quesería!$B$47))*IF(F$43&gt;2,1-Quesería!$B$48,1),0))*F178</f>
        <v>99.1723975627135</v>
      </c>
      <c r="G206" s="29" t="n">
        <f aca="false">(IF(AND(G$43&gt;0,G$43&lt;=0+Quesería!$B$46),($E$14+$E$24)*(Quesería!$B$44*$B$179*$B$176)*(1-MAX(0,MIN((G$43-1)-0-Quesería!$B$47,(Quesería!$B$46-Quesería!$B$47)))/(Quesería!$B$46-Quesería!$B$47))*IF(G$43&gt;2,1-Quesería!$B$48,1),0)+IF(AND(G$43&gt;1,G$43&lt;=1+Quesería!$B$46),($E$14+$E$24)*(Quesería!$B$44*$C$179*$C$176)*(1-MAX(0,MIN((G$43-1)-1-Quesería!$B$47,(Quesería!$B$46-Quesería!$B$47)))/(Quesería!$B$46-Quesería!$B$47))*IF(G$43&gt;2,1-Quesería!$B$48,1),0))*G178</f>
        <v>73.9825677868365</v>
      </c>
      <c r="H206" s="29" t="n">
        <f aca="false">(IF(AND(H$43&gt;0,H$43&lt;=0+Quesería!$B$46),($E$14+$E$24)*(Quesería!$B$44*$B$179*$B$176)*(1-MAX(0,MIN((H$43-1)-0-Quesería!$B$47,(Quesería!$B$46-Quesería!$B$47)))/(Quesería!$B$46-Quesería!$B$47))*IF(H$43&gt;2,1-Quesería!$B$48,1),0)+IF(AND(H$43&gt;1,H$43&lt;=1+Quesería!$B$46),($E$14+$E$24)*(Quesería!$B$44*$C$179*$C$176)*(1-MAX(0,MIN((H$43-1)-1-Quesería!$B$47,(Quesería!$B$46-Quesería!$B$47)))/(Quesería!$B$46-Quesería!$B$47))*IF(H$43&gt;2,1-Quesería!$B$48,1),0))*H178</f>
        <v>50.583712494366</v>
      </c>
      <c r="I206" s="29" t="n">
        <f aca="false">(IF(AND(I$43&gt;0,I$43&lt;=0+Quesería!$B$46),($E$14+$E$24)*(Quesería!$B$44*$B$179*$B$176)*(1-MAX(0,MIN((I$43-1)-0-Quesería!$B$47,(Quesería!$B$46-Quesería!$B$47)))/(Quesería!$B$46-Quesería!$B$47))*IF(I$43&gt;2,1-Quesería!$B$48,1),0)+IF(AND(I$43&gt;1,I$43&lt;=1+Quesería!$B$46),($E$14+$E$24)*(Quesería!$B$44*$C$179*$C$176)*(1-MAX(0,MIN((I$43-1)-1-Quesería!$B$47,(Quesería!$B$46-Quesería!$B$47)))/(Quesería!$B$46-Quesería!$B$47))*IF(I$43&gt;2,1-Quesería!$B$48,1),0))*I178</f>
        <v>28.8753274791465</v>
      </c>
      <c r="J206" s="29" t="n">
        <f aca="false">(IF(AND(J$43&gt;0,J$43&lt;=0+Quesería!$B$46),($E$14+$E$24)*(Quesería!$B$44*$B$179*$B$176)*(1-MAX(0,MIN((J$43-1)-0-Quesería!$B$47,(Quesería!$B$46-Quesería!$B$47)))/(Quesería!$B$46-Quesería!$B$47))*IF(J$43&gt;2,1-Quesería!$B$48,1),0)+IF(AND(J$43&gt;1,J$43&lt;=1+Quesería!$B$46),($E$14+$E$24)*(Quesería!$B$44*$C$179*$C$176)*(1-MAX(0,MIN((J$43-1)-1-Quesería!$B$47,(Quesería!$B$46-Quesería!$B$47)))/(Quesería!$B$46-Quesería!$B$47))*IF(J$43&gt;2,1-Quesería!$B$48,1),0))*J178</f>
        <v>8.76199025726588</v>
      </c>
      <c r="K206" s="29" t="n">
        <f aca="false">(IF(AND(K$43&gt;0,K$43&lt;=0+Quesería!$B$46),($E$14+$E$24)*(Quesería!$B$44*$B$179*$B$176)*(1-MAX(0,MIN((K$43-1)-0-Quesería!$B$47,(Quesería!$B$46-Quesería!$B$47)))/(Quesería!$B$46-Quesería!$B$47))*IF(K$43&gt;2,1-Quesería!$B$48,1),0)+IF(AND(K$43&gt;1,K$43&lt;=1+Quesería!$B$46),($E$14+$E$24)*(Quesería!$B$44*$C$179*$C$176)*(1-MAX(0,MIN((K$43-1)-1-Quesería!$B$47,(Quesería!$B$46-Quesería!$B$47)))/(Quesería!$B$46-Quesería!$B$47))*IF(K$43&gt;2,1-Quesería!$B$48,1),0))*K178</f>
        <v>0</v>
      </c>
      <c r="L206" s="29" t="n">
        <f aca="false">(IF(AND(L$43&gt;0,L$43&lt;=0+Quesería!$B$46),($E$14+$E$24)*(Quesería!$B$44*$B$179*$B$176)*(1-MAX(0,MIN((L$43-1)-0-Quesería!$B$47,(Quesería!$B$46-Quesería!$B$47)))/(Quesería!$B$46-Quesería!$B$47))*IF(L$43&gt;2,1-Quesería!$B$48,1),0)+IF(AND(L$43&gt;1,L$43&lt;=1+Quesería!$B$46),($E$14+$E$24)*(Quesería!$B$44*$C$179*$C$176)*(1-MAX(0,MIN((L$43-1)-1-Quesería!$B$47,(Quesería!$B$46-Quesería!$B$47)))/(Quesería!$B$46-Quesería!$B$47))*IF(L$43&gt;2,1-Quesería!$B$48,1),0))*L178</f>
        <v>0</v>
      </c>
    </row>
    <row r="207" customFormat="false" ht="15" hidden="true" customHeight="false" outlineLevel="1" collapsed="false">
      <c r="A207" s="6" t="s">
        <v>432</v>
      </c>
      <c r="B207" s="29" t="n">
        <f aca="false">((IF(AND(B$43&gt;0+Quesería!$B$47,B$43&lt;=0+Quesería!$B$46),(Quesería!$B$44*$B$179*$B$176)/(Quesería!$B$46-Quesería!$B$47),0)*IF(B$43&gt;2,1-Quesería!$B$48,1)+IF(B$43=2,Quesería!$B$48*(Quesería!$B$44*$B$179*$B$176)*(1-MAX(0,MIN(2-0-Quesería!$B$47,(Quesería!$B$46-Quesería!$B$47)))/(Quesería!$B$46-Quesería!$B$47)),0))+(IF(AND(B$43&gt;1+Quesería!$B$47,B$43&lt;=1+Quesería!$B$46),(Quesería!$B$44*$C$179*$C$176)/(Quesería!$B$46-Quesería!$B$47),0)*IF(B$43&gt;2,1-Quesería!$B$48,1)+IF(B$43=2,Quesería!$B$48*(Quesería!$B$44*$C$179*$C$176)*(1-MAX(0,MIN(2-1-Quesería!$B$47,(Quesería!$B$46-Quesería!$B$47)))/(Quesería!$B$46-Quesería!$B$47)),0)))*B178</f>
        <v>0</v>
      </c>
      <c r="C207" s="29" t="n">
        <f aca="false">((IF(AND(C$43&gt;0+Quesería!$B$47,C$43&lt;=0+Quesería!$B$46),(Quesería!$B$44*$B$179*$B$176)/(Quesería!$B$46-Quesería!$B$47),0)*IF(C$43&gt;2,1-Quesería!$B$48,1)+IF(C$43=2,Quesería!$B$48*(Quesería!$B$44*$B$179*$B$176)*(1-MAX(0,MIN(2-0-Quesería!$B$47,(Quesería!$B$46-Quesería!$B$47)))/(Quesería!$B$46-Quesería!$B$47)),0))+(IF(AND(C$43&gt;1+Quesería!$B$47,C$43&lt;=1+Quesería!$B$46),(Quesería!$B$44*$C$179*$C$176)/(Quesería!$B$46-Quesería!$B$47),0)*IF(C$43&gt;2,1-Quesería!$B$48,1)+IF(C$43=2,Quesería!$B$48*(Quesería!$B$44*$C$179*$C$176)*(1-MAX(0,MIN(2-1-Quesería!$B$47,(Quesería!$B$46-Quesería!$B$47)))/(Quesería!$B$46-Quesería!$B$47)),0)))*C178</f>
        <v>0</v>
      </c>
      <c r="D207" s="29" t="n">
        <f aca="false">((IF(AND(D$43&gt;0+Quesería!$B$47,D$43&lt;=0+Quesería!$B$46),(Quesería!$B$44*$B$179*$B$176)/(Quesería!$B$46-Quesería!$B$47),0)*IF(D$43&gt;2,1-Quesería!$B$48,1)+IF(D$43=2,Quesería!$B$48*(Quesería!$B$44*$B$179*$B$176)*(1-MAX(0,MIN(2-0-Quesería!$B$47,(Quesería!$B$46-Quesería!$B$47)))/(Quesería!$B$46-Quesería!$B$47)),0))+(IF(AND(D$43&gt;1+Quesería!$B$47,D$43&lt;=1+Quesería!$B$46),(Quesería!$B$44*$C$179*$C$176)/(Quesería!$B$46-Quesería!$B$47),0)*IF(D$43&gt;2,1-Quesería!$B$48,1)+IF(D$43=2,Quesería!$B$48*(Quesería!$B$44*$C$179*$C$176)*(1-MAX(0,MIN(2-1-Quesería!$B$47,(Quesería!$B$46-Quesería!$B$47)))/(Quesería!$B$46-Quesería!$B$47)),0)))*D178</f>
        <v>91.8994692231472</v>
      </c>
      <c r="E207" s="29" t="n">
        <f aca="false">((IF(AND(E$43&gt;0+Quesería!$B$47,E$43&lt;=0+Quesería!$B$46),(Quesería!$B$44*$B$179*$B$176)/(Quesería!$B$46-Quesería!$B$47),0)*IF(E$43&gt;2,1-Quesería!$B$48,1)+IF(E$43=2,Quesería!$B$48*(Quesería!$B$44*$B$179*$B$176)*(1-MAX(0,MIN(2-0-Quesería!$B$47,(Quesería!$B$46-Quesería!$B$47)))/(Quesería!$B$46-Quesería!$B$47)),0))+(IF(AND(E$43&gt;1+Quesería!$B$47,E$43&lt;=1+Quesería!$B$46),(Quesería!$B$44*$C$179*$C$176)/(Quesería!$B$46-Quesería!$B$47),0)*IF(E$43&gt;2,1-Quesería!$B$48,1)+IF(E$43=2,Quesería!$B$48*(Quesería!$B$44*$C$179*$C$176)*(1-MAX(0,MIN(2-1-Quesería!$B$47,(Quesería!$B$46-Quesería!$B$47)))/(Quesería!$B$46-Quesería!$B$47)),0)))*E178</f>
        <v>163.969845014041</v>
      </c>
      <c r="F207" s="29" t="n">
        <f aca="false">((IF(AND(F$43&gt;0+Quesería!$B$47,F$43&lt;=0+Quesería!$B$46),(Quesería!$B$44*$B$179*$B$176)/(Quesería!$B$46-Quesería!$B$47),0)*IF(F$43&gt;2,1-Quesería!$B$48,1)+IF(F$43=2,Quesería!$B$48*(Quesería!$B$44*$B$179*$B$176)*(1-MAX(0,MIN(2-0-Quesería!$B$47,(Quesería!$B$46-Quesería!$B$47)))/(Quesería!$B$46-Quesería!$B$47)),0))+(IF(AND(F$43&gt;1+Quesería!$B$47,F$43&lt;=1+Quesería!$B$46),(Quesería!$B$44*$C$179*$C$176)/(Quesería!$B$46-Quesería!$B$47),0)*IF(F$43&gt;2,1-Quesería!$B$48,1)+IF(F$43=2,Quesería!$B$48*(Quesería!$B$44*$C$179*$C$176)*(1-MAX(0,MIN(2-1-Quesería!$B$47,(Quesería!$B$46-Quesería!$B$47)))/(Quesería!$B$46-Quesería!$B$47)),0)))*F178</f>
        <v>157.663312513501</v>
      </c>
      <c r="G207" s="29" t="n">
        <f aca="false">((IF(AND(G$43&gt;0+Quesería!$B$47,G$43&lt;=0+Quesería!$B$46),(Quesería!$B$44*$B$179*$B$176)/(Quesería!$B$46-Quesería!$B$47),0)*IF(G$43&gt;2,1-Quesería!$B$48,1)+IF(G$43=2,Quesería!$B$48*(Quesería!$B$44*$B$179*$B$176)*(1-MAX(0,MIN(2-0-Quesería!$B$47,(Quesería!$B$46-Quesería!$B$47)))/(Quesería!$B$46-Quesería!$B$47)),0))+(IF(AND(G$43&gt;1+Quesería!$B$47,G$43&lt;=1+Quesería!$B$46),(Quesería!$B$44*$C$179*$C$176)/(Quesería!$B$46-Quesería!$B$47),0)*IF(G$43&gt;2,1-Quesería!$B$48,1)+IF(G$43=2,Quesería!$B$48*(Quesería!$B$44*$C$179*$C$176)*(1-MAX(0,MIN(2-1-Quesería!$B$47,(Quesería!$B$46-Quesería!$B$47)))/(Quesería!$B$46-Quesería!$B$47)),0)))*G178</f>
        <v>151.599338955289</v>
      </c>
      <c r="H207" s="29" t="n">
        <f aca="false">((IF(AND(H$43&gt;0+Quesería!$B$47,H$43&lt;=0+Quesería!$B$46),(Quesería!$B$44*$B$179*$B$176)/(Quesería!$B$46-Quesería!$B$47),0)*IF(H$43&gt;2,1-Quesería!$B$48,1)+IF(H$43=2,Quesería!$B$48*(Quesería!$B$44*$B$179*$B$176)*(1-MAX(0,MIN(2-0-Quesería!$B$47,(Quesería!$B$46-Quesería!$B$47)))/(Quesería!$B$46-Quesería!$B$47)),0))+(IF(AND(H$43&gt;1+Quesería!$B$47,H$43&lt;=1+Quesería!$B$46),(Quesería!$B$44*$C$179*$C$176)/(Quesería!$B$46-Quesería!$B$47),0)*IF(H$43&gt;2,1-Quesería!$B$48,1)+IF(H$43=2,Quesería!$B$48*(Quesería!$B$44*$C$179*$C$176)*(1-MAX(0,MIN(2-1-Quesería!$B$47,(Quesería!$B$46-Quesería!$B$47)))/(Quesería!$B$46-Quesería!$B$47)),0)))*H178</f>
        <v>145.768595149317</v>
      </c>
      <c r="I207" s="29" t="n">
        <f aca="false">((IF(AND(I$43&gt;0+Quesería!$B$47,I$43&lt;=0+Quesería!$B$46),(Quesería!$B$44*$B$179*$B$176)/(Quesería!$B$46-Quesería!$B$47),0)*IF(I$43&gt;2,1-Quesería!$B$48,1)+IF(I$43=2,Quesería!$B$48*(Quesería!$B$44*$B$179*$B$176)*(1-MAX(0,MIN(2-0-Quesería!$B$47,(Quesería!$B$46-Quesería!$B$47)))/(Quesería!$B$46-Quesería!$B$47)),0))+(IF(AND(I$43&gt;1+Quesería!$B$47,I$43&lt;=1+Quesería!$B$46),(Quesería!$B$44*$C$179*$C$176)/(Quesería!$B$46-Quesería!$B$47),0)*IF(I$43&gt;2,1-Quesería!$B$48,1)+IF(I$43=2,Quesería!$B$48*(Quesería!$B$44*$C$179*$C$176)*(1-MAX(0,MIN(2-1-Quesería!$B$47,(Quesería!$B$46-Quesería!$B$47)))/(Quesería!$B$46-Quesería!$B$47)),0)))*I178</f>
        <v>140.162110720497</v>
      </c>
      <c r="J207" s="29" t="n">
        <f aca="false">((IF(AND(J$43&gt;0+Quesería!$B$47,J$43&lt;=0+Quesería!$B$46),(Quesería!$B$44*$B$179*$B$176)/(Quesería!$B$46-Quesería!$B$47),0)*IF(J$43&gt;2,1-Quesería!$B$48,1)+IF(J$43=2,Quesería!$B$48*(Quesería!$B$44*$B$179*$B$176)*(1-MAX(0,MIN(2-0-Quesería!$B$47,(Quesería!$B$46-Quesería!$B$47)))/(Quesería!$B$46-Quesería!$B$47)),0))+(IF(AND(J$43&gt;1+Quesería!$B$47,J$43&lt;=1+Quesería!$B$46),(Quesería!$B$44*$C$179*$C$176)/(Quesería!$B$46-Quesería!$B$47),0)*IF(J$43&gt;2,1-Quesería!$B$48,1)+IF(J$43=2,Quesería!$B$48*(Quesería!$B$44*$C$179*$C$176)*(1-MAX(0,MIN(2-1-Quesería!$B$47,(Quesería!$B$46-Quesería!$B$47)))/(Quesería!$B$46-Quesería!$B$47)),0)))*J178</f>
        <v>62.1417748742261</v>
      </c>
      <c r="K207" s="29" t="n">
        <f aca="false">((IF(AND(K$43&gt;0+Quesería!$B$47,K$43&lt;=0+Quesería!$B$46),(Quesería!$B$44*$B$179*$B$176)/(Quesería!$B$46-Quesería!$B$47),0)*IF(K$43&gt;2,1-Quesería!$B$48,1)+IF(K$43=2,Quesería!$B$48*(Quesería!$B$44*$B$179*$B$176)*(1-MAX(0,MIN(2-0-Quesería!$B$47,(Quesería!$B$46-Quesería!$B$47)))/(Quesería!$B$46-Quesería!$B$47)),0))+(IF(AND(K$43&gt;1+Quesería!$B$47,K$43&lt;=1+Quesería!$B$46),(Quesería!$B$44*$C$179*$C$176)/(Quesería!$B$46-Quesería!$B$47),0)*IF(K$43&gt;2,1-Quesería!$B$48,1)+IF(K$43=2,Quesería!$B$48*(Quesería!$B$44*$C$179*$C$176)*(1-MAX(0,MIN(2-1-Quesería!$B$47,(Quesería!$B$46-Quesería!$B$47)))/(Quesería!$B$46-Quesería!$B$47)),0)))*K178</f>
        <v>0</v>
      </c>
      <c r="L207" s="29" t="n">
        <f aca="false">((IF(AND(L$43&gt;0+Quesería!$B$47,L$43&lt;=0+Quesería!$B$46),(Quesería!$B$44*$B$179*$B$176)/(Quesería!$B$46-Quesería!$B$47),0)*IF(L$43&gt;2,1-Quesería!$B$48,1)+IF(L$43=2,Quesería!$B$48*(Quesería!$B$44*$B$179*$B$176)*(1-MAX(0,MIN(2-0-Quesería!$B$47,(Quesería!$B$46-Quesería!$B$47)))/(Quesería!$B$46-Quesería!$B$47)),0))+(IF(AND(L$43&gt;1+Quesería!$B$47,L$43&lt;=1+Quesería!$B$46),(Quesería!$B$44*$C$179*$C$176)/(Quesería!$B$46-Quesería!$B$47),0)*IF(L$43&gt;2,1-Quesería!$B$48,1)+IF(L$43=2,Quesería!$B$48*(Quesería!$B$44*$C$179*$C$176)*(1-MAX(0,MIN(2-1-Quesería!$B$47,(Quesería!$B$46-Quesería!$B$47)))/(Quesería!$B$46-Quesería!$B$47)),0)))*L178</f>
        <v>0</v>
      </c>
    </row>
    <row r="208" customFormat="false" ht="15" hidden="true" customHeight="false" outlineLevel="1" collapsed="false">
      <c r="A208" s="6" t="s">
        <v>433</v>
      </c>
      <c r="B208" s="29" t="n">
        <f aca="false">$E$13*Quesería!$B$51*(1+0.19)*B204*B178+(1-$E$13)*IF(B$43=0,Quesería!$B$50,0)</f>
        <v>4</v>
      </c>
      <c r="C208" s="29" t="n">
        <f aca="false">$E$13*Quesería!$B$51*(1+0.19)*C204*C178+(1-$E$13)*IF(C$43=0,Quesería!$B$50,0)</f>
        <v>0</v>
      </c>
      <c r="D208" s="29" t="n">
        <f aca="false">$E$13*Quesería!$B$51*(1+0.19)*D204*D178+(1-$E$13)*IF(D$43=0,Quesería!$B$50,0)</f>
        <v>0</v>
      </c>
      <c r="E208" s="29" t="n">
        <f aca="false">$E$13*Quesería!$B$51*(1+0.19)*E204*E178+(1-$E$13)*IF(E$43=0,Quesería!$B$50,0)</f>
        <v>0</v>
      </c>
      <c r="F208" s="29" t="n">
        <f aca="false">$E$13*Quesería!$B$51*(1+0.19)*F204*F178+(1-$E$13)*IF(F$43=0,Quesería!$B$50,0)</f>
        <v>0</v>
      </c>
      <c r="G208" s="29" t="n">
        <f aca="false">$E$13*Quesería!$B$51*(1+0.19)*G204*G178+(1-$E$13)*IF(G$43=0,Quesería!$B$50,0)</f>
        <v>0</v>
      </c>
      <c r="H208" s="29" t="n">
        <f aca="false">$E$13*Quesería!$B$51*(1+0.19)*H204*H178+(1-$E$13)*IF(H$43=0,Quesería!$B$50,0)</f>
        <v>0</v>
      </c>
      <c r="I208" s="29" t="n">
        <f aca="false">$E$13*Quesería!$B$51*(1+0.19)*I204*I178+(1-$E$13)*IF(I$43=0,Quesería!$B$50,0)</f>
        <v>0</v>
      </c>
      <c r="J208" s="29" t="n">
        <f aca="false">$E$13*Quesería!$B$51*(1+0.19)*J204*J178+(1-$E$13)*IF(J$43=0,Quesería!$B$50,0)</f>
        <v>0</v>
      </c>
      <c r="K208" s="29" t="n">
        <f aca="false">$E$13*Quesería!$B$51*(1+0.19)*K204*K178+(1-$E$13)*IF(K$43=0,Quesería!$B$50,0)</f>
        <v>0</v>
      </c>
      <c r="L208" s="29" t="n">
        <f aca="false">$E$13*Quesería!$B$51*(1+0.19)*L204*L178+(1-$E$13)*IF(L$43=0,Quesería!$B$50,0)</f>
        <v>0</v>
      </c>
    </row>
    <row r="209" customFormat="false" ht="15" hidden="true" customHeight="false" outlineLevel="1" collapsed="false">
      <c r="A209" s="6" t="s">
        <v>434</v>
      </c>
      <c r="B209" s="29" t="n">
        <f aca="false">Quesería!$B$52*(B206+B207+B208)</f>
        <v>0.016</v>
      </c>
      <c r="C209" s="29" t="n">
        <f aca="false">Quesería!$B$52*(C206+C207+C208)</f>
        <v>0.324982255024431</v>
      </c>
      <c r="D209" s="29" t="n">
        <f aca="false">Quesería!$B$52*(D206+D207+D208)</f>
        <v>0.944666790641204</v>
      </c>
      <c r="E209" s="29" t="n">
        <f aca="false">Quesería!$B$52*(E206+E207+E208)</f>
        <v>1.16091554650497</v>
      </c>
      <c r="F209" s="29" t="n">
        <f aca="false">Quesería!$B$52*(F206+F207+F208)</f>
        <v>1.02734284030486</v>
      </c>
      <c r="G209" s="29" t="n">
        <f aca="false">Quesería!$B$52*(G206+G207+G208)</f>
        <v>0.902327626968503</v>
      </c>
      <c r="H209" s="29" t="n">
        <f aca="false">Quesería!$B$52*(H206+H207+H208)</f>
        <v>0.78540923057473</v>
      </c>
      <c r="I209" s="29" t="n">
        <f aca="false">Quesería!$B$52*(I206+I207+I208)</f>
        <v>0.676149752798573</v>
      </c>
      <c r="J209" s="29" t="n">
        <f aca="false">Quesería!$B$52*(J206+J207+J208)</f>
        <v>0.283615060525968</v>
      </c>
      <c r="K209" s="29" t="n">
        <f aca="false">Quesería!$B$52*(K206+K207+K208)</f>
        <v>0</v>
      </c>
      <c r="L209" s="29" t="n">
        <f aca="false">Quesería!$B$52*(L206+L207+L208)</f>
        <v>0</v>
      </c>
    </row>
    <row r="210" customFormat="false" ht="15" hidden="true" customHeight="false" outlineLevel="1" collapsed="false">
      <c r="A210" s="6" t="s">
        <v>435</v>
      </c>
      <c r="B210" s="29" t="n">
        <f aca="false">$E$17*(B206+B208+0.5*B209)</f>
        <v>1.4028</v>
      </c>
      <c r="C210" s="29" t="n">
        <f aca="false">$E$17*(C206+C208+0.5*C209)</f>
        <v>28.492819209267</v>
      </c>
      <c r="D210" s="29" t="n">
        <f aca="false">$E$17*(D206+D208+0.5*D209)</f>
        <v>50.658846641366</v>
      </c>
      <c r="E210" s="29" t="n">
        <f aca="false">$E$17*(E206+E208+0.5*E209)</f>
        <v>44.393824784909</v>
      </c>
      <c r="F210" s="29" t="n">
        <f aca="false">$E$17*(F206+F208+0.5*F209)</f>
        <v>34.8901241440031</v>
      </c>
      <c r="G210" s="29" t="n">
        <f aca="false">$E$17*(G206+G208+0.5*G209)</f>
        <v>26.0518060601123</v>
      </c>
      <c r="H210" s="29" t="n">
        <f aca="false">$E$17*(H206+H208+0.5*H209)</f>
        <v>17.8417459883787</v>
      </c>
      <c r="I210" s="29" t="n">
        <f aca="false">$E$17*(I206+I208+0.5*I209)</f>
        <v>10.224690824441</v>
      </c>
      <c r="J210" s="29" t="n">
        <f aca="false">$E$17*(J206+J208+0.5*J209)</f>
        <v>3.1163292256351</v>
      </c>
      <c r="K210" s="29" t="n">
        <f aca="false">$E$17*(K206+K208+0.5*K209)</f>
        <v>0</v>
      </c>
      <c r="L210" s="29" t="n">
        <f aca="false">$E$17*(L206+L208+0.5*L209)</f>
        <v>0</v>
      </c>
    </row>
    <row r="211" customFormat="false" ht="15" hidden="true" customHeight="false" outlineLevel="1" collapsed="false">
      <c r="A211" s="5" t="s">
        <v>436</v>
      </c>
      <c r="B211" s="59" t="n">
        <f aca="false">B196+B205-B206-B207-B208-B209+B210</f>
        <v>-429.979357466778</v>
      </c>
      <c r="C211" s="59" t="n">
        <f aca="false">C196+C205-C206-C207-C208-C209+C210</f>
        <v>-66.7377052538887</v>
      </c>
      <c r="D211" s="59" t="n">
        <f aca="false">D196+D205-D206-D207-D208-D209+D210</f>
        <v>369.958340335805</v>
      </c>
      <c r="E211" s="59" t="n">
        <f aca="false">E196+E205-E206-E207-E208-E209+E210</f>
        <v>87.5221689109349</v>
      </c>
      <c r="F211" s="59" t="n">
        <f aca="false">F196+F205-F206-F207-F208-F209+F210</f>
        <v>114.048242679885</v>
      </c>
      <c r="G211" s="59" t="n">
        <f aca="false">G196+G205-G206-G207-G208-G209+G210</f>
        <v>102.116178059796</v>
      </c>
      <c r="H211" s="59" t="n">
        <f aca="false">H196+H205-H206-H207-H208-H209+H210</f>
        <v>101.612336772039</v>
      </c>
      <c r="I211" s="59" t="n">
        <f aca="false">I196+I205-I206-I207-I208-I209+I210</f>
        <v>181.941754481276</v>
      </c>
      <c r="J211" s="59" t="n">
        <f aca="false">J196+J205-J206-J207-J208-J209+J210</f>
        <v>263.386390588464</v>
      </c>
      <c r="K211" s="59" t="n">
        <f aca="false">K196+K205-K206-K207-K208-K209+K210</f>
        <v>330.025710337702</v>
      </c>
      <c r="L211" s="59" t="n">
        <f aca="false">L196+L205-L206-L207-L208-L209+L210</f>
        <v>422.18532199421</v>
      </c>
    </row>
    <row r="212" customFormat="false" ht="15" hidden="true" customHeight="false" outlineLevel="1" collapsed="false">
      <c r="A212" s="9" t="s">
        <v>437</v>
      </c>
      <c r="B212" s="58" t="n">
        <f aca="false">B211*B176</f>
        <v>-455.778118914784</v>
      </c>
      <c r="C212" s="58" t="n">
        <f aca="false">C211*C176</f>
        <v>-74.2790659475782</v>
      </c>
      <c r="D212" s="58" t="n">
        <f aca="false">D211*D176</f>
        <v>430.292996269469</v>
      </c>
      <c r="E212" s="58" t="n">
        <f aca="false">E211*E176</f>
        <v>105.867550700886</v>
      </c>
      <c r="F212" s="58" t="n">
        <f aca="false">F211*F176</f>
        <v>143.471860844861</v>
      </c>
      <c r="G212" s="58" t="n">
        <f aca="false">G211*G176</f>
        <v>133.599866636398</v>
      </c>
      <c r="H212" s="58" t="n">
        <f aca="false">H211*H176</f>
        <v>138.258312201463</v>
      </c>
      <c r="I212" s="58" t="n">
        <f aca="false">I211*I176</f>
        <v>257.460453330459</v>
      </c>
      <c r="J212" s="58" t="n">
        <f aca="false">J211*J176</f>
        <v>387.618789891994</v>
      </c>
      <c r="K212" s="58" t="n">
        <f aca="false">K211*K176</f>
        <v>505.117720152798</v>
      </c>
      <c r="L212" s="58" t="n">
        <f aca="false">L211*L176</f>
        <v>672.01860907702</v>
      </c>
    </row>
    <row r="213" customFormat="false" ht="15" hidden="true" customHeight="false" outlineLevel="1" collapsed="false">
      <c r="A213" s="9" t="s">
        <v>438</v>
      </c>
      <c r="B213" s="57" t="n">
        <f aca="false">(B176/$B$176)/(1+Quesería!$B$11+$E$24)^B$43</f>
        <v>1</v>
      </c>
      <c r="C213" s="57" t="n">
        <f aca="false">(C176/$B$176)/(1+Quesería!$B$11+$E$24)^C$43</f>
        <v>0.84</v>
      </c>
      <c r="D213" s="57" t="n">
        <f aca="false">(D176/$B$176)/(1+Quesería!$B$11+$E$24)^D$43</f>
        <v>0.70224</v>
      </c>
      <c r="E213" s="57" t="n">
        <f aca="false">(E176/$B$176)/(1+Quesería!$B$11+$E$24)^E$43</f>
        <v>0.58426368</v>
      </c>
      <c r="F213" s="57" t="n">
        <f aca="false">(F176/$B$176)/(1+Quesería!$B$11+$E$24)^F$43</f>
        <v>0.48610738176</v>
      </c>
      <c r="G213" s="57" t="n">
        <f aca="false">(G176/$B$176)/(1+Quesería!$B$11+$E$24)^G$43</f>
        <v>0.40444134162432</v>
      </c>
      <c r="H213" s="57" t="n">
        <f aca="false">(H176/$B$176)/(1+Quesería!$B$11+$E$24)^H$43</f>
        <v>0.336495196231434</v>
      </c>
      <c r="I213" s="57" t="n">
        <f aca="false">(I176/$B$176)/(1+Quesería!$B$11+$E$24)^I$43</f>
        <v>0.279964003264553</v>
      </c>
      <c r="J213" s="57" t="n">
        <f aca="false">(J176/$B$176)/(1+Quesería!$B$11+$E$24)^J$43</f>
        <v>0.232930050716108</v>
      </c>
      <c r="K213" s="57" t="n">
        <f aca="false">(K176/$B$176)/(1+Quesería!$B$11+$E$24)^K$43</f>
        <v>0.193797802195802</v>
      </c>
      <c r="L213" s="57" t="n">
        <f aca="false">(L176/$B$176)/(1+Quesería!$B$11+$E$24)^L$43</f>
        <v>0.161239771426907</v>
      </c>
    </row>
    <row r="214" customFormat="false" ht="15" hidden="true" customHeight="false" outlineLevel="1" collapsed="false">
      <c r="A214" s="9" t="s">
        <v>439</v>
      </c>
      <c r="B214" s="58" t="n">
        <f aca="false">B196+B179+B181+B210</f>
        <v>48.9323978944868</v>
      </c>
      <c r="C214" s="58" t="n">
        <f aca="false">C196+C179+C181+C210</f>
        <v>424.406136761473</v>
      </c>
      <c r="D214" s="58" t="n">
        <f aca="false">D196+D179+D181+D210</f>
        <v>607.069704786747</v>
      </c>
      <c r="E214" s="58" t="n">
        <f aca="false">E196+E179+E181+E210</f>
        <v>378.911971083682</v>
      </c>
      <c r="F214" s="58" t="n">
        <f aca="false">F196+F179+F181+F210</f>
        <v>371.911295596404</v>
      </c>
      <c r="G214" s="58" t="n">
        <f aca="false">G196+G179+G181+G210</f>
        <v>333.818803709976</v>
      </c>
      <c r="H214" s="58" t="n">
        <f aca="false">H196+H179+H181+H210</f>
        <v>307.563993231378</v>
      </c>
      <c r="I214" s="58" t="n">
        <f aca="false">I196+I179+I181+I210</f>
        <v>351.655342433718</v>
      </c>
      <c r="J214" s="58" t="n">
        <f aca="false">J196+J179+J181+J210</f>
        <v>334.573770780482</v>
      </c>
      <c r="K214" s="58" t="n">
        <f aca="false">K196+K179+K181+K210</f>
        <v>330.025710337702</v>
      </c>
      <c r="L214" s="58" t="n">
        <f aca="false">L196+L179+L181+L210</f>
        <v>422.18532199421</v>
      </c>
    </row>
    <row r="215" customFormat="false" ht="15" hidden="true" customHeight="false" outlineLevel="1" collapsed="false">
      <c r="A215" s="5" t="s">
        <v>149</v>
      </c>
      <c r="B215" s="12" t="str">
        <f aca="false">IF(AND(B$43&gt;=1,(B206+B207+B208)&gt;0.001),B214/(B206+B207+B208),"")</f>
        <v/>
      </c>
      <c r="C215" s="12" t="n">
        <f aca="false">IF(AND(C$43&gt;=1,(C206+C207+C208)&gt;0.001),C214/(C206+C207+C208),"")</f>
        <v>5.22374536086061</v>
      </c>
      <c r="D215" s="12" t="n">
        <f aca="false">IF(AND(D$43&gt;=1,(D206+D207+D208)&gt;0.001),D214/(D206+D207+D208),"")</f>
        <v>2.57051358553503</v>
      </c>
      <c r="E215" s="12" t="n">
        <f aca="false">IF(AND(E$43&gt;=1,(E206+E207+E208)&gt;0.001),E214/(E206+E207+E208),"")</f>
        <v>1.30556256990244</v>
      </c>
      <c r="F215" s="12" t="n">
        <f aca="false">IF(AND(F$43&gt;=1,(F206+F207+F208)&gt;0.001),F214/(F206+F207+F208),"")</f>
        <v>1.44805134568726</v>
      </c>
      <c r="G215" s="12" t="n">
        <f aca="false">IF(AND(G$43&gt;=1,(G206+G207+G208)&gt;0.001),G214/(G206+G207+G208),"")</f>
        <v>1.4798119606799</v>
      </c>
      <c r="H215" s="12" t="n">
        <f aca="false">IF(AND(H$43&gt;=1,(H206+H207+H208)&gt;0.001),H214/(H206+H207+H208),"")</f>
        <v>1.5663884826325</v>
      </c>
      <c r="I215" s="12" t="n">
        <f aca="false">IF(AND(I$43&gt;=1,(I206+I207+I208)&gt;0.001),I214/(I206+I207+I208),"")</f>
        <v>2.08033998964414</v>
      </c>
      <c r="J215" s="12" t="n">
        <f aca="false">IF(AND(J$43&gt;=1,(J206+J207+J208)&gt;0.001),J214/(J206+J207+J208),"")</f>
        <v>4.71870245762</v>
      </c>
      <c r="K215" s="12" t="str">
        <f aca="false">IF(AND(K$43&gt;=1,(K206+K207+K208)&gt;0.001),K214/(K206+K207+K208),"")</f>
        <v/>
      </c>
      <c r="L215" s="12" t="str">
        <f aca="false">IF(AND(L$43&gt;=1,(L206+L207+L208)&gt;0.001),L214/(L206+L207+L208),"")</f>
        <v/>
      </c>
    </row>
    <row r="217" customFormat="false" ht="15" hidden="false" customHeight="false" outlineLevel="0" collapsed="false">
      <c r="A217" s="43" t="s">
        <v>169</v>
      </c>
      <c r="B217" s="44"/>
      <c r="C217" s="44"/>
      <c r="D217" s="44"/>
      <c r="E217" s="44"/>
      <c r="F217" s="44"/>
      <c r="G217" s="44"/>
      <c r="H217" s="44"/>
      <c r="I217" s="44"/>
      <c r="J217" s="44"/>
      <c r="K217" s="44"/>
      <c r="L217" s="44"/>
    </row>
    <row r="218" customFormat="false" ht="15" hidden="true" customHeight="false" outlineLevel="1" collapsed="false">
      <c r="A218" s="9" t="s">
        <v>405</v>
      </c>
      <c r="B218" s="56" t="n">
        <f aca="false">CHOOSE($F$15,Entorno!B$7,Entorno!B$8,Entorno!B$9)</f>
        <v>0.06</v>
      </c>
      <c r="C218" s="56" t="n">
        <f aca="false">CHOOSE($F$15,Entorno!C$7,Entorno!C$8,Entorno!C$9)</f>
        <v>0.05</v>
      </c>
      <c r="D218" s="56" t="n">
        <f aca="false">CHOOSE($F$15,Entorno!D$7,Entorno!D$8,Entorno!D$9)</f>
        <v>0.045</v>
      </c>
      <c r="E218" s="56" t="n">
        <f aca="false">CHOOSE($F$15,Entorno!E$7,Entorno!E$8,Entorno!E$9)</f>
        <v>0.04</v>
      </c>
      <c r="F218" s="56" t="n">
        <f aca="false">CHOOSE($F$15,Entorno!F$7,Entorno!F$8,Entorno!F$9)</f>
        <v>0.04</v>
      </c>
      <c r="G218" s="56" t="n">
        <f aca="false">CHOOSE($F$15,Entorno!G$7,Entorno!G$8,Entorno!G$9)</f>
        <v>0.04</v>
      </c>
      <c r="H218" s="56" t="n">
        <f aca="false">CHOOSE($F$15,Entorno!H$7,Entorno!H$8,Entorno!H$9)</f>
        <v>0.04</v>
      </c>
      <c r="I218" s="56" t="n">
        <f aca="false">CHOOSE($F$15,Entorno!I$7,Entorno!I$8,Entorno!I$9)</f>
        <v>0.04</v>
      </c>
      <c r="J218" s="56" t="n">
        <f aca="false">CHOOSE($F$15,Entorno!J$7,Entorno!J$8,Entorno!J$9)</f>
        <v>0.04</v>
      </c>
      <c r="K218" s="56" t="n">
        <f aca="false">CHOOSE($F$15,Entorno!K$7,Entorno!K$8,Entorno!K$9)</f>
        <v>0.04</v>
      </c>
      <c r="L218" s="56" t="n">
        <f aca="false">CHOOSE($F$15,Entorno!L$7,Entorno!L$8,Entorno!L$9)</f>
        <v>0.04</v>
      </c>
    </row>
    <row r="219" customFormat="false" ht="15" hidden="true" customHeight="false" outlineLevel="1" collapsed="false">
      <c r="A219" s="9" t="s">
        <v>406</v>
      </c>
      <c r="B219" s="57" t="n">
        <f aca="false">1+B218</f>
        <v>1.06</v>
      </c>
      <c r="C219" s="57" t="n">
        <f aca="false">B219*(1+C218)</f>
        <v>1.113</v>
      </c>
      <c r="D219" s="57" t="n">
        <f aca="false">C219*(1+D218)</f>
        <v>1.163085</v>
      </c>
      <c r="E219" s="57" t="n">
        <f aca="false">D219*(1+E218)</f>
        <v>1.2096084</v>
      </c>
      <c r="F219" s="57" t="n">
        <f aca="false">E219*(1+F218)</f>
        <v>1.257992736</v>
      </c>
      <c r="G219" s="57" t="n">
        <f aca="false">F219*(1+G218)</f>
        <v>1.30831244544</v>
      </c>
      <c r="H219" s="57" t="n">
        <f aca="false">G219*(1+H218)</f>
        <v>1.3606449432576</v>
      </c>
      <c r="I219" s="57" t="n">
        <f aca="false">H219*(1+I218)</f>
        <v>1.4150707409879</v>
      </c>
      <c r="J219" s="57" t="n">
        <f aca="false">I219*(1+J218)</f>
        <v>1.47167357062742</v>
      </c>
      <c r="K219" s="57" t="n">
        <f aca="false">J219*(1+K218)</f>
        <v>1.53054051345252</v>
      </c>
      <c r="L219" s="57" t="n">
        <f aca="false">K219*(1+L218)</f>
        <v>1.59176213399062</v>
      </c>
    </row>
    <row r="220" customFormat="false" ht="15" hidden="true" customHeight="false" outlineLevel="1" collapsed="false">
      <c r="A220" s="9" t="s">
        <v>407</v>
      </c>
      <c r="B220" s="57" t="n">
        <f aca="false">(1+$F$16)/(1+B218)</f>
        <v>1.02358490566038</v>
      </c>
      <c r="C220" s="57" t="n">
        <f aca="false">B220*(1+Entorno!$B$13)</f>
        <v>1.02870283018868</v>
      </c>
      <c r="D220" s="57" t="n">
        <f aca="false">C220*(1+Entorno!$B$13)</f>
        <v>1.03384634433962</v>
      </c>
      <c r="E220" s="57" t="n">
        <f aca="false">D220*(1+Entorno!$B$13)</f>
        <v>1.03901557606132</v>
      </c>
      <c r="F220" s="57" t="n">
        <f aca="false">E220*(1+Entorno!$B$13)</f>
        <v>1.04421065394163</v>
      </c>
      <c r="G220" s="57" t="n">
        <f aca="false">F220*(1+Entorno!$B$13)</f>
        <v>1.04943170721133</v>
      </c>
      <c r="H220" s="57" t="n">
        <f aca="false">G220*(1+Entorno!$B$13)</f>
        <v>1.05467886574739</v>
      </c>
      <c r="I220" s="57" t="n">
        <f aca="false">H220*(1+Entorno!$B$13)</f>
        <v>1.05995226007613</v>
      </c>
      <c r="J220" s="57" t="n">
        <f aca="false">I220*(1+Entorno!$B$13)</f>
        <v>1.06525202137651</v>
      </c>
      <c r="K220" s="57" t="n">
        <f aca="false">J220*(1+Entorno!$B$13)</f>
        <v>1.07057828148339</v>
      </c>
      <c r="L220" s="57" t="n">
        <f aca="false">K220*(1+Entorno!$B$13)</f>
        <v>1.07593117289081</v>
      </c>
    </row>
    <row r="221" customFormat="false" ht="15" hidden="true" customHeight="false" outlineLevel="1" collapsed="false">
      <c r="A221" s="9" t="s">
        <v>408</v>
      </c>
      <c r="B221" s="57" t="n">
        <f aca="false">1/B219</f>
        <v>0.943396226415094</v>
      </c>
      <c r="C221" s="57" t="n">
        <f aca="false">1/C219</f>
        <v>0.898472596585804</v>
      </c>
      <c r="D221" s="57" t="n">
        <f aca="false">1/D219</f>
        <v>0.859782389077324</v>
      </c>
      <c r="E221" s="57" t="n">
        <f aca="false">1/E219</f>
        <v>0.826713835651273</v>
      </c>
      <c r="F221" s="57" t="n">
        <f aca="false">1/F219</f>
        <v>0.794917149664686</v>
      </c>
      <c r="G221" s="57" t="n">
        <f aca="false">1/G219</f>
        <v>0.764343413139121</v>
      </c>
      <c r="H221" s="57" t="n">
        <f aca="false">1/H219</f>
        <v>0.734945589556847</v>
      </c>
      <c r="I221" s="57" t="n">
        <f aca="false">1/I219</f>
        <v>0.706678451496968</v>
      </c>
      <c r="J221" s="57" t="n">
        <f aca="false">1/J219</f>
        <v>0.679498511054777</v>
      </c>
      <c r="K221" s="57" t="n">
        <f aca="false">1/K219</f>
        <v>0.653363952937286</v>
      </c>
      <c r="L221" s="57" t="n">
        <f aca="false">1/L219</f>
        <v>0.628234570132006</v>
      </c>
    </row>
    <row r="222" customFormat="false" ht="15" hidden="true" customHeight="false" outlineLevel="1" collapsed="false">
      <c r="A222" s="6" t="s">
        <v>323</v>
      </c>
      <c r="B222" s="29" t="n">
        <f aca="false">IF(B$43=0,Quesería!$F$92,IF(B$43=1,Quesería!$F$93*$F$21,0))*$F$11</f>
        <v>930.800239431677</v>
      </c>
      <c r="C222" s="29" t="n">
        <f aca="false">IF(C$43=0,Quesería!$F$92,IF(C$43=1,Quesería!$F$93*$F$21,0))*$F$11</f>
        <v>758.469066674498</v>
      </c>
      <c r="D222" s="29" t="n">
        <f aca="false">IF(D$43=0,Quesería!$F$92,IF(D$43=1,Quesería!$F$93*$F$21,0))*$F$11</f>
        <v>0</v>
      </c>
      <c r="E222" s="29" t="n">
        <f aca="false">IF(E$43=0,Quesería!$F$92,IF(E$43=1,Quesería!$F$93*$F$21,0))*$F$11</f>
        <v>0</v>
      </c>
      <c r="F222" s="29" t="n">
        <f aca="false">IF(F$43=0,Quesería!$F$92,IF(F$43=1,Quesería!$F$93*$F$21,0))*$F$11</f>
        <v>0</v>
      </c>
      <c r="G222" s="29" t="n">
        <f aca="false">IF(G$43=0,Quesería!$F$92,IF(G$43=1,Quesería!$F$93*$F$21,0))*$F$11</f>
        <v>0</v>
      </c>
      <c r="H222" s="29" t="n">
        <f aca="false">IF(H$43=0,Quesería!$F$92,IF(H$43=1,Quesería!$F$93*$F$21,0))*$F$11</f>
        <v>0</v>
      </c>
      <c r="I222" s="29" t="n">
        <f aca="false">IF(I$43=0,Quesería!$F$92,IF(I$43=1,Quesería!$F$93*$F$21,0))*$F$11</f>
        <v>0</v>
      </c>
      <c r="J222" s="29" t="n">
        <f aca="false">IF(J$43=0,Quesería!$F$92,IF(J$43=1,Quesería!$F$93*$F$21,0))*$F$11</f>
        <v>0</v>
      </c>
      <c r="K222" s="29" t="n">
        <f aca="false">IF(K$43=0,Quesería!$F$92,IF(K$43=1,Quesería!$F$93*$F$21,0))*$F$11</f>
        <v>0</v>
      </c>
      <c r="L222" s="29" t="n">
        <f aca="false">IF(L$43=0,Quesería!$F$92,IF(L$43=1,Quesería!$F$93*$F$21,0))*$F$11</f>
        <v>0</v>
      </c>
    </row>
    <row r="223" customFormat="false" ht="15" hidden="true" customHeight="false" outlineLevel="1" collapsed="false">
      <c r="A223" s="6" t="s">
        <v>409</v>
      </c>
      <c r="B223" s="29" t="n">
        <f aca="false">IF(B$43=5,Quesería!$F$99,IF(B$43=6,Quesería!$F$100,0))*$F$11</f>
        <v>0</v>
      </c>
      <c r="C223" s="29" t="n">
        <f aca="false">IF(C$43=5,Quesería!$F$99,IF(C$43=6,Quesería!$F$100,0))*$F$11</f>
        <v>0</v>
      </c>
      <c r="D223" s="29" t="n">
        <f aca="false">IF(D$43=5,Quesería!$F$99,IF(D$43=6,Quesería!$F$100,0))*$F$11</f>
        <v>0</v>
      </c>
      <c r="E223" s="29" t="n">
        <f aca="false">IF(E$43=5,Quesería!$F$99,IF(E$43=6,Quesería!$F$100,0))*$F$11</f>
        <v>0</v>
      </c>
      <c r="F223" s="29" t="n">
        <f aca="false">IF(F$43=5,Quesería!$F$99,IF(F$43=6,Quesería!$F$100,0))*$F$11</f>
        <v>0</v>
      </c>
      <c r="G223" s="29" t="n">
        <f aca="false">IF(G$43=5,Quesería!$F$99,IF(G$43=6,Quesería!$F$100,0))*$F$11</f>
        <v>27.4652172688735</v>
      </c>
      <c r="H223" s="29" t="n">
        <f aca="false">IF(H$43=5,Quesería!$F$99,IF(H$43=6,Quesería!$F$100,0))*$F$11</f>
        <v>46.3891557109552</v>
      </c>
      <c r="I223" s="29" t="n">
        <f aca="false">IF(I$43=5,Quesería!$F$99,IF(I$43=6,Quesería!$F$100,0))*$F$11</f>
        <v>0</v>
      </c>
      <c r="J223" s="29" t="n">
        <f aca="false">IF(J$43=5,Quesería!$F$99,IF(J$43=6,Quesería!$F$100,0))*$F$11</f>
        <v>0</v>
      </c>
      <c r="K223" s="29" t="n">
        <f aca="false">IF(K$43=5,Quesería!$F$99,IF(K$43=6,Quesería!$F$100,0))*$F$11</f>
        <v>0</v>
      </c>
      <c r="L223" s="29" t="n">
        <f aca="false">IF(L$43=5,Quesería!$F$99,IF(L$43=6,Quesería!$F$100,0))*$F$11</f>
        <v>0</v>
      </c>
    </row>
    <row r="224" customFormat="false" ht="15" hidden="true" customHeight="false" outlineLevel="1" collapsed="false">
      <c r="A224" s="6" t="s">
        <v>410</v>
      </c>
      <c r="B224" s="29" t="n">
        <f aca="false">Quesería!$B$55*(IF(B$43=0,SUMPRODUCT((Quesería!$C$70:$C$89=0)*(Quesería!$H$70:$H$89&gt;0)*(Quesería!$J$70:$J$89&gt;0)*Quesería!$F$70:$F$89*(1+Quesería!$I$70:$I$89)),IF(B$43=1,SUMPRODUCT((Quesería!$C$70:$C$89=1)*(Quesería!$H$70:$H$89&gt;0)*(Quesería!$J$70:$J$89&gt;0)*Quesería!$F$70:$F$89*(1+Quesería!$I$70:$I$89))*$F$21,0))*$F$11+B223)</f>
        <v>149.115671560178</v>
      </c>
      <c r="C224" s="29" t="n">
        <f aca="false">Quesería!$B$55*(IF(C$43=0,SUMPRODUCT((Quesería!$C$70:$C$89=0)*(Quesería!$H$70:$H$89&gt;0)*(Quesería!$J$70:$J$89&gt;0)*Quesería!$F$70:$F$89*(1+Quesería!$I$70:$I$89)),IF(C$43=1,SUMPRODUCT((Quesería!$C$70:$C$89=1)*(Quesería!$H$70:$H$89&gt;0)*(Quesería!$J$70:$J$89&gt;0)*Quesería!$F$70:$F$89*(1+Quesería!$I$70:$I$89))*$F$21,0))*$F$11+C223)</f>
        <v>144.109122668155</v>
      </c>
      <c r="D224" s="29" t="n">
        <f aca="false">Quesería!$B$55*(IF(D$43=0,SUMPRODUCT((Quesería!$C$70:$C$89=0)*(Quesería!$H$70:$H$89&gt;0)*(Quesería!$J$70:$J$89&gt;0)*Quesería!$F$70:$F$89*(1+Quesería!$I$70:$I$89)),IF(D$43=1,SUMPRODUCT((Quesería!$C$70:$C$89=1)*(Quesería!$H$70:$H$89&gt;0)*(Quesería!$J$70:$J$89&gt;0)*Quesería!$F$70:$F$89*(1+Quesería!$I$70:$I$89))*$F$21,0))*$F$11+D223)</f>
        <v>0</v>
      </c>
      <c r="E224" s="29" t="n">
        <f aca="false">Quesería!$B$55*(IF(E$43=0,SUMPRODUCT((Quesería!$C$70:$C$89=0)*(Quesería!$H$70:$H$89&gt;0)*(Quesería!$J$70:$J$89&gt;0)*Quesería!$F$70:$F$89*(1+Quesería!$I$70:$I$89)),IF(E$43=1,SUMPRODUCT((Quesería!$C$70:$C$89=1)*(Quesería!$H$70:$H$89&gt;0)*(Quesería!$J$70:$J$89&gt;0)*Quesería!$F$70:$F$89*(1+Quesería!$I$70:$I$89))*$F$21,0))*$F$11+E223)</f>
        <v>0</v>
      </c>
      <c r="F224" s="29" t="n">
        <f aca="false">Quesería!$B$55*(IF(F$43=0,SUMPRODUCT((Quesería!$C$70:$C$89=0)*(Quesería!$H$70:$H$89&gt;0)*(Quesería!$J$70:$J$89&gt;0)*Quesería!$F$70:$F$89*(1+Quesería!$I$70:$I$89)),IF(F$43=1,SUMPRODUCT((Quesería!$C$70:$C$89=1)*(Quesería!$H$70:$H$89&gt;0)*(Quesería!$J$70:$J$89&gt;0)*Quesería!$F$70:$F$89*(1+Quesería!$I$70:$I$89))*$F$21,0))*$F$11+F223)</f>
        <v>0</v>
      </c>
      <c r="G224" s="29" t="n">
        <f aca="false">Quesería!$B$55*(IF(G$43=0,SUMPRODUCT((Quesería!$C$70:$C$89=0)*(Quesería!$H$70:$H$89&gt;0)*(Quesería!$J$70:$J$89&gt;0)*Quesería!$F$70:$F$89*(1+Quesería!$I$70:$I$89)),IF(G$43=1,SUMPRODUCT((Quesería!$C$70:$C$89=1)*(Quesería!$H$70:$H$89&gt;0)*(Quesería!$J$70:$J$89&gt;0)*Quesería!$F$70:$F$89*(1+Quesería!$I$70:$I$89))*$F$21,0))*$F$11+G223)</f>
        <v>5.21839128108597</v>
      </c>
      <c r="H224" s="29" t="n">
        <f aca="false">Quesería!$B$55*(IF(H$43=0,SUMPRODUCT((Quesería!$C$70:$C$89=0)*(Quesería!$H$70:$H$89&gt;0)*(Quesería!$J$70:$J$89&gt;0)*Quesería!$F$70:$F$89*(1+Quesería!$I$70:$I$89)),IF(H$43=1,SUMPRODUCT((Quesería!$C$70:$C$89=1)*(Quesería!$H$70:$H$89&gt;0)*(Quesería!$J$70:$J$89&gt;0)*Quesería!$F$70:$F$89*(1+Quesería!$I$70:$I$89))*$F$21,0))*$F$11+H223)</f>
        <v>8.8139395850815</v>
      </c>
      <c r="I224" s="29" t="n">
        <f aca="false">Quesería!$B$55*(IF(I$43=0,SUMPRODUCT((Quesería!$C$70:$C$89=0)*(Quesería!$H$70:$H$89&gt;0)*(Quesería!$J$70:$J$89&gt;0)*Quesería!$F$70:$F$89*(1+Quesería!$I$70:$I$89)),IF(I$43=1,SUMPRODUCT((Quesería!$C$70:$C$89=1)*(Quesería!$H$70:$H$89&gt;0)*(Quesería!$J$70:$J$89&gt;0)*Quesería!$F$70:$F$89*(1+Quesería!$I$70:$I$89))*$F$21,0))*$F$11+I223)</f>
        <v>0</v>
      </c>
      <c r="J224" s="29" t="n">
        <f aca="false">Quesería!$B$55*(IF(J$43=0,SUMPRODUCT((Quesería!$C$70:$C$89=0)*(Quesería!$H$70:$H$89&gt;0)*(Quesería!$J$70:$J$89&gt;0)*Quesería!$F$70:$F$89*(1+Quesería!$I$70:$I$89)),IF(J$43=1,SUMPRODUCT((Quesería!$C$70:$C$89=1)*(Quesería!$H$70:$H$89&gt;0)*(Quesería!$J$70:$J$89&gt;0)*Quesería!$F$70:$F$89*(1+Quesería!$I$70:$I$89))*$F$21,0))*$F$11+J223)</f>
        <v>0</v>
      </c>
      <c r="K224" s="29" t="n">
        <f aca="false">Quesería!$B$55*(IF(K$43=0,SUMPRODUCT((Quesería!$C$70:$C$89=0)*(Quesería!$H$70:$H$89&gt;0)*(Quesería!$J$70:$J$89&gt;0)*Quesería!$F$70:$F$89*(1+Quesería!$I$70:$I$89)),IF(K$43=1,SUMPRODUCT((Quesería!$C$70:$C$89=1)*(Quesería!$H$70:$H$89&gt;0)*(Quesería!$J$70:$J$89&gt;0)*Quesería!$F$70:$F$89*(1+Quesería!$I$70:$I$89))*$F$21,0))*$F$11+K223)</f>
        <v>0</v>
      </c>
      <c r="L224" s="29" t="n">
        <f aca="false">Quesería!$B$55*(IF(L$43=0,SUMPRODUCT((Quesería!$C$70:$C$89=0)*(Quesería!$H$70:$H$89&gt;0)*(Quesería!$J$70:$J$89&gt;0)*Quesería!$F$70:$F$89*(1+Quesería!$I$70:$I$89)),IF(L$43=1,SUMPRODUCT((Quesería!$C$70:$C$89=1)*(Quesería!$H$70:$H$89&gt;0)*(Quesería!$J$70:$J$89&gt;0)*Quesería!$F$70:$F$89*(1+Quesería!$I$70:$I$89))*$F$21,0))*$F$11+L223)</f>
        <v>0</v>
      </c>
    </row>
    <row r="225" customFormat="false" ht="15" hidden="true" customHeight="false" outlineLevel="1" collapsed="false">
      <c r="A225" s="6" t="s">
        <v>385</v>
      </c>
      <c r="B225" s="29" t="n">
        <f aca="false">IF(B$43=0,($F$22*Quesería!$J$125+(1-$F$22)*Quesería!$E$121)*Quesería!$B$20*Quesería!$B$21/12*$F$23,(($F$22*Quesería!$J$125+(1-$F$22)*Quesería!$E$121)+($F$22*Quesería!$J$104+(1-$F$22)*Quesería!$E$104)*(B220-1))*IF(B$43=1,Quesería!$B$20,1))*$F$10</f>
        <v>120.716772261203</v>
      </c>
      <c r="C225" s="29" t="n">
        <f aca="false">IF(C$43=0,($F$22*Quesería!$J$125+(1-$F$22)*Quesería!$E$121)*Quesería!$B$20*Quesería!$B$21/12*$F$23,(($F$22*Quesería!$J$125+(1-$F$22)*Quesería!$E$121)+($F$22*Quesería!$J$104+(1-$F$22)*Quesería!$E$104)*(C220-1))*IF(C$43=1,Quesería!$B$20,1))*$F$10</f>
        <v>181.328317354069</v>
      </c>
      <c r="D225" s="29" t="n">
        <f aca="false">IF(D$43=0,($F$22*Quesería!$J$125+(1-$F$22)*Quesería!$E$121)*Quesería!$B$20*Quesería!$B$21/12*$F$23,(($F$22*Quesería!$J$125+(1-$F$22)*Quesería!$E$121)+($F$22*Quesería!$J$104+(1-$F$22)*Quesería!$E$104)*(D220-1))*IF(D$43=1,Quesería!$B$20,1))*$F$10</f>
        <v>241.83157753184</v>
      </c>
      <c r="E225" s="29" t="n">
        <f aca="false">IF(E$43=0,($F$22*Quesería!$J$125+(1-$F$22)*Quesería!$E$121)*Quesería!$B$20*Quesería!$B$21/12*$F$23,(($F$22*Quesería!$J$125+(1-$F$22)*Quesería!$E$121)+($F$22*Quesería!$J$104+(1-$F$22)*Quesería!$E$104)*(E220-1))*IF(E$43=1,Quesería!$B$20,1))*$F$10</f>
        <v>241.892367696887</v>
      </c>
      <c r="F225" s="29" t="n">
        <f aca="false">IF(F$43=0,($F$22*Quesería!$J$125+(1-$F$22)*Quesería!$E$121)*Quesería!$B$20*Quesería!$B$21/12*$F$23,(($F$22*Quesería!$J$125+(1-$F$22)*Quesería!$E$121)+($F$22*Quesería!$J$104+(1-$F$22)*Quesería!$E$104)*(F220-1))*IF(F$43=1,Quesería!$B$20,1))*$F$10</f>
        <v>241.95346181276</v>
      </c>
      <c r="G225" s="29" t="n">
        <f aca="false">IF(G$43=0,($F$22*Quesería!$J$125+(1-$F$22)*Quesería!$E$121)*Quesería!$B$20*Quesería!$B$21/12*$F$23,(($F$22*Quesería!$J$125+(1-$F$22)*Quesería!$E$121)+($F$22*Quesería!$J$104+(1-$F$22)*Quesería!$E$104)*(G220-1))*IF(G$43=1,Quesería!$B$20,1))*$F$10</f>
        <v>242.014861399211</v>
      </c>
      <c r="H225" s="29" t="n">
        <f aca="false">IF(H$43=0,($F$22*Quesería!$J$125+(1-$F$22)*Quesería!$E$121)*Quesería!$B$20*Quesería!$B$21/12*$F$23,(($F$22*Quesería!$J$125+(1-$F$22)*Quesería!$E$121)+($F$22*Quesería!$J$104+(1-$F$22)*Quesería!$E$104)*(H220-1))*IF(H$43=1,Quesería!$B$20,1))*$F$10</f>
        <v>242.076567983595</v>
      </c>
      <c r="I225" s="29" t="n">
        <f aca="false">IF(I$43=0,($F$22*Quesería!$J$125+(1-$F$22)*Quesería!$E$121)*Quesería!$B$20*Quesería!$B$21/12*$F$23,(($F$22*Quesería!$J$125+(1-$F$22)*Quesería!$E$121)+($F$22*Quesería!$J$104+(1-$F$22)*Quesería!$E$104)*(I220-1))*IF(I$43=1,Quesería!$B$20,1))*$F$10</f>
        <v>242.138583100901</v>
      </c>
      <c r="J225" s="29" t="n">
        <f aca="false">IF(J$43=0,($F$22*Quesería!$J$125+(1-$F$22)*Quesería!$E$121)*Quesería!$B$20*Quesería!$B$21/12*$F$23,(($F$22*Quesería!$J$125+(1-$F$22)*Quesería!$E$121)+($F$22*Quesería!$J$104+(1-$F$22)*Quesería!$E$104)*(J220-1))*IF(J$43=1,Quesería!$B$20,1))*$F$10</f>
        <v>242.200908293794</v>
      </c>
      <c r="K225" s="29" t="n">
        <f aca="false">IF(K$43=0,($F$22*Quesería!$J$125+(1-$F$22)*Quesería!$E$121)*Quesería!$B$20*Quesería!$B$21/12*$F$23,(($F$22*Quesería!$J$125+(1-$F$22)*Quesería!$E$121)+($F$22*Quesería!$J$104+(1-$F$22)*Quesería!$E$104)*(K220-1))*IF(K$43=1,Quesería!$B$20,1))*$F$10</f>
        <v>242.263545112651</v>
      </c>
      <c r="L225" s="29" t="n">
        <f aca="false">IF(L$43=0,($F$22*Quesería!$J$125+(1-$F$22)*Quesería!$E$121)*Quesería!$B$20*Quesería!$B$21/12*$F$23,(($F$22*Quesería!$J$125+(1-$F$22)*Quesería!$E$121)+($F$22*Quesería!$J$104+(1-$F$22)*Quesería!$E$104)*(L220-1))*IF(L$43=1,Quesería!$B$20,1))*$F$10</f>
        <v>242.326495115602</v>
      </c>
    </row>
    <row r="226" customFormat="false" ht="15" hidden="true" customHeight="false" outlineLevel="1" collapsed="false">
      <c r="A226" s="6" t="s">
        <v>386</v>
      </c>
      <c r="B226" s="29" t="n">
        <f aca="false">IF(B$43&lt;=1,0,((($F$22*Quesería!$J$126+(1-$F$22)*Quesería!$E$122)-($F$22*Quesería!$J$113+(1-$F$22)*Quesería!$E$113)+$F$6*($F$22*Quesería!$J$113+(1-$F$22)*Quesería!$E$113)-(1-$F$9)*(($F$22*Quesería!$J$118+(1-$F$22)*Quesería!$E$118)+($F$22*Quesería!$J$117+(1-$F$22)*Quesería!$E$117)))+($F$6*($F$22*Quesería!$J$113+(1-$F$22)*Quesería!$E$113)+$F$9*($F$22*Quesería!$J$118+(1-$F$22)*Quesería!$E$118))*(B220-1))*IF(B$43=2,Quesería!$B$20,1)+IF(B$43=2,Quesería!$B$24*$F$9*($F$22*Quesería!$J$118+(1-$F$22)*Quesería!$E$118)*B220,0))*$F$10*$F$21</f>
        <v>0</v>
      </c>
      <c r="C226" s="29" t="n">
        <f aca="false">IF(C$43&lt;=1,0,((($F$22*Quesería!$J$126+(1-$F$22)*Quesería!$E$122)-($F$22*Quesería!$J$113+(1-$F$22)*Quesería!$E$113)+$F$6*($F$22*Quesería!$J$113+(1-$F$22)*Quesería!$E$113)-(1-$F$9)*(($F$22*Quesería!$J$118+(1-$F$22)*Quesería!$E$118)+($F$22*Quesería!$J$117+(1-$F$22)*Quesería!$E$117)))+($F$6*($F$22*Quesería!$J$113+(1-$F$22)*Quesería!$E$113)+$F$9*($F$22*Quesería!$J$118+(1-$F$22)*Quesería!$E$118))*(C220-1))*IF(C$43=2,Quesería!$B$20,1)+IF(C$43=2,Quesería!$B$24*$F$9*($F$22*Quesería!$J$118+(1-$F$22)*Quesería!$E$118)*C220,0))*$F$10*$F$21</f>
        <v>0</v>
      </c>
      <c r="D226" s="29" t="n">
        <f aca="false">IF(D$43&lt;=1,0,((($F$22*Quesería!$J$126+(1-$F$22)*Quesería!$E$122)-($F$22*Quesería!$J$113+(1-$F$22)*Quesería!$E$113)+$F$6*($F$22*Quesería!$J$113+(1-$F$22)*Quesería!$E$113)-(1-$F$9)*(($F$22*Quesería!$J$118+(1-$F$22)*Quesería!$E$118)+($F$22*Quesería!$J$117+(1-$F$22)*Quesería!$E$117)))+($F$6*($F$22*Quesería!$J$113+(1-$F$22)*Quesería!$E$113)+$F$9*($F$22*Quesería!$J$118+(1-$F$22)*Quesería!$E$118))*(D220-1))*IF(D$43=2,Quesería!$B$20,1)+IF(D$43=2,Quesería!$B$24*$F$9*($F$22*Quesería!$J$118+(1-$F$22)*Quesería!$E$118)*D220,0))*$F$10*$F$21</f>
        <v>145.290953802574</v>
      </c>
      <c r="E226" s="29" t="n">
        <f aca="false">IF(E$43&lt;=1,0,((($F$22*Quesería!$J$126+(1-$F$22)*Quesería!$E$122)-($F$22*Quesería!$J$113+(1-$F$22)*Quesería!$E$113)+$F$6*($F$22*Quesería!$J$113+(1-$F$22)*Quesería!$E$113)-(1-$F$9)*(($F$22*Quesería!$J$118+(1-$F$22)*Quesería!$E$118)+($F$22*Quesería!$J$117+(1-$F$22)*Quesería!$E$117)))+($F$6*($F$22*Quesería!$J$113+(1-$F$22)*Quesería!$E$113)+$F$9*($F$22*Quesería!$J$118+(1-$F$22)*Quesería!$E$118))*(E220-1))*IF(E$43=2,Quesería!$B$20,1)+IF(E$43=2,Quesería!$B$24*$F$9*($F$22*Quesería!$J$118+(1-$F$22)*Quesería!$E$118)*E220,0))*$F$10*$F$21</f>
        <v>193.782061901812</v>
      </c>
      <c r="F226" s="29" t="n">
        <f aca="false">IF(F$43&lt;=1,0,((($F$22*Quesería!$J$126+(1-$F$22)*Quesería!$E$122)-($F$22*Quesería!$J$113+(1-$F$22)*Quesería!$E$113)+$F$6*($F$22*Quesería!$J$113+(1-$F$22)*Quesería!$E$113)-(1-$F$9)*(($F$22*Quesería!$J$118+(1-$F$22)*Quesería!$E$118)+($F$22*Quesería!$J$117+(1-$F$22)*Quesería!$E$117)))+($F$6*($F$22*Quesería!$J$113+(1-$F$22)*Quesería!$E$113)+$F$9*($F$22*Quesería!$J$118+(1-$F$22)*Quesería!$E$118))*(F220-1))*IF(F$43=2,Quesería!$B$20,1)+IF(F$43=2,Quesería!$B$24*$F$9*($F$22*Quesería!$J$118+(1-$F$22)*Quesería!$E$118)*F220,0))*$F$10*$F$21</f>
        <v>193.843156017684</v>
      </c>
      <c r="G226" s="29" t="n">
        <f aca="false">IF(G$43&lt;=1,0,((($F$22*Quesería!$J$126+(1-$F$22)*Quesería!$E$122)-($F$22*Quesería!$J$113+(1-$F$22)*Quesería!$E$113)+$F$6*($F$22*Quesería!$J$113+(1-$F$22)*Quesería!$E$113)-(1-$F$9)*(($F$22*Quesería!$J$118+(1-$F$22)*Quesería!$E$118)+($F$22*Quesería!$J$117+(1-$F$22)*Quesería!$E$117)))+($F$6*($F$22*Quesería!$J$113+(1-$F$22)*Quesería!$E$113)+$F$9*($F$22*Quesería!$J$118+(1-$F$22)*Quesería!$E$118))*(G220-1))*IF(G$43=2,Quesería!$B$20,1)+IF(G$43=2,Quesería!$B$24*$F$9*($F$22*Quesería!$J$118+(1-$F$22)*Quesería!$E$118)*G220,0))*$F$10*$F$21</f>
        <v>193.904555604136</v>
      </c>
      <c r="H226" s="29" t="n">
        <f aca="false">IF(H$43&lt;=1,0,((($F$22*Quesería!$J$126+(1-$F$22)*Quesería!$E$122)-($F$22*Quesería!$J$113+(1-$F$22)*Quesería!$E$113)+$F$6*($F$22*Quesería!$J$113+(1-$F$22)*Quesería!$E$113)-(1-$F$9)*(($F$22*Quesería!$J$118+(1-$F$22)*Quesería!$E$118)+($F$22*Quesería!$J$117+(1-$F$22)*Quesería!$E$117)))+($F$6*($F$22*Quesería!$J$113+(1-$F$22)*Quesería!$E$113)+$F$9*($F$22*Quesería!$J$118+(1-$F$22)*Quesería!$E$118))*(H220-1))*IF(H$43=2,Quesería!$B$20,1)+IF(H$43=2,Quesería!$B$24*$F$9*($F$22*Quesería!$J$118+(1-$F$22)*Quesería!$E$118)*H220,0))*$F$10*$F$21</f>
        <v>193.96626218852</v>
      </c>
      <c r="I226" s="29" t="n">
        <f aca="false">IF(I$43&lt;=1,0,((($F$22*Quesería!$J$126+(1-$F$22)*Quesería!$E$122)-($F$22*Quesería!$J$113+(1-$F$22)*Quesería!$E$113)+$F$6*($F$22*Quesería!$J$113+(1-$F$22)*Quesería!$E$113)-(1-$F$9)*(($F$22*Quesería!$J$118+(1-$F$22)*Quesería!$E$118)+($F$22*Quesería!$J$117+(1-$F$22)*Quesería!$E$117)))+($F$6*($F$22*Quesería!$J$113+(1-$F$22)*Quesería!$E$113)+$F$9*($F$22*Quesería!$J$118+(1-$F$22)*Quesería!$E$118))*(I220-1))*IF(I$43=2,Quesería!$B$20,1)+IF(I$43=2,Quesería!$B$24*$F$9*($F$22*Quesería!$J$118+(1-$F$22)*Quesería!$E$118)*I220,0))*$F$10*$F$21</f>
        <v>194.028277305826</v>
      </c>
      <c r="J226" s="29" t="n">
        <f aca="false">IF(J$43&lt;=1,0,((($F$22*Quesería!$J$126+(1-$F$22)*Quesería!$E$122)-($F$22*Quesería!$J$113+(1-$F$22)*Quesería!$E$113)+$F$6*($F$22*Quesería!$J$113+(1-$F$22)*Quesería!$E$113)-(1-$F$9)*(($F$22*Quesería!$J$118+(1-$F$22)*Quesería!$E$118)+($F$22*Quesería!$J$117+(1-$F$22)*Quesería!$E$117)))+($F$6*($F$22*Quesería!$J$113+(1-$F$22)*Quesería!$E$113)+$F$9*($F$22*Quesería!$J$118+(1-$F$22)*Quesería!$E$118))*(J220-1))*IF(J$43=2,Quesería!$B$20,1)+IF(J$43=2,Quesería!$B$24*$F$9*($F$22*Quesería!$J$118+(1-$F$22)*Quesería!$E$118)*J220,0))*$F$10*$F$21</f>
        <v>194.090602498719</v>
      </c>
      <c r="K226" s="29" t="n">
        <f aca="false">IF(K$43&lt;=1,0,((($F$22*Quesería!$J$126+(1-$F$22)*Quesería!$E$122)-($F$22*Quesería!$J$113+(1-$F$22)*Quesería!$E$113)+$F$6*($F$22*Quesería!$J$113+(1-$F$22)*Quesería!$E$113)-(1-$F$9)*(($F$22*Quesería!$J$118+(1-$F$22)*Quesería!$E$118)+($F$22*Quesería!$J$117+(1-$F$22)*Quesería!$E$117)))+($F$6*($F$22*Quesería!$J$113+(1-$F$22)*Quesería!$E$113)+$F$9*($F$22*Quesería!$J$118+(1-$F$22)*Quesería!$E$118))*(K220-1))*IF(K$43=2,Quesería!$B$20,1)+IF(K$43=2,Quesería!$B$24*$F$9*($F$22*Quesería!$J$118+(1-$F$22)*Quesería!$E$118)*K220,0))*$F$10*$F$21</f>
        <v>194.153239317576</v>
      </c>
      <c r="L226" s="29" t="n">
        <f aca="false">IF(L$43&lt;=1,0,((($F$22*Quesería!$J$126+(1-$F$22)*Quesería!$E$122)-($F$22*Quesería!$J$113+(1-$F$22)*Quesería!$E$113)+$F$6*($F$22*Quesería!$J$113+(1-$F$22)*Quesería!$E$113)-(1-$F$9)*(($F$22*Quesería!$J$118+(1-$F$22)*Quesería!$E$118)+($F$22*Quesería!$J$117+(1-$F$22)*Quesería!$E$117)))+($F$6*($F$22*Quesería!$J$113+(1-$F$22)*Quesería!$E$113)+$F$9*($F$22*Quesería!$J$118+(1-$F$22)*Quesería!$E$118))*(L220-1))*IF(L$43=2,Quesería!$B$20,1)+IF(L$43=2,Quesería!$B$24*$F$9*($F$22*Quesería!$J$118+(1-$F$22)*Quesería!$E$118)*L220,0))*$F$10*$F$21</f>
        <v>194.216189320527</v>
      </c>
    </row>
    <row r="227" customFormat="false" ht="15" hidden="true" customHeight="false" outlineLevel="1" collapsed="false">
      <c r="A227" s="5" t="s">
        <v>411</v>
      </c>
      <c r="B227" s="10" t="n">
        <f aca="false">B225+B226</f>
        <v>120.716772261203</v>
      </c>
      <c r="C227" s="10" t="n">
        <f aca="false">C225+C226</f>
        <v>181.328317354069</v>
      </c>
      <c r="D227" s="10" t="n">
        <f aca="false">D225+D226</f>
        <v>387.122531334414</v>
      </c>
      <c r="E227" s="10" t="n">
        <f aca="false">E225+E226</f>
        <v>435.674429598699</v>
      </c>
      <c r="F227" s="10" t="n">
        <f aca="false">F225+F226</f>
        <v>435.796617830444</v>
      </c>
      <c r="G227" s="10" t="n">
        <f aca="false">G225+G226</f>
        <v>435.919417003347</v>
      </c>
      <c r="H227" s="10" t="n">
        <f aca="false">H225+H226</f>
        <v>436.042830172116</v>
      </c>
      <c r="I227" s="10" t="n">
        <f aca="false">I225+I226</f>
        <v>436.166860406727</v>
      </c>
      <c r="J227" s="10" t="n">
        <f aca="false">J225+J226</f>
        <v>436.291510792512</v>
      </c>
      <c r="K227" s="10" t="n">
        <f aca="false">K225+K226</f>
        <v>436.416784430226</v>
      </c>
      <c r="L227" s="10" t="n">
        <f aca="false">L225+L226</f>
        <v>436.542684436129</v>
      </c>
    </row>
    <row r="228" customFormat="false" ht="15" hidden="true" customHeight="false" outlineLevel="1" collapsed="false">
      <c r="A228" s="6" t="s">
        <v>412</v>
      </c>
      <c r="B228" s="29" t="n">
        <f aca="false">(IF(B$43&gt;=1,(Quesería!$B$31+Quesería!$B$33)*Quesería!$F$94*$F$11+Quesería!$B$32+'Beneficios y costos'!$B$211,0)+IF(B$43&gt;=2,((Quesería!$B$31+Quesería!$B$33)*Quesería!$F$95*$F$11+'Beneficios y costos'!$C$211)*$F$21,0))*$F$12</f>
        <v>0</v>
      </c>
      <c r="C228" s="29" t="n">
        <f aca="false">(IF(C$43&gt;=1,(Quesería!$B$31+Quesería!$B$33)*Quesería!$F$94*$F$11+Quesería!$B$32+'Beneficios y costos'!$B$211,0)+IF(C$43&gt;=2,((Quesería!$B$31+Quesería!$B$33)*Quesería!$F$95*$F$11+'Beneficios y costos'!$C$211)*$F$21,0))*$F$12</f>
        <v>42.0946487260605</v>
      </c>
      <c r="D228" s="29" t="n">
        <f aca="false">(IF(D$43&gt;=1,(Quesería!$B$31+Quesería!$B$33)*Quesería!$F$94*$F$11+Quesería!$B$32+'Beneficios y costos'!$B$211,0)+IF(D$43&gt;=2,((Quesería!$B$31+Quesería!$B$33)*Quesería!$F$95*$F$11+'Beneficios y costos'!$C$211)*$F$21,0))*$F$12</f>
        <v>95.9432442337815</v>
      </c>
      <c r="E228" s="29" t="n">
        <f aca="false">(IF(E$43&gt;=1,(Quesería!$B$31+Quesería!$B$33)*Quesería!$F$94*$F$11+Quesería!$B$32+'Beneficios y costos'!$B$211,0)+IF(E$43&gt;=2,((Quesería!$B$31+Quesería!$B$33)*Quesería!$F$95*$F$11+'Beneficios y costos'!$C$211)*$F$21,0))*$F$12</f>
        <v>95.9432442337815</v>
      </c>
      <c r="F228" s="29" t="n">
        <f aca="false">(IF(F$43&gt;=1,(Quesería!$B$31+Quesería!$B$33)*Quesería!$F$94*$F$11+Quesería!$B$32+'Beneficios y costos'!$B$211,0)+IF(F$43&gt;=2,((Quesería!$B$31+Quesería!$B$33)*Quesería!$F$95*$F$11+'Beneficios y costos'!$C$211)*$F$21,0))*$F$12</f>
        <v>95.9432442337815</v>
      </c>
      <c r="G228" s="29" t="n">
        <f aca="false">(IF(G$43&gt;=1,(Quesería!$B$31+Quesería!$B$33)*Quesería!$F$94*$F$11+Quesería!$B$32+'Beneficios y costos'!$B$211,0)+IF(G$43&gt;=2,((Quesería!$B$31+Quesería!$B$33)*Quesería!$F$95*$F$11+'Beneficios y costos'!$C$211)*$F$21,0))*$F$12</f>
        <v>95.9432442337815</v>
      </c>
      <c r="H228" s="29" t="n">
        <f aca="false">(IF(H$43&gt;=1,(Quesería!$B$31+Quesería!$B$33)*Quesería!$F$94*$F$11+Quesería!$B$32+'Beneficios y costos'!$B$211,0)+IF(H$43&gt;=2,((Quesería!$B$31+Quesería!$B$33)*Quesería!$F$95*$F$11+'Beneficios y costos'!$C$211)*$F$21,0))*$F$12</f>
        <v>95.9432442337815</v>
      </c>
      <c r="I228" s="29" t="n">
        <f aca="false">(IF(I$43&gt;=1,(Quesería!$B$31+Quesería!$B$33)*Quesería!$F$94*$F$11+Quesería!$B$32+'Beneficios y costos'!$B$211,0)+IF(I$43&gt;=2,((Quesería!$B$31+Quesería!$B$33)*Quesería!$F$95*$F$11+'Beneficios y costos'!$C$211)*$F$21,0))*$F$12</f>
        <v>95.9432442337815</v>
      </c>
      <c r="J228" s="29" t="n">
        <f aca="false">(IF(J$43&gt;=1,(Quesería!$B$31+Quesería!$B$33)*Quesería!$F$94*$F$11+Quesería!$B$32+'Beneficios y costos'!$B$211,0)+IF(J$43&gt;=2,((Quesería!$B$31+Quesería!$B$33)*Quesería!$F$95*$F$11+'Beneficios y costos'!$C$211)*$F$21,0))*$F$12</f>
        <v>95.9432442337815</v>
      </c>
      <c r="K228" s="29" t="n">
        <f aca="false">(IF(K$43&gt;=1,(Quesería!$B$31+Quesería!$B$33)*Quesería!$F$94*$F$11+Quesería!$B$32+'Beneficios y costos'!$B$211,0)+IF(K$43&gt;=2,((Quesería!$B$31+Quesería!$B$33)*Quesería!$F$95*$F$11+'Beneficios y costos'!$C$211)*$F$21,0))*$F$12</f>
        <v>95.9432442337815</v>
      </c>
      <c r="L228" s="29" t="n">
        <f aca="false">(IF(L$43&gt;=1,(Quesería!$B$31+Quesería!$B$33)*Quesería!$F$94*$F$11+Quesería!$B$32+'Beneficios y costos'!$B$211,0)+IF(L$43&gt;=2,((Quesería!$B$31+Quesería!$B$33)*Quesería!$F$95*$F$11+'Beneficios y costos'!$C$211)*$F$21,0))*$F$12</f>
        <v>95.9432442337815</v>
      </c>
    </row>
    <row r="229" customFormat="false" ht="15" hidden="true" customHeight="false" outlineLevel="1" collapsed="false">
      <c r="A229" s="6" t="s">
        <v>413</v>
      </c>
      <c r="B229" s="29" t="n">
        <f aca="false">IF(B$43=1,2*Quesería!$B$22*Quesería!$B$23/12*B220,0)*$F$21</f>
        <v>0</v>
      </c>
      <c r="C229" s="29" t="n">
        <f aca="false">IF(C$43=1,2*Quesería!$B$22*Quesería!$B$23/12*C220,0)*$F$21</f>
        <v>18.5166509433962</v>
      </c>
      <c r="D229" s="29" t="n">
        <f aca="false">IF(D$43=1,2*Quesería!$B$22*Quesería!$B$23/12*D220,0)*$F$21</f>
        <v>0</v>
      </c>
      <c r="E229" s="29" t="n">
        <f aca="false">IF(E$43=1,2*Quesería!$B$22*Quesería!$B$23/12*E220,0)*$F$21</f>
        <v>0</v>
      </c>
      <c r="F229" s="29" t="n">
        <f aca="false">IF(F$43=1,2*Quesería!$B$22*Quesería!$B$23/12*F220,0)*$F$21</f>
        <v>0</v>
      </c>
      <c r="G229" s="29" t="n">
        <f aca="false">IF(G$43=1,2*Quesería!$B$22*Quesería!$B$23/12*G220,0)*$F$21</f>
        <v>0</v>
      </c>
      <c r="H229" s="29" t="n">
        <f aca="false">IF(H$43=1,2*Quesería!$B$22*Quesería!$B$23/12*H220,0)*$F$21</f>
        <v>0</v>
      </c>
      <c r="I229" s="29" t="n">
        <f aca="false">IF(I$43=1,2*Quesería!$B$22*Quesería!$B$23/12*I220,0)*$F$21</f>
        <v>0</v>
      </c>
      <c r="J229" s="29" t="n">
        <f aca="false">IF(J$43=1,2*Quesería!$B$22*Quesería!$B$23/12*J220,0)*$F$21</f>
        <v>0</v>
      </c>
      <c r="K229" s="29" t="n">
        <f aca="false">IF(K$43=1,2*Quesería!$B$22*Quesería!$B$23/12*K220,0)*$F$21</f>
        <v>0</v>
      </c>
      <c r="L229" s="29" t="n">
        <f aca="false">IF(L$43=1,2*Quesería!$B$22*Quesería!$B$23/12*L220,0)*$F$21</f>
        <v>0</v>
      </c>
    </row>
    <row r="230" customFormat="false" ht="15" hidden="true" customHeight="false" outlineLevel="1" collapsed="false">
      <c r="A230" s="6" t="s">
        <v>414</v>
      </c>
      <c r="B230" s="29" t="n">
        <f aca="false">Quesería!$B$52*(B222+B223+B224+B228+B229)</f>
        <v>4.31966364396742</v>
      </c>
      <c r="C230" s="29" t="n">
        <f aca="false">Quesería!$B$52*(C222+C223+C224+C228+C229)</f>
        <v>3.85275795604844</v>
      </c>
      <c r="D230" s="29" t="n">
        <f aca="false">Quesería!$B$52*(D222+D223+D224+D228+D229)</f>
        <v>0.383772976935126</v>
      </c>
      <c r="E230" s="29" t="n">
        <f aca="false">Quesería!$B$52*(E222+E223+E224+E228+E229)</f>
        <v>0.383772976935126</v>
      </c>
      <c r="F230" s="29" t="n">
        <f aca="false">Quesería!$B$52*(F222+F223+F224+F228+F229)</f>
        <v>0.383772976935126</v>
      </c>
      <c r="G230" s="29" t="n">
        <f aca="false">Quesería!$B$52*(G222+G223+G224+G228+G229)</f>
        <v>0.514507411134964</v>
      </c>
      <c r="H230" s="29" t="n">
        <f aca="false">Quesería!$B$52*(H222+H223+H224+H228+H229)</f>
        <v>0.604585358119273</v>
      </c>
      <c r="I230" s="29" t="n">
        <f aca="false">Quesería!$B$52*(I222+I223+I224+I228+I229)</f>
        <v>0.383772976935126</v>
      </c>
      <c r="J230" s="29" t="n">
        <f aca="false">Quesería!$B$52*(J222+J223+J224+J228+J229)</f>
        <v>0.383772976935126</v>
      </c>
      <c r="K230" s="29" t="n">
        <f aca="false">Quesería!$B$52*(K222+K223+K224+K228+K229)</f>
        <v>0.383772976935126</v>
      </c>
      <c r="L230" s="29" t="n">
        <f aca="false">Quesería!$B$52*(L222+L223+L224+L228+L229)</f>
        <v>0.383772976935126</v>
      </c>
    </row>
    <row r="231" customFormat="false" ht="15" hidden="true" customHeight="false" outlineLevel="1" collapsed="false">
      <c r="A231" s="6" t="s">
        <v>415</v>
      </c>
      <c r="B231" s="29" t="n">
        <f aca="false">(IF($F$19=1,(SUMPRODUCT((Quesería!$C$70:$C$89=0)*(Quesería!$J$70:$J$89&gt;0)*(B$43&gt;=1)*(B$43&lt;=Quesería!$J$70:$J$89)*(Quesería!$H$70:$H$89&gt;0)*Quesería!$F$70:$F$89*(1+Quesería!$I$70:$I$89)/(Quesería!$J$70:$J$89+(Quesería!$J$70:$J$89=0)))+SUMPRODUCT((Quesería!$C$70:$C$89=0)*(Quesería!$J$70:$J$89=0)*(B$43=0)*(Quesería!$H$70:$H$89&gt;0)*Quesería!$F$70:$F$89*(1+Quesería!$I$70:$I$89)))*$B$219+(SUMPRODUCT((Quesería!$C$70:$C$89=1)*(Quesería!$J$70:$J$89&gt;0)*(B$43&gt;=2)*(B$43&lt;=Quesería!$J$70:$J$89+1)*(Quesería!$H$70:$H$89&gt;0)*Quesería!$F$70:$F$89*(1+Quesería!$I$70:$I$89)/(Quesería!$J$70:$J$89+(Quesería!$J$70:$J$89=0)))+SUMPRODUCT((Quesería!$C$70:$C$89=1)*(Quesería!$J$70:$J$89=0)*(B$43=1)*(Quesería!$H$70:$H$89&gt;0)*Quesería!$F$70:$F$89*(1+Quesería!$I$70:$I$89)))*$C$219*$F$21,IF(AND(B$43&gt;=1,B$43&lt;=Quesería!$B$30),Quesería!$F$92/Quesería!$B$30,0)*$B$219+IF(AND(B$43&gt;=2,B$43&lt;=Quesería!$B$30+1),Quesería!$F$93/Quesería!$B$30,0)*$C$219*$F$21)*$F$11+IF(AND(B$43&gt;=6,B$43&lt;=10),$G223*$G219/5,0)+IF(AND(B$43&gt;=7,B$43&lt;=11),$H223*$H219/5,0))*B221</f>
        <v>145.980915430742</v>
      </c>
      <c r="C231" s="29" t="n">
        <f aca="false">(IF($F$19=1,(SUMPRODUCT((Quesería!$C$70:$C$89=0)*(Quesería!$J$70:$J$89&gt;0)*(C$43&gt;=1)*(C$43&lt;=Quesería!$J$70:$J$89)*(Quesería!$H$70:$H$89&gt;0)*Quesería!$F$70:$F$89*(1+Quesería!$I$70:$I$89)/(Quesería!$J$70:$J$89+(Quesería!$J$70:$J$89=0)))+SUMPRODUCT((Quesería!$C$70:$C$89=0)*(Quesería!$J$70:$J$89=0)*(C$43=0)*(Quesería!$H$70:$H$89&gt;0)*Quesería!$F$70:$F$89*(1+Quesería!$I$70:$I$89)))*$B$219+(SUMPRODUCT((Quesería!$C$70:$C$89=1)*(Quesería!$J$70:$J$89&gt;0)*(C$43&gt;=2)*(C$43&lt;=Quesería!$J$70:$J$89+1)*(Quesería!$H$70:$H$89&gt;0)*Quesería!$F$70:$F$89*(1+Quesería!$I$70:$I$89)/(Quesería!$J$70:$J$89+(Quesería!$J$70:$J$89=0)))+SUMPRODUCT((Quesería!$C$70:$C$89=1)*(Quesería!$J$70:$J$89=0)*(C$43=1)*(Quesería!$H$70:$H$89&gt;0)*Quesería!$F$70:$F$89*(1+Quesería!$I$70:$I$89)))*$C$219*$F$21,IF(AND(C$43&gt;=1,C$43&lt;=Quesería!$B$30),Quesería!$F$92/Quesería!$B$30,0)*$B$219+IF(AND(C$43&gt;=2,C$43&lt;=Quesería!$B$30+1),Quesería!$F$93/Quesería!$B$30,0)*$C$219*$F$21)*$F$11+IF(AND(C$43&gt;=6,C$43&lt;=10),$G223*$G219/5,0)+IF(AND(C$43&gt;=7,C$43&lt;=11),$H223*$H219/5,0))*C221</f>
        <v>82.2633269524265</v>
      </c>
      <c r="D231" s="29" t="n">
        <f aca="false">(IF($F$19=1,(SUMPRODUCT((Quesería!$C$70:$C$89=0)*(Quesería!$J$70:$J$89&gt;0)*(D$43&gt;=1)*(D$43&lt;=Quesería!$J$70:$J$89)*(Quesería!$H$70:$H$89&gt;0)*Quesería!$F$70:$F$89*(1+Quesería!$I$70:$I$89)/(Quesería!$J$70:$J$89+(Quesería!$J$70:$J$89=0)))+SUMPRODUCT((Quesería!$C$70:$C$89=0)*(Quesería!$J$70:$J$89=0)*(D$43=0)*(Quesería!$H$70:$H$89&gt;0)*Quesería!$F$70:$F$89*(1+Quesería!$I$70:$I$89)))*$B$219+(SUMPRODUCT((Quesería!$C$70:$C$89=1)*(Quesería!$J$70:$J$89&gt;0)*(D$43&gt;=2)*(D$43&lt;=Quesería!$J$70:$J$89+1)*(Quesería!$H$70:$H$89&gt;0)*Quesería!$F$70:$F$89*(1+Quesería!$I$70:$I$89)/(Quesería!$J$70:$J$89+(Quesería!$J$70:$J$89=0)))+SUMPRODUCT((Quesería!$C$70:$C$89=1)*(Quesería!$J$70:$J$89=0)*(D$43=1)*(Quesería!$H$70:$H$89&gt;0)*Quesería!$F$70:$F$89*(1+Quesería!$I$70:$I$89)))*$C$219*$F$21,IF(AND(D$43&gt;=1,D$43&lt;=Quesería!$B$30),Quesería!$F$92/Quesería!$B$30,0)*$B$219+IF(AND(D$43&gt;=2,D$43&lt;=Quesería!$B$30+1),Quesería!$F$93/Quesería!$B$30,0)*$C$219*$F$21)*$F$11+IF(AND(D$43&gt;=6,D$43&lt;=10),$G223*$G219/5,0)+IF(AND(D$43&gt;=7,D$43&lt;=11),$H223*$H219/5,0))*D221</f>
        <v>151.301658966389</v>
      </c>
      <c r="E231" s="29" t="n">
        <f aca="false">(IF($F$19=1,(SUMPRODUCT((Quesería!$C$70:$C$89=0)*(Quesería!$J$70:$J$89&gt;0)*(E$43&gt;=1)*(E$43&lt;=Quesería!$J$70:$J$89)*(Quesería!$H$70:$H$89&gt;0)*Quesería!$F$70:$F$89*(1+Quesería!$I$70:$I$89)/(Quesería!$J$70:$J$89+(Quesería!$J$70:$J$89=0)))+SUMPRODUCT((Quesería!$C$70:$C$89=0)*(Quesería!$J$70:$J$89=0)*(E$43=0)*(Quesería!$H$70:$H$89&gt;0)*Quesería!$F$70:$F$89*(1+Quesería!$I$70:$I$89)))*$B$219+(SUMPRODUCT((Quesería!$C$70:$C$89=1)*(Quesería!$J$70:$J$89&gt;0)*(E$43&gt;=2)*(E$43&lt;=Quesería!$J$70:$J$89+1)*(Quesería!$H$70:$H$89&gt;0)*Quesería!$F$70:$F$89*(1+Quesería!$I$70:$I$89)/(Quesería!$J$70:$J$89+(Quesería!$J$70:$J$89=0)))+SUMPRODUCT((Quesería!$C$70:$C$89=1)*(Quesería!$J$70:$J$89=0)*(E$43=1)*(Quesería!$H$70:$H$89&gt;0)*Quesería!$F$70:$F$89*(1+Quesería!$I$70:$I$89)))*$C$219*$F$21,IF(AND(E$43&gt;=1,E$43&lt;=Quesería!$B$30),Quesería!$F$92/Quesería!$B$30,0)*$B$219+IF(AND(E$43&gt;=2,E$43&lt;=Quesería!$B$30+1),Quesería!$F$93/Quesería!$B$30,0)*$C$219*$F$21)*$F$11+IF(AND(E$43&gt;=6,E$43&lt;=10),$G223*$G219/5,0)+IF(AND(E$43&gt;=7,E$43&lt;=11),$H223*$H219/5,0))*E221</f>
        <v>145.482364390759</v>
      </c>
      <c r="F231" s="29" t="n">
        <f aca="false">(IF($F$19=1,(SUMPRODUCT((Quesería!$C$70:$C$89=0)*(Quesería!$J$70:$J$89&gt;0)*(F$43&gt;=1)*(F$43&lt;=Quesería!$J$70:$J$89)*(Quesería!$H$70:$H$89&gt;0)*Quesería!$F$70:$F$89*(1+Quesería!$I$70:$I$89)/(Quesería!$J$70:$J$89+(Quesería!$J$70:$J$89=0)))+SUMPRODUCT((Quesería!$C$70:$C$89=0)*(Quesería!$J$70:$J$89=0)*(F$43=0)*(Quesería!$H$70:$H$89&gt;0)*Quesería!$F$70:$F$89*(1+Quesería!$I$70:$I$89)))*$B$219+(SUMPRODUCT((Quesería!$C$70:$C$89=1)*(Quesería!$J$70:$J$89&gt;0)*(F$43&gt;=2)*(F$43&lt;=Quesería!$J$70:$J$89+1)*(Quesería!$H$70:$H$89&gt;0)*Quesería!$F$70:$F$89*(1+Quesería!$I$70:$I$89)/(Quesería!$J$70:$J$89+(Quesería!$J$70:$J$89=0)))+SUMPRODUCT((Quesería!$C$70:$C$89=1)*(Quesería!$J$70:$J$89=0)*(F$43=1)*(Quesería!$H$70:$H$89&gt;0)*Quesería!$F$70:$F$89*(1+Quesería!$I$70:$I$89)))*$C$219*$F$21,IF(AND(F$43&gt;=1,F$43&lt;=Quesería!$B$30),Quesería!$F$92/Quesería!$B$30,0)*$B$219+IF(AND(F$43&gt;=2,F$43&lt;=Quesería!$B$30+1),Quesería!$F$93/Quesería!$B$30,0)*$C$219*$F$21)*$F$11+IF(AND(F$43&gt;=6,F$43&lt;=10),$G223*$G219/5,0)+IF(AND(F$43&gt;=7,F$43&lt;=11),$H223*$H219/5,0))*F221</f>
        <v>139.886888837268</v>
      </c>
      <c r="G231" s="29" t="n">
        <f aca="false">(IF($F$19=1,(SUMPRODUCT((Quesería!$C$70:$C$89=0)*(Quesería!$J$70:$J$89&gt;0)*(G$43&gt;=1)*(G$43&lt;=Quesería!$J$70:$J$89)*(Quesería!$H$70:$H$89&gt;0)*Quesería!$F$70:$F$89*(1+Quesería!$I$70:$I$89)/(Quesería!$J$70:$J$89+(Quesería!$J$70:$J$89=0)))+SUMPRODUCT((Quesería!$C$70:$C$89=0)*(Quesería!$J$70:$J$89=0)*(G$43=0)*(Quesería!$H$70:$H$89&gt;0)*Quesería!$F$70:$F$89*(1+Quesería!$I$70:$I$89)))*$B$219+(SUMPRODUCT((Quesería!$C$70:$C$89=1)*(Quesería!$J$70:$J$89&gt;0)*(G$43&gt;=2)*(G$43&lt;=Quesería!$J$70:$J$89+1)*(Quesería!$H$70:$H$89&gt;0)*Quesería!$F$70:$F$89*(1+Quesería!$I$70:$I$89)/(Quesería!$J$70:$J$89+(Quesería!$J$70:$J$89=0)))+SUMPRODUCT((Quesería!$C$70:$C$89=1)*(Quesería!$J$70:$J$89=0)*(G$43=1)*(Quesería!$H$70:$H$89&gt;0)*Quesería!$F$70:$F$89*(1+Quesería!$I$70:$I$89)))*$C$219*$F$21,IF(AND(G$43&gt;=1,G$43&lt;=Quesería!$B$30),Quesería!$F$92/Quesería!$B$30,0)*$B$219+IF(AND(G$43&gt;=2,G$43&lt;=Quesería!$B$30+1),Quesería!$F$93/Quesería!$B$30,0)*$C$219*$F$21)*$F$11+IF(AND(G$43&gt;=6,G$43&lt;=10),$G223*$G219/5,0)+IF(AND(G$43&gt;=7,G$43&lt;=11),$H223*$H219/5,0))*G221</f>
        <v>134.506623881988</v>
      </c>
      <c r="H231" s="29" t="n">
        <f aca="false">(IF($F$19=1,(SUMPRODUCT((Quesería!$C$70:$C$89=0)*(Quesería!$J$70:$J$89&gt;0)*(H$43&gt;=1)*(H$43&lt;=Quesería!$J$70:$J$89)*(Quesería!$H$70:$H$89&gt;0)*Quesería!$F$70:$F$89*(1+Quesería!$I$70:$I$89)/(Quesería!$J$70:$J$89+(Quesería!$J$70:$J$89=0)))+SUMPRODUCT((Quesería!$C$70:$C$89=0)*(Quesería!$J$70:$J$89=0)*(H$43=0)*(Quesería!$H$70:$H$89&gt;0)*Quesería!$F$70:$F$89*(1+Quesería!$I$70:$I$89)))*$B$219+(SUMPRODUCT((Quesería!$C$70:$C$89=1)*(Quesería!$J$70:$J$89&gt;0)*(H$43&gt;=2)*(H$43&lt;=Quesería!$J$70:$J$89+1)*(Quesería!$H$70:$H$89&gt;0)*Quesería!$F$70:$F$89*(1+Quesería!$I$70:$I$89)/(Quesería!$J$70:$J$89+(Quesería!$J$70:$J$89=0)))+SUMPRODUCT((Quesería!$C$70:$C$89=1)*(Quesería!$J$70:$J$89=0)*(H$43=1)*(Quesería!$H$70:$H$89&gt;0)*Quesería!$F$70:$F$89*(1+Quesería!$I$70:$I$89)))*$C$219*$F$21,IF(AND(H$43&gt;=1,H$43&lt;=Quesería!$B$30),Quesería!$F$92/Quesería!$B$30,0)*$B$219+IF(AND(H$43&gt;=2,H$43&lt;=Quesería!$B$30+1),Quesería!$F$93/Quesería!$B$30,0)*$C$219*$F$21)*$F$11+IF(AND(H$43&gt;=6,H$43&lt;=10),$G223*$G219/5,0)+IF(AND(H$43&gt;=7,H$43&lt;=11),$H223*$H219/5,0))*H221</f>
        <v>122.314670590318</v>
      </c>
      <c r="I231" s="29" t="n">
        <f aca="false">(IF($F$19=1,(SUMPRODUCT((Quesería!$C$70:$C$89=0)*(Quesería!$J$70:$J$89&gt;0)*(I$43&gt;=1)*(I$43&lt;=Quesería!$J$70:$J$89)*(Quesería!$H$70:$H$89&gt;0)*Quesería!$F$70:$F$89*(1+Quesería!$I$70:$I$89)/(Quesería!$J$70:$J$89+(Quesería!$J$70:$J$89=0)))+SUMPRODUCT((Quesería!$C$70:$C$89=0)*(Quesería!$J$70:$J$89=0)*(I$43=0)*(Quesería!$H$70:$H$89&gt;0)*Quesería!$F$70:$F$89*(1+Quesería!$I$70:$I$89)))*$B$219+(SUMPRODUCT((Quesería!$C$70:$C$89=1)*(Quesería!$J$70:$J$89&gt;0)*(I$43&gt;=2)*(I$43&lt;=Quesería!$J$70:$J$89+1)*(Quesería!$H$70:$H$89&gt;0)*Quesería!$F$70:$F$89*(1+Quesería!$I$70:$I$89)/(Quesería!$J$70:$J$89+(Quesería!$J$70:$J$89=0)))+SUMPRODUCT((Quesería!$C$70:$C$89=1)*(Quesería!$J$70:$J$89=0)*(I$43=1)*(Quesería!$H$70:$H$89&gt;0)*Quesería!$F$70:$F$89*(1+Quesería!$I$70:$I$89)))*$C$219*$F$21,IF(AND(I$43&gt;=1,I$43&lt;=Quesería!$B$30),Quesería!$F$92/Quesería!$B$30,0)*$B$219+IF(AND(I$43&gt;=2,I$43&lt;=Quesería!$B$30+1),Quesería!$F$93/Quesería!$B$30,0)*$C$219*$F$21)*$F$11+IF(AND(I$43&gt;=6,I$43&lt;=10),$G223*$G219/5,0)+IF(AND(I$43&gt;=7,I$43&lt;=11),$H223*$H219/5,0))*I221</f>
        <v>126.531251665874</v>
      </c>
      <c r="J231" s="29" t="n">
        <f aca="false">(IF($F$19=1,(SUMPRODUCT((Quesería!$C$70:$C$89=0)*(Quesería!$J$70:$J$89&gt;0)*(J$43&gt;=1)*(J$43&lt;=Quesería!$J$70:$J$89)*(Quesería!$H$70:$H$89&gt;0)*Quesería!$F$70:$F$89*(1+Quesería!$I$70:$I$89)/(Quesería!$J$70:$J$89+(Quesería!$J$70:$J$89=0)))+SUMPRODUCT((Quesería!$C$70:$C$89=0)*(Quesería!$J$70:$J$89=0)*(J$43=0)*(Quesería!$H$70:$H$89&gt;0)*Quesería!$F$70:$F$89*(1+Quesería!$I$70:$I$89)))*$B$219+(SUMPRODUCT((Quesería!$C$70:$C$89=1)*(Quesería!$J$70:$J$89&gt;0)*(J$43&gt;=2)*(J$43&lt;=Quesería!$J$70:$J$89+1)*(Quesería!$H$70:$H$89&gt;0)*Quesería!$F$70:$F$89*(1+Quesería!$I$70:$I$89)/(Quesería!$J$70:$J$89+(Quesería!$J$70:$J$89=0)))+SUMPRODUCT((Quesería!$C$70:$C$89=1)*(Quesería!$J$70:$J$89=0)*(J$43=1)*(Quesería!$H$70:$H$89&gt;0)*Quesería!$F$70:$F$89*(1+Quesería!$I$70:$I$89)))*$C$219*$F$21,IF(AND(J$43&gt;=1,J$43&lt;=Quesería!$B$30),Quesería!$F$92/Quesería!$B$30,0)*$B$219+IF(AND(J$43&gt;=2,J$43&lt;=Quesería!$B$30+1),Quesería!$F$93/Quesería!$B$30,0)*$C$219*$F$21)*$F$11+IF(AND(J$43&gt;=6,J$43&lt;=10),$G223*$G219/5,0)+IF(AND(J$43&gt;=7,J$43&lt;=11),$H223*$H219/5,0))*J221</f>
        <v>121.66466506334</v>
      </c>
      <c r="K231" s="29" t="n">
        <f aca="false">(IF($F$19=1,(SUMPRODUCT((Quesería!$C$70:$C$89=0)*(Quesería!$J$70:$J$89&gt;0)*(K$43&gt;=1)*(K$43&lt;=Quesería!$J$70:$J$89)*(Quesería!$H$70:$H$89&gt;0)*Quesería!$F$70:$F$89*(1+Quesería!$I$70:$I$89)/(Quesería!$J$70:$J$89+(Quesería!$J$70:$J$89=0)))+SUMPRODUCT((Quesería!$C$70:$C$89=0)*(Quesería!$J$70:$J$89=0)*(K$43=0)*(Quesería!$H$70:$H$89&gt;0)*Quesería!$F$70:$F$89*(1+Quesería!$I$70:$I$89)))*$B$219+(SUMPRODUCT((Quesería!$C$70:$C$89=1)*(Quesería!$J$70:$J$89&gt;0)*(K$43&gt;=2)*(K$43&lt;=Quesería!$J$70:$J$89+1)*(Quesería!$H$70:$H$89&gt;0)*Quesería!$F$70:$F$89*(1+Quesería!$I$70:$I$89)/(Quesería!$J$70:$J$89+(Quesería!$J$70:$J$89=0)))+SUMPRODUCT((Quesería!$C$70:$C$89=1)*(Quesería!$J$70:$J$89=0)*(K$43=1)*(Quesería!$H$70:$H$89&gt;0)*Quesería!$F$70:$F$89*(1+Quesería!$I$70:$I$89)))*$C$219*$F$21,IF(AND(K$43&gt;=1,K$43&lt;=Quesería!$B$30),Quesería!$F$92/Quesería!$B$30,0)*$B$219+IF(AND(K$43&gt;=2,K$43&lt;=Quesería!$B$30+1),Quesería!$F$93/Quesería!$B$30,0)*$C$219*$F$21)*$F$11+IF(AND(K$43&gt;=6,K$43&lt;=10),$G223*$G219/5,0)+IF(AND(K$43&gt;=7,K$43&lt;=11),$H223*$H219/5,0))*K221</f>
        <v>116.985254868597</v>
      </c>
      <c r="L231" s="29" t="n">
        <f aca="false">(IF($F$19=1,(SUMPRODUCT((Quesería!$C$70:$C$89=0)*(Quesería!$J$70:$J$89&gt;0)*(L$43&gt;=1)*(L$43&lt;=Quesería!$J$70:$J$89)*(Quesería!$H$70:$H$89&gt;0)*Quesería!$F$70:$F$89*(1+Quesería!$I$70:$I$89)/(Quesería!$J$70:$J$89+(Quesería!$J$70:$J$89=0)))+SUMPRODUCT((Quesería!$C$70:$C$89=0)*(Quesería!$J$70:$J$89=0)*(L$43=0)*(Quesería!$H$70:$H$89&gt;0)*Quesería!$F$70:$F$89*(1+Quesería!$I$70:$I$89)))*$B$219+(SUMPRODUCT((Quesería!$C$70:$C$89=1)*(Quesería!$J$70:$J$89&gt;0)*(L$43&gt;=2)*(L$43&lt;=Quesería!$J$70:$J$89+1)*(Quesería!$H$70:$H$89&gt;0)*Quesería!$F$70:$F$89*(1+Quesería!$I$70:$I$89)/(Quesería!$J$70:$J$89+(Quesería!$J$70:$J$89=0)))+SUMPRODUCT((Quesería!$C$70:$C$89=1)*(Quesería!$J$70:$J$89=0)*(L$43=1)*(Quesería!$H$70:$H$89&gt;0)*Quesería!$F$70:$F$89*(1+Quesería!$I$70:$I$89)))*$C$219*$F$21,IF(AND(L$43&gt;=1,L$43&lt;=Quesería!$B$30),Quesería!$F$92/Quesería!$B$30,0)*$B$219+IF(AND(L$43&gt;=2,L$43&lt;=Quesería!$B$30+1),Quesería!$F$93/Quesería!$B$30,0)*$C$219*$F$21)*$F$11+IF(AND(L$43&gt;=6,L$43&lt;=10),$G223*$G219/5,0)+IF(AND(L$43&gt;=7,L$43&lt;=11),$H223*$H219/5,0))*L221</f>
        <v>112.485821989035</v>
      </c>
    </row>
    <row r="232" customFormat="false" ht="15" hidden="true" customHeight="false" outlineLevel="1" collapsed="false">
      <c r="A232" s="9" t="s">
        <v>416</v>
      </c>
      <c r="B232" s="58" t="n">
        <f aca="false">IF(B$43=1,MIN($F$7*Quesería!$B$56*Quesería!$F$86*$F$11*$F$21,Quesería!$B$57*Quesería!$B$58),0)</f>
        <v>0</v>
      </c>
      <c r="C232" s="58" t="n">
        <f aca="false">IF(C$43=1,MIN($F$7*Quesería!$B$56*Quesería!$F$86*$F$11*$F$21,Quesería!$B$57*Quesería!$B$58),0)</f>
        <v>20</v>
      </c>
      <c r="D232" s="58" t="n">
        <f aca="false">IF(D$43=1,MIN($F$7*Quesería!$B$56*Quesería!$F$86*$F$11*$F$21,Quesería!$B$57*Quesería!$B$58),0)</f>
        <v>0</v>
      </c>
      <c r="E232" s="58" t="n">
        <f aca="false">IF(E$43=1,MIN($F$7*Quesería!$B$56*Quesería!$F$86*$F$11*$F$21,Quesería!$B$57*Quesería!$B$58),0)</f>
        <v>0</v>
      </c>
      <c r="F232" s="58" t="n">
        <f aca="false">IF(F$43=1,MIN($F$7*Quesería!$B$56*Quesería!$F$86*$F$11*$F$21,Quesería!$B$57*Quesería!$B$58),0)</f>
        <v>0</v>
      </c>
      <c r="G232" s="58" t="n">
        <f aca="false">IF(G$43=1,MIN($F$7*Quesería!$B$56*Quesería!$F$86*$F$11*$F$21,Quesería!$B$57*Quesería!$B$58),0)</f>
        <v>0</v>
      </c>
      <c r="H232" s="58" t="n">
        <f aca="false">IF(H$43=1,MIN($F$7*Quesería!$B$56*Quesería!$F$86*$F$11*$F$21,Quesería!$B$57*Quesería!$B$58),0)</f>
        <v>0</v>
      </c>
      <c r="I232" s="58" t="n">
        <f aca="false">IF(I$43=1,MIN($F$7*Quesería!$B$56*Quesería!$F$86*$F$11*$F$21,Quesería!$B$57*Quesería!$B$58),0)</f>
        <v>0</v>
      </c>
      <c r="J232" s="58" t="n">
        <f aca="false">IF(J$43=1,MIN($F$7*Quesería!$B$56*Quesería!$F$86*$F$11*$F$21,Quesería!$B$57*Quesería!$B$58),0)</f>
        <v>0</v>
      </c>
      <c r="K232" s="58" t="n">
        <f aca="false">IF(K$43=1,MIN($F$7*Quesería!$B$56*Quesería!$F$86*$F$11*$F$21,Quesería!$B$57*Quesería!$B$58),0)</f>
        <v>0</v>
      </c>
      <c r="L232" s="58" t="n">
        <f aca="false">IF(L$43=1,MIN($F$7*Quesería!$B$56*Quesería!$F$86*$F$11*$F$21,Quesería!$B$57*Quesería!$B$58),0)</f>
        <v>0</v>
      </c>
    </row>
    <row r="233" customFormat="false" ht="15" hidden="true" customHeight="false" outlineLevel="1" collapsed="false">
      <c r="A233" s="9" t="s">
        <v>417</v>
      </c>
      <c r="B233" s="58" t="n">
        <v>0</v>
      </c>
      <c r="C233" s="58" t="n">
        <f aca="false">$F$20*Quesería!$B$60*Quesería!$F$98*$F$11*$B$219/C219/2</f>
        <v>138.12868344741</v>
      </c>
      <c r="D233" s="58" t="n">
        <f aca="false">$F$20*Quesería!$B$60*Quesería!$F$98*$F$11*$B$219/D219/2</f>
        <v>132.18055832288</v>
      </c>
      <c r="E233" s="58" t="n">
        <v>0</v>
      </c>
      <c r="F233" s="58" t="n">
        <v>0</v>
      </c>
      <c r="G233" s="58" t="n">
        <v>0</v>
      </c>
      <c r="H233" s="58" t="n">
        <v>0</v>
      </c>
      <c r="I233" s="58" t="n">
        <v>0</v>
      </c>
      <c r="J233" s="58" t="n">
        <v>0</v>
      </c>
      <c r="K233" s="58" t="n">
        <v>0</v>
      </c>
      <c r="L233" s="58" t="n">
        <v>0</v>
      </c>
    </row>
    <row r="234" customFormat="false" ht="15" hidden="true" customHeight="false" outlineLevel="1" collapsed="false">
      <c r="A234" s="9" t="s">
        <v>418</v>
      </c>
      <c r="B234" s="58" t="n">
        <f aca="false">0</f>
        <v>0</v>
      </c>
      <c r="C234" s="58" t="n">
        <f aca="false">B224*B219/C219</f>
        <v>142.014925295407</v>
      </c>
      <c r="D234" s="58" t="n">
        <f aca="false">C224*C219/D219</f>
        <v>137.903466668091</v>
      </c>
      <c r="E234" s="58" t="n">
        <f aca="false">D224*D219/E219</f>
        <v>0</v>
      </c>
      <c r="F234" s="58" t="n">
        <f aca="false">E224*E219/F219</f>
        <v>0</v>
      </c>
      <c r="G234" s="58" t="n">
        <f aca="false">F224*F219/G219</f>
        <v>0</v>
      </c>
      <c r="H234" s="58" t="n">
        <f aca="false">G224*G219/H219</f>
        <v>5.01768392412113</v>
      </c>
      <c r="I234" s="58" t="n">
        <f aca="false">H224*H219/I219</f>
        <v>8.47494190873221</v>
      </c>
      <c r="J234" s="58" t="n">
        <f aca="false">I224*I219/J219</f>
        <v>0</v>
      </c>
      <c r="K234" s="58" t="n">
        <f aca="false">J224*J219/K219</f>
        <v>0</v>
      </c>
      <c r="L234" s="58" t="n">
        <f aca="false">K224*K219/L219</f>
        <v>0</v>
      </c>
    </row>
    <row r="235" customFormat="false" ht="15" hidden="true" customHeight="false" outlineLevel="1" collapsed="false">
      <c r="A235" s="6" t="s">
        <v>295</v>
      </c>
      <c r="B235" s="29" t="n">
        <f aca="false">$F$17*(B227-B228-B229-0.5*B230-B231)-B232-B233-B234</f>
        <v>-9.59839124703308</v>
      </c>
      <c r="C235" s="29" t="n">
        <f aca="false">$F$17*(C227-C228-C229-0.5*C230-C231)-C232-C233-C234</f>
        <v>-287.35904962886</v>
      </c>
      <c r="D235" s="29" t="n">
        <f aca="false">$F$17*(D227-D228-D229-0.5*D230-D231)-D232-D233-D234</f>
        <v>-221.194015414949</v>
      </c>
      <c r="E235" s="29" t="n">
        <f aca="false">$F$17*(E227-E228-E229-0.5*E230-E231)-E232-E233-E234</f>
        <v>67.919927069992</v>
      </c>
      <c r="F235" s="29" t="n">
        <f aca="false">$F$17*(F227-F228-F229-0.5*F230-F231)-F232-F233-F234</f>
        <v>69.9211093948245</v>
      </c>
      <c r="G235" s="29" t="n">
        <f aca="false">$F$17*(G227-G228-G229-0.5*G230-G231)-G232-G233-G234</f>
        <v>71.8243033137035</v>
      </c>
      <c r="H235" s="29" t="n">
        <f aca="false">$F$17*(H227-H228-H229-0.5*H230-H231)-H232-H233-H234</f>
        <v>71.1012340100136</v>
      </c>
      <c r="I235" s="29" t="n">
        <f aca="false">$F$17*(I227-I228-I229-0.5*I230-I231)-I232-I233-I234</f>
        <v>66.2502253977793</v>
      </c>
      <c r="J235" s="29" t="n">
        <f aca="false">$F$17*(J227-J228-J229-0.5*J230-J231)-J232-J233-J234</f>
        <v>76.472100252423</v>
      </c>
      <c r="K235" s="29" t="n">
        <f aca="false">$F$17*(K227-K228-K229-0.5*K230-K231)-K232-K233-K234</f>
        <v>78.1537395937832</v>
      </c>
      <c r="L235" s="29" t="n">
        <f aca="false">$F$17*(L227-L228-L229-0.5*L230-L231)-L232-L233-L234</f>
        <v>79.7726061036956</v>
      </c>
    </row>
    <row r="236" customFormat="false" ht="15" hidden="true" customHeight="false" outlineLevel="1" collapsed="false">
      <c r="A236" s="9" t="s">
        <v>419</v>
      </c>
      <c r="B236" s="58" t="n">
        <f aca="false">(IF(B$43&gt;=1,Quesería!$G$123*IF(B$43=1,Quesería!$B$20,1),Quesería!$G$123*Quesería!$B$20*Quesería!$B$21/12*$F$23)+IF(B$43&gt;=2,Quesería!$G$124*$F$21*IF(B$43=2,Quesería!$B$20,1),0))*$F$10</f>
        <v>77.4042870161869</v>
      </c>
      <c r="C236" s="58" t="n">
        <f aca="false">(IF(C$43&gt;=1,Quesería!$G$123*IF(C$43=1,Quesería!$B$20,1),Quesería!$G$123*Quesería!$B$20*Quesería!$B$21/12*$F$23)+IF(C$43&gt;=2,Quesería!$G$124*$F$21*IF(C$43=2,Quesería!$B$20,1),0))*$F$10</f>
        <v>116.10643052428</v>
      </c>
      <c r="D236" s="58" t="n">
        <f aca="false">(IF(D$43&gt;=1,Quesería!$G$123*IF(D$43=1,Quesería!$B$20,1),Quesería!$G$123*Quesería!$B$20*Quesería!$B$21/12*$F$23)+IF(D$43&gt;=2,Quesería!$G$124*$F$21*IF(D$43=2,Quesería!$B$20,1),0))*$F$10</f>
        <v>297.090260202792</v>
      </c>
      <c r="E236" s="58" t="n">
        <f aca="false">(IF(E$43&gt;=1,Quesería!$G$123*IF(E$43=1,Quesería!$B$20,1),Quesería!$G$123*Quesería!$B$20*Quesería!$B$21/12*$F$23)+IF(E$43&gt;=2,Quesería!$G$124*$F$21*IF(E$43=2,Quesería!$B$20,1),0))*$F$10</f>
        <v>344.517488926264</v>
      </c>
      <c r="F236" s="58" t="n">
        <f aca="false">(IF(F$43&gt;=1,Quesería!$G$123*IF(F$43=1,Quesería!$B$20,1),Quesería!$G$123*Quesería!$B$20*Quesería!$B$21/12*$F$23)+IF(F$43&gt;=2,Quesería!$G$124*$F$21*IF(F$43=2,Quesería!$B$20,1),0))*$F$10</f>
        <v>344.517488926264</v>
      </c>
      <c r="G236" s="58" t="n">
        <f aca="false">(IF(G$43&gt;=1,Quesería!$G$123*IF(G$43=1,Quesería!$B$20,1),Quesería!$G$123*Quesería!$B$20*Quesería!$B$21/12*$F$23)+IF(G$43&gt;=2,Quesería!$G$124*$F$21*IF(G$43=2,Quesería!$B$20,1),0))*$F$10</f>
        <v>344.517488926264</v>
      </c>
      <c r="H236" s="58" t="n">
        <f aca="false">(IF(H$43&gt;=1,Quesería!$G$123*IF(H$43=1,Quesería!$B$20,1),Quesería!$G$123*Quesería!$B$20*Quesería!$B$21/12*$F$23)+IF(H$43&gt;=2,Quesería!$G$124*$F$21*IF(H$43=2,Quesería!$B$20,1),0))*$F$10</f>
        <v>344.517488926264</v>
      </c>
      <c r="I236" s="58" t="n">
        <f aca="false">(IF(I$43&gt;=1,Quesería!$G$123*IF(I$43=1,Quesería!$B$20,1),Quesería!$G$123*Quesería!$B$20*Quesería!$B$21/12*$F$23)+IF(I$43&gt;=2,Quesería!$G$124*$F$21*IF(I$43=2,Quesería!$B$20,1),0))*$F$10</f>
        <v>344.517488926264</v>
      </c>
      <c r="J236" s="58" t="n">
        <f aca="false">(IF(J$43&gt;=1,Quesería!$G$123*IF(J$43=1,Quesería!$B$20,1),Quesería!$G$123*Quesería!$B$20*Quesería!$B$21/12*$F$23)+IF(J$43&gt;=2,Quesería!$G$124*$F$21*IF(J$43=2,Quesería!$B$20,1),0))*$F$10</f>
        <v>344.517488926264</v>
      </c>
      <c r="K236" s="58" t="n">
        <f aca="false">(IF(K$43&gt;=1,Quesería!$G$123*IF(K$43=1,Quesería!$B$20,1),Quesería!$G$123*Quesería!$B$20*Quesería!$B$21/12*$F$23)+IF(K$43&gt;=2,Quesería!$G$124*$F$21*IF(K$43=2,Quesería!$B$20,1),0))*$F$10</f>
        <v>344.517488926264</v>
      </c>
      <c r="L236" s="58" t="n">
        <f aca="false">(IF(L$43&gt;=1,Quesería!$G$123*IF(L$43=1,Quesería!$B$20,1),Quesería!$G$123*Quesería!$B$20*Quesería!$B$21/12*$F$23)+IF(L$43&gt;=2,Quesería!$G$124*$F$21*IF(L$43=2,Quesería!$B$20,1),0))*$F$10</f>
        <v>344.517488926264</v>
      </c>
    </row>
    <row r="237" customFormat="false" ht="15" hidden="true" customHeight="false" outlineLevel="1" collapsed="false">
      <c r="A237" s="6" t="s">
        <v>420</v>
      </c>
      <c r="B237" s="29" t="n">
        <f aca="false">(B236*(Quesería!$B$38+Quesería!$B$40*Quesería!$B$39)/365-B228*Quesería!$B$42/365)</f>
        <v>7.23146900616979</v>
      </c>
      <c r="C237" s="29" t="n">
        <f aca="false">(C236*(Quesería!$B$38+Quesería!$B$40*Quesería!$B$39)/365-C228*Quesería!$B$42/365)-(B236*(Quesería!$B$38+Quesería!$B$40*Quesería!$B$39)/365-B228*Quesería!$B$42/365)*B219/C219</f>
        <v>1.42287846600884</v>
      </c>
      <c r="D237" s="29" t="n">
        <f aca="false">(D236*(Quesería!$B$38+Quesería!$B$40*Quesería!$B$39)/365-D228*Quesería!$B$42/365)-(C236*(Quesería!$B$38+Quesería!$B$40*Quesería!$B$39)/365-C228*Quesería!$B$42/365)*C219/D219</f>
        <v>14.0205300736897</v>
      </c>
      <c r="E237" s="29" t="n">
        <f aca="false">(E236*(Quesería!$B$38+Quesería!$B$40*Quesería!$B$39)/365-E228*Quesería!$B$42/365)-(D236*(Quesería!$B$38+Quesería!$B$40*Quesería!$B$39)/365-D228*Quesería!$B$42/365)*D219/E219</f>
        <v>5.27597549905193</v>
      </c>
      <c r="F237" s="29" t="n">
        <f aca="false">(F236*(Quesería!$B$38+Quesería!$B$40*Quesería!$B$39)/365-F228*Quesería!$B$42/365)-(E236*(Quesería!$B$38+Quesería!$B$40*Quesería!$B$39)/365-E228*Quesería!$B$42/365)*E219/F219</f>
        <v>1.01552107473577</v>
      </c>
      <c r="G237" s="29" t="n">
        <f aca="false">(G236*(Quesería!$B$38+Quesería!$B$40*Quesería!$B$39)/365-G228*Quesería!$B$42/365)-(F236*(Quesería!$B$38+Quesería!$B$40*Quesería!$B$39)/365-F228*Quesería!$B$42/365)*F219/G219</f>
        <v>1.01552107473577</v>
      </c>
      <c r="H237" s="29" t="n">
        <f aca="false">(H236*(Quesería!$B$38+Quesería!$B$40*Quesería!$B$39)/365-H228*Quesería!$B$42/365)-(G236*(Quesería!$B$38+Quesería!$B$40*Quesería!$B$39)/365-G228*Quesería!$B$42/365)*G219/H219</f>
        <v>1.01552107473577</v>
      </c>
      <c r="I237" s="29" t="n">
        <f aca="false">(I236*(Quesería!$B$38+Quesería!$B$40*Quesería!$B$39)/365-I228*Quesería!$B$42/365)-(H236*(Quesería!$B$38+Quesería!$B$40*Quesería!$B$39)/365-H228*Quesería!$B$42/365)*H219/I219</f>
        <v>1.01552107473577</v>
      </c>
      <c r="J237" s="29" t="n">
        <f aca="false">(J236*(Quesería!$B$38+Quesería!$B$40*Quesería!$B$39)/365-J228*Quesería!$B$42/365)-(I236*(Quesería!$B$38+Quesería!$B$40*Quesería!$B$39)/365-I228*Quesería!$B$42/365)*I219/J219</f>
        <v>1.01552107473577</v>
      </c>
      <c r="K237" s="29" t="n">
        <f aca="false">(K236*(Quesería!$B$38+Quesería!$B$40*Quesería!$B$39)/365-K228*Quesería!$B$42/365)-(J236*(Quesería!$B$38+Quesería!$B$40*Quesería!$B$39)/365-J228*Quesería!$B$42/365)*J219/K219</f>
        <v>1.01552107473577</v>
      </c>
      <c r="L237" s="29" t="n">
        <f aca="false">-(K236*(Quesería!$B$38+Quesería!$B$40*Quesería!$B$39)/365-K228*Quesería!$B$42/365)*K219/L219</f>
        <v>-25.3880268683941</v>
      </c>
    </row>
    <row r="238" customFormat="false" ht="15" hidden="true" customHeight="false" outlineLevel="1" collapsed="false">
      <c r="A238" s="6" t="s">
        <v>421</v>
      </c>
      <c r="B238" s="29" t="n">
        <v>0</v>
      </c>
      <c r="C238" s="29" t="n">
        <v>0</v>
      </c>
      <c r="D238" s="29" t="n">
        <v>0</v>
      </c>
      <c r="E238" s="29" t="n">
        <v>0</v>
      </c>
      <c r="F238" s="29" t="n">
        <v>0</v>
      </c>
      <c r="G238" s="29" t="n">
        <v>0</v>
      </c>
      <c r="H238" s="29" t="n">
        <v>0</v>
      </c>
      <c r="I238" s="29" t="n">
        <v>0</v>
      </c>
      <c r="J238" s="29" t="n">
        <v>0</v>
      </c>
      <c r="K238" s="29" t="n">
        <v>0</v>
      </c>
      <c r="L238" s="29" t="n">
        <f aca="false">$F$8*Quesería!$B$36*(Quesería!$F$94+Quesería!$F$95*$F$21)*$F$11*(1-$F$17)</f>
        <v>67.1237725584543</v>
      </c>
    </row>
    <row r="239" customFormat="false" ht="15" hidden="true" customHeight="false" outlineLevel="1" collapsed="false">
      <c r="A239" s="5" t="s">
        <v>147</v>
      </c>
      <c r="B239" s="59" t="n">
        <f aca="false">B227-B228-B229-B230-B235-B222-B223-B224-B237+B238</f>
        <v>-961.151880133756</v>
      </c>
      <c r="C239" s="59" t="n">
        <f aca="false">C227-C228-C229-C230-C235-C222-C223-C224-C237+C238</f>
        <v>-499.777758451238</v>
      </c>
      <c r="D239" s="59" t="n">
        <f aca="false">D227-D228-D229-D230-D235-D222-D223-D224-D237+D238</f>
        <v>497.968999464956</v>
      </c>
      <c r="E239" s="59" t="n">
        <f aca="false">E227-E228-E229-E230-E235-E222-E223-E224-E237+E238</f>
        <v>266.151509818939</v>
      </c>
      <c r="F239" s="59" t="n">
        <f aca="false">F227-F228-F229-F230-F235-F222-F223-F224-F237+F238</f>
        <v>268.532970150167</v>
      </c>
      <c r="G239" s="59" t="n">
        <f aca="false">G227-G228-G229-G230-G235-G222-G223-G224-G237+G238</f>
        <v>233.938232420032</v>
      </c>
      <c r="H239" s="59" t="n">
        <f aca="false">H227-H228-H229-H230-H235-H222-H223-H224-H237+H238</f>
        <v>212.175150199429</v>
      </c>
      <c r="I239" s="59" t="n">
        <f aca="false">I227-I228-I229-I230-I235-I222-I223-I224-I237+I238</f>
        <v>272.574096723496</v>
      </c>
      <c r="J239" s="59" t="n">
        <f aca="false">J227-J228-J229-J230-J235-J222-J223-J224-J237+J238</f>
        <v>262.476872254637</v>
      </c>
      <c r="K239" s="59" t="n">
        <f aca="false">K227-K228-K229-K230-K235-K222-K223-K224-K237+K238</f>
        <v>260.920506550991</v>
      </c>
      <c r="L239" s="59" t="n">
        <f aca="false">L227-L228-L229-L230-L235-L222-L223-L224-L237+L238</f>
        <v>352.954860548565</v>
      </c>
    </row>
    <row r="240" customFormat="false" ht="15" hidden="true" customHeight="false" outlineLevel="1" collapsed="false">
      <c r="A240" s="9" t="s">
        <v>422</v>
      </c>
      <c r="B240" s="58" t="n">
        <f aca="false">B239*B219</f>
        <v>-1018.82099294178</v>
      </c>
      <c r="C240" s="58" t="n">
        <f aca="false">C239*C219</f>
        <v>-556.252645156228</v>
      </c>
      <c r="D240" s="58" t="n">
        <f aca="false">D239*D219</f>
        <v>579.180273742699</v>
      </c>
      <c r="E240" s="58" t="n">
        <f aca="false">E239*E219</f>
        <v>321.939101949671</v>
      </c>
      <c r="F240" s="58" t="n">
        <f aca="false">F239*F219</f>
        <v>337.812525825415</v>
      </c>
      <c r="G240" s="58" t="n">
        <f aca="false">G239*G219</f>
        <v>306.064300939364</v>
      </c>
      <c r="H240" s="58" t="n">
        <f aca="false">H239*H219</f>
        <v>288.695045203774</v>
      </c>
      <c r="I240" s="58" t="n">
        <f aca="false">I239*I219</f>
        <v>385.711629024626</v>
      </c>
      <c r="J240" s="58" t="n">
        <f aca="false">J239*J219</f>
        <v>386.280275798099</v>
      </c>
      <c r="K240" s="58" t="n">
        <f aca="false">K239*K219</f>
        <v>399.349406066844</v>
      </c>
      <c r="L240" s="58" t="n">
        <f aca="false">L239*L219</f>
        <v>561.820182029145</v>
      </c>
    </row>
    <row r="241" customFormat="false" ht="15" hidden="true" customHeight="false" outlineLevel="1" collapsed="false">
      <c r="A241" s="6" t="s">
        <v>423</v>
      </c>
      <c r="B241" s="29" t="n">
        <f aca="false">B239</f>
        <v>-961.151880133756</v>
      </c>
      <c r="C241" s="29" t="n">
        <f aca="false">B241+C239</f>
        <v>-1460.92963858499</v>
      </c>
      <c r="D241" s="29" t="n">
        <f aca="false">C241+D239</f>
        <v>-962.960639120038</v>
      </c>
      <c r="E241" s="29" t="n">
        <f aca="false">D241+E239</f>
        <v>-696.809129301099</v>
      </c>
      <c r="F241" s="29" t="n">
        <f aca="false">E241+F239</f>
        <v>-428.276159150932</v>
      </c>
      <c r="G241" s="29" t="n">
        <f aca="false">F241+G239</f>
        <v>-194.3379267309</v>
      </c>
      <c r="H241" s="29" t="n">
        <f aca="false">G241+H239</f>
        <v>17.837223468529</v>
      </c>
      <c r="I241" s="29" t="n">
        <f aca="false">H241+I239</f>
        <v>290.411320192025</v>
      </c>
      <c r="J241" s="29" t="n">
        <f aca="false">I241+J239</f>
        <v>552.888192446662</v>
      </c>
      <c r="K241" s="29" t="n">
        <f aca="false">J241+K239</f>
        <v>813.808698997652</v>
      </c>
      <c r="L241" s="29" t="n">
        <f aca="false">K241+L239</f>
        <v>1166.76355954622</v>
      </c>
    </row>
    <row r="242" customFormat="false" ht="15" hidden="true" customHeight="false" outlineLevel="1" collapsed="false">
      <c r="A242" s="9" t="s">
        <v>424</v>
      </c>
      <c r="B242" s="60" t="n">
        <v>0</v>
      </c>
      <c r="C242" s="60" t="n">
        <f aca="false">IF(AND(B241&lt;0,C241&gt;=0),B$43+(-B241)/C239,0)</f>
        <v>0</v>
      </c>
      <c r="D242" s="60" t="n">
        <f aca="false">IF(AND(C241&lt;0,D241&gt;=0),C$43+(-C241)/D239,0)</f>
        <v>0</v>
      </c>
      <c r="E242" s="60" t="n">
        <f aca="false">IF(AND(D241&lt;0,E241&gt;=0),D$43+(-D241)/E239,0)</f>
        <v>0</v>
      </c>
      <c r="F242" s="60" t="n">
        <f aca="false">IF(AND(E241&lt;0,F241&gt;=0),E$43+(-E241)/F239,0)</f>
        <v>0</v>
      </c>
      <c r="G242" s="60" t="n">
        <f aca="false">IF(AND(F241&lt;0,G241&gt;=0),F$43+(-F241)/G239,0)</f>
        <v>0</v>
      </c>
      <c r="H242" s="60" t="n">
        <f aca="false">IF(AND(G241&lt;0,H241&gt;=0),G$43+(-G241)/H239,0)</f>
        <v>5.91593160908917</v>
      </c>
      <c r="I242" s="60" t="n">
        <f aca="false">IF(AND(H241&lt;0,I241&gt;=0),H$43+(-H241)/I239,0)</f>
        <v>0</v>
      </c>
      <c r="J242" s="60" t="n">
        <f aca="false">IF(AND(I241&lt;0,J241&gt;=0),I$43+(-I241)/J239,0)</f>
        <v>0</v>
      </c>
      <c r="K242" s="60" t="n">
        <f aca="false">IF(AND(J241&lt;0,K241&gt;=0),J$43+(-J241)/K239,0)</f>
        <v>0</v>
      </c>
      <c r="L242" s="60" t="n">
        <f aca="false">IF(AND(K241&lt;0,L241&gt;=0),K$43+(-K241)/L239,0)</f>
        <v>0</v>
      </c>
    </row>
    <row r="243" customFormat="false" ht="15" hidden="true" customHeight="false" outlineLevel="1" collapsed="false">
      <c r="A243" s="9" t="s">
        <v>425</v>
      </c>
      <c r="B243" s="57" t="n">
        <f aca="false">(B219/$B$219)/(1+$F$25)^B$43</f>
        <v>1</v>
      </c>
      <c r="C243" s="57" t="n">
        <f aca="false">(C219/$B$219)/(1+$F$25)^C$43</f>
        <v>0.915373701313561</v>
      </c>
      <c r="D243" s="57" t="n">
        <f aca="false">(D219/$B$219)/(1+$F$25)^D$43</f>
        <v>0.833918970137172</v>
      </c>
      <c r="E243" s="57" t="n">
        <f aca="false">(E219/$B$219)/(1+$F$25)^E$43</f>
        <v>0.756077518153961</v>
      </c>
      <c r="F243" s="57" t="n">
        <f aca="false">(F219/$B$219)/(1+$F$25)^F$43</f>
        <v>0.685502109831871</v>
      </c>
      <c r="G243" s="57" t="n">
        <f aca="false">(G219/$B$219)/(1+$F$25)^G$43</f>
        <v>0.621514502549008</v>
      </c>
      <c r="H243" s="57" t="n">
        <f aca="false">(H219/$B$219)/(1+$F$25)^H$43</f>
        <v>0.563499763660072</v>
      </c>
      <c r="I243" s="57" t="n">
        <f aca="false">(I219/$B$219)/(1+$F$25)^I$43</f>
        <v>0.510900360880829</v>
      </c>
      <c r="J243" s="57" t="n">
        <f aca="false">(J219/$B$219)/(1+$F$25)^J$43</f>
        <v>0.463210804300567</v>
      </c>
      <c r="K243" s="57" t="n">
        <f aca="false">(K219/$B$219)/(1+$F$25)^K$43</f>
        <v>0.419972788531318</v>
      </c>
      <c r="L243" s="57" t="n">
        <f aca="false">(L219/$B$219)/(1+$F$25)^L$43</f>
        <v>0.380770788308996</v>
      </c>
    </row>
    <row r="244" customFormat="false" ht="15" hidden="true" customHeight="false" outlineLevel="1" collapsed="false">
      <c r="A244" s="9" t="s">
        <v>426</v>
      </c>
      <c r="B244" s="58" t="n">
        <f aca="false">B239*B243</f>
        <v>-961.151880133756</v>
      </c>
      <c r="C244" s="58" t="n">
        <f aca="false">C239*C243</f>
        <v>-457.483416587705</v>
      </c>
      <c r="D244" s="58" t="n">
        <f aca="false">D239*D243</f>
        <v>415.265795194054</v>
      </c>
      <c r="E244" s="58" t="n">
        <f aca="false">E239*E243</f>
        <v>201.231172996833</v>
      </c>
      <c r="F244" s="58" t="n">
        <f aca="false">F239*F243</f>
        <v>184.079917597359</v>
      </c>
      <c r="G244" s="58" t="n">
        <f aca="false">G239*G243</f>
        <v>145.39600414973</v>
      </c>
      <c r="H244" s="58" t="n">
        <f aca="false">H239*H243</f>
        <v>119.560646991918</v>
      </c>
      <c r="I244" s="58" t="n">
        <f aca="false">I239*I243</f>
        <v>139.2582043828</v>
      </c>
      <c r="J244" s="58" t="n">
        <f aca="false">J239*J243</f>
        <v>121.582123107368</v>
      </c>
      <c r="K244" s="58" t="n">
        <f aca="false">K239*K243</f>
        <v>109.579512721223</v>
      </c>
      <c r="L244" s="58" t="n">
        <f aca="false">L239*L243</f>
        <v>134.394900488569</v>
      </c>
    </row>
    <row r="245" customFormat="false" ht="15" hidden="true" customHeight="false" outlineLevel="1" collapsed="false">
      <c r="A245" s="9" t="s">
        <v>427</v>
      </c>
      <c r="B245" s="58" t="n">
        <f aca="false">B244</f>
        <v>-961.151880133756</v>
      </c>
      <c r="C245" s="58" t="n">
        <f aca="false">B245+C244</f>
        <v>-1418.63529672146</v>
      </c>
      <c r="D245" s="58" t="n">
        <f aca="false">C245+D244</f>
        <v>-1003.36950152741</v>
      </c>
      <c r="E245" s="58" t="n">
        <f aca="false">D245+E244</f>
        <v>-802.138328530573</v>
      </c>
      <c r="F245" s="58" t="n">
        <f aca="false">E245+F244</f>
        <v>-618.058410933215</v>
      </c>
      <c r="G245" s="58" t="n">
        <f aca="false">F245+G244</f>
        <v>-472.662406783484</v>
      </c>
      <c r="H245" s="58" t="n">
        <f aca="false">G245+H244</f>
        <v>-353.101759791566</v>
      </c>
      <c r="I245" s="58" t="n">
        <f aca="false">H245+I244</f>
        <v>-213.843555408766</v>
      </c>
      <c r="J245" s="58" t="n">
        <f aca="false">I245+J244</f>
        <v>-92.2614323013985</v>
      </c>
      <c r="K245" s="58" t="n">
        <f aca="false">J245+K244</f>
        <v>17.318080419825</v>
      </c>
      <c r="L245" s="58" t="n">
        <f aca="false">K245+L244</f>
        <v>151.712980908394</v>
      </c>
    </row>
    <row r="246" customFormat="false" ht="15" hidden="true" customHeight="false" outlineLevel="1" collapsed="false">
      <c r="A246" s="9" t="s">
        <v>428</v>
      </c>
      <c r="B246" s="60" t="n">
        <v>0</v>
      </c>
      <c r="C246" s="60" t="n">
        <f aca="false">IF(AND(B245&lt;0,C245&gt;=0),B$43+(-B245)/C244,0)</f>
        <v>0</v>
      </c>
      <c r="D246" s="60" t="n">
        <f aca="false">IF(AND(C245&lt;0,D245&gt;=0),C$43+(-C245)/D244,0)</f>
        <v>0</v>
      </c>
      <c r="E246" s="60" t="n">
        <f aca="false">IF(AND(D245&lt;0,E245&gt;=0),D$43+(-D245)/E244,0)</f>
        <v>0</v>
      </c>
      <c r="F246" s="60" t="n">
        <f aca="false">IF(AND(E245&lt;0,F245&gt;=0),E$43+(-E245)/F244,0)</f>
        <v>0</v>
      </c>
      <c r="G246" s="60" t="n">
        <f aca="false">IF(AND(F245&lt;0,G245&gt;=0),F$43+(-F245)/G244,0)</f>
        <v>0</v>
      </c>
      <c r="H246" s="60" t="n">
        <f aca="false">IF(AND(G245&lt;0,H245&gt;=0),G$43+(-G245)/H244,0)</f>
        <v>0</v>
      </c>
      <c r="I246" s="60" t="n">
        <f aca="false">IF(AND(H245&lt;0,I245&gt;=0),H$43+(-H245)/I244,0)</f>
        <v>0</v>
      </c>
      <c r="J246" s="60" t="n">
        <f aca="false">IF(AND(I245&lt;0,J245&gt;=0),I$43+(-I245)/J244,0)</f>
        <v>0</v>
      </c>
      <c r="K246" s="60" t="n">
        <f aca="false">IF(AND(J245&lt;0,K245&gt;=0),J$43+(-J245)/K244,0)</f>
        <v>8.84195877505056</v>
      </c>
      <c r="L246" s="60" t="n">
        <f aca="false">IF(AND(K245&lt;0,L245&gt;=0),K$43+(-K245)/L244,0)</f>
        <v>0</v>
      </c>
    </row>
    <row r="247" customFormat="false" ht="15" hidden="true" customHeight="false" outlineLevel="1" collapsed="false">
      <c r="A247" s="9" t="s">
        <v>429</v>
      </c>
      <c r="B247" s="58" t="n">
        <f aca="false">IF(B$43&lt;0,0,(Quesería!$B$44*$B$222*$B$219)*(1-MAX(0,MIN(B$43-0-Quesería!$B$47,(Quesería!$B$46-Quesería!$B$47)))/(Quesería!$B$46-Quesería!$B$47))*IF(B$43&gt;=2,1-Quesería!$B$48,1))+IF(B$43&lt;1,0,(Quesería!$B$44*$C$222*$C$219)*(1-MAX(0,MIN(B$43-1-Quesería!$B$47,(Quesería!$B$46-Quesería!$B$47)))/(Quesería!$B$46-Quesería!$B$47))*IF(B$43&gt;=2,1-Quesería!$B$48,1))</f>
        <v>641.321364968425</v>
      </c>
      <c r="C247" s="58" t="n">
        <f aca="false">IF(C$43&lt;0,0,(Quesería!$B$44*$B$222*$B$219)*(1-MAX(0,MIN(C$43-0-Quesería!$B$47,(Quesería!$B$46-Quesería!$B$47)))/(Quesería!$B$46-Quesería!$B$47))*IF(C$43&gt;=2,1-Quesería!$B$48,1))+IF(C$43&lt;1,0,(Quesería!$B$44*$C$222*$C$219)*(1-MAX(0,MIN(C$43-1-Quesería!$B$47,(Quesería!$B$46-Quesería!$B$47)))/(Quesería!$B$46-Quesería!$B$47))*IF(C$43&gt;=2,1-Quesería!$B$48,1))</f>
        <v>1190.03581125409</v>
      </c>
      <c r="D247" s="58" t="n">
        <f aca="false">IF(D$43&lt;0,0,(Quesería!$B$44*$B$222*$B$219)*(1-MAX(0,MIN(D$43-0-Quesería!$B$47,(Quesería!$B$46-Quesería!$B$47)))/(Quesería!$B$46-Quesería!$B$47))*IF(D$43&gt;=2,1-Quesería!$B$48,1))+IF(D$43&lt;1,0,(Quesería!$B$44*$C$222*$C$219)*(1-MAX(0,MIN(D$43-1-Quesería!$B$47,(Quesería!$B$46-Quesería!$B$47)))/(Quesería!$B$46-Quesería!$B$47))*IF(D$43&gt;=2,1-Quesería!$B$48,1))</f>
        <v>1083.14891709269</v>
      </c>
      <c r="E247" s="58" t="n">
        <f aca="false">IF(E$43&lt;0,0,(Quesería!$B$44*$B$222*$B$219)*(1-MAX(0,MIN(E$43-0-Quesería!$B$47,(Quesería!$B$46-Quesería!$B$47)))/(Quesería!$B$46-Quesería!$B$47))*IF(E$43&gt;=2,1-Quesería!$B$48,1))+IF(E$43&lt;1,0,(Quesería!$B$44*$C$222*$C$219)*(1-MAX(0,MIN(E$43-1-Quesería!$B$47,(Quesería!$B$46-Quesería!$B$47)))/(Quesería!$B$46-Quesería!$B$47))*IF(E$43&gt;=2,1-Quesería!$B$48,1))</f>
        <v>884.809615217005</v>
      </c>
      <c r="F247" s="58" t="n">
        <f aca="false">IF(F$43&lt;0,0,(Quesería!$B$44*$B$222*$B$219)*(1-MAX(0,MIN(F$43-0-Quesería!$B$47,(Quesería!$B$46-Quesería!$B$47)))/(Quesería!$B$46-Quesería!$B$47))*IF(F$43&gt;=2,1-Quesería!$B$48,1))+IF(F$43&lt;1,0,(Quesería!$B$44*$C$222*$C$219)*(1-MAX(0,MIN(F$43-1-Quesería!$B$47,(Quesería!$B$46-Quesería!$B$47)))/(Quesería!$B$46-Quesería!$B$47))*IF(F$43&gt;=2,1-Quesería!$B$48,1))</f>
        <v>686.470313341323</v>
      </c>
      <c r="G247" s="58" t="n">
        <f aca="false">IF(G$43&lt;0,0,(Quesería!$B$44*$B$222*$B$219)*(1-MAX(0,MIN(G$43-0-Quesería!$B$47,(Quesería!$B$46-Quesería!$B$47)))/(Quesería!$B$46-Quesería!$B$47))*IF(G$43&gt;=2,1-Quesería!$B$48,1))+IF(G$43&lt;1,0,(Quesería!$B$44*$C$222*$C$219)*(1-MAX(0,MIN(G$43-1-Quesería!$B$47,(Quesería!$B$46-Quesería!$B$47)))/(Quesería!$B$46-Quesería!$B$47))*IF(G$43&gt;=2,1-Quesería!$B$48,1))</f>
        <v>488.131011465641</v>
      </c>
      <c r="H247" s="58" t="n">
        <f aca="false">IF(H$43&lt;0,0,(Quesería!$B$44*$B$222*$B$219)*(1-MAX(0,MIN(H$43-0-Quesería!$B$47,(Quesería!$B$46-Quesería!$B$47)))/(Quesería!$B$46-Quesería!$B$47))*IF(H$43&gt;=2,1-Quesería!$B$48,1))+IF(H$43&lt;1,0,(Quesería!$B$44*$C$222*$C$219)*(1-MAX(0,MIN(H$43-1-Quesería!$B$47,(Quesería!$B$46-Quesería!$B$47)))/(Quesería!$B$46-Quesería!$B$47))*IF(H$43&gt;=2,1-Quesería!$B$48,1))</f>
        <v>289.79170958996</v>
      </c>
      <c r="I247" s="58" t="n">
        <f aca="false">IF(I$43&lt;0,0,(Quesería!$B$44*$B$222*$B$219)*(1-MAX(0,MIN(I$43-0-Quesería!$B$47,(Quesería!$B$46-Quesería!$B$47)))/(Quesería!$B$46-Quesería!$B$47))*IF(I$43&gt;=2,1-Quesería!$B$48,1))+IF(I$43&lt;1,0,(Quesería!$B$44*$C$222*$C$219)*(1-MAX(0,MIN(I$43-1-Quesería!$B$47,(Quesería!$B$46-Quesería!$B$47)))/(Quesería!$B$46-Quesería!$B$47))*IF(I$43&gt;=2,1-Quesería!$B$48,1))</f>
        <v>91.4524077142776</v>
      </c>
      <c r="J247" s="58" t="n">
        <f aca="false">IF(J$43&lt;0,0,(Quesería!$B$44*$B$222*$B$219)*(1-MAX(0,MIN(J$43-0-Quesería!$B$47,(Quesería!$B$46-Quesería!$B$47)))/(Quesería!$B$46-Quesería!$B$47))*IF(J$43&gt;=2,1-Quesería!$B$48,1))+IF(J$43&lt;1,0,(Quesería!$B$44*$C$222*$C$219)*(1-MAX(0,MIN(J$43-1-Quesería!$B$47,(Quesería!$B$46-Quesería!$B$47)))/(Quesería!$B$46-Quesería!$B$47))*IF(J$43&gt;=2,1-Quesería!$B$48,1))</f>
        <v>0</v>
      </c>
      <c r="K247" s="58" t="n">
        <f aca="false">IF(K$43&lt;0,0,(Quesería!$B$44*$B$222*$B$219)*(1-MAX(0,MIN(K$43-0-Quesería!$B$47,(Quesería!$B$46-Quesería!$B$47)))/(Quesería!$B$46-Quesería!$B$47))*IF(K$43&gt;=2,1-Quesería!$B$48,1))+IF(K$43&lt;1,0,(Quesería!$B$44*$C$222*$C$219)*(1-MAX(0,MIN(K$43-1-Quesería!$B$47,(Quesería!$B$46-Quesería!$B$47)))/(Quesería!$B$46-Quesería!$B$47))*IF(K$43&gt;=2,1-Quesería!$B$48,1))</f>
        <v>0</v>
      </c>
      <c r="L247" s="58" t="n">
        <f aca="false">IF(L$43&lt;0,0,(Quesería!$B$44*$B$222*$B$219)*(1-MAX(0,MIN(L$43-0-Quesería!$B$47,(Quesería!$B$46-Quesería!$B$47)))/(Quesería!$B$46-Quesería!$B$47))*IF(L$43&gt;=2,1-Quesería!$B$48,1))+IF(L$43&lt;1,0,(Quesería!$B$44*$C$222*$C$219)*(1-MAX(0,MIN(L$43-1-Quesería!$B$47,(Quesería!$B$46-Quesería!$B$47)))/(Quesería!$B$46-Quesería!$B$47))*IF(L$43&gt;=2,1-Quesería!$B$48,1))</f>
        <v>0</v>
      </c>
    </row>
    <row r="248" customFormat="false" ht="15" hidden="true" customHeight="false" outlineLevel="1" collapsed="false">
      <c r="A248" s="6" t="s">
        <v>430</v>
      </c>
      <c r="B248" s="29" t="n">
        <f aca="false">Quesería!$B$44*B222</f>
        <v>605.02015563059</v>
      </c>
      <c r="C248" s="29" t="n">
        <f aca="false">Quesería!$B$44*C222</f>
        <v>493.004893338424</v>
      </c>
      <c r="D248" s="29" t="n">
        <f aca="false">Quesería!$B$44*D222</f>
        <v>0</v>
      </c>
      <c r="E248" s="29" t="n">
        <f aca="false">Quesería!$B$44*E222</f>
        <v>0</v>
      </c>
      <c r="F248" s="29" t="n">
        <f aca="false">Quesería!$B$44*F222</f>
        <v>0</v>
      </c>
      <c r="G248" s="29" t="n">
        <f aca="false">Quesería!$B$44*G222</f>
        <v>0</v>
      </c>
      <c r="H248" s="29" t="n">
        <f aca="false">Quesería!$B$44*H222</f>
        <v>0</v>
      </c>
      <c r="I248" s="29" t="n">
        <f aca="false">Quesería!$B$44*I222</f>
        <v>0</v>
      </c>
      <c r="J248" s="29" t="n">
        <f aca="false">Quesería!$B$44*J222</f>
        <v>0</v>
      </c>
      <c r="K248" s="29" t="n">
        <f aca="false">Quesería!$B$44*K222</f>
        <v>0</v>
      </c>
      <c r="L248" s="29" t="n">
        <f aca="false">Quesería!$B$44*L222</f>
        <v>0</v>
      </c>
    </row>
    <row r="249" customFormat="false" ht="15" hidden="true" customHeight="false" outlineLevel="1" collapsed="false">
      <c r="A249" s="6" t="s">
        <v>431</v>
      </c>
      <c r="B249" s="29" t="n">
        <f aca="false">(IF(AND(B$43&gt;0,B$43&lt;=0+Quesería!$B$46),($F$14+$F$24)*(Quesería!$B$44*$B$222*$B$219)*(1-MAX(0,MIN((B$43-1)-0-Quesería!$B$47,(Quesería!$B$46-Quesería!$B$47)))/(Quesería!$B$46-Quesería!$B$47))*IF(B$43&gt;2,1-Quesería!$B$48,1),0)+IF(AND(B$43&gt;1,B$43&lt;=1+Quesería!$B$46),($F$14+$F$24)*(Quesería!$B$44*$C$222*$C$219)*(1-MAX(0,MIN((B$43-1)-1-Quesería!$B$47,(Quesería!$B$46-Quesería!$B$47)))/(Quesería!$B$46-Quesería!$B$47))*IF(B$43&gt;2,1-Quesería!$B$48,1),0))*B221</f>
        <v>0</v>
      </c>
      <c r="C249" s="29" t="n">
        <f aca="false">(IF(AND(C$43&gt;0,C$43&lt;=0+Quesería!$B$46),($F$14+$F$24)*(Quesería!$B$44*$B$222*$B$219)*(1-MAX(0,MIN((C$43-1)-0-Quesería!$B$47,(Quesería!$B$46-Quesería!$B$47)))/(Quesería!$B$46-Quesería!$B$47))*IF(C$43&gt;2,1-Quesería!$B$48,1),0)+IF(AND(C$43&gt;1,C$43&lt;=1+Quesería!$B$46),($F$14+$F$24)*(Quesería!$B$44*$C$222*$C$219)*(1-MAX(0,MIN((C$43-1)-1-Quesería!$B$47,(Quesería!$B$46-Quesería!$B$47)))/(Quesería!$B$46-Quesería!$B$47))*IF(C$43&gt;2,1-Quesería!$B$48,1),0))*C221</f>
        <v>81.2455637561078</v>
      </c>
      <c r="D249" s="29" t="n">
        <f aca="false">(IF(AND(D$43&gt;0,D$43&lt;=0+Quesería!$B$46),($F$14+$F$24)*(Quesería!$B$44*$B$222*$B$219)*(1-MAX(0,MIN((D$43-1)-0-Quesería!$B$47,(Quesería!$B$46-Quesería!$B$47)))/(Quesería!$B$46-Quesería!$B$47))*IF(D$43&gt;2,1-Quesería!$B$48,1),0)+IF(AND(D$43&gt;1,D$43&lt;=1+Quesería!$B$46),($F$14+$F$24)*(Quesería!$B$44*$C$222*$C$219)*(1-MAX(0,MIN((D$43-1)-1-Quesería!$B$47,(Quesería!$B$46-Quesería!$B$47)))/(Quesería!$B$46-Quesería!$B$47))*IF(D$43&gt;2,1-Quesería!$B$48,1),0))*D221</f>
        <v>144.267228437154</v>
      </c>
      <c r="E249" s="29" t="n">
        <f aca="false">(IF(AND(E$43&gt;0,E$43&lt;=0+Quesería!$B$46),($F$14+$F$24)*(Quesería!$B$44*$B$222*$B$219)*(1-MAX(0,MIN((E$43-1)-0-Quesería!$B$47,(Quesería!$B$46-Quesería!$B$47)))/(Quesería!$B$46-Quesería!$B$47))*IF(E$43&gt;2,1-Quesería!$B$48,1),0)+IF(AND(E$43&gt;1,E$43&lt;=1+Quesería!$B$46),($F$14+$F$24)*(Quesería!$B$44*$C$222*$C$219)*(1-MAX(0,MIN((E$43-1)-1-Quesería!$B$47,(Quesería!$B$46-Quesería!$B$47)))/(Quesería!$B$46-Quesería!$B$47))*IF(E$43&gt;2,1-Quesería!$B$48,1),0))*E221</f>
        <v>126.259041612202</v>
      </c>
      <c r="F249" s="29" t="n">
        <f aca="false">(IF(AND(F$43&gt;0,F$43&lt;=0+Quesería!$B$46),($F$14+$F$24)*(Quesería!$B$44*$B$222*$B$219)*(1-MAX(0,MIN((F$43-1)-0-Quesería!$B$47,(Quesería!$B$46-Quesería!$B$47)))/(Quesería!$B$46-Quesería!$B$47))*IF(F$43&gt;2,1-Quesería!$B$48,1),0)+IF(AND(F$43&gt;1,F$43&lt;=1+Quesería!$B$46),($F$14+$F$24)*(Quesería!$B$44*$C$222*$C$219)*(1-MAX(0,MIN((F$43-1)-1-Quesería!$B$47,(Quesería!$B$46-Quesería!$B$47)))/(Quesería!$B$46-Quesería!$B$47))*IF(F$43&gt;2,1-Quesería!$B$48,1),0))*F221</f>
        <v>99.1723975627135</v>
      </c>
      <c r="G249" s="29" t="n">
        <f aca="false">(IF(AND(G$43&gt;0,G$43&lt;=0+Quesería!$B$46),($F$14+$F$24)*(Quesería!$B$44*$B$222*$B$219)*(1-MAX(0,MIN((G$43-1)-0-Quesería!$B$47,(Quesería!$B$46-Quesería!$B$47)))/(Quesería!$B$46-Quesería!$B$47))*IF(G$43&gt;2,1-Quesería!$B$48,1),0)+IF(AND(G$43&gt;1,G$43&lt;=1+Quesería!$B$46),($F$14+$F$24)*(Quesería!$B$44*$C$222*$C$219)*(1-MAX(0,MIN((G$43-1)-1-Quesería!$B$47,(Quesería!$B$46-Quesería!$B$47)))/(Quesería!$B$46-Quesería!$B$47))*IF(G$43&gt;2,1-Quesería!$B$48,1),0))*G221</f>
        <v>73.9825677868365</v>
      </c>
      <c r="H249" s="29" t="n">
        <f aca="false">(IF(AND(H$43&gt;0,H$43&lt;=0+Quesería!$B$46),($F$14+$F$24)*(Quesería!$B$44*$B$222*$B$219)*(1-MAX(0,MIN((H$43-1)-0-Quesería!$B$47,(Quesería!$B$46-Quesería!$B$47)))/(Quesería!$B$46-Quesería!$B$47))*IF(H$43&gt;2,1-Quesería!$B$48,1),0)+IF(AND(H$43&gt;1,H$43&lt;=1+Quesería!$B$46),($F$14+$F$24)*(Quesería!$B$44*$C$222*$C$219)*(1-MAX(0,MIN((H$43-1)-1-Quesería!$B$47,(Quesería!$B$46-Quesería!$B$47)))/(Quesería!$B$46-Quesería!$B$47))*IF(H$43&gt;2,1-Quesería!$B$48,1),0))*H221</f>
        <v>50.583712494366</v>
      </c>
      <c r="I249" s="29" t="n">
        <f aca="false">(IF(AND(I$43&gt;0,I$43&lt;=0+Quesería!$B$46),($F$14+$F$24)*(Quesería!$B$44*$B$222*$B$219)*(1-MAX(0,MIN((I$43-1)-0-Quesería!$B$47,(Quesería!$B$46-Quesería!$B$47)))/(Quesería!$B$46-Quesería!$B$47))*IF(I$43&gt;2,1-Quesería!$B$48,1),0)+IF(AND(I$43&gt;1,I$43&lt;=1+Quesería!$B$46),($F$14+$F$24)*(Quesería!$B$44*$C$222*$C$219)*(1-MAX(0,MIN((I$43-1)-1-Quesería!$B$47,(Quesería!$B$46-Quesería!$B$47)))/(Quesería!$B$46-Quesería!$B$47))*IF(I$43&gt;2,1-Quesería!$B$48,1),0))*I221</f>
        <v>28.8753274791465</v>
      </c>
      <c r="J249" s="29" t="n">
        <f aca="false">(IF(AND(J$43&gt;0,J$43&lt;=0+Quesería!$B$46),($F$14+$F$24)*(Quesería!$B$44*$B$222*$B$219)*(1-MAX(0,MIN((J$43-1)-0-Quesería!$B$47,(Quesería!$B$46-Quesería!$B$47)))/(Quesería!$B$46-Quesería!$B$47))*IF(J$43&gt;2,1-Quesería!$B$48,1),0)+IF(AND(J$43&gt;1,J$43&lt;=1+Quesería!$B$46),($F$14+$F$24)*(Quesería!$B$44*$C$222*$C$219)*(1-MAX(0,MIN((J$43-1)-1-Quesería!$B$47,(Quesería!$B$46-Quesería!$B$47)))/(Quesería!$B$46-Quesería!$B$47))*IF(J$43&gt;2,1-Quesería!$B$48,1),0))*J221</f>
        <v>8.76199025726588</v>
      </c>
      <c r="K249" s="29" t="n">
        <f aca="false">(IF(AND(K$43&gt;0,K$43&lt;=0+Quesería!$B$46),($F$14+$F$24)*(Quesería!$B$44*$B$222*$B$219)*(1-MAX(0,MIN((K$43-1)-0-Quesería!$B$47,(Quesería!$B$46-Quesería!$B$47)))/(Quesería!$B$46-Quesería!$B$47))*IF(K$43&gt;2,1-Quesería!$B$48,1),0)+IF(AND(K$43&gt;1,K$43&lt;=1+Quesería!$B$46),($F$14+$F$24)*(Quesería!$B$44*$C$222*$C$219)*(1-MAX(0,MIN((K$43-1)-1-Quesería!$B$47,(Quesería!$B$46-Quesería!$B$47)))/(Quesería!$B$46-Quesería!$B$47))*IF(K$43&gt;2,1-Quesería!$B$48,1),0))*K221</f>
        <v>0</v>
      </c>
      <c r="L249" s="29" t="n">
        <f aca="false">(IF(AND(L$43&gt;0,L$43&lt;=0+Quesería!$B$46),($F$14+$F$24)*(Quesería!$B$44*$B$222*$B$219)*(1-MAX(0,MIN((L$43-1)-0-Quesería!$B$47,(Quesería!$B$46-Quesería!$B$47)))/(Quesería!$B$46-Quesería!$B$47))*IF(L$43&gt;2,1-Quesería!$B$48,1),0)+IF(AND(L$43&gt;1,L$43&lt;=1+Quesería!$B$46),($F$14+$F$24)*(Quesería!$B$44*$C$222*$C$219)*(1-MAX(0,MIN((L$43-1)-1-Quesería!$B$47,(Quesería!$B$46-Quesería!$B$47)))/(Quesería!$B$46-Quesería!$B$47))*IF(L$43&gt;2,1-Quesería!$B$48,1),0))*L221</f>
        <v>0</v>
      </c>
    </row>
    <row r="250" customFormat="false" ht="15" hidden="true" customHeight="false" outlineLevel="1" collapsed="false">
      <c r="A250" s="6" t="s">
        <v>432</v>
      </c>
      <c r="B250" s="29" t="n">
        <f aca="false">((IF(AND(B$43&gt;0+Quesería!$B$47,B$43&lt;=0+Quesería!$B$46),(Quesería!$B$44*$B$222*$B$219)/(Quesería!$B$46-Quesería!$B$47),0)*IF(B$43&gt;2,1-Quesería!$B$48,1)+IF(B$43=2,Quesería!$B$48*(Quesería!$B$44*$B$222*$B$219)*(1-MAX(0,MIN(2-0-Quesería!$B$47,(Quesería!$B$46-Quesería!$B$47)))/(Quesería!$B$46-Quesería!$B$47)),0))+(IF(AND(B$43&gt;1+Quesería!$B$47,B$43&lt;=1+Quesería!$B$46),(Quesería!$B$44*$C$222*$C$219)/(Quesería!$B$46-Quesería!$B$47),0)*IF(B$43&gt;2,1-Quesería!$B$48,1)+IF(B$43=2,Quesería!$B$48*(Quesería!$B$44*$C$222*$C$219)*(1-MAX(0,MIN(2-1-Quesería!$B$47,(Quesería!$B$46-Quesería!$B$47)))/(Quesería!$B$46-Quesería!$B$47)),0)))*B221</f>
        <v>0</v>
      </c>
      <c r="C250" s="29" t="n">
        <f aca="false">((IF(AND(C$43&gt;0+Quesería!$B$47,C$43&lt;=0+Quesería!$B$46),(Quesería!$B$44*$B$222*$B$219)/(Quesería!$B$46-Quesería!$B$47),0)*IF(C$43&gt;2,1-Quesería!$B$48,1)+IF(C$43=2,Quesería!$B$48*(Quesería!$B$44*$B$222*$B$219)*(1-MAX(0,MIN(2-0-Quesería!$B$47,(Quesería!$B$46-Quesería!$B$47)))/(Quesería!$B$46-Quesería!$B$47)),0))+(IF(AND(C$43&gt;1+Quesería!$B$47,C$43&lt;=1+Quesería!$B$46),(Quesería!$B$44*$C$222*$C$219)/(Quesería!$B$46-Quesería!$B$47),0)*IF(C$43&gt;2,1-Quesería!$B$48,1)+IF(C$43=2,Quesería!$B$48*(Quesería!$B$44*$C$222*$C$219)*(1-MAX(0,MIN(2-1-Quesería!$B$47,(Quesería!$B$46-Quesería!$B$47)))/(Quesería!$B$46-Quesería!$B$47)),0)))*C221</f>
        <v>0</v>
      </c>
      <c r="D250" s="29" t="n">
        <f aca="false">((IF(AND(D$43&gt;0+Quesería!$B$47,D$43&lt;=0+Quesería!$B$46),(Quesería!$B$44*$B$222*$B$219)/(Quesería!$B$46-Quesería!$B$47),0)*IF(D$43&gt;2,1-Quesería!$B$48,1)+IF(D$43=2,Quesería!$B$48*(Quesería!$B$44*$B$222*$B$219)*(1-MAX(0,MIN(2-0-Quesería!$B$47,(Quesería!$B$46-Quesería!$B$47)))/(Quesería!$B$46-Quesería!$B$47)),0))+(IF(AND(D$43&gt;1+Quesería!$B$47,D$43&lt;=1+Quesería!$B$46),(Quesería!$B$44*$C$222*$C$219)/(Quesería!$B$46-Quesería!$B$47),0)*IF(D$43&gt;2,1-Quesería!$B$48,1)+IF(D$43=2,Quesería!$B$48*(Quesería!$B$44*$C$222*$C$219)*(1-MAX(0,MIN(2-1-Quesería!$B$47,(Quesería!$B$46-Quesería!$B$47)))/(Quesería!$B$46-Quesería!$B$47)),0)))*D221</f>
        <v>91.8994692231472</v>
      </c>
      <c r="E250" s="29" t="n">
        <f aca="false">((IF(AND(E$43&gt;0+Quesería!$B$47,E$43&lt;=0+Quesería!$B$46),(Quesería!$B$44*$B$222*$B$219)/(Quesería!$B$46-Quesería!$B$47),0)*IF(E$43&gt;2,1-Quesería!$B$48,1)+IF(E$43=2,Quesería!$B$48*(Quesería!$B$44*$B$222*$B$219)*(1-MAX(0,MIN(2-0-Quesería!$B$47,(Quesería!$B$46-Quesería!$B$47)))/(Quesería!$B$46-Quesería!$B$47)),0))+(IF(AND(E$43&gt;1+Quesería!$B$47,E$43&lt;=1+Quesería!$B$46),(Quesería!$B$44*$C$222*$C$219)/(Quesería!$B$46-Quesería!$B$47),0)*IF(E$43&gt;2,1-Quesería!$B$48,1)+IF(E$43=2,Quesería!$B$48*(Quesería!$B$44*$C$222*$C$219)*(1-MAX(0,MIN(2-1-Quesería!$B$47,(Quesería!$B$46-Quesería!$B$47)))/(Quesería!$B$46-Quesería!$B$47)),0)))*E221</f>
        <v>163.969845014041</v>
      </c>
      <c r="F250" s="29" t="n">
        <f aca="false">((IF(AND(F$43&gt;0+Quesería!$B$47,F$43&lt;=0+Quesería!$B$46),(Quesería!$B$44*$B$222*$B$219)/(Quesería!$B$46-Quesería!$B$47),0)*IF(F$43&gt;2,1-Quesería!$B$48,1)+IF(F$43=2,Quesería!$B$48*(Quesería!$B$44*$B$222*$B$219)*(1-MAX(0,MIN(2-0-Quesería!$B$47,(Quesería!$B$46-Quesería!$B$47)))/(Quesería!$B$46-Quesería!$B$47)),0))+(IF(AND(F$43&gt;1+Quesería!$B$47,F$43&lt;=1+Quesería!$B$46),(Quesería!$B$44*$C$222*$C$219)/(Quesería!$B$46-Quesería!$B$47),0)*IF(F$43&gt;2,1-Quesería!$B$48,1)+IF(F$43=2,Quesería!$B$48*(Quesería!$B$44*$C$222*$C$219)*(1-MAX(0,MIN(2-1-Quesería!$B$47,(Quesería!$B$46-Quesería!$B$47)))/(Quesería!$B$46-Quesería!$B$47)),0)))*F221</f>
        <v>157.663312513501</v>
      </c>
      <c r="G250" s="29" t="n">
        <f aca="false">((IF(AND(G$43&gt;0+Quesería!$B$47,G$43&lt;=0+Quesería!$B$46),(Quesería!$B$44*$B$222*$B$219)/(Quesería!$B$46-Quesería!$B$47),0)*IF(G$43&gt;2,1-Quesería!$B$48,1)+IF(G$43=2,Quesería!$B$48*(Quesería!$B$44*$B$222*$B$219)*(1-MAX(0,MIN(2-0-Quesería!$B$47,(Quesería!$B$46-Quesería!$B$47)))/(Quesería!$B$46-Quesería!$B$47)),0))+(IF(AND(G$43&gt;1+Quesería!$B$47,G$43&lt;=1+Quesería!$B$46),(Quesería!$B$44*$C$222*$C$219)/(Quesería!$B$46-Quesería!$B$47),0)*IF(G$43&gt;2,1-Quesería!$B$48,1)+IF(G$43=2,Quesería!$B$48*(Quesería!$B$44*$C$222*$C$219)*(1-MAX(0,MIN(2-1-Quesería!$B$47,(Quesería!$B$46-Quesería!$B$47)))/(Quesería!$B$46-Quesería!$B$47)),0)))*G221</f>
        <v>151.599338955289</v>
      </c>
      <c r="H250" s="29" t="n">
        <f aca="false">((IF(AND(H$43&gt;0+Quesería!$B$47,H$43&lt;=0+Quesería!$B$46),(Quesería!$B$44*$B$222*$B$219)/(Quesería!$B$46-Quesería!$B$47),0)*IF(H$43&gt;2,1-Quesería!$B$48,1)+IF(H$43=2,Quesería!$B$48*(Quesería!$B$44*$B$222*$B$219)*(1-MAX(0,MIN(2-0-Quesería!$B$47,(Quesería!$B$46-Quesería!$B$47)))/(Quesería!$B$46-Quesería!$B$47)),0))+(IF(AND(H$43&gt;1+Quesería!$B$47,H$43&lt;=1+Quesería!$B$46),(Quesería!$B$44*$C$222*$C$219)/(Quesería!$B$46-Quesería!$B$47),0)*IF(H$43&gt;2,1-Quesería!$B$48,1)+IF(H$43=2,Quesería!$B$48*(Quesería!$B$44*$C$222*$C$219)*(1-MAX(0,MIN(2-1-Quesería!$B$47,(Quesería!$B$46-Quesería!$B$47)))/(Quesería!$B$46-Quesería!$B$47)),0)))*H221</f>
        <v>145.768595149317</v>
      </c>
      <c r="I250" s="29" t="n">
        <f aca="false">((IF(AND(I$43&gt;0+Quesería!$B$47,I$43&lt;=0+Quesería!$B$46),(Quesería!$B$44*$B$222*$B$219)/(Quesería!$B$46-Quesería!$B$47),0)*IF(I$43&gt;2,1-Quesería!$B$48,1)+IF(I$43=2,Quesería!$B$48*(Quesería!$B$44*$B$222*$B$219)*(1-MAX(0,MIN(2-0-Quesería!$B$47,(Quesería!$B$46-Quesería!$B$47)))/(Quesería!$B$46-Quesería!$B$47)),0))+(IF(AND(I$43&gt;1+Quesería!$B$47,I$43&lt;=1+Quesería!$B$46),(Quesería!$B$44*$C$222*$C$219)/(Quesería!$B$46-Quesería!$B$47),0)*IF(I$43&gt;2,1-Quesería!$B$48,1)+IF(I$43=2,Quesería!$B$48*(Quesería!$B$44*$C$222*$C$219)*(1-MAX(0,MIN(2-1-Quesería!$B$47,(Quesería!$B$46-Quesería!$B$47)))/(Quesería!$B$46-Quesería!$B$47)),0)))*I221</f>
        <v>140.162110720497</v>
      </c>
      <c r="J250" s="29" t="n">
        <f aca="false">((IF(AND(J$43&gt;0+Quesería!$B$47,J$43&lt;=0+Quesería!$B$46),(Quesería!$B$44*$B$222*$B$219)/(Quesería!$B$46-Quesería!$B$47),0)*IF(J$43&gt;2,1-Quesería!$B$48,1)+IF(J$43=2,Quesería!$B$48*(Quesería!$B$44*$B$222*$B$219)*(1-MAX(0,MIN(2-0-Quesería!$B$47,(Quesería!$B$46-Quesería!$B$47)))/(Quesería!$B$46-Quesería!$B$47)),0))+(IF(AND(J$43&gt;1+Quesería!$B$47,J$43&lt;=1+Quesería!$B$46),(Quesería!$B$44*$C$222*$C$219)/(Quesería!$B$46-Quesería!$B$47),0)*IF(J$43&gt;2,1-Quesería!$B$48,1)+IF(J$43=2,Quesería!$B$48*(Quesería!$B$44*$C$222*$C$219)*(1-MAX(0,MIN(2-1-Quesería!$B$47,(Quesería!$B$46-Quesería!$B$47)))/(Quesería!$B$46-Quesería!$B$47)),0)))*J221</f>
        <v>62.1417748742261</v>
      </c>
      <c r="K250" s="29" t="n">
        <f aca="false">((IF(AND(K$43&gt;0+Quesería!$B$47,K$43&lt;=0+Quesería!$B$46),(Quesería!$B$44*$B$222*$B$219)/(Quesería!$B$46-Quesería!$B$47),0)*IF(K$43&gt;2,1-Quesería!$B$48,1)+IF(K$43=2,Quesería!$B$48*(Quesería!$B$44*$B$222*$B$219)*(1-MAX(0,MIN(2-0-Quesería!$B$47,(Quesería!$B$46-Quesería!$B$47)))/(Quesería!$B$46-Quesería!$B$47)),0))+(IF(AND(K$43&gt;1+Quesería!$B$47,K$43&lt;=1+Quesería!$B$46),(Quesería!$B$44*$C$222*$C$219)/(Quesería!$B$46-Quesería!$B$47),0)*IF(K$43&gt;2,1-Quesería!$B$48,1)+IF(K$43=2,Quesería!$B$48*(Quesería!$B$44*$C$222*$C$219)*(1-MAX(0,MIN(2-1-Quesería!$B$47,(Quesería!$B$46-Quesería!$B$47)))/(Quesería!$B$46-Quesería!$B$47)),0)))*K221</f>
        <v>0</v>
      </c>
      <c r="L250" s="29" t="n">
        <f aca="false">((IF(AND(L$43&gt;0+Quesería!$B$47,L$43&lt;=0+Quesería!$B$46),(Quesería!$B$44*$B$222*$B$219)/(Quesería!$B$46-Quesería!$B$47),0)*IF(L$43&gt;2,1-Quesería!$B$48,1)+IF(L$43=2,Quesería!$B$48*(Quesería!$B$44*$B$222*$B$219)*(1-MAX(0,MIN(2-0-Quesería!$B$47,(Quesería!$B$46-Quesería!$B$47)))/(Quesería!$B$46-Quesería!$B$47)),0))+(IF(AND(L$43&gt;1+Quesería!$B$47,L$43&lt;=1+Quesería!$B$46),(Quesería!$B$44*$C$222*$C$219)/(Quesería!$B$46-Quesería!$B$47),0)*IF(L$43&gt;2,1-Quesería!$B$48,1)+IF(L$43=2,Quesería!$B$48*(Quesería!$B$44*$C$222*$C$219)*(1-MAX(0,MIN(2-1-Quesería!$B$47,(Quesería!$B$46-Quesería!$B$47)))/(Quesería!$B$46-Quesería!$B$47)),0)))*L221</f>
        <v>0</v>
      </c>
    </row>
    <row r="251" customFormat="false" ht="15" hidden="true" customHeight="false" outlineLevel="1" collapsed="false">
      <c r="A251" s="6" t="s">
        <v>433</v>
      </c>
      <c r="B251" s="29" t="n">
        <f aca="false">$F$13*Quesería!$B$51*(1+0.19)*B247*B221+(1-$F$13)*IF(B$43=0,Quesería!$B$50,0)</f>
        <v>4</v>
      </c>
      <c r="C251" s="29" t="n">
        <f aca="false">$F$13*Quesería!$B$51*(1+0.19)*C247*C221+(1-$F$13)*IF(C$43=0,Quesería!$B$50,0)</f>
        <v>0</v>
      </c>
      <c r="D251" s="29" t="n">
        <f aca="false">$F$13*Quesería!$B$51*(1+0.19)*D247*D221+(1-$F$13)*IF(D$43=0,Quesería!$B$50,0)</f>
        <v>0</v>
      </c>
      <c r="E251" s="29" t="n">
        <f aca="false">$F$13*Quesería!$B$51*(1+0.19)*E247*E221+(1-$F$13)*IF(E$43=0,Quesería!$B$50,0)</f>
        <v>0</v>
      </c>
      <c r="F251" s="29" t="n">
        <f aca="false">$F$13*Quesería!$B$51*(1+0.19)*F247*F221+(1-$F$13)*IF(F$43=0,Quesería!$B$50,0)</f>
        <v>0</v>
      </c>
      <c r="G251" s="29" t="n">
        <f aca="false">$F$13*Quesería!$B$51*(1+0.19)*G247*G221+(1-$F$13)*IF(G$43=0,Quesería!$B$50,0)</f>
        <v>0</v>
      </c>
      <c r="H251" s="29" t="n">
        <f aca="false">$F$13*Quesería!$B$51*(1+0.19)*H247*H221+(1-$F$13)*IF(H$43=0,Quesería!$B$50,0)</f>
        <v>0</v>
      </c>
      <c r="I251" s="29" t="n">
        <f aca="false">$F$13*Quesería!$B$51*(1+0.19)*I247*I221+(1-$F$13)*IF(I$43=0,Quesería!$B$50,0)</f>
        <v>0</v>
      </c>
      <c r="J251" s="29" t="n">
        <f aca="false">$F$13*Quesería!$B$51*(1+0.19)*J247*J221+(1-$F$13)*IF(J$43=0,Quesería!$B$50,0)</f>
        <v>0</v>
      </c>
      <c r="K251" s="29" t="n">
        <f aca="false">$F$13*Quesería!$B$51*(1+0.19)*K247*K221+(1-$F$13)*IF(K$43=0,Quesería!$B$50,0)</f>
        <v>0</v>
      </c>
      <c r="L251" s="29" t="n">
        <f aca="false">$F$13*Quesería!$B$51*(1+0.19)*L247*L221+(1-$F$13)*IF(L$43=0,Quesería!$B$50,0)</f>
        <v>0</v>
      </c>
    </row>
    <row r="252" customFormat="false" ht="15" hidden="true" customHeight="false" outlineLevel="1" collapsed="false">
      <c r="A252" s="6" t="s">
        <v>434</v>
      </c>
      <c r="B252" s="29" t="n">
        <f aca="false">Quesería!$B$52*(B249+B250+B251)</f>
        <v>0.016</v>
      </c>
      <c r="C252" s="29" t="n">
        <f aca="false">Quesería!$B$52*(C249+C250+C251)</f>
        <v>0.324982255024431</v>
      </c>
      <c r="D252" s="29" t="n">
        <f aca="false">Quesería!$B$52*(D249+D250+D251)</f>
        <v>0.944666790641204</v>
      </c>
      <c r="E252" s="29" t="n">
        <f aca="false">Quesería!$B$52*(E249+E250+E251)</f>
        <v>1.16091554650497</v>
      </c>
      <c r="F252" s="29" t="n">
        <f aca="false">Quesería!$B$52*(F249+F250+F251)</f>
        <v>1.02734284030486</v>
      </c>
      <c r="G252" s="29" t="n">
        <f aca="false">Quesería!$B$52*(G249+G250+G251)</f>
        <v>0.902327626968503</v>
      </c>
      <c r="H252" s="29" t="n">
        <f aca="false">Quesería!$B$52*(H249+H250+H251)</f>
        <v>0.78540923057473</v>
      </c>
      <c r="I252" s="29" t="n">
        <f aca="false">Quesería!$B$52*(I249+I250+I251)</f>
        <v>0.676149752798573</v>
      </c>
      <c r="J252" s="29" t="n">
        <f aca="false">Quesería!$B$52*(J249+J250+J251)</f>
        <v>0.283615060525968</v>
      </c>
      <c r="K252" s="29" t="n">
        <f aca="false">Quesería!$B$52*(K249+K250+K251)</f>
        <v>0</v>
      </c>
      <c r="L252" s="29" t="n">
        <f aca="false">Quesería!$B$52*(L249+L250+L251)</f>
        <v>0</v>
      </c>
    </row>
    <row r="253" customFormat="false" ht="15" hidden="true" customHeight="false" outlineLevel="1" collapsed="false">
      <c r="A253" s="6" t="s">
        <v>435</v>
      </c>
      <c r="B253" s="29" t="n">
        <f aca="false">$F$17*(B249+B251+0.5*B252)</f>
        <v>1.4028</v>
      </c>
      <c r="C253" s="29" t="n">
        <f aca="false">$F$17*(C249+C251+0.5*C252)</f>
        <v>28.492819209267</v>
      </c>
      <c r="D253" s="29" t="n">
        <f aca="false">$F$17*(D249+D251+0.5*D252)</f>
        <v>50.658846641366</v>
      </c>
      <c r="E253" s="29" t="n">
        <f aca="false">$F$17*(E249+E251+0.5*E252)</f>
        <v>44.393824784909</v>
      </c>
      <c r="F253" s="29" t="n">
        <f aca="false">$F$17*(F249+F251+0.5*F252)</f>
        <v>34.8901241440031</v>
      </c>
      <c r="G253" s="29" t="n">
        <f aca="false">$F$17*(G249+G251+0.5*G252)</f>
        <v>26.0518060601123</v>
      </c>
      <c r="H253" s="29" t="n">
        <f aca="false">$F$17*(H249+H251+0.5*H252)</f>
        <v>17.8417459883787</v>
      </c>
      <c r="I253" s="29" t="n">
        <f aca="false">$F$17*(I249+I251+0.5*I252)</f>
        <v>10.224690824441</v>
      </c>
      <c r="J253" s="29" t="n">
        <f aca="false">$F$17*(J249+J251+0.5*J252)</f>
        <v>3.1163292256351</v>
      </c>
      <c r="K253" s="29" t="n">
        <f aca="false">$F$17*(K249+K251+0.5*K252)</f>
        <v>0</v>
      </c>
      <c r="L253" s="29" t="n">
        <f aca="false">$F$17*(L249+L251+0.5*L252)</f>
        <v>0</v>
      </c>
    </row>
    <row r="254" customFormat="false" ht="15" hidden="true" customHeight="false" outlineLevel="1" collapsed="false">
      <c r="A254" s="5" t="s">
        <v>436</v>
      </c>
      <c r="B254" s="59" t="n">
        <f aca="false">B239+B248-B249-B250-B251-B252+B253</f>
        <v>-358.744924503166</v>
      </c>
      <c r="C254" s="59" t="n">
        <f aca="false">C239+C248-C249-C250-C251-C252+C253</f>
        <v>-59.8505919146794</v>
      </c>
      <c r="D254" s="59" t="n">
        <f aca="false">D239+D248-D249-D250-D251-D252+D253</f>
        <v>311.51648165538</v>
      </c>
      <c r="E254" s="59" t="n">
        <f aca="false">E239+E248-E249-E250-E251-E252+E253</f>
        <v>19.1555324311</v>
      </c>
      <c r="F254" s="59" t="n">
        <f aca="false">F239+F248-F249-F250-F251-F252+F253</f>
        <v>45.5600413776511</v>
      </c>
      <c r="G254" s="59" t="n">
        <f aca="false">G239+G248-G249-G250-G251-G252+G253</f>
        <v>33.5058041110503</v>
      </c>
      <c r="H254" s="59" t="n">
        <f aca="false">H239+H248-H249-H250-H251-H252+H253</f>
        <v>32.8791793135501</v>
      </c>
      <c r="I254" s="59" t="n">
        <f aca="false">I239+I248-I249-I250-I251-I252+I253</f>
        <v>113.085199595495</v>
      </c>
      <c r="J254" s="59" t="n">
        <f aca="false">J239+J248-J249-J250-J251-J252+J253</f>
        <v>194.405821288254</v>
      </c>
      <c r="K254" s="59" t="n">
        <f aca="false">K239+K248-K249-K250-K251-K252+K253</f>
        <v>260.920506550991</v>
      </c>
      <c r="L254" s="59" t="n">
        <f aca="false">L239+L248-L249-L250-L251-L252+L253</f>
        <v>352.954860548565</v>
      </c>
    </row>
    <row r="255" customFormat="false" ht="15" hidden="true" customHeight="false" outlineLevel="1" collapsed="false">
      <c r="A255" s="9" t="s">
        <v>437</v>
      </c>
      <c r="B255" s="58" t="n">
        <f aca="false">B254*B219</f>
        <v>-380.269619973356</v>
      </c>
      <c r="C255" s="58" t="n">
        <f aca="false">C254*C219</f>
        <v>-66.6137088010382</v>
      </c>
      <c r="D255" s="58" t="n">
        <f aca="false">D254*D219</f>
        <v>362.320147066148</v>
      </c>
      <c r="E255" s="58" t="n">
        <f aca="false">E254*E219</f>
        <v>23.170692935131</v>
      </c>
      <c r="F255" s="58" t="n">
        <f aca="false">F254*F219</f>
        <v>57.3142011049445</v>
      </c>
      <c r="G255" s="58" t="n">
        <f aca="false">G254*G219</f>
        <v>43.8360605129618</v>
      </c>
      <c r="H255" s="58" t="n">
        <f aca="false">H254*H219</f>
        <v>44.7368890714418</v>
      </c>
      <c r="I255" s="58" t="n">
        <f aca="false">I254*I219</f>
        <v>160.023557186362</v>
      </c>
      <c r="J255" s="58" t="n">
        <f aca="false">J254*J219</f>
        <v>286.101909166041</v>
      </c>
      <c r="K255" s="58" t="n">
        <f aca="false">K254*K219</f>
        <v>399.349406066844</v>
      </c>
      <c r="L255" s="58" t="n">
        <f aca="false">L254*L219</f>
        <v>561.820182029145</v>
      </c>
    </row>
    <row r="256" customFormat="false" ht="15" hidden="true" customHeight="false" outlineLevel="1" collapsed="false">
      <c r="A256" s="9" t="s">
        <v>438</v>
      </c>
      <c r="B256" s="57" t="n">
        <f aca="false">(B219/$B$219)/(1+Quesería!$B$11+$F$24)^B$43</f>
        <v>1</v>
      </c>
      <c r="C256" s="57" t="n">
        <f aca="false">(C219/$B$219)/(1+Quesería!$B$11+$F$24)^C$43</f>
        <v>0.84</v>
      </c>
      <c r="D256" s="57" t="n">
        <f aca="false">(D219/$B$219)/(1+Quesería!$B$11+$F$24)^D$43</f>
        <v>0.70224</v>
      </c>
      <c r="E256" s="57" t="n">
        <f aca="false">(E219/$B$219)/(1+Quesería!$B$11+$F$24)^E$43</f>
        <v>0.58426368</v>
      </c>
      <c r="F256" s="57" t="n">
        <f aca="false">(F219/$B$219)/(1+Quesería!$B$11+$F$24)^F$43</f>
        <v>0.48610738176</v>
      </c>
      <c r="G256" s="57" t="n">
        <f aca="false">(G219/$B$219)/(1+Quesería!$B$11+$F$24)^G$43</f>
        <v>0.40444134162432</v>
      </c>
      <c r="H256" s="57" t="n">
        <f aca="false">(H219/$B$219)/(1+Quesería!$B$11+$F$24)^H$43</f>
        <v>0.336495196231434</v>
      </c>
      <c r="I256" s="57" t="n">
        <f aca="false">(I219/$B$219)/(1+Quesería!$B$11+$F$24)^I$43</f>
        <v>0.279964003264553</v>
      </c>
      <c r="J256" s="57" t="n">
        <f aca="false">(J219/$B$219)/(1+Quesería!$B$11+$F$24)^J$43</f>
        <v>0.232930050716108</v>
      </c>
      <c r="K256" s="57" t="n">
        <f aca="false">(K219/$B$219)/(1+Quesería!$B$11+$F$24)^K$43</f>
        <v>0.193797802195802</v>
      </c>
      <c r="L256" s="57" t="n">
        <f aca="false">(L219/$B$219)/(1+Quesería!$B$11+$F$24)^L$43</f>
        <v>0.161239771426907</v>
      </c>
    </row>
    <row r="257" customFormat="false" ht="15" hidden="true" customHeight="false" outlineLevel="1" collapsed="false">
      <c r="A257" s="9" t="s">
        <v>439</v>
      </c>
      <c r="B257" s="58" t="n">
        <f aca="false">B239+B222+B224+B253</f>
        <v>120.166830858099</v>
      </c>
      <c r="C257" s="58" t="n">
        <f aca="false">C239+C222+C224+C253</f>
        <v>431.293250100682</v>
      </c>
      <c r="D257" s="58" t="n">
        <f aca="false">D239+D222+D224+D253</f>
        <v>548.627846106322</v>
      </c>
      <c r="E257" s="58" t="n">
        <f aca="false">E239+E222+E224+E253</f>
        <v>310.545334603848</v>
      </c>
      <c r="F257" s="58" t="n">
        <f aca="false">F239+F222+F224+F253</f>
        <v>303.42309429417</v>
      </c>
      <c r="G257" s="58" t="n">
        <f aca="false">G239+G222+G224+G253</f>
        <v>265.20842976123</v>
      </c>
      <c r="H257" s="58" t="n">
        <f aca="false">H239+H222+H224+H253</f>
        <v>238.830835772889</v>
      </c>
      <c r="I257" s="58" t="n">
        <f aca="false">I239+I222+I224+I253</f>
        <v>282.798787547937</v>
      </c>
      <c r="J257" s="58" t="n">
        <f aca="false">J239+J222+J224+J253</f>
        <v>265.593201480272</v>
      </c>
      <c r="K257" s="58" t="n">
        <f aca="false">K239+K222+K224+K253</f>
        <v>260.920506550991</v>
      </c>
      <c r="L257" s="58" t="n">
        <f aca="false">L239+L222+L224+L253</f>
        <v>352.954860548565</v>
      </c>
    </row>
    <row r="258" customFormat="false" ht="15" hidden="true" customHeight="false" outlineLevel="1" collapsed="false">
      <c r="A258" s="5" t="s">
        <v>149</v>
      </c>
      <c r="B258" s="12" t="str">
        <f aca="false">IF(AND(B$43&gt;=1,(B249+B250+B251)&gt;0.001),B257/(B249+B250+B251),"")</f>
        <v/>
      </c>
      <c r="C258" s="12" t="n">
        <f aca="false">IF(AND(C$43&gt;=1,(C249+C250+C251)&gt;0.001),C257/(C249+C250+C251),"")</f>
        <v>5.3085144611143</v>
      </c>
      <c r="D258" s="12" t="n">
        <f aca="false">IF(AND(D$43&gt;=1,(D249+D250+D251)&gt;0.001),D257/(D249+D250+D251),"")</f>
        <v>2.32305338365472</v>
      </c>
      <c r="E258" s="12" t="n">
        <f aca="false">IF(AND(E$43&gt;=1,(E249+E250+E251)&gt;0.001),E257/(E249+E250+E251),"")</f>
        <v>1.07000146750991</v>
      </c>
      <c r="F258" s="12" t="n">
        <f aca="false">IF(AND(F$43&gt;=1,(F249+F250+F251)&gt;0.001),F257/(F249+F250+F251),"")</f>
        <v>1.18138982388443</v>
      </c>
      <c r="G258" s="12" t="n">
        <f aca="false">IF(AND(G$43&gt;=1,(G249+G250+G251)&gt;0.001),G257/(G249+G250+G251),"")</f>
        <v>1.17566356979332</v>
      </c>
      <c r="H258" s="12" t="n">
        <f aca="false">IF(AND(H$43&gt;=1,(H249+H250+H251)&gt;0.001),H257/(H249+H250+H251),"")</f>
        <v>1.21633831880546</v>
      </c>
      <c r="I258" s="12" t="n">
        <f aca="false">IF(AND(I$43&gt;=1,(I249+I250+I251)&gt;0.001),I257/(I249+I250+I251),"")</f>
        <v>1.67299499187828</v>
      </c>
      <c r="J258" s="12" t="n">
        <f aca="false">IF(AND(J$43&gt;=1,(J249+J250+J251)&gt;0.001),J257/(J249+J250+J251),"")</f>
        <v>3.74582648732019</v>
      </c>
      <c r="K258" s="12" t="str">
        <f aca="false">IF(AND(K$43&gt;=1,(K249+K250+K251)&gt;0.001),K257/(K249+K250+K251),"")</f>
        <v/>
      </c>
      <c r="L258" s="12" t="str">
        <f aca="false">IF(AND(L$43&gt;=1,(L249+L250+L251)&gt;0.001),L257/(L249+L250+L251),"")</f>
        <v/>
      </c>
    </row>
    <row r="260" customFormat="false" ht="15" hidden="false" customHeight="false" outlineLevel="0" collapsed="false">
      <c r="A260" s="43" t="s">
        <v>170</v>
      </c>
      <c r="B260" s="44"/>
      <c r="C260" s="44"/>
      <c r="D260" s="44"/>
      <c r="E260" s="44"/>
      <c r="F260" s="44"/>
      <c r="G260" s="44"/>
      <c r="H260" s="44"/>
      <c r="I260" s="44"/>
      <c r="J260" s="44"/>
      <c r="K260" s="44"/>
      <c r="L260" s="44"/>
    </row>
    <row r="261" customFormat="false" ht="15" hidden="true" customHeight="false" outlineLevel="1" collapsed="false">
      <c r="A261" s="9" t="s">
        <v>405</v>
      </c>
      <c r="B261" s="56" t="n">
        <f aca="false">CHOOSE($G$15,Entorno!B$7,Entorno!B$8,Entorno!B$9)</f>
        <v>0.06</v>
      </c>
      <c r="C261" s="56" t="n">
        <f aca="false">CHOOSE($G$15,Entorno!C$7,Entorno!C$8,Entorno!C$9)</f>
        <v>0.05</v>
      </c>
      <c r="D261" s="56" t="n">
        <f aca="false">CHOOSE($G$15,Entorno!D$7,Entorno!D$8,Entorno!D$9)</f>
        <v>0.045</v>
      </c>
      <c r="E261" s="56" t="n">
        <f aca="false">CHOOSE($G$15,Entorno!E$7,Entorno!E$8,Entorno!E$9)</f>
        <v>0.04</v>
      </c>
      <c r="F261" s="56" t="n">
        <f aca="false">CHOOSE($G$15,Entorno!F$7,Entorno!F$8,Entorno!F$9)</f>
        <v>0.04</v>
      </c>
      <c r="G261" s="56" t="n">
        <f aca="false">CHOOSE($G$15,Entorno!G$7,Entorno!G$8,Entorno!G$9)</f>
        <v>0.04</v>
      </c>
      <c r="H261" s="56" t="n">
        <f aca="false">CHOOSE($G$15,Entorno!H$7,Entorno!H$8,Entorno!H$9)</f>
        <v>0.04</v>
      </c>
      <c r="I261" s="56" t="n">
        <f aca="false">CHOOSE($G$15,Entorno!I$7,Entorno!I$8,Entorno!I$9)</f>
        <v>0.04</v>
      </c>
      <c r="J261" s="56" t="n">
        <f aca="false">CHOOSE($G$15,Entorno!J$7,Entorno!J$8,Entorno!J$9)</f>
        <v>0.04</v>
      </c>
      <c r="K261" s="56" t="n">
        <f aca="false">CHOOSE($G$15,Entorno!K$7,Entorno!K$8,Entorno!K$9)</f>
        <v>0.04</v>
      </c>
      <c r="L261" s="56" t="n">
        <f aca="false">CHOOSE($G$15,Entorno!L$7,Entorno!L$8,Entorno!L$9)</f>
        <v>0.04</v>
      </c>
    </row>
    <row r="262" customFormat="false" ht="15" hidden="true" customHeight="false" outlineLevel="1" collapsed="false">
      <c r="A262" s="9" t="s">
        <v>406</v>
      </c>
      <c r="B262" s="57" t="n">
        <f aca="false">1+B261</f>
        <v>1.06</v>
      </c>
      <c r="C262" s="57" t="n">
        <f aca="false">B262*(1+C261)</f>
        <v>1.113</v>
      </c>
      <c r="D262" s="57" t="n">
        <f aca="false">C262*(1+D261)</f>
        <v>1.163085</v>
      </c>
      <c r="E262" s="57" t="n">
        <f aca="false">D262*(1+E261)</f>
        <v>1.2096084</v>
      </c>
      <c r="F262" s="57" t="n">
        <f aca="false">E262*(1+F261)</f>
        <v>1.257992736</v>
      </c>
      <c r="G262" s="57" t="n">
        <f aca="false">F262*(1+G261)</f>
        <v>1.30831244544</v>
      </c>
      <c r="H262" s="57" t="n">
        <f aca="false">G262*(1+H261)</f>
        <v>1.3606449432576</v>
      </c>
      <c r="I262" s="57" t="n">
        <f aca="false">H262*(1+I261)</f>
        <v>1.4150707409879</v>
      </c>
      <c r="J262" s="57" t="n">
        <f aca="false">I262*(1+J261)</f>
        <v>1.47167357062742</v>
      </c>
      <c r="K262" s="57" t="n">
        <f aca="false">J262*(1+K261)</f>
        <v>1.53054051345252</v>
      </c>
      <c r="L262" s="57" t="n">
        <f aca="false">K262*(1+L261)</f>
        <v>1.59176213399062</v>
      </c>
    </row>
    <row r="263" customFormat="false" ht="15" hidden="true" customHeight="false" outlineLevel="1" collapsed="false">
      <c r="A263" s="9" t="s">
        <v>407</v>
      </c>
      <c r="B263" s="57" t="n">
        <f aca="false">(1+$G$16)/(1+B261)</f>
        <v>1.02358490566038</v>
      </c>
      <c r="C263" s="57" t="n">
        <f aca="false">B263*(1+Entorno!$B$13)</f>
        <v>1.02870283018868</v>
      </c>
      <c r="D263" s="57" t="n">
        <f aca="false">C263*(1+Entorno!$B$13)</f>
        <v>1.03384634433962</v>
      </c>
      <c r="E263" s="57" t="n">
        <f aca="false">D263*(1+Entorno!$B$13)</f>
        <v>1.03901557606132</v>
      </c>
      <c r="F263" s="57" t="n">
        <f aca="false">E263*(1+Entorno!$B$13)</f>
        <v>1.04421065394163</v>
      </c>
      <c r="G263" s="57" t="n">
        <f aca="false">F263*(1+Entorno!$B$13)</f>
        <v>1.04943170721133</v>
      </c>
      <c r="H263" s="57" t="n">
        <f aca="false">G263*(1+Entorno!$B$13)</f>
        <v>1.05467886574739</v>
      </c>
      <c r="I263" s="57" t="n">
        <f aca="false">H263*(1+Entorno!$B$13)</f>
        <v>1.05995226007613</v>
      </c>
      <c r="J263" s="57" t="n">
        <f aca="false">I263*(1+Entorno!$B$13)</f>
        <v>1.06525202137651</v>
      </c>
      <c r="K263" s="57" t="n">
        <f aca="false">J263*(1+Entorno!$B$13)</f>
        <v>1.07057828148339</v>
      </c>
      <c r="L263" s="57" t="n">
        <f aca="false">K263*(1+Entorno!$B$13)</f>
        <v>1.07593117289081</v>
      </c>
    </row>
    <row r="264" customFormat="false" ht="15" hidden="true" customHeight="false" outlineLevel="1" collapsed="false">
      <c r="A264" s="9" t="s">
        <v>408</v>
      </c>
      <c r="B264" s="57" t="n">
        <f aca="false">1/B262</f>
        <v>0.943396226415094</v>
      </c>
      <c r="C264" s="57" t="n">
        <f aca="false">1/C262</f>
        <v>0.898472596585804</v>
      </c>
      <c r="D264" s="57" t="n">
        <f aca="false">1/D262</f>
        <v>0.859782389077324</v>
      </c>
      <c r="E264" s="57" t="n">
        <f aca="false">1/E262</f>
        <v>0.826713835651273</v>
      </c>
      <c r="F264" s="57" t="n">
        <f aca="false">1/F262</f>
        <v>0.794917149664686</v>
      </c>
      <c r="G264" s="57" t="n">
        <f aca="false">1/G262</f>
        <v>0.764343413139121</v>
      </c>
      <c r="H264" s="57" t="n">
        <f aca="false">1/H262</f>
        <v>0.734945589556847</v>
      </c>
      <c r="I264" s="57" t="n">
        <f aca="false">1/I262</f>
        <v>0.706678451496968</v>
      </c>
      <c r="J264" s="57" t="n">
        <f aca="false">1/J262</f>
        <v>0.679498511054777</v>
      </c>
      <c r="K264" s="57" t="n">
        <f aca="false">1/K262</f>
        <v>0.653363952937286</v>
      </c>
      <c r="L264" s="57" t="n">
        <f aca="false">1/L262</f>
        <v>0.628234570132006</v>
      </c>
    </row>
    <row r="265" customFormat="false" ht="15" hidden="true" customHeight="false" outlineLevel="1" collapsed="false">
      <c r="A265" s="6" t="s">
        <v>323</v>
      </c>
      <c r="B265" s="29" t="n">
        <f aca="false">IF(B$43=0,Quesería!$F$92,IF(B$43=1,Quesería!$F$93*$G$21,0))*$G$11</f>
        <v>930.800239431677</v>
      </c>
      <c r="C265" s="29" t="n">
        <f aca="false">IF(C$43=0,Quesería!$F$92,IF(C$43=1,Quesería!$F$93*$G$21,0))*$G$11</f>
        <v>758.469066674498</v>
      </c>
      <c r="D265" s="29" t="n">
        <f aca="false">IF(D$43=0,Quesería!$F$92,IF(D$43=1,Quesería!$F$93*$G$21,0))*$G$11</f>
        <v>0</v>
      </c>
      <c r="E265" s="29" t="n">
        <f aca="false">IF(E$43=0,Quesería!$F$92,IF(E$43=1,Quesería!$F$93*$G$21,0))*$G$11</f>
        <v>0</v>
      </c>
      <c r="F265" s="29" t="n">
        <f aca="false">IF(F$43=0,Quesería!$F$92,IF(F$43=1,Quesería!$F$93*$G$21,0))*$G$11</f>
        <v>0</v>
      </c>
      <c r="G265" s="29" t="n">
        <f aca="false">IF(G$43=0,Quesería!$F$92,IF(G$43=1,Quesería!$F$93*$G$21,0))*$G$11</f>
        <v>0</v>
      </c>
      <c r="H265" s="29" t="n">
        <f aca="false">IF(H$43=0,Quesería!$F$92,IF(H$43=1,Quesería!$F$93*$G$21,0))*$G$11</f>
        <v>0</v>
      </c>
      <c r="I265" s="29" t="n">
        <f aca="false">IF(I$43=0,Quesería!$F$92,IF(I$43=1,Quesería!$F$93*$G$21,0))*$G$11</f>
        <v>0</v>
      </c>
      <c r="J265" s="29" t="n">
        <f aca="false">IF(J$43=0,Quesería!$F$92,IF(J$43=1,Quesería!$F$93*$G$21,0))*$G$11</f>
        <v>0</v>
      </c>
      <c r="K265" s="29" t="n">
        <f aca="false">IF(K$43=0,Quesería!$F$92,IF(K$43=1,Quesería!$F$93*$G$21,0))*$G$11</f>
        <v>0</v>
      </c>
      <c r="L265" s="29" t="n">
        <f aca="false">IF(L$43=0,Quesería!$F$92,IF(L$43=1,Quesería!$F$93*$G$21,0))*$G$11</f>
        <v>0</v>
      </c>
    </row>
    <row r="266" customFormat="false" ht="15" hidden="true" customHeight="false" outlineLevel="1" collapsed="false">
      <c r="A266" s="6" t="s">
        <v>409</v>
      </c>
      <c r="B266" s="29" t="n">
        <f aca="false">IF(B$43=5,Quesería!$F$99,IF(B$43=6,Quesería!$F$100,0))*$G$11</f>
        <v>0</v>
      </c>
      <c r="C266" s="29" t="n">
        <f aca="false">IF(C$43=5,Quesería!$F$99,IF(C$43=6,Quesería!$F$100,0))*$G$11</f>
        <v>0</v>
      </c>
      <c r="D266" s="29" t="n">
        <f aca="false">IF(D$43=5,Quesería!$F$99,IF(D$43=6,Quesería!$F$100,0))*$G$11</f>
        <v>0</v>
      </c>
      <c r="E266" s="29" t="n">
        <f aca="false">IF(E$43=5,Quesería!$F$99,IF(E$43=6,Quesería!$F$100,0))*$G$11</f>
        <v>0</v>
      </c>
      <c r="F266" s="29" t="n">
        <f aca="false">IF(F$43=5,Quesería!$F$99,IF(F$43=6,Quesería!$F$100,0))*$G$11</f>
        <v>0</v>
      </c>
      <c r="G266" s="29" t="n">
        <f aca="false">IF(G$43=5,Quesería!$F$99,IF(G$43=6,Quesería!$F$100,0))*$G$11</f>
        <v>27.4652172688735</v>
      </c>
      <c r="H266" s="29" t="n">
        <f aca="false">IF(H$43=5,Quesería!$F$99,IF(H$43=6,Quesería!$F$100,0))*$G$11</f>
        <v>46.3891557109552</v>
      </c>
      <c r="I266" s="29" t="n">
        <f aca="false">IF(I$43=5,Quesería!$F$99,IF(I$43=6,Quesería!$F$100,0))*$G$11</f>
        <v>0</v>
      </c>
      <c r="J266" s="29" t="n">
        <f aca="false">IF(J$43=5,Quesería!$F$99,IF(J$43=6,Quesería!$F$100,0))*$G$11</f>
        <v>0</v>
      </c>
      <c r="K266" s="29" t="n">
        <f aca="false">IF(K$43=5,Quesería!$F$99,IF(K$43=6,Quesería!$F$100,0))*$G$11</f>
        <v>0</v>
      </c>
      <c r="L266" s="29" t="n">
        <f aca="false">IF(L$43=5,Quesería!$F$99,IF(L$43=6,Quesería!$F$100,0))*$G$11</f>
        <v>0</v>
      </c>
    </row>
    <row r="267" customFormat="false" ht="15" hidden="true" customHeight="false" outlineLevel="1" collapsed="false">
      <c r="A267" s="6" t="s">
        <v>410</v>
      </c>
      <c r="B267" s="29" t="n">
        <f aca="false">Quesería!$B$55*(IF(B$43=0,SUMPRODUCT((Quesería!$C$70:$C$89=0)*(Quesería!$H$70:$H$89&gt;0)*(Quesería!$J$70:$J$89&gt;0)*Quesería!$F$70:$F$89*(1+Quesería!$I$70:$I$89)),IF(B$43=1,SUMPRODUCT((Quesería!$C$70:$C$89=1)*(Quesería!$H$70:$H$89&gt;0)*(Quesería!$J$70:$J$89&gt;0)*Quesería!$F$70:$F$89*(1+Quesería!$I$70:$I$89))*$G$21,0))*$G$11+B266)</f>
        <v>149.115671560178</v>
      </c>
      <c r="C267" s="29" t="n">
        <f aca="false">Quesería!$B$55*(IF(C$43=0,SUMPRODUCT((Quesería!$C$70:$C$89=0)*(Quesería!$H$70:$H$89&gt;0)*(Quesería!$J$70:$J$89&gt;0)*Quesería!$F$70:$F$89*(1+Quesería!$I$70:$I$89)),IF(C$43=1,SUMPRODUCT((Quesería!$C$70:$C$89=1)*(Quesería!$H$70:$H$89&gt;0)*(Quesería!$J$70:$J$89&gt;0)*Quesería!$F$70:$F$89*(1+Quesería!$I$70:$I$89))*$G$21,0))*$G$11+C266)</f>
        <v>144.109122668155</v>
      </c>
      <c r="D267" s="29" t="n">
        <f aca="false">Quesería!$B$55*(IF(D$43=0,SUMPRODUCT((Quesería!$C$70:$C$89=0)*(Quesería!$H$70:$H$89&gt;0)*(Quesería!$J$70:$J$89&gt;0)*Quesería!$F$70:$F$89*(1+Quesería!$I$70:$I$89)),IF(D$43=1,SUMPRODUCT((Quesería!$C$70:$C$89=1)*(Quesería!$H$70:$H$89&gt;0)*(Quesería!$J$70:$J$89&gt;0)*Quesería!$F$70:$F$89*(1+Quesería!$I$70:$I$89))*$G$21,0))*$G$11+D266)</f>
        <v>0</v>
      </c>
      <c r="E267" s="29" t="n">
        <f aca="false">Quesería!$B$55*(IF(E$43=0,SUMPRODUCT((Quesería!$C$70:$C$89=0)*(Quesería!$H$70:$H$89&gt;0)*(Quesería!$J$70:$J$89&gt;0)*Quesería!$F$70:$F$89*(1+Quesería!$I$70:$I$89)),IF(E$43=1,SUMPRODUCT((Quesería!$C$70:$C$89=1)*(Quesería!$H$70:$H$89&gt;0)*(Quesería!$J$70:$J$89&gt;0)*Quesería!$F$70:$F$89*(1+Quesería!$I$70:$I$89))*$G$21,0))*$G$11+E266)</f>
        <v>0</v>
      </c>
      <c r="F267" s="29" t="n">
        <f aca="false">Quesería!$B$55*(IF(F$43=0,SUMPRODUCT((Quesería!$C$70:$C$89=0)*(Quesería!$H$70:$H$89&gt;0)*(Quesería!$J$70:$J$89&gt;0)*Quesería!$F$70:$F$89*(1+Quesería!$I$70:$I$89)),IF(F$43=1,SUMPRODUCT((Quesería!$C$70:$C$89=1)*(Quesería!$H$70:$H$89&gt;0)*(Quesería!$J$70:$J$89&gt;0)*Quesería!$F$70:$F$89*(1+Quesería!$I$70:$I$89))*$G$21,0))*$G$11+F266)</f>
        <v>0</v>
      </c>
      <c r="G267" s="29" t="n">
        <f aca="false">Quesería!$B$55*(IF(G$43=0,SUMPRODUCT((Quesería!$C$70:$C$89=0)*(Quesería!$H$70:$H$89&gt;0)*(Quesería!$J$70:$J$89&gt;0)*Quesería!$F$70:$F$89*(1+Quesería!$I$70:$I$89)),IF(G$43=1,SUMPRODUCT((Quesería!$C$70:$C$89=1)*(Quesería!$H$70:$H$89&gt;0)*(Quesería!$J$70:$J$89&gt;0)*Quesería!$F$70:$F$89*(1+Quesería!$I$70:$I$89))*$G$21,0))*$G$11+G266)</f>
        <v>5.21839128108597</v>
      </c>
      <c r="H267" s="29" t="n">
        <f aca="false">Quesería!$B$55*(IF(H$43=0,SUMPRODUCT((Quesería!$C$70:$C$89=0)*(Quesería!$H$70:$H$89&gt;0)*(Quesería!$J$70:$J$89&gt;0)*Quesería!$F$70:$F$89*(1+Quesería!$I$70:$I$89)),IF(H$43=1,SUMPRODUCT((Quesería!$C$70:$C$89=1)*(Quesería!$H$70:$H$89&gt;0)*(Quesería!$J$70:$J$89&gt;0)*Quesería!$F$70:$F$89*(1+Quesería!$I$70:$I$89))*$G$21,0))*$G$11+H266)</f>
        <v>8.8139395850815</v>
      </c>
      <c r="I267" s="29" t="n">
        <f aca="false">Quesería!$B$55*(IF(I$43=0,SUMPRODUCT((Quesería!$C$70:$C$89=0)*(Quesería!$H$70:$H$89&gt;0)*(Quesería!$J$70:$J$89&gt;0)*Quesería!$F$70:$F$89*(1+Quesería!$I$70:$I$89)),IF(I$43=1,SUMPRODUCT((Quesería!$C$70:$C$89=1)*(Quesería!$H$70:$H$89&gt;0)*(Quesería!$J$70:$J$89&gt;0)*Quesería!$F$70:$F$89*(1+Quesería!$I$70:$I$89))*$G$21,0))*$G$11+I266)</f>
        <v>0</v>
      </c>
      <c r="J267" s="29" t="n">
        <f aca="false">Quesería!$B$55*(IF(J$43=0,SUMPRODUCT((Quesería!$C$70:$C$89=0)*(Quesería!$H$70:$H$89&gt;0)*(Quesería!$J$70:$J$89&gt;0)*Quesería!$F$70:$F$89*(1+Quesería!$I$70:$I$89)),IF(J$43=1,SUMPRODUCT((Quesería!$C$70:$C$89=1)*(Quesería!$H$70:$H$89&gt;0)*(Quesería!$J$70:$J$89&gt;0)*Quesería!$F$70:$F$89*(1+Quesería!$I$70:$I$89))*$G$21,0))*$G$11+J266)</f>
        <v>0</v>
      </c>
      <c r="K267" s="29" t="n">
        <f aca="false">Quesería!$B$55*(IF(K$43=0,SUMPRODUCT((Quesería!$C$70:$C$89=0)*(Quesería!$H$70:$H$89&gt;0)*(Quesería!$J$70:$J$89&gt;0)*Quesería!$F$70:$F$89*(1+Quesería!$I$70:$I$89)),IF(K$43=1,SUMPRODUCT((Quesería!$C$70:$C$89=1)*(Quesería!$H$70:$H$89&gt;0)*(Quesería!$J$70:$J$89&gt;0)*Quesería!$F$70:$F$89*(1+Quesería!$I$70:$I$89))*$G$21,0))*$G$11+K266)</f>
        <v>0</v>
      </c>
      <c r="L267" s="29" t="n">
        <f aca="false">Quesería!$B$55*(IF(L$43=0,SUMPRODUCT((Quesería!$C$70:$C$89=0)*(Quesería!$H$70:$H$89&gt;0)*(Quesería!$J$70:$J$89&gt;0)*Quesería!$F$70:$F$89*(1+Quesería!$I$70:$I$89)),IF(L$43=1,SUMPRODUCT((Quesería!$C$70:$C$89=1)*(Quesería!$H$70:$H$89&gt;0)*(Quesería!$J$70:$J$89&gt;0)*Quesería!$F$70:$F$89*(1+Quesería!$I$70:$I$89))*$G$21,0))*$G$11+L266)</f>
        <v>0</v>
      </c>
    </row>
    <row r="268" customFormat="false" ht="15" hidden="true" customHeight="false" outlineLevel="1" collapsed="false">
      <c r="A268" s="6" t="s">
        <v>385</v>
      </c>
      <c r="B268" s="29" t="n">
        <f aca="false">IF(B$43=0,($G$22*Quesería!$J$125+(1-$G$22)*Quesería!$E$121)*Quesería!$B$20*Quesería!$B$21/12*$G$23,(($G$22*Quesería!$J$125+(1-$G$22)*Quesería!$E$121)+($G$22*Quesería!$J$104+(1-$G$22)*Quesería!$E$104)*(B263-1))*IF(B$43=1,Quesería!$B$20,1))*$G$10</f>
        <v>96.5734178089624</v>
      </c>
      <c r="C268" s="29" t="n">
        <f aca="false">IF(C$43=0,($G$22*Quesería!$J$125+(1-$G$22)*Quesería!$E$121)*Quesería!$B$20*Quesería!$B$21/12*$G$23,(($G$22*Quesería!$J$125+(1-$G$22)*Quesería!$E$121)+($G$22*Quesería!$J$104+(1-$G$22)*Quesería!$E$104)*(C263-1))*IF(C$43=1,Quesería!$B$20,1))*$G$10</f>
        <v>145.062653883255</v>
      </c>
      <c r="D268" s="29" t="n">
        <f aca="false">IF(D$43=0,($G$22*Quesería!$J$125+(1-$G$22)*Quesería!$E$121)*Quesería!$B$20*Quesería!$B$21/12*$G$23,(($G$22*Quesería!$J$125+(1-$G$22)*Quesería!$E$121)+($G$22*Quesería!$J$104+(1-$G$22)*Quesería!$E$104)*(D263-1))*IF(D$43=1,Quesería!$B$20,1))*$G$10</f>
        <v>193.465262025472</v>
      </c>
      <c r="E268" s="29" t="n">
        <f aca="false">IF(E$43=0,($G$22*Quesería!$J$125+(1-$G$22)*Quesería!$E$121)*Quesería!$B$20*Quesería!$B$21/12*$G$23,(($G$22*Quesería!$J$125+(1-$G$22)*Quesería!$E$121)+($G$22*Quesería!$J$104+(1-$G$22)*Quesería!$E$104)*(E263-1))*IF(E$43=1,Quesería!$B$20,1))*$G$10</f>
        <v>193.51389415751</v>
      </c>
      <c r="F268" s="29" t="n">
        <f aca="false">IF(F$43=0,($G$22*Quesería!$J$125+(1-$G$22)*Quesería!$E$121)*Quesería!$B$20*Quesería!$B$21/12*$G$23,(($G$22*Quesería!$J$125+(1-$G$22)*Quesería!$E$121)+($G$22*Quesería!$J$104+(1-$G$22)*Quesería!$E$104)*(F263-1))*IF(F$43=1,Quesería!$B$20,1))*$G$10</f>
        <v>193.562769450208</v>
      </c>
      <c r="G268" s="29" t="n">
        <f aca="false">IF(G$43=0,($G$22*Quesería!$J$125+(1-$G$22)*Quesería!$E$121)*Quesería!$B$20*Quesería!$B$21/12*$G$23,(($G$22*Quesería!$J$125+(1-$G$22)*Quesería!$E$121)+($G$22*Quesería!$J$104+(1-$G$22)*Quesería!$E$104)*(G263-1))*IF(G$43=1,Quesería!$B$20,1))*$G$10</f>
        <v>193.611889119369</v>
      </c>
      <c r="H268" s="29" t="n">
        <f aca="false">IF(H$43=0,($G$22*Quesería!$J$125+(1-$G$22)*Quesería!$E$121)*Quesería!$B$20*Quesería!$B$21/12*$G$23,(($G$22*Quesería!$J$125+(1-$G$22)*Quesería!$E$121)+($G$22*Quesería!$J$104+(1-$G$22)*Quesería!$E$104)*(H263-1))*IF(H$43=1,Quesería!$B$20,1))*$G$10</f>
        <v>193.661254386876</v>
      </c>
      <c r="I268" s="29" t="n">
        <f aca="false">IF(I$43=0,($G$22*Quesería!$J$125+(1-$G$22)*Quesería!$E$121)*Quesería!$B$20*Quesería!$B$21/12*$G$23,(($G$22*Quesería!$J$125+(1-$G$22)*Quesería!$E$121)+($G$22*Quesería!$J$104+(1-$G$22)*Quesería!$E$104)*(I263-1))*IF(I$43=1,Quesería!$B$20,1))*$G$10</f>
        <v>193.710866480721</v>
      </c>
      <c r="J268" s="29" t="n">
        <f aca="false">IF(J$43=0,($G$22*Quesería!$J$125+(1-$G$22)*Quesería!$E$121)*Quesería!$B$20*Quesería!$B$21/12*$G$23,(($G$22*Quesería!$J$125+(1-$G$22)*Quesería!$E$121)+($G$22*Quesería!$J$104+(1-$G$22)*Quesería!$E$104)*(J263-1))*IF(J$43=1,Quesería!$B$20,1))*$G$10</f>
        <v>193.760726635035</v>
      </c>
      <c r="K268" s="29" t="n">
        <f aca="false">IF(K$43=0,($G$22*Quesería!$J$125+(1-$G$22)*Quesería!$E$121)*Quesería!$B$20*Quesería!$B$21/12*$G$23,(($G$22*Quesería!$J$125+(1-$G$22)*Quesería!$E$121)+($G$22*Quesería!$J$104+(1-$G$22)*Quesería!$E$104)*(K263-1))*IF(K$43=1,Quesería!$B$20,1))*$G$10</f>
        <v>193.810836090121</v>
      </c>
      <c r="L268" s="29" t="n">
        <f aca="false">IF(L$43=0,($G$22*Quesería!$J$125+(1-$G$22)*Quesería!$E$121)*Quesería!$B$20*Quesería!$B$21/12*$G$23,(($G$22*Quesería!$J$125+(1-$G$22)*Quesería!$E$121)+($G$22*Quesería!$J$104+(1-$G$22)*Quesería!$E$104)*(L263-1))*IF(L$43=1,Quesería!$B$20,1))*$G$10</f>
        <v>193.861196092482</v>
      </c>
    </row>
    <row r="269" customFormat="false" ht="15" hidden="true" customHeight="false" outlineLevel="1" collapsed="false">
      <c r="A269" s="6" t="s">
        <v>386</v>
      </c>
      <c r="B269" s="29" t="n">
        <f aca="false">IF(B$43&lt;=1,0,((($G$22*Quesería!$J$126+(1-$G$22)*Quesería!$E$122)-($G$22*Quesería!$J$113+(1-$G$22)*Quesería!$E$113)+$G$6*($G$22*Quesería!$J$113+(1-$G$22)*Quesería!$E$113)-(1-$G$9)*(($G$22*Quesería!$J$118+(1-$G$22)*Quesería!$E$118)+($G$22*Quesería!$J$117+(1-$G$22)*Quesería!$E$117)))+($G$6*($G$22*Quesería!$J$113+(1-$G$22)*Quesería!$E$113)+$G$9*($G$22*Quesería!$J$118+(1-$G$22)*Quesería!$E$118))*(B263-1))*IF(B$43=2,Quesería!$B$20,1)+IF(B$43=2,Quesería!$B$24*$G$9*($G$22*Quesería!$J$118+(1-$G$22)*Quesería!$E$118)*B263,0))*$G$10*$G$21</f>
        <v>0</v>
      </c>
      <c r="C269" s="29" t="n">
        <f aca="false">IF(C$43&lt;=1,0,((($G$22*Quesería!$J$126+(1-$G$22)*Quesería!$E$122)-($G$22*Quesería!$J$113+(1-$G$22)*Quesería!$E$113)+$G$6*($G$22*Quesería!$J$113+(1-$G$22)*Quesería!$E$113)-(1-$G$9)*(($G$22*Quesería!$J$118+(1-$G$22)*Quesería!$E$118)+($G$22*Quesería!$J$117+(1-$G$22)*Quesería!$E$117)))+($G$6*($G$22*Quesería!$J$113+(1-$G$22)*Quesería!$E$113)+$G$9*($G$22*Quesería!$J$118+(1-$G$22)*Quesería!$E$118))*(C263-1))*IF(C$43=2,Quesería!$B$20,1)+IF(C$43=2,Quesería!$B$24*$G$9*($G$22*Quesería!$J$118+(1-$G$22)*Quesería!$E$118)*C263,0))*$G$10*$G$21</f>
        <v>0</v>
      </c>
      <c r="D269" s="29" t="n">
        <f aca="false">IF(D$43&lt;=1,0,((($G$22*Quesería!$J$126+(1-$G$22)*Quesería!$E$122)-($G$22*Quesería!$J$113+(1-$G$22)*Quesería!$E$113)+$G$6*($G$22*Quesería!$J$113+(1-$G$22)*Quesería!$E$113)-(1-$G$9)*(($G$22*Quesería!$J$118+(1-$G$22)*Quesería!$E$118)+($G$22*Quesería!$J$117+(1-$G$22)*Quesería!$E$117)))+($G$6*($G$22*Quesería!$J$113+(1-$G$22)*Quesería!$E$113)+$G$9*($G$22*Quesería!$J$118+(1-$G$22)*Quesería!$E$118))*(D263-1))*IF(D$43=2,Quesería!$B$20,1)+IF(D$43=2,Quesería!$B$24*$G$9*($G$22*Quesería!$J$118+(1-$G$22)*Quesería!$E$118)*D263,0))*$G$10*$G$21</f>
        <v>188.161204494889</v>
      </c>
      <c r="E269" s="29" t="n">
        <f aca="false">IF(E$43&lt;=1,0,((($G$22*Quesería!$J$126+(1-$G$22)*Quesería!$E$122)-($G$22*Quesería!$J$113+(1-$G$22)*Quesería!$E$113)+$G$6*($G$22*Quesería!$J$113+(1-$G$22)*Quesería!$E$113)-(1-$G$9)*(($G$22*Quesería!$J$118+(1-$G$22)*Quesería!$E$118)+($G$22*Quesería!$J$117+(1-$G$22)*Quesería!$E$117)))+($G$6*($G$22*Quesería!$J$113+(1-$G$22)*Quesería!$E$113)+$G$9*($G$22*Quesería!$J$118+(1-$G$22)*Quesería!$E$118))*(E263-1))*IF(E$43=2,Quesería!$B$20,1)+IF(E$43=2,Quesería!$B$24*$G$9*($G$22*Quesería!$J$118+(1-$G$22)*Quesería!$E$118)*E263,0))*$G$10*$G$21</f>
        <v>239.169202112016</v>
      </c>
      <c r="F269" s="29" t="n">
        <f aca="false">IF(F$43&lt;=1,0,((($G$22*Quesería!$J$126+(1-$G$22)*Quesería!$E$122)-($G$22*Quesería!$J$113+(1-$G$22)*Quesería!$E$113)+$G$6*($G$22*Quesería!$J$113+(1-$G$22)*Quesería!$E$113)-(1-$G$9)*(($G$22*Quesería!$J$118+(1-$G$22)*Quesería!$E$118)+($G$22*Quesería!$J$117+(1-$G$22)*Quesería!$E$117)))+($G$6*($G$22*Quesería!$J$113+(1-$G$22)*Quesería!$E$113)+$G$9*($G$22*Quesería!$J$118+(1-$G$22)*Quesería!$E$118))*(F263-1))*IF(F$43=2,Quesería!$B$20,1)+IF(F$43=2,Quesería!$B$24*$G$9*($G$22*Quesería!$J$118+(1-$G$22)*Quesería!$E$118)*F263,0))*$G$10*$G$21</f>
        <v>239.367695647666</v>
      </c>
      <c r="G269" s="29" t="n">
        <f aca="false">IF(G$43&lt;=1,0,((($G$22*Quesería!$J$126+(1-$G$22)*Quesería!$E$122)-($G$22*Quesería!$J$113+(1-$G$22)*Quesería!$E$113)+$G$6*($G$22*Quesería!$J$113+(1-$G$22)*Quesería!$E$113)-(1-$G$9)*(($G$22*Quesería!$J$118+(1-$G$22)*Quesería!$E$118)+($G$22*Quesería!$J$117+(1-$G$22)*Quesería!$E$117)))+($G$6*($G$22*Quesería!$J$113+(1-$G$22)*Quesería!$E$113)+$G$9*($G$22*Quesería!$J$118+(1-$G$22)*Quesería!$E$118))*(G263-1))*IF(G$43=2,Quesería!$B$20,1)+IF(G$43=2,Quesería!$B$24*$G$9*($G$22*Quesería!$J$118+(1-$G$22)*Quesería!$E$118)*G263,0))*$G$10*$G$21</f>
        <v>239.567181650995</v>
      </c>
      <c r="H269" s="29" t="n">
        <f aca="false">IF(H$43&lt;=1,0,((($G$22*Quesería!$J$126+(1-$G$22)*Quesería!$E$122)-($G$22*Quesería!$J$113+(1-$G$22)*Quesería!$E$113)+$G$6*($G$22*Quesería!$J$113+(1-$G$22)*Quesería!$E$113)-(1-$G$9)*(($G$22*Quesería!$J$118+(1-$G$22)*Quesería!$E$118)+($G$22*Quesería!$J$117+(1-$G$22)*Quesería!$E$117)))+($G$6*($G$22*Quesería!$J$113+(1-$G$22)*Quesería!$E$113)+$G$9*($G$22*Quesería!$J$118+(1-$G$22)*Quesería!$E$118))*(H263-1))*IF(H$43=2,Quesería!$B$20,1)+IF(H$43=2,Quesería!$B$24*$G$9*($G$22*Quesería!$J$118+(1-$G$22)*Quesería!$E$118)*H263,0))*$G$10*$G$21</f>
        <v>239.767665084341</v>
      </c>
      <c r="I269" s="29" t="n">
        <f aca="false">IF(I$43&lt;=1,0,((($G$22*Quesería!$J$126+(1-$G$22)*Quesería!$E$122)-($G$22*Quesería!$J$113+(1-$G$22)*Quesería!$E$113)+$G$6*($G$22*Quesería!$J$113+(1-$G$22)*Quesería!$E$113)-(1-$G$9)*(($G$22*Quesería!$J$118+(1-$G$22)*Quesería!$E$118)+($G$22*Quesería!$J$117+(1-$G$22)*Quesería!$E$117)))+($G$6*($G$22*Quesería!$J$113+(1-$G$22)*Quesería!$E$113)+$G$9*($G$22*Quesería!$J$118+(1-$G$22)*Quesería!$E$118))*(I263-1))*IF(I$43=2,Quesería!$B$20,1)+IF(I$43=2,Quesería!$B$24*$G$9*($G$22*Quesería!$J$118+(1-$G$22)*Quesería!$E$118)*I263,0))*$G$10*$G$21</f>
        <v>239.969150934853</v>
      </c>
      <c r="J269" s="29" t="n">
        <f aca="false">IF(J$43&lt;=1,0,((($G$22*Quesería!$J$126+(1-$G$22)*Quesería!$E$122)-($G$22*Quesería!$J$113+(1-$G$22)*Quesería!$E$113)+$G$6*($G$22*Quesería!$J$113+(1-$G$22)*Quesería!$E$113)-(1-$G$9)*(($G$22*Quesería!$J$118+(1-$G$22)*Quesería!$E$118)+($G$22*Quesería!$J$117+(1-$G$22)*Quesería!$E$117)))+($G$6*($G$22*Quesería!$J$113+(1-$G$22)*Quesería!$E$113)+$G$9*($G$22*Quesería!$J$118+(1-$G$22)*Quesería!$E$118))*(J263-1))*IF(J$43=2,Quesería!$B$20,1)+IF(J$43=2,Quesería!$B$24*$G$9*($G$22*Quesería!$J$118+(1-$G$22)*Quesería!$E$118)*J263,0))*$G$10*$G$21</f>
        <v>240.171644214618</v>
      </c>
      <c r="K269" s="29" t="n">
        <f aca="false">IF(K$43&lt;=1,0,((($G$22*Quesería!$J$126+(1-$G$22)*Quesería!$E$122)-($G$22*Quesería!$J$113+(1-$G$22)*Quesería!$E$113)+$G$6*($G$22*Quesería!$J$113+(1-$G$22)*Quesería!$E$113)-(1-$G$9)*(($G$22*Quesería!$J$118+(1-$G$22)*Quesería!$E$118)+($G$22*Quesería!$J$117+(1-$G$22)*Quesería!$E$117)))+($G$6*($G$22*Quesería!$J$113+(1-$G$22)*Quesería!$E$113)+$G$9*($G$22*Quesería!$J$118+(1-$G$22)*Quesería!$E$118))*(K263-1))*IF(K$43=2,Quesería!$B$20,1)+IF(K$43=2,Quesería!$B$24*$G$9*($G$22*Quesería!$J$118+(1-$G$22)*Quesería!$E$118)*K263,0))*$G$10*$G$21</f>
        <v>240.375149960782</v>
      </c>
      <c r="L269" s="29" t="n">
        <f aca="false">IF(L$43&lt;=1,0,((($G$22*Quesería!$J$126+(1-$G$22)*Quesería!$E$122)-($G$22*Quesería!$J$113+(1-$G$22)*Quesería!$E$113)+$G$6*($G$22*Quesería!$J$113+(1-$G$22)*Quesería!$E$113)-(1-$G$9)*(($G$22*Quesería!$J$118+(1-$G$22)*Quesería!$E$118)+($G$22*Quesería!$J$117+(1-$G$22)*Quesería!$E$117)))+($G$6*($G$22*Quesería!$J$113+(1-$G$22)*Quesería!$E$113)+$G$9*($G$22*Quesería!$J$118+(1-$G$22)*Quesería!$E$118))*(L263-1))*IF(L$43=2,Quesería!$B$20,1)+IF(L$43=2,Quesería!$B$24*$G$9*($G$22*Quesería!$J$118+(1-$G$22)*Quesería!$E$118)*L263,0))*$G$10*$G$21</f>
        <v>240.579673235677</v>
      </c>
    </row>
    <row r="270" customFormat="false" ht="15" hidden="true" customHeight="false" outlineLevel="1" collapsed="false">
      <c r="A270" s="5" t="s">
        <v>411</v>
      </c>
      <c r="B270" s="10" t="n">
        <f aca="false">B268+B269</f>
        <v>96.5734178089624</v>
      </c>
      <c r="C270" s="10" t="n">
        <f aca="false">C268+C269</f>
        <v>145.062653883255</v>
      </c>
      <c r="D270" s="10" t="n">
        <f aca="false">D268+D269</f>
        <v>381.626466520361</v>
      </c>
      <c r="E270" s="10" t="n">
        <f aca="false">E268+E269</f>
        <v>432.683096269525</v>
      </c>
      <c r="F270" s="10" t="n">
        <f aca="false">F268+F269</f>
        <v>432.930465097874</v>
      </c>
      <c r="G270" s="10" t="n">
        <f aca="false">G268+G269</f>
        <v>433.179070770364</v>
      </c>
      <c r="H270" s="10" t="n">
        <f aca="false">H268+H269</f>
        <v>433.428919471217</v>
      </c>
      <c r="I270" s="10" t="n">
        <f aca="false">I268+I269</f>
        <v>433.680017415574</v>
      </c>
      <c r="J270" s="10" t="n">
        <f aca="false">J268+J269</f>
        <v>433.932370849653</v>
      </c>
      <c r="K270" s="10" t="n">
        <f aca="false">K268+K269</f>
        <v>434.185986050903</v>
      </c>
      <c r="L270" s="10" t="n">
        <f aca="false">L268+L269</f>
        <v>434.440869328158</v>
      </c>
    </row>
    <row r="271" customFormat="false" ht="15" hidden="true" customHeight="false" outlineLevel="1" collapsed="false">
      <c r="A271" s="6" t="s">
        <v>412</v>
      </c>
      <c r="B271" s="29" t="n">
        <f aca="false">(IF(B$43&gt;=1,(Quesería!$B$31+Quesería!$B$33)*Quesería!$F$94*$G$11+Quesería!$B$32+'Beneficios y costos'!$B$211,0)+IF(B$43&gt;=2,((Quesería!$B$31+Quesería!$B$33)*Quesería!$F$95*$G$11+'Beneficios y costos'!$C$211)*$G$21,0))*$G$12</f>
        <v>0</v>
      </c>
      <c r="C271" s="29" t="n">
        <f aca="false">(IF(C$43&gt;=1,(Quesería!$B$31+Quesería!$B$33)*Quesería!$F$94*$G$11+Quesería!$B$32+'Beneficios y costos'!$B$211,0)+IF(C$43&gt;=2,((Quesería!$B$31+Quesería!$B$33)*Quesería!$F$95*$G$11+'Beneficios y costos'!$C$211)*$G$21,0))*$G$12</f>
        <v>42.0946487260605</v>
      </c>
      <c r="D271" s="29" t="n">
        <f aca="false">(IF(D$43&gt;=1,(Quesería!$B$31+Quesería!$B$33)*Quesería!$F$94*$G$11+Quesería!$B$32+'Beneficios y costos'!$B$211,0)+IF(D$43&gt;=2,((Quesería!$B$31+Quesería!$B$33)*Quesería!$F$95*$G$11+'Beneficios y costos'!$C$211)*$G$21,0))*$G$12</f>
        <v>95.9432442337815</v>
      </c>
      <c r="E271" s="29" t="n">
        <f aca="false">(IF(E$43&gt;=1,(Quesería!$B$31+Quesería!$B$33)*Quesería!$F$94*$G$11+Quesería!$B$32+'Beneficios y costos'!$B$211,0)+IF(E$43&gt;=2,((Quesería!$B$31+Quesería!$B$33)*Quesería!$F$95*$G$11+'Beneficios y costos'!$C$211)*$G$21,0))*$G$12</f>
        <v>95.9432442337815</v>
      </c>
      <c r="F271" s="29" t="n">
        <f aca="false">(IF(F$43&gt;=1,(Quesería!$B$31+Quesería!$B$33)*Quesería!$F$94*$G$11+Quesería!$B$32+'Beneficios y costos'!$B$211,0)+IF(F$43&gt;=2,((Quesería!$B$31+Quesería!$B$33)*Quesería!$F$95*$G$11+'Beneficios y costos'!$C$211)*$G$21,0))*$G$12</f>
        <v>95.9432442337815</v>
      </c>
      <c r="G271" s="29" t="n">
        <f aca="false">(IF(G$43&gt;=1,(Quesería!$B$31+Quesería!$B$33)*Quesería!$F$94*$G$11+Quesería!$B$32+'Beneficios y costos'!$B$211,0)+IF(G$43&gt;=2,((Quesería!$B$31+Quesería!$B$33)*Quesería!$F$95*$G$11+'Beneficios y costos'!$C$211)*$G$21,0))*$G$12</f>
        <v>95.9432442337815</v>
      </c>
      <c r="H271" s="29" t="n">
        <f aca="false">(IF(H$43&gt;=1,(Quesería!$B$31+Quesería!$B$33)*Quesería!$F$94*$G$11+Quesería!$B$32+'Beneficios y costos'!$B$211,0)+IF(H$43&gt;=2,((Quesería!$B$31+Quesería!$B$33)*Quesería!$F$95*$G$11+'Beneficios y costos'!$C$211)*$G$21,0))*$G$12</f>
        <v>95.9432442337815</v>
      </c>
      <c r="I271" s="29" t="n">
        <f aca="false">(IF(I$43&gt;=1,(Quesería!$B$31+Quesería!$B$33)*Quesería!$F$94*$G$11+Quesería!$B$32+'Beneficios y costos'!$B$211,0)+IF(I$43&gt;=2,((Quesería!$B$31+Quesería!$B$33)*Quesería!$F$95*$G$11+'Beneficios y costos'!$C$211)*$G$21,0))*$G$12</f>
        <v>95.9432442337815</v>
      </c>
      <c r="J271" s="29" t="n">
        <f aca="false">(IF(J$43&gt;=1,(Quesería!$B$31+Quesería!$B$33)*Quesería!$F$94*$G$11+Quesería!$B$32+'Beneficios y costos'!$B$211,0)+IF(J$43&gt;=2,((Quesería!$B$31+Quesería!$B$33)*Quesería!$F$95*$G$11+'Beneficios y costos'!$C$211)*$G$21,0))*$G$12</f>
        <v>95.9432442337815</v>
      </c>
      <c r="K271" s="29" t="n">
        <f aca="false">(IF(K$43&gt;=1,(Quesería!$B$31+Quesería!$B$33)*Quesería!$F$94*$G$11+Quesería!$B$32+'Beneficios y costos'!$B$211,0)+IF(K$43&gt;=2,((Quesería!$B$31+Quesería!$B$33)*Quesería!$F$95*$G$11+'Beneficios y costos'!$C$211)*$G$21,0))*$G$12</f>
        <v>95.9432442337815</v>
      </c>
      <c r="L271" s="29" t="n">
        <f aca="false">(IF(L$43&gt;=1,(Quesería!$B$31+Quesería!$B$33)*Quesería!$F$94*$G$11+Quesería!$B$32+'Beneficios y costos'!$B$211,0)+IF(L$43&gt;=2,((Quesería!$B$31+Quesería!$B$33)*Quesería!$F$95*$G$11+'Beneficios y costos'!$C$211)*$G$21,0))*$G$12</f>
        <v>95.9432442337815</v>
      </c>
    </row>
    <row r="272" customFormat="false" ht="15" hidden="true" customHeight="false" outlineLevel="1" collapsed="false">
      <c r="A272" s="6" t="s">
        <v>413</v>
      </c>
      <c r="B272" s="29" t="n">
        <f aca="false">IF(B$43=1,2*Quesería!$B$22*Quesería!$B$23/12*B263,0)*$G$21</f>
        <v>0</v>
      </c>
      <c r="C272" s="29" t="n">
        <f aca="false">IF(C$43=1,2*Quesería!$B$22*Quesería!$B$23/12*C263,0)*$G$21</f>
        <v>18.5166509433962</v>
      </c>
      <c r="D272" s="29" t="n">
        <f aca="false">IF(D$43=1,2*Quesería!$B$22*Quesería!$B$23/12*D263,0)*$G$21</f>
        <v>0</v>
      </c>
      <c r="E272" s="29" t="n">
        <f aca="false">IF(E$43=1,2*Quesería!$B$22*Quesería!$B$23/12*E263,0)*$G$21</f>
        <v>0</v>
      </c>
      <c r="F272" s="29" t="n">
        <f aca="false">IF(F$43=1,2*Quesería!$B$22*Quesería!$B$23/12*F263,0)*$G$21</f>
        <v>0</v>
      </c>
      <c r="G272" s="29" t="n">
        <f aca="false">IF(G$43=1,2*Quesería!$B$22*Quesería!$B$23/12*G263,0)*$G$21</f>
        <v>0</v>
      </c>
      <c r="H272" s="29" t="n">
        <f aca="false">IF(H$43=1,2*Quesería!$B$22*Quesería!$B$23/12*H263,0)*$G$21</f>
        <v>0</v>
      </c>
      <c r="I272" s="29" t="n">
        <f aca="false">IF(I$43=1,2*Quesería!$B$22*Quesería!$B$23/12*I263,0)*$G$21</f>
        <v>0</v>
      </c>
      <c r="J272" s="29" t="n">
        <f aca="false">IF(J$43=1,2*Quesería!$B$22*Quesería!$B$23/12*J263,0)*$G$21</f>
        <v>0</v>
      </c>
      <c r="K272" s="29" t="n">
        <f aca="false">IF(K$43=1,2*Quesería!$B$22*Quesería!$B$23/12*K263,0)*$G$21</f>
        <v>0</v>
      </c>
      <c r="L272" s="29" t="n">
        <f aca="false">IF(L$43=1,2*Quesería!$B$22*Quesería!$B$23/12*L263,0)*$G$21</f>
        <v>0</v>
      </c>
    </row>
    <row r="273" customFormat="false" ht="15" hidden="true" customHeight="false" outlineLevel="1" collapsed="false">
      <c r="A273" s="6" t="s">
        <v>414</v>
      </c>
      <c r="B273" s="29" t="n">
        <f aca="false">Quesería!$B$52*(B265+B266+B267+B271+B272)</f>
        <v>4.31966364396742</v>
      </c>
      <c r="C273" s="29" t="n">
        <f aca="false">Quesería!$B$52*(C265+C266+C267+C271+C272)</f>
        <v>3.85275795604844</v>
      </c>
      <c r="D273" s="29" t="n">
        <f aca="false">Quesería!$B$52*(D265+D266+D267+D271+D272)</f>
        <v>0.383772976935126</v>
      </c>
      <c r="E273" s="29" t="n">
        <f aca="false">Quesería!$B$52*(E265+E266+E267+E271+E272)</f>
        <v>0.383772976935126</v>
      </c>
      <c r="F273" s="29" t="n">
        <f aca="false">Quesería!$B$52*(F265+F266+F267+F271+F272)</f>
        <v>0.383772976935126</v>
      </c>
      <c r="G273" s="29" t="n">
        <f aca="false">Quesería!$B$52*(G265+G266+G267+G271+G272)</f>
        <v>0.514507411134964</v>
      </c>
      <c r="H273" s="29" t="n">
        <f aca="false">Quesería!$B$52*(H265+H266+H267+H271+H272)</f>
        <v>0.604585358119273</v>
      </c>
      <c r="I273" s="29" t="n">
        <f aca="false">Quesería!$B$52*(I265+I266+I267+I271+I272)</f>
        <v>0.383772976935126</v>
      </c>
      <c r="J273" s="29" t="n">
        <f aca="false">Quesería!$B$52*(J265+J266+J267+J271+J272)</f>
        <v>0.383772976935126</v>
      </c>
      <c r="K273" s="29" t="n">
        <f aca="false">Quesería!$B$52*(K265+K266+K267+K271+K272)</f>
        <v>0.383772976935126</v>
      </c>
      <c r="L273" s="29" t="n">
        <f aca="false">Quesería!$B$52*(L265+L266+L267+L271+L272)</f>
        <v>0.383772976935126</v>
      </c>
    </row>
    <row r="274" customFormat="false" ht="15" hidden="true" customHeight="false" outlineLevel="1" collapsed="false">
      <c r="A274" s="6" t="s">
        <v>415</v>
      </c>
      <c r="B274" s="29" t="n">
        <f aca="false">(IF($G$19=1,(SUMPRODUCT((Quesería!$C$70:$C$89=0)*(Quesería!$J$70:$J$89&gt;0)*(B$43&gt;=1)*(B$43&lt;=Quesería!$J$70:$J$89)*(Quesería!$H$70:$H$89&gt;0)*Quesería!$F$70:$F$89*(1+Quesería!$I$70:$I$89)/(Quesería!$J$70:$J$89+(Quesería!$J$70:$J$89=0)))+SUMPRODUCT((Quesería!$C$70:$C$89=0)*(Quesería!$J$70:$J$89=0)*(B$43=0)*(Quesería!$H$70:$H$89&gt;0)*Quesería!$F$70:$F$89*(1+Quesería!$I$70:$I$89)))*$B$262+(SUMPRODUCT((Quesería!$C$70:$C$89=1)*(Quesería!$J$70:$J$89&gt;0)*(B$43&gt;=2)*(B$43&lt;=Quesería!$J$70:$J$89+1)*(Quesería!$H$70:$H$89&gt;0)*Quesería!$F$70:$F$89*(1+Quesería!$I$70:$I$89)/(Quesería!$J$70:$J$89+(Quesería!$J$70:$J$89=0)))+SUMPRODUCT((Quesería!$C$70:$C$89=1)*(Quesería!$J$70:$J$89=0)*(B$43=1)*(Quesería!$H$70:$H$89&gt;0)*Quesería!$F$70:$F$89*(1+Quesería!$I$70:$I$89)))*$C$262*$G$21,IF(AND(B$43&gt;=1,B$43&lt;=Quesería!$B$30),Quesería!$F$92/Quesería!$B$30,0)*$B$262+IF(AND(B$43&gt;=2,B$43&lt;=Quesería!$B$30+1),Quesería!$F$93/Quesería!$B$30,0)*$C$262*$G$21)*$G$11+IF(AND(B$43&gt;=6,B$43&lt;=10),$G266*$G262/5,0)+IF(AND(B$43&gt;=7,B$43&lt;=11),$H266*$H262/5,0))*B264</f>
        <v>145.980915430742</v>
      </c>
      <c r="C274" s="29" t="n">
        <f aca="false">(IF($G$19=1,(SUMPRODUCT((Quesería!$C$70:$C$89=0)*(Quesería!$J$70:$J$89&gt;0)*(C$43&gt;=1)*(C$43&lt;=Quesería!$J$70:$J$89)*(Quesería!$H$70:$H$89&gt;0)*Quesería!$F$70:$F$89*(1+Quesería!$I$70:$I$89)/(Quesería!$J$70:$J$89+(Quesería!$J$70:$J$89=0)))+SUMPRODUCT((Quesería!$C$70:$C$89=0)*(Quesería!$J$70:$J$89=0)*(C$43=0)*(Quesería!$H$70:$H$89&gt;0)*Quesería!$F$70:$F$89*(1+Quesería!$I$70:$I$89)))*$B$262+(SUMPRODUCT((Quesería!$C$70:$C$89=1)*(Quesería!$J$70:$J$89&gt;0)*(C$43&gt;=2)*(C$43&lt;=Quesería!$J$70:$J$89+1)*(Quesería!$H$70:$H$89&gt;0)*Quesería!$F$70:$F$89*(1+Quesería!$I$70:$I$89)/(Quesería!$J$70:$J$89+(Quesería!$J$70:$J$89=0)))+SUMPRODUCT((Quesería!$C$70:$C$89=1)*(Quesería!$J$70:$J$89=0)*(C$43=1)*(Quesería!$H$70:$H$89&gt;0)*Quesería!$F$70:$F$89*(1+Quesería!$I$70:$I$89)))*$C$262*$G$21,IF(AND(C$43&gt;=1,C$43&lt;=Quesería!$B$30),Quesería!$F$92/Quesería!$B$30,0)*$B$262+IF(AND(C$43&gt;=2,C$43&lt;=Quesería!$B$30+1),Quesería!$F$93/Quesería!$B$30,0)*$C$262*$G$21)*$G$11+IF(AND(C$43&gt;=6,C$43&lt;=10),$G266*$G262/5,0)+IF(AND(C$43&gt;=7,C$43&lt;=11),$H266*$H262/5,0))*C264</f>
        <v>82.2633269524265</v>
      </c>
      <c r="D274" s="29" t="n">
        <f aca="false">(IF($G$19=1,(SUMPRODUCT((Quesería!$C$70:$C$89=0)*(Quesería!$J$70:$J$89&gt;0)*(D$43&gt;=1)*(D$43&lt;=Quesería!$J$70:$J$89)*(Quesería!$H$70:$H$89&gt;0)*Quesería!$F$70:$F$89*(1+Quesería!$I$70:$I$89)/(Quesería!$J$70:$J$89+(Quesería!$J$70:$J$89=0)))+SUMPRODUCT((Quesería!$C$70:$C$89=0)*(Quesería!$J$70:$J$89=0)*(D$43=0)*(Quesería!$H$70:$H$89&gt;0)*Quesería!$F$70:$F$89*(1+Quesería!$I$70:$I$89)))*$B$262+(SUMPRODUCT((Quesería!$C$70:$C$89=1)*(Quesería!$J$70:$J$89&gt;0)*(D$43&gt;=2)*(D$43&lt;=Quesería!$J$70:$J$89+1)*(Quesería!$H$70:$H$89&gt;0)*Quesería!$F$70:$F$89*(1+Quesería!$I$70:$I$89)/(Quesería!$J$70:$J$89+(Quesería!$J$70:$J$89=0)))+SUMPRODUCT((Quesería!$C$70:$C$89=1)*(Quesería!$J$70:$J$89=0)*(D$43=1)*(Quesería!$H$70:$H$89&gt;0)*Quesería!$F$70:$F$89*(1+Quesería!$I$70:$I$89)))*$C$262*$G$21,IF(AND(D$43&gt;=1,D$43&lt;=Quesería!$B$30),Quesería!$F$92/Quesería!$B$30,0)*$B$262+IF(AND(D$43&gt;=2,D$43&lt;=Quesería!$B$30+1),Quesería!$F$93/Quesería!$B$30,0)*$C$262*$G$21)*$G$11+IF(AND(D$43&gt;=6,D$43&lt;=10),$G266*$G262/5,0)+IF(AND(D$43&gt;=7,D$43&lt;=11),$H266*$H262/5,0))*D264</f>
        <v>151.301658966389</v>
      </c>
      <c r="E274" s="29" t="n">
        <f aca="false">(IF($G$19=1,(SUMPRODUCT((Quesería!$C$70:$C$89=0)*(Quesería!$J$70:$J$89&gt;0)*(E$43&gt;=1)*(E$43&lt;=Quesería!$J$70:$J$89)*(Quesería!$H$70:$H$89&gt;0)*Quesería!$F$70:$F$89*(1+Quesería!$I$70:$I$89)/(Quesería!$J$70:$J$89+(Quesería!$J$70:$J$89=0)))+SUMPRODUCT((Quesería!$C$70:$C$89=0)*(Quesería!$J$70:$J$89=0)*(E$43=0)*(Quesería!$H$70:$H$89&gt;0)*Quesería!$F$70:$F$89*(1+Quesería!$I$70:$I$89)))*$B$262+(SUMPRODUCT((Quesería!$C$70:$C$89=1)*(Quesería!$J$70:$J$89&gt;0)*(E$43&gt;=2)*(E$43&lt;=Quesería!$J$70:$J$89+1)*(Quesería!$H$70:$H$89&gt;0)*Quesería!$F$70:$F$89*(1+Quesería!$I$70:$I$89)/(Quesería!$J$70:$J$89+(Quesería!$J$70:$J$89=0)))+SUMPRODUCT((Quesería!$C$70:$C$89=1)*(Quesería!$J$70:$J$89=0)*(E$43=1)*(Quesería!$H$70:$H$89&gt;0)*Quesería!$F$70:$F$89*(1+Quesería!$I$70:$I$89)))*$C$262*$G$21,IF(AND(E$43&gt;=1,E$43&lt;=Quesería!$B$30),Quesería!$F$92/Quesería!$B$30,0)*$B$262+IF(AND(E$43&gt;=2,E$43&lt;=Quesería!$B$30+1),Quesería!$F$93/Quesería!$B$30,0)*$C$262*$G$21)*$G$11+IF(AND(E$43&gt;=6,E$43&lt;=10),$G266*$G262/5,0)+IF(AND(E$43&gt;=7,E$43&lt;=11),$H266*$H262/5,0))*E264</f>
        <v>145.482364390759</v>
      </c>
      <c r="F274" s="29" t="n">
        <f aca="false">(IF($G$19=1,(SUMPRODUCT((Quesería!$C$70:$C$89=0)*(Quesería!$J$70:$J$89&gt;0)*(F$43&gt;=1)*(F$43&lt;=Quesería!$J$70:$J$89)*(Quesería!$H$70:$H$89&gt;0)*Quesería!$F$70:$F$89*(1+Quesería!$I$70:$I$89)/(Quesería!$J$70:$J$89+(Quesería!$J$70:$J$89=0)))+SUMPRODUCT((Quesería!$C$70:$C$89=0)*(Quesería!$J$70:$J$89=0)*(F$43=0)*(Quesería!$H$70:$H$89&gt;0)*Quesería!$F$70:$F$89*(1+Quesería!$I$70:$I$89)))*$B$262+(SUMPRODUCT((Quesería!$C$70:$C$89=1)*(Quesería!$J$70:$J$89&gt;0)*(F$43&gt;=2)*(F$43&lt;=Quesería!$J$70:$J$89+1)*(Quesería!$H$70:$H$89&gt;0)*Quesería!$F$70:$F$89*(1+Quesería!$I$70:$I$89)/(Quesería!$J$70:$J$89+(Quesería!$J$70:$J$89=0)))+SUMPRODUCT((Quesería!$C$70:$C$89=1)*(Quesería!$J$70:$J$89=0)*(F$43=1)*(Quesería!$H$70:$H$89&gt;0)*Quesería!$F$70:$F$89*(1+Quesería!$I$70:$I$89)))*$C$262*$G$21,IF(AND(F$43&gt;=1,F$43&lt;=Quesería!$B$30),Quesería!$F$92/Quesería!$B$30,0)*$B$262+IF(AND(F$43&gt;=2,F$43&lt;=Quesería!$B$30+1),Quesería!$F$93/Quesería!$B$30,0)*$C$262*$G$21)*$G$11+IF(AND(F$43&gt;=6,F$43&lt;=10),$G266*$G262/5,0)+IF(AND(F$43&gt;=7,F$43&lt;=11),$H266*$H262/5,0))*F264</f>
        <v>139.886888837268</v>
      </c>
      <c r="G274" s="29" t="n">
        <f aca="false">(IF($G$19=1,(SUMPRODUCT((Quesería!$C$70:$C$89=0)*(Quesería!$J$70:$J$89&gt;0)*(G$43&gt;=1)*(G$43&lt;=Quesería!$J$70:$J$89)*(Quesería!$H$70:$H$89&gt;0)*Quesería!$F$70:$F$89*(1+Quesería!$I$70:$I$89)/(Quesería!$J$70:$J$89+(Quesería!$J$70:$J$89=0)))+SUMPRODUCT((Quesería!$C$70:$C$89=0)*(Quesería!$J$70:$J$89=0)*(G$43=0)*(Quesería!$H$70:$H$89&gt;0)*Quesería!$F$70:$F$89*(1+Quesería!$I$70:$I$89)))*$B$262+(SUMPRODUCT((Quesería!$C$70:$C$89=1)*(Quesería!$J$70:$J$89&gt;0)*(G$43&gt;=2)*(G$43&lt;=Quesería!$J$70:$J$89+1)*(Quesería!$H$70:$H$89&gt;0)*Quesería!$F$70:$F$89*(1+Quesería!$I$70:$I$89)/(Quesería!$J$70:$J$89+(Quesería!$J$70:$J$89=0)))+SUMPRODUCT((Quesería!$C$70:$C$89=1)*(Quesería!$J$70:$J$89=0)*(G$43=1)*(Quesería!$H$70:$H$89&gt;0)*Quesería!$F$70:$F$89*(1+Quesería!$I$70:$I$89)))*$C$262*$G$21,IF(AND(G$43&gt;=1,G$43&lt;=Quesería!$B$30),Quesería!$F$92/Quesería!$B$30,0)*$B$262+IF(AND(G$43&gt;=2,G$43&lt;=Quesería!$B$30+1),Quesería!$F$93/Quesería!$B$30,0)*$C$262*$G$21)*$G$11+IF(AND(G$43&gt;=6,G$43&lt;=10),$G266*$G262/5,0)+IF(AND(G$43&gt;=7,G$43&lt;=11),$H266*$H262/5,0))*G264</f>
        <v>134.506623881988</v>
      </c>
      <c r="H274" s="29" t="n">
        <f aca="false">(IF($G$19=1,(SUMPRODUCT((Quesería!$C$70:$C$89=0)*(Quesería!$J$70:$J$89&gt;0)*(H$43&gt;=1)*(H$43&lt;=Quesería!$J$70:$J$89)*(Quesería!$H$70:$H$89&gt;0)*Quesería!$F$70:$F$89*(1+Quesería!$I$70:$I$89)/(Quesería!$J$70:$J$89+(Quesería!$J$70:$J$89=0)))+SUMPRODUCT((Quesería!$C$70:$C$89=0)*(Quesería!$J$70:$J$89=0)*(H$43=0)*(Quesería!$H$70:$H$89&gt;0)*Quesería!$F$70:$F$89*(1+Quesería!$I$70:$I$89)))*$B$262+(SUMPRODUCT((Quesería!$C$70:$C$89=1)*(Quesería!$J$70:$J$89&gt;0)*(H$43&gt;=2)*(H$43&lt;=Quesería!$J$70:$J$89+1)*(Quesería!$H$70:$H$89&gt;0)*Quesería!$F$70:$F$89*(1+Quesería!$I$70:$I$89)/(Quesería!$J$70:$J$89+(Quesería!$J$70:$J$89=0)))+SUMPRODUCT((Quesería!$C$70:$C$89=1)*(Quesería!$J$70:$J$89=0)*(H$43=1)*(Quesería!$H$70:$H$89&gt;0)*Quesería!$F$70:$F$89*(1+Quesería!$I$70:$I$89)))*$C$262*$G$21,IF(AND(H$43&gt;=1,H$43&lt;=Quesería!$B$30),Quesería!$F$92/Quesería!$B$30,0)*$B$262+IF(AND(H$43&gt;=2,H$43&lt;=Quesería!$B$30+1),Quesería!$F$93/Quesería!$B$30,0)*$C$262*$G$21)*$G$11+IF(AND(H$43&gt;=6,H$43&lt;=10),$G266*$G262/5,0)+IF(AND(H$43&gt;=7,H$43&lt;=11),$H266*$H262/5,0))*H264</f>
        <v>122.314670590318</v>
      </c>
      <c r="I274" s="29" t="n">
        <f aca="false">(IF($G$19=1,(SUMPRODUCT((Quesería!$C$70:$C$89=0)*(Quesería!$J$70:$J$89&gt;0)*(I$43&gt;=1)*(I$43&lt;=Quesería!$J$70:$J$89)*(Quesería!$H$70:$H$89&gt;0)*Quesería!$F$70:$F$89*(1+Quesería!$I$70:$I$89)/(Quesería!$J$70:$J$89+(Quesería!$J$70:$J$89=0)))+SUMPRODUCT((Quesería!$C$70:$C$89=0)*(Quesería!$J$70:$J$89=0)*(I$43=0)*(Quesería!$H$70:$H$89&gt;0)*Quesería!$F$70:$F$89*(1+Quesería!$I$70:$I$89)))*$B$262+(SUMPRODUCT((Quesería!$C$70:$C$89=1)*(Quesería!$J$70:$J$89&gt;0)*(I$43&gt;=2)*(I$43&lt;=Quesería!$J$70:$J$89+1)*(Quesería!$H$70:$H$89&gt;0)*Quesería!$F$70:$F$89*(1+Quesería!$I$70:$I$89)/(Quesería!$J$70:$J$89+(Quesería!$J$70:$J$89=0)))+SUMPRODUCT((Quesería!$C$70:$C$89=1)*(Quesería!$J$70:$J$89=0)*(I$43=1)*(Quesería!$H$70:$H$89&gt;0)*Quesería!$F$70:$F$89*(1+Quesería!$I$70:$I$89)))*$C$262*$G$21,IF(AND(I$43&gt;=1,I$43&lt;=Quesería!$B$30),Quesería!$F$92/Quesería!$B$30,0)*$B$262+IF(AND(I$43&gt;=2,I$43&lt;=Quesería!$B$30+1),Quesería!$F$93/Quesería!$B$30,0)*$C$262*$G$21)*$G$11+IF(AND(I$43&gt;=6,I$43&lt;=10),$G266*$G262/5,0)+IF(AND(I$43&gt;=7,I$43&lt;=11),$H266*$H262/5,0))*I264</f>
        <v>126.531251665874</v>
      </c>
      <c r="J274" s="29" t="n">
        <f aca="false">(IF($G$19=1,(SUMPRODUCT((Quesería!$C$70:$C$89=0)*(Quesería!$J$70:$J$89&gt;0)*(J$43&gt;=1)*(J$43&lt;=Quesería!$J$70:$J$89)*(Quesería!$H$70:$H$89&gt;0)*Quesería!$F$70:$F$89*(1+Quesería!$I$70:$I$89)/(Quesería!$J$70:$J$89+(Quesería!$J$70:$J$89=0)))+SUMPRODUCT((Quesería!$C$70:$C$89=0)*(Quesería!$J$70:$J$89=0)*(J$43=0)*(Quesería!$H$70:$H$89&gt;0)*Quesería!$F$70:$F$89*(1+Quesería!$I$70:$I$89)))*$B$262+(SUMPRODUCT((Quesería!$C$70:$C$89=1)*(Quesería!$J$70:$J$89&gt;0)*(J$43&gt;=2)*(J$43&lt;=Quesería!$J$70:$J$89+1)*(Quesería!$H$70:$H$89&gt;0)*Quesería!$F$70:$F$89*(1+Quesería!$I$70:$I$89)/(Quesería!$J$70:$J$89+(Quesería!$J$70:$J$89=0)))+SUMPRODUCT((Quesería!$C$70:$C$89=1)*(Quesería!$J$70:$J$89=0)*(J$43=1)*(Quesería!$H$70:$H$89&gt;0)*Quesería!$F$70:$F$89*(1+Quesería!$I$70:$I$89)))*$C$262*$G$21,IF(AND(J$43&gt;=1,J$43&lt;=Quesería!$B$30),Quesería!$F$92/Quesería!$B$30,0)*$B$262+IF(AND(J$43&gt;=2,J$43&lt;=Quesería!$B$30+1),Quesería!$F$93/Quesería!$B$30,0)*$C$262*$G$21)*$G$11+IF(AND(J$43&gt;=6,J$43&lt;=10),$G266*$G262/5,0)+IF(AND(J$43&gt;=7,J$43&lt;=11),$H266*$H262/5,0))*J264</f>
        <v>121.66466506334</v>
      </c>
      <c r="K274" s="29" t="n">
        <f aca="false">(IF($G$19=1,(SUMPRODUCT((Quesería!$C$70:$C$89=0)*(Quesería!$J$70:$J$89&gt;0)*(K$43&gt;=1)*(K$43&lt;=Quesería!$J$70:$J$89)*(Quesería!$H$70:$H$89&gt;0)*Quesería!$F$70:$F$89*(1+Quesería!$I$70:$I$89)/(Quesería!$J$70:$J$89+(Quesería!$J$70:$J$89=0)))+SUMPRODUCT((Quesería!$C$70:$C$89=0)*(Quesería!$J$70:$J$89=0)*(K$43=0)*(Quesería!$H$70:$H$89&gt;0)*Quesería!$F$70:$F$89*(1+Quesería!$I$70:$I$89)))*$B$262+(SUMPRODUCT((Quesería!$C$70:$C$89=1)*(Quesería!$J$70:$J$89&gt;0)*(K$43&gt;=2)*(K$43&lt;=Quesería!$J$70:$J$89+1)*(Quesería!$H$70:$H$89&gt;0)*Quesería!$F$70:$F$89*(1+Quesería!$I$70:$I$89)/(Quesería!$J$70:$J$89+(Quesería!$J$70:$J$89=0)))+SUMPRODUCT((Quesería!$C$70:$C$89=1)*(Quesería!$J$70:$J$89=0)*(K$43=1)*(Quesería!$H$70:$H$89&gt;0)*Quesería!$F$70:$F$89*(1+Quesería!$I$70:$I$89)))*$C$262*$G$21,IF(AND(K$43&gt;=1,K$43&lt;=Quesería!$B$30),Quesería!$F$92/Quesería!$B$30,0)*$B$262+IF(AND(K$43&gt;=2,K$43&lt;=Quesería!$B$30+1),Quesería!$F$93/Quesería!$B$30,0)*$C$262*$G$21)*$G$11+IF(AND(K$43&gt;=6,K$43&lt;=10),$G266*$G262/5,0)+IF(AND(K$43&gt;=7,K$43&lt;=11),$H266*$H262/5,0))*K264</f>
        <v>116.985254868597</v>
      </c>
      <c r="L274" s="29" t="n">
        <f aca="false">(IF($G$19=1,(SUMPRODUCT((Quesería!$C$70:$C$89=0)*(Quesería!$J$70:$J$89&gt;0)*(L$43&gt;=1)*(L$43&lt;=Quesería!$J$70:$J$89)*(Quesería!$H$70:$H$89&gt;0)*Quesería!$F$70:$F$89*(1+Quesería!$I$70:$I$89)/(Quesería!$J$70:$J$89+(Quesería!$J$70:$J$89=0)))+SUMPRODUCT((Quesería!$C$70:$C$89=0)*(Quesería!$J$70:$J$89=0)*(L$43=0)*(Quesería!$H$70:$H$89&gt;0)*Quesería!$F$70:$F$89*(1+Quesería!$I$70:$I$89)))*$B$262+(SUMPRODUCT((Quesería!$C$70:$C$89=1)*(Quesería!$J$70:$J$89&gt;0)*(L$43&gt;=2)*(L$43&lt;=Quesería!$J$70:$J$89+1)*(Quesería!$H$70:$H$89&gt;0)*Quesería!$F$70:$F$89*(1+Quesería!$I$70:$I$89)/(Quesería!$J$70:$J$89+(Quesería!$J$70:$J$89=0)))+SUMPRODUCT((Quesería!$C$70:$C$89=1)*(Quesería!$J$70:$J$89=0)*(L$43=1)*(Quesería!$H$70:$H$89&gt;0)*Quesería!$F$70:$F$89*(1+Quesería!$I$70:$I$89)))*$C$262*$G$21,IF(AND(L$43&gt;=1,L$43&lt;=Quesería!$B$30),Quesería!$F$92/Quesería!$B$30,0)*$B$262+IF(AND(L$43&gt;=2,L$43&lt;=Quesería!$B$30+1),Quesería!$F$93/Quesería!$B$30,0)*$C$262*$G$21)*$G$11+IF(AND(L$43&gt;=6,L$43&lt;=10),$G266*$G262/5,0)+IF(AND(L$43&gt;=7,L$43&lt;=11),$H266*$H262/5,0))*L264</f>
        <v>112.485821989035</v>
      </c>
    </row>
    <row r="275" customFormat="false" ht="15" hidden="true" customHeight="false" outlineLevel="1" collapsed="false">
      <c r="A275" s="9" t="s">
        <v>416</v>
      </c>
      <c r="B275" s="58" t="n">
        <f aca="false">IF(B$43=1,MIN($G$7*Quesería!$B$56*Quesería!$F$86*$G$11*$G$21,Quesería!$B$57*Quesería!$B$58),0)</f>
        <v>0</v>
      </c>
      <c r="C275" s="58" t="n">
        <f aca="false">IF(C$43=1,MIN($G$7*Quesería!$B$56*Quesería!$F$86*$G$11*$G$21,Quesería!$B$57*Quesería!$B$58),0)</f>
        <v>20</v>
      </c>
      <c r="D275" s="58" t="n">
        <f aca="false">IF(D$43=1,MIN($G$7*Quesería!$B$56*Quesería!$F$86*$G$11*$G$21,Quesería!$B$57*Quesería!$B$58),0)</f>
        <v>0</v>
      </c>
      <c r="E275" s="58" t="n">
        <f aca="false">IF(E$43=1,MIN($G$7*Quesería!$B$56*Quesería!$F$86*$G$11*$G$21,Quesería!$B$57*Quesería!$B$58),0)</f>
        <v>0</v>
      </c>
      <c r="F275" s="58" t="n">
        <f aca="false">IF(F$43=1,MIN($G$7*Quesería!$B$56*Quesería!$F$86*$G$11*$G$21,Quesería!$B$57*Quesería!$B$58),0)</f>
        <v>0</v>
      </c>
      <c r="G275" s="58" t="n">
        <f aca="false">IF(G$43=1,MIN($G$7*Quesería!$B$56*Quesería!$F$86*$G$11*$G$21,Quesería!$B$57*Quesería!$B$58),0)</f>
        <v>0</v>
      </c>
      <c r="H275" s="58" t="n">
        <f aca="false">IF(H$43=1,MIN($G$7*Quesería!$B$56*Quesería!$F$86*$G$11*$G$21,Quesería!$B$57*Quesería!$B$58),0)</f>
        <v>0</v>
      </c>
      <c r="I275" s="58" t="n">
        <f aca="false">IF(I$43=1,MIN($G$7*Quesería!$B$56*Quesería!$F$86*$G$11*$G$21,Quesería!$B$57*Quesería!$B$58),0)</f>
        <v>0</v>
      </c>
      <c r="J275" s="58" t="n">
        <f aca="false">IF(J$43=1,MIN($G$7*Quesería!$B$56*Quesería!$F$86*$G$11*$G$21,Quesería!$B$57*Quesería!$B$58),0)</f>
        <v>0</v>
      </c>
      <c r="K275" s="58" t="n">
        <f aca="false">IF(K$43=1,MIN($G$7*Quesería!$B$56*Quesería!$F$86*$G$11*$G$21,Quesería!$B$57*Quesería!$B$58),0)</f>
        <v>0</v>
      </c>
      <c r="L275" s="58" t="n">
        <f aca="false">IF(L$43=1,MIN($G$7*Quesería!$B$56*Quesería!$F$86*$G$11*$G$21,Quesería!$B$57*Quesería!$B$58),0)</f>
        <v>0</v>
      </c>
    </row>
    <row r="276" customFormat="false" ht="15" hidden="true" customHeight="false" outlineLevel="1" collapsed="false">
      <c r="A276" s="9" t="s">
        <v>417</v>
      </c>
      <c r="B276" s="58" t="n">
        <v>0</v>
      </c>
      <c r="C276" s="58" t="n">
        <f aca="false">$G$20*Quesería!$B$60*Quesería!$F$98*$G$11*$B$262/C262/2</f>
        <v>138.12868344741</v>
      </c>
      <c r="D276" s="58" t="n">
        <f aca="false">$G$20*Quesería!$B$60*Quesería!$F$98*$G$11*$B$262/D262/2</f>
        <v>132.18055832288</v>
      </c>
      <c r="E276" s="58" t="n">
        <v>0</v>
      </c>
      <c r="F276" s="58" t="n">
        <v>0</v>
      </c>
      <c r="G276" s="58" t="n">
        <v>0</v>
      </c>
      <c r="H276" s="58" t="n">
        <v>0</v>
      </c>
      <c r="I276" s="58" t="n">
        <v>0</v>
      </c>
      <c r="J276" s="58" t="n">
        <v>0</v>
      </c>
      <c r="K276" s="58" t="n">
        <v>0</v>
      </c>
      <c r="L276" s="58" t="n">
        <v>0</v>
      </c>
    </row>
    <row r="277" customFormat="false" ht="15" hidden="true" customHeight="false" outlineLevel="1" collapsed="false">
      <c r="A277" s="9" t="s">
        <v>418</v>
      </c>
      <c r="B277" s="58" t="n">
        <f aca="false">0</f>
        <v>0</v>
      </c>
      <c r="C277" s="58" t="n">
        <f aca="false">B267*B262/C262</f>
        <v>142.014925295407</v>
      </c>
      <c r="D277" s="58" t="n">
        <f aca="false">C267*C262/D262</f>
        <v>137.903466668091</v>
      </c>
      <c r="E277" s="58" t="n">
        <f aca="false">D267*D262/E262</f>
        <v>0</v>
      </c>
      <c r="F277" s="58" t="n">
        <f aca="false">E267*E262/F262</f>
        <v>0</v>
      </c>
      <c r="G277" s="58" t="n">
        <f aca="false">F267*F262/G262</f>
        <v>0</v>
      </c>
      <c r="H277" s="58" t="n">
        <f aca="false">G267*G262/H262</f>
        <v>5.01768392412113</v>
      </c>
      <c r="I277" s="58" t="n">
        <f aca="false">H267*H262/I262</f>
        <v>8.47494190873221</v>
      </c>
      <c r="J277" s="58" t="n">
        <f aca="false">I267*I262/J262</f>
        <v>0</v>
      </c>
      <c r="K277" s="58" t="n">
        <f aca="false">J267*J262/K262</f>
        <v>0</v>
      </c>
      <c r="L277" s="58" t="n">
        <f aca="false">K267*K262/L262</f>
        <v>0</v>
      </c>
    </row>
    <row r="278" customFormat="false" ht="15" hidden="true" customHeight="false" outlineLevel="1" collapsed="false">
      <c r="A278" s="6" t="s">
        <v>295</v>
      </c>
      <c r="B278" s="29" t="n">
        <f aca="false">$G$17*(B270-B271-B272-0.5*B273-B274)-B275-B276-B277</f>
        <v>-18.0485653053173</v>
      </c>
      <c r="C278" s="29" t="n">
        <f aca="false">$G$17*(C270-C271-C272-0.5*C273-C274)-C275-C276-C277</f>
        <v>-300.052031843645</v>
      </c>
      <c r="D278" s="29" t="n">
        <f aca="false">$G$17*(D270-D271-D272-0.5*D273-D274)-D275-D276-D277</f>
        <v>-223.117638099867</v>
      </c>
      <c r="E278" s="29" t="n">
        <f aca="false">$G$17*(E270-E271-E272-0.5*E273-E274)-E275-E276-E277</f>
        <v>66.8729604047812</v>
      </c>
      <c r="F278" s="29" t="n">
        <f aca="false">$G$17*(F270-F271-F272-0.5*F273-F274)-F275-F276-F277</f>
        <v>68.917955938425</v>
      </c>
      <c r="G278" s="29" t="n">
        <f aca="false">$G$17*(G270-G271-G272-0.5*G273-G274)-G275-G276-G277</f>
        <v>70.8651821321595</v>
      </c>
      <c r="H278" s="29" t="n">
        <f aca="false">$G$17*(H270-H271-H272-0.5*H273-H274)-H275-H276-H277</f>
        <v>70.1863652646993</v>
      </c>
      <c r="I278" s="29" t="n">
        <f aca="false">$G$17*(I270-I271-I272-0.5*I273-I274)-I275-I276-I277</f>
        <v>65.3798303508758</v>
      </c>
      <c r="J278" s="29" t="n">
        <f aca="false">$G$17*(J270-J271-J272-0.5*J273-J274)-J275-J276-J277</f>
        <v>75.6464012724224</v>
      </c>
      <c r="K278" s="29" t="n">
        <f aca="false">$G$17*(K270-K271-K272-0.5*K273-K274)-K275-K276-K277</f>
        <v>77.37296016102</v>
      </c>
      <c r="L278" s="29" t="n">
        <f aca="false">$G$17*(L270-L271-L272-0.5*L273-L274)-L275-L276-L277</f>
        <v>79.0369708159059</v>
      </c>
    </row>
    <row r="279" customFormat="false" ht="15" hidden="true" customHeight="false" outlineLevel="1" collapsed="false">
      <c r="A279" s="9" t="s">
        <v>419</v>
      </c>
      <c r="B279" s="58" t="n">
        <f aca="false">(IF(B$43&gt;=1,Quesería!$G$123*IF(B$43=1,Quesería!$B$20,1),Quesería!$G$123*Quesería!$B$20*Quesería!$B$21/12*$G$23)+IF(B$43&gt;=2,Quesería!$G$124*$G$21*IF(B$43=2,Quesería!$B$20,1),0))*$G$10</f>
        <v>61.9234296129496</v>
      </c>
      <c r="C279" s="58" t="n">
        <f aca="false">(IF(C$43&gt;=1,Quesería!$G$123*IF(C$43=1,Quesería!$B$20,1),Quesería!$G$123*Quesería!$B$20*Quesería!$B$21/12*$G$23)+IF(C$43&gt;=2,Quesería!$G$124*$G$21*IF(C$43=2,Quesería!$B$20,1),0))*$G$10</f>
        <v>92.8851444194243</v>
      </c>
      <c r="D279" s="58" t="n">
        <f aca="false">(IF(D$43&gt;=1,Quesería!$G$123*IF(D$43=1,Quesería!$B$20,1),Quesería!$G$123*Quesería!$B$20*Quesería!$B$21/12*$G$23)+IF(D$43&gt;=2,Quesería!$G$124*$G$21*IF(D$43=2,Quesería!$B$20,1),0))*$G$10</f>
        <v>237.672208162233</v>
      </c>
      <c r="E279" s="58" t="n">
        <f aca="false">(IF(E$43&gt;=1,Quesería!$G$123*IF(E$43=1,Quesería!$B$20,1),Quesería!$G$123*Quesería!$B$20*Quesería!$B$21/12*$G$23)+IF(E$43&gt;=2,Quesería!$G$124*$G$21*IF(E$43=2,Quesería!$B$20,1),0))*$G$10</f>
        <v>275.613991141011</v>
      </c>
      <c r="F279" s="58" t="n">
        <f aca="false">(IF(F$43&gt;=1,Quesería!$G$123*IF(F$43=1,Quesería!$B$20,1),Quesería!$G$123*Quesería!$B$20*Quesería!$B$21/12*$G$23)+IF(F$43&gt;=2,Quesería!$G$124*$G$21*IF(F$43=2,Quesería!$B$20,1),0))*$G$10</f>
        <v>275.613991141011</v>
      </c>
      <c r="G279" s="58" t="n">
        <f aca="false">(IF(G$43&gt;=1,Quesería!$G$123*IF(G$43=1,Quesería!$B$20,1),Quesería!$G$123*Quesería!$B$20*Quesería!$B$21/12*$G$23)+IF(G$43&gt;=2,Quesería!$G$124*$G$21*IF(G$43=2,Quesería!$B$20,1),0))*$G$10</f>
        <v>275.613991141011</v>
      </c>
      <c r="H279" s="58" t="n">
        <f aca="false">(IF(H$43&gt;=1,Quesería!$G$123*IF(H$43=1,Quesería!$B$20,1),Quesería!$G$123*Quesería!$B$20*Quesería!$B$21/12*$G$23)+IF(H$43&gt;=2,Quesería!$G$124*$G$21*IF(H$43=2,Quesería!$B$20,1),0))*$G$10</f>
        <v>275.613991141011</v>
      </c>
      <c r="I279" s="58" t="n">
        <f aca="false">(IF(I$43&gt;=1,Quesería!$G$123*IF(I$43=1,Quesería!$B$20,1),Quesería!$G$123*Quesería!$B$20*Quesería!$B$21/12*$G$23)+IF(I$43&gt;=2,Quesería!$G$124*$G$21*IF(I$43=2,Quesería!$B$20,1),0))*$G$10</f>
        <v>275.613991141011</v>
      </c>
      <c r="J279" s="58" t="n">
        <f aca="false">(IF(J$43&gt;=1,Quesería!$G$123*IF(J$43=1,Quesería!$B$20,1),Quesería!$G$123*Quesería!$B$20*Quesería!$B$21/12*$G$23)+IF(J$43&gt;=2,Quesería!$G$124*$G$21*IF(J$43=2,Quesería!$B$20,1),0))*$G$10</f>
        <v>275.613991141011</v>
      </c>
      <c r="K279" s="58" t="n">
        <f aca="false">(IF(K$43&gt;=1,Quesería!$G$123*IF(K$43=1,Quesería!$B$20,1),Quesería!$G$123*Quesería!$B$20*Quesería!$B$21/12*$G$23)+IF(K$43&gt;=2,Quesería!$G$124*$G$21*IF(K$43=2,Quesería!$B$20,1),0))*$G$10</f>
        <v>275.613991141011</v>
      </c>
      <c r="L279" s="58" t="n">
        <f aca="false">(IF(L$43&gt;=1,Quesería!$G$123*IF(L$43=1,Quesería!$B$20,1),Quesería!$G$123*Quesería!$B$20*Quesería!$B$21/12*$G$23)+IF(L$43&gt;=2,Quesería!$G$124*$G$21*IF(L$43=2,Quesería!$B$20,1),0))*$G$10</f>
        <v>275.613991141011</v>
      </c>
    </row>
    <row r="280" customFormat="false" ht="15" hidden="true" customHeight="false" outlineLevel="1" collapsed="false">
      <c r="A280" s="6" t="s">
        <v>420</v>
      </c>
      <c r="B280" s="29" t="n">
        <f aca="false">(B279*(Quesería!$B$38+Quesería!$B$40*Quesería!$B$39)/365-B271*Quesería!$B$42/365)</f>
        <v>5.78517520493583</v>
      </c>
      <c r="C280" s="29" t="n">
        <f aca="false">(C279*(Quesería!$B$38+Quesería!$B$40*Quesería!$B$39)/365-C271*Quesería!$B$42/365)-(B279*(Quesería!$B$38+Quesería!$B$40*Quesería!$B$39)/365-B271*Quesería!$B$42/365)*B262/C262</f>
        <v>0.630860431999771</v>
      </c>
      <c r="D280" s="29" t="n">
        <f aca="false">(D279*(Quesería!$B$38+Quesería!$B$40*Quesería!$B$39)/365-D271*Quesería!$B$42/365)-(C279*(Quesería!$B$38+Quesería!$B$40*Quesería!$B$39)/365-C271*Quesería!$B$42/365)*C262/D262</f>
        <v>10.5454387208322</v>
      </c>
      <c r="E280" s="29" t="n">
        <f aca="false">(E279*(Quesería!$B$38+Quesería!$B$40*Quesería!$B$39)/365-E271*Quesería!$B$42/365)-(D279*(Quesería!$B$38+Quesería!$B$40*Quesería!$B$39)/365-D271*Quesería!$B$42/365)*D262/E262</f>
        <v>4.17629670328489</v>
      </c>
      <c r="F280" s="29" t="n">
        <f aca="false">(F279*(Quesería!$B$38+Quesería!$B$40*Quesería!$B$39)/365-F271*Quesería!$B$42/365)-(E279*(Quesería!$B$38+Quesería!$B$40*Quesería!$B$39)/365-E271*Quesería!$B$42/365)*E262/F262</f>
        <v>0.767933163831959</v>
      </c>
      <c r="G280" s="29" t="n">
        <f aca="false">(G279*(Quesería!$B$38+Quesería!$B$40*Quesería!$B$39)/365-G271*Quesería!$B$42/365)-(F279*(Quesería!$B$38+Quesería!$B$40*Quesería!$B$39)/365-F271*Quesería!$B$42/365)*F262/G262</f>
        <v>0.767933163831959</v>
      </c>
      <c r="H280" s="29" t="n">
        <f aca="false">(H279*(Quesería!$B$38+Quesería!$B$40*Quesería!$B$39)/365-H271*Quesería!$B$42/365)-(G279*(Quesería!$B$38+Quesería!$B$40*Quesería!$B$39)/365-G271*Quesería!$B$42/365)*G262/H262</f>
        <v>0.767933163831959</v>
      </c>
      <c r="I280" s="29" t="n">
        <f aca="false">(I279*(Quesería!$B$38+Quesería!$B$40*Quesería!$B$39)/365-I271*Quesería!$B$42/365)-(H279*(Quesería!$B$38+Quesería!$B$40*Quesería!$B$39)/365-H271*Quesería!$B$42/365)*H262/I262</f>
        <v>0.767933163831959</v>
      </c>
      <c r="J280" s="29" t="n">
        <f aca="false">(J279*(Quesería!$B$38+Quesería!$B$40*Quesería!$B$39)/365-J271*Quesería!$B$42/365)-(I279*(Quesería!$B$38+Quesería!$B$40*Quesería!$B$39)/365-I271*Quesería!$B$42/365)*I262/J262</f>
        <v>0.767933163831959</v>
      </c>
      <c r="K280" s="29" t="n">
        <f aca="false">(K279*(Quesería!$B$38+Quesería!$B$40*Quesería!$B$39)/365-K271*Quesería!$B$42/365)-(J279*(Quesería!$B$38+Quesería!$B$40*Quesería!$B$39)/365-J271*Quesería!$B$42/365)*J262/K262</f>
        <v>0.767933163831962</v>
      </c>
      <c r="L280" s="29" t="n">
        <f aca="false">-(K279*(Quesería!$B$38+Quesería!$B$40*Quesería!$B$39)/365-K271*Quesería!$B$42/365)*K262/L262</f>
        <v>-19.198329095799</v>
      </c>
    </row>
    <row r="281" customFormat="false" ht="15" hidden="true" customHeight="false" outlineLevel="1" collapsed="false">
      <c r="A281" s="6" t="s">
        <v>421</v>
      </c>
      <c r="B281" s="29" t="n">
        <v>0</v>
      </c>
      <c r="C281" s="29" t="n">
        <v>0</v>
      </c>
      <c r="D281" s="29" t="n">
        <v>0</v>
      </c>
      <c r="E281" s="29" t="n">
        <v>0</v>
      </c>
      <c r="F281" s="29" t="n">
        <v>0</v>
      </c>
      <c r="G281" s="29" t="n">
        <v>0</v>
      </c>
      <c r="H281" s="29" t="n">
        <v>0</v>
      </c>
      <c r="I281" s="29" t="n">
        <v>0</v>
      </c>
      <c r="J281" s="29" t="n">
        <v>0</v>
      </c>
      <c r="K281" s="29" t="n">
        <v>0</v>
      </c>
      <c r="L281" s="29" t="n">
        <f aca="false">$G$8*Quesería!$B$36*(Quesería!$F$94+Quesería!$F$95*$G$21)*$G$11*(1-$G$17)</f>
        <v>67.1237725584543</v>
      </c>
    </row>
    <row r="282" customFormat="false" ht="15" hidden="true" customHeight="false" outlineLevel="1" collapsed="false">
      <c r="A282" s="5" t="s">
        <v>147</v>
      </c>
      <c r="B282" s="59" t="n">
        <f aca="false">B270-B271-B272-B273-B278-B265-B266-B267-B280+B281</f>
        <v>-975.398766726478</v>
      </c>
      <c r="C282" s="59" t="n">
        <f aca="false">C270-C271-C272-C273-C278-C265-C266-C267-C280+C281</f>
        <v>-522.558421673258</v>
      </c>
      <c r="D282" s="59" t="n">
        <f aca="false">D270-D271-D272-D273-D278-D265-D266-D267-D280+D281</f>
        <v>497.87164868868</v>
      </c>
      <c r="E282" s="59" t="n">
        <f aca="false">E270-E271-E272-E273-E278-E265-E266-E267-E280+E281</f>
        <v>265.306821950743</v>
      </c>
      <c r="F282" s="59" t="n">
        <f aca="false">F270-F271-F272-F273-F278-F265-F266-F267-F280+F281</f>
        <v>266.9175587849</v>
      </c>
      <c r="G282" s="59" t="n">
        <f aca="false">G270-G271-G272-G273-G278-G265-G266-G267-G280+G281</f>
        <v>232.404595279497</v>
      </c>
      <c r="H282" s="59" t="n">
        <f aca="false">H270-H271-H272-H273-H278-H265-H266-H267-H280+H281</f>
        <v>210.723696154749</v>
      </c>
      <c r="I282" s="59" t="n">
        <f aca="false">I270-I271-I272-I273-I278-I265-I266-I267-I280+I281</f>
        <v>271.20523669015</v>
      </c>
      <c r="J282" s="59" t="n">
        <f aca="false">J270-J271-J272-J273-J278-J265-J266-J267-J280+J281</f>
        <v>261.191019202682</v>
      </c>
      <c r="K282" s="59" t="n">
        <f aca="false">K270-K271-K272-K273-K278-K265-K266-K267-K280+K281</f>
        <v>259.718075515334</v>
      </c>
      <c r="L282" s="59" t="n">
        <f aca="false">L270-L271-L272-L273-L278-L265-L266-L267-L280+L281</f>
        <v>345.398982955789</v>
      </c>
    </row>
    <row r="283" customFormat="false" ht="15" hidden="true" customHeight="false" outlineLevel="1" collapsed="false">
      <c r="A283" s="9" t="s">
        <v>422</v>
      </c>
      <c r="B283" s="58" t="n">
        <f aca="false">B282*B262</f>
        <v>-1033.92269273007</v>
      </c>
      <c r="C283" s="58" t="n">
        <f aca="false">C282*C262</f>
        <v>-581.607523322336</v>
      </c>
      <c r="D283" s="58" t="n">
        <f aca="false">D282*D262</f>
        <v>579.067046515073</v>
      </c>
      <c r="E283" s="58" t="n">
        <f aca="false">E282*E262</f>
        <v>320.917360408923</v>
      </c>
      <c r="F283" s="58" t="n">
        <f aca="false">F282*F262</f>
        <v>335.780350062258</v>
      </c>
      <c r="G283" s="58" t="n">
        <f aca="false">G282*G262</f>
        <v>304.057824381612</v>
      </c>
      <c r="H283" s="58" t="n">
        <f aca="false">H282*H262</f>
        <v>286.72013159751</v>
      </c>
      <c r="I283" s="58" t="n">
        <f aca="false">I282*I262</f>
        <v>383.774595242931</v>
      </c>
      <c r="J283" s="58" t="n">
        <f aca="false">J282*J262</f>
        <v>384.387919845827</v>
      </c>
      <c r="K283" s="58" t="n">
        <f aca="false">K282*K262</f>
        <v>397.509036652139</v>
      </c>
      <c r="L283" s="58" t="n">
        <f aca="false">L282*L262</f>
        <v>549.793022187896</v>
      </c>
    </row>
    <row r="284" customFormat="false" ht="15" hidden="true" customHeight="false" outlineLevel="1" collapsed="false">
      <c r="A284" s="6" t="s">
        <v>423</v>
      </c>
      <c r="B284" s="29" t="n">
        <f aca="false">B282</f>
        <v>-975.398766726478</v>
      </c>
      <c r="C284" s="29" t="n">
        <f aca="false">B284+C282</f>
        <v>-1497.95718839974</v>
      </c>
      <c r="D284" s="29" t="n">
        <f aca="false">C284+D282</f>
        <v>-1000.08553971106</v>
      </c>
      <c r="E284" s="29" t="n">
        <f aca="false">D284+E282</f>
        <v>-734.778717760314</v>
      </c>
      <c r="F284" s="29" t="n">
        <f aca="false">E284+F282</f>
        <v>-467.861158975413</v>
      </c>
      <c r="G284" s="29" t="n">
        <f aca="false">F284+G282</f>
        <v>-235.456563695916</v>
      </c>
      <c r="H284" s="29" t="n">
        <f aca="false">G284+H282</f>
        <v>-24.7328675411676</v>
      </c>
      <c r="I284" s="29" t="n">
        <f aca="false">H284+I282</f>
        <v>246.472369148983</v>
      </c>
      <c r="J284" s="29" t="n">
        <f aca="false">I284+J282</f>
        <v>507.663388351665</v>
      </c>
      <c r="K284" s="29" t="n">
        <f aca="false">J284+K282</f>
        <v>767.381463866999</v>
      </c>
      <c r="L284" s="29" t="n">
        <f aca="false">K284+L282</f>
        <v>1112.78044682279</v>
      </c>
    </row>
    <row r="285" customFormat="false" ht="15" hidden="true" customHeight="false" outlineLevel="1" collapsed="false">
      <c r="A285" s="9" t="s">
        <v>424</v>
      </c>
      <c r="B285" s="60" t="n">
        <v>0</v>
      </c>
      <c r="C285" s="60" t="n">
        <f aca="false">IF(AND(B284&lt;0,C284&gt;=0),B$43+(-B284)/C282,0)</f>
        <v>0</v>
      </c>
      <c r="D285" s="60" t="n">
        <f aca="false">IF(AND(C284&lt;0,D284&gt;=0),C$43+(-C284)/D282,0)</f>
        <v>0</v>
      </c>
      <c r="E285" s="60" t="n">
        <f aca="false">IF(AND(D284&lt;0,E284&gt;=0),D$43+(-D284)/E282,0)</f>
        <v>0</v>
      </c>
      <c r="F285" s="60" t="n">
        <f aca="false">IF(AND(E284&lt;0,F284&gt;=0),E$43+(-E284)/F282,0)</f>
        <v>0</v>
      </c>
      <c r="G285" s="60" t="n">
        <f aca="false">IF(AND(F284&lt;0,G284&gt;=0),F$43+(-F284)/G282,0)</f>
        <v>0</v>
      </c>
      <c r="H285" s="60" t="n">
        <f aca="false">IF(AND(G284&lt;0,H284&gt;=0),G$43+(-G284)/H282,0)</f>
        <v>0</v>
      </c>
      <c r="I285" s="60" t="n">
        <f aca="false">IF(AND(H284&lt;0,I284&gt;=0),H$43+(-H284)/I282,0)</f>
        <v>6.09119612822751</v>
      </c>
      <c r="J285" s="60" t="n">
        <f aca="false">IF(AND(I284&lt;0,J284&gt;=0),I$43+(-I284)/J282,0)</f>
        <v>0</v>
      </c>
      <c r="K285" s="60" t="n">
        <f aca="false">IF(AND(J284&lt;0,K284&gt;=0),J$43+(-J284)/K282,0)</f>
        <v>0</v>
      </c>
      <c r="L285" s="60" t="n">
        <f aca="false">IF(AND(K284&lt;0,L284&gt;=0),K$43+(-K284)/L282,0)</f>
        <v>0</v>
      </c>
    </row>
    <row r="286" customFormat="false" ht="15" hidden="true" customHeight="false" outlineLevel="1" collapsed="false">
      <c r="A286" s="9" t="s">
        <v>425</v>
      </c>
      <c r="B286" s="57" t="n">
        <f aca="false">(B262/$B$262)/(1+$G$25)^B$43</f>
        <v>1</v>
      </c>
      <c r="C286" s="57" t="n">
        <f aca="false">(C262/$B$262)/(1+$G$25)^C$43</f>
        <v>0.915373701313561</v>
      </c>
      <c r="D286" s="57" t="n">
        <f aca="false">(D262/$B$262)/(1+$G$25)^D$43</f>
        <v>0.833918970137172</v>
      </c>
      <c r="E286" s="57" t="n">
        <f aca="false">(E262/$B$262)/(1+$G$25)^E$43</f>
        <v>0.756077518153961</v>
      </c>
      <c r="F286" s="57" t="n">
        <f aca="false">(F262/$B$262)/(1+$G$25)^F$43</f>
        <v>0.685502109831871</v>
      </c>
      <c r="G286" s="57" t="n">
        <f aca="false">(G262/$B$262)/(1+$G$25)^G$43</f>
        <v>0.621514502549008</v>
      </c>
      <c r="H286" s="57" t="n">
        <f aca="false">(H262/$B$262)/(1+$G$25)^H$43</f>
        <v>0.563499763660072</v>
      </c>
      <c r="I286" s="57" t="n">
        <f aca="false">(I262/$B$262)/(1+$G$25)^I$43</f>
        <v>0.510900360880829</v>
      </c>
      <c r="J286" s="57" t="n">
        <f aca="false">(J262/$B$262)/(1+$G$25)^J$43</f>
        <v>0.463210804300567</v>
      </c>
      <c r="K286" s="57" t="n">
        <f aca="false">(K262/$B$262)/(1+$G$25)^K$43</f>
        <v>0.419972788531318</v>
      </c>
      <c r="L286" s="57" t="n">
        <f aca="false">(L262/$B$262)/(1+$G$25)^L$43</f>
        <v>0.380770788308996</v>
      </c>
    </row>
    <row r="287" customFormat="false" ht="15" hidden="true" customHeight="false" outlineLevel="1" collapsed="false">
      <c r="A287" s="9" t="s">
        <v>426</v>
      </c>
      <c r="B287" s="58" t="n">
        <f aca="false">B282*B286</f>
        <v>-975.398766726478</v>
      </c>
      <c r="C287" s="58" t="n">
        <f aca="false">C282*C286</f>
        <v>-478.336236599623</v>
      </c>
      <c r="D287" s="58" t="n">
        <f aca="false">D282*D286</f>
        <v>415.18461253496</v>
      </c>
      <c r="E287" s="58" t="n">
        <f aca="false">E282*E286</f>
        <v>200.592523489832</v>
      </c>
      <c r="F287" s="58" t="n">
        <f aca="false">F282*F286</f>
        <v>182.972549698222</v>
      </c>
      <c r="G287" s="58" t="n">
        <f aca="false">G282*G286</f>
        <v>144.44282642524</v>
      </c>
      <c r="H287" s="58" t="n">
        <f aca="false">H282*H286</f>
        <v>118.742752980778</v>
      </c>
      <c r="I287" s="58" t="n">
        <f aca="false">I282*I286</f>
        <v>138.558853297768</v>
      </c>
      <c r="J287" s="58" t="n">
        <f aca="false">J282*J286</f>
        <v>120.986502080959</v>
      </c>
      <c r="K287" s="58" t="n">
        <f aca="false">K282*K286</f>
        <v>109.074524406162</v>
      </c>
      <c r="L287" s="58" t="n">
        <f aca="false">L282*L286</f>
        <v>131.517843021201</v>
      </c>
    </row>
    <row r="288" customFormat="false" ht="15" hidden="true" customHeight="false" outlineLevel="1" collapsed="false">
      <c r="A288" s="9" t="s">
        <v>427</v>
      </c>
      <c r="B288" s="58" t="n">
        <f aca="false">B287</f>
        <v>-975.398766726478</v>
      </c>
      <c r="C288" s="58" t="n">
        <f aca="false">B288+C287</f>
        <v>-1453.7350033261</v>
      </c>
      <c r="D288" s="58" t="n">
        <f aca="false">C288+D287</f>
        <v>-1038.55039079114</v>
      </c>
      <c r="E288" s="58" t="n">
        <f aca="false">D288+E287</f>
        <v>-837.957867301309</v>
      </c>
      <c r="F288" s="58" t="n">
        <f aca="false">E288+F287</f>
        <v>-654.985317603087</v>
      </c>
      <c r="G288" s="58" t="n">
        <f aca="false">F288+G287</f>
        <v>-510.542491177847</v>
      </c>
      <c r="H288" s="58" t="n">
        <f aca="false">G288+H287</f>
        <v>-391.799738197069</v>
      </c>
      <c r="I288" s="58" t="n">
        <f aca="false">H288+I287</f>
        <v>-253.240884899301</v>
      </c>
      <c r="J288" s="58" t="n">
        <f aca="false">I288+J287</f>
        <v>-132.254382818341</v>
      </c>
      <c r="K288" s="58" t="n">
        <f aca="false">J288+K287</f>
        <v>-23.179858412179</v>
      </c>
      <c r="L288" s="58" t="n">
        <f aca="false">K288+L287</f>
        <v>108.337984609022</v>
      </c>
    </row>
    <row r="289" customFormat="false" ht="15" hidden="true" customHeight="false" outlineLevel="1" collapsed="false">
      <c r="A289" s="9" t="s">
        <v>428</v>
      </c>
      <c r="B289" s="60" t="n">
        <v>0</v>
      </c>
      <c r="C289" s="60" t="n">
        <f aca="false">IF(AND(B288&lt;0,C288&gt;=0),B$43+(-B288)/C287,0)</f>
        <v>0</v>
      </c>
      <c r="D289" s="60" t="n">
        <f aca="false">IF(AND(C288&lt;0,D288&gt;=0),C$43+(-C288)/D287,0)</f>
        <v>0</v>
      </c>
      <c r="E289" s="60" t="n">
        <f aca="false">IF(AND(D288&lt;0,E288&gt;=0),D$43+(-D288)/E287,0)</f>
        <v>0</v>
      </c>
      <c r="F289" s="60" t="n">
        <f aca="false">IF(AND(E288&lt;0,F288&gt;=0),E$43+(-E288)/F287,0)</f>
        <v>0</v>
      </c>
      <c r="G289" s="60" t="n">
        <f aca="false">IF(AND(F288&lt;0,G288&gt;=0),F$43+(-F288)/G287,0)</f>
        <v>0</v>
      </c>
      <c r="H289" s="60" t="n">
        <f aca="false">IF(AND(G288&lt;0,H288&gt;=0),G$43+(-G288)/H287,0)</f>
        <v>0</v>
      </c>
      <c r="I289" s="60" t="n">
        <f aca="false">IF(AND(H288&lt;0,I288&gt;=0),H$43+(-H288)/I287,0)</f>
        <v>0</v>
      </c>
      <c r="J289" s="60" t="n">
        <f aca="false">IF(AND(I288&lt;0,J288&gt;=0),I$43+(-I288)/J287,0)</f>
        <v>0</v>
      </c>
      <c r="K289" s="60" t="n">
        <f aca="false">IF(AND(J288&lt;0,K288&gt;=0),J$43+(-J288)/K287,0)</f>
        <v>0</v>
      </c>
      <c r="L289" s="60" t="n">
        <f aca="false">IF(AND(K288&lt;0,L288&gt;=0),K$43+(-K288)/L287,0)</f>
        <v>9.17624877263568</v>
      </c>
    </row>
    <row r="290" customFormat="false" ht="15" hidden="true" customHeight="false" outlineLevel="1" collapsed="false">
      <c r="A290" s="9" t="s">
        <v>429</v>
      </c>
      <c r="B290" s="58" t="n">
        <f aca="false">IF(B$43&lt;0,0,(Quesería!$B$44*$B$265*$B$262)*(1-MAX(0,MIN(B$43-0-Quesería!$B$47,(Quesería!$B$46-Quesería!$B$47)))/(Quesería!$B$46-Quesería!$B$47))*IF(B$43&gt;=2,1-Quesería!$B$48,1))+IF(B$43&lt;1,0,(Quesería!$B$44*$C$265*$C$262)*(1-MAX(0,MIN(B$43-1-Quesería!$B$47,(Quesería!$B$46-Quesería!$B$47)))/(Quesería!$B$46-Quesería!$B$47))*IF(B$43&gt;=2,1-Quesería!$B$48,1))</f>
        <v>641.321364968425</v>
      </c>
      <c r="C290" s="58" t="n">
        <f aca="false">IF(C$43&lt;0,0,(Quesería!$B$44*$B$265*$B$262)*(1-MAX(0,MIN(C$43-0-Quesería!$B$47,(Quesería!$B$46-Quesería!$B$47)))/(Quesería!$B$46-Quesería!$B$47))*IF(C$43&gt;=2,1-Quesería!$B$48,1))+IF(C$43&lt;1,0,(Quesería!$B$44*$C$265*$C$262)*(1-MAX(0,MIN(C$43-1-Quesería!$B$47,(Quesería!$B$46-Quesería!$B$47)))/(Quesería!$B$46-Quesería!$B$47))*IF(C$43&gt;=2,1-Quesería!$B$48,1))</f>
        <v>1190.03581125409</v>
      </c>
      <c r="D290" s="58" t="n">
        <f aca="false">IF(D$43&lt;0,0,(Quesería!$B$44*$B$265*$B$262)*(1-MAX(0,MIN(D$43-0-Quesería!$B$47,(Quesería!$B$46-Quesería!$B$47)))/(Quesería!$B$46-Quesería!$B$47))*IF(D$43&gt;=2,1-Quesería!$B$48,1))+IF(D$43&lt;1,0,(Quesería!$B$44*$C$265*$C$262)*(1-MAX(0,MIN(D$43-1-Quesería!$B$47,(Quesería!$B$46-Quesería!$B$47)))/(Quesería!$B$46-Quesería!$B$47))*IF(D$43&gt;=2,1-Quesería!$B$48,1))</f>
        <v>1083.14891709269</v>
      </c>
      <c r="E290" s="58" t="n">
        <f aca="false">IF(E$43&lt;0,0,(Quesería!$B$44*$B$265*$B$262)*(1-MAX(0,MIN(E$43-0-Quesería!$B$47,(Quesería!$B$46-Quesería!$B$47)))/(Quesería!$B$46-Quesería!$B$47))*IF(E$43&gt;=2,1-Quesería!$B$48,1))+IF(E$43&lt;1,0,(Quesería!$B$44*$C$265*$C$262)*(1-MAX(0,MIN(E$43-1-Quesería!$B$47,(Quesería!$B$46-Quesería!$B$47)))/(Quesería!$B$46-Quesería!$B$47))*IF(E$43&gt;=2,1-Quesería!$B$48,1))</f>
        <v>884.809615217005</v>
      </c>
      <c r="F290" s="58" t="n">
        <f aca="false">IF(F$43&lt;0,0,(Quesería!$B$44*$B$265*$B$262)*(1-MAX(0,MIN(F$43-0-Quesería!$B$47,(Quesería!$B$46-Quesería!$B$47)))/(Quesería!$B$46-Quesería!$B$47))*IF(F$43&gt;=2,1-Quesería!$B$48,1))+IF(F$43&lt;1,0,(Quesería!$B$44*$C$265*$C$262)*(1-MAX(0,MIN(F$43-1-Quesería!$B$47,(Quesería!$B$46-Quesería!$B$47)))/(Quesería!$B$46-Quesería!$B$47))*IF(F$43&gt;=2,1-Quesería!$B$48,1))</f>
        <v>686.470313341323</v>
      </c>
      <c r="G290" s="58" t="n">
        <f aca="false">IF(G$43&lt;0,0,(Quesería!$B$44*$B$265*$B$262)*(1-MAX(0,MIN(G$43-0-Quesería!$B$47,(Quesería!$B$46-Quesería!$B$47)))/(Quesería!$B$46-Quesería!$B$47))*IF(G$43&gt;=2,1-Quesería!$B$48,1))+IF(G$43&lt;1,0,(Quesería!$B$44*$C$265*$C$262)*(1-MAX(0,MIN(G$43-1-Quesería!$B$47,(Quesería!$B$46-Quesería!$B$47)))/(Quesería!$B$46-Quesería!$B$47))*IF(G$43&gt;=2,1-Quesería!$B$48,1))</f>
        <v>488.131011465641</v>
      </c>
      <c r="H290" s="58" t="n">
        <f aca="false">IF(H$43&lt;0,0,(Quesería!$B$44*$B$265*$B$262)*(1-MAX(0,MIN(H$43-0-Quesería!$B$47,(Quesería!$B$46-Quesería!$B$47)))/(Quesería!$B$46-Quesería!$B$47))*IF(H$43&gt;=2,1-Quesería!$B$48,1))+IF(H$43&lt;1,0,(Quesería!$B$44*$C$265*$C$262)*(1-MAX(0,MIN(H$43-1-Quesería!$B$47,(Quesería!$B$46-Quesería!$B$47)))/(Quesería!$B$46-Quesería!$B$47))*IF(H$43&gt;=2,1-Quesería!$B$48,1))</f>
        <v>289.79170958996</v>
      </c>
      <c r="I290" s="58" t="n">
        <f aca="false">IF(I$43&lt;0,0,(Quesería!$B$44*$B$265*$B$262)*(1-MAX(0,MIN(I$43-0-Quesería!$B$47,(Quesería!$B$46-Quesería!$B$47)))/(Quesería!$B$46-Quesería!$B$47))*IF(I$43&gt;=2,1-Quesería!$B$48,1))+IF(I$43&lt;1,0,(Quesería!$B$44*$C$265*$C$262)*(1-MAX(0,MIN(I$43-1-Quesería!$B$47,(Quesería!$B$46-Quesería!$B$47)))/(Quesería!$B$46-Quesería!$B$47))*IF(I$43&gt;=2,1-Quesería!$B$48,1))</f>
        <v>91.4524077142776</v>
      </c>
      <c r="J290" s="58" t="n">
        <f aca="false">IF(J$43&lt;0,0,(Quesería!$B$44*$B$265*$B$262)*(1-MAX(0,MIN(J$43-0-Quesería!$B$47,(Quesería!$B$46-Quesería!$B$47)))/(Quesería!$B$46-Quesería!$B$47))*IF(J$43&gt;=2,1-Quesería!$B$48,1))+IF(J$43&lt;1,0,(Quesería!$B$44*$C$265*$C$262)*(1-MAX(0,MIN(J$43-1-Quesería!$B$47,(Quesería!$B$46-Quesería!$B$47)))/(Quesería!$B$46-Quesería!$B$47))*IF(J$43&gt;=2,1-Quesería!$B$48,1))</f>
        <v>0</v>
      </c>
      <c r="K290" s="58" t="n">
        <f aca="false">IF(K$43&lt;0,0,(Quesería!$B$44*$B$265*$B$262)*(1-MAX(0,MIN(K$43-0-Quesería!$B$47,(Quesería!$B$46-Quesería!$B$47)))/(Quesería!$B$46-Quesería!$B$47))*IF(K$43&gt;=2,1-Quesería!$B$48,1))+IF(K$43&lt;1,0,(Quesería!$B$44*$C$265*$C$262)*(1-MAX(0,MIN(K$43-1-Quesería!$B$47,(Quesería!$B$46-Quesería!$B$47)))/(Quesería!$B$46-Quesería!$B$47))*IF(K$43&gt;=2,1-Quesería!$B$48,1))</f>
        <v>0</v>
      </c>
      <c r="L290" s="58" t="n">
        <f aca="false">IF(L$43&lt;0,0,(Quesería!$B$44*$B$265*$B$262)*(1-MAX(0,MIN(L$43-0-Quesería!$B$47,(Quesería!$B$46-Quesería!$B$47)))/(Quesería!$B$46-Quesería!$B$47))*IF(L$43&gt;=2,1-Quesería!$B$48,1))+IF(L$43&lt;1,0,(Quesería!$B$44*$C$265*$C$262)*(1-MAX(0,MIN(L$43-1-Quesería!$B$47,(Quesería!$B$46-Quesería!$B$47)))/(Quesería!$B$46-Quesería!$B$47))*IF(L$43&gt;=2,1-Quesería!$B$48,1))</f>
        <v>0</v>
      </c>
    </row>
    <row r="291" customFormat="false" ht="15" hidden="true" customHeight="false" outlineLevel="1" collapsed="false">
      <c r="A291" s="6" t="s">
        <v>430</v>
      </c>
      <c r="B291" s="29" t="n">
        <f aca="false">Quesería!$B$44*B265</f>
        <v>605.02015563059</v>
      </c>
      <c r="C291" s="29" t="n">
        <f aca="false">Quesería!$B$44*C265</f>
        <v>493.004893338424</v>
      </c>
      <c r="D291" s="29" t="n">
        <f aca="false">Quesería!$B$44*D265</f>
        <v>0</v>
      </c>
      <c r="E291" s="29" t="n">
        <f aca="false">Quesería!$B$44*E265</f>
        <v>0</v>
      </c>
      <c r="F291" s="29" t="n">
        <f aca="false">Quesería!$B$44*F265</f>
        <v>0</v>
      </c>
      <c r="G291" s="29" t="n">
        <f aca="false">Quesería!$B$44*G265</f>
        <v>0</v>
      </c>
      <c r="H291" s="29" t="n">
        <f aca="false">Quesería!$B$44*H265</f>
        <v>0</v>
      </c>
      <c r="I291" s="29" t="n">
        <f aca="false">Quesería!$B$44*I265</f>
        <v>0</v>
      </c>
      <c r="J291" s="29" t="n">
        <f aca="false">Quesería!$B$44*J265</f>
        <v>0</v>
      </c>
      <c r="K291" s="29" t="n">
        <f aca="false">Quesería!$B$44*K265</f>
        <v>0</v>
      </c>
      <c r="L291" s="29" t="n">
        <f aca="false">Quesería!$B$44*L265</f>
        <v>0</v>
      </c>
    </row>
    <row r="292" customFormat="false" ht="15" hidden="true" customHeight="false" outlineLevel="1" collapsed="false">
      <c r="A292" s="6" t="s">
        <v>431</v>
      </c>
      <c r="B292" s="29" t="n">
        <f aca="false">(IF(AND(B$43&gt;0,B$43&lt;=0+Quesería!$B$46),($G$14+$G$24)*(Quesería!$B$44*$B$265*$B$262)*(1-MAX(0,MIN((B$43-1)-0-Quesería!$B$47,(Quesería!$B$46-Quesería!$B$47)))/(Quesería!$B$46-Quesería!$B$47))*IF(B$43&gt;2,1-Quesería!$B$48,1),0)+IF(AND(B$43&gt;1,B$43&lt;=1+Quesería!$B$46),($G$14+$G$24)*(Quesería!$B$44*$C$265*$C$262)*(1-MAX(0,MIN((B$43-1)-1-Quesería!$B$47,(Quesería!$B$46-Quesería!$B$47)))/(Quesería!$B$46-Quesería!$B$47))*IF(B$43&gt;2,1-Quesería!$B$48,1),0))*B264</f>
        <v>0</v>
      </c>
      <c r="C292" s="29" t="n">
        <f aca="false">(IF(AND(C$43&gt;0,C$43&lt;=0+Quesería!$B$46),($G$14+$G$24)*(Quesería!$B$44*$B$265*$B$262)*(1-MAX(0,MIN((C$43-1)-0-Quesería!$B$47,(Quesería!$B$46-Quesería!$B$47)))/(Quesería!$B$46-Quesería!$B$47))*IF(C$43&gt;2,1-Quesería!$B$48,1),0)+IF(AND(C$43&gt;1,C$43&lt;=1+Quesería!$B$46),($G$14+$G$24)*(Quesería!$B$44*$C$265*$C$262)*(1-MAX(0,MIN((C$43-1)-1-Quesería!$B$47,(Quesería!$B$46-Quesería!$B$47)))/(Quesería!$B$46-Quesería!$B$47))*IF(C$43&gt;2,1-Quesería!$B$48,1),0))*C264</f>
        <v>81.2455637561078</v>
      </c>
      <c r="D292" s="29" t="n">
        <f aca="false">(IF(AND(D$43&gt;0,D$43&lt;=0+Quesería!$B$46),($G$14+$G$24)*(Quesería!$B$44*$B$265*$B$262)*(1-MAX(0,MIN((D$43-1)-0-Quesería!$B$47,(Quesería!$B$46-Quesería!$B$47)))/(Quesería!$B$46-Quesería!$B$47))*IF(D$43&gt;2,1-Quesería!$B$48,1),0)+IF(AND(D$43&gt;1,D$43&lt;=1+Quesería!$B$46),($G$14+$G$24)*(Quesería!$B$44*$C$265*$C$262)*(1-MAX(0,MIN((D$43-1)-1-Quesería!$B$47,(Quesería!$B$46-Quesería!$B$47)))/(Quesería!$B$46-Quesería!$B$47))*IF(D$43&gt;2,1-Quesería!$B$48,1),0))*D264</f>
        <v>144.267228437154</v>
      </c>
      <c r="E292" s="29" t="n">
        <f aca="false">(IF(AND(E$43&gt;0,E$43&lt;=0+Quesería!$B$46),($G$14+$G$24)*(Quesería!$B$44*$B$265*$B$262)*(1-MAX(0,MIN((E$43-1)-0-Quesería!$B$47,(Quesería!$B$46-Quesería!$B$47)))/(Quesería!$B$46-Quesería!$B$47))*IF(E$43&gt;2,1-Quesería!$B$48,1),0)+IF(AND(E$43&gt;1,E$43&lt;=1+Quesería!$B$46),($G$14+$G$24)*(Quesería!$B$44*$C$265*$C$262)*(1-MAX(0,MIN((E$43-1)-1-Quesería!$B$47,(Quesería!$B$46-Quesería!$B$47)))/(Quesería!$B$46-Quesería!$B$47))*IF(E$43&gt;2,1-Quesería!$B$48,1),0))*E264</f>
        <v>126.259041612202</v>
      </c>
      <c r="F292" s="29" t="n">
        <f aca="false">(IF(AND(F$43&gt;0,F$43&lt;=0+Quesería!$B$46),($G$14+$G$24)*(Quesería!$B$44*$B$265*$B$262)*(1-MAX(0,MIN((F$43-1)-0-Quesería!$B$47,(Quesería!$B$46-Quesería!$B$47)))/(Quesería!$B$46-Quesería!$B$47))*IF(F$43&gt;2,1-Quesería!$B$48,1),0)+IF(AND(F$43&gt;1,F$43&lt;=1+Quesería!$B$46),($G$14+$G$24)*(Quesería!$B$44*$C$265*$C$262)*(1-MAX(0,MIN((F$43-1)-1-Quesería!$B$47,(Quesería!$B$46-Quesería!$B$47)))/(Quesería!$B$46-Quesería!$B$47))*IF(F$43&gt;2,1-Quesería!$B$48,1),0))*F264</f>
        <v>99.1723975627135</v>
      </c>
      <c r="G292" s="29" t="n">
        <f aca="false">(IF(AND(G$43&gt;0,G$43&lt;=0+Quesería!$B$46),($G$14+$G$24)*(Quesería!$B$44*$B$265*$B$262)*(1-MAX(0,MIN((G$43-1)-0-Quesería!$B$47,(Quesería!$B$46-Quesería!$B$47)))/(Quesería!$B$46-Quesería!$B$47))*IF(G$43&gt;2,1-Quesería!$B$48,1),0)+IF(AND(G$43&gt;1,G$43&lt;=1+Quesería!$B$46),($G$14+$G$24)*(Quesería!$B$44*$C$265*$C$262)*(1-MAX(0,MIN((G$43-1)-1-Quesería!$B$47,(Quesería!$B$46-Quesería!$B$47)))/(Quesería!$B$46-Quesería!$B$47))*IF(G$43&gt;2,1-Quesería!$B$48,1),0))*G264</f>
        <v>73.9825677868365</v>
      </c>
      <c r="H292" s="29" t="n">
        <f aca="false">(IF(AND(H$43&gt;0,H$43&lt;=0+Quesería!$B$46),($G$14+$G$24)*(Quesería!$B$44*$B$265*$B$262)*(1-MAX(0,MIN((H$43-1)-0-Quesería!$B$47,(Quesería!$B$46-Quesería!$B$47)))/(Quesería!$B$46-Quesería!$B$47))*IF(H$43&gt;2,1-Quesería!$B$48,1),0)+IF(AND(H$43&gt;1,H$43&lt;=1+Quesería!$B$46),($G$14+$G$24)*(Quesería!$B$44*$C$265*$C$262)*(1-MAX(0,MIN((H$43-1)-1-Quesería!$B$47,(Quesería!$B$46-Quesería!$B$47)))/(Quesería!$B$46-Quesería!$B$47))*IF(H$43&gt;2,1-Quesería!$B$48,1),0))*H264</f>
        <v>50.583712494366</v>
      </c>
      <c r="I292" s="29" t="n">
        <f aca="false">(IF(AND(I$43&gt;0,I$43&lt;=0+Quesería!$B$46),($G$14+$G$24)*(Quesería!$B$44*$B$265*$B$262)*(1-MAX(0,MIN((I$43-1)-0-Quesería!$B$47,(Quesería!$B$46-Quesería!$B$47)))/(Quesería!$B$46-Quesería!$B$47))*IF(I$43&gt;2,1-Quesería!$B$48,1),0)+IF(AND(I$43&gt;1,I$43&lt;=1+Quesería!$B$46),($G$14+$G$24)*(Quesería!$B$44*$C$265*$C$262)*(1-MAX(0,MIN((I$43-1)-1-Quesería!$B$47,(Quesería!$B$46-Quesería!$B$47)))/(Quesería!$B$46-Quesería!$B$47))*IF(I$43&gt;2,1-Quesería!$B$48,1),0))*I264</f>
        <v>28.8753274791465</v>
      </c>
      <c r="J292" s="29" t="n">
        <f aca="false">(IF(AND(J$43&gt;0,J$43&lt;=0+Quesería!$B$46),($G$14+$G$24)*(Quesería!$B$44*$B$265*$B$262)*(1-MAX(0,MIN((J$43-1)-0-Quesería!$B$47,(Quesería!$B$46-Quesería!$B$47)))/(Quesería!$B$46-Quesería!$B$47))*IF(J$43&gt;2,1-Quesería!$B$48,1),0)+IF(AND(J$43&gt;1,J$43&lt;=1+Quesería!$B$46),($G$14+$G$24)*(Quesería!$B$44*$C$265*$C$262)*(1-MAX(0,MIN((J$43-1)-1-Quesería!$B$47,(Quesería!$B$46-Quesería!$B$47)))/(Quesería!$B$46-Quesería!$B$47))*IF(J$43&gt;2,1-Quesería!$B$48,1),0))*J264</f>
        <v>8.76199025726588</v>
      </c>
      <c r="K292" s="29" t="n">
        <f aca="false">(IF(AND(K$43&gt;0,K$43&lt;=0+Quesería!$B$46),($G$14+$G$24)*(Quesería!$B$44*$B$265*$B$262)*(1-MAX(0,MIN((K$43-1)-0-Quesería!$B$47,(Quesería!$B$46-Quesería!$B$47)))/(Quesería!$B$46-Quesería!$B$47))*IF(K$43&gt;2,1-Quesería!$B$48,1),0)+IF(AND(K$43&gt;1,K$43&lt;=1+Quesería!$B$46),($G$14+$G$24)*(Quesería!$B$44*$C$265*$C$262)*(1-MAX(0,MIN((K$43-1)-1-Quesería!$B$47,(Quesería!$B$46-Quesería!$B$47)))/(Quesería!$B$46-Quesería!$B$47))*IF(K$43&gt;2,1-Quesería!$B$48,1),0))*K264</f>
        <v>0</v>
      </c>
      <c r="L292" s="29" t="n">
        <f aca="false">(IF(AND(L$43&gt;0,L$43&lt;=0+Quesería!$B$46),($G$14+$G$24)*(Quesería!$B$44*$B$265*$B$262)*(1-MAX(0,MIN((L$43-1)-0-Quesería!$B$47,(Quesería!$B$46-Quesería!$B$47)))/(Quesería!$B$46-Quesería!$B$47))*IF(L$43&gt;2,1-Quesería!$B$48,1),0)+IF(AND(L$43&gt;1,L$43&lt;=1+Quesería!$B$46),($G$14+$G$24)*(Quesería!$B$44*$C$265*$C$262)*(1-MAX(0,MIN((L$43-1)-1-Quesería!$B$47,(Quesería!$B$46-Quesería!$B$47)))/(Quesería!$B$46-Quesería!$B$47))*IF(L$43&gt;2,1-Quesería!$B$48,1),0))*L264</f>
        <v>0</v>
      </c>
    </row>
    <row r="293" customFormat="false" ht="15" hidden="true" customHeight="false" outlineLevel="1" collapsed="false">
      <c r="A293" s="6" t="s">
        <v>432</v>
      </c>
      <c r="B293" s="29" t="n">
        <f aca="false">((IF(AND(B$43&gt;0+Quesería!$B$47,B$43&lt;=0+Quesería!$B$46),(Quesería!$B$44*$B$265*$B$262)/(Quesería!$B$46-Quesería!$B$47),0)*IF(B$43&gt;2,1-Quesería!$B$48,1)+IF(B$43=2,Quesería!$B$48*(Quesería!$B$44*$B$265*$B$262)*(1-MAX(0,MIN(2-0-Quesería!$B$47,(Quesería!$B$46-Quesería!$B$47)))/(Quesería!$B$46-Quesería!$B$47)),0))+(IF(AND(B$43&gt;1+Quesería!$B$47,B$43&lt;=1+Quesería!$B$46),(Quesería!$B$44*$C$265*$C$262)/(Quesería!$B$46-Quesería!$B$47),0)*IF(B$43&gt;2,1-Quesería!$B$48,1)+IF(B$43=2,Quesería!$B$48*(Quesería!$B$44*$C$265*$C$262)*(1-MAX(0,MIN(2-1-Quesería!$B$47,(Quesería!$B$46-Quesería!$B$47)))/(Quesería!$B$46-Quesería!$B$47)),0)))*B264</f>
        <v>0</v>
      </c>
      <c r="C293" s="29" t="n">
        <f aca="false">((IF(AND(C$43&gt;0+Quesería!$B$47,C$43&lt;=0+Quesería!$B$46),(Quesería!$B$44*$B$265*$B$262)/(Quesería!$B$46-Quesería!$B$47),0)*IF(C$43&gt;2,1-Quesería!$B$48,1)+IF(C$43=2,Quesería!$B$48*(Quesería!$B$44*$B$265*$B$262)*(1-MAX(0,MIN(2-0-Quesería!$B$47,(Quesería!$B$46-Quesería!$B$47)))/(Quesería!$B$46-Quesería!$B$47)),0))+(IF(AND(C$43&gt;1+Quesería!$B$47,C$43&lt;=1+Quesería!$B$46),(Quesería!$B$44*$C$265*$C$262)/(Quesería!$B$46-Quesería!$B$47),0)*IF(C$43&gt;2,1-Quesería!$B$48,1)+IF(C$43=2,Quesería!$B$48*(Quesería!$B$44*$C$265*$C$262)*(1-MAX(0,MIN(2-1-Quesería!$B$47,(Quesería!$B$46-Quesería!$B$47)))/(Quesería!$B$46-Quesería!$B$47)),0)))*C264</f>
        <v>0</v>
      </c>
      <c r="D293" s="29" t="n">
        <f aca="false">((IF(AND(D$43&gt;0+Quesería!$B$47,D$43&lt;=0+Quesería!$B$46),(Quesería!$B$44*$B$265*$B$262)/(Quesería!$B$46-Quesería!$B$47),0)*IF(D$43&gt;2,1-Quesería!$B$48,1)+IF(D$43=2,Quesería!$B$48*(Quesería!$B$44*$B$265*$B$262)*(1-MAX(0,MIN(2-0-Quesería!$B$47,(Quesería!$B$46-Quesería!$B$47)))/(Quesería!$B$46-Quesería!$B$47)),0))+(IF(AND(D$43&gt;1+Quesería!$B$47,D$43&lt;=1+Quesería!$B$46),(Quesería!$B$44*$C$265*$C$262)/(Quesería!$B$46-Quesería!$B$47),0)*IF(D$43&gt;2,1-Quesería!$B$48,1)+IF(D$43=2,Quesería!$B$48*(Quesería!$B$44*$C$265*$C$262)*(1-MAX(0,MIN(2-1-Quesería!$B$47,(Quesería!$B$46-Quesería!$B$47)))/(Quesería!$B$46-Quesería!$B$47)),0)))*D264</f>
        <v>91.8994692231472</v>
      </c>
      <c r="E293" s="29" t="n">
        <f aca="false">((IF(AND(E$43&gt;0+Quesería!$B$47,E$43&lt;=0+Quesería!$B$46),(Quesería!$B$44*$B$265*$B$262)/(Quesería!$B$46-Quesería!$B$47),0)*IF(E$43&gt;2,1-Quesería!$B$48,1)+IF(E$43=2,Quesería!$B$48*(Quesería!$B$44*$B$265*$B$262)*(1-MAX(0,MIN(2-0-Quesería!$B$47,(Quesería!$B$46-Quesería!$B$47)))/(Quesería!$B$46-Quesería!$B$47)),0))+(IF(AND(E$43&gt;1+Quesería!$B$47,E$43&lt;=1+Quesería!$B$46),(Quesería!$B$44*$C$265*$C$262)/(Quesería!$B$46-Quesería!$B$47),0)*IF(E$43&gt;2,1-Quesería!$B$48,1)+IF(E$43=2,Quesería!$B$48*(Quesería!$B$44*$C$265*$C$262)*(1-MAX(0,MIN(2-1-Quesería!$B$47,(Quesería!$B$46-Quesería!$B$47)))/(Quesería!$B$46-Quesería!$B$47)),0)))*E264</f>
        <v>163.969845014041</v>
      </c>
      <c r="F293" s="29" t="n">
        <f aca="false">((IF(AND(F$43&gt;0+Quesería!$B$47,F$43&lt;=0+Quesería!$B$46),(Quesería!$B$44*$B$265*$B$262)/(Quesería!$B$46-Quesería!$B$47),0)*IF(F$43&gt;2,1-Quesería!$B$48,1)+IF(F$43=2,Quesería!$B$48*(Quesería!$B$44*$B$265*$B$262)*(1-MAX(0,MIN(2-0-Quesería!$B$47,(Quesería!$B$46-Quesería!$B$47)))/(Quesería!$B$46-Quesería!$B$47)),0))+(IF(AND(F$43&gt;1+Quesería!$B$47,F$43&lt;=1+Quesería!$B$46),(Quesería!$B$44*$C$265*$C$262)/(Quesería!$B$46-Quesería!$B$47),0)*IF(F$43&gt;2,1-Quesería!$B$48,1)+IF(F$43=2,Quesería!$B$48*(Quesería!$B$44*$C$265*$C$262)*(1-MAX(0,MIN(2-1-Quesería!$B$47,(Quesería!$B$46-Quesería!$B$47)))/(Quesería!$B$46-Quesería!$B$47)),0)))*F264</f>
        <v>157.663312513501</v>
      </c>
      <c r="G293" s="29" t="n">
        <f aca="false">((IF(AND(G$43&gt;0+Quesería!$B$47,G$43&lt;=0+Quesería!$B$46),(Quesería!$B$44*$B$265*$B$262)/(Quesería!$B$46-Quesería!$B$47),0)*IF(G$43&gt;2,1-Quesería!$B$48,1)+IF(G$43=2,Quesería!$B$48*(Quesería!$B$44*$B$265*$B$262)*(1-MAX(0,MIN(2-0-Quesería!$B$47,(Quesería!$B$46-Quesería!$B$47)))/(Quesería!$B$46-Quesería!$B$47)),0))+(IF(AND(G$43&gt;1+Quesería!$B$47,G$43&lt;=1+Quesería!$B$46),(Quesería!$B$44*$C$265*$C$262)/(Quesería!$B$46-Quesería!$B$47),0)*IF(G$43&gt;2,1-Quesería!$B$48,1)+IF(G$43=2,Quesería!$B$48*(Quesería!$B$44*$C$265*$C$262)*(1-MAX(0,MIN(2-1-Quesería!$B$47,(Quesería!$B$46-Quesería!$B$47)))/(Quesería!$B$46-Quesería!$B$47)),0)))*G264</f>
        <v>151.599338955289</v>
      </c>
      <c r="H293" s="29" t="n">
        <f aca="false">((IF(AND(H$43&gt;0+Quesería!$B$47,H$43&lt;=0+Quesería!$B$46),(Quesería!$B$44*$B$265*$B$262)/(Quesería!$B$46-Quesería!$B$47),0)*IF(H$43&gt;2,1-Quesería!$B$48,1)+IF(H$43=2,Quesería!$B$48*(Quesería!$B$44*$B$265*$B$262)*(1-MAX(0,MIN(2-0-Quesería!$B$47,(Quesería!$B$46-Quesería!$B$47)))/(Quesería!$B$46-Quesería!$B$47)),0))+(IF(AND(H$43&gt;1+Quesería!$B$47,H$43&lt;=1+Quesería!$B$46),(Quesería!$B$44*$C$265*$C$262)/(Quesería!$B$46-Quesería!$B$47),0)*IF(H$43&gt;2,1-Quesería!$B$48,1)+IF(H$43=2,Quesería!$B$48*(Quesería!$B$44*$C$265*$C$262)*(1-MAX(0,MIN(2-1-Quesería!$B$47,(Quesería!$B$46-Quesería!$B$47)))/(Quesería!$B$46-Quesería!$B$47)),0)))*H264</f>
        <v>145.768595149317</v>
      </c>
      <c r="I293" s="29" t="n">
        <f aca="false">((IF(AND(I$43&gt;0+Quesería!$B$47,I$43&lt;=0+Quesería!$B$46),(Quesería!$B$44*$B$265*$B$262)/(Quesería!$B$46-Quesería!$B$47),0)*IF(I$43&gt;2,1-Quesería!$B$48,1)+IF(I$43=2,Quesería!$B$48*(Quesería!$B$44*$B$265*$B$262)*(1-MAX(0,MIN(2-0-Quesería!$B$47,(Quesería!$B$46-Quesería!$B$47)))/(Quesería!$B$46-Quesería!$B$47)),0))+(IF(AND(I$43&gt;1+Quesería!$B$47,I$43&lt;=1+Quesería!$B$46),(Quesería!$B$44*$C$265*$C$262)/(Quesería!$B$46-Quesería!$B$47),0)*IF(I$43&gt;2,1-Quesería!$B$48,1)+IF(I$43=2,Quesería!$B$48*(Quesería!$B$44*$C$265*$C$262)*(1-MAX(0,MIN(2-1-Quesería!$B$47,(Quesería!$B$46-Quesería!$B$47)))/(Quesería!$B$46-Quesería!$B$47)),0)))*I264</f>
        <v>140.162110720497</v>
      </c>
      <c r="J293" s="29" t="n">
        <f aca="false">((IF(AND(J$43&gt;0+Quesería!$B$47,J$43&lt;=0+Quesería!$B$46),(Quesería!$B$44*$B$265*$B$262)/(Quesería!$B$46-Quesería!$B$47),0)*IF(J$43&gt;2,1-Quesería!$B$48,1)+IF(J$43=2,Quesería!$B$48*(Quesería!$B$44*$B$265*$B$262)*(1-MAX(0,MIN(2-0-Quesería!$B$47,(Quesería!$B$46-Quesería!$B$47)))/(Quesería!$B$46-Quesería!$B$47)),0))+(IF(AND(J$43&gt;1+Quesería!$B$47,J$43&lt;=1+Quesería!$B$46),(Quesería!$B$44*$C$265*$C$262)/(Quesería!$B$46-Quesería!$B$47),0)*IF(J$43&gt;2,1-Quesería!$B$48,1)+IF(J$43=2,Quesería!$B$48*(Quesería!$B$44*$C$265*$C$262)*(1-MAX(0,MIN(2-1-Quesería!$B$47,(Quesería!$B$46-Quesería!$B$47)))/(Quesería!$B$46-Quesería!$B$47)),0)))*J264</f>
        <v>62.1417748742261</v>
      </c>
      <c r="K293" s="29" t="n">
        <f aca="false">((IF(AND(K$43&gt;0+Quesería!$B$47,K$43&lt;=0+Quesería!$B$46),(Quesería!$B$44*$B$265*$B$262)/(Quesería!$B$46-Quesería!$B$47),0)*IF(K$43&gt;2,1-Quesería!$B$48,1)+IF(K$43=2,Quesería!$B$48*(Quesería!$B$44*$B$265*$B$262)*(1-MAX(0,MIN(2-0-Quesería!$B$47,(Quesería!$B$46-Quesería!$B$47)))/(Quesería!$B$46-Quesería!$B$47)),0))+(IF(AND(K$43&gt;1+Quesería!$B$47,K$43&lt;=1+Quesería!$B$46),(Quesería!$B$44*$C$265*$C$262)/(Quesería!$B$46-Quesería!$B$47),0)*IF(K$43&gt;2,1-Quesería!$B$48,1)+IF(K$43=2,Quesería!$B$48*(Quesería!$B$44*$C$265*$C$262)*(1-MAX(0,MIN(2-1-Quesería!$B$47,(Quesería!$B$46-Quesería!$B$47)))/(Quesería!$B$46-Quesería!$B$47)),0)))*K264</f>
        <v>0</v>
      </c>
      <c r="L293" s="29" t="n">
        <f aca="false">((IF(AND(L$43&gt;0+Quesería!$B$47,L$43&lt;=0+Quesería!$B$46),(Quesería!$B$44*$B$265*$B$262)/(Quesería!$B$46-Quesería!$B$47),0)*IF(L$43&gt;2,1-Quesería!$B$48,1)+IF(L$43=2,Quesería!$B$48*(Quesería!$B$44*$B$265*$B$262)*(1-MAX(0,MIN(2-0-Quesería!$B$47,(Quesería!$B$46-Quesería!$B$47)))/(Quesería!$B$46-Quesería!$B$47)),0))+(IF(AND(L$43&gt;1+Quesería!$B$47,L$43&lt;=1+Quesería!$B$46),(Quesería!$B$44*$C$265*$C$262)/(Quesería!$B$46-Quesería!$B$47),0)*IF(L$43&gt;2,1-Quesería!$B$48,1)+IF(L$43=2,Quesería!$B$48*(Quesería!$B$44*$C$265*$C$262)*(1-MAX(0,MIN(2-1-Quesería!$B$47,(Quesería!$B$46-Quesería!$B$47)))/(Quesería!$B$46-Quesería!$B$47)),0)))*L264</f>
        <v>0</v>
      </c>
    </row>
    <row r="294" customFormat="false" ht="15" hidden="true" customHeight="false" outlineLevel="1" collapsed="false">
      <c r="A294" s="6" t="s">
        <v>433</v>
      </c>
      <c r="B294" s="29" t="n">
        <f aca="false">$G$13*Quesería!$B$51*(1+0.19)*B290*B264+(1-$G$13)*IF(B$43=0,Quesería!$B$50,0)</f>
        <v>4</v>
      </c>
      <c r="C294" s="29" t="n">
        <f aca="false">$G$13*Quesería!$B$51*(1+0.19)*C290*C264+(1-$G$13)*IF(C$43=0,Quesería!$B$50,0)</f>
        <v>0</v>
      </c>
      <c r="D294" s="29" t="n">
        <f aca="false">$G$13*Quesería!$B$51*(1+0.19)*D290*D264+(1-$G$13)*IF(D$43=0,Quesería!$B$50,0)</f>
        <v>0</v>
      </c>
      <c r="E294" s="29" t="n">
        <f aca="false">$G$13*Quesería!$B$51*(1+0.19)*E290*E264+(1-$G$13)*IF(E$43=0,Quesería!$B$50,0)</f>
        <v>0</v>
      </c>
      <c r="F294" s="29" t="n">
        <f aca="false">$G$13*Quesería!$B$51*(1+0.19)*F290*F264+(1-$G$13)*IF(F$43=0,Quesería!$B$50,0)</f>
        <v>0</v>
      </c>
      <c r="G294" s="29" t="n">
        <f aca="false">$G$13*Quesería!$B$51*(1+0.19)*G290*G264+(1-$G$13)*IF(G$43=0,Quesería!$B$50,0)</f>
        <v>0</v>
      </c>
      <c r="H294" s="29" t="n">
        <f aca="false">$G$13*Quesería!$B$51*(1+0.19)*H290*H264+(1-$G$13)*IF(H$43=0,Quesería!$B$50,0)</f>
        <v>0</v>
      </c>
      <c r="I294" s="29" t="n">
        <f aca="false">$G$13*Quesería!$B$51*(1+0.19)*I290*I264+(1-$G$13)*IF(I$43=0,Quesería!$B$50,0)</f>
        <v>0</v>
      </c>
      <c r="J294" s="29" t="n">
        <f aca="false">$G$13*Quesería!$B$51*(1+0.19)*J290*J264+(1-$G$13)*IF(J$43=0,Quesería!$B$50,0)</f>
        <v>0</v>
      </c>
      <c r="K294" s="29" t="n">
        <f aca="false">$G$13*Quesería!$B$51*(1+0.19)*K290*K264+(1-$G$13)*IF(K$43=0,Quesería!$B$50,0)</f>
        <v>0</v>
      </c>
      <c r="L294" s="29" t="n">
        <f aca="false">$G$13*Quesería!$B$51*(1+0.19)*L290*L264+(1-$G$13)*IF(L$43=0,Quesería!$B$50,0)</f>
        <v>0</v>
      </c>
    </row>
    <row r="295" customFormat="false" ht="15" hidden="true" customHeight="false" outlineLevel="1" collapsed="false">
      <c r="A295" s="6" t="s">
        <v>434</v>
      </c>
      <c r="B295" s="29" t="n">
        <f aca="false">Quesería!$B$52*(B292+B293+B294)</f>
        <v>0.016</v>
      </c>
      <c r="C295" s="29" t="n">
        <f aca="false">Quesería!$B$52*(C292+C293+C294)</f>
        <v>0.324982255024431</v>
      </c>
      <c r="D295" s="29" t="n">
        <f aca="false">Quesería!$B$52*(D292+D293+D294)</f>
        <v>0.944666790641204</v>
      </c>
      <c r="E295" s="29" t="n">
        <f aca="false">Quesería!$B$52*(E292+E293+E294)</f>
        <v>1.16091554650497</v>
      </c>
      <c r="F295" s="29" t="n">
        <f aca="false">Quesería!$B$52*(F292+F293+F294)</f>
        <v>1.02734284030486</v>
      </c>
      <c r="G295" s="29" t="n">
        <f aca="false">Quesería!$B$52*(G292+G293+G294)</f>
        <v>0.902327626968503</v>
      </c>
      <c r="H295" s="29" t="n">
        <f aca="false">Quesería!$B$52*(H292+H293+H294)</f>
        <v>0.78540923057473</v>
      </c>
      <c r="I295" s="29" t="n">
        <f aca="false">Quesería!$B$52*(I292+I293+I294)</f>
        <v>0.676149752798573</v>
      </c>
      <c r="J295" s="29" t="n">
        <f aca="false">Quesería!$B$52*(J292+J293+J294)</f>
        <v>0.283615060525968</v>
      </c>
      <c r="K295" s="29" t="n">
        <f aca="false">Quesería!$B$52*(K292+K293+K294)</f>
        <v>0</v>
      </c>
      <c r="L295" s="29" t="n">
        <f aca="false">Quesería!$B$52*(L292+L293+L294)</f>
        <v>0</v>
      </c>
    </row>
    <row r="296" customFormat="false" ht="15" hidden="true" customHeight="false" outlineLevel="1" collapsed="false">
      <c r="A296" s="6" t="s">
        <v>435</v>
      </c>
      <c r="B296" s="29" t="n">
        <f aca="false">$G$17*(B292+B294+0.5*B295)</f>
        <v>1.4028</v>
      </c>
      <c r="C296" s="29" t="n">
        <f aca="false">$G$17*(C292+C294+0.5*C295)</f>
        <v>28.492819209267</v>
      </c>
      <c r="D296" s="29" t="n">
        <f aca="false">$G$17*(D292+D294+0.5*D295)</f>
        <v>50.658846641366</v>
      </c>
      <c r="E296" s="29" t="n">
        <f aca="false">$G$17*(E292+E294+0.5*E295)</f>
        <v>44.393824784909</v>
      </c>
      <c r="F296" s="29" t="n">
        <f aca="false">$G$17*(F292+F294+0.5*F295)</f>
        <v>34.8901241440031</v>
      </c>
      <c r="G296" s="29" t="n">
        <f aca="false">$G$17*(G292+G294+0.5*G295)</f>
        <v>26.0518060601123</v>
      </c>
      <c r="H296" s="29" t="n">
        <f aca="false">$G$17*(H292+H294+0.5*H295)</f>
        <v>17.8417459883787</v>
      </c>
      <c r="I296" s="29" t="n">
        <f aca="false">$G$17*(I292+I294+0.5*I295)</f>
        <v>10.224690824441</v>
      </c>
      <c r="J296" s="29" t="n">
        <f aca="false">$G$17*(J292+J294+0.5*J295)</f>
        <v>3.1163292256351</v>
      </c>
      <c r="K296" s="29" t="n">
        <f aca="false">$G$17*(K292+K294+0.5*K295)</f>
        <v>0</v>
      </c>
      <c r="L296" s="29" t="n">
        <f aca="false">$G$17*(L292+L294+0.5*L295)</f>
        <v>0</v>
      </c>
    </row>
    <row r="297" customFormat="false" ht="15" hidden="true" customHeight="false" outlineLevel="1" collapsed="false">
      <c r="A297" s="5" t="s">
        <v>436</v>
      </c>
      <c r="B297" s="59" t="n">
        <f aca="false">B282+B291-B292-B293-B294-B295+B296</f>
        <v>-372.991811095888</v>
      </c>
      <c r="C297" s="59" t="n">
        <f aca="false">C282+C291-C292-C293-C294-C295+C296</f>
        <v>-82.6312551366992</v>
      </c>
      <c r="D297" s="59" t="n">
        <f aca="false">D282+D291-D292-D293-D294-D295+D296</f>
        <v>311.419130879104</v>
      </c>
      <c r="E297" s="59" t="n">
        <f aca="false">E282+E291-E292-E293-E294-E295+E296</f>
        <v>18.3108445629041</v>
      </c>
      <c r="F297" s="59" t="n">
        <f aca="false">F282+F291-F292-F293-F294-F295+F296</f>
        <v>43.9446300123844</v>
      </c>
      <c r="G297" s="59" t="n">
        <f aca="false">G282+G291-G292-G293-G294-G295+G296</f>
        <v>31.9721669705151</v>
      </c>
      <c r="H297" s="59" t="n">
        <f aca="false">H282+H291-H292-H293-H294-H295+H296</f>
        <v>31.4277252688701</v>
      </c>
      <c r="I297" s="59" t="n">
        <f aca="false">I282+I291-I292-I293-I294-I295+I296</f>
        <v>111.716339562149</v>
      </c>
      <c r="J297" s="59" t="n">
        <f aca="false">J282+J291-J292-J293-J294-J295+J296</f>
        <v>193.1199682363</v>
      </c>
      <c r="K297" s="59" t="n">
        <f aca="false">K282+K291-K292-K293-K294-K295+K296</f>
        <v>259.718075515334</v>
      </c>
      <c r="L297" s="59" t="n">
        <f aca="false">L282+L291-L292-L293-L294-L295+L296</f>
        <v>345.398982955789</v>
      </c>
    </row>
    <row r="298" customFormat="false" ht="15" hidden="true" customHeight="false" outlineLevel="1" collapsed="false">
      <c r="A298" s="9" t="s">
        <v>437</v>
      </c>
      <c r="B298" s="58" t="n">
        <f aca="false">B297*B262</f>
        <v>-395.371319761641</v>
      </c>
      <c r="C298" s="58" t="n">
        <f aca="false">C297*C262</f>
        <v>-91.9685869671462</v>
      </c>
      <c r="D298" s="58" t="n">
        <f aca="false">D297*D262</f>
        <v>362.206919838522</v>
      </c>
      <c r="E298" s="58" t="n">
        <f aca="false">E297*E262</f>
        <v>22.1489513943831</v>
      </c>
      <c r="F298" s="58" t="n">
        <f aca="false">F297*F262</f>
        <v>55.2820253417872</v>
      </c>
      <c r="G298" s="58" t="n">
        <f aca="false">G297*G262</f>
        <v>41.8295839552106</v>
      </c>
      <c r="H298" s="58" t="n">
        <f aca="false">H297*H262</f>
        <v>42.7619754651772</v>
      </c>
      <c r="I298" s="58" t="n">
        <f aca="false">I297*I262</f>
        <v>158.086523404667</v>
      </c>
      <c r="J298" s="58" t="n">
        <f aca="false">J297*J262</f>
        <v>284.209553213769</v>
      </c>
      <c r="K298" s="58" t="n">
        <f aca="false">K297*K262</f>
        <v>397.509036652139</v>
      </c>
      <c r="L298" s="58" t="n">
        <f aca="false">L297*L262</f>
        <v>549.793022187896</v>
      </c>
    </row>
    <row r="299" customFormat="false" ht="15" hidden="true" customHeight="false" outlineLevel="1" collapsed="false">
      <c r="A299" s="9" t="s">
        <v>438</v>
      </c>
      <c r="B299" s="57" t="n">
        <f aca="false">(B262/$B$262)/(1+Quesería!$B$11+$G$24)^B$43</f>
        <v>1</v>
      </c>
      <c r="C299" s="57" t="n">
        <f aca="false">(C262/$B$262)/(1+Quesería!$B$11+$G$24)^C$43</f>
        <v>0.84</v>
      </c>
      <c r="D299" s="57" t="n">
        <f aca="false">(D262/$B$262)/(1+Quesería!$B$11+$G$24)^D$43</f>
        <v>0.70224</v>
      </c>
      <c r="E299" s="57" t="n">
        <f aca="false">(E262/$B$262)/(1+Quesería!$B$11+$G$24)^E$43</f>
        <v>0.58426368</v>
      </c>
      <c r="F299" s="57" t="n">
        <f aca="false">(F262/$B$262)/(1+Quesería!$B$11+$G$24)^F$43</f>
        <v>0.48610738176</v>
      </c>
      <c r="G299" s="57" t="n">
        <f aca="false">(G262/$B$262)/(1+Quesería!$B$11+$G$24)^G$43</f>
        <v>0.40444134162432</v>
      </c>
      <c r="H299" s="57" t="n">
        <f aca="false">(H262/$B$262)/(1+Quesería!$B$11+$G$24)^H$43</f>
        <v>0.336495196231434</v>
      </c>
      <c r="I299" s="57" t="n">
        <f aca="false">(I262/$B$262)/(1+Quesería!$B$11+$G$24)^I$43</f>
        <v>0.279964003264553</v>
      </c>
      <c r="J299" s="57" t="n">
        <f aca="false">(J262/$B$262)/(1+Quesería!$B$11+$G$24)^J$43</f>
        <v>0.232930050716108</v>
      </c>
      <c r="K299" s="57" t="n">
        <f aca="false">(K262/$B$262)/(1+Quesería!$B$11+$G$24)^K$43</f>
        <v>0.193797802195802</v>
      </c>
      <c r="L299" s="57" t="n">
        <f aca="false">(L262/$B$262)/(1+Quesería!$B$11+$G$24)^L$43</f>
        <v>0.161239771426907</v>
      </c>
    </row>
    <row r="300" customFormat="false" ht="15" hidden="true" customHeight="false" outlineLevel="1" collapsed="false">
      <c r="A300" s="9" t="s">
        <v>439</v>
      </c>
      <c r="B300" s="58" t="n">
        <f aca="false">B282+B265+B267+B296</f>
        <v>105.919944265376</v>
      </c>
      <c r="C300" s="58" t="n">
        <f aca="false">C282+C265+C267+C296</f>
        <v>408.512586878662</v>
      </c>
      <c r="D300" s="58" t="n">
        <f aca="false">D282+D265+D267+D296</f>
        <v>548.530495330046</v>
      </c>
      <c r="E300" s="58" t="n">
        <f aca="false">E282+E265+E267+E296</f>
        <v>309.700646735652</v>
      </c>
      <c r="F300" s="58" t="n">
        <f aca="false">F282+F265+F267+F296</f>
        <v>301.807682928904</v>
      </c>
      <c r="G300" s="58" t="n">
        <f aca="false">G282+G265+G267+G296</f>
        <v>263.674792620695</v>
      </c>
      <c r="H300" s="58" t="n">
        <f aca="false">H282+H265+H267+H296</f>
        <v>237.379381728209</v>
      </c>
      <c r="I300" s="58" t="n">
        <f aca="false">I282+I265+I267+I296</f>
        <v>281.429927514591</v>
      </c>
      <c r="J300" s="58" t="n">
        <f aca="false">J282+J265+J267+J296</f>
        <v>264.307348428318</v>
      </c>
      <c r="K300" s="58" t="n">
        <f aca="false">K282+K265+K267+K296</f>
        <v>259.718075515334</v>
      </c>
      <c r="L300" s="58" t="n">
        <f aca="false">L282+L265+L267+L296</f>
        <v>345.398982955789</v>
      </c>
    </row>
    <row r="301" customFormat="false" ht="15" hidden="true" customHeight="false" outlineLevel="1" collapsed="false">
      <c r="A301" s="5" t="s">
        <v>149</v>
      </c>
      <c r="B301" s="12" t="str">
        <f aca="false">IF(AND(B$43&gt;=1,(B292+B293+B294)&gt;0.001),B300/(B292+B293+B294),"")</f>
        <v/>
      </c>
      <c r="C301" s="12" t="n">
        <f aca="false">IF(AND(C$43&gt;=1,(C292+C293+C294)&gt;0.001),C300/(C292+C293+C294),"")</f>
        <v>5.02812175819202</v>
      </c>
      <c r="D301" s="12" t="n">
        <f aca="false">IF(AND(D$43&gt;=1,(D292+D293+D294)&gt;0.001),D300/(D292+D293+D294),"")</f>
        <v>2.3226411715298</v>
      </c>
      <c r="E301" s="12" t="n">
        <f aca="false">IF(AND(E$43&gt;=1,(E292+E293+E294)&gt;0.001),E300/(E292+E293+E294),"")</f>
        <v>1.06709104781319</v>
      </c>
      <c r="F301" s="12" t="n">
        <f aca="false">IF(AND(F$43&gt;=1,(F292+F293+F294)&gt;0.001),F300/(F292+F293+F294),"")</f>
        <v>1.17510015581301</v>
      </c>
      <c r="G301" s="12" t="n">
        <f aca="false">IF(AND(G$43&gt;=1,(G292+G293+G294)&gt;0.001),G300/(G292+G293+G294),"")</f>
        <v>1.16886498757241</v>
      </c>
      <c r="H301" s="12" t="n">
        <f aca="false">IF(AND(H$43&gt;=1,(H292+H293+H294)&gt;0.001),H300/(H292+H293+H294),"")</f>
        <v>1.20894622822044</v>
      </c>
      <c r="I301" s="12" t="n">
        <f aca="false">IF(AND(I$43&gt;=1,(I292+I293+I294)&gt;0.001),I300/(I292+I293+I294),"")</f>
        <v>1.66489702229281</v>
      </c>
      <c r="J301" s="12" t="n">
        <f aca="false">IF(AND(J$43&gt;=1,(J292+J293+J294)&gt;0.001),J300/(J292+J293+J294),"")</f>
        <v>3.72769130014684</v>
      </c>
      <c r="K301" s="12" t="str">
        <f aca="false">IF(AND(K$43&gt;=1,(K292+K293+K294)&gt;0.001),K300/(K292+K293+K294),"")</f>
        <v/>
      </c>
      <c r="L301" s="12" t="str">
        <f aca="false">IF(AND(L$43&gt;=1,(L292+L293+L294)&gt;0.001),L300/(L292+L293+L294),"")</f>
        <v/>
      </c>
    </row>
    <row r="303" customFormat="false" ht="15" hidden="false" customHeight="false" outlineLevel="0" collapsed="false">
      <c r="A303" s="43" t="s">
        <v>1168</v>
      </c>
      <c r="B303" s="44"/>
      <c r="C303" s="44"/>
      <c r="D303" s="44"/>
      <c r="E303" s="44"/>
      <c r="F303" s="44"/>
      <c r="G303" s="44"/>
      <c r="H303" s="44"/>
      <c r="I303" s="44"/>
      <c r="J303" s="44"/>
      <c r="K303" s="44"/>
      <c r="L303" s="44"/>
    </row>
    <row r="304" customFormat="false" ht="15" hidden="true" customHeight="false" outlineLevel="1" collapsed="false">
      <c r="A304" s="9" t="s">
        <v>405</v>
      </c>
      <c r="B304" s="56" t="n">
        <f aca="false">CHOOSE($H$15,Entorno!B$7,Entorno!B$8,Entorno!B$9)</f>
        <v>0.06</v>
      </c>
      <c r="C304" s="56" t="n">
        <f aca="false">CHOOSE($H$15,Entorno!C$7,Entorno!C$8,Entorno!C$9)</f>
        <v>0.05</v>
      </c>
      <c r="D304" s="56" t="n">
        <f aca="false">CHOOSE($H$15,Entorno!D$7,Entorno!D$8,Entorno!D$9)</f>
        <v>0.045</v>
      </c>
      <c r="E304" s="56" t="n">
        <f aca="false">CHOOSE($H$15,Entorno!E$7,Entorno!E$8,Entorno!E$9)</f>
        <v>0.04</v>
      </c>
      <c r="F304" s="56" t="n">
        <f aca="false">CHOOSE($H$15,Entorno!F$7,Entorno!F$8,Entorno!F$9)</f>
        <v>0.04</v>
      </c>
      <c r="G304" s="56" t="n">
        <f aca="false">CHOOSE($H$15,Entorno!G$7,Entorno!G$8,Entorno!G$9)</f>
        <v>0.04</v>
      </c>
      <c r="H304" s="56" t="n">
        <f aca="false">CHOOSE($H$15,Entorno!H$7,Entorno!H$8,Entorno!H$9)</f>
        <v>0.04</v>
      </c>
      <c r="I304" s="56" t="n">
        <f aca="false">CHOOSE($H$15,Entorno!I$7,Entorno!I$8,Entorno!I$9)</f>
        <v>0.04</v>
      </c>
      <c r="J304" s="56" t="n">
        <f aca="false">CHOOSE($H$15,Entorno!J$7,Entorno!J$8,Entorno!J$9)</f>
        <v>0.04</v>
      </c>
      <c r="K304" s="56" t="n">
        <f aca="false">CHOOSE($H$15,Entorno!K$7,Entorno!K$8,Entorno!K$9)</f>
        <v>0.04</v>
      </c>
      <c r="L304" s="56" t="n">
        <f aca="false">CHOOSE($H$15,Entorno!L$7,Entorno!L$8,Entorno!L$9)</f>
        <v>0.04</v>
      </c>
    </row>
    <row r="305" customFormat="false" ht="15" hidden="true" customHeight="false" outlineLevel="1" collapsed="false">
      <c r="A305" s="9" t="s">
        <v>406</v>
      </c>
      <c r="B305" s="57" t="n">
        <f aca="false">1+B304</f>
        <v>1.06</v>
      </c>
      <c r="C305" s="57" t="n">
        <f aca="false">B305*(1+C304)</f>
        <v>1.113</v>
      </c>
      <c r="D305" s="57" t="n">
        <f aca="false">C305*(1+D304)</f>
        <v>1.163085</v>
      </c>
      <c r="E305" s="57" t="n">
        <f aca="false">D305*(1+E304)</f>
        <v>1.2096084</v>
      </c>
      <c r="F305" s="57" t="n">
        <f aca="false">E305*(1+F304)</f>
        <v>1.257992736</v>
      </c>
      <c r="G305" s="57" t="n">
        <f aca="false">F305*(1+G304)</f>
        <v>1.30831244544</v>
      </c>
      <c r="H305" s="57" t="n">
        <f aca="false">G305*(1+H304)</f>
        <v>1.3606449432576</v>
      </c>
      <c r="I305" s="57" t="n">
        <f aca="false">H305*(1+I304)</f>
        <v>1.4150707409879</v>
      </c>
      <c r="J305" s="57" t="n">
        <f aca="false">I305*(1+J304)</f>
        <v>1.47167357062742</v>
      </c>
      <c r="K305" s="57" t="n">
        <f aca="false">J305*(1+K304)</f>
        <v>1.53054051345252</v>
      </c>
      <c r="L305" s="57" t="n">
        <f aca="false">K305*(1+L304)</f>
        <v>1.59176213399062</v>
      </c>
    </row>
    <row r="306" customFormat="false" ht="15" hidden="true" customHeight="false" outlineLevel="1" collapsed="false">
      <c r="A306" s="9" t="s">
        <v>407</v>
      </c>
      <c r="B306" s="57" t="n">
        <f aca="false">(1+$H$16)/(1+B304)</f>
        <v>1.02358490566038</v>
      </c>
      <c r="C306" s="57" t="n">
        <f aca="false">B306*(1+Entorno!$B$13)</f>
        <v>1.02870283018868</v>
      </c>
      <c r="D306" s="57" t="n">
        <f aca="false">C306*(1+Entorno!$B$13)</f>
        <v>1.03384634433962</v>
      </c>
      <c r="E306" s="57" t="n">
        <f aca="false">D306*(1+Entorno!$B$13)</f>
        <v>1.03901557606132</v>
      </c>
      <c r="F306" s="57" t="n">
        <f aca="false">E306*(1+Entorno!$B$13)</f>
        <v>1.04421065394163</v>
      </c>
      <c r="G306" s="57" t="n">
        <f aca="false">F306*(1+Entorno!$B$13)</f>
        <v>1.04943170721133</v>
      </c>
      <c r="H306" s="57" t="n">
        <f aca="false">G306*(1+Entorno!$B$13)</f>
        <v>1.05467886574739</v>
      </c>
      <c r="I306" s="57" t="n">
        <f aca="false">H306*(1+Entorno!$B$13)</f>
        <v>1.05995226007613</v>
      </c>
      <c r="J306" s="57" t="n">
        <f aca="false">I306*(1+Entorno!$B$13)</f>
        <v>1.06525202137651</v>
      </c>
      <c r="K306" s="57" t="n">
        <f aca="false">J306*(1+Entorno!$B$13)</f>
        <v>1.07057828148339</v>
      </c>
      <c r="L306" s="57" t="n">
        <f aca="false">K306*(1+Entorno!$B$13)</f>
        <v>1.07593117289081</v>
      </c>
    </row>
    <row r="307" customFormat="false" ht="15" hidden="true" customHeight="false" outlineLevel="1" collapsed="false">
      <c r="A307" s="9" t="s">
        <v>408</v>
      </c>
      <c r="B307" s="57" t="n">
        <f aca="false">1/B305</f>
        <v>0.943396226415094</v>
      </c>
      <c r="C307" s="57" t="n">
        <f aca="false">1/C305</f>
        <v>0.898472596585804</v>
      </c>
      <c r="D307" s="57" t="n">
        <f aca="false">1/D305</f>
        <v>0.859782389077324</v>
      </c>
      <c r="E307" s="57" t="n">
        <f aca="false">1/E305</f>
        <v>0.826713835651273</v>
      </c>
      <c r="F307" s="57" t="n">
        <f aca="false">1/F305</f>
        <v>0.794917149664686</v>
      </c>
      <c r="G307" s="57" t="n">
        <f aca="false">1/G305</f>
        <v>0.764343413139121</v>
      </c>
      <c r="H307" s="57" t="n">
        <f aca="false">1/H305</f>
        <v>0.734945589556847</v>
      </c>
      <c r="I307" s="57" t="n">
        <f aca="false">1/I305</f>
        <v>0.706678451496968</v>
      </c>
      <c r="J307" s="57" t="n">
        <f aca="false">1/J305</f>
        <v>0.679498511054777</v>
      </c>
      <c r="K307" s="57" t="n">
        <f aca="false">1/K305</f>
        <v>0.653363952937286</v>
      </c>
      <c r="L307" s="57" t="n">
        <f aca="false">1/L305</f>
        <v>0.628234570132006</v>
      </c>
    </row>
    <row r="308" customFormat="false" ht="15" hidden="true" customHeight="false" outlineLevel="1" collapsed="false">
      <c r="A308" s="6" t="s">
        <v>323</v>
      </c>
      <c r="B308" s="29" t="n">
        <f aca="false">IF(B$43=0,Quesería!$F$92,IF(B$43=1,Quesería!$F$93*$H$21,0))*$H$11</f>
        <v>930.800239431677</v>
      </c>
      <c r="C308" s="29" t="n">
        <f aca="false">IF(C$43=0,Quesería!$F$92,IF(C$43=1,Quesería!$F$93*$H$21,0))*$H$11</f>
        <v>758.469066674498</v>
      </c>
      <c r="D308" s="29" t="n">
        <f aca="false">IF(D$43=0,Quesería!$F$92,IF(D$43=1,Quesería!$F$93*$H$21,0))*$H$11</f>
        <v>0</v>
      </c>
      <c r="E308" s="29" t="n">
        <f aca="false">IF(E$43=0,Quesería!$F$92,IF(E$43=1,Quesería!$F$93*$H$21,0))*$H$11</f>
        <v>0</v>
      </c>
      <c r="F308" s="29" t="n">
        <f aca="false">IF(F$43=0,Quesería!$F$92,IF(F$43=1,Quesería!$F$93*$H$21,0))*$H$11</f>
        <v>0</v>
      </c>
      <c r="G308" s="29" t="n">
        <f aca="false">IF(G$43=0,Quesería!$F$92,IF(G$43=1,Quesería!$F$93*$H$21,0))*$H$11</f>
        <v>0</v>
      </c>
      <c r="H308" s="29" t="n">
        <f aca="false">IF(H$43=0,Quesería!$F$92,IF(H$43=1,Quesería!$F$93*$H$21,0))*$H$11</f>
        <v>0</v>
      </c>
      <c r="I308" s="29" t="n">
        <f aca="false">IF(I$43=0,Quesería!$F$92,IF(I$43=1,Quesería!$F$93*$H$21,0))*$H$11</f>
        <v>0</v>
      </c>
      <c r="J308" s="29" t="n">
        <f aca="false">IF(J$43=0,Quesería!$F$92,IF(J$43=1,Quesería!$F$93*$H$21,0))*$H$11</f>
        <v>0</v>
      </c>
      <c r="K308" s="29" t="n">
        <f aca="false">IF(K$43=0,Quesería!$F$92,IF(K$43=1,Quesería!$F$93*$H$21,0))*$H$11</f>
        <v>0</v>
      </c>
      <c r="L308" s="29" t="n">
        <f aca="false">IF(L$43=0,Quesería!$F$92,IF(L$43=1,Quesería!$F$93*$H$21,0))*$H$11</f>
        <v>0</v>
      </c>
    </row>
    <row r="309" customFormat="false" ht="15" hidden="true" customHeight="false" outlineLevel="1" collapsed="false">
      <c r="A309" s="6" t="s">
        <v>409</v>
      </c>
      <c r="B309" s="29" t="n">
        <f aca="false">IF(B$43=5,Quesería!$F$99,IF(B$43=6,Quesería!$F$100,0))*$H$11</f>
        <v>0</v>
      </c>
      <c r="C309" s="29" t="n">
        <f aca="false">IF(C$43=5,Quesería!$F$99,IF(C$43=6,Quesería!$F$100,0))*$H$11</f>
        <v>0</v>
      </c>
      <c r="D309" s="29" t="n">
        <f aca="false">IF(D$43=5,Quesería!$F$99,IF(D$43=6,Quesería!$F$100,0))*$H$11</f>
        <v>0</v>
      </c>
      <c r="E309" s="29" t="n">
        <f aca="false">IF(E$43=5,Quesería!$F$99,IF(E$43=6,Quesería!$F$100,0))*$H$11</f>
        <v>0</v>
      </c>
      <c r="F309" s="29" t="n">
        <f aca="false">IF(F$43=5,Quesería!$F$99,IF(F$43=6,Quesería!$F$100,0))*$H$11</f>
        <v>0</v>
      </c>
      <c r="G309" s="29" t="n">
        <f aca="false">IF(G$43=5,Quesería!$F$99,IF(G$43=6,Quesería!$F$100,0))*$H$11</f>
        <v>27.4652172688735</v>
      </c>
      <c r="H309" s="29" t="n">
        <f aca="false">IF(H$43=5,Quesería!$F$99,IF(H$43=6,Quesería!$F$100,0))*$H$11</f>
        <v>46.3891557109552</v>
      </c>
      <c r="I309" s="29" t="n">
        <f aca="false">IF(I$43=5,Quesería!$F$99,IF(I$43=6,Quesería!$F$100,0))*$H$11</f>
        <v>0</v>
      </c>
      <c r="J309" s="29" t="n">
        <f aca="false">IF(J$43=5,Quesería!$F$99,IF(J$43=6,Quesería!$F$100,0))*$H$11</f>
        <v>0</v>
      </c>
      <c r="K309" s="29" t="n">
        <f aca="false">IF(K$43=5,Quesería!$F$99,IF(K$43=6,Quesería!$F$100,0))*$H$11</f>
        <v>0</v>
      </c>
      <c r="L309" s="29" t="n">
        <f aca="false">IF(L$43=5,Quesería!$F$99,IF(L$43=6,Quesería!$F$100,0))*$H$11</f>
        <v>0</v>
      </c>
    </row>
    <row r="310" customFormat="false" ht="15" hidden="true" customHeight="false" outlineLevel="1" collapsed="false">
      <c r="A310" s="6" t="s">
        <v>410</v>
      </c>
      <c r="B310" s="29" t="n">
        <f aca="false">Quesería!$B$55*(IF(B$43=0,SUMPRODUCT((Quesería!$C$70:$C$89=0)*(Quesería!$H$70:$H$89&gt;0)*(Quesería!$J$70:$J$89&gt;0)*Quesería!$F$70:$F$89*(1+Quesería!$I$70:$I$89)),IF(B$43=1,SUMPRODUCT((Quesería!$C$70:$C$89=1)*(Quesería!$H$70:$H$89&gt;0)*(Quesería!$J$70:$J$89&gt;0)*Quesería!$F$70:$F$89*(1+Quesería!$I$70:$I$89))*$H$21,0))*$H$11+B309)</f>
        <v>149.115671560178</v>
      </c>
      <c r="C310" s="29" t="n">
        <f aca="false">Quesería!$B$55*(IF(C$43=0,SUMPRODUCT((Quesería!$C$70:$C$89=0)*(Quesería!$H$70:$H$89&gt;0)*(Quesería!$J$70:$J$89&gt;0)*Quesería!$F$70:$F$89*(1+Quesería!$I$70:$I$89)),IF(C$43=1,SUMPRODUCT((Quesería!$C$70:$C$89=1)*(Quesería!$H$70:$H$89&gt;0)*(Quesería!$J$70:$J$89&gt;0)*Quesería!$F$70:$F$89*(1+Quesería!$I$70:$I$89))*$H$21,0))*$H$11+C309)</f>
        <v>144.109122668155</v>
      </c>
      <c r="D310" s="29" t="n">
        <f aca="false">Quesería!$B$55*(IF(D$43=0,SUMPRODUCT((Quesería!$C$70:$C$89=0)*(Quesería!$H$70:$H$89&gt;0)*(Quesería!$J$70:$J$89&gt;0)*Quesería!$F$70:$F$89*(1+Quesería!$I$70:$I$89)),IF(D$43=1,SUMPRODUCT((Quesería!$C$70:$C$89=1)*(Quesería!$H$70:$H$89&gt;0)*(Quesería!$J$70:$J$89&gt;0)*Quesería!$F$70:$F$89*(1+Quesería!$I$70:$I$89))*$H$21,0))*$H$11+D309)</f>
        <v>0</v>
      </c>
      <c r="E310" s="29" t="n">
        <f aca="false">Quesería!$B$55*(IF(E$43=0,SUMPRODUCT((Quesería!$C$70:$C$89=0)*(Quesería!$H$70:$H$89&gt;0)*(Quesería!$J$70:$J$89&gt;0)*Quesería!$F$70:$F$89*(1+Quesería!$I$70:$I$89)),IF(E$43=1,SUMPRODUCT((Quesería!$C$70:$C$89=1)*(Quesería!$H$70:$H$89&gt;0)*(Quesería!$J$70:$J$89&gt;0)*Quesería!$F$70:$F$89*(1+Quesería!$I$70:$I$89))*$H$21,0))*$H$11+E309)</f>
        <v>0</v>
      </c>
      <c r="F310" s="29" t="n">
        <f aca="false">Quesería!$B$55*(IF(F$43=0,SUMPRODUCT((Quesería!$C$70:$C$89=0)*(Quesería!$H$70:$H$89&gt;0)*(Quesería!$J$70:$J$89&gt;0)*Quesería!$F$70:$F$89*(1+Quesería!$I$70:$I$89)),IF(F$43=1,SUMPRODUCT((Quesería!$C$70:$C$89=1)*(Quesería!$H$70:$H$89&gt;0)*(Quesería!$J$70:$J$89&gt;0)*Quesería!$F$70:$F$89*(1+Quesería!$I$70:$I$89))*$H$21,0))*$H$11+F309)</f>
        <v>0</v>
      </c>
      <c r="G310" s="29" t="n">
        <f aca="false">Quesería!$B$55*(IF(G$43=0,SUMPRODUCT((Quesería!$C$70:$C$89=0)*(Quesería!$H$70:$H$89&gt;0)*(Quesería!$J$70:$J$89&gt;0)*Quesería!$F$70:$F$89*(1+Quesería!$I$70:$I$89)),IF(G$43=1,SUMPRODUCT((Quesería!$C$70:$C$89=1)*(Quesería!$H$70:$H$89&gt;0)*(Quesería!$J$70:$J$89&gt;0)*Quesería!$F$70:$F$89*(1+Quesería!$I$70:$I$89))*$H$21,0))*$H$11+G309)</f>
        <v>5.21839128108597</v>
      </c>
      <c r="H310" s="29" t="n">
        <f aca="false">Quesería!$B$55*(IF(H$43=0,SUMPRODUCT((Quesería!$C$70:$C$89=0)*(Quesería!$H$70:$H$89&gt;0)*(Quesería!$J$70:$J$89&gt;0)*Quesería!$F$70:$F$89*(1+Quesería!$I$70:$I$89)),IF(H$43=1,SUMPRODUCT((Quesería!$C$70:$C$89=1)*(Quesería!$H$70:$H$89&gt;0)*(Quesería!$J$70:$J$89&gt;0)*Quesería!$F$70:$F$89*(1+Quesería!$I$70:$I$89))*$H$21,0))*$H$11+H309)</f>
        <v>8.8139395850815</v>
      </c>
      <c r="I310" s="29" t="n">
        <f aca="false">Quesería!$B$55*(IF(I$43=0,SUMPRODUCT((Quesería!$C$70:$C$89=0)*(Quesería!$H$70:$H$89&gt;0)*(Quesería!$J$70:$J$89&gt;0)*Quesería!$F$70:$F$89*(1+Quesería!$I$70:$I$89)),IF(I$43=1,SUMPRODUCT((Quesería!$C$70:$C$89=1)*(Quesería!$H$70:$H$89&gt;0)*(Quesería!$J$70:$J$89&gt;0)*Quesería!$F$70:$F$89*(1+Quesería!$I$70:$I$89))*$H$21,0))*$H$11+I309)</f>
        <v>0</v>
      </c>
      <c r="J310" s="29" t="n">
        <f aca="false">Quesería!$B$55*(IF(J$43=0,SUMPRODUCT((Quesería!$C$70:$C$89=0)*(Quesería!$H$70:$H$89&gt;0)*(Quesería!$J$70:$J$89&gt;0)*Quesería!$F$70:$F$89*(1+Quesería!$I$70:$I$89)),IF(J$43=1,SUMPRODUCT((Quesería!$C$70:$C$89=1)*(Quesería!$H$70:$H$89&gt;0)*(Quesería!$J$70:$J$89&gt;0)*Quesería!$F$70:$F$89*(1+Quesería!$I$70:$I$89))*$H$21,0))*$H$11+J309)</f>
        <v>0</v>
      </c>
      <c r="K310" s="29" t="n">
        <f aca="false">Quesería!$B$55*(IF(K$43=0,SUMPRODUCT((Quesería!$C$70:$C$89=0)*(Quesería!$H$70:$H$89&gt;0)*(Quesería!$J$70:$J$89&gt;0)*Quesería!$F$70:$F$89*(1+Quesería!$I$70:$I$89)),IF(K$43=1,SUMPRODUCT((Quesería!$C$70:$C$89=1)*(Quesería!$H$70:$H$89&gt;0)*(Quesería!$J$70:$J$89&gt;0)*Quesería!$F$70:$F$89*(1+Quesería!$I$70:$I$89))*$H$21,0))*$H$11+K309)</f>
        <v>0</v>
      </c>
      <c r="L310" s="29" t="n">
        <f aca="false">Quesería!$B$55*(IF(L$43=0,SUMPRODUCT((Quesería!$C$70:$C$89=0)*(Quesería!$H$70:$H$89&gt;0)*(Quesería!$J$70:$J$89&gt;0)*Quesería!$F$70:$F$89*(1+Quesería!$I$70:$I$89)),IF(L$43=1,SUMPRODUCT((Quesería!$C$70:$C$89=1)*(Quesería!$H$70:$H$89&gt;0)*(Quesería!$J$70:$J$89&gt;0)*Quesería!$F$70:$F$89*(1+Quesería!$I$70:$I$89))*$H$21,0))*$H$11+L309)</f>
        <v>0</v>
      </c>
    </row>
    <row r="311" customFormat="false" ht="15" hidden="true" customHeight="false" outlineLevel="1" collapsed="false">
      <c r="A311" s="6" t="s">
        <v>385</v>
      </c>
      <c r="B311" s="29" t="n">
        <f aca="false">IF(B$43=0,($H$22*Quesería!$J$125+(1-$H$22)*Quesería!$E$121)*Quesería!$B$20*Quesería!$B$21/12*$H$23,(($H$22*Quesería!$J$125+(1-$H$22)*Quesería!$E$121)+($H$22*Quesería!$J$104+(1-$H$22)*Quesería!$E$104)*(B306-1))*IF(B$43=1,Quesería!$B$20,1))*$H$10</f>
        <v>144.860126713444</v>
      </c>
      <c r="C311" s="29" t="n">
        <f aca="false">IF(C$43=0,($H$22*Quesería!$J$125+(1-$H$22)*Quesería!$E$121)*Quesería!$B$20*Quesería!$B$21/12*$H$23,(($H$22*Quesería!$J$125+(1-$H$22)*Quesería!$E$121)+($H$22*Quesería!$J$104+(1-$H$22)*Quesería!$E$104)*(C306-1))*IF(C$43=1,Quesería!$B$20,1))*$H$10</f>
        <v>217.593980824882</v>
      </c>
      <c r="D311" s="29" t="n">
        <f aca="false">IF(D$43=0,($H$22*Quesería!$J$125+(1-$H$22)*Quesería!$E$121)*Quesería!$B$20*Quesería!$B$21/12*$H$23,(($H$22*Quesería!$J$125+(1-$H$22)*Quesería!$E$121)+($H$22*Quesería!$J$104+(1-$H$22)*Quesería!$E$104)*(D306-1))*IF(D$43=1,Quesería!$B$20,1))*$H$10</f>
        <v>290.197893038208</v>
      </c>
      <c r="E311" s="29" t="n">
        <f aca="false">IF(E$43=0,($H$22*Quesería!$J$125+(1-$H$22)*Quesería!$E$121)*Quesería!$B$20*Quesería!$B$21/12*$H$23,(($H$22*Quesería!$J$125+(1-$H$22)*Quesería!$E$121)+($H$22*Quesería!$J$104+(1-$H$22)*Quesería!$E$104)*(E306-1))*IF(E$43=1,Quesería!$B$20,1))*$H$10</f>
        <v>290.270841236265</v>
      </c>
      <c r="F311" s="29" t="n">
        <f aca="false">IF(F$43=0,($H$22*Quesería!$J$125+(1-$H$22)*Quesería!$E$121)*Quesería!$B$20*Quesería!$B$21/12*$H$23,(($H$22*Quesería!$J$125+(1-$H$22)*Quesería!$E$121)+($H$22*Quesería!$J$104+(1-$H$22)*Quesería!$E$104)*(F306-1))*IF(F$43=1,Quesería!$B$20,1))*$H$10</f>
        <v>290.344154175311</v>
      </c>
      <c r="G311" s="29" t="n">
        <f aca="false">IF(G$43=0,($H$22*Quesería!$J$125+(1-$H$22)*Quesería!$E$121)*Quesería!$B$20*Quesería!$B$21/12*$H$23,(($H$22*Quesería!$J$125+(1-$H$22)*Quesería!$E$121)+($H$22*Quesería!$J$104+(1-$H$22)*Quesería!$E$104)*(G306-1))*IF(G$43=1,Quesería!$B$20,1))*$H$10</f>
        <v>290.417833679054</v>
      </c>
      <c r="H311" s="29" t="n">
        <f aca="false">IF(H$43=0,($H$22*Quesería!$J$125+(1-$H$22)*Quesería!$E$121)*Quesería!$B$20*Quesería!$B$21/12*$H$23,(($H$22*Quesería!$J$125+(1-$H$22)*Quesería!$E$121)+($H$22*Quesería!$J$104+(1-$H$22)*Quesería!$E$104)*(H306-1))*IF(H$43=1,Quesería!$B$20,1))*$H$10</f>
        <v>290.491881580314</v>
      </c>
      <c r="I311" s="29" t="n">
        <f aca="false">IF(I$43=0,($H$22*Quesería!$J$125+(1-$H$22)*Quesería!$E$121)*Quesería!$B$20*Quesería!$B$21/12*$H$23,(($H$22*Quesería!$J$125+(1-$H$22)*Quesería!$E$121)+($H$22*Quesería!$J$104+(1-$H$22)*Quesería!$E$104)*(I306-1))*IF(I$43=1,Quesería!$B$20,1))*$H$10</f>
        <v>290.566299721082</v>
      </c>
      <c r="J311" s="29" t="n">
        <f aca="false">IF(J$43=0,($H$22*Quesería!$J$125+(1-$H$22)*Quesería!$E$121)*Quesería!$B$20*Quesería!$B$21/12*$H$23,(($H$22*Quesería!$J$125+(1-$H$22)*Quesería!$E$121)+($H$22*Quesería!$J$104+(1-$H$22)*Quesería!$E$104)*(J306-1))*IF(J$43=1,Quesería!$B$20,1))*$H$10</f>
        <v>290.641089952553</v>
      </c>
      <c r="K311" s="29" t="n">
        <f aca="false">IF(K$43=0,($H$22*Quesería!$J$125+(1-$H$22)*Quesería!$E$121)*Quesería!$B$20*Quesería!$B$21/12*$H$23,(($H$22*Quesería!$J$125+(1-$H$22)*Quesería!$E$121)+($H$22*Quesería!$J$104+(1-$H$22)*Quesería!$E$104)*(K306-1))*IF(K$43=1,Quesería!$B$20,1))*$H$10</f>
        <v>290.716254135181</v>
      </c>
      <c r="L311" s="29" t="n">
        <f aca="false">IF(L$43=0,($H$22*Quesería!$J$125+(1-$H$22)*Quesería!$E$121)*Quesería!$B$20*Quesería!$B$21/12*$H$23,(($H$22*Quesería!$J$125+(1-$H$22)*Quesería!$E$121)+($H$22*Quesería!$J$104+(1-$H$22)*Quesería!$E$104)*(L306-1))*IF(L$43=1,Quesería!$B$20,1))*$H$10</f>
        <v>290.791794138722</v>
      </c>
    </row>
    <row r="312" customFormat="false" ht="15" hidden="true" customHeight="false" outlineLevel="1" collapsed="false">
      <c r="A312" s="6" t="s">
        <v>386</v>
      </c>
      <c r="B312" s="29" t="n">
        <f aca="false">IF(B$43&lt;=1,0,((($H$22*Quesería!$J$126+(1-$H$22)*Quesería!$E$122)-($H$22*Quesería!$J$113+(1-$H$22)*Quesería!$E$113)+$H$6*($H$22*Quesería!$J$113+(1-$H$22)*Quesería!$E$113)-(1-$H$9)*(($H$22*Quesería!$J$118+(1-$H$22)*Quesería!$E$118)+($H$22*Quesería!$J$117+(1-$H$22)*Quesería!$E$117)))+($H$6*($H$22*Quesería!$J$113+(1-$H$22)*Quesería!$E$113)+$H$9*($H$22*Quesería!$J$118+(1-$H$22)*Quesería!$E$118))*(B306-1))*IF(B$43=2,Quesería!$B$20,1)+IF(B$43=2,Quesería!$B$24*$H$9*($H$22*Quesería!$J$118+(1-$H$22)*Quesería!$E$118)*B306,0))*$H$10*$H$21</f>
        <v>0</v>
      </c>
      <c r="C312" s="29" t="n">
        <f aca="false">IF(C$43&lt;=1,0,((($H$22*Quesería!$J$126+(1-$H$22)*Quesería!$E$122)-($H$22*Quesería!$J$113+(1-$H$22)*Quesería!$E$113)+$H$6*($H$22*Quesería!$J$113+(1-$H$22)*Quesería!$E$113)-(1-$H$9)*(($H$22*Quesería!$J$118+(1-$H$22)*Quesería!$E$118)+($H$22*Quesería!$J$117+(1-$H$22)*Quesería!$E$117)))+($H$6*($H$22*Quesería!$J$113+(1-$H$22)*Quesería!$E$113)+$H$9*($H$22*Quesería!$J$118+(1-$H$22)*Quesería!$E$118))*(C306-1))*IF(C$43=2,Quesería!$B$20,1)+IF(C$43=2,Quesería!$B$24*$H$9*($H$22*Quesería!$J$118+(1-$H$22)*Quesería!$E$118)*C306,0))*$H$10*$H$21</f>
        <v>0</v>
      </c>
      <c r="D312" s="29" t="n">
        <f aca="false">IF(D$43&lt;=1,0,((($H$22*Quesería!$J$126+(1-$H$22)*Quesería!$E$122)-($H$22*Quesería!$J$113+(1-$H$22)*Quesería!$E$113)+$H$6*($H$22*Quesería!$J$113+(1-$H$22)*Quesería!$E$113)-(1-$H$9)*(($H$22*Quesería!$J$118+(1-$H$22)*Quesería!$E$118)+($H$22*Quesería!$J$117+(1-$H$22)*Quesería!$E$117)))+($H$6*($H$22*Quesería!$J$113+(1-$H$22)*Quesería!$E$113)+$H$9*($H$22*Quesería!$J$118+(1-$H$22)*Quesería!$E$118))*(D306-1))*IF(D$43=2,Quesería!$B$20,1)+IF(D$43=2,Quesería!$B$24*$H$9*($H$22*Quesería!$J$118+(1-$H$22)*Quesería!$E$118)*D306,0))*$H$10*$H$21</f>
        <v>282.241806742334</v>
      </c>
      <c r="E312" s="29" t="n">
        <f aca="false">IF(E$43&lt;=1,0,((($H$22*Quesería!$J$126+(1-$H$22)*Quesería!$E$122)-($H$22*Quesería!$J$113+(1-$H$22)*Quesería!$E$113)+$H$6*($H$22*Quesería!$J$113+(1-$H$22)*Quesería!$E$113)-(1-$H$9)*(($H$22*Quesería!$J$118+(1-$H$22)*Quesería!$E$118)+($H$22*Quesería!$J$117+(1-$H$22)*Quesería!$E$117)))+($H$6*($H$22*Quesería!$J$113+(1-$H$22)*Quesería!$E$113)+$H$9*($H$22*Quesería!$J$118+(1-$H$22)*Quesería!$E$118))*(E306-1))*IF(E$43=2,Quesería!$B$20,1)+IF(E$43=2,Quesería!$B$24*$H$9*($H$22*Quesería!$J$118+(1-$H$22)*Quesería!$E$118)*E306,0))*$H$10*$H$21</f>
        <v>358.753803168023</v>
      </c>
      <c r="F312" s="29" t="n">
        <f aca="false">IF(F$43&lt;=1,0,((($H$22*Quesería!$J$126+(1-$H$22)*Quesería!$E$122)-($H$22*Quesería!$J$113+(1-$H$22)*Quesería!$E$113)+$H$6*($H$22*Quesería!$J$113+(1-$H$22)*Quesería!$E$113)-(1-$H$9)*(($H$22*Quesería!$J$118+(1-$H$22)*Quesería!$E$118)+($H$22*Quesería!$J$117+(1-$H$22)*Quesería!$E$117)))+($H$6*($H$22*Quesería!$J$113+(1-$H$22)*Quesería!$E$113)+$H$9*($H$22*Quesería!$J$118+(1-$H$22)*Quesería!$E$118))*(F306-1))*IF(F$43=2,Quesería!$B$20,1)+IF(F$43=2,Quesería!$B$24*$H$9*($H$22*Quesería!$J$118+(1-$H$22)*Quesería!$E$118)*F306,0))*$H$10*$H$21</f>
        <v>359.0515434715</v>
      </c>
      <c r="G312" s="29" t="n">
        <f aca="false">IF(G$43&lt;=1,0,((($H$22*Quesería!$J$126+(1-$H$22)*Quesería!$E$122)-($H$22*Quesería!$J$113+(1-$H$22)*Quesería!$E$113)+$H$6*($H$22*Quesería!$J$113+(1-$H$22)*Quesería!$E$113)-(1-$H$9)*(($H$22*Quesería!$J$118+(1-$H$22)*Quesería!$E$118)+($H$22*Quesería!$J$117+(1-$H$22)*Quesería!$E$117)))+($H$6*($H$22*Quesería!$J$113+(1-$H$22)*Quesería!$E$113)+$H$9*($H$22*Quesería!$J$118+(1-$H$22)*Quesería!$E$118))*(G306-1))*IF(G$43=2,Quesería!$B$20,1)+IF(G$43=2,Quesería!$B$24*$H$9*($H$22*Quesería!$J$118+(1-$H$22)*Quesería!$E$118)*G306,0))*$H$10*$H$21</f>
        <v>359.350772476493</v>
      </c>
      <c r="H312" s="29" t="n">
        <f aca="false">IF(H$43&lt;=1,0,((($H$22*Quesería!$J$126+(1-$H$22)*Quesería!$E$122)-($H$22*Quesería!$J$113+(1-$H$22)*Quesería!$E$113)+$H$6*($H$22*Quesería!$J$113+(1-$H$22)*Quesería!$E$113)-(1-$H$9)*(($H$22*Quesería!$J$118+(1-$H$22)*Quesería!$E$118)+($H$22*Quesería!$J$117+(1-$H$22)*Quesería!$E$117)))+($H$6*($H$22*Quesería!$J$113+(1-$H$22)*Quesería!$E$113)+$H$9*($H$22*Quesería!$J$118+(1-$H$22)*Quesería!$E$118))*(H306-1))*IF(H$43=2,Quesería!$B$20,1)+IF(H$43=2,Quesería!$B$24*$H$9*($H$22*Quesería!$J$118+(1-$H$22)*Quesería!$E$118)*H306,0))*$H$10*$H$21</f>
        <v>359.651497626512</v>
      </c>
      <c r="I312" s="29" t="n">
        <f aca="false">IF(I$43&lt;=1,0,((($H$22*Quesería!$J$126+(1-$H$22)*Quesería!$E$122)-($H$22*Quesería!$J$113+(1-$H$22)*Quesería!$E$113)+$H$6*($H$22*Quesería!$J$113+(1-$H$22)*Quesería!$E$113)-(1-$H$9)*(($H$22*Quesería!$J$118+(1-$H$22)*Quesería!$E$118)+($H$22*Quesería!$J$117+(1-$H$22)*Quesería!$E$117)))+($H$6*($H$22*Quesería!$J$113+(1-$H$22)*Quesería!$E$113)+$H$9*($H$22*Quesería!$J$118+(1-$H$22)*Quesería!$E$118))*(I306-1))*IF(I$43=2,Quesería!$B$20,1)+IF(I$43=2,Quesería!$B$24*$H$9*($H$22*Quesería!$J$118+(1-$H$22)*Quesería!$E$118)*I306,0))*$H$10*$H$21</f>
        <v>359.95372640228</v>
      </c>
      <c r="J312" s="29" t="n">
        <f aca="false">IF(J$43&lt;=1,0,((($H$22*Quesería!$J$126+(1-$H$22)*Quesería!$E$122)-($H$22*Quesería!$J$113+(1-$H$22)*Quesería!$E$113)+$H$6*($H$22*Quesería!$J$113+(1-$H$22)*Quesería!$E$113)-(1-$H$9)*(($H$22*Quesería!$J$118+(1-$H$22)*Quesería!$E$118)+($H$22*Quesería!$J$117+(1-$H$22)*Quesería!$E$117)))+($H$6*($H$22*Quesería!$J$113+(1-$H$22)*Quesería!$E$113)+$H$9*($H$22*Quesería!$J$118+(1-$H$22)*Quesería!$E$118))*(J306-1))*IF(J$43=2,Quesería!$B$20,1)+IF(J$43=2,Quesería!$B$24*$H$9*($H$22*Quesería!$J$118+(1-$H$22)*Quesería!$E$118)*J306,0))*$H$10*$H$21</f>
        <v>360.257466321928</v>
      </c>
      <c r="K312" s="29" t="n">
        <f aca="false">IF(K$43&lt;=1,0,((($H$22*Quesería!$J$126+(1-$H$22)*Quesería!$E$122)-($H$22*Quesería!$J$113+(1-$H$22)*Quesería!$E$113)+$H$6*($H$22*Quesería!$J$113+(1-$H$22)*Quesería!$E$113)-(1-$H$9)*(($H$22*Quesería!$J$118+(1-$H$22)*Quesería!$E$118)+($H$22*Quesería!$J$117+(1-$H$22)*Quesería!$E$117)))+($H$6*($H$22*Quesería!$J$113+(1-$H$22)*Quesería!$E$113)+$H$9*($H$22*Quesería!$J$118+(1-$H$22)*Quesería!$E$118))*(K306-1))*IF(K$43=2,Quesería!$B$20,1)+IF(K$43=2,Quesería!$B$24*$H$9*($H$22*Quesería!$J$118+(1-$H$22)*Quesería!$E$118)*K306,0))*$H$10*$H$21</f>
        <v>360.562724941173</v>
      </c>
      <c r="L312" s="29" t="n">
        <f aca="false">IF(L$43&lt;=1,0,((($H$22*Quesería!$J$126+(1-$H$22)*Quesería!$E$122)-($H$22*Quesería!$J$113+(1-$H$22)*Quesería!$E$113)+$H$6*($H$22*Quesería!$J$113+(1-$H$22)*Quesería!$E$113)-(1-$H$9)*(($H$22*Quesería!$J$118+(1-$H$22)*Quesería!$E$118)+($H$22*Quesería!$J$117+(1-$H$22)*Quesería!$E$117)))+($H$6*($H$22*Quesería!$J$113+(1-$H$22)*Quesería!$E$113)+$H$9*($H$22*Quesería!$J$118+(1-$H$22)*Quesería!$E$118))*(L306-1))*IF(L$43=2,Quesería!$B$20,1)+IF(L$43=2,Quesería!$B$24*$H$9*($H$22*Quesería!$J$118+(1-$H$22)*Quesería!$E$118)*L306,0))*$H$10*$H$21</f>
        <v>360.869509853515</v>
      </c>
    </row>
    <row r="313" customFormat="false" ht="15" hidden="true" customHeight="false" outlineLevel="1" collapsed="false">
      <c r="A313" s="5" t="s">
        <v>411</v>
      </c>
      <c r="B313" s="10" t="n">
        <f aca="false">B311+B312</f>
        <v>144.860126713444</v>
      </c>
      <c r="C313" s="10" t="n">
        <f aca="false">C311+C312</f>
        <v>217.593980824882</v>
      </c>
      <c r="D313" s="10" t="n">
        <f aca="false">D311+D312</f>
        <v>572.439699780542</v>
      </c>
      <c r="E313" s="10" t="n">
        <f aca="false">E311+E312</f>
        <v>649.024644404288</v>
      </c>
      <c r="F313" s="10" t="n">
        <f aca="false">F311+F312</f>
        <v>649.395697646811</v>
      </c>
      <c r="G313" s="10" t="n">
        <f aca="false">G311+G312</f>
        <v>649.768606155547</v>
      </c>
      <c r="H313" s="10" t="n">
        <f aca="false">H311+H312</f>
        <v>650.143379206826</v>
      </c>
      <c r="I313" s="10" t="n">
        <f aca="false">I311+I312</f>
        <v>650.520026123362</v>
      </c>
      <c r="J313" s="10" t="n">
        <f aca="false">J311+J312</f>
        <v>650.89855627448</v>
      </c>
      <c r="K313" s="10" t="n">
        <f aca="false">K311+K312</f>
        <v>651.278979076354</v>
      </c>
      <c r="L313" s="10" t="n">
        <f aca="false">L311+L312</f>
        <v>651.661303992237</v>
      </c>
    </row>
    <row r="314" customFormat="false" ht="15" hidden="true" customHeight="false" outlineLevel="1" collapsed="false">
      <c r="A314" s="6" t="s">
        <v>412</v>
      </c>
      <c r="B314" s="29" t="n">
        <f aca="false">(IF(B$43&gt;=1,(Quesería!$B$31+Quesería!$B$33)*Quesería!$F$94*$H$11+Quesería!$B$32+'Beneficios y costos'!$B$211,0)+IF(B$43&gt;=2,((Quesería!$B$31+Quesería!$B$33)*Quesería!$F$95*$H$11+'Beneficios y costos'!$C$211)*$H$21,0))*$H$12</f>
        <v>0</v>
      </c>
      <c r="C314" s="29" t="n">
        <f aca="false">(IF(C$43&gt;=1,(Quesería!$B$31+Quesería!$B$33)*Quesería!$F$94*$H$11+Quesería!$B$32+'Beneficios y costos'!$B$211,0)+IF(C$43&gt;=2,((Quesería!$B$31+Quesería!$B$33)*Quesería!$F$95*$H$11+'Beneficios y costos'!$C$211)*$H$21,0))*$H$12</f>
        <v>42.0946487260605</v>
      </c>
      <c r="D314" s="29" t="n">
        <f aca="false">(IF(D$43&gt;=1,(Quesería!$B$31+Quesería!$B$33)*Quesería!$F$94*$H$11+Quesería!$B$32+'Beneficios y costos'!$B$211,0)+IF(D$43&gt;=2,((Quesería!$B$31+Quesería!$B$33)*Quesería!$F$95*$H$11+'Beneficios y costos'!$C$211)*$H$21,0))*$H$12</f>
        <v>95.9432442337815</v>
      </c>
      <c r="E314" s="29" t="n">
        <f aca="false">(IF(E$43&gt;=1,(Quesería!$B$31+Quesería!$B$33)*Quesería!$F$94*$H$11+Quesería!$B$32+'Beneficios y costos'!$B$211,0)+IF(E$43&gt;=2,((Quesería!$B$31+Quesería!$B$33)*Quesería!$F$95*$H$11+'Beneficios y costos'!$C$211)*$H$21,0))*$H$12</f>
        <v>95.9432442337815</v>
      </c>
      <c r="F314" s="29" t="n">
        <f aca="false">(IF(F$43&gt;=1,(Quesería!$B$31+Quesería!$B$33)*Quesería!$F$94*$H$11+Quesería!$B$32+'Beneficios y costos'!$B$211,0)+IF(F$43&gt;=2,((Quesería!$B$31+Quesería!$B$33)*Quesería!$F$95*$H$11+'Beneficios y costos'!$C$211)*$H$21,0))*$H$12</f>
        <v>95.9432442337815</v>
      </c>
      <c r="G314" s="29" t="n">
        <f aca="false">(IF(G$43&gt;=1,(Quesería!$B$31+Quesería!$B$33)*Quesería!$F$94*$H$11+Quesería!$B$32+'Beneficios y costos'!$B$211,0)+IF(G$43&gt;=2,((Quesería!$B$31+Quesería!$B$33)*Quesería!$F$95*$H$11+'Beneficios y costos'!$C$211)*$H$21,0))*$H$12</f>
        <v>95.9432442337815</v>
      </c>
      <c r="H314" s="29" t="n">
        <f aca="false">(IF(H$43&gt;=1,(Quesería!$B$31+Quesería!$B$33)*Quesería!$F$94*$H$11+Quesería!$B$32+'Beneficios y costos'!$B$211,0)+IF(H$43&gt;=2,((Quesería!$B$31+Quesería!$B$33)*Quesería!$F$95*$H$11+'Beneficios y costos'!$C$211)*$H$21,0))*$H$12</f>
        <v>95.9432442337815</v>
      </c>
      <c r="I314" s="29" t="n">
        <f aca="false">(IF(I$43&gt;=1,(Quesería!$B$31+Quesería!$B$33)*Quesería!$F$94*$H$11+Quesería!$B$32+'Beneficios y costos'!$B$211,0)+IF(I$43&gt;=2,((Quesería!$B$31+Quesería!$B$33)*Quesería!$F$95*$H$11+'Beneficios y costos'!$C$211)*$H$21,0))*$H$12</f>
        <v>95.9432442337815</v>
      </c>
      <c r="J314" s="29" t="n">
        <f aca="false">(IF(J$43&gt;=1,(Quesería!$B$31+Quesería!$B$33)*Quesería!$F$94*$H$11+Quesería!$B$32+'Beneficios y costos'!$B$211,0)+IF(J$43&gt;=2,((Quesería!$B$31+Quesería!$B$33)*Quesería!$F$95*$H$11+'Beneficios y costos'!$C$211)*$H$21,0))*$H$12</f>
        <v>95.9432442337815</v>
      </c>
      <c r="K314" s="29" t="n">
        <f aca="false">(IF(K$43&gt;=1,(Quesería!$B$31+Quesería!$B$33)*Quesería!$F$94*$H$11+Quesería!$B$32+'Beneficios y costos'!$B$211,0)+IF(K$43&gt;=2,((Quesería!$B$31+Quesería!$B$33)*Quesería!$F$95*$H$11+'Beneficios y costos'!$C$211)*$H$21,0))*$H$12</f>
        <v>95.9432442337815</v>
      </c>
      <c r="L314" s="29" t="n">
        <f aca="false">(IF(L$43&gt;=1,(Quesería!$B$31+Quesería!$B$33)*Quesería!$F$94*$H$11+Quesería!$B$32+'Beneficios y costos'!$B$211,0)+IF(L$43&gt;=2,((Quesería!$B$31+Quesería!$B$33)*Quesería!$F$95*$H$11+'Beneficios y costos'!$C$211)*$H$21,0))*$H$12</f>
        <v>95.9432442337815</v>
      </c>
    </row>
    <row r="315" customFormat="false" ht="15" hidden="true" customHeight="false" outlineLevel="1" collapsed="false">
      <c r="A315" s="6" t="s">
        <v>413</v>
      </c>
      <c r="B315" s="29" t="n">
        <f aca="false">IF(B$43=1,2*Quesería!$B$22*Quesería!$B$23/12*B306,0)*$H$21</f>
        <v>0</v>
      </c>
      <c r="C315" s="29" t="n">
        <f aca="false">IF(C$43=1,2*Quesería!$B$22*Quesería!$B$23/12*C306,0)*$H$21</f>
        <v>18.5166509433962</v>
      </c>
      <c r="D315" s="29" t="n">
        <f aca="false">IF(D$43=1,2*Quesería!$B$22*Quesería!$B$23/12*D306,0)*$H$21</f>
        <v>0</v>
      </c>
      <c r="E315" s="29" t="n">
        <f aca="false">IF(E$43=1,2*Quesería!$B$22*Quesería!$B$23/12*E306,0)*$H$21</f>
        <v>0</v>
      </c>
      <c r="F315" s="29" t="n">
        <f aca="false">IF(F$43=1,2*Quesería!$B$22*Quesería!$B$23/12*F306,0)*$H$21</f>
        <v>0</v>
      </c>
      <c r="G315" s="29" t="n">
        <f aca="false">IF(G$43=1,2*Quesería!$B$22*Quesería!$B$23/12*G306,0)*$H$21</f>
        <v>0</v>
      </c>
      <c r="H315" s="29" t="n">
        <f aca="false">IF(H$43=1,2*Quesería!$B$22*Quesería!$B$23/12*H306,0)*$H$21</f>
        <v>0</v>
      </c>
      <c r="I315" s="29" t="n">
        <f aca="false">IF(I$43=1,2*Quesería!$B$22*Quesería!$B$23/12*I306,0)*$H$21</f>
        <v>0</v>
      </c>
      <c r="J315" s="29" t="n">
        <f aca="false">IF(J$43=1,2*Quesería!$B$22*Quesería!$B$23/12*J306,0)*$H$21</f>
        <v>0</v>
      </c>
      <c r="K315" s="29" t="n">
        <f aca="false">IF(K$43=1,2*Quesería!$B$22*Quesería!$B$23/12*K306,0)*$H$21</f>
        <v>0</v>
      </c>
      <c r="L315" s="29" t="n">
        <f aca="false">IF(L$43=1,2*Quesería!$B$22*Quesería!$B$23/12*L306,0)*$H$21</f>
        <v>0</v>
      </c>
    </row>
    <row r="316" customFormat="false" ht="15" hidden="true" customHeight="false" outlineLevel="1" collapsed="false">
      <c r="A316" s="6" t="s">
        <v>414</v>
      </c>
      <c r="B316" s="29" t="n">
        <f aca="false">Quesería!$B$52*(B308+B309+B310+B314+B315)</f>
        <v>4.31966364396742</v>
      </c>
      <c r="C316" s="29" t="n">
        <f aca="false">Quesería!$B$52*(C308+C309+C310+C314+C315)</f>
        <v>3.85275795604844</v>
      </c>
      <c r="D316" s="29" t="n">
        <f aca="false">Quesería!$B$52*(D308+D309+D310+D314+D315)</f>
        <v>0.383772976935126</v>
      </c>
      <c r="E316" s="29" t="n">
        <f aca="false">Quesería!$B$52*(E308+E309+E310+E314+E315)</f>
        <v>0.383772976935126</v>
      </c>
      <c r="F316" s="29" t="n">
        <f aca="false">Quesería!$B$52*(F308+F309+F310+F314+F315)</f>
        <v>0.383772976935126</v>
      </c>
      <c r="G316" s="29" t="n">
        <f aca="false">Quesería!$B$52*(G308+G309+G310+G314+G315)</f>
        <v>0.514507411134964</v>
      </c>
      <c r="H316" s="29" t="n">
        <f aca="false">Quesería!$B$52*(H308+H309+H310+H314+H315)</f>
        <v>0.604585358119273</v>
      </c>
      <c r="I316" s="29" t="n">
        <f aca="false">Quesería!$B$52*(I308+I309+I310+I314+I315)</f>
        <v>0.383772976935126</v>
      </c>
      <c r="J316" s="29" t="n">
        <f aca="false">Quesería!$B$52*(J308+J309+J310+J314+J315)</f>
        <v>0.383772976935126</v>
      </c>
      <c r="K316" s="29" t="n">
        <f aca="false">Quesería!$B$52*(K308+K309+K310+K314+K315)</f>
        <v>0.383772976935126</v>
      </c>
      <c r="L316" s="29" t="n">
        <f aca="false">Quesería!$B$52*(L308+L309+L310+L314+L315)</f>
        <v>0.383772976935126</v>
      </c>
    </row>
    <row r="317" customFormat="false" ht="15" hidden="true" customHeight="false" outlineLevel="1" collapsed="false">
      <c r="A317" s="6" t="s">
        <v>415</v>
      </c>
      <c r="B317" s="29" t="n">
        <f aca="false">(IF($H$19=1,(SUMPRODUCT((Quesería!$C$70:$C$89=0)*(Quesería!$J$70:$J$89&gt;0)*(B$43&gt;=1)*(B$43&lt;=Quesería!$J$70:$J$89)*(Quesería!$H$70:$H$89&gt;0)*Quesería!$F$70:$F$89*(1+Quesería!$I$70:$I$89)/(Quesería!$J$70:$J$89+(Quesería!$J$70:$J$89=0)))+SUMPRODUCT((Quesería!$C$70:$C$89=0)*(Quesería!$J$70:$J$89=0)*(B$43=0)*(Quesería!$H$70:$H$89&gt;0)*Quesería!$F$70:$F$89*(1+Quesería!$I$70:$I$89)))*$B$305+(SUMPRODUCT((Quesería!$C$70:$C$89=1)*(Quesería!$J$70:$J$89&gt;0)*(B$43&gt;=2)*(B$43&lt;=Quesería!$J$70:$J$89+1)*(Quesería!$H$70:$H$89&gt;0)*Quesería!$F$70:$F$89*(1+Quesería!$I$70:$I$89)/(Quesería!$J$70:$J$89+(Quesería!$J$70:$J$89=0)))+SUMPRODUCT((Quesería!$C$70:$C$89=1)*(Quesería!$J$70:$J$89=0)*(B$43=1)*(Quesería!$H$70:$H$89&gt;0)*Quesería!$F$70:$F$89*(1+Quesería!$I$70:$I$89)))*$C$305*$H$21,IF(AND(B$43&gt;=1,B$43&lt;=Quesería!$B$30),Quesería!$F$92/Quesería!$B$30,0)*$B$305+IF(AND(B$43&gt;=2,B$43&lt;=Quesería!$B$30+1),Quesería!$F$93/Quesería!$B$30,0)*$C$305*$H$21)*$H$11+IF(AND(B$43&gt;=6,B$43&lt;=10),$G309*$G305/5,0)+IF(AND(B$43&gt;=7,B$43&lt;=11),$H309*$H305/5,0))*B307</f>
        <v>145.980915430742</v>
      </c>
      <c r="C317" s="29" t="n">
        <f aca="false">(IF($H$19=1,(SUMPRODUCT((Quesería!$C$70:$C$89=0)*(Quesería!$J$70:$J$89&gt;0)*(C$43&gt;=1)*(C$43&lt;=Quesería!$J$70:$J$89)*(Quesería!$H$70:$H$89&gt;0)*Quesería!$F$70:$F$89*(1+Quesería!$I$70:$I$89)/(Quesería!$J$70:$J$89+(Quesería!$J$70:$J$89=0)))+SUMPRODUCT((Quesería!$C$70:$C$89=0)*(Quesería!$J$70:$J$89=0)*(C$43=0)*(Quesería!$H$70:$H$89&gt;0)*Quesería!$F$70:$F$89*(1+Quesería!$I$70:$I$89)))*$B$305+(SUMPRODUCT((Quesería!$C$70:$C$89=1)*(Quesería!$J$70:$J$89&gt;0)*(C$43&gt;=2)*(C$43&lt;=Quesería!$J$70:$J$89+1)*(Quesería!$H$70:$H$89&gt;0)*Quesería!$F$70:$F$89*(1+Quesería!$I$70:$I$89)/(Quesería!$J$70:$J$89+(Quesería!$J$70:$J$89=0)))+SUMPRODUCT((Quesería!$C$70:$C$89=1)*(Quesería!$J$70:$J$89=0)*(C$43=1)*(Quesería!$H$70:$H$89&gt;0)*Quesería!$F$70:$F$89*(1+Quesería!$I$70:$I$89)))*$C$305*$H$21,IF(AND(C$43&gt;=1,C$43&lt;=Quesería!$B$30),Quesería!$F$92/Quesería!$B$30,0)*$B$305+IF(AND(C$43&gt;=2,C$43&lt;=Quesería!$B$30+1),Quesería!$F$93/Quesería!$B$30,0)*$C$305*$H$21)*$H$11+IF(AND(C$43&gt;=6,C$43&lt;=10),$G309*$G305/5,0)+IF(AND(C$43&gt;=7,C$43&lt;=11),$H309*$H305/5,0))*C307</f>
        <v>82.2633269524265</v>
      </c>
      <c r="D317" s="29" t="n">
        <f aca="false">(IF($H$19=1,(SUMPRODUCT((Quesería!$C$70:$C$89=0)*(Quesería!$J$70:$J$89&gt;0)*(D$43&gt;=1)*(D$43&lt;=Quesería!$J$70:$J$89)*(Quesería!$H$70:$H$89&gt;0)*Quesería!$F$70:$F$89*(1+Quesería!$I$70:$I$89)/(Quesería!$J$70:$J$89+(Quesería!$J$70:$J$89=0)))+SUMPRODUCT((Quesería!$C$70:$C$89=0)*(Quesería!$J$70:$J$89=0)*(D$43=0)*(Quesería!$H$70:$H$89&gt;0)*Quesería!$F$70:$F$89*(1+Quesería!$I$70:$I$89)))*$B$305+(SUMPRODUCT((Quesería!$C$70:$C$89=1)*(Quesería!$J$70:$J$89&gt;0)*(D$43&gt;=2)*(D$43&lt;=Quesería!$J$70:$J$89+1)*(Quesería!$H$70:$H$89&gt;0)*Quesería!$F$70:$F$89*(1+Quesería!$I$70:$I$89)/(Quesería!$J$70:$J$89+(Quesería!$J$70:$J$89=0)))+SUMPRODUCT((Quesería!$C$70:$C$89=1)*(Quesería!$J$70:$J$89=0)*(D$43=1)*(Quesería!$H$70:$H$89&gt;0)*Quesería!$F$70:$F$89*(1+Quesería!$I$70:$I$89)))*$C$305*$H$21,IF(AND(D$43&gt;=1,D$43&lt;=Quesería!$B$30),Quesería!$F$92/Quesería!$B$30,0)*$B$305+IF(AND(D$43&gt;=2,D$43&lt;=Quesería!$B$30+1),Quesería!$F$93/Quesería!$B$30,0)*$C$305*$H$21)*$H$11+IF(AND(D$43&gt;=6,D$43&lt;=10),$G309*$G305/5,0)+IF(AND(D$43&gt;=7,D$43&lt;=11),$H309*$H305/5,0))*D307</f>
        <v>151.301658966389</v>
      </c>
      <c r="E317" s="29" t="n">
        <f aca="false">(IF($H$19=1,(SUMPRODUCT((Quesería!$C$70:$C$89=0)*(Quesería!$J$70:$J$89&gt;0)*(E$43&gt;=1)*(E$43&lt;=Quesería!$J$70:$J$89)*(Quesería!$H$70:$H$89&gt;0)*Quesería!$F$70:$F$89*(1+Quesería!$I$70:$I$89)/(Quesería!$J$70:$J$89+(Quesería!$J$70:$J$89=0)))+SUMPRODUCT((Quesería!$C$70:$C$89=0)*(Quesería!$J$70:$J$89=0)*(E$43=0)*(Quesería!$H$70:$H$89&gt;0)*Quesería!$F$70:$F$89*(1+Quesería!$I$70:$I$89)))*$B$305+(SUMPRODUCT((Quesería!$C$70:$C$89=1)*(Quesería!$J$70:$J$89&gt;0)*(E$43&gt;=2)*(E$43&lt;=Quesería!$J$70:$J$89+1)*(Quesería!$H$70:$H$89&gt;0)*Quesería!$F$70:$F$89*(1+Quesería!$I$70:$I$89)/(Quesería!$J$70:$J$89+(Quesería!$J$70:$J$89=0)))+SUMPRODUCT((Quesería!$C$70:$C$89=1)*(Quesería!$J$70:$J$89=0)*(E$43=1)*(Quesería!$H$70:$H$89&gt;0)*Quesería!$F$70:$F$89*(1+Quesería!$I$70:$I$89)))*$C$305*$H$21,IF(AND(E$43&gt;=1,E$43&lt;=Quesería!$B$30),Quesería!$F$92/Quesería!$B$30,0)*$B$305+IF(AND(E$43&gt;=2,E$43&lt;=Quesería!$B$30+1),Quesería!$F$93/Quesería!$B$30,0)*$C$305*$H$21)*$H$11+IF(AND(E$43&gt;=6,E$43&lt;=10),$G309*$G305/5,0)+IF(AND(E$43&gt;=7,E$43&lt;=11),$H309*$H305/5,0))*E307</f>
        <v>145.482364390759</v>
      </c>
      <c r="F317" s="29" t="n">
        <f aca="false">(IF($H$19=1,(SUMPRODUCT((Quesería!$C$70:$C$89=0)*(Quesería!$J$70:$J$89&gt;0)*(F$43&gt;=1)*(F$43&lt;=Quesería!$J$70:$J$89)*(Quesería!$H$70:$H$89&gt;0)*Quesería!$F$70:$F$89*(1+Quesería!$I$70:$I$89)/(Quesería!$J$70:$J$89+(Quesería!$J$70:$J$89=0)))+SUMPRODUCT((Quesería!$C$70:$C$89=0)*(Quesería!$J$70:$J$89=0)*(F$43=0)*(Quesería!$H$70:$H$89&gt;0)*Quesería!$F$70:$F$89*(1+Quesería!$I$70:$I$89)))*$B$305+(SUMPRODUCT((Quesería!$C$70:$C$89=1)*(Quesería!$J$70:$J$89&gt;0)*(F$43&gt;=2)*(F$43&lt;=Quesería!$J$70:$J$89+1)*(Quesería!$H$70:$H$89&gt;0)*Quesería!$F$70:$F$89*(1+Quesería!$I$70:$I$89)/(Quesería!$J$70:$J$89+(Quesería!$J$70:$J$89=0)))+SUMPRODUCT((Quesería!$C$70:$C$89=1)*(Quesería!$J$70:$J$89=0)*(F$43=1)*(Quesería!$H$70:$H$89&gt;0)*Quesería!$F$70:$F$89*(1+Quesería!$I$70:$I$89)))*$C$305*$H$21,IF(AND(F$43&gt;=1,F$43&lt;=Quesería!$B$30),Quesería!$F$92/Quesería!$B$30,0)*$B$305+IF(AND(F$43&gt;=2,F$43&lt;=Quesería!$B$30+1),Quesería!$F$93/Quesería!$B$30,0)*$C$305*$H$21)*$H$11+IF(AND(F$43&gt;=6,F$43&lt;=10),$G309*$G305/5,0)+IF(AND(F$43&gt;=7,F$43&lt;=11),$H309*$H305/5,0))*F307</f>
        <v>139.886888837268</v>
      </c>
      <c r="G317" s="29" t="n">
        <f aca="false">(IF($H$19=1,(SUMPRODUCT((Quesería!$C$70:$C$89=0)*(Quesería!$J$70:$J$89&gt;0)*(G$43&gt;=1)*(G$43&lt;=Quesería!$J$70:$J$89)*(Quesería!$H$70:$H$89&gt;0)*Quesería!$F$70:$F$89*(1+Quesería!$I$70:$I$89)/(Quesería!$J$70:$J$89+(Quesería!$J$70:$J$89=0)))+SUMPRODUCT((Quesería!$C$70:$C$89=0)*(Quesería!$J$70:$J$89=0)*(G$43=0)*(Quesería!$H$70:$H$89&gt;0)*Quesería!$F$70:$F$89*(1+Quesería!$I$70:$I$89)))*$B$305+(SUMPRODUCT((Quesería!$C$70:$C$89=1)*(Quesería!$J$70:$J$89&gt;0)*(G$43&gt;=2)*(G$43&lt;=Quesería!$J$70:$J$89+1)*(Quesería!$H$70:$H$89&gt;0)*Quesería!$F$70:$F$89*(1+Quesería!$I$70:$I$89)/(Quesería!$J$70:$J$89+(Quesería!$J$70:$J$89=0)))+SUMPRODUCT((Quesería!$C$70:$C$89=1)*(Quesería!$J$70:$J$89=0)*(G$43=1)*(Quesería!$H$70:$H$89&gt;0)*Quesería!$F$70:$F$89*(1+Quesería!$I$70:$I$89)))*$C$305*$H$21,IF(AND(G$43&gt;=1,G$43&lt;=Quesería!$B$30),Quesería!$F$92/Quesería!$B$30,0)*$B$305+IF(AND(G$43&gt;=2,G$43&lt;=Quesería!$B$30+1),Quesería!$F$93/Quesería!$B$30,0)*$C$305*$H$21)*$H$11+IF(AND(G$43&gt;=6,G$43&lt;=10),$G309*$G305/5,0)+IF(AND(G$43&gt;=7,G$43&lt;=11),$H309*$H305/5,0))*G307</f>
        <v>134.506623881988</v>
      </c>
      <c r="H317" s="29" t="n">
        <f aca="false">(IF($H$19=1,(SUMPRODUCT((Quesería!$C$70:$C$89=0)*(Quesería!$J$70:$J$89&gt;0)*(H$43&gt;=1)*(H$43&lt;=Quesería!$J$70:$J$89)*(Quesería!$H$70:$H$89&gt;0)*Quesería!$F$70:$F$89*(1+Quesería!$I$70:$I$89)/(Quesería!$J$70:$J$89+(Quesería!$J$70:$J$89=0)))+SUMPRODUCT((Quesería!$C$70:$C$89=0)*(Quesería!$J$70:$J$89=0)*(H$43=0)*(Quesería!$H$70:$H$89&gt;0)*Quesería!$F$70:$F$89*(1+Quesería!$I$70:$I$89)))*$B$305+(SUMPRODUCT((Quesería!$C$70:$C$89=1)*(Quesería!$J$70:$J$89&gt;0)*(H$43&gt;=2)*(H$43&lt;=Quesería!$J$70:$J$89+1)*(Quesería!$H$70:$H$89&gt;0)*Quesería!$F$70:$F$89*(1+Quesería!$I$70:$I$89)/(Quesería!$J$70:$J$89+(Quesería!$J$70:$J$89=0)))+SUMPRODUCT((Quesería!$C$70:$C$89=1)*(Quesería!$J$70:$J$89=0)*(H$43=1)*(Quesería!$H$70:$H$89&gt;0)*Quesería!$F$70:$F$89*(1+Quesería!$I$70:$I$89)))*$C$305*$H$21,IF(AND(H$43&gt;=1,H$43&lt;=Quesería!$B$30),Quesería!$F$92/Quesería!$B$30,0)*$B$305+IF(AND(H$43&gt;=2,H$43&lt;=Quesería!$B$30+1),Quesería!$F$93/Quesería!$B$30,0)*$C$305*$H$21)*$H$11+IF(AND(H$43&gt;=6,H$43&lt;=10),$G309*$G305/5,0)+IF(AND(H$43&gt;=7,H$43&lt;=11),$H309*$H305/5,0))*H307</f>
        <v>122.314670590318</v>
      </c>
      <c r="I317" s="29" t="n">
        <f aca="false">(IF($H$19=1,(SUMPRODUCT((Quesería!$C$70:$C$89=0)*(Quesería!$J$70:$J$89&gt;0)*(I$43&gt;=1)*(I$43&lt;=Quesería!$J$70:$J$89)*(Quesería!$H$70:$H$89&gt;0)*Quesería!$F$70:$F$89*(1+Quesería!$I$70:$I$89)/(Quesería!$J$70:$J$89+(Quesería!$J$70:$J$89=0)))+SUMPRODUCT((Quesería!$C$70:$C$89=0)*(Quesería!$J$70:$J$89=0)*(I$43=0)*(Quesería!$H$70:$H$89&gt;0)*Quesería!$F$70:$F$89*(1+Quesería!$I$70:$I$89)))*$B$305+(SUMPRODUCT((Quesería!$C$70:$C$89=1)*(Quesería!$J$70:$J$89&gt;0)*(I$43&gt;=2)*(I$43&lt;=Quesería!$J$70:$J$89+1)*(Quesería!$H$70:$H$89&gt;0)*Quesería!$F$70:$F$89*(1+Quesería!$I$70:$I$89)/(Quesería!$J$70:$J$89+(Quesería!$J$70:$J$89=0)))+SUMPRODUCT((Quesería!$C$70:$C$89=1)*(Quesería!$J$70:$J$89=0)*(I$43=1)*(Quesería!$H$70:$H$89&gt;0)*Quesería!$F$70:$F$89*(1+Quesería!$I$70:$I$89)))*$C$305*$H$21,IF(AND(I$43&gt;=1,I$43&lt;=Quesería!$B$30),Quesería!$F$92/Quesería!$B$30,0)*$B$305+IF(AND(I$43&gt;=2,I$43&lt;=Quesería!$B$30+1),Quesería!$F$93/Quesería!$B$30,0)*$C$305*$H$21)*$H$11+IF(AND(I$43&gt;=6,I$43&lt;=10),$G309*$G305/5,0)+IF(AND(I$43&gt;=7,I$43&lt;=11),$H309*$H305/5,0))*I307</f>
        <v>126.531251665874</v>
      </c>
      <c r="J317" s="29" t="n">
        <f aca="false">(IF($H$19=1,(SUMPRODUCT((Quesería!$C$70:$C$89=0)*(Quesería!$J$70:$J$89&gt;0)*(J$43&gt;=1)*(J$43&lt;=Quesería!$J$70:$J$89)*(Quesería!$H$70:$H$89&gt;0)*Quesería!$F$70:$F$89*(1+Quesería!$I$70:$I$89)/(Quesería!$J$70:$J$89+(Quesería!$J$70:$J$89=0)))+SUMPRODUCT((Quesería!$C$70:$C$89=0)*(Quesería!$J$70:$J$89=0)*(J$43=0)*(Quesería!$H$70:$H$89&gt;0)*Quesería!$F$70:$F$89*(1+Quesería!$I$70:$I$89)))*$B$305+(SUMPRODUCT((Quesería!$C$70:$C$89=1)*(Quesería!$J$70:$J$89&gt;0)*(J$43&gt;=2)*(J$43&lt;=Quesería!$J$70:$J$89+1)*(Quesería!$H$70:$H$89&gt;0)*Quesería!$F$70:$F$89*(1+Quesería!$I$70:$I$89)/(Quesería!$J$70:$J$89+(Quesería!$J$70:$J$89=0)))+SUMPRODUCT((Quesería!$C$70:$C$89=1)*(Quesería!$J$70:$J$89=0)*(J$43=1)*(Quesería!$H$70:$H$89&gt;0)*Quesería!$F$70:$F$89*(1+Quesería!$I$70:$I$89)))*$C$305*$H$21,IF(AND(J$43&gt;=1,J$43&lt;=Quesería!$B$30),Quesería!$F$92/Quesería!$B$30,0)*$B$305+IF(AND(J$43&gt;=2,J$43&lt;=Quesería!$B$30+1),Quesería!$F$93/Quesería!$B$30,0)*$C$305*$H$21)*$H$11+IF(AND(J$43&gt;=6,J$43&lt;=10),$G309*$G305/5,0)+IF(AND(J$43&gt;=7,J$43&lt;=11),$H309*$H305/5,0))*J307</f>
        <v>121.66466506334</v>
      </c>
      <c r="K317" s="29" t="n">
        <f aca="false">(IF($H$19=1,(SUMPRODUCT((Quesería!$C$70:$C$89=0)*(Quesería!$J$70:$J$89&gt;0)*(K$43&gt;=1)*(K$43&lt;=Quesería!$J$70:$J$89)*(Quesería!$H$70:$H$89&gt;0)*Quesería!$F$70:$F$89*(1+Quesería!$I$70:$I$89)/(Quesería!$J$70:$J$89+(Quesería!$J$70:$J$89=0)))+SUMPRODUCT((Quesería!$C$70:$C$89=0)*(Quesería!$J$70:$J$89=0)*(K$43=0)*(Quesería!$H$70:$H$89&gt;0)*Quesería!$F$70:$F$89*(1+Quesería!$I$70:$I$89)))*$B$305+(SUMPRODUCT((Quesería!$C$70:$C$89=1)*(Quesería!$J$70:$J$89&gt;0)*(K$43&gt;=2)*(K$43&lt;=Quesería!$J$70:$J$89+1)*(Quesería!$H$70:$H$89&gt;0)*Quesería!$F$70:$F$89*(1+Quesería!$I$70:$I$89)/(Quesería!$J$70:$J$89+(Quesería!$J$70:$J$89=0)))+SUMPRODUCT((Quesería!$C$70:$C$89=1)*(Quesería!$J$70:$J$89=0)*(K$43=1)*(Quesería!$H$70:$H$89&gt;0)*Quesería!$F$70:$F$89*(1+Quesería!$I$70:$I$89)))*$C$305*$H$21,IF(AND(K$43&gt;=1,K$43&lt;=Quesería!$B$30),Quesería!$F$92/Quesería!$B$30,0)*$B$305+IF(AND(K$43&gt;=2,K$43&lt;=Quesería!$B$30+1),Quesería!$F$93/Quesería!$B$30,0)*$C$305*$H$21)*$H$11+IF(AND(K$43&gt;=6,K$43&lt;=10),$G309*$G305/5,0)+IF(AND(K$43&gt;=7,K$43&lt;=11),$H309*$H305/5,0))*K307</f>
        <v>116.985254868597</v>
      </c>
      <c r="L317" s="29" t="n">
        <f aca="false">(IF($H$19=1,(SUMPRODUCT((Quesería!$C$70:$C$89=0)*(Quesería!$J$70:$J$89&gt;0)*(L$43&gt;=1)*(L$43&lt;=Quesería!$J$70:$J$89)*(Quesería!$H$70:$H$89&gt;0)*Quesería!$F$70:$F$89*(1+Quesería!$I$70:$I$89)/(Quesería!$J$70:$J$89+(Quesería!$J$70:$J$89=0)))+SUMPRODUCT((Quesería!$C$70:$C$89=0)*(Quesería!$J$70:$J$89=0)*(L$43=0)*(Quesería!$H$70:$H$89&gt;0)*Quesería!$F$70:$F$89*(1+Quesería!$I$70:$I$89)))*$B$305+(SUMPRODUCT((Quesería!$C$70:$C$89=1)*(Quesería!$J$70:$J$89&gt;0)*(L$43&gt;=2)*(L$43&lt;=Quesería!$J$70:$J$89+1)*(Quesería!$H$70:$H$89&gt;0)*Quesería!$F$70:$F$89*(1+Quesería!$I$70:$I$89)/(Quesería!$J$70:$J$89+(Quesería!$J$70:$J$89=0)))+SUMPRODUCT((Quesería!$C$70:$C$89=1)*(Quesería!$J$70:$J$89=0)*(L$43=1)*(Quesería!$H$70:$H$89&gt;0)*Quesería!$F$70:$F$89*(1+Quesería!$I$70:$I$89)))*$C$305*$H$21,IF(AND(L$43&gt;=1,L$43&lt;=Quesería!$B$30),Quesería!$F$92/Quesería!$B$30,0)*$B$305+IF(AND(L$43&gt;=2,L$43&lt;=Quesería!$B$30+1),Quesería!$F$93/Quesería!$B$30,0)*$C$305*$H$21)*$H$11+IF(AND(L$43&gt;=6,L$43&lt;=10),$G309*$G305/5,0)+IF(AND(L$43&gt;=7,L$43&lt;=11),$H309*$H305/5,0))*L307</f>
        <v>112.485821989035</v>
      </c>
    </row>
    <row r="318" customFormat="false" ht="15" hidden="true" customHeight="false" outlineLevel="1" collapsed="false">
      <c r="A318" s="9" t="s">
        <v>416</v>
      </c>
      <c r="B318" s="58" t="n">
        <f aca="false">IF(B$43=1,MIN($H$7*Quesería!$B$56*Quesería!$F$86*$H$11*$H$21,Quesería!$B$57*Quesería!$B$58),0)</f>
        <v>0</v>
      </c>
      <c r="C318" s="58" t="n">
        <f aca="false">IF(C$43=1,MIN($H$7*Quesería!$B$56*Quesería!$F$86*$H$11*$H$21,Quesería!$B$57*Quesería!$B$58),0)</f>
        <v>20</v>
      </c>
      <c r="D318" s="58" t="n">
        <f aca="false">IF(D$43=1,MIN($H$7*Quesería!$B$56*Quesería!$F$86*$H$11*$H$21,Quesería!$B$57*Quesería!$B$58),0)</f>
        <v>0</v>
      </c>
      <c r="E318" s="58" t="n">
        <f aca="false">IF(E$43=1,MIN($H$7*Quesería!$B$56*Quesería!$F$86*$H$11*$H$21,Quesería!$B$57*Quesería!$B$58),0)</f>
        <v>0</v>
      </c>
      <c r="F318" s="58" t="n">
        <f aca="false">IF(F$43=1,MIN($H$7*Quesería!$B$56*Quesería!$F$86*$H$11*$H$21,Quesería!$B$57*Quesería!$B$58),0)</f>
        <v>0</v>
      </c>
      <c r="G318" s="58" t="n">
        <f aca="false">IF(G$43=1,MIN($H$7*Quesería!$B$56*Quesería!$F$86*$H$11*$H$21,Quesería!$B$57*Quesería!$B$58),0)</f>
        <v>0</v>
      </c>
      <c r="H318" s="58" t="n">
        <f aca="false">IF(H$43=1,MIN($H$7*Quesería!$B$56*Quesería!$F$86*$H$11*$H$21,Quesería!$B$57*Quesería!$B$58),0)</f>
        <v>0</v>
      </c>
      <c r="I318" s="58" t="n">
        <f aca="false">IF(I$43=1,MIN($H$7*Quesería!$B$56*Quesería!$F$86*$H$11*$H$21,Quesería!$B$57*Quesería!$B$58),0)</f>
        <v>0</v>
      </c>
      <c r="J318" s="58" t="n">
        <f aca="false">IF(J$43=1,MIN($H$7*Quesería!$B$56*Quesería!$F$86*$H$11*$H$21,Quesería!$B$57*Quesería!$B$58),0)</f>
        <v>0</v>
      </c>
      <c r="K318" s="58" t="n">
        <f aca="false">IF(K$43=1,MIN($H$7*Quesería!$B$56*Quesería!$F$86*$H$11*$H$21,Quesería!$B$57*Quesería!$B$58),0)</f>
        <v>0</v>
      </c>
      <c r="L318" s="58" t="n">
        <f aca="false">IF(L$43=1,MIN($H$7*Quesería!$B$56*Quesería!$F$86*$H$11*$H$21,Quesería!$B$57*Quesería!$B$58),0)</f>
        <v>0</v>
      </c>
    </row>
    <row r="319" customFormat="false" ht="15" hidden="true" customHeight="false" outlineLevel="1" collapsed="false">
      <c r="A319" s="9" t="s">
        <v>417</v>
      </c>
      <c r="B319" s="58" t="n">
        <v>0</v>
      </c>
      <c r="C319" s="58" t="n">
        <f aca="false">$H$20*Quesería!$B$60*Quesería!$F$98*$H$11*$B$305/C305/2</f>
        <v>138.12868344741</v>
      </c>
      <c r="D319" s="58" t="n">
        <f aca="false">$H$20*Quesería!$B$60*Quesería!$F$98*$H$11*$B$305/D305/2</f>
        <v>132.18055832288</v>
      </c>
      <c r="E319" s="58" t="n">
        <v>0</v>
      </c>
      <c r="F319" s="58" t="n">
        <v>0</v>
      </c>
      <c r="G319" s="58" t="n">
        <v>0</v>
      </c>
      <c r="H319" s="58" t="n">
        <v>0</v>
      </c>
      <c r="I319" s="58" t="n">
        <v>0</v>
      </c>
      <c r="J319" s="58" t="n">
        <v>0</v>
      </c>
      <c r="K319" s="58" t="n">
        <v>0</v>
      </c>
      <c r="L319" s="58" t="n">
        <v>0</v>
      </c>
    </row>
    <row r="320" customFormat="false" ht="15" hidden="true" customHeight="false" outlineLevel="1" collapsed="false">
      <c r="A320" s="9" t="s">
        <v>418</v>
      </c>
      <c r="B320" s="58" t="n">
        <f aca="false">0</f>
        <v>0</v>
      </c>
      <c r="C320" s="58" t="n">
        <f aca="false">B310*B305/C305</f>
        <v>142.014925295407</v>
      </c>
      <c r="D320" s="58" t="n">
        <f aca="false">C310*C305/D305</f>
        <v>137.903466668091</v>
      </c>
      <c r="E320" s="58" t="n">
        <f aca="false">D310*D305/E305</f>
        <v>0</v>
      </c>
      <c r="F320" s="58" t="n">
        <f aca="false">E310*E305/F305</f>
        <v>0</v>
      </c>
      <c r="G320" s="58" t="n">
        <f aca="false">F310*F305/G305</f>
        <v>0</v>
      </c>
      <c r="H320" s="58" t="n">
        <f aca="false">G310*G305/H305</f>
        <v>5.01768392412113</v>
      </c>
      <c r="I320" s="58" t="n">
        <f aca="false">H310*H305/I305</f>
        <v>8.47494190873221</v>
      </c>
      <c r="J320" s="58" t="n">
        <f aca="false">I310*I305/J305</f>
        <v>0</v>
      </c>
      <c r="K320" s="58" t="n">
        <f aca="false">J310*J305/K305</f>
        <v>0</v>
      </c>
      <c r="L320" s="58" t="n">
        <f aca="false">K310*K305/L305</f>
        <v>0</v>
      </c>
    </row>
    <row r="321" customFormat="false" ht="15" hidden="true" customHeight="false" outlineLevel="1" collapsed="false">
      <c r="A321" s="6" t="s">
        <v>295</v>
      </c>
      <c r="B321" s="29" t="n">
        <f aca="false">$H$17*(B313-B314-B315-0.5*B316-B317)-B318-B319-B320</f>
        <v>-1.14821718874887</v>
      </c>
      <c r="C321" s="29" t="n">
        <f aca="false">$H$17*(C313-C314-C315-0.5*C316-C317)-C318-C319-C320</f>
        <v>-274.666067414075</v>
      </c>
      <c r="D321" s="29" t="n">
        <f aca="false">$H$17*(D313-D314-D315-0.5*D316-D317)-D318-D319-D320</f>
        <v>-156.333006458804</v>
      </c>
      <c r="E321" s="29" t="n">
        <f aca="false">$H$17*(E313-E314-E315-0.5*E316-E317)-E318-E319-E320</f>
        <v>142.592502251948</v>
      </c>
      <c r="F321" s="29" t="n">
        <f aca="false">$H$17*(F313-F314-F315-0.5*F316-F317)-F318-F319-F320</f>
        <v>144.680787330553</v>
      </c>
      <c r="G321" s="29" t="n">
        <f aca="false">$H$17*(G313-G314-G315-0.5*G316-G317)-G318-G319-G320</f>
        <v>146.671519516973</v>
      </c>
      <c r="H321" s="29" t="n">
        <f aca="false">$H$17*(H313-H314-H315-0.5*H316-H317)-H318-H319-H320</f>
        <v>146.036426172162</v>
      </c>
      <c r="I321" s="29" t="n">
        <f aca="false">$H$17*(I313-I314-I315-0.5*I316-I317)-I318-I319-I320</f>
        <v>141.273833398601</v>
      </c>
      <c r="J321" s="29" t="n">
        <f aca="false">$H$17*(J313-J314-J315-0.5*J316-J317)-J318-J319-J320</f>
        <v>151.584566171112</v>
      </c>
      <c r="K321" s="29" t="n">
        <f aca="false">$H$17*(K313-K314-K315-0.5*K316-K317)-K318-K319-K320</f>
        <v>153.355507719928</v>
      </c>
      <c r="L321" s="29" t="n">
        <f aca="false">$H$17*(L313-L314-L315-0.5*L316-L317)-L318-L319-L320</f>
        <v>155.064122948334</v>
      </c>
    </row>
    <row r="322" customFormat="false" ht="15" hidden="true" customHeight="false" outlineLevel="1" collapsed="false">
      <c r="A322" s="9" t="s">
        <v>419</v>
      </c>
      <c r="B322" s="58" t="n">
        <f aca="false">(IF(B$43&gt;=1,Quesería!$G$123*IF(B$43=1,Quesería!$B$20,1),Quesería!$G$123*Quesería!$B$20*Quesería!$B$21/12*$H$23)+IF(B$43&gt;=2,Quesería!$G$124*$H$21*IF(B$43=2,Quesería!$B$20,1),0))*$H$10</f>
        <v>92.8851444194243</v>
      </c>
      <c r="C322" s="58" t="n">
        <f aca="false">(IF(C$43&gt;=1,Quesería!$G$123*IF(C$43=1,Quesería!$B$20,1),Quesería!$G$123*Quesería!$B$20*Quesería!$B$21/12*$H$23)+IF(C$43&gt;=2,Quesería!$G$124*$H$21*IF(C$43=2,Quesería!$B$20,1),0))*$H$10</f>
        <v>139.327716629136</v>
      </c>
      <c r="D322" s="58" t="n">
        <f aca="false">(IF(D$43&gt;=1,Quesería!$G$123*IF(D$43=1,Quesería!$B$20,1),Quesería!$G$123*Quesería!$B$20*Quesería!$B$21/12*$H$23)+IF(D$43&gt;=2,Quesería!$G$124*$H$21*IF(D$43=2,Quesería!$B$20,1),0))*$H$10</f>
        <v>356.50831224335</v>
      </c>
      <c r="E322" s="58" t="n">
        <f aca="false">(IF(E$43&gt;=1,Quesería!$G$123*IF(E$43=1,Quesería!$B$20,1),Quesería!$G$123*Quesería!$B$20*Quesería!$B$21/12*$H$23)+IF(E$43&gt;=2,Quesería!$G$124*$H$21*IF(E$43=2,Quesería!$B$20,1),0))*$H$10</f>
        <v>413.420986711517</v>
      </c>
      <c r="F322" s="58" t="n">
        <f aca="false">(IF(F$43&gt;=1,Quesería!$G$123*IF(F$43=1,Quesería!$B$20,1),Quesería!$G$123*Quesería!$B$20*Quesería!$B$21/12*$H$23)+IF(F$43&gt;=2,Quesería!$G$124*$H$21*IF(F$43=2,Quesería!$B$20,1),0))*$H$10</f>
        <v>413.420986711517</v>
      </c>
      <c r="G322" s="58" t="n">
        <f aca="false">(IF(G$43&gt;=1,Quesería!$G$123*IF(G$43=1,Quesería!$B$20,1),Quesería!$G$123*Quesería!$B$20*Quesería!$B$21/12*$H$23)+IF(G$43&gt;=2,Quesería!$G$124*$H$21*IF(G$43=2,Quesería!$B$20,1),0))*$H$10</f>
        <v>413.420986711517</v>
      </c>
      <c r="H322" s="58" t="n">
        <f aca="false">(IF(H$43&gt;=1,Quesería!$G$123*IF(H$43=1,Quesería!$B$20,1),Quesería!$G$123*Quesería!$B$20*Quesería!$B$21/12*$H$23)+IF(H$43&gt;=2,Quesería!$G$124*$H$21*IF(H$43=2,Quesería!$B$20,1),0))*$H$10</f>
        <v>413.420986711517</v>
      </c>
      <c r="I322" s="58" t="n">
        <f aca="false">(IF(I$43&gt;=1,Quesería!$G$123*IF(I$43=1,Quesería!$B$20,1),Quesería!$G$123*Quesería!$B$20*Quesería!$B$21/12*$H$23)+IF(I$43&gt;=2,Quesería!$G$124*$H$21*IF(I$43=2,Quesería!$B$20,1),0))*$H$10</f>
        <v>413.420986711517</v>
      </c>
      <c r="J322" s="58" t="n">
        <f aca="false">(IF(J$43&gt;=1,Quesería!$G$123*IF(J$43=1,Quesería!$B$20,1),Quesería!$G$123*Quesería!$B$20*Quesería!$B$21/12*$H$23)+IF(J$43&gt;=2,Quesería!$G$124*$H$21*IF(J$43=2,Quesería!$B$20,1),0))*$H$10</f>
        <v>413.420986711517</v>
      </c>
      <c r="K322" s="58" t="n">
        <f aca="false">(IF(K$43&gt;=1,Quesería!$G$123*IF(K$43=1,Quesería!$B$20,1),Quesería!$G$123*Quesería!$B$20*Quesería!$B$21/12*$H$23)+IF(K$43&gt;=2,Quesería!$G$124*$H$21*IF(K$43=2,Quesería!$B$20,1),0))*$H$10</f>
        <v>413.420986711517</v>
      </c>
      <c r="L322" s="58" t="n">
        <f aca="false">(IF(L$43&gt;=1,Quesería!$G$123*IF(L$43=1,Quesería!$B$20,1),Quesería!$G$123*Quesería!$B$20*Quesería!$B$21/12*$H$23)+IF(L$43&gt;=2,Quesería!$G$124*$H$21*IF(L$43=2,Quesería!$B$20,1),0))*$H$10</f>
        <v>413.420986711517</v>
      </c>
    </row>
    <row r="323" customFormat="false" ht="15" hidden="true" customHeight="false" outlineLevel="1" collapsed="false">
      <c r="A323" s="6" t="s">
        <v>420</v>
      </c>
      <c r="B323" s="29" t="n">
        <f aca="false">(B322*(Quesería!$B$38+Quesería!$B$40*Quesería!$B$39)/365-B314*Quesería!$B$42/365)</f>
        <v>8.67776280740375</v>
      </c>
      <c r="C323" s="29" t="n">
        <f aca="false">(C322*(Quesería!$B$38+Quesería!$B$40*Quesería!$B$39)/365-C314*Quesería!$B$42/365)-(B322*(Quesería!$B$38+Quesería!$B$40*Quesería!$B$39)/365-B314*Quesería!$B$42/365)*B305/C305</f>
        <v>2.21489650001792</v>
      </c>
      <c r="D323" s="29" t="n">
        <f aca="false">(D322*(Quesería!$B$38+Quesería!$B$40*Quesería!$B$39)/365-D314*Quesería!$B$42/365)-(C322*(Quesería!$B$38+Quesería!$B$40*Quesería!$B$39)/365-C314*Quesería!$B$42/365)*C305/D305</f>
        <v>17.4956214265473</v>
      </c>
      <c r="E323" s="29" t="n">
        <f aca="false">(E322*(Quesería!$B$38+Quesería!$B$40*Quesería!$B$39)/365-E314*Quesería!$B$42/365)-(D322*(Quesería!$B$38+Quesería!$B$40*Quesería!$B$39)/365-D314*Quesería!$B$42/365)*D305/E305</f>
        <v>6.37565429481896</v>
      </c>
      <c r="F323" s="29" t="n">
        <f aca="false">(F322*(Quesería!$B$38+Quesería!$B$40*Quesería!$B$39)/365-F314*Quesería!$B$42/365)-(E322*(Quesería!$B$38+Quesería!$B$40*Quesería!$B$39)/365-E314*Quesería!$B$42/365)*E305/F305</f>
        <v>1.26310898563957</v>
      </c>
      <c r="G323" s="29" t="n">
        <f aca="false">(G322*(Quesería!$B$38+Quesería!$B$40*Quesería!$B$39)/365-G314*Quesería!$B$42/365)-(F322*(Quesería!$B$38+Quesería!$B$40*Quesería!$B$39)/365-F314*Quesería!$B$42/365)*F305/G305</f>
        <v>1.26310898563957</v>
      </c>
      <c r="H323" s="29" t="n">
        <f aca="false">(H322*(Quesería!$B$38+Quesería!$B$40*Quesería!$B$39)/365-H314*Quesería!$B$42/365)-(G322*(Quesería!$B$38+Quesería!$B$40*Quesería!$B$39)/365-G314*Quesería!$B$42/365)*G305/H305</f>
        <v>1.26310898563958</v>
      </c>
      <c r="I323" s="29" t="n">
        <f aca="false">(I322*(Quesería!$B$38+Quesería!$B$40*Quesería!$B$39)/365-I314*Quesería!$B$42/365)-(H322*(Quesería!$B$38+Quesería!$B$40*Quesería!$B$39)/365-H314*Quesería!$B$42/365)*H305/I305</f>
        <v>1.26310898563957</v>
      </c>
      <c r="J323" s="29" t="n">
        <f aca="false">(J322*(Quesería!$B$38+Quesería!$B$40*Quesería!$B$39)/365-J314*Quesería!$B$42/365)-(I322*(Quesería!$B$38+Quesería!$B$40*Quesería!$B$39)/365-I314*Quesería!$B$42/365)*I305/J305</f>
        <v>1.26310898563957</v>
      </c>
      <c r="K323" s="29" t="n">
        <f aca="false">(K322*(Quesería!$B$38+Quesería!$B$40*Quesería!$B$39)/365-K314*Quesería!$B$42/365)-(J322*(Quesería!$B$38+Quesería!$B$40*Quesería!$B$39)/365-J314*Quesería!$B$42/365)*J305/K305</f>
        <v>1.26310898563958</v>
      </c>
      <c r="L323" s="29" t="n">
        <f aca="false">-(K322*(Quesería!$B$38+Quesería!$B$40*Quesería!$B$39)/365-K314*Quesería!$B$42/365)*K305/L305</f>
        <v>-31.5777246409893</v>
      </c>
    </row>
    <row r="324" customFormat="false" ht="15" hidden="true" customHeight="false" outlineLevel="1" collapsed="false">
      <c r="A324" s="6" t="s">
        <v>421</v>
      </c>
      <c r="B324" s="29" t="n">
        <v>0</v>
      </c>
      <c r="C324" s="29" t="n">
        <v>0</v>
      </c>
      <c r="D324" s="29" t="n">
        <v>0</v>
      </c>
      <c r="E324" s="29" t="n">
        <v>0</v>
      </c>
      <c r="F324" s="29" t="n">
        <v>0</v>
      </c>
      <c r="G324" s="29" t="n">
        <v>0</v>
      </c>
      <c r="H324" s="29" t="n">
        <v>0</v>
      </c>
      <c r="I324" s="29" t="n">
        <v>0</v>
      </c>
      <c r="J324" s="29" t="n">
        <v>0</v>
      </c>
      <c r="K324" s="29" t="n">
        <v>0</v>
      </c>
      <c r="L324" s="29" t="n">
        <f aca="false">$H$8*Quesería!$B$36*(Quesería!$F$94+Quesería!$F$95*$H$21)*$H$11*(1-$H$17)</f>
        <v>67.1237725584543</v>
      </c>
    </row>
    <row r="325" customFormat="false" ht="15" hidden="true" customHeight="false" outlineLevel="1" collapsed="false">
      <c r="A325" s="5" t="s">
        <v>147</v>
      </c>
      <c r="B325" s="59" t="n">
        <f aca="false">B313-B314-B315-B316-B321-B308-B309-B310-B323+B324</f>
        <v>-946.904993541033</v>
      </c>
      <c r="C325" s="59" t="n">
        <f aca="false">C313-C314-C315-C316-C321-C308-C309-C310-C323+C324</f>
        <v>-476.997095229218</v>
      </c>
      <c r="D325" s="59" t="n">
        <f aca="false">D313-D314-D315-D316-D321-D308-D309-D310-D323+D324</f>
        <v>614.950067602082</v>
      </c>
      <c r="E325" s="59" t="n">
        <f aca="false">E313-E314-E315-E316-E321-E308-E309-E310-E323+E324</f>
        <v>403.729470646804</v>
      </c>
      <c r="F325" s="59" t="n">
        <f aca="false">F313-F314-F315-F316-F321-F308-F309-F310-F323+F324</f>
        <v>407.124784119902</v>
      </c>
      <c r="G325" s="59" t="n">
        <f aca="false">G313-G314-G315-G316-G321-G308-G309-G310-G323+G324</f>
        <v>372.692617458058</v>
      </c>
      <c r="H325" s="59" t="n">
        <f aca="false">H313-H314-H315-H316-H321-H308-H309-H310-H323+H324</f>
        <v>351.092919161087</v>
      </c>
      <c r="I325" s="59" t="n">
        <f aca="false">I313-I314-I315-I316-I321-I308-I309-I310-I323+I324</f>
        <v>411.656066528404</v>
      </c>
      <c r="J325" s="59" t="n">
        <f aca="false">J313-J314-J315-J316-J321-J308-J309-J310-J323+J324</f>
        <v>401.723863907012</v>
      </c>
      <c r="K325" s="59" t="n">
        <f aca="false">K313-K314-K315-K316-K321-K308-K309-K310-K323+K324</f>
        <v>400.33334516007</v>
      </c>
      <c r="L325" s="59" t="n">
        <f aca="false">L313-L314-L315-L316-L321-L308-L309-L310-L323+L324</f>
        <v>498.971661032631</v>
      </c>
    </row>
    <row r="326" customFormat="false" ht="15" hidden="true" customHeight="false" outlineLevel="1" collapsed="false">
      <c r="A326" s="9" t="s">
        <v>422</v>
      </c>
      <c r="B326" s="58" t="n">
        <f aca="false">B325*B305</f>
        <v>-1003.7192931535</v>
      </c>
      <c r="C326" s="58" t="n">
        <f aca="false">C325*C305</f>
        <v>-530.89776699012</v>
      </c>
      <c r="D326" s="58" t="n">
        <f aca="false">D325*D305</f>
        <v>715.239199376968</v>
      </c>
      <c r="E326" s="58" t="n">
        <f aca="false">E325*E305</f>
        <v>488.354559021928</v>
      </c>
      <c r="F326" s="58" t="n">
        <f aca="false">F325*F305</f>
        <v>512.160021068405</v>
      </c>
      <c r="G326" s="58" t="n">
        <f aca="false">G325*G305</f>
        <v>487.598389743986</v>
      </c>
      <c r="H326" s="58" t="n">
        <f aca="false">H325*H305</f>
        <v>477.712805070082</v>
      </c>
      <c r="I326" s="58" t="n">
        <f aca="false">I325*I305</f>
        <v>582.522455094515</v>
      </c>
      <c r="J326" s="58" t="n">
        <f aca="false">J325*J305</f>
        <v>591.206393202276</v>
      </c>
      <c r="K326" s="58" t="n">
        <f aca="false">K325*K305</f>
        <v>612.726403653457</v>
      </c>
      <c r="L326" s="58" t="n">
        <f aca="false">L325*L305</f>
        <v>794.244195966144</v>
      </c>
    </row>
    <row r="327" customFormat="false" ht="15" hidden="true" customHeight="false" outlineLevel="1" collapsed="false">
      <c r="A327" s="6" t="s">
        <v>423</v>
      </c>
      <c r="B327" s="29" t="n">
        <f aca="false">B325</f>
        <v>-946.904993541033</v>
      </c>
      <c r="C327" s="29" t="n">
        <f aca="false">B327+C325</f>
        <v>-1423.90208877025</v>
      </c>
      <c r="D327" s="29" t="n">
        <f aca="false">C327+D325</f>
        <v>-808.952021168169</v>
      </c>
      <c r="E327" s="29" t="n">
        <f aca="false">D327+E325</f>
        <v>-405.222550521365</v>
      </c>
      <c r="F327" s="29" t="n">
        <f aca="false">E327+F325</f>
        <v>1.90223359853673</v>
      </c>
      <c r="G327" s="29" t="n">
        <f aca="false">F327+G325</f>
        <v>374.594851056594</v>
      </c>
      <c r="H327" s="29" t="n">
        <f aca="false">G327+H325</f>
        <v>725.687770217681</v>
      </c>
      <c r="I327" s="29" t="n">
        <f aca="false">H327+I325</f>
        <v>1137.34383674609</v>
      </c>
      <c r="J327" s="29" t="n">
        <f aca="false">I327+J325</f>
        <v>1539.0677006531</v>
      </c>
      <c r="K327" s="29" t="n">
        <f aca="false">J327+K325</f>
        <v>1939.40104581317</v>
      </c>
      <c r="L327" s="29" t="n">
        <f aca="false">K327+L325</f>
        <v>2438.3727068458</v>
      </c>
    </row>
    <row r="328" customFormat="false" ht="15" hidden="true" customHeight="false" outlineLevel="1" collapsed="false">
      <c r="A328" s="9" t="s">
        <v>424</v>
      </c>
      <c r="B328" s="60" t="n">
        <v>0</v>
      </c>
      <c r="C328" s="60" t="n">
        <f aca="false">IF(AND(B327&lt;0,C327&gt;=0),B$43+(-B327)/C325,0)</f>
        <v>0</v>
      </c>
      <c r="D328" s="60" t="n">
        <f aca="false">IF(AND(C327&lt;0,D327&gt;=0),C$43+(-C327)/D325,0)</f>
        <v>0</v>
      </c>
      <c r="E328" s="60" t="n">
        <f aca="false">IF(AND(D327&lt;0,E327&gt;=0),D$43+(-D327)/E325,0)</f>
        <v>0</v>
      </c>
      <c r="F328" s="60" t="n">
        <f aca="false">IF(AND(E327&lt;0,F327&gt;=0),E$43+(-E327)/F325,0)</f>
        <v>3.99532763989633</v>
      </c>
      <c r="G328" s="60" t="n">
        <f aca="false">IF(AND(F327&lt;0,G327&gt;=0),F$43+(-F327)/G325,0)</f>
        <v>0</v>
      </c>
      <c r="H328" s="60" t="n">
        <f aca="false">IF(AND(G327&lt;0,H327&gt;=0),G$43+(-G327)/H325,0)</f>
        <v>0</v>
      </c>
      <c r="I328" s="60" t="n">
        <f aca="false">IF(AND(H327&lt;0,I327&gt;=0),H$43+(-H327)/I325,0)</f>
        <v>0</v>
      </c>
      <c r="J328" s="60" t="n">
        <f aca="false">IF(AND(I327&lt;0,J327&gt;=0),I$43+(-I327)/J325,0)</f>
        <v>0</v>
      </c>
      <c r="K328" s="60" t="n">
        <f aca="false">IF(AND(J327&lt;0,K327&gt;=0),J$43+(-J327)/K325,0)</f>
        <v>0</v>
      </c>
      <c r="L328" s="60" t="n">
        <f aca="false">IF(AND(K327&lt;0,L327&gt;=0),K$43+(-K327)/L325,0)</f>
        <v>0</v>
      </c>
    </row>
    <row r="329" customFormat="false" ht="15" hidden="true" customHeight="false" outlineLevel="1" collapsed="false">
      <c r="A329" s="9" t="s">
        <v>425</v>
      </c>
      <c r="B329" s="57" t="n">
        <f aca="false">(B305/$B$305)/(1+$H$25)^B$43</f>
        <v>1</v>
      </c>
      <c r="C329" s="57" t="n">
        <f aca="false">(C305/$B$305)/(1+$H$25)^C$43</f>
        <v>0.915373701313561</v>
      </c>
      <c r="D329" s="57" t="n">
        <f aca="false">(D305/$B$305)/(1+$H$25)^D$43</f>
        <v>0.833918970137172</v>
      </c>
      <c r="E329" s="57" t="n">
        <f aca="false">(E305/$B$305)/(1+$H$25)^E$43</f>
        <v>0.756077518153961</v>
      </c>
      <c r="F329" s="57" t="n">
        <f aca="false">(F305/$B$305)/(1+$H$25)^F$43</f>
        <v>0.685502109831871</v>
      </c>
      <c r="G329" s="57" t="n">
        <f aca="false">(G305/$B$305)/(1+$H$25)^G$43</f>
        <v>0.621514502549008</v>
      </c>
      <c r="H329" s="57" t="n">
        <f aca="false">(H305/$B$305)/(1+$H$25)^H$43</f>
        <v>0.563499763660072</v>
      </c>
      <c r="I329" s="57" t="n">
        <f aca="false">(I305/$B$305)/(1+$H$25)^I$43</f>
        <v>0.510900360880829</v>
      </c>
      <c r="J329" s="57" t="n">
        <f aca="false">(J305/$B$305)/(1+$H$25)^J$43</f>
        <v>0.463210804300567</v>
      </c>
      <c r="K329" s="57" t="n">
        <f aca="false">(K305/$B$305)/(1+$H$25)^K$43</f>
        <v>0.419972788531318</v>
      </c>
      <c r="L329" s="57" t="n">
        <f aca="false">(L305/$B$305)/(1+$H$25)^L$43</f>
        <v>0.380770788308996</v>
      </c>
    </row>
    <row r="330" customFormat="false" ht="15" hidden="true" customHeight="false" outlineLevel="1" collapsed="false">
      <c r="A330" s="9" t="s">
        <v>426</v>
      </c>
      <c r="B330" s="58" t="n">
        <f aca="false">B325*B329</f>
        <v>-946.904993541033</v>
      </c>
      <c r="C330" s="58" t="n">
        <f aca="false">C325*C329</f>
        <v>-436.630596575787</v>
      </c>
      <c r="D330" s="58" t="n">
        <f aca="false">D325*D329</f>
        <v>512.818527060513</v>
      </c>
      <c r="E330" s="58" t="n">
        <f aca="false">E325*E329</f>
        <v>305.250776172248</v>
      </c>
      <c r="F330" s="58" t="n">
        <f aca="false">F325*F329</f>
        <v>279.084898479038</v>
      </c>
      <c r="G330" s="58" t="n">
        <f aca="false">G325*G329</f>
        <v>231.633866743132</v>
      </c>
      <c r="H330" s="58" t="n">
        <f aca="false">H325*H329</f>
        <v>197.840776969997</v>
      </c>
      <c r="I330" s="58" t="n">
        <f aca="false">I325*I329</f>
        <v>210.315232948144</v>
      </c>
      <c r="J330" s="58" t="n">
        <f aca="false">J325*J329</f>
        <v>186.082834107099</v>
      </c>
      <c r="K330" s="58" t="n">
        <f aca="false">K325*K329</f>
        <v>168.129111308945</v>
      </c>
      <c r="L330" s="58" t="n">
        <f aca="false">L325*L329</f>
        <v>189.993832715244</v>
      </c>
    </row>
    <row r="331" customFormat="false" ht="15" hidden="true" customHeight="false" outlineLevel="1" collapsed="false">
      <c r="A331" s="9" t="s">
        <v>427</v>
      </c>
      <c r="B331" s="58" t="n">
        <f aca="false">B330</f>
        <v>-946.904993541033</v>
      </c>
      <c r="C331" s="58" t="n">
        <f aca="false">B331+C330</f>
        <v>-1383.53559011682</v>
      </c>
      <c r="D331" s="58" t="n">
        <f aca="false">C331+D330</f>
        <v>-870.717063056307</v>
      </c>
      <c r="E331" s="58" t="n">
        <f aca="false">D331+E330</f>
        <v>-565.466286884059</v>
      </c>
      <c r="F331" s="58" t="n">
        <f aca="false">E331+F330</f>
        <v>-286.381388405021</v>
      </c>
      <c r="G331" s="58" t="n">
        <f aca="false">F331+G330</f>
        <v>-54.7475216618887</v>
      </c>
      <c r="H331" s="58" t="n">
        <f aca="false">G331+H330</f>
        <v>143.093255308108</v>
      </c>
      <c r="I331" s="58" t="n">
        <f aca="false">H331+I330</f>
        <v>353.408488256253</v>
      </c>
      <c r="J331" s="58" t="n">
        <f aca="false">I331+J330</f>
        <v>539.491322363351</v>
      </c>
      <c r="K331" s="58" t="n">
        <f aca="false">J331+K330</f>
        <v>707.620433672297</v>
      </c>
      <c r="L331" s="58" t="n">
        <f aca="false">K331+L330</f>
        <v>897.61426638754</v>
      </c>
    </row>
    <row r="332" customFormat="false" ht="15" hidden="true" customHeight="false" outlineLevel="1" collapsed="false">
      <c r="A332" s="9" t="s">
        <v>428</v>
      </c>
      <c r="B332" s="60" t="n">
        <v>0</v>
      </c>
      <c r="C332" s="60" t="n">
        <f aca="false">IF(AND(B331&lt;0,C331&gt;=0),B$43+(-B331)/C330,0)</f>
        <v>0</v>
      </c>
      <c r="D332" s="60" t="n">
        <f aca="false">IF(AND(C331&lt;0,D331&gt;=0),C$43+(-C331)/D330,0)</f>
        <v>0</v>
      </c>
      <c r="E332" s="60" t="n">
        <f aca="false">IF(AND(D331&lt;0,E331&gt;=0),D$43+(-D331)/E330,0)</f>
        <v>0</v>
      </c>
      <c r="F332" s="60" t="n">
        <f aca="false">IF(AND(E331&lt;0,F331&gt;=0),E$43+(-E331)/F330,0)</f>
        <v>0</v>
      </c>
      <c r="G332" s="60" t="n">
        <f aca="false">IF(AND(F331&lt;0,G331&gt;=0),F$43+(-F331)/G330,0)</f>
        <v>0</v>
      </c>
      <c r="H332" s="60" t="n">
        <f aca="false">IF(AND(G331&lt;0,H331&gt;=0),G$43+(-G331)/H330,0)</f>
        <v>5.2767251650563</v>
      </c>
      <c r="I332" s="60" t="n">
        <f aca="false">IF(AND(H331&lt;0,I331&gt;=0),H$43+(-H331)/I330,0)</f>
        <v>0</v>
      </c>
      <c r="J332" s="60" t="n">
        <f aca="false">IF(AND(I331&lt;0,J331&gt;=0),I$43+(-I331)/J330,0)</f>
        <v>0</v>
      </c>
      <c r="K332" s="60" t="n">
        <f aca="false">IF(AND(J331&lt;0,K331&gt;=0),J$43+(-J331)/K330,0)</f>
        <v>0</v>
      </c>
      <c r="L332" s="60" t="n">
        <f aca="false">IF(AND(K331&lt;0,L331&gt;=0),K$43+(-K331)/L330,0)</f>
        <v>0</v>
      </c>
    </row>
    <row r="333" customFormat="false" ht="15" hidden="true" customHeight="false" outlineLevel="1" collapsed="false">
      <c r="A333" s="9" t="s">
        <v>429</v>
      </c>
      <c r="B333" s="58" t="n">
        <f aca="false">IF(B$43&lt;0,0,(Quesería!$B$44*$B$308*$B$305)*(1-MAX(0,MIN(B$43-0-Quesería!$B$47,(Quesería!$B$46-Quesería!$B$47)))/(Quesería!$B$46-Quesería!$B$47))*IF(B$43&gt;=2,1-Quesería!$B$48,1))+IF(B$43&lt;1,0,(Quesería!$B$44*$C$308*$C$305)*(1-MAX(0,MIN(B$43-1-Quesería!$B$47,(Quesería!$B$46-Quesería!$B$47)))/(Quesería!$B$46-Quesería!$B$47))*IF(B$43&gt;=2,1-Quesería!$B$48,1))</f>
        <v>641.321364968425</v>
      </c>
      <c r="C333" s="58" t="n">
        <f aca="false">IF(C$43&lt;0,0,(Quesería!$B$44*$B$308*$B$305)*(1-MAX(0,MIN(C$43-0-Quesería!$B$47,(Quesería!$B$46-Quesería!$B$47)))/(Quesería!$B$46-Quesería!$B$47))*IF(C$43&gt;=2,1-Quesería!$B$48,1))+IF(C$43&lt;1,0,(Quesería!$B$44*$C$308*$C$305)*(1-MAX(0,MIN(C$43-1-Quesería!$B$47,(Quesería!$B$46-Quesería!$B$47)))/(Quesería!$B$46-Quesería!$B$47))*IF(C$43&gt;=2,1-Quesería!$B$48,1))</f>
        <v>1190.03581125409</v>
      </c>
      <c r="D333" s="58" t="n">
        <f aca="false">IF(D$43&lt;0,0,(Quesería!$B$44*$B$308*$B$305)*(1-MAX(0,MIN(D$43-0-Quesería!$B$47,(Quesería!$B$46-Quesería!$B$47)))/(Quesería!$B$46-Quesería!$B$47))*IF(D$43&gt;=2,1-Quesería!$B$48,1))+IF(D$43&lt;1,0,(Quesería!$B$44*$C$308*$C$305)*(1-MAX(0,MIN(D$43-1-Quesería!$B$47,(Quesería!$B$46-Quesería!$B$47)))/(Quesería!$B$46-Quesería!$B$47))*IF(D$43&gt;=2,1-Quesería!$B$48,1))</f>
        <v>1083.14891709269</v>
      </c>
      <c r="E333" s="58" t="n">
        <f aca="false">IF(E$43&lt;0,0,(Quesería!$B$44*$B$308*$B$305)*(1-MAX(0,MIN(E$43-0-Quesería!$B$47,(Quesería!$B$46-Quesería!$B$47)))/(Quesería!$B$46-Quesería!$B$47))*IF(E$43&gt;=2,1-Quesería!$B$48,1))+IF(E$43&lt;1,0,(Quesería!$B$44*$C$308*$C$305)*(1-MAX(0,MIN(E$43-1-Quesería!$B$47,(Quesería!$B$46-Quesería!$B$47)))/(Quesería!$B$46-Quesería!$B$47))*IF(E$43&gt;=2,1-Quesería!$B$48,1))</f>
        <v>884.809615217005</v>
      </c>
      <c r="F333" s="58" t="n">
        <f aca="false">IF(F$43&lt;0,0,(Quesería!$B$44*$B$308*$B$305)*(1-MAX(0,MIN(F$43-0-Quesería!$B$47,(Quesería!$B$46-Quesería!$B$47)))/(Quesería!$B$46-Quesería!$B$47))*IF(F$43&gt;=2,1-Quesería!$B$48,1))+IF(F$43&lt;1,0,(Quesería!$B$44*$C$308*$C$305)*(1-MAX(0,MIN(F$43-1-Quesería!$B$47,(Quesería!$B$46-Quesería!$B$47)))/(Quesería!$B$46-Quesería!$B$47))*IF(F$43&gt;=2,1-Quesería!$B$48,1))</f>
        <v>686.470313341323</v>
      </c>
      <c r="G333" s="58" t="n">
        <f aca="false">IF(G$43&lt;0,0,(Quesería!$B$44*$B$308*$B$305)*(1-MAX(0,MIN(G$43-0-Quesería!$B$47,(Quesería!$B$46-Quesería!$B$47)))/(Quesería!$B$46-Quesería!$B$47))*IF(G$43&gt;=2,1-Quesería!$B$48,1))+IF(G$43&lt;1,0,(Quesería!$B$44*$C$308*$C$305)*(1-MAX(0,MIN(G$43-1-Quesería!$B$47,(Quesería!$B$46-Quesería!$B$47)))/(Quesería!$B$46-Quesería!$B$47))*IF(G$43&gt;=2,1-Quesería!$B$48,1))</f>
        <v>488.131011465641</v>
      </c>
      <c r="H333" s="58" t="n">
        <f aca="false">IF(H$43&lt;0,0,(Quesería!$B$44*$B$308*$B$305)*(1-MAX(0,MIN(H$43-0-Quesería!$B$47,(Quesería!$B$46-Quesería!$B$47)))/(Quesería!$B$46-Quesería!$B$47))*IF(H$43&gt;=2,1-Quesería!$B$48,1))+IF(H$43&lt;1,0,(Quesería!$B$44*$C$308*$C$305)*(1-MAX(0,MIN(H$43-1-Quesería!$B$47,(Quesería!$B$46-Quesería!$B$47)))/(Quesería!$B$46-Quesería!$B$47))*IF(H$43&gt;=2,1-Quesería!$B$48,1))</f>
        <v>289.79170958996</v>
      </c>
      <c r="I333" s="58" t="n">
        <f aca="false">IF(I$43&lt;0,0,(Quesería!$B$44*$B$308*$B$305)*(1-MAX(0,MIN(I$43-0-Quesería!$B$47,(Quesería!$B$46-Quesería!$B$47)))/(Quesería!$B$46-Quesería!$B$47))*IF(I$43&gt;=2,1-Quesería!$B$48,1))+IF(I$43&lt;1,0,(Quesería!$B$44*$C$308*$C$305)*(1-MAX(0,MIN(I$43-1-Quesería!$B$47,(Quesería!$B$46-Quesería!$B$47)))/(Quesería!$B$46-Quesería!$B$47))*IF(I$43&gt;=2,1-Quesería!$B$48,1))</f>
        <v>91.4524077142776</v>
      </c>
      <c r="J333" s="58" t="n">
        <f aca="false">IF(J$43&lt;0,0,(Quesería!$B$44*$B$308*$B$305)*(1-MAX(0,MIN(J$43-0-Quesería!$B$47,(Quesería!$B$46-Quesería!$B$47)))/(Quesería!$B$46-Quesería!$B$47))*IF(J$43&gt;=2,1-Quesería!$B$48,1))+IF(J$43&lt;1,0,(Quesería!$B$44*$C$308*$C$305)*(1-MAX(0,MIN(J$43-1-Quesería!$B$47,(Quesería!$B$46-Quesería!$B$47)))/(Quesería!$B$46-Quesería!$B$47))*IF(J$43&gt;=2,1-Quesería!$B$48,1))</f>
        <v>0</v>
      </c>
      <c r="K333" s="58" t="n">
        <f aca="false">IF(K$43&lt;0,0,(Quesería!$B$44*$B$308*$B$305)*(1-MAX(0,MIN(K$43-0-Quesería!$B$47,(Quesería!$B$46-Quesería!$B$47)))/(Quesería!$B$46-Quesería!$B$47))*IF(K$43&gt;=2,1-Quesería!$B$48,1))+IF(K$43&lt;1,0,(Quesería!$B$44*$C$308*$C$305)*(1-MAX(0,MIN(K$43-1-Quesería!$B$47,(Quesería!$B$46-Quesería!$B$47)))/(Quesería!$B$46-Quesería!$B$47))*IF(K$43&gt;=2,1-Quesería!$B$48,1))</f>
        <v>0</v>
      </c>
      <c r="L333" s="58" t="n">
        <f aca="false">IF(L$43&lt;0,0,(Quesería!$B$44*$B$308*$B$305)*(1-MAX(0,MIN(L$43-0-Quesería!$B$47,(Quesería!$B$46-Quesería!$B$47)))/(Quesería!$B$46-Quesería!$B$47))*IF(L$43&gt;=2,1-Quesería!$B$48,1))+IF(L$43&lt;1,0,(Quesería!$B$44*$C$308*$C$305)*(1-MAX(0,MIN(L$43-1-Quesería!$B$47,(Quesería!$B$46-Quesería!$B$47)))/(Quesería!$B$46-Quesería!$B$47))*IF(L$43&gt;=2,1-Quesería!$B$48,1))</f>
        <v>0</v>
      </c>
    </row>
    <row r="334" customFormat="false" ht="15" hidden="true" customHeight="false" outlineLevel="1" collapsed="false">
      <c r="A334" s="6" t="s">
        <v>430</v>
      </c>
      <c r="B334" s="29" t="n">
        <f aca="false">Quesería!$B$44*B308</f>
        <v>605.02015563059</v>
      </c>
      <c r="C334" s="29" t="n">
        <f aca="false">Quesería!$B$44*C308</f>
        <v>493.004893338424</v>
      </c>
      <c r="D334" s="29" t="n">
        <f aca="false">Quesería!$B$44*D308</f>
        <v>0</v>
      </c>
      <c r="E334" s="29" t="n">
        <f aca="false">Quesería!$B$44*E308</f>
        <v>0</v>
      </c>
      <c r="F334" s="29" t="n">
        <f aca="false">Quesería!$B$44*F308</f>
        <v>0</v>
      </c>
      <c r="G334" s="29" t="n">
        <f aca="false">Quesería!$B$44*G308</f>
        <v>0</v>
      </c>
      <c r="H334" s="29" t="n">
        <f aca="false">Quesería!$B$44*H308</f>
        <v>0</v>
      </c>
      <c r="I334" s="29" t="n">
        <f aca="false">Quesería!$B$44*I308</f>
        <v>0</v>
      </c>
      <c r="J334" s="29" t="n">
        <f aca="false">Quesería!$B$44*J308</f>
        <v>0</v>
      </c>
      <c r="K334" s="29" t="n">
        <f aca="false">Quesería!$B$44*K308</f>
        <v>0</v>
      </c>
      <c r="L334" s="29" t="n">
        <f aca="false">Quesería!$B$44*L308</f>
        <v>0</v>
      </c>
    </row>
    <row r="335" customFormat="false" ht="15" hidden="true" customHeight="false" outlineLevel="1" collapsed="false">
      <c r="A335" s="6" t="s">
        <v>431</v>
      </c>
      <c r="B335" s="29" t="n">
        <f aca="false">(IF(AND(B$43&gt;0,B$43&lt;=0+Quesería!$B$46),($H$14+$H$24)*(Quesería!$B$44*$B$308*$B$305)*(1-MAX(0,MIN((B$43-1)-0-Quesería!$B$47,(Quesería!$B$46-Quesería!$B$47)))/(Quesería!$B$46-Quesería!$B$47))*IF(B$43&gt;2,1-Quesería!$B$48,1),0)+IF(AND(B$43&gt;1,B$43&lt;=1+Quesería!$B$46),($H$14+$H$24)*(Quesería!$B$44*$C$308*$C$305)*(1-MAX(0,MIN((B$43-1)-1-Quesería!$B$47,(Quesería!$B$46-Quesería!$B$47)))/(Quesería!$B$46-Quesería!$B$47))*IF(B$43&gt;2,1-Quesería!$B$48,1),0))*B307</f>
        <v>0</v>
      </c>
      <c r="C335" s="29" t="n">
        <f aca="false">(IF(AND(C$43&gt;0,C$43&lt;=0+Quesería!$B$46),($H$14+$H$24)*(Quesería!$B$44*$B$308*$B$305)*(1-MAX(0,MIN((C$43-1)-0-Quesería!$B$47,(Quesería!$B$46-Quesería!$B$47)))/(Quesería!$B$46-Quesería!$B$47))*IF(C$43&gt;2,1-Quesería!$B$48,1),0)+IF(AND(C$43&gt;1,C$43&lt;=1+Quesería!$B$46),($H$14+$H$24)*(Quesería!$B$44*$C$308*$C$305)*(1-MAX(0,MIN((C$43-1)-1-Quesería!$B$47,(Quesería!$B$46-Quesería!$B$47)))/(Quesería!$B$46-Quesería!$B$47))*IF(C$43&gt;2,1-Quesería!$B$48,1),0))*C307</f>
        <v>81.2455637561078</v>
      </c>
      <c r="D335" s="29" t="n">
        <f aca="false">(IF(AND(D$43&gt;0,D$43&lt;=0+Quesería!$B$46),($H$14+$H$24)*(Quesería!$B$44*$B$308*$B$305)*(1-MAX(0,MIN((D$43-1)-0-Quesería!$B$47,(Quesería!$B$46-Quesería!$B$47)))/(Quesería!$B$46-Quesería!$B$47))*IF(D$43&gt;2,1-Quesería!$B$48,1),0)+IF(AND(D$43&gt;1,D$43&lt;=1+Quesería!$B$46),($H$14+$H$24)*(Quesería!$B$44*$C$308*$C$305)*(1-MAX(0,MIN((D$43-1)-1-Quesería!$B$47,(Quesería!$B$46-Quesería!$B$47)))/(Quesería!$B$46-Quesería!$B$47))*IF(D$43&gt;2,1-Quesería!$B$48,1),0))*D307</f>
        <v>144.267228437154</v>
      </c>
      <c r="E335" s="29" t="n">
        <f aca="false">(IF(AND(E$43&gt;0,E$43&lt;=0+Quesería!$B$46),($H$14+$H$24)*(Quesería!$B$44*$B$308*$B$305)*(1-MAX(0,MIN((E$43-1)-0-Quesería!$B$47,(Quesería!$B$46-Quesería!$B$47)))/(Quesería!$B$46-Quesería!$B$47))*IF(E$43&gt;2,1-Quesería!$B$48,1),0)+IF(AND(E$43&gt;1,E$43&lt;=1+Quesería!$B$46),($H$14+$H$24)*(Quesería!$B$44*$C$308*$C$305)*(1-MAX(0,MIN((E$43-1)-1-Quesería!$B$47,(Quesería!$B$46-Quesería!$B$47)))/(Quesería!$B$46-Quesería!$B$47))*IF(E$43&gt;2,1-Quesería!$B$48,1),0))*E307</f>
        <v>126.259041612202</v>
      </c>
      <c r="F335" s="29" t="n">
        <f aca="false">(IF(AND(F$43&gt;0,F$43&lt;=0+Quesería!$B$46),($H$14+$H$24)*(Quesería!$B$44*$B$308*$B$305)*(1-MAX(0,MIN((F$43-1)-0-Quesería!$B$47,(Quesería!$B$46-Quesería!$B$47)))/(Quesería!$B$46-Quesería!$B$47))*IF(F$43&gt;2,1-Quesería!$B$48,1),0)+IF(AND(F$43&gt;1,F$43&lt;=1+Quesería!$B$46),($H$14+$H$24)*(Quesería!$B$44*$C$308*$C$305)*(1-MAX(0,MIN((F$43-1)-1-Quesería!$B$47,(Quesería!$B$46-Quesería!$B$47)))/(Quesería!$B$46-Quesería!$B$47))*IF(F$43&gt;2,1-Quesería!$B$48,1),0))*F307</f>
        <v>99.1723975627135</v>
      </c>
      <c r="G335" s="29" t="n">
        <f aca="false">(IF(AND(G$43&gt;0,G$43&lt;=0+Quesería!$B$46),($H$14+$H$24)*(Quesería!$B$44*$B$308*$B$305)*(1-MAX(0,MIN((G$43-1)-0-Quesería!$B$47,(Quesería!$B$46-Quesería!$B$47)))/(Quesería!$B$46-Quesería!$B$47))*IF(G$43&gt;2,1-Quesería!$B$48,1),0)+IF(AND(G$43&gt;1,G$43&lt;=1+Quesería!$B$46),($H$14+$H$24)*(Quesería!$B$44*$C$308*$C$305)*(1-MAX(0,MIN((G$43-1)-1-Quesería!$B$47,(Quesería!$B$46-Quesería!$B$47)))/(Quesería!$B$46-Quesería!$B$47))*IF(G$43&gt;2,1-Quesería!$B$48,1),0))*G307</f>
        <v>73.9825677868365</v>
      </c>
      <c r="H335" s="29" t="n">
        <f aca="false">(IF(AND(H$43&gt;0,H$43&lt;=0+Quesería!$B$46),($H$14+$H$24)*(Quesería!$B$44*$B$308*$B$305)*(1-MAX(0,MIN((H$43-1)-0-Quesería!$B$47,(Quesería!$B$46-Quesería!$B$47)))/(Quesería!$B$46-Quesería!$B$47))*IF(H$43&gt;2,1-Quesería!$B$48,1),0)+IF(AND(H$43&gt;1,H$43&lt;=1+Quesería!$B$46),($H$14+$H$24)*(Quesería!$B$44*$C$308*$C$305)*(1-MAX(0,MIN((H$43-1)-1-Quesería!$B$47,(Quesería!$B$46-Quesería!$B$47)))/(Quesería!$B$46-Quesería!$B$47))*IF(H$43&gt;2,1-Quesería!$B$48,1),0))*H307</f>
        <v>50.583712494366</v>
      </c>
      <c r="I335" s="29" t="n">
        <f aca="false">(IF(AND(I$43&gt;0,I$43&lt;=0+Quesería!$B$46),($H$14+$H$24)*(Quesería!$B$44*$B$308*$B$305)*(1-MAX(0,MIN((I$43-1)-0-Quesería!$B$47,(Quesería!$B$46-Quesería!$B$47)))/(Quesería!$B$46-Quesería!$B$47))*IF(I$43&gt;2,1-Quesería!$B$48,1),0)+IF(AND(I$43&gt;1,I$43&lt;=1+Quesería!$B$46),($H$14+$H$24)*(Quesería!$B$44*$C$308*$C$305)*(1-MAX(0,MIN((I$43-1)-1-Quesería!$B$47,(Quesería!$B$46-Quesería!$B$47)))/(Quesería!$B$46-Quesería!$B$47))*IF(I$43&gt;2,1-Quesería!$B$48,1),0))*I307</f>
        <v>28.8753274791465</v>
      </c>
      <c r="J335" s="29" t="n">
        <f aca="false">(IF(AND(J$43&gt;0,J$43&lt;=0+Quesería!$B$46),($H$14+$H$24)*(Quesería!$B$44*$B$308*$B$305)*(1-MAX(0,MIN((J$43-1)-0-Quesería!$B$47,(Quesería!$B$46-Quesería!$B$47)))/(Quesería!$B$46-Quesería!$B$47))*IF(J$43&gt;2,1-Quesería!$B$48,1),0)+IF(AND(J$43&gt;1,J$43&lt;=1+Quesería!$B$46),($H$14+$H$24)*(Quesería!$B$44*$C$308*$C$305)*(1-MAX(0,MIN((J$43-1)-1-Quesería!$B$47,(Quesería!$B$46-Quesería!$B$47)))/(Quesería!$B$46-Quesería!$B$47))*IF(J$43&gt;2,1-Quesería!$B$48,1),0))*J307</f>
        <v>8.76199025726588</v>
      </c>
      <c r="K335" s="29" t="n">
        <f aca="false">(IF(AND(K$43&gt;0,K$43&lt;=0+Quesería!$B$46),($H$14+$H$24)*(Quesería!$B$44*$B$308*$B$305)*(1-MAX(0,MIN((K$43-1)-0-Quesería!$B$47,(Quesería!$B$46-Quesería!$B$47)))/(Quesería!$B$46-Quesería!$B$47))*IF(K$43&gt;2,1-Quesería!$B$48,1),0)+IF(AND(K$43&gt;1,K$43&lt;=1+Quesería!$B$46),($H$14+$H$24)*(Quesería!$B$44*$C$308*$C$305)*(1-MAX(0,MIN((K$43-1)-1-Quesería!$B$47,(Quesería!$B$46-Quesería!$B$47)))/(Quesería!$B$46-Quesería!$B$47))*IF(K$43&gt;2,1-Quesería!$B$48,1),0))*K307</f>
        <v>0</v>
      </c>
      <c r="L335" s="29" t="n">
        <f aca="false">(IF(AND(L$43&gt;0,L$43&lt;=0+Quesería!$B$46),($H$14+$H$24)*(Quesería!$B$44*$B$308*$B$305)*(1-MAX(0,MIN((L$43-1)-0-Quesería!$B$47,(Quesería!$B$46-Quesería!$B$47)))/(Quesería!$B$46-Quesería!$B$47))*IF(L$43&gt;2,1-Quesería!$B$48,1),0)+IF(AND(L$43&gt;1,L$43&lt;=1+Quesería!$B$46),($H$14+$H$24)*(Quesería!$B$44*$C$308*$C$305)*(1-MAX(0,MIN((L$43-1)-1-Quesería!$B$47,(Quesería!$B$46-Quesería!$B$47)))/(Quesería!$B$46-Quesería!$B$47))*IF(L$43&gt;2,1-Quesería!$B$48,1),0))*L307</f>
        <v>0</v>
      </c>
    </row>
    <row r="336" customFormat="false" ht="15" hidden="true" customHeight="false" outlineLevel="1" collapsed="false">
      <c r="A336" s="6" t="s">
        <v>432</v>
      </c>
      <c r="B336" s="29" t="n">
        <f aca="false">((IF(AND(B$43&gt;0+Quesería!$B$47,B$43&lt;=0+Quesería!$B$46),(Quesería!$B$44*$B$308*$B$305)/(Quesería!$B$46-Quesería!$B$47),0)*IF(B$43&gt;2,1-Quesería!$B$48,1)+IF(B$43=2,Quesería!$B$48*(Quesería!$B$44*$B$308*$B$305)*(1-MAX(0,MIN(2-0-Quesería!$B$47,(Quesería!$B$46-Quesería!$B$47)))/(Quesería!$B$46-Quesería!$B$47)),0))+(IF(AND(B$43&gt;1+Quesería!$B$47,B$43&lt;=1+Quesería!$B$46),(Quesería!$B$44*$C$308*$C$305)/(Quesería!$B$46-Quesería!$B$47),0)*IF(B$43&gt;2,1-Quesería!$B$48,1)+IF(B$43=2,Quesería!$B$48*(Quesería!$B$44*$C$308*$C$305)*(1-MAX(0,MIN(2-1-Quesería!$B$47,(Quesería!$B$46-Quesería!$B$47)))/(Quesería!$B$46-Quesería!$B$47)),0)))*B307</f>
        <v>0</v>
      </c>
      <c r="C336" s="29" t="n">
        <f aca="false">((IF(AND(C$43&gt;0+Quesería!$B$47,C$43&lt;=0+Quesería!$B$46),(Quesería!$B$44*$B$308*$B$305)/(Quesería!$B$46-Quesería!$B$47),0)*IF(C$43&gt;2,1-Quesería!$B$48,1)+IF(C$43=2,Quesería!$B$48*(Quesería!$B$44*$B$308*$B$305)*(1-MAX(0,MIN(2-0-Quesería!$B$47,(Quesería!$B$46-Quesería!$B$47)))/(Quesería!$B$46-Quesería!$B$47)),0))+(IF(AND(C$43&gt;1+Quesería!$B$47,C$43&lt;=1+Quesería!$B$46),(Quesería!$B$44*$C$308*$C$305)/(Quesería!$B$46-Quesería!$B$47),0)*IF(C$43&gt;2,1-Quesería!$B$48,1)+IF(C$43=2,Quesería!$B$48*(Quesería!$B$44*$C$308*$C$305)*(1-MAX(0,MIN(2-1-Quesería!$B$47,(Quesería!$B$46-Quesería!$B$47)))/(Quesería!$B$46-Quesería!$B$47)),0)))*C307</f>
        <v>0</v>
      </c>
      <c r="D336" s="29" t="n">
        <f aca="false">((IF(AND(D$43&gt;0+Quesería!$B$47,D$43&lt;=0+Quesería!$B$46),(Quesería!$B$44*$B$308*$B$305)/(Quesería!$B$46-Quesería!$B$47),0)*IF(D$43&gt;2,1-Quesería!$B$48,1)+IF(D$43=2,Quesería!$B$48*(Quesería!$B$44*$B$308*$B$305)*(1-MAX(0,MIN(2-0-Quesería!$B$47,(Quesería!$B$46-Quesería!$B$47)))/(Quesería!$B$46-Quesería!$B$47)),0))+(IF(AND(D$43&gt;1+Quesería!$B$47,D$43&lt;=1+Quesería!$B$46),(Quesería!$B$44*$C$308*$C$305)/(Quesería!$B$46-Quesería!$B$47),0)*IF(D$43&gt;2,1-Quesería!$B$48,1)+IF(D$43=2,Quesería!$B$48*(Quesería!$B$44*$C$308*$C$305)*(1-MAX(0,MIN(2-1-Quesería!$B$47,(Quesería!$B$46-Quesería!$B$47)))/(Quesería!$B$46-Quesería!$B$47)),0)))*D307</f>
        <v>91.8994692231472</v>
      </c>
      <c r="E336" s="29" t="n">
        <f aca="false">((IF(AND(E$43&gt;0+Quesería!$B$47,E$43&lt;=0+Quesería!$B$46),(Quesería!$B$44*$B$308*$B$305)/(Quesería!$B$46-Quesería!$B$47),0)*IF(E$43&gt;2,1-Quesería!$B$48,1)+IF(E$43=2,Quesería!$B$48*(Quesería!$B$44*$B$308*$B$305)*(1-MAX(0,MIN(2-0-Quesería!$B$47,(Quesería!$B$46-Quesería!$B$47)))/(Quesería!$B$46-Quesería!$B$47)),0))+(IF(AND(E$43&gt;1+Quesería!$B$47,E$43&lt;=1+Quesería!$B$46),(Quesería!$B$44*$C$308*$C$305)/(Quesería!$B$46-Quesería!$B$47),0)*IF(E$43&gt;2,1-Quesería!$B$48,1)+IF(E$43=2,Quesería!$B$48*(Quesería!$B$44*$C$308*$C$305)*(1-MAX(0,MIN(2-1-Quesería!$B$47,(Quesería!$B$46-Quesería!$B$47)))/(Quesería!$B$46-Quesería!$B$47)),0)))*E307</f>
        <v>163.969845014041</v>
      </c>
      <c r="F336" s="29" t="n">
        <f aca="false">((IF(AND(F$43&gt;0+Quesería!$B$47,F$43&lt;=0+Quesería!$B$46),(Quesería!$B$44*$B$308*$B$305)/(Quesería!$B$46-Quesería!$B$47),0)*IF(F$43&gt;2,1-Quesería!$B$48,1)+IF(F$43=2,Quesería!$B$48*(Quesería!$B$44*$B$308*$B$305)*(1-MAX(0,MIN(2-0-Quesería!$B$47,(Quesería!$B$46-Quesería!$B$47)))/(Quesería!$B$46-Quesería!$B$47)),0))+(IF(AND(F$43&gt;1+Quesería!$B$47,F$43&lt;=1+Quesería!$B$46),(Quesería!$B$44*$C$308*$C$305)/(Quesería!$B$46-Quesería!$B$47),0)*IF(F$43&gt;2,1-Quesería!$B$48,1)+IF(F$43=2,Quesería!$B$48*(Quesería!$B$44*$C$308*$C$305)*(1-MAX(0,MIN(2-1-Quesería!$B$47,(Quesería!$B$46-Quesería!$B$47)))/(Quesería!$B$46-Quesería!$B$47)),0)))*F307</f>
        <v>157.663312513501</v>
      </c>
      <c r="G336" s="29" t="n">
        <f aca="false">((IF(AND(G$43&gt;0+Quesería!$B$47,G$43&lt;=0+Quesería!$B$46),(Quesería!$B$44*$B$308*$B$305)/(Quesería!$B$46-Quesería!$B$47),0)*IF(G$43&gt;2,1-Quesería!$B$48,1)+IF(G$43=2,Quesería!$B$48*(Quesería!$B$44*$B$308*$B$305)*(1-MAX(0,MIN(2-0-Quesería!$B$47,(Quesería!$B$46-Quesería!$B$47)))/(Quesería!$B$46-Quesería!$B$47)),0))+(IF(AND(G$43&gt;1+Quesería!$B$47,G$43&lt;=1+Quesería!$B$46),(Quesería!$B$44*$C$308*$C$305)/(Quesería!$B$46-Quesería!$B$47),0)*IF(G$43&gt;2,1-Quesería!$B$48,1)+IF(G$43=2,Quesería!$B$48*(Quesería!$B$44*$C$308*$C$305)*(1-MAX(0,MIN(2-1-Quesería!$B$47,(Quesería!$B$46-Quesería!$B$47)))/(Quesería!$B$46-Quesería!$B$47)),0)))*G307</f>
        <v>151.599338955289</v>
      </c>
      <c r="H336" s="29" t="n">
        <f aca="false">((IF(AND(H$43&gt;0+Quesería!$B$47,H$43&lt;=0+Quesería!$B$46),(Quesería!$B$44*$B$308*$B$305)/(Quesería!$B$46-Quesería!$B$47),0)*IF(H$43&gt;2,1-Quesería!$B$48,1)+IF(H$43=2,Quesería!$B$48*(Quesería!$B$44*$B$308*$B$305)*(1-MAX(0,MIN(2-0-Quesería!$B$47,(Quesería!$B$46-Quesería!$B$47)))/(Quesería!$B$46-Quesería!$B$47)),0))+(IF(AND(H$43&gt;1+Quesería!$B$47,H$43&lt;=1+Quesería!$B$46),(Quesería!$B$44*$C$308*$C$305)/(Quesería!$B$46-Quesería!$B$47),0)*IF(H$43&gt;2,1-Quesería!$B$48,1)+IF(H$43=2,Quesería!$B$48*(Quesería!$B$44*$C$308*$C$305)*(1-MAX(0,MIN(2-1-Quesería!$B$47,(Quesería!$B$46-Quesería!$B$47)))/(Quesería!$B$46-Quesería!$B$47)),0)))*H307</f>
        <v>145.768595149317</v>
      </c>
      <c r="I336" s="29" t="n">
        <f aca="false">((IF(AND(I$43&gt;0+Quesería!$B$47,I$43&lt;=0+Quesería!$B$46),(Quesería!$B$44*$B$308*$B$305)/(Quesería!$B$46-Quesería!$B$47),0)*IF(I$43&gt;2,1-Quesería!$B$48,1)+IF(I$43=2,Quesería!$B$48*(Quesería!$B$44*$B$308*$B$305)*(1-MAX(0,MIN(2-0-Quesería!$B$47,(Quesería!$B$46-Quesería!$B$47)))/(Quesería!$B$46-Quesería!$B$47)),0))+(IF(AND(I$43&gt;1+Quesería!$B$47,I$43&lt;=1+Quesería!$B$46),(Quesería!$B$44*$C$308*$C$305)/(Quesería!$B$46-Quesería!$B$47),0)*IF(I$43&gt;2,1-Quesería!$B$48,1)+IF(I$43=2,Quesería!$B$48*(Quesería!$B$44*$C$308*$C$305)*(1-MAX(0,MIN(2-1-Quesería!$B$47,(Quesería!$B$46-Quesería!$B$47)))/(Quesería!$B$46-Quesería!$B$47)),0)))*I307</f>
        <v>140.162110720497</v>
      </c>
      <c r="J336" s="29" t="n">
        <f aca="false">((IF(AND(J$43&gt;0+Quesería!$B$47,J$43&lt;=0+Quesería!$B$46),(Quesería!$B$44*$B$308*$B$305)/(Quesería!$B$46-Quesería!$B$47),0)*IF(J$43&gt;2,1-Quesería!$B$48,1)+IF(J$43=2,Quesería!$B$48*(Quesería!$B$44*$B$308*$B$305)*(1-MAX(0,MIN(2-0-Quesería!$B$47,(Quesería!$B$46-Quesería!$B$47)))/(Quesería!$B$46-Quesería!$B$47)),0))+(IF(AND(J$43&gt;1+Quesería!$B$47,J$43&lt;=1+Quesería!$B$46),(Quesería!$B$44*$C$308*$C$305)/(Quesería!$B$46-Quesería!$B$47),0)*IF(J$43&gt;2,1-Quesería!$B$48,1)+IF(J$43=2,Quesería!$B$48*(Quesería!$B$44*$C$308*$C$305)*(1-MAX(0,MIN(2-1-Quesería!$B$47,(Quesería!$B$46-Quesería!$B$47)))/(Quesería!$B$46-Quesería!$B$47)),0)))*J307</f>
        <v>62.1417748742261</v>
      </c>
      <c r="K336" s="29" t="n">
        <f aca="false">((IF(AND(K$43&gt;0+Quesería!$B$47,K$43&lt;=0+Quesería!$B$46),(Quesería!$B$44*$B$308*$B$305)/(Quesería!$B$46-Quesería!$B$47),0)*IF(K$43&gt;2,1-Quesería!$B$48,1)+IF(K$43=2,Quesería!$B$48*(Quesería!$B$44*$B$308*$B$305)*(1-MAX(0,MIN(2-0-Quesería!$B$47,(Quesería!$B$46-Quesería!$B$47)))/(Quesería!$B$46-Quesería!$B$47)),0))+(IF(AND(K$43&gt;1+Quesería!$B$47,K$43&lt;=1+Quesería!$B$46),(Quesería!$B$44*$C$308*$C$305)/(Quesería!$B$46-Quesería!$B$47),0)*IF(K$43&gt;2,1-Quesería!$B$48,1)+IF(K$43=2,Quesería!$B$48*(Quesería!$B$44*$C$308*$C$305)*(1-MAX(0,MIN(2-1-Quesería!$B$47,(Quesería!$B$46-Quesería!$B$47)))/(Quesería!$B$46-Quesería!$B$47)),0)))*K307</f>
        <v>0</v>
      </c>
      <c r="L336" s="29" t="n">
        <f aca="false">((IF(AND(L$43&gt;0+Quesería!$B$47,L$43&lt;=0+Quesería!$B$46),(Quesería!$B$44*$B$308*$B$305)/(Quesería!$B$46-Quesería!$B$47),0)*IF(L$43&gt;2,1-Quesería!$B$48,1)+IF(L$43=2,Quesería!$B$48*(Quesería!$B$44*$B$308*$B$305)*(1-MAX(0,MIN(2-0-Quesería!$B$47,(Quesería!$B$46-Quesería!$B$47)))/(Quesería!$B$46-Quesería!$B$47)),0))+(IF(AND(L$43&gt;1+Quesería!$B$47,L$43&lt;=1+Quesería!$B$46),(Quesería!$B$44*$C$308*$C$305)/(Quesería!$B$46-Quesería!$B$47),0)*IF(L$43&gt;2,1-Quesería!$B$48,1)+IF(L$43=2,Quesería!$B$48*(Quesería!$B$44*$C$308*$C$305)*(1-MAX(0,MIN(2-1-Quesería!$B$47,(Quesería!$B$46-Quesería!$B$47)))/(Quesería!$B$46-Quesería!$B$47)),0)))*L307</f>
        <v>0</v>
      </c>
    </row>
    <row r="337" customFormat="false" ht="15" hidden="true" customHeight="false" outlineLevel="1" collapsed="false">
      <c r="A337" s="6" t="s">
        <v>433</v>
      </c>
      <c r="B337" s="29" t="n">
        <f aca="false">$H$13*Quesería!$B$51*(1+0.19)*B333*B307+(1-$H$13)*IF(B$43=0,Quesería!$B$50,0)</f>
        <v>4</v>
      </c>
      <c r="C337" s="29" t="n">
        <f aca="false">$H$13*Quesería!$B$51*(1+0.19)*C333*C307+(1-$H$13)*IF(C$43=0,Quesería!$B$50,0)</f>
        <v>0</v>
      </c>
      <c r="D337" s="29" t="n">
        <f aca="false">$H$13*Quesería!$B$51*(1+0.19)*D333*D307+(1-$H$13)*IF(D$43=0,Quesería!$B$50,0)</f>
        <v>0</v>
      </c>
      <c r="E337" s="29" t="n">
        <f aca="false">$H$13*Quesería!$B$51*(1+0.19)*E333*E307+(1-$H$13)*IF(E$43=0,Quesería!$B$50,0)</f>
        <v>0</v>
      </c>
      <c r="F337" s="29" t="n">
        <f aca="false">$H$13*Quesería!$B$51*(1+0.19)*F333*F307+(1-$H$13)*IF(F$43=0,Quesería!$B$50,0)</f>
        <v>0</v>
      </c>
      <c r="G337" s="29" t="n">
        <f aca="false">$H$13*Quesería!$B$51*(1+0.19)*G333*G307+(1-$H$13)*IF(G$43=0,Quesería!$B$50,0)</f>
        <v>0</v>
      </c>
      <c r="H337" s="29" t="n">
        <f aca="false">$H$13*Quesería!$B$51*(1+0.19)*H333*H307+(1-$H$13)*IF(H$43=0,Quesería!$B$50,0)</f>
        <v>0</v>
      </c>
      <c r="I337" s="29" t="n">
        <f aca="false">$H$13*Quesería!$B$51*(1+0.19)*I333*I307+(1-$H$13)*IF(I$43=0,Quesería!$B$50,0)</f>
        <v>0</v>
      </c>
      <c r="J337" s="29" t="n">
        <f aca="false">$H$13*Quesería!$B$51*(1+0.19)*J333*J307+(1-$H$13)*IF(J$43=0,Quesería!$B$50,0)</f>
        <v>0</v>
      </c>
      <c r="K337" s="29" t="n">
        <f aca="false">$H$13*Quesería!$B$51*(1+0.19)*K333*K307+(1-$H$13)*IF(K$43=0,Quesería!$B$50,0)</f>
        <v>0</v>
      </c>
      <c r="L337" s="29" t="n">
        <f aca="false">$H$13*Quesería!$B$51*(1+0.19)*L333*L307+(1-$H$13)*IF(L$43=0,Quesería!$B$50,0)</f>
        <v>0</v>
      </c>
    </row>
    <row r="338" customFormat="false" ht="15" hidden="true" customHeight="false" outlineLevel="1" collapsed="false">
      <c r="A338" s="6" t="s">
        <v>434</v>
      </c>
      <c r="B338" s="29" t="n">
        <f aca="false">Quesería!$B$52*(B335+B336+B337)</f>
        <v>0.016</v>
      </c>
      <c r="C338" s="29" t="n">
        <f aca="false">Quesería!$B$52*(C335+C336+C337)</f>
        <v>0.324982255024431</v>
      </c>
      <c r="D338" s="29" t="n">
        <f aca="false">Quesería!$B$52*(D335+D336+D337)</f>
        <v>0.944666790641204</v>
      </c>
      <c r="E338" s="29" t="n">
        <f aca="false">Quesería!$B$52*(E335+E336+E337)</f>
        <v>1.16091554650497</v>
      </c>
      <c r="F338" s="29" t="n">
        <f aca="false">Quesería!$B$52*(F335+F336+F337)</f>
        <v>1.02734284030486</v>
      </c>
      <c r="G338" s="29" t="n">
        <f aca="false">Quesería!$B$52*(G335+G336+G337)</f>
        <v>0.902327626968503</v>
      </c>
      <c r="H338" s="29" t="n">
        <f aca="false">Quesería!$B$52*(H335+H336+H337)</f>
        <v>0.78540923057473</v>
      </c>
      <c r="I338" s="29" t="n">
        <f aca="false">Quesería!$B$52*(I335+I336+I337)</f>
        <v>0.676149752798573</v>
      </c>
      <c r="J338" s="29" t="n">
        <f aca="false">Quesería!$B$52*(J335+J336+J337)</f>
        <v>0.283615060525968</v>
      </c>
      <c r="K338" s="29" t="n">
        <f aca="false">Quesería!$B$52*(K335+K336+K337)</f>
        <v>0</v>
      </c>
      <c r="L338" s="29" t="n">
        <f aca="false">Quesería!$B$52*(L335+L336+L337)</f>
        <v>0</v>
      </c>
    </row>
    <row r="339" customFormat="false" ht="15" hidden="true" customHeight="false" outlineLevel="1" collapsed="false">
      <c r="A339" s="6" t="s">
        <v>435</v>
      </c>
      <c r="B339" s="29" t="n">
        <f aca="false">$H$17*(B335+B337+0.5*B338)</f>
        <v>1.4028</v>
      </c>
      <c r="C339" s="29" t="n">
        <f aca="false">$H$17*(C335+C337+0.5*C338)</f>
        <v>28.492819209267</v>
      </c>
      <c r="D339" s="29" t="n">
        <f aca="false">$H$17*(D335+D337+0.5*D338)</f>
        <v>50.658846641366</v>
      </c>
      <c r="E339" s="29" t="n">
        <f aca="false">$H$17*(E335+E337+0.5*E338)</f>
        <v>44.393824784909</v>
      </c>
      <c r="F339" s="29" t="n">
        <f aca="false">$H$17*(F335+F337+0.5*F338)</f>
        <v>34.8901241440031</v>
      </c>
      <c r="G339" s="29" t="n">
        <f aca="false">$H$17*(G335+G337+0.5*G338)</f>
        <v>26.0518060601123</v>
      </c>
      <c r="H339" s="29" t="n">
        <f aca="false">$H$17*(H335+H337+0.5*H338)</f>
        <v>17.8417459883787</v>
      </c>
      <c r="I339" s="29" t="n">
        <f aca="false">$H$17*(I335+I337+0.5*I338)</f>
        <v>10.224690824441</v>
      </c>
      <c r="J339" s="29" t="n">
        <f aca="false">$H$17*(J335+J337+0.5*J338)</f>
        <v>3.1163292256351</v>
      </c>
      <c r="K339" s="29" t="n">
        <f aca="false">$H$17*(K335+K337+0.5*K338)</f>
        <v>0</v>
      </c>
      <c r="L339" s="29" t="n">
        <f aca="false">$H$17*(L335+L337+0.5*L338)</f>
        <v>0</v>
      </c>
    </row>
    <row r="340" customFormat="false" ht="15" hidden="true" customHeight="false" outlineLevel="1" collapsed="false">
      <c r="A340" s="5" t="s">
        <v>436</v>
      </c>
      <c r="B340" s="59" t="n">
        <f aca="false">B325+B334-B335-B336-B337-B338+B339</f>
        <v>-344.498037910443</v>
      </c>
      <c r="C340" s="59" t="n">
        <f aca="false">C325+C334-C335-C336-C337-C338+C339</f>
        <v>-37.0699286926596</v>
      </c>
      <c r="D340" s="59" t="n">
        <f aca="false">D325+D334-D335-D336-D337-D338+D339</f>
        <v>428.497549792506</v>
      </c>
      <c r="E340" s="59" t="n">
        <f aca="false">E325+E334-E335-E336-E337-E338+E339</f>
        <v>156.733493258966</v>
      </c>
      <c r="F340" s="59" t="n">
        <f aca="false">F325+F334-F335-F336-F337-F338+F339</f>
        <v>184.151855347386</v>
      </c>
      <c r="G340" s="59" t="n">
        <f aca="false">G325+G334-G335-G336-G337-G338+G339</f>
        <v>172.260189149076</v>
      </c>
      <c r="H340" s="59" t="n">
        <f aca="false">H325+H334-H335-H336-H337-H338+H339</f>
        <v>171.796948275208</v>
      </c>
      <c r="I340" s="59" t="n">
        <f aca="false">I325+I334-I335-I336-I337-I338+I339</f>
        <v>252.167169400404</v>
      </c>
      <c r="J340" s="59" t="n">
        <f aca="false">J325+J334-J335-J336-J337-J338+J339</f>
        <v>333.652812940629</v>
      </c>
      <c r="K340" s="59" t="n">
        <f aca="false">K325+K334-K335-K336-K337-K338+K339</f>
        <v>400.33334516007</v>
      </c>
      <c r="L340" s="59" t="n">
        <f aca="false">L325+L334-L335-L336-L337-L338+L339</f>
        <v>498.971661032631</v>
      </c>
    </row>
    <row r="341" customFormat="false" ht="15" hidden="true" customHeight="false" outlineLevel="1" collapsed="false">
      <c r="A341" s="9" t="s">
        <v>437</v>
      </c>
      <c r="B341" s="58" t="n">
        <f aca="false">B340*B305</f>
        <v>-365.16792018507</v>
      </c>
      <c r="C341" s="58" t="n">
        <f aca="false">C340*C305</f>
        <v>-41.2588306349301</v>
      </c>
      <c r="D341" s="58" t="n">
        <f aca="false">D340*D305</f>
        <v>498.379072700417</v>
      </c>
      <c r="E341" s="58" t="n">
        <f aca="false">E340*E305</f>
        <v>189.586150007388</v>
      </c>
      <c r="F341" s="58" t="n">
        <f aca="false">F340*F305</f>
        <v>231.661696347934</v>
      </c>
      <c r="G341" s="58" t="n">
        <f aca="false">G340*G305</f>
        <v>225.370149317584</v>
      </c>
      <c r="H341" s="58" t="n">
        <f aca="false">H340*H305</f>
        <v>233.754648937749</v>
      </c>
      <c r="I341" s="58" t="n">
        <f aca="false">I340*I305</f>
        <v>356.834383256251</v>
      </c>
      <c r="J341" s="58" t="n">
        <f aca="false">J340*J305</f>
        <v>491.028026570219</v>
      </c>
      <c r="K341" s="58" t="n">
        <f aca="false">K340*K305</f>
        <v>612.726403653457</v>
      </c>
      <c r="L341" s="58" t="n">
        <f aca="false">L340*L305</f>
        <v>794.244195966144</v>
      </c>
    </row>
    <row r="342" customFormat="false" ht="15" hidden="true" customHeight="false" outlineLevel="1" collapsed="false">
      <c r="A342" s="9" t="s">
        <v>438</v>
      </c>
      <c r="B342" s="57" t="n">
        <f aca="false">(B305/$B$305)/(1+Quesería!$B$11+$H$24)^B$43</f>
        <v>1</v>
      </c>
      <c r="C342" s="57" t="n">
        <f aca="false">(C305/$B$305)/(1+Quesería!$B$11+$H$24)^C$43</f>
        <v>0.84</v>
      </c>
      <c r="D342" s="57" t="n">
        <f aca="false">(D305/$B$305)/(1+Quesería!$B$11+$H$24)^D$43</f>
        <v>0.70224</v>
      </c>
      <c r="E342" s="57" t="n">
        <f aca="false">(E305/$B$305)/(1+Quesería!$B$11+$H$24)^E$43</f>
        <v>0.58426368</v>
      </c>
      <c r="F342" s="57" t="n">
        <f aca="false">(F305/$B$305)/(1+Quesería!$B$11+$H$24)^F$43</f>
        <v>0.48610738176</v>
      </c>
      <c r="G342" s="57" t="n">
        <f aca="false">(G305/$B$305)/(1+Quesería!$B$11+$H$24)^G$43</f>
        <v>0.40444134162432</v>
      </c>
      <c r="H342" s="57" t="n">
        <f aca="false">(H305/$B$305)/(1+Quesería!$B$11+$H$24)^H$43</f>
        <v>0.336495196231434</v>
      </c>
      <c r="I342" s="57" t="n">
        <f aca="false">(I305/$B$305)/(1+Quesería!$B$11+$H$24)^I$43</f>
        <v>0.279964003264553</v>
      </c>
      <c r="J342" s="57" t="n">
        <f aca="false">(J305/$B$305)/(1+Quesería!$B$11+$H$24)^J$43</f>
        <v>0.232930050716108</v>
      </c>
      <c r="K342" s="57" t="n">
        <f aca="false">(K305/$B$305)/(1+Quesería!$B$11+$H$24)^K$43</f>
        <v>0.193797802195802</v>
      </c>
      <c r="L342" s="57" t="n">
        <f aca="false">(L305/$B$305)/(1+Quesería!$B$11+$H$24)^L$43</f>
        <v>0.161239771426907</v>
      </c>
    </row>
    <row r="343" customFormat="false" ht="15" hidden="true" customHeight="false" outlineLevel="1" collapsed="false">
      <c r="A343" s="9" t="s">
        <v>439</v>
      </c>
      <c r="B343" s="58" t="n">
        <f aca="false">B325+B308+B310+B339</f>
        <v>134.413717450821</v>
      </c>
      <c r="C343" s="58" t="n">
        <f aca="false">C325+C308+C310+C339</f>
        <v>454.073913322702</v>
      </c>
      <c r="D343" s="58" t="n">
        <f aca="false">D325+D308+D310+D339</f>
        <v>665.608914243448</v>
      </c>
      <c r="E343" s="58" t="n">
        <f aca="false">E325+E308+E310+E339</f>
        <v>448.123295431713</v>
      </c>
      <c r="F343" s="58" t="n">
        <f aca="false">F325+F308+F310+F339</f>
        <v>442.014908263905</v>
      </c>
      <c r="G343" s="58" t="n">
        <f aca="false">G325+G308+G310+G339</f>
        <v>403.962814799256</v>
      </c>
      <c r="H343" s="58" t="n">
        <f aca="false">H325+H308+H310+H339</f>
        <v>377.748604734547</v>
      </c>
      <c r="I343" s="58" t="n">
        <f aca="false">I325+I308+I310+I339</f>
        <v>421.880757352845</v>
      </c>
      <c r="J343" s="58" t="n">
        <f aca="false">J325+J308+J310+J339</f>
        <v>404.840193132647</v>
      </c>
      <c r="K343" s="58" t="n">
        <f aca="false">K325+K308+K310+K339</f>
        <v>400.33334516007</v>
      </c>
      <c r="L343" s="58" t="n">
        <f aca="false">L325+L308+L310+L339</f>
        <v>498.971661032631</v>
      </c>
    </row>
    <row r="344" customFormat="false" ht="15" hidden="true" customHeight="false" outlineLevel="1" collapsed="false">
      <c r="A344" s="5" t="s">
        <v>149</v>
      </c>
      <c r="B344" s="12" t="str">
        <f aca="false">IF(AND(B$43&gt;=1,(B335+B336+B337)&gt;0.001),B343/(B335+B336+B337),"")</f>
        <v/>
      </c>
      <c r="C344" s="12" t="n">
        <f aca="false">IF(AND(C$43&gt;=1,(C335+C336+C337)&gt;0.001),C343/(C335+C336+C337),"")</f>
        <v>5.58890716403659</v>
      </c>
      <c r="D344" s="12" t="n">
        <f aca="false">IF(AND(D$43&gt;=1,(D335+D336+D337)&gt;0.001),D343/(D335+D336+D337),"")</f>
        <v>2.81838599954025</v>
      </c>
      <c r="E344" s="12" t="n">
        <f aca="false">IF(AND(E$43&gt;=1,(E335+E336+E337)&gt;0.001),E343/(E335+E336+E337),"")</f>
        <v>1.5440340919917</v>
      </c>
      <c r="F344" s="12" t="n">
        <f aca="false">IF(AND(F$43&gt;=1,(F335+F336+F337)&gt;0.001),F343/(F335+F336+F337),"")</f>
        <v>1.72100253556151</v>
      </c>
      <c r="G344" s="12" t="n">
        <f aca="false">IF(AND(G$43&gt;=1,(G335+G336+G337)&gt;0.001),G343/(G335+G336+G337),"")</f>
        <v>1.79075893378739</v>
      </c>
      <c r="H344" s="12" t="n">
        <f aca="false">IF(AND(H$43&gt;=1,(H335+H336+H337)&gt;0.001),H343/(H335+H336+H337),"")</f>
        <v>1.92383073704456</v>
      </c>
      <c r="I344" s="12" t="n">
        <f aca="false">IF(AND(I$43&gt;=1,(I335+I336+I337)&gt;0.001),I343/(I335+I336+I337),"")</f>
        <v>2.49578295699548</v>
      </c>
      <c r="J344" s="12" t="n">
        <f aca="false">IF(AND(J$43&gt;=1,(J335+J336+J337)&gt;0.001),J343/(J335+J336+J337),"")</f>
        <v>5.70971361509316</v>
      </c>
      <c r="K344" s="12" t="str">
        <f aca="false">IF(AND(K$43&gt;=1,(K335+K336+K337)&gt;0.001),K343/(K335+K336+K337),"")</f>
        <v/>
      </c>
      <c r="L344" s="12" t="str">
        <f aca="false">IF(AND(L$43&gt;=1,(L335+L336+L337)&gt;0.001),L343/(L335+L336+L337),"")</f>
        <v/>
      </c>
    </row>
    <row r="346" customFormat="false" ht="15" hidden="false" customHeight="false" outlineLevel="0" collapsed="false">
      <c r="A346" s="43" t="s">
        <v>171</v>
      </c>
      <c r="B346" s="44"/>
      <c r="C346" s="44"/>
      <c r="D346" s="44"/>
      <c r="E346" s="44"/>
      <c r="F346" s="44"/>
      <c r="G346" s="44"/>
      <c r="H346" s="44"/>
      <c r="I346" s="44"/>
      <c r="J346" s="44"/>
      <c r="K346" s="44"/>
      <c r="L346" s="44"/>
    </row>
    <row r="347" customFormat="false" ht="15" hidden="true" customHeight="false" outlineLevel="1" collapsed="false">
      <c r="A347" s="9" t="s">
        <v>405</v>
      </c>
      <c r="B347" s="56" t="n">
        <f aca="false">CHOOSE($I$15,Entorno!B$7,Entorno!B$8,Entorno!B$9)</f>
        <v>0.06</v>
      </c>
      <c r="C347" s="56" t="n">
        <f aca="false">CHOOSE($I$15,Entorno!C$7,Entorno!C$8,Entorno!C$9)</f>
        <v>0.05</v>
      </c>
      <c r="D347" s="56" t="n">
        <f aca="false">CHOOSE($I$15,Entorno!D$7,Entorno!D$8,Entorno!D$9)</f>
        <v>0.045</v>
      </c>
      <c r="E347" s="56" t="n">
        <f aca="false">CHOOSE($I$15,Entorno!E$7,Entorno!E$8,Entorno!E$9)</f>
        <v>0.04</v>
      </c>
      <c r="F347" s="56" t="n">
        <f aca="false">CHOOSE($I$15,Entorno!F$7,Entorno!F$8,Entorno!F$9)</f>
        <v>0.04</v>
      </c>
      <c r="G347" s="56" t="n">
        <f aca="false">CHOOSE($I$15,Entorno!G$7,Entorno!G$8,Entorno!G$9)</f>
        <v>0.04</v>
      </c>
      <c r="H347" s="56" t="n">
        <f aca="false">CHOOSE($I$15,Entorno!H$7,Entorno!H$8,Entorno!H$9)</f>
        <v>0.04</v>
      </c>
      <c r="I347" s="56" t="n">
        <f aca="false">CHOOSE($I$15,Entorno!I$7,Entorno!I$8,Entorno!I$9)</f>
        <v>0.04</v>
      </c>
      <c r="J347" s="56" t="n">
        <f aca="false">CHOOSE($I$15,Entorno!J$7,Entorno!J$8,Entorno!J$9)</f>
        <v>0.04</v>
      </c>
      <c r="K347" s="56" t="n">
        <f aca="false">CHOOSE($I$15,Entorno!K$7,Entorno!K$8,Entorno!K$9)</f>
        <v>0.04</v>
      </c>
      <c r="L347" s="56" t="n">
        <f aca="false">CHOOSE($I$15,Entorno!L$7,Entorno!L$8,Entorno!L$9)</f>
        <v>0.04</v>
      </c>
    </row>
    <row r="348" customFormat="false" ht="15" hidden="true" customHeight="false" outlineLevel="1" collapsed="false">
      <c r="A348" s="9" t="s">
        <v>406</v>
      </c>
      <c r="B348" s="57" t="n">
        <f aca="false">1+B347</f>
        <v>1.06</v>
      </c>
      <c r="C348" s="57" t="n">
        <f aca="false">B348*(1+C347)</f>
        <v>1.113</v>
      </c>
      <c r="D348" s="57" t="n">
        <f aca="false">C348*(1+D347)</f>
        <v>1.163085</v>
      </c>
      <c r="E348" s="57" t="n">
        <f aca="false">D348*(1+E347)</f>
        <v>1.2096084</v>
      </c>
      <c r="F348" s="57" t="n">
        <f aca="false">E348*(1+F347)</f>
        <v>1.257992736</v>
      </c>
      <c r="G348" s="57" t="n">
        <f aca="false">F348*(1+G347)</f>
        <v>1.30831244544</v>
      </c>
      <c r="H348" s="57" t="n">
        <f aca="false">G348*(1+H347)</f>
        <v>1.3606449432576</v>
      </c>
      <c r="I348" s="57" t="n">
        <f aca="false">H348*(1+I347)</f>
        <v>1.4150707409879</v>
      </c>
      <c r="J348" s="57" t="n">
        <f aca="false">I348*(1+J347)</f>
        <v>1.47167357062742</v>
      </c>
      <c r="K348" s="57" t="n">
        <f aca="false">J348*(1+K347)</f>
        <v>1.53054051345252</v>
      </c>
      <c r="L348" s="57" t="n">
        <f aca="false">K348*(1+L347)</f>
        <v>1.59176213399062</v>
      </c>
    </row>
    <row r="349" customFormat="false" ht="15" hidden="true" customHeight="false" outlineLevel="1" collapsed="false">
      <c r="A349" s="9" t="s">
        <v>407</v>
      </c>
      <c r="B349" s="57" t="n">
        <f aca="false">(1+$I$16)/(1+B347)</f>
        <v>1.02358490566038</v>
      </c>
      <c r="C349" s="57" t="n">
        <f aca="false">B349*(1+Entorno!$B$13)</f>
        <v>1.02870283018868</v>
      </c>
      <c r="D349" s="57" t="n">
        <f aca="false">C349*(1+Entorno!$B$13)</f>
        <v>1.03384634433962</v>
      </c>
      <c r="E349" s="57" t="n">
        <f aca="false">D349*(1+Entorno!$B$13)</f>
        <v>1.03901557606132</v>
      </c>
      <c r="F349" s="57" t="n">
        <f aca="false">E349*(1+Entorno!$B$13)</f>
        <v>1.04421065394163</v>
      </c>
      <c r="G349" s="57" t="n">
        <f aca="false">F349*(1+Entorno!$B$13)</f>
        <v>1.04943170721133</v>
      </c>
      <c r="H349" s="57" t="n">
        <f aca="false">G349*(1+Entorno!$B$13)</f>
        <v>1.05467886574739</v>
      </c>
      <c r="I349" s="57" t="n">
        <f aca="false">H349*(1+Entorno!$B$13)</f>
        <v>1.05995226007613</v>
      </c>
      <c r="J349" s="57" t="n">
        <f aca="false">I349*(1+Entorno!$B$13)</f>
        <v>1.06525202137651</v>
      </c>
      <c r="K349" s="57" t="n">
        <f aca="false">J349*(1+Entorno!$B$13)</f>
        <v>1.07057828148339</v>
      </c>
      <c r="L349" s="57" t="n">
        <f aca="false">K349*(1+Entorno!$B$13)</f>
        <v>1.07593117289081</v>
      </c>
    </row>
    <row r="350" customFormat="false" ht="15" hidden="true" customHeight="false" outlineLevel="1" collapsed="false">
      <c r="A350" s="9" t="s">
        <v>408</v>
      </c>
      <c r="B350" s="57" t="n">
        <f aca="false">1/B348</f>
        <v>0.943396226415094</v>
      </c>
      <c r="C350" s="57" t="n">
        <f aca="false">1/C348</f>
        <v>0.898472596585804</v>
      </c>
      <c r="D350" s="57" t="n">
        <f aca="false">1/D348</f>
        <v>0.859782389077324</v>
      </c>
      <c r="E350" s="57" t="n">
        <f aca="false">1/E348</f>
        <v>0.826713835651273</v>
      </c>
      <c r="F350" s="57" t="n">
        <f aca="false">1/F348</f>
        <v>0.794917149664686</v>
      </c>
      <c r="G350" s="57" t="n">
        <f aca="false">1/G348</f>
        <v>0.764343413139121</v>
      </c>
      <c r="H350" s="57" t="n">
        <f aca="false">1/H348</f>
        <v>0.734945589556847</v>
      </c>
      <c r="I350" s="57" t="n">
        <f aca="false">1/I348</f>
        <v>0.706678451496968</v>
      </c>
      <c r="J350" s="57" t="n">
        <f aca="false">1/J348</f>
        <v>0.679498511054777</v>
      </c>
      <c r="K350" s="57" t="n">
        <f aca="false">1/K348</f>
        <v>0.653363952937286</v>
      </c>
      <c r="L350" s="57" t="n">
        <f aca="false">1/L348</f>
        <v>0.628234570132006</v>
      </c>
    </row>
    <row r="351" customFormat="false" ht="15" hidden="true" customHeight="false" outlineLevel="1" collapsed="false">
      <c r="A351" s="6" t="s">
        <v>323</v>
      </c>
      <c r="B351" s="29" t="n">
        <f aca="false">IF(B$43=0,Quesería!$F$92,IF(B$43=1,Quesería!$F$93*$I$21,0))*$I$11</f>
        <v>1116.96028731801</v>
      </c>
      <c r="C351" s="29" t="n">
        <f aca="false">IF(C$43=0,Quesería!$F$92,IF(C$43=1,Quesería!$F$93*$I$21,0))*$I$11</f>
        <v>910.162880009398</v>
      </c>
      <c r="D351" s="29" t="n">
        <f aca="false">IF(D$43=0,Quesería!$F$92,IF(D$43=1,Quesería!$F$93*$I$21,0))*$I$11</f>
        <v>0</v>
      </c>
      <c r="E351" s="29" t="n">
        <f aca="false">IF(E$43=0,Quesería!$F$92,IF(E$43=1,Quesería!$F$93*$I$21,0))*$I$11</f>
        <v>0</v>
      </c>
      <c r="F351" s="29" t="n">
        <f aca="false">IF(F$43=0,Quesería!$F$92,IF(F$43=1,Quesería!$F$93*$I$21,0))*$I$11</f>
        <v>0</v>
      </c>
      <c r="G351" s="29" t="n">
        <f aca="false">IF(G$43=0,Quesería!$F$92,IF(G$43=1,Quesería!$F$93*$I$21,0))*$I$11</f>
        <v>0</v>
      </c>
      <c r="H351" s="29" t="n">
        <f aca="false">IF(H$43=0,Quesería!$F$92,IF(H$43=1,Quesería!$F$93*$I$21,0))*$I$11</f>
        <v>0</v>
      </c>
      <c r="I351" s="29" t="n">
        <f aca="false">IF(I$43=0,Quesería!$F$92,IF(I$43=1,Quesería!$F$93*$I$21,0))*$I$11</f>
        <v>0</v>
      </c>
      <c r="J351" s="29" t="n">
        <f aca="false">IF(J$43=0,Quesería!$F$92,IF(J$43=1,Quesería!$F$93*$I$21,0))*$I$11</f>
        <v>0</v>
      </c>
      <c r="K351" s="29" t="n">
        <f aca="false">IF(K$43=0,Quesería!$F$92,IF(K$43=1,Quesería!$F$93*$I$21,0))*$I$11</f>
        <v>0</v>
      </c>
      <c r="L351" s="29" t="n">
        <f aca="false">IF(L$43=0,Quesería!$F$92,IF(L$43=1,Quesería!$F$93*$I$21,0))*$I$11</f>
        <v>0</v>
      </c>
    </row>
    <row r="352" customFormat="false" ht="15" hidden="true" customHeight="false" outlineLevel="1" collapsed="false">
      <c r="A352" s="6" t="s">
        <v>409</v>
      </c>
      <c r="B352" s="29" t="n">
        <f aca="false">IF(B$43=5,Quesería!$F$99,IF(B$43=6,Quesería!$F$100,0))*$I$11</f>
        <v>0</v>
      </c>
      <c r="C352" s="29" t="n">
        <f aca="false">IF(C$43=5,Quesería!$F$99,IF(C$43=6,Quesería!$F$100,0))*$I$11</f>
        <v>0</v>
      </c>
      <c r="D352" s="29" t="n">
        <f aca="false">IF(D$43=5,Quesería!$F$99,IF(D$43=6,Quesería!$F$100,0))*$I$11</f>
        <v>0</v>
      </c>
      <c r="E352" s="29" t="n">
        <f aca="false">IF(E$43=5,Quesería!$F$99,IF(E$43=6,Quesería!$F$100,0))*$I$11</f>
        <v>0</v>
      </c>
      <c r="F352" s="29" t="n">
        <f aca="false">IF(F$43=5,Quesería!$F$99,IF(F$43=6,Quesería!$F$100,0))*$I$11</f>
        <v>0</v>
      </c>
      <c r="G352" s="29" t="n">
        <f aca="false">IF(G$43=5,Quesería!$F$99,IF(G$43=6,Quesería!$F$100,0))*$I$11</f>
        <v>32.9582607226482</v>
      </c>
      <c r="H352" s="29" t="n">
        <f aca="false">IF(H$43=5,Quesería!$F$99,IF(H$43=6,Quesería!$F$100,0))*$I$11</f>
        <v>55.6669868531463</v>
      </c>
      <c r="I352" s="29" t="n">
        <f aca="false">IF(I$43=5,Quesería!$F$99,IF(I$43=6,Quesería!$F$100,0))*$I$11</f>
        <v>0</v>
      </c>
      <c r="J352" s="29" t="n">
        <f aca="false">IF(J$43=5,Quesería!$F$99,IF(J$43=6,Quesería!$F$100,0))*$I$11</f>
        <v>0</v>
      </c>
      <c r="K352" s="29" t="n">
        <f aca="false">IF(K$43=5,Quesería!$F$99,IF(K$43=6,Quesería!$F$100,0))*$I$11</f>
        <v>0</v>
      </c>
      <c r="L352" s="29" t="n">
        <f aca="false">IF(L$43=5,Quesería!$F$99,IF(L$43=6,Quesería!$F$100,0))*$I$11</f>
        <v>0</v>
      </c>
    </row>
    <row r="353" customFormat="false" ht="15" hidden="true" customHeight="false" outlineLevel="1" collapsed="false">
      <c r="A353" s="6" t="s">
        <v>410</v>
      </c>
      <c r="B353" s="29" t="n">
        <f aca="false">Quesería!$B$55*(IF(B$43=0,SUMPRODUCT((Quesería!$C$70:$C$89=0)*(Quesería!$H$70:$H$89&gt;0)*(Quesería!$J$70:$J$89&gt;0)*Quesería!$F$70:$F$89*(1+Quesería!$I$70:$I$89)),IF(B$43=1,SUMPRODUCT((Quesería!$C$70:$C$89=1)*(Quesería!$H$70:$H$89&gt;0)*(Quesería!$J$70:$J$89&gt;0)*Quesería!$F$70:$F$89*(1+Quesería!$I$70:$I$89))*$I$21,0))*$I$11+B352)</f>
        <v>178.938805872213</v>
      </c>
      <c r="C353" s="29" t="n">
        <f aca="false">Quesería!$B$55*(IF(C$43=0,SUMPRODUCT((Quesería!$C$70:$C$89=0)*(Quesería!$H$70:$H$89&gt;0)*(Quesería!$J$70:$J$89&gt;0)*Quesería!$F$70:$F$89*(1+Quesería!$I$70:$I$89)),IF(C$43=1,SUMPRODUCT((Quesería!$C$70:$C$89=1)*(Quesería!$H$70:$H$89&gt;0)*(Quesería!$J$70:$J$89&gt;0)*Quesería!$F$70:$F$89*(1+Quesería!$I$70:$I$89))*$I$21,0))*$I$11+C352)</f>
        <v>172.930947201786</v>
      </c>
      <c r="D353" s="29" t="n">
        <f aca="false">Quesería!$B$55*(IF(D$43=0,SUMPRODUCT((Quesería!$C$70:$C$89=0)*(Quesería!$H$70:$H$89&gt;0)*(Quesería!$J$70:$J$89&gt;0)*Quesería!$F$70:$F$89*(1+Quesería!$I$70:$I$89)),IF(D$43=1,SUMPRODUCT((Quesería!$C$70:$C$89=1)*(Quesería!$H$70:$H$89&gt;0)*(Quesería!$J$70:$J$89&gt;0)*Quesería!$F$70:$F$89*(1+Quesería!$I$70:$I$89))*$I$21,0))*$I$11+D352)</f>
        <v>0</v>
      </c>
      <c r="E353" s="29" t="n">
        <f aca="false">Quesería!$B$55*(IF(E$43=0,SUMPRODUCT((Quesería!$C$70:$C$89=0)*(Quesería!$H$70:$H$89&gt;0)*(Quesería!$J$70:$J$89&gt;0)*Quesería!$F$70:$F$89*(1+Quesería!$I$70:$I$89)),IF(E$43=1,SUMPRODUCT((Quesería!$C$70:$C$89=1)*(Quesería!$H$70:$H$89&gt;0)*(Quesería!$J$70:$J$89&gt;0)*Quesería!$F$70:$F$89*(1+Quesería!$I$70:$I$89))*$I$21,0))*$I$11+E352)</f>
        <v>0</v>
      </c>
      <c r="F353" s="29" t="n">
        <f aca="false">Quesería!$B$55*(IF(F$43=0,SUMPRODUCT((Quesería!$C$70:$C$89=0)*(Quesería!$H$70:$H$89&gt;0)*(Quesería!$J$70:$J$89&gt;0)*Quesería!$F$70:$F$89*(1+Quesería!$I$70:$I$89)),IF(F$43=1,SUMPRODUCT((Quesería!$C$70:$C$89=1)*(Quesería!$H$70:$H$89&gt;0)*(Quesería!$J$70:$J$89&gt;0)*Quesería!$F$70:$F$89*(1+Quesería!$I$70:$I$89))*$I$21,0))*$I$11+F352)</f>
        <v>0</v>
      </c>
      <c r="G353" s="29" t="n">
        <f aca="false">Quesería!$B$55*(IF(G$43=0,SUMPRODUCT((Quesería!$C$70:$C$89=0)*(Quesería!$H$70:$H$89&gt;0)*(Quesería!$J$70:$J$89&gt;0)*Quesería!$F$70:$F$89*(1+Quesería!$I$70:$I$89)),IF(G$43=1,SUMPRODUCT((Quesería!$C$70:$C$89=1)*(Quesería!$H$70:$H$89&gt;0)*(Quesería!$J$70:$J$89&gt;0)*Quesería!$F$70:$F$89*(1+Quesería!$I$70:$I$89))*$I$21,0))*$I$11+G352)</f>
        <v>6.26206953730317</v>
      </c>
      <c r="H353" s="29" t="n">
        <f aca="false">Quesería!$B$55*(IF(H$43=0,SUMPRODUCT((Quesería!$C$70:$C$89=0)*(Quesería!$H$70:$H$89&gt;0)*(Quesería!$J$70:$J$89&gt;0)*Quesería!$F$70:$F$89*(1+Quesería!$I$70:$I$89)),IF(H$43=1,SUMPRODUCT((Quesería!$C$70:$C$89=1)*(Quesería!$H$70:$H$89&gt;0)*(Quesería!$J$70:$J$89&gt;0)*Quesería!$F$70:$F$89*(1+Quesería!$I$70:$I$89))*$I$21,0))*$I$11+H352)</f>
        <v>10.5767275020978</v>
      </c>
      <c r="I353" s="29" t="n">
        <f aca="false">Quesería!$B$55*(IF(I$43=0,SUMPRODUCT((Quesería!$C$70:$C$89=0)*(Quesería!$H$70:$H$89&gt;0)*(Quesería!$J$70:$J$89&gt;0)*Quesería!$F$70:$F$89*(1+Quesería!$I$70:$I$89)),IF(I$43=1,SUMPRODUCT((Quesería!$C$70:$C$89=1)*(Quesería!$H$70:$H$89&gt;0)*(Quesería!$J$70:$J$89&gt;0)*Quesería!$F$70:$F$89*(1+Quesería!$I$70:$I$89))*$I$21,0))*$I$11+I352)</f>
        <v>0</v>
      </c>
      <c r="J353" s="29" t="n">
        <f aca="false">Quesería!$B$55*(IF(J$43=0,SUMPRODUCT((Quesería!$C$70:$C$89=0)*(Quesería!$H$70:$H$89&gt;0)*(Quesería!$J$70:$J$89&gt;0)*Quesería!$F$70:$F$89*(1+Quesería!$I$70:$I$89)),IF(J$43=1,SUMPRODUCT((Quesería!$C$70:$C$89=1)*(Quesería!$H$70:$H$89&gt;0)*(Quesería!$J$70:$J$89&gt;0)*Quesería!$F$70:$F$89*(1+Quesería!$I$70:$I$89))*$I$21,0))*$I$11+J352)</f>
        <v>0</v>
      </c>
      <c r="K353" s="29" t="n">
        <f aca="false">Quesería!$B$55*(IF(K$43=0,SUMPRODUCT((Quesería!$C$70:$C$89=0)*(Quesería!$H$70:$H$89&gt;0)*(Quesería!$J$70:$J$89&gt;0)*Quesería!$F$70:$F$89*(1+Quesería!$I$70:$I$89)),IF(K$43=1,SUMPRODUCT((Quesería!$C$70:$C$89=1)*(Quesería!$H$70:$H$89&gt;0)*(Quesería!$J$70:$J$89&gt;0)*Quesería!$F$70:$F$89*(1+Quesería!$I$70:$I$89))*$I$21,0))*$I$11+K352)</f>
        <v>0</v>
      </c>
      <c r="L353" s="29" t="n">
        <f aca="false">Quesería!$B$55*(IF(L$43=0,SUMPRODUCT((Quesería!$C$70:$C$89=0)*(Quesería!$H$70:$H$89&gt;0)*(Quesería!$J$70:$J$89&gt;0)*Quesería!$F$70:$F$89*(1+Quesería!$I$70:$I$89)),IF(L$43=1,SUMPRODUCT((Quesería!$C$70:$C$89=1)*(Quesería!$H$70:$H$89&gt;0)*(Quesería!$J$70:$J$89&gt;0)*Quesería!$F$70:$F$89*(1+Quesería!$I$70:$I$89))*$I$21,0))*$I$11+L352)</f>
        <v>0</v>
      </c>
    </row>
    <row r="354" customFormat="false" ht="15" hidden="true" customHeight="false" outlineLevel="1" collapsed="false">
      <c r="A354" s="6" t="s">
        <v>385</v>
      </c>
      <c r="B354" s="29" t="n">
        <f aca="false">IF(B$43=0,($I$22*Quesería!$J$125+(1-$I$22)*Quesería!$E$121)*Quesería!$B$20*Quesería!$B$21/12*$I$23,(($I$22*Quesería!$J$125+(1-$I$22)*Quesería!$E$121)+($I$22*Quesería!$J$104+(1-$I$22)*Quesería!$E$104)*(B349-1))*IF(B$43=1,Quesería!$B$20,1))*$I$10</f>
        <v>120.716772261203</v>
      </c>
      <c r="C354" s="29" t="n">
        <f aca="false">IF(C$43=0,($I$22*Quesería!$J$125+(1-$I$22)*Quesería!$E$121)*Quesería!$B$20*Quesería!$B$21/12*$I$23,(($I$22*Quesería!$J$125+(1-$I$22)*Quesería!$E$121)+($I$22*Quesería!$J$104+(1-$I$22)*Quesería!$E$104)*(C349-1))*IF(C$43=1,Quesería!$B$20,1))*$I$10</f>
        <v>181.328317354069</v>
      </c>
      <c r="D354" s="29" t="n">
        <f aca="false">IF(D$43=0,($I$22*Quesería!$J$125+(1-$I$22)*Quesería!$E$121)*Quesería!$B$20*Quesería!$B$21/12*$I$23,(($I$22*Quesería!$J$125+(1-$I$22)*Quesería!$E$121)+($I$22*Quesería!$J$104+(1-$I$22)*Quesería!$E$104)*(D349-1))*IF(D$43=1,Quesería!$B$20,1))*$I$10</f>
        <v>241.83157753184</v>
      </c>
      <c r="E354" s="29" t="n">
        <f aca="false">IF(E$43=0,($I$22*Quesería!$J$125+(1-$I$22)*Quesería!$E$121)*Quesería!$B$20*Quesería!$B$21/12*$I$23,(($I$22*Quesería!$J$125+(1-$I$22)*Quesería!$E$121)+($I$22*Quesería!$J$104+(1-$I$22)*Quesería!$E$104)*(E349-1))*IF(E$43=1,Quesería!$B$20,1))*$I$10</f>
        <v>241.892367696887</v>
      </c>
      <c r="F354" s="29" t="n">
        <f aca="false">IF(F$43=0,($I$22*Quesería!$J$125+(1-$I$22)*Quesería!$E$121)*Quesería!$B$20*Quesería!$B$21/12*$I$23,(($I$22*Quesería!$J$125+(1-$I$22)*Quesería!$E$121)+($I$22*Quesería!$J$104+(1-$I$22)*Quesería!$E$104)*(F349-1))*IF(F$43=1,Quesería!$B$20,1))*$I$10</f>
        <v>241.95346181276</v>
      </c>
      <c r="G354" s="29" t="n">
        <f aca="false">IF(G$43=0,($I$22*Quesería!$J$125+(1-$I$22)*Quesería!$E$121)*Quesería!$B$20*Quesería!$B$21/12*$I$23,(($I$22*Quesería!$J$125+(1-$I$22)*Quesería!$E$121)+($I$22*Quesería!$J$104+(1-$I$22)*Quesería!$E$104)*(G349-1))*IF(G$43=1,Quesería!$B$20,1))*$I$10</f>
        <v>242.014861399211</v>
      </c>
      <c r="H354" s="29" t="n">
        <f aca="false">IF(H$43=0,($I$22*Quesería!$J$125+(1-$I$22)*Quesería!$E$121)*Quesería!$B$20*Quesería!$B$21/12*$I$23,(($I$22*Quesería!$J$125+(1-$I$22)*Quesería!$E$121)+($I$22*Quesería!$J$104+(1-$I$22)*Quesería!$E$104)*(H349-1))*IF(H$43=1,Quesería!$B$20,1))*$I$10</f>
        <v>242.076567983595</v>
      </c>
      <c r="I354" s="29" t="n">
        <f aca="false">IF(I$43=0,($I$22*Quesería!$J$125+(1-$I$22)*Quesería!$E$121)*Quesería!$B$20*Quesería!$B$21/12*$I$23,(($I$22*Quesería!$J$125+(1-$I$22)*Quesería!$E$121)+($I$22*Quesería!$J$104+(1-$I$22)*Quesería!$E$104)*(I349-1))*IF(I$43=1,Quesería!$B$20,1))*$I$10</f>
        <v>242.138583100901</v>
      </c>
      <c r="J354" s="29" t="n">
        <f aca="false">IF(J$43=0,($I$22*Quesería!$J$125+(1-$I$22)*Quesería!$E$121)*Quesería!$B$20*Quesería!$B$21/12*$I$23,(($I$22*Quesería!$J$125+(1-$I$22)*Quesería!$E$121)+($I$22*Quesería!$J$104+(1-$I$22)*Quesería!$E$104)*(J349-1))*IF(J$43=1,Quesería!$B$20,1))*$I$10</f>
        <v>242.200908293794</v>
      </c>
      <c r="K354" s="29" t="n">
        <f aca="false">IF(K$43=0,($I$22*Quesería!$J$125+(1-$I$22)*Quesería!$E$121)*Quesería!$B$20*Quesería!$B$21/12*$I$23,(($I$22*Quesería!$J$125+(1-$I$22)*Quesería!$E$121)+($I$22*Quesería!$J$104+(1-$I$22)*Quesería!$E$104)*(K349-1))*IF(K$43=1,Quesería!$B$20,1))*$I$10</f>
        <v>242.263545112651</v>
      </c>
      <c r="L354" s="29" t="n">
        <f aca="false">IF(L$43=0,($I$22*Quesería!$J$125+(1-$I$22)*Quesería!$E$121)*Quesería!$B$20*Quesería!$B$21/12*$I$23,(($I$22*Quesería!$J$125+(1-$I$22)*Quesería!$E$121)+($I$22*Quesería!$J$104+(1-$I$22)*Quesería!$E$104)*(L349-1))*IF(L$43=1,Quesería!$B$20,1))*$I$10</f>
        <v>242.326495115602</v>
      </c>
    </row>
    <row r="355" customFormat="false" ht="15" hidden="true" customHeight="false" outlineLevel="1" collapsed="false">
      <c r="A355" s="6" t="s">
        <v>386</v>
      </c>
      <c r="B355" s="29" t="n">
        <f aca="false">IF(B$43&lt;=1,0,((($I$22*Quesería!$J$126+(1-$I$22)*Quesería!$E$122)-($I$22*Quesería!$J$113+(1-$I$22)*Quesería!$E$113)+$I$6*($I$22*Quesería!$J$113+(1-$I$22)*Quesería!$E$113)-(1-$I$9)*(($I$22*Quesería!$J$118+(1-$I$22)*Quesería!$E$118)+($I$22*Quesería!$J$117+(1-$I$22)*Quesería!$E$117)))+($I$6*($I$22*Quesería!$J$113+(1-$I$22)*Quesería!$E$113)+$I$9*($I$22*Quesería!$J$118+(1-$I$22)*Quesería!$E$118))*(B349-1))*IF(B$43=2,Quesería!$B$20,1)+IF(B$43=2,Quesería!$B$24*$I$9*($I$22*Quesería!$J$118+(1-$I$22)*Quesería!$E$118)*B349,0))*$I$10*$I$21</f>
        <v>0</v>
      </c>
      <c r="C355" s="29" t="n">
        <f aca="false">IF(C$43&lt;=1,0,((($I$22*Quesería!$J$126+(1-$I$22)*Quesería!$E$122)-($I$22*Quesería!$J$113+(1-$I$22)*Quesería!$E$113)+$I$6*($I$22*Quesería!$J$113+(1-$I$22)*Quesería!$E$113)-(1-$I$9)*(($I$22*Quesería!$J$118+(1-$I$22)*Quesería!$E$118)+($I$22*Quesería!$J$117+(1-$I$22)*Quesería!$E$117)))+($I$6*($I$22*Quesería!$J$113+(1-$I$22)*Quesería!$E$113)+$I$9*($I$22*Quesería!$J$118+(1-$I$22)*Quesería!$E$118))*(C349-1))*IF(C$43=2,Quesería!$B$20,1)+IF(C$43=2,Quesería!$B$24*$I$9*($I$22*Quesería!$J$118+(1-$I$22)*Quesería!$E$118)*C349,0))*$I$10*$I$21</f>
        <v>0</v>
      </c>
      <c r="D355" s="29" t="n">
        <f aca="false">IF(D$43&lt;=1,0,((($I$22*Quesería!$J$126+(1-$I$22)*Quesería!$E$122)-($I$22*Quesería!$J$113+(1-$I$22)*Quesería!$E$113)+$I$6*($I$22*Quesería!$J$113+(1-$I$22)*Quesería!$E$113)-(1-$I$9)*(($I$22*Quesería!$J$118+(1-$I$22)*Quesería!$E$118)+($I$22*Quesería!$J$117+(1-$I$22)*Quesería!$E$117)))+($I$6*($I$22*Quesería!$J$113+(1-$I$22)*Quesería!$E$113)+$I$9*($I$22*Quesería!$J$118+(1-$I$22)*Quesería!$E$118))*(D349-1))*IF(D$43=2,Quesería!$B$20,1)+IF(D$43=2,Quesería!$B$24*$I$9*($I$22*Quesería!$J$118+(1-$I$22)*Quesería!$E$118)*D349,0))*$I$10*$I$21</f>
        <v>235.201505618611</v>
      </c>
      <c r="E355" s="29" t="n">
        <f aca="false">IF(E$43&lt;=1,0,((($I$22*Quesería!$J$126+(1-$I$22)*Quesería!$E$122)-($I$22*Quesería!$J$113+(1-$I$22)*Quesería!$E$113)+$I$6*($I$22*Quesería!$J$113+(1-$I$22)*Quesería!$E$113)-(1-$I$9)*(($I$22*Quesería!$J$118+(1-$I$22)*Quesería!$E$118)+($I$22*Quesería!$J$117+(1-$I$22)*Quesería!$E$117)))+($I$6*($I$22*Quesería!$J$113+(1-$I$22)*Quesería!$E$113)+$I$9*($I$22*Quesería!$J$118+(1-$I$22)*Quesería!$E$118))*(E349-1))*IF(E$43=2,Quesería!$B$20,1)+IF(E$43=2,Quesería!$B$24*$I$9*($I$22*Quesería!$J$118+(1-$I$22)*Quesería!$E$118)*E349,0))*$I$10*$I$21</f>
        <v>298.96150264002</v>
      </c>
      <c r="F355" s="29" t="n">
        <f aca="false">IF(F$43&lt;=1,0,((($I$22*Quesería!$J$126+(1-$I$22)*Quesería!$E$122)-($I$22*Quesería!$J$113+(1-$I$22)*Quesería!$E$113)+$I$6*($I$22*Quesería!$J$113+(1-$I$22)*Quesería!$E$113)-(1-$I$9)*(($I$22*Quesería!$J$118+(1-$I$22)*Quesería!$E$118)+($I$22*Quesería!$J$117+(1-$I$22)*Quesería!$E$117)))+($I$6*($I$22*Quesería!$J$113+(1-$I$22)*Quesería!$E$113)+$I$9*($I$22*Quesería!$J$118+(1-$I$22)*Quesería!$E$118))*(F349-1))*IF(F$43=2,Quesería!$B$20,1)+IF(F$43=2,Quesería!$B$24*$I$9*($I$22*Quesería!$J$118+(1-$I$22)*Quesería!$E$118)*F349,0))*$I$10*$I$21</f>
        <v>299.209619559583</v>
      </c>
      <c r="G355" s="29" t="n">
        <f aca="false">IF(G$43&lt;=1,0,((($I$22*Quesería!$J$126+(1-$I$22)*Quesería!$E$122)-($I$22*Quesería!$J$113+(1-$I$22)*Quesería!$E$113)+$I$6*($I$22*Quesería!$J$113+(1-$I$22)*Quesería!$E$113)-(1-$I$9)*(($I$22*Quesería!$J$118+(1-$I$22)*Quesería!$E$118)+($I$22*Quesería!$J$117+(1-$I$22)*Quesería!$E$117)))+($I$6*($I$22*Quesería!$J$113+(1-$I$22)*Quesería!$E$113)+$I$9*($I$22*Quesería!$J$118+(1-$I$22)*Quesería!$E$118))*(G349-1))*IF(G$43=2,Quesería!$B$20,1)+IF(G$43=2,Quesería!$B$24*$I$9*($I$22*Quesería!$J$118+(1-$I$22)*Quesería!$E$118)*G349,0))*$I$10*$I$21</f>
        <v>299.458977063744</v>
      </c>
      <c r="H355" s="29" t="n">
        <f aca="false">IF(H$43&lt;=1,0,((($I$22*Quesería!$J$126+(1-$I$22)*Quesería!$E$122)-($I$22*Quesería!$J$113+(1-$I$22)*Quesería!$E$113)+$I$6*($I$22*Quesería!$J$113+(1-$I$22)*Quesería!$E$113)-(1-$I$9)*(($I$22*Quesería!$J$118+(1-$I$22)*Quesería!$E$118)+($I$22*Quesería!$J$117+(1-$I$22)*Quesería!$E$117)))+($I$6*($I$22*Quesería!$J$113+(1-$I$22)*Quesería!$E$113)+$I$9*($I$22*Quesería!$J$118+(1-$I$22)*Quesería!$E$118))*(H349-1))*IF(H$43=2,Quesería!$B$20,1)+IF(H$43=2,Quesería!$B$24*$I$9*($I$22*Quesería!$J$118+(1-$I$22)*Quesería!$E$118)*H349,0))*$I$10*$I$21</f>
        <v>299.709581355426</v>
      </c>
      <c r="I355" s="29" t="n">
        <f aca="false">IF(I$43&lt;=1,0,((($I$22*Quesería!$J$126+(1-$I$22)*Quesería!$E$122)-($I$22*Quesería!$J$113+(1-$I$22)*Quesería!$E$113)+$I$6*($I$22*Quesería!$J$113+(1-$I$22)*Quesería!$E$113)-(1-$I$9)*(($I$22*Quesería!$J$118+(1-$I$22)*Quesería!$E$118)+($I$22*Quesería!$J$117+(1-$I$22)*Quesería!$E$117)))+($I$6*($I$22*Quesería!$J$113+(1-$I$22)*Quesería!$E$113)+$I$9*($I$22*Quesería!$J$118+(1-$I$22)*Quesería!$E$118))*(I349-1))*IF(I$43=2,Quesería!$B$20,1)+IF(I$43=2,Quesería!$B$24*$I$9*($I$22*Quesería!$J$118+(1-$I$22)*Quesería!$E$118)*I349,0))*$I$10*$I$21</f>
        <v>299.961438668567</v>
      </c>
      <c r="J355" s="29" t="n">
        <f aca="false">IF(J$43&lt;=1,0,((($I$22*Quesería!$J$126+(1-$I$22)*Quesería!$E$122)-($I$22*Quesería!$J$113+(1-$I$22)*Quesería!$E$113)+$I$6*($I$22*Quesería!$J$113+(1-$I$22)*Quesería!$E$113)-(1-$I$9)*(($I$22*Quesería!$J$118+(1-$I$22)*Quesería!$E$118)+($I$22*Quesería!$J$117+(1-$I$22)*Quesería!$E$117)))+($I$6*($I$22*Quesería!$J$113+(1-$I$22)*Quesería!$E$113)+$I$9*($I$22*Quesería!$J$118+(1-$I$22)*Quesería!$E$118))*(J349-1))*IF(J$43=2,Quesería!$B$20,1)+IF(J$43=2,Quesería!$B$24*$I$9*($I$22*Quesería!$J$118+(1-$I$22)*Quesería!$E$118)*J349,0))*$I$10*$I$21</f>
        <v>300.214555268273</v>
      </c>
      <c r="K355" s="29" t="n">
        <f aca="false">IF(K$43&lt;=1,0,((($I$22*Quesería!$J$126+(1-$I$22)*Quesería!$E$122)-($I$22*Quesería!$J$113+(1-$I$22)*Quesería!$E$113)+$I$6*($I$22*Quesería!$J$113+(1-$I$22)*Quesería!$E$113)-(1-$I$9)*(($I$22*Quesería!$J$118+(1-$I$22)*Quesería!$E$118)+($I$22*Quesería!$J$117+(1-$I$22)*Quesería!$E$117)))+($I$6*($I$22*Quesería!$J$113+(1-$I$22)*Quesería!$E$113)+$I$9*($I$22*Quesería!$J$118+(1-$I$22)*Quesería!$E$118))*(K349-1))*IF(K$43=2,Quesería!$B$20,1)+IF(K$43=2,Quesería!$B$24*$I$9*($I$22*Quesería!$J$118+(1-$I$22)*Quesería!$E$118)*K349,0))*$I$10*$I$21</f>
        <v>300.468937450978</v>
      </c>
      <c r="L355" s="29" t="n">
        <f aca="false">IF(L$43&lt;=1,0,((($I$22*Quesería!$J$126+(1-$I$22)*Quesería!$E$122)-($I$22*Quesería!$J$113+(1-$I$22)*Quesería!$E$113)+$I$6*($I$22*Quesería!$J$113+(1-$I$22)*Quesería!$E$113)-(1-$I$9)*(($I$22*Quesería!$J$118+(1-$I$22)*Quesería!$E$118)+($I$22*Quesería!$J$117+(1-$I$22)*Quesería!$E$117)))+($I$6*($I$22*Quesería!$J$113+(1-$I$22)*Quesería!$E$113)+$I$9*($I$22*Quesería!$J$118+(1-$I$22)*Quesería!$E$118))*(L349-1))*IF(L$43=2,Quesería!$B$20,1)+IF(L$43=2,Quesería!$B$24*$I$9*($I$22*Quesería!$J$118+(1-$I$22)*Quesería!$E$118)*L349,0))*$I$10*$I$21</f>
        <v>300.724591544596</v>
      </c>
    </row>
    <row r="356" customFormat="false" ht="15" hidden="true" customHeight="false" outlineLevel="1" collapsed="false">
      <c r="A356" s="5" t="s">
        <v>411</v>
      </c>
      <c r="B356" s="10" t="n">
        <f aca="false">B354+B355</f>
        <v>120.716772261203</v>
      </c>
      <c r="C356" s="10" t="n">
        <f aca="false">C354+C355</f>
        <v>181.328317354069</v>
      </c>
      <c r="D356" s="10" t="n">
        <f aca="false">D354+D355</f>
        <v>477.033083150451</v>
      </c>
      <c r="E356" s="10" t="n">
        <f aca="false">E354+E355</f>
        <v>540.853870336907</v>
      </c>
      <c r="F356" s="10" t="n">
        <f aca="false">F354+F355</f>
        <v>541.163081372343</v>
      </c>
      <c r="G356" s="10" t="n">
        <f aca="false">G354+G355</f>
        <v>541.473838462956</v>
      </c>
      <c r="H356" s="10" t="n">
        <f aca="false">H354+H355</f>
        <v>541.786149339022</v>
      </c>
      <c r="I356" s="10" t="n">
        <f aca="false">I354+I355</f>
        <v>542.100021769468</v>
      </c>
      <c r="J356" s="10" t="n">
        <f aca="false">J354+J355</f>
        <v>542.415463562067</v>
      </c>
      <c r="K356" s="10" t="n">
        <f aca="false">K354+K355</f>
        <v>542.732482563628</v>
      </c>
      <c r="L356" s="10" t="n">
        <f aca="false">L354+L355</f>
        <v>543.051086660198</v>
      </c>
    </row>
    <row r="357" customFormat="false" ht="15" hidden="true" customHeight="false" outlineLevel="1" collapsed="false">
      <c r="A357" s="6" t="s">
        <v>412</v>
      </c>
      <c r="B357" s="29" t="n">
        <f aca="false">(IF(B$43&gt;=1,(Quesería!$B$31+Quesería!$B$33)*Quesería!$F$94*$I$11+Quesería!$B$32+'Beneficios y costos'!$B$211,0)+IF(B$43&gt;=2,((Quesería!$B$31+Quesería!$B$33)*Quesería!$F$95*$I$11+'Beneficios y costos'!$C$211)*$I$21,0))*$I$12</f>
        <v>0</v>
      </c>
      <c r="C357" s="29" t="n">
        <f aca="false">(IF(C$43&gt;=1,(Quesería!$B$31+Quesería!$B$33)*Quesería!$F$94*$I$11+Quesería!$B$32+'Beneficios y costos'!$B$211,0)+IF(C$43&gt;=2,((Quesería!$B$31+Quesería!$B$33)*Quesería!$F$95*$I$11+'Beneficios y costos'!$C$211)*$I$21,0))*$I$12</f>
        <v>45.1099438472725</v>
      </c>
      <c r="D357" s="29" t="n">
        <f aca="false">(IF(D$43&gt;=1,(Quesería!$B$31+Quesería!$B$33)*Quesería!$F$94*$I$11+Quesería!$B$32+'Beneficios y costos'!$B$211,0)+IF(D$43&gt;=2,((Quesería!$B$31+Quesería!$B$33)*Quesería!$F$95*$I$11+'Beneficios y costos'!$C$211)*$I$21,0))*$I$12</f>
        <v>102.655621489627</v>
      </c>
      <c r="E357" s="29" t="n">
        <f aca="false">(IF(E$43&gt;=1,(Quesería!$B$31+Quesería!$B$33)*Quesería!$F$94*$I$11+Quesería!$B$32+'Beneficios y costos'!$B$211,0)+IF(E$43&gt;=2,((Quesería!$B$31+Quesería!$B$33)*Quesería!$F$95*$I$11+'Beneficios y costos'!$C$211)*$I$21,0))*$I$12</f>
        <v>102.655621489627</v>
      </c>
      <c r="F357" s="29" t="n">
        <f aca="false">(IF(F$43&gt;=1,(Quesería!$B$31+Quesería!$B$33)*Quesería!$F$94*$I$11+Quesería!$B$32+'Beneficios y costos'!$B$211,0)+IF(F$43&gt;=2,((Quesería!$B$31+Quesería!$B$33)*Quesería!$F$95*$I$11+'Beneficios y costos'!$C$211)*$I$21,0))*$I$12</f>
        <v>102.655621489627</v>
      </c>
      <c r="G357" s="29" t="n">
        <f aca="false">(IF(G$43&gt;=1,(Quesería!$B$31+Quesería!$B$33)*Quesería!$F$94*$I$11+Quesería!$B$32+'Beneficios y costos'!$B$211,0)+IF(G$43&gt;=2,((Quesería!$B$31+Quesería!$B$33)*Quesería!$F$95*$I$11+'Beneficios y costos'!$C$211)*$I$21,0))*$I$12</f>
        <v>102.655621489627</v>
      </c>
      <c r="H357" s="29" t="n">
        <f aca="false">(IF(H$43&gt;=1,(Quesería!$B$31+Quesería!$B$33)*Quesería!$F$94*$I$11+Quesería!$B$32+'Beneficios y costos'!$B$211,0)+IF(H$43&gt;=2,((Quesería!$B$31+Quesería!$B$33)*Quesería!$F$95*$I$11+'Beneficios y costos'!$C$211)*$I$21,0))*$I$12</f>
        <v>102.655621489627</v>
      </c>
      <c r="I357" s="29" t="n">
        <f aca="false">(IF(I$43&gt;=1,(Quesería!$B$31+Quesería!$B$33)*Quesería!$F$94*$I$11+Quesería!$B$32+'Beneficios y costos'!$B$211,0)+IF(I$43&gt;=2,((Quesería!$B$31+Quesería!$B$33)*Quesería!$F$95*$I$11+'Beneficios y costos'!$C$211)*$I$21,0))*$I$12</f>
        <v>102.655621489627</v>
      </c>
      <c r="J357" s="29" t="n">
        <f aca="false">(IF(J$43&gt;=1,(Quesería!$B$31+Quesería!$B$33)*Quesería!$F$94*$I$11+Quesería!$B$32+'Beneficios y costos'!$B$211,0)+IF(J$43&gt;=2,((Quesería!$B$31+Quesería!$B$33)*Quesería!$F$95*$I$11+'Beneficios y costos'!$C$211)*$I$21,0))*$I$12</f>
        <v>102.655621489627</v>
      </c>
      <c r="K357" s="29" t="n">
        <f aca="false">(IF(K$43&gt;=1,(Quesería!$B$31+Quesería!$B$33)*Quesería!$F$94*$I$11+Quesería!$B$32+'Beneficios y costos'!$B$211,0)+IF(K$43&gt;=2,((Quesería!$B$31+Quesería!$B$33)*Quesería!$F$95*$I$11+'Beneficios y costos'!$C$211)*$I$21,0))*$I$12</f>
        <v>102.655621489627</v>
      </c>
      <c r="L357" s="29" t="n">
        <f aca="false">(IF(L$43&gt;=1,(Quesería!$B$31+Quesería!$B$33)*Quesería!$F$94*$I$11+Quesería!$B$32+'Beneficios y costos'!$B$211,0)+IF(L$43&gt;=2,((Quesería!$B$31+Quesería!$B$33)*Quesería!$F$95*$I$11+'Beneficios y costos'!$C$211)*$I$21,0))*$I$12</f>
        <v>102.655621489627</v>
      </c>
    </row>
    <row r="358" customFormat="false" ht="15" hidden="true" customHeight="false" outlineLevel="1" collapsed="false">
      <c r="A358" s="6" t="s">
        <v>413</v>
      </c>
      <c r="B358" s="29" t="n">
        <f aca="false">IF(B$43=1,2*Quesería!$B$22*Quesería!$B$23/12*B349,0)*$I$21</f>
        <v>0</v>
      </c>
      <c r="C358" s="29" t="n">
        <f aca="false">IF(C$43=1,2*Quesería!$B$22*Quesería!$B$23/12*C349,0)*$I$21</f>
        <v>18.5166509433962</v>
      </c>
      <c r="D358" s="29" t="n">
        <f aca="false">IF(D$43=1,2*Quesería!$B$22*Quesería!$B$23/12*D349,0)*$I$21</f>
        <v>0</v>
      </c>
      <c r="E358" s="29" t="n">
        <f aca="false">IF(E$43=1,2*Quesería!$B$22*Quesería!$B$23/12*E349,0)*$I$21</f>
        <v>0</v>
      </c>
      <c r="F358" s="29" t="n">
        <f aca="false">IF(F$43=1,2*Quesería!$B$22*Quesería!$B$23/12*F349,0)*$I$21</f>
        <v>0</v>
      </c>
      <c r="G358" s="29" t="n">
        <f aca="false">IF(G$43=1,2*Quesería!$B$22*Quesería!$B$23/12*G349,0)*$I$21</f>
        <v>0</v>
      </c>
      <c r="H358" s="29" t="n">
        <f aca="false">IF(H$43=1,2*Quesería!$B$22*Quesería!$B$23/12*H349,0)*$I$21</f>
        <v>0</v>
      </c>
      <c r="I358" s="29" t="n">
        <f aca="false">IF(I$43=1,2*Quesería!$B$22*Quesería!$B$23/12*I349,0)*$I$21</f>
        <v>0</v>
      </c>
      <c r="J358" s="29" t="n">
        <f aca="false">IF(J$43=1,2*Quesería!$B$22*Quesería!$B$23/12*J349,0)*$I$21</f>
        <v>0</v>
      </c>
      <c r="K358" s="29" t="n">
        <f aca="false">IF(K$43=1,2*Quesería!$B$22*Quesería!$B$23/12*K349,0)*$I$21</f>
        <v>0</v>
      </c>
      <c r="L358" s="29" t="n">
        <f aca="false">IF(L$43=1,2*Quesería!$B$22*Quesería!$B$23/12*L349,0)*$I$21</f>
        <v>0</v>
      </c>
    </row>
    <row r="359" customFormat="false" ht="15" hidden="true" customHeight="false" outlineLevel="1" collapsed="false">
      <c r="A359" s="6" t="s">
        <v>414</v>
      </c>
      <c r="B359" s="29" t="n">
        <f aca="false">Quesería!$B$52*(B351+B352+B353+B357+B358)</f>
        <v>5.1835963727609</v>
      </c>
      <c r="C359" s="29" t="n">
        <f aca="false">Quesería!$B$52*(C351+C352+C353+C357+C358)</f>
        <v>4.58688168800741</v>
      </c>
      <c r="D359" s="29" t="n">
        <f aca="false">Quesería!$B$52*(D351+D352+D353+D357+D358)</f>
        <v>0.410622485958508</v>
      </c>
      <c r="E359" s="29" t="n">
        <f aca="false">Quesería!$B$52*(E351+E352+E353+E357+E358)</f>
        <v>0.410622485958508</v>
      </c>
      <c r="F359" s="29" t="n">
        <f aca="false">Quesería!$B$52*(F351+F352+F353+F357+F358)</f>
        <v>0.410622485958508</v>
      </c>
      <c r="G359" s="29" t="n">
        <f aca="false">Quesería!$B$52*(G351+G352+G353+G357+G358)</f>
        <v>0.567503806998313</v>
      </c>
      <c r="H359" s="29" t="n">
        <f aca="false">Quesería!$B$52*(H351+H352+H353+H357+H358)</f>
        <v>0.675597343379484</v>
      </c>
      <c r="I359" s="29" t="n">
        <f aca="false">Quesería!$B$52*(I351+I352+I353+I357+I358)</f>
        <v>0.410622485958508</v>
      </c>
      <c r="J359" s="29" t="n">
        <f aca="false">Quesería!$B$52*(J351+J352+J353+J357+J358)</f>
        <v>0.410622485958508</v>
      </c>
      <c r="K359" s="29" t="n">
        <f aca="false">Quesería!$B$52*(K351+K352+K353+K357+K358)</f>
        <v>0.410622485958508</v>
      </c>
      <c r="L359" s="29" t="n">
        <f aca="false">Quesería!$B$52*(L351+L352+L353+L357+L358)</f>
        <v>0.410622485958508</v>
      </c>
    </row>
    <row r="360" customFormat="false" ht="15" hidden="true" customHeight="false" outlineLevel="1" collapsed="false">
      <c r="A360" s="6" t="s">
        <v>415</v>
      </c>
      <c r="B360" s="29" t="n">
        <f aca="false">(IF($I$19=1,(SUMPRODUCT((Quesería!$C$70:$C$89=0)*(Quesería!$J$70:$J$89&gt;0)*(B$43&gt;=1)*(B$43&lt;=Quesería!$J$70:$J$89)*(Quesería!$H$70:$H$89&gt;0)*Quesería!$F$70:$F$89*(1+Quesería!$I$70:$I$89)/(Quesería!$J$70:$J$89+(Quesería!$J$70:$J$89=0)))+SUMPRODUCT((Quesería!$C$70:$C$89=0)*(Quesería!$J$70:$J$89=0)*(B$43=0)*(Quesería!$H$70:$H$89&gt;0)*Quesería!$F$70:$F$89*(1+Quesería!$I$70:$I$89)))*$B$348+(SUMPRODUCT((Quesería!$C$70:$C$89=1)*(Quesería!$J$70:$J$89&gt;0)*(B$43&gt;=2)*(B$43&lt;=Quesería!$J$70:$J$89+1)*(Quesería!$H$70:$H$89&gt;0)*Quesería!$F$70:$F$89*(1+Quesería!$I$70:$I$89)/(Quesería!$J$70:$J$89+(Quesería!$J$70:$J$89=0)))+SUMPRODUCT((Quesería!$C$70:$C$89=1)*(Quesería!$J$70:$J$89=0)*(B$43=1)*(Quesería!$H$70:$H$89&gt;0)*Quesería!$F$70:$F$89*(1+Quesería!$I$70:$I$89)))*$C$348*$I$21,IF(AND(B$43&gt;=1,B$43&lt;=Quesería!$B$30),Quesería!$F$92/Quesería!$B$30,0)*$B$348+IF(AND(B$43&gt;=2,B$43&lt;=Quesería!$B$30+1),Quesería!$F$93/Quesería!$B$30,0)*$C$348*$I$21)*$I$11+IF(AND(B$43&gt;=6,B$43&lt;=10),$G352*$G348/5,0)+IF(AND(B$43&gt;=7,B$43&lt;=11),$H352*$H348/5,0))*B350</f>
        <v>175.177098516891</v>
      </c>
      <c r="C360" s="29" t="n">
        <f aca="false">(IF($I$19=1,(SUMPRODUCT((Quesería!$C$70:$C$89=0)*(Quesería!$J$70:$J$89&gt;0)*(C$43&gt;=1)*(C$43&lt;=Quesería!$J$70:$J$89)*(Quesería!$H$70:$H$89&gt;0)*Quesería!$F$70:$F$89*(1+Quesería!$I$70:$I$89)/(Quesería!$J$70:$J$89+(Quesería!$J$70:$J$89=0)))+SUMPRODUCT((Quesería!$C$70:$C$89=0)*(Quesería!$J$70:$J$89=0)*(C$43=0)*(Quesería!$H$70:$H$89&gt;0)*Quesería!$F$70:$F$89*(1+Quesería!$I$70:$I$89)))*$B$348+(SUMPRODUCT((Quesería!$C$70:$C$89=1)*(Quesería!$J$70:$J$89&gt;0)*(C$43&gt;=2)*(C$43&lt;=Quesería!$J$70:$J$89+1)*(Quesería!$H$70:$H$89&gt;0)*Quesería!$F$70:$F$89*(1+Quesería!$I$70:$I$89)/(Quesería!$J$70:$J$89+(Quesería!$J$70:$J$89=0)))+SUMPRODUCT((Quesería!$C$70:$C$89=1)*(Quesería!$J$70:$J$89=0)*(C$43=1)*(Quesería!$H$70:$H$89&gt;0)*Quesería!$F$70:$F$89*(1+Quesería!$I$70:$I$89)))*$C$348*$I$21,IF(AND(C$43&gt;=1,C$43&lt;=Quesería!$B$30),Quesería!$F$92/Quesería!$B$30,0)*$B$348+IF(AND(C$43&gt;=2,C$43&lt;=Quesería!$B$30+1),Quesería!$F$93/Quesería!$B$30,0)*$C$348*$I$21)*$I$11+IF(AND(C$43&gt;=6,C$43&lt;=10),$G352*$G348/5,0)+IF(AND(C$43&gt;=7,C$43&lt;=11),$H352*$H348/5,0))*C350</f>
        <v>98.7159923429119</v>
      </c>
      <c r="D360" s="29" t="n">
        <f aca="false">(IF($I$19=1,(SUMPRODUCT((Quesería!$C$70:$C$89=0)*(Quesería!$J$70:$J$89&gt;0)*(D$43&gt;=1)*(D$43&lt;=Quesería!$J$70:$J$89)*(Quesería!$H$70:$H$89&gt;0)*Quesería!$F$70:$F$89*(1+Quesería!$I$70:$I$89)/(Quesería!$J$70:$J$89+(Quesería!$J$70:$J$89=0)))+SUMPRODUCT((Quesería!$C$70:$C$89=0)*(Quesería!$J$70:$J$89=0)*(D$43=0)*(Quesería!$H$70:$H$89&gt;0)*Quesería!$F$70:$F$89*(1+Quesería!$I$70:$I$89)))*$B$348+(SUMPRODUCT((Quesería!$C$70:$C$89=1)*(Quesería!$J$70:$J$89&gt;0)*(D$43&gt;=2)*(D$43&lt;=Quesería!$J$70:$J$89+1)*(Quesería!$H$70:$H$89&gt;0)*Quesería!$F$70:$F$89*(1+Quesería!$I$70:$I$89)/(Quesería!$J$70:$J$89+(Quesería!$J$70:$J$89=0)))+SUMPRODUCT((Quesería!$C$70:$C$89=1)*(Quesería!$J$70:$J$89=0)*(D$43=1)*(Quesería!$H$70:$H$89&gt;0)*Quesería!$F$70:$F$89*(1+Quesería!$I$70:$I$89)))*$C$348*$I$21,IF(AND(D$43&gt;=1,D$43&lt;=Quesería!$B$30),Quesería!$F$92/Quesería!$B$30,0)*$B$348+IF(AND(D$43&gt;=2,D$43&lt;=Quesería!$B$30+1),Quesería!$F$93/Quesería!$B$30,0)*$C$348*$I$21)*$I$11+IF(AND(D$43&gt;=6,D$43&lt;=10),$G352*$G348/5,0)+IF(AND(D$43&gt;=7,D$43&lt;=11),$H352*$H348/5,0))*D350</f>
        <v>181.561990759667</v>
      </c>
      <c r="E360" s="29" t="n">
        <f aca="false">(IF($I$19=1,(SUMPRODUCT((Quesería!$C$70:$C$89=0)*(Quesería!$J$70:$J$89&gt;0)*(E$43&gt;=1)*(E$43&lt;=Quesería!$J$70:$J$89)*(Quesería!$H$70:$H$89&gt;0)*Quesería!$F$70:$F$89*(1+Quesería!$I$70:$I$89)/(Quesería!$J$70:$J$89+(Quesería!$J$70:$J$89=0)))+SUMPRODUCT((Quesería!$C$70:$C$89=0)*(Quesería!$J$70:$J$89=0)*(E$43=0)*(Quesería!$H$70:$H$89&gt;0)*Quesería!$F$70:$F$89*(1+Quesería!$I$70:$I$89)))*$B$348+(SUMPRODUCT((Quesería!$C$70:$C$89=1)*(Quesería!$J$70:$J$89&gt;0)*(E$43&gt;=2)*(E$43&lt;=Quesería!$J$70:$J$89+1)*(Quesería!$H$70:$H$89&gt;0)*Quesería!$F$70:$F$89*(1+Quesería!$I$70:$I$89)/(Quesería!$J$70:$J$89+(Quesería!$J$70:$J$89=0)))+SUMPRODUCT((Quesería!$C$70:$C$89=1)*(Quesería!$J$70:$J$89=0)*(E$43=1)*(Quesería!$H$70:$H$89&gt;0)*Quesería!$F$70:$F$89*(1+Quesería!$I$70:$I$89)))*$C$348*$I$21,IF(AND(E$43&gt;=1,E$43&lt;=Quesería!$B$30),Quesería!$F$92/Quesería!$B$30,0)*$B$348+IF(AND(E$43&gt;=2,E$43&lt;=Quesería!$B$30+1),Quesería!$F$93/Quesería!$B$30,0)*$C$348*$I$21)*$I$11+IF(AND(E$43&gt;=6,E$43&lt;=10),$G352*$G348/5,0)+IF(AND(E$43&gt;=7,E$43&lt;=11),$H352*$H348/5,0))*E350</f>
        <v>174.57883726891</v>
      </c>
      <c r="F360" s="29" t="n">
        <f aca="false">(IF($I$19=1,(SUMPRODUCT((Quesería!$C$70:$C$89=0)*(Quesería!$J$70:$J$89&gt;0)*(F$43&gt;=1)*(F$43&lt;=Quesería!$J$70:$J$89)*(Quesería!$H$70:$H$89&gt;0)*Quesería!$F$70:$F$89*(1+Quesería!$I$70:$I$89)/(Quesería!$J$70:$J$89+(Quesería!$J$70:$J$89=0)))+SUMPRODUCT((Quesería!$C$70:$C$89=0)*(Quesería!$J$70:$J$89=0)*(F$43=0)*(Quesería!$H$70:$H$89&gt;0)*Quesería!$F$70:$F$89*(1+Quesería!$I$70:$I$89)))*$B$348+(SUMPRODUCT((Quesería!$C$70:$C$89=1)*(Quesería!$J$70:$J$89&gt;0)*(F$43&gt;=2)*(F$43&lt;=Quesería!$J$70:$J$89+1)*(Quesería!$H$70:$H$89&gt;0)*Quesería!$F$70:$F$89*(1+Quesería!$I$70:$I$89)/(Quesería!$J$70:$J$89+(Quesería!$J$70:$J$89=0)))+SUMPRODUCT((Quesería!$C$70:$C$89=1)*(Quesería!$J$70:$J$89=0)*(F$43=1)*(Quesería!$H$70:$H$89&gt;0)*Quesería!$F$70:$F$89*(1+Quesería!$I$70:$I$89)))*$C$348*$I$21,IF(AND(F$43&gt;=1,F$43&lt;=Quesería!$B$30),Quesería!$F$92/Quesería!$B$30,0)*$B$348+IF(AND(F$43&gt;=2,F$43&lt;=Quesería!$B$30+1),Quesería!$F$93/Quesería!$B$30,0)*$C$348*$I$21)*$I$11+IF(AND(F$43&gt;=6,F$43&lt;=10),$G352*$G348/5,0)+IF(AND(F$43&gt;=7,F$43&lt;=11),$H352*$H348/5,0))*F350</f>
        <v>167.864266604721</v>
      </c>
      <c r="G360" s="29" t="n">
        <f aca="false">(IF($I$19=1,(SUMPRODUCT((Quesería!$C$70:$C$89=0)*(Quesería!$J$70:$J$89&gt;0)*(G$43&gt;=1)*(G$43&lt;=Quesería!$J$70:$J$89)*(Quesería!$H$70:$H$89&gt;0)*Quesería!$F$70:$F$89*(1+Quesería!$I$70:$I$89)/(Quesería!$J$70:$J$89+(Quesería!$J$70:$J$89=0)))+SUMPRODUCT((Quesería!$C$70:$C$89=0)*(Quesería!$J$70:$J$89=0)*(G$43=0)*(Quesería!$H$70:$H$89&gt;0)*Quesería!$F$70:$F$89*(1+Quesería!$I$70:$I$89)))*$B$348+(SUMPRODUCT((Quesería!$C$70:$C$89=1)*(Quesería!$J$70:$J$89&gt;0)*(G$43&gt;=2)*(G$43&lt;=Quesería!$J$70:$J$89+1)*(Quesería!$H$70:$H$89&gt;0)*Quesería!$F$70:$F$89*(1+Quesería!$I$70:$I$89)/(Quesería!$J$70:$J$89+(Quesería!$J$70:$J$89=0)))+SUMPRODUCT((Quesería!$C$70:$C$89=1)*(Quesería!$J$70:$J$89=0)*(G$43=1)*(Quesería!$H$70:$H$89&gt;0)*Quesería!$F$70:$F$89*(1+Quesería!$I$70:$I$89)))*$C$348*$I$21,IF(AND(G$43&gt;=1,G$43&lt;=Quesería!$B$30),Quesería!$F$92/Quesería!$B$30,0)*$B$348+IF(AND(G$43&gt;=2,G$43&lt;=Quesería!$B$30+1),Quesería!$F$93/Quesería!$B$30,0)*$C$348*$I$21)*$I$11+IF(AND(G$43&gt;=6,G$43&lt;=10),$G352*$G348/5,0)+IF(AND(G$43&gt;=7,G$43&lt;=11),$H352*$H348/5,0))*G350</f>
        <v>161.407948658386</v>
      </c>
      <c r="H360" s="29" t="n">
        <f aca="false">(IF($I$19=1,(SUMPRODUCT((Quesería!$C$70:$C$89=0)*(Quesería!$J$70:$J$89&gt;0)*(H$43&gt;=1)*(H$43&lt;=Quesería!$J$70:$J$89)*(Quesería!$H$70:$H$89&gt;0)*Quesería!$F$70:$F$89*(1+Quesería!$I$70:$I$89)/(Quesería!$J$70:$J$89+(Quesería!$J$70:$J$89=0)))+SUMPRODUCT((Quesería!$C$70:$C$89=0)*(Quesería!$J$70:$J$89=0)*(H$43=0)*(Quesería!$H$70:$H$89&gt;0)*Quesería!$F$70:$F$89*(1+Quesería!$I$70:$I$89)))*$B$348+(SUMPRODUCT((Quesería!$C$70:$C$89=1)*(Quesería!$J$70:$J$89&gt;0)*(H$43&gt;=2)*(H$43&lt;=Quesería!$J$70:$J$89+1)*(Quesería!$H$70:$H$89&gt;0)*Quesería!$F$70:$F$89*(1+Quesería!$I$70:$I$89)/(Quesería!$J$70:$J$89+(Quesería!$J$70:$J$89=0)))+SUMPRODUCT((Quesería!$C$70:$C$89=1)*(Quesería!$J$70:$J$89=0)*(H$43=1)*(Quesería!$H$70:$H$89&gt;0)*Quesería!$F$70:$F$89*(1+Quesería!$I$70:$I$89)))*$C$348*$I$21,IF(AND(H$43&gt;=1,H$43&lt;=Quesería!$B$30),Quesería!$F$92/Quesería!$B$30,0)*$B$348+IF(AND(H$43&gt;=2,H$43&lt;=Quesería!$B$30+1),Quesería!$F$93/Quesería!$B$30,0)*$C$348*$I$21)*$I$11+IF(AND(H$43&gt;=6,H$43&lt;=10),$G352*$G348/5,0)+IF(AND(H$43&gt;=7,H$43&lt;=11),$H352*$H348/5,0))*H350</f>
        <v>146.777604708382</v>
      </c>
      <c r="I360" s="29" t="n">
        <f aca="false">(IF($I$19=1,(SUMPRODUCT((Quesería!$C$70:$C$89=0)*(Quesería!$J$70:$J$89&gt;0)*(I$43&gt;=1)*(I$43&lt;=Quesería!$J$70:$J$89)*(Quesería!$H$70:$H$89&gt;0)*Quesería!$F$70:$F$89*(1+Quesería!$I$70:$I$89)/(Quesería!$J$70:$J$89+(Quesería!$J$70:$J$89=0)))+SUMPRODUCT((Quesería!$C$70:$C$89=0)*(Quesería!$J$70:$J$89=0)*(I$43=0)*(Quesería!$H$70:$H$89&gt;0)*Quesería!$F$70:$F$89*(1+Quesería!$I$70:$I$89)))*$B$348+(SUMPRODUCT((Quesería!$C$70:$C$89=1)*(Quesería!$J$70:$J$89&gt;0)*(I$43&gt;=2)*(I$43&lt;=Quesería!$J$70:$J$89+1)*(Quesería!$H$70:$H$89&gt;0)*Quesería!$F$70:$F$89*(1+Quesería!$I$70:$I$89)/(Quesería!$J$70:$J$89+(Quesería!$J$70:$J$89=0)))+SUMPRODUCT((Quesería!$C$70:$C$89=1)*(Quesería!$J$70:$J$89=0)*(I$43=1)*(Quesería!$H$70:$H$89&gt;0)*Quesería!$F$70:$F$89*(1+Quesería!$I$70:$I$89)))*$C$348*$I$21,IF(AND(I$43&gt;=1,I$43&lt;=Quesería!$B$30),Quesería!$F$92/Quesería!$B$30,0)*$B$348+IF(AND(I$43&gt;=2,I$43&lt;=Quesería!$B$30+1),Quesería!$F$93/Quesería!$B$30,0)*$C$348*$I$21)*$I$11+IF(AND(I$43&gt;=6,I$43&lt;=10),$G352*$G348/5,0)+IF(AND(I$43&gt;=7,I$43&lt;=11),$H352*$H348/5,0))*I350</f>
        <v>151.837501999049</v>
      </c>
      <c r="J360" s="29" t="n">
        <f aca="false">(IF($I$19=1,(SUMPRODUCT((Quesería!$C$70:$C$89=0)*(Quesería!$J$70:$J$89&gt;0)*(J$43&gt;=1)*(J$43&lt;=Quesería!$J$70:$J$89)*(Quesería!$H$70:$H$89&gt;0)*Quesería!$F$70:$F$89*(1+Quesería!$I$70:$I$89)/(Quesería!$J$70:$J$89+(Quesería!$J$70:$J$89=0)))+SUMPRODUCT((Quesería!$C$70:$C$89=0)*(Quesería!$J$70:$J$89=0)*(J$43=0)*(Quesería!$H$70:$H$89&gt;0)*Quesería!$F$70:$F$89*(1+Quesería!$I$70:$I$89)))*$B$348+(SUMPRODUCT((Quesería!$C$70:$C$89=1)*(Quesería!$J$70:$J$89&gt;0)*(J$43&gt;=2)*(J$43&lt;=Quesería!$J$70:$J$89+1)*(Quesería!$H$70:$H$89&gt;0)*Quesería!$F$70:$F$89*(1+Quesería!$I$70:$I$89)/(Quesería!$J$70:$J$89+(Quesería!$J$70:$J$89=0)))+SUMPRODUCT((Quesería!$C$70:$C$89=1)*(Quesería!$J$70:$J$89=0)*(J$43=1)*(Quesería!$H$70:$H$89&gt;0)*Quesería!$F$70:$F$89*(1+Quesería!$I$70:$I$89)))*$C$348*$I$21,IF(AND(J$43&gt;=1,J$43&lt;=Quesería!$B$30),Quesería!$F$92/Quesería!$B$30,0)*$B$348+IF(AND(J$43&gt;=2,J$43&lt;=Quesería!$B$30+1),Quesería!$F$93/Quesería!$B$30,0)*$C$348*$I$21)*$I$11+IF(AND(J$43&gt;=6,J$43&lt;=10),$G352*$G348/5,0)+IF(AND(J$43&gt;=7,J$43&lt;=11),$H352*$H348/5,0))*J350</f>
        <v>145.997598076008</v>
      </c>
      <c r="K360" s="29" t="n">
        <f aca="false">(IF($I$19=1,(SUMPRODUCT((Quesería!$C$70:$C$89=0)*(Quesería!$J$70:$J$89&gt;0)*(K$43&gt;=1)*(K$43&lt;=Quesería!$J$70:$J$89)*(Quesería!$H$70:$H$89&gt;0)*Quesería!$F$70:$F$89*(1+Quesería!$I$70:$I$89)/(Quesería!$J$70:$J$89+(Quesería!$J$70:$J$89=0)))+SUMPRODUCT((Quesería!$C$70:$C$89=0)*(Quesería!$J$70:$J$89=0)*(K$43=0)*(Quesería!$H$70:$H$89&gt;0)*Quesería!$F$70:$F$89*(1+Quesería!$I$70:$I$89)))*$B$348+(SUMPRODUCT((Quesería!$C$70:$C$89=1)*(Quesería!$J$70:$J$89&gt;0)*(K$43&gt;=2)*(K$43&lt;=Quesería!$J$70:$J$89+1)*(Quesería!$H$70:$H$89&gt;0)*Quesería!$F$70:$F$89*(1+Quesería!$I$70:$I$89)/(Quesería!$J$70:$J$89+(Quesería!$J$70:$J$89=0)))+SUMPRODUCT((Quesería!$C$70:$C$89=1)*(Quesería!$J$70:$J$89=0)*(K$43=1)*(Quesería!$H$70:$H$89&gt;0)*Quesería!$F$70:$F$89*(1+Quesería!$I$70:$I$89)))*$C$348*$I$21,IF(AND(K$43&gt;=1,K$43&lt;=Quesería!$B$30),Quesería!$F$92/Quesería!$B$30,0)*$B$348+IF(AND(K$43&gt;=2,K$43&lt;=Quesería!$B$30+1),Quesería!$F$93/Quesería!$B$30,0)*$C$348*$I$21)*$I$11+IF(AND(K$43&gt;=6,K$43&lt;=10),$G352*$G348/5,0)+IF(AND(K$43&gt;=7,K$43&lt;=11),$H352*$H348/5,0))*K350</f>
        <v>140.382305842316</v>
      </c>
      <c r="L360" s="29" t="n">
        <f aca="false">(IF($I$19=1,(SUMPRODUCT((Quesería!$C$70:$C$89=0)*(Quesería!$J$70:$J$89&gt;0)*(L$43&gt;=1)*(L$43&lt;=Quesería!$J$70:$J$89)*(Quesería!$H$70:$H$89&gt;0)*Quesería!$F$70:$F$89*(1+Quesería!$I$70:$I$89)/(Quesería!$J$70:$J$89+(Quesería!$J$70:$J$89=0)))+SUMPRODUCT((Quesería!$C$70:$C$89=0)*(Quesería!$J$70:$J$89=0)*(L$43=0)*(Quesería!$H$70:$H$89&gt;0)*Quesería!$F$70:$F$89*(1+Quesería!$I$70:$I$89)))*$B$348+(SUMPRODUCT((Quesería!$C$70:$C$89=1)*(Quesería!$J$70:$J$89&gt;0)*(L$43&gt;=2)*(L$43&lt;=Quesería!$J$70:$J$89+1)*(Quesería!$H$70:$H$89&gt;0)*Quesería!$F$70:$F$89*(1+Quesería!$I$70:$I$89)/(Quesería!$J$70:$J$89+(Quesería!$J$70:$J$89=0)))+SUMPRODUCT((Quesería!$C$70:$C$89=1)*(Quesería!$J$70:$J$89=0)*(L$43=1)*(Quesería!$H$70:$H$89&gt;0)*Quesería!$F$70:$F$89*(1+Quesería!$I$70:$I$89)))*$C$348*$I$21,IF(AND(L$43&gt;=1,L$43&lt;=Quesería!$B$30),Quesería!$F$92/Quesería!$B$30,0)*$B$348+IF(AND(L$43&gt;=2,L$43&lt;=Quesería!$B$30+1),Quesería!$F$93/Quesería!$B$30,0)*$C$348*$I$21)*$I$11+IF(AND(L$43&gt;=6,L$43&lt;=10),$G352*$G348/5,0)+IF(AND(L$43&gt;=7,L$43&lt;=11),$H352*$H348/5,0))*L350</f>
        <v>134.982986386842</v>
      </c>
    </row>
    <row r="361" customFormat="false" ht="15" hidden="true" customHeight="false" outlineLevel="1" collapsed="false">
      <c r="A361" s="9" t="s">
        <v>416</v>
      </c>
      <c r="B361" s="58" t="n">
        <f aca="false">IF(B$43=1,MIN($I$7*Quesería!$B$56*Quesería!$F$86*$I$11*$I$21,Quesería!$B$57*Quesería!$B$58),0)</f>
        <v>0</v>
      </c>
      <c r="C361" s="58" t="n">
        <f aca="false">IF(C$43=1,MIN($I$7*Quesería!$B$56*Quesería!$F$86*$I$11*$I$21,Quesería!$B$57*Quesería!$B$58),0)</f>
        <v>24</v>
      </c>
      <c r="D361" s="58" t="n">
        <f aca="false">IF(D$43=1,MIN($I$7*Quesería!$B$56*Quesería!$F$86*$I$11*$I$21,Quesería!$B$57*Quesería!$B$58),0)</f>
        <v>0</v>
      </c>
      <c r="E361" s="58" t="n">
        <f aca="false">IF(E$43=1,MIN($I$7*Quesería!$B$56*Quesería!$F$86*$I$11*$I$21,Quesería!$B$57*Quesería!$B$58),0)</f>
        <v>0</v>
      </c>
      <c r="F361" s="58" t="n">
        <f aca="false">IF(F$43=1,MIN($I$7*Quesería!$B$56*Quesería!$F$86*$I$11*$I$21,Quesería!$B$57*Quesería!$B$58),0)</f>
        <v>0</v>
      </c>
      <c r="G361" s="58" t="n">
        <f aca="false">IF(G$43=1,MIN($I$7*Quesería!$B$56*Quesería!$F$86*$I$11*$I$21,Quesería!$B$57*Quesería!$B$58),0)</f>
        <v>0</v>
      </c>
      <c r="H361" s="58" t="n">
        <f aca="false">IF(H$43=1,MIN($I$7*Quesería!$B$56*Quesería!$F$86*$I$11*$I$21,Quesería!$B$57*Quesería!$B$58),0)</f>
        <v>0</v>
      </c>
      <c r="I361" s="58" t="n">
        <f aca="false">IF(I$43=1,MIN($I$7*Quesería!$B$56*Quesería!$F$86*$I$11*$I$21,Quesería!$B$57*Quesería!$B$58),0)</f>
        <v>0</v>
      </c>
      <c r="J361" s="58" t="n">
        <f aca="false">IF(J$43=1,MIN($I$7*Quesería!$B$56*Quesería!$F$86*$I$11*$I$21,Quesería!$B$57*Quesería!$B$58),0)</f>
        <v>0</v>
      </c>
      <c r="K361" s="58" t="n">
        <f aca="false">IF(K$43=1,MIN($I$7*Quesería!$B$56*Quesería!$F$86*$I$11*$I$21,Quesería!$B$57*Quesería!$B$58),0)</f>
        <v>0</v>
      </c>
      <c r="L361" s="58" t="n">
        <f aca="false">IF(L$43=1,MIN($I$7*Quesería!$B$56*Quesería!$F$86*$I$11*$I$21,Quesería!$B$57*Quesería!$B$58),0)</f>
        <v>0</v>
      </c>
    </row>
    <row r="362" customFormat="false" ht="15" hidden="true" customHeight="false" outlineLevel="1" collapsed="false">
      <c r="A362" s="9" t="s">
        <v>417</v>
      </c>
      <c r="B362" s="58" t="n">
        <v>0</v>
      </c>
      <c r="C362" s="58" t="n">
        <f aca="false">$I$20*Quesería!$B$60*Quesería!$F$98*$I$11*$B$348/C348/2</f>
        <v>165.754420136891</v>
      </c>
      <c r="D362" s="58" t="n">
        <f aca="false">$I$20*Quesería!$B$60*Quesería!$F$98*$I$11*$B$348/D348/2</f>
        <v>158.616669987456</v>
      </c>
      <c r="E362" s="58" t="n">
        <v>0</v>
      </c>
      <c r="F362" s="58" t="n">
        <v>0</v>
      </c>
      <c r="G362" s="58" t="n">
        <v>0</v>
      </c>
      <c r="H362" s="58" t="n">
        <v>0</v>
      </c>
      <c r="I362" s="58" t="n">
        <v>0</v>
      </c>
      <c r="J362" s="58" t="n">
        <v>0</v>
      </c>
      <c r="K362" s="58" t="n">
        <v>0</v>
      </c>
      <c r="L362" s="58" t="n">
        <v>0</v>
      </c>
    </row>
    <row r="363" customFormat="false" ht="15" hidden="true" customHeight="false" outlineLevel="1" collapsed="false">
      <c r="A363" s="9" t="s">
        <v>418</v>
      </c>
      <c r="B363" s="58" t="n">
        <f aca="false">0</f>
        <v>0</v>
      </c>
      <c r="C363" s="58" t="n">
        <f aca="false">B353*B348/C348</f>
        <v>170.417910354489</v>
      </c>
      <c r="D363" s="58" t="n">
        <f aca="false">C353*C348/D348</f>
        <v>165.484160001709</v>
      </c>
      <c r="E363" s="58" t="n">
        <f aca="false">D353*D348/E348</f>
        <v>0</v>
      </c>
      <c r="F363" s="58" t="n">
        <f aca="false">E353*E348/F348</f>
        <v>0</v>
      </c>
      <c r="G363" s="58" t="n">
        <f aca="false">F353*F348/G348</f>
        <v>0</v>
      </c>
      <c r="H363" s="58" t="n">
        <f aca="false">G353*G348/H348</f>
        <v>6.02122070894535</v>
      </c>
      <c r="I363" s="58" t="n">
        <f aca="false">H353*H348/I348</f>
        <v>10.1699302904787</v>
      </c>
      <c r="J363" s="58" t="n">
        <f aca="false">I353*I348/J348</f>
        <v>0</v>
      </c>
      <c r="K363" s="58" t="n">
        <f aca="false">J353*J348/K348</f>
        <v>0</v>
      </c>
      <c r="L363" s="58" t="n">
        <f aca="false">K353*K348/L348</f>
        <v>0</v>
      </c>
    </row>
    <row r="364" customFormat="false" ht="15" hidden="true" customHeight="false" outlineLevel="1" collapsed="false">
      <c r="A364" s="6" t="s">
        <v>295</v>
      </c>
      <c r="B364" s="29" t="n">
        <f aca="false">$I$17*(B356-B357-B358-0.5*B359-B360)-B361-B362-B363</f>
        <v>-19.9682435547239</v>
      </c>
      <c r="C364" s="29" t="n">
        <f aca="false">$I$17*(C356-C357-C358-0.5*C359-C360)-C361-C362-C363</f>
        <v>-354.33002920961</v>
      </c>
      <c r="D364" s="29" t="n">
        <f aca="false">$I$17*(D356-D357-D358-0.5*D359-D360)-D361-D362-D363</f>
        <v>-256.687274108802</v>
      </c>
      <c r="E364" s="29" t="n">
        <f aca="false">$I$17*(E356-E357-E358-0.5*E359-E360)-E361-E362-E363</f>
        <v>92.1949351173866</v>
      </c>
      <c r="F364" s="29" t="n">
        <f aca="false">$I$17*(F356-F357-F358-0.5*F359-F360)-F361-F362-F363</f>
        <v>94.6532587122552</v>
      </c>
      <c r="G364" s="29" t="n">
        <f aca="false">$I$17*(G356-G357-G358-0.5*G359-G360)-G361-G362-G363</f>
        <v>96.9942807440052</v>
      </c>
      <c r="H364" s="29" t="n">
        <f aca="false">$I$17*(H356-H357-H358-0.5*H359-H360)-H361-H362-H363</f>
        <v>96.1840728553179</v>
      </c>
      <c r="I364" s="29" t="n">
        <f aca="false">$I$17*(I356-I357-I358-0.5*I359-I360)-I361-I362-I363</f>
        <v>90.4206251727559</v>
      </c>
      <c r="J364" s="29" t="n">
        <f aca="false">$I$17*(J356-J357-J358-0.5*J359-J360)-J361-J362-J363</f>
        <v>102.744926463708</v>
      </c>
      <c r="K364" s="29" t="n">
        <f aca="false">$I$17*(K356-K357-K358-0.5*K359-K360)-K361-K362-K363</f>
        <v>104.821235396047</v>
      </c>
      <c r="L364" s="29" t="n">
        <f aca="false">$I$17*(L356-L357-L358-0.5*L359-L360)-L361-L362-L363</f>
        <v>106.822508639262</v>
      </c>
    </row>
    <row r="365" customFormat="false" ht="15" hidden="true" customHeight="false" outlineLevel="1" collapsed="false">
      <c r="A365" s="9" t="s">
        <v>419</v>
      </c>
      <c r="B365" s="58" t="n">
        <f aca="false">(IF(B$43&gt;=1,Quesería!$G$123*IF(B$43=1,Quesería!$B$20,1),Quesería!$G$123*Quesería!$B$20*Quesería!$B$21/12*$I$23)+IF(B$43&gt;=2,Quesería!$G$124*$I$21*IF(B$43=2,Quesería!$B$20,1),0))*$I$10</f>
        <v>77.4042870161869</v>
      </c>
      <c r="C365" s="58" t="n">
        <f aca="false">(IF(C$43&gt;=1,Quesería!$G$123*IF(C$43=1,Quesería!$B$20,1),Quesería!$G$123*Quesería!$B$20*Quesería!$B$21/12*$I$23)+IF(C$43&gt;=2,Quesería!$G$124*$I$21*IF(C$43=2,Quesería!$B$20,1),0))*$I$10</f>
        <v>116.10643052428</v>
      </c>
      <c r="D365" s="58" t="n">
        <f aca="false">(IF(D$43&gt;=1,Quesería!$G$123*IF(D$43=1,Quesería!$B$20,1),Quesería!$G$123*Quesería!$B$20*Quesería!$B$21/12*$I$23)+IF(D$43&gt;=2,Quesería!$G$124*$I$21*IF(D$43=2,Quesería!$B$20,1),0))*$I$10</f>
        <v>297.090260202792</v>
      </c>
      <c r="E365" s="58" t="n">
        <f aca="false">(IF(E$43&gt;=1,Quesería!$G$123*IF(E$43=1,Quesería!$B$20,1),Quesería!$G$123*Quesería!$B$20*Quesería!$B$21/12*$I$23)+IF(E$43&gt;=2,Quesería!$G$124*$I$21*IF(E$43=2,Quesería!$B$20,1),0))*$I$10</f>
        <v>344.517488926264</v>
      </c>
      <c r="F365" s="58" t="n">
        <f aca="false">(IF(F$43&gt;=1,Quesería!$G$123*IF(F$43=1,Quesería!$B$20,1),Quesería!$G$123*Quesería!$B$20*Quesería!$B$21/12*$I$23)+IF(F$43&gt;=2,Quesería!$G$124*$I$21*IF(F$43=2,Quesería!$B$20,1),0))*$I$10</f>
        <v>344.517488926264</v>
      </c>
      <c r="G365" s="58" t="n">
        <f aca="false">(IF(G$43&gt;=1,Quesería!$G$123*IF(G$43=1,Quesería!$B$20,1),Quesería!$G$123*Quesería!$B$20*Quesería!$B$21/12*$I$23)+IF(G$43&gt;=2,Quesería!$G$124*$I$21*IF(G$43=2,Quesería!$B$20,1),0))*$I$10</f>
        <v>344.517488926264</v>
      </c>
      <c r="H365" s="58" t="n">
        <f aca="false">(IF(H$43&gt;=1,Quesería!$G$123*IF(H$43=1,Quesería!$B$20,1),Quesería!$G$123*Quesería!$B$20*Quesería!$B$21/12*$I$23)+IF(H$43&gt;=2,Quesería!$G$124*$I$21*IF(H$43=2,Quesería!$B$20,1),0))*$I$10</f>
        <v>344.517488926264</v>
      </c>
      <c r="I365" s="58" t="n">
        <f aca="false">(IF(I$43&gt;=1,Quesería!$G$123*IF(I$43=1,Quesería!$B$20,1),Quesería!$G$123*Quesería!$B$20*Quesería!$B$21/12*$I$23)+IF(I$43&gt;=2,Quesería!$G$124*$I$21*IF(I$43=2,Quesería!$B$20,1),0))*$I$10</f>
        <v>344.517488926264</v>
      </c>
      <c r="J365" s="58" t="n">
        <f aca="false">(IF(J$43&gt;=1,Quesería!$G$123*IF(J$43=1,Quesería!$B$20,1),Quesería!$G$123*Quesería!$B$20*Quesería!$B$21/12*$I$23)+IF(J$43&gt;=2,Quesería!$G$124*$I$21*IF(J$43=2,Quesería!$B$20,1),0))*$I$10</f>
        <v>344.517488926264</v>
      </c>
      <c r="K365" s="58" t="n">
        <f aca="false">(IF(K$43&gt;=1,Quesería!$G$123*IF(K$43=1,Quesería!$B$20,1),Quesería!$G$123*Quesería!$B$20*Quesería!$B$21/12*$I$23)+IF(K$43&gt;=2,Quesería!$G$124*$I$21*IF(K$43=2,Quesería!$B$20,1),0))*$I$10</f>
        <v>344.517488926264</v>
      </c>
      <c r="L365" s="58" t="n">
        <f aca="false">(IF(L$43&gt;=1,Quesería!$G$123*IF(L$43=1,Quesería!$B$20,1),Quesería!$G$123*Quesería!$B$20*Quesería!$B$21/12*$I$23)+IF(L$43&gt;=2,Quesería!$G$124*$I$21*IF(L$43=2,Quesería!$B$20,1),0))*$I$10</f>
        <v>344.517488926264</v>
      </c>
    </row>
    <row r="366" customFormat="false" ht="15" hidden="true" customHeight="false" outlineLevel="1" collapsed="false">
      <c r="A366" s="6" t="s">
        <v>420</v>
      </c>
      <c r="B366" s="29" t="n">
        <f aca="false">(B365*(Quesería!$B$38+Quesería!$B$40*Quesería!$B$39)/365-B357*Quesería!$B$42/365)</f>
        <v>7.23146900616979</v>
      </c>
      <c r="C366" s="29" t="n">
        <f aca="false">(C365*(Quesería!$B$38+Quesería!$B$40*Quesería!$B$39)/365-C357*Quesería!$B$42/365)-(B365*(Quesería!$B$38+Quesería!$B$40*Quesería!$B$39)/365-B357*Quesería!$B$42/365)*B348/C348</f>
        <v>1.24113465048373</v>
      </c>
      <c r="D366" s="29" t="n">
        <f aca="false">(D365*(Quesería!$B$38+Quesería!$B$40*Quesería!$B$39)/365-D357*Quesería!$B$42/365)-(C365*(Quesería!$B$38+Quesería!$B$40*Quesería!$B$39)/365-C357*Quesería!$B$42/365)*C348/D348</f>
        <v>13.7898659576899</v>
      </c>
      <c r="E366" s="29" t="n">
        <f aca="false">(E365*(Quesería!$B$38+Quesería!$B$40*Quesería!$B$39)/365-E357*Quesería!$B$42/365)-(D365*(Quesería!$B$38+Quesería!$B$40*Quesería!$B$39)/365-D357*Quesería!$B$42/365)*D348/E348</f>
        <v>5.26041466663585</v>
      </c>
      <c r="F366" s="29" t="n">
        <f aca="false">(F365*(Quesería!$B$38+Quesería!$B$40*Quesería!$B$39)/365-F357*Quesería!$B$42/365)-(E365*(Quesería!$B$38+Quesería!$B$40*Quesería!$B$39)/365-E357*Quesería!$B$42/365)*E348/F348</f>
        <v>0.999960242319688</v>
      </c>
      <c r="G366" s="29" t="n">
        <f aca="false">(G365*(Quesería!$B$38+Quesería!$B$40*Quesería!$B$39)/365-G357*Quesería!$B$42/365)-(F365*(Quesería!$B$38+Quesería!$B$40*Quesería!$B$39)/365-F357*Quesería!$B$42/365)*F348/G348</f>
        <v>0.999960242319688</v>
      </c>
      <c r="H366" s="29" t="n">
        <f aca="false">(H365*(Quesería!$B$38+Quesería!$B$40*Quesería!$B$39)/365-H357*Quesería!$B$42/365)-(G365*(Quesería!$B$38+Quesería!$B$40*Quesería!$B$39)/365-G357*Quesería!$B$42/365)*G348/H348</f>
        <v>0.999960242319688</v>
      </c>
      <c r="I366" s="29" t="n">
        <f aca="false">(I365*(Quesería!$B$38+Quesería!$B$40*Quesería!$B$39)/365-I357*Quesería!$B$42/365)-(H365*(Quesería!$B$38+Quesería!$B$40*Quesería!$B$39)/365-H357*Quesería!$B$42/365)*H348/I348</f>
        <v>0.999960242319684</v>
      </c>
      <c r="J366" s="29" t="n">
        <f aca="false">(J365*(Quesería!$B$38+Quesería!$B$40*Quesería!$B$39)/365-J357*Quesería!$B$42/365)-(I365*(Quesería!$B$38+Quesería!$B$40*Quesería!$B$39)/365-I357*Quesería!$B$42/365)*I348/J348</f>
        <v>0.999960242319684</v>
      </c>
      <c r="K366" s="29" t="n">
        <f aca="false">(K365*(Quesería!$B$38+Quesería!$B$40*Quesería!$B$39)/365-K357*Quesería!$B$42/365)-(J365*(Quesería!$B$38+Quesería!$B$40*Quesería!$B$39)/365-J357*Quesería!$B$42/365)*J348/K348</f>
        <v>0.999960242319688</v>
      </c>
      <c r="L366" s="29" t="n">
        <f aca="false">-(K365*(Quesería!$B$38+Quesería!$B$40*Quesería!$B$39)/365-K357*Quesería!$B$42/365)*K348/L348</f>
        <v>-24.9990060579921</v>
      </c>
    </row>
    <row r="367" customFormat="false" ht="15" hidden="true" customHeight="false" outlineLevel="1" collapsed="false">
      <c r="A367" s="6" t="s">
        <v>421</v>
      </c>
      <c r="B367" s="29" t="n">
        <v>0</v>
      </c>
      <c r="C367" s="29" t="n">
        <v>0</v>
      </c>
      <c r="D367" s="29" t="n">
        <v>0</v>
      </c>
      <c r="E367" s="29" t="n">
        <v>0</v>
      </c>
      <c r="F367" s="29" t="n">
        <v>0</v>
      </c>
      <c r="G367" s="29" t="n">
        <v>0</v>
      </c>
      <c r="H367" s="29" t="n">
        <v>0</v>
      </c>
      <c r="I367" s="29" t="n">
        <v>0</v>
      </c>
      <c r="J367" s="29" t="n">
        <v>0</v>
      </c>
      <c r="K367" s="29" t="n">
        <v>0</v>
      </c>
      <c r="L367" s="29" t="n">
        <f aca="false">$I$8*Quesería!$B$36*(Quesería!$F$94+Quesería!$F$95*$I$21)*$I$11*(1-$I$17)</f>
        <v>80.5485270701451</v>
      </c>
    </row>
    <row r="368" customFormat="false" ht="15" hidden="true" customHeight="false" outlineLevel="1" collapsed="false">
      <c r="A368" s="5" t="s">
        <v>147</v>
      </c>
      <c r="B368" s="59" t="n">
        <f aca="false">B356-B357-B358-B359-B364-B351-B352-B353-B366+B367</f>
        <v>-1167.62914275323</v>
      </c>
      <c r="C368" s="59" t="n">
        <f aca="false">C356-C357-C358-C359-C364-C351-C352-C353-C366+C367</f>
        <v>-616.890091776665</v>
      </c>
      <c r="D368" s="59" t="n">
        <f aca="false">D356-D357-D358-D359-D364-D351-D352-D353-D366+D367</f>
        <v>616.864247325978</v>
      </c>
      <c r="E368" s="59" t="n">
        <f aca="false">E356-E357-E358-E359-E364-E351-E352-E353-E366+E367</f>
        <v>340.332276577299</v>
      </c>
      <c r="F368" s="59" t="n">
        <f aca="false">F356-F357-F358-F359-F364-F351-F352-F353-F366+F367</f>
        <v>342.443618442182</v>
      </c>
      <c r="G368" s="59" t="n">
        <f aca="false">G356-G357-G358-G359-G364-G351-G352-G353-G366+G367</f>
        <v>301.036141920054</v>
      </c>
      <c r="H368" s="59" t="n">
        <f aca="false">H356-H357-H358-H359-H364-H351-H352-H353-H366+H367</f>
        <v>275.027183053134</v>
      </c>
      <c r="I368" s="59" t="n">
        <f aca="false">I356-I357-I358-I359-I364-I351-I352-I353-I366+I367</f>
        <v>347.613192378807</v>
      </c>
      <c r="J368" s="59" t="n">
        <f aca="false">J356-J357-J358-J359-J364-J351-J352-J353-J366+J367</f>
        <v>335.604332880453</v>
      </c>
      <c r="K368" s="59" t="n">
        <f aca="false">K356-K357-K358-K359-K364-K351-K352-K353-K366+K367</f>
        <v>333.845042949676</v>
      </c>
      <c r="L368" s="59" t="n">
        <f aca="false">L356-L357-L358-L359-L364-L351-L352-L353-L366+L367</f>
        <v>438.709867173487</v>
      </c>
    </row>
    <row r="369" customFormat="false" ht="15" hidden="true" customHeight="false" outlineLevel="1" collapsed="false">
      <c r="A369" s="9" t="s">
        <v>422</v>
      </c>
      <c r="B369" s="58" t="n">
        <f aca="false">B368*B348</f>
        <v>-1237.68689131842</v>
      </c>
      <c r="C369" s="58" t="n">
        <f aca="false">C368*C348</f>
        <v>-686.598672147428</v>
      </c>
      <c r="D369" s="58" t="n">
        <f aca="false">D368*D348</f>
        <v>717.465553101135</v>
      </c>
      <c r="E369" s="58" t="n">
        <f aca="false">E368*E348</f>
        <v>411.668780539024</v>
      </c>
      <c r="F369" s="58" t="n">
        <f aca="false">F368*F348</f>
        <v>430.791584489821</v>
      </c>
      <c r="G369" s="58" t="n">
        <f aca="false">G368*G348</f>
        <v>393.849331001249</v>
      </c>
      <c r="H369" s="58" t="n">
        <f aca="false">H368*H348</f>
        <v>374.214345879629</v>
      </c>
      <c r="I369" s="58" t="n">
        <f aca="false">I368*I348</f>
        <v>491.897257716649</v>
      </c>
      <c r="J369" s="58" t="n">
        <f aca="false">J368*J348</f>
        <v>493.90002688821</v>
      </c>
      <c r="K369" s="58" t="n">
        <f aca="false">K368*K348</f>
        <v>510.963363449775</v>
      </c>
      <c r="L369" s="58" t="n">
        <f aca="false">L368*L348</f>
        <v>698.321754374811</v>
      </c>
    </row>
    <row r="370" customFormat="false" ht="15" hidden="true" customHeight="false" outlineLevel="1" collapsed="false">
      <c r="A370" s="6" t="s">
        <v>423</v>
      </c>
      <c r="B370" s="29" t="n">
        <f aca="false">B368</f>
        <v>-1167.62914275323</v>
      </c>
      <c r="C370" s="29" t="n">
        <f aca="false">B370+C368</f>
        <v>-1784.51923452989</v>
      </c>
      <c r="D370" s="29" t="n">
        <f aca="false">C370+D368</f>
        <v>-1167.65498720392</v>
      </c>
      <c r="E370" s="29" t="n">
        <f aca="false">D370+E368</f>
        <v>-827.322710626617</v>
      </c>
      <c r="F370" s="29" t="n">
        <f aca="false">E370+F368</f>
        <v>-484.879092184435</v>
      </c>
      <c r="G370" s="29" t="n">
        <f aca="false">F370+G368</f>
        <v>-183.842950264381</v>
      </c>
      <c r="H370" s="29" t="n">
        <f aca="false">G370+H368</f>
        <v>91.184232788753</v>
      </c>
      <c r="I370" s="29" t="n">
        <f aca="false">H370+I368</f>
        <v>438.79742516756</v>
      </c>
      <c r="J370" s="29" t="n">
        <f aca="false">I370+J368</f>
        <v>774.401758048013</v>
      </c>
      <c r="K370" s="29" t="n">
        <f aca="false">J370+K368</f>
        <v>1108.24680099769</v>
      </c>
      <c r="L370" s="29" t="n">
        <f aca="false">K370+L368</f>
        <v>1546.95666817118</v>
      </c>
    </row>
    <row r="371" customFormat="false" ht="15" hidden="true" customHeight="false" outlineLevel="1" collapsed="false">
      <c r="A371" s="9" t="s">
        <v>424</v>
      </c>
      <c r="B371" s="60" t="n">
        <v>0</v>
      </c>
      <c r="C371" s="60" t="n">
        <f aca="false">IF(AND(B370&lt;0,C370&gt;=0),B$43+(-B370)/C368,0)</f>
        <v>0</v>
      </c>
      <c r="D371" s="60" t="n">
        <f aca="false">IF(AND(C370&lt;0,D370&gt;=0),C$43+(-C370)/D368,0)</f>
        <v>0</v>
      </c>
      <c r="E371" s="60" t="n">
        <f aca="false">IF(AND(D370&lt;0,E370&gt;=0),D$43+(-D370)/E368,0)</f>
        <v>0</v>
      </c>
      <c r="F371" s="60" t="n">
        <f aca="false">IF(AND(E370&lt;0,F370&gt;=0),E$43+(-E370)/F368,0)</f>
        <v>0</v>
      </c>
      <c r="G371" s="60" t="n">
        <f aca="false">IF(AND(F370&lt;0,G370&gt;=0),F$43+(-F370)/G368,0)</f>
        <v>0</v>
      </c>
      <c r="H371" s="60" t="n">
        <f aca="false">IF(AND(G370&lt;0,H370&gt;=0),G$43+(-G370)/H368,0)</f>
        <v>5.66845374418449</v>
      </c>
      <c r="I371" s="60" t="n">
        <f aca="false">IF(AND(H370&lt;0,I370&gt;=0),H$43+(-H370)/I368,0)</f>
        <v>0</v>
      </c>
      <c r="J371" s="60" t="n">
        <f aca="false">IF(AND(I370&lt;0,J370&gt;=0),I$43+(-I370)/J368,0)</f>
        <v>0</v>
      </c>
      <c r="K371" s="60" t="n">
        <f aca="false">IF(AND(J370&lt;0,K370&gt;=0),J$43+(-J370)/K368,0)</f>
        <v>0</v>
      </c>
      <c r="L371" s="60" t="n">
        <f aca="false">IF(AND(K370&lt;0,L370&gt;=0),K$43+(-K370)/L368,0)</f>
        <v>0</v>
      </c>
    </row>
    <row r="372" customFormat="false" ht="15" hidden="true" customHeight="false" outlineLevel="1" collapsed="false">
      <c r="A372" s="9" t="s">
        <v>425</v>
      </c>
      <c r="B372" s="57" t="n">
        <f aca="false">(B348/$B$348)/(1+$I$25)^B$43</f>
        <v>1</v>
      </c>
      <c r="C372" s="57" t="n">
        <f aca="false">(C348/$B$348)/(1+$I$25)^C$43</f>
        <v>0.915373701313561</v>
      </c>
      <c r="D372" s="57" t="n">
        <f aca="false">(D348/$B$348)/(1+$I$25)^D$43</f>
        <v>0.833918970137172</v>
      </c>
      <c r="E372" s="57" t="n">
        <f aca="false">(E348/$B$348)/(1+$I$25)^E$43</f>
        <v>0.756077518153961</v>
      </c>
      <c r="F372" s="57" t="n">
        <f aca="false">(F348/$B$348)/(1+$I$25)^F$43</f>
        <v>0.685502109831871</v>
      </c>
      <c r="G372" s="57" t="n">
        <f aca="false">(G348/$B$348)/(1+$I$25)^G$43</f>
        <v>0.621514502549008</v>
      </c>
      <c r="H372" s="57" t="n">
        <f aca="false">(H348/$B$348)/(1+$I$25)^H$43</f>
        <v>0.563499763660072</v>
      </c>
      <c r="I372" s="57" t="n">
        <f aca="false">(I348/$B$348)/(1+$I$25)^I$43</f>
        <v>0.510900360880829</v>
      </c>
      <c r="J372" s="57" t="n">
        <f aca="false">(J348/$B$348)/(1+$I$25)^J$43</f>
        <v>0.463210804300567</v>
      </c>
      <c r="K372" s="57" t="n">
        <f aca="false">(K348/$B$348)/(1+$I$25)^K$43</f>
        <v>0.419972788531318</v>
      </c>
      <c r="L372" s="57" t="n">
        <f aca="false">(L348/$B$348)/(1+$I$25)^L$43</f>
        <v>0.380770788308996</v>
      </c>
    </row>
    <row r="373" customFormat="false" ht="15" hidden="true" customHeight="false" outlineLevel="1" collapsed="false">
      <c r="A373" s="9" t="s">
        <v>426</v>
      </c>
      <c r="B373" s="58" t="n">
        <f aca="false">B368*B372</f>
        <v>-1167.62914275323</v>
      </c>
      <c r="C373" s="58" t="n">
        <f aca="false">C368*C372</f>
        <v>-564.684966613268</v>
      </c>
      <c r="D373" s="58" t="n">
        <f aca="false">D368*D372</f>
        <v>514.414797844522</v>
      </c>
      <c r="E373" s="58" t="n">
        <f aca="false">E368*E372</f>
        <v>257.317583022252</v>
      </c>
      <c r="F373" s="58" t="n">
        <f aca="false">F368*F372</f>
        <v>234.745822940576</v>
      </c>
      <c r="G373" s="58" t="n">
        <f aca="false">G368*G372</f>
        <v>187.098327994715</v>
      </c>
      <c r="H373" s="58" t="n">
        <f aca="false">H368*H372</f>
        <v>154.977752650536</v>
      </c>
      <c r="I373" s="58" t="n">
        <f aca="false">I368*I372</f>
        <v>177.59570543327</v>
      </c>
      <c r="J373" s="58" t="n">
        <f aca="false">J368*J372</f>
        <v>155.45555296031</v>
      </c>
      <c r="K373" s="58" t="n">
        <f aca="false">K368*K372</f>
        <v>140.205833624933</v>
      </c>
      <c r="L373" s="58" t="n">
        <f aca="false">L368*L372</f>
        <v>167.047901962584</v>
      </c>
    </row>
    <row r="374" customFormat="false" ht="15" hidden="true" customHeight="false" outlineLevel="1" collapsed="false">
      <c r="A374" s="9" t="s">
        <v>427</v>
      </c>
      <c r="B374" s="58" t="n">
        <f aca="false">B373</f>
        <v>-1167.62914275323</v>
      </c>
      <c r="C374" s="58" t="n">
        <f aca="false">B374+C373</f>
        <v>-1732.3141093665</v>
      </c>
      <c r="D374" s="58" t="n">
        <f aca="false">C374+D373</f>
        <v>-1217.89931152198</v>
      </c>
      <c r="E374" s="58" t="n">
        <f aca="false">D374+E373</f>
        <v>-960.581728499724</v>
      </c>
      <c r="F374" s="58" t="n">
        <f aca="false">E374+F373</f>
        <v>-725.835905559148</v>
      </c>
      <c r="G374" s="58" t="n">
        <f aca="false">F374+G373</f>
        <v>-538.737577564433</v>
      </c>
      <c r="H374" s="58" t="n">
        <f aca="false">G374+H373</f>
        <v>-383.759824913897</v>
      </c>
      <c r="I374" s="58" t="n">
        <f aca="false">H374+I373</f>
        <v>-206.164119480627</v>
      </c>
      <c r="J374" s="58" t="n">
        <f aca="false">I374+J373</f>
        <v>-50.7085665203171</v>
      </c>
      <c r="K374" s="58" t="n">
        <f aca="false">J374+K373</f>
        <v>89.4972671046158</v>
      </c>
      <c r="L374" s="58" t="n">
        <f aca="false">K374+L373</f>
        <v>256.545169067199</v>
      </c>
    </row>
    <row r="375" customFormat="false" ht="15" hidden="true" customHeight="false" outlineLevel="1" collapsed="false">
      <c r="A375" s="9" t="s">
        <v>428</v>
      </c>
      <c r="B375" s="60" t="n">
        <v>0</v>
      </c>
      <c r="C375" s="60" t="n">
        <f aca="false">IF(AND(B374&lt;0,C374&gt;=0),B$43+(-B374)/C373,0)</f>
        <v>0</v>
      </c>
      <c r="D375" s="60" t="n">
        <f aca="false">IF(AND(C374&lt;0,D374&gt;=0),C$43+(-C374)/D373,0)</f>
        <v>0</v>
      </c>
      <c r="E375" s="60" t="n">
        <f aca="false">IF(AND(D374&lt;0,E374&gt;=0),D$43+(-D374)/E373,0)</f>
        <v>0</v>
      </c>
      <c r="F375" s="60" t="n">
        <f aca="false">IF(AND(E374&lt;0,F374&gt;=0),E$43+(-E374)/F373,0)</f>
        <v>0</v>
      </c>
      <c r="G375" s="60" t="n">
        <f aca="false">IF(AND(F374&lt;0,G374&gt;=0),F$43+(-F374)/G373,0)</f>
        <v>0</v>
      </c>
      <c r="H375" s="60" t="n">
        <f aca="false">IF(AND(G374&lt;0,H374&gt;=0),G$43+(-G374)/H373,0)</f>
        <v>0</v>
      </c>
      <c r="I375" s="60" t="n">
        <f aca="false">IF(AND(H374&lt;0,I374&gt;=0),H$43+(-H374)/I373,0)</f>
        <v>0</v>
      </c>
      <c r="J375" s="60" t="n">
        <f aca="false">IF(AND(I374&lt;0,J374&gt;=0),I$43+(-I374)/J373,0)</f>
        <v>0</v>
      </c>
      <c r="K375" s="60" t="n">
        <f aca="false">IF(AND(J374&lt;0,K374&gt;=0),J$43+(-J374)/K373,0)</f>
        <v>8.36167230142484</v>
      </c>
      <c r="L375" s="60" t="n">
        <f aca="false">IF(AND(K374&lt;0,L374&gt;=0),K$43+(-K374)/L373,0)</f>
        <v>0</v>
      </c>
    </row>
    <row r="376" customFormat="false" ht="15" hidden="true" customHeight="false" outlineLevel="1" collapsed="false">
      <c r="A376" s="9" t="s">
        <v>429</v>
      </c>
      <c r="B376" s="58" t="n">
        <f aca="false">IF(B$43&lt;0,0,(Quesería!$B$44*$B$351*$B$348)*(1-MAX(0,MIN(B$43-0-Quesería!$B$47,(Quesería!$B$46-Quesería!$B$47)))/(Quesería!$B$46-Quesería!$B$47))*IF(B$43&gt;=2,1-Quesería!$B$48,1))+IF(B$43&lt;1,0,(Quesería!$B$44*$C$351*$C$348)*(1-MAX(0,MIN(B$43-1-Quesería!$B$47,(Quesería!$B$46-Quesería!$B$47)))/(Quesería!$B$46-Quesería!$B$47))*IF(B$43&gt;=2,1-Quesería!$B$48,1))</f>
        <v>769.585637962111</v>
      </c>
      <c r="C376" s="58" t="n">
        <f aca="false">IF(C$43&lt;0,0,(Quesería!$B$44*$B$351*$B$348)*(1-MAX(0,MIN(C$43-0-Quesería!$B$47,(Quesería!$B$46-Quesería!$B$47)))/(Quesería!$B$46-Quesería!$B$47))*IF(C$43&gt;=2,1-Quesería!$B$48,1))+IF(C$43&lt;1,0,(Quesería!$B$44*$C$351*$C$348)*(1-MAX(0,MIN(C$43-1-Quesería!$B$47,(Quesería!$B$46-Quesería!$B$47)))/(Quesería!$B$46-Quesería!$B$47))*IF(C$43&gt;=2,1-Quesería!$B$48,1))</f>
        <v>1428.04297350491</v>
      </c>
      <c r="D376" s="58" t="n">
        <f aca="false">IF(D$43&lt;0,0,(Quesería!$B$44*$B$351*$B$348)*(1-MAX(0,MIN(D$43-0-Quesería!$B$47,(Quesería!$B$46-Quesería!$B$47)))/(Quesería!$B$46-Quesería!$B$47))*IF(D$43&gt;=2,1-Quesería!$B$48,1))+IF(D$43&lt;1,0,(Quesería!$B$44*$C$351*$C$348)*(1-MAX(0,MIN(D$43-1-Quesería!$B$47,(Quesería!$B$46-Quesería!$B$47)))/(Quesería!$B$46-Quesería!$B$47))*IF(D$43&gt;=2,1-Quesería!$B$48,1))</f>
        <v>1299.77870051122</v>
      </c>
      <c r="E376" s="58" t="n">
        <f aca="false">IF(E$43&lt;0,0,(Quesería!$B$44*$B$351*$B$348)*(1-MAX(0,MIN(E$43-0-Quesería!$B$47,(Quesería!$B$46-Quesería!$B$47)))/(Quesería!$B$46-Quesería!$B$47))*IF(E$43&gt;=2,1-Quesería!$B$48,1))+IF(E$43&lt;1,0,(Quesería!$B$44*$C$351*$C$348)*(1-MAX(0,MIN(E$43-1-Quesería!$B$47,(Quesería!$B$46-Quesería!$B$47)))/(Quesería!$B$46-Quesería!$B$47))*IF(E$43&gt;=2,1-Quesería!$B$48,1))</f>
        <v>1061.77153826041</v>
      </c>
      <c r="F376" s="58" t="n">
        <f aca="false">IF(F$43&lt;0,0,(Quesería!$B$44*$B$351*$B$348)*(1-MAX(0,MIN(F$43-0-Quesería!$B$47,(Quesería!$B$46-Quesería!$B$47)))/(Quesería!$B$46-Quesería!$B$47))*IF(F$43&gt;=2,1-Quesería!$B$48,1))+IF(F$43&lt;1,0,(Quesería!$B$44*$C$351*$C$348)*(1-MAX(0,MIN(F$43-1-Quesería!$B$47,(Quesería!$B$46-Quesería!$B$47)))/(Quesería!$B$46-Quesería!$B$47))*IF(F$43&gt;=2,1-Quesería!$B$48,1))</f>
        <v>823.764376009588</v>
      </c>
      <c r="G376" s="58" t="n">
        <f aca="false">IF(G$43&lt;0,0,(Quesería!$B$44*$B$351*$B$348)*(1-MAX(0,MIN(G$43-0-Quesería!$B$47,(Quesería!$B$46-Quesería!$B$47)))/(Quesería!$B$46-Quesería!$B$47))*IF(G$43&gt;=2,1-Quesería!$B$48,1))+IF(G$43&lt;1,0,(Quesería!$B$44*$C$351*$C$348)*(1-MAX(0,MIN(G$43-1-Quesería!$B$47,(Quesería!$B$46-Quesería!$B$47)))/(Quesería!$B$46-Quesería!$B$47))*IF(G$43&gt;=2,1-Quesería!$B$48,1))</f>
        <v>585.75721375877</v>
      </c>
      <c r="H376" s="58" t="n">
        <f aca="false">IF(H$43&lt;0,0,(Quesería!$B$44*$B$351*$B$348)*(1-MAX(0,MIN(H$43-0-Quesería!$B$47,(Quesería!$B$46-Quesería!$B$47)))/(Quesería!$B$46-Quesería!$B$47))*IF(H$43&gt;=2,1-Quesería!$B$48,1))+IF(H$43&lt;1,0,(Quesería!$B$44*$C$351*$C$348)*(1-MAX(0,MIN(H$43-1-Quesería!$B$47,(Quesería!$B$46-Quesería!$B$47)))/(Quesería!$B$46-Quesería!$B$47))*IF(H$43&gt;=2,1-Quesería!$B$48,1))</f>
        <v>347.750051507951</v>
      </c>
      <c r="I376" s="58" t="n">
        <f aca="false">IF(I$43&lt;0,0,(Quesería!$B$44*$B$351*$B$348)*(1-MAX(0,MIN(I$43-0-Quesería!$B$47,(Quesería!$B$46-Quesería!$B$47)))/(Quesería!$B$46-Quesería!$B$47))*IF(I$43&gt;=2,1-Quesería!$B$48,1))+IF(I$43&lt;1,0,(Quesería!$B$44*$C$351*$C$348)*(1-MAX(0,MIN(I$43-1-Quesería!$B$47,(Quesería!$B$46-Quesería!$B$47)))/(Quesería!$B$46-Quesería!$B$47))*IF(I$43&gt;=2,1-Quesería!$B$48,1))</f>
        <v>109.742889257133</v>
      </c>
      <c r="J376" s="58" t="n">
        <f aca="false">IF(J$43&lt;0,0,(Quesería!$B$44*$B$351*$B$348)*(1-MAX(0,MIN(J$43-0-Quesería!$B$47,(Quesería!$B$46-Quesería!$B$47)))/(Quesería!$B$46-Quesería!$B$47))*IF(J$43&gt;=2,1-Quesería!$B$48,1))+IF(J$43&lt;1,0,(Quesería!$B$44*$C$351*$C$348)*(1-MAX(0,MIN(J$43-1-Quesería!$B$47,(Quesería!$B$46-Quesería!$B$47)))/(Quesería!$B$46-Quesería!$B$47))*IF(J$43&gt;=2,1-Quesería!$B$48,1))</f>
        <v>0</v>
      </c>
      <c r="K376" s="58" t="n">
        <f aca="false">IF(K$43&lt;0,0,(Quesería!$B$44*$B$351*$B$348)*(1-MAX(0,MIN(K$43-0-Quesería!$B$47,(Quesería!$B$46-Quesería!$B$47)))/(Quesería!$B$46-Quesería!$B$47))*IF(K$43&gt;=2,1-Quesería!$B$48,1))+IF(K$43&lt;1,0,(Quesería!$B$44*$C$351*$C$348)*(1-MAX(0,MIN(K$43-1-Quesería!$B$47,(Quesería!$B$46-Quesería!$B$47)))/(Quesería!$B$46-Quesería!$B$47))*IF(K$43&gt;=2,1-Quesería!$B$48,1))</f>
        <v>0</v>
      </c>
      <c r="L376" s="58" t="n">
        <f aca="false">IF(L$43&lt;0,0,(Quesería!$B$44*$B$351*$B$348)*(1-MAX(0,MIN(L$43-0-Quesería!$B$47,(Quesería!$B$46-Quesería!$B$47)))/(Quesería!$B$46-Quesería!$B$47))*IF(L$43&gt;=2,1-Quesería!$B$48,1))+IF(L$43&lt;1,0,(Quesería!$B$44*$C$351*$C$348)*(1-MAX(0,MIN(L$43-1-Quesería!$B$47,(Quesería!$B$46-Quesería!$B$47)))/(Quesería!$B$46-Quesería!$B$47))*IF(L$43&gt;=2,1-Quesería!$B$48,1))</f>
        <v>0</v>
      </c>
    </row>
    <row r="377" customFormat="false" ht="15" hidden="true" customHeight="false" outlineLevel="1" collapsed="false">
      <c r="A377" s="6" t="s">
        <v>430</v>
      </c>
      <c r="B377" s="29" t="n">
        <f aca="false">Quesería!$B$44*B351</f>
        <v>726.024186756708</v>
      </c>
      <c r="C377" s="29" t="n">
        <f aca="false">Quesería!$B$44*C351</f>
        <v>591.605872006109</v>
      </c>
      <c r="D377" s="29" t="n">
        <f aca="false">Quesería!$B$44*D351</f>
        <v>0</v>
      </c>
      <c r="E377" s="29" t="n">
        <f aca="false">Quesería!$B$44*E351</f>
        <v>0</v>
      </c>
      <c r="F377" s="29" t="n">
        <f aca="false">Quesería!$B$44*F351</f>
        <v>0</v>
      </c>
      <c r="G377" s="29" t="n">
        <f aca="false">Quesería!$B$44*G351</f>
        <v>0</v>
      </c>
      <c r="H377" s="29" t="n">
        <f aca="false">Quesería!$B$44*H351</f>
        <v>0</v>
      </c>
      <c r="I377" s="29" t="n">
        <f aca="false">Quesería!$B$44*I351</f>
        <v>0</v>
      </c>
      <c r="J377" s="29" t="n">
        <f aca="false">Quesería!$B$44*J351</f>
        <v>0</v>
      </c>
      <c r="K377" s="29" t="n">
        <f aca="false">Quesería!$B$44*K351</f>
        <v>0</v>
      </c>
      <c r="L377" s="29" t="n">
        <f aca="false">Quesería!$B$44*L351</f>
        <v>0</v>
      </c>
    </row>
    <row r="378" customFormat="false" ht="15" hidden="true" customHeight="false" outlineLevel="1" collapsed="false">
      <c r="A378" s="6" t="s">
        <v>431</v>
      </c>
      <c r="B378" s="29" t="n">
        <f aca="false">(IF(AND(B$43&gt;0,B$43&lt;=0+Quesería!$B$46),($I$14+$I$24)*(Quesería!$B$44*$B$351*$B$348)*(1-MAX(0,MIN((B$43-1)-0-Quesería!$B$47,(Quesería!$B$46-Quesería!$B$47)))/(Quesería!$B$46-Quesería!$B$47))*IF(B$43&gt;2,1-Quesería!$B$48,1),0)+IF(AND(B$43&gt;1,B$43&lt;=1+Quesería!$B$46),($I$14+$I$24)*(Quesería!$B$44*$C$351*$C$348)*(1-MAX(0,MIN((B$43-1)-1-Quesería!$B$47,(Quesería!$B$46-Quesería!$B$47)))/(Quesería!$B$46-Quesería!$B$47))*IF(B$43&gt;2,1-Quesería!$B$48,1),0))*B350</f>
        <v>0</v>
      </c>
      <c r="C378" s="29" t="n">
        <f aca="false">(IF(AND(C$43&gt;0,C$43&lt;=0+Quesería!$B$46),($I$14+$I$24)*(Quesería!$B$44*$B$351*$B$348)*(1-MAX(0,MIN((C$43-1)-0-Quesería!$B$47,(Quesería!$B$46-Quesería!$B$47)))/(Quesería!$B$46-Quesería!$B$47))*IF(C$43&gt;2,1-Quesería!$B$48,1),0)+IF(AND(C$43&gt;1,C$43&lt;=1+Quesería!$B$46),($I$14+$I$24)*(Quesería!$B$44*$C$351*$C$348)*(1-MAX(0,MIN((C$43-1)-1-Quesería!$B$47,(Quesería!$B$46-Quesería!$B$47)))/(Quesería!$B$46-Quesería!$B$47))*IF(C$43&gt;2,1-Quesería!$B$48,1),0))*C350</f>
        <v>97.4946765073293</v>
      </c>
      <c r="D378" s="29" t="n">
        <f aca="false">(IF(AND(D$43&gt;0,D$43&lt;=0+Quesería!$B$46),($I$14+$I$24)*(Quesería!$B$44*$B$351*$B$348)*(1-MAX(0,MIN((D$43-1)-0-Quesería!$B$47,(Quesería!$B$46-Quesería!$B$47)))/(Quesería!$B$46-Quesería!$B$47))*IF(D$43&gt;2,1-Quesería!$B$48,1),0)+IF(AND(D$43&gt;1,D$43&lt;=1+Quesería!$B$46),($I$14+$I$24)*(Quesería!$B$44*$C$351*$C$348)*(1-MAX(0,MIN((D$43-1)-1-Quesería!$B$47,(Quesería!$B$46-Quesería!$B$47)))/(Quesería!$B$46-Quesería!$B$47))*IF(D$43&gt;2,1-Quesería!$B$48,1),0))*D350</f>
        <v>173.120674124584</v>
      </c>
      <c r="E378" s="29" t="n">
        <f aca="false">(IF(AND(E$43&gt;0,E$43&lt;=0+Quesería!$B$46),($I$14+$I$24)*(Quesería!$B$44*$B$351*$B$348)*(1-MAX(0,MIN((E$43-1)-0-Quesería!$B$47,(Quesería!$B$46-Quesería!$B$47)))/(Quesería!$B$46-Quesería!$B$47))*IF(E$43&gt;2,1-Quesería!$B$48,1),0)+IF(AND(E$43&gt;1,E$43&lt;=1+Quesería!$B$46),($I$14+$I$24)*(Quesería!$B$44*$C$351*$C$348)*(1-MAX(0,MIN((E$43-1)-1-Quesería!$B$47,(Quesería!$B$46-Quesería!$B$47)))/(Quesería!$B$46-Quesería!$B$47))*IF(E$43&gt;2,1-Quesería!$B$48,1),0))*E350</f>
        <v>151.510849934642</v>
      </c>
      <c r="F378" s="29" t="n">
        <f aca="false">(IF(AND(F$43&gt;0,F$43&lt;=0+Quesería!$B$46),($I$14+$I$24)*(Quesería!$B$44*$B$351*$B$348)*(1-MAX(0,MIN((F$43-1)-0-Quesería!$B$47,(Quesería!$B$46-Quesería!$B$47)))/(Quesería!$B$46-Quesería!$B$47))*IF(F$43&gt;2,1-Quesería!$B$48,1),0)+IF(AND(F$43&gt;1,F$43&lt;=1+Quesería!$B$46),($I$14+$I$24)*(Quesería!$B$44*$C$351*$C$348)*(1-MAX(0,MIN((F$43-1)-1-Quesería!$B$47,(Quesería!$B$46-Quesería!$B$47)))/(Quesería!$B$46-Quesería!$B$47))*IF(F$43&gt;2,1-Quesería!$B$48,1),0))*F350</f>
        <v>119.006877075256</v>
      </c>
      <c r="G378" s="29" t="n">
        <f aca="false">(IF(AND(G$43&gt;0,G$43&lt;=0+Quesería!$B$46),($I$14+$I$24)*(Quesería!$B$44*$B$351*$B$348)*(1-MAX(0,MIN((G$43-1)-0-Quesería!$B$47,(Quesería!$B$46-Quesería!$B$47)))/(Quesería!$B$46-Quesería!$B$47))*IF(G$43&gt;2,1-Quesería!$B$48,1),0)+IF(AND(G$43&gt;1,G$43&lt;=1+Quesería!$B$46),($I$14+$I$24)*(Quesería!$B$44*$C$351*$C$348)*(1-MAX(0,MIN((G$43-1)-1-Quesería!$B$47,(Quesería!$B$46-Quesería!$B$47)))/(Quesería!$B$46-Quesería!$B$47))*IF(G$43&gt;2,1-Quesería!$B$48,1),0))*G350</f>
        <v>88.7790813442038</v>
      </c>
      <c r="H378" s="29" t="n">
        <f aca="false">(IF(AND(H$43&gt;0,H$43&lt;=0+Quesería!$B$46),($I$14+$I$24)*(Quesería!$B$44*$B$351*$B$348)*(1-MAX(0,MIN((H$43-1)-0-Quesería!$B$47,(Quesería!$B$46-Quesería!$B$47)))/(Quesería!$B$46-Quesería!$B$47))*IF(H$43&gt;2,1-Quesería!$B$48,1),0)+IF(AND(H$43&gt;1,H$43&lt;=1+Quesería!$B$46),($I$14+$I$24)*(Quesería!$B$44*$C$351*$C$348)*(1-MAX(0,MIN((H$43-1)-1-Quesería!$B$47,(Quesería!$B$46-Quesería!$B$47)))/(Quesería!$B$46-Quesería!$B$47))*IF(H$43&gt;2,1-Quesería!$B$48,1),0))*H350</f>
        <v>60.7004549932392</v>
      </c>
      <c r="I378" s="29" t="n">
        <f aca="false">(IF(AND(I$43&gt;0,I$43&lt;=0+Quesería!$B$46),($I$14+$I$24)*(Quesería!$B$44*$B$351*$B$348)*(1-MAX(0,MIN((I$43-1)-0-Quesería!$B$47,(Quesería!$B$46-Quesería!$B$47)))/(Quesería!$B$46-Quesería!$B$47))*IF(I$43&gt;2,1-Quesería!$B$48,1),0)+IF(AND(I$43&gt;1,I$43&lt;=1+Quesería!$B$46),($I$14+$I$24)*(Quesería!$B$44*$C$351*$C$348)*(1-MAX(0,MIN((I$43-1)-1-Quesería!$B$47,(Quesería!$B$46-Quesería!$B$47)))/(Quesería!$B$46-Quesería!$B$47))*IF(I$43&gt;2,1-Quesería!$B$48,1),0))*I350</f>
        <v>34.6503929749758</v>
      </c>
      <c r="J378" s="29" t="n">
        <f aca="false">(IF(AND(J$43&gt;0,J$43&lt;=0+Quesería!$B$46),($I$14+$I$24)*(Quesería!$B$44*$B$351*$B$348)*(1-MAX(0,MIN((J$43-1)-0-Quesería!$B$47,(Quesería!$B$46-Quesería!$B$47)))/(Quesería!$B$46-Quesería!$B$47))*IF(J$43&gt;2,1-Quesería!$B$48,1),0)+IF(AND(J$43&gt;1,J$43&lt;=1+Quesería!$B$46),($I$14+$I$24)*(Quesería!$B$44*$C$351*$C$348)*(1-MAX(0,MIN((J$43-1)-1-Quesería!$B$47,(Quesería!$B$46-Quesería!$B$47)))/(Quesería!$B$46-Quesería!$B$47))*IF(J$43&gt;2,1-Quesería!$B$48,1),0))*J350</f>
        <v>10.5143883087191</v>
      </c>
      <c r="K378" s="29" t="n">
        <f aca="false">(IF(AND(K$43&gt;0,K$43&lt;=0+Quesería!$B$46),($I$14+$I$24)*(Quesería!$B$44*$B$351*$B$348)*(1-MAX(0,MIN((K$43-1)-0-Quesería!$B$47,(Quesería!$B$46-Quesería!$B$47)))/(Quesería!$B$46-Quesería!$B$47))*IF(K$43&gt;2,1-Quesería!$B$48,1),0)+IF(AND(K$43&gt;1,K$43&lt;=1+Quesería!$B$46),($I$14+$I$24)*(Quesería!$B$44*$C$351*$C$348)*(1-MAX(0,MIN((K$43-1)-1-Quesería!$B$47,(Quesería!$B$46-Quesería!$B$47)))/(Quesería!$B$46-Quesería!$B$47))*IF(K$43&gt;2,1-Quesería!$B$48,1),0))*K350</f>
        <v>0</v>
      </c>
      <c r="L378" s="29" t="n">
        <f aca="false">(IF(AND(L$43&gt;0,L$43&lt;=0+Quesería!$B$46),($I$14+$I$24)*(Quesería!$B$44*$B$351*$B$348)*(1-MAX(0,MIN((L$43-1)-0-Quesería!$B$47,(Quesería!$B$46-Quesería!$B$47)))/(Quesería!$B$46-Quesería!$B$47))*IF(L$43&gt;2,1-Quesería!$B$48,1),0)+IF(AND(L$43&gt;1,L$43&lt;=1+Quesería!$B$46),($I$14+$I$24)*(Quesería!$B$44*$C$351*$C$348)*(1-MAX(0,MIN((L$43-1)-1-Quesería!$B$47,(Quesería!$B$46-Quesería!$B$47)))/(Quesería!$B$46-Quesería!$B$47))*IF(L$43&gt;2,1-Quesería!$B$48,1),0))*L350</f>
        <v>0</v>
      </c>
    </row>
    <row r="379" customFormat="false" ht="15" hidden="true" customHeight="false" outlineLevel="1" collapsed="false">
      <c r="A379" s="6" t="s">
        <v>432</v>
      </c>
      <c r="B379" s="29" t="n">
        <f aca="false">((IF(AND(B$43&gt;0+Quesería!$B$47,B$43&lt;=0+Quesería!$B$46),(Quesería!$B$44*$B$351*$B$348)/(Quesería!$B$46-Quesería!$B$47),0)*IF(B$43&gt;2,1-Quesería!$B$48,1)+IF(B$43=2,Quesería!$B$48*(Quesería!$B$44*$B$351*$B$348)*(1-MAX(0,MIN(2-0-Quesería!$B$47,(Quesería!$B$46-Quesería!$B$47)))/(Quesería!$B$46-Quesería!$B$47)),0))+(IF(AND(B$43&gt;1+Quesería!$B$47,B$43&lt;=1+Quesería!$B$46),(Quesería!$B$44*$C$351*$C$348)/(Quesería!$B$46-Quesería!$B$47),0)*IF(B$43&gt;2,1-Quesería!$B$48,1)+IF(B$43=2,Quesería!$B$48*(Quesería!$B$44*$C$351*$C$348)*(1-MAX(0,MIN(2-1-Quesería!$B$47,(Quesería!$B$46-Quesería!$B$47)))/(Quesería!$B$46-Quesería!$B$47)),0)))*B350</f>
        <v>0</v>
      </c>
      <c r="C379" s="29" t="n">
        <f aca="false">((IF(AND(C$43&gt;0+Quesería!$B$47,C$43&lt;=0+Quesería!$B$46),(Quesería!$B$44*$B$351*$B$348)/(Quesería!$B$46-Quesería!$B$47),0)*IF(C$43&gt;2,1-Quesería!$B$48,1)+IF(C$43=2,Quesería!$B$48*(Quesería!$B$44*$B$351*$B$348)*(1-MAX(0,MIN(2-0-Quesería!$B$47,(Quesería!$B$46-Quesería!$B$47)))/(Quesería!$B$46-Quesería!$B$47)),0))+(IF(AND(C$43&gt;1+Quesería!$B$47,C$43&lt;=1+Quesería!$B$46),(Quesería!$B$44*$C$351*$C$348)/(Quesería!$B$46-Quesería!$B$47),0)*IF(C$43&gt;2,1-Quesería!$B$48,1)+IF(C$43=2,Quesería!$B$48*(Quesería!$B$44*$C$351*$C$348)*(1-MAX(0,MIN(2-1-Quesería!$B$47,(Quesería!$B$46-Quesería!$B$47)))/(Quesería!$B$46-Quesería!$B$47)),0)))*C350</f>
        <v>0</v>
      </c>
      <c r="D379" s="29" t="n">
        <f aca="false">((IF(AND(D$43&gt;0+Quesería!$B$47,D$43&lt;=0+Quesería!$B$46),(Quesería!$B$44*$B$351*$B$348)/(Quesería!$B$46-Quesería!$B$47),0)*IF(D$43&gt;2,1-Quesería!$B$48,1)+IF(D$43=2,Quesería!$B$48*(Quesería!$B$44*$B$351*$B$348)*(1-MAX(0,MIN(2-0-Quesería!$B$47,(Quesería!$B$46-Quesería!$B$47)))/(Quesería!$B$46-Quesería!$B$47)),0))+(IF(AND(D$43&gt;1+Quesería!$B$47,D$43&lt;=1+Quesería!$B$46),(Quesería!$B$44*$C$351*$C$348)/(Quesería!$B$46-Quesería!$B$47),0)*IF(D$43&gt;2,1-Quesería!$B$48,1)+IF(D$43=2,Quesería!$B$48*(Quesería!$B$44*$C$351*$C$348)*(1-MAX(0,MIN(2-1-Quesería!$B$47,(Quesería!$B$46-Quesería!$B$47)))/(Quesería!$B$46-Quesería!$B$47)),0)))*D350</f>
        <v>110.279363067777</v>
      </c>
      <c r="E379" s="29" t="n">
        <f aca="false">((IF(AND(E$43&gt;0+Quesería!$B$47,E$43&lt;=0+Quesería!$B$46),(Quesería!$B$44*$B$351*$B$348)/(Quesería!$B$46-Quesería!$B$47),0)*IF(E$43&gt;2,1-Quesería!$B$48,1)+IF(E$43=2,Quesería!$B$48*(Quesería!$B$44*$B$351*$B$348)*(1-MAX(0,MIN(2-0-Quesería!$B$47,(Quesería!$B$46-Quesería!$B$47)))/(Quesería!$B$46-Quesería!$B$47)),0))+(IF(AND(E$43&gt;1+Quesería!$B$47,E$43&lt;=1+Quesería!$B$46),(Quesería!$B$44*$C$351*$C$348)/(Quesería!$B$46-Quesería!$B$47),0)*IF(E$43&gt;2,1-Quesería!$B$48,1)+IF(E$43=2,Quesería!$B$48*(Quesería!$B$44*$C$351*$C$348)*(1-MAX(0,MIN(2-1-Quesería!$B$47,(Quesería!$B$46-Quesería!$B$47)))/(Quesería!$B$46-Quesería!$B$47)),0)))*E350</f>
        <v>196.763814016849</v>
      </c>
      <c r="F379" s="29" t="n">
        <f aca="false">((IF(AND(F$43&gt;0+Quesería!$B$47,F$43&lt;=0+Quesería!$B$46),(Quesería!$B$44*$B$351*$B$348)/(Quesería!$B$46-Quesería!$B$47),0)*IF(F$43&gt;2,1-Quesería!$B$48,1)+IF(F$43=2,Quesería!$B$48*(Quesería!$B$44*$B$351*$B$348)*(1-MAX(0,MIN(2-0-Quesería!$B$47,(Quesería!$B$46-Quesería!$B$47)))/(Quesería!$B$46-Quesería!$B$47)),0))+(IF(AND(F$43&gt;1+Quesería!$B$47,F$43&lt;=1+Quesería!$B$46),(Quesería!$B$44*$C$351*$C$348)/(Quesería!$B$46-Quesería!$B$47),0)*IF(F$43&gt;2,1-Quesería!$B$48,1)+IF(F$43=2,Quesería!$B$48*(Quesería!$B$44*$C$351*$C$348)*(1-MAX(0,MIN(2-1-Quesería!$B$47,(Quesería!$B$46-Quesería!$B$47)))/(Quesería!$B$46-Quesería!$B$47)),0)))*F350</f>
        <v>189.195975016201</v>
      </c>
      <c r="G379" s="29" t="n">
        <f aca="false">((IF(AND(G$43&gt;0+Quesería!$B$47,G$43&lt;=0+Quesería!$B$46),(Quesería!$B$44*$B$351*$B$348)/(Quesería!$B$46-Quesería!$B$47),0)*IF(G$43&gt;2,1-Quesería!$B$48,1)+IF(G$43=2,Quesería!$B$48*(Quesería!$B$44*$B$351*$B$348)*(1-MAX(0,MIN(2-0-Quesería!$B$47,(Quesería!$B$46-Quesería!$B$47)))/(Quesería!$B$46-Quesería!$B$47)),0))+(IF(AND(G$43&gt;1+Quesería!$B$47,G$43&lt;=1+Quesería!$B$46),(Quesería!$B$44*$C$351*$C$348)/(Quesería!$B$46-Quesería!$B$47),0)*IF(G$43&gt;2,1-Quesería!$B$48,1)+IF(G$43=2,Quesería!$B$48*(Quesería!$B$44*$C$351*$C$348)*(1-MAX(0,MIN(2-1-Quesería!$B$47,(Quesería!$B$46-Quesería!$B$47)))/(Quesería!$B$46-Quesería!$B$47)),0)))*G350</f>
        <v>181.919206746347</v>
      </c>
      <c r="H379" s="29" t="n">
        <f aca="false">((IF(AND(H$43&gt;0+Quesería!$B$47,H$43&lt;=0+Quesería!$B$46),(Quesería!$B$44*$B$351*$B$348)/(Quesería!$B$46-Quesería!$B$47),0)*IF(H$43&gt;2,1-Quesería!$B$48,1)+IF(H$43=2,Quesería!$B$48*(Quesería!$B$44*$B$351*$B$348)*(1-MAX(0,MIN(2-0-Quesería!$B$47,(Quesería!$B$46-Quesería!$B$47)))/(Quesería!$B$46-Quesería!$B$47)),0))+(IF(AND(H$43&gt;1+Quesería!$B$47,H$43&lt;=1+Quesería!$B$46),(Quesería!$B$44*$C$351*$C$348)/(Quesería!$B$46-Quesería!$B$47),0)*IF(H$43&gt;2,1-Quesería!$B$48,1)+IF(H$43=2,Quesería!$B$48*(Quesería!$B$44*$C$351*$C$348)*(1-MAX(0,MIN(2-1-Quesería!$B$47,(Quesería!$B$46-Quesería!$B$47)))/(Quesería!$B$46-Quesería!$B$47)),0)))*H350</f>
        <v>174.92231417918</v>
      </c>
      <c r="I379" s="29" t="n">
        <f aca="false">((IF(AND(I$43&gt;0+Quesería!$B$47,I$43&lt;=0+Quesería!$B$46),(Quesería!$B$44*$B$351*$B$348)/(Quesería!$B$46-Quesería!$B$47),0)*IF(I$43&gt;2,1-Quesería!$B$48,1)+IF(I$43=2,Quesería!$B$48*(Quesería!$B$44*$B$351*$B$348)*(1-MAX(0,MIN(2-0-Quesería!$B$47,(Quesería!$B$46-Quesería!$B$47)))/(Quesería!$B$46-Quesería!$B$47)),0))+(IF(AND(I$43&gt;1+Quesería!$B$47,I$43&lt;=1+Quesería!$B$46),(Quesería!$B$44*$C$351*$C$348)/(Quesería!$B$46-Quesería!$B$47),0)*IF(I$43&gt;2,1-Quesería!$B$48,1)+IF(I$43=2,Quesería!$B$48*(Quesería!$B$44*$C$351*$C$348)*(1-MAX(0,MIN(2-1-Quesería!$B$47,(Quesería!$B$46-Quesería!$B$47)))/(Quesería!$B$46-Quesería!$B$47)),0)))*I350</f>
        <v>168.194532864596</v>
      </c>
      <c r="J379" s="29" t="n">
        <f aca="false">((IF(AND(J$43&gt;0+Quesería!$B$47,J$43&lt;=0+Quesería!$B$46),(Quesería!$B$44*$B$351*$B$348)/(Quesería!$B$46-Quesería!$B$47),0)*IF(J$43&gt;2,1-Quesería!$B$48,1)+IF(J$43=2,Quesería!$B$48*(Quesería!$B$44*$B$351*$B$348)*(1-MAX(0,MIN(2-0-Quesería!$B$47,(Quesería!$B$46-Quesería!$B$47)))/(Quesería!$B$46-Quesería!$B$47)),0))+(IF(AND(J$43&gt;1+Quesería!$B$47,J$43&lt;=1+Quesería!$B$46),(Quesería!$B$44*$C$351*$C$348)/(Quesería!$B$46-Quesería!$B$47),0)*IF(J$43&gt;2,1-Quesería!$B$48,1)+IF(J$43=2,Quesería!$B$48*(Quesería!$B$44*$C$351*$C$348)*(1-MAX(0,MIN(2-1-Quesería!$B$47,(Quesería!$B$46-Quesería!$B$47)))/(Quesería!$B$46-Quesería!$B$47)),0)))*J350</f>
        <v>74.5701298490713</v>
      </c>
      <c r="K379" s="29" t="n">
        <f aca="false">((IF(AND(K$43&gt;0+Quesería!$B$47,K$43&lt;=0+Quesería!$B$46),(Quesería!$B$44*$B$351*$B$348)/(Quesería!$B$46-Quesería!$B$47),0)*IF(K$43&gt;2,1-Quesería!$B$48,1)+IF(K$43=2,Quesería!$B$48*(Quesería!$B$44*$B$351*$B$348)*(1-MAX(0,MIN(2-0-Quesería!$B$47,(Quesería!$B$46-Quesería!$B$47)))/(Quesería!$B$46-Quesería!$B$47)),0))+(IF(AND(K$43&gt;1+Quesería!$B$47,K$43&lt;=1+Quesería!$B$46),(Quesería!$B$44*$C$351*$C$348)/(Quesería!$B$46-Quesería!$B$47),0)*IF(K$43&gt;2,1-Quesería!$B$48,1)+IF(K$43=2,Quesería!$B$48*(Quesería!$B$44*$C$351*$C$348)*(1-MAX(0,MIN(2-1-Quesería!$B$47,(Quesería!$B$46-Quesería!$B$47)))/(Quesería!$B$46-Quesería!$B$47)),0)))*K350</f>
        <v>0</v>
      </c>
      <c r="L379" s="29" t="n">
        <f aca="false">((IF(AND(L$43&gt;0+Quesería!$B$47,L$43&lt;=0+Quesería!$B$46),(Quesería!$B$44*$B$351*$B$348)/(Quesería!$B$46-Quesería!$B$47),0)*IF(L$43&gt;2,1-Quesería!$B$48,1)+IF(L$43=2,Quesería!$B$48*(Quesería!$B$44*$B$351*$B$348)*(1-MAX(0,MIN(2-0-Quesería!$B$47,(Quesería!$B$46-Quesería!$B$47)))/(Quesería!$B$46-Quesería!$B$47)),0))+(IF(AND(L$43&gt;1+Quesería!$B$47,L$43&lt;=1+Quesería!$B$46),(Quesería!$B$44*$C$351*$C$348)/(Quesería!$B$46-Quesería!$B$47),0)*IF(L$43&gt;2,1-Quesería!$B$48,1)+IF(L$43=2,Quesería!$B$48*(Quesería!$B$44*$C$351*$C$348)*(1-MAX(0,MIN(2-1-Quesería!$B$47,(Quesería!$B$46-Quesería!$B$47)))/(Quesería!$B$46-Quesería!$B$47)),0)))*L350</f>
        <v>0</v>
      </c>
    </row>
    <row r="380" customFormat="false" ht="15" hidden="true" customHeight="false" outlineLevel="1" collapsed="false">
      <c r="A380" s="6" t="s">
        <v>433</v>
      </c>
      <c r="B380" s="29" t="n">
        <f aca="false">$I$13*Quesería!$B$51*(1+0.19)*B376*B350+(1-$I$13)*IF(B$43=0,Quesería!$B$50,0)</f>
        <v>4</v>
      </c>
      <c r="C380" s="29" t="n">
        <f aca="false">$I$13*Quesería!$B$51*(1+0.19)*C376*C350+(1-$I$13)*IF(C$43=0,Quesería!$B$50,0)</f>
        <v>0</v>
      </c>
      <c r="D380" s="29" t="n">
        <f aca="false">$I$13*Quesería!$B$51*(1+0.19)*D376*D350+(1-$I$13)*IF(D$43=0,Quesería!$B$50,0)</f>
        <v>0</v>
      </c>
      <c r="E380" s="29" t="n">
        <f aca="false">$I$13*Quesería!$B$51*(1+0.19)*E376*E350+(1-$I$13)*IF(E$43=0,Quesería!$B$50,0)</f>
        <v>0</v>
      </c>
      <c r="F380" s="29" t="n">
        <f aca="false">$I$13*Quesería!$B$51*(1+0.19)*F376*F350+(1-$I$13)*IF(F$43=0,Quesería!$B$50,0)</f>
        <v>0</v>
      </c>
      <c r="G380" s="29" t="n">
        <f aca="false">$I$13*Quesería!$B$51*(1+0.19)*G376*G350+(1-$I$13)*IF(G$43=0,Quesería!$B$50,0)</f>
        <v>0</v>
      </c>
      <c r="H380" s="29" t="n">
        <f aca="false">$I$13*Quesería!$B$51*(1+0.19)*H376*H350+(1-$I$13)*IF(H$43=0,Quesería!$B$50,0)</f>
        <v>0</v>
      </c>
      <c r="I380" s="29" t="n">
        <f aca="false">$I$13*Quesería!$B$51*(1+0.19)*I376*I350+(1-$I$13)*IF(I$43=0,Quesería!$B$50,0)</f>
        <v>0</v>
      </c>
      <c r="J380" s="29" t="n">
        <f aca="false">$I$13*Quesería!$B$51*(1+0.19)*J376*J350+(1-$I$13)*IF(J$43=0,Quesería!$B$50,0)</f>
        <v>0</v>
      </c>
      <c r="K380" s="29" t="n">
        <f aca="false">$I$13*Quesería!$B$51*(1+0.19)*K376*K350+(1-$I$13)*IF(K$43=0,Quesería!$B$50,0)</f>
        <v>0</v>
      </c>
      <c r="L380" s="29" t="n">
        <f aca="false">$I$13*Quesería!$B$51*(1+0.19)*L376*L350+(1-$I$13)*IF(L$43=0,Quesería!$B$50,0)</f>
        <v>0</v>
      </c>
    </row>
    <row r="381" customFormat="false" ht="15" hidden="true" customHeight="false" outlineLevel="1" collapsed="false">
      <c r="A381" s="6" t="s">
        <v>434</v>
      </c>
      <c r="B381" s="29" t="n">
        <f aca="false">Quesería!$B$52*(B378+B379+B380)</f>
        <v>0.016</v>
      </c>
      <c r="C381" s="29" t="n">
        <f aca="false">Quesería!$B$52*(C378+C379+C380)</f>
        <v>0.389978706029317</v>
      </c>
      <c r="D381" s="29" t="n">
        <f aca="false">Quesería!$B$52*(D378+D379+D380)</f>
        <v>1.13360014876944</v>
      </c>
      <c r="E381" s="29" t="n">
        <f aca="false">Quesería!$B$52*(E378+E379+E380)</f>
        <v>1.39309865580596</v>
      </c>
      <c r="F381" s="29" t="n">
        <f aca="false">Quesería!$B$52*(F378+F379+F380)</f>
        <v>1.23281140836583</v>
      </c>
      <c r="G381" s="29" t="n">
        <f aca="false">Quesería!$B$52*(G378+G379+G380)</f>
        <v>1.0827931523622</v>
      </c>
      <c r="H381" s="29" t="n">
        <f aca="false">Quesería!$B$52*(H378+H379+H380)</f>
        <v>0.942491076689676</v>
      </c>
      <c r="I381" s="29" t="n">
        <f aca="false">Quesería!$B$52*(I378+I379+I380)</f>
        <v>0.811379703358287</v>
      </c>
      <c r="J381" s="29" t="n">
        <f aca="false">Quesería!$B$52*(J378+J379+J380)</f>
        <v>0.340338072631162</v>
      </c>
      <c r="K381" s="29" t="n">
        <f aca="false">Quesería!$B$52*(K378+K379+K380)</f>
        <v>0</v>
      </c>
      <c r="L381" s="29" t="n">
        <f aca="false">Quesería!$B$52*(L378+L379+L380)</f>
        <v>0</v>
      </c>
    </row>
    <row r="382" customFormat="false" ht="15" hidden="true" customHeight="false" outlineLevel="1" collapsed="false">
      <c r="A382" s="6" t="s">
        <v>435</v>
      </c>
      <c r="B382" s="29" t="n">
        <f aca="false">$I$17*(B378+B380+0.5*B381)</f>
        <v>1.4028</v>
      </c>
      <c r="C382" s="29" t="n">
        <f aca="false">$I$17*(C378+C380+0.5*C381)</f>
        <v>34.1913830511204</v>
      </c>
      <c r="D382" s="29" t="n">
        <f aca="false">$I$17*(D378+D380+0.5*D381)</f>
        <v>60.7906159696392</v>
      </c>
      <c r="E382" s="29" t="n">
        <f aca="false">$I$17*(E378+E380+0.5*E381)</f>
        <v>53.2725897418908</v>
      </c>
      <c r="F382" s="29" t="n">
        <f aca="false">$I$17*(F378+F380+0.5*F381)</f>
        <v>41.8681489728037</v>
      </c>
      <c r="G382" s="29" t="n">
        <f aca="false">$I$17*(G378+G380+0.5*G381)</f>
        <v>31.2621672721347</v>
      </c>
      <c r="H382" s="29" t="n">
        <f aca="false">$I$17*(H378+H380+0.5*H381)</f>
        <v>21.4100951860544</v>
      </c>
      <c r="I382" s="29" t="n">
        <f aca="false">$I$17*(I378+I380+0.5*I381)</f>
        <v>12.2696289893292</v>
      </c>
      <c r="J382" s="29" t="n">
        <f aca="false">$I$17*(J378+J380+0.5*J381)</f>
        <v>3.73959507076212</v>
      </c>
      <c r="K382" s="29" t="n">
        <f aca="false">$I$17*(K378+K380+0.5*K381)</f>
        <v>0</v>
      </c>
      <c r="L382" s="29" t="n">
        <f aca="false">$I$17*(L378+L380+0.5*L381)</f>
        <v>0</v>
      </c>
    </row>
    <row r="383" customFormat="false" ht="15" hidden="true" customHeight="false" outlineLevel="1" collapsed="false">
      <c r="A383" s="5" t="s">
        <v>436</v>
      </c>
      <c r="B383" s="59" t="n">
        <f aca="false">B368+B377-B378-B379-B380-B381+B382</f>
        <v>-444.218155996521</v>
      </c>
      <c r="C383" s="59" t="n">
        <f aca="false">C368+C377-C378-C379-C380-C381+C382</f>
        <v>-88.9774919327941</v>
      </c>
      <c r="D383" s="59" t="n">
        <f aca="false">D368+D377-D378-D379-D380-D381+D382</f>
        <v>393.121225954487</v>
      </c>
      <c r="E383" s="59" t="n">
        <f aca="false">E368+E377-E378-E379-E380-E381+E382</f>
        <v>43.9371037118925</v>
      </c>
      <c r="F383" s="59" t="n">
        <f aca="false">F368+F377-F378-F379-F380-F381+F382</f>
        <v>74.8761039151629</v>
      </c>
      <c r="G383" s="59" t="n">
        <f aca="false">G368+G377-G378-G379-G380-G381+G382</f>
        <v>60.5172279492757</v>
      </c>
      <c r="H383" s="59" t="n">
        <f aca="false">H368+H377-H378-H379-H380-H381+H382</f>
        <v>59.8720179900793</v>
      </c>
      <c r="I383" s="59" t="n">
        <f aca="false">I368+I377-I378-I379-I380-I381+I382</f>
        <v>156.226515825206</v>
      </c>
      <c r="J383" s="59" t="n">
        <f aca="false">J368+J377-J378-J379-J380-J381+J382</f>
        <v>253.919071720794</v>
      </c>
      <c r="K383" s="59" t="n">
        <f aca="false">K368+K377-K378-K379-K380-K381+K382</f>
        <v>333.845042949676</v>
      </c>
      <c r="L383" s="59" t="n">
        <f aca="false">L368+L377-L378-L379-L380-L381+L382</f>
        <v>438.709867173487</v>
      </c>
    </row>
    <row r="384" customFormat="false" ht="15" hidden="true" customHeight="false" outlineLevel="1" collapsed="false">
      <c r="A384" s="9" t="s">
        <v>437</v>
      </c>
      <c r="B384" s="58" t="n">
        <f aca="false">B383*B348</f>
        <v>-470.871245356313</v>
      </c>
      <c r="C384" s="58" t="n">
        <f aca="false">C383*C348</f>
        <v>-99.0319485211999</v>
      </c>
      <c r="D384" s="58" t="n">
        <f aca="false">D383*D348</f>
        <v>457.233401089274</v>
      </c>
      <c r="E384" s="58" t="n">
        <f aca="false">E383*E348</f>
        <v>53.1466897215763</v>
      </c>
      <c r="F384" s="58" t="n">
        <f aca="false">F383*F348</f>
        <v>94.1935948252561</v>
      </c>
      <c r="G384" s="58" t="n">
        <f aca="false">G383*G348</f>
        <v>79.1754424895669</v>
      </c>
      <c r="H384" s="58" t="n">
        <f aca="false">H383*H348</f>
        <v>81.4645585208295</v>
      </c>
      <c r="I384" s="58" t="n">
        <f aca="false">I383*I348</f>
        <v>221.071571510733</v>
      </c>
      <c r="J384" s="58" t="n">
        <f aca="false">J383*J348</f>
        <v>373.685986929741</v>
      </c>
      <c r="K384" s="58" t="n">
        <f aca="false">K383*K348</f>
        <v>510.963363449775</v>
      </c>
      <c r="L384" s="58" t="n">
        <f aca="false">L383*L348</f>
        <v>698.321754374811</v>
      </c>
    </row>
    <row r="385" customFormat="false" ht="15" hidden="true" customHeight="false" outlineLevel="1" collapsed="false">
      <c r="A385" s="9" t="s">
        <v>438</v>
      </c>
      <c r="B385" s="57" t="n">
        <f aca="false">(B348/$B$348)/(1+Quesería!$B$11+$I$24)^B$43</f>
        <v>1</v>
      </c>
      <c r="C385" s="57" t="n">
        <f aca="false">(C348/$B$348)/(1+Quesería!$B$11+$I$24)^C$43</f>
        <v>0.84</v>
      </c>
      <c r="D385" s="57" t="n">
        <f aca="false">(D348/$B$348)/(1+Quesería!$B$11+$I$24)^D$43</f>
        <v>0.70224</v>
      </c>
      <c r="E385" s="57" t="n">
        <f aca="false">(E348/$B$348)/(1+Quesería!$B$11+$I$24)^E$43</f>
        <v>0.58426368</v>
      </c>
      <c r="F385" s="57" t="n">
        <f aca="false">(F348/$B$348)/(1+Quesería!$B$11+$I$24)^F$43</f>
        <v>0.48610738176</v>
      </c>
      <c r="G385" s="57" t="n">
        <f aca="false">(G348/$B$348)/(1+Quesería!$B$11+$I$24)^G$43</f>
        <v>0.40444134162432</v>
      </c>
      <c r="H385" s="57" t="n">
        <f aca="false">(H348/$B$348)/(1+Quesería!$B$11+$I$24)^H$43</f>
        <v>0.336495196231434</v>
      </c>
      <c r="I385" s="57" t="n">
        <f aca="false">(I348/$B$348)/(1+Quesería!$B$11+$I$24)^I$43</f>
        <v>0.279964003264553</v>
      </c>
      <c r="J385" s="57" t="n">
        <f aca="false">(J348/$B$348)/(1+Quesería!$B$11+$I$24)^J$43</f>
        <v>0.232930050716108</v>
      </c>
      <c r="K385" s="57" t="n">
        <f aca="false">(K348/$B$348)/(1+Quesería!$B$11+$I$24)^K$43</f>
        <v>0.193797802195802</v>
      </c>
      <c r="L385" s="57" t="n">
        <f aca="false">(L348/$B$348)/(1+Quesería!$B$11+$I$24)^L$43</f>
        <v>0.161239771426907</v>
      </c>
    </row>
    <row r="386" customFormat="false" ht="15" hidden="true" customHeight="false" outlineLevel="1" collapsed="false">
      <c r="A386" s="9" t="s">
        <v>439</v>
      </c>
      <c r="B386" s="58" t="n">
        <f aca="false">B368+B351+B353+B382</f>
        <v>129.672750436996</v>
      </c>
      <c r="C386" s="58" t="n">
        <f aca="false">C368+C351+C353+C382</f>
        <v>500.395118485639</v>
      </c>
      <c r="D386" s="58" t="n">
        <f aca="false">D368+D351+D353+D382</f>
        <v>677.654863295617</v>
      </c>
      <c r="E386" s="58" t="n">
        <f aca="false">E368+E351+E353+E382</f>
        <v>393.60486631919</v>
      </c>
      <c r="F386" s="58" t="n">
        <f aca="false">F368+F351+F353+F382</f>
        <v>384.311767414986</v>
      </c>
      <c r="G386" s="58" t="n">
        <f aca="false">G368+G351+G353+G382</f>
        <v>338.560378729492</v>
      </c>
      <c r="H386" s="58" t="n">
        <f aca="false">H368+H351+H353+H382</f>
        <v>307.014005741286</v>
      </c>
      <c r="I386" s="58" t="n">
        <f aca="false">I368+I351+I353+I382</f>
        <v>359.882821368136</v>
      </c>
      <c r="J386" s="58" t="n">
        <f aca="false">J368+J351+J353+J382</f>
        <v>339.343927951215</v>
      </c>
      <c r="K386" s="58" t="n">
        <f aca="false">K368+K351+K353+K382</f>
        <v>333.845042949676</v>
      </c>
      <c r="L386" s="58" t="n">
        <f aca="false">L368+L351+L353+L382</f>
        <v>438.709867173487</v>
      </c>
    </row>
    <row r="387" customFormat="false" ht="15" hidden="true" customHeight="false" outlineLevel="1" collapsed="false">
      <c r="A387" s="5" t="s">
        <v>149</v>
      </c>
      <c r="B387" s="12" t="str">
        <f aca="false">IF(AND(B$43&gt;=1,(B378+B379+B380)&gt;0.001),B386/(B378+B379+B380),"")</f>
        <v/>
      </c>
      <c r="C387" s="12" t="n">
        <f aca="false">IF(AND(C$43&gt;=1,(C378+C379+C380)&gt;0.001),C386/(C378+C379+C380),"")</f>
        <v>5.13253786167516</v>
      </c>
      <c r="D387" s="12" t="n">
        <f aca="false">IF(AND(D$43&gt;=1,(D378+D379+D380)&gt;0.001),D386/(D378+D379+D380),"")</f>
        <v>2.39116010713736</v>
      </c>
      <c r="E387" s="12" t="n">
        <f aca="false">IF(AND(E$43&gt;=1,(E378+E379+E380)&gt;0.001),E386/(E378+E379+E380),"")</f>
        <v>1.13015647435672</v>
      </c>
      <c r="F387" s="12" t="n">
        <f aca="false">IF(AND(F$43&gt;=1,(F378+F379+F380)&gt;0.001),F386/(F378+F379+F380),"")</f>
        <v>1.24694422782611</v>
      </c>
      <c r="G387" s="12" t="n">
        <f aca="false">IF(AND(G$43&gt;=1,(G378+G379+G380)&gt;0.001),G386/(G378+G379+G380),"")</f>
        <v>1.25069272184034</v>
      </c>
      <c r="H387" s="12" t="n">
        <f aca="false">IF(AND(H$43&gt;=1,(H378+H379+H380)&gt;0.001),H386/(H378+H379+H380),"")</f>
        <v>1.30298954901351</v>
      </c>
      <c r="I387" s="12" t="n">
        <f aca="false">IF(AND(I$43&gt;=1,(I378+I379+I380)&gt;0.001),I386/(I378+I379+I380),"")</f>
        <v>1.7741770955255</v>
      </c>
      <c r="J387" s="12" t="n">
        <f aca="false">IF(AND(J$43&gt;=1,(J378+J379+J380)&gt;0.001),J386/(J378+J379+J380),"")</f>
        <v>3.98831579820312</v>
      </c>
      <c r="K387" s="12" t="str">
        <f aca="false">IF(AND(K$43&gt;=1,(K378+K379+K380)&gt;0.001),K386/(K378+K379+K380),"")</f>
        <v/>
      </c>
      <c r="L387" s="12" t="str">
        <f aca="false">IF(AND(L$43&gt;=1,(L378+L379+L380)&gt;0.001),L386/(L378+L379+L380),"")</f>
        <v/>
      </c>
    </row>
    <row r="389" customFormat="false" ht="15" hidden="false" customHeight="false" outlineLevel="0" collapsed="false">
      <c r="A389" s="43" t="s">
        <v>1169</v>
      </c>
      <c r="B389" s="44"/>
      <c r="C389" s="44"/>
      <c r="D389" s="44"/>
      <c r="E389" s="44"/>
      <c r="F389" s="44"/>
      <c r="G389" s="44"/>
      <c r="H389" s="44"/>
      <c r="I389" s="44"/>
      <c r="J389" s="44"/>
      <c r="K389" s="44"/>
      <c r="L389" s="44"/>
    </row>
    <row r="390" customFormat="false" ht="15" hidden="true" customHeight="false" outlineLevel="1" collapsed="false">
      <c r="A390" s="9" t="s">
        <v>405</v>
      </c>
      <c r="B390" s="56" t="n">
        <f aca="false">CHOOSE($J$15,Entorno!B$7,Entorno!B$8,Entorno!B$9)</f>
        <v>0.06</v>
      </c>
      <c r="C390" s="56" t="n">
        <f aca="false">CHOOSE($J$15,Entorno!C$7,Entorno!C$8,Entorno!C$9)</f>
        <v>0.05</v>
      </c>
      <c r="D390" s="56" t="n">
        <f aca="false">CHOOSE($J$15,Entorno!D$7,Entorno!D$8,Entorno!D$9)</f>
        <v>0.045</v>
      </c>
      <c r="E390" s="56" t="n">
        <f aca="false">CHOOSE($J$15,Entorno!E$7,Entorno!E$8,Entorno!E$9)</f>
        <v>0.04</v>
      </c>
      <c r="F390" s="56" t="n">
        <f aca="false">CHOOSE($J$15,Entorno!F$7,Entorno!F$8,Entorno!F$9)</f>
        <v>0.04</v>
      </c>
      <c r="G390" s="56" t="n">
        <f aca="false">CHOOSE($J$15,Entorno!G$7,Entorno!G$8,Entorno!G$9)</f>
        <v>0.04</v>
      </c>
      <c r="H390" s="56" t="n">
        <f aca="false">CHOOSE($J$15,Entorno!H$7,Entorno!H$8,Entorno!H$9)</f>
        <v>0.04</v>
      </c>
      <c r="I390" s="56" t="n">
        <f aca="false">CHOOSE($J$15,Entorno!I$7,Entorno!I$8,Entorno!I$9)</f>
        <v>0.04</v>
      </c>
      <c r="J390" s="56" t="n">
        <f aca="false">CHOOSE($J$15,Entorno!J$7,Entorno!J$8,Entorno!J$9)</f>
        <v>0.04</v>
      </c>
      <c r="K390" s="56" t="n">
        <f aca="false">CHOOSE($J$15,Entorno!K$7,Entorno!K$8,Entorno!K$9)</f>
        <v>0.04</v>
      </c>
      <c r="L390" s="56" t="n">
        <f aca="false">CHOOSE($J$15,Entorno!L$7,Entorno!L$8,Entorno!L$9)</f>
        <v>0.04</v>
      </c>
    </row>
    <row r="391" customFormat="false" ht="15" hidden="true" customHeight="false" outlineLevel="1" collapsed="false">
      <c r="A391" s="9" t="s">
        <v>406</v>
      </c>
      <c r="B391" s="57" t="n">
        <f aca="false">1+B390</f>
        <v>1.06</v>
      </c>
      <c r="C391" s="57" t="n">
        <f aca="false">B391*(1+C390)</f>
        <v>1.113</v>
      </c>
      <c r="D391" s="57" t="n">
        <f aca="false">C391*(1+D390)</f>
        <v>1.163085</v>
      </c>
      <c r="E391" s="57" t="n">
        <f aca="false">D391*(1+E390)</f>
        <v>1.2096084</v>
      </c>
      <c r="F391" s="57" t="n">
        <f aca="false">E391*(1+F390)</f>
        <v>1.257992736</v>
      </c>
      <c r="G391" s="57" t="n">
        <f aca="false">F391*(1+G390)</f>
        <v>1.30831244544</v>
      </c>
      <c r="H391" s="57" t="n">
        <f aca="false">G391*(1+H390)</f>
        <v>1.3606449432576</v>
      </c>
      <c r="I391" s="57" t="n">
        <f aca="false">H391*(1+I390)</f>
        <v>1.4150707409879</v>
      </c>
      <c r="J391" s="57" t="n">
        <f aca="false">I391*(1+J390)</f>
        <v>1.47167357062742</v>
      </c>
      <c r="K391" s="57" t="n">
        <f aca="false">J391*(1+K390)</f>
        <v>1.53054051345252</v>
      </c>
      <c r="L391" s="57" t="n">
        <f aca="false">K391*(1+L390)</f>
        <v>1.59176213399062</v>
      </c>
    </row>
    <row r="392" customFormat="false" ht="15" hidden="true" customHeight="false" outlineLevel="1" collapsed="false">
      <c r="A392" s="9" t="s">
        <v>407</v>
      </c>
      <c r="B392" s="57" t="n">
        <f aca="false">(1+$J$16)/(1+B390)</f>
        <v>1.02358490566038</v>
      </c>
      <c r="C392" s="57" t="n">
        <f aca="false">B392*(1+Entorno!$B$13)</f>
        <v>1.02870283018868</v>
      </c>
      <c r="D392" s="57" t="n">
        <f aca="false">C392*(1+Entorno!$B$13)</f>
        <v>1.03384634433962</v>
      </c>
      <c r="E392" s="57" t="n">
        <f aca="false">D392*(1+Entorno!$B$13)</f>
        <v>1.03901557606132</v>
      </c>
      <c r="F392" s="57" t="n">
        <f aca="false">E392*(1+Entorno!$B$13)</f>
        <v>1.04421065394163</v>
      </c>
      <c r="G392" s="57" t="n">
        <f aca="false">F392*(1+Entorno!$B$13)</f>
        <v>1.04943170721133</v>
      </c>
      <c r="H392" s="57" t="n">
        <f aca="false">G392*(1+Entorno!$B$13)</f>
        <v>1.05467886574739</v>
      </c>
      <c r="I392" s="57" t="n">
        <f aca="false">H392*(1+Entorno!$B$13)</f>
        <v>1.05995226007613</v>
      </c>
      <c r="J392" s="57" t="n">
        <f aca="false">I392*(1+Entorno!$B$13)</f>
        <v>1.06525202137651</v>
      </c>
      <c r="K392" s="57" t="n">
        <f aca="false">J392*(1+Entorno!$B$13)</f>
        <v>1.07057828148339</v>
      </c>
      <c r="L392" s="57" t="n">
        <f aca="false">K392*(1+Entorno!$B$13)</f>
        <v>1.07593117289081</v>
      </c>
    </row>
    <row r="393" customFormat="false" ht="15" hidden="true" customHeight="false" outlineLevel="1" collapsed="false">
      <c r="A393" s="9" t="s">
        <v>408</v>
      </c>
      <c r="B393" s="57" t="n">
        <f aca="false">1/B391</f>
        <v>0.943396226415094</v>
      </c>
      <c r="C393" s="57" t="n">
        <f aca="false">1/C391</f>
        <v>0.898472596585804</v>
      </c>
      <c r="D393" s="57" t="n">
        <f aca="false">1/D391</f>
        <v>0.859782389077324</v>
      </c>
      <c r="E393" s="57" t="n">
        <f aca="false">1/E391</f>
        <v>0.826713835651273</v>
      </c>
      <c r="F393" s="57" t="n">
        <f aca="false">1/F391</f>
        <v>0.794917149664686</v>
      </c>
      <c r="G393" s="57" t="n">
        <f aca="false">1/G391</f>
        <v>0.764343413139121</v>
      </c>
      <c r="H393" s="57" t="n">
        <f aca="false">1/H391</f>
        <v>0.734945589556847</v>
      </c>
      <c r="I393" s="57" t="n">
        <f aca="false">1/I391</f>
        <v>0.706678451496968</v>
      </c>
      <c r="J393" s="57" t="n">
        <f aca="false">1/J391</f>
        <v>0.679498511054777</v>
      </c>
      <c r="K393" s="57" t="n">
        <f aca="false">1/K391</f>
        <v>0.653363952937286</v>
      </c>
      <c r="L393" s="57" t="n">
        <f aca="false">1/L391</f>
        <v>0.628234570132006</v>
      </c>
    </row>
    <row r="394" customFormat="false" ht="15" hidden="true" customHeight="false" outlineLevel="1" collapsed="false">
      <c r="A394" s="6" t="s">
        <v>323</v>
      </c>
      <c r="B394" s="29" t="n">
        <f aca="false">IF(B$43=0,Quesería!$F$92,IF(B$43=1,Quesería!$F$93*$J$21,0))*$J$11</f>
        <v>744.640191545342</v>
      </c>
      <c r="C394" s="29" t="n">
        <f aca="false">IF(C$43=0,Quesería!$F$92,IF(C$43=1,Quesería!$F$93*$J$21,0))*$J$11</f>
        <v>606.775253339599</v>
      </c>
      <c r="D394" s="29" t="n">
        <f aca="false">IF(D$43=0,Quesería!$F$92,IF(D$43=1,Quesería!$F$93*$J$21,0))*$J$11</f>
        <v>0</v>
      </c>
      <c r="E394" s="29" t="n">
        <f aca="false">IF(E$43=0,Quesería!$F$92,IF(E$43=1,Quesería!$F$93*$J$21,0))*$J$11</f>
        <v>0</v>
      </c>
      <c r="F394" s="29" t="n">
        <f aca="false">IF(F$43=0,Quesería!$F$92,IF(F$43=1,Quesería!$F$93*$J$21,0))*$J$11</f>
        <v>0</v>
      </c>
      <c r="G394" s="29" t="n">
        <f aca="false">IF(G$43=0,Quesería!$F$92,IF(G$43=1,Quesería!$F$93*$J$21,0))*$J$11</f>
        <v>0</v>
      </c>
      <c r="H394" s="29" t="n">
        <f aca="false">IF(H$43=0,Quesería!$F$92,IF(H$43=1,Quesería!$F$93*$J$21,0))*$J$11</f>
        <v>0</v>
      </c>
      <c r="I394" s="29" t="n">
        <f aca="false">IF(I$43=0,Quesería!$F$92,IF(I$43=1,Quesería!$F$93*$J$21,0))*$J$11</f>
        <v>0</v>
      </c>
      <c r="J394" s="29" t="n">
        <f aca="false">IF(J$43=0,Quesería!$F$92,IF(J$43=1,Quesería!$F$93*$J$21,0))*$J$11</f>
        <v>0</v>
      </c>
      <c r="K394" s="29" t="n">
        <f aca="false">IF(K$43=0,Quesería!$F$92,IF(K$43=1,Quesería!$F$93*$J$21,0))*$J$11</f>
        <v>0</v>
      </c>
      <c r="L394" s="29" t="n">
        <f aca="false">IF(L$43=0,Quesería!$F$92,IF(L$43=1,Quesería!$F$93*$J$21,0))*$J$11</f>
        <v>0</v>
      </c>
    </row>
    <row r="395" customFormat="false" ht="15" hidden="true" customHeight="false" outlineLevel="1" collapsed="false">
      <c r="A395" s="6" t="s">
        <v>409</v>
      </c>
      <c r="B395" s="29" t="n">
        <f aca="false">IF(B$43=5,Quesería!$F$99,IF(B$43=6,Quesería!$F$100,0))*$J$11</f>
        <v>0</v>
      </c>
      <c r="C395" s="29" t="n">
        <f aca="false">IF(C$43=5,Quesería!$F$99,IF(C$43=6,Quesería!$F$100,0))*$J$11</f>
        <v>0</v>
      </c>
      <c r="D395" s="29" t="n">
        <f aca="false">IF(D$43=5,Quesería!$F$99,IF(D$43=6,Quesería!$F$100,0))*$J$11</f>
        <v>0</v>
      </c>
      <c r="E395" s="29" t="n">
        <f aca="false">IF(E$43=5,Quesería!$F$99,IF(E$43=6,Quesería!$F$100,0))*$J$11</f>
        <v>0</v>
      </c>
      <c r="F395" s="29" t="n">
        <f aca="false">IF(F$43=5,Quesería!$F$99,IF(F$43=6,Quesería!$F$100,0))*$J$11</f>
        <v>0</v>
      </c>
      <c r="G395" s="29" t="n">
        <f aca="false">IF(G$43=5,Quesería!$F$99,IF(G$43=6,Quesería!$F$100,0))*$J$11</f>
        <v>21.9721738150988</v>
      </c>
      <c r="H395" s="29" t="n">
        <f aca="false">IF(H$43=5,Quesería!$F$99,IF(H$43=6,Quesería!$F$100,0))*$J$11</f>
        <v>37.1113245687642</v>
      </c>
      <c r="I395" s="29" t="n">
        <f aca="false">IF(I$43=5,Quesería!$F$99,IF(I$43=6,Quesería!$F$100,0))*$J$11</f>
        <v>0</v>
      </c>
      <c r="J395" s="29" t="n">
        <f aca="false">IF(J$43=5,Quesería!$F$99,IF(J$43=6,Quesería!$F$100,0))*$J$11</f>
        <v>0</v>
      </c>
      <c r="K395" s="29" t="n">
        <f aca="false">IF(K$43=5,Quesería!$F$99,IF(K$43=6,Quesería!$F$100,0))*$J$11</f>
        <v>0</v>
      </c>
      <c r="L395" s="29" t="n">
        <f aca="false">IF(L$43=5,Quesería!$F$99,IF(L$43=6,Quesería!$F$100,0))*$J$11</f>
        <v>0</v>
      </c>
    </row>
    <row r="396" customFormat="false" ht="15" hidden="true" customHeight="false" outlineLevel="1" collapsed="false">
      <c r="A396" s="6" t="s">
        <v>410</v>
      </c>
      <c r="B396" s="29" t="n">
        <f aca="false">Quesería!$B$55*(IF(B$43=0,SUMPRODUCT((Quesería!$C$70:$C$89=0)*(Quesería!$H$70:$H$89&gt;0)*(Quesería!$J$70:$J$89&gt;0)*Quesería!$F$70:$F$89*(1+Quesería!$I$70:$I$89)),IF(B$43=1,SUMPRODUCT((Quesería!$C$70:$C$89=1)*(Quesería!$H$70:$H$89&gt;0)*(Quesería!$J$70:$J$89&gt;0)*Quesería!$F$70:$F$89*(1+Quesería!$I$70:$I$89))*$J$21,0))*$J$11+B395)</f>
        <v>119.292537248142</v>
      </c>
      <c r="C396" s="29" t="n">
        <f aca="false">Quesería!$B$55*(IF(C$43=0,SUMPRODUCT((Quesería!$C$70:$C$89=0)*(Quesería!$H$70:$H$89&gt;0)*(Quesería!$J$70:$J$89&gt;0)*Quesería!$F$70:$F$89*(1+Quesería!$I$70:$I$89)),IF(C$43=1,SUMPRODUCT((Quesería!$C$70:$C$89=1)*(Quesería!$H$70:$H$89&gt;0)*(Quesería!$J$70:$J$89&gt;0)*Quesería!$F$70:$F$89*(1+Quesería!$I$70:$I$89))*$J$21,0))*$J$11+C395)</f>
        <v>115.287298134524</v>
      </c>
      <c r="D396" s="29" t="n">
        <f aca="false">Quesería!$B$55*(IF(D$43=0,SUMPRODUCT((Quesería!$C$70:$C$89=0)*(Quesería!$H$70:$H$89&gt;0)*(Quesería!$J$70:$J$89&gt;0)*Quesería!$F$70:$F$89*(1+Quesería!$I$70:$I$89)),IF(D$43=1,SUMPRODUCT((Quesería!$C$70:$C$89=1)*(Quesería!$H$70:$H$89&gt;0)*(Quesería!$J$70:$J$89&gt;0)*Quesería!$F$70:$F$89*(1+Quesería!$I$70:$I$89))*$J$21,0))*$J$11+D395)</f>
        <v>0</v>
      </c>
      <c r="E396" s="29" t="n">
        <f aca="false">Quesería!$B$55*(IF(E$43=0,SUMPRODUCT((Quesería!$C$70:$C$89=0)*(Quesería!$H$70:$H$89&gt;0)*(Quesería!$J$70:$J$89&gt;0)*Quesería!$F$70:$F$89*(1+Quesería!$I$70:$I$89)),IF(E$43=1,SUMPRODUCT((Quesería!$C$70:$C$89=1)*(Quesería!$H$70:$H$89&gt;0)*(Quesería!$J$70:$J$89&gt;0)*Quesería!$F$70:$F$89*(1+Quesería!$I$70:$I$89))*$J$21,0))*$J$11+E395)</f>
        <v>0</v>
      </c>
      <c r="F396" s="29" t="n">
        <f aca="false">Quesería!$B$55*(IF(F$43=0,SUMPRODUCT((Quesería!$C$70:$C$89=0)*(Quesería!$H$70:$H$89&gt;0)*(Quesería!$J$70:$J$89&gt;0)*Quesería!$F$70:$F$89*(1+Quesería!$I$70:$I$89)),IF(F$43=1,SUMPRODUCT((Quesería!$C$70:$C$89=1)*(Quesería!$H$70:$H$89&gt;0)*(Quesería!$J$70:$J$89&gt;0)*Quesería!$F$70:$F$89*(1+Quesería!$I$70:$I$89))*$J$21,0))*$J$11+F395)</f>
        <v>0</v>
      </c>
      <c r="G396" s="29" t="n">
        <f aca="false">Quesería!$B$55*(IF(G$43=0,SUMPRODUCT((Quesería!$C$70:$C$89=0)*(Quesería!$H$70:$H$89&gt;0)*(Quesería!$J$70:$J$89&gt;0)*Quesería!$F$70:$F$89*(1+Quesería!$I$70:$I$89)),IF(G$43=1,SUMPRODUCT((Quesería!$C$70:$C$89=1)*(Quesería!$H$70:$H$89&gt;0)*(Quesería!$J$70:$J$89&gt;0)*Quesería!$F$70:$F$89*(1+Quesería!$I$70:$I$89))*$J$21,0))*$J$11+G395)</f>
        <v>4.17471302486878</v>
      </c>
      <c r="H396" s="29" t="n">
        <f aca="false">Quesería!$B$55*(IF(H$43=0,SUMPRODUCT((Quesería!$C$70:$C$89=0)*(Quesería!$H$70:$H$89&gt;0)*(Quesería!$J$70:$J$89&gt;0)*Quesería!$F$70:$F$89*(1+Quesería!$I$70:$I$89)),IF(H$43=1,SUMPRODUCT((Quesería!$C$70:$C$89=1)*(Quesería!$H$70:$H$89&gt;0)*(Quesería!$J$70:$J$89&gt;0)*Quesería!$F$70:$F$89*(1+Quesería!$I$70:$I$89))*$J$21,0))*$J$11+H395)</f>
        <v>7.0511516680652</v>
      </c>
      <c r="I396" s="29" t="n">
        <f aca="false">Quesería!$B$55*(IF(I$43=0,SUMPRODUCT((Quesería!$C$70:$C$89=0)*(Quesería!$H$70:$H$89&gt;0)*(Quesería!$J$70:$J$89&gt;0)*Quesería!$F$70:$F$89*(1+Quesería!$I$70:$I$89)),IF(I$43=1,SUMPRODUCT((Quesería!$C$70:$C$89=1)*(Quesería!$H$70:$H$89&gt;0)*(Quesería!$J$70:$J$89&gt;0)*Quesería!$F$70:$F$89*(1+Quesería!$I$70:$I$89))*$J$21,0))*$J$11+I395)</f>
        <v>0</v>
      </c>
      <c r="J396" s="29" t="n">
        <f aca="false">Quesería!$B$55*(IF(J$43=0,SUMPRODUCT((Quesería!$C$70:$C$89=0)*(Quesería!$H$70:$H$89&gt;0)*(Quesería!$J$70:$J$89&gt;0)*Quesería!$F$70:$F$89*(1+Quesería!$I$70:$I$89)),IF(J$43=1,SUMPRODUCT((Quesería!$C$70:$C$89=1)*(Quesería!$H$70:$H$89&gt;0)*(Quesería!$J$70:$J$89&gt;0)*Quesería!$F$70:$F$89*(1+Quesería!$I$70:$I$89))*$J$21,0))*$J$11+J395)</f>
        <v>0</v>
      </c>
      <c r="K396" s="29" t="n">
        <f aca="false">Quesería!$B$55*(IF(K$43=0,SUMPRODUCT((Quesería!$C$70:$C$89=0)*(Quesería!$H$70:$H$89&gt;0)*(Quesería!$J$70:$J$89&gt;0)*Quesería!$F$70:$F$89*(1+Quesería!$I$70:$I$89)),IF(K$43=1,SUMPRODUCT((Quesería!$C$70:$C$89=1)*(Quesería!$H$70:$H$89&gt;0)*(Quesería!$J$70:$J$89&gt;0)*Quesería!$F$70:$F$89*(1+Quesería!$I$70:$I$89))*$J$21,0))*$J$11+K395)</f>
        <v>0</v>
      </c>
      <c r="L396" s="29" t="n">
        <f aca="false">Quesería!$B$55*(IF(L$43=0,SUMPRODUCT((Quesería!$C$70:$C$89=0)*(Quesería!$H$70:$H$89&gt;0)*(Quesería!$J$70:$J$89&gt;0)*Quesería!$F$70:$F$89*(1+Quesería!$I$70:$I$89)),IF(L$43=1,SUMPRODUCT((Quesería!$C$70:$C$89=1)*(Quesería!$H$70:$H$89&gt;0)*(Quesería!$J$70:$J$89&gt;0)*Quesería!$F$70:$F$89*(1+Quesería!$I$70:$I$89))*$J$21,0))*$J$11+L395)</f>
        <v>0</v>
      </c>
    </row>
    <row r="397" customFormat="false" ht="15" hidden="true" customHeight="false" outlineLevel="1" collapsed="false">
      <c r="A397" s="6" t="s">
        <v>385</v>
      </c>
      <c r="B397" s="29" t="n">
        <f aca="false">IF(B$43=0,($J$22*Quesería!$J$125+(1-$J$22)*Quesería!$E$121)*Quesería!$B$20*Quesería!$B$21/12*$J$23,(($J$22*Quesería!$J$125+(1-$J$22)*Quesería!$E$121)+($J$22*Quesería!$J$104+(1-$J$22)*Quesería!$E$104)*(B392-1))*IF(B$43=1,Quesería!$B$20,1))*$J$10</f>
        <v>120.716772261203</v>
      </c>
      <c r="C397" s="29" t="n">
        <f aca="false">IF(C$43=0,($J$22*Quesería!$J$125+(1-$J$22)*Quesería!$E$121)*Quesería!$B$20*Quesería!$B$21/12*$J$23,(($J$22*Quesería!$J$125+(1-$J$22)*Quesería!$E$121)+($J$22*Quesería!$J$104+(1-$J$22)*Quesería!$E$104)*(C392-1))*IF(C$43=1,Quesería!$B$20,1))*$J$10</f>
        <v>181.328317354069</v>
      </c>
      <c r="D397" s="29" t="n">
        <f aca="false">IF(D$43=0,($J$22*Quesería!$J$125+(1-$J$22)*Quesería!$E$121)*Quesería!$B$20*Quesería!$B$21/12*$J$23,(($J$22*Quesería!$J$125+(1-$J$22)*Quesería!$E$121)+($J$22*Quesería!$J$104+(1-$J$22)*Quesería!$E$104)*(D392-1))*IF(D$43=1,Quesería!$B$20,1))*$J$10</f>
        <v>241.83157753184</v>
      </c>
      <c r="E397" s="29" t="n">
        <f aca="false">IF(E$43=0,($J$22*Quesería!$J$125+(1-$J$22)*Quesería!$E$121)*Quesería!$B$20*Quesería!$B$21/12*$J$23,(($J$22*Quesería!$J$125+(1-$J$22)*Quesería!$E$121)+($J$22*Quesería!$J$104+(1-$J$22)*Quesería!$E$104)*(E392-1))*IF(E$43=1,Quesería!$B$20,1))*$J$10</f>
        <v>241.892367696887</v>
      </c>
      <c r="F397" s="29" t="n">
        <f aca="false">IF(F$43=0,($J$22*Quesería!$J$125+(1-$J$22)*Quesería!$E$121)*Quesería!$B$20*Quesería!$B$21/12*$J$23,(($J$22*Quesería!$J$125+(1-$J$22)*Quesería!$E$121)+($J$22*Quesería!$J$104+(1-$J$22)*Quesería!$E$104)*(F392-1))*IF(F$43=1,Quesería!$B$20,1))*$J$10</f>
        <v>241.95346181276</v>
      </c>
      <c r="G397" s="29" t="n">
        <f aca="false">IF(G$43=0,($J$22*Quesería!$J$125+(1-$J$22)*Quesería!$E$121)*Quesería!$B$20*Quesería!$B$21/12*$J$23,(($J$22*Quesería!$J$125+(1-$J$22)*Quesería!$E$121)+($J$22*Quesería!$J$104+(1-$J$22)*Quesería!$E$104)*(G392-1))*IF(G$43=1,Quesería!$B$20,1))*$J$10</f>
        <v>242.014861399211</v>
      </c>
      <c r="H397" s="29" t="n">
        <f aca="false">IF(H$43=0,($J$22*Quesería!$J$125+(1-$J$22)*Quesería!$E$121)*Quesería!$B$20*Quesería!$B$21/12*$J$23,(($J$22*Quesería!$J$125+(1-$J$22)*Quesería!$E$121)+($J$22*Quesería!$J$104+(1-$J$22)*Quesería!$E$104)*(H392-1))*IF(H$43=1,Quesería!$B$20,1))*$J$10</f>
        <v>242.076567983595</v>
      </c>
      <c r="I397" s="29" t="n">
        <f aca="false">IF(I$43=0,($J$22*Quesería!$J$125+(1-$J$22)*Quesería!$E$121)*Quesería!$B$20*Quesería!$B$21/12*$J$23,(($J$22*Quesería!$J$125+(1-$J$22)*Quesería!$E$121)+($J$22*Quesería!$J$104+(1-$J$22)*Quesería!$E$104)*(I392-1))*IF(I$43=1,Quesería!$B$20,1))*$J$10</f>
        <v>242.138583100901</v>
      </c>
      <c r="J397" s="29" t="n">
        <f aca="false">IF(J$43=0,($J$22*Quesería!$J$125+(1-$J$22)*Quesería!$E$121)*Quesería!$B$20*Quesería!$B$21/12*$J$23,(($J$22*Quesería!$J$125+(1-$J$22)*Quesería!$E$121)+($J$22*Quesería!$J$104+(1-$J$22)*Quesería!$E$104)*(J392-1))*IF(J$43=1,Quesería!$B$20,1))*$J$10</f>
        <v>242.200908293794</v>
      </c>
      <c r="K397" s="29" t="n">
        <f aca="false">IF(K$43=0,($J$22*Quesería!$J$125+(1-$J$22)*Quesería!$E$121)*Quesería!$B$20*Quesería!$B$21/12*$J$23,(($J$22*Quesería!$J$125+(1-$J$22)*Quesería!$E$121)+($J$22*Quesería!$J$104+(1-$J$22)*Quesería!$E$104)*(K392-1))*IF(K$43=1,Quesería!$B$20,1))*$J$10</f>
        <v>242.263545112651</v>
      </c>
      <c r="L397" s="29" t="n">
        <f aca="false">IF(L$43=0,($J$22*Quesería!$J$125+(1-$J$22)*Quesería!$E$121)*Quesería!$B$20*Quesería!$B$21/12*$J$23,(($J$22*Quesería!$J$125+(1-$J$22)*Quesería!$E$121)+($J$22*Quesería!$J$104+(1-$J$22)*Quesería!$E$104)*(L392-1))*IF(L$43=1,Quesería!$B$20,1))*$J$10</f>
        <v>242.326495115602</v>
      </c>
    </row>
    <row r="398" customFormat="false" ht="15" hidden="true" customHeight="false" outlineLevel="1" collapsed="false">
      <c r="A398" s="6" t="s">
        <v>386</v>
      </c>
      <c r="B398" s="29" t="n">
        <f aca="false">IF(B$43&lt;=1,0,((($J$22*Quesería!$J$126+(1-$J$22)*Quesería!$E$122)-($J$22*Quesería!$J$113+(1-$J$22)*Quesería!$E$113)+$J$6*($J$22*Quesería!$J$113+(1-$J$22)*Quesería!$E$113)-(1-$J$9)*(($J$22*Quesería!$J$118+(1-$J$22)*Quesería!$E$118)+($J$22*Quesería!$J$117+(1-$J$22)*Quesería!$E$117)))+($J$6*($J$22*Quesería!$J$113+(1-$J$22)*Quesería!$E$113)+$J$9*($J$22*Quesería!$J$118+(1-$J$22)*Quesería!$E$118))*(B392-1))*IF(B$43=2,Quesería!$B$20,1)+IF(B$43=2,Quesería!$B$24*$J$9*($J$22*Quesería!$J$118+(1-$J$22)*Quesería!$E$118)*B392,0))*$J$10*$J$21</f>
        <v>0</v>
      </c>
      <c r="C398" s="29" t="n">
        <f aca="false">IF(C$43&lt;=1,0,((($J$22*Quesería!$J$126+(1-$J$22)*Quesería!$E$122)-($J$22*Quesería!$J$113+(1-$J$22)*Quesería!$E$113)+$J$6*($J$22*Quesería!$J$113+(1-$J$22)*Quesería!$E$113)-(1-$J$9)*(($J$22*Quesería!$J$118+(1-$J$22)*Quesería!$E$118)+($J$22*Quesería!$J$117+(1-$J$22)*Quesería!$E$117)))+($J$6*($J$22*Quesería!$J$113+(1-$J$22)*Quesería!$E$113)+$J$9*($J$22*Quesería!$J$118+(1-$J$22)*Quesería!$E$118))*(C392-1))*IF(C$43=2,Quesería!$B$20,1)+IF(C$43=2,Quesería!$B$24*$J$9*($J$22*Quesería!$J$118+(1-$J$22)*Quesería!$E$118)*C392,0))*$J$10*$J$21</f>
        <v>0</v>
      </c>
      <c r="D398" s="29" t="n">
        <f aca="false">IF(D$43&lt;=1,0,((($J$22*Quesería!$J$126+(1-$J$22)*Quesería!$E$122)-($J$22*Quesería!$J$113+(1-$J$22)*Quesería!$E$113)+$J$6*($J$22*Quesería!$J$113+(1-$J$22)*Quesería!$E$113)-(1-$J$9)*(($J$22*Quesería!$J$118+(1-$J$22)*Quesería!$E$118)+($J$22*Quesería!$J$117+(1-$J$22)*Quesería!$E$117)))+($J$6*($J$22*Quesería!$J$113+(1-$J$22)*Quesería!$E$113)+$J$9*($J$22*Quesería!$J$118+(1-$J$22)*Quesería!$E$118))*(D392-1))*IF(D$43=2,Quesería!$B$20,1)+IF(D$43=2,Quesería!$B$24*$J$9*($J$22*Quesería!$J$118+(1-$J$22)*Quesería!$E$118)*D392,0))*$J$10*$J$21</f>
        <v>235.201505618611</v>
      </c>
      <c r="E398" s="29" t="n">
        <f aca="false">IF(E$43&lt;=1,0,((($J$22*Quesería!$J$126+(1-$J$22)*Quesería!$E$122)-($J$22*Quesería!$J$113+(1-$J$22)*Quesería!$E$113)+$J$6*($J$22*Quesería!$J$113+(1-$J$22)*Quesería!$E$113)-(1-$J$9)*(($J$22*Quesería!$J$118+(1-$J$22)*Quesería!$E$118)+($J$22*Quesería!$J$117+(1-$J$22)*Quesería!$E$117)))+($J$6*($J$22*Quesería!$J$113+(1-$J$22)*Quesería!$E$113)+$J$9*($J$22*Quesería!$J$118+(1-$J$22)*Quesería!$E$118))*(E392-1))*IF(E$43=2,Quesería!$B$20,1)+IF(E$43=2,Quesería!$B$24*$J$9*($J$22*Quesería!$J$118+(1-$J$22)*Quesería!$E$118)*E392,0))*$J$10*$J$21</f>
        <v>298.96150264002</v>
      </c>
      <c r="F398" s="29" t="n">
        <f aca="false">IF(F$43&lt;=1,0,((($J$22*Quesería!$J$126+(1-$J$22)*Quesería!$E$122)-($J$22*Quesería!$J$113+(1-$J$22)*Quesería!$E$113)+$J$6*($J$22*Quesería!$J$113+(1-$J$22)*Quesería!$E$113)-(1-$J$9)*(($J$22*Quesería!$J$118+(1-$J$22)*Quesería!$E$118)+($J$22*Quesería!$J$117+(1-$J$22)*Quesería!$E$117)))+($J$6*($J$22*Quesería!$J$113+(1-$J$22)*Quesería!$E$113)+$J$9*($J$22*Quesería!$J$118+(1-$J$22)*Quesería!$E$118))*(F392-1))*IF(F$43=2,Quesería!$B$20,1)+IF(F$43=2,Quesería!$B$24*$J$9*($J$22*Quesería!$J$118+(1-$J$22)*Quesería!$E$118)*F392,0))*$J$10*$J$21</f>
        <v>299.209619559583</v>
      </c>
      <c r="G398" s="29" t="n">
        <f aca="false">IF(G$43&lt;=1,0,((($J$22*Quesería!$J$126+(1-$J$22)*Quesería!$E$122)-($J$22*Quesería!$J$113+(1-$J$22)*Quesería!$E$113)+$J$6*($J$22*Quesería!$J$113+(1-$J$22)*Quesería!$E$113)-(1-$J$9)*(($J$22*Quesería!$J$118+(1-$J$22)*Quesería!$E$118)+($J$22*Quesería!$J$117+(1-$J$22)*Quesería!$E$117)))+($J$6*($J$22*Quesería!$J$113+(1-$J$22)*Quesería!$E$113)+$J$9*($J$22*Quesería!$J$118+(1-$J$22)*Quesería!$E$118))*(G392-1))*IF(G$43=2,Quesería!$B$20,1)+IF(G$43=2,Quesería!$B$24*$J$9*($J$22*Quesería!$J$118+(1-$J$22)*Quesería!$E$118)*G392,0))*$J$10*$J$21</f>
        <v>299.458977063744</v>
      </c>
      <c r="H398" s="29" t="n">
        <f aca="false">IF(H$43&lt;=1,0,((($J$22*Quesería!$J$126+(1-$J$22)*Quesería!$E$122)-($J$22*Quesería!$J$113+(1-$J$22)*Quesería!$E$113)+$J$6*($J$22*Quesería!$J$113+(1-$J$22)*Quesería!$E$113)-(1-$J$9)*(($J$22*Quesería!$J$118+(1-$J$22)*Quesería!$E$118)+($J$22*Quesería!$J$117+(1-$J$22)*Quesería!$E$117)))+($J$6*($J$22*Quesería!$J$113+(1-$J$22)*Quesería!$E$113)+$J$9*($J$22*Quesería!$J$118+(1-$J$22)*Quesería!$E$118))*(H392-1))*IF(H$43=2,Quesería!$B$20,1)+IF(H$43=2,Quesería!$B$24*$J$9*($J$22*Quesería!$J$118+(1-$J$22)*Quesería!$E$118)*H392,0))*$J$10*$J$21</f>
        <v>299.709581355426</v>
      </c>
      <c r="I398" s="29" t="n">
        <f aca="false">IF(I$43&lt;=1,0,((($J$22*Quesería!$J$126+(1-$J$22)*Quesería!$E$122)-($J$22*Quesería!$J$113+(1-$J$22)*Quesería!$E$113)+$J$6*($J$22*Quesería!$J$113+(1-$J$22)*Quesería!$E$113)-(1-$J$9)*(($J$22*Quesería!$J$118+(1-$J$22)*Quesería!$E$118)+($J$22*Quesería!$J$117+(1-$J$22)*Quesería!$E$117)))+($J$6*($J$22*Quesería!$J$113+(1-$J$22)*Quesería!$E$113)+$J$9*($J$22*Quesería!$J$118+(1-$J$22)*Quesería!$E$118))*(I392-1))*IF(I$43=2,Quesería!$B$20,1)+IF(I$43=2,Quesería!$B$24*$J$9*($J$22*Quesería!$J$118+(1-$J$22)*Quesería!$E$118)*I392,0))*$J$10*$J$21</f>
        <v>299.961438668567</v>
      </c>
      <c r="J398" s="29" t="n">
        <f aca="false">IF(J$43&lt;=1,0,((($J$22*Quesería!$J$126+(1-$J$22)*Quesería!$E$122)-($J$22*Quesería!$J$113+(1-$J$22)*Quesería!$E$113)+$J$6*($J$22*Quesería!$J$113+(1-$J$22)*Quesería!$E$113)-(1-$J$9)*(($J$22*Quesería!$J$118+(1-$J$22)*Quesería!$E$118)+($J$22*Quesería!$J$117+(1-$J$22)*Quesería!$E$117)))+($J$6*($J$22*Quesería!$J$113+(1-$J$22)*Quesería!$E$113)+$J$9*($J$22*Quesería!$J$118+(1-$J$22)*Quesería!$E$118))*(J392-1))*IF(J$43=2,Quesería!$B$20,1)+IF(J$43=2,Quesería!$B$24*$J$9*($J$22*Quesería!$J$118+(1-$J$22)*Quesería!$E$118)*J392,0))*$J$10*$J$21</f>
        <v>300.214555268273</v>
      </c>
      <c r="K398" s="29" t="n">
        <f aca="false">IF(K$43&lt;=1,0,((($J$22*Quesería!$J$126+(1-$J$22)*Quesería!$E$122)-($J$22*Quesería!$J$113+(1-$J$22)*Quesería!$E$113)+$J$6*($J$22*Quesería!$J$113+(1-$J$22)*Quesería!$E$113)-(1-$J$9)*(($J$22*Quesería!$J$118+(1-$J$22)*Quesería!$E$118)+($J$22*Quesería!$J$117+(1-$J$22)*Quesería!$E$117)))+($J$6*($J$22*Quesería!$J$113+(1-$J$22)*Quesería!$E$113)+$J$9*($J$22*Quesería!$J$118+(1-$J$22)*Quesería!$E$118))*(K392-1))*IF(K$43=2,Quesería!$B$20,1)+IF(K$43=2,Quesería!$B$24*$J$9*($J$22*Quesería!$J$118+(1-$J$22)*Quesería!$E$118)*K392,0))*$J$10*$J$21</f>
        <v>300.468937450978</v>
      </c>
      <c r="L398" s="29" t="n">
        <f aca="false">IF(L$43&lt;=1,0,((($J$22*Quesería!$J$126+(1-$J$22)*Quesería!$E$122)-($J$22*Quesería!$J$113+(1-$J$22)*Quesería!$E$113)+$J$6*($J$22*Quesería!$J$113+(1-$J$22)*Quesería!$E$113)-(1-$J$9)*(($J$22*Quesería!$J$118+(1-$J$22)*Quesería!$E$118)+($J$22*Quesería!$J$117+(1-$J$22)*Quesería!$E$117)))+($J$6*($J$22*Quesería!$J$113+(1-$J$22)*Quesería!$E$113)+$J$9*($J$22*Quesería!$J$118+(1-$J$22)*Quesería!$E$118))*(L392-1))*IF(L$43=2,Quesería!$B$20,1)+IF(L$43=2,Quesería!$B$24*$J$9*($J$22*Quesería!$J$118+(1-$J$22)*Quesería!$E$118)*L392,0))*$J$10*$J$21</f>
        <v>300.724591544596</v>
      </c>
    </row>
    <row r="399" customFormat="false" ht="15" hidden="true" customHeight="false" outlineLevel="1" collapsed="false">
      <c r="A399" s="5" t="s">
        <v>411</v>
      </c>
      <c r="B399" s="10" t="n">
        <f aca="false">B397+B398</f>
        <v>120.716772261203</v>
      </c>
      <c r="C399" s="10" t="n">
        <f aca="false">C397+C398</f>
        <v>181.328317354069</v>
      </c>
      <c r="D399" s="10" t="n">
        <f aca="false">D397+D398</f>
        <v>477.033083150451</v>
      </c>
      <c r="E399" s="10" t="n">
        <f aca="false">E397+E398</f>
        <v>540.853870336907</v>
      </c>
      <c r="F399" s="10" t="n">
        <f aca="false">F397+F398</f>
        <v>541.163081372343</v>
      </c>
      <c r="G399" s="10" t="n">
        <f aca="false">G397+G398</f>
        <v>541.473838462956</v>
      </c>
      <c r="H399" s="10" t="n">
        <f aca="false">H397+H398</f>
        <v>541.786149339022</v>
      </c>
      <c r="I399" s="10" t="n">
        <f aca="false">I397+I398</f>
        <v>542.100021769468</v>
      </c>
      <c r="J399" s="10" t="n">
        <f aca="false">J397+J398</f>
        <v>542.415463562067</v>
      </c>
      <c r="K399" s="10" t="n">
        <f aca="false">K397+K398</f>
        <v>542.732482563628</v>
      </c>
      <c r="L399" s="10" t="n">
        <f aca="false">L397+L398</f>
        <v>543.051086660198</v>
      </c>
    </row>
    <row r="400" customFormat="false" ht="15" hidden="true" customHeight="false" outlineLevel="1" collapsed="false">
      <c r="A400" s="6" t="s">
        <v>412</v>
      </c>
      <c r="B400" s="29" t="n">
        <f aca="false">(IF(B$43&gt;=1,(Quesería!$B$31+Quesería!$B$33)*Quesería!$F$94*$J$11+Quesería!$B$32+'Beneficios y costos'!$B$211,0)+IF(B$43&gt;=2,((Quesería!$B$31+Quesería!$B$33)*Quesería!$F$95*$J$11+'Beneficios y costos'!$C$211)*$J$21,0))*$J$12</f>
        <v>0</v>
      </c>
      <c r="C400" s="29" t="n">
        <f aca="false">(IF(C$43&gt;=1,(Quesería!$B$31+Quesería!$B$33)*Quesería!$F$94*$J$11+Quesería!$B$32+'Beneficios y costos'!$B$211,0)+IF(C$43&gt;=2,((Quesería!$B$31+Quesería!$B$33)*Quesería!$F$95*$J$11+'Beneficios y costos'!$C$211)*$J$21,0))*$J$12</f>
        <v>39.0793536048484</v>
      </c>
      <c r="D400" s="29" t="n">
        <f aca="false">(IF(D$43&gt;=1,(Quesería!$B$31+Quesería!$B$33)*Quesería!$F$94*$J$11+Quesería!$B$32+'Beneficios y costos'!$B$211,0)+IF(D$43&gt;=2,((Quesería!$B$31+Quesería!$B$33)*Quesería!$F$95*$J$11+'Beneficios y costos'!$C$211)*$J$21,0))*$J$12</f>
        <v>89.2308669779361</v>
      </c>
      <c r="E400" s="29" t="n">
        <f aca="false">(IF(E$43&gt;=1,(Quesería!$B$31+Quesería!$B$33)*Quesería!$F$94*$J$11+Quesería!$B$32+'Beneficios y costos'!$B$211,0)+IF(E$43&gt;=2,((Quesería!$B$31+Quesería!$B$33)*Quesería!$F$95*$J$11+'Beneficios y costos'!$C$211)*$J$21,0))*$J$12</f>
        <v>89.2308669779361</v>
      </c>
      <c r="F400" s="29" t="n">
        <f aca="false">(IF(F$43&gt;=1,(Quesería!$B$31+Quesería!$B$33)*Quesería!$F$94*$J$11+Quesería!$B$32+'Beneficios y costos'!$B$211,0)+IF(F$43&gt;=2,((Quesería!$B$31+Quesería!$B$33)*Quesería!$F$95*$J$11+'Beneficios y costos'!$C$211)*$J$21,0))*$J$12</f>
        <v>89.2308669779361</v>
      </c>
      <c r="G400" s="29" t="n">
        <f aca="false">(IF(G$43&gt;=1,(Quesería!$B$31+Quesería!$B$33)*Quesería!$F$94*$J$11+Quesería!$B$32+'Beneficios y costos'!$B$211,0)+IF(G$43&gt;=2,((Quesería!$B$31+Quesería!$B$33)*Quesería!$F$95*$J$11+'Beneficios y costos'!$C$211)*$J$21,0))*$J$12</f>
        <v>89.2308669779361</v>
      </c>
      <c r="H400" s="29" t="n">
        <f aca="false">(IF(H$43&gt;=1,(Quesería!$B$31+Quesería!$B$33)*Quesería!$F$94*$J$11+Quesería!$B$32+'Beneficios y costos'!$B$211,0)+IF(H$43&gt;=2,((Quesería!$B$31+Quesería!$B$33)*Quesería!$F$95*$J$11+'Beneficios y costos'!$C$211)*$J$21,0))*$J$12</f>
        <v>89.2308669779361</v>
      </c>
      <c r="I400" s="29" t="n">
        <f aca="false">(IF(I$43&gt;=1,(Quesería!$B$31+Quesería!$B$33)*Quesería!$F$94*$J$11+Quesería!$B$32+'Beneficios y costos'!$B$211,0)+IF(I$43&gt;=2,((Quesería!$B$31+Quesería!$B$33)*Quesería!$F$95*$J$11+'Beneficios y costos'!$C$211)*$J$21,0))*$J$12</f>
        <v>89.2308669779361</v>
      </c>
      <c r="J400" s="29" t="n">
        <f aca="false">(IF(J$43&gt;=1,(Quesería!$B$31+Quesería!$B$33)*Quesería!$F$94*$J$11+Quesería!$B$32+'Beneficios y costos'!$B$211,0)+IF(J$43&gt;=2,((Quesería!$B$31+Quesería!$B$33)*Quesería!$F$95*$J$11+'Beneficios y costos'!$C$211)*$J$21,0))*$J$12</f>
        <v>89.2308669779361</v>
      </c>
      <c r="K400" s="29" t="n">
        <f aca="false">(IF(K$43&gt;=1,(Quesería!$B$31+Quesería!$B$33)*Quesería!$F$94*$J$11+Quesería!$B$32+'Beneficios y costos'!$B$211,0)+IF(K$43&gt;=2,((Quesería!$B$31+Quesería!$B$33)*Quesería!$F$95*$J$11+'Beneficios y costos'!$C$211)*$J$21,0))*$J$12</f>
        <v>89.2308669779361</v>
      </c>
      <c r="L400" s="29" t="n">
        <f aca="false">(IF(L$43&gt;=1,(Quesería!$B$31+Quesería!$B$33)*Quesería!$F$94*$J$11+Quesería!$B$32+'Beneficios y costos'!$B$211,0)+IF(L$43&gt;=2,((Quesería!$B$31+Quesería!$B$33)*Quesería!$F$95*$J$11+'Beneficios y costos'!$C$211)*$J$21,0))*$J$12</f>
        <v>89.2308669779361</v>
      </c>
    </row>
    <row r="401" customFormat="false" ht="15" hidden="true" customHeight="false" outlineLevel="1" collapsed="false">
      <c r="A401" s="6" t="s">
        <v>413</v>
      </c>
      <c r="B401" s="29" t="n">
        <f aca="false">IF(B$43=1,2*Quesería!$B$22*Quesería!$B$23/12*B392,0)*$J$21</f>
        <v>0</v>
      </c>
      <c r="C401" s="29" t="n">
        <f aca="false">IF(C$43=1,2*Quesería!$B$22*Quesería!$B$23/12*C392,0)*$J$21</f>
        <v>18.5166509433962</v>
      </c>
      <c r="D401" s="29" t="n">
        <f aca="false">IF(D$43=1,2*Quesería!$B$22*Quesería!$B$23/12*D392,0)*$J$21</f>
        <v>0</v>
      </c>
      <c r="E401" s="29" t="n">
        <f aca="false">IF(E$43=1,2*Quesería!$B$22*Quesería!$B$23/12*E392,0)*$J$21</f>
        <v>0</v>
      </c>
      <c r="F401" s="29" t="n">
        <f aca="false">IF(F$43=1,2*Quesería!$B$22*Quesería!$B$23/12*F392,0)*$J$21</f>
        <v>0</v>
      </c>
      <c r="G401" s="29" t="n">
        <f aca="false">IF(G$43=1,2*Quesería!$B$22*Quesería!$B$23/12*G392,0)*$J$21</f>
        <v>0</v>
      </c>
      <c r="H401" s="29" t="n">
        <f aca="false">IF(H$43=1,2*Quesería!$B$22*Quesería!$B$23/12*H392,0)*$J$21</f>
        <v>0</v>
      </c>
      <c r="I401" s="29" t="n">
        <f aca="false">IF(I$43=1,2*Quesería!$B$22*Quesería!$B$23/12*I392,0)*$J$21</f>
        <v>0</v>
      </c>
      <c r="J401" s="29" t="n">
        <f aca="false">IF(J$43=1,2*Quesería!$B$22*Quesería!$B$23/12*J392,0)*$J$21</f>
        <v>0</v>
      </c>
      <c r="K401" s="29" t="n">
        <f aca="false">IF(K$43=1,2*Quesería!$B$22*Quesería!$B$23/12*K392,0)*$J$21</f>
        <v>0</v>
      </c>
      <c r="L401" s="29" t="n">
        <f aca="false">IF(L$43=1,2*Quesería!$B$22*Quesería!$B$23/12*L392,0)*$J$21</f>
        <v>0</v>
      </c>
    </row>
    <row r="402" customFormat="false" ht="15" hidden="true" customHeight="false" outlineLevel="1" collapsed="false">
      <c r="A402" s="6" t="s">
        <v>414</v>
      </c>
      <c r="B402" s="29" t="n">
        <f aca="false">Quesería!$B$52*(B394+B395+B396+B400+B401)</f>
        <v>3.45573091517393</v>
      </c>
      <c r="C402" s="29" t="n">
        <f aca="false">Quesería!$B$52*(C394+C395+C396+C400+C401)</f>
        <v>3.11863422408947</v>
      </c>
      <c r="D402" s="29" t="n">
        <f aca="false">Quesería!$B$52*(D394+D395+D396+D400+D401)</f>
        <v>0.356923467911744</v>
      </c>
      <c r="E402" s="29" t="n">
        <f aca="false">Quesería!$B$52*(E394+E395+E396+E400+E401)</f>
        <v>0.356923467911744</v>
      </c>
      <c r="F402" s="29" t="n">
        <f aca="false">Quesería!$B$52*(F394+F395+F396+F400+F401)</f>
        <v>0.356923467911744</v>
      </c>
      <c r="G402" s="29" t="n">
        <f aca="false">Quesería!$B$52*(G394+G395+G396+G400+G401)</f>
        <v>0.461511015271615</v>
      </c>
      <c r="H402" s="29" t="n">
        <f aca="false">Quesería!$B$52*(H394+H395+H396+H400+H401)</f>
        <v>0.533573372859062</v>
      </c>
      <c r="I402" s="29" t="n">
        <f aca="false">Quesería!$B$52*(I394+I395+I396+I400+I401)</f>
        <v>0.356923467911744</v>
      </c>
      <c r="J402" s="29" t="n">
        <f aca="false">Quesería!$B$52*(J394+J395+J396+J400+J401)</f>
        <v>0.356923467911744</v>
      </c>
      <c r="K402" s="29" t="n">
        <f aca="false">Quesería!$B$52*(K394+K395+K396+K400+K401)</f>
        <v>0.356923467911744</v>
      </c>
      <c r="L402" s="29" t="n">
        <f aca="false">Quesería!$B$52*(L394+L395+L396+L400+L401)</f>
        <v>0.356923467911744</v>
      </c>
    </row>
    <row r="403" customFormat="false" ht="15" hidden="true" customHeight="false" outlineLevel="1" collapsed="false">
      <c r="A403" s="6" t="s">
        <v>415</v>
      </c>
      <c r="B403" s="29" t="n">
        <f aca="false">(IF($J$19=1,(SUMPRODUCT((Quesería!$C$70:$C$89=0)*(Quesería!$J$70:$J$89&gt;0)*(B$43&gt;=1)*(B$43&lt;=Quesería!$J$70:$J$89)*(Quesería!$H$70:$H$89&gt;0)*Quesería!$F$70:$F$89*(1+Quesería!$I$70:$I$89)/(Quesería!$J$70:$J$89+(Quesería!$J$70:$J$89=0)))+SUMPRODUCT((Quesería!$C$70:$C$89=0)*(Quesería!$J$70:$J$89=0)*(B$43=0)*(Quesería!$H$70:$H$89&gt;0)*Quesería!$F$70:$F$89*(1+Quesería!$I$70:$I$89)))*$B$391+(SUMPRODUCT((Quesería!$C$70:$C$89=1)*(Quesería!$J$70:$J$89&gt;0)*(B$43&gt;=2)*(B$43&lt;=Quesería!$J$70:$J$89+1)*(Quesería!$H$70:$H$89&gt;0)*Quesería!$F$70:$F$89*(1+Quesería!$I$70:$I$89)/(Quesería!$J$70:$J$89+(Quesería!$J$70:$J$89=0)))+SUMPRODUCT((Quesería!$C$70:$C$89=1)*(Quesería!$J$70:$J$89=0)*(B$43=1)*(Quesería!$H$70:$H$89&gt;0)*Quesería!$F$70:$F$89*(1+Quesería!$I$70:$I$89)))*$C$391*$J$21,IF(AND(B$43&gt;=1,B$43&lt;=Quesería!$B$30),Quesería!$F$92/Quesería!$B$30,0)*$B$391+IF(AND(B$43&gt;=2,B$43&lt;=Quesería!$B$30+1),Quesería!$F$93/Quesería!$B$30,0)*$C$391*$J$21)*$J$11+IF(AND(B$43&gt;=6,B$43&lt;=10),$G395*$G391/5,0)+IF(AND(B$43&gt;=7,B$43&lt;=11),$H395*$H391/5,0))*B393</f>
        <v>116.784732344594</v>
      </c>
      <c r="C403" s="29" t="n">
        <f aca="false">(IF($J$19=1,(SUMPRODUCT((Quesería!$C$70:$C$89=0)*(Quesería!$J$70:$J$89&gt;0)*(C$43&gt;=1)*(C$43&lt;=Quesería!$J$70:$J$89)*(Quesería!$H$70:$H$89&gt;0)*Quesería!$F$70:$F$89*(1+Quesería!$I$70:$I$89)/(Quesería!$J$70:$J$89+(Quesería!$J$70:$J$89=0)))+SUMPRODUCT((Quesería!$C$70:$C$89=0)*(Quesería!$J$70:$J$89=0)*(C$43=0)*(Quesería!$H$70:$H$89&gt;0)*Quesería!$F$70:$F$89*(1+Quesería!$I$70:$I$89)))*$B$391+(SUMPRODUCT((Quesería!$C$70:$C$89=1)*(Quesería!$J$70:$J$89&gt;0)*(C$43&gt;=2)*(C$43&lt;=Quesería!$J$70:$J$89+1)*(Quesería!$H$70:$H$89&gt;0)*Quesería!$F$70:$F$89*(1+Quesería!$I$70:$I$89)/(Quesería!$J$70:$J$89+(Quesería!$J$70:$J$89=0)))+SUMPRODUCT((Quesería!$C$70:$C$89=1)*(Quesería!$J$70:$J$89=0)*(C$43=1)*(Quesería!$H$70:$H$89&gt;0)*Quesería!$F$70:$F$89*(1+Quesería!$I$70:$I$89)))*$C$391*$J$21,IF(AND(C$43&gt;=1,C$43&lt;=Quesería!$B$30),Quesería!$F$92/Quesería!$B$30,0)*$B$391+IF(AND(C$43&gt;=2,C$43&lt;=Quesería!$B$30+1),Quesería!$F$93/Quesería!$B$30,0)*$C$391*$J$21)*$J$11+IF(AND(C$43&gt;=6,C$43&lt;=10),$G395*$G391/5,0)+IF(AND(C$43&gt;=7,C$43&lt;=11),$H395*$H391/5,0))*C393</f>
        <v>65.8106615619412</v>
      </c>
      <c r="D403" s="29" t="n">
        <f aca="false">(IF($J$19=1,(SUMPRODUCT((Quesería!$C$70:$C$89=0)*(Quesería!$J$70:$J$89&gt;0)*(D$43&gt;=1)*(D$43&lt;=Quesería!$J$70:$J$89)*(Quesería!$H$70:$H$89&gt;0)*Quesería!$F$70:$F$89*(1+Quesería!$I$70:$I$89)/(Quesería!$J$70:$J$89+(Quesería!$J$70:$J$89=0)))+SUMPRODUCT((Quesería!$C$70:$C$89=0)*(Quesería!$J$70:$J$89=0)*(D$43=0)*(Quesería!$H$70:$H$89&gt;0)*Quesería!$F$70:$F$89*(1+Quesería!$I$70:$I$89)))*$B$391+(SUMPRODUCT((Quesería!$C$70:$C$89=1)*(Quesería!$J$70:$J$89&gt;0)*(D$43&gt;=2)*(D$43&lt;=Quesería!$J$70:$J$89+1)*(Quesería!$H$70:$H$89&gt;0)*Quesería!$F$70:$F$89*(1+Quesería!$I$70:$I$89)/(Quesería!$J$70:$J$89+(Quesería!$J$70:$J$89=0)))+SUMPRODUCT((Quesería!$C$70:$C$89=1)*(Quesería!$J$70:$J$89=0)*(D$43=1)*(Quesería!$H$70:$H$89&gt;0)*Quesería!$F$70:$F$89*(1+Quesería!$I$70:$I$89)))*$C$391*$J$21,IF(AND(D$43&gt;=1,D$43&lt;=Quesería!$B$30),Quesería!$F$92/Quesería!$B$30,0)*$B$391+IF(AND(D$43&gt;=2,D$43&lt;=Quesería!$B$30+1),Quesería!$F$93/Quesería!$B$30,0)*$C$391*$J$21)*$J$11+IF(AND(D$43&gt;=6,D$43&lt;=10),$G395*$G391/5,0)+IF(AND(D$43&gt;=7,D$43&lt;=11),$H395*$H391/5,0))*D393</f>
        <v>121.041327173111</v>
      </c>
      <c r="E403" s="29" t="n">
        <f aca="false">(IF($J$19=1,(SUMPRODUCT((Quesería!$C$70:$C$89=0)*(Quesería!$J$70:$J$89&gt;0)*(E$43&gt;=1)*(E$43&lt;=Quesería!$J$70:$J$89)*(Quesería!$H$70:$H$89&gt;0)*Quesería!$F$70:$F$89*(1+Quesería!$I$70:$I$89)/(Quesería!$J$70:$J$89+(Quesería!$J$70:$J$89=0)))+SUMPRODUCT((Quesería!$C$70:$C$89=0)*(Quesería!$J$70:$J$89=0)*(E$43=0)*(Quesería!$H$70:$H$89&gt;0)*Quesería!$F$70:$F$89*(1+Quesería!$I$70:$I$89)))*$B$391+(SUMPRODUCT((Quesería!$C$70:$C$89=1)*(Quesería!$J$70:$J$89&gt;0)*(E$43&gt;=2)*(E$43&lt;=Quesería!$J$70:$J$89+1)*(Quesería!$H$70:$H$89&gt;0)*Quesería!$F$70:$F$89*(1+Quesería!$I$70:$I$89)/(Quesería!$J$70:$J$89+(Quesería!$J$70:$J$89=0)))+SUMPRODUCT((Quesería!$C$70:$C$89=1)*(Quesería!$J$70:$J$89=0)*(E$43=1)*(Quesería!$H$70:$H$89&gt;0)*Quesería!$F$70:$F$89*(1+Quesería!$I$70:$I$89)))*$C$391*$J$21,IF(AND(E$43&gt;=1,E$43&lt;=Quesería!$B$30),Quesería!$F$92/Quesería!$B$30,0)*$B$391+IF(AND(E$43&gt;=2,E$43&lt;=Quesería!$B$30+1),Quesería!$F$93/Quesería!$B$30,0)*$C$391*$J$21)*$J$11+IF(AND(E$43&gt;=6,E$43&lt;=10),$G395*$G391/5,0)+IF(AND(E$43&gt;=7,E$43&lt;=11),$H395*$H391/5,0))*E393</f>
        <v>116.385891512607</v>
      </c>
      <c r="F403" s="29" t="n">
        <f aca="false">(IF($J$19=1,(SUMPRODUCT((Quesería!$C$70:$C$89=0)*(Quesería!$J$70:$J$89&gt;0)*(F$43&gt;=1)*(F$43&lt;=Quesería!$J$70:$J$89)*(Quesería!$H$70:$H$89&gt;0)*Quesería!$F$70:$F$89*(1+Quesería!$I$70:$I$89)/(Quesería!$J$70:$J$89+(Quesería!$J$70:$J$89=0)))+SUMPRODUCT((Quesería!$C$70:$C$89=0)*(Quesería!$J$70:$J$89=0)*(F$43=0)*(Quesería!$H$70:$H$89&gt;0)*Quesería!$F$70:$F$89*(1+Quesería!$I$70:$I$89)))*$B$391+(SUMPRODUCT((Quesería!$C$70:$C$89=1)*(Quesería!$J$70:$J$89&gt;0)*(F$43&gt;=2)*(F$43&lt;=Quesería!$J$70:$J$89+1)*(Quesería!$H$70:$H$89&gt;0)*Quesería!$F$70:$F$89*(1+Quesería!$I$70:$I$89)/(Quesería!$J$70:$J$89+(Quesería!$J$70:$J$89=0)))+SUMPRODUCT((Quesería!$C$70:$C$89=1)*(Quesería!$J$70:$J$89=0)*(F$43=1)*(Quesería!$H$70:$H$89&gt;0)*Quesería!$F$70:$F$89*(1+Quesería!$I$70:$I$89)))*$C$391*$J$21,IF(AND(F$43&gt;=1,F$43&lt;=Quesería!$B$30),Quesería!$F$92/Quesería!$B$30,0)*$B$391+IF(AND(F$43&gt;=2,F$43&lt;=Quesería!$B$30+1),Quesería!$F$93/Quesería!$B$30,0)*$C$391*$J$21)*$J$11+IF(AND(F$43&gt;=6,F$43&lt;=10),$G395*$G391/5,0)+IF(AND(F$43&gt;=7,F$43&lt;=11),$H395*$H391/5,0))*F393</f>
        <v>111.909511069814</v>
      </c>
      <c r="G403" s="29" t="n">
        <f aca="false">(IF($J$19=1,(SUMPRODUCT((Quesería!$C$70:$C$89=0)*(Quesería!$J$70:$J$89&gt;0)*(G$43&gt;=1)*(G$43&lt;=Quesería!$J$70:$J$89)*(Quesería!$H$70:$H$89&gt;0)*Quesería!$F$70:$F$89*(1+Quesería!$I$70:$I$89)/(Quesería!$J$70:$J$89+(Quesería!$J$70:$J$89=0)))+SUMPRODUCT((Quesería!$C$70:$C$89=0)*(Quesería!$J$70:$J$89=0)*(G$43=0)*(Quesería!$H$70:$H$89&gt;0)*Quesería!$F$70:$F$89*(1+Quesería!$I$70:$I$89)))*$B$391+(SUMPRODUCT((Quesería!$C$70:$C$89=1)*(Quesería!$J$70:$J$89&gt;0)*(G$43&gt;=2)*(G$43&lt;=Quesería!$J$70:$J$89+1)*(Quesería!$H$70:$H$89&gt;0)*Quesería!$F$70:$F$89*(1+Quesería!$I$70:$I$89)/(Quesería!$J$70:$J$89+(Quesería!$J$70:$J$89=0)))+SUMPRODUCT((Quesería!$C$70:$C$89=1)*(Quesería!$J$70:$J$89=0)*(G$43=1)*(Quesería!$H$70:$H$89&gt;0)*Quesería!$F$70:$F$89*(1+Quesería!$I$70:$I$89)))*$C$391*$J$21,IF(AND(G$43&gt;=1,G$43&lt;=Quesería!$B$30),Quesería!$F$92/Quesería!$B$30,0)*$B$391+IF(AND(G$43&gt;=2,G$43&lt;=Quesería!$B$30+1),Quesería!$F$93/Quesería!$B$30,0)*$C$391*$J$21)*$J$11+IF(AND(G$43&gt;=6,G$43&lt;=10),$G395*$G391/5,0)+IF(AND(G$43&gt;=7,G$43&lt;=11),$H395*$H391/5,0))*G393</f>
        <v>107.605299105591</v>
      </c>
      <c r="H403" s="29" t="n">
        <f aca="false">(IF($J$19=1,(SUMPRODUCT((Quesería!$C$70:$C$89=0)*(Quesería!$J$70:$J$89&gt;0)*(H$43&gt;=1)*(H$43&lt;=Quesería!$J$70:$J$89)*(Quesería!$H$70:$H$89&gt;0)*Quesería!$F$70:$F$89*(1+Quesería!$I$70:$I$89)/(Quesería!$J$70:$J$89+(Quesería!$J$70:$J$89=0)))+SUMPRODUCT((Quesería!$C$70:$C$89=0)*(Quesería!$J$70:$J$89=0)*(H$43=0)*(Quesería!$H$70:$H$89&gt;0)*Quesería!$F$70:$F$89*(1+Quesería!$I$70:$I$89)))*$B$391+(SUMPRODUCT((Quesería!$C$70:$C$89=1)*(Quesería!$J$70:$J$89&gt;0)*(H$43&gt;=2)*(H$43&lt;=Quesería!$J$70:$J$89+1)*(Quesería!$H$70:$H$89&gt;0)*Quesería!$F$70:$F$89*(1+Quesería!$I$70:$I$89)/(Quesería!$J$70:$J$89+(Quesería!$J$70:$J$89=0)))+SUMPRODUCT((Quesería!$C$70:$C$89=1)*(Quesería!$J$70:$J$89=0)*(H$43=1)*(Quesería!$H$70:$H$89&gt;0)*Quesería!$F$70:$F$89*(1+Quesería!$I$70:$I$89)))*$C$391*$J$21,IF(AND(H$43&gt;=1,H$43&lt;=Quesería!$B$30),Quesería!$F$92/Quesería!$B$30,0)*$B$391+IF(AND(H$43&gt;=2,H$43&lt;=Quesería!$B$30+1),Quesería!$F$93/Quesería!$B$30,0)*$C$391*$J$21)*$J$11+IF(AND(H$43&gt;=6,H$43&lt;=10),$G395*$G391/5,0)+IF(AND(H$43&gt;=7,H$43&lt;=11),$H395*$H391/5,0))*H393</f>
        <v>97.8517364722543</v>
      </c>
      <c r="I403" s="29" t="n">
        <f aca="false">(IF($J$19=1,(SUMPRODUCT((Quesería!$C$70:$C$89=0)*(Quesería!$J$70:$J$89&gt;0)*(I$43&gt;=1)*(I$43&lt;=Quesería!$J$70:$J$89)*(Quesería!$H$70:$H$89&gt;0)*Quesería!$F$70:$F$89*(1+Quesería!$I$70:$I$89)/(Quesería!$J$70:$J$89+(Quesería!$J$70:$J$89=0)))+SUMPRODUCT((Quesería!$C$70:$C$89=0)*(Quesería!$J$70:$J$89=0)*(I$43=0)*(Quesería!$H$70:$H$89&gt;0)*Quesería!$F$70:$F$89*(1+Quesería!$I$70:$I$89)))*$B$391+(SUMPRODUCT((Quesería!$C$70:$C$89=1)*(Quesería!$J$70:$J$89&gt;0)*(I$43&gt;=2)*(I$43&lt;=Quesería!$J$70:$J$89+1)*(Quesería!$H$70:$H$89&gt;0)*Quesería!$F$70:$F$89*(1+Quesería!$I$70:$I$89)/(Quesería!$J$70:$J$89+(Quesería!$J$70:$J$89=0)))+SUMPRODUCT((Quesería!$C$70:$C$89=1)*(Quesería!$J$70:$J$89=0)*(I$43=1)*(Quesería!$H$70:$H$89&gt;0)*Quesería!$F$70:$F$89*(1+Quesería!$I$70:$I$89)))*$C$391*$J$21,IF(AND(I$43&gt;=1,I$43&lt;=Quesería!$B$30),Quesería!$F$92/Quesería!$B$30,0)*$B$391+IF(AND(I$43&gt;=2,I$43&lt;=Quesería!$B$30+1),Quesería!$F$93/Quesería!$B$30,0)*$C$391*$J$21)*$J$11+IF(AND(I$43&gt;=6,I$43&lt;=10),$G395*$G391/5,0)+IF(AND(I$43&gt;=7,I$43&lt;=11),$H395*$H391/5,0))*I393</f>
        <v>101.225001332699</v>
      </c>
      <c r="J403" s="29" t="n">
        <f aca="false">(IF($J$19=1,(SUMPRODUCT((Quesería!$C$70:$C$89=0)*(Quesería!$J$70:$J$89&gt;0)*(J$43&gt;=1)*(J$43&lt;=Quesería!$J$70:$J$89)*(Quesería!$H$70:$H$89&gt;0)*Quesería!$F$70:$F$89*(1+Quesería!$I$70:$I$89)/(Quesería!$J$70:$J$89+(Quesería!$J$70:$J$89=0)))+SUMPRODUCT((Quesería!$C$70:$C$89=0)*(Quesería!$J$70:$J$89=0)*(J$43=0)*(Quesería!$H$70:$H$89&gt;0)*Quesería!$F$70:$F$89*(1+Quesería!$I$70:$I$89)))*$B$391+(SUMPRODUCT((Quesería!$C$70:$C$89=1)*(Quesería!$J$70:$J$89&gt;0)*(J$43&gt;=2)*(J$43&lt;=Quesería!$J$70:$J$89+1)*(Quesería!$H$70:$H$89&gt;0)*Quesería!$F$70:$F$89*(1+Quesería!$I$70:$I$89)/(Quesería!$J$70:$J$89+(Quesería!$J$70:$J$89=0)))+SUMPRODUCT((Quesería!$C$70:$C$89=1)*(Quesería!$J$70:$J$89=0)*(J$43=1)*(Quesería!$H$70:$H$89&gt;0)*Quesería!$F$70:$F$89*(1+Quesería!$I$70:$I$89)))*$C$391*$J$21,IF(AND(J$43&gt;=1,J$43&lt;=Quesería!$B$30),Quesería!$F$92/Quesería!$B$30,0)*$B$391+IF(AND(J$43&gt;=2,J$43&lt;=Quesería!$B$30+1),Quesería!$F$93/Quesería!$B$30,0)*$C$391*$J$21)*$J$11+IF(AND(J$43&gt;=6,J$43&lt;=10),$G395*$G391/5,0)+IF(AND(J$43&gt;=7,J$43&lt;=11),$H395*$H391/5,0))*J393</f>
        <v>97.3317320506723</v>
      </c>
      <c r="K403" s="29" t="n">
        <f aca="false">(IF($J$19=1,(SUMPRODUCT((Quesería!$C$70:$C$89=0)*(Quesería!$J$70:$J$89&gt;0)*(K$43&gt;=1)*(K$43&lt;=Quesería!$J$70:$J$89)*(Quesería!$H$70:$H$89&gt;0)*Quesería!$F$70:$F$89*(1+Quesería!$I$70:$I$89)/(Quesería!$J$70:$J$89+(Quesería!$J$70:$J$89=0)))+SUMPRODUCT((Quesería!$C$70:$C$89=0)*(Quesería!$J$70:$J$89=0)*(K$43=0)*(Quesería!$H$70:$H$89&gt;0)*Quesería!$F$70:$F$89*(1+Quesería!$I$70:$I$89)))*$B$391+(SUMPRODUCT((Quesería!$C$70:$C$89=1)*(Quesería!$J$70:$J$89&gt;0)*(K$43&gt;=2)*(K$43&lt;=Quesería!$J$70:$J$89+1)*(Quesería!$H$70:$H$89&gt;0)*Quesería!$F$70:$F$89*(1+Quesería!$I$70:$I$89)/(Quesería!$J$70:$J$89+(Quesería!$J$70:$J$89=0)))+SUMPRODUCT((Quesería!$C$70:$C$89=1)*(Quesería!$J$70:$J$89=0)*(K$43=1)*(Quesería!$H$70:$H$89&gt;0)*Quesería!$F$70:$F$89*(1+Quesería!$I$70:$I$89)))*$C$391*$J$21,IF(AND(K$43&gt;=1,K$43&lt;=Quesería!$B$30),Quesería!$F$92/Quesería!$B$30,0)*$B$391+IF(AND(K$43&gt;=2,K$43&lt;=Quesería!$B$30+1),Quesería!$F$93/Quesería!$B$30,0)*$C$391*$J$21)*$J$11+IF(AND(K$43&gt;=6,K$43&lt;=10),$G395*$G391/5,0)+IF(AND(K$43&gt;=7,K$43&lt;=11),$H395*$H391/5,0))*K393</f>
        <v>93.5882038948772</v>
      </c>
      <c r="L403" s="29" t="n">
        <f aca="false">(IF($J$19=1,(SUMPRODUCT((Quesería!$C$70:$C$89=0)*(Quesería!$J$70:$J$89&gt;0)*(L$43&gt;=1)*(L$43&lt;=Quesería!$J$70:$J$89)*(Quesería!$H$70:$H$89&gt;0)*Quesería!$F$70:$F$89*(1+Quesería!$I$70:$I$89)/(Quesería!$J$70:$J$89+(Quesería!$J$70:$J$89=0)))+SUMPRODUCT((Quesería!$C$70:$C$89=0)*(Quesería!$J$70:$J$89=0)*(L$43=0)*(Quesería!$H$70:$H$89&gt;0)*Quesería!$F$70:$F$89*(1+Quesería!$I$70:$I$89)))*$B$391+(SUMPRODUCT((Quesería!$C$70:$C$89=1)*(Quesería!$J$70:$J$89&gt;0)*(L$43&gt;=2)*(L$43&lt;=Quesería!$J$70:$J$89+1)*(Quesería!$H$70:$H$89&gt;0)*Quesería!$F$70:$F$89*(1+Quesería!$I$70:$I$89)/(Quesería!$J$70:$J$89+(Quesería!$J$70:$J$89=0)))+SUMPRODUCT((Quesería!$C$70:$C$89=1)*(Quesería!$J$70:$J$89=0)*(L$43=1)*(Quesería!$H$70:$H$89&gt;0)*Quesería!$F$70:$F$89*(1+Quesería!$I$70:$I$89)))*$C$391*$J$21,IF(AND(L$43&gt;=1,L$43&lt;=Quesería!$B$30),Quesería!$F$92/Quesería!$B$30,0)*$B$391+IF(AND(L$43&gt;=2,L$43&lt;=Quesería!$B$30+1),Quesería!$F$93/Quesería!$B$30,0)*$C$391*$J$21)*$J$11+IF(AND(L$43&gt;=6,L$43&lt;=10),$G395*$G391/5,0)+IF(AND(L$43&gt;=7,L$43&lt;=11),$H395*$H391/5,0))*L393</f>
        <v>89.9886575912281</v>
      </c>
    </row>
    <row r="404" customFormat="false" ht="15" hidden="true" customHeight="false" outlineLevel="1" collapsed="false">
      <c r="A404" s="9" t="s">
        <v>416</v>
      </c>
      <c r="B404" s="58" t="n">
        <f aca="false">IF(B$43=1,MIN($J$7*Quesería!$B$56*Quesería!$F$86*$J$11*$J$21,Quesería!$B$57*Quesería!$B$58),0)</f>
        <v>0</v>
      </c>
      <c r="C404" s="58" t="n">
        <f aca="false">IF(C$43=1,MIN($J$7*Quesería!$B$56*Quesería!$F$86*$J$11*$J$21,Quesería!$B$57*Quesería!$B$58),0)</f>
        <v>16</v>
      </c>
      <c r="D404" s="58" t="n">
        <f aca="false">IF(D$43=1,MIN($J$7*Quesería!$B$56*Quesería!$F$86*$J$11*$J$21,Quesería!$B$57*Quesería!$B$58),0)</f>
        <v>0</v>
      </c>
      <c r="E404" s="58" t="n">
        <f aca="false">IF(E$43=1,MIN($J$7*Quesería!$B$56*Quesería!$F$86*$J$11*$J$21,Quesería!$B$57*Quesería!$B$58),0)</f>
        <v>0</v>
      </c>
      <c r="F404" s="58" t="n">
        <f aca="false">IF(F$43=1,MIN($J$7*Quesería!$B$56*Quesería!$F$86*$J$11*$J$21,Quesería!$B$57*Quesería!$B$58),0)</f>
        <v>0</v>
      </c>
      <c r="G404" s="58" t="n">
        <f aca="false">IF(G$43=1,MIN($J$7*Quesería!$B$56*Quesería!$F$86*$J$11*$J$21,Quesería!$B$57*Quesería!$B$58),0)</f>
        <v>0</v>
      </c>
      <c r="H404" s="58" t="n">
        <f aca="false">IF(H$43=1,MIN($J$7*Quesería!$B$56*Quesería!$F$86*$J$11*$J$21,Quesería!$B$57*Quesería!$B$58),0)</f>
        <v>0</v>
      </c>
      <c r="I404" s="58" t="n">
        <f aca="false">IF(I$43=1,MIN($J$7*Quesería!$B$56*Quesería!$F$86*$J$11*$J$21,Quesería!$B$57*Quesería!$B$58),0)</f>
        <v>0</v>
      </c>
      <c r="J404" s="58" t="n">
        <f aca="false">IF(J$43=1,MIN($J$7*Quesería!$B$56*Quesería!$F$86*$J$11*$J$21,Quesería!$B$57*Quesería!$B$58),0)</f>
        <v>0</v>
      </c>
      <c r="K404" s="58" t="n">
        <f aca="false">IF(K$43=1,MIN($J$7*Quesería!$B$56*Quesería!$F$86*$J$11*$J$21,Quesería!$B$57*Quesería!$B$58),0)</f>
        <v>0</v>
      </c>
      <c r="L404" s="58" t="n">
        <f aca="false">IF(L$43=1,MIN($J$7*Quesería!$B$56*Quesería!$F$86*$J$11*$J$21,Quesería!$B$57*Quesería!$B$58),0)</f>
        <v>0</v>
      </c>
    </row>
    <row r="405" customFormat="false" ht="15" hidden="true" customHeight="false" outlineLevel="1" collapsed="false">
      <c r="A405" s="9" t="s">
        <v>417</v>
      </c>
      <c r="B405" s="58" t="n">
        <v>0</v>
      </c>
      <c r="C405" s="58" t="n">
        <f aca="false">$J$20*Quesería!$B$60*Quesería!$F$98*$J$11*$B$391/C391/2</f>
        <v>110.502946757928</v>
      </c>
      <c r="D405" s="58" t="n">
        <f aca="false">$J$20*Quesería!$B$60*Quesería!$F$98*$J$11*$B$391/D391/2</f>
        <v>105.744446658304</v>
      </c>
      <c r="E405" s="58" t="n">
        <v>0</v>
      </c>
      <c r="F405" s="58" t="n">
        <v>0</v>
      </c>
      <c r="G405" s="58" t="n">
        <v>0</v>
      </c>
      <c r="H405" s="58" t="n">
        <v>0</v>
      </c>
      <c r="I405" s="58" t="n">
        <v>0</v>
      </c>
      <c r="J405" s="58" t="n">
        <v>0</v>
      </c>
      <c r="K405" s="58" t="n">
        <v>0</v>
      </c>
      <c r="L405" s="58" t="n">
        <v>0</v>
      </c>
    </row>
    <row r="406" customFormat="false" ht="15" hidden="true" customHeight="false" outlineLevel="1" collapsed="false">
      <c r="A406" s="9" t="s">
        <v>418</v>
      </c>
      <c r="B406" s="58" t="n">
        <f aca="false">0</f>
        <v>0</v>
      </c>
      <c r="C406" s="58" t="n">
        <f aca="false">B396*B391/C391</f>
        <v>113.611940236326</v>
      </c>
      <c r="D406" s="58" t="n">
        <f aca="false">C396*C391/D391</f>
        <v>110.322773334472</v>
      </c>
      <c r="E406" s="58" t="n">
        <f aca="false">D396*D391/E391</f>
        <v>0</v>
      </c>
      <c r="F406" s="58" t="n">
        <f aca="false">E396*E391/F391</f>
        <v>0</v>
      </c>
      <c r="G406" s="58" t="n">
        <f aca="false">F396*F391/G391</f>
        <v>0</v>
      </c>
      <c r="H406" s="58" t="n">
        <f aca="false">G396*G391/H391</f>
        <v>4.0141471392969</v>
      </c>
      <c r="I406" s="58" t="n">
        <f aca="false">H396*H391/I391</f>
        <v>6.77995352698577</v>
      </c>
      <c r="J406" s="58" t="n">
        <f aca="false">I396*I391/J391</f>
        <v>0</v>
      </c>
      <c r="K406" s="58" t="n">
        <f aca="false">J396*J391/K391</f>
        <v>0</v>
      </c>
      <c r="L406" s="58" t="n">
        <f aca="false">K396*K391/L391</f>
        <v>0</v>
      </c>
    </row>
    <row r="407" customFormat="false" ht="15" hidden="true" customHeight="false" outlineLevel="1" collapsed="false">
      <c r="A407" s="6" t="s">
        <v>295</v>
      </c>
      <c r="B407" s="29" t="n">
        <f aca="false">$J$17*(B399-B400-B401-0.5*B402-B403)-B404-B405-B406</f>
        <v>0.77146106065774</v>
      </c>
      <c r="C407" s="29" t="n">
        <f aca="false">$J$17*(C399-C400-C401-0.5*C402-C403)-C404-C405-C406</f>
        <v>-220.38807004811</v>
      </c>
      <c r="D407" s="29" t="n">
        <f aca="false">$J$17*(D399-D400-D401-0.5*D402-D403)-D404-D405-D406</f>
        <v>-122.76337044987</v>
      </c>
      <c r="E407" s="29" t="n">
        <f aca="false">$J$17*(E399-E400-E401-0.5*E402-E403)-E404-E405-E406</f>
        <v>117.270527539343</v>
      </c>
      <c r="F407" s="29" t="n">
        <f aca="false">$J$17*(F399-F400-F401-0.5*F402-F403)-F404-F405-F406</f>
        <v>118.945484556723</v>
      </c>
      <c r="G407" s="29" t="n">
        <f aca="false">$J$17*(G399-G400-G401-0.5*G402-G403)-G404-G405-G406</f>
        <v>120.542420905128</v>
      </c>
      <c r="H407" s="29" t="n">
        <f aca="false">$J$17*(H399-H400-H401-0.5*H402-H403)-H404-H405-H406</f>
        <v>120.038718581544</v>
      </c>
      <c r="I407" s="29" t="n">
        <f aca="false">$J$17*(I399-I400-I401-0.5*I402-I403)-I404-I405-I406</f>
        <v>116.233038576721</v>
      </c>
      <c r="J407" s="29" t="n">
        <f aca="false">$J$17*(J399-J400-J401-0.5*J402-J403)-J404-J405-J406</f>
        <v>124.486040979826</v>
      </c>
      <c r="K407" s="29" t="n">
        <f aca="false">$J$17*(K399-K400-K401-0.5*K402-K403)-K404-K405-K406</f>
        <v>125.907232484901</v>
      </c>
      <c r="L407" s="29" t="n">
        <f aca="false">$J$17*(L399-L400-L401-0.5*L402-L403)-L404-L405-L406</f>
        <v>127.278585124977</v>
      </c>
    </row>
    <row r="408" customFormat="false" ht="15" hidden="true" customHeight="false" outlineLevel="1" collapsed="false">
      <c r="A408" s="9" t="s">
        <v>419</v>
      </c>
      <c r="B408" s="58" t="n">
        <f aca="false">(IF(B$43&gt;=1,Quesería!$G$123*IF(B$43=1,Quesería!$B$20,1),Quesería!$G$123*Quesería!$B$20*Quesería!$B$21/12*$J$23)+IF(B$43&gt;=2,Quesería!$G$124*$J$21*IF(B$43=2,Quesería!$B$20,1),0))*$J$10</f>
        <v>77.4042870161869</v>
      </c>
      <c r="C408" s="58" t="n">
        <f aca="false">(IF(C$43&gt;=1,Quesería!$G$123*IF(C$43=1,Quesería!$B$20,1),Quesería!$G$123*Quesería!$B$20*Quesería!$B$21/12*$J$23)+IF(C$43&gt;=2,Quesería!$G$124*$J$21*IF(C$43=2,Quesería!$B$20,1),0))*$J$10</f>
        <v>116.10643052428</v>
      </c>
      <c r="D408" s="58" t="n">
        <f aca="false">(IF(D$43&gt;=1,Quesería!$G$123*IF(D$43=1,Quesería!$B$20,1),Quesería!$G$123*Quesería!$B$20*Quesería!$B$21/12*$J$23)+IF(D$43&gt;=2,Quesería!$G$124*$J$21*IF(D$43=2,Quesería!$B$20,1),0))*$J$10</f>
        <v>297.090260202792</v>
      </c>
      <c r="E408" s="58" t="n">
        <f aca="false">(IF(E$43&gt;=1,Quesería!$G$123*IF(E$43=1,Quesería!$B$20,1),Quesería!$G$123*Quesería!$B$20*Quesería!$B$21/12*$J$23)+IF(E$43&gt;=2,Quesería!$G$124*$J$21*IF(E$43=2,Quesería!$B$20,1),0))*$J$10</f>
        <v>344.517488926264</v>
      </c>
      <c r="F408" s="58" t="n">
        <f aca="false">(IF(F$43&gt;=1,Quesería!$G$123*IF(F$43=1,Quesería!$B$20,1),Quesería!$G$123*Quesería!$B$20*Quesería!$B$21/12*$J$23)+IF(F$43&gt;=2,Quesería!$G$124*$J$21*IF(F$43=2,Quesería!$B$20,1),0))*$J$10</f>
        <v>344.517488926264</v>
      </c>
      <c r="G408" s="58" t="n">
        <f aca="false">(IF(G$43&gt;=1,Quesería!$G$123*IF(G$43=1,Quesería!$B$20,1),Quesería!$G$123*Quesería!$B$20*Quesería!$B$21/12*$J$23)+IF(G$43&gt;=2,Quesería!$G$124*$J$21*IF(G$43=2,Quesería!$B$20,1),0))*$J$10</f>
        <v>344.517488926264</v>
      </c>
      <c r="H408" s="58" t="n">
        <f aca="false">(IF(H$43&gt;=1,Quesería!$G$123*IF(H$43=1,Quesería!$B$20,1),Quesería!$G$123*Quesería!$B$20*Quesería!$B$21/12*$J$23)+IF(H$43&gt;=2,Quesería!$G$124*$J$21*IF(H$43=2,Quesería!$B$20,1),0))*$J$10</f>
        <v>344.517488926264</v>
      </c>
      <c r="I408" s="58" t="n">
        <f aca="false">(IF(I$43&gt;=1,Quesería!$G$123*IF(I$43=1,Quesería!$B$20,1),Quesería!$G$123*Quesería!$B$20*Quesería!$B$21/12*$J$23)+IF(I$43&gt;=2,Quesería!$G$124*$J$21*IF(I$43=2,Quesería!$B$20,1),0))*$J$10</f>
        <v>344.517488926264</v>
      </c>
      <c r="J408" s="58" t="n">
        <f aca="false">(IF(J$43&gt;=1,Quesería!$G$123*IF(J$43=1,Quesería!$B$20,1),Quesería!$G$123*Quesería!$B$20*Quesería!$B$21/12*$J$23)+IF(J$43&gt;=2,Quesería!$G$124*$J$21*IF(J$43=2,Quesería!$B$20,1),0))*$J$10</f>
        <v>344.517488926264</v>
      </c>
      <c r="K408" s="58" t="n">
        <f aca="false">(IF(K$43&gt;=1,Quesería!$G$123*IF(K$43=1,Quesería!$B$20,1),Quesería!$G$123*Quesería!$B$20*Quesería!$B$21/12*$J$23)+IF(K$43&gt;=2,Quesería!$G$124*$J$21*IF(K$43=2,Quesería!$B$20,1),0))*$J$10</f>
        <v>344.517488926264</v>
      </c>
      <c r="L408" s="58" t="n">
        <f aca="false">(IF(L$43&gt;=1,Quesería!$G$123*IF(L$43=1,Quesería!$B$20,1),Quesería!$G$123*Quesería!$B$20*Quesería!$B$21/12*$J$23)+IF(L$43&gt;=2,Quesería!$G$124*$J$21*IF(L$43=2,Quesería!$B$20,1),0))*$J$10</f>
        <v>344.517488926264</v>
      </c>
    </row>
    <row r="409" customFormat="false" ht="15" hidden="true" customHeight="false" outlineLevel="1" collapsed="false">
      <c r="A409" s="6" t="s">
        <v>420</v>
      </c>
      <c r="B409" s="29" t="n">
        <f aca="false">(B408*(Quesería!$B$38+Quesería!$B$40*Quesería!$B$39)/365-B400*Quesería!$B$42/365)</f>
        <v>7.23146900616979</v>
      </c>
      <c r="C409" s="29" t="n">
        <f aca="false">(C408*(Quesería!$B$38+Quesería!$B$40*Quesería!$B$39)/365-C400*Quesería!$B$42/365)-(B408*(Quesería!$B$38+Quesería!$B$40*Quesería!$B$39)/365-B400*Quesería!$B$42/365)*B391/C391</f>
        <v>1.60462228153396</v>
      </c>
      <c r="D409" s="29" t="n">
        <f aca="false">(D408*(Quesería!$B$38+Quesería!$B$40*Quesería!$B$39)/365-D400*Quesería!$B$42/365)-(C408*(Quesería!$B$38+Quesería!$B$40*Quesería!$B$39)/365-C400*Quesería!$B$42/365)*C391/D391</f>
        <v>14.2511941896895</v>
      </c>
      <c r="E409" s="29" t="n">
        <f aca="false">(E408*(Quesería!$B$38+Quesería!$B$40*Quesería!$B$39)/365-E400*Quesería!$B$42/365)-(D408*(Quesería!$B$38+Quesería!$B$40*Quesería!$B$39)/365-D400*Quesería!$B$42/365)*D391/E391</f>
        <v>5.29153633146801</v>
      </c>
      <c r="F409" s="29" t="n">
        <f aca="false">(F408*(Quesería!$B$38+Quesería!$B$40*Quesería!$B$39)/365-F400*Quesería!$B$42/365)-(E408*(Quesería!$B$38+Quesería!$B$40*Quesería!$B$39)/365-E400*Quesería!$B$42/365)*E391/F391</f>
        <v>1.03108190715185</v>
      </c>
      <c r="G409" s="29" t="n">
        <f aca="false">(G408*(Quesería!$B$38+Quesería!$B$40*Quesería!$B$39)/365-G400*Quesería!$B$42/365)-(F408*(Quesería!$B$38+Quesería!$B$40*Quesería!$B$39)/365-F400*Quesería!$B$42/365)*F391/G391</f>
        <v>1.03108190715185</v>
      </c>
      <c r="H409" s="29" t="n">
        <f aca="false">(H408*(Quesería!$B$38+Quesería!$B$40*Quesería!$B$39)/365-H400*Quesería!$B$42/365)-(G408*(Quesería!$B$38+Quesería!$B$40*Quesería!$B$39)/365-G400*Quesería!$B$42/365)*G391/H391</f>
        <v>1.03108190715184</v>
      </c>
      <c r="I409" s="29" t="n">
        <f aca="false">(I408*(Quesería!$B$38+Quesería!$B$40*Quesería!$B$39)/365-I400*Quesería!$B$42/365)-(H408*(Quesería!$B$38+Quesería!$B$40*Quesería!$B$39)/365-H400*Quesería!$B$42/365)*H391/I391</f>
        <v>1.03108190715185</v>
      </c>
      <c r="J409" s="29" t="n">
        <f aca="false">(J408*(Quesería!$B$38+Quesería!$B$40*Quesería!$B$39)/365-J400*Quesería!$B$42/365)-(I408*(Quesería!$B$38+Quesería!$B$40*Quesería!$B$39)/365-I400*Quesería!$B$42/365)*I391/J391</f>
        <v>1.03108190715185</v>
      </c>
      <c r="K409" s="29" t="n">
        <f aca="false">(K408*(Quesería!$B$38+Quesería!$B$40*Quesería!$B$39)/365-K400*Quesería!$B$42/365)-(J408*(Quesería!$B$38+Quesería!$B$40*Quesería!$B$39)/365-J400*Quesería!$B$42/365)*J391/K391</f>
        <v>1.03108190715185</v>
      </c>
      <c r="L409" s="29" t="n">
        <f aca="false">-(K408*(Quesería!$B$38+Quesería!$B$40*Quesería!$B$39)/365-K400*Quesería!$B$42/365)*K391/L391</f>
        <v>-25.7770476787961</v>
      </c>
    </row>
    <row r="410" customFormat="false" ht="15" hidden="true" customHeight="false" outlineLevel="1" collapsed="false">
      <c r="A410" s="6" t="s">
        <v>421</v>
      </c>
      <c r="B410" s="29" t="n">
        <v>0</v>
      </c>
      <c r="C410" s="29" t="n">
        <v>0</v>
      </c>
      <c r="D410" s="29" t="n">
        <v>0</v>
      </c>
      <c r="E410" s="29" t="n">
        <v>0</v>
      </c>
      <c r="F410" s="29" t="n">
        <v>0</v>
      </c>
      <c r="G410" s="29" t="n">
        <v>0</v>
      </c>
      <c r="H410" s="29" t="n">
        <v>0</v>
      </c>
      <c r="I410" s="29" t="n">
        <v>0</v>
      </c>
      <c r="J410" s="29" t="n">
        <v>0</v>
      </c>
      <c r="K410" s="29" t="n">
        <v>0</v>
      </c>
      <c r="L410" s="29" t="n">
        <f aca="false">$J$8*Quesería!$B$36*(Quesería!$F$94+Quesería!$F$95*$J$21)*$J$11*(1-$J$17)</f>
        <v>53.6990180467634</v>
      </c>
    </row>
    <row r="411" customFormat="false" ht="15" hidden="true" customHeight="false" outlineLevel="1" collapsed="false">
      <c r="A411" s="5" t="s">
        <v>147</v>
      </c>
      <c r="B411" s="59" t="n">
        <f aca="false">B399-B400-B401-B402-B407-B394-B395-B396-B409+B410</f>
        <v>-754.674617514282</v>
      </c>
      <c r="C411" s="59" t="n">
        <f aca="false">C399-C400-C401-C402-C407-C394-C395-C396-C409+C410</f>
        <v>-382.665425125812</v>
      </c>
      <c r="D411" s="59" t="n">
        <f aca="false">D399-D400-D401-D402-D407-D394-D395-D396-D409+D410</f>
        <v>495.957468964783</v>
      </c>
      <c r="E411" s="59" t="n">
        <f aca="false">E399-E400-E401-E402-E407-E394-E395-E396-E409+E410</f>
        <v>328.704016020248</v>
      </c>
      <c r="F411" s="59" t="n">
        <f aca="false">F399-F400-F401-F402-F407-F394-F395-F396-F409+F410</f>
        <v>331.59872446262</v>
      </c>
      <c r="G411" s="59" t="n">
        <f aca="false">G399-G400-G401-G402-G407-G394-G395-G396-G409+G410</f>
        <v>304.061070817501</v>
      </c>
      <c r="H411" s="59" t="n">
        <f aca="false">H399-H400-H401-H402-H407-H394-H395-H396-H409+H410</f>
        <v>286.789432262702</v>
      </c>
      <c r="I411" s="59" t="n">
        <f aca="false">I399-I400-I401-I402-I407-I394-I395-I396-I409+I410</f>
        <v>335.248110839747</v>
      </c>
      <c r="J411" s="59" t="n">
        <f aca="false">J399-J400-J401-J402-J407-J394-J395-J396-J409+J410</f>
        <v>327.310550229241</v>
      </c>
      <c r="K411" s="59" t="n">
        <f aca="false">K399-K400-K401-K402-K407-K394-K395-K396-K409+K410</f>
        <v>326.206377725728</v>
      </c>
      <c r="L411" s="59" t="n">
        <f aca="false">L399-L400-L401-L402-L407-L394-L395-L396-L409+L410</f>
        <v>405.660776814932</v>
      </c>
    </row>
    <row r="412" customFormat="false" ht="15" hidden="true" customHeight="false" outlineLevel="1" collapsed="false">
      <c r="A412" s="9" t="s">
        <v>422</v>
      </c>
      <c r="B412" s="58" t="n">
        <f aca="false">B411*B391</f>
        <v>-799.955094565139</v>
      </c>
      <c r="C412" s="58" t="n">
        <f aca="false">C411*C391</f>
        <v>-425.906618165029</v>
      </c>
      <c r="D412" s="58" t="n">
        <f aca="false">D411*D391</f>
        <v>576.840692790905</v>
      </c>
      <c r="E412" s="58" t="n">
        <f aca="false">E411*E391</f>
        <v>397.603138891827</v>
      </c>
      <c r="F412" s="58" t="n">
        <f aca="false">F411*F391</f>
        <v>417.148786640842</v>
      </c>
      <c r="G412" s="58" t="n">
        <f aca="false">G411*G391</f>
        <v>397.80688312435</v>
      </c>
      <c r="H412" s="58" t="n">
        <f aca="false">H411*H391</f>
        <v>390.218590787963</v>
      </c>
      <c r="I412" s="58" t="n">
        <f aca="false">I411*I391</f>
        <v>474.399792620796</v>
      </c>
      <c r="J412" s="58" t="n">
        <f aca="false">J411*J391</f>
        <v>481.694286159893</v>
      </c>
      <c r="K412" s="58" t="n">
        <f aca="false">K411*K391</f>
        <v>499.272076855822</v>
      </c>
      <c r="L412" s="58" t="n">
        <f aca="false">L411*L391</f>
        <v>645.715463779229</v>
      </c>
    </row>
    <row r="413" customFormat="false" ht="15" hidden="true" customHeight="false" outlineLevel="1" collapsed="false">
      <c r="A413" s="6" t="s">
        <v>423</v>
      </c>
      <c r="B413" s="29" t="n">
        <f aca="false">B411</f>
        <v>-754.674617514282</v>
      </c>
      <c r="C413" s="29" t="n">
        <f aca="false">B413+C411</f>
        <v>-1137.34004264009</v>
      </c>
      <c r="D413" s="29" t="n">
        <f aca="false">C413+D411</f>
        <v>-641.382573675311</v>
      </c>
      <c r="E413" s="29" t="n">
        <f aca="false">D413+E411</f>
        <v>-312.678557655063</v>
      </c>
      <c r="F413" s="29" t="n">
        <f aca="false">E413+F411</f>
        <v>18.9201668075576</v>
      </c>
      <c r="G413" s="29" t="n">
        <f aca="false">F413+G411</f>
        <v>322.981237625058</v>
      </c>
      <c r="H413" s="29" t="n">
        <f aca="false">G413+H411</f>
        <v>609.77066988776</v>
      </c>
      <c r="I413" s="29" t="n">
        <f aca="false">H413+I411</f>
        <v>945.018780727507</v>
      </c>
      <c r="J413" s="29" t="n">
        <f aca="false">I413+J411</f>
        <v>1272.32933095675</v>
      </c>
      <c r="K413" s="29" t="n">
        <f aca="false">J413+K411</f>
        <v>1598.53570868248</v>
      </c>
      <c r="L413" s="29" t="n">
        <f aca="false">K413+L411</f>
        <v>2004.19648549741</v>
      </c>
    </row>
    <row r="414" customFormat="false" ht="15" hidden="true" customHeight="false" outlineLevel="1" collapsed="false">
      <c r="A414" s="9" t="s">
        <v>424</v>
      </c>
      <c r="B414" s="60" t="n">
        <v>0</v>
      </c>
      <c r="C414" s="60" t="n">
        <f aca="false">IF(AND(B413&lt;0,C413&gt;=0),B$43+(-B413)/C411,0)</f>
        <v>0</v>
      </c>
      <c r="D414" s="60" t="n">
        <f aca="false">IF(AND(C413&lt;0,D413&gt;=0),C$43+(-C413)/D411,0)</f>
        <v>0</v>
      </c>
      <c r="E414" s="60" t="n">
        <f aca="false">IF(AND(D413&lt;0,E413&gt;=0),D$43+(-D413)/E411,0)</f>
        <v>0</v>
      </c>
      <c r="F414" s="60" t="n">
        <f aca="false">IF(AND(E413&lt;0,F413&gt;=0),E$43+(-E413)/F411,0)</f>
        <v>3.94294258267061</v>
      </c>
      <c r="G414" s="60" t="n">
        <f aca="false">IF(AND(F413&lt;0,G413&gt;=0),F$43+(-F413)/G411,0)</f>
        <v>0</v>
      </c>
      <c r="H414" s="60" t="n">
        <f aca="false">IF(AND(G413&lt;0,H413&gt;=0),G$43+(-G413)/H411,0)</f>
        <v>0</v>
      </c>
      <c r="I414" s="60" t="n">
        <f aca="false">IF(AND(H413&lt;0,I413&gt;=0),H$43+(-H413)/I411,0)</f>
        <v>0</v>
      </c>
      <c r="J414" s="60" t="n">
        <f aca="false">IF(AND(I413&lt;0,J413&gt;=0),I$43+(-I413)/J411,0)</f>
        <v>0</v>
      </c>
      <c r="K414" s="60" t="n">
        <f aca="false">IF(AND(J413&lt;0,K413&gt;=0),J$43+(-J413)/K411,0)</f>
        <v>0</v>
      </c>
      <c r="L414" s="60" t="n">
        <f aca="false">IF(AND(K413&lt;0,L413&gt;=0),K$43+(-K413)/L411,0)</f>
        <v>0</v>
      </c>
    </row>
    <row r="415" customFormat="false" ht="15" hidden="true" customHeight="false" outlineLevel="1" collapsed="false">
      <c r="A415" s="9" t="s">
        <v>425</v>
      </c>
      <c r="B415" s="57" t="n">
        <f aca="false">(B391/$B$391)/(1+$J$25)^B$43</f>
        <v>1</v>
      </c>
      <c r="C415" s="57" t="n">
        <f aca="false">(C391/$B$391)/(1+$J$25)^C$43</f>
        <v>0.915373701313561</v>
      </c>
      <c r="D415" s="57" t="n">
        <f aca="false">(D391/$B$391)/(1+$J$25)^D$43</f>
        <v>0.833918970137172</v>
      </c>
      <c r="E415" s="57" t="n">
        <f aca="false">(E391/$B$391)/(1+$J$25)^E$43</f>
        <v>0.756077518153961</v>
      </c>
      <c r="F415" s="57" t="n">
        <f aca="false">(F391/$B$391)/(1+$J$25)^F$43</f>
        <v>0.685502109831871</v>
      </c>
      <c r="G415" s="57" t="n">
        <f aca="false">(G391/$B$391)/(1+$J$25)^G$43</f>
        <v>0.621514502549008</v>
      </c>
      <c r="H415" s="57" t="n">
        <f aca="false">(H391/$B$391)/(1+$J$25)^H$43</f>
        <v>0.563499763660072</v>
      </c>
      <c r="I415" s="57" t="n">
        <f aca="false">(I391/$B$391)/(1+$J$25)^I$43</f>
        <v>0.510900360880829</v>
      </c>
      <c r="J415" s="57" t="n">
        <f aca="false">(J391/$B$391)/(1+$J$25)^J$43</f>
        <v>0.463210804300567</v>
      </c>
      <c r="K415" s="57" t="n">
        <f aca="false">(K391/$B$391)/(1+$J$25)^K$43</f>
        <v>0.419972788531318</v>
      </c>
      <c r="L415" s="57" t="n">
        <f aca="false">(L391/$B$391)/(1+$J$25)^L$43</f>
        <v>0.380770788308996</v>
      </c>
    </row>
    <row r="416" customFormat="false" ht="15" hidden="true" customHeight="false" outlineLevel="1" collapsed="false">
      <c r="A416" s="9" t="s">
        <v>426</v>
      </c>
      <c r="B416" s="58" t="n">
        <f aca="false">B411*B415</f>
        <v>-754.674617514282</v>
      </c>
      <c r="C416" s="58" t="n">
        <f aca="false">C411*C415</f>
        <v>-350.281866562142</v>
      </c>
      <c r="D416" s="58" t="n">
        <f aca="false">D411*D415</f>
        <v>413.588341750951</v>
      </c>
      <c r="E416" s="58" t="n">
        <f aca="false">E411*E415</f>
        <v>248.525716639829</v>
      </c>
      <c r="F416" s="58" t="n">
        <f aca="false">F411*F415</f>
        <v>227.311625236683</v>
      </c>
      <c r="G416" s="58" t="n">
        <f aca="false">G411*G415</f>
        <v>188.978365173658</v>
      </c>
      <c r="H416" s="58" t="n">
        <f aca="false">H411*H415</f>
        <v>161.605777300239</v>
      </c>
      <c r="I416" s="58" t="n">
        <f aca="false">I411*I415</f>
        <v>171.278380812643</v>
      </c>
      <c r="J416" s="58" t="n">
        <f aca="false">J411*J415</f>
        <v>151.613783227748</v>
      </c>
      <c r="K416" s="58" t="n">
        <f aca="false">K411*K415</f>
        <v>136.997802090174</v>
      </c>
      <c r="L416" s="58" t="n">
        <f aca="false">L411*L415</f>
        <v>154.463773773861</v>
      </c>
    </row>
    <row r="417" customFormat="false" ht="15" hidden="true" customHeight="false" outlineLevel="1" collapsed="false">
      <c r="A417" s="9" t="s">
        <v>427</v>
      </c>
      <c r="B417" s="58" t="n">
        <f aca="false">B416</f>
        <v>-754.674617514282</v>
      </c>
      <c r="C417" s="58" t="n">
        <f aca="false">B417+C416</f>
        <v>-1104.95648407642</v>
      </c>
      <c r="D417" s="58" t="n">
        <f aca="false">C417+D416</f>
        <v>-691.368142325473</v>
      </c>
      <c r="E417" s="58" t="n">
        <f aca="false">D417+E416</f>
        <v>-442.842425685644</v>
      </c>
      <c r="F417" s="58" t="n">
        <f aca="false">E417+F416</f>
        <v>-215.530800448961</v>
      </c>
      <c r="G417" s="58" t="n">
        <f aca="false">F417+G416</f>
        <v>-26.5524352753031</v>
      </c>
      <c r="H417" s="58" t="n">
        <f aca="false">G417+H416</f>
        <v>135.053342024936</v>
      </c>
      <c r="I417" s="58" t="n">
        <f aca="false">H417+I416</f>
        <v>306.331722837579</v>
      </c>
      <c r="J417" s="58" t="n">
        <f aca="false">I417+J416</f>
        <v>457.945506065327</v>
      </c>
      <c r="K417" s="58" t="n">
        <f aca="false">J417+K416</f>
        <v>594.943308155501</v>
      </c>
      <c r="L417" s="58" t="n">
        <f aca="false">K417+L416</f>
        <v>749.407081929362</v>
      </c>
    </row>
    <row r="418" customFormat="false" ht="15" hidden="true" customHeight="false" outlineLevel="1" collapsed="false">
      <c r="A418" s="9" t="s">
        <v>428</v>
      </c>
      <c r="B418" s="60" t="n">
        <v>0</v>
      </c>
      <c r="C418" s="60" t="n">
        <f aca="false">IF(AND(B417&lt;0,C417&gt;=0),B$43+(-B417)/C416,0)</f>
        <v>0</v>
      </c>
      <c r="D418" s="60" t="n">
        <f aca="false">IF(AND(C417&lt;0,D417&gt;=0),C$43+(-C417)/D416,0)</f>
        <v>0</v>
      </c>
      <c r="E418" s="60" t="n">
        <f aca="false">IF(AND(D417&lt;0,E417&gt;=0),D$43+(-D417)/E416,0)</f>
        <v>0</v>
      </c>
      <c r="F418" s="60" t="n">
        <f aca="false">IF(AND(E417&lt;0,F417&gt;=0),E$43+(-E417)/F416,0)</f>
        <v>0</v>
      </c>
      <c r="G418" s="60" t="n">
        <f aca="false">IF(AND(F417&lt;0,G417&gt;=0),F$43+(-F417)/G416,0)</f>
        <v>0</v>
      </c>
      <c r="H418" s="60" t="n">
        <f aca="false">IF(AND(G417&lt;0,H417&gt;=0),G$43+(-G417)/H416,0)</f>
        <v>5.16430375026737</v>
      </c>
      <c r="I418" s="60" t="n">
        <f aca="false">IF(AND(H417&lt;0,I417&gt;=0),H$43+(-H417)/I416,0)</f>
        <v>0</v>
      </c>
      <c r="J418" s="60" t="n">
        <f aca="false">IF(AND(I417&lt;0,J417&gt;=0),I$43+(-I417)/J416,0)</f>
        <v>0</v>
      </c>
      <c r="K418" s="60" t="n">
        <f aca="false">IF(AND(J417&lt;0,K417&gt;=0),J$43+(-J417)/K416,0)</f>
        <v>0</v>
      </c>
      <c r="L418" s="60" t="n">
        <f aca="false">IF(AND(K417&lt;0,L417&gt;=0),K$43+(-K417)/L416,0)</f>
        <v>0</v>
      </c>
    </row>
    <row r="419" customFormat="false" ht="15" hidden="true" customHeight="false" outlineLevel="1" collapsed="false">
      <c r="A419" s="9" t="s">
        <v>429</v>
      </c>
      <c r="B419" s="58" t="n">
        <f aca="false">IF(B$43&lt;0,0,(Quesería!$B$44*$B$394*$B$391)*(1-MAX(0,MIN(B$43-0-Quesería!$B$47,(Quesería!$B$46-Quesería!$B$47)))/(Quesería!$B$46-Quesería!$B$47))*IF(B$43&gt;=2,1-Quesería!$B$48,1))+IF(B$43&lt;1,0,(Quesería!$B$44*$C$394*$C$391)*(1-MAX(0,MIN(B$43-1-Quesería!$B$47,(Quesería!$B$46-Quesería!$B$47)))/(Quesería!$B$46-Quesería!$B$47))*IF(B$43&gt;=2,1-Quesería!$B$48,1))</f>
        <v>513.05709197474</v>
      </c>
      <c r="C419" s="58" t="n">
        <f aca="false">IF(C$43&lt;0,0,(Quesería!$B$44*$B$394*$B$391)*(1-MAX(0,MIN(C$43-0-Quesería!$B$47,(Quesería!$B$46-Quesería!$B$47)))/(Quesería!$B$46-Quesería!$B$47))*IF(C$43&gt;=2,1-Quesería!$B$48,1))+IF(C$43&lt;1,0,(Quesería!$B$44*$C$394*$C$391)*(1-MAX(0,MIN(C$43-1-Quesería!$B$47,(Quesería!$B$46-Quesería!$B$47)))/(Quesería!$B$46-Quesería!$B$47))*IF(C$43&gt;=2,1-Quesería!$B$48,1))</f>
        <v>952.028649003273</v>
      </c>
      <c r="D419" s="58" t="n">
        <f aca="false">IF(D$43&lt;0,0,(Quesería!$B$44*$B$394*$B$391)*(1-MAX(0,MIN(D$43-0-Quesería!$B$47,(Quesería!$B$46-Quesería!$B$47)))/(Quesería!$B$46-Quesería!$B$47))*IF(D$43&gt;=2,1-Quesería!$B$48,1))+IF(D$43&lt;1,0,(Quesería!$B$44*$C$394*$C$391)*(1-MAX(0,MIN(D$43-1-Quesería!$B$47,(Quesería!$B$46-Quesería!$B$47)))/(Quesería!$B$46-Quesería!$B$47))*IF(D$43&gt;=2,1-Quesería!$B$48,1))</f>
        <v>866.51913367415</v>
      </c>
      <c r="E419" s="58" t="n">
        <f aca="false">IF(E$43&lt;0,0,(Quesería!$B$44*$B$394*$B$391)*(1-MAX(0,MIN(E$43-0-Quesería!$B$47,(Quesería!$B$46-Quesería!$B$47)))/(Quesería!$B$46-Quesería!$B$47))*IF(E$43&gt;=2,1-Quesería!$B$48,1))+IF(E$43&lt;1,0,(Quesería!$B$44*$C$394*$C$391)*(1-MAX(0,MIN(E$43-1-Quesería!$B$47,(Quesería!$B$46-Quesería!$B$47)))/(Quesería!$B$46-Quesería!$B$47))*IF(E$43&gt;=2,1-Quesería!$B$48,1))</f>
        <v>707.847692173604</v>
      </c>
      <c r="F419" s="58" t="n">
        <f aca="false">IF(F$43&lt;0,0,(Quesería!$B$44*$B$394*$B$391)*(1-MAX(0,MIN(F$43-0-Quesería!$B$47,(Quesería!$B$46-Quesería!$B$47)))/(Quesería!$B$46-Quesería!$B$47))*IF(F$43&gt;=2,1-Quesería!$B$48,1))+IF(F$43&lt;1,0,(Quesería!$B$44*$C$394*$C$391)*(1-MAX(0,MIN(F$43-1-Quesería!$B$47,(Quesería!$B$46-Quesería!$B$47)))/(Quesería!$B$46-Quesería!$B$47))*IF(F$43&gt;=2,1-Quesería!$B$48,1))</f>
        <v>549.176250673059</v>
      </c>
      <c r="G419" s="58" t="n">
        <f aca="false">IF(G$43&lt;0,0,(Quesería!$B$44*$B$394*$B$391)*(1-MAX(0,MIN(G$43-0-Quesería!$B$47,(Quesería!$B$46-Quesería!$B$47)))/(Quesería!$B$46-Quesería!$B$47))*IF(G$43&gt;=2,1-Quesería!$B$48,1))+IF(G$43&lt;1,0,(Quesería!$B$44*$C$394*$C$391)*(1-MAX(0,MIN(G$43-1-Quesería!$B$47,(Quesería!$B$46-Quesería!$B$47)))/(Quesería!$B$46-Quesería!$B$47))*IF(G$43&gt;=2,1-Quesería!$B$48,1))</f>
        <v>390.504809172513</v>
      </c>
      <c r="H419" s="58" t="n">
        <f aca="false">IF(H$43&lt;0,0,(Quesería!$B$44*$B$394*$B$391)*(1-MAX(0,MIN(H$43-0-Quesería!$B$47,(Quesería!$B$46-Quesería!$B$47)))/(Quesería!$B$46-Quesería!$B$47))*IF(H$43&gt;=2,1-Quesería!$B$48,1))+IF(H$43&lt;1,0,(Quesería!$B$44*$C$394*$C$391)*(1-MAX(0,MIN(H$43-1-Quesería!$B$47,(Quesería!$B$46-Quesería!$B$47)))/(Quesería!$B$46-Quesería!$B$47))*IF(H$43&gt;=2,1-Quesería!$B$48,1))</f>
        <v>231.833367671968</v>
      </c>
      <c r="I419" s="58" t="n">
        <f aca="false">IF(I$43&lt;0,0,(Quesería!$B$44*$B$394*$B$391)*(1-MAX(0,MIN(I$43-0-Quesería!$B$47,(Quesería!$B$46-Quesería!$B$47)))/(Quesería!$B$46-Quesería!$B$47))*IF(I$43&gt;=2,1-Quesería!$B$48,1))+IF(I$43&lt;1,0,(Quesería!$B$44*$C$394*$C$391)*(1-MAX(0,MIN(I$43-1-Quesería!$B$47,(Quesería!$B$46-Quesería!$B$47)))/(Quesería!$B$46-Quesería!$B$47))*IF(I$43&gt;=2,1-Quesería!$B$48,1))</f>
        <v>73.1619261714221</v>
      </c>
      <c r="J419" s="58" t="n">
        <f aca="false">IF(J$43&lt;0,0,(Quesería!$B$44*$B$394*$B$391)*(1-MAX(0,MIN(J$43-0-Quesería!$B$47,(Quesería!$B$46-Quesería!$B$47)))/(Quesería!$B$46-Quesería!$B$47))*IF(J$43&gt;=2,1-Quesería!$B$48,1))+IF(J$43&lt;1,0,(Quesería!$B$44*$C$394*$C$391)*(1-MAX(0,MIN(J$43-1-Quesería!$B$47,(Quesería!$B$46-Quesería!$B$47)))/(Quesería!$B$46-Quesería!$B$47))*IF(J$43&gt;=2,1-Quesería!$B$48,1))</f>
        <v>0</v>
      </c>
      <c r="K419" s="58" t="n">
        <f aca="false">IF(K$43&lt;0,0,(Quesería!$B$44*$B$394*$B$391)*(1-MAX(0,MIN(K$43-0-Quesería!$B$47,(Quesería!$B$46-Quesería!$B$47)))/(Quesería!$B$46-Quesería!$B$47))*IF(K$43&gt;=2,1-Quesería!$B$48,1))+IF(K$43&lt;1,0,(Quesería!$B$44*$C$394*$C$391)*(1-MAX(0,MIN(K$43-1-Quesería!$B$47,(Quesería!$B$46-Quesería!$B$47)))/(Quesería!$B$46-Quesería!$B$47))*IF(K$43&gt;=2,1-Quesería!$B$48,1))</f>
        <v>0</v>
      </c>
      <c r="L419" s="58" t="n">
        <f aca="false">IF(L$43&lt;0,0,(Quesería!$B$44*$B$394*$B$391)*(1-MAX(0,MIN(L$43-0-Quesería!$B$47,(Quesería!$B$46-Quesería!$B$47)))/(Quesería!$B$46-Quesería!$B$47))*IF(L$43&gt;=2,1-Quesería!$B$48,1))+IF(L$43&lt;1,0,(Quesería!$B$44*$C$394*$C$391)*(1-MAX(0,MIN(L$43-1-Quesería!$B$47,(Quesería!$B$46-Quesería!$B$47)))/(Quesería!$B$46-Quesería!$B$47))*IF(L$43&gt;=2,1-Quesería!$B$48,1))</f>
        <v>0</v>
      </c>
    </row>
    <row r="420" customFormat="false" ht="15" hidden="true" customHeight="false" outlineLevel="1" collapsed="false">
      <c r="A420" s="6" t="s">
        <v>430</v>
      </c>
      <c r="B420" s="29" t="n">
        <f aca="false">Quesería!$B$44*B394</f>
        <v>484.016124504472</v>
      </c>
      <c r="C420" s="29" t="n">
        <f aca="false">Quesería!$B$44*C394</f>
        <v>394.403914670739</v>
      </c>
      <c r="D420" s="29" t="n">
        <f aca="false">Quesería!$B$44*D394</f>
        <v>0</v>
      </c>
      <c r="E420" s="29" t="n">
        <f aca="false">Quesería!$B$44*E394</f>
        <v>0</v>
      </c>
      <c r="F420" s="29" t="n">
        <f aca="false">Quesería!$B$44*F394</f>
        <v>0</v>
      </c>
      <c r="G420" s="29" t="n">
        <f aca="false">Quesería!$B$44*G394</f>
        <v>0</v>
      </c>
      <c r="H420" s="29" t="n">
        <f aca="false">Quesería!$B$44*H394</f>
        <v>0</v>
      </c>
      <c r="I420" s="29" t="n">
        <f aca="false">Quesería!$B$44*I394</f>
        <v>0</v>
      </c>
      <c r="J420" s="29" t="n">
        <f aca="false">Quesería!$B$44*J394</f>
        <v>0</v>
      </c>
      <c r="K420" s="29" t="n">
        <f aca="false">Quesería!$B$44*K394</f>
        <v>0</v>
      </c>
      <c r="L420" s="29" t="n">
        <f aca="false">Quesería!$B$44*L394</f>
        <v>0</v>
      </c>
    </row>
    <row r="421" customFormat="false" ht="15" hidden="true" customHeight="false" outlineLevel="1" collapsed="false">
      <c r="A421" s="6" t="s">
        <v>431</v>
      </c>
      <c r="B421" s="29" t="n">
        <f aca="false">(IF(AND(B$43&gt;0,B$43&lt;=0+Quesería!$B$46),($J$14+$J$24)*(Quesería!$B$44*$B$394*$B$391)*(1-MAX(0,MIN((B$43-1)-0-Quesería!$B$47,(Quesería!$B$46-Quesería!$B$47)))/(Quesería!$B$46-Quesería!$B$47))*IF(B$43&gt;2,1-Quesería!$B$48,1),0)+IF(AND(B$43&gt;1,B$43&lt;=1+Quesería!$B$46),($J$14+$J$24)*(Quesería!$B$44*$C$394*$C$391)*(1-MAX(0,MIN((B$43-1)-1-Quesería!$B$47,(Quesería!$B$46-Quesería!$B$47)))/(Quesería!$B$46-Quesería!$B$47))*IF(B$43&gt;2,1-Quesería!$B$48,1),0))*B393</f>
        <v>0</v>
      </c>
      <c r="C421" s="29" t="n">
        <f aca="false">(IF(AND(C$43&gt;0,C$43&lt;=0+Quesería!$B$46),($J$14+$J$24)*(Quesería!$B$44*$B$394*$B$391)*(1-MAX(0,MIN((C$43-1)-0-Quesería!$B$47,(Quesería!$B$46-Quesería!$B$47)))/(Quesería!$B$46-Quesería!$B$47))*IF(C$43&gt;2,1-Quesería!$B$48,1),0)+IF(AND(C$43&gt;1,C$43&lt;=1+Quesería!$B$46),($J$14+$J$24)*(Quesería!$B$44*$C$394*$C$391)*(1-MAX(0,MIN((C$43-1)-1-Quesería!$B$47,(Quesería!$B$46-Quesería!$B$47)))/(Quesería!$B$46-Quesería!$B$47))*IF(C$43&gt;2,1-Quesería!$B$48,1),0))*C393</f>
        <v>64.9964510048862</v>
      </c>
      <c r="D421" s="29" t="n">
        <f aca="false">(IF(AND(D$43&gt;0,D$43&lt;=0+Quesería!$B$46),($J$14+$J$24)*(Quesería!$B$44*$B$394*$B$391)*(1-MAX(0,MIN((D$43-1)-0-Quesería!$B$47,(Quesería!$B$46-Quesería!$B$47)))/(Quesería!$B$46-Quesería!$B$47))*IF(D$43&gt;2,1-Quesería!$B$48,1),0)+IF(AND(D$43&gt;1,D$43&lt;=1+Quesería!$B$46),($J$14+$J$24)*(Quesería!$B$44*$C$394*$C$391)*(1-MAX(0,MIN((D$43-1)-1-Quesería!$B$47,(Quesería!$B$46-Quesería!$B$47)))/(Quesería!$B$46-Quesería!$B$47))*IF(D$43&gt;2,1-Quesería!$B$48,1),0))*D393</f>
        <v>115.413782749723</v>
      </c>
      <c r="E421" s="29" t="n">
        <f aca="false">(IF(AND(E$43&gt;0,E$43&lt;=0+Quesería!$B$46),($J$14+$J$24)*(Quesería!$B$44*$B$394*$B$391)*(1-MAX(0,MIN((E$43-1)-0-Quesería!$B$47,(Quesería!$B$46-Quesería!$B$47)))/(Quesería!$B$46-Quesería!$B$47))*IF(E$43&gt;2,1-Quesería!$B$48,1),0)+IF(AND(E$43&gt;1,E$43&lt;=1+Quesería!$B$46),($J$14+$J$24)*(Quesería!$B$44*$C$394*$C$391)*(1-MAX(0,MIN((E$43-1)-1-Quesería!$B$47,(Quesería!$B$46-Quesería!$B$47)))/(Quesería!$B$46-Quesería!$B$47))*IF(E$43&gt;2,1-Quesería!$B$48,1),0))*E393</f>
        <v>101.007233289761</v>
      </c>
      <c r="F421" s="29" t="n">
        <f aca="false">(IF(AND(F$43&gt;0,F$43&lt;=0+Quesería!$B$46),($J$14+$J$24)*(Quesería!$B$44*$B$394*$B$391)*(1-MAX(0,MIN((F$43-1)-0-Quesería!$B$47,(Quesería!$B$46-Quesería!$B$47)))/(Quesería!$B$46-Quesería!$B$47))*IF(F$43&gt;2,1-Quesería!$B$48,1),0)+IF(AND(F$43&gt;1,F$43&lt;=1+Quesería!$B$46),($J$14+$J$24)*(Quesería!$B$44*$C$394*$C$391)*(1-MAX(0,MIN((F$43-1)-1-Quesería!$B$47,(Quesería!$B$46-Quesería!$B$47)))/(Quesería!$B$46-Quesería!$B$47))*IF(F$43&gt;2,1-Quesería!$B$48,1),0))*F393</f>
        <v>79.3379180501708</v>
      </c>
      <c r="G421" s="29" t="n">
        <f aca="false">(IF(AND(G$43&gt;0,G$43&lt;=0+Quesería!$B$46),($J$14+$J$24)*(Quesería!$B$44*$B$394*$B$391)*(1-MAX(0,MIN((G$43-1)-0-Quesería!$B$47,(Quesería!$B$46-Quesería!$B$47)))/(Quesería!$B$46-Quesería!$B$47))*IF(G$43&gt;2,1-Quesería!$B$48,1),0)+IF(AND(G$43&gt;1,G$43&lt;=1+Quesería!$B$46),($J$14+$J$24)*(Quesería!$B$44*$C$394*$C$391)*(1-MAX(0,MIN((G$43-1)-1-Quesería!$B$47,(Quesería!$B$46-Quesería!$B$47)))/(Quesería!$B$46-Quesería!$B$47))*IF(G$43&gt;2,1-Quesería!$B$48,1),0))*G393</f>
        <v>59.1860542294692</v>
      </c>
      <c r="H421" s="29" t="n">
        <f aca="false">(IF(AND(H$43&gt;0,H$43&lt;=0+Quesería!$B$46),($J$14+$J$24)*(Quesería!$B$44*$B$394*$B$391)*(1-MAX(0,MIN((H$43-1)-0-Quesería!$B$47,(Quesería!$B$46-Quesería!$B$47)))/(Quesería!$B$46-Quesería!$B$47))*IF(H$43&gt;2,1-Quesería!$B$48,1),0)+IF(AND(H$43&gt;1,H$43&lt;=1+Quesería!$B$46),($J$14+$J$24)*(Quesería!$B$44*$C$394*$C$391)*(1-MAX(0,MIN((H$43-1)-1-Quesería!$B$47,(Quesería!$B$46-Quesería!$B$47)))/(Quesería!$B$46-Quesería!$B$47))*IF(H$43&gt;2,1-Quesería!$B$48,1),0))*H393</f>
        <v>40.4669699954928</v>
      </c>
      <c r="I421" s="29" t="n">
        <f aca="false">(IF(AND(I$43&gt;0,I$43&lt;=0+Quesería!$B$46),($J$14+$J$24)*(Quesería!$B$44*$B$394*$B$391)*(1-MAX(0,MIN((I$43-1)-0-Quesería!$B$47,(Quesería!$B$46-Quesería!$B$47)))/(Quesería!$B$46-Quesería!$B$47))*IF(I$43&gt;2,1-Quesería!$B$48,1),0)+IF(AND(I$43&gt;1,I$43&lt;=1+Quesería!$B$46),($J$14+$J$24)*(Quesería!$B$44*$C$394*$C$391)*(1-MAX(0,MIN((I$43-1)-1-Quesería!$B$47,(Quesería!$B$46-Quesería!$B$47)))/(Quesería!$B$46-Quesería!$B$47))*IF(I$43&gt;2,1-Quesería!$B$48,1),0))*I393</f>
        <v>23.1002619833172</v>
      </c>
      <c r="J421" s="29" t="n">
        <f aca="false">(IF(AND(J$43&gt;0,J$43&lt;=0+Quesería!$B$46),($J$14+$J$24)*(Quesería!$B$44*$B$394*$B$391)*(1-MAX(0,MIN((J$43-1)-0-Quesería!$B$47,(Quesería!$B$46-Quesería!$B$47)))/(Quesería!$B$46-Quesería!$B$47))*IF(J$43&gt;2,1-Quesería!$B$48,1),0)+IF(AND(J$43&gt;1,J$43&lt;=1+Quesería!$B$46),($J$14+$J$24)*(Quesería!$B$44*$C$394*$C$391)*(1-MAX(0,MIN((J$43-1)-1-Quesería!$B$47,(Quesería!$B$46-Quesería!$B$47)))/(Quesería!$B$46-Quesería!$B$47))*IF(J$43&gt;2,1-Quesería!$B$48,1),0))*J393</f>
        <v>7.0095922058127</v>
      </c>
      <c r="K421" s="29" t="n">
        <f aca="false">(IF(AND(K$43&gt;0,K$43&lt;=0+Quesería!$B$46),($J$14+$J$24)*(Quesería!$B$44*$B$394*$B$391)*(1-MAX(0,MIN((K$43-1)-0-Quesería!$B$47,(Quesería!$B$46-Quesería!$B$47)))/(Quesería!$B$46-Quesería!$B$47))*IF(K$43&gt;2,1-Quesería!$B$48,1),0)+IF(AND(K$43&gt;1,K$43&lt;=1+Quesería!$B$46),($J$14+$J$24)*(Quesería!$B$44*$C$394*$C$391)*(1-MAX(0,MIN((K$43-1)-1-Quesería!$B$47,(Quesería!$B$46-Quesería!$B$47)))/(Quesería!$B$46-Quesería!$B$47))*IF(K$43&gt;2,1-Quesería!$B$48,1),0))*K393</f>
        <v>0</v>
      </c>
      <c r="L421" s="29" t="n">
        <f aca="false">(IF(AND(L$43&gt;0,L$43&lt;=0+Quesería!$B$46),($J$14+$J$24)*(Quesería!$B$44*$B$394*$B$391)*(1-MAX(0,MIN((L$43-1)-0-Quesería!$B$47,(Quesería!$B$46-Quesería!$B$47)))/(Quesería!$B$46-Quesería!$B$47))*IF(L$43&gt;2,1-Quesería!$B$48,1),0)+IF(AND(L$43&gt;1,L$43&lt;=1+Quesería!$B$46),($J$14+$J$24)*(Quesería!$B$44*$C$394*$C$391)*(1-MAX(0,MIN((L$43-1)-1-Quesería!$B$47,(Quesería!$B$46-Quesería!$B$47)))/(Quesería!$B$46-Quesería!$B$47))*IF(L$43&gt;2,1-Quesería!$B$48,1),0))*L393</f>
        <v>0</v>
      </c>
    </row>
    <row r="422" customFormat="false" ht="15" hidden="true" customHeight="false" outlineLevel="1" collapsed="false">
      <c r="A422" s="6" t="s">
        <v>432</v>
      </c>
      <c r="B422" s="29" t="n">
        <f aca="false">((IF(AND(B$43&gt;0+Quesería!$B$47,B$43&lt;=0+Quesería!$B$46),(Quesería!$B$44*$B$394*$B$391)/(Quesería!$B$46-Quesería!$B$47),0)*IF(B$43&gt;2,1-Quesería!$B$48,1)+IF(B$43=2,Quesería!$B$48*(Quesería!$B$44*$B$394*$B$391)*(1-MAX(0,MIN(2-0-Quesería!$B$47,(Quesería!$B$46-Quesería!$B$47)))/(Quesería!$B$46-Quesería!$B$47)),0))+(IF(AND(B$43&gt;1+Quesería!$B$47,B$43&lt;=1+Quesería!$B$46),(Quesería!$B$44*$C$394*$C$391)/(Quesería!$B$46-Quesería!$B$47),0)*IF(B$43&gt;2,1-Quesería!$B$48,1)+IF(B$43=2,Quesería!$B$48*(Quesería!$B$44*$C$394*$C$391)*(1-MAX(0,MIN(2-1-Quesería!$B$47,(Quesería!$B$46-Quesería!$B$47)))/(Quesería!$B$46-Quesería!$B$47)),0)))*B393</f>
        <v>0</v>
      </c>
      <c r="C422" s="29" t="n">
        <f aca="false">((IF(AND(C$43&gt;0+Quesería!$B$47,C$43&lt;=0+Quesería!$B$46),(Quesería!$B$44*$B$394*$B$391)/(Quesería!$B$46-Quesería!$B$47),0)*IF(C$43&gt;2,1-Quesería!$B$48,1)+IF(C$43=2,Quesería!$B$48*(Quesería!$B$44*$B$394*$B$391)*(1-MAX(0,MIN(2-0-Quesería!$B$47,(Quesería!$B$46-Quesería!$B$47)))/(Quesería!$B$46-Quesería!$B$47)),0))+(IF(AND(C$43&gt;1+Quesería!$B$47,C$43&lt;=1+Quesería!$B$46),(Quesería!$B$44*$C$394*$C$391)/(Quesería!$B$46-Quesería!$B$47),0)*IF(C$43&gt;2,1-Quesería!$B$48,1)+IF(C$43=2,Quesería!$B$48*(Quesería!$B$44*$C$394*$C$391)*(1-MAX(0,MIN(2-1-Quesería!$B$47,(Quesería!$B$46-Quesería!$B$47)))/(Quesería!$B$46-Quesería!$B$47)),0)))*C393</f>
        <v>0</v>
      </c>
      <c r="D422" s="29" t="n">
        <f aca="false">((IF(AND(D$43&gt;0+Quesería!$B$47,D$43&lt;=0+Quesería!$B$46),(Quesería!$B$44*$B$394*$B$391)/(Quesería!$B$46-Quesería!$B$47),0)*IF(D$43&gt;2,1-Quesería!$B$48,1)+IF(D$43=2,Quesería!$B$48*(Quesería!$B$44*$B$394*$B$391)*(1-MAX(0,MIN(2-0-Quesería!$B$47,(Quesería!$B$46-Quesería!$B$47)))/(Quesería!$B$46-Quesería!$B$47)),0))+(IF(AND(D$43&gt;1+Quesería!$B$47,D$43&lt;=1+Quesería!$B$46),(Quesería!$B$44*$C$394*$C$391)/(Quesería!$B$46-Quesería!$B$47),0)*IF(D$43&gt;2,1-Quesería!$B$48,1)+IF(D$43=2,Quesería!$B$48*(Quesería!$B$44*$C$394*$C$391)*(1-MAX(0,MIN(2-1-Quesería!$B$47,(Quesería!$B$46-Quesería!$B$47)))/(Quesería!$B$46-Quesería!$B$47)),0)))*D393</f>
        <v>73.5195753785178</v>
      </c>
      <c r="E422" s="29" t="n">
        <f aca="false">((IF(AND(E$43&gt;0+Quesería!$B$47,E$43&lt;=0+Quesería!$B$46),(Quesería!$B$44*$B$394*$B$391)/(Quesería!$B$46-Quesería!$B$47),0)*IF(E$43&gt;2,1-Quesería!$B$48,1)+IF(E$43=2,Quesería!$B$48*(Quesería!$B$44*$B$394*$B$391)*(1-MAX(0,MIN(2-0-Quesería!$B$47,(Quesería!$B$46-Quesería!$B$47)))/(Quesería!$B$46-Quesería!$B$47)),0))+(IF(AND(E$43&gt;1+Quesería!$B$47,E$43&lt;=1+Quesería!$B$46),(Quesería!$B$44*$C$394*$C$391)/(Quesería!$B$46-Quesería!$B$47),0)*IF(E$43&gt;2,1-Quesería!$B$48,1)+IF(E$43=2,Quesería!$B$48*(Quesería!$B$44*$C$394*$C$391)*(1-MAX(0,MIN(2-1-Quesería!$B$47,(Quesería!$B$46-Quesería!$B$47)))/(Quesería!$B$46-Quesería!$B$47)),0)))*E393</f>
        <v>131.175876011233</v>
      </c>
      <c r="F422" s="29" t="n">
        <f aca="false">((IF(AND(F$43&gt;0+Quesería!$B$47,F$43&lt;=0+Quesería!$B$46),(Quesería!$B$44*$B$394*$B$391)/(Quesería!$B$46-Quesería!$B$47),0)*IF(F$43&gt;2,1-Quesería!$B$48,1)+IF(F$43=2,Quesería!$B$48*(Quesería!$B$44*$B$394*$B$391)*(1-MAX(0,MIN(2-0-Quesería!$B$47,(Quesería!$B$46-Quesería!$B$47)))/(Quesería!$B$46-Quesería!$B$47)),0))+(IF(AND(F$43&gt;1+Quesería!$B$47,F$43&lt;=1+Quesería!$B$46),(Quesería!$B$44*$C$394*$C$391)/(Quesería!$B$46-Quesería!$B$47),0)*IF(F$43&gt;2,1-Quesería!$B$48,1)+IF(F$43=2,Quesería!$B$48*(Quesería!$B$44*$C$394*$C$391)*(1-MAX(0,MIN(2-1-Quesería!$B$47,(Quesería!$B$46-Quesería!$B$47)))/(Quesería!$B$46-Quesería!$B$47)),0)))*F393</f>
        <v>126.130650010801</v>
      </c>
      <c r="G422" s="29" t="n">
        <f aca="false">((IF(AND(G$43&gt;0+Quesería!$B$47,G$43&lt;=0+Quesería!$B$46),(Quesería!$B$44*$B$394*$B$391)/(Quesería!$B$46-Quesería!$B$47),0)*IF(G$43&gt;2,1-Quesería!$B$48,1)+IF(G$43=2,Quesería!$B$48*(Quesería!$B$44*$B$394*$B$391)*(1-MAX(0,MIN(2-0-Quesería!$B$47,(Quesería!$B$46-Quesería!$B$47)))/(Quesería!$B$46-Quesería!$B$47)),0))+(IF(AND(G$43&gt;1+Quesería!$B$47,G$43&lt;=1+Quesería!$B$46),(Quesería!$B$44*$C$394*$C$391)/(Quesería!$B$46-Quesería!$B$47),0)*IF(G$43&gt;2,1-Quesería!$B$48,1)+IF(G$43=2,Quesería!$B$48*(Quesería!$B$44*$C$394*$C$391)*(1-MAX(0,MIN(2-1-Quesería!$B$47,(Quesería!$B$46-Quesería!$B$47)))/(Quesería!$B$46-Quesería!$B$47)),0)))*G393</f>
        <v>121.279471164231</v>
      </c>
      <c r="H422" s="29" t="n">
        <f aca="false">((IF(AND(H$43&gt;0+Quesería!$B$47,H$43&lt;=0+Quesería!$B$46),(Quesería!$B$44*$B$394*$B$391)/(Quesería!$B$46-Quesería!$B$47),0)*IF(H$43&gt;2,1-Quesería!$B$48,1)+IF(H$43=2,Quesería!$B$48*(Quesería!$B$44*$B$394*$B$391)*(1-MAX(0,MIN(2-0-Quesería!$B$47,(Quesería!$B$46-Quesería!$B$47)))/(Quesería!$B$46-Quesería!$B$47)),0))+(IF(AND(H$43&gt;1+Quesería!$B$47,H$43&lt;=1+Quesería!$B$46),(Quesería!$B$44*$C$394*$C$391)/(Quesería!$B$46-Quesería!$B$47),0)*IF(H$43&gt;2,1-Quesería!$B$48,1)+IF(H$43=2,Quesería!$B$48*(Quesería!$B$44*$C$394*$C$391)*(1-MAX(0,MIN(2-1-Quesería!$B$47,(Quesería!$B$46-Quesería!$B$47)))/(Quesería!$B$46-Quesería!$B$47)),0)))*H393</f>
        <v>116.614876119453</v>
      </c>
      <c r="I422" s="29" t="n">
        <f aca="false">((IF(AND(I$43&gt;0+Quesería!$B$47,I$43&lt;=0+Quesería!$B$46),(Quesería!$B$44*$B$394*$B$391)/(Quesería!$B$46-Quesería!$B$47),0)*IF(I$43&gt;2,1-Quesería!$B$48,1)+IF(I$43=2,Quesería!$B$48*(Quesería!$B$44*$B$394*$B$391)*(1-MAX(0,MIN(2-0-Quesería!$B$47,(Quesería!$B$46-Quesería!$B$47)))/(Quesería!$B$46-Quesería!$B$47)),0))+(IF(AND(I$43&gt;1+Quesería!$B$47,I$43&lt;=1+Quesería!$B$46),(Quesería!$B$44*$C$394*$C$391)/(Quesería!$B$46-Quesería!$B$47),0)*IF(I$43&gt;2,1-Quesería!$B$48,1)+IF(I$43=2,Quesería!$B$48*(Quesería!$B$44*$C$394*$C$391)*(1-MAX(0,MIN(2-1-Quesería!$B$47,(Quesería!$B$46-Quesería!$B$47)))/(Quesería!$B$46-Quesería!$B$47)),0)))*I393</f>
        <v>112.129688576397</v>
      </c>
      <c r="J422" s="29" t="n">
        <f aca="false">((IF(AND(J$43&gt;0+Quesería!$B$47,J$43&lt;=0+Quesería!$B$46),(Quesería!$B$44*$B$394*$B$391)/(Quesería!$B$46-Quesería!$B$47),0)*IF(J$43&gt;2,1-Quesería!$B$48,1)+IF(J$43=2,Quesería!$B$48*(Quesería!$B$44*$B$394*$B$391)*(1-MAX(0,MIN(2-0-Quesería!$B$47,(Quesería!$B$46-Quesería!$B$47)))/(Quesería!$B$46-Quesería!$B$47)),0))+(IF(AND(J$43&gt;1+Quesería!$B$47,J$43&lt;=1+Quesería!$B$46),(Quesería!$B$44*$C$394*$C$391)/(Quesería!$B$46-Quesería!$B$47),0)*IF(J$43&gt;2,1-Quesería!$B$48,1)+IF(J$43=2,Quesería!$B$48*(Quesería!$B$44*$C$394*$C$391)*(1-MAX(0,MIN(2-1-Quesería!$B$47,(Quesería!$B$46-Quesería!$B$47)))/(Quesería!$B$46-Quesería!$B$47)),0)))*J393</f>
        <v>49.7134198993809</v>
      </c>
      <c r="K422" s="29" t="n">
        <f aca="false">((IF(AND(K$43&gt;0+Quesería!$B$47,K$43&lt;=0+Quesería!$B$46),(Quesería!$B$44*$B$394*$B$391)/(Quesería!$B$46-Quesería!$B$47),0)*IF(K$43&gt;2,1-Quesería!$B$48,1)+IF(K$43=2,Quesería!$B$48*(Quesería!$B$44*$B$394*$B$391)*(1-MAX(0,MIN(2-0-Quesería!$B$47,(Quesería!$B$46-Quesería!$B$47)))/(Quesería!$B$46-Quesería!$B$47)),0))+(IF(AND(K$43&gt;1+Quesería!$B$47,K$43&lt;=1+Quesería!$B$46),(Quesería!$B$44*$C$394*$C$391)/(Quesería!$B$46-Quesería!$B$47),0)*IF(K$43&gt;2,1-Quesería!$B$48,1)+IF(K$43=2,Quesería!$B$48*(Quesería!$B$44*$C$394*$C$391)*(1-MAX(0,MIN(2-1-Quesería!$B$47,(Quesería!$B$46-Quesería!$B$47)))/(Quesería!$B$46-Quesería!$B$47)),0)))*K393</f>
        <v>0</v>
      </c>
      <c r="L422" s="29" t="n">
        <f aca="false">((IF(AND(L$43&gt;0+Quesería!$B$47,L$43&lt;=0+Quesería!$B$46),(Quesería!$B$44*$B$394*$B$391)/(Quesería!$B$46-Quesería!$B$47),0)*IF(L$43&gt;2,1-Quesería!$B$48,1)+IF(L$43=2,Quesería!$B$48*(Quesería!$B$44*$B$394*$B$391)*(1-MAX(0,MIN(2-0-Quesería!$B$47,(Quesería!$B$46-Quesería!$B$47)))/(Quesería!$B$46-Quesería!$B$47)),0))+(IF(AND(L$43&gt;1+Quesería!$B$47,L$43&lt;=1+Quesería!$B$46),(Quesería!$B$44*$C$394*$C$391)/(Quesería!$B$46-Quesería!$B$47),0)*IF(L$43&gt;2,1-Quesería!$B$48,1)+IF(L$43=2,Quesería!$B$48*(Quesería!$B$44*$C$394*$C$391)*(1-MAX(0,MIN(2-1-Quesería!$B$47,(Quesería!$B$46-Quesería!$B$47)))/(Quesería!$B$46-Quesería!$B$47)),0)))*L393</f>
        <v>0</v>
      </c>
    </row>
    <row r="423" customFormat="false" ht="15" hidden="true" customHeight="false" outlineLevel="1" collapsed="false">
      <c r="A423" s="6" t="s">
        <v>433</v>
      </c>
      <c r="B423" s="29" t="n">
        <f aca="false">$J$13*Quesería!$B$51*(1+0.19)*B419*B393+(1-$J$13)*IF(B$43=0,Quesería!$B$50,0)</f>
        <v>4</v>
      </c>
      <c r="C423" s="29" t="n">
        <f aca="false">$J$13*Quesería!$B$51*(1+0.19)*C419*C393+(1-$J$13)*IF(C$43=0,Quesería!$B$50,0)</f>
        <v>0</v>
      </c>
      <c r="D423" s="29" t="n">
        <f aca="false">$J$13*Quesería!$B$51*(1+0.19)*D419*D393+(1-$J$13)*IF(D$43=0,Quesería!$B$50,0)</f>
        <v>0</v>
      </c>
      <c r="E423" s="29" t="n">
        <f aca="false">$J$13*Quesería!$B$51*(1+0.19)*E419*E393+(1-$J$13)*IF(E$43=0,Quesería!$B$50,0)</f>
        <v>0</v>
      </c>
      <c r="F423" s="29" t="n">
        <f aca="false">$J$13*Quesería!$B$51*(1+0.19)*F419*F393+(1-$J$13)*IF(F$43=0,Quesería!$B$50,0)</f>
        <v>0</v>
      </c>
      <c r="G423" s="29" t="n">
        <f aca="false">$J$13*Quesería!$B$51*(1+0.19)*G419*G393+(1-$J$13)*IF(G$43=0,Quesería!$B$50,0)</f>
        <v>0</v>
      </c>
      <c r="H423" s="29" t="n">
        <f aca="false">$J$13*Quesería!$B$51*(1+0.19)*H419*H393+(1-$J$13)*IF(H$43=0,Quesería!$B$50,0)</f>
        <v>0</v>
      </c>
      <c r="I423" s="29" t="n">
        <f aca="false">$J$13*Quesería!$B$51*(1+0.19)*I419*I393+(1-$J$13)*IF(I$43=0,Quesería!$B$50,0)</f>
        <v>0</v>
      </c>
      <c r="J423" s="29" t="n">
        <f aca="false">$J$13*Quesería!$B$51*(1+0.19)*J419*J393+(1-$J$13)*IF(J$43=0,Quesería!$B$50,0)</f>
        <v>0</v>
      </c>
      <c r="K423" s="29" t="n">
        <f aca="false">$J$13*Quesería!$B$51*(1+0.19)*K419*K393+(1-$J$13)*IF(K$43=0,Quesería!$B$50,0)</f>
        <v>0</v>
      </c>
      <c r="L423" s="29" t="n">
        <f aca="false">$J$13*Quesería!$B$51*(1+0.19)*L419*L393+(1-$J$13)*IF(L$43=0,Quesería!$B$50,0)</f>
        <v>0</v>
      </c>
    </row>
    <row r="424" customFormat="false" ht="15" hidden="true" customHeight="false" outlineLevel="1" collapsed="false">
      <c r="A424" s="6" t="s">
        <v>434</v>
      </c>
      <c r="B424" s="29" t="n">
        <f aca="false">Quesería!$B$52*(B421+B422+B423)</f>
        <v>0.016</v>
      </c>
      <c r="C424" s="29" t="n">
        <f aca="false">Quesería!$B$52*(C421+C422+C423)</f>
        <v>0.259985804019545</v>
      </c>
      <c r="D424" s="29" t="n">
        <f aca="false">Quesería!$B$52*(D421+D422+D423)</f>
        <v>0.755733432512963</v>
      </c>
      <c r="E424" s="29" t="n">
        <f aca="false">Quesería!$B$52*(E421+E422+E423)</f>
        <v>0.928732437203976</v>
      </c>
      <c r="F424" s="29" t="n">
        <f aca="false">Quesería!$B$52*(F421+F422+F423)</f>
        <v>0.821874272243886</v>
      </c>
      <c r="G424" s="29" t="n">
        <f aca="false">Quesería!$B$52*(G421+G422+G423)</f>
        <v>0.721862101574802</v>
      </c>
      <c r="H424" s="29" t="n">
        <f aca="false">Quesería!$B$52*(H421+H422+H423)</f>
        <v>0.628327384459784</v>
      </c>
      <c r="I424" s="29" t="n">
        <f aca="false">Quesería!$B$52*(I421+I422+I423)</f>
        <v>0.540919802238858</v>
      </c>
      <c r="J424" s="29" t="n">
        <f aca="false">Quesería!$B$52*(J421+J422+J423)</f>
        <v>0.226892048420774</v>
      </c>
      <c r="K424" s="29" t="n">
        <f aca="false">Quesería!$B$52*(K421+K422+K423)</f>
        <v>0</v>
      </c>
      <c r="L424" s="29" t="n">
        <f aca="false">Quesería!$B$52*(L421+L422+L423)</f>
        <v>0</v>
      </c>
    </row>
    <row r="425" customFormat="false" ht="15" hidden="true" customHeight="false" outlineLevel="1" collapsed="false">
      <c r="A425" s="6" t="s">
        <v>435</v>
      </c>
      <c r="B425" s="29" t="n">
        <f aca="false">$J$17*(B421+B423+0.5*B424)</f>
        <v>1.4028</v>
      </c>
      <c r="C425" s="29" t="n">
        <f aca="false">$J$17*(C421+C423+0.5*C424)</f>
        <v>22.7942553674136</v>
      </c>
      <c r="D425" s="29" t="n">
        <f aca="false">$J$17*(D421+D423+0.5*D424)</f>
        <v>40.5270773130928</v>
      </c>
      <c r="E425" s="29" t="n">
        <f aca="false">$J$17*(E421+E423+0.5*E424)</f>
        <v>35.5150598279272</v>
      </c>
      <c r="F425" s="29" t="n">
        <f aca="false">$J$17*(F421+F423+0.5*F424)</f>
        <v>27.9120993152025</v>
      </c>
      <c r="G425" s="29" t="n">
        <f aca="false">$J$17*(G421+G423+0.5*G424)</f>
        <v>20.8414448480898</v>
      </c>
      <c r="H425" s="29" t="n">
        <f aca="false">$J$17*(H421+H423+0.5*H424)</f>
        <v>14.273396790703</v>
      </c>
      <c r="I425" s="29" t="n">
        <f aca="false">$J$17*(I421+I423+0.5*I424)</f>
        <v>8.17975265955283</v>
      </c>
      <c r="J425" s="29" t="n">
        <f aca="false">$J$17*(J421+J423+0.5*J424)</f>
        <v>2.49306338050808</v>
      </c>
      <c r="K425" s="29" t="n">
        <f aca="false">$J$17*(K421+K423+0.5*K424)</f>
        <v>0</v>
      </c>
      <c r="L425" s="29" t="n">
        <f aca="false">$J$17*(L421+L423+0.5*L424)</f>
        <v>0</v>
      </c>
    </row>
    <row r="426" customFormat="false" ht="15" hidden="true" customHeight="false" outlineLevel="1" collapsed="false">
      <c r="A426" s="5" t="s">
        <v>436</v>
      </c>
      <c r="B426" s="59" t="n">
        <f aca="false">B411+B420-B421-B422-B423-B424+B425</f>
        <v>-273.27169300981</v>
      </c>
      <c r="C426" s="59" t="n">
        <f aca="false">C411+C420-C421-C422-C423-C424+C425</f>
        <v>-30.7236918965648</v>
      </c>
      <c r="D426" s="59" t="n">
        <f aca="false">D411+D420-D421-D422-D423-D424+D425</f>
        <v>346.795454717123</v>
      </c>
      <c r="E426" s="59" t="n">
        <f aca="false">E411+E420-E421-E422-E423-E424+E425</f>
        <v>131.107234109977</v>
      </c>
      <c r="F426" s="59" t="n">
        <f aca="false">F411+F420-F421-F422-F423-F424+F425</f>
        <v>153.220381444607</v>
      </c>
      <c r="G426" s="59" t="n">
        <f aca="false">G411+G420-G421-G422-G423-G424+G425</f>
        <v>143.715128170315</v>
      </c>
      <c r="H426" s="59" t="n">
        <f aca="false">H411+H420-H421-H422-H423-H424+H425</f>
        <v>143.352655553999</v>
      </c>
      <c r="I426" s="59" t="n">
        <f aca="false">I411+I420-I421-I422-I423-I424+I425</f>
        <v>207.656993137347</v>
      </c>
      <c r="J426" s="59" t="n">
        <f aca="false">J411+J420-J421-J422-J423-J424+J425</f>
        <v>272.853709456135</v>
      </c>
      <c r="K426" s="59" t="n">
        <f aca="false">K411+K420-K421-K422-K423-K424+K425</f>
        <v>326.206377725728</v>
      </c>
      <c r="L426" s="59" t="n">
        <f aca="false">L411+L420-L421-L422-L423-L424+L425</f>
        <v>405.660776814932</v>
      </c>
    </row>
    <row r="427" customFormat="false" ht="15" hidden="true" customHeight="false" outlineLevel="1" collapsed="false">
      <c r="A427" s="9" t="s">
        <v>437</v>
      </c>
      <c r="B427" s="58" t="n">
        <f aca="false">B426*B391</f>
        <v>-289.667994590399</v>
      </c>
      <c r="C427" s="58" t="n">
        <f aca="false">C426*C391</f>
        <v>-34.1954690808766</v>
      </c>
      <c r="D427" s="58" t="n">
        <f aca="false">D426*D391</f>
        <v>403.352591449665</v>
      </c>
      <c r="E427" s="58" t="n">
        <f aca="false">E426*E391</f>
        <v>158.588411680195</v>
      </c>
      <c r="F427" s="58" t="n">
        <f aca="false">F426*F391</f>
        <v>192.750126864465</v>
      </c>
      <c r="G427" s="58" t="n">
        <f aca="false">G426*G391</f>
        <v>188.024290783228</v>
      </c>
      <c r="H427" s="58" t="n">
        <f aca="false">H426*H391</f>
        <v>195.052065882097</v>
      </c>
      <c r="I427" s="58" t="n">
        <f aca="false">I426*I391</f>
        <v>293.849335150185</v>
      </c>
      <c r="J427" s="58" t="n">
        <f aca="false">J426*J391</f>
        <v>401.551592854247</v>
      </c>
      <c r="K427" s="58" t="n">
        <f aca="false">K426*K391</f>
        <v>499.272076855822</v>
      </c>
      <c r="L427" s="58" t="n">
        <f aca="false">L426*L391</f>
        <v>645.715463779229</v>
      </c>
    </row>
    <row r="428" customFormat="false" ht="15" hidden="true" customHeight="false" outlineLevel="1" collapsed="false">
      <c r="A428" s="9" t="s">
        <v>438</v>
      </c>
      <c r="B428" s="57" t="n">
        <f aca="false">(B391/$B$391)/(1+Quesería!$B$11+$J$24)^B$43</f>
        <v>1</v>
      </c>
      <c r="C428" s="57" t="n">
        <f aca="false">(C391/$B$391)/(1+Quesería!$B$11+$J$24)^C$43</f>
        <v>0.84</v>
      </c>
      <c r="D428" s="57" t="n">
        <f aca="false">(D391/$B$391)/(1+Quesería!$B$11+$J$24)^D$43</f>
        <v>0.70224</v>
      </c>
      <c r="E428" s="57" t="n">
        <f aca="false">(E391/$B$391)/(1+Quesería!$B$11+$J$24)^E$43</f>
        <v>0.58426368</v>
      </c>
      <c r="F428" s="57" t="n">
        <f aca="false">(F391/$B$391)/(1+Quesería!$B$11+$J$24)^F$43</f>
        <v>0.48610738176</v>
      </c>
      <c r="G428" s="57" t="n">
        <f aca="false">(G391/$B$391)/(1+Quesería!$B$11+$J$24)^G$43</f>
        <v>0.40444134162432</v>
      </c>
      <c r="H428" s="57" t="n">
        <f aca="false">(H391/$B$391)/(1+Quesería!$B$11+$J$24)^H$43</f>
        <v>0.336495196231434</v>
      </c>
      <c r="I428" s="57" t="n">
        <f aca="false">(I391/$B$391)/(1+Quesería!$B$11+$J$24)^I$43</f>
        <v>0.279964003264553</v>
      </c>
      <c r="J428" s="57" t="n">
        <f aca="false">(J391/$B$391)/(1+Quesería!$B$11+$J$24)^J$43</f>
        <v>0.232930050716108</v>
      </c>
      <c r="K428" s="57" t="n">
        <f aca="false">(K391/$B$391)/(1+Quesería!$B$11+$J$24)^K$43</f>
        <v>0.193797802195802</v>
      </c>
      <c r="L428" s="57" t="n">
        <f aca="false">(L391/$B$391)/(1+Quesería!$B$11+$J$24)^L$43</f>
        <v>0.161239771426907</v>
      </c>
    </row>
    <row r="429" customFormat="false" ht="15" hidden="true" customHeight="false" outlineLevel="1" collapsed="false">
      <c r="A429" s="9" t="s">
        <v>439</v>
      </c>
      <c r="B429" s="58" t="n">
        <f aca="false">B411+B394+B396+B425</f>
        <v>110.660911279201</v>
      </c>
      <c r="C429" s="58" t="n">
        <f aca="false">C411+C394+C396+C425</f>
        <v>362.191381715724</v>
      </c>
      <c r="D429" s="58" t="n">
        <f aca="false">D411+D394+D396+D425</f>
        <v>536.484546277876</v>
      </c>
      <c r="E429" s="58" t="n">
        <f aca="false">E411+E394+E396+E425</f>
        <v>364.219075848175</v>
      </c>
      <c r="F429" s="58" t="n">
        <f aca="false">F411+F394+F396+F425</f>
        <v>359.510823777823</v>
      </c>
      <c r="G429" s="58" t="n">
        <f aca="false">G411+G394+G396+G425</f>
        <v>329.077228690459</v>
      </c>
      <c r="H429" s="58" t="n">
        <f aca="false">H411+H394+H396+H425</f>
        <v>308.11398072147</v>
      </c>
      <c r="I429" s="58" t="n">
        <f aca="false">I411+I394+I396+I425</f>
        <v>343.4278634993</v>
      </c>
      <c r="J429" s="58" t="n">
        <f aca="false">J411+J394+J396+J425</f>
        <v>329.803613609749</v>
      </c>
      <c r="K429" s="58" t="n">
        <f aca="false">K411+K394+K396+K425</f>
        <v>326.206377725728</v>
      </c>
      <c r="L429" s="58" t="n">
        <f aca="false">L411+L394+L396+L425</f>
        <v>405.660776814932</v>
      </c>
    </row>
    <row r="430" customFormat="false" ht="15" hidden="true" customHeight="false" outlineLevel="1" collapsed="false">
      <c r="A430" s="5" t="s">
        <v>149</v>
      </c>
      <c r="B430" s="12" t="str">
        <f aca="false">IF(AND(B$43&gt;=1,(B421+B422+B423)&gt;0.001),B429/(B421+B422+B423),"")</f>
        <v/>
      </c>
      <c r="C430" s="12" t="n">
        <f aca="false">IF(AND(C$43&gt;=1,(C421+C422+C423)&gt;0.001),C429/(C421+C422+C423),"")</f>
        <v>5.57247936027301</v>
      </c>
      <c r="D430" s="12" t="n">
        <f aca="false">IF(AND(D$43&gt;=1,(D421+D422+D423)&gt;0.001),D429/(D421+D422+D423),"")</f>
        <v>2.83954380313153</v>
      </c>
      <c r="E430" s="12" t="n">
        <f aca="false">IF(AND(E$43&gt;=1,(E421+E422+E423)&gt;0.001),E429/(E421+E422+E423),"")</f>
        <v>1.56867171322103</v>
      </c>
      <c r="F430" s="12" t="n">
        <f aca="false">IF(AND(F$43&gt;=1,(F421+F422+F423)&gt;0.001),F429/(F421+F422+F423),"")</f>
        <v>1.74971202247898</v>
      </c>
      <c r="G430" s="12" t="n">
        <f aca="false">IF(AND(G$43&gt;=1,(G421+G422+G423)&gt;0.001),G429/(G421+G422+G423),"")</f>
        <v>1.82349081893924</v>
      </c>
      <c r="H430" s="12" t="n">
        <f aca="false">IF(AND(H$43&gt;=1,(H421+H422+H423)&gt;0.001),H429/(H421+H422+H423),"")</f>
        <v>1.96148688306098</v>
      </c>
      <c r="I430" s="12" t="n">
        <f aca="false">IF(AND(I$43&gt;=1,(I421+I422+I423)&gt;0.001),I429/(I421+I422+I423),"")</f>
        <v>2.53958433082211</v>
      </c>
      <c r="J430" s="12" t="n">
        <f aca="false">IF(AND(J$43&gt;=1,(J421+J422+J423)&gt;0.001),J429/(J421+J422+J423),"")</f>
        <v>5.81428244674532</v>
      </c>
      <c r="K430" s="12" t="str">
        <f aca="false">IF(AND(K$43&gt;=1,(K421+K422+K423)&gt;0.001),K429/(K421+K422+K423),"")</f>
        <v/>
      </c>
      <c r="L430" s="12" t="str">
        <f aca="false">IF(AND(L$43&gt;=1,(L421+L422+L423)&gt;0.001),L429/(L421+L422+L423),"")</f>
        <v/>
      </c>
    </row>
    <row r="432" customFormat="false" ht="15" hidden="false" customHeight="false" outlineLevel="0" collapsed="false">
      <c r="A432" s="43" t="s">
        <v>1170</v>
      </c>
      <c r="B432" s="44"/>
      <c r="C432" s="44"/>
      <c r="D432" s="44"/>
      <c r="E432" s="44"/>
      <c r="F432" s="44"/>
      <c r="G432" s="44"/>
      <c r="H432" s="44"/>
      <c r="I432" s="44"/>
      <c r="J432" s="44"/>
      <c r="K432" s="44"/>
      <c r="L432" s="44"/>
    </row>
    <row r="433" customFormat="false" ht="15" hidden="true" customHeight="false" outlineLevel="1" collapsed="false">
      <c r="A433" s="9" t="s">
        <v>405</v>
      </c>
      <c r="B433" s="56" t="n">
        <f aca="false">CHOOSE($K$15,Entorno!B$7,Entorno!B$8,Entorno!B$9)</f>
        <v>0.06</v>
      </c>
      <c r="C433" s="56" t="n">
        <f aca="false">CHOOSE($K$15,Entorno!C$7,Entorno!C$8,Entorno!C$9)</f>
        <v>0.05</v>
      </c>
      <c r="D433" s="56" t="n">
        <f aca="false">CHOOSE($K$15,Entorno!D$7,Entorno!D$8,Entorno!D$9)</f>
        <v>0.045</v>
      </c>
      <c r="E433" s="56" t="n">
        <f aca="false">CHOOSE($K$15,Entorno!E$7,Entorno!E$8,Entorno!E$9)</f>
        <v>0.04</v>
      </c>
      <c r="F433" s="56" t="n">
        <f aca="false">CHOOSE($K$15,Entorno!F$7,Entorno!F$8,Entorno!F$9)</f>
        <v>0.04</v>
      </c>
      <c r="G433" s="56" t="n">
        <f aca="false">CHOOSE($K$15,Entorno!G$7,Entorno!G$8,Entorno!G$9)</f>
        <v>0.04</v>
      </c>
      <c r="H433" s="56" t="n">
        <f aca="false">CHOOSE($K$15,Entorno!H$7,Entorno!H$8,Entorno!H$9)</f>
        <v>0.04</v>
      </c>
      <c r="I433" s="56" t="n">
        <f aca="false">CHOOSE($K$15,Entorno!I$7,Entorno!I$8,Entorno!I$9)</f>
        <v>0.04</v>
      </c>
      <c r="J433" s="56" t="n">
        <f aca="false">CHOOSE($K$15,Entorno!J$7,Entorno!J$8,Entorno!J$9)</f>
        <v>0.04</v>
      </c>
      <c r="K433" s="56" t="n">
        <f aca="false">CHOOSE($K$15,Entorno!K$7,Entorno!K$8,Entorno!K$9)</f>
        <v>0.04</v>
      </c>
      <c r="L433" s="56" t="n">
        <f aca="false">CHOOSE($K$15,Entorno!L$7,Entorno!L$8,Entorno!L$9)</f>
        <v>0.04</v>
      </c>
    </row>
    <row r="434" customFormat="false" ht="15" hidden="true" customHeight="false" outlineLevel="1" collapsed="false">
      <c r="A434" s="9" t="s">
        <v>406</v>
      </c>
      <c r="B434" s="57" t="n">
        <f aca="false">1+B433</f>
        <v>1.06</v>
      </c>
      <c r="C434" s="57" t="n">
        <f aca="false">B434*(1+C433)</f>
        <v>1.113</v>
      </c>
      <c r="D434" s="57" t="n">
        <f aca="false">C434*(1+D433)</f>
        <v>1.163085</v>
      </c>
      <c r="E434" s="57" t="n">
        <f aca="false">D434*(1+E433)</f>
        <v>1.2096084</v>
      </c>
      <c r="F434" s="57" t="n">
        <f aca="false">E434*(1+F433)</f>
        <v>1.257992736</v>
      </c>
      <c r="G434" s="57" t="n">
        <f aca="false">F434*(1+G433)</f>
        <v>1.30831244544</v>
      </c>
      <c r="H434" s="57" t="n">
        <f aca="false">G434*(1+H433)</f>
        <v>1.3606449432576</v>
      </c>
      <c r="I434" s="57" t="n">
        <f aca="false">H434*(1+I433)</f>
        <v>1.4150707409879</v>
      </c>
      <c r="J434" s="57" t="n">
        <f aca="false">I434*(1+J433)</f>
        <v>1.47167357062742</v>
      </c>
      <c r="K434" s="57" t="n">
        <f aca="false">J434*(1+K433)</f>
        <v>1.53054051345252</v>
      </c>
      <c r="L434" s="57" t="n">
        <f aca="false">K434*(1+L433)</f>
        <v>1.59176213399062</v>
      </c>
    </row>
    <row r="435" customFormat="false" ht="15" hidden="true" customHeight="false" outlineLevel="1" collapsed="false">
      <c r="A435" s="9" t="s">
        <v>407</v>
      </c>
      <c r="B435" s="57" t="n">
        <f aca="false">(1+$K$16)/(1+B433)</f>
        <v>1.02358490566038</v>
      </c>
      <c r="C435" s="57" t="n">
        <f aca="false">B435*(1+Entorno!$B$13)</f>
        <v>1.02870283018868</v>
      </c>
      <c r="D435" s="57" t="n">
        <f aca="false">C435*(1+Entorno!$B$13)</f>
        <v>1.03384634433962</v>
      </c>
      <c r="E435" s="57" t="n">
        <f aca="false">D435*(1+Entorno!$B$13)</f>
        <v>1.03901557606132</v>
      </c>
      <c r="F435" s="57" t="n">
        <f aca="false">E435*(1+Entorno!$B$13)</f>
        <v>1.04421065394163</v>
      </c>
      <c r="G435" s="57" t="n">
        <f aca="false">F435*(1+Entorno!$B$13)</f>
        <v>1.04943170721133</v>
      </c>
      <c r="H435" s="57" t="n">
        <f aca="false">G435*(1+Entorno!$B$13)</f>
        <v>1.05467886574739</v>
      </c>
      <c r="I435" s="57" t="n">
        <f aca="false">H435*(1+Entorno!$B$13)</f>
        <v>1.05995226007613</v>
      </c>
      <c r="J435" s="57" t="n">
        <f aca="false">I435*(1+Entorno!$B$13)</f>
        <v>1.06525202137651</v>
      </c>
      <c r="K435" s="57" t="n">
        <f aca="false">J435*(1+Entorno!$B$13)</f>
        <v>1.07057828148339</v>
      </c>
      <c r="L435" s="57" t="n">
        <f aca="false">K435*(1+Entorno!$B$13)</f>
        <v>1.07593117289081</v>
      </c>
    </row>
    <row r="436" customFormat="false" ht="15" hidden="true" customHeight="false" outlineLevel="1" collapsed="false">
      <c r="A436" s="9" t="s">
        <v>408</v>
      </c>
      <c r="B436" s="57" t="n">
        <f aca="false">1/B434</f>
        <v>0.943396226415094</v>
      </c>
      <c r="C436" s="57" t="n">
        <f aca="false">1/C434</f>
        <v>0.898472596585804</v>
      </c>
      <c r="D436" s="57" t="n">
        <f aca="false">1/D434</f>
        <v>0.859782389077324</v>
      </c>
      <c r="E436" s="57" t="n">
        <f aca="false">1/E434</f>
        <v>0.826713835651273</v>
      </c>
      <c r="F436" s="57" t="n">
        <f aca="false">1/F434</f>
        <v>0.794917149664686</v>
      </c>
      <c r="G436" s="57" t="n">
        <f aca="false">1/G434</f>
        <v>0.764343413139121</v>
      </c>
      <c r="H436" s="57" t="n">
        <f aca="false">1/H434</f>
        <v>0.734945589556847</v>
      </c>
      <c r="I436" s="57" t="n">
        <f aca="false">1/I434</f>
        <v>0.706678451496968</v>
      </c>
      <c r="J436" s="57" t="n">
        <f aca="false">1/J434</f>
        <v>0.679498511054777</v>
      </c>
      <c r="K436" s="57" t="n">
        <f aca="false">1/K434</f>
        <v>0.653363952937286</v>
      </c>
      <c r="L436" s="57" t="n">
        <f aca="false">1/L434</f>
        <v>0.628234570132006</v>
      </c>
    </row>
    <row r="437" customFormat="false" ht="15" hidden="true" customHeight="false" outlineLevel="1" collapsed="false">
      <c r="A437" s="6" t="s">
        <v>323</v>
      </c>
      <c r="B437" s="29" t="n">
        <f aca="false">IF(B$43=0,Quesería!$F$92,IF(B$43=1,Quesería!$F$93*$K$21,0))*$K$11</f>
        <v>930.800239431677</v>
      </c>
      <c r="C437" s="29" t="n">
        <f aca="false">IF(C$43=0,Quesería!$F$92,IF(C$43=1,Quesería!$F$93*$K$21,0))*$K$11</f>
        <v>758.469066674498</v>
      </c>
      <c r="D437" s="29" t="n">
        <f aca="false">IF(D$43=0,Quesería!$F$92,IF(D$43=1,Quesería!$F$93*$K$21,0))*$K$11</f>
        <v>0</v>
      </c>
      <c r="E437" s="29" t="n">
        <f aca="false">IF(E$43=0,Quesería!$F$92,IF(E$43=1,Quesería!$F$93*$K$21,0))*$K$11</f>
        <v>0</v>
      </c>
      <c r="F437" s="29" t="n">
        <f aca="false">IF(F$43=0,Quesería!$F$92,IF(F$43=1,Quesería!$F$93*$K$21,0))*$K$11</f>
        <v>0</v>
      </c>
      <c r="G437" s="29" t="n">
        <f aca="false">IF(G$43=0,Quesería!$F$92,IF(G$43=1,Quesería!$F$93*$K$21,0))*$K$11</f>
        <v>0</v>
      </c>
      <c r="H437" s="29" t="n">
        <f aca="false">IF(H$43=0,Quesería!$F$92,IF(H$43=1,Quesería!$F$93*$K$21,0))*$K$11</f>
        <v>0</v>
      </c>
      <c r="I437" s="29" t="n">
        <f aca="false">IF(I$43=0,Quesería!$F$92,IF(I$43=1,Quesería!$F$93*$K$21,0))*$K$11</f>
        <v>0</v>
      </c>
      <c r="J437" s="29" t="n">
        <f aca="false">IF(J$43=0,Quesería!$F$92,IF(J$43=1,Quesería!$F$93*$K$21,0))*$K$11</f>
        <v>0</v>
      </c>
      <c r="K437" s="29" t="n">
        <f aca="false">IF(K$43=0,Quesería!$F$92,IF(K$43=1,Quesería!$F$93*$K$21,0))*$K$11</f>
        <v>0</v>
      </c>
      <c r="L437" s="29" t="n">
        <f aca="false">IF(L$43=0,Quesería!$F$92,IF(L$43=1,Quesería!$F$93*$K$21,0))*$K$11</f>
        <v>0</v>
      </c>
    </row>
    <row r="438" customFormat="false" ht="15" hidden="true" customHeight="false" outlineLevel="1" collapsed="false">
      <c r="A438" s="6" t="s">
        <v>409</v>
      </c>
      <c r="B438" s="29" t="n">
        <f aca="false">IF(B$43=5,Quesería!$F$99,IF(B$43=6,Quesería!$F$100,0))*$K$11</f>
        <v>0</v>
      </c>
      <c r="C438" s="29" t="n">
        <f aca="false">IF(C$43=5,Quesería!$F$99,IF(C$43=6,Quesería!$F$100,0))*$K$11</f>
        <v>0</v>
      </c>
      <c r="D438" s="29" t="n">
        <f aca="false">IF(D$43=5,Quesería!$F$99,IF(D$43=6,Quesería!$F$100,0))*$K$11</f>
        <v>0</v>
      </c>
      <c r="E438" s="29" t="n">
        <f aca="false">IF(E$43=5,Quesería!$F$99,IF(E$43=6,Quesería!$F$100,0))*$K$11</f>
        <v>0</v>
      </c>
      <c r="F438" s="29" t="n">
        <f aca="false">IF(F$43=5,Quesería!$F$99,IF(F$43=6,Quesería!$F$100,0))*$K$11</f>
        <v>0</v>
      </c>
      <c r="G438" s="29" t="n">
        <f aca="false">IF(G$43=5,Quesería!$F$99,IF(G$43=6,Quesería!$F$100,0))*$K$11</f>
        <v>27.4652172688735</v>
      </c>
      <c r="H438" s="29" t="n">
        <f aca="false">IF(H$43=5,Quesería!$F$99,IF(H$43=6,Quesería!$F$100,0))*$K$11</f>
        <v>46.3891557109552</v>
      </c>
      <c r="I438" s="29" t="n">
        <f aca="false">IF(I$43=5,Quesería!$F$99,IF(I$43=6,Quesería!$F$100,0))*$K$11</f>
        <v>0</v>
      </c>
      <c r="J438" s="29" t="n">
        <f aca="false">IF(J$43=5,Quesería!$F$99,IF(J$43=6,Quesería!$F$100,0))*$K$11</f>
        <v>0</v>
      </c>
      <c r="K438" s="29" t="n">
        <f aca="false">IF(K$43=5,Quesería!$F$99,IF(K$43=6,Quesería!$F$100,0))*$K$11</f>
        <v>0</v>
      </c>
      <c r="L438" s="29" t="n">
        <f aca="false">IF(L$43=5,Quesería!$F$99,IF(L$43=6,Quesería!$F$100,0))*$K$11</f>
        <v>0</v>
      </c>
    </row>
    <row r="439" customFormat="false" ht="15" hidden="true" customHeight="false" outlineLevel="1" collapsed="false">
      <c r="A439" s="6" t="s">
        <v>410</v>
      </c>
      <c r="B439" s="29" t="n">
        <f aca="false">Quesería!$B$55*(IF(B$43=0,SUMPRODUCT((Quesería!$C$70:$C$89=0)*(Quesería!$H$70:$H$89&gt;0)*(Quesería!$J$70:$J$89&gt;0)*Quesería!$F$70:$F$89*(1+Quesería!$I$70:$I$89)),IF(B$43=1,SUMPRODUCT((Quesería!$C$70:$C$89=1)*(Quesería!$H$70:$H$89&gt;0)*(Quesería!$J$70:$J$89&gt;0)*Quesería!$F$70:$F$89*(1+Quesería!$I$70:$I$89))*$K$21,0))*$K$11+B438)</f>
        <v>149.115671560178</v>
      </c>
      <c r="C439" s="29" t="n">
        <f aca="false">Quesería!$B$55*(IF(C$43=0,SUMPRODUCT((Quesería!$C$70:$C$89=0)*(Quesería!$H$70:$H$89&gt;0)*(Quesería!$J$70:$J$89&gt;0)*Quesería!$F$70:$F$89*(1+Quesería!$I$70:$I$89)),IF(C$43=1,SUMPRODUCT((Quesería!$C$70:$C$89=1)*(Quesería!$H$70:$H$89&gt;0)*(Quesería!$J$70:$J$89&gt;0)*Quesería!$F$70:$F$89*(1+Quesería!$I$70:$I$89))*$K$21,0))*$K$11+C438)</f>
        <v>144.109122668155</v>
      </c>
      <c r="D439" s="29" t="n">
        <f aca="false">Quesería!$B$55*(IF(D$43=0,SUMPRODUCT((Quesería!$C$70:$C$89=0)*(Quesería!$H$70:$H$89&gt;0)*(Quesería!$J$70:$J$89&gt;0)*Quesería!$F$70:$F$89*(1+Quesería!$I$70:$I$89)),IF(D$43=1,SUMPRODUCT((Quesería!$C$70:$C$89=1)*(Quesería!$H$70:$H$89&gt;0)*(Quesería!$J$70:$J$89&gt;0)*Quesería!$F$70:$F$89*(1+Quesería!$I$70:$I$89))*$K$21,0))*$K$11+D438)</f>
        <v>0</v>
      </c>
      <c r="E439" s="29" t="n">
        <f aca="false">Quesería!$B$55*(IF(E$43=0,SUMPRODUCT((Quesería!$C$70:$C$89=0)*(Quesería!$H$70:$H$89&gt;0)*(Quesería!$J$70:$J$89&gt;0)*Quesería!$F$70:$F$89*(1+Quesería!$I$70:$I$89)),IF(E$43=1,SUMPRODUCT((Quesería!$C$70:$C$89=1)*(Quesería!$H$70:$H$89&gt;0)*(Quesería!$J$70:$J$89&gt;0)*Quesería!$F$70:$F$89*(1+Quesería!$I$70:$I$89))*$K$21,0))*$K$11+E438)</f>
        <v>0</v>
      </c>
      <c r="F439" s="29" t="n">
        <f aca="false">Quesería!$B$55*(IF(F$43=0,SUMPRODUCT((Quesería!$C$70:$C$89=0)*(Quesería!$H$70:$H$89&gt;0)*(Quesería!$J$70:$J$89&gt;0)*Quesería!$F$70:$F$89*(1+Quesería!$I$70:$I$89)),IF(F$43=1,SUMPRODUCT((Quesería!$C$70:$C$89=1)*(Quesería!$H$70:$H$89&gt;0)*(Quesería!$J$70:$J$89&gt;0)*Quesería!$F$70:$F$89*(1+Quesería!$I$70:$I$89))*$K$21,0))*$K$11+F438)</f>
        <v>0</v>
      </c>
      <c r="G439" s="29" t="n">
        <f aca="false">Quesería!$B$55*(IF(G$43=0,SUMPRODUCT((Quesería!$C$70:$C$89=0)*(Quesería!$H$70:$H$89&gt;0)*(Quesería!$J$70:$J$89&gt;0)*Quesería!$F$70:$F$89*(1+Quesería!$I$70:$I$89)),IF(G$43=1,SUMPRODUCT((Quesería!$C$70:$C$89=1)*(Quesería!$H$70:$H$89&gt;0)*(Quesería!$J$70:$J$89&gt;0)*Quesería!$F$70:$F$89*(1+Quesería!$I$70:$I$89))*$K$21,0))*$K$11+G438)</f>
        <v>5.21839128108597</v>
      </c>
      <c r="H439" s="29" t="n">
        <f aca="false">Quesería!$B$55*(IF(H$43=0,SUMPRODUCT((Quesería!$C$70:$C$89=0)*(Quesería!$H$70:$H$89&gt;0)*(Quesería!$J$70:$J$89&gt;0)*Quesería!$F$70:$F$89*(1+Quesería!$I$70:$I$89)),IF(H$43=1,SUMPRODUCT((Quesería!$C$70:$C$89=1)*(Quesería!$H$70:$H$89&gt;0)*(Quesería!$J$70:$J$89&gt;0)*Quesería!$F$70:$F$89*(1+Quesería!$I$70:$I$89))*$K$21,0))*$K$11+H438)</f>
        <v>8.8139395850815</v>
      </c>
      <c r="I439" s="29" t="n">
        <f aca="false">Quesería!$B$55*(IF(I$43=0,SUMPRODUCT((Quesería!$C$70:$C$89=0)*(Quesería!$H$70:$H$89&gt;0)*(Quesería!$J$70:$J$89&gt;0)*Quesería!$F$70:$F$89*(1+Quesería!$I$70:$I$89)),IF(I$43=1,SUMPRODUCT((Quesería!$C$70:$C$89=1)*(Quesería!$H$70:$H$89&gt;0)*(Quesería!$J$70:$J$89&gt;0)*Quesería!$F$70:$F$89*(1+Quesería!$I$70:$I$89))*$K$21,0))*$K$11+I438)</f>
        <v>0</v>
      </c>
      <c r="J439" s="29" t="n">
        <f aca="false">Quesería!$B$55*(IF(J$43=0,SUMPRODUCT((Quesería!$C$70:$C$89=0)*(Quesería!$H$70:$H$89&gt;0)*(Quesería!$J$70:$J$89&gt;0)*Quesería!$F$70:$F$89*(1+Quesería!$I$70:$I$89)),IF(J$43=1,SUMPRODUCT((Quesería!$C$70:$C$89=1)*(Quesería!$H$70:$H$89&gt;0)*(Quesería!$J$70:$J$89&gt;0)*Quesería!$F$70:$F$89*(1+Quesería!$I$70:$I$89))*$K$21,0))*$K$11+J438)</f>
        <v>0</v>
      </c>
      <c r="K439" s="29" t="n">
        <f aca="false">Quesería!$B$55*(IF(K$43=0,SUMPRODUCT((Quesería!$C$70:$C$89=0)*(Quesería!$H$70:$H$89&gt;0)*(Quesería!$J$70:$J$89&gt;0)*Quesería!$F$70:$F$89*(1+Quesería!$I$70:$I$89)),IF(K$43=1,SUMPRODUCT((Quesería!$C$70:$C$89=1)*(Quesería!$H$70:$H$89&gt;0)*(Quesería!$J$70:$J$89&gt;0)*Quesería!$F$70:$F$89*(1+Quesería!$I$70:$I$89))*$K$21,0))*$K$11+K438)</f>
        <v>0</v>
      </c>
      <c r="L439" s="29" t="n">
        <f aca="false">Quesería!$B$55*(IF(L$43=0,SUMPRODUCT((Quesería!$C$70:$C$89=0)*(Quesería!$H$70:$H$89&gt;0)*(Quesería!$J$70:$J$89&gt;0)*Quesería!$F$70:$F$89*(1+Quesería!$I$70:$I$89)),IF(L$43=1,SUMPRODUCT((Quesería!$C$70:$C$89=1)*(Quesería!$H$70:$H$89&gt;0)*(Quesería!$J$70:$J$89&gt;0)*Quesería!$F$70:$F$89*(1+Quesería!$I$70:$I$89))*$K$21,0))*$K$11+L438)</f>
        <v>0</v>
      </c>
    </row>
    <row r="440" customFormat="false" ht="15" hidden="true" customHeight="false" outlineLevel="1" collapsed="false">
      <c r="A440" s="6" t="s">
        <v>385</v>
      </c>
      <c r="B440" s="29" t="n">
        <f aca="false">IF(B$43=0,($K$22*Quesería!$J$125+(1-$K$22)*Quesería!$E$121)*Quesería!$B$20*Quesería!$B$21/12*$K$23,(($K$22*Quesería!$J$125+(1-$K$22)*Quesería!$E$121)+($K$22*Quesería!$J$104+(1-$K$22)*Quesería!$E$104)*(B435-1))*IF(B$43=1,Quesería!$B$20,1))*$K$10</f>
        <v>120.716772261203</v>
      </c>
      <c r="C440" s="29" t="n">
        <f aca="false">IF(C$43=0,($K$22*Quesería!$J$125+(1-$K$22)*Quesería!$E$121)*Quesería!$B$20*Quesería!$B$21/12*$K$23,(($K$22*Quesería!$J$125+(1-$K$22)*Quesería!$E$121)+($K$22*Quesería!$J$104+(1-$K$22)*Quesería!$E$104)*(C435-1))*IF(C$43=1,Quesería!$B$20,1))*$K$10</f>
        <v>181.328317354069</v>
      </c>
      <c r="D440" s="29" t="n">
        <f aca="false">IF(D$43=0,($K$22*Quesería!$J$125+(1-$K$22)*Quesería!$E$121)*Quesería!$B$20*Quesería!$B$21/12*$K$23,(($K$22*Quesería!$J$125+(1-$K$22)*Quesería!$E$121)+($K$22*Quesería!$J$104+(1-$K$22)*Quesería!$E$104)*(D435-1))*IF(D$43=1,Quesería!$B$20,1))*$K$10</f>
        <v>241.83157753184</v>
      </c>
      <c r="E440" s="29" t="n">
        <f aca="false">IF(E$43=0,($K$22*Quesería!$J$125+(1-$K$22)*Quesería!$E$121)*Quesería!$B$20*Quesería!$B$21/12*$K$23,(($K$22*Quesería!$J$125+(1-$K$22)*Quesería!$E$121)+($K$22*Quesería!$J$104+(1-$K$22)*Quesería!$E$104)*(E435-1))*IF(E$43=1,Quesería!$B$20,1))*$K$10</f>
        <v>241.892367696887</v>
      </c>
      <c r="F440" s="29" t="n">
        <f aca="false">IF(F$43=0,($K$22*Quesería!$J$125+(1-$K$22)*Quesería!$E$121)*Quesería!$B$20*Quesería!$B$21/12*$K$23,(($K$22*Quesería!$J$125+(1-$K$22)*Quesería!$E$121)+($K$22*Quesería!$J$104+(1-$K$22)*Quesería!$E$104)*(F435-1))*IF(F$43=1,Quesería!$B$20,1))*$K$10</f>
        <v>241.95346181276</v>
      </c>
      <c r="G440" s="29" t="n">
        <f aca="false">IF(G$43=0,($K$22*Quesería!$J$125+(1-$K$22)*Quesería!$E$121)*Quesería!$B$20*Quesería!$B$21/12*$K$23,(($K$22*Quesería!$J$125+(1-$K$22)*Quesería!$E$121)+($K$22*Quesería!$J$104+(1-$K$22)*Quesería!$E$104)*(G435-1))*IF(G$43=1,Quesería!$B$20,1))*$K$10</f>
        <v>242.014861399211</v>
      </c>
      <c r="H440" s="29" t="n">
        <f aca="false">IF(H$43=0,($K$22*Quesería!$J$125+(1-$K$22)*Quesería!$E$121)*Quesería!$B$20*Quesería!$B$21/12*$K$23,(($K$22*Quesería!$J$125+(1-$K$22)*Quesería!$E$121)+($K$22*Quesería!$J$104+(1-$K$22)*Quesería!$E$104)*(H435-1))*IF(H$43=1,Quesería!$B$20,1))*$K$10</f>
        <v>242.076567983595</v>
      </c>
      <c r="I440" s="29" t="n">
        <f aca="false">IF(I$43=0,($K$22*Quesería!$J$125+(1-$K$22)*Quesería!$E$121)*Quesería!$B$20*Quesería!$B$21/12*$K$23,(($K$22*Quesería!$J$125+(1-$K$22)*Quesería!$E$121)+($K$22*Quesería!$J$104+(1-$K$22)*Quesería!$E$104)*(I435-1))*IF(I$43=1,Quesería!$B$20,1))*$K$10</f>
        <v>242.138583100901</v>
      </c>
      <c r="J440" s="29" t="n">
        <f aca="false">IF(J$43=0,($K$22*Quesería!$J$125+(1-$K$22)*Quesería!$E$121)*Quesería!$B$20*Quesería!$B$21/12*$K$23,(($K$22*Quesería!$J$125+(1-$K$22)*Quesería!$E$121)+($K$22*Quesería!$J$104+(1-$K$22)*Quesería!$E$104)*(J435-1))*IF(J$43=1,Quesería!$B$20,1))*$K$10</f>
        <v>242.200908293794</v>
      </c>
      <c r="K440" s="29" t="n">
        <f aca="false">IF(K$43=0,($K$22*Quesería!$J$125+(1-$K$22)*Quesería!$E$121)*Quesería!$B$20*Quesería!$B$21/12*$K$23,(($K$22*Quesería!$J$125+(1-$K$22)*Quesería!$E$121)+($K$22*Quesería!$J$104+(1-$K$22)*Quesería!$E$104)*(K435-1))*IF(K$43=1,Quesería!$B$20,1))*$K$10</f>
        <v>242.263545112651</v>
      </c>
      <c r="L440" s="29" t="n">
        <f aca="false">IF(L$43=0,($K$22*Quesería!$J$125+(1-$K$22)*Quesería!$E$121)*Quesería!$B$20*Quesería!$B$21/12*$K$23,(($K$22*Quesería!$J$125+(1-$K$22)*Quesería!$E$121)+($K$22*Quesería!$J$104+(1-$K$22)*Quesería!$E$104)*(L435-1))*IF(L$43=1,Quesería!$B$20,1))*$K$10</f>
        <v>242.326495115602</v>
      </c>
    </row>
    <row r="441" customFormat="false" ht="15" hidden="true" customHeight="false" outlineLevel="1" collapsed="false">
      <c r="A441" s="6" t="s">
        <v>386</v>
      </c>
      <c r="B441" s="29" t="n">
        <f aca="false">IF(B$43&lt;=1,0,((($K$22*Quesería!$J$126+(1-$K$22)*Quesería!$E$122)-($K$22*Quesería!$J$113+(1-$K$22)*Quesería!$E$113)+$K$6*($K$22*Quesería!$J$113+(1-$K$22)*Quesería!$E$113)-(1-$K$9)*(($K$22*Quesería!$J$118+(1-$K$22)*Quesería!$E$118)+($K$22*Quesería!$J$117+(1-$K$22)*Quesería!$E$117)))+($K$6*($K$22*Quesería!$J$113+(1-$K$22)*Quesería!$E$113)+$K$9*($K$22*Quesería!$J$118+(1-$K$22)*Quesería!$E$118))*(B435-1))*IF(B$43=2,Quesería!$B$20,1)+IF(B$43=2,Quesería!$B$24*$K$9*($K$22*Quesería!$J$118+(1-$K$22)*Quesería!$E$118)*B435,0))*$K$10*$K$21</f>
        <v>0</v>
      </c>
      <c r="C441" s="29" t="n">
        <f aca="false">IF(C$43&lt;=1,0,((($K$22*Quesería!$J$126+(1-$K$22)*Quesería!$E$122)-($K$22*Quesería!$J$113+(1-$K$22)*Quesería!$E$113)+$K$6*($K$22*Quesería!$J$113+(1-$K$22)*Quesería!$E$113)-(1-$K$9)*(($K$22*Quesería!$J$118+(1-$K$22)*Quesería!$E$118)+($K$22*Quesería!$J$117+(1-$K$22)*Quesería!$E$117)))+($K$6*($K$22*Quesería!$J$113+(1-$K$22)*Quesería!$E$113)+$K$9*($K$22*Quesería!$J$118+(1-$K$22)*Quesería!$E$118))*(C435-1))*IF(C$43=2,Quesería!$B$20,1)+IF(C$43=2,Quesería!$B$24*$K$9*($K$22*Quesería!$J$118+(1-$K$22)*Quesería!$E$118)*C435,0))*$K$10*$K$21</f>
        <v>0</v>
      </c>
      <c r="D441" s="29" t="n">
        <f aca="false">IF(D$43&lt;=1,0,((($K$22*Quesería!$J$126+(1-$K$22)*Quesería!$E$122)-($K$22*Quesería!$J$113+(1-$K$22)*Quesería!$E$113)+$K$6*($K$22*Quesería!$J$113+(1-$K$22)*Quesería!$E$113)-(1-$K$9)*(($K$22*Quesería!$J$118+(1-$K$22)*Quesería!$E$118)+($K$22*Quesería!$J$117+(1-$K$22)*Quesería!$E$117)))+($K$6*($K$22*Quesería!$J$113+(1-$K$22)*Quesería!$E$113)+$K$9*($K$22*Quesería!$J$118+(1-$K$22)*Quesería!$E$118))*(D435-1))*IF(D$43=2,Quesería!$B$20,1)+IF(D$43=2,Quesería!$B$24*$K$9*($K$22*Quesería!$J$118+(1-$K$22)*Quesería!$E$118)*D435,0))*$K$10*$K$21</f>
        <v>235.201505618611</v>
      </c>
      <c r="E441" s="29" t="n">
        <f aca="false">IF(E$43&lt;=1,0,((($K$22*Quesería!$J$126+(1-$K$22)*Quesería!$E$122)-($K$22*Quesería!$J$113+(1-$K$22)*Quesería!$E$113)+$K$6*($K$22*Quesería!$J$113+(1-$K$22)*Quesería!$E$113)-(1-$K$9)*(($K$22*Quesería!$J$118+(1-$K$22)*Quesería!$E$118)+($K$22*Quesería!$J$117+(1-$K$22)*Quesería!$E$117)))+($K$6*($K$22*Quesería!$J$113+(1-$K$22)*Quesería!$E$113)+$K$9*($K$22*Quesería!$J$118+(1-$K$22)*Quesería!$E$118))*(E435-1))*IF(E$43=2,Quesería!$B$20,1)+IF(E$43=2,Quesería!$B$24*$K$9*($K$22*Quesería!$J$118+(1-$K$22)*Quesería!$E$118)*E435,0))*$K$10*$K$21</f>
        <v>298.96150264002</v>
      </c>
      <c r="F441" s="29" t="n">
        <f aca="false">IF(F$43&lt;=1,0,((($K$22*Quesería!$J$126+(1-$K$22)*Quesería!$E$122)-($K$22*Quesería!$J$113+(1-$K$22)*Quesería!$E$113)+$K$6*($K$22*Quesería!$J$113+(1-$K$22)*Quesería!$E$113)-(1-$K$9)*(($K$22*Quesería!$J$118+(1-$K$22)*Quesería!$E$118)+($K$22*Quesería!$J$117+(1-$K$22)*Quesería!$E$117)))+($K$6*($K$22*Quesería!$J$113+(1-$K$22)*Quesería!$E$113)+$K$9*($K$22*Quesería!$J$118+(1-$K$22)*Quesería!$E$118))*(F435-1))*IF(F$43=2,Quesería!$B$20,1)+IF(F$43=2,Quesería!$B$24*$K$9*($K$22*Quesería!$J$118+(1-$K$22)*Quesería!$E$118)*F435,0))*$K$10*$K$21</f>
        <v>299.209619559583</v>
      </c>
      <c r="G441" s="29" t="n">
        <f aca="false">IF(G$43&lt;=1,0,((($K$22*Quesería!$J$126+(1-$K$22)*Quesería!$E$122)-($K$22*Quesería!$J$113+(1-$K$22)*Quesería!$E$113)+$K$6*($K$22*Quesería!$J$113+(1-$K$22)*Quesería!$E$113)-(1-$K$9)*(($K$22*Quesería!$J$118+(1-$K$22)*Quesería!$E$118)+($K$22*Quesería!$J$117+(1-$K$22)*Quesería!$E$117)))+($K$6*($K$22*Quesería!$J$113+(1-$K$22)*Quesería!$E$113)+$K$9*($K$22*Quesería!$J$118+(1-$K$22)*Quesería!$E$118))*(G435-1))*IF(G$43=2,Quesería!$B$20,1)+IF(G$43=2,Quesería!$B$24*$K$9*($K$22*Quesería!$J$118+(1-$K$22)*Quesería!$E$118)*G435,0))*$K$10*$K$21</f>
        <v>299.458977063744</v>
      </c>
      <c r="H441" s="29" t="n">
        <f aca="false">IF(H$43&lt;=1,0,((($K$22*Quesería!$J$126+(1-$K$22)*Quesería!$E$122)-($K$22*Quesería!$J$113+(1-$K$22)*Quesería!$E$113)+$K$6*($K$22*Quesería!$J$113+(1-$K$22)*Quesería!$E$113)-(1-$K$9)*(($K$22*Quesería!$J$118+(1-$K$22)*Quesería!$E$118)+($K$22*Quesería!$J$117+(1-$K$22)*Quesería!$E$117)))+($K$6*($K$22*Quesería!$J$113+(1-$K$22)*Quesería!$E$113)+$K$9*($K$22*Quesería!$J$118+(1-$K$22)*Quesería!$E$118))*(H435-1))*IF(H$43=2,Quesería!$B$20,1)+IF(H$43=2,Quesería!$B$24*$K$9*($K$22*Quesería!$J$118+(1-$K$22)*Quesería!$E$118)*H435,0))*$K$10*$K$21</f>
        <v>299.709581355426</v>
      </c>
      <c r="I441" s="29" t="n">
        <f aca="false">IF(I$43&lt;=1,0,((($K$22*Quesería!$J$126+(1-$K$22)*Quesería!$E$122)-($K$22*Quesería!$J$113+(1-$K$22)*Quesería!$E$113)+$K$6*($K$22*Quesería!$J$113+(1-$K$22)*Quesería!$E$113)-(1-$K$9)*(($K$22*Quesería!$J$118+(1-$K$22)*Quesería!$E$118)+($K$22*Quesería!$J$117+(1-$K$22)*Quesería!$E$117)))+($K$6*($K$22*Quesería!$J$113+(1-$K$22)*Quesería!$E$113)+$K$9*($K$22*Quesería!$J$118+(1-$K$22)*Quesería!$E$118))*(I435-1))*IF(I$43=2,Quesería!$B$20,1)+IF(I$43=2,Quesería!$B$24*$K$9*($K$22*Quesería!$J$118+(1-$K$22)*Quesería!$E$118)*I435,0))*$K$10*$K$21</f>
        <v>299.961438668567</v>
      </c>
      <c r="J441" s="29" t="n">
        <f aca="false">IF(J$43&lt;=1,0,((($K$22*Quesería!$J$126+(1-$K$22)*Quesería!$E$122)-($K$22*Quesería!$J$113+(1-$K$22)*Quesería!$E$113)+$K$6*($K$22*Quesería!$J$113+(1-$K$22)*Quesería!$E$113)-(1-$K$9)*(($K$22*Quesería!$J$118+(1-$K$22)*Quesería!$E$118)+($K$22*Quesería!$J$117+(1-$K$22)*Quesería!$E$117)))+($K$6*($K$22*Quesería!$J$113+(1-$K$22)*Quesería!$E$113)+$K$9*($K$22*Quesería!$J$118+(1-$K$22)*Quesería!$E$118))*(J435-1))*IF(J$43=2,Quesería!$B$20,1)+IF(J$43=2,Quesería!$B$24*$K$9*($K$22*Quesería!$J$118+(1-$K$22)*Quesería!$E$118)*J435,0))*$K$10*$K$21</f>
        <v>300.214555268273</v>
      </c>
      <c r="K441" s="29" t="n">
        <f aca="false">IF(K$43&lt;=1,0,((($K$22*Quesería!$J$126+(1-$K$22)*Quesería!$E$122)-($K$22*Quesería!$J$113+(1-$K$22)*Quesería!$E$113)+$K$6*($K$22*Quesería!$J$113+(1-$K$22)*Quesería!$E$113)-(1-$K$9)*(($K$22*Quesería!$J$118+(1-$K$22)*Quesería!$E$118)+($K$22*Quesería!$J$117+(1-$K$22)*Quesería!$E$117)))+($K$6*($K$22*Quesería!$J$113+(1-$K$22)*Quesería!$E$113)+$K$9*($K$22*Quesería!$J$118+(1-$K$22)*Quesería!$E$118))*(K435-1))*IF(K$43=2,Quesería!$B$20,1)+IF(K$43=2,Quesería!$B$24*$K$9*($K$22*Quesería!$J$118+(1-$K$22)*Quesería!$E$118)*K435,0))*$K$10*$K$21</f>
        <v>300.468937450978</v>
      </c>
      <c r="L441" s="29" t="n">
        <f aca="false">IF(L$43&lt;=1,0,((($K$22*Quesería!$J$126+(1-$K$22)*Quesería!$E$122)-($K$22*Quesería!$J$113+(1-$K$22)*Quesería!$E$113)+$K$6*($K$22*Quesería!$J$113+(1-$K$22)*Quesería!$E$113)-(1-$K$9)*(($K$22*Quesería!$J$118+(1-$K$22)*Quesería!$E$118)+($K$22*Quesería!$J$117+(1-$K$22)*Quesería!$E$117)))+($K$6*($K$22*Quesería!$J$113+(1-$K$22)*Quesería!$E$113)+$K$9*($K$22*Quesería!$J$118+(1-$K$22)*Quesería!$E$118))*(L435-1))*IF(L$43=2,Quesería!$B$20,1)+IF(L$43=2,Quesería!$B$24*$K$9*($K$22*Quesería!$J$118+(1-$K$22)*Quesería!$E$118)*L435,0))*$K$10*$K$21</f>
        <v>300.724591544596</v>
      </c>
    </row>
    <row r="442" customFormat="false" ht="15" hidden="true" customHeight="false" outlineLevel="1" collapsed="false">
      <c r="A442" s="5" t="s">
        <v>411</v>
      </c>
      <c r="B442" s="10" t="n">
        <f aca="false">B440+B441</f>
        <v>120.716772261203</v>
      </c>
      <c r="C442" s="10" t="n">
        <f aca="false">C440+C441</f>
        <v>181.328317354069</v>
      </c>
      <c r="D442" s="10" t="n">
        <f aca="false">D440+D441</f>
        <v>477.033083150451</v>
      </c>
      <c r="E442" s="10" t="n">
        <f aca="false">E440+E441</f>
        <v>540.853870336907</v>
      </c>
      <c r="F442" s="10" t="n">
        <f aca="false">F440+F441</f>
        <v>541.163081372343</v>
      </c>
      <c r="G442" s="10" t="n">
        <f aca="false">G440+G441</f>
        <v>541.473838462956</v>
      </c>
      <c r="H442" s="10" t="n">
        <f aca="false">H440+H441</f>
        <v>541.786149339022</v>
      </c>
      <c r="I442" s="10" t="n">
        <f aca="false">I440+I441</f>
        <v>542.100021769468</v>
      </c>
      <c r="J442" s="10" t="n">
        <f aca="false">J440+J441</f>
        <v>542.415463562067</v>
      </c>
      <c r="K442" s="10" t="n">
        <f aca="false">K440+K441</f>
        <v>542.732482563628</v>
      </c>
      <c r="L442" s="10" t="n">
        <f aca="false">L440+L441</f>
        <v>543.051086660198</v>
      </c>
    </row>
    <row r="443" customFormat="false" ht="15" hidden="true" customHeight="false" outlineLevel="1" collapsed="false">
      <c r="A443" s="6" t="s">
        <v>412</v>
      </c>
      <c r="B443" s="29" t="n">
        <f aca="false">(IF(B$43&gt;=1,(Quesería!$B$31+Quesería!$B$33)*Quesería!$F$94*$K$11+Quesería!$B$32+'Beneficios y costos'!$B$211,0)+IF(B$43&gt;=2,((Quesería!$B$31+Quesería!$B$33)*Quesería!$F$95*$K$11+'Beneficios y costos'!$C$211)*$K$21,0))*$K$12</f>
        <v>0</v>
      </c>
      <c r="C443" s="29" t="n">
        <f aca="false">(IF(C$43&gt;=1,(Quesería!$B$31+Quesería!$B$33)*Quesería!$F$94*$K$11+Quesería!$B$32+'Beneficios y costos'!$B$211,0)+IF(C$43&gt;=2,((Quesería!$B$31+Quesería!$B$33)*Quesería!$F$95*$K$11+'Beneficios y costos'!$C$211)*$K$21,0))*$K$12</f>
        <v>54.7230433438786</v>
      </c>
      <c r="D443" s="29" t="n">
        <f aca="false">(IF(D$43&gt;=1,(Quesería!$B$31+Quesería!$B$33)*Quesería!$F$94*$K$11+Quesería!$B$32+'Beneficios y costos'!$B$211,0)+IF(D$43&gt;=2,((Quesería!$B$31+Quesería!$B$33)*Quesería!$F$95*$K$11+'Beneficios y costos'!$C$211)*$K$21,0))*$K$12</f>
        <v>124.726217503916</v>
      </c>
      <c r="E443" s="29" t="n">
        <f aca="false">(IF(E$43&gt;=1,(Quesería!$B$31+Quesería!$B$33)*Quesería!$F$94*$K$11+Quesería!$B$32+'Beneficios y costos'!$B$211,0)+IF(E$43&gt;=2,((Quesería!$B$31+Quesería!$B$33)*Quesería!$F$95*$K$11+'Beneficios y costos'!$C$211)*$K$21,0))*$K$12</f>
        <v>124.726217503916</v>
      </c>
      <c r="F443" s="29" t="n">
        <f aca="false">(IF(F$43&gt;=1,(Quesería!$B$31+Quesería!$B$33)*Quesería!$F$94*$K$11+Quesería!$B$32+'Beneficios y costos'!$B$211,0)+IF(F$43&gt;=2,((Quesería!$B$31+Quesería!$B$33)*Quesería!$F$95*$K$11+'Beneficios y costos'!$C$211)*$K$21,0))*$K$12</f>
        <v>124.726217503916</v>
      </c>
      <c r="G443" s="29" t="n">
        <f aca="false">(IF(G$43&gt;=1,(Quesería!$B$31+Quesería!$B$33)*Quesería!$F$94*$K$11+Quesería!$B$32+'Beneficios y costos'!$B$211,0)+IF(G$43&gt;=2,((Quesería!$B$31+Quesería!$B$33)*Quesería!$F$95*$K$11+'Beneficios y costos'!$C$211)*$K$21,0))*$K$12</f>
        <v>124.726217503916</v>
      </c>
      <c r="H443" s="29" t="n">
        <f aca="false">(IF(H$43&gt;=1,(Quesería!$B$31+Quesería!$B$33)*Quesería!$F$94*$K$11+Quesería!$B$32+'Beneficios y costos'!$B$211,0)+IF(H$43&gt;=2,((Quesería!$B$31+Quesería!$B$33)*Quesería!$F$95*$K$11+'Beneficios y costos'!$C$211)*$K$21,0))*$K$12</f>
        <v>124.726217503916</v>
      </c>
      <c r="I443" s="29" t="n">
        <f aca="false">(IF(I$43&gt;=1,(Quesería!$B$31+Quesería!$B$33)*Quesería!$F$94*$K$11+Quesería!$B$32+'Beneficios y costos'!$B$211,0)+IF(I$43&gt;=2,((Quesería!$B$31+Quesería!$B$33)*Quesería!$F$95*$K$11+'Beneficios y costos'!$C$211)*$K$21,0))*$K$12</f>
        <v>124.726217503916</v>
      </c>
      <c r="J443" s="29" t="n">
        <f aca="false">(IF(J$43&gt;=1,(Quesería!$B$31+Quesería!$B$33)*Quesería!$F$94*$K$11+Quesería!$B$32+'Beneficios y costos'!$B$211,0)+IF(J$43&gt;=2,((Quesería!$B$31+Quesería!$B$33)*Quesería!$F$95*$K$11+'Beneficios y costos'!$C$211)*$K$21,0))*$K$12</f>
        <v>124.726217503916</v>
      </c>
      <c r="K443" s="29" t="n">
        <f aca="false">(IF(K$43&gt;=1,(Quesería!$B$31+Quesería!$B$33)*Quesería!$F$94*$K$11+Quesería!$B$32+'Beneficios y costos'!$B$211,0)+IF(K$43&gt;=2,((Quesería!$B$31+Quesería!$B$33)*Quesería!$F$95*$K$11+'Beneficios y costos'!$C$211)*$K$21,0))*$K$12</f>
        <v>124.726217503916</v>
      </c>
      <c r="L443" s="29" t="n">
        <f aca="false">(IF(L$43&gt;=1,(Quesería!$B$31+Quesería!$B$33)*Quesería!$F$94*$K$11+Quesería!$B$32+'Beneficios y costos'!$B$211,0)+IF(L$43&gt;=2,((Quesería!$B$31+Quesería!$B$33)*Quesería!$F$95*$K$11+'Beneficios y costos'!$C$211)*$K$21,0))*$K$12</f>
        <v>124.726217503916</v>
      </c>
    </row>
    <row r="444" customFormat="false" ht="15" hidden="true" customHeight="false" outlineLevel="1" collapsed="false">
      <c r="A444" s="6" t="s">
        <v>413</v>
      </c>
      <c r="B444" s="29" t="n">
        <f aca="false">IF(B$43=1,2*Quesería!$B$22*Quesería!$B$23/12*B435,0)*$K$21</f>
        <v>0</v>
      </c>
      <c r="C444" s="29" t="n">
        <f aca="false">IF(C$43=1,2*Quesería!$B$22*Quesería!$B$23/12*C435,0)*$K$21</f>
        <v>18.5166509433962</v>
      </c>
      <c r="D444" s="29" t="n">
        <f aca="false">IF(D$43=1,2*Quesería!$B$22*Quesería!$B$23/12*D435,0)*$K$21</f>
        <v>0</v>
      </c>
      <c r="E444" s="29" t="n">
        <f aca="false">IF(E$43=1,2*Quesería!$B$22*Quesería!$B$23/12*E435,0)*$K$21</f>
        <v>0</v>
      </c>
      <c r="F444" s="29" t="n">
        <f aca="false">IF(F$43=1,2*Quesería!$B$22*Quesería!$B$23/12*F435,0)*$K$21</f>
        <v>0</v>
      </c>
      <c r="G444" s="29" t="n">
        <f aca="false">IF(G$43=1,2*Quesería!$B$22*Quesería!$B$23/12*G435,0)*$K$21</f>
        <v>0</v>
      </c>
      <c r="H444" s="29" t="n">
        <f aca="false">IF(H$43=1,2*Quesería!$B$22*Quesería!$B$23/12*H435,0)*$K$21</f>
        <v>0</v>
      </c>
      <c r="I444" s="29" t="n">
        <f aca="false">IF(I$43=1,2*Quesería!$B$22*Quesería!$B$23/12*I435,0)*$K$21</f>
        <v>0</v>
      </c>
      <c r="J444" s="29" t="n">
        <f aca="false">IF(J$43=1,2*Quesería!$B$22*Quesería!$B$23/12*J435,0)*$K$21</f>
        <v>0</v>
      </c>
      <c r="K444" s="29" t="n">
        <f aca="false">IF(K$43=1,2*Quesería!$B$22*Quesería!$B$23/12*K435,0)*$K$21</f>
        <v>0</v>
      </c>
      <c r="L444" s="29" t="n">
        <f aca="false">IF(L$43=1,2*Quesería!$B$22*Quesería!$B$23/12*L435,0)*$K$21</f>
        <v>0</v>
      </c>
    </row>
    <row r="445" customFormat="false" ht="15" hidden="true" customHeight="false" outlineLevel="1" collapsed="false">
      <c r="A445" s="6" t="s">
        <v>414</v>
      </c>
      <c r="B445" s="29" t="n">
        <f aca="false">Quesería!$B$52*(B437+B438+B439+B443+B444)</f>
        <v>4.31966364396742</v>
      </c>
      <c r="C445" s="29" t="n">
        <f aca="false">Quesería!$B$52*(C437+C438+C439+C443+C444)</f>
        <v>3.90327153451971</v>
      </c>
      <c r="D445" s="29" t="n">
        <f aca="false">Quesería!$B$52*(D437+D438+D439+D443+D444)</f>
        <v>0.498904870015664</v>
      </c>
      <c r="E445" s="29" t="n">
        <f aca="false">Quesería!$B$52*(E437+E438+E439+E443+E444)</f>
        <v>0.498904870015664</v>
      </c>
      <c r="F445" s="29" t="n">
        <f aca="false">Quesería!$B$52*(F437+F438+F439+F443+F444)</f>
        <v>0.498904870015664</v>
      </c>
      <c r="G445" s="29" t="n">
        <f aca="false">Quesería!$B$52*(G437+G438+G439+G443+G444)</f>
        <v>0.629639304215502</v>
      </c>
      <c r="H445" s="29" t="n">
        <f aca="false">Quesería!$B$52*(H437+H438+H439+H443+H444)</f>
        <v>0.719717251199811</v>
      </c>
      <c r="I445" s="29" t="n">
        <f aca="false">Quesería!$B$52*(I437+I438+I439+I443+I444)</f>
        <v>0.498904870015664</v>
      </c>
      <c r="J445" s="29" t="n">
        <f aca="false">Quesería!$B$52*(J437+J438+J439+J443+J444)</f>
        <v>0.498904870015664</v>
      </c>
      <c r="K445" s="29" t="n">
        <f aca="false">Quesería!$B$52*(K437+K438+K439+K443+K444)</f>
        <v>0.498904870015664</v>
      </c>
      <c r="L445" s="29" t="n">
        <f aca="false">Quesería!$B$52*(L437+L438+L439+L443+L444)</f>
        <v>0.498904870015664</v>
      </c>
    </row>
    <row r="446" customFormat="false" ht="15" hidden="true" customHeight="false" outlineLevel="1" collapsed="false">
      <c r="A446" s="6" t="s">
        <v>415</v>
      </c>
      <c r="B446" s="29" t="n">
        <f aca="false">(IF($K$19=1,(SUMPRODUCT((Quesería!$C$70:$C$89=0)*(Quesería!$J$70:$J$89&gt;0)*(B$43&gt;=1)*(B$43&lt;=Quesería!$J$70:$J$89)*(Quesería!$H$70:$H$89&gt;0)*Quesería!$F$70:$F$89*(1+Quesería!$I$70:$I$89)/(Quesería!$J$70:$J$89+(Quesería!$J$70:$J$89=0)))+SUMPRODUCT((Quesería!$C$70:$C$89=0)*(Quesería!$J$70:$J$89=0)*(B$43=0)*(Quesería!$H$70:$H$89&gt;0)*Quesería!$F$70:$F$89*(1+Quesería!$I$70:$I$89)))*$B$434+(SUMPRODUCT((Quesería!$C$70:$C$89=1)*(Quesería!$J$70:$J$89&gt;0)*(B$43&gt;=2)*(B$43&lt;=Quesería!$J$70:$J$89+1)*(Quesería!$H$70:$H$89&gt;0)*Quesería!$F$70:$F$89*(1+Quesería!$I$70:$I$89)/(Quesería!$J$70:$J$89+(Quesería!$J$70:$J$89=0)))+SUMPRODUCT((Quesería!$C$70:$C$89=1)*(Quesería!$J$70:$J$89=0)*(B$43=1)*(Quesería!$H$70:$H$89&gt;0)*Quesería!$F$70:$F$89*(1+Quesería!$I$70:$I$89)))*$C$434*$K$21,IF(AND(B$43&gt;=1,B$43&lt;=Quesería!$B$30),Quesería!$F$92/Quesería!$B$30,0)*$B$434+IF(AND(B$43&gt;=2,B$43&lt;=Quesería!$B$30+1),Quesería!$F$93/Quesería!$B$30,0)*$C$434*$K$21)*$K$11+IF(AND(B$43&gt;=6,B$43&lt;=10),$G438*$G434/5,0)+IF(AND(B$43&gt;=7,B$43&lt;=11),$H438*$H434/5,0))*B436</f>
        <v>145.980915430742</v>
      </c>
      <c r="C446" s="29" t="n">
        <f aca="false">(IF($K$19=1,(SUMPRODUCT((Quesería!$C$70:$C$89=0)*(Quesería!$J$70:$J$89&gt;0)*(C$43&gt;=1)*(C$43&lt;=Quesería!$J$70:$J$89)*(Quesería!$H$70:$H$89&gt;0)*Quesería!$F$70:$F$89*(1+Quesería!$I$70:$I$89)/(Quesería!$J$70:$J$89+(Quesería!$J$70:$J$89=0)))+SUMPRODUCT((Quesería!$C$70:$C$89=0)*(Quesería!$J$70:$J$89=0)*(C$43=0)*(Quesería!$H$70:$H$89&gt;0)*Quesería!$F$70:$F$89*(1+Quesería!$I$70:$I$89)))*$B$434+(SUMPRODUCT((Quesería!$C$70:$C$89=1)*(Quesería!$J$70:$J$89&gt;0)*(C$43&gt;=2)*(C$43&lt;=Quesería!$J$70:$J$89+1)*(Quesería!$H$70:$H$89&gt;0)*Quesería!$F$70:$F$89*(1+Quesería!$I$70:$I$89)/(Quesería!$J$70:$J$89+(Quesería!$J$70:$J$89=0)))+SUMPRODUCT((Quesería!$C$70:$C$89=1)*(Quesería!$J$70:$J$89=0)*(C$43=1)*(Quesería!$H$70:$H$89&gt;0)*Quesería!$F$70:$F$89*(1+Quesería!$I$70:$I$89)))*$C$434*$K$21,IF(AND(C$43&gt;=1,C$43&lt;=Quesería!$B$30),Quesería!$F$92/Quesería!$B$30,0)*$B$434+IF(AND(C$43&gt;=2,C$43&lt;=Quesería!$B$30+1),Quesería!$F$93/Quesería!$B$30,0)*$C$434*$K$21)*$K$11+IF(AND(C$43&gt;=6,C$43&lt;=10),$G438*$G434/5,0)+IF(AND(C$43&gt;=7,C$43&lt;=11),$H438*$H434/5,0))*C436</f>
        <v>82.2633269524265</v>
      </c>
      <c r="D446" s="29" t="n">
        <f aca="false">(IF($K$19=1,(SUMPRODUCT((Quesería!$C$70:$C$89=0)*(Quesería!$J$70:$J$89&gt;0)*(D$43&gt;=1)*(D$43&lt;=Quesería!$J$70:$J$89)*(Quesería!$H$70:$H$89&gt;0)*Quesería!$F$70:$F$89*(1+Quesería!$I$70:$I$89)/(Quesería!$J$70:$J$89+(Quesería!$J$70:$J$89=0)))+SUMPRODUCT((Quesería!$C$70:$C$89=0)*(Quesería!$J$70:$J$89=0)*(D$43=0)*(Quesería!$H$70:$H$89&gt;0)*Quesería!$F$70:$F$89*(1+Quesería!$I$70:$I$89)))*$B$434+(SUMPRODUCT((Quesería!$C$70:$C$89=1)*(Quesería!$J$70:$J$89&gt;0)*(D$43&gt;=2)*(D$43&lt;=Quesería!$J$70:$J$89+1)*(Quesería!$H$70:$H$89&gt;0)*Quesería!$F$70:$F$89*(1+Quesería!$I$70:$I$89)/(Quesería!$J$70:$J$89+(Quesería!$J$70:$J$89=0)))+SUMPRODUCT((Quesería!$C$70:$C$89=1)*(Quesería!$J$70:$J$89=0)*(D$43=1)*(Quesería!$H$70:$H$89&gt;0)*Quesería!$F$70:$F$89*(1+Quesería!$I$70:$I$89)))*$C$434*$K$21,IF(AND(D$43&gt;=1,D$43&lt;=Quesería!$B$30),Quesería!$F$92/Quesería!$B$30,0)*$B$434+IF(AND(D$43&gt;=2,D$43&lt;=Quesería!$B$30+1),Quesería!$F$93/Quesería!$B$30,0)*$C$434*$K$21)*$K$11+IF(AND(D$43&gt;=6,D$43&lt;=10),$G438*$G434/5,0)+IF(AND(D$43&gt;=7,D$43&lt;=11),$H438*$H434/5,0))*D436</f>
        <v>151.301658966389</v>
      </c>
      <c r="E446" s="29" t="n">
        <f aca="false">(IF($K$19=1,(SUMPRODUCT((Quesería!$C$70:$C$89=0)*(Quesería!$J$70:$J$89&gt;0)*(E$43&gt;=1)*(E$43&lt;=Quesería!$J$70:$J$89)*(Quesería!$H$70:$H$89&gt;0)*Quesería!$F$70:$F$89*(1+Quesería!$I$70:$I$89)/(Quesería!$J$70:$J$89+(Quesería!$J$70:$J$89=0)))+SUMPRODUCT((Quesería!$C$70:$C$89=0)*(Quesería!$J$70:$J$89=0)*(E$43=0)*(Quesería!$H$70:$H$89&gt;0)*Quesería!$F$70:$F$89*(1+Quesería!$I$70:$I$89)))*$B$434+(SUMPRODUCT((Quesería!$C$70:$C$89=1)*(Quesería!$J$70:$J$89&gt;0)*(E$43&gt;=2)*(E$43&lt;=Quesería!$J$70:$J$89+1)*(Quesería!$H$70:$H$89&gt;0)*Quesería!$F$70:$F$89*(1+Quesería!$I$70:$I$89)/(Quesería!$J$70:$J$89+(Quesería!$J$70:$J$89=0)))+SUMPRODUCT((Quesería!$C$70:$C$89=1)*(Quesería!$J$70:$J$89=0)*(E$43=1)*(Quesería!$H$70:$H$89&gt;0)*Quesería!$F$70:$F$89*(1+Quesería!$I$70:$I$89)))*$C$434*$K$21,IF(AND(E$43&gt;=1,E$43&lt;=Quesería!$B$30),Quesería!$F$92/Quesería!$B$30,0)*$B$434+IF(AND(E$43&gt;=2,E$43&lt;=Quesería!$B$30+1),Quesería!$F$93/Quesería!$B$30,0)*$C$434*$K$21)*$K$11+IF(AND(E$43&gt;=6,E$43&lt;=10),$G438*$G434/5,0)+IF(AND(E$43&gt;=7,E$43&lt;=11),$H438*$H434/5,0))*E436</f>
        <v>145.482364390759</v>
      </c>
      <c r="F446" s="29" t="n">
        <f aca="false">(IF($K$19=1,(SUMPRODUCT((Quesería!$C$70:$C$89=0)*(Quesería!$J$70:$J$89&gt;0)*(F$43&gt;=1)*(F$43&lt;=Quesería!$J$70:$J$89)*(Quesería!$H$70:$H$89&gt;0)*Quesería!$F$70:$F$89*(1+Quesería!$I$70:$I$89)/(Quesería!$J$70:$J$89+(Quesería!$J$70:$J$89=0)))+SUMPRODUCT((Quesería!$C$70:$C$89=0)*(Quesería!$J$70:$J$89=0)*(F$43=0)*(Quesería!$H$70:$H$89&gt;0)*Quesería!$F$70:$F$89*(1+Quesería!$I$70:$I$89)))*$B$434+(SUMPRODUCT((Quesería!$C$70:$C$89=1)*(Quesería!$J$70:$J$89&gt;0)*(F$43&gt;=2)*(F$43&lt;=Quesería!$J$70:$J$89+1)*(Quesería!$H$70:$H$89&gt;0)*Quesería!$F$70:$F$89*(1+Quesería!$I$70:$I$89)/(Quesería!$J$70:$J$89+(Quesería!$J$70:$J$89=0)))+SUMPRODUCT((Quesería!$C$70:$C$89=1)*(Quesería!$J$70:$J$89=0)*(F$43=1)*(Quesería!$H$70:$H$89&gt;0)*Quesería!$F$70:$F$89*(1+Quesería!$I$70:$I$89)))*$C$434*$K$21,IF(AND(F$43&gt;=1,F$43&lt;=Quesería!$B$30),Quesería!$F$92/Quesería!$B$30,0)*$B$434+IF(AND(F$43&gt;=2,F$43&lt;=Quesería!$B$30+1),Quesería!$F$93/Quesería!$B$30,0)*$C$434*$K$21)*$K$11+IF(AND(F$43&gt;=6,F$43&lt;=10),$G438*$G434/5,0)+IF(AND(F$43&gt;=7,F$43&lt;=11),$H438*$H434/5,0))*F436</f>
        <v>139.886888837268</v>
      </c>
      <c r="G446" s="29" t="n">
        <f aca="false">(IF($K$19=1,(SUMPRODUCT((Quesería!$C$70:$C$89=0)*(Quesería!$J$70:$J$89&gt;0)*(G$43&gt;=1)*(G$43&lt;=Quesería!$J$70:$J$89)*(Quesería!$H$70:$H$89&gt;0)*Quesería!$F$70:$F$89*(1+Quesería!$I$70:$I$89)/(Quesería!$J$70:$J$89+(Quesería!$J$70:$J$89=0)))+SUMPRODUCT((Quesería!$C$70:$C$89=0)*(Quesería!$J$70:$J$89=0)*(G$43=0)*(Quesería!$H$70:$H$89&gt;0)*Quesería!$F$70:$F$89*(1+Quesería!$I$70:$I$89)))*$B$434+(SUMPRODUCT((Quesería!$C$70:$C$89=1)*(Quesería!$J$70:$J$89&gt;0)*(G$43&gt;=2)*(G$43&lt;=Quesería!$J$70:$J$89+1)*(Quesería!$H$70:$H$89&gt;0)*Quesería!$F$70:$F$89*(1+Quesería!$I$70:$I$89)/(Quesería!$J$70:$J$89+(Quesería!$J$70:$J$89=0)))+SUMPRODUCT((Quesería!$C$70:$C$89=1)*(Quesería!$J$70:$J$89=0)*(G$43=1)*(Quesería!$H$70:$H$89&gt;0)*Quesería!$F$70:$F$89*(1+Quesería!$I$70:$I$89)))*$C$434*$K$21,IF(AND(G$43&gt;=1,G$43&lt;=Quesería!$B$30),Quesería!$F$92/Quesería!$B$30,0)*$B$434+IF(AND(G$43&gt;=2,G$43&lt;=Quesería!$B$30+1),Quesería!$F$93/Quesería!$B$30,0)*$C$434*$K$21)*$K$11+IF(AND(G$43&gt;=6,G$43&lt;=10),$G438*$G434/5,0)+IF(AND(G$43&gt;=7,G$43&lt;=11),$H438*$H434/5,0))*G436</f>
        <v>134.506623881988</v>
      </c>
      <c r="H446" s="29" t="n">
        <f aca="false">(IF($K$19=1,(SUMPRODUCT((Quesería!$C$70:$C$89=0)*(Quesería!$J$70:$J$89&gt;0)*(H$43&gt;=1)*(H$43&lt;=Quesería!$J$70:$J$89)*(Quesería!$H$70:$H$89&gt;0)*Quesería!$F$70:$F$89*(1+Quesería!$I$70:$I$89)/(Quesería!$J$70:$J$89+(Quesería!$J$70:$J$89=0)))+SUMPRODUCT((Quesería!$C$70:$C$89=0)*(Quesería!$J$70:$J$89=0)*(H$43=0)*(Quesería!$H$70:$H$89&gt;0)*Quesería!$F$70:$F$89*(1+Quesería!$I$70:$I$89)))*$B$434+(SUMPRODUCT((Quesería!$C$70:$C$89=1)*(Quesería!$J$70:$J$89&gt;0)*(H$43&gt;=2)*(H$43&lt;=Quesería!$J$70:$J$89+1)*(Quesería!$H$70:$H$89&gt;0)*Quesería!$F$70:$F$89*(1+Quesería!$I$70:$I$89)/(Quesería!$J$70:$J$89+(Quesería!$J$70:$J$89=0)))+SUMPRODUCT((Quesería!$C$70:$C$89=1)*(Quesería!$J$70:$J$89=0)*(H$43=1)*(Quesería!$H$70:$H$89&gt;0)*Quesería!$F$70:$F$89*(1+Quesería!$I$70:$I$89)))*$C$434*$K$21,IF(AND(H$43&gt;=1,H$43&lt;=Quesería!$B$30),Quesería!$F$92/Quesería!$B$30,0)*$B$434+IF(AND(H$43&gt;=2,H$43&lt;=Quesería!$B$30+1),Quesería!$F$93/Quesería!$B$30,0)*$C$434*$K$21)*$K$11+IF(AND(H$43&gt;=6,H$43&lt;=10),$G438*$G434/5,0)+IF(AND(H$43&gt;=7,H$43&lt;=11),$H438*$H434/5,0))*H436</f>
        <v>122.314670590318</v>
      </c>
      <c r="I446" s="29" t="n">
        <f aca="false">(IF($K$19=1,(SUMPRODUCT((Quesería!$C$70:$C$89=0)*(Quesería!$J$70:$J$89&gt;0)*(I$43&gt;=1)*(I$43&lt;=Quesería!$J$70:$J$89)*(Quesería!$H$70:$H$89&gt;0)*Quesería!$F$70:$F$89*(1+Quesería!$I$70:$I$89)/(Quesería!$J$70:$J$89+(Quesería!$J$70:$J$89=0)))+SUMPRODUCT((Quesería!$C$70:$C$89=0)*(Quesería!$J$70:$J$89=0)*(I$43=0)*(Quesería!$H$70:$H$89&gt;0)*Quesería!$F$70:$F$89*(1+Quesería!$I$70:$I$89)))*$B$434+(SUMPRODUCT((Quesería!$C$70:$C$89=1)*(Quesería!$J$70:$J$89&gt;0)*(I$43&gt;=2)*(I$43&lt;=Quesería!$J$70:$J$89+1)*(Quesería!$H$70:$H$89&gt;0)*Quesería!$F$70:$F$89*(1+Quesería!$I$70:$I$89)/(Quesería!$J$70:$J$89+(Quesería!$J$70:$J$89=0)))+SUMPRODUCT((Quesería!$C$70:$C$89=1)*(Quesería!$J$70:$J$89=0)*(I$43=1)*(Quesería!$H$70:$H$89&gt;0)*Quesería!$F$70:$F$89*(1+Quesería!$I$70:$I$89)))*$C$434*$K$21,IF(AND(I$43&gt;=1,I$43&lt;=Quesería!$B$30),Quesería!$F$92/Quesería!$B$30,0)*$B$434+IF(AND(I$43&gt;=2,I$43&lt;=Quesería!$B$30+1),Quesería!$F$93/Quesería!$B$30,0)*$C$434*$K$21)*$K$11+IF(AND(I$43&gt;=6,I$43&lt;=10),$G438*$G434/5,0)+IF(AND(I$43&gt;=7,I$43&lt;=11),$H438*$H434/5,0))*I436</f>
        <v>126.531251665874</v>
      </c>
      <c r="J446" s="29" t="n">
        <f aca="false">(IF($K$19=1,(SUMPRODUCT((Quesería!$C$70:$C$89=0)*(Quesería!$J$70:$J$89&gt;0)*(J$43&gt;=1)*(J$43&lt;=Quesería!$J$70:$J$89)*(Quesería!$H$70:$H$89&gt;0)*Quesería!$F$70:$F$89*(1+Quesería!$I$70:$I$89)/(Quesería!$J$70:$J$89+(Quesería!$J$70:$J$89=0)))+SUMPRODUCT((Quesería!$C$70:$C$89=0)*(Quesería!$J$70:$J$89=0)*(J$43=0)*(Quesería!$H$70:$H$89&gt;0)*Quesería!$F$70:$F$89*(1+Quesería!$I$70:$I$89)))*$B$434+(SUMPRODUCT((Quesería!$C$70:$C$89=1)*(Quesería!$J$70:$J$89&gt;0)*(J$43&gt;=2)*(J$43&lt;=Quesería!$J$70:$J$89+1)*(Quesería!$H$70:$H$89&gt;0)*Quesería!$F$70:$F$89*(1+Quesería!$I$70:$I$89)/(Quesería!$J$70:$J$89+(Quesería!$J$70:$J$89=0)))+SUMPRODUCT((Quesería!$C$70:$C$89=1)*(Quesería!$J$70:$J$89=0)*(J$43=1)*(Quesería!$H$70:$H$89&gt;0)*Quesería!$F$70:$F$89*(1+Quesería!$I$70:$I$89)))*$C$434*$K$21,IF(AND(J$43&gt;=1,J$43&lt;=Quesería!$B$30),Quesería!$F$92/Quesería!$B$30,0)*$B$434+IF(AND(J$43&gt;=2,J$43&lt;=Quesería!$B$30+1),Quesería!$F$93/Quesería!$B$30,0)*$C$434*$K$21)*$K$11+IF(AND(J$43&gt;=6,J$43&lt;=10),$G438*$G434/5,0)+IF(AND(J$43&gt;=7,J$43&lt;=11),$H438*$H434/5,0))*J436</f>
        <v>121.66466506334</v>
      </c>
      <c r="K446" s="29" t="n">
        <f aca="false">(IF($K$19=1,(SUMPRODUCT((Quesería!$C$70:$C$89=0)*(Quesería!$J$70:$J$89&gt;0)*(K$43&gt;=1)*(K$43&lt;=Quesería!$J$70:$J$89)*(Quesería!$H$70:$H$89&gt;0)*Quesería!$F$70:$F$89*(1+Quesería!$I$70:$I$89)/(Quesería!$J$70:$J$89+(Quesería!$J$70:$J$89=0)))+SUMPRODUCT((Quesería!$C$70:$C$89=0)*(Quesería!$J$70:$J$89=0)*(K$43=0)*(Quesería!$H$70:$H$89&gt;0)*Quesería!$F$70:$F$89*(1+Quesería!$I$70:$I$89)))*$B$434+(SUMPRODUCT((Quesería!$C$70:$C$89=1)*(Quesería!$J$70:$J$89&gt;0)*(K$43&gt;=2)*(K$43&lt;=Quesería!$J$70:$J$89+1)*(Quesería!$H$70:$H$89&gt;0)*Quesería!$F$70:$F$89*(1+Quesería!$I$70:$I$89)/(Quesería!$J$70:$J$89+(Quesería!$J$70:$J$89=0)))+SUMPRODUCT((Quesería!$C$70:$C$89=1)*(Quesería!$J$70:$J$89=0)*(K$43=1)*(Quesería!$H$70:$H$89&gt;0)*Quesería!$F$70:$F$89*(1+Quesería!$I$70:$I$89)))*$C$434*$K$21,IF(AND(K$43&gt;=1,K$43&lt;=Quesería!$B$30),Quesería!$F$92/Quesería!$B$30,0)*$B$434+IF(AND(K$43&gt;=2,K$43&lt;=Quesería!$B$30+1),Quesería!$F$93/Quesería!$B$30,0)*$C$434*$K$21)*$K$11+IF(AND(K$43&gt;=6,K$43&lt;=10),$G438*$G434/5,0)+IF(AND(K$43&gt;=7,K$43&lt;=11),$H438*$H434/5,0))*K436</f>
        <v>116.985254868597</v>
      </c>
      <c r="L446" s="29" t="n">
        <f aca="false">(IF($K$19=1,(SUMPRODUCT((Quesería!$C$70:$C$89=0)*(Quesería!$J$70:$J$89&gt;0)*(L$43&gt;=1)*(L$43&lt;=Quesería!$J$70:$J$89)*(Quesería!$H$70:$H$89&gt;0)*Quesería!$F$70:$F$89*(1+Quesería!$I$70:$I$89)/(Quesería!$J$70:$J$89+(Quesería!$J$70:$J$89=0)))+SUMPRODUCT((Quesería!$C$70:$C$89=0)*(Quesería!$J$70:$J$89=0)*(L$43=0)*(Quesería!$H$70:$H$89&gt;0)*Quesería!$F$70:$F$89*(1+Quesería!$I$70:$I$89)))*$B$434+(SUMPRODUCT((Quesería!$C$70:$C$89=1)*(Quesería!$J$70:$J$89&gt;0)*(L$43&gt;=2)*(L$43&lt;=Quesería!$J$70:$J$89+1)*(Quesería!$H$70:$H$89&gt;0)*Quesería!$F$70:$F$89*(1+Quesería!$I$70:$I$89)/(Quesería!$J$70:$J$89+(Quesería!$J$70:$J$89=0)))+SUMPRODUCT((Quesería!$C$70:$C$89=1)*(Quesería!$J$70:$J$89=0)*(L$43=1)*(Quesería!$H$70:$H$89&gt;0)*Quesería!$F$70:$F$89*(1+Quesería!$I$70:$I$89)))*$C$434*$K$21,IF(AND(L$43&gt;=1,L$43&lt;=Quesería!$B$30),Quesería!$F$92/Quesería!$B$30,0)*$B$434+IF(AND(L$43&gt;=2,L$43&lt;=Quesería!$B$30+1),Quesería!$F$93/Quesería!$B$30,0)*$C$434*$K$21)*$K$11+IF(AND(L$43&gt;=6,L$43&lt;=10),$G438*$G434/5,0)+IF(AND(L$43&gt;=7,L$43&lt;=11),$H438*$H434/5,0))*L436</f>
        <v>112.485821989035</v>
      </c>
    </row>
    <row r="447" customFormat="false" ht="15" hidden="true" customHeight="false" outlineLevel="1" collapsed="false">
      <c r="A447" s="9" t="s">
        <v>416</v>
      </c>
      <c r="B447" s="58" t="n">
        <f aca="false">IF(B$43=1,MIN($K$7*Quesería!$B$56*Quesería!$F$86*$K$11*$K$21,Quesería!$B$57*Quesería!$B$58),0)</f>
        <v>0</v>
      </c>
      <c r="C447" s="58" t="n">
        <f aca="false">IF(C$43=1,MIN($K$7*Quesería!$B$56*Quesería!$F$86*$K$11*$K$21,Quesería!$B$57*Quesería!$B$58),0)</f>
        <v>20</v>
      </c>
      <c r="D447" s="58" t="n">
        <f aca="false">IF(D$43=1,MIN($K$7*Quesería!$B$56*Quesería!$F$86*$K$11*$K$21,Quesería!$B$57*Quesería!$B$58),0)</f>
        <v>0</v>
      </c>
      <c r="E447" s="58" t="n">
        <f aca="false">IF(E$43=1,MIN($K$7*Quesería!$B$56*Quesería!$F$86*$K$11*$K$21,Quesería!$B$57*Quesería!$B$58),0)</f>
        <v>0</v>
      </c>
      <c r="F447" s="58" t="n">
        <f aca="false">IF(F$43=1,MIN($K$7*Quesería!$B$56*Quesería!$F$86*$K$11*$K$21,Quesería!$B$57*Quesería!$B$58),0)</f>
        <v>0</v>
      </c>
      <c r="G447" s="58" t="n">
        <f aca="false">IF(G$43=1,MIN($K$7*Quesería!$B$56*Quesería!$F$86*$K$11*$K$21,Quesería!$B$57*Quesería!$B$58),0)</f>
        <v>0</v>
      </c>
      <c r="H447" s="58" t="n">
        <f aca="false">IF(H$43=1,MIN($K$7*Quesería!$B$56*Quesería!$F$86*$K$11*$K$21,Quesería!$B$57*Quesería!$B$58),0)</f>
        <v>0</v>
      </c>
      <c r="I447" s="58" t="n">
        <f aca="false">IF(I$43=1,MIN($K$7*Quesería!$B$56*Quesería!$F$86*$K$11*$K$21,Quesería!$B$57*Quesería!$B$58),0)</f>
        <v>0</v>
      </c>
      <c r="J447" s="58" t="n">
        <f aca="false">IF(J$43=1,MIN($K$7*Quesería!$B$56*Quesería!$F$86*$K$11*$K$21,Quesería!$B$57*Quesería!$B$58),0)</f>
        <v>0</v>
      </c>
      <c r="K447" s="58" t="n">
        <f aca="false">IF(K$43=1,MIN($K$7*Quesería!$B$56*Quesería!$F$86*$K$11*$K$21,Quesería!$B$57*Quesería!$B$58),0)</f>
        <v>0</v>
      </c>
      <c r="L447" s="58" t="n">
        <f aca="false">IF(L$43=1,MIN($K$7*Quesería!$B$56*Quesería!$F$86*$K$11*$K$21,Quesería!$B$57*Quesería!$B$58),0)</f>
        <v>0</v>
      </c>
    </row>
    <row r="448" customFormat="false" ht="15" hidden="true" customHeight="false" outlineLevel="1" collapsed="false">
      <c r="A448" s="9" t="s">
        <v>417</v>
      </c>
      <c r="B448" s="58" t="n">
        <v>0</v>
      </c>
      <c r="C448" s="58" t="n">
        <f aca="false">$K$20*Quesería!$B$60*Quesería!$F$98*$K$11*$B$434/C434/2</f>
        <v>138.12868344741</v>
      </c>
      <c r="D448" s="58" t="n">
        <f aca="false">$K$20*Quesería!$B$60*Quesería!$F$98*$K$11*$B$434/D434/2</f>
        <v>132.18055832288</v>
      </c>
      <c r="E448" s="58" t="n">
        <v>0</v>
      </c>
      <c r="F448" s="58" t="n">
        <v>0</v>
      </c>
      <c r="G448" s="58" t="n">
        <v>0</v>
      </c>
      <c r="H448" s="58" t="n">
        <v>0</v>
      </c>
      <c r="I448" s="58" t="n">
        <v>0</v>
      </c>
      <c r="J448" s="58" t="n">
        <v>0</v>
      </c>
      <c r="K448" s="58" t="n">
        <v>0</v>
      </c>
      <c r="L448" s="58" t="n">
        <v>0</v>
      </c>
    </row>
    <row r="449" customFormat="false" ht="15" hidden="true" customHeight="false" outlineLevel="1" collapsed="false">
      <c r="A449" s="9" t="s">
        <v>418</v>
      </c>
      <c r="B449" s="58" t="n">
        <f aca="false">0</f>
        <v>0</v>
      </c>
      <c r="C449" s="58" t="n">
        <f aca="false">B439*B434/C434</f>
        <v>142.014925295407</v>
      </c>
      <c r="D449" s="58" t="n">
        <f aca="false">C439*C434/D434</f>
        <v>137.903466668091</v>
      </c>
      <c r="E449" s="58" t="n">
        <f aca="false">D439*D434/E434</f>
        <v>0</v>
      </c>
      <c r="F449" s="58" t="n">
        <f aca="false">E439*E434/F434</f>
        <v>0</v>
      </c>
      <c r="G449" s="58" t="n">
        <f aca="false">F439*F434/G434</f>
        <v>0</v>
      </c>
      <c r="H449" s="58" t="n">
        <f aca="false">G439*G434/H434</f>
        <v>5.01768392412113</v>
      </c>
      <c r="I449" s="58" t="n">
        <f aca="false">H439*H434/I434</f>
        <v>8.47494190873221</v>
      </c>
      <c r="J449" s="58" t="n">
        <f aca="false">I439*I434/J434</f>
        <v>0</v>
      </c>
      <c r="K449" s="58" t="n">
        <f aca="false">J439*J434/K434</f>
        <v>0</v>
      </c>
      <c r="L449" s="58" t="n">
        <f aca="false">K439*K434/L434</f>
        <v>0</v>
      </c>
    </row>
    <row r="450" customFormat="false" ht="15" hidden="true" customHeight="false" outlineLevel="1" collapsed="false">
      <c r="A450" s="6" t="s">
        <v>295</v>
      </c>
      <c r="B450" s="29" t="n">
        <f aca="false">$K$17*(B442-B443-B444-0.5*B445-B446)-B447-B448-B449</f>
        <v>-9.59839124703308</v>
      </c>
      <c r="C450" s="29" t="n">
        <f aca="false">$K$17*(C442-C443-C444-0.5*C445-C446)-C447-C448-C449</f>
        <v>-291.787827621329</v>
      </c>
      <c r="D450" s="29" t="n">
        <f aca="false">$K$17*(D442-D443-D444-0.5*D445-D446)-D447-D448-D449</f>
        <v>-199.819511005172</v>
      </c>
      <c r="E450" s="29" t="n">
        <f aca="false">$K$17*(E442-E443-E444-0.5*E445-E446)-E447-E448-E449</f>
        <v>94.6385426025285</v>
      </c>
      <c r="F450" s="29" t="n">
        <f aca="false">$K$17*(F442-F443-F444-0.5*F445-F446)-F447-F448-F449</f>
        <v>96.7051829086528</v>
      </c>
      <c r="G450" s="29" t="n">
        <f aca="false">$K$17*(G442-G443-G444-0.5*G445-G446)-G447-G448-G449</f>
        <v>98.6741620987302</v>
      </c>
      <c r="H450" s="29" t="n">
        <f aca="false">$K$17*(H442-H443-H444-0.5*H445-H446)-H447-H448-H449</f>
        <v>98.0172069925946</v>
      </c>
      <c r="I450" s="29" t="n">
        <f aca="false">$K$17*(I442-I443-I444-0.5*I445-I446)-I447-I448-I449</f>
        <v>93.2326431489024</v>
      </c>
      <c r="J450" s="29" t="n">
        <f aca="false">$K$17*(J442-J443-J444-0.5*J445-J446)-J447-J448-J449</f>
        <v>103.521294995931</v>
      </c>
      <c r="K450" s="29" t="n">
        <f aca="false">$K$17*(K442-K443-K444-0.5*K445-K446)-K447-K448-K449</f>
        <v>105.270045214638</v>
      </c>
      <c r="L450" s="29" t="n">
        <f aca="false">$K$17*(L442-L443-L444-0.5*L445-L446)-L447-L448-L449</f>
        <v>106.956358156284</v>
      </c>
    </row>
    <row r="451" customFormat="false" ht="15" hidden="true" customHeight="false" outlineLevel="1" collapsed="false">
      <c r="A451" s="9" t="s">
        <v>419</v>
      </c>
      <c r="B451" s="58" t="n">
        <f aca="false">(IF(B$43&gt;=1,Quesería!$G$123*IF(B$43=1,Quesería!$B$20,1),Quesería!$G$123*Quesería!$B$20*Quesería!$B$21/12*$K$23)+IF(B$43&gt;=2,Quesería!$G$124*$K$21*IF(B$43=2,Quesería!$B$20,1),0))*$K$10</f>
        <v>77.4042870161869</v>
      </c>
      <c r="C451" s="58" t="n">
        <f aca="false">(IF(C$43&gt;=1,Quesería!$G$123*IF(C$43=1,Quesería!$B$20,1),Quesería!$G$123*Quesería!$B$20*Quesería!$B$21/12*$K$23)+IF(C$43&gt;=2,Quesería!$G$124*$K$21*IF(C$43=2,Quesería!$B$20,1),0))*$K$10</f>
        <v>116.10643052428</v>
      </c>
      <c r="D451" s="58" t="n">
        <f aca="false">(IF(D$43&gt;=1,Quesería!$G$123*IF(D$43=1,Quesería!$B$20,1),Quesería!$G$123*Quesería!$B$20*Quesería!$B$21/12*$K$23)+IF(D$43&gt;=2,Quesería!$G$124*$K$21*IF(D$43=2,Quesería!$B$20,1),0))*$K$10</f>
        <v>297.090260202792</v>
      </c>
      <c r="E451" s="58" t="n">
        <f aca="false">(IF(E$43&gt;=1,Quesería!$G$123*IF(E$43=1,Quesería!$B$20,1),Quesería!$G$123*Quesería!$B$20*Quesería!$B$21/12*$K$23)+IF(E$43&gt;=2,Quesería!$G$124*$K$21*IF(E$43=2,Quesería!$B$20,1),0))*$K$10</f>
        <v>344.517488926264</v>
      </c>
      <c r="F451" s="58" t="n">
        <f aca="false">(IF(F$43&gt;=1,Quesería!$G$123*IF(F$43=1,Quesería!$B$20,1),Quesería!$G$123*Quesería!$B$20*Quesería!$B$21/12*$K$23)+IF(F$43&gt;=2,Quesería!$G$124*$K$21*IF(F$43=2,Quesería!$B$20,1),0))*$K$10</f>
        <v>344.517488926264</v>
      </c>
      <c r="G451" s="58" t="n">
        <f aca="false">(IF(G$43&gt;=1,Quesería!$G$123*IF(G$43=1,Quesería!$B$20,1),Quesería!$G$123*Quesería!$B$20*Quesería!$B$21/12*$K$23)+IF(G$43&gt;=2,Quesería!$G$124*$K$21*IF(G$43=2,Quesería!$B$20,1),0))*$K$10</f>
        <v>344.517488926264</v>
      </c>
      <c r="H451" s="58" t="n">
        <f aca="false">(IF(H$43&gt;=1,Quesería!$G$123*IF(H$43=1,Quesería!$B$20,1),Quesería!$G$123*Quesería!$B$20*Quesería!$B$21/12*$K$23)+IF(H$43&gt;=2,Quesería!$G$124*$K$21*IF(H$43=2,Quesería!$B$20,1),0))*$K$10</f>
        <v>344.517488926264</v>
      </c>
      <c r="I451" s="58" t="n">
        <f aca="false">(IF(I$43&gt;=1,Quesería!$G$123*IF(I$43=1,Quesería!$B$20,1),Quesería!$G$123*Quesería!$B$20*Quesería!$B$21/12*$K$23)+IF(I$43&gt;=2,Quesería!$G$124*$K$21*IF(I$43=2,Quesería!$B$20,1),0))*$K$10</f>
        <v>344.517488926264</v>
      </c>
      <c r="J451" s="58" t="n">
        <f aca="false">(IF(J$43&gt;=1,Quesería!$G$123*IF(J$43=1,Quesería!$B$20,1),Quesería!$G$123*Quesería!$B$20*Quesería!$B$21/12*$K$23)+IF(J$43&gt;=2,Quesería!$G$124*$K$21*IF(J$43=2,Quesería!$B$20,1),0))*$K$10</f>
        <v>344.517488926264</v>
      </c>
      <c r="K451" s="58" t="n">
        <f aca="false">(IF(K$43&gt;=1,Quesería!$G$123*IF(K$43=1,Quesería!$B$20,1),Quesería!$G$123*Quesería!$B$20*Quesería!$B$21/12*$K$23)+IF(K$43&gt;=2,Quesería!$G$124*$K$21*IF(K$43=2,Quesería!$B$20,1),0))*$K$10</f>
        <v>344.517488926264</v>
      </c>
      <c r="L451" s="58" t="n">
        <f aca="false">(IF(L$43&gt;=1,Quesería!$G$123*IF(L$43=1,Quesería!$B$20,1),Quesería!$G$123*Quesería!$B$20*Quesería!$B$21/12*$K$23)+IF(L$43&gt;=2,Quesería!$G$124*$K$21*IF(L$43=2,Quesería!$B$20,1),0))*$K$10</f>
        <v>344.517488926264</v>
      </c>
    </row>
    <row r="452" customFormat="false" ht="15" hidden="true" customHeight="false" outlineLevel="1" collapsed="false">
      <c r="A452" s="6" t="s">
        <v>420</v>
      </c>
      <c r="B452" s="29" t="n">
        <f aca="false">(B451*(Quesería!$B$38+Quesería!$B$40*Quesería!$B$39)/365-B443*Quesería!$B$42/365)</f>
        <v>7.23146900616979</v>
      </c>
      <c r="C452" s="29" t="n">
        <f aca="false">(C451*(Quesería!$B$38+Quesería!$B$40*Quesería!$B$39)/365-C443*Quesería!$B$42/365)-(B451*(Quesería!$B$38+Quesería!$B$40*Quesería!$B$39)/365-B443*Quesería!$B$42/365)*B434/C434</f>
        <v>0.661714954797887</v>
      </c>
      <c r="D452" s="29" t="n">
        <f aca="false">(D451*(Quesería!$B$38+Quesería!$B$40*Quesería!$B$39)/365-D443*Quesería!$B$42/365)-(C451*(Quesería!$B$38+Quesería!$B$40*Quesería!$B$39)/365-C443*Quesería!$B$42/365)*C434/D434</f>
        <v>13.0140520665104</v>
      </c>
      <c r="E452" s="29" t="n">
        <f aca="false">(E451*(Quesería!$B$38+Quesería!$B$40*Quesería!$B$39)/365-E443*Quesería!$B$42/365)-(D451*(Quesería!$B$38+Quesería!$B$40*Quesería!$B$39)/365-D443*Quesería!$B$42/365)*D434/E434</f>
        <v>5.20924995511695</v>
      </c>
      <c r="F452" s="29" t="n">
        <f aca="false">(F451*(Quesería!$B$38+Quesería!$B$40*Quesería!$B$39)/365-F443*Quesería!$B$42/365)-(E451*(Quesería!$B$38+Quesería!$B$40*Quesería!$B$39)/365-E443*Quesería!$B$42/365)*E434/F434</f>
        <v>0.948795530800783</v>
      </c>
      <c r="G452" s="29" t="n">
        <f aca="false">(G451*(Quesería!$B$38+Quesería!$B$40*Quesería!$B$39)/365-G443*Quesería!$B$42/365)-(F451*(Quesería!$B$38+Quesería!$B$40*Quesería!$B$39)/365-F443*Quesería!$B$42/365)*F434/G434</f>
        <v>0.948795530800787</v>
      </c>
      <c r="H452" s="29" t="n">
        <f aca="false">(H451*(Quesería!$B$38+Quesería!$B$40*Quesería!$B$39)/365-H443*Quesería!$B$42/365)-(G451*(Quesería!$B$38+Quesería!$B$40*Quesería!$B$39)/365-G443*Quesería!$B$42/365)*G434/H434</f>
        <v>0.948795530800791</v>
      </c>
      <c r="I452" s="29" t="n">
        <f aca="false">(I451*(Quesería!$B$38+Quesería!$B$40*Quesería!$B$39)/365-I443*Quesería!$B$42/365)-(H451*(Quesería!$B$38+Quesería!$B$40*Quesería!$B$39)/365-H443*Quesería!$B$42/365)*H434/I434</f>
        <v>0.948795530800787</v>
      </c>
      <c r="J452" s="29" t="n">
        <f aca="false">(J451*(Quesería!$B$38+Quesería!$B$40*Quesería!$B$39)/365-J443*Quesería!$B$42/365)-(I451*(Quesería!$B$38+Quesería!$B$40*Quesería!$B$39)/365-I443*Quesería!$B$42/365)*I434/J434</f>
        <v>0.948795530800787</v>
      </c>
      <c r="K452" s="29" t="n">
        <f aca="false">(K451*(Quesería!$B$38+Quesería!$B$40*Quesería!$B$39)/365-K443*Quesería!$B$42/365)-(J451*(Quesería!$B$38+Quesería!$B$40*Quesería!$B$39)/365-J443*Quesería!$B$42/365)*J434/K434</f>
        <v>0.948795530800791</v>
      </c>
      <c r="L452" s="29" t="n">
        <f aca="false">-(K451*(Quesería!$B$38+Quesería!$B$40*Quesería!$B$39)/365-K443*Quesería!$B$42/365)*K434/L434</f>
        <v>-23.7198882700197</v>
      </c>
    </row>
    <row r="453" customFormat="false" ht="15" hidden="true" customHeight="false" outlineLevel="1" collapsed="false">
      <c r="A453" s="6" t="s">
        <v>421</v>
      </c>
      <c r="B453" s="29" t="n">
        <v>0</v>
      </c>
      <c r="C453" s="29" t="n">
        <v>0</v>
      </c>
      <c r="D453" s="29" t="n">
        <v>0</v>
      </c>
      <c r="E453" s="29" t="n">
        <v>0</v>
      </c>
      <c r="F453" s="29" t="n">
        <v>0</v>
      </c>
      <c r="G453" s="29" t="n">
        <v>0</v>
      </c>
      <c r="H453" s="29" t="n">
        <v>0</v>
      </c>
      <c r="I453" s="29" t="n">
        <v>0</v>
      </c>
      <c r="J453" s="29" t="n">
        <v>0</v>
      </c>
      <c r="K453" s="29" t="n">
        <v>0</v>
      </c>
      <c r="L453" s="29" t="n">
        <f aca="false">$K$8*Quesería!$B$36*(Quesería!$F$94+Quesería!$F$95*$K$21)*$K$11*(1-$K$17)</f>
        <v>67.1237725584543</v>
      </c>
    </row>
    <row r="454" customFormat="false" ht="15" hidden="true" customHeight="false" outlineLevel="1" collapsed="false">
      <c r="A454" s="5" t="s">
        <v>147</v>
      </c>
      <c r="B454" s="59" t="n">
        <f aca="false">B442-B443-B444-B445-B450-B437-B438-B439-B452+B453</f>
        <v>-961.151880133756</v>
      </c>
      <c r="C454" s="59" t="n">
        <f aca="false">C442-C443-C444-C445-C450-C437-C438-C439-C452+C453</f>
        <v>-507.266725143848</v>
      </c>
      <c r="D454" s="59" t="n">
        <f aca="false">D442-D443-D444-D445-D450-D437-D438-D439-D452+D453</f>
        <v>538.613419715181</v>
      </c>
      <c r="E454" s="59" t="n">
        <f aca="false">E442-E443-E444-E445-E450-E437-E438-E439-E452+E453</f>
        <v>315.78095540533</v>
      </c>
      <c r="F454" s="59" t="n">
        <f aca="false">F442-F443-F444-F445-F450-F437-F438-F439-F452+F453</f>
        <v>318.283980558957</v>
      </c>
      <c r="G454" s="59" t="n">
        <f aca="false">G442-G443-G444-G445-G450-G437-G438-G439-G452+G453</f>
        <v>283.811415475334</v>
      </c>
      <c r="H454" s="59" t="n">
        <f aca="false">H442-H443-H444-H445-H450-H437-H438-H439-H452+H453</f>
        <v>262.171116764474</v>
      </c>
      <c r="I454" s="59" t="n">
        <f aca="false">I442-I443-I444-I445-I450-I437-I438-I439-I452+I453</f>
        <v>322.693460715833</v>
      </c>
      <c r="J454" s="59" t="n">
        <f aca="false">J442-J443-J444-J445-J450-J437-J438-J439-J452+J453</f>
        <v>312.720250661403</v>
      </c>
      <c r="K454" s="59" t="n">
        <f aca="false">K442-K443-K444-K445-K450-K437-K438-K439-K452+K453</f>
        <v>311.288519444258</v>
      </c>
      <c r="L454" s="59" t="n">
        <f aca="false">L442-L443-L444-L445-L450-L437-L438-L439-L452+L453</f>
        <v>401.713266958456</v>
      </c>
    </row>
    <row r="455" customFormat="false" ht="15" hidden="true" customHeight="false" outlineLevel="1" collapsed="false">
      <c r="A455" s="9" t="s">
        <v>422</v>
      </c>
      <c r="B455" s="58" t="n">
        <f aca="false">B454*B434</f>
        <v>-1018.82099294178</v>
      </c>
      <c r="C455" s="58" t="n">
        <f aca="false">C454*C434</f>
        <v>-564.587865085103</v>
      </c>
      <c r="D455" s="58" t="n">
        <f aca="false">D454*D434</f>
        <v>626.453189269432</v>
      </c>
      <c r="E455" s="58" t="n">
        <f aca="false">E454*E434</f>
        <v>381.971296218312</v>
      </c>
      <c r="F455" s="58" t="n">
        <f aca="false">F454*F434</f>
        <v>400.398935528334</v>
      </c>
      <c r="G455" s="58" t="n">
        <f aca="false">G454*G434</f>
        <v>371.314007024322</v>
      </c>
      <c r="H455" s="58" t="n">
        <f aca="false">H454*H434</f>
        <v>356.721804293779</v>
      </c>
      <c r="I455" s="58" t="n">
        <f aca="false">I454*I434</f>
        <v>456.634074567105</v>
      </c>
      <c r="J455" s="58" t="n">
        <f aca="false">J454*J434</f>
        <v>460.222127898369</v>
      </c>
      <c r="K455" s="58" t="n">
        <f aca="false">K454*K434</f>
        <v>476.439690382089</v>
      </c>
      <c r="L455" s="58" t="n">
        <f aca="false">L454*L434</f>
        <v>639.431967066136</v>
      </c>
    </row>
    <row r="456" customFormat="false" ht="15" hidden="true" customHeight="false" outlineLevel="1" collapsed="false">
      <c r="A456" s="6" t="s">
        <v>423</v>
      </c>
      <c r="B456" s="29" t="n">
        <f aca="false">B454</f>
        <v>-961.151880133756</v>
      </c>
      <c r="C456" s="29" t="n">
        <f aca="false">B456+C454</f>
        <v>-1468.4186052776</v>
      </c>
      <c r="D456" s="29" t="n">
        <f aca="false">C456+D454</f>
        <v>-929.805185562422</v>
      </c>
      <c r="E456" s="29" t="n">
        <f aca="false">D456+E454</f>
        <v>-614.024230157093</v>
      </c>
      <c r="F456" s="29" t="n">
        <f aca="false">E456+F454</f>
        <v>-295.740249598135</v>
      </c>
      <c r="G456" s="29" t="n">
        <f aca="false">F456+G454</f>
        <v>-11.9288341228017</v>
      </c>
      <c r="H456" s="29" t="n">
        <f aca="false">G456+H454</f>
        <v>250.242282641672</v>
      </c>
      <c r="I456" s="29" t="n">
        <f aca="false">H456+I454</f>
        <v>572.935743357505</v>
      </c>
      <c r="J456" s="29" t="n">
        <f aca="false">I456+J454</f>
        <v>885.655994018909</v>
      </c>
      <c r="K456" s="29" t="n">
        <f aca="false">J456+K454</f>
        <v>1196.94451346317</v>
      </c>
      <c r="L456" s="29" t="n">
        <f aca="false">K456+L454</f>
        <v>1598.65778042162</v>
      </c>
    </row>
    <row r="457" customFormat="false" ht="15" hidden="true" customHeight="false" outlineLevel="1" collapsed="false">
      <c r="A457" s="9" t="s">
        <v>424</v>
      </c>
      <c r="B457" s="60" t="n">
        <v>0</v>
      </c>
      <c r="C457" s="60" t="n">
        <f aca="false">IF(AND(B456&lt;0,C456&gt;=0),B$43+(-B456)/C454,0)</f>
        <v>0</v>
      </c>
      <c r="D457" s="60" t="n">
        <f aca="false">IF(AND(C456&lt;0,D456&gt;=0),C$43+(-C456)/D454,0)</f>
        <v>0</v>
      </c>
      <c r="E457" s="60" t="n">
        <f aca="false">IF(AND(D456&lt;0,E456&gt;=0),D$43+(-D456)/E454,0)</f>
        <v>0</v>
      </c>
      <c r="F457" s="60" t="n">
        <f aca="false">IF(AND(E456&lt;0,F456&gt;=0),E$43+(-E456)/F454,0)</f>
        <v>0</v>
      </c>
      <c r="G457" s="60" t="n">
        <f aca="false">IF(AND(F456&lt;0,G456&gt;=0),F$43+(-F456)/G454,0)</f>
        <v>0</v>
      </c>
      <c r="H457" s="60" t="n">
        <f aca="false">IF(AND(G456&lt;0,H456&gt;=0),G$43+(-G456)/H454,0)</f>
        <v>5.04550018426903</v>
      </c>
      <c r="I457" s="60" t="n">
        <f aca="false">IF(AND(H456&lt;0,I456&gt;=0),H$43+(-H456)/I454,0)</f>
        <v>0</v>
      </c>
      <c r="J457" s="60" t="n">
        <f aca="false">IF(AND(I456&lt;0,J456&gt;=0),I$43+(-I456)/J454,0)</f>
        <v>0</v>
      </c>
      <c r="K457" s="60" t="n">
        <f aca="false">IF(AND(J456&lt;0,K456&gt;=0),J$43+(-J456)/K454,0)</f>
        <v>0</v>
      </c>
      <c r="L457" s="60" t="n">
        <f aca="false">IF(AND(K456&lt;0,L456&gt;=0),K$43+(-K456)/L454,0)</f>
        <v>0</v>
      </c>
    </row>
    <row r="458" customFormat="false" ht="15" hidden="true" customHeight="false" outlineLevel="1" collapsed="false">
      <c r="A458" s="9" t="s">
        <v>425</v>
      </c>
      <c r="B458" s="57" t="n">
        <f aca="false">(B434/$B$434)/(1+$K$25)^B$43</f>
        <v>1</v>
      </c>
      <c r="C458" s="57" t="n">
        <f aca="false">(C434/$B$434)/(1+$K$25)^C$43</f>
        <v>0.915373701313561</v>
      </c>
      <c r="D458" s="57" t="n">
        <f aca="false">(D434/$B$434)/(1+$K$25)^D$43</f>
        <v>0.833918970137172</v>
      </c>
      <c r="E458" s="57" t="n">
        <f aca="false">(E434/$B$434)/(1+$K$25)^E$43</f>
        <v>0.756077518153961</v>
      </c>
      <c r="F458" s="57" t="n">
        <f aca="false">(F434/$B$434)/(1+$K$25)^F$43</f>
        <v>0.685502109831871</v>
      </c>
      <c r="G458" s="57" t="n">
        <f aca="false">(G434/$B$434)/(1+$K$25)^G$43</f>
        <v>0.621514502549008</v>
      </c>
      <c r="H458" s="57" t="n">
        <f aca="false">(H434/$B$434)/(1+$K$25)^H$43</f>
        <v>0.563499763660072</v>
      </c>
      <c r="I458" s="57" t="n">
        <f aca="false">(I434/$B$434)/(1+$K$25)^I$43</f>
        <v>0.510900360880829</v>
      </c>
      <c r="J458" s="57" t="n">
        <f aca="false">(J434/$B$434)/(1+$K$25)^J$43</f>
        <v>0.463210804300567</v>
      </c>
      <c r="K458" s="57" t="n">
        <f aca="false">(K434/$B$434)/(1+$K$25)^K$43</f>
        <v>0.419972788531318</v>
      </c>
      <c r="L458" s="57" t="n">
        <f aca="false">(L434/$B$434)/(1+$K$25)^L$43</f>
        <v>0.380770788308996</v>
      </c>
    </row>
    <row r="459" customFormat="false" ht="15" hidden="true" customHeight="false" outlineLevel="1" collapsed="false">
      <c r="A459" s="9" t="s">
        <v>426</v>
      </c>
      <c r="B459" s="58" t="n">
        <f aca="false">B454*B458</f>
        <v>-961.151880133756</v>
      </c>
      <c r="C459" s="58" t="n">
        <f aca="false">C454*C458</f>
        <v>-464.338619748133</v>
      </c>
      <c r="D459" s="58" t="n">
        <f aca="false">D454*D458</f>
        <v>449.159948270945</v>
      </c>
      <c r="E459" s="58" t="n">
        <f aca="false">E454*E458</f>
        <v>238.754881043148</v>
      </c>
      <c r="F459" s="58" t="n">
        <f aca="false">F454*F458</f>
        <v>218.184340198852</v>
      </c>
      <c r="G459" s="58" t="n">
        <f aca="false">G454*G458</f>
        <v>176.392910706882</v>
      </c>
      <c r="H459" s="58" t="n">
        <f aca="false">H454*H458</f>
        <v>147.733362335278</v>
      </c>
      <c r="I459" s="58" t="n">
        <f aca="false">I454*I458</f>
        <v>164.864205533603</v>
      </c>
      <c r="J459" s="58" t="n">
        <f aca="false">J454*J458</f>
        <v>144.855398829944</v>
      </c>
      <c r="K459" s="58" t="n">
        <f aca="false">K454*K458</f>
        <v>130.73270754879</v>
      </c>
      <c r="L459" s="58" t="n">
        <f aca="false">L454*L458</f>
        <v>152.960677333954</v>
      </c>
    </row>
    <row r="460" customFormat="false" ht="15" hidden="true" customHeight="false" outlineLevel="1" collapsed="false">
      <c r="A460" s="9" t="s">
        <v>427</v>
      </c>
      <c r="B460" s="58" t="n">
        <f aca="false">B459</f>
        <v>-961.151880133756</v>
      </c>
      <c r="C460" s="58" t="n">
        <f aca="false">B460+C459</f>
        <v>-1425.49049988189</v>
      </c>
      <c r="D460" s="58" t="n">
        <f aca="false">C460+D459</f>
        <v>-976.330551610944</v>
      </c>
      <c r="E460" s="58" t="n">
        <f aca="false">D460+E459</f>
        <v>-737.575670567796</v>
      </c>
      <c r="F460" s="58" t="n">
        <f aca="false">E460+F459</f>
        <v>-519.391330368944</v>
      </c>
      <c r="G460" s="58" t="n">
        <f aca="false">F460+G459</f>
        <v>-342.998419662063</v>
      </c>
      <c r="H460" s="58" t="n">
        <f aca="false">G460+H459</f>
        <v>-195.265057326784</v>
      </c>
      <c r="I460" s="58" t="n">
        <f aca="false">H460+I459</f>
        <v>-30.4008517931815</v>
      </c>
      <c r="J460" s="58" t="n">
        <f aca="false">I460+J459</f>
        <v>114.454547036762</v>
      </c>
      <c r="K460" s="58" t="n">
        <f aca="false">J460+K459</f>
        <v>245.187254585553</v>
      </c>
      <c r="L460" s="58" t="n">
        <f aca="false">K460+L459</f>
        <v>398.147931919506</v>
      </c>
    </row>
    <row r="461" customFormat="false" ht="15" hidden="true" customHeight="false" outlineLevel="1" collapsed="false">
      <c r="A461" s="9" t="s">
        <v>428</v>
      </c>
      <c r="B461" s="60" t="n">
        <v>0</v>
      </c>
      <c r="C461" s="60" t="n">
        <f aca="false">IF(AND(B460&lt;0,C460&gt;=0),B$43+(-B460)/C459,0)</f>
        <v>0</v>
      </c>
      <c r="D461" s="60" t="n">
        <f aca="false">IF(AND(C460&lt;0,D460&gt;=0),C$43+(-C460)/D459,0)</f>
        <v>0</v>
      </c>
      <c r="E461" s="60" t="n">
        <f aca="false">IF(AND(D460&lt;0,E460&gt;=0),D$43+(-D460)/E459,0)</f>
        <v>0</v>
      </c>
      <c r="F461" s="60" t="n">
        <f aca="false">IF(AND(E460&lt;0,F460&gt;=0),E$43+(-E460)/F459,0)</f>
        <v>0</v>
      </c>
      <c r="G461" s="60" t="n">
        <f aca="false">IF(AND(F460&lt;0,G460&gt;=0),F$43+(-F460)/G459,0)</f>
        <v>0</v>
      </c>
      <c r="H461" s="60" t="n">
        <f aca="false">IF(AND(G460&lt;0,H460&gt;=0),G$43+(-G460)/H459,0)</f>
        <v>0</v>
      </c>
      <c r="I461" s="60" t="n">
        <f aca="false">IF(AND(H460&lt;0,I460&gt;=0),H$43+(-H460)/I459,0)</f>
        <v>0</v>
      </c>
      <c r="J461" s="60" t="n">
        <f aca="false">IF(AND(I460&lt;0,J460&gt;=0),I$43+(-I460)/J459,0)</f>
        <v>7.20987033993032</v>
      </c>
      <c r="K461" s="60" t="n">
        <f aca="false">IF(AND(J460&lt;0,K460&gt;=0),J$43+(-J460)/K459,0)</f>
        <v>0</v>
      </c>
      <c r="L461" s="60" t="n">
        <f aca="false">IF(AND(K460&lt;0,L460&gt;=0),K$43+(-K460)/L459,0)</f>
        <v>0</v>
      </c>
    </row>
    <row r="462" customFormat="false" ht="15" hidden="true" customHeight="false" outlineLevel="1" collapsed="false">
      <c r="A462" s="9" t="s">
        <v>429</v>
      </c>
      <c r="B462" s="58" t="n">
        <f aca="false">IF(B$43&lt;0,0,(Quesería!$B$44*$B$437*$B$434)*(1-MAX(0,MIN(B$43-0-Quesería!$B$47,(Quesería!$B$46-Quesería!$B$47)))/(Quesería!$B$46-Quesería!$B$47))*IF(B$43&gt;=2,1-Quesería!$B$48,1))+IF(B$43&lt;1,0,(Quesería!$B$44*$C$437*$C$434)*(1-MAX(0,MIN(B$43-1-Quesería!$B$47,(Quesería!$B$46-Quesería!$B$47)))/(Quesería!$B$46-Quesería!$B$47))*IF(B$43&gt;=2,1-Quesería!$B$48,1))</f>
        <v>641.321364968425</v>
      </c>
      <c r="C462" s="58" t="n">
        <f aca="false">IF(C$43&lt;0,0,(Quesería!$B$44*$B$437*$B$434)*(1-MAX(0,MIN(C$43-0-Quesería!$B$47,(Quesería!$B$46-Quesería!$B$47)))/(Quesería!$B$46-Quesería!$B$47))*IF(C$43&gt;=2,1-Quesería!$B$48,1))+IF(C$43&lt;1,0,(Quesería!$B$44*$C$437*$C$434)*(1-MAX(0,MIN(C$43-1-Quesería!$B$47,(Quesería!$B$46-Quesería!$B$47)))/(Quesería!$B$46-Quesería!$B$47))*IF(C$43&gt;=2,1-Quesería!$B$48,1))</f>
        <v>1190.03581125409</v>
      </c>
      <c r="D462" s="58" t="n">
        <f aca="false">IF(D$43&lt;0,0,(Quesería!$B$44*$B$437*$B$434)*(1-MAX(0,MIN(D$43-0-Quesería!$B$47,(Quesería!$B$46-Quesería!$B$47)))/(Quesería!$B$46-Quesería!$B$47))*IF(D$43&gt;=2,1-Quesería!$B$48,1))+IF(D$43&lt;1,0,(Quesería!$B$44*$C$437*$C$434)*(1-MAX(0,MIN(D$43-1-Quesería!$B$47,(Quesería!$B$46-Quesería!$B$47)))/(Quesería!$B$46-Quesería!$B$47))*IF(D$43&gt;=2,1-Quesería!$B$48,1))</f>
        <v>1083.14891709269</v>
      </c>
      <c r="E462" s="58" t="n">
        <f aca="false">IF(E$43&lt;0,0,(Quesería!$B$44*$B$437*$B$434)*(1-MAX(0,MIN(E$43-0-Quesería!$B$47,(Quesería!$B$46-Quesería!$B$47)))/(Quesería!$B$46-Quesería!$B$47))*IF(E$43&gt;=2,1-Quesería!$B$48,1))+IF(E$43&lt;1,0,(Quesería!$B$44*$C$437*$C$434)*(1-MAX(0,MIN(E$43-1-Quesería!$B$47,(Quesería!$B$46-Quesería!$B$47)))/(Quesería!$B$46-Quesería!$B$47))*IF(E$43&gt;=2,1-Quesería!$B$48,1))</f>
        <v>884.809615217005</v>
      </c>
      <c r="F462" s="58" t="n">
        <f aca="false">IF(F$43&lt;0,0,(Quesería!$B$44*$B$437*$B$434)*(1-MAX(0,MIN(F$43-0-Quesería!$B$47,(Quesería!$B$46-Quesería!$B$47)))/(Quesería!$B$46-Quesería!$B$47))*IF(F$43&gt;=2,1-Quesería!$B$48,1))+IF(F$43&lt;1,0,(Quesería!$B$44*$C$437*$C$434)*(1-MAX(0,MIN(F$43-1-Quesería!$B$47,(Quesería!$B$46-Quesería!$B$47)))/(Quesería!$B$46-Quesería!$B$47))*IF(F$43&gt;=2,1-Quesería!$B$48,1))</f>
        <v>686.470313341323</v>
      </c>
      <c r="G462" s="58" t="n">
        <f aca="false">IF(G$43&lt;0,0,(Quesería!$B$44*$B$437*$B$434)*(1-MAX(0,MIN(G$43-0-Quesería!$B$47,(Quesería!$B$46-Quesería!$B$47)))/(Quesería!$B$46-Quesería!$B$47))*IF(G$43&gt;=2,1-Quesería!$B$48,1))+IF(G$43&lt;1,0,(Quesería!$B$44*$C$437*$C$434)*(1-MAX(0,MIN(G$43-1-Quesería!$B$47,(Quesería!$B$46-Quesería!$B$47)))/(Quesería!$B$46-Quesería!$B$47))*IF(G$43&gt;=2,1-Quesería!$B$48,1))</f>
        <v>488.131011465641</v>
      </c>
      <c r="H462" s="58" t="n">
        <f aca="false">IF(H$43&lt;0,0,(Quesería!$B$44*$B$437*$B$434)*(1-MAX(0,MIN(H$43-0-Quesería!$B$47,(Quesería!$B$46-Quesería!$B$47)))/(Quesería!$B$46-Quesería!$B$47))*IF(H$43&gt;=2,1-Quesería!$B$48,1))+IF(H$43&lt;1,0,(Quesería!$B$44*$C$437*$C$434)*(1-MAX(0,MIN(H$43-1-Quesería!$B$47,(Quesería!$B$46-Quesería!$B$47)))/(Quesería!$B$46-Quesería!$B$47))*IF(H$43&gt;=2,1-Quesería!$B$48,1))</f>
        <v>289.79170958996</v>
      </c>
      <c r="I462" s="58" t="n">
        <f aca="false">IF(I$43&lt;0,0,(Quesería!$B$44*$B$437*$B$434)*(1-MAX(0,MIN(I$43-0-Quesería!$B$47,(Quesería!$B$46-Quesería!$B$47)))/(Quesería!$B$46-Quesería!$B$47))*IF(I$43&gt;=2,1-Quesería!$B$48,1))+IF(I$43&lt;1,0,(Quesería!$B$44*$C$437*$C$434)*(1-MAX(0,MIN(I$43-1-Quesería!$B$47,(Quesería!$B$46-Quesería!$B$47)))/(Quesería!$B$46-Quesería!$B$47))*IF(I$43&gt;=2,1-Quesería!$B$48,1))</f>
        <v>91.4524077142776</v>
      </c>
      <c r="J462" s="58" t="n">
        <f aca="false">IF(J$43&lt;0,0,(Quesería!$B$44*$B$437*$B$434)*(1-MAX(0,MIN(J$43-0-Quesería!$B$47,(Quesería!$B$46-Quesería!$B$47)))/(Quesería!$B$46-Quesería!$B$47))*IF(J$43&gt;=2,1-Quesería!$B$48,1))+IF(J$43&lt;1,0,(Quesería!$B$44*$C$437*$C$434)*(1-MAX(0,MIN(J$43-1-Quesería!$B$47,(Quesería!$B$46-Quesería!$B$47)))/(Quesería!$B$46-Quesería!$B$47))*IF(J$43&gt;=2,1-Quesería!$B$48,1))</f>
        <v>0</v>
      </c>
      <c r="K462" s="58" t="n">
        <f aca="false">IF(K$43&lt;0,0,(Quesería!$B$44*$B$437*$B$434)*(1-MAX(0,MIN(K$43-0-Quesería!$B$47,(Quesería!$B$46-Quesería!$B$47)))/(Quesería!$B$46-Quesería!$B$47))*IF(K$43&gt;=2,1-Quesería!$B$48,1))+IF(K$43&lt;1,0,(Quesería!$B$44*$C$437*$C$434)*(1-MAX(0,MIN(K$43-1-Quesería!$B$47,(Quesería!$B$46-Quesería!$B$47)))/(Quesería!$B$46-Quesería!$B$47))*IF(K$43&gt;=2,1-Quesería!$B$48,1))</f>
        <v>0</v>
      </c>
      <c r="L462" s="58" t="n">
        <f aca="false">IF(L$43&lt;0,0,(Quesería!$B$44*$B$437*$B$434)*(1-MAX(0,MIN(L$43-0-Quesería!$B$47,(Quesería!$B$46-Quesería!$B$47)))/(Quesería!$B$46-Quesería!$B$47))*IF(L$43&gt;=2,1-Quesería!$B$48,1))+IF(L$43&lt;1,0,(Quesería!$B$44*$C$437*$C$434)*(1-MAX(0,MIN(L$43-1-Quesería!$B$47,(Quesería!$B$46-Quesería!$B$47)))/(Quesería!$B$46-Quesería!$B$47))*IF(L$43&gt;=2,1-Quesería!$B$48,1))</f>
        <v>0</v>
      </c>
    </row>
    <row r="463" customFormat="false" ht="15" hidden="true" customHeight="false" outlineLevel="1" collapsed="false">
      <c r="A463" s="6" t="s">
        <v>430</v>
      </c>
      <c r="B463" s="29" t="n">
        <f aca="false">Quesería!$B$44*B437</f>
        <v>605.02015563059</v>
      </c>
      <c r="C463" s="29" t="n">
        <f aca="false">Quesería!$B$44*C437</f>
        <v>493.004893338424</v>
      </c>
      <c r="D463" s="29" t="n">
        <f aca="false">Quesería!$B$44*D437</f>
        <v>0</v>
      </c>
      <c r="E463" s="29" t="n">
        <f aca="false">Quesería!$B$44*E437</f>
        <v>0</v>
      </c>
      <c r="F463" s="29" t="n">
        <f aca="false">Quesería!$B$44*F437</f>
        <v>0</v>
      </c>
      <c r="G463" s="29" t="n">
        <f aca="false">Quesería!$B$44*G437</f>
        <v>0</v>
      </c>
      <c r="H463" s="29" t="n">
        <f aca="false">Quesería!$B$44*H437</f>
        <v>0</v>
      </c>
      <c r="I463" s="29" t="n">
        <f aca="false">Quesería!$B$44*I437</f>
        <v>0</v>
      </c>
      <c r="J463" s="29" t="n">
        <f aca="false">Quesería!$B$44*J437</f>
        <v>0</v>
      </c>
      <c r="K463" s="29" t="n">
        <f aca="false">Quesería!$B$44*K437</f>
        <v>0</v>
      </c>
      <c r="L463" s="29" t="n">
        <f aca="false">Quesería!$B$44*L437</f>
        <v>0</v>
      </c>
    </row>
    <row r="464" customFormat="false" ht="15" hidden="true" customHeight="false" outlineLevel="1" collapsed="false">
      <c r="A464" s="6" t="s">
        <v>431</v>
      </c>
      <c r="B464" s="29" t="n">
        <f aca="false">(IF(AND(B$43&gt;0,B$43&lt;=0+Quesería!$B$46),($K$14+$K$24)*(Quesería!$B$44*$B$437*$B$434)*(1-MAX(0,MIN((B$43-1)-0-Quesería!$B$47,(Quesería!$B$46-Quesería!$B$47)))/(Quesería!$B$46-Quesería!$B$47))*IF(B$43&gt;2,1-Quesería!$B$48,1),0)+IF(AND(B$43&gt;1,B$43&lt;=1+Quesería!$B$46),($K$14+$K$24)*(Quesería!$B$44*$C$437*$C$434)*(1-MAX(0,MIN((B$43-1)-1-Quesería!$B$47,(Quesería!$B$46-Quesería!$B$47)))/(Quesería!$B$46-Quesería!$B$47))*IF(B$43&gt;2,1-Quesería!$B$48,1),0))*B436</f>
        <v>0</v>
      </c>
      <c r="C464" s="29" t="n">
        <f aca="false">(IF(AND(C$43&gt;0,C$43&lt;=0+Quesería!$B$46),($K$14+$K$24)*(Quesería!$B$44*$B$437*$B$434)*(1-MAX(0,MIN((C$43-1)-0-Quesería!$B$47,(Quesería!$B$46-Quesería!$B$47)))/(Quesería!$B$46-Quesería!$B$47))*IF(C$43&gt;2,1-Quesería!$B$48,1),0)+IF(AND(C$43&gt;1,C$43&lt;=1+Quesería!$B$46),($K$14+$K$24)*(Quesería!$B$44*$C$437*$C$434)*(1-MAX(0,MIN((C$43-1)-1-Quesería!$B$47,(Quesería!$B$46-Quesería!$B$47)))/(Quesería!$B$46-Quesería!$B$47))*IF(C$43&gt;2,1-Quesería!$B$48,1),0))*C436</f>
        <v>81.2455637561078</v>
      </c>
      <c r="D464" s="29" t="n">
        <f aca="false">(IF(AND(D$43&gt;0,D$43&lt;=0+Quesería!$B$46),($K$14+$K$24)*(Quesería!$B$44*$B$437*$B$434)*(1-MAX(0,MIN((D$43-1)-0-Quesería!$B$47,(Quesería!$B$46-Quesería!$B$47)))/(Quesería!$B$46-Quesería!$B$47))*IF(D$43&gt;2,1-Quesería!$B$48,1),0)+IF(AND(D$43&gt;1,D$43&lt;=1+Quesería!$B$46),($K$14+$K$24)*(Quesería!$B$44*$C$437*$C$434)*(1-MAX(0,MIN((D$43-1)-1-Quesería!$B$47,(Quesería!$B$46-Quesería!$B$47)))/(Quesería!$B$46-Quesería!$B$47))*IF(D$43&gt;2,1-Quesería!$B$48,1),0))*D436</f>
        <v>144.267228437154</v>
      </c>
      <c r="E464" s="29" t="n">
        <f aca="false">(IF(AND(E$43&gt;0,E$43&lt;=0+Quesería!$B$46),($K$14+$K$24)*(Quesería!$B$44*$B$437*$B$434)*(1-MAX(0,MIN((E$43-1)-0-Quesería!$B$47,(Quesería!$B$46-Quesería!$B$47)))/(Quesería!$B$46-Quesería!$B$47))*IF(E$43&gt;2,1-Quesería!$B$48,1),0)+IF(AND(E$43&gt;1,E$43&lt;=1+Quesería!$B$46),($K$14+$K$24)*(Quesería!$B$44*$C$437*$C$434)*(1-MAX(0,MIN((E$43-1)-1-Quesería!$B$47,(Quesería!$B$46-Quesería!$B$47)))/(Quesería!$B$46-Quesería!$B$47))*IF(E$43&gt;2,1-Quesería!$B$48,1),0))*E436</f>
        <v>126.259041612202</v>
      </c>
      <c r="F464" s="29" t="n">
        <f aca="false">(IF(AND(F$43&gt;0,F$43&lt;=0+Quesería!$B$46),($K$14+$K$24)*(Quesería!$B$44*$B$437*$B$434)*(1-MAX(0,MIN((F$43-1)-0-Quesería!$B$47,(Quesería!$B$46-Quesería!$B$47)))/(Quesería!$B$46-Quesería!$B$47))*IF(F$43&gt;2,1-Quesería!$B$48,1),0)+IF(AND(F$43&gt;1,F$43&lt;=1+Quesería!$B$46),($K$14+$K$24)*(Quesería!$B$44*$C$437*$C$434)*(1-MAX(0,MIN((F$43-1)-1-Quesería!$B$47,(Quesería!$B$46-Quesería!$B$47)))/(Quesería!$B$46-Quesería!$B$47))*IF(F$43&gt;2,1-Quesería!$B$48,1),0))*F436</f>
        <v>99.1723975627135</v>
      </c>
      <c r="G464" s="29" t="n">
        <f aca="false">(IF(AND(G$43&gt;0,G$43&lt;=0+Quesería!$B$46),($K$14+$K$24)*(Quesería!$B$44*$B$437*$B$434)*(1-MAX(0,MIN((G$43-1)-0-Quesería!$B$47,(Quesería!$B$46-Quesería!$B$47)))/(Quesería!$B$46-Quesería!$B$47))*IF(G$43&gt;2,1-Quesería!$B$48,1),0)+IF(AND(G$43&gt;1,G$43&lt;=1+Quesería!$B$46),($K$14+$K$24)*(Quesería!$B$44*$C$437*$C$434)*(1-MAX(0,MIN((G$43-1)-1-Quesería!$B$47,(Quesería!$B$46-Quesería!$B$47)))/(Quesería!$B$46-Quesería!$B$47))*IF(G$43&gt;2,1-Quesería!$B$48,1),0))*G436</f>
        <v>73.9825677868365</v>
      </c>
      <c r="H464" s="29" t="n">
        <f aca="false">(IF(AND(H$43&gt;0,H$43&lt;=0+Quesería!$B$46),($K$14+$K$24)*(Quesería!$B$44*$B$437*$B$434)*(1-MAX(0,MIN((H$43-1)-0-Quesería!$B$47,(Quesería!$B$46-Quesería!$B$47)))/(Quesería!$B$46-Quesería!$B$47))*IF(H$43&gt;2,1-Quesería!$B$48,1),0)+IF(AND(H$43&gt;1,H$43&lt;=1+Quesería!$B$46),($K$14+$K$24)*(Quesería!$B$44*$C$437*$C$434)*(1-MAX(0,MIN((H$43-1)-1-Quesería!$B$47,(Quesería!$B$46-Quesería!$B$47)))/(Quesería!$B$46-Quesería!$B$47))*IF(H$43&gt;2,1-Quesería!$B$48,1),0))*H436</f>
        <v>50.583712494366</v>
      </c>
      <c r="I464" s="29" t="n">
        <f aca="false">(IF(AND(I$43&gt;0,I$43&lt;=0+Quesería!$B$46),($K$14+$K$24)*(Quesería!$B$44*$B$437*$B$434)*(1-MAX(0,MIN((I$43-1)-0-Quesería!$B$47,(Quesería!$B$46-Quesería!$B$47)))/(Quesería!$B$46-Quesería!$B$47))*IF(I$43&gt;2,1-Quesería!$B$48,1),0)+IF(AND(I$43&gt;1,I$43&lt;=1+Quesería!$B$46),($K$14+$K$24)*(Quesería!$B$44*$C$437*$C$434)*(1-MAX(0,MIN((I$43-1)-1-Quesería!$B$47,(Quesería!$B$46-Quesería!$B$47)))/(Quesería!$B$46-Quesería!$B$47))*IF(I$43&gt;2,1-Quesería!$B$48,1),0))*I436</f>
        <v>28.8753274791465</v>
      </c>
      <c r="J464" s="29" t="n">
        <f aca="false">(IF(AND(J$43&gt;0,J$43&lt;=0+Quesería!$B$46),($K$14+$K$24)*(Quesería!$B$44*$B$437*$B$434)*(1-MAX(0,MIN((J$43-1)-0-Quesería!$B$47,(Quesería!$B$46-Quesería!$B$47)))/(Quesería!$B$46-Quesería!$B$47))*IF(J$43&gt;2,1-Quesería!$B$48,1),0)+IF(AND(J$43&gt;1,J$43&lt;=1+Quesería!$B$46),($K$14+$K$24)*(Quesería!$B$44*$C$437*$C$434)*(1-MAX(0,MIN((J$43-1)-1-Quesería!$B$47,(Quesería!$B$46-Quesería!$B$47)))/(Quesería!$B$46-Quesería!$B$47))*IF(J$43&gt;2,1-Quesería!$B$48,1),0))*J436</f>
        <v>8.76199025726588</v>
      </c>
      <c r="K464" s="29" t="n">
        <f aca="false">(IF(AND(K$43&gt;0,K$43&lt;=0+Quesería!$B$46),($K$14+$K$24)*(Quesería!$B$44*$B$437*$B$434)*(1-MAX(0,MIN((K$43-1)-0-Quesería!$B$47,(Quesería!$B$46-Quesería!$B$47)))/(Quesería!$B$46-Quesería!$B$47))*IF(K$43&gt;2,1-Quesería!$B$48,1),0)+IF(AND(K$43&gt;1,K$43&lt;=1+Quesería!$B$46),($K$14+$K$24)*(Quesería!$B$44*$C$437*$C$434)*(1-MAX(0,MIN((K$43-1)-1-Quesería!$B$47,(Quesería!$B$46-Quesería!$B$47)))/(Quesería!$B$46-Quesería!$B$47))*IF(K$43&gt;2,1-Quesería!$B$48,1),0))*K436</f>
        <v>0</v>
      </c>
      <c r="L464" s="29" t="n">
        <f aca="false">(IF(AND(L$43&gt;0,L$43&lt;=0+Quesería!$B$46),($K$14+$K$24)*(Quesería!$B$44*$B$437*$B$434)*(1-MAX(0,MIN((L$43-1)-0-Quesería!$B$47,(Quesería!$B$46-Quesería!$B$47)))/(Quesería!$B$46-Quesería!$B$47))*IF(L$43&gt;2,1-Quesería!$B$48,1),0)+IF(AND(L$43&gt;1,L$43&lt;=1+Quesería!$B$46),($K$14+$K$24)*(Quesería!$B$44*$C$437*$C$434)*(1-MAX(0,MIN((L$43-1)-1-Quesería!$B$47,(Quesería!$B$46-Quesería!$B$47)))/(Quesería!$B$46-Quesería!$B$47))*IF(L$43&gt;2,1-Quesería!$B$48,1),0))*L436</f>
        <v>0</v>
      </c>
    </row>
    <row r="465" customFormat="false" ht="15" hidden="true" customHeight="false" outlineLevel="1" collapsed="false">
      <c r="A465" s="6" t="s">
        <v>432</v>
      </c>
      <c r="B465" s="29" t="n">
        <f aca="false">((IF(AND(B$43&gt;0+Quesería!$B$47,B$43&lt;=0+Quesería!$B$46),(Quesería!$B$44*$B$437*$B$434)/(Quesería!$B$46-Quesería!$B$47),0)*IF(B$43&gt;2,1-Quesería!$B$48,1)+IF(B$43=2,Quesería!$B$48*(Quesería!$B$44*$B$437*$B$434)*(1-MAX(0,MIN(2-0-Quesería!$B$47,(Quesería!$B$46-Quesería!$B$47)))/(Quesería!$B$46-Quesería!$B$47)),0))+(IF(AND(B$43&gt;1+Quesería!$B$47,B$43&lt;=1+Quesería!$B$46),(Quesería!$B$44*$C$437*$C$434)/(Quesería!$B$46-Quesería!$B$47),0)*IF(B$43&gt;2,1-Quesería!$B$48,1)+IF(B$43=2,Quesería!$B$48*(Quesería!$B$44*$C$437*$C$434)*(1-MAX(0,MIN(2-1-Quesería!$B$47,(Quesería!$B$46-Quesería!$B$47)))/(Quesería!$B$46-Quesería!$B$47)),0)))*B436</f>
        <v>0</v>
      </c>
      <c r="C465" s="29" t="n">
        <f aca="false">((IF(AND(C$43&gt;0+Quesería!$B$47,C$43&lt;=0+Quesería!$B$46),(Quesería!$B$44*$B$437*$B$434)/(Quesería!$B$46-Quesería!$B$47),0)*IF(C$43&gt;2,1-Quesería!$B$48,1)+IF(C$43=2,Quesería!$B$48*(Quesería!$B$44*$B$437*$B$434)*(1-MAX(0,MIN(2-0-Quesería!$B$47,(Quesería!$B$46-Quesería!$B$47)))/(Quesería!$B$46-Quesería!$B$47)),0))+(IF(AND(C$43&gt;1+Quesería!$B$47,C$43&lt;=1+Quesería!$B$46),(Quesería!$B$44*$C$437*$C$434)/(Quesería!$B$46-Quesería!$B$47),0)*IF(C$43&gt;2,1-Quesería!$B$48,1)+IF(C$43=2,Quesería!$B$48*(Quesería!$B$44*$C$437*$C$434)*(1-MAX(0,MIN(2-1-Quesería!$B$47,(Quesería!$B$46-Quesería!$B$47)))/(Quesería!$B$46-Quesería!$B$47)),0)))*C436</f>
        <v>0</v>
      </c>
      <c r="D465" s="29" t="n">
        <f aca="false">((IF(AND(D$43&gt;0+Quesería!$B$47,D$43&lt;=0+Quesería!$B$46),(Quesería!$B$44*$B$437*$B$434)/(Quesería!$B$46-Quesería!$B$47),0)*IF(D$43&gt;2,1-Quesería!$B$48,1)+IF(D$43=2,Quesería!$B$48*(Quesería!$B$44*$B$437*$B$434)*(1-MAX(0,MIN(2-0-Quesería!$B$47,(Quesería!$B$46-Quesería!$B$47)))/(Quesería!$B$46-Quesería!$B$47)),0))+(IF(AND(D$43&gt;1+Quesería!$B$47,D$43&lt;=1+Quesería!$B$46),(Quesería!$B$44*$C$437*$C$434)/(Quesería!$B$46-Quesería!$B$47),0)*IF(D$43&gt;2,1-Quesería!$B$48,1)+IF(D$43=2,Quesería!$B$48*(Quesería!$B$44*$C$437*$C$434)*(1-MAX(0,MIN(2-1-Quesería!$B$47,(Quesería!$B$46-Quesería!$B$47)))/(Quesería!$B$46-Quesería!$B$47)),0)))*D436</f>
        <v>91.8994692231472</v>
      </c>
      <c r="E465" s="29" t="n">
        <f aca="false">((IF(AND(E$43&gt;0+Quesería!$B$47,E$43&lt;=0+Quesería!$B$46),(Quesería!$B$44*$B$437*$B$434)/(Quesería!$B$46-Quesería!$B$47),0)*IF(E$43&gt;2,1-Quesería!$B$48,1)+IF(E$43=2,Quesería!$B$48*(Quesería!$B$44*$B$437*$B$434)*(1-MAX(0,MIN(2-0-Quesería!$B$47,(Quesería!$B$46-Quesería!$B$47)))/(Quesería!$B$46-Quesería!$B$47)),0))+(IF(AND(E$43&gt;1+Quesería!$B$47,E$43&lt;=1+Quesería!$B$46),(Quesería!$B$44*$C$437*$C$434)/(Quesería!$B$46-Quesería!$B$47),0)*IF(E$43&gt;2,1-Quesería!$B$48,1)+IF(E$43=2,Quesería!$B$48*(Quesería!$B$44*$C$437*$C$434)*(1-MAX(0,MIN(2-1-Quesería!$B$47,(Quesería!$B$46-Quesería!$B$47)))/(Quesería!$B$46-Quesería!$B$47)),0)))*E436</f>
        <v>163.969845014041</v>
      </c>
      <c r="F465" s="29" t="n">
        <f aca="false">((IF(AND(F$43&gt;0+Quesería!$B$47,F$43&lt;=0+Quesería!$B$46),(Quesería!$B$44*$B$437*$B$434)/(Quesería!$B$46-Quesería!$B$47),0)*IF(F$43&gt;2,1-Quesería!$B$48,1)+IF(F$43=2,Quesería!$B$48*(Quesería!$B$44*$B$437*$B$434)*(1-MAX(0,MIN(2-0-Quesería!$B$47,(Quesería!$B$46-Quesería!$B$47)))/(Quesería!$B$46-Quesería!$B$47)),0))+(IF(AND(F$43&gt;1+Quesería!$B$47,F$43&lt;=1+Quesería!$B$46),(Quesería!$B$44*$C$437*$C$434)/(Quesería!$B$46-Quesería!$B$47),0)*IF(F$43&gt;2,1-Quesería!$B$48,1)+IF(F$43=2,Quesería!$B$48*(Quesería!$B$44*$C$437*$C$434)*(1-MAX(0,MIN(2-1-Quesería!$B$47,(Quesería!$B$46-Quesería!$B$47)))/(Quesería!$B$46-Quesería!$B$47)),0)))*F436</f>
        <v>157.663312513501</v>
      </c>
      <c r="G465" s="29" t="n">
        <f aca="false">((IF(AND(G$43&gt;0+Quesería!$B$47,G$43&lt;=0+Quesería!$B$46),(Quesería!$B$44*$B$437*$B$434)/(Quesería!$B$46-Quesería!$B$47),0)*IF(G$43&gt;2,1-Quesería!$B$48,1)+IF(G$43=2,Quesería!$B$48*(Quesería!$B$44*$B$437*$B$434)*(1-MAX(0,MIN(2-0-Quesería!$B$47,(Quesería!$B$46-Quesería!$B$47)))/(Quesería!$B$46-Quesería!$B$47)),0))+(IF(AND(G$43&gt;1+Quesería!$B$47,G$43&lt;=1+Quesería!$B$46),(Quesería!$B$44*$C$437*$C$434)/(Quesería!$B$46-Quesería!$B$47),0)*IF(G$43&gt;2,1-Quesería!$B$48,1)+IF(G$43=2,Quesería!$B$48*(Quesería!$B$44*$C$437*$C$434)*(1-MAX(0,MIN(2-1-Quesería!$B$47,(Quesería!$B$46-Quesería!$B$47)))/(Quesería!$B$46-Quesería!$B$47)),0)))*G436</f>
        <v>151.599338955289</v>
      </c>
      <c r="H465" s="29" t="n">
        <f aca="false">((IF(AND(H$43&gt;0+Quesería!$B$47,H$43&lt;=0+Quesería!$B$46),(Quesería!$B$44*$B$437*$B$434)/(Quesería!$B$46-Quesería!$B$47),0)*IF(H$43&gt;2,1-Quesería!$B$48,1)+IF(H$43=2,Quesería!$B$48*(Quesería!$B$44*$B$437*$B$434)*(1-MAX(0,MIN(2-0-Quesería!$B$47,(Quesería!$B$46-Quesería!$B$47)))/(Quesería!$B$46-Quesería!$B$47)),0))+(IF(AND(H$43&gt;1+Quesería!$B$47,H$43&lt;=1+Quesería!$B$46),(Quesería!$B$44*$C$437*$C$434)/(Quesería!$B$46-Quesería!$B$47),0)*IF(H$43&gt;2,1-Quesería!$B$48,1)+IF(H$43=2,Quesería!$B$48*(Quesería!$B$44*$C$437*$C$434)*(1-MAX(0,MIN(2-1-Quesería!$B$47,(Quesería!$B$46-Quesería!$B$47)))/(Quesería!$B$46-Quesería!$B$47)),0)))*H436</f>
        <v>145.768595149317</v>
      </c>
      <c r="I465" s="29" t="n">
        <f aca="false">((IF(AND(I$43&gt;0+Quesería!$B$47,I$43&lt;=0+Quesería!$B$46),(Quesería!$B$44*$B$437*$B$434)/(Quesería!$B$46-Quesería!$B$47),0)*IF(I$43&gt;2,1-Quesería!$B$48,1)+IF(I$43=2,Quesería!$B$48*(Quesería!$B$44*$B$437*$B$434)*(1-MAX(0,MIN(2-0-Quesería!$B$47,(Quesería!$B$46-Quesería!$B$47)))/(Quesería!$B$46-Quesería!$B$47)),0))+(IF(AND(I$43&gt;1+Quesería!$B$47,I$43&lt;=1+Quesería!$B$46),(Quesería!$B$44*$C$437*$C$434)/(Quesería!$B$46-Quesería!$B$47),0)*IF(I$43&gt;2,1-Quesería!$B$48,1)+IF(I$43=2,Quesería!$B$48*(Quesería!$B$44*$C$437*$C$434)*(1-MAX(0,MIN(2-1-Quesería!$B$47,(Quesería!$B$46-Quesería!$B$47)))/(Quesería!$B$46-Quesería!$B$47)),0)))*I436</f>
        <v>140.162110720497</v>
      </c>
      <c r="J465" s="29" t="n">
        <f aca="false">((IF(AND(J$43&gt;0+Quesería!$B$47,J$43&lt;=0+Quesería!$B$46),(Quesería!$B$44*$B$437*$B$434)/(Quesería!$B$46-Quesería!$B$47),0)*IF(J$43&gt;2,1-Quesería!$B$48,1)+IF(J$43=2,Quesería!$B$48*(Quesería!$B$44*$B$437*$B$434)*(1-MAX(0,MIN(2-0-Quesería!$B$47,(Quesería!$B$46-Quesería!$B$47)))/(Quesería!$B$46-Quesería!$B$47)),0))+(IF(AND(J$43&gt;1+Quesería!$B$47,J$43&lt;=1+Quesería!$B$46),(Quesería!$B$44*$C$437*$C$434)/(Quesería!$B$46-Quesería!$B$47),0)*IF(J$43&gt;2,1-Quesería!$B$48,1)+IF(J$43=2,Quesería!$B$48*(Quesería!$B$44*$C$437*$C$434)*(1-MAX(0,MIN(2-1-Quesería!$B$47,(Quesería!$B$46-Quesería!$B$47)))/(Quesería!$B$46-Quesería!$B$47)),0)))*J436</f>
        <v>62.1417748742261</v>
      </c>
      <c r="K465" s="29" t="n">
        <f aca="false">((IF(AND(K$43&gt;0+Quesería!$B$47,K$43&lt;=0+Quesería!$B$46),(Quesería!$B$44*$B$437*$B$434)/(Quesería!$B$46-Quesería!$B$47),0)*IF(K$43&gt;2,1-Quesería!$B$48,1)+IF(K$43=2,Quesería!$B$48*(Quesería!$B$44*$B$437*$B$434)*(1-MAX(0,MIN(2-0-Quesería!$B$47,(Quesería!$B$46-Quesería!$B$47)))/(Quesería!$B$46-Quesería!$B$47)),0))+(IF(AND(K$43&gt;1+Quesería!$B$47,K$43&lt;=1+Quesería!$B$46),(Quesería!$B$44*$C$437*$C$434)/(Quesería!$B$46-Quesería!$B$47),0)*IF(K$43&gt;2,1-Quesería!$B$48,1)+IF(K$43=2,Quesería!$B$48*(Quesería!$B$44*$C$437*$C$434)*(1-MAX(0,MIN(2-1-Quesería!$B$47,(Quesería!$B$46-Quesería!$B$47)))/(Quesería!$B$46-Quesería!$B$47)),0)))*K436</f>
        <v>0</v>
      </c>
      <c r="L465" s="29" t="n">
        <f aca="false">((IF(AND(L$43&gt;0+Quesería!$B$47,L$43&lt;=0+Quesería!$B$46),(Quesería!$B$44*$B$437*$B$434)/(Quesería!$B$46-Quesería!$B$47),0)*IF(L$43&gt;2,1-Quesería!$B$48,1)+IF(L$43=2,Quesería!$B$48*(Quesería!$B$44*$B$437*$B$434)*(1-MAX(0,MIN(2-0-Quesería!$B$47,(Quesería!$B$46-Quesería!$B$47)))/(Quesería!$B$46-Quesería!$B$47)),0))+(IF(AND(L$43&gt;1+Quesería!$B$47,L$43&lt;=1+Quesería!$B$46),(Quesería!$B$44*$C$437*$C$434)/(Quesería!$B$46-Quesería!$B$47),0)*IF(L$43&gt;2,1-Quesería!$B$48,1)+IF(L$43=2,Quesería!$B$48*(Quesería!$B$44*$C$437*$C$434)*(1-MAX(0,MIN(2-1-Quesería!$B$47,(Quesería!$B$46-Quesería!$B$47)))/(Quesería!$B$46-Quesería!$B$47)),0)))*L436</f>
        <v>0</v>
      </c>
    </row>
    <row r="466" customFormat="false" ht="15" hidden="true" customHeight="false" outlineLevel="1" collapsed="false">
      <c r="A466" s="6" t="s">
        <v>433</v>
      </c>
      <c r="B466" s="29" t="n">
        <f aca="false">$K$13*Quesería!$B$51*(1+0.19)*B462*B436+(1-$K$13)*IF(B$43=0,Quesería!$B$50,0)</f>
        <v>4</v>
      </c>
      <c r="C466" s="29" t="n">
        <f aca="false">$K$13*Quesería!$B$51*(1+0.19)*C462*C436+(1-$K$13)*IF(C$43=0,Quesería!$B$50,0)</f>
        <v>0</v>
      </c>
      <c r="D466" s="29" t="n">
        <f aca="false">$K$13*Quesería!$B$51*(1+0.19)*D462*D436+(1-$K$13)*IF(D$43=0,Quesería!$B$50,0)</f>
        <v>0</v>
      </c>
      <c r="E466" s="29" t="n">
        <f aca="false">$K$13*Quesería!$B$51*(1+0.19)*E462*E436+(1-$K$13)*IF(E$43=0,Quesería!$B$50,0)</f>
        <v>0</v>
      </c>
      <c r="F466" s="29" t="n">
        <f aca="false">$K$13*Quesería!$B$51*(1+0.19)*F462*F436+(1-$K$13)*IF(F$43=0,Quesería!$B$50,0)</f>
        <v>0</v>
      </c>
      <c r="G466" s="29" t="n">
        <f aca="false">$K$13*Quesería!$B$51*(1+0.19)*G462*G436+(1-$K$13)*IF(G$43=0,Quesería!$B$50,0)</f>
        <v>0</v>
      </c>
      <c r="H466" s="29" t="n">
        <f aca="false">$K$13*Quesería!$B$51*(1+0.19)*H462*H436+(1-$K$13)*IF(H$43=0,Quesería!$B$50,0)</f>
        <v>0</v>
      </c>
      <c r="I466" s="29" t="n">
        <f aca="false">$K$13*Quesería!$B$51*(1+0.19)*I462*I436+(1-$K$13)*IF(I$43=0,Quesería!$B$50,0)</f>
        <v>0</v>
      </c>
      <c r="J466" s="29" t="n">
        <f aca="false">$K$13*Quesería!$B$51*(1+0.19)*J462*J436+(1-$K$13)*IF(J$43=0,Quesería!$B$50,0)</f>
        <v>0</v>
      </c>
      <c r="K466" s="29" t="n">
        <f aca="false">$K$13*Quesería!$B$51*(1+0.19)*K462*K436+(1-$K$13)*IF(K$43=0,Quesería!$B$50,0)</f>
        <v>0</v>
      </c>
      <c r="L466" s="29" t="n">
        <f aca="false">$K$13*Quesería!$B$51*(1+0.19)*L462*L436+(1-$K$13)*IF(L$43=0,Quesería!$B$50,0)</f>
        <v>0</v>
      </c>
    </row>
    <row r="467" customFormat="false" ht="15" hidden="true" customHeight="false" outlineLevel="1" collapsed="false">
      <c r="A467" s="6" t="s">
        <v>434</v>
      </c>
      <c r="B467" s="29" t="n">
        <f aca="false">Quesería!$B$52*(B464+B465+B466)</f>
        <v>0.016</v>
      </c>
      <c r="C467" s="29" t="n">
        <f aca="false">Quesería!$B$52*(C464+C465+C466)</f>
        <v>0.324982255024431</v>
      </c>
      <c r="D467" s="29" t="n">
        <f aca="false">Quesería!$B$52*(D464+D465+D466)</f>
        <v>0.944666790641204</v>
      </c>
      <c r="E467" s="29" t="n">
        <f aca="false">Quesería!$B$52*(E464+E465+E466)</f>
        <v>1.16091554650497</v>
      </c>
      <c r="F467" s="29" t="n">
        <f aca="false">Quesería!$B$52*(F464+F465+F466)</f>
        <v>1.02734284030486</v>
      </c>
      <c r="G467" s="29" t="n">
        <f aca="false">Quesería!$B$52*(G464+G465+G466)</f>
        <v>0.902327626968503</v>
      </c>
      <c r="H467" s="29" t="n">
        <f aca="false">Quesería!$B$52*(H464+H465+H466)</f>
        <v>0.78540923057473</v>
      </c>
      <c r="I467" s="29" t="n">
        <f aca="false">Quesería!$B$52*(I464+I465+I466)</f>
        <v>0.676149752798573</v>
      </c>
      <c r="J467" s="29" t="n">
        <f aca="false">Quesería!$B$52*(J464+J465+J466)</f>
        <v>0.283615060525968</v>
      </c>
      <c r="K467" s="29" t="n">
        <f aca="false">Quesería!$B$52*(K464+K465+K466)</f>
        <v>0</v>
      </c>
      <c r="L467" s="29" t="n">
        <f aca="false">Quesería!$B$52*(L464+L465+L466)</f>
        <v>0</v>
      </c>
    </row>
    <row r="468" customFormat="false" ht="15" hidden="true" customHeight="false" outlineLevel="1" collapsed="false">
      <c r="A468" s="6" t="s">
        <v>435</v>
      </c>
      <c r="B468" s="29" t="n">
        <f aca="false">$K$17*(B464+B466+0.5*B467)</f>
        <v>1.4028</v>
      </c>
      <c r="C468" s="29" t="n">
        <f aca="false">$K$17*(C464+C466+0.5*C467)</f>
        <v>28.492819209267</v>
      </c>
      <c r="D468" s="29" t="n">
        <f aca="false">$K$17*(D464+D466+0.5*D467)</f>
        <v>50.658846641366</v>
      </c>
      <c r="E468" s="29" t="n">
        <f aca="false">$K$17*(E464+E466+0.5*E467)</f>
        <v>44.393824784909</v>
      </c>
      <c r="F468" s="29" t="n">
        <f aca="false">$K$17*(F464+F466+0.5*F467)</f>
        <v>34.8901241440031</v>
      </c>
      <c r="G468" s="29" t="n">
        <f aca="false">$K$17*(G464+G466+0.5*G467)</f>
        <v>26.0518060601123</v>
      </c>
      <c r="H468" s="29" t="n">
        <f aca="false">$K$17*(H464+H466+0.5*H467)</f>
        <v>17.8417459883787</v>
      </c>
      <c r="I468" s="29" t="n">
        <f aca="false">$K$17*(I464+I466+0.5*I467)</f>
        <v>10.224690824441</v>
      </c>
      <c r="J468" s="29" t="n">
        <f aca="false">$K$17*(J464+J466+0.5*J467)</f>
        <v>3.1163292256351</v>
      </c>
      <c r="K468" s="29" t="n">
        <f aca="false">$K$17*(K464+K466+0.5*K467)</f>
        <v>0</v>
      </c>
      <c r="L468" s="29" t="n">
        <f aca="false">$K$17*(L464+L466+0.5*L467)</f>
        <v>0</v>
      </c>
    </row>
    <row r="469" customFormat="false" ht="15" hidden="true" customHeight="false" outlineLevel="1" collapsed="false">
      <c r="A469" s="5" t="s">
        <v>436</v>
      </c>
      <c r="B469" s="59" t="n">
        <f aca="false">B454+B463-B464-B465-B466-B467+B468</f>
        <v>-358.744924503166</v>
      </c>
      <c r="C469" s="59" t="n">
        <f aca="false">C454+C463-C464-C465-C466-C467+C468</f>
        <v>-67.3395586072891</v>
      </c>
      <c r="D469" s="59" t="n">
        <f aca="false">D454+D463-D464-D465-D466-D467+D468</f>
        <v>352.160901905605</v>
      </c>
      <c r="E469" s="59" t="n">
        <f aca="false">E454+E463-E464-E465-E466-E467+E468</f>
        <v>68.784978017491</v>
      </c>
      <c r="F469" s="59" t="n">
        <f aca="false">F454+F463-F464-F465-F466-F467+F468</f>
        <v>95.3110517864412</v>
      </c>
      <c r="G469" s="59" t="n">
        <f aca="false">G454+G463-G464-G465-G466-G467+G468</f>
        <v>83.3789871663517</v>
      </c>
      <c r="H469" s="59" t="n">
        <f aca="false">H454+H463-H464-H465-H466-H467+H468</f>
        <v>82.8751458785952</v>
      </c>
      <c r="I469" s="59" t="n">
        <f aca="false">I454+I463-I464-I465-I466-I467+I468</f>
        <v>163.204563587833</v>
      </c>
      <c r="J469" s="59" t="n">
        <f aca="false">J454+J463-J464-J465-J466-J467+J468</f>
        <v>244.64919969502</v>
      </c>
      <c r="K469" s="59" t="n">
        <f aca="false">K454+K463-K464-K465-K466-K467+K468</f>
        <v>311.288519444258</v>
      </c>
      <c r="L469" s="59" t="n">
        <f aca="false">L454+L463-L464-L465-L466-L467+L468</f>
        <v>401.713266958456</v>
      </c>
    </row>
    <row r="470" customFormat="false" ht="15" hidden="true" customHeight="false" outlineLevel="1" collapsed="false">
      <c r="A470" s="9" t="s">
        <v>437</v>
      </c>
      <c r="B470" s="58" t="n">
        <f aca="false">B469*B434</f>
        <v>-380.269619973356</v>
      </c>
      <c r="C470" s="58" t="n">
        <f aca="false">C469*C434</f>
        <v>-74.9489287299128</v>
      </c>
      <c r="D470" s="58" t="n">
        <f aca="false">D469*D434</f>
        <v>409.593062592881</v>
      </c>
      <c r="E470" s="58" t="n">
        <f aca="false">E469*E434</f>
        <v>83.2028872037725</v>
      </c>
      <c r="F470" s="58" t="n">
        <f aca="false">F469*F434</f>
        <v>119.900610807863</v>
      </c>
      <c r="G470" s="58" t="n">
        <f aca="false">G469*G434</f>
        <v>109.08576659792</v>
      </c>
      <c r="H470" s="58" t="n">
        <f aca="false">H469*H434</f>
        <v>112.763648161446</v>
      </c>
      <c r="I470" s="58" t="n">
        <f aca="false">I469*I434</f>
        <v>230.946002728842</v>
      </c>
      <c r="J470" s="58" t="n">
        <f aca="false">J469*J434</f>
        <v>360.043761266312</v>
      </c>
      <c r="K470" s="58" t="n">
        <f aca="false">K469*K434</f>
        <v>476.439690382089</v>
      </c>
      <c r="L470" s="58" t="n">
        <f aca="false">L469*L434</f>
        <v>639.431967066136</v>
      </c>
    </row>
    <row r="471" customFormat="false" ht="15" hidden="true" customHeight="false" outlineLevel="1" collapsed="false">
      <c r="A471" s="9" t="s">
        <v>438</v>
      </c>
      <c r="B471" s="57" t="n">
        <f aca="false">(B434/$B$434)/(1+Quesería!$B$11+$K$24)^B$43</f>
        <v>1</v>
      </c>
      <c r="C471" s="57" t="n">
        <f aca="false">(C434/$B$434)/(1+Quesería!$B$11+$K$24)^C$43</f>
        <v>0.84</v>
      </c>
      <c r="D471" s="57" t="n">
        <f aca="false">(D434/$B$434)/(1+Quesería!$B$11+$K$24)^D$43</f>
        <v>0.70224</v>
      </c>
      <c r="E471" s="57" t="n">
        <f aca="false">(E434/$B$434)/(1+Quesería!$B$11+$K$24)^E$43</f>
        <v>0.58426368</v>
      </c>
      <c r="F471" s="57" t="n">
        <f aca="false">(F434/$B$434)/(1+Quesería!$B$11+$K$24)^F$43</f>
        <v>0.48610738176</v>
      </c>
      <c r="G471" s="57" t="n">
        <f aca="false">(G434/$B$434)/(1+Quesería!$B$11+$K$24)^G$43</f>
        <v>0.40444134162432</v>
      </c>
      <c r="H471" s="57" t="n">
        <f aca="false">(H434/$B$434)/(1+Quesería!$B$11+$K$24)^H$43</f>
        <v>0.336495196231434</v>
      </c>
      <c r="I471" s="57" t="n">
        <f aca="false">(I434/$B$434)/(1+Quesería!$B$11+$K$24)^I$43</f>
        <v>0.279964003264553</v>
      </c>
      <c r="J471" s="57" t="n">
        <f aca="false">(J434/$B$434)/(1+Quesería!$B$11+$K$24)^J$43</f>
        <v>0.232930050716108</v>
      </c>
      <c r="K471" s="57" t="n">
        <f aca="false">(K434/$B$434)/(1+Quesería!$B$11+$K$24)^K$43</f>
        <v>0.193797802195802</v>
      </c>
      <c r="L471" s="57" t="n">
        <f aca="false">(L434/$B$434)/(1+Quesería!$B$11+$K$24)^L$43</f>
        <v>0.161239771426907</v>
      </c>
    </row>
    <row r="472" customFormat="false" ht="15" hidden="true" customHeight="false" outlineLevel="1" collapsed="false">
      <c r="A472" s="9" t="s">
        <v>439</v>
      </c>
      <c r="B472" s="58" t="n">
        <f aca="false">B454+B437+B439+B468</f>
        <v>120.166830858099</v>
      </c>
      <c r="C472" s="58" t="n">
        <f aca="false">C454+C437+C439+C468</f>
        <v>423.804283408072</v>
      </c>
      <c r="D472" s="58" t="n">
        <f aca="false">D454+D437+D439+D468</f>
        <v>589.272266356547</v>
      </c>
      <c r="E472" s="58" t="n">
        <f aca="false">E454+E437+E439+E468</f>
        <v>360.174780190239</v>
      </c>
      <c r="F472" s="58" t="n">
        <f aca="false">F454+F437+F439+F468</f>
        <v>353.17410470296</v>
      </c>
      <c r="G472" s="58" t="n">
        <f aca="false">G454+G437+G439+G468</f>
        <v>315.081612816532</v>
      </c>
      <c r="H472" s="58" t="n">
        <f aca="false">H454+H437+H439+H468</f>
        <v>288.826802337934</v>
      </c>
      <c r="I472" s="58" t="n">
        <f aca="false">I454+I437+I439+I468</f>
        <v>332.918151540274</v>
      </c>
      <c r="J472" s="58" t="n">
        <f aca="false">J454+J437+J439+J468</f>
        <v>315.836579887038</v>
      </c>
      <c r="K472" s="58" t="n">
        <f aca="false">K454+K437+K439+K468</f>
        <v>311.288519444258</v>
      </c>
      <c r="L472" s="58" t="n">
        <f aca="false">L454+L437+L439+L468</f>
        <v>401.713266958456</v>
      </c>
    </row>
    <row r="473" customFormat="false" ht="15" hidden="true" customHeight="false" outlineLevel="1" collapsed="false">
      <c r="A473" s="5" t="s">
        <v>149</v>
      </c>
      <c r="B473" s="12" t="str">
        <f aca="false">IF(AND(B$43&gt;=1,(B464+B465+B466)&gt;0.001),B472/(B464+B465+B466),"")</f>
        <v/>
      </c>
      <c r="C473" s="12" t="n">
        <f aca="false">IF(AND(C$43&gt;=1,(C464+C465+C466)&gt;0.001),C472/(C464+C465+C466),"")</f>
        <v>5.21633753050562</v>
      </c>
      <c r="D473" s="12" t="n">
        <f aca="false">IF(AND(D$43&gt;=1,(D464+D465+D466)&gt;0.001),D472/(D464+D465+D466),"")</f>
        <v>2.49515394081578</v>
      </c>
      <c r="E473" s="12" t="n">
        <f aca="false">IF(AND(E$43&gt;=1,(E464+E465+E466)&gt;0.001),E472/(E464+E465+E466),"")</f>
        <v>1.24100252175819</v>
      </c>
      <c r="F473" s="12" t="n">
        <f aca="false">IF(AND(F$43&gt;=1,(F464+F465+F466)&gt;0.001),F472/(F464+F465+F466),"")</f>
        <v>1.37509735152545</v>
      </c>
      <c r="G473" s="12" t="n">
        <f aca="false">IF(AND(G$43&gt;=1,(G464+G465+G466)&gt;0.001),G472/(G464+G465+G466),"")</f>
        <v>1.39675037491689</v>
      </c>
      <c r="H473" s="12" t="n">
        <f aca="false">IF(AND(H$43&gt;=1,(H464+H465+H466)&gt;0.001),H472/(H464+H465+H466),"")</f>
        <v>1.47096209769056</v>
      </c>
      <c r="I473" s="12" t="n">
        <f aca="false">IF(AND(I$43&gt;=1,(I464+I465+I466)&gt;0.001),I472/(I464+I465+I466),"")</f>
        <v>1.96949359317123</v>
      </c>
      <c r="J473" s="12" t="n">
        <f aca="false">IF(AND(J$43&gt;=1,(J464+J465+J466)&gt;0.001),J472/(J464+J465+J466),"")</f>
        <v>4.45444017396418</v>
      </c>
      <c r="K473" s="12" t="str">
        <f aca="false">IF(AND(K$43&gt;=1,(K464+K465+K466)&gt;0.001),K472/(K464+K465+K466),"")</f>
        <v/>
      </c>
      <c r="L473" s="12" t="str">
        <f aca="false">IF(AND(L$43&gt;=1,(L464+L465+L466)&gt;0.001),L472/(L464+L465+L466),"")</f>
        <v/>
      </c>
    </row>
    <row r="475" customFormat="false" ht="15" hidden="false" customHeight="false" outlineLevel="0" collapsed="false">
      <c r="A475" s="43" t="s">
        <v>1171</v>
      </c>
      <c r="B475" s="44"/>
      <c r="C475" s="44"/>
      <c r="D475" s="44"/>
      <c r="E475" s="44"/>
      <c r="F475" s="44"/>
      <c r="G475" s="44"/>
      <c r="H475" s="44"/>
      <c r="I475" s="44"/>
      <c r="J475" s="44"/>
      <c r="K475" s="44"/>
      <c r="L475" s="44"/>
    </row>
    <row r="476" customFormat="false" ht="15" hidden="true" customHeight="false" outlineLevel="1" collapsed="false">
      <c r="A476" s="9" t="s">
        <v>405</v>
      </c>
      <c r="B476" s="56" t="n">
        <f aca="false">CHOOSE($L$15,Entorno!B$7,Entorno!B$8,Entorno!B$9)</f>
        <v>0.06</v>
      </c>
      <c r="C476" s="56" t="n">
        <f aca="false">CHOOSE($L$15,Entorno!C$7,Entorno!C$8,Entorno!C$9)</f>
        <v>0.05</v>
      </c>
      <c r="D476" s="56" t="n">
        <f aca="false">CHOOSE($L$15,Entorno!D$7,Entorno!D$8,Entorno!D$9)</f>
        <v>0.045</v>
      </c>
      <c r="E476" s="56" t="n">
        <f aca="false">CHOOSE($L$15,Entorno!E$7,Entorno!E$8,Entorno!E$9)</f>
        <v>0.04</v>
      </c>
      <c r="F476" s="56" t="n">
        <f aca="false">CHOOSE($L$15,Entorno!F$7,Entorno!F$8,Entorno!F$9)</f>
        <v>0.04</v>
      </c>
      <c r="G476" s="56" t="n">
        <f aca="false">CHOOSE($L$15,Entorno!G$7,Entorno!G$8,Entorno!G$9)</f>
        <v>0.04</v>
      </c>
      <c r="H476" s="56" t="n">
        <f aca="false">CHOOSE($L$15,Entorno!H$7,Entorno!H$8,Entorno!H$9)</f>
        <v>0.04</v>
      </c>
      <c r="I476" s="56" t="n">
        <f aca="false">CHOOSE($L$15,Entorno!I$7,Entorno!I$8,Entorno!I$9)</f>
        <v>0.04</v>
      </c>
      <c r="J476" s="56" t="n">
        <f aca="false">CHOOSE($L$15,Entorno!J$7,Entorno!J$8,Entorno!J$9)</f>
        <v>0.04</v>
      </c>
      <c r="K476" s="56" t="n">
        <f aca="false">CHOOSE($L$15,Entorno!K$7,Entorno!K$8,Entorno!K$9)</f>
        <v>0.04</v>
      </c>
      <c r="L476" s="56" t="n">
        <f aca="false">CHOOSE($L$15,Entorno!L$7,Entorno!L$8,Entorno!L$9)</f>
        <v>0.04</v>
      </c>
    </row>
    <row r="477" customFormat="false" ht="15" hidden="true" customHeight="false" outlineLevel="1" collapsed="false">
      <c r="A477" s="9" t="s">
        <v>406</v>
      </c>
      <c r="B477" s="57" t="n">
        <f aca="false">1+B476</f>
        <v>1.06</v>
      </c>
      <c r="C477" s="57" t="n">
        <f aca="false">B477*(1+C476)</f>
        <v>1.113</v>
      </c>
      <c r="D477" s="57" t="n">
        <f aca="false">C477*(1+D476)</f>
        <v>1.163085</v>
      </c>
      <c r="E477" s="57" t="n">
        <f aca="false">D477*(1+E476)</f>
        <v>1.2096084</v>
      </c>
      <c r="F477" s="57" t="n">
        <f aca="false">E477*(1+F476)</f>
        <v>1.257992736</v>
      </c>
      <c r="G477" s="57" t="n">
        <f aca="false">F477*(1+G476)</f>
        <v>1.30831244544</v>
      </c>
      <c r="H477" s="57" t="n">
        <f aca="false">G477*(1+H476)</f>
        <v>1.3606449432576</v>
      </c>
      <c r="I477" s="57" t="n">
        <f aca="false">H477*(1+I476)</f>
        <v>1.4150707409879</v>
      </c>
      <c r="J477" s="57" t="n">
        <f aca="false">I477*(1+J476)</f>
        <v>1.47167357062742</v>
      </c>
      <c r="K477" s="57" t="n">
        <f aca="false">J477*(1+K476)</f>
        <v>1.53054051345252</v>
      </c>
      <c r="L477" s="57" t="n">
        <f aca="false">K477*(1+L476)</f>
        <v>1.59176213399062</v>
      </c>
    </row>
    <row r="478" customFormat="false" ht="15" hidden="true" customHeight="false" outlineLevel="1" collapsed="false">
      <c r="A478" s="9" t="s">
        <v>407</v>
      </c>
      <c r="B478" s="57" t="n">
        <f aca="false">(1+$L$16)/(1+B476)</f>
        <v>1.02358490566038</v>
      </c>
      <c r="C478" s="57" t="n">
        <f aca="false">B478*(1+Entorno!$B$13)</f>
        <v>1.02870283018868</v>
      </c>
      <c r="D478" s="57" t="n">
        <f aca="false">C478*(1+Entorno!$B$13)</f>
        <v>1.03384634433962</v>
      </c>
      <c r="E478" s="57" t="n">
        <f aca="false">D478*(1+Entorno!$B$13)</f>
        <v>1.03901557606132</v>
      </c>
      <c r="F478" s="57" t="n">
        <f aca="false">E478*(1+Entorno!$B$13)</f>
        <v>1.04421065394163</v>
      </c>
      <c r="G478" s="57" t="n">
        <f aca="false">F478*(1+Entorno!$B$13)</f>
        <v>1.04943170721133</v>
      </c>
      <c r="H478" s="57" t="n">
        <f aca="false">G478*(1+Entorno!$B$13)</f>
        <v>1.05467886574739</v>
      </c>
      <c r="I478" s="57" t="n">
        <f aca="false">H478*(1+Entorno!$B$13)</f>
        <v>1.05995226007613</v>
      </c>
      <c r="J478" s="57" t="n">
        <f aca="false">I478*(1+Entorno!$B$13)</f>
        <v>1.06525202137651</v>
      </c>
      <c r="K478" s="57" t="n">
        <f aca="false">J478*(1+Entorno!$B$13)</f>
        <v>1.07057828148339</v>
      </c>
      <c r="L478" s="57" t="n">
        <f aca="false">K478*(1+Entorno!$B$13)</f>
        <v>1.07593117289081</v>
      </c>
    </row>
    <row r="479" customFormat="false" ht="15" hidden="true" customHeight="false" outlineLevel="1" collapsed="false">
      <c r="A479" s="9" t="s">
        <v>408</v>
      </c>
      <c r="B479" s="57" t="n">
        <f aca="false">1/B477</f>
        <v>0.943396226415094</v>
      </c>
      <c r="C479" s="57" t="n">
        <f aca="false">1/C477</f>
        <v>0.898472596585804</v>
      </c>
      <c r="D479" s="57" t="n">
        <f aca="false">1/D477</f>
        <v>0.859782389077324</v>
      </c>
      <c r="E479" s="57" t="n">
        <f aca="false">1/E477</f>
        <v>0.826713835651273</v>
      </c>
      <c r="F479" s="57" t="n">
        <f aca="false">1/F477</f>
        <v>0.794917149664686</v>
      </c>
      <c r="G479" s="57" t="n">
        <f aca="false">1/G477</f>
        <v>0.764343413139121</v>
      </c>
      <c r="H479" s="57" t="n">
        <f aca="false">1/H477</f>
        <v>0.734945589556847</v>
      </c>
      <c r="I479" s="57" t="n">
        <f aca="false">1/I477</f>
        <v>0.706678451496968</v>
      </c>
      <c r="J479" s="57" t="n">
        <f aca="false">1/J477</f>
        <v>0.679498511054777</v>
      </c>
      <c r="K479" s="57" t="n">
        <f aca="false">1/K477</f>
        <v>0.653363952937286</v>
      </c>
      <c r="L479" s="57" t="n">
        <f aca="false">1/L477</f>
        <v>0.628234570132006</v>
      </c>
    </row>
    <row r="480" customFormat="false" ht="15" hidden="true" customHeight="false" outlineLevel="1" collapsed="false">
      <c r="A480" s="6" t="s">
        <v>323</v>
      </c>
      <c r="B480" s="29" t="n">
        <f aca="false">IF(B$43=0,Quesería!$F$92,IF(B$43=1,Quesería!$F$93*$L$21,0))*$L$11</f>
        <v>930.800239431677</v>
      </c>
      <c r="C480" s="29" t="n">
        <f aca="false">IF(C$43=0,Quesería!$F$92,IF(C$43=1,Quesería!$F$93*$L$21,0))*$L$11</f>
        <v>758.469066674498</v>
      </c>
      <c r="D480" s="29" t="n">
        <f aca="false">IF(D$43=0,Quesería!$F$92,IF(D$43=1,Quesería!$F$93*$L$21,0))*$L$11</f>
        <v>0</v>
      </c>
      <c r="E480" s="29" t="n">
        <f aca="false">IF(E$43=0,Quesería!$F$92,IF(E$43=1,Quesería!$F$93*$L$21,0))*$L$11</f>
        <v>0</v>
      </c>
      <c r="F480" s="29" t="n">
        <f aca="false">IF(F$43=0,Quesería!$F$92,IF(F$43=1,Quesería!$F$93*$L$21,0))*$L$11</f>
        <v>0</v>
      </c>
      <c r="G480" s="29" t="n">
        <f aca="false">IF(G$43=0,Quesería!$F$92,IF(G$43=1,Quesería!$F$93*$L$21,0))*$L$11</f>
        <v>0</v>
      </c>
      <c r="H480" s="29" t="n">
        <f aca="false">IF(H$43=0,Quesería!$F$92,IF(H$43=1,Quesería!$F$93*$L$21,0))*$L$11</f>
        <v>0</v>
      </c>
      <c r="I480" s="29" t="n">
        <f aca="false">IF(I$43=0,Quesería!$F$92,IF(I$43=1,Quesería!$F$93*$L$21,0))*$L$11</f>
        <v>0</v>
      </c>
      <c r="J480" s="29" t="n">
        <f aca="false">IF(J$43=0,Quesería!$F$92,IF(J$43=1,Quesería!$F$93*$L$21,0))*$L$11</f>
        <v>0</v>
      </c>
      <c r="K480" s="29" t="n">
        <f aca="false">IF(K$43=0,Quesería!$F$92,IF(K$43=1,Quesería!$F$93*$L$21,0))*$L$11</f>
        <v>0</v>
      </c>
      <c r="L480" s="29" t="n">
        <f aca="false">IF(L$43=0,Quesería!$F$92,IF(L$43=1,Quesería!$F$93*$L$21,0))*$L$11</f>
        <v>0</v>
      </c>
    </row>
    <row r="481" customFormat="false" ht="15" hidden="true" customHeight="false" outlineLevel="1" collapsed="false">
      <c r="A481" s="6" t="s">
        <v>409</v>
      </c>
      <c r="B481" s="29" t="n">
        <f aca="false">IF(B$43=5,Quesería!$F$99,IF(B$43=6,Quesería!$F$100,0))*$L$11</f>
        <v>0</v>
      </c>
      <c r="C481" s="29" t="n">
        <f aca="false">IF(C$43=5,Quesería!$F$99,IF(C$43=6,Quesería!$F$100,0))*$L$11</f>
        <v>0</v>
      </c>
      <c r="D481" s="29" t="n">
        <f aca="false">IF(D$43=5,Quesería!$F$99,IF(D$43=6,Quesería!$F$100,0))*$L$11</f>
        <v>0</v>
      </c>
      <c r="E481" s="29" t="n">
        <f aca="false">IF(E$43=5,Quesería!$F$99,IF(E$43=6,Quesería!$F$100,0))*$L$11</f>
        <v>0</v>
      </c>
      <c r="F481" s="29" t="n">
        <f aca="false">IF(F$43=5,Quesería!$F$99,IF(F$43=6,Quesería!$F$100,0))*$L$11</f>
        <v>0</v>
      </c>
      <c r="G481" s="29" t="n">
        <f aca="false">IF(G$43=5,Quesería!$F$99,IF(G$43=6,Quesería!$F$100,0))*$L$11</f>
        <v>27.4652172688735</v>
      </c>
      <c r="H481" s="29" t="n">
        <f aca="false">IF(H$43=5,Quesería!$F$99,IF(H$43=6,Quesería!$F$100,0))*$L$11</f>
        <v>46.3891557109552</v>
      </c>
      <c r="I481" s="29" t="n">
        <f aca="false">IF(I$43=5,Quesería!$F$99,IF(I$43=6,Quesería!$F$100,0))*$L$11</f>
        <v>0</v>
      </c>
      <c r="J481" s="29" t="n">
        <f aca="false">IF(J$43=5,Quesería!$F$99,IF(J$43=6,Quesería!$F$100,0))*$L$11</f>
        <v>0</v>
      </c>
      <c r="K481" s="29" t="n">
        <f aca="false">IF(K$43=5,Quesería!$F$99,IF(K$43=6,Quesería!$F$100,0))*$L$11</f>
        <v>0</v>
      </c>
      <c r="L481" s="29" t="n">
        <f aca="false">IF(L$43=5,Quesería!$F$99,IF(L$43=6,Quesería!$F$100,0))*$L$11</f>
        <v>0</v>
      </c>
    </row>
    <row r="482" customFormat="false" ht="15" hidden="true" customHeight="false" outlineLevel="1" collapsed="false">
      <c r="A482" s="6" t="s">
        <v>410</v>
      </c>
      <c r="B482" s="29" t="n">
        <f aca="false">Quesería!$B$55*(IF(B$43=0,SUMPRODUCT((Quesería!$C$70:$C$89=0)*(Quesería!$H$70:$H$89&gt;0)*(Quesería!$J$70:$J$89&gt;0)*Quesería!$F$70:$F$89*(1+Quesería!$I$70:$I$89)),IF(B$43=1,SUMPRODUCT((Quesería!$C$70:$C$89=1)*(Quesería!$H$70:$H$89&gt;0)*(Quesería!$J$70:$J$89&gt;0)*Quesería!$F$70:$F$89*(1+Quesería!$I$70:$I$89))*$L$21,0))*$L$11+B481)</f>
        <v>149.115671560178</v>
      </c>
      <c r="C482" s="29" t="n">
        <f aca="false">Quesería!$B$55*(IF(C$43=0,SUMPRODUCT((Quesería!$C$70:$C$89=0)*(Quesería!$H$70:$H$89&gt;0)*(Quesería!$J$70:$J$89&gt;0)*Quesería!$F$70:$F$89*(1+Quesería!$I$70:$I$89)),IF(C$43=1,SUMPRODUCT((Quesería!$C$70:$C$89=1)*(Quesería!$H$70:$H$89&gt;0)*(Quesería!$J$70:$J$89&gt;0)*Quesería!$F$70:$F$89*(1+Quesería!$I$70:$I$89))*$L$21,0))*$L$11+C481)</f>
        <v>144.109122668155</v>
      </c>
      <c r="D482" s="29" t="n">
        <f aca="false">Quesería!$B$55*(IF(D$43=0,SUMPRODUCT((Quesería!$C$70:$C$89=0)*(Quesería!$H$70:$H$89&gt;0)*(Quesería!$J$70:$J$89&gt;0)*Quesería!$F$70:$F$89*(1+Quesería!$I$70:$I$89)),IF(D$43=1,SUMPRODUCT((Quesería!$C$70:$C$89=1)*(Quesería!$H$70:$H$89&gt;0)*(Quesería!$J$70:$J$89&gt;0)*Quesería!$F$70:$F$89*(1+Quesería!$I$70:$I$89))*$L$21,0))*$L$11+D481)</f>
        <v>0</v>
      </c>
      <c r="E482" s="29" t="n">
        <f aca="false">Quesería!$B$55*(IF(E$43=0,SUMPRODUCT((Quesería!$C$70:$C$89=0)*(Quesería!$H$70:$H$89&gt;0)*(Quesería!$J$70:$J$89&gt;0)*Quesería!$F$70:$F$89*(1+Quesería!$I$70:$I$89)),IF(E$43=1,SUMPRODUCT((Quesería!$C$70:$C$89=1)*(Quesería!$H$70:$H$89&gt;0)*(Quesería!$J$70:$J$89&gt;0)*Quesería!$F$70:$F$89*(1+Quesería!$I$70:$I$89))*$L$21,0))*$L$11+E481)</f>
        <v>0</v>
      </c>
      <c r="F482" s="29" t="n">
        <f aca="false">Quesería!$B$55*(IF(F$43=0,SUMPRODUCT((Quesería!$C$70:$C$89=0)*(Quesería!$H$70:$H$89&gt;0)*(Quesería!$J$70:$J$89&gt;0)*Quesería!$F$70:$F$89*(1+Quesería!$I$70:$I$89)),IF(F$43=1,SUMPRODUCT((Quesería!$C$70:$C$89=1)*(Quesería!$H$70:$H$89&gt;0)*(Quesería!$J$70:$J$89&gt;0)*Quesería!$F$70:$F$89*(1+Quesería!$I$70:$I$89))*$L$21,0))*$L$11+F481)</f>
        <v>0</v>
      </c>
      <c r="G482" s="29" t="n">
        <f aca="false">Quesería!$B$55*(IF(G$43=0,SUMPRODUCT((Quesería!$C$70:$C$89=0)*(Quesería!$H$70:$H$89&gt;0)*(Quesería!$J$70:$J$89&gt;0)*Quesería!$F$70:$F$89*(1+Quesería!$I$70:$I$89)),IF(G$43=1,SUMPRODUCT((Quesería!$C$70:$C$89=1)*(Quesería!$H$70:$H$89&gt;0)*(Quesería!$J$70:$J$89&gt;0)*Quesería!$F$70:$F$89*(1+Quesería!$I$70:$I$89))*$L$21,0))*$L$11+G481)</f>
        <v>5.21839128108597</v>
      </c>
      <c r="H482" s="29" t="n">
        <f aca="false">Quesería!$B$55*(IF(H$43=0,SUMPRODUCT((Quesería!$C$70:$C$89=0)*(Quesería!$H$70:$H$89&gt;0)*(Quesería!$J$70:$J$89&gt;0)*Quesería!$F$70:$F$89*(1+Quesería!$I$70:$I$89)),IF(H$43=1,SUMPRODUCT((Quesería!$C$70:$C$89=1)*(Quesería!$H$70:$H$89&gt;0)*(Quesería!$J$70:$J$89&gt;0)*Quesería!$F$70:$F$89*(1+Quesería!$I$70:$I$89))*$L$21,0))*$L$11+H481)</f>
        <v>8.8139395850815</v>
      </c>
      <c r="I482" s="29" t="n">
        <f aca="false">Quesería!$B$55*(IF(I$43=0,SUMPRODUCT((Quesería!$C$70:$C$89=0)*(Quesería!$H$70:$H$89&gt;0)*(Quesería!$J$70:$J$89&gt;0)*Quesería!$F$70:$F$89*(1+Quesería!$I$70:$I$89)),IF(I$43=1,SUMPRODUCT((Quesería!$C$70:$C$89=1)*(Quesería!$H$70:$H$89&gt;0)*(Quesería!$J$70:$J$89&gt;0)*Quesería!$F$70:$F$89*(1+Quesería!$I$70:$I$89))*$L$21,0))*$L$11+I481)</f>
        <v>0</v>
      </c>
      <c r="J482" s="29" t="n">
        <f aca="false">Quesería!$B$55*(IF(J$43=0,SUMPRODUCT((Quesería!$C$70:$C$89=0)*(Quesería!$H$70:$H$89&gt;0)*(Quesería!$J$70:$J$89&gt;0)*Quesería!$F$70:$F$89*(1+Quesería!$I$70:$I$89)),IF(J$43=1,SUMPRODUCT((Quesería!$C$70:$C$89=1)*(Quesería!$H$70:$H$89&gt;0)*(Quesería!$J$70:$J$89&gt;0)*Quesería!$F$70:$F$89*(1+Quesería!$I$70:$I$89))*$L$21,0))*$L$11+J481)</f>
        <v>0</v>
      </c>
      <c r="K482" s="29" t="n">
        <f aca="false">Quesería!$B$55*(IF(K$43=0,SUMPRODUCT((Quesería!$C$70:$C$89=0)*(Quesería!$H$70:$H$89&gt;0)*(Quesería!$J$70:$J$89&gt;0)*Quesería!$F$70:$F$89*(1+Quesería!$I$70:$I$89)),IF(K$43=1,SUMPRODUCT((Quesería!$C$70:$C$89=1)*(Quesería!$H$70:$H$89&gt;0)*(Quesería!$J$70:$J$89&gt;0)*Quesería!$F$70:$F$89*(1+Quesería!$I$70:$I$89))*$L$21,0))*$L$11+K481)</f>
        <v>0</v>
      </c>
      <c r="L482" s="29" t="n">
        <f aca="false">Quesería!$B$55*(IF(L$43=0,SUMPRODUCT((Quesería!$C$70:$C$89=0)*(Quesería!$H$70:$H$89&gt;0)*(Quesería!$J$70:$J$89&gt;0)*Quesería!$F$70:$F$89*(1+Quesería!$I$70:$I$89)),IF(L$43=1,SUMPRODUCT((Quesería!$C$70:$C$89=1)*(Quesería!$H$70:$H$89&gt;0)*(Quesería!$J$70:$J$89&gt;0)*Quesería!$F$70:$F$89*(1+Quesería!$I$70:$I$89))*$L$21,0))*$L$11+L481)</f>
        <v>0</v>
      </c>
    </row>
    <row r="483" customFormat="false" ht="15" hidden="true" customHeight="false" outlineLevel="1" collapsed="false">
      <c r="A483" s="6" t="s">
        <v>385</v>
      </c>
      <c r="B483" s="29" t="n">
        <f aca="false">IF(B$43=0,($L$22*Quesería!$J$125+(1-$L$22)*Quesería!$E$121)*Quesería!$B$20*Quesería!$B$21/12*$L$23,(($L$22*Quesería!$J$125+(1-$L$22)*Quesería!$E$121)+($L$22*Quesería!$J$104+(1-$L$22)*Quesería!$E$104)*(B478-1))*IF(B$43=1,Quesería!$B$20,1))*$L$10</f>
        <v>120.716772261203</v>
      </c>
      <c r="C483" s="29" t="n">
        <f aca="false">IF(C$43=0,($L$22*Quesería!$J$125+(1-$L$22)*Quesería!$E$121)*Quesería!$B$20*Quesería!$B$21/12*$L$23,(($L$22*Quesería!$J$125+(1-$L$22)*Quesería!$E$121)+($L$22*Quesería!$J$104+(1-$L$22)*Quesería!$E$104)*(C478-1))*IF(C$43=1,Quesería!$B$20,1))*$L$10</f>
        <v>181.328317354069</v>
      </c>
      <c r="D483" s="29" t="n">
        <f aca="false">IF(D$43=0,($L$22*Quesería!$J$125+(1-$L$22)*Quesería!$E$121)*Quesería!$B$20*Quesería!$B$21/12*$L$23,(($L$22*Quesería!$J$125+(1-$L$22)*Quesería!$E$121)+($L$22*Quesería!$J$104+(1-$L$22)*Quesería!$E$104)*(D478-1))*IF(D$43=1,Quesería!$B$20,1))*$L$10</f>
        <v>241.83157753184</v>
      </c>
      <c r="E483" s="29" t="n">
        <f aca="false">IF(E$43=0,($L$22*Quesería!$J$125+(1-$L$22)*Quesería!$E$121)*Quesería!$B$20*Quesería!$B$21/12*$L$23,(($L$22*Quesería!$J$125+(1-$L$22)*Quesería!$E$121)+($L$22*Quesería!$J$104+(1-$L$22)*Quesería!$E$104)*(E478-1))*IF(E$43=1,Quesería!$B$20,1))*$L$10</f>
        <v>241.892367696887</v>
      </c>
      <c r="F483" s="29" t="n">
        <f aca="false">IF(F$43=0,($L$22*Quesería!$J$125+(1-$L$22)*Quesería!$E$121)*Quesería!$B$20*Quesería!$B$21/12*$L$23,(($L$22*Quesería!$J$125+(1-$L$22)*Quesería!$E$121)+($L$22*Quesería!$J$104+(1-$L$22)*Quesería!$E$104)*(F478-1))*IF(F$43=1,Quesería!$B$20,1))*$L$10</f>
        <v>241.95346181276</v>
      </c>
      <c r="G483" s="29" t="n">
        <f aca="false">IF(G$43=0,($L$22*Quesería!$J$125+(1-$L$22)*Quesería!$E$121)*Quesería!$B$20*Quesería!$B$21/12*$L$23,(($L$22*Quesería!$J$125+(1-$L$22)*Quesería!$E$121)+($L$22*Quesería!$J$104+(1-$L$22)*Quesería!$E$104)*(G478-1))*IF(G$43=1,Quesería!$B$20,1))*$L$10</f>
        <v>242.014861399211</v>
      </c>
      <c r="H483" s="29" t="n">
        <f aca="false">IF(H$43=0,($L$22*Quesería!$J$125+(1-$L$22)*Quesería!$E$121)*Quesería!$B$20*Quesería!$B$21/12*$L$23,(($L$22*Quesería!$J$125+(1-$L$22)*Quesería!$E$121)+($L$22*Quesería!$J$104+(1-$L$22)*Quesería!$E$104)*(H478-1))*IF(H$43=1,Quesería!$B$20,1))*$L$10</f>
        <v>242.076567983595</v>
      </c>
      <c r="I483" s="29" t="n">
        <f aca="false">IF(I$43=0,($L$22*Quesería!$J$125+(1-$L$22)*Quesería!$E$121)*Quesería!$B$20*Quesería!$B$21/12*$L$23,(($L$22*Quesería!$J$125+(1-$L$22)*Quesería!$E$121)+($L$22*Quesería!$J$104+(1-$L$22)*Quesería!$E$104)*(I478-1))*IF(I$43=1,Quesería!$B$20,1))*$L$10</f>
        <v>242.138583100901</v>
      </c>
      <c r="J483" s="29" t="n">
        <f aca="false">IF(J$43=0,($L$22*Quesería!$J$125+(1-$L$22)*Quesería!$E$121)*Quesería!$B$20*Quesería!$B$21/12*$L$23,(($L$22*Quesería!$J$125+(1-$L$22)*Quesería!$E$121)+($L$22*Quesería!$J$104+(1-$L$22)*Quesería!$E$104)*(J478-1))*IF(J$43=1,Quesería!$B$20,1))*$L$10</f>
        <v>242.200908293794</v>
      </c>
      <c r="K483" s="29" t="n">
        <f aca="false">IF(K$43=0,($L$22*Quesería!$J$125+(1-$L$22)*Quesería!$E$121)*Quesería!$B$20*Quesería!$B$21/12*$L$23,(($L$22*Quesería!$J$125+(1-$L$22)*Quesería!$E$121)+($L$22*Quesería!$J$104+(1-$L$22)*Quesería!$E$104)*(K478-1))*IF(K$43=1,Quesería!$B$20,1))*$L$10</f>
        <v>242.263545112651</v>
      </c>
      <c r="L483" s="29" t="n">
        <f aca="false">IF(L$43=0,($L$22*Quesería!$J$125+(1-$L$22)*Quesería!$E$121)*Quesería!$B$20*Quesería!$B$21/12*$L$23,(($L$22*Quesería!$J$125+(1-$L$22)*Quesería!$E$121)+($L$22*Quesería!$J$104+(1-$L$22)*Quesería!$E$104)*(L478-1))*IF(L$43=1,Quesería!$B$20,1))*$L$10</f>
        <v>242.326495115602</v>
      </c>
    </row>
    <row r="484" customFormat="false" ht="15" hidden="true" customHeight="false" outlineLevel="1" collapsed="false">
      <c r="A484" s="6" t="s">
        <v>386</v>
      </c>
      <c r="B484" s="29" t="n">
        <f aca="false">IF(B$43&lt;=1,0,((($L$22*Quesería!$J$126+(1-$L$22)*Quesería!$E$122)-($L$22*Quesería!$J$113+(1-$L$22)*Quesería!$E$113)+$L$6*($L$22*Quesería!$J$113+(1-$L$22)*Quesería!$E$113)-(1-$L$9)*(($L$22*Quesería!$J$118+(1-$L$22)*Quesería!$E$118)+($L$22*Quesería!$J$117+(1-$L$22)*Quesería!$E$117)))+($L$6*($L$22*Quesería!$J$113+(1-$L$22)*Quesería!$E$113)+$L$9*($L$22*Quesería!$J$118+(1-$L$22)*Quesería!$E$118))*(B478-1))*IF(B$43=2,Quesería!$B$20,1)+IF(B$43=2,Quesería!$B$24*$L$9*($L$22*Quesería!$J$118+(1-$L$22)*Quesería!$E$118)*B478,0))*$L$10*$L$21</f>
        <v>0</v>
      </c>
      <c r="C484" s="29" t="n">
        <f aca="false">IF(C$43&lt;=1,0,((($L$22*Quesería!$J$126+(1-$L$22)*Quesería!$E$122)-($L$22*Quesería!$J$113+(1-$L$22)*Quesería!$E$113)+$L$6*($L$22*Quesería!$J$113+(1-$L$22)*Quesería!$E$113)-(1-$L$9)*(($L$22*Quesería!$J$118+(1-$L$22)*Quesería!$E$118)+($L$22*Quesería!$J$117+(1-$L$22)*Quesería!$E$117)))+($L$6*($L$22*Quesería!$J$113+(1-$L$22)*Quesería!$E$113)+$L$9*($L$22*Quesería!$J$118+(1-$L$22)*Quesería!$E$118))*(C478-1))*IF(C$43=2,Quesería!$B$20,1)+IF(C$43=2,Quesería!$B$24*$L$9*($L$22*Quesería!$J$118+(1-$L$22)*Quesería!$E$118)*C478,0))*$L$10*$L$21</f>
        <v>0</v>
      </c>
      <c r="D484" s="29" t="n">
        <f aca="false">IF(D$43&lt;=1,0,((($L$22*Quesería!$J$126+(1-$L$22)*Quesería!$E$122)-($L$22*Quesería!$J$113+(1-$L$22)*Quesería!$E$113)+$L$6*($L$22*Quesería!$J$113+(1-$L$22)*Quesería!$E$113)-(1-$L$9)*(($L$22*Quesería!$J$118+(1-$L$22)*Quesería!$E$118)+($L$22*Quesería!$J$117+(1-$L$22)*Quesería!$E$117)))+($L$6*($L$22*Quesería!$J$113+(1-$L$22)*Quesería!$E$113)+$L$9*($L$22*Quesería!$J$118+(1-$L$22)*Quesería!$E$118))*(D478-1))*IF(D$43=2,Quesería!$B$20,1)+IF(D$43=2,Quesería!$B$24*$L$9*($L$22*Quesería!$J$118+(1-$L$22)*Quesería!$E$118)*D478,0))*$L$10*$L$21</f>
        <v>235.201505618611</v>
      </c>
      <c r="E484" s="29" t="n">
        <f aca="false">IF(E$43&lt;=1,0,((($L$22*Quesería!$J$126+(1-$L$22)*Quesería!$E$122)-($L$22*Quesería!$J$113+(1-$L$22)*Quesería!$E$113)+$L$6*($L$22*Quesería!$J$113+(1-$L$22)*Quesería!$E$113)-(1-$L$9)*(($L$22*Quesería!$J$118+(1-$L$22)*Quesería!$E$118)+($L$22*Quesería!$J$117+(1-$L$22)*Quesería!$E$117)))+($L$6*($L$22*Quesería!$J$113+(1-$L$22)*Quesería!$E$113)+$L$9*($L$22*Quesería!$J$118+(1-$L$22)*Quesería!$E$118))*(E478-1))*IF(E$43=2,Quesería!$B$20,1)+IF(E$43=2,Quesería!$B$24*$L$9*($L$22*Quesería!$J$118+(1-$L$22)*Quesería!$E$118)*E478,0))*$L$10*$L$21</f>
        <v>298.96150264002</v>
      </c>
      <c r="F484" s="29" t="n">
        <f aca="false">IF(F$43&lt;=1,0,((($L$22*Quesería!$J$126+(1-$L$22)*Quesería!$E$122)-($L$22*Quesería!$J$113+(1-$L$22)*Quesería!$E$113)+$L$6*($L$22*Quesería!$J$113+(1-$L$22)*Quesería!$E$113)-(1-$L$9)*(($L$22*Quesería!$J$118+(1-$L$22)*Quesería!$E$118)+($L$22*Quesería!$J$117+(1-$L$22)*Quesería!$E$117)))+($L$6*($L$22*Quesería!$J$113+(1-$L$22)*Quesería!$E$113)+$L$9*($L$22*Quesería!$J$118+(1-$L$22)*Quesería!$E$118))*(F478-1))*IF(F$43=2,Quesería!$B$20,1)+IF(F$43=2,Quesería!$B$24*$L$9*($L$22*Quesería!$J$118+(1-$L$22)*Quesería!$E$118)*F478,0))*$L$10*$L$21</f>
        <v>299.209619559583</v>
      </c>
      <c r="G484" s="29" t="n">
        <f aca="false">IF(G$43&lt;=1,0,((($L$22*Quesería!$J$126+(1-$L$22)*Quesería!$E$122)-($L$22*Quesería!$J$113+(1-$L$22)*Quesería!$E$113)+$L$6*($L$22*Quesería!$J$113+(1-$L$22)*Quesería!$E$113)-(1-$L$9)*(($L$22*Quesería!$J$118+(1-$L$22)*Quesería!$E$118)+($L$22*Quesería!$J$117+(1-$L$22)*Quesería!$E$117)))+($L$6*($L$22*Quesería!$J$113+(1-$L$22)*Quesería!$E$113)+$L$9*($L$22*Quesería!$J$118+(1-$L$22)*Quesería!$E$118))*(G478-1))*IF(G$43=2,Quesería!$B$20,1)+IF(G$43=2,Quesería!$B$24*$L$9*($L$22*Quesería!$J$118+(1-$L$22)*Quesería!$E$118)*G478,0))*$L$10*$L$21</f>
        <v>299.458977063744</v>
      </c>
      <c r="H484" s="29" t="n">
        <f aca="false">IF(H$43&lt;=1,0,((($L$22*Quesería!$J$126+(1-$L$22)*Quesería!$E$122)-($L$22*Quesería!$J$113+(1-$L$22)*Quesería!$E$113)+$L$6*($L$22*Quesería!$J$113+(1-$L$22)*Quesería!$E$113)-(1-$L$9)*(($L$22*Quesería!$J$118+(1-$L$22)*Quesería!$E$118)+($L$22*Quesería!$J$117+(1-$L$22)*Quesería!$E$117)))+($L$6*($L$22*Quesería!$J$113+(1-$L$22)*Quesería!$E$113)+$L$9*($L$22*Quesería!$J$118+(1-$L$22)*Quesería!$E$118))*(H478-1))*IF(H$43=2,Quesería!$B$20,1)+IF(H$43=2,Quesería!$B$24*$L$9*($L$22*Quesería!$J$118+(1-$L$22)*Quesería!$E$118)*H478,0))*$L$10*$L$21</f>
        <v>299.709581355426</v>
      </c>
      <c r="I484" s="29" t="n">
        <f aca="false">IF(I$43&lt;=1,0,((($L$22*Quesería!$J$126+(1-$L$22)*Quesería!$E$122)-($L$22*Quesería!$J$113+(1-$L$22)*Quesería!$E$113)+$L$6*($L$22*Quesería!$J$113+(1-$L$22)*Quesería!$E$113)-(1-$L$9)*(($L$22*Quesería!$J$118+(1-$L$22)*Quesería!$E$118)+($L$22*Quesería!$J$117+(1-$L$22)*Quesería!$E$117)))+($L$6*($L$22*Quesería!$J$113+(1-$L$22)*Quesería!$E$113)+$L$9*($L$22*Quesería!$J$118+(1-$L$22)*Quesería!$E$118))*(I478-1))*IF(I$43=2,Quesería!$B$20,1)+IF(I$43=2,Quesería!$B$24*$L$9*($L$22*Quesería!$J$118+(1-$L$22)*Quesería!$E$118)*I478,0))*$L$10*$L$21</f>
        <v>299.961438668567</v>
      </c>
      <c r="J484" s="29" t="n">
        <f aca="false">IF(J$43&lt;=1,0,((($L$22*Quesería!$J$126+(1-$L$22)*Quesería!$E$122)-($L$22*Quesería!$J$113+(1-$L$22)*Quesería!$E$113)+$L$6*($L$22*Quesería!$J$113+(1-$L$22)*Quesería!$E$113)-(1-$L$9)*(($L$22*Quesería!$J$118+(1-$L$22)*Quesería!$E$118)+($L$22*Quesería!$J$117+(1-$L$22)*Quesería!$E$117)))+($L$6*($L$22*Quesería!$J$113+(1-$L$22)*Quesería!$E$113)+$L$9*($L$22*Quesería!$J$118+(1-$L$22)*Quesería!$E$118))*(J478-1))*IF(J$43=2,Quesería!$B$20,1)+IF(J$43=2,Quesería!$B$24*$L$9*($L$22*Quesería!$J$118+(1-$L$22)*Quesería!$E$118)*J478,0))*$L$10*$L$21</f>
        <v>300.214555268273</v>
      </c>
      <c r="K484" s="29" t="n">
        <f aca="false">IF(K$43&lt;=1,0,((($L$22*Quesería!$J$126+(1-$L$22)*Quesería!$E$122)-($L$22*Quesería!$J$113+(1-$L$22)*Quesería!$E$113)+$L$6*($L$22*Quesería!$J$113+(1-$L$22)*Quesería!$E$113)-(1-$L$9)*(($L$22*Quesería!$J$118+(1-$L$22)*Quesería!$E$118)+($L$22*Quesería!$J$117+(1-$L$22)*Quesería!$E$117)))+($L$6*($L$22*Quesería!$J$113+(1-$L$22)*Quesería!$E$113)+$L$9*($L$22*Quesería!$J$118+(1-$L$22)*Quesería!$E$118))*(K478-1))*IF(K$43=2,Quesería!$B$20,1)+IF(K$43=2,Quesería!$B$24*$L$9*($L$22*Quesería!$J$118+(1-$L$22)*Quesería!$E$118)*K478,0))*$L$10*$L$21</f>
        <v>300.468937450978</v>
      </c>
      <c r="L484" s="29" t="n">
        <f aca="false">IF(L$43&lt;=1,0,((($L$22*Quesería!$J$126+(1-$L$22)*Quesería!$E$122)-($L$22*Quesería!$J$113+(1-$L$22)*Quesería!$E$113)+$L$6*($L$22*Quesería!$J$113+(1-$L$22)*Quesería!$E$113)-(1-$L$9)*(($L$22*Quesería!$J$118+(1-$L$22)*Quesería!$E$118)+($L$22*Quesería!$J$117+(1-$L$22)*Quesería!$E$117)))+($L$6*($L$22*Quesería!$J$113+(1-$L$22)*Quesería!$E$113)+$L$9*($L$22*Quesería!$J$118+(1-$L$22)*Quesería!$E$118))*(L478-1))*IF(L$43=2,Quesería!$B$20,1)+IF(L$43=2,Quesería!$B$24*$L$9*($L$22*Quesería!$J$118+(1-$L$22)*Quesería!$E$118)*L478,0))*$L$10*$L$21</f>
        <v>300.724591544596</v>
      </c>
    </row>
    <row r="485" customFormat="false" ht="15" hidden="true" customHeight="false" outlineLevel="1" collapsed="false">
      <c r="A485" s="5" t="s">
        <v>411</v>
      </c>
      <c r="B485" s="10" t="n">
        <f aca="false">B483+B484</f>
        <v>120.716772261203</v>
      </c>
      <c r="C485" s="10" t="n">
        <f aca="false">C483+C484</f>
        <v>181.328317354069</v>
      </c>
      <c r="D485" s="10" t="n">
        <f aca="false">D483+D484</f>
        <v>477.033083150451</v>
      </c>
      <c r="E485" s="10" t="n">
        <f aca="false">E483+E484</f>
        <v>540.853870336907</v>
      </c>
      <c r="F485" s="10" t="n">
        <f aca="false">F483+F484</f>
        <v>541.163081372343</v>
      </c>
      <c r="G485" s="10" t="n">
        <f aca="false">G483+G484</f>
        <v>541.473838462956</v>
      </c>
      <c r="H485" s="10" t="n">
        <f aca="false">H483+H484</f>
        <v>541.786149339022</v>
      </c>
      <c r="I485" s="10" t="n">
        <f aca="false">I483+I484</f>
        <v>542.100021769468</v>
      </c>
      <c r="J485" s="10" t="n">
        <f aca="false">J483+J484</f>
        <v>542.415463562067</v>
      </c>
      <c r="K485" s="10" t="n">
        <f aca="false">K483+K484</f>
        <v>542.732482563628</v>
      </c>
      <c r="L485" s="10" t="n">
        <f aca="false">L483+L484</f>
        <v>543.051086660198</v>
      </c>
    </row>
    <row r="486" customFormat="false" ht="15" hidden="true" customHeight="false" outlineLevel="1" collapsed="false">
      <c r="A486" s="6" t="s">
        <v>412</v>
      </c>
      <c r="B486" s="29" t="n">
        <f aca="false">(IF(B$43&gt;=1,(Quesería!$B$31+Quesería!$B$33)*Quesería!$F$94*$L$11+Quesería!$B$32+'Beneficios y costos'!$B$211,0)+IF(B$43&gt;=2,((Quesería!$B$31+Quesería!$B$33)*Quesería!$F$95*$L$11+'Beneficios y costos'!$C$211)*$L$21,0))*$L$12</f>
        <v>0</v>
      </c>
      <c r="C486" s="29" t="n">
        <f aca="false">(IF(C$43&gt;=1,(Quesería!$B$31+Quesería!$B$33)*Quesería!$F$94*$L$11+Quesería!$B$32+'Beneficios y costos'!$B$211,0)+IF(C$43&gt;=2,((Quesería!$B$31+Quesería!$B$33)*Quesería!$F$95*$L$11+'Beneficios y costos'!$C$211)*$L$21,0))*$L$12</f>
        <v>29.4662541082423</v>
      </c>
      <c r="D486" s="29" t="n">
        <f aca="false">(IF(D$43&gt;=1,(Quesería!$B$31+Quesería!$B$33)*Quesería!$F$94*$L$11+Quesería!$B$32+'Beneficios y costos'!$B$211,0)+IF(D$43&gt;=2,((Quesería!$B$31+Quesería!$B$33)*Quesería!$F$95*$L$11+'Beneficios y costos'!$C$211)*$L$21,0))*$L$12</f>
        <v>67.1602709636471</v>
      </c>
      <c r="E486" s="29" t="n">
        <f aca="false">(IF(E$43&gt;=1,(Quesería!$B$31+Quesería!$B$33)*Quesería!$F$94*$L$11+Quesería!$B$32+'Beneficios y costos'!$B$211,0)+IF(E$43&gt;=2,((Quesería!$B$31+Quesería!$B$33)*Quesería!$F$95*$L$11+'Beneficios y costos'!$C$211)*$L$21,0))*$L$12</f>
        <v>67.1602709636471</v>
      </c>
      <c r="F486" s="29" t="n">
        <f aca="false">(IF(F$43&gt;=1,(Quesería!$B$31+Quesería!$B$33)*Quesería!$F$94*$L$11+Quesería!$B$32+'Beneficios y costos'!$B$211,0)+IF(F$43&gt;=2,((Quesería!$B$31+Quesería!$B$33)*Quesería!$F$95*$L$11+'Beneficios y costos'!$C$211)*$L$21,0))*$L$12</f>
        <v>67.1602709636471</v>
      </c>
      <c r="G486" s="29" t="n">
        <f aca="false">(IF(G$43&gt;=1,(Quesería!$B$31+Quesería!$B$33)*Quesería!$F$94*$L$11+Quesería!$B$32+'Beneficios y costos'!$B$211,0)+IF(G$43&gt;=2,((Quesería!$B$31+Quesería!$B$33)*Quesería!$F$95*$L$11+'Beneficios y costos'!$C$211)*$L$21,0))*$L$12</f>
        <v>67.1602709636471</v>
      </c>
      <c r="H486" s="29" t="n">
        <f aca="false">(IF(H$43&gt;=1,(Quesería!$B$31+Quesería!$B$33)*Quesería!$F$94*$L$11+Quesería!$B$32+'Beneficios y costos'!$B$211,0)+IF(H$43&gt;=2,((Quesería!$B$31+Quesería!$B$33)*Quesería!$F$95*$L$11+'Beneficios y costos'!$C$211)*$L$21,0))*$L$12</f>
        <v>67.1602709636471</v>
      </c>
      <c r="I486" s="29" t="n">
        <f aca="false">(IF(I$43&gt;=1,(Quesería!$B$31+Quesería!$B$33)*Quesería!$F$94*$L$11+Quesería!$B$32+'Beneficios y costos'!$B$211,0)+IF(I$43&gt;=2,((Quesería!$B$31+Quesería!$B$33)*Quesería!$F$95*$L$11+'Beneficios y costos'!$C$211)*$L$21,0))*$L$12</f>
        <v>67.1602709636471</v>
      </c>
      <c r="J486" s="29" t="n">
        <f aca="false">(IF(J$43&gt;=1,(Quesería!$B$31+Quesería!$B$33)*Quesería!$F$94*$L$11+Quesería!$B$32+'Beneficios y costos'!$B$211,0)+IF(J$43&gt;=2,((Quesería!$B$31+Quesería!$B$33)*Quesería!$F$95*$L$11+'Beneficios y costos'!$C$211)*$L$21,0))*$L$12</f>
        <v>67.1602709636471</v>
      </c>
      <c r="K486" s="29" t="n">
        <f aca="false">(IF(K$43&gt;=1,(Quesería!$B$31+Quesería!$B$33)*Quesería!$F$94*$L$11+Quesería!$B$32+'Beneficios y costos'!$B$211,0)+IF(K$43&gt;=2,((Quesería!$B$31+Quesería!$B$33)*Quesería!$F$95*$L$11+'Beneficios y costos'!$C$211)*$L$21,0))*$L$12</f>
        <v>67.1602709636471</v>
      </c>
      <c r="L486" s="29" t="n">
        <f aca="false">(IF(L$43&gt;=1,(Quesería!$B$31+Quesería!$B$33)*Quesería!$F$94*$L$11+Quesería!$B$32+'Beneficios y costos'!$B$211,0)+IF(L$43&gt;=2,((Quesería!$B$31+Quesería!$B$33)*Quesería!$F$95*$L$11+'Beneficios y costos'!$C$211)*$L$21,0))*$L$12</f>
        <v>67.1602709636471</v>
      </c>
    </row>
    <row r="487" customFormat="false" ht="15" hidden="true" customHeight="false" outlineLevel="1" collapsed="false">
      <c r="A487" s="6" t="s">
        <v>413</v>
      </c>
      <c r="B487" s="29" t="n">
        <f aca="false">IF(B$43=1,2*Quesería!$B$22*Quesería!$B$23/12*B478,0)*$L$21</f>
        <v>0</v>
      </c>
      <c r="C487" s="29" t="n">
        <f aca="false">IF(C$43=1,2*Quesería!$B$22*Quesería!$B$23/12*C478,0)*$L$21</f>
        <v>18.5166509433962</v>
      </c>
      <c r="D487" s="29" t="n">
        <f aca="false">IF(D$43=1,2*Quesería!$B$22*Quesería!$B$23/12*D478,0)*$L$21</f>
        <v>0</v>
      </c>
      <c r="E487" s="29" t="n">
        <f aca="false">IF(E$43=1,2*Quesería!$B$22*Quesería!$B$23/12*E478,0)*$L$21</f>
        <v>0</v>
      </c>
      <c r="F487" s="29" t="n">
        <f aca="false">IF(F$43=1,2*Quesería!$B$22*Quesería!$B$23/12*F478,0)*$L$21</f>
        <v>0</v>
      </c>
      <c r="G487" s="29" t="n">
        <f aca="false">IF(G$43=1,2*Quesería!$B$22*Quesería!$B$23/12*G478,0)*$L$21</f>
        <v>0</v>
      </c>
      <c r="H487" s="29" t="n">
        <f aca="false">IF(H$43=1,2*Quesería!$B$22*Quesería!$B$23/12*H478,0)*$L$21</f>
        <v>0</v>
      </c>
      <c r="I487" s="29" t="n">
        <f aca="false">IF(I$43=1,2*Quesería!$B$22*Quesería!$B$23/12*I478,0)*$L$21</f>
        <v>0</v>
      </c>
      <c r="J487" s="29" t="n">
        <f aca="false">IF(J$43=1,2*Quesería!$B$22*Quesería!$B$23/12*J478,0)*$L$21</f>
        <v>0</v>
      </c>
      <c r="K487" s="29" t="n">
        <f aca="false">IF(K$43=1,2*Quesería!$B$22*Quesería!$B$23/12*K478,0)*$L$21</f>
        <v>0</v>
      </c>
      <c r="L487" s="29" t="n">
        <f aca="false">IF(L$43=1,2*Quesería!$B$22*Quesería!$B$23/12*L478,0)*$L$21</f>
        <v>0</v>
      </c>
    </row>
    <row r="488" customFormat="false" ht="15" hidden="true" customHeight="false" outlineLevel="1" collapsed="false">
      <c r="A488" s="6" t="s">
        <v>414</v>
      </c>
      <c r="B488" s="29" t="n">
        <f aca="false">Quesería!$B$52*(B480+B481+B482+B486+B487)</f>
        <v>4.31966364396742</v>
      </c>
      <c r="C488" s="29" t="n">
        <f aca="false">Quesería!$B$52*(C480+C481+C482+C486+C487)</f>
        <v>3.80224437757717</v>
      </c>
      <c r="D488" s="29" t="n">
        <f aca="false">Quesería!$B$52*(D480+D481+D482+D486+D487)</f>
        <v>0.268641083854588</v>
      </c>
      <c r="E488" s="29" t="n">
        <f aca="false">Quesería!$B$52*(E480+E481+E482+E486+E487)</f>
        <v>0.268641083854588</v>
      </c>
      <c r="F488" s="29" t="n">
        <f aca="false">Quesería!$B$52*(F480+F481+F482+F486+F487)</f>
        <v>0.268641083854588</v>
      </c>
      <c r="G488" s="29" t="n">
        <f aca="false">Quesería!$B$52*(G480+G481+G482+G486+G487)</f>
        <v>0.399375518054426</v>
      </c>
      <c r="H488" s="29" t="n">
        <f aca="false">Quesería!$B$52*(H480+H481+H482+H486+H487)</f>
        <v>0.489453465038735</v>
      </c>
      <c r="I488" s="29" t="n">
        <f aca="false">Quesería!$B$52*(I480+I481+I482+I486+I487)</f>
        <v>0.268641083854588</v>
      </c>
      <c r="J488" s="29" t="n">
        <f aca="false">Quesería!$B$52*(J480+J481+J482+J486+J487)</f>
        <v>0.268641083854588</v>
      </c>
      <c r="K488" s="29" t="n">
        <f aca="false">Quesería!$B$52*(K480+K481+K482+K486+K487)</f>
        <v>0.268641083854588</v>
      </c>
      <c r="L488" s="29" t="n">
        <f aca="false">Quesería!$B$52*(L480+L481+L482+L486+L487)</f>
        <v>0.268641083854588</v>
      </c>
    </row>
    <row r="489" customFormat="false" ht="15" hidden="true" customHeight="false" outlineLevel="1" collapsed="false">
      <c r="A489" s="6" t="s">
        <v>415</v>
      </c>
      <c r="B489" s="29" t="n">
        <f aca="false">(IF($L$19=1,(SUMPRODUCT((Quesería!$C$70:$C$89=0)*(Quesería!$J$70:$J$89&gt;0)*(B$43&gt;=1)*(B$43&lt;=Quesería!$J$70:$J$89)*(Quesería!$H$70:$H$89&gt;0)*Quesería!$F$70:$F$89*(1+Quesería!$I$70:$I$89)/(Quesería!$J$70:$J$89+(Quesería!$J$70:$J$89=0)))+SUMPRODUCT((Quesería!$C$70:$C$89=0)*(Quesería!$J$70:$J$89=0)*(B$43=0)*(Quesería!$H$70:$H$89&gt;0)*Quesería!$F$70:$F$89*(1+Quesería!$I$70:$I$89)))*$B$477+(SUMPRODUCT((Quesería!$C$70:$C$89=1)*(Quesería!$J$70:$J$89&gt;0)*(B$43&gt;=2)*(B$43&lt;=Quesería!$J$70:$J$89+1)*(Quesería!$H$70:$H$89&gt;0)*Quesería!$F$70:$F$89*(1+Quesería!$I$70:$I$89)/(Quesería!$J$70:$J$89+(Quesería!$J$70:$J$89=0)))+SUMPRODUCT((Quesería!$C$70:$C$89=1)*(Quesería!$J$70:$J$89=0)*(B$43=1)*(Quesería!$H$70:$H$89&gt;0)*Quesería!$F$70:$F$89*(1+Quesería!$I$70:$I$89)))*$C$477*$L$21,IF(AND(B$43&gt;=1,B$43&lt;=Quesería!$B$30),Quesería!$F$92/Quesería!$B$30,0)*$B$477+IF(AND(B$43&gt;=2,B$43&lt;=Quesería!$B$30+1),Quesería!$F$93/Quesería!$B$30,0)*$C$477*$L$21)*$L$11+IF(AND(B$43&gt;=6,B$43&lt;=10),$G481*$G477/5,0)+IF(AND(B$43&gt;=7,B$43&lt;=11),$H481*$H477/5,0))*B479</f>
        <v>145.980915430742</v>
      </c>
      <c r="C489" s="29" t="n">
        <f aca="false">(IF($L$19=1,(SUMPRODUCT((Quesería!$C$70:$C$89=0)*(Quesería!$J$70:$J$89&gt;0)*(C$43&gt;=1)*(C$43&lt;=Quesería!$J$70:$J$89)*(Quesería!$H$70:$H$89&gt;0)*Quesería!$F$70:$F$89*(1+Quesería!$I$70:$I$89)/(Quesería!$J$70:$J$89+(Quesería!$J$70:$J$89=0)))+SUMPRODUCT((Quesería!$C$70:$C$89=0)*(Quesería!$J$70:$J$89=0)*(C$43=0)*(Quesería!$H$70:$H$89&gt;0)*Quesería!$F$70:$F$89*(1+Quesería!$I$70:$I$89)))*$B$477+(SUMPRODUCT((Quesería!$C$70:$C$89=1)*(Quesería!$J$70:$J$89&gt;0)*(C$43&gt;=2)*(C$43&lt;=Quesería!$J$70:$J$89+1)*(Quesería!$H$70:$H$89&gt;0)*Quesería!$F$70:$F$89*(1+Quesería!$I$70:$I$89)/(Quesería!$J$70:$J$89+(Quesería!$J$70:$J$89=0)))+SUMPRODUCT((Quesería!$C$70:$C$89=1)*(Quesería!$J$70:$J$89=0)*(C$43=1)*(Quesería!$H$70:$H$89&gt;0)*Quesería!$F$70:$F$89*(1+Quesería!$I$70:$I$89)))*$C$477*$L$21,IF(AND(C$43&gt;=1,C$43&lt;=Quesería!$B$30),Quesería!$F$92/Quesería!$B$30,0)*$B$477+IF(AND(C$43&gt;=2,C$43&lt;=Quesería!$B$30+1),Quesería!$F$93/Quesería!$B$30,0)*$C$477*$L$21)*$L$11+IF(AND(C$43&gt;=6,C$43&lt;=10),$G481*$G477/5,0)+IF(AND(C$43&gt;=7,C$43&lt;=11),$H481*$H477/5,0))*C479</f>
        <v>82.2633269524265</v>
      </c>
      <c r="D489" s="29" t="n">
        <f aca="false">(IF($L$19=1,(SUMPRODUCT((Quesería!$C$70:$C$89=0)*(Quesería!$J$70:$J$89&gt;0)*(D$43&gt;=1)*(D$43&lt;=Quesería!$J$70:$J$89)*(Quesería!$H$70:$H$89&gt;0)*Quesería!$F$70:$F$89*(1+Quesería!$I$70:$I$89)/(Quesería!$J$70:$J$89+(Quesería!$J$70:$J$89=0)))+SUMPRODUCT((Quesería!$C$70:$C$89=0)*(Quesería!$J$70:$J$89=0)*(D$43=0)*(Quesería!$H$70:$H$89&gt;0)*Quesería!$F$70:$F$89*(1+Quesería!$I$70:$I$89)))*$B$477+(SUMPRODUCT((Quesería!$C$70:$C$89=1)*(Quesería!$J$70:$J$89&gt;0)*(D$43&gt;=2)*(D$43&lt;=Quesería!$J$70:$J$89+1)*(Quesería!$H$70:$H$89&gt;0)*Quesería!$F$70:$F$89*(1+Quesería!$I$70:$I$89)/(Quesería!$J$70:$J$89+(Quesería!$J$70:$J$89=0)))+SUMPRODUCT((Quesería!$C$70:$C$89=1)*(Quesería!$J$70:$J$89=0)*(D$43=1)*(Quesería!$H$70:$H$89&gt;0)*Quesería!$F$70:$F$89*(1+Quesería!$I$70:$I$89)))*$C$477*$L$21,IF(AND(D$43&gt;=1,D$43&lt;=Quesería!$B$30),Quesería!$F$92/Quesería!$B$30,0)*$B$477+IF(AND(D$43&gt;=2,D$43&lt;=Quesería!$B$30+1),Quesería!$F$93/Quesería!$B$30,0)*$C$477*$L$21)*$L$11+IF(AND(D$43&gt;=6,D$43&lt;=10),$G481*$G477/5,0)+IF(AND(D$43&gt;=7,D$43&lt;=11),$H481*$H477/5,0))*D479</f>
        <v>151.301658966389</v>
      </c>
      <c r="E489" s="29" t="n">
        <f aca="false">(IF($L$19=1,(SUMPRODUCT((Quesería!$C$70:$C$89=0)*(Quesería!$J$70:$J$89&gt;0)*(E$43&gt;=1)*(E$43&lt;=Quesería!$J$70:$J$89)*(Quesería!$H$70:$H$89&gt;0)*Quesería!$F$70:$F$89*(1+Quesería!$I$70:$I$89)/(Quesería!$J$70:$J$89+(Quesería!$J$70:$J$89=0)))+SUMPRODUCT((Quesería!$C$70:$C$89=0)*(Quesería!$J$70:$J$89=0)*(E$43=0)*(Quesería!$H$70:$H$89&gt;0)*Quesería!$F$70:$F$89*(1+Quesería!$I$70:$I$89)))*$B$477+(SUMPRODUCT((Quesería!$C$70:$C$89=1)*(Quesería!$J$70:$J$89&gt;0)*(E$43&gt;=2)*(E$43&lt;=Quesería!$J$70:$J$89+1)*(Quesería!$H$70:$H$89&gt;0)*Quesería!$F$70:$F$89*(1+Quesería!$I$70:$I$89)/(Quesería!$J$70:$J$89+(Quesería!$J$70:$J$89=0)))+SUMPRODUCT((Quesería!$C$70:$C$89=1)*(Quesería!$J$70:$J$89=0)*(E$43=1)*(Quesería!$H$70:$H$89&gt;0)*Quesería!$F$70:$F$89*(1+Quesería!$I$70:$I$89)))*$C$477*$L$21,IF(AND(E$43&gt;=1,E$43&lt;=Quesería!$B$30),Quesería!$F$92/Quesería!$B$30,0)*$B$477+IF(AND(E$43&gt;=2,E$43&lt;=Quesería!$B$30+1),Quesería!$F$93/Quesería!$B$30,0)*$C$477*$L$21)*$L$11+IF(AND(E$43&gt;=6,E$43&lt;=10),$G481*$G477/5,0)+IF(AND(E$43&gt;=7,E$43&lt;=11),$H481*$H477/5,0))*E479</f>
        <v>145.482364390759</v>
      </c>
      <c r="F489" s="29" t="n">
        <f aca="false">(IF($L$19=1,(SUMPRODUCT((Quesería!$C$70:$C$89=0)*(Quesería!$J$70:$J$89&gt;0)*(F$43&gt;=1)*(F$43&lt;=Quesería!$J$70:$J$89)*(Quesería!$H$70:$H$89&gt;0)*Quesería!$F$70:$F$89*(1+Quesería!$I$70:$I$89)/(Quesería!$J$70:$J$89+(Quesería!$J$70:$J$89=0)))+SUMPRODUCT((Quesería!$C$70:$C$89=0)*(Quesería!$J$70:$J$89=0)*(F$43=0)*(Quesería!$H$70:$H$89&gt;0)*Quesería!$F$70:$F$89*(1+Quesería!$I$70:$I$89)))*$B$477+(SUMPRODUCT((Quesería!$C$70:$C$89=1)*(Quesería!$J$70:$J$89&gt;0)*(F$43&gt;=2)*(F$43&lt;=Quesería!$J$70:$J$89+1)*(Quesería!$H$70:$H$89&gt;0)*Quesería!$F$70:$F$89*(1+Quesería!$I$70:$I$89)/(Quesería!$J$70:$J$89+(Quesería!$J$70:$J$89=0)))+SUMPRODUCT((Quesería!$C$70:$C$89=1)*(Quesería!$J$70:$J$89=0)*(F$43=1)*(Quesería!$H$70:$H$89&gt;0)*Quesería!$F$70:$F$89*(1+Quesería!$I$70:$I$89)))*$C$477*$L$21,IF(AND(F$43&gt;=1,F$43&lt;=Quesería!$B$30),Quesería!$F$92/Quesería!$B$30,0)*$B$477+IF(AND(F$43&gt;=2,F$43&lt;=Quesería!$B$30+1),Quesería!$F$93/Quesería!$B$30,0)*$C$477*$L$21)*$L$11+IF(AND(F$43&gt;=6,F$43&lt;=10),$G481*$G477/5,0)+IF(AND(F$43&gt;=7,F$43&lt;=11),$H481*$H477/5,0))*F479</f>
        <v>139.886888837268</v>
      </c>
      <c r="G489" s="29" t="n">
        <f aca="false">(IF($L$19=1,(SUMPRODUCT((Quesería!$C$70:$C$89=0)*(Quesería!$J$70:$J$89&gt;0)*(G$43&gt;=1)*(G$43&lt;=Quesería!$J$70:$J$89)*(Quesería!$H$70:$H$89&gt;0)*Quesería!$F$70:$F$89*(1+Quesería!$I$70:$I$89)/(Quesería!$J$70:$J$89+(Quesería!$J$70:$J$89=0)))+SUMPRODUCT((Quesería!$C$70:$C$89=0)*(Quesería!$J$70:$J$89=0)*(G$43=0)*(Quesería!$H$70:$H$89&gt;0)*Quesería!$F$70:$F$89*(1+Quesería!$I$70:$I$89)))*$B$477+(SUMPRODUCT((Quesería!$C$70:$C$89=1)*(Quesería!$J$70:$J$89&gt;0)*(G$43&gt;=2)*(G$43&lt;=Quesería!$J$70:$J$89+1)*(Quesería!$H$70:$H$89&gt;0)*Quesería!$F$70:$F$89*(1+Quesería!$I$70:$I$89)/(Quesería!$J$70:$J$89+(Quesería!$J$70:$J$89=0)))+SUMPRODUCT((Quesería!$C$70:$C$89=1)*(Quesería!$J$70:$J$89=0)*(G$43=1)*(Quesería!$H$70:$H$89&gt;0)*Quesería!$F$70:$F$89*(1+Quesería!$I$70:$I$89)))*$C$477*$L$21,IF(AND(G$43&gt;=1,G$43&lt;=Quesería!$B$30),Quesería!$F$92/Quesería!$B$30,0)*$B$477+IF(AND(G$43&gt;=2,G$43&lt;=Quesería!$B$30+1),Quesería!$F$93/Quesería!$B$30,0)*$C$477*$L$21)*$L$11+IF(AND(G$43&gt;=6,G$43&lt;=10),$G481*$G477/5,0)+IF(AND(G$43&gt;=7,G$43&lt;=11),$H481*$H477/5,0))*G479</f>
        <v>134.506623881988</v>
      </c>
      <c r="H489" s="29" t="n">
        <f aca="false">(IF($L$19=1,(SUMPRODUCT((Quesería!$C$70:$C$89=0)*(Quesería!$J$70:$J$89&gt;0)*(H$43&gt;=1)*(H$43&lt;=Quesería!$J$70:$J$89)*(Quesería!$H$70:$H$89&gt;0)*Quesería!$F$70:$F$89*(1+Quesería!$I$70:$I$89)/(Quesería!$J$70:$J$89+(Quesería!$J$70:$J$89=0)))+SUMPRODUCT((Quesería!$C$70:$C$89=0)*(Quesería!$J$70:$J$89=0)*(H$43=0)*(Quesería!$H$70:$H$89&gt;0)*Quesería!$F$70:$F$89*(1+Quesería!$I$70:$I$89)))*$B$477+(SUMPRODUCT((Quesería!$C$70:$C$89=1)*(Quesería!$J$70:$J$89&gt;0)*(H$43&gt;=2)*(H$43&lt;=Quesería!$J$70:$J$89+1)*(Quesería!$H$70:$H$89&gt;0)*Quesería!$F$70:$F$89*(1+Quesería!$I$70:$I$89)/(Quesería!$J$70:$J$89+(Quesería!$J$70:$J$89=0)))+SUMPRODUCT((Quesería!$C$70:$C$89=1)*(Quesería!$J$70:$J$89=0)*(H$43=1)*(Quesería!$H$70:$H$89&gt;0)*Quesería!$F$70:$F$89*(1+Quesería!$I$70:$I$89)))*$C$477*$L$21,IF(AND(H$43&gt;=1,H$43&lt;=Quesería!$B$30),Quesería!$F$92/Quesería!$B$30,0)*$B$477+IF(AND(H$43&gt;=2,H$43&lt;=Quesería!$B$30+1),Quesería!$F$93/Quesería!$B$30,0)*$C$477*$L$21)*$L$11+IF(AND(H$43&gt;=6,H$43&lt;=10),$G481*$G477/5,0)+IF(AND(H$43&gt;=7,H$43&lt;=11),$H481*$H477/5,0))*H479</f>
        <v>122.314670590318</v>
      </c>
      <c r="I489" s="29" t="n">
        <f aca="false">(IF($L$19=1,(SUMPRODUCT((Quesería!$C$70:$C$89=0)*(Quesería!$J$70:$J$89&gt;0)*(I$43&gt;=1)*(I$43&lt;=Quesería!$J$70:$J$89)*(Quesería!$H$70:$H$89&gt;0)*Quesería!$F$70:$F$89*(1+Quesería!$I$70:$I$89)/(Quesería!$J$70:$J$89+(Quesería!$J$70:$J$89=0)))+SUMPRODUCT((Quesería!$C$70:$C$89=0)*(Quesería!$J$70:$J$89=0)*(I$43=0)*(Quesería!$H$70:$H$89&gt;0)*Quesería!$F$70:$F$89*(1+Quesería!$I$70:$I$89)))*$B$477+(SUMPRODUCT((Quesería!$C$70:$C$89=1)*(Quesería!$J$70:$J$89&gt;0)*(I$43&gt;=2)*(I$43&lt;=Quesería!$J$70:$J$89+1)*(Quesería!$H$70:$H$89&gt;0)*Quesería!$F$70:$F$89*(1+Quesería!$I$70:$I$89)/(Quesería!$J$70:$J$89+(Quesería!$J$70:$J$89=0)))+SUMPRODUCT((Quesería!$C$70:$C$89=1)*(Quesería!$J$70:$J$89=0)*(I$43=1)*(Quesería!$H$70:$H$89&gt;0)*Quesería!$F$70:$F$89*(1+Quesería!$I$70:$I$89)))*$C$477*$L$21,IF(AND(I$43&gt;=1,I$43&lt;=Quesería!$B$30),Quesería!$F$92/Quesería!$B$30,0)*$B$477+IF(AND(I$43&gt;=2,I$43&lt;=Quesería!$B$30+1),Quesería!$F$93/Quesería!$B$30,0)*$C$477*$L$21)*$L$11+IF(AND(I$43&gt;=6,I$43&lt;=10),$G481*$G477/5,0)+IF(AND(I$43&gt;=7,I$43&lt;=11),$H481*$H477/5,0))*I479</f>
        <v>126.531251665874</v>
      </c>
      <c r="J489" s="29" t="n">
        <f aca="false">(IF($L$19=1,(SUMPRODUCT((Quesería!$C$70:$C$89=0)*(Quesería!$J$70:$J$89&gt;0)*(J$43&gt;=1)*(J$43&lt;=Quesería!$J$70:$J$89)*(Quesería!$H$70:$H$89&gt;0)*Quesería!$F$70:$F$89*(1+Quesería!$I$70:$I$89)/(Quesería!$J$70:$J$89+(Quesería!$J$70:$J$89=0)))+SUMPRODUCT((Quesería!$C$70:$C$89=0)*(Quesería!$J$70:$J$89=0)*(J$43=0)*(Quesería!$H$70:$H$89&gt;0)*Quesería!$F$70:$F$89*(1+Quesería!$I$70:$I$89)))*$B$477+(SUMPRODUCT((Quesería!$C$70:$C$89=1)*(Quesería!$J$70:$J$89&gt;0)*(J$43&gt;=2)*(J$43&lt;=Quesería!$J$70:$J$89+1)*(Quesería!$H$70:$H$89&gt;0)*Quesería!$F$70:$F$89*(1+Quesería!$I$70:$I$89)/(Quesería!$J$70:$J$89+(Quesería!$J$70:$J$89=0)))+SUMPRODUCT((Quesería!$C$70:$C$89=1)*(Quesería!$J$70:$J$89=0)*(J$43=1)*(Quesería!$H$70:$H$89&gt;0)*Quesería!$F$70:$F$89*(1+Quesería!$I$70:$I$89)))*$C$477*$L$21,IF(AND(J$43&gt;=1,J$43&lt;=Quesería!$B$30),Quesería!$F$92/Quesería!$B$30,0)*$B$477+IF(AND(J$43&gt;=2,J$43&lt;=Quesería!$B$30+1),Quesería!$F$93/Quesería!$B$30,0)*$C$477*$L$21)*$L$11+IF(AND(J$43&gt;=6,J$43&lt;=10),$G481*$G477/5,0)+IF(AND(J$43&gt;=7,J$43&lt;=11),$H481*$H477/5,0))*J479</f>
        <v>121.66466506334</v>
      </c>
      <c r="K489" s="29" t="n">
        <f aca="false">(IF($L$19=1,(SUMPRODUCT((Quesería!$C$70:$C$89=0)*(Quesería!$J$70:$J$89&gt;0)*(K$43&gt;=1)*(K$43&lt;=Quesería!$J$70:$J$89)*(Quesería!$H$70:$H$89&gt;0)*Quesería!$F$70:$F$89*(1+Quesería!$I$70:$I$89)/(Quesería!$J$70:$J$89+(Quesería!$J$70:$J$89=0)))+SUMPRODUCT((Quesería!$C$70:$C$89=0)*(Quesería!$J$70:$J$89=0)*(K$43=0)*(Quesería!$H$70:$H$89&gt;0)*Quesería!$F$70:$F$89*(1+Quesería!$I$70:$I$89)))*$B$477+(SUMPRODUCT((Quesería!$C$70:$C$89=1)*(Quesería!$J$70:$J$89&gt;0)*(K$43&gt;=2)*(K$43&lt;=Quesería!$J$70:$J$89+1)*(Quesería!$H$70:$H$89&gt;0)*Quesería!$F$70:$F$89*(1+Quesería!$I$70:$I$89)/(Quesería!$J$70:$J$89+(Quesería!$J$70:$J$89=0)))+SUMPRODUCT((Quesería!$C$70:$C$89=1)*(Quesería!$J$70:$J$89=0)*(K$43=1)*(Quesería!$H$70:$H$89&gt;0)*Quesería!$F$70:$F$89*(1+Quesería!$I$70:$I$89)))*$C$477*$L$21,IF(AND(K$43&gt;=1,K$43&lt;=Quesería!$B$30),Quesería!$F$92/Quesería!$B$30,0)*$B$477+IF(AND(K$43&gt;=2,K$43&lt;=Quesería!$B$30+1),Quesería!$F$93/Quesería!$B$30,0)*$C$477*$L$21)*$L$11+IF(AND(K$43&gt;=6,K$43&lt;=10),$G481*$G477/5,0)+IF(AND(K$43&gt;=7,K$43&lt;=11),$H481*$H477/5,0))*K479</f>
        <v>116.985254868597</v>
      </c>
      <c r="L489" s="29" t="n">
        <f aca="false">(IF($L$19=1,(SUMPRODUCT((Quesería!$C$70:$C$89=0)*(Quesería!$J$70:$J$89&gt;0)*(L$43&gt;=1)*(L$43&lt;=Quesería!$J$70:$J$89)*(Quesería!$H$70:$H$89&gt;0)*Quesería!$F$70:$F$89*(1+Quesería!$I$70:$I$89)/(Quesería!$J$70:$J$89+(Quesería!$J$70:$J$89=0)))+SUMPRODUCT((Quesería!$C$70:$C$89=0)*(Quesería!$J$70:$J$89=0)*(L$43=0)*(Quesería!$H$70:$H$89&gt;0)*Quesería!$F$70:$F$89*(1+Quesería!$I$70:$I$89)))*$B$477+(SUMPRODUCT((Quesería!$C$70:$C$89=1)*(Quesería!$J$70:$J$89&gt;0)*(L$43&gt;=2)*(L$43&lt;=Quesería!$J$70:$J$89+1)*(Quesería!$H$70:$H$89&gt;0)*Quesería!$F$70:$F$89*(1+Quesería!$I$70:$I$89)/(Quesería!$J$70:$J$89+(Quesería!$J$70:$J$89=0)))+SUMPRODUCT((Quesería!$C$70:$C$89=1)*(Quesería!$J$70:$J$89=0)*(L$43=1)*(Quesería!$H$70:$H$89&gt;0)*Quesería!$F$70:$F$89*(1+Quesería!$I$70:$I$89)))*$C$477*$L$21,IF(AND(L$43&gt;=1,L$43&lt;=Quesería!$B$30),Quesería!$F$92/Quesería!$B$30,0)*$B$477+IF(AND(L$43&gt;=2,L$43&lt;=Quesería!$B$30+1),Quesería!$F$93/Quesería!$B$30,0)*$C$477*$L$21)*$L$11+IF(AND(L$43&gt;=6,L$43&lt;=10),$G481*$G477/5,0)+IF(AND(L$43&gt;=7,L$43&lt;=11),$H481*$H477/5,0))*L479</f>
        <v>112.485821989035</v>
      </c>
    </row>
    <row r="490" customFormat="false" ht="15" hidden="true" customHeight="false" outlineLevel="1" collapsed="false">
      <c r="A490" s="9" t="s">
        <v>416</v>
      </c>
      <c r="B490" s="58" t="n">
        <f aca="false">IF(B$43=1,MIN($L$7*Quesería!$B$56*Quesería!$F$86*$L$11*$L$21,Quesería!$B$57*Quesería!$B$58),0)</f>
        <v>0</v>
      </c>
      <c r="C490" s="58" t="n">
        <f aca="false">IF(C$43=1,MIN($L$7*Quesería!$B$56*Quesería!$F$86*$L$11*$L$21,Quesería!$B$57*Quesería!$B$58),0)</f>
        <v>20</v>
      </c>
      <c r="D490" s="58" t="n">
        <f aca="false">IF(D$43=1,MIN($L$7*Quesería!$B$56*Quesería!$F$86*$L$11*$L$21,Quesería!$B$57*Quesería!$B$58),0)</f>
        <v>0</v>
      </c>
      <c r="E490" s="58" t="n">
        <f aca="false">IF(E$43=1,MIN($L$7*Quesería!$B$56*Quesería!$F$86*$L$11*$L$21,Quesería!$B$57*Quesería!$B$58),0)</f>
        <v>0</v>
      </c>
      <c r="F490" s="58" t="n">
        <f aca="false">IF(F$43=1,MIN($L$7*Quesería!$B$56*Quesería!$F$86*$L$11*$L$21,Quesería!$B$57*Quesería!$B$58),0)</f>
        <v>0</v>
      </c>
      <c r="G490" s="58" t="n">
        <f aca="false">IF(G$43=1,MIN($L$7*Quesería!$B$56*Quesería!$F$86*$L$11*$L$21,Quesería!$B$57*Quesería!$B$58),0)</f>
        <v>0</v>
      </c>
      <c r="H490" s="58" t="n">
        <f aca="false">IF(H$43=1,MIN($L$7*Quesería!$B$56*Quesería!$F$86*$L$11*$L$21,Quesería!$B$57*Quesería!$B$58),0)</f>
        <v>0</v>
      </c>
      <c r="I490" s="58" t="n">
        <f aca="false">IF(I$43=1,MIN($L$7*Quesería!$B$56*Quesería!$F$86*$L$11*$L$21,Quesería!$B$57*Quesería!$B$58),0)</f>
        <v>0</v>
      </c>
      <c r="J490" s="58" t="n">
        <f aca="false">IF(J$43=1,MIN($L$7*Quesería!$B$56*Quesería!$F$86*$L$11*$L$21,Quesería!$B$57*Quesería!$B$58),0)</f>
        <v>0</v>
      </c>
      <c r="K490" s="58" t="n">
        <f aca="false">IF(K$43=1,MIN($L$7*Quesería!$B$56*Quesería!$F$86*$L$11*$L$21,Quesería!$B$57*Quesería!$B$58),0)</f>
        <v>0</v>
      </c>
      <c r="L490" s="58" t="n">
        <f aca="false">IF(L$43=1,MIN($L$7*Quesería!$B$56*Quesería!$F$86*$L$11*$L$21,Quesería!$B$57*Quesería!$B$58),0)</f>
        <v>0</v>
      </c>
    </row>
    <row r="491" customFormat="false" ht="15" hidden="true" customHeight="false" outlineLevel="1" collapsed="false">
      <c r="A491" s="9" t="s">
        <v>417</v>
      </c>
      <c r="B491" s="58" t="n">
        <v>0</v>
      </c>
      <c r="C491" s="58" t="n">
        <f aca="false">$L$20*Quesería!$B$60*Quesería!$F$98*$L$11*$B$477/C477/2</f>
        <v>138.12868344741</v>
      </c>
      <c r="D491" s="58" t="n">
        <f aca="false">$L$20*Quesería!$B$60*Quesería!$F$98*$L$11*$B$477/D477/2</f>
        <v>132.18055832288</v>
      </c>
      <c r="E491" s="58" t="n">
        <v>0</v>
      </c>
      <c r="F491" s="58" t="n">
        <v>0</v>
      </c>
      <c r="G491" s="58" t="n">
        <v>0</v>
      </c>
      <c r="H491" s="58" t="n">
        <v>0</v>
      </c>
      <c r="I491" s="58" t="n">
        <v>0</v>
      </c>
      <c r="J491" s="58" t="n">
        <v>0</v>
      </c>
      <c r="K491" s="58" t="n">
        <v>0</v>
      </c>
      <c r="L491" s="58" t="n">
        <v>0</v>
      </c>
    </row>
    <row r="492" customFormat="false" ht="15" hidden="true" customHeight="false" outlineLevel="1" collapsed="false">
      <c r="A492" s="9" t="s">
        <v>418</v>
      </c>
      <c r="B492" s="58" t="n">
        <f aca="false">0</f>
        <v>0</v>
      </c>
      <c r="C492" s="58" t="n">
        <f aca="false">B482*B477/C477</f>
        <v>142.014925295407</v>
      </c>
      <c r="D492" s="58" t="n">
        <f aca="false">C482*C477/D477</f>
        <v>137.903466668091</v>
      </c>
      <c r="E492" s="58" t="n">
        <f aca="false">D482*D477/E477</f>
        <v>0</v>
      </c>
      <c r="F492" s="58" t="n">
        <f aca="false">E482*E477/F477</f>
        <v>0</v>
      </c>
      <c r="G492" s="58" t="n">
        <f aca="false">F482*F477/G477</f>
        <v>0</v>
      </c>
      <c r="H492" s="58" t="n">
        <f aca="false">G482*G477/H477</f>
        <v>5.01768392412113</v>
      </c>
      <c r="I492" s="58" t="n">
        <f aca="false">H482*H477/I477</f>
        <v>8.47494190873221</v>
      </c>
      <c r="J492" s="58" t="n">
        <f aca="false">I482*I477/J477</f>
        <v>0</v>
      </c>
      <c r="K492" s="58" t="n">
        <f aca="false">J482*J477/K477</f>
        <v>0</v>
      </c>
      <c r="L492" s="58" t="n">
        <f aca="false">K482*K477/L477</f>
        <v>0</v>
      </c>
    </row>
    <row r="493" customFormat="false" ht="15" hidden="true" customHeight="false" outlineLevel="1" collapsed="false">
      <c r="A493" s="6" t="s">
        <v>295</v>
      </c>
      <c r="B493" s="29" t="n">
        <f aca="false">$L$17*(B485-B486-B487-0.5*B488-B489)-B490-B491-B492</f>
        <v>-9.59839124703308</v>
      </c>
      <c r="C493" s="29" t="n">
        <f aca="false">$L$17*(C485-C486-C487-0.5*C488-C489)-C490-C491-C492</f>
        <v>-282.930271636391</v>
      </c>
      <c r="D493" s="29" t="n">
        <f aca="false">$L$17*(D485-D486-D487-0.5*D488-D489)-D490-D491-D492</f>
        <v>-179.6311335535</v>
      </c>
      <c r="E493" s="29" t="n">
        <f aca="false">$L$17*(E485-E486-E487-0.5*E488-E489)-E490-E491-E492</f>
        <v>114.826920054201</v>
      </c>
      <c r="F493" s="29" t="n">
        <f aca="false">$L$17*(F485-F486-F487-0.5*F488-F489)-F490-F491-F492</f>
        <v>116.893560360325</v>
      </c>
      <c r="G493" s="29" t="n">
        <f aca="false">$L$17*(G485-G486-G487-0.5*G488-G489)-G490-G491-G492</f>
        <v>118.862539550403</v>
      </c>
      <c r="H493" s="29" t="n">
        <f aca="false">$L$17*(H485-H486-H487-0.5*H488-H489)-H490-H491-H492</f>
        <v>118.205584444267</v>
      </c>
      <c r="I493" s="29" t="n">
        <f aca="false">$L$17*(I485-I486-I487-0.5*I488-I489)-I490-I491-I492</f>
        <v>113.421020600575</v>
      </c>
      <c r="J493" s="29" t="n">
        <f aca="false">$L$17*(J485-J486-J487-0.5*J488-J489)-J490-J491-J492</f>
        <v>123.709672447603</v>
      </c>
      <c r="K493" s="29" t="n">
        <f aca="false">$L$17*(K485-K486-K487-0.5*K488-K489)-K490-K491-K492</f>
        <v>125.45842266631</v>
      </c>
      <c r="L493" s="29" t="n">
        <f aca="false">$L$17*(L485-L486-L487-0.5*L488-L489)-L490-L491-L492</f>
        <v>127.144735607956</v>
      </c>
    </row>
    <row r="494" customFormat="false" ht="15" hidden="true" customHeight="false" outlineLevel="1" collapsed="false">
      <c r="A494" s="9" t="s">
        <v>419</v>
      </c>
      <c r="B494" s="58" t="n">
        <f aca="false">(IF(B$43&gt;=1,Quesería!$G$123*IF(B$43=1,Quesería!$B$20,1),Quesería!$G$123*Quesería!$B$20*Quesería!$B$21/12*$L$23)+IF(B$43&gt;=2,Quesería!$G$124*$L$21*IF(B$43=2,Quesería!$B$20,1),0))*$L$10</f>
        <v>77.4042870161869</v>
      </c>
      <c r="C494" s="58" t="n">
        <f aca="false">(IF(C$43&gt;=1,Quesería!$G$123*IF(C$43=1,Quesería!$B$20,1),Quesería!$G$123*Quesería!$B$20*Quesería!$B$21/12*$L$23)+IF(C$43&gt;=2,Quesería!$G$124*$L$21*IF(C$43=2,Quesería!$B$20,1),0))*$L$10</f>
        <v>116.10643052428</v>
      </c>
      <c r="D494" s="58" t="n">
        <f aca="false">(IF(D$43&gt;=1,Quesería!$G$123*IF(D$43=1,Quesería!$B$20,1),Quesería!$G$123*Quesería!$B$20*Quesería!$B$21/12*$L$23)+IF(D$43&gt;=2,Quesería!$G$124*$L$21*IF(D$43=2,Quesería!$B$20,1),0))*$L$10</f>
        <v>297.090260202792</v>
      </c>
      <c r="E494" s="58" t="n">
        <f aca="false">(IF(E$43&gt;=1,Quesería!$G$123*IF(E$43=1,Quesería!$B$20,1),Quesería!$G$123*Quesería!$B$20*Quesería!$B$21/12*$L$23)+IF(E$43&gt;=2,Quesería!$G$124*$L$21*IF(E$43=2,Quesería!$B$20,1),0))*$L$10</f>
        <v>344.517488926264</v>
      </c>
      <c r="F494" s="58" t="n">
        <f aca="false">(IF(F$43&gt;=1,Quesería!$G$123*IF(F$43=1,Quesería!$B$20,1),Quesería!$G$123*Quesería!$B$20*Quesería!$B$21/12*$L$23)+IF(F$43&gt;=2,Quesería!$G$124*$L$21*IF(F$43=2,Quesería!$B$20,1),0))*$L$10</f>
        <v>344.517488926264</v>
      </c>
      <c r="G494" s="58" t="n">
        <f aca="false">(IF(G$43&gt;=1,Quesería!$G$123*IF(G$43=1,Quesería!$B$20,1),Quesería!$G$123*Quesería!$B$20*Quesería!$B$21/12*$L$23)+IF(G$43&gt;=2,Quesería!$G$124*$L$21*IF(G$43=2,Quesería!$B$20,1),0))*$L$10</f>
        <v>344.517488926264</v>
      </c>
      <c r="H494" s="58" t="n">
        <f aca="false">(IF(H$43&gt;=1,Quesería!$G$123*IF(H$43=1,Quesería!$B$20,1),Quesería!$G$123*Quesería!$B$20*Quesería!$B$21/12*$L$23)+IF(H$43&gt;=2,Quesería!$G$124*$L$21*IF(H$43=2,Quesería!$B$20,1),0))*$L$10</f>
        <v>344.517488926264</v>
      </c>
      <c r="I494" s="58" t="n">
        <f aca="false">(IF(I$43&gt;=1,Quesería!$G$123*IF(I$43=1,Quesería!$B$20,1),Quesería!$G$123*Quesería!$B$20*Quesería!$B$21/12*$L$23)+IF(I$43&gt;=2,Quesería!$G$124*$L$21*IF(I$43=2,Quesería!$B$20,1),0))*$L$10</f>
        <v>344.517488926264</v>
      </c>
      <c r="J494" s="58" t="n">
        <f aca="false">(IF(J$43&gt;=1,Quesería!$G$123*IF(J$43=1,Quesería!$B$20,1),Quesería!$G$123*Quesería!$B$20*Quesería!$B$21/12*$L$23)+IF(J$43&gt;=2,Quesería!$G$124*$L$21*IF(J$43=2,Quesería!$B$20,1),0))*$L$10</f>
        <v>344.517488926264</v>
      </c>
      <c r="K494" s="58" t="n">
        <f aca="false">(IF(K$43&gt;=1,Quesería!$G$123*IF(K$43=1,Quesería!$B$20,1),Quesería!$G$123*Quesería!$B$20*Quesería!$B$21/12*$L$23)+IF(K$43&gt;=2,Quesería!$G$124*$L$21*IF(K$43=2,Quesería!$B$20,1),0))*$L$10</f>
        <v>344.517488926264</v>
      </c>
      <c r="L494" s="58" t="n">
        <f aca="false">(IF(L$43&gt;=1,Quesería!$G$123*IF(L$43=1,Quesería!$B$20,1),Quesería!$G$123*Quesería!$B$20*Quesería!$B$21/12*$L$23)+IF(L$43&gt;=2,Quesería!$G$124*$L$21*IF(L$43=2,Quesería!$B$20,1),0))*$L$10</f>
        <v>344.517488926264</v>
      </c>
    </row>
    <row r="495" customFormat="false" ht="15" hidden="true" customHeight="false" outlineLevel="1" collapsed="false">
      <c r="A495" s="6" t="s">
        <v>420</v>
      </c>
      <c r="B495" s="29" t="n">
        <f aca="false">(B494*(Quesería!$B$38+Quesería!$B$40*Quesería!$B$39)/365-B486*Quesería!$B$42/365)</f>
        <v>7.23146900616979</v>
      </c>
      <c r="C495" s="29" t="n">
        <f aca="false">(C494*(Quesería!$B$38+Quesería!$B$40*Quesería!$B$39)/365-C486*Quesería!$B$42/365)-(B494*(Quesería!$B$38+Quesería!$B$40*Quesería!$B$39)/365-B486*Quesería!$B$42/365)*B477/C477</f>
        <v>2.1840419772198</v>
      </c>
      <c r="D495" s="29" t="n">
        <f aca="false">(D494*(Quesería!$B$38+Quesería!$B$40*Quesería!$B$39)/365-D486*Quesería!$B$42/365)-(C494*(Quesería!$B$38+Quesería!$B$40*Quesería!$B$39)/365-C486*Quesería!$B$42/365)*C477/D477</f>
        <v>15.0270080808691</v>
      </c>
      <c r="E495" s="29" t="n">
        <f aca="false">(E494*(Quesería!$B$38+Quesería!$B$40*Quesería!$B$39)/365-E486*Quesería!$B$42/365)-(D494*(Quesería!$B$38+Quesería!$B$40*Quesería!$B$39)/365-D486*Quesería!$B$42/365)*D477/E477</f>
        <v>5.34270104298691</v>
      </c>
      <c r="F495" s="29" t="n">
        <f aca="false">(F494*(Quesería!$B$38+Quesería!$B$40*Quesería!$B$39)/365-F486*Quesería!$B$42/365)-(E494*(Quesería!$B$38+Quesería!$B$40*Quesería!$B$39)/365-E486*Quesería!$B$42/365)*E477/F477</f>
        <v>1.08224661867074</v>
      </c>
      <c r="G495" s="29" t="n">
        <f aca="false">(G494*(Quesería!$B$38+Quesería!$B$40*Quesería!$B$39)/365-G486*Quesería!$B$42/365)-(F494*(Quesería!$B$38+Quesería!$B$40*Quesería!$B$39)/365-F486*Quesería!$B$42/365)*F477/G477</f>
        <v>1.08224661867075</v>
      </c>
      <c r="H495" s="29" t="n">
        <f aca="false">(H494*(Quesería!$B$38+Quesería!$B$40*Quesería!$B$39)/365-H486*Quesería!$B$42/365)-(G494*(Quesería!$B$38+Quesería!$B$40*Quesería!$B$39)/365-G486*Quesería!$B$42/365)*G477/H477</f>
        <v>1.08224661867074</v>
      </c>
      <c r="I495" s="29" t="n">
        <f aca="false">(I494*(Quesería!$B$38+Quesería!$B$40*Quesería!$B$39)/365-I486*Quesería!$B$42/365)-(H494*(Quesería!$B$38+Quesería!$B$40*Quesería!$B$39)/365-H486*Quesería!$B$42/365)*H477/I477</f>
        <v>1.08224661867074</v>
      </c>
      <c r="J495" s="29" t="n">
        <f aca="false">(J494*(Quesería!$B$38+Quesería!$B$40*Quesería!$B$39)/365-J486*Quesería!$B$42/365)-(I494*(Quesería!$B$38+Quesería!$B$40*Quesería!$B$39)/365-I486*Quesería!$B$42/365)*I477/J477</f>
        <v>1.08224661867075</v>
      </c>
      <c r="K495" s="29" t="n">
        <f aca="false">(K494*(Quesería!$B$38+Quesería!$B$40*Quesería!$B$39)/365-K486*Quesería!$B$42/365)-(J494*(Quesería!$B$38+Quesería!$B$40*Quesería!$B$39)/365-J486*Quesería!$B$42/365)*J477/K477</f>
        <v>1.08224661867075</v>
      </c>
      <c r="L495" s="29" t="n">
        <f aca="false">-(K494*(Quesería!$B$38+Quesería!$B$40*Quesería!$B$39)/365-K486*Quesería!$B$42/365)*K477/L477</f>
        <v>-27.0561654667686</v>
      </c>
    </row>
    <row r="496" customFormat="false" ht="15" hidden="true" customHeight="false" outlineLevel="1" collapsed="false">
      <c r="A496" s="6" t="s">
        <v>421</v>
      </c>
      <c r="B496" s="29" t="n">
        <v>0</v>
      </c>
      <c r="C496" s="29" t="n">
        <v>0</v>
      </c>
      <c r="D496" s="29" t="n">
        <v>0</v>
      </c>
      <c r="E496" s="29" t="n">
        <v>0</v>
      </c>
      <c r="F496" s="29" t="n">
        <v>0</v>
      </c>
      <c r="G496" s="29" t="n">
        <v>0</v>
      </c>
      <c r="H496" s="29" t="n">
        <v>0</v>
      </c>
      <c r="I496" s="29" t="n">
        <v>0</v>
      </c>
      <c r="J496" s="29" t="n">
        <v>0</v>
      </c>
      <c r="K496" s="29" t="n">
        <v>0</v>
      </c>
      <c r="L496" s="29" t="n">
        <f aca="false">$L$8*Quesería!$B$36*(Quesería!$F$94+Quesería!$F$95*$L$21)*$L$11*(1-$L$17)</f>
        <v>67.1237725584543</v>
      </c>
    </row>
    <row r="497" customFormat="false" ht="15" hidden="true" customHeight="false" outlineLevel="1" collapsed="false">
      <c r="A497" s="5" t="s">
        <v>147</v>
      </c>
      <c r="B497" s="59" t="n">
        <f aca="false">B485-B486-B487-B488-B493-B480-B481-B482-B495+B496</f>
        <v>-961.151880133756</v>
      </c>
      <c r="C497" s="59" t="n">
        <f aca="false">C485-C486-C487-C488-C493-C480-C481-C482-C495+C496</f>
        <v>-492.288791758629</v>
      </c>
      <c r="D497" s="59" t="n">
        <f aca="false">D485-D486-D487-D488-D493-D480-D481-D482-D495+D496</f>
        <v>574.20829657558</v>
      </c>
      <c r="E497" s="59" t="n">
        <f aca="false">E485-E486-E487-E488-E493-E480-E481-E482-E495+E496</f>
        <v>353.255337192217</v>
      </c>
      <c r="F497" s="59" t="n">
        <f aca="false">F485-F486-F487-F488-F493-F480-F481-F482-F495+F496</f>
        <v>355.758362345845</v>
      </c>
      <c r="G497" s="59" t="n">
        <f aca="false">G485-G486-G487-G488-G493-G480-G481-G482-G495+G496</f>
        <v>321.285797262221</v>
      </c>
      <c r="H497" s="59" t="n">
        <f aca="false">H485-H486-H487-H488-H493-H480-H481-H482-H495+H496</f>
        <v>299.645498551361</v>
      </c>
      <c r="I497" s="59" t="n">
        <f aca="false">I485-I486-I487-I488-I493-I480-I481-I482-I495+I496</f>
        <v>360.167842502721</v>
      </c>
      <c r="J497" s="59" t="n">
        <f aca="false">J485-J486-J487-J488-J493-J480-J481-J482-J495+J496</f>
        <v>350.194632448291</v>
      </c>
      <c r="K497" s="59" t="n">
        <f aca="false">K485-K486-K487-K488-K493-K480-K481-K482-K495+K496</f>
        <v>348.762901231146</v>
      </c>
      <c r="L497" s="59" t="n">
        <f aca="false">L485-L486-L487-L488-L493-L480-L481-L482-L495+L496</f>
        <v>442.657377029963</v>
      </c>
    </row>
    <row r="498" customFormat="false" ht="15" hidden="true" customHeight="false" outlineLevel="1" collapsed="false">
      <c r="A498" s="9" t="s">
        <v>422</v>
      </c>
      <c r="B498" s="58" t="n">
        <f aca="false">B497*B477</f>
        <v>-1018.82099294178</v>
      </c>
      <c r="C498" s="58" t="n">
        <f aca="false">C497*C477</f>
        <v>-547.917425227354</v>
      </c>
      <c r="D498" s="58" t="n">
        <f aca="false">D497*D477</f>
        <v>667.853056622609</v>
      </c>
      <c r="E498" s="58" t="n">
        <f aca="false">E497*E477</f>
        <v>427.300623212539</v>
      </c>
      <c r="F498" s="58" t="n">
        <f aca="false">F497*F477</f>
        <v>447.541435602329</v>
      </c>
      <c r="G498" s="58" t="n">
        <f aca="false">G497*G477</f>
        <v>420.342207101277</v>
      </c>
      <c r="H498" s="58" t="n">
        <f aca="false">H497*H477</f>
        <v>407.711132373813</v>
      </c>
      <c r="I498" s="58" t="n">
        <f aca="false">I497*I477</f>
        <v>509.66297577034</v>
      </c>
      <c r="J498" s="58" t="n">
        <f aca="false">J497*J477</f>
        <v>515.372185149734</v>
      </c>
      <c r="K498" s="58" t="n">
        <f aca="false">K497*K477</f>
        <v>533.795749923508</v>
      </c>
      <c r="L498" s="58" t="n">
        <f aca="false">L497*L477</f>
        <v>704.605251087904</v>
      </c>
    </row>
    <row r="499" customFormat="false" ht="15" hidden="true" customHeight="false" outlineLevel="1" collapsed="false">
      <c r="A499" s="6" t="s">
        <v>423</v>
      </c>
      <c r="B499" s="29" t="n">
        <f aca="false">B497</f>
        <v>-961.151880133756</v>
      </c>
      <c r="C499" s="29" t="n">
        <f aca="false">B499+C497</f>
        <v>-1453.44067189238</v>
      </c>
      <c r="D499" s="29" t="n">
        <f aca="false">C499+D497</f>
        <v>-879.232375316804</v>
      </c>
      <c r="E499" s="29" t="n">
        <f aca="false">D499+E497</f>
        <v>-525.977038124586</v>
      </c>
      <c r="F499" s="29" t="n">
        <f aca="false">E499+F497</f>
        <v>-170.218675778741</v>
      </c>
      <c r="G499" s="29" t="n">
        <f aca="false">F499+G497</f>
        <v>151.06712148348</v>
      </c>
      <c r="H499" s="29" t="n">
        <f aca="false">G499+H497</f>
        <v>450.712620034841</v>
      </c>
      <c r="I499" s="29" t="n">
        <f aca="false">H499+I497</f>
        <v>810.880462537562</v>
      </c>
      <c r="J499" s="29" t="n">
        <f aca="false">I499+J497</f>
        <v>1161.07509498585</v>
      </c>
      <c r="K499" s="29" t="n">
        <f aca="false">J499+K497</f>
        <v>1509.837996217</v>
      </c>
      <c r="L499" s="29" t="n">
        <f aca="false">K499+L497</f>
        <v>1952.49537324696</v>
      </c>
    </row>
    <row r="500" customFormat="false" ht="15" hidden="true" customHeight="false" outlineLevel="1" collapsed="false">
      <c r="A500" s="9" t="s">
        <v>424</v>
      </c>
      <c r="B500" s="60" t="n">
        <v>0</v>
      </c>
      <c r="C500" s="60" t="n">
        <f aca="false">IF(AND(B499&lt;0,C499&gt;=0),B$43+(-B499)/C497,0)</f>
        <v>0</v>
      </c>
      <c r="D500" s="60" t="n">
        <f aca="false">IF(AND(C499&lt;0,D499&gt;=0),C$43+(-C499)/D497,0)</f>
        <v>0</v>
      </c>
      <c r="E500" s="60" t="n">
        <f aca="false">IF(AND(D499&lt;0,E499&gt;=0),D$43+(-D499)/E497,0)</f>
        <v>0</v>
      </c>
      <c r="F500" s="60" t="n">
        <f aca="false">IF(AND(E499&lt;0,F499&gt;=0),E$43+(-E499)/F497,0)</f>
        <v>0</v>
      </c>
      <c r="G500" s="60" t="n">
        <f aca="false">IF(AND(F499&lt;0,G499&gt;=0),F$43+(-F499)/G497,0)</f>
        <v>4.52980454545215</v>
      </c>
      <c r="H500" s="60" t="n">
        <f aca="false">IF(AND(G499&lt;0,H499&gt;=0),G$43+(-G499)/H497,0)</f>
        <v>0</v>
      </c>
      <c r="I500" s="60" t="n">
        <f aca="false">IF(AND(H499&lt;0,I499&gt;=0),H$43+(-H499)/I497,0)</f>
        <v>0</v>
      </c>
      <c r="J500" s="60" t="n">
        <f aca="false">IF(AND(I499&lt;0,J499&gt;=0),I$43+(-I499)/J497,0)</f>
        <v>0</v>
      </c>
      <c r="K500" s="60" t="n">
        <f aca="false">IF(AND(J499&lt;0,K499&gt;=0),J$43+(-J499)/K497,0)</f>
        <v>0</v>
      </c>
      <c r="L500" s="60" t="n">
        <f aca="false">IF(AND(K499&lt;0,L499&gt;=0),K$43+(-K499)/L497,0)</f>
        <v>0</v>
      </c>
    </row>
    <row r="501" customFormat="false" ht="15" hidden="true" customHeight="false" outlineLevel="1" collapsed="false">
      <c r="A501" s="9" t="s">
        <v>425</v>
      </c>
      <c r="B501" s="57" t="n">
        <f aca="false">(B477/$B$477)/(1+$L$25)^B$43</f>
        <v>1</v>
      </c>
      <c r="C501" s="57" t="n">
        <f aca="false">(C477/$B$477)/(1+$L$25)^C$43</f>
        <v>0.915373701313561</v>
      </c>
      <c r="D501" s="57" t="n">
        <f aca="false">(D477/$B$477)/(1+$L$25)^D$43</f>
        <v>0.833918970137172</v>
      </c>
      <c r="E501" s="57" t="n">
        <f aca="false">(E477/$B$477)/(1+$L$25)^E$43</f>
        <v>0.756077518153961</v>
      </c>
      <c r="F501" s="57" t="n">
        <f aca="false">(F477/$B$477)/(1+$L$25)^F$43</f>
        <v>0.685502109831871</v>
      </c>
      <c r="G501" s="57" t="n">
        <f aca="false">(G477/$B$477)/(1+$L$25)^G$43</f>
        <v>0.621514502549008</v>
      </c>
      <c r="H501" s="57" t="n">
        <f aca="false">(H477/$B$477)/(1+$L$25)^H$43</f>
        <v>0.563499763660072</v>
      </c>
      <c r="I501" s="57" t="n">
        <f aca="false">(I477/$B$477)/(1+$L$25)^I$43</f>
        <v>0.510900360880829</v>
      </c>
      <c r="J501" s="57" t="n">
        <f aca="false">(J477/$B$477)/(1+$L$25)^J$43</f>
        <v>0.463210804300567</v>
      </c>
      <c r="K501" s="57" t="n">
        <f aca="false">(K477/$B$477)/(1+$L$25)^K$43</f>
        <v>0.419972788531318</v>
      </c>
      <c r="L501" s="57" t="n">
        <f aca="false">(L477/$B$477)/(1+$L$25)^L$43</f>
        <v>0.380770788308996</v>
      </c>
    </row>
    <row r="502" customFormat="false" ht="15" hidden="true" customHeight="false" outlineLevel="1" collapsed="false">
      <c r="A502" s="9" t="s">
        <v>426</v>
      </c>
      <c r="B502" s="58" t="n">
        <f aca="false">B497*B501</f>
        <v>-961.151880133756</v>
      </c>
      <c r="C502" s="58" t="n">
        <f aca="false">C497*C501</f>
        <v>-450.628213427277</v>
      </c>
      <c r="D502" s="58" t="n">
        <f aca="false">D497*D501</f>
        <v>478.843191324528</v>
      </c>
      <c r="E502" s="58" t="n">
        <f aca="false">E497*E501</f>
        <v>267.088418618932</v>
      </c>
      <c r="F502" s="58" t="n">
        <f aca="false">F497*F501</f>
        <v>243.873107978408</v>
      </c>
      <c r="G502" s="58" t="n">
        <f aca="false">G497*G501</f>
        <v>199.683782461491</v>
      </c>
      <c r="H502" s="58" t="n">
        <f aca="false">H497*H501</f>
        <v>168.850167615497</v>
      </c>
      <c r="I502" s="58" t="n">
        <f aca="false">I497*I501</f>
        <v>184.00988071231</v>
      </c>
      <c r="J502" s="58" t="n">
        <f aca="false">J497*J501</f>
        <v>162.213937358114</v>
      </c>
      <c r="K502" s="58" t="n">
        <f aca="false">K497*K501</f>
        <v>146.470928166317</v>
      </c>
      <c r="L502" s="58" t="n">
        <f aca="false">L497*L501</f>
        <v>168.550998402491</v>
      </c>
    </row>
    <row r="503" customFormat="false" ht="15" hidden="true" customHeight="false" outlineLevel="1" collapsed="false">
      <c r="A503" s="9" t="s">
        <v>427</v>
      </c>
      <c r="B503" s="58" t="n">
        <f aca="false">B502</f>
        <v>-961.151880133756</v>
      </c>
      <c r="C503" s="58" t="n">
        <f aca="false">B503+C502</f>
        <v>-1411.78009356103</v>
      </c>
      <c r="D503" s="58" t="n">
        <f aca="false">C503+D502</f>
        <v>-932.936902236505</v>
      </c>
      <c r="E503" s="58" t="n">
        <f aca="false">D503+E502</f>
        <v>-665.848483617572</v>
      </c>
      <c r="F503" s="58" t="n">
        <f aca="false">E503+F502</f>
        <v>-421.975375639164</v>
      </c>
      <c r="G503" s="58" t="n">
        <f aca="false">F503+G502</f>
        <v>-222.291593177673</v>
      </c>
      <c r="H503" s="58" t="n">
        <f aca="false">G503+H502</f>
        <v>-53.4414255621766</v>
      </c>
      <c r="I503" s="58" t="n">
        <f aca="false">H503+I502</f>
        <v>130.568455150133</v>
      </c>
      <c r="J503" s="58" t="n">
        <f aca="false">I503+J502</f>
        <v>292.782392508248</v>
      </c>
      <c r="K503" s="58" t="n">
        <f aca="false">J503+K502</f>
        <v>439.253320674565</v>
      </c>
      <c r="L503" s="58" t="n">
        <f aca="false">K503+L502</f>
        <v>607.804319077056</v>
      </c>
    </row>
    <row r="504" customFormat="false" ht="15" hidden="true" customHeight="false" outlineLevel="1" collapsed="false">
      <c r="A504" s="9" t="s">
        <v>428</v>
      </c>
      <c r="B504" s="60" t="n">
        <v>0</v>
      </c>
      <c r="C504" s="60" t="n">
        <f aca="false">IF(AND(B503&lt;0,C503&gt;=0),B$43+(-B503)/C502,0)</f>
        <v>0</v>
      </c>
      <c r="D504" s="60" t="n">
        <f aca="false">IF(AND(C503&lt;0,D503&gt;=0),C$43+(-C503)/D502,0)</f>
        <v>0</v>
      </c>
      <c r="E504" s="60" t="n">
        <f aca="false">IF(AND(D503&lt;0,E503&gt;=0),D$43+(-D503)/E502,0)</f>
        <v>0</v>
      </c>
      <c r="F504" s="60" t="n">
        <f aca="false">IF(AND(E503&lt;0,F503&gt;=0),E$43+(-E503)/F502,0)</f>
        <v>0</v>
      </c>
      <c r="G504" s="60" t="n">
        <f aca="false">IF(AND(F503&lt;0,G503&gt;=0),F$43+(-F503)/G502,0)</f>
        <v>0</v>
      </c>
      <c r="H504" s="60" t="n">
        <f aca="false">IF(AND(G503&lt;0,H503&gt;=0),G$43+(-G503)/H502,0)</f>
        <v>0</v>
      </c>
      <c r="I504" s="60" t="n">
        <f aca="false">IF(AND(H503&lt;0,I503&gt;=0),H$43+(-H503)/I502,0)</f>
        <v>6.29042693444125</v>
      </c>
      <c r="J504" s="60" t="n">
        <f aca="false">IF(AND(I503&lt;0,J503&gt;=0),I$43+(-I503)/J502,0)</f>
        <v>0</v>
      </c>
      <c r="K504" s="60" t="n">
        <f aca="false">IF(AND(J503&lt;0,K503&gt;=0),J$43+(-J503)/K502,0)</f>
        <v>0</v>
      </c>
      <c r="L504" s="60" t="n">
        <f aca="false">IF(AND(K503&lt;0,L503&gt;=0),K$43+(-K503)/L502,0)</f>
        <v>0</v>
      </c>
    </row>
    <row r="505" customFormat="false" ht="15" hidden="true" customHeight="false" outlineLevel="1" collapsed="false">
      <c r="A505" s="9" t="s">
        <v>429</v>
      </c>
      <c r="B505" s="58" t="n">
        <f aca="false">IF(B$43&lt;0,0,(Quesería!$B$44*$B$480*$B$477)*(1-MAX(0,MIN(B$43-0-Quesería!$B$47,(Quesería!$B$46-Quesería!$B$47)))/(Quesería!$B$46-Quesería!$B$47))*IF(B$43&gt;=2,1-Quesería!$B$48,1))+IF(B$43&lt;1,0,(Quesería!$B$44*$C$480*$C$477)*(1-MAX(0,MIN(B$43-1-Quesería!$B$47,(Quesería!$B$46-Quesería!$B$47)))/(Quesería!$B$46-Quesería!$B$47))*IF(B$43&gt;=2,1-Quesería!$B$48,1))</f>
        <v>641.321364968425</v>
      </c>
      <c r="C505" s="58" t="n">
        <f aca="false">IF(C$43&lt;0,0,(Quesería!$B$44*$B$480*$B$477)*(1-MAX(0,MIN(C$43-0-Quesería!$B$47,(Quesería!$B$46-Quesería!$B$47)))/(Quesería!$B$46-Quesería!$B$47))*IF(C$43&gt;=2,1-Quesería!$B$48,1))+IF(C$43&lt;1,0,(Quesería!$B$44*$C$480*$C$477)*(1-MAX(0,MIN(C$43-1-Quesería!$B$47,(Quesería!$B$46-Quesería!$B$47)))/(Quesería!$B$46-Quesería!$B$47))*IF(C$43&gt;=2,1-Quesería!$B$48,1))</f>
        <v>1190.03581125409</v>
      </c>
      <c r="D505" s="58" t="n">
        <f aca="false">IF(D$43&lt;0,0,(Quesería!$B$44*$B$480*$B$477)*(1-MAX(0,MIN(D$43-0-Quesería!$B$47,(Quesería!$B$46-Quesería!$B$47)))/(Quesería!$B$46-Quesería!$B$47))*IF(D$43&gt;=2,1-Quesería!$B$48,1))+IF(D$43&lt;1,0,(Quesería!$B$44*$C$480*$C$477)*(1-MAX(0,MIN(D$43-1-Quesería!$B$47,(Quesería!$B$46-Quesería!$B$47)))/(Quesería!$B$46-Quesería!$B$47))*IF(D$43&gt;=2,1-Quesería!$B$48,1))</f>
        <v>1083.14891709269</v>
      </c>
      <c r="E505" s="58" t="n">
        <f aca="false">IF(E$43&lt;0,0,(Quesería!$B$44*$B$480*$B$477)*(1-MAX(0,MIN(E$43-0-Quesería!$B$47,(Quesería!$B$46-Quesería!$B$47)))/(Quesería!$B$46-Quesería!$B$47))*IF(E$43&gt;=2,1-Quesería!$B$48,1))+IF(E$43&lt;1,0,(Quesería!$B$44*$C$480*$C$477)*(1-MAX(0,MIN(E$43-1-Quesería!$B$47,(Quesería!$B$46-Quesería!$B$47)))/(Quesería!$B$46-Quesería!$B$47))*IF(E$43&gt;=2,1-Quesería!$B$48,1))</f>
        <v>884.809615217005</v>
      </c>
      <c r="F505" s="58" t="n">
        <f aca="false">IF(F$43&lt;0,0,(Quesería!$B$44*$B$480*$B$477)*(1-MAX(0,MIN(F$43-0-Quesería!$B$47,(Quesería!$B$46-Quesería!$B$47)))/(Quesería!$B$46-Quesería!$B$47))*IF(F$43&gt;=2,1-Quesería!$B$48,1))+IF(F$43&lt;1,0,(Quesería!$B$44*$C$480*$C$477)*(1-MAX(0,MIN(F$43-1-Quesería!$B$47,(Quesería!$B$46-Quesería!$B$47)))/(Quesería!$B$46-Quesería!$B$47))*IF(F$43&gt;=2,1-Quesería!$B$48,1))</f>
        <v>686.470313341323</v>
      </c>
      <c r="G505" s="58" t="n">
        <f aca="false">IF(G$43&lt;0,0,(Quesería!$B$44*$B$480*$B$477)*(1-MAX(0,MIN(G$43-0-Quesería!$B$47,(Quesería!$B$46-Quesería!$B$47)))/(Quesería!$B$46-Quesería!$B$47))*IF(G$43&gt;=2,1-Quesería!$B$48,1))+IF(G$43&lt;1,0,(Quesería!$B$44*$C$480*$C$477)*(1-MAX(0,MIN(G$43-1-Quesería!$B$47,(Quesería!$B$46-Quesería!$B$47)))/(Quesería!$B$46-Quesería!$B$47))*IF(G$43&gt;=2,1-Quesería!$B$48,1))</f>
        <v>488.131011465641</v>
      </c>
      <c r="H505" s="58" t="n">
        <f aca="false">IF(H$43&lt;0,0,(Quesería!$B$44*$B$480*$B$477)*(1-MAX(0,MIN(H$43-0-Quesería!$B$47,(Quesería!$B$46-Quesería!$B$47)))/(Quesería!$B$46-Quesería!$B$47))*IF(H$43&gt;=2,1-Quesería!$B$48,1))+IF(H$43&lt;1,0,(Quesería!$B$44*$C$480*$C$477)*(1-MAX(0,MIN(H$43-1-Quesería!$B$47,(Quesería!$B$46-Quesería!$B$47)))/(Quesería!$B$46-Quesería!$B$47))*IF(H$43&gt;=2,1-Quesería!$B$48,1))</f>
        <v>289.79170958996</v>
      </c>
      <c r="I505" s="58" t="n">
        <f aca="false">IF(I$43&lt;0,0,(Quesería!$B$44*$B$480*$B$477)*(1-MAX(0,MIN(I$43-0-Quesería!$B$47,(Quesería!$B$46-Quesería!$B$47)))/(Quesería!$B$46-Quesería!$B$47))*IF(I$43&gt;=2,1-Quesería!$B$48,1))+IF(I$43&lt;1,0,(Quesería!$B$44*$C$480*$C$477)*(1-MAX(0,MIN(I$43-1-Quesería!$B$47,(Quesería!$B$46-Quesería!$B$47)))/(Quesería!$B$46-Quesería!$B$47))*IF(I$43&gt;=2,1-Quesería!$B$48,1))</f>
        <v>91.4524077142776</v>
      </c>
      <c r="J505" s="58" t="n">
        <f aca="false">IF(J$43&lt;0,0,(Quesería!$B$44*$B$480*$B$477)*(1-MAX(0,MIN(J$43-0-Quesería!$B$47,(Quesería!$B$46-Quesería!$B$47)))/(Quesería!$B$46-Quesería!$B$47))*IF(J$43&gt;=2,1-Quesería!$B$48,1))+IF(J$43&lt;1,0,(Quesería!$B$44*$C$480*$C$477)*(1-MAX(0,MIN(J$43-1-Quesería!$B$47,(Quesería!$B$46-Quesería!$B$47)))/(Quesería!$B$46-Quesería!$B$47))*IF(J$43&gt;=2,1-Quesería!$B$48,1))</f>
        <v>0</v>
      </c>
      <c r="K505" s="58" t="n">
        <f aca="false">IF(K$43&lt;0,0,(Quesería!$B$44*$B$480*$B$477)*(1-MAX(0,MIN(K$43-0-Quesería!$B$47,(Quesería!$B$46-Quesería!$B$47)))/(Quesería!$B$46-Quesería!$B$47))*IF(K$43&gt;=2,1-Quesería!$B$48,1))+IF(K$43&lt;1,0,(Quesería!$B$44*$C$480*$C$477)*(1-MAX(0,MIN(K$43-1-Quesería!$B$47,(Quesería!$B$46-Quesería!$B$47)))/(Quesería!$B$46-Quesería!$B$47))*IF(K$43&gt;=2,1-Quesería!$B$48,1))</f>
        <v>0</v>
      </c>
      <c r="L505" s="58" t="n">
        <f aca="false">IF(L$43&lt;0,0,(Quesería!$B$44*$B$480*$B$477)*(1-MAX(0,MIN(L$43-0-Quesería!$B$47,(Quesería!$B$46-Quesería!$B$47)))/(Quesería!$B$46-Quesería!$B$47))*IF(L$43&gt;=2,1-Quesería!$B$48,1))+IF(L$43&lt;1,0,(Quesería!$B$44*$C$480*$C$477)*(1-MAX(0,MIN(L$43-1-Quesería!$B$47,(Quesería!$B$46-Quesería!$B$47)))/(Quesería!$B$46-Quesería!$B$47))*IF(L$43&gt;=2,1-Quesería!$B$48,1))</f>
        <v>0</v>
      </c>
    </row>
    <row r="506" customFormat="false" ht="15" hidden="true" customHeight="false" outlineLevel="1" collapsed="false">
      <c r="A506" s="6" t="s">
        <v>430</v>
      </c>
      <c r="B506" s="29" t="n">
        <f aca="false">Quesería!$B$44*B480</f>
        <v>605.02015563059</v>
      </c>
      <c r="C506" s="29" t="n">
        <f aca="false">Quesería!$B$44*C480</f>
        <v>493.004893338424</v>
      </c>
      <c r="D506" s="29" t="n">
        <f aca="false">Quesería!$B$44*D480</f>
        <v>0</v>
      </c>
      <c r="E506" s="29" t="n">
        <f aca="false">Quesería!$B$44*E480</f>
        <v>0</v>
      </c>
      <c r="F506" s="29" t="n">
        <f aca="false">Quesería!$B$44*F480</f>
        <v>0</v>
      </c>
      <c r="G506" s="29" t="n">
        <f aca="false">Quesería!$B$44*G480</f>
        <v>0</v>
      </c>
      <c r="H506" s="29" t="n">
        <f aca="false">Quesería!$B$44*H480</f>
        <v>0</v>
      </c>
      <c r="I506" s="29" t="n">
        <f aca="false">Quesería!$B$44*I480</f>
        <v>0</v>
      </c>
      <c r="J506" s="29" t="n">
        <f aca="false">Quesería!$B$44*J480</f>
        <v>0</v>
      </c>
      <c r="K506" s="29" t="n">
        <f aca="false">Quesería!$B$44*K480</f>
        <v>0</v>
      </c>
      <c r="L506" s="29" t="n">
        <f aca="false">Quesería!$B$44*L480</f>
        <v>0</v>
      </c>
    </row>
    <row r="507" customFormat="false" ht="15" hidden="true" customHeight="false" outlineLevel="1" collapsed="false">
      <c r="A507" s="6" t="s">
        <v>431</v>
      </c>
      <c r="B507" s="29" t="n">
        <f aca="false">(IF(AND(B$43&gt;0,B$43&lt;=0+Quesería!$B$46),($L$14+$L$24)*(Quesería!$B$44*$B$480*$B$477)*(1-MAX(0,MIN((B$43-1)-0-Quesería!$B$47,(Quesería!$B$46-Quesería!$B$47)))/(Quesería!$B$46-Quesería!$B$47))*IF(B$43&gt;2,1-Quesería!$B$48,1),0)+IF(AND(B$43&gt;1,B$43&lt;=1+Quesería!$B$46),($L$14+$L$24)*(Quesería!$B$44*$C$480*$C$477)*(1-MAX(0,MIN((B$43-1)-1-Quesería!$B$47,(Quesería!$B$46-Quesería!$B$47)))/(Quesería!$B$46-Quesería!$B$47))*IF(B$43&gt;2,1-Quesería!$B$48,1),0))*B479</f>
        <v>0</v>
      </c>
      <c r="C507" s="29" t="n">
        <f aca="false">(IF(AND(C$43&gt;0,C$43&lt;=0+Quesería!$B$46),($L$14+$L$24)*(Quesería!$B$44*$B$480*$B$477)*(1-MAX(0,MIN((C$43-1)-0-Quesería!$B$47,(Quesería!$B$46-Quesería!$B$47)))/(Quesería!$B$46-Quesería!$B$47))*IF(C$43&gt;2,1-Quesería!$B$48,1),0)+IF(AND(C$43&gt;1,C$43&lt;=1+Quesería!$B$46),($L$14+$L$24)*(Quesería!$B$44*$C$480*$C$477)*(1-MAX(0,MIN((C$43-1)-1-Quesería!$B$47,(Quesería!$B$46-Quesería!$B$47)))/(Quesería!$B$46-Quesería!$B$47))*IF(C$43&gt;2,1-Quesería!$B$48,1),0))*C479</f>
        <v>81.2455637561078</v>
      </c>
      <c r="D507" s="29" t="n">
        <f aca="false">(IF(AND(D$43&gt;0,D$43&lt;=0+Quesería!$B$46),($L$14+$L$24)*(Quesería!$B$44*$B$480*$B$477)*(1-MAX(0,MIN((D$43-1)-0-Quesería!$B$47,(Quesería!$B$46-Quesería!$B$47)))/(Quesería!$B$46-Quesería!$B$47))*IF(D$43&gt;2,1-Quesería!$B$48,1),0)+IF(AND(D$43&gt;1,D$43&lt;=1+Quesería!$B$46),($L$14+$L$24)*(Quesería!$B$44*$C$480*$C$477)*(1-MAX(0,MIN((D$43-1)-1-Quesería!$B$47,(Quesería!$B$46-Quesería!$B$47)))/(Quesería!$B$46-Quesería!$B$47))*IF(D$43&gt;2,1-Quesería!$B$48,1),0))*D479</f>
        <v>144.267228437154</v>
      </c>
      <c r="E507" s="29" t="n">
        <f aca="false">(IF(AND(E$43&gt;0,E$43&lt;=0+Quesería!$B$46),($L$14+$L$24)*(Quesería!$B$44*$B$480*$B$477)*(1-MAX(0,MIN((E$43-1)-0-Quesería!$B$47,(Quesería!$B$46-Quesería!$B$47)))/(Quesería!$B$46-Quesería!$B$47))*IF(E$43&gt;2,1-Quesería!$B$48,1),0)+IF(AND(E$43&gt;1,E$43&lt;=1+Quesería!$B$46),($L$14+$L$24)*(Quesería!$B$44*$C$480*$C$477)*(1-MAX(0,MIN((E$43-1)-1-Quesería!$B$47,(Quesería!$B$46-Quesería!$B$47)))/(Quesería!$B$46-Quesería!$B$47))*IF(E$43&gt;2,1-Quesería!$B$48,1),0))*E479</f>
        <v>126.259041612202</v>
      </c>
      <c r="F507" s="29" t="n">
        <f aca="false">(IF(AND(F$43&gt;0,F$43&lt;=0+Quesería!$B$46),($L$14+$L$24)*(Quesería!$B$44*$B$480*$B$477)*(1-MAX(0,MIN((F$43-1)-0-Quesería!$B$47,(Quesería!$B$46-Quesería!$B$47)))/(Quesería!$B$46-Quesería!$B$47))*IF(F$43&gt;2,1-Quesería!$B$48,1),0)+IF(AND(F$43&gt;1,F$43&lt;=1+Quesería!$B$46),($L$14+$L$24)*(Quesería!$B$44*$C$480*$C$477)*(1-MAX(0,MIN((F$43-1)-1-Quesería!$B$47,(Quesería!$B$46-Quesería!$B$47)))/(Quesería!$B$46-Quesería!$B$47))*IF(F$43&gt;2,1-Quesería!$B$48,1),0))*F479</f>
        <v>99.1723975627135</v>
      </c>
      <c r="G507" s="29" t="n">
        <f aca="false">(IF(AND(G$43&gt;0,G$43&lt;=0+Quesería!$B$46),($L$14+$L$24)*(Quesería!$B$44*$B$480*$B$477)*(1-MAX(0,MIN((G$43-1)-0-Quesería!$B$47,(Quesería!$B$46-Quesería!$B$47)))/(Quesería!$B$46-Quesería!$B$47))*IF(G$43&gt;2,1-Quesería!$B$48,1),0)+IF(AND(G$43&gt;1,G$43&lt;=1+Quesería!$B$46),($L$14+$L$24)*(Quesería!$B$44*$C$480*$C$477)*(1-MAX(0,MIN((G$43-1)-1-Quesería!$B$47,(Quesería!$B$46-Quesería!$B$47)))/(Quesería!$B$46-Quesería!$B$47))*IF(G$43&gt;2,1-Quesería!$B$48,1),0))*G479</f>
        <v>73.9825677868365</v>
      </c>
      <c r="H507" s="29" t="n">
        <f aca="false">(IF(AND(H$43&gt;0,H$43&lt;=0+Quesería!$B$46),($L$14+$L$24)*(Quesería!$B$44*$B$480*$B$477)*(1-MAX(0,MIN((H$43-1)-0-Quesería!$B$47,(Quesería!$B$46-Quesería!$B$47)))/(Quesería!$B$46-Quesería!$B$47))*IF(H$43&gt;2,1-Quesería!$B$48,1),0)+IF(AND(H$43&gt;1,H$43&lt;=1+Quesería!$B$46),($L$14+$L$24)*(Quesería!$B$44*$C$480*$C$477)*(1-MAX(0,MIN((H$43-1)-1-Quesería!$B$47,(Quesería!$B$46-Quesería!$B$47)))/(Quesería!$B$46-Quesería!$B$47))*IF(H$43&gt;2,1-Quesería!$B$48,1),0))*H479</f>
        <v>50.583712494366</v>
      </c>
      <c r="I507" s="29" t="n">
        <f aca="false">(IF(AND(I$43&gt;0,I$43&lt;=0+Quesería!$B$46),($L$14+$L$24)*(Quesería!$B$44*$B$480*$B$477)*(1-MAX(0,MIN((I$43-1)-0-Quesería!$B$47,(Quesería!$B$46-Quesería!$B$47)))/(Quesería!$B$46-Quesería!$B$47))*IF(I$43&gt;2,1-Quesería!$B$48,1),0)+IF(AND(I$43&gt;1,I$43&lt;=1+Quesería!$B$46),($L$14+$L$24)*(Quesería!$B$44*$C$480*$C$477)*(1-MAX(0,MIN((I$43-1)-1-Quesería!$B$47,(Quesería!$B$46-Quesería!$B$47)))/(Quesería!$B$46-Quesería!$B$47))*IF(I$43&gt;2,1-Quesería!$B$48,1),0))*I479</f>
        <v>28.8753274791465</v>
      </c>
      <c r="J507" s="29" t="n">
        <f aca="false">(IF(AND(J$43&gt;0,J$43&lt;=0+Quesería!$B$46),($L$14+$L$24)*(Quesería!$B$44*$B$480*$B$477)*(1-MAX(0,MIN((J$43-1)-0-Quesería!$B$47,(Quesería!$B$46-Quesería!$B$47)))/(Quesería!$B$46-Quesería!$B$47))*IF(J$43&gt;2,1-Quesería!$B$48,1),0)+IF(AND(J$43&gt;1,J$43&lt;=1+Quesería!$B$46),($L$14+$L$24)*(Quesería!$B$44*$C$480*$C$477)*(1-MAX(0,MIN((J$43-1)-1-Quesería!$B$47,(Quesería!$B$46-Quesería!$B$47)))/(Quesería!$B$46-Quesería!$B$47))*IF(J$43&gt;2,1-Quesería!$B$48,1),0))*J479</f>
        <v>8.76199025726588</v>
      </c>
      <c r="K507" s="29" t="n">
        <f aca="false">(IF(AND(K$43&gt;0,K$43&lt;=0+Quesería!$B$46),($L$14+$L$24)*(Quesería!$B$44*$B$480*$B$477)*(1-MAX(0,MIN((K$43-1)-0-Quesería!$B$47,(Quesería!$B$46-Quesería!$B$47)))/(Quesería!$B$46-Quesería!$B$47))*IF(K$43&gt;2,1-Quesería!$B$48,1),0)+IF(AND(K$43&gt;1,K$43&lt;=1+Quesería!$B$46),($L$14+$L$24)*(Quesería!$B$44*$C$480*$C$477)*(1-MAX(0,MIN((K$43-1)-1-Quesería!$B$47,(Quesería!$B$46-Quesería!$B$47)))/(Quesería!$B$46-Quesería!$B$47))*IF(K$43&gt;2,1-Quesería!$B$48,1),0))*K479</f>
        <v>0</v>
      </c>
      <c r="L507" s="29" t="n">
        <f aca="false">(IF(AND(L$43&gt;0,L$43&lt;=0+Quesería!$B$46),($L$14+$L$24)*(Quesería!$B$44*$B$480*$B$477)*(1-MAX(0,MIN((L$43-1)-0-Quesería!$B$47,(Quesería!$B$46-Quesería!$B$47)))/(Quesería!$B$46-Quesería!$B$47))*IF(L$43&gt;2,1-Quesería!$B$48,1),0)+IF(AND(L$43&gt;1,L$43&lt;=1+Quesería!$B$46),($L$14+$L$24)*(Quesería!$B$44*$C$480*$C$477)*(1-MAX(0,MIN((L$43-1)-1-Quesería!$B$47,(Quesería!$B$46-Quesería!$B$47)))/(Quesería!$B$46-Quesería!$B$47))*IF(L$43&gt;2,1-Quesería!$B$48,1),0))*L479</f>
        <v>0</v>
      </c>
    </row>
    <row r="508" customFormat="false" ht="15" hidden="true" customHeight="false" outlineLevel="1" collapsed="false">
      <c r="A508" s="6" t="s">
        <v>432</v>
      </c>
      <c r="B508" s="29" t="n">
        <f aca="false">((IF(AND(B$43&gt;0+Quesería!$B$47,B$43&lt;=0+Quesería!$B$46),(Quesería!$B$44*$B$480*$B$477)/(Quesería!$B$46-Quesería!$B$47),0)*IF(B$43&gt;2,1-Quesería!$B$48,1)+IF(B$43=2,Quesería!$B$48*(Quesería!$B$44*$B$480*$B$477)*(1-MAX(0,MIN(2-0-Quesería!$B$47,(Quesería!$B$46-Quesería!$B$47)))/(Quesería!$B$46-Quesería!$B$47)),0))+(IF(AND(B$43&gt;1+Quesería!$B$47,B$43&lt;=1+Quesería!$B$46),(Quesería!$B$44*$C$480*$C$477)/(Quesería!$B$46-Quesería!$B$47),0)*IF(B$43&gt;2,1-Quesería!$B$48,1)+IF(B$43=2,Quesería!$B$48*(Quesería!$B$44*$C$480*$C$477)*(1-MAX(0,MIN(2-1-Quesería!$B$47,(Quesería!$B$46-Quesería!$B$47)))/(Quesería!$B$46-Quesería!$B$47)),0)))*B479</f>
        <v>0</v>
      </c>
      <c r="C508" s="29" t="n">
        <f aca="false">((IF(AND(C$43&gt;0+Quesería!$B$47,C$43&lt;=0+Quesería!$B$46),(Quesería!$B$44*$B$480*$B$477)/(Quesería!$B$46-Quesería!$B$47),0)*IF(C$43&gt;2,1-Quesería!$B$48,1)+IF(C$43=2,Quesería!$B$48*(Quesería!$B$44*$B$480*$B$477)*(1-MAX(0,MIN(2-0-Quesería!$B$47,(Quesería!$B$46-Quesería!$B$47)))/(Quesería!$B$46-Quesería!$B$47)),0))+(IF(AND(C$43&gt;1+Quesería!$B$47,C$43&lt;=1+Quesería!$B$46),(Quesería!$B$44*$C$480*$C$477)/(Quesería!$B$46-Quesería!$B$47),0)*IF(C$43&gt;2,1-Quesería!$B$48,1)+IF(C$43=2,Quesería!$B$48*(Quesería!$B$44*$C$480*$C$477)*(1-MAX(0,MIN(2-1-Quesería!$B$47,(Quesería!$B$46-Quesería!$B$47)))/(Quesería!$B$46-Quesería!$B$47)),0)))*C479</f>
        <v>0</v>
      </c>
      <c r="D508" s="29" t="n">
        <f aca="false">((IF(AND(D$43&gt;0+Quesería!$B$47,D$43&lt;=0+Quesería!$B$46),(Quesería!$B$44*$B$480*$B$477)/(Quesería!$B$46-Quesería!$B$47),0)*IF(D$43&gt;2,1-Quesería!$B$48,1)+IF(D$43=2,Quesería!$B$48*(Quesería!$B$44*$B$480*$B$477)*(1-MAX(0,MIN(2-0-Quesería!$B$47,(Quesería!$B$46-Quesería!$B$47)))/(Quesería!$B$46-Quesería!$B$47)),0))+(IF(AND(D$43&gt;1+Quesería!$B$47,D$43&lt;=1+Quesería!$B$46),(Quesería!$B$44*$C$480*$C$477)/(Quesería!$B$46-Quesería!$B$47),0)*IF(D$43&gt;2,1-Quesería!$B$48,1)+IF(D$43=2,Quesería!$B$48*(Quesería!$B$44*$C$480*$C$477)*(1-MAX(0,MIN(2-1-Quesería!$B$47,(Quesería!$B$46-Quesería!$B$47)))/(Quesería!$B$46-Quesería!$B$47)),0)))*D479</f>
        <v>91.8994692231472</v>
      </c>
      <c r="E508" s="29" t="n">
        <f aca="false">((IF(AND(E$43&gt;0+Quesería!$B$47,E$43&lt;=0+Quesería!$B$46),(Quesería!$B$44*$B$480*$B$477)/(Quesería!$B$46-Quesería!$B$47),0)*IF(E$43&gt;2,1-Quesería!$B$48,1)+IF(E$43=2,Quesería!$B$48*(Quesería!$B$44*$B$480*$B$477)*(1-MAX(0,MIN(2-0-Quesería!$B$47,(Quesería!$B$46-Quesería!$B$47)))/(Quesería!$B$46-Quesería!$B$47)),0))+(IF(AND(E$43&gt;1+Quesería!$B$47,E$43&lt;=1+Quesería!$B$46),(Quesería!$B$44*$C$480*$C$477)/(Quesería!$B$46-Quesería!$B$47),0)*IF(E$43&gt;2,1-Quesería!$B$48,1)+IF(E$43=2,Quesería!$B$48*(Quesería!$B$44*$C$480*$C$477)*(1-MAX(0,MIN(2-1-Quesería!$B$47,(Quesería!$B$46-Quesería!$B$47)))/(Quesería!$B$46-Quesería!$B$47)),0)))*E479</f>
        <v>163.969845014041</v>
      </c>
      <c r="F508" s="29" t="n">
        <f aca="false">((IF(AND(F$43&gt;0+Quesería!$B$47,F$43&lt;=0+Quesería!$B$46),(Quesería!$B$44*$B$480*$B$477)/(Quesería!$B$46-Quesería!$B$47),0)*IF(F$43&gt;2,1-Quesería!$B$48,1)+IF(F$43=2,Quesería!$B$48*(Quesería!$B$44*$B$480*$B$477)*(1-MAX(0,MIN(2-0-Quesería!$B$47,(Quesería!$B$46-Quesería!$B$47)))/(Quesería!$B$46-Quesería!$B$47)),0))+(IF(AND(F$43&gt;1+Quesería!$B$47,F$43&lt;=1+Quesería!$B$46),(Quesería!$B$44*$C$480*$C$477)/(Quesería!$B$46-Quesería!$B$47),0)*IF(F$43&gt;2,1-Quesería!$B$48,1)+IF(F$43=2,Quesería!$B$48*(Quesería!$B$44*$C$480*$C$477)*(1-MAX(0,MIN(2-1-Quesería!$B$47,(Quesería!$B$46-Quesería!$B$47)))/(Quesería!$B$46-Quesería!$B$47)),0)))*F479</f>
        <v>157.663312513501</v>
      </c>
      <c r="G508" s="29" t="n">
        <f aca="false">((IF(AND(G$43&gt;0+Quesería!$B$47,G$43&lt;=0+Quesería!$B$46),(Quesería!$B$44*$B$480*$B$477)/(Quesería!$B$46-Quesería!$B$47),0)*IF(G$43&gt;2,1-Quesería!$B$48,1)+IF(G$43=2,Quesería!$B$48*(Quesería!$B$44*$B$480*$B$477)*(1-MAX(0,MIN(2-0-Quesería!$B$47,(Quesería!$B$46-Quesería!$B$47)))/(Quesería!$B$46-Quesería!$B$47)),0))+(IF(AND(G$43&gt;1+Quesería!$B$47,G$43&lt;=1+Quesería!$B$46),(Quesería!$B$44*$C$480*$C$477)/(Quesería!$B$46-Quesería!$B$47),0)*IF(G$43&gt;2,1-Quesería!$B$48,1)+IF(G$43=2,Quesería!$B$48*(Quesería!$B$44*$C$480*$C$477)*(1-MAX(0,MIN(2-1-Quesería!$B$47,(Quesería!$B$46-Quesería!$B$47)))/(Quesería!$B$46-Quesería!$B$47)),0)))*G479</f>
        <v>151.599338955289</v>
      </c>
      <c r="H508" s="29" t="n">
        <f aca="false">((IF(AND(H$43&gt;0+Quesería!$B$47,H$43&lt;=0+Quesería!$B$46),(Quesería!$B$44*$B$480*$B$477)/(Quesería!$B$46-Quesería!$B$47),0)*IF(H$43&gt;2,1-Quesería!$B$48,1)+IF(H$43=2,Quesería!$B$48*(Quesería!$B$44*$B$480*$B$477)*(1-MAX(0,MIN(2-0-Quesería!$B$47,(Quesería!$B$46-Quesería!$B$47)))/(Quesería!$B$46-Quesería!$B$47)),0))+(IF(AND(H$43&gt;1+Quesería!$B$47,H$43&lt;=1+Quesería!$B$46),(Quesería!$B$44*$C$480*$C$477)/(Quesería!$B$46-Quesería!$B$47),0)*IF(H$43&gt;2,1-Quesería!$B$48,1)+IF(H$43=2,Quesería!$B$48*(Quesería!$B$44*$C$480*$C$477)*(1-MAX(0,MIN(2-1-Quesería!$B$47,(Quesería!$B$46-Quesería!$B$47)))/(Quesería!$B$46-Quesería!$B$47)),0)))*H479</f>
        <v>145.768595149317</v>
      </c>
      <c r="I508" s="29" t="n">
        <f aca="false">((IF(AND(I$43&gt;0+Quesería!$B$47,I$43&lt;=0+Quesería!$B$46),(Quesería!$B$44*$B$480*$B$477)/(Quesería!$B$46-Quesería!$B$47),0)*IF(I$43&gt;2,1-Quesería!$B$48,1)+IF(I$43=2,Quesería!$B$48*(Quesería!$B$44*$B$480*$B$477)*(1-MAX(0,MIN(2-0-Quesería!$B$47,(Quesería!$B$46-Quesería!$B$47)))/(Quesería!$B$46-Quesería!$B$47)),0))+(IF(AND(I$43&gt;1+Quesería!$B$47,I$43&lt;=1+Quesería!$B$46),(Quesería!$B$44*$C$480*$C$477)/(Quesería!$B$46-Quesería!$B$47),0)*IF(I$43&gt;2,1-Quesería!$B$48,1)+IF(I$43=2,Quesería!$B$48*(Quesería!$B$44*$C$480*$C$477)*(1-MAX(0,MIN(2-1-Quesería!$B$47,(Quesería!$B$46-Quesería!$B$47)))/(Quesería!$B$46-Quesería!$B$47)),0)))*I479</f>
        <v>140.162110720497</v>
      </c>
      <c r="J508" s="29" t="n">
        <f aca="false">((IF(AND(J$43&gt;0+Quesería!$B$47,J$43&lt;=0+Quesería!$B$46),(Quesería!$B$44*$B$480*$B$477)/(Quesería!$B$46-Quesería!$B$47),0)*IF(J$43&gt;2,1-Quesería!$B$48,1)+IF(J$43=2,Quesería!$B$48*(Quesería!$B$44*$B$480*$B$477)*(1-MAX(0,MIN(2-0-Quesería!$B$47,(Quesería!$B$46-Quesería!$B$47)))/(Quesería!$B$46-Quesería!$B$47)),0))+(IF(AND(J$43&gt;1+Quesería!$B$47,J$43&lt;=1+Quesería!$B$46),(Quesería!$B$44*$C$480*$C$477)/(Quesería!$B$46-Quesería!$B$47),0)*IF(J$43&gt;2,1-Quesería!$B$48,1)+IF(J$43=2,Quesería!$B$48*(Quesería!$B$44*$C$480*$C$477)*(1-MAX(0,MIN(2-1-Quesería!$B$47,(Quesería!$B$46-Quesería!$B$47)))/(Quesería!$B$46-Quesería!$B$47)),0)))*J479</f>
        <v>62.1417748742261</v>
      </c>
      <c r="K508" s="29" t="n">
        <f aca="false">((IF(AND(K$43&gt;0+Quesería!$B$47,K$43&lt;=0+Quesería!$B$46),(Quesería!$B$44*$B$480*$B$477)/(Quesería!$B$46-Quesería!$B$47),0)*IF(K$43&gt;2,1-Quesería!$B$48,1)+IF(K$43=2,Quesería!$B$48*(Quesería!$B$44*$B$480*$B$477)*(1-MAX(0,MIN(2-0-Quesería!$B$47,(Quesería!$B$46-Quesería!$B$47)))/(Quesería!$B$46-Quesería!$B$47)),0))+(IF(AND(K$43&gt;1+Quesería!$B$47,K$43&lt;=1+Quesería!$B$46),(Quesería!$B$44*$C$480*$C$477)/(Quesería!$B$46-Quesería!$B$47),0)*IF(K$43&gt;2,1-Quesería!$B$48,1)+IF(K$43=2,Quesería!$B$48*(Quesería!$B$44*$C$480*$C$477)*(1-MAX(0,MIN(2-1-Quesería!$B$47,(Quesería!$B$46-Quesería!$B$47)))/(Quesería!$B$46-Quesería!$B$47)),0)))*K479</f>
        <v>0</v>
      </c>
      <c r="L508" s="29" t="n">
        <f aca="false">((IF(AND(L$43&gt;0+Quesería!$B$47,L$43&lt;=0+Quesería!$B$46),(Quesería!$B$44*$B$480*$B$477)/(Quesería!$B$46-Quesería!$B$47),0)*IF(L$43&gt;2,1-Quesería!$B$48,1)+IF(L$43=2,Quesería!$B$48*(Quesería!$B$44*$B$480*$B$477)*(1-MAX(0,MIN(2-0-Quesería!$B$47,(Quesería!$B$46-Quesería!$B$47)))/(Quesería!$B$46-Quesería!$B$47)),0))+(IF(AND(L$43&gt;1+Quesería!$B$47,L$43&lt;=1+Quesería!$B$46),(Quesería!$B$44*$C$480*$C$477)/(Quesería!$B$46-Quesería!$B$47),0)*IF(L$43&gt;2,1-Quesería!$B$48,1)+IF(L$43=2,Quesería!$B$48*(Quesería!$B$44*$C$480*$C$477)*(1-MAX(0,MIN(2-1-Quesería!$B$47,(Quesería!$B$46-Quesería!$B$47)))/(Quesería!$B$46-Quesería!$B$47)),0)))*L479</f>
        <v>0</v>
      </c>
    </row>
    <row r="509" customFormat="false" ht="15" hidden="true" customHeight="false" outlineLevel="1" collapsed="false">
      <c r="A509" s="6" t="s">
        <v>433</v>
      </c>
      <c r="B509" s="29" t="n">
        <f aca="false">$L$13*Quesería!$B$51*(1+0.19)*B505*B479+(1-$L$13)*IF(B$43=0,Quesería!$B$50,0)</f>
        <v>4</v>
      </c>
      <c r="C509" s="29" t="n">
        <f aca="false">$L$13*Quesería!$B$51*(1+0.19)*C505*C479+(1-$L$13)*IF(C$43=0,Quesería!$B$50,0)</f>
        <v>0</v>
      </c>
      <c r="D509" s="29" t="n">
        <f aca="false">$L$13*Quesería!$B$51*(1+0.19)*D505*D479+(1-$L$13)*IF(D$43=0,Quesería!$B$50,0)</f>
        <v>0</v>
      </c>
      <c r="E509" s="29" t="n">
        <f aca="false">$L$13*Quesería!$B$51*(1+0.19)*E505*E479+(1-$L$13)*IF(E$43=0,Quesería!$B$50,0)</f>
        <v>0</v>
      </c>
      <c r="F509" s="29" t="n">
        <f aca="false">$L$13*Quesería!$B$51*(1+0.19)*F505*F479+(1-$L$13)*IF(F$43=0,Quesería!$B$50,0)</f>
        <v>0</v>
      </c>
      <c r="G509" s="29" t="n">
        <f aca="false">$L$13*Quesería!$B$51*(1+0.19)*G505*G479+(1-$L$13)*IF(G$43=0,Quesería!$B$50,0)</f>
        <v>0</v>
      </c>
      <c r="H509" s="29" t="n">
        <f aca="false">$L$13*Quesería!$B$51*(1+0.19)*H505*H479+(1-$L$13)*IF(H$43=0,Quesería!$B$50,0)</f>
        <v>0</v>
      </c>
      <c r="I509" s="29" t="n">
        <f aca="false">$L$13*Quesería!$B$51*(1+0.19)*I505*I479+(1-$L$13)*IF(I$43=0,Quesería!$B$50,0)</f>
        <v>0</v>
      </c>
      <c r="J509" s="29" t="n">
        <f aca="false">$L$13*Quesería!$B$51*(1+0.19)*J505*J479+(1-$L$13)*IF(J$43=0,Quesería!$B$50,0)</f>
        <v>0</v>
      </c>
      <c r="K509" s="29" t="n">
        <f aca="false">$L$13*Quesería!$B$51*(1+0.19)*K505*K479+(1-$L$13)*IF(K$43=0,Quesería!$B$50,0)</f>
        <v>0</v>
      </c>
      <c r="L509" s="29" t="n">
        <f aca="false">$L$13*Quesería!$B$51*(1+0.19)*L505*L479+(1-$L$13)*IF(L$43=0,Quesería!$B$50,0)</f>
        <v>0</v>
      </c>
    </row>
    <row r="510" customFormat="false" ht="15" hidden="true" customHeight="false" outlineLevel="1" collapsed="false">
      <c r="A510" s="6" t="s">
        <v>434</v>
      </c>
      <c r="B510" s="29" t="n">
        <f aca="false">Quesería!$B$52*(B507+B508+B509)</f>
        <v>0.016</v>
      </c>
      <c r="C510" s="29" t="n">
        <f aca="false">Quesería!$B$52*(C507+C508+C509)</f>
        <v>0.324982255024431</v>
      </c>
      <c r="D510" s="29" t="n">
        <f aca="false">Quesería!$B$52*(D507+D508+D509)</f>
        <v>0.944666790641204</v>
      </c>
      <c r="E510" s="29" t="n">
        <f aca="false">Quesería!$B$52*(E507+E508+E509)</f>
        <v>1.16091554650497</v>
      </c>
      <c r="F510" s="29" t="n">
        <f aca="false">Quesería!$B$52*(F507+F508+F509)</f>
        <v>1.02734284030486</v>
      </c>
      <c r="G510" s="29" t="n">
        <f aca="false">Quesería!$B$52*(G507+G508+G509)</f>
        <v>0.902327626968503</v>
      </c>
      <c r="H510" s="29" t="n">
        <f aca="false">Quesería!$B$52*(H507+H508+H509)</f>
        <v>0.78540923057473</v>
      </c>
      <c r="I510" s="29" t="n">
        <f aca="false">Quesería!$B$52*(I507+I508+I509)</f>
        <v>0.676149752798573</v>
      </c>
      <c r="J510" s="29" t="n">
        <f aca="false">Quesería!$B$52*(J507+J508+J509)</f>
        <v>0.283615060525968</v>
      </c>
      <c r="K510" s="29" t="n">
        <f aca="false">Quesería!$B$52*(K507+K508+K509)</f>
        <v>0</v>
      </c>
      <c r="L510" s="29" t="n">
        <f aca="false">Quesería!$B$52*(L507+L508+L509)</f>
        <v>0</v>
      </c>
    </row>
    <row r="511" customFormat="false" ht="15" hidden="true" customHeight="false" outlineLevel="1" collapsed="false">
      <c r="A511" s="6" t="s">
        <v>435</v>
      </c>
      <c r="B511" s="29" t="n">
        <f aca="false">$L$17*(B507+B509+0.5*B510)</f>
        <v>1.4028</v>
      </c>
      <c r="C511" s="29" t="n">
        <f aca="false">$L$17*(C507+C509+0.5*C510)</f>
        <v>28.492819209267</v>
      </c>
      <c r="D511" s="29" t="n">
        <f aca="false">$L$17*(D507+D509+0.5*D510)</f>
        <v>50.658846641366</v>
      </c>
      <c r="E511" s="29" t="n">
        <f aca="false">$L$17*(E507+E509+0.5*E510)</f>
        <v>44.393824784909</v>
      </c>
      <c r="F511" s="29" t="n">
        <f aca="false">$L$17*(F507+F509+0.5*F510)</f>
        <v>34.8901241440031</v>
      </c>
      <c r="G511" s="29" t="n">
        <f aca="false">$L$17*(G507+G509+0.5*G510)</f>
        <v>26.0518060601123</v>
      </c>
      <c r="H511" s="29" t="n">
        <f aca="false">$L$17*(H507+H509+0.5*H510)</f>
        <v>17.8417459883787</v>
      </c>
      <c r="I511" s="29" t="n">
        <f aca="false">$L$17*(I507+I509+0.5*I510)</f>
        <v>10.224690824441</v>
      </c>
      <c r="J511" s="29" t="n">
        <f aca="false">$L$17*(J507+J509+0.5*J510)</f>
        <v>3.1163292256351</v>
      </c>
      <c r="K511" s="29" t="n">
        <f aca="false">$L$17*(K507+K509+0.5*K510)</f>
        <v>0</v>
      </c>
      <c r="L511" s="29" t="n">
        <f aca="false">$L$17*(L507+L509+0.5*L510)</f>
        <v>0</v>
      </c>
    </row>
    <row r="512" customFormat="false" ht="15" hidden="true" customHeight="false" outlineLevel="1" collapsed="false">
      <c r="A512" s="5" t="s">
        <v>436</v>
      </c>
      <c r="B512" s="59" t="n">
        <f aca="false">B497+B506-B507-B508-B509-B510+B511</f>
        <v>-358.744924503166</v>
      </c>
      <c r="C512" s="59" t="n">
        <f aca="false">C497+C506-C507-C508-C509-C510+C511</f>
        <v>-52.3616252220698</v>
      </c>
      <c r="D512" s="59" t="n">
        <f aca="false">D497+D506-D507-D508-D509-D510+D511</f>
        <v>387.755778766004</v>
      </c>
      <c r="E512" s="59" t="n">
        <f aca="false">E497+E506-E507-E508-E509-E510+E511</f>
        <v>106.259359804379</v>
      </c>
      <c r="F512" s="59" t="n">
        <f aca="false">F497+F506-F507-F508-F509-F510+F511</f>
        <v>132.785433573329</v>
      </c>
      <c r="G512" s="59" t="n">
        <f aca="false">G497+G506-G507-G508-G509-G510+G511</f>
        <v>120.853368953239</v>
      </c>
      <c r="H512" s="59" t="n">
        <f aca="false">H497+H506-H507-H508-H509-H510+H511</f>
        <v>120.349527665483</v>
      </c>
      <c r="I512" s="59" t="n">
        <f aca="false">I497+I506-I507-I508-I509-I510+I511</f>
        <v>200.67894537472</v>
      </c>
      <c r="J512" s="59" t="n">
        <f aca="false">J497+J506-J507-J508-J509-J510+J511</f>
        <v>282.123581481908</v>
      </c>
      <c r="K512" s="59" t="n">
        <f aca="false">K497+K506-K507-K508-K509-K510+K511</f>
        <v>348.762901231146</v>
      </c>
      <c r="L512" s="59" t="n">
        <f aca="false">L497+L506-L507-L508-L509-L510+L511</f>
        <v>442.657377029963</v>
      </c>
    </row>
    <row r="513" customFormat="false" ht="15" hidden="true" customHeight="false" outlineLevel="1" collapsed="false">
      <c r="A513" s="9" t="s">
        <v>437</v>
      </c>
      <c r="B513" s="58" t="n">
        <f aca="false">B512*B477</f>
        <v>-380.269619973356</v>
      </c>
      <c r="C513" s="58" t="n">
        <f aca="false">C512*C477</f>
        <v>-58.2784888721636</v>
      </c>
      <c r="D513" s="58" t="n">
        <f aca="false">D512*D477</f>
        <v>450.992929946058</v>
      </c>
      <c r="E513" s="58" t="n">
        <f aca="false">E512*E477</f>
        <v>128.532214197999</v>
      </c>
      <c r="F513" s="58" t="n">
        <f aca="false">F512*F477</f>
        <v>167.043110881858</v>
      </c>
      <c r="G513" s="58" t="n">
        <f aca="false">G512*G477</f>
        <v>158.113966674875</v>
      </c>
      <c r="H513" s="58" t="n">
        <f aca="false">H512*H477</f>
        <v>163.75297624148</v>
      </c>
      <c r="I513" s="58" t="n">
        <f aca="false">I512*I477</f>
        <v>283.974903932077</v>
      </c>
      <c r="J513" s="58" t="n">
        <f aca="false">J512*J477</f>
        <v>415.193818517676</v>
      </c>
      <c r="K513" s="58" t="n">
        <f aca="false">K512*K477</f>
        <v>533.795749923508</v>
      </c>
      <c r="L513" s="58" t="n">
        <f aca="false">L512*L477</f>
        <v>704.605251087904</v>
      </c>
    </row>
    <row r="514" customFormat="false" ht="15" hidden="true" customHeight="false" outlineLevel="1" collapsed="false">
      <c r="A514" s="9" t="s">
        <v>438</v>
      </c>
      <c r="B514" s="57" t="n">
        <f aca="false">(B477/$B$477)/(1+Quesería!$B$11+$L$24)^B$43</f>
        <v>1</v>
      </c>
      <c r="C514" s="57" t="n">
        <f aca="false">(C477/$B$477)/(1+Quesería!$B$11+$L$24)^C$43</f>
        <v>0.84</v>
      </c>
      <c r="D514" s="57" t="n">
        <f aca="false">(D477/$B$477)/(1+Quesería!$B$11+$L$24)^D$43</f>
        <v>0.70224</v>
      </c>
      <c r="E514" s="57" t="n">
        <f aca="false">(E477/$B$477)/(1+Quesería!$B$11+$L$24)^E$43</f>
        <v>0.58426368</v>
      </c>
      <c r="F514" s="57" t="n">
        <f aca="false">(F477/$B$477)/(1+Quesería!$B$11+$L$24)^F$43</f>
        <v>0.48610738176</v>
      </c>
      <c r="G514" s="57" t="n">
        <f aca="false">(G477/$B$477)/(1+Quesería!$B$11+$L$24)^G$43</f>
        <v>0.40444134162432</v>
      </c>
      <c r="H514" s="57" t="n">
        <f aca="false">(H477/$B$477)/(1+Quesería!$B$11+$L$24)^H$43</f>
        <v>0.336495196231434</v>
      </c>
      <c r="I514" s="57" t="n">
        <f aca="false">(I477/$B$477)/(1+Quesería!$B$11+$L$24)^I$43</f>
        <v>0.279964003264553</v>
      </c>
      <c r="J514" s="57" t="n">
        <f aca="false">(J477/$B$477)/(1+Quesería!$B$11+$L$24)^J$43</f>
        <v>0.232930050716108</v>
      </c>
      <c r="K514" s="57" t="n">
        <f aca="false">(K477/$B$477)/(1+Quesería!$B$11+$L$24)^K$43</f>
        <v>0.193797802195802</v>
      </c>
      <c r="L514" s="57" t="n">
        <f aca="false">(L477/$B$477)/(1+Quesería!$B$11+$L$24)^L$43</f>
        <v>0.161239771426907</v>
      </c>
    </row>
    <row r="515" customFormat="false" ht="15" hidden="true" customHeight="false" outlineLevel="1" collapsed="false">
      <c r="A515" s="9" t="s">
        <v>439</v>
      </c>
      <c r="B515" s="58" t="n">
        <f aca="false">B497+B480+B482+B511</f>
        <v>120.166830858099</v>
      </c>
      <c r="C515" s="58" t="n">
        <f aca="false">C497+C480+C482+C511</f>
        <v>438.782216793292</v>
      </c>
      <c r="D515" s="58" t="n">
        <f aca="false">D497+D480+D482+D511</f>
        <v>624.867143216946</v>
      </c>
      <c r="E515" s="58" t="n">
        <f aca="false">E497+E480+E482+E511</f>
        <v>397.649161977126</v>
      </c>
      <c r="F515" s="58" t="n">
        <f aca="false">F497+F480+F482+F511</f>
        <v>390.648486489848</v>
      </c>
      <c r="G515" s="58" t="n">
        <f aca="false">G497+G480+G482+G511</f>
        <v>352.55599460342</v>
      </c>
      <c r="H515" s="58" t="n">
        <f aca="false">H497+H480+H482+H511</f>
        <v>326.301184124822</v>
      </c>
      <c r="I515" s="58" t="n">
        <f aca="false">I497+I480+I482+I511</f>
        <v>370.392533327162</v>
      </c>
      <c r="J515" s="58" t="n">
        <f aca="false">J497+J480+J482+J511</f>
        <v>353.310961673926</v>
      </c>
      <c r="K515" s="58" t="n">
        <f aca="false">K497+K480+K482+K511</f>
        <v>348.762901231146</v>
      </c>
      <c r="L515" s="58" t="n">
        <f aca="false">L497+L480+L482+L511</f>
        <v>442.657377029963</v>
      </c>
    </row>
    <row r="516" customFormat="false" ht="15" hidden="true" customHeight="false" outlineLevel="1" collapsed="false">
      <c r="A516" s="5" t="s">
        <v>149</v>
      </c>
      <c r="B516" s="12" t="str">
        <f aca="false">IF(AND(B$43&gt;=1,(B507+B508+B509)&gt;0.001),B515/(B507+B508+B509),"")</f>
        <v/>
      </c>
      <c r="C516" s="12" t="n">
        <f aca="false">IF(AND(C$43&gt;=1,(C507+C508+C509)&gt;0.001),C515/(C507+C508+C509),"")</f>
        <v>5.40069139172298</v>
      </c>
      <c r="D516" s="12" t="n">
        <f aca="false">IF(AND(D$43&gt;=1,(D507+D508+D509)&gt;0.001),D515/(D507+D508+D509),"")</f>
        <v>2.64587323025428</v>
      </c>
      <c r="E516" s="12" t="n">
        <f aca="false">IF(AND(E$43&gt;=1,(E507+E508+E509)&gt;0.001),E515/(E507+E508+E509),"")</f>
        <v>1.3701226180467</v>
      </c>
      <c r="F516" s="12" t="n">
        <f aca="false">IF(AND(F$43&gt;=1,(F507+F508+F509)&gt;0.001),F515/(F507+F508+F509),"")</f>
        <v>1.52100533984906</v>
      </c>
      <c r="G516" s="12" t="n">
        <f aca="false">IF(AND(G$43&gt;=1,(G507+G508+G509)&gt;0.001),G515/(G507+G508+G509),"")</f>
        <v>1.56287354644291</v>
      </c>
      <c r="H516" s="12" t="n">
        <f aca="false">IF(AND(H$43&gt;=1,(H507+H508+H509)&gt;0.001),H515/(H507+H508+H509),"")</f>
        <v>1.66181486757444</v>
      </c>
      <c r="I516" s="12" t="n">
        <f aca="false">IF(AND(I$43&gt;=1,(I507+I508+I509)&gt;0.001),I515/(I507+I508+I509),"")</f>
        <v>2.19118638611706</v>
      </c>
      <c r="J516" s="12" t="n">
        <f aca="false">IF(AND(J$43&gt;=1,(J507+J508+J509)&gt;0.001),J515/(J507+J508+J509),"")</f>
        <v>4.98296474127582</v>
      </c>
      <c r="K516" s="12" t="str">
        <f aca="false">IF(AND(K$43&gt;=1,(K507+K508+K509)&gt;0.001),K515/(K507+K508+K509),"")</f>
        <v/>
      </c>
      <c r="L516" s="12" t="str">
        <f aca="false">IF(AND(L$43&gt;=1,(L507+L508+L509)&gt;0.001),L515/(L507+L508+L509),"")</f>
        <v/>
      </c>
    </row>
    <row r="518" customFormat="false" ht="15" hidden="false" customHeight="false" outlineLevel="0" collapsed="false">
      <c r="A518" s="43" t="s">
        <v>1172</v>
      </c>
      <c r="B518" s="44"/>
      <c r="C518" s="44"/>
      <c r="D518" s="44"/>
      <c r="E518" s="44"/>
      <c r="F518" s="44"/>
      <c r="G518" s="44"/>
      <c r="H518" s="44"/>
      <c r="I518" s="44"/>
      <c r="J518" s="44"/>
      <c r="K518" s="44"/>
      <c r="L518" s="44"/>
    </row>
    <row r="519" customFormat="false" ht="15" hidden="true" customHeight="false" outlineLevel="1" collapsed="false">
      <c r="A519" s="9" t="s">
        <v>405</v>
      </c>
      <c r="B519" s="56" t="n">
        <f aca="false">CHOOSE($M$15,Entorno!B$7,Entorno!B$8,Entorno!B$9)</f>
        <v>0.059</v>
      </c>
      <c r="C519" s="56" t="n">
        <f aca="false">CHOOSE($M$15,Entorno!C$7,Entorno!C$8,Entorno!C$9)</f>
        <v>0.045</v>
      </c>
      <c r="D519" s="56" t="n">
        <f aca="false">CHOOSE($M$15,Entorno!D$7,Entorno!D$8,Entorno!D$9)</f>
        <v>0.037</v>
      </c>
      <c r="E519" s="56" t="n">
        <f aca="false">CHOOSE($M$15,Entorno!E$7,Entorno!E$8,Entorno!E$9)</f>
        <v>0.034</v>
      </c>
      <c r="F519" s="56" t="n">
        <f aca="false">CHOOSE($M$15,Entorno!F$7,Entorno!F$8,Entorno!F$9)</f>
        <v>0.034</v>
      </c>
      <c r="G519" s="56" t="n">
        <f aca="false">CHOOSE($M$15,Entorno!G$7,Entorno!G$8,Entorno!G$9)</f>
        <v>0.034</v>
      </c>
      <c r="H519" s="56" t="n">
        <f aca="false">CHOOSE($M$15,Entorno!H$7,Entorno!H$8,Entorno!H$9)</f>
        <v>0.034</v>
      </c>
      <c r="I519" s="56" t="n">
        <f aca="false">CHOOSE($M$15,Entorno!I$7,Entorno!I$8,Entorno!I$9)</f>
        <v>0.034</v>
      </c>
      <c r="J519" s="56" t="n">
        <f aca="false">CHOOSE($M$15,Entorno!J$7,Entorno!J$8,Entorno!J$9)</f>
        <v>0.034</v>
      </c>
      <c r="K519" s="56" t="n">
        <f aca="false">CHOOSE($M$15,Entorno!K$7,Entorno!K$8,Entorno!K$9)</f>
        <v>0.034</v>
      </c>
      <c r="L519" s="56" t="n">
        <f aca="false">CHOOSE($M$15,Entorno!L$7,Entorno!L$8,Entorno!L$9)</f>
        <v>0.034</v>
      </c>
    </row>
    <row r="520" customFormat="false" ht="15" hidden="true" customHeight="false" outlineLevel="1" collapsed="false">
      <c r="A520" s="9" t="s">
        <v>406</v>
      </c>
      <c r="B520" s="57" t="n">
        <f aca="false">1+B519</f>
        <v>1.059</v>
      </c>
      <c r="C520" s="57" t="n">
        <f aca="false">B520*(1+C519)</f>
        <v>1.106655</v>
      </c>
      <c r="D520" s="57" t="n">
        <f aca="false">C520*(1+D519)</f>
        <v>1.147601235</v>
      </c>
      <c r="E520" s="57" t="n">
        <f aca="false">D520*(1+E519)</f>
        <v>1.18661967699</v>
      </c>
      <c r="F520" s="57" t="n">
        <f aca="false">E520*(1+F519)</f>
        <v>1.22696474600766</v>
      </c>
      <c r="G520" s="57" t="n">
        <f aca="false">F520*(1+G519)</f>
        <v>1.26868154737192</v>
      </c>
      <c r="H520" s="57" t="n">
        <f aca="false">G520*(1+H519)</f>
        <v>1.31181671998257</v>
      </c>
      <c r="I520" s="57" t="n">
        <f aca="false">H520*(1+I519)</f>
        <v>1.35641848846197</v>
      </c>
      <c r="J520" s="57" t="n">
        <f aca="false">I520*(1+J519)</f>
        <v>1.40253671706968</v>
      </c>
      <c r="K520" s="57" t="n">
        <f aca="false">J520*(1+K519)</f>
        <v>1.45022296545005</v>
      </c>
      <c r="L520" s="57" t="n">
        <f aca="false">K520*(1+L519)</f>
        <v>1.49953054627535</v>
      </c>
    </row>
    <row r="521" customFormat="false" ht="15" hidden="true" customHeight="false" outlineLevel="1" collapsed="false">
      <c r="A521" s="9" t="s">
        <v>407</v>
      </c>
      <c r="B521" s="57" t="n">
        <f aca="false">(1+$M$16)/(1+B519)</f>
        <v>1.02455146364495</v>
      </c>
      <c r="C521" s="57" t="n">
        <f aca="false">B521*(1+Entorno!$B$13)</f>
        <v>1.02967422096317</v>
      </c>
      <c r="D521" s="57" t="n">
        <f aca="false">C521*(1+Entorno!$B$13)</f>
        <v>1.03482259206799</v>
      </c>
      <c r="E521" s="57" t="n">
        <f aca="false">D521*(1+Entorno!$B$13)</f>
        <v>1.03999670502833</v>
      </c>
      <c r="F521" s="57" t="n">
        <f aca="false">E521*(1+Entorno!$B$13)</f>
        <v>1.04519668855347</v>
      </c>
      <c r="G521" s="57" t="n">
        <f aca="false">F521*(1+Entorno!$B$13)</f>
        <v>1.05042267199624</v>
      </c>
      <c r="H521" s="57" t="n">
        <f aca="false">G521*(1+Entorno!$B$13)</f>
        <v>1.05567478535622</v>
      </c>
      <c r="I521" s="57" t="n">
        <f aca="false">H521*(1+Entorno!$B$13)</f>
        <v>1.060953159283</v>
      </c>
      <c r="J521" s="57" t="n">
        <f aca="false">I521*(1+Entorno!$B$13)</f>
        <v>1.06625792507941</v>
      </c>
      <c r="K521" s="57" t="n">
        <f aca="false">J521*(1+Entorno!$B$13)</f>
        <v>1.07158921470481</v>
      </c>
      <c r="L521" s="57" t="n">
        <f aca="false">K521*(1+Entorno!$B$13)</f>
        <v>1.07694716077833</v>
      </c>
    </row>
    <row r="522" customFormat="false" ht="15" hidden="true" customHeight="false" outlineLevel="1" collapsed="false">
      <c r="A522" s="9" t="s">
        <v>408</v>
      </c>
      <c r="B522" s="57" t="n">
        <f aca="false">1/B520</f>
        <v>0.944287063267233</v>
      </c>
      <c r="C522" s="57" t="n">
        <f aca="false">1/C520</f>
        <v>0.903623983987783</v>
      </c>
      <c r="D522" s="57" t="n">
        <f aca="false">1/D520</f>
        <v>0.87138281966035</v>
      </c>
      <c r="E522" s="57" t="n">
        <f aca="false">1/E520</f>
        <v>0.842729999671519</v>
      </c>
      <c r="F522" s="57" t="n">
        <f aca="false">1/F520</f>
        <v>0.815019342042088</v>
      </c>
      <c r="G522" s="57" t="n">
        <f aca="false">1/G520</f>
        <v>0.788219866578421</v>
      </c>
      <c r="H522" s="57" t="n">
        <f aca="false">1/H520</f>
        <v>0.76230161177797</v>
      </c>
      <c r="I522" s="57" t="n">
        <f aca="false">1/I520</f>
        <v>0.73723560133266</v>
      </c>
      <c r="J522" s="57" t="n">
        <f aca="false">1/J520</f>
        <v>0.712993811733714</v>
      </c>
      <c r="K522" s="57" t="n">
        <f aca="false">1/K520</f>
        <v>0.689549140941696</v>
      </c>
      <c r="L522" s="57" t="n">
        <f aca="false">1/L520</f>
        <v>0.666875378086747</v>
      </c>
    </row>
    <row r="523" customFormat="false" ht="15" hidden="true" customHeight="false" outlineLevel="1" collapsed="false">
      <c r="A523" s="6" t="s">
        <v>323</v>
      </c>
      <c r="B523" s="29" t="n">
        <f aca="false">IF(B$43=0,Quesería!$F$92,IF(B$43=1,Quesería!$F$93*$M$21,0))*$M$11</f>
        <v>930.800239431677</v>
      </c>
      <c r="C523" s="29" t="n">
        <f aca="false">IF(C$43=0,Quesería!$F$92,IF(C$43=1,Quesería!$F$93*$M$21,0))*$M$11</f>
        <v>758.469066674498</v>
      </c>
      <c r="D523" s="29" t="n">
        <f aca="false">IF(D$43=0,Quesería!$F$92,IF(D$43=1,Quesería!$F$93*$M$21,0))*$M$11</f>
        <v>0</v>
      </c>
      <c r="E523" s="29" t="n">
        <f aca="false">IF(E$43=0,Quesería!$F$92,IF(E$43=1,Quesería!$F$93*$M$21,0))*$M$11</f>
        <v>0</v>
      </c>
      <c r="F523" s="29" t="n">
        <f aca="false">IF(F$43=0,Quesería!$F$92,IF(F$43=1,Quesería!$F$93*$M$21,0))*$M$11</f>
        <v>0</v>
      </c>
      <c r="G523" s="29" t="n">
        <f aca="false">IF(G$43=0,Quesería!$F$92,IF(G$43=1,Quesería!$F$93*$M$21,0))*$M$11</f>
        <v>0</v>
      </c>
      <c r="H523" s="29" t="n">
        <f aca="false">IF(H$43=0,Quesería!$F$92,IF(H$43=1,Quesería!$F$93*$M$21,0))*$M$11</f>
        <v>0</v>
      </c>
      <c r="I523" s="29" t="n">
        <f aca="false">IF(I$43=0,Quesería!$F$92,IF(I$43=1,Quesería!$F$93*$M$21,0))*$M$11</f>
        <v>0</v>
      </c>
      <c r="J523" s="29" t="n">
        <f aca="false">IF(J$43=0,Quesería!$F$92,IF(J$43=1,Quesería!$F$93*$M$21,0))*$M$11</f>
        <v>0</v>
      </c>
      <c r="K523" s="29" t="n">
        <f aca="false">IF(K$43=0,Quesería!$F$92,IF(K$43=1,Quesería!$F$93*$M$21,0))*$M$11</f>
        <v>0</v>
      </c>
      <c r="L523" s="29" t="n">
        <f aca="false">IF(L$43=0,Quesería!$F$92,IF(L$43=1,Quesería!$F$93*$M$21,0))*$M$11</f>
        <v>0</v>
      </c>
    </row>
    <row r="524" customFormat="false" ht="15" hidden="true" customHeight="false" outlineLevel="1" collapsed="false">
      <c r="A524" s="6" t="s">
        <v>409</v>
      </c>
      <c r="B524" s="29" t="n">
        <f aca="false">IF(B$43=5,Quesería!$F$99,IF(B$43=6,Quesería!$F$100,0))*$M$11</f>
        <v>0</v>
      </c>
      <c r="C524" s="29" t="n">
        <f aca="false">IF(C$43=5,Quesería!$F$99,IF(C$43=6,Quesería!$F$100,0))*$M$11</f>
        <v>0</v>
      </c>
      <c r="D524" s="29" t="n">
        <f aca="false">IF(D$43=5,Quesería!$F$99,IF(D$43=6,Quesería!$F$100,0))*$M$11</f>
        <v>0</v>
      </c>
      <c r="E524" s="29" t="n">
        <f aca="false">IF(E$43=5,Quesería!$F$99,IF(E$43=6,Quesería!$F$100,0))*$M$11</f>
        <v>0</v>
      </c>
      <c r="F524" s="29" t="n">
        <f aca="false">IF(F$43=5,Quesería!$F$99,IF(F$43=6,Quesería!$F$100,0))*$M$11</f>
        <v>0</v>
      </c>
      <c r="G524" s="29" t="n">
        <f aca="false">IF(G$43=5,Quesería!$F$99,IF(G$43=6,Quesería!$F$100,0))*$M$11</f>
        <v>27.4652172688735</v>
      </c>
      <c r="H524" s="29" t="n">
        <f aca="false">IF(H$43=5,Quesería!$F$99,IF(H$43=6,Quesería!$F$100,0))*$M$11</f>
        <v>46.3891557109552</v>
      </c>
      <c r="I524" s="29" t="n">
        <f aca="false">IF(I$43=5,Quesería!$F$99,IF(I$43=6,Quesería!$F$100,0))*$M$11</f>
        <v>0</v>
      </c>
      <c r="J524" s="29" t="n">
        <f aca="false">IF(J$43=5,Quesería!$F$99,IF(J$43=6,Quesería!$F$100,0))*$M$11</f>
        <v>0</v>
      </c>
      <c r="K524" s="29" t="n">
        <f aca="false">IF(K$43=5,Quesería!$F$99,IF(K$43=6,Quesería!$F$100,0))*$M$11</f>
        <v>0</v>
      </c>
      <c r="L524" s="29" t="n">
        <f aca="false">IF(L$43=5,Quesería!$F$99,IF(L$43=6,Quesería!$F$100,0))*$M$11</f>
        <v>0</v>
      </c>
    </row>
    <row r="525" customFormat="false" ht="15" hidden="true" customHeight="false" outlineLevel="1" collapsed="false">
      <c r="A525" s="6" t="s">
        <v>410</v>
      </c>
      <c r="B525" s="29" t="n">
        <f aca="false">Quesería!$B$55*(IF(B$43=0,SUMPRODUCT((Quesería!$C$70:$C$89=0)*(Quesería!$H$70:$H$89&gt;0)*(Quesería!$J$70:$J$89&gt;0)*Quesería!$F$70:$F$89*(1+Quesería!$I$70:$I$89)),IF(B$43=1,SUMPRODUCT((Quesería!$C$70:$C$89=1)*(Quesería!$H$70:$H$89&gt;0)*(Quesería!$J$70:$J$89&gt;0)*Quesería!$F$70:$F$89*(1+Quesería!$I$70:$I$89))*$M$21,0))*$M$11+B524)</f>
        <v>149.115671560178</v>
      </c>
      <c r="C525" s="29" t="n">
        <f aca="false">Quesería!$B$55*(IF(C$43=0,SUMPRODUCT((Quesería!$C$70:$C$89=0)*(Quesería!$H$70:$H$89&gt;0)*(Quesería!$J$70:$J$89&gt;0)*Quesería!$F$70:$F$89*(1+Quesería!$I$70:$I$89)),IF(C$43=1,SUMPRODUCT((Quesería!$C$70:$C$89=1)*(Quesería!$H$70:$H$89&gt;0)*(Quesería!$J$70:$J$89&gt;0)*Quesería!$F$70:$F$89*(1+Quesería!$I$70:$I$89))*$M$21,0))*$M$11+C524)</f>
        <v>144.109122668155</v>
      </c>
      <c r="D525" s="29" t="n">
        <f aca="false">Quesería!$B$55*(IF(D$43=0,SUMPRODUCT((Quesería!$C$70:$C$89=0)*(Quesería!$H$70:$H$89&gt;0)*(Quesería!$J$70:$J$89&gt;0)*Quesería!$F$70:$F$89*(1+Quesería!$I$70:$I$89)),IF(D$43=1,SUMPRODUCT((Quesería!$C$70:$C$89=1)*(Quesería!$H$70:$H$89&gt;0)*(Quesería!$J$70:$J$89&gt;0)*Quesería!$F$70:$F$89*(1+Quesería!$I$70:$I$89))*$M$21,0))*$M$11+D524)</f>
        <v>0</v>
      </c>
      <c r="E525" s="29" t="n">
        <f aca="false">Quesería!$B$55*(IF(E$43=0,SUMPRODUCT((Quesería!$C$70:$C$89=0)*(Quesería!$H$70:$H$89&gt;0)*(Quesería!$J$70:$J$89&gt;0)*Quesería!$F$70:$F$89*(1+Quesería!$I$70:$I$89)),IF(E$43=1,SUMPRODUCT((Quesería!$C$70:$C$89=1)*(Quesería!$H$70:$H$89&gt;0)*(Quesería!$J$70:$J$89&gt;0)*Quesería!$F$70:$F$89*(1+Quesería!$I$70:$I$89))*$M$21,0))*$M$11+E524)</f>
        <v>0</v>
      </c>
      <c r="F525" s="29" t="n">
        <f aca="false">Quesería!$B$55*(IF(F$43=0,SUMPRODUCT((Quesería!$C$70:$C$89=0)*(Quesería!$H$70:$H$89&gt;0)*(Quesería!$J$70:$J$89&gt;0)*Quesería!$F$70:$F$89*(1+Quesería!$I$70:$I$89)),IF(F$43=1,SUMPRODUCT((Quesería!$C$70:$C$89=1)*(Quesería!$H$70:$H$89&gt;0)*(Quesería!$J$70:$J$89&gt;0)*Quesería!$F$70:$F$89*(1+Quesería!$I$70:$I$89))*$M$21,0))*$M$11+F524)</f>
        <v>0</v>
      </c>
      <c r="G525" s="29" t="n">
        <f aca="false">Quesería!$B$55*(IF(G$43=0,SUMPRODUCT((Quesería!$C$70:$C$89=0)*(Quesería!$H$70:$H$89&gt;0)*(Quesería!$J$70:$J$89&gt;0)*Quesería!$F$70:$F$89*(1+Quesería!$I$70:$I$89)),IF(G$43=1,SUMPRODUCT((Quesería!$C$70:$C$89=1)*(Quesería!$H$70:$H$89&gt;0)*(Quesería!$J$70:$J$89&gt;0)*Quesería!$F$70:$F$89*(1+Quesería!$I$70:$I$89))*$M$21,0))*$M$11+G524)</f>
        <v>5.21839128108597</v>
      </c>
      <c r="H525" s="29" t="n">
        <f aca="false">Quesería!$B$55*(IF(H$43=0,SUMPRODUCT((Quesería!$C$70:$C$89=0)*(Quesería!$H$70:$H$89&gt;0)*(Quesería!$J$70:$J$89&gt;0)*Quesería!$F$70:$F$89*(1+Quesería!$I$70:$I$89)),IF(H$43=1,SUMPRODUCT((Quesería!$C$70:$C$89=1)*(Quesería!$H$70:$H$89&gt;0)*(Quesería!$J$70:$J$89&gt;0)*Quesería!$F$70:$F$89*(1+Quesería!$I$70:$I$89))*$M$21,0))*$M$11+H524)</f>
        <v>8.8139395850815</v>
      </c>
      <c r="I525" s="29" t="n">
        <f aca="false">Quesería!$B$55*(IF(I$43=0,SUMPRODUCT((Quesería!$C$70:$C$89=0)*(Quesería!$H$70:$H$89&gt;0)*(Quesería!$J$70:$J$89&gt;0)*Quesería!$F$70:$F$89*(1+Quesería!$I$70:$I$89)),IF(I$43=1,SUMPRODUCT((Quesería!$C$70:$C$89=1)*(Quesería!$H$70:$H$89&gt;0)*(Quesería!$J$70:$J$89&gt;0)*Quesería!$F$70:$F$89*(1+Quesería!$I$70:$I$89))*$M$21,0))*$M$11+I524)</f>
        <v>0</v>
      </c>
      <c r="J525" s="29" t="n">
        <f aca="false">Quesería!$B$55*(IF(J$43=0,SUMPRODUCT((Quesería!$C$70:$C$89=0)*(Quesería!$H$70:$H$89&gt;0)*(Quesería!$J$70:$J$89&gt;0)*Quesería!$F$70:$F$89*(1+Quesería!$I$70:$I$89)),IF(J$43=1,SUMPRODUCT((Quesería!$C$70:$C$89=1)*(Quesería!$H$70:$H$89&gt;0)*(Quesería!$J$70:$J$89&gt;0)*Quesería!$F$70:$F$89*(1+Quesería!$I$70:$I$89))*$M$21,0))*$M$11+J524)</f>
        <v>0</v>
      </c>
      <c r="K525" s="29" t="n">
        <f aca="false">Quesería!$B$55*(IF(K$43=0,SUMPRODUCT((Quesería!$C$70:$C$89=0)*(Quesería!$H$70:$H$89&gt;0)*(Quesería!$J$70:$J$89&gt;0)*Quesería!$F$70:$F$89*(1+Quesería!$I$70:$I$89)),IF(K$43=1,SUMPRODUCT((Quesería!$C$70:$C$89=1)*(Quesería!$H$70:$H$89&gt;0)*(Quesería!$J$70:$J$89&gt;0)*Quesería!$F$70:$F$89*(1+Quesería!$I$70:$I$89))*$M$21,0))*$M$11+K524)</f>
        <v>0</v>
      </c>
      <c r="L525" s="29" t="n">
        <f aca="false">Quesería!$B$55*(IF(L$43=0,SUMPRODUCT((Quesería!$C$70:$C$89=0)*(Quesería!$H$70:$H$89&gt;0)*(Quesería!$J$70:$J$89&gt;0)*Quesería!$F$70:$F$89*(1+Quesería!$I$70:$I$89)),IF(L$43=1,SUMPRODUCT((Quesería!$C$70:$C$89=1)*(Quesería!$H$70:$H$89&gt;0)*(Quesería!$J$70:$J$89&gt;0)*Quesería!$F$70:$F$89*(1+Quesería!$I$70:$I$89))*$M$21,0))*$M$11+L524)</f>
        <v>0</v>
      </c>
    </row>
    <row r="526" customFormat="false" ht="15" hidden="true" customHeight="false" outlineLevel="1" collapsed="false">
      <c r="A526" s="6" t="s">
        <v>385</v>
      </c>
      <c r="B526" s="29" t="n">
        <f aca="false">IF(B$43=0,($M$22*Quesería!$J$125+(1-$M$22)*Quesería!$E$121)*Quesería!$B$20*Quesería!$B$21/12*$M$23,(($M$22*Quesería!$J$125+(1-$M$22)*Quesería!$E$121)+($M$22*Quesería!$J$104+(1-$M$22)*Quesería!$E$104)*(B521-1))*IF(B$43=1,Quesería!$B$20,1))*$M$10</f>
        <v>120.716772261203</v>
      </c>
      <c r="C526" s="29" t="n">
        <f aca="false">IF(C$43=0,($M$22*Quesería!$J$125+(1-$M$22)*Quesería!$E$121)*Quesería!$B$20*Quesería!$B$21/12*$M$23,(($M$22*Quesería!$J$125+(1-$M$22)*Quesería!$E$121)+($M$22*Quesería!$J$104+(1-$M$22)*Quesería!$E$104)*(C521-1))*IF(C$43=1,Quesería!$B$20,1))*$M$10</f>
        <v>181.3368850207</v>
      </c>
      <c r="D526" s="29" t="n">
        <f aca="false">IF(D$43=0,($M$22*Quesería!$J$125+(1-$M$22)*Quesería!$E$121)*Quesería!$B$20*Quesería!$B$21/12*$M$23,(($M$22*Quesería!$J$125+(1-$M$22)*Quesería!$E$121)+($M$22*Quesería!$J$104+(1-$M$22)*Quesería!$E$104)*(D521-1))*IF(D$43=1,Quesería!$B$20,1))*$M$10</f>
        <v>241.843058205126</v>
      </c>
      <c r="E526" s="29" t="n">
        <f aca="false">IF(E$43=0,($M$22*Quesería!$J$125+(1-$M$22)*Quesería!$E$121)*Quesería!$B$20*Quesería!$B$21/12*$M$23,(($M$22*Quesería!$J$125+(1-$M$22)*Quesería!$E$121)+($M$22*Quesería!$J$104+(1-$M$22)*Quesería!$E$104)*(E521-1))*IF(E$43=1,Quesería!$B$20,1))*$M$10</f>
        <v>241.903905773539</v>
      </c>
      <c r="F526" s="29" t="n">
        <f aca="false">IF(F$43=0,($M$22*Quesería!$J$125+(1-$M$22)*Quesería!$E$121)*Quesería!$B$20*Quesería!$B$21/12*$M$23,(($M$22*Quesería!$J$125+(1-$M$22)*Quesería!$E$121)+($M$22*Quesería!$J$104+(1-$M$22)*Quesería!$E$104)*(F521-1))*IF(F$43=1,Quesería!$B$20,1))*$M$10</f>
        <v>241.965057579795</v>
      </c>
      <c r="G526" s="29" t="n">
        <f aca="false">IF(G$43=0,($M$22*Quesería!$J$125+(1-$M$22)*Quesería!$E$121)*Quesería!$B$20*Quesería!$B$21/12*$M$23,(($M$22*Quesería!$J$125+(1-$M$22)*Quesería!$E$121)+($M$22*Quesería!$J$104+(1-$M$22)*Quesería!$E$104)*(G521-1))*IF(G$43=1,Quesería!$B$20,1))*$M$10</f>
        <v>242.026515145082</v>
      </c>
      <c r="H526" s="29" t="n">
        <f aca="false">IF(H$43=0,($M$22*Quesería!$J$125+(1-$M$22)*Quesería!$E$121)*Quesería!$B$20*Quesería!$B$21/12*$M$23,(($M$22*Quesería!$J$125+(1-$M$22)*Quesería!$E$121)+($M$22*Quesería!$J$104+(1-$M$22)*Quesería!$E$104)*(H521-1))*IF(H$43=1,Quesería!$B$20,1))*$M$10</f>
        <v>242.088279998195</v>
      </c>
      <c r="I526" s="29" t="n">
        <f aca="false">IF(I$43=0,($M$22*Quesería!$J$125+(1-$M$22)*Quesería!$E$121)*Quesería!$B$20*Quesería!$B$21/12*$M$23,(($M$22*Quesería!$J$125+(1-$M$22)*Quesería!$E$121)+($M$22*Quesería!$J$104+(1-$M$22)*Quesería!$E$104)*(I521-1))*IF(I$43=1,Quesería!$B$20,1))*$M$10</f>
        <v>242.150353675574</v>
      </c>
      <c r="J526" s="29" t="n">
        <f aca="false">IF(J$43=0,($M$22*Quesería!$J$125+(1-$M$22)*Quesería!$E$121)*Quesería!$B$20*Quesería!$B$21/12*$M$23,(($M$22*Quesería!$J$125+(1-$M$22)*Quesería!$E$121)+($M$22*Quesería!$J$104+(1-$M$22)*Quesería!$E$104)*(J521-1))*IF(J$43=1,Quesería!$B$20,1))*$M$10</f>
        <v>242.21273772134</v>
      </c>
      <c r="K526" s="29" t="n">
        <f aca="false">IF(K$43=0,($M$22*Quesería!$J$125+(1-$M$22)*Quesería!$E$121)*Quesería!$B$20*Quesería!$B$21/12*$M$23,(($M$22*Quesería!$J$125+(1-$M$22)*Quesería!$E$121)+($M$22*Quesería!$J$104+(1-$M$22)*Quesería!$E$104)*(K521-1))*IF(K$43=1,Quesería!$B$20,1))*$M$10</f>
        <v>242.275433687335</v>
      </c>
      <c r="L526" s="29" t="n">
        <f aca="false">IF(L$43=0,($M$22*Quesería!$J$125+(1-$M$22)*Quesería!$E$121)*Quesería!$B$20*Quesería!$B$21/12*$M$23,(($M$22*Quesería!$J$125+(1-$M$22)*Quesería!$E$121)+($M$22*Quesería!$J$104+(1-$M$22)*Quesería!$E$104)*(L521-1))*IF(L$43=1,Quesería!$B$20,1))*$M$10</f>
        <v>242.338443133159</v>
      </c>
    </row>
    <row r="527" customFormat="false" ht="15" hidden="true" customHeight="false" outlineLevel="1" collapsed="false">
      <c r="A527" s="6" t="s">
        <v>386</v>
      </c>
      <c r="B527" s="29" t="n">
        <f aca="false">IF(B$43&lt;=1,0,((($M$22*Quesería!$J$126+(1-$M$22)*Quesería!$E$122)-($M$22*Quesería!$J$113+(1-$M$22)*Quesería!$E$113)+$M$6*($M$22*Quesería!$J$113+(1-$M$22)*Quesería!$E$113)-(1-$M$9)*(($M$22*Quesería!$J$118+(1-$M$22)*Quesería!$E$118)+($M$22*Quesería!$J$117+(1-$M$22)*Quesería!$E$117)))+($M$6*($M$22*Quesería!$J$113+(1-$M$22)*Quesería!$E$113)+$M$9*($M$22*Quesería!$J$118+(1-$M$22)*Quesería!$E$118))*(B521-1))*IF(B$43=2,Quesería!$B$20,1)+IF(B$43=2,Quesería!$B$24*$M$9*($M$22*Quesería!$J$118+(1-$M$22)*Quesería!$E$118)*B521,0))*$M$10*$M$21</f>
        <v>0</v>
      </c>
      <c r="C527" s="29" t="n">
        <f aca="false">IF(C$43&lt;=1,0,((($M$22*Quesería!$J$126+(1-$M$22)*Quesería!$E$122)-($M$22*Quesería!$J$113+(1-$M$22)*Quesería!$E$113)+$M$6*($M$22*Quesería!$J$113+(1-$M$22)*Quesería!$E$113)-(1-$M$9)*(($M$22*Quesería!$J$118+(1-$M$22)*Quesería!$E$118)+($M$22*Quesería!$J$117+(1-$M$22)*Quesería!$E$117)))+($M$6*($M$22*Quesería!$J$113+(1-$M$22)*Quesería!$E$113)+$M$9*($M$22*Quesería!$J$118+(1-$M$22)*Quesería!$E$118))*(C521-1))*IF(C$43=2,Quesería!$B$20,1)+IF(C$43=2,Quesería!$B$24*$M$9*($M$22*Quesería!$J$118+(1-$M$22)*Quesería!$E$118)*C521,0))*$M$10*$M$21</f>
        <v>0</v>
      </c>
      <c r="D527" s="29" t="n">
        <f aca="false">IF(D$43&lt;=1,0,((($M$22*Quesería!$J$126+(1-$M$22)*Quesería!$E$122)-($M$22*Quesería!$J$113+(1-$M$22)*Quesería!$E$113)+$M$6*($M$22*Quesería!$J$113+(1-$M$22)*Quesería!$E$113)-(1-$M$9)*(($M$22*Quesería!$J$118+(1-$M$22)*Quesería!$E$118)+($M$22*Quesería!$J$117+(1-$M$22)*Quesería!$E$117)))+($M$6*($M$22*Quesería!$J$113+(1-$M$22)*Quesería!$E$113)+$M$9*($M$22*Quesería!$J$118+(1-$M$22)*Quesería!$E$118))*(D521-1))*IF(D$43=2,Quesería!$B$20,1)+IF(D$43=2,Quesería!$B$24*$M$9*($M$22*Quesería!$J$118+(1-$M$22)*Quesería!$E$118)*D521,0))*$M$10*$M$21</f>
        <v>235.247018287708</v>
      </c>
      <c r="E527" s="29" t="n">
        <f aca="false">IF(E$43&lt;=1,0,((($M$22*Quesería!$J$126+(1-$M$22)*Quesería!$E$122)-($M$22*Quesería!$J$113+(1-$M$22)*Quesería!$E$113)+$M$6*($M$22*Quesería!$J$113+(1-$M$22)*Quesería!$E$113)-(1-$M$9)*(($M$22*Quesería!$J$118+(1-$M$22)*Quesería!$E$118)+($M$22*Quesería!$J$117+(1-$M$22)*Quesería!$E$117)))+($M$6*($M$22*Quesería!$J$113+(1-$M$22)*Quesería!$E$113)+$M$9*($M$22*Quesería!$J$118+(1-$M$22)*Quesería!$E$118))*(E521-1))*IF(E$43=2,Quesería!$B$20,1)+IF(E$43=2,Quesería!$B$24*$M$9*($M$22*Quesería!$J$118+(1-$M$22)*Quesería!$E$118)*E521,0))*$M$10*$M$21</f>
        <v>299.008361359484</v>
      </c>
      <c r="F527" s="29" t="n">
        <f aca="false">IF(F$43&lt;=1,0,((($M$22*Quesería!$J$126+(1-$M$22)*Quesería!$E$122)-($M$22*Quesería!$J$113+(1-$M$22)*Quesería!$E$113)+$M$6*($M$22*Quesería!$J$113+(1-$M$22)*Quesería!$E$113)-(1-$M$9)*(($M$22*Quesería!$J$118+(1-$M$22)*Quesería!$E$118)+($M$22*Quesería!$J$117+(1-$M$22)*Quesería!$E$117)))+($M$6*($M$22*Quesería!$J$113+(1-$M$22)*Quesería!$E$113)+$M$9*($M$22*Quesería!$J$118+(1-$M$22)*Quesería!$E$118))*(F521-1))*IF(F$43=2,Quesería!$B$20,1)+IF(F$43=2,Quesería!$B$24*$M$9*($M$22*Quesería!$J$118+(1-$M$22)*Quesería!$E$118)*F521,0))*$M$10*$M$21</f>
        <v>299.256712572645</v>
      </c>
      <c r="G527" s="29" t="n">
        <f aca="false">IF(G$43&lt;=1,0,((($M$22*Quesería!$J$126+(1-$M$22)*Quesería!$E$122)-($M$22*Quesería!$J$113+(1-$M$22)*Quesería!$E$113)+$M$6*($M$22*Quesería!$J$113+(1-$M$22)*Quesería!$E$113)-(1-$M$9)*(($M$22*Quesería!$J$118+(1-$M$22)*Quesería!$E$118)+($M$22*Quesería!$J$117+(1-$M$22)*Quesería!$E$117)))+($M$6*($M$22*Quesería!$J$113+(1-$M$22)*Quesería!$E$113)+$M$9*($M$22*Quesería!$J$118+(1-$M$22)*Quesería!$E$118))*(G521-1))*IF(G$43=2,Quesería!$B$20,1)+IF(G$43=2,Quesería!$B$24*$M$9*($M$22*Quesería!$J$118+(1-$M$22)*Quesería!$E$118)*G521,0))*$M$10*$M$21</f>
        <v>299.506305541871</v>
      </c>
      <c r="H527" s="29" t="n">
        <f aca="false">IF(H$43&lt;=1,0,((($M$22*Quesería!$J$126+(1-$M$22)*Quesería!$E$122)-($M$22*Quesería!$J$113+(1-$M$22)*Quesería!$E$113)+$M$6*($M$22*Quesería!$J$113+(1-$M$22)*Quesería!$E$113)-(1-$M$9)*(($M$22*Quesería!$J$118+(1-$M$22)*Quesería!$E$118)+($M$22*Quesería!$J$117+(1-$M$22)*Quesería!$E$117)))+($M$6*($M$22*Quesería!$J$113+(1-$M$22)*Quesería!$E$113)+$M$9*($M$22*Quesería!$J$118+(1-$M$22)*Quesería!$E$118))*(H521-1))*IF(H$43=2,Quesería!$B$20,1)+IF(H$43=2,Quesería!$B$24*$M$9*($M$22*Quesería!$J$118+(1-$M$22)*Quesería!$E$118)*H521,0))*$M$10*$M$21</f>
        <v>299.757146475944</v>
      </c>
      <c r="I527" s="29" t="n">
        <f aca="false">IF(I$43&lt;=1,0,((($M$22*Quesería!$J$126+(1-$M$22)*Quesería!$E$122)-($M$22*Quesería!$J$113+(1-$M$22)*Quesería!$E$113)+$M$6*($M$22*Quesería!$J$113+(1-$M$22)*Quesería!$E$113)-(1-$M$9)*(($M$22*Quesería!$J$118+(1-$M$22)*Quesería!$E$118)+($M$22*Quesería!$J$117+(1-$M$22)*Quesería!$E$117)))+($M$6*($M$22*Quesería!$J$113+(1-$M$22)*Quesería!$E$113)+$M$9*($M$22*Quesería!$J$118+(1-$M$22)*Quesería!$E$118))*(I521-1))*IF(I$43=2,Quesería!$B$20,1)+IF(I$43=2,Quesería!$B$24*$M$9*($M$22*Quesería!$J$118+(1-$M$22)*Quesería!$E$118)*I521,0))*$M$10*$M$21</f>
        <v>300.009241614687</v>
      </c>
      <c r="J527" s="29" t="n">
        <f aca="false">IF(J$43&lt;=1,0,((($M$22*Quesería!$J$126+(1-$M$22)*Quesería!$E$122)-($M$22*Quesería!$J$113+(1-$M$22)*Quesería!$E$113)+$M$6*($M$22*Quesería!$J$113+(1-$M$22)*Quesería!$E$113)-(1-$M$9)*(($M$22*Quesería!$J$118+(1-$M$22)*Quesería!$E$118)+($M$22*Quesería!$J$117+(1-$M$22)*Quesería!$E$117)))+($M$6*($M$22*Quesería!$J$113+(1-$M$22)*Quesería!$E$113)+$M$9*($M$22*Quesería!$J$118+(1-$M$22)*Quesería!$E$118))*(J521-1))*IF(J$43=2,Quesería!$B$20,1)+IF(J$43=2,Quesería!$B$24*$M$9*($M$22*Quesería!$J$118+(1-$M$22)*Quesería!$E$118)*J521,0))*$M$10*$M$21</f>
        <v>300.262597229124</v>
      </c>
      <c r="K527" s="29" t="n">
        <f aca="false">IF(K$43&lt;=1,0,((($M$22*Quesería!$J$126+(1-$M$22)*Quesería!$E$122)-($M$22*Quesería!$J$113+(1-$M$22)*Quesería!$E$113)+$M$6*($M$22*Quesería!$J$113+(1-$M$22)*Quesería!$E$113)-(1-$M$9)*(($M$22*Quesería!$J$118+(1-$M$22)*Quesería!$E$118)+($M$22*Quesería!$J$117+(1-$M$22)*Quesería!$E$117)))+($M$6*($M$22*Quesería!$J$113+(1-$M$22)*Quesería!$E$113)+$M$9*($M$22*Quesería!$J$118+(1-$M$22)*Quesería!$E$118))*(K521-1))*IF(K$43=2,Quesería!$B$20,1)+IF(K$43=2,Quesería!$B$24*$M$9*($M$22*Quesería!$J$118+(1-$M$22)*Quesería!$E$118)*K521,0))*$M$10*$M$21</f>
        <v>300.517219621633</v>
      </c>
      <c r="L527" s="29" t="n">
        <f aca="false">IF(L$43&lt;=1,0,((($M$22*Quesería!$J$126+(1-$M$22)*Quesería!$E$122)-($M$22*Quesería!$J$113+(1-$M$22)*Quesería!$E$113)+$M$6*($M$22*Quesería!$J$113+(1-$M$22)*Quesería!$E$113)-(1-$M$9)*(($M$22*Quesería!$J$118+(1-$M$22)*Quesería!$E$118)+($M$22*Quesería!$J$117+(1-$M$22)*Quesería!$E$117)))+($M$6*($M$22*Quesería!$J$113+(1-$M$22)*Quesería!$E$113)+$M$9*($M$22*Quesería!$J$118+(1-$M$22)*Quesería!$E$118))*(L521-1))*IF(L$43=2,Quesería!$B$20,1)+IF(L$43=2,Quesería!$B$24*$M$9*($M$22*Quesería!$J$118+(1-$M$22)*Quesería!$E$118)*L521,0))*$M$10*$M$21</f>
        <v>300.773115126104</v>
      </c>
    </row>
    <row r="528" customFormat="false" ht="15" hidden="true" customHeight="false" outlineLevel="1" collapsed="false">
      <c r="A528" s="5" t="s">
        <v>411</v>
      </c>
      <c r="B528" s="10" t="n">
        <f aca="false">B526+B527</f>
        <v>120.716772261203</v>
      </c>
      <c r="C528" s="10" t="n">
        <f aca="false">C526+C527</f>
        <v>181.3368850207</v>
      </c>
      <c r="D528" s="10" t="n">
        <f aca="false">D526+D527</f>
        <v>477.090076492833</v>
      </c>
      <c r="E528" s="10" t="n">
        <f aca="false">E526+E527</f>
        <v>540.912267133023</v>
      </c>
      <c r="F528" s="10" t="n">
        <f aca="false">F526+F527</f>
        <v>541.221770152439</v>
      </c>
      <c r="G528" s="10" t="n">
        <f aca="false">G526+G527</f>
        <v>541.532820686953</v>
      </c>
      <c r="H528" s="10" t="n">
        <f aca="false">H526+H527</f>
        <v>541.845426474139</v>
      </c>
      <c r="I528" s="10" t="n">
        <f aca="false">I526+I527</f>
        <v>542.159595290261</v>
      </c>
      <c r="J528" s="10" t="n">
        <f aca="false">J526+J527</f>
        <v>542.475334950464</v>
      </c>
      <c r="K528" s="10" t="n">
        <f aca="false">K526+K527</f>
        <v>542.792653308967</v>
      </c>
      <c r="L528" s="10" t="n">
        <f aca="false">L526+L527</f>
        <v>543.111558259263</v>
      </c>
    </row>
    <row r="529" customFormat="false" ht="15" hidden="true" customHeight="false" outlineLevel="1" collapsed="false">
      <c r="A529" s="6" t="s">
        <v>412</v>
      </c>
      <c r="B529" s="29" t="n">
        <f aca="false">(IF(B$43&gt;=1,(Quesería!$B$31+Quesería!$B$33)*Quesería!$F$94*$M$11+Quesería!$B$32+'Beneficios y costos'!$B$211,0)+IF(B$43&gt;=2,((Quesería!$B$31+Quesería!$B$33)*Quesería!$F$95*$M$11+'Beneficios y costos'!$C$211)*$M$21,0))*$M$12</f>
        <v>0</v>
      </c>
      <c r="C529" s="29" t="n">
        <f aca="false">(IF(C$43&gt;=1,(Quesería!$B$31+Quesería!$B$33)*Quesería!$F$94*$M$11+Quesería!$B$32+'Beneficios y costos'!$B$211,0)+IF(C$43&gt;=2,((Quesería!$B$31+Quesería!$B$33)*Quesería!$F$95*$M$11+'Beneficios y costos'!$C$211)*$M$21,0))*$M$12</f>
        <v>42.0946487260605</v>
      </c>
      <c r="D529" s="29" t="n">
        <f aca="false">(IF(D$43&gt;=1,(Quesería!$B$31+Quesería!$B$33)*Quesería!$F$94*$M$11+Quesería!$B$32+'Beneficios y costos'!$B$211,0)+IF(D$43&gt;=2,((Quesería!$B$31+Quesería!$B$33)*Quesería!$F$95*$M$11+'Beneficios y costos'!$C$211)*$M$21,0))*$M$12</f>
        <v>95.9432442337815</v>
      </c>
      <c r="E529" s="29" t="n">
        <f aca="false">(IF(E$43&gt;=1,(Quesería!$B$31+Quesería!$B$33)*Quesería!$F$94*$M$11+Quesería!$B$32+'Beneficios y costos'!$B$211,0)+IF(E$43&gt;=2,((Quesería!$B$31+Quesería!$B$33)*Quesería!$F$95*$M$11+'Beneficios y costos'!$C$211)*$M$21,0))*$M$12</f>
        <v>95.9432442337815</v>
      </c>
      <c r="F529" s="29" t="n">
        <f aca="false">(IF(F$43&gt;=1,(Quesería!$B$31+Quesería!$B$33)*Quesería!$F$94*$M$11+Quesería!$B$32+'Beneficios y costos'!$B$211,0)+IF(F$43&gt;=2,((Quesería!$B$31+Quesería!$B$33)*Quesería!$F$95*$M$11+'Beneficios y costos'!$C$211)*$M$21,0))*$M$12</f>
        <v>95.9432442337815</v>
      </c>
      <c r="G529" s="29" t="n">
        <f aca="false">(IF(G$43&gt;=1,(Quesería!$B$31+Quesería!$B$33)*Quesería!$F$94*$M$11+Quesería!$B$32+'Beneficios y costos'!$B$211,0)+IF(G$43&gt;=2,((Quesería!$B$31+Quesería!$B$33)*Quesería!$F$95*$M$11+'Beneficios y costos'!$C$211)*$M$21,0))*$M$12</f>
        <v>95.9432442337815</v>
      </c>
      <c r="H529" s="29" t="n">
        <f aca="false">(IF(H$43&gt;=1,(Quesería!$B$31+Quesería!$B$33)*Quesería!$F$94*$M$11+Quesería!$B$32+'Beneficios y costos'!$B$211,0)+IF(H$43&gt;=2,((Quesería!$B$31+Quesería!$B$33)*Quesería!$F$95*$M$11+'Beneficios y costos'!$C$211)*$M$21,0))*$M$12</f>
        <v>95.9432442337815</v>
      </c>
      <c r="I529" s="29" t="n">
        <f aca="false">(IF(I$43&gt;=1,(Quesería!$B$31+Quesería!$B$33)*Quesería!$F$94*$M$11+Quesería!$B$32+'Beneficios y costos'!$B$211,0)+IF(I$43&gt;=2,((Quesería!$B$31+Quesería!$B$33)*Quesería!$F$95*$M$11+'Beneficios y costos'!$C$211)*$M$21,0))*$M$12</f>
        <v>95.9432442337815</v>
      </c>
      <c r="J529" s="29" t="n">
        <f aca="false">(IF(J$43&gt;=1,(Quesería!$B$31+Quesería!$B$33)*Quesería!$F$94*$M$11+Quesería!$B$32+'Beneficios y costos'!$B$211,0)+IF(J$43&gt;=2,((Quesería!$B$31+Quesería!$B$33)*Quesería!$F$95*$M$11+'Beneficios y costos'!$C$211)*$M$21,0))*$M$12</f>
        <v>95.9432442337815</v>
      </c>
      <c r="K529" s="29" t="n">
        <f aca="false">(IF(K$43&gt;=1,(Quesería!$B$31+Quesería!$B$33)*Quesería!$F$94*$M$11+Quesería!$B$32+'Beneficios y costos'!$B$211,0)+IF(K$43&gt;=2,((Quesería!$B$31+Quesería!$B$33)*Quesería!$F$95*$M$11+'Beneficios y costos'!$C$211)*$M$21,0))*$M$12</f>
        <v>95.9432442337815</v>
      </c>
      <c r="L529" s="29" t="n">
        <f aca="false">(IF(L$43&gt;=1,(Quesería!$B$31+Quesería!$B$33)*Quesería!$F$94*$M$11+Quesería!$B$32+'Beneficios y costos'!$B$211,0)+IF(L$43&gt;=2,((Quesería!$B$31+Quesería!$B$33)*Quesería!$F$95*$M$11+'Beneficios y costos'!$C$211)*$M$21,0))*$M$12</f>
        <v>95.9432442337815</v>
      </c>
    </row>
    <row r="530" customFormat="false" ht="15" hidden="true" customHeight="false" outlineLevel="1" collapsed="false">
      <c r="A530" s="6" t="s">
        <v>413</v>
      </c>
      <c r="B530" s="29" t="n">
        <f aca="false">IF(B$43=1,2*Quesería!$B$22*Quesería!$B$23/12*B521,0)*$M$21</f>
        <v>0</v>
      </c>
      <c r="C530" s="29" t="n">
        <f aca="false">IF(C$43=1,2*Quesería!$B$22*Quesería!$B$23/12*C521,0)*$M$21</f>
        <v>18.5341359773371</v>
      </c>
      <c r="D530" s="29" t="n">
        <f aca="false">IF(D$43=1,2*Quesería!$B$22*Quesería!$B$23/12*D521,0)*$M$21</f>
        <v>0</v>
      </c>
      <c r="E530" s="29" t="n">
        <f aca="false">IF(E$43=1,2*Quesería!$B$22*Quesería!$B$23/12*E521,0)*$M$21</f>
        <v>0</v>
      </c>
      <c r="F530" s="29" t="n">
        <f aca="false">IF(F$43=1,2*Quesería!$B$22*Quesería!$B$23/12*F521,0)*$M$21</f>
        <v>0</v>
      </c>
      <c r="G530" s="29" t="n">
        <f aca="false">IF(G$43=1,2*Quesería!$B$22*Quesería!$B$23/12*G521,0)*$M$21</f>
        <v>0</v>
      </c>
      <c r="H530" s="29" t="n">
        <f aca="false">IF(H$43=1,2*Quesería!$B$22*Quesería!$B$23/12*H521,0)*$M$21</f>
        <v>0</v>
      </c>
      <c r="I530" s="29" t="n">
        <f aca="false">IF(I$43=1,2*Quesería!$B$22*Quesería!$B$23/12*I521,0)*$M$21</f>
        <v>0</v>
      </c>
      <c r="J530" s="29" t="n">
        <f aca="false">IF(J$43=1,2*Quesería!$B$22*Quesería!$B$23/12*J521,0)*$M$21</f>
        <v>0</v>
      </c>
      <c r="K530" s="29" t="n">
        <f aca="false">IF(K$43=1,2*Quesería!$B$22*Quesería!$B$23/12*K521,0)*$M$21</f>
        <v>0</v>
      </c>
      <c r="L530" s="29" t="n">
        <f aca="false">IF(L$43=1,2*Quesería!$B$22*Quesería!$B$23/12*L521,0)*$M$21</f>
        <v>0</v>
      </c>
    </row>
    <row r="531" customFormat="false" ht="15" hidden="true" customHeight="false" outlineLevel="1" collapsed="false">
      <c r="A531" s="6" t="s">
        <v>414</v>
      </c>
      <c r="B531" s="29" t="n">
        <f aca="false">Quesería!$B$52*(B523+B524+B525+B529+B530)</f>
        <v>4.31966364396742</v>
      </c>
      <c r="C531" s="29" t="n">
        <f aca="false">Quesería!$B$52*(C523+C524+C525+C529+C530)</f>
        <v>3.8528278961842</v>
      </c>
      <c r="D531" s="29" t="n">
        <f aca="false">Quesería!$B$52*(D523+D524+D525+D529+D530)</f>
        <v>0.383772976935126</v>
      </c>
      <c r="E531" s="29" t="n">
        <f aca="false">Quesería!$B$52*(E523+E524+E525+E529+E530)</f>
        <v>0.383772976935126</v>
      </c>
      <c r="F531" s="29" t="n">
        <f aca="false">Quesería!$B$52*(F523+F524+F525+F529+F530)</f>
        <v>0.383772976935126</v>
      </c>
      <c r="G531" s="29" t="n">
        <f aca="false">Quesería!$B$52*(G523+G524+G525+G529+G530)</f>
        <v>0.514507411134964</v>
      </c>
      <c r="H531" s="29" t="n">
        <f aca="false">Quesería!$B$52*(H523+H524+H525+H529+H530)</f>
        <v>0.604585358119273</v>
      </c>
      <c r="I531" s="29" t="n">
        <f aca="false">Quesería!$B$52*(I523+I524+I525+I529+I530)</f>
        <v>0.383772976935126</v>
      </c>
      <c r="J531" s="29" t="n">
        <f aca="false">Quesería!$B$52*(J523+J524+J525+J529+J530)</f>
        <v>0.383772976935126</v>
      </c>
      <c r="K531" s="29" t="n">
        <f aca="false">Quesería!$B$52*(K523+K524+K525+K529+K530)</f>
        <v>0.383772976935126</v>
      </c>
      <c r="L531" s="29" t="n">
        <f aca="false">Quesería!$B$52*(L523+L524+L525+L529+L530)</f>
        <v>0.383772976935126</v>
      </c>
    </row>
    <row r="532" customFormat="false" ht="15" hidden="true" customHeight="false" outlineLevel="1" collapsed="false">
      <c r="A532" s="6" t="s">
        <v>415</v>
      </c>
      <c r="B532" s="29" t="n">
        <f aca="false">(IF($M$19=1,(SUMPRODUCT((Quesería!$C$70:$C$89=0)*(Quesería!$J$70:$J$89&gt;0)*(B$43&gt;=1)*(B$43&lt;=Quesería!$J$70:$J$89)*(Quesería!$H$70:$H$89&gt;0)*Quesería!$F$70:$F$89*(1+Quesería!$I$70:$I$89)/(Quesería!$J$70:$J$89+(Quesería!$J$70:$J$89=0)))+SUMPRODUCT((Quesería!$C$70:$C$89=0)*(Quesería!$J$70:$J$89=0)*(B$43=0)*(Quesería!$H$70:$H$89&gt;0)*Quesería!$F$70:$F$89*(1+Quesería!$I$70:$I$89)))*$B$520+(SUMPRODUCT((Quesería!$C$70:$C$89=1)*(Quesería!$J$70:$J$89&gt;0)*(B$43&gt;=2)*(B$43&lt;=Quesería!$J$70:$J$89+1)*(Quesería!$H$70:$H$89&gt;0)*Quesería!$F$70:$F$89*(1+Quesería!$I$70:$I$89)/(Quesería!$J$70:$J$89+(Quesería!$J$70:$J$89=0)))+SUMPRODUCT((Quesería!$C$70:$C$89=1)*(Quesería!$J$70:$J$89=0)*(B$43=1)*(Quesería!$H$70:$H$89&gt;0)*Quesería!$F$70:$F$89*(1+Quesería!$I$70:$I$89)))*$C$520*$M$21,IF(AND(B$43&gt;=1,B$43&lt;=Quesería!$B$30),Quesería!$F$92/Quesería!$B$30,0)*$B$520+IF(AND(B$43&gt;=2,B$43&lt;=Quesería!$B$30+1),Quesería!$F$93/Quesería!$B$30,0)*$C$520*$M$21)*$M$11+IF(AND(B$43&gt;=6,B$43&lt;=10),$G524*$G520/5,0)+IF(AND(B$43&gt;=7,B$43&lt;=11),$H524*$H520/5,0))*B522</f>
        <v>145.980915430742</v>
      </c>
      <c r="C532" s="29" t="n">
        <f aca="false">(IF($M$19=1,(SUMPRODUCT((Quesería!$C$70:$C$89=0)*(Quesería!$J$70:$J$89&gt;0)*(C$43&gt;=1)*(C$43&lt;=Quesería!$J$70:$J$89)*(Quesería!$H$70:$H$89&gt;0)*Quesería!$F$70:$F$89*(1+Quesería!$I$70:$I$89)/(Quesería!$J$70:$J$89+(Quesería!$J$70:$J$89=0)))+SUMPRODUCT((Quesería!$C$70:$C$89=0)*(Quesería!$J$70:$J$89=0)*(C$43=0)*(Quesería!$H$70:$H$89&gt;0)*Quesería!$F$70:$F$89*(1+Quesería!$I$70:$I$89)))*$B$520+(SUMPRODUCT((Quesería!$C$70:$C$89=1)*(Quesería!$J$70:$J$89&gt;0)*(C$43&gt;=2)*(C$43&lt;=Quesería!$J$70:$J$89+1)*(Quesería!$H$70:$H$89&gt;0)*Quesería!$F$70:$F$89*(1+Quesería!$I$70:$I$89)/(Quesería!$J$70:$J$89+(Quesería!$J$70:$J$89=0)))+SUMPRODUCT((Quesería!$C$70:$C$89=1)*(Quesería!$J$70:$J$89=0)*(C$43=1)*(Quesería!$H$70:$H$89&gt;0)*Quesería!$F$70:$F$89*(1+Quesería!$I$70:$I$89)))*$C$520*$M$21,IF(AND(C$43&gt;=1,C$43&lt;=Quesería!$B$30),Quesería!$F$92/Quesería!$B$30,0)*$B$520+IF(AND(C$43&gt;=2,C$43&lt;=Quesería!$B$30+1),Quesería!$F$93/Quesería!$B$30,0)*$C$520*$M$21)*$M$11+IF(AND(C$43&gt;=6,C$43&lt;=10),$G524*$G520/5,0)+IF(AND(C$43&gt;=7,C$43&lt;=11),$H524*$H520/5,0))*C522</f>
        <v>82.6569313876056</v>
      </c>
      <c r="D532" s="29" t="n">
        <f aca="false">(IF($M$19=1,(SUMPRODUCT((Quesería!$C$70:$C$89=0)*(Quesería!$J$70:$J$89&gt;0)*(D$43&gt;=1)*(D$43&lt;=Quesería!$J$70:$J$89)*(Quesería!$H$70:$H$89&gt;0)*Quesería!$F$70:$F$89*(1+Quesería!$I$70:$I$89)/(Quesería!$J$70:$J$89+(Quesería!$J$70:$J$89=0)))+SUMPRODUCT((Quesería!$C$70:$C$89=0)*(Quesería!$J$70:$J$89=0)*(D$43=0)*(Quesería!$H$70:$H$89&gt;0)*Quesería!$F$70:$F$89*(1+Quesería!$I$70:$I$89)))*$B$520+(SUMPRODUCT((Quesería!$C$70:$C$89=1)*(Quesería!$J$70:$J$89&gt;0)*(D$43&gt;=2)*(D$43&lt;=Quesería!$J$70:$J$89+1)*(Quesería!$H$70:$H$89&gt;0)*Quesería!$F$70:$F$89*(1+Quesería!$I$70:$I$89)/(Quesería!$J$70:$J$89+(Quesería!$J$70:$J$89=0)))+SUMPRODUCT((Quesería!$C$70:$C$89=1)*(Quesería!$J$70:$J$89=0)*(D$43=1)*(Quesería!$H$70:$H$89&gt;0)*Quesería!$F$70:$F$89*(1+Quesería!$I$70:$I$89)))*$C$520*$M$21,IF(AND(D$43&gt;=1,D$43&lt;=Quesería!$B$30),Quesería!$F$92/Quesería!$B$30,0)*$B$520+IF(AND(D$43&gt;=2,D$43&lt;=Quesería!$B$30+1),Quesería!$F$93/Quesería!$B$30,0)*$C$520*$M$21)*$M$11+IF(AND(D$43&gt;=6,D$43&lt;=10),$G524*$G520/5,0)+IF(AND(D$43&gt;=7,D$43&lt;=11),$H524*$H520/5,0))*D522</f>
        <v>152.848445569002</v>
      </c>
      <c r="E532" s="29" t="n">
        <f aca="false">(IF($M$19=1,(SUMPRODUCT((Quesería!$C$70:$C$89=0)*(Quesería!$J$70:$J$89&gt;0)*(E$43&gt;=1)*(E$43&lt;=Quesería!$J$70:$J$89)*(Quesería!$H$70:$H$89&gt;0)*Quesería!$F$70:$F$89*(1+Quesería!$I$70:$I$89)/(Quesería!$J$70:$J$89+(Quesería!$J$70:$J$89=0)))+SUMPRODUCT((Quesería!$C$70:$C$89=0)*(Quesería!$J$70:$J$89=0)*(E$43=0)*(Quesería!$H$70:$H$89&gt;0)*Quesería!$F$70:$F$89*(1+Quesería!$I$70:$I$89)))*$B$520+(SUMPRODUCT((Quesería!$C$70:$C$89=1)*(Quesería!$J$70:$J$89&gt;0)*(E$43&gt;=2)*(E$43&lt;=Quesería!$J$70:$J$89+1)*(Quesería!$H$70:$H$89&gt;0)*Quesería!$F$70:$F$89*(1+Quesería!$I$70:$I$89)/(Quesería!$J$70:$J$89+(Quesería!$J$70:$J$89=0)))+SUMPRODUCT((Quesería!$C$70:$C$89=1)*(Quesería!$J$70:$J$89=0)*(E$43=1)*(Quesería!$H$70:$H$89&gt;0)*Quesería!$F$70:$F$89*(1+Quesería!$I$70:$I$89)))*$C$520*$M$21,IF(AND(E$43&gt;=1,E$43&lt;=Quesería!$B$30),Quesería!$F$92/Quesería!$B$30,0)*$B$520+IF(AND(E$43&gt;=2,E$43&lt;=Quesería!$B$30+1),Quesería!$F$93/Quesería!$B$30,0)*$C$520*$M$21)*$M$11+IF(AND(E$43&gt;=6,E$43&lt;=10),$G524*$G520/5,0)+IF(AND(E$43&gt;=7,E$43&lt;=11),$H524*$H520/5,0))*E522</f>
        <v>147.822481207933</v>
      </c>
      <c r="F532" s="29" t="n">
        <f aca="false">(IF($M$19=1,(SUMPRODUCT((Quesería!$C$70:$C$89=0)*(Quesería!$J$70:$J$89&gt;0)*(F$43&gt;=1)*(F$43&lt;=Quesería!$J$70:$J$89)*(Quesería!$H$70:$H$89&gt;0)*Quesería!$F$70:$F$89*(1+Quesería!$I$70:$I$89)/(Quesería!$J$70:$J$89+(Quesería!$J$70:$J$89=0)))+SUMPRODUCT((Quesería!$C$70:$C$89=0)*(Quesería!$J$70:$J$89=0)*(F$43=0)*(Quesería!$H$70:$H$89&gt;0)*Quesería!$F$70:$F$89*(1+Quesería!$I$70:$I$89)))*$B$520+(SUMPRODUCT((Quesería!$C$70:$C$89=1)*(Quesería!$J$70:$J$89&gt;0)*(F$43&gt;=2)*(F$43&lt;=Quesería!$J$70:$J$89+1)*(Quesería!$H$70:$H$89&gt;0)*Quesería!$F$70:$F$89*(1+Quesería!$I$70:$I$89)/(Quesería!$J$70:$J$89+(Quesería!$J$70:$J$89=0)))+SUMPRODUCT((Quesería!$C$70:$C$89=1)*(Quesería!$J$70:$J$89=0)*(F$43=1)*(Quesería!$H$70:$H$89&gt;0)*Quesería!$F$70:$F$89*(1+Quesería!$I$70:$I$89)))*$C$520*$M$21,IF(AND(F$43&gt;=1,F$43&lt;=Quesería!$B$30),Quesería!$F$92/Quesería!$B$30,0)*$B$520+IF(AND(F$43&gt;=2,F$43&lt;=Quesería!$B$30+1),Quesería!$F$93/Quesería!$B$30,0)*$C$520*$M$21)*$M$11+IF(AND(F$43&gt;=6,F$43&lt;=10),$G524*$G520/5,0)+IF(AND(F$43&gt;=7,F$43&lt;=11),$H524*$H520/5,0))*F522</f>
        <v>142.961780665312</v>
      </c>
      <c r="G532" s="29" t="n">
        <f aca="false">(IF($M$19=1,(SUMPRODUCT((Quesería!$C$70:$C$89=0)*(Quesería!$J$70:$J$89&gt;0)*(G$43&gt;=1)*(G$43&lt;=Quesería!$J$70:$J$89)*(Quesería!$H$70:$H$89&gt;0)*Quesería!$F$70:$F$89*(1+Quesería!$I$70:$I$89)/(Quesería!$J$70:$J$89+(Quesería!$J$70:$J$89=0)))+SUMPRODUCT((Quesería!$C$70:$C$89=0)*(Quesería!$J$70:$J$89=0)*(G$43=0)*(Quesería!$H$70:$H$89&gt;0)*Quesería!$F$70:$F$89*(1+Quesería!$I$70:$I$89)))*$B$520+(SUMPRODUCT((Quesería!$C$70:$C$89=1)*(Quesería!$J$70:$J$89&gt;0)*(G$43&gt;=2)*(G$43&lt;=Quesería!$J$70:$J$89+1)*(Quesería!$H$70:$H$89&gt;0)*Quesería!$F$70:$F$89*(1+Quesería!$I$70:$I$89)/(Quesería!$J$70:$J$89+(Quesería!$J$70:$J$89=0)))+SUMPRODUCT((Quesería!$C$70:$C$89=1)*(Quesería!$J$70:$J$89=0)*(G$43=1)*(Quesería!$H$70:$H$89&gt;0)*Quesería!$F$70:$F$89*(1+Quesería!$I$70:$I$89)))*$C$520*$M$21,IF(AND(G$43&gt;=1,G$43&lt;=Quesería!$B$30),Quesería!$F$92/Quesería!$B$30,0)*$B$520+IF(AND(G$43&gt;=2,G$43&lt;=Quesería!$B$30+1),Quesería!$F$93/Quesería!$B$30,0)*$C$520*$M$21)*$M$11+IF(AND(G$43&gt;=6,G$43&lt;=10),$G524*$G520/5,0)+IF(AND(G$43&gt;=7,G$43&lt;=11),$H524*$H520/5,0))*G522</f>
        <v>138.260909734344</v>
      </c>
      <c r="H532" s="29" t="n">
        <f aca="false">(IF($M$19=1,(SUMPRODUCT((Quesería!$C$70:$C$89=0)*(Quesería!$J$70:$J$89&gt;0)*(H$43&gt;=1)*(H$43&lt;=Quesería!$J$70:$J$89)*(Quesería!$H$70:$H$89&gt;0)*Quesería!$F$70:$F$89*(1+Quesería!$I$70:$I$89)/(Quesería!$J$70:$J$89+(Quesería!$J$70:$J$89=0)))+SUMPRODUCT((Quesería!$C$70:$C$89=0)*(Quesería!$J$70:$J$89=0)*(H$43=0)*(Quesería!$H$70:$H$89&gt;0)*Quesería!$F$70:$F$89*(1+Quesería!$I$70:$I$89)))*$B$520+(SUMPRODUCT((Quesería!$C$70:$C$89=1)*(Quesería!$J$70:$J$89&gt;0)*(H$43&gt;=2)*(H$43&lt;=Quesería!$J$70:$J$89+1)*(Quesería!$H$70:$H$89&gt;0)*Quesería!$F$70:$F$89*(1+Quesería!$I$70:$I$89)/(Quesería!$J$70:$J$89+(Quesería!$J$70:$J$89=0)))+SUMPRODUCT((Quesería!$C$70:$C$89=1)*(Quesería!$J$70:$J$89=0)*(H$43=1)*(Quesería!$H$70:$H$89&gt;0)*Quesería!$F$70:$F$89*(1+Quesería!$I$70:$I$89)))*$C$520*$M$21,IF(AND(H$43&gt;=1,H$43&lt;=Quesería!$B$30),Quesería!$F$92/Quesería!$B$30,0)*$B$520+IF(AND(H$43&gt;=2,H$43&lt;=Quesería!$B$30+1),Quesería!$F$93/Quesería!$B$30,0)*$C$520*$M$21)*$M$11+IF(AND(H$43&gt;=6,H$43&lt;=10),$G524*$G520/5,0)+IF(AND(H$43&gt;=7,H$43&lt;=11),$H524*$H520/5,0))*H522</f>
        <v>126.280832727633</v>
      </c>
      <c r="I532" s="29" t="n">
        <f aca="false">(IF($M$19=1,(SUMPRODUCT((Quesería!$C$70:$C$89=0)*(Quesería!$J$70:$J$89&gt;0)*(I$43&gt;=1)*(I$43&lt;=Quesería!$J$70:$J$89)*(Quesería!$H$70:$H$89&gt;0)*Quesería!$F$70:$F$89*(1+Quesería!$I$70:$I$89)/(Quesería!$J$70:$J$89+(Quesería!$J$70:$J$89=0)))+SUMPRODUCT((Quesería!$C$70:$C$89=0)*(Quesería!$J$70:$J$89=0)*(I$43=0)*(Quesería!$H$70:$H$89&gt;0)*Quesería!$F$70:$F$89*(1+Quesería!$I$70:$I$89)))*$B$520+(SUMPRODUCT((Quesería!$C$70:$C$89=1)*(Quesería!$J$70:$J$89&gt;0)*(I$43&gt;=2)*(I$43&lt;=Quesería!$J$70:$J$89+1)*(Quesería!$H$70:$H$89&gt;0)*Quesería!$F$70:$F$89*(1+Quesería!$I$70:$I$89)/(Quesería!$J$70:$J$89+(Quesería!$J$70:$J$89=0)))+SUMPRODUCT((Quesería!$C$70:$C$89=1)*(Quesería!$J$70:$J$89=0)*(I$43=1)*(Quesería!$H$70:$H$89&gt;0)*Quesería!$F$70:$F$89*(1+Quesería!$I$70:$I$89)))*$C$520*$M$21,IF(AND(I$43&gt;=1,I$43&lt;=Quesería!$B$30),Quesería!$F$92/Quesería!$B$30,0)*$B$520+IF(AND(I$43&gt;=2,I$43&lt;=Quesería!$B$30+1),Quesería!$F$93/Quesería!$B$30,0)*$C$520*$M$21)*$M$11+IF(AND(I$43&gt;=6,I$43&lt;=10),$G524*$G520/5,0)+IF(AND(I$43&gt;=7,I$43&lt;=11),$H524*$H520/5,0))*I522</f>
        <v>131.101222311241</v>
      </c>
      <c r="J532" s="29" t="n">
        <f aca="false">(IF($M$19=1,(SUMPRODUCT((Quesería!$C$70:$C$89=0)*(Quesería!$J$70:$J$89&gt;0)*(J$43&gt;=1)*(J$43&lt;=Quesería!$J$70:$J$89)*(Quesería!$H$70:$H$89&gt;0)*Quesería!$F$70:$F$89*(1+Quesería!$I$70:$I$89)/(Quesería!$J$70:$J$89+(Quesería!$J$70:$J$89=0)))+SUMPRODUCT((Quesería!$C$70:$C$89=0)*(Quesería!$J$70:$J$89=0)*(J$43=0)*(Quesería!$H$70:$H$89&gt;0)*Quesería!$F$70:$F$89*(1+Quesería!$I$70:$I$89)))*$B$520+(SUMPRODUCT((Quesería!$C$70:$C$89=1)*(Quesería!$J$70:$J$89&gt;0)*(J$43&gt;=2)*(J$43&lt;=Quesería!$J$70:$J$89+1)*(Quesería!$H$70:$H$89&gt;0)*Quesería!$F$70:$F$89*(1+Quesería!$I$70:$I$89)/(Quesería!$J$70:$J$89+(Quesería!$J$70:$J$89=0)))+SUMPRODUCT((Quesería!$C$70:$C$89=1)*(Quesería!$J$70:$J$89=0)*(J$43=1)*(Quesería!$H$70:$H$89&gt;0)*Quesería!$F$70:$F$89*(1+Quesería!$I$70:$I$89)))*$C$520*$M$21,IF(AND(J$43&gt;=1,J$43&lt;=Quesería!$B$30),Quesería!$F$92/Quesería!$B$30,0)*$B$520+IF(AND(J$43&gt;=2,J$43&lt;=Quesería!$B$30+1),Quesería!$F$93/Quesería!$B$30,0)*$C$520*$M$21)*$M$11+IF(AND(J$43&gt;=6,J$43&lt;=10),$G524*$G520/5,0)+IF(AND(J$43&gt;=7,J$43&lt;=11),$H524*$H520/5,0))*J522</f>
        <v>126.790350397719</v>
      </c>
      <c r="K532" s="29" t="n">
        <f aca="false">(IF($M$19=1,(SUMPRODUCT((Quesería!$C$70:$C$89=0)*(Quesería!$J$70:$J$89&gt;0)*(K$43&gt;=1)*(K$43&lt;=Quesería!$J$70:$J$89)*(Quesería!$H$70:$H$89&gt;0)*Quesería!$F$70:$F$89*(1+Quesería!$I$70:$I$89)/(Quesería!$J$70:$J$89+(Quesería!$J$70:$J$89=0)))+SUMPRODUCT((Quesería!$C$70:$C$89=0)*(Quesería!$J$70:$J$89=0)*(K$43=0)*(Quesería!$H$70:$H$89&gt;0)*Quesería!$F$70:$F$89*(1+Quesería!$I$70:$I$89)))*$B$520+(SUMPRODUCT((Quesería!$C$70:$C$89=1)*(Quesería!$J$70:$J$89&gt;0)*(K$43&gt;=2)*(K$43&lt;=Quesería!$J$70:$J$89+1)*(Quesería!$H$70:$H$89&gt;0)*Quesería!$F$70:$F$89*(1+Quesería!$I$70:$I$89)/(Quesería!$J$70:$J$89+(Quesería!$J$70:$J$89=0)))+SUMPRODUCT((Quesería!$C$70:$C$89=1)*(Quesería!$J$70:$J$89=0)*(K$43=1)*(Quesería!$H$70:$H$89&gt;0)*Quesería!$F$70:$F$89*(1+Quesería!$I$70:$I$89)))*$C$520*$M$21,IF(AND(K$43&gt;=1,K$43&lt;=Quesería!$B$30),Quesería!$F$92/Quesería!$B$30,0)*$B$520+IF(AND(K$43&gt;=2,K$43&lt;=Quesería!$B$30+1),Quesería!$F$93/Quesería!$B$30,0)*$C$520*$M$21)*$M$11+IF(AND(K$43&gt;=6,K$43&lt;=10),$G524*$G520/5,0)+IF(AND(K$43&gt;=7,K$43&lt;=11),$H524*$H520/5,0))*K522</f>
        <v>122.621228624486</v>
      </c>
      <c r="L532" s="29" t="n">
        <f aca="false">(IF($M$19=1,(SUMPRODUCT((Quesería!$C$70:$C$89=0)*(Quesería!$J$70:$J$89&gt;0)*(L$43&gt;=1)*(L$43&lt;=Quesería!$J$70:$J$89)*(Quesería!$H$70:$H$89&gt;0)*Quesería!$F$70:$F$89*(1+Quesería!$I$70:$I$89)/(Quesería!$J$70:$J$89+(Quesería!$J$70:$J$89=0)))+SUMPRODUCT((Quesería!$C$70:$C$89=0)*(Quesería!$J$70:$J$89=0)*(L$43=0)*(Quesería!$H$70:$H$89&gt;0)*Quesería!$F$70:$F$89*(1+Quesería!$I$70:$I$89)))*$B$520+(SUMPRODUCT((Quesería!$C$70:$C$89=1)*(Quesería!$J$70:$J$89&gt;0)*(L$43&gt;=2)*(L$43&lt;=Quesería!$J$70:$J$89+1)*(Quesería!$H$70:$H$89&gt;0)*Quesería!$F$70:$F$89*(1+Quesería!$I$70:$I$89)/(Quesería!$J$70:$J$89+(Quesería!$J$70:$J$89=0)))+SUMPRODUCT((Quesería!$C$70:$C$89=1)*(Quesería!$J$70:$J$89=0)*(L$43=1)*(Quesería!$H$70:$H$89&gt;0)*Quesería!$F$70:$F$89*(1+Quesería!$I$70:$I$89)))*$C$520*$M$21,IF(AND(L$43&gt;=1,L$43&lt;=Quesería!$B$30),Quesería!$F$92/Quesería!$B$30,0)*$B$520+IF(AND(L$43&gt;=2,L$43&lt;=Quesería!$B$30+1),Quesería!$F$93/Quesería!$B$30,0)*$C$520*$M$21)*$M$11+IF(AND(L$43&gt;=6,L$43&lt;=10),$G524*$G520/5,0)+IF(AND(L$43&gt;=7,L$43&lt;=11),$H524*$H520/5,0))*L522</f>
        <v>118.589195961786</v>
      </c>
    </row>
    <row r="533" customFormat="false" ht="15" hidden="true" customHeight="false" outlineLevel="1" collapsed="false">
      <c r="A533" s="9" t="s">
        <v>416</v>
      </c>
      <c r="B533" s="58" t="n">
        <f aca="false">IF(B$43=1,MIN($M$7*Quesería!$B$56*Quesería!$F$86*$M$11*$M$21,Quesería!$B$57*Quesería!$B$58),0)</f>
        <v>0</v>
      </c>
      <c r="C533" s="58" t="n">
        <f aca="false">IF(C$43=1,MIN($M$7*Quesería!$B$56*Quesería!$F$86*$M$11*$M$21,Quesería!$B$57*Quesería!$B$58),0)</f>
        <v>20</v>
      </c>
      <c r="D533" s="58" t="n">
        <f aca="false">IF(D$43=1,MIN($M$7*Quesería!$B$56*Quesería!$F$86*$M$11*$M$21,Quesería!$B$57*Quesería!$B$58),0)</f>
        <v>0</v>
      </c>
      <c r="E533" s="58" t="n">
        <f aca="false">IF(E$43=1,MIN($M$7*Quesería!$B$56*Quesería!$F$86*$M$11*$M$21,Quesería!$B$57*Quesería!$B$58),0)</f>
        <v>0</v>
      </c>
      <c r="F533" s="58" t="n">
        <f aca="false">IF(F$43=1,MIN($M$7*Quesería!$B$56*Quesería!$F$86*$M$11*$M$21,Quesería!$B$57*Quesería!$B$58),0)</f>
        <v>0</v>
      </c>
      <c r="G533" s="58" t="n">
        <f aca="false">IF(G$43=1,MIN($M$7*Quesería!$B$56*Quesería!$F$86*$M$11*$M$21,Quesería!$B$57*Quesería!$B$58),0)</f>
        <v>0</v>
      </c>
      <c r="H533" s="58" t="n">
        <f aca="false">IF(H$43=1,MIN($M$7*Quesería!$B$56*Quesería!$F$86*$M$11*$M$21,Quesería!$B$57*Quesería!$B$58),0)</f>
        <v>0</v>
      </c>
      <c r="I533" s="58" t="n">
        <f aca="false">IF(I$43=1,MIN($M$7*Quesería!$B$56*Quesería!$F$86*$M$11*$M$21,Quesería!$B$57*Quesería!$B$58),0)</f>
        <v>0</v>
      </c>
      <c r="J533" s="58" t="n">
        <f aca="false">IF(J$43=1,MIN($M$7*Quesería!$B$56*Quesería!$F$86*$M$11*$M$21,Quesería!$B$57*Quesería!$B$58),0)</f>
        <v>0</v>
      </c>
      <c r="K533" s="58" t="n">
        <f aca="false">IF(K$43=1,MIN($M$7*Quesería!$B$56*Quesería!$F$86*$M$11*$M$21,Quesería!$B$57*Quesería!$B$58),0)</f>
        <v>0</v>
      </c>
      <c r="L533" s="58" t="n">
        <f aca="false">IF(L$43=1,MIN($M$7*Quesería!$B$56*Quesería!$F$86*$M$11*$M$21,Quesería!$B$57*Quesería!$B$58),0)</f>
        <v>0</v>
      </c>
    </row>
    <row r="534" customFormat="false" ht="15" hidden="true" customHeight="false" outlineLevel="1" collapsed="false">
      <c r="A534" s="9" t="s">
        <v>417</v>
      </c>
      <c r="B534" s="58" t="n">
        <v>0</v>
      </c>
      <c r="C534" s="58" t="n">
        <f aca="false">$M$20*Quesería!$B$60*Quesería!$F$98*$M$11*$B$520/C520/2</f>
        <v>138.789586239024</v>
      </c>
      <c r="D534" s="58" t="n">
        <f aca="false">$M$20*Quesería!$B$60*Quesería!$F$98*$M$11*$B$520/D520/2</f>
        <v>133.837595216031</v>
      </c>
      <c r="E534" s="58" t="n">
        <v>0</v>
      </c>
      <c r="F534" s="58" t="n">
        <v>0</v>
      </c>
      <c r="G534" s="58" t="n">
        <v>0</v>
      </c>
      <c r="H534" s="58" t="n">
        <v>0</v>
      </c>
      <c r="I534" s="58" t="n">
        <v>0</v>
      </c>
      <c r="J534" s="58" t="n">
        <v>0</v>
      </c>
      <c r="K534" s="58" t="n">
        <v>0</v>
      </c>
      <c r="L534" s="58" t="n">
        <v>0</v>
      </c>
    </row>
    <row r="535" customFormat="false" ht="15" hidden="true" customHeight="false" outlineLevel="1" collapsed="false">
      <c r="A535" s="9" t="s">
        <v>418</v>
      </c>
      <c r="B535" s="58" t="n">
        <f aca="false">0</f>
        <v>0</v>
      </c>
      <c r="C535" s="58" t="n">
        <f aca="false">B525*B520/C520</f>
        <v>142.694422545624</v>
      </c>
      <c r="D535" s="58" t="n">
        <f aca="false">C525*C520/D520</f>
        <v>138.967331406128</v>
      </c>
      <c r="E535" s="58" t="n">
        <f aca="false">D525*D520/E520</f>
        <v>0</v>
      </c>
      <c r="F535" s="58" t="n">
        <f aca="false">E525*E520/F520</f>
        <v>0</v>
      </c>
      <c r="G535" s="58" t="n">
        <f aca="false">F525*F520/G520</f>
        <v>0</v>
      </c>
      <c r="H535" s="58" t="n">
        <f aca="false">G525*G520/H520</f>
        <v>5.0468000784197</v>
      </c>
      <c r="I535" s="58" t="n">
        <f aca="false">H525*H520/I520</f>
        <v>8.52411952135541</v>
      </c>
      <c r="J535" s="58" t="n">
        <f aca="false">I525*I520/J520</f>
        <v>0</v>
      </c>
      <c r="K535" s="58" t="n">
        <f aca="false">J525*J520/K520</f>
        <v>0</v>
      </c>
      <c r="L535" s="58" t="n">
        <f aca="false">K525*K520/L520</f>
        <v>0</v>
      </c>
    </row>
    <row r="536" customFormat="false" ht="15" hidden="true" customHeight="false" outlineLevel="1" collapsed="false">
      <c r="A536" s="6" t="s">
        <v>295</v>
      </c>
      <c r="B536" s="29" t="n">
        <f aca="false">$M$17*(B528-B529-B530-0.5*B531-B532)-B533-B534-B535</f>
        <v>-9.59839124703309</v>
      </c>
      <c r="C536" s="29" t="n">
        <f aca="false">$M$17*(C528-C529-C530-0.5*C531-C532)-C533-C534-C535</f>
        <v>-288.840344541087</v>
      </c>
      <c r="D536" s="29" t="n">
        <f aca="false">$M$17*(D528-D529-D530-0.5*D531-D532)-D533-D534-D535</f>
        <v>-192.967651551605</v>
      </c>
      <c r="E536" s="29" t="n">
        <f aca="false">$M$17*(E528-E529-E530-0.5*E531-E532)-E533-E534-E535</f>
        <v>103.934129320994</v>
      </c>
      <c r="F536" s="29" t="n">
        <f aca="false">$M$17*(F528-F529-F530-0.5*F531-F532)-F533-F534-F535</f>
        <v>105.743700567707</v>
      </c>
      <c r="G536" s="29" t="n">
        <f aca="false">$M$17*(G528-G529-G530-0.5*G531-G532)-G533-G534-G535</f>
        <v>107.474994554641</v>
      </c>
      <c r="H536" s="29" t="n">
        <f aca="false">$M$17*(H528-H529-H530-0.5*H531-H532)-H533-H534-H535</f>
        <v>106.714869813363</v>
      </c>
      <c r="I536" s="29" t="n">
        <f aca="false">$M$17*(I528-I529-I530-0.5*I531-I532)-I533-I534-I535</f>
        <v>101.699015268514</v>
      </c>
      <c r="J536" s="29" t="n">
        <f aca="false">$M$17*(J528-J529-J530-0.5*J531-J532)-J533-J534-J535</f>
        <v>111.842448840673</v>
      </c>
      <c r="K536" s="29" t="n">
        <f aca="false">$M$17*(K528-K529-K530-0.5*K531-K532)-K533-K534-K535</f>
        <v>113.412702886781</v>
      </c>
      <c r="L536" s="29" t="n">
        <f aca="false">$M$17*(L528-L529-L530-0.5*L531-L532)-L533-L534-L535</f>
        <v>114.93553105133</v>
      </c>
    </row>
    <row r="537" customFormat="false" ht="15" hidden="true" customHeight="false" outlineLevel="1" collapsed="false">
      <c r="A537" s="9" t="s">
        <v>419</v>
      </c>
      <c r="B537" s="58" t="n">
        <f aca="false">(IF(B$43&gt;=1,Quesería!$G$123*IF(B$43=1,Quesería!$B$20,1),Quesería!$G$123*Quesería!$B$20*Quesería!$B$21/12*$M$23)+IF(B$43&gt;=2,Quesería!$G$124*$M$21*IF(B$43=2,Quesería!$B$20,1),0))*$M$10</f>
        <v>77.4042870161869</v>
      </c>
      <c r="C537" s="58" t="n">
        <f aca="false">(IF(C$43&gt;=1,Quesería!$G$123*IF(C$43=1,Quesería!$B$20,1),Quesería!$G$123*Quesería!$B$20*Quesería!$B$21/12*$M$23)+IF(C$43&gt;=2,Quesería!$G$124*$M$21*IF(C$43=2,Quesería!$B$20,1),0))*$M$10</f>
        <v>116.10643052428</v>
      </c>
      <c r="D537" s="58" t="n">
        <f aca="false">(IF(D$43&gt;=1,Quesería!$G$123*IF(D$43=1,Quesería!$B$20,1),Quesería!$G$123*Quesería!$B$20*Quesería!$B$21/12*$M$23)+IF(D$43&gt;=2,Quesería!$G$124*$M$21*IF(D$43=2,Quesería!$B$20,1),0))*$M$10</f>
        <v>297.090260202792</v>
      </c>
      <c r="E537" s="58" t="n">
        <f aca="false">(IF(E$43&gt;=1,Quesería!$G$123*IF(E$43=1,Quesería!$B$20,1),Quesería!$G$123*Quesería!$B$20*Quesería!$B$21/12*$M$23)+IF(E$43&gt;=2,Quesería!$G$124*$M$21*IF(E$43=2,Quesería!$B$20,1),0))*$M$10</f>
        <v>344.517488926264</v>
      </c>
      <c r="F537" s="58" t="n">
        <f aca="false">(IF(F$43&gt;=1,Quesería!$G$123*IF(F$43=1,Quesería!$B$20,1),Quesería!$G$123*Quesería!$B$20*Quesería!$B$21/12*$M$23)+IF(F$43&gt;=2,Quesería!$G$124*$M$21*IF(F$43=2,Quesería!$B$20,1),0))*$M$10</f>
        <v>344.517488926264</v>
      </c>
      <c r="G537" s="58" t="n">
        <f aca="false">(IF(G$43&gt;=1,Quesería!$G$123*IF(G$43=1,Quesería!$B$20,1),Quesería!$G$123*Quesería!$B$20*Quesería!$B$21/12*$M$23)+IF(G$43&gt;=2,Quesería!$G$124*$M$21*IF(G$43=2,Quesería!$B$20,1),0))*$M$10</f>
        <v>344.517488926264</v>
      </c>
      <c r="H537" s="58" t="n">
        <f aca="false">(IF(H$43&gt;=1,Quesería!$G$123*IF(H$43=1,Quesería!$B$20,1),Quesería!$G$123*Quesería!$B$20*Quesería!$B$21/12*$M$23)+IF(H$43&gt;=2,Quesería!$G$124*$M$21*IF(H$43=2,Quesería!$B$20,1),0))*$M$10</f>
        <v>344.517488926264</v>
      </c>
      <c r="I537" s="58" t="n">
        <f aca="false">(IF(I$43&gt;=1,Quesería!$G$123*IF(I$43=1,Quesería!$B$20,1),Quesería!$G$123*Quesería!$B$20*Quesería!$B$21/12*$M$23)+IF(I$43&gt;=2,Quesería!$G$124*$M$21*IF(I$43=2,Quesería!$B$20,1),0))*$M$10</f>
        <v>344.517488926264</v>
      </c>
      <c r="J537" s="58" t="n">
        <f aca="false">(IF(J$43&gt;=1,Quesería!$G$123*IF(J$43=1,Quesería!$B$20,1),Quesería!$G$123*Quesería!$B$20*Quesería!$B$21/12*$M$23)+IF(J$43&gt;=2,Quesería!$G$124*$M$21*IF(J$43=2,Quesería!$B$20,1),0))*$M$10</f>
        <v>344.517488926264</v>
      </c>
      <c r="K537" s="58" t="n">
        <f aca="false">(IF(K$43&gt;=1,Quesería!$G$123*IF(K$43=1,Quesería!$B$20,1),Quesería!$G$123*Quesería!$B$20*Quesería!$B$21/12*$M$23)+IF(K$43&gt;=2,Quesería!$G$124*$M$21*IF(K$43=2,Quesería!$B$20,1),0))*$M$10</f>
        <v>344.517488926264</v>
      </c>
      <c r="L537" s="58" t="n">
        <f aca="false">(IF(L$43&gt;=1,Quesería!$G$123*IF(L$43=1,Quesería!$B$20,1),Quesería!$G$123*Quesería!$B$20*Quesería!$B$21/12*$M$23)+IF(L$43&gt;=2,Quesería!$G$124*$M$21*IF(L$43=2,Quesería!$B$20,1),0))*$M$10</f>
        <v>344.517488926264</v>
      </c>
    </row>
    <row r="538" customFormat="false" ht="15" hidden="true" customHeight="false" outlineLevel="1" collapsed="false">
      <c r="A538" s="6" t="s">
        <v>420</v>
      </c>
      <c r="B538" s="29" t="n">
        <f aca="false">(B537*(Quesería!$B$38+Quesería!$B$40*Quesería!$B$39)/365-B529*Quesería!$B$42/365)</f>
        <v>7.23146900616979</v>
      </c>
      <c r="C538" s="29" t="n">
        <f aca="false">(C537*(Quesería!$B$38+Quesería!$B$40*Quesería!$B$39)/365-C529*Quesería!$B$42/365)-(B537*(Quesería!$B$38+Quesería!$B$40*Quesería!$B$39)/365-B529*Quesería!$B$42/365)*B520/C520</f>
        <v>1.38992577060593</v>
      </c>
      <c r="D538" s="29" t="n">
        <f aca="false">(D537*(Quesería!$B$38+Quesería!$B$40*Quesería!$B$39)/365-D529*Quesería!$B$42/365)-(C537*(Quesería!$B$38+Quesería!$B$40*Quesería!$B$39)/365-C529*Quesería!$B$42/365)*C520/D520</f>
        <v>13.9591827620743</v>
      </c>
      <c r="E538" s="29" t="n">
        <f aca="false">(E537*(Quesería!$B$38+Quesería!$B$40*Quesería!$B$39)/365-E529*Quesería!$B$42/365)-(D537*(Quesería!$B$38+Quesería!$B$40*Quesería!$B$39)/365-D529*Quesería!$B$42/365)*D520/E520</f>
        <v>5.15337836688127</v>
      </c>
      <c r="F538" s="29" t="n">
        <f aca="false">(F537*(Quesería!$B$38+Quesería!$B$40*Quesería!$B$39)/365-F529*Quesería!$B$42/365)-(E537*(Quesería!$B$38+Quesería!$B$40*Quesería!$B$39)/365-E529*Quesería!$B$42/365)*E520/F520</f>
        <v>0.868201769890156</v>
      </c>
      <c r="G538" s="29" t="n">
        <f aca="false">(G537*(Quesería!$B$38+Quesería!$B$40*Quesería!$B$39)/365-G529*Quesería!$B$42/365)-(F537*(Quesería!$B$38+Quesería!$B$40*Quesería!$B$39)/365-F529*Quesería!$B$42/365)*F520/G520</f>
        <v>0.868201769890149</v>
      </c>
      <c r="H538" s="29" t="n">
        <f aca="false">(H537*(Quesería!$B$38+Quesería!$B$40*Quesería!$B$39)/365-H529*Quesería!$B$42/365)-(G537*(Quesería!$B$38+Quesería!$B$40*Quesería!$B$39)/365-G529*Quesería!$B$42/365)*G520/H520</f>
        <v>0.868201769890153</v>
      </c>
      <c r="I538" s="29" t="n">
        <f aca="false">(I537*(Quesería!$B$38+Quesería!$B$40*Quesería!$B$39)/365-I529*Quesería!$B$42/365)-(H537*(Quesería!$B$38+Quesería!$B$40*Quesería!$B$39)/365-H529*Quesería!$B$42/365)*H520/I520</f>
        <v>0.868201769890156</v>
      </c>
      <c r="J538" s="29" t="n">
        <f aca="false">(J537*(Quesería!$B$38+Quesería!$B$40*Quesería!$B$39)/365-J529*Quesería!$B$42/365)-(I537*(Quesería!$B$38+Quesería!$B$40*Quesería!$B$39)/365-I529*Quesería!$B$42/365)*I520/J520</f>
        <v>0.868201769890153</v>
      </c>
      <c r="K538" s="29" t="n">
        <f aca="false">(K537*(Quesería!$B$38+Quesería!$B$40*Quesería!$B$39)/365-K529*Quesería!$B$42/365)-(J537*(Quesería!$B$38+Quesería!$B$40*Quesería!$B$39)/365-J529*Quesería!$B$42/365)*J520/K520</f>
        <v>0.868201769890153</v>
      </c>
      <c r="L538" s="29" t="n">
        <f aca="false">-(K537*(Quesería!$B$38+Quesería!$B$40*Quesería!$B$39)/365-K529*Quesería!$B$42/365)*K520/L520</f>
        <v>-25.5353461732398</v>
      </c>
    </row>
    <row r="539" customFormat="false" ht="15" hidden="true" customHeight="false" outlineLevel="1" collapsed="false">
      <c r="A539" s="6" t="s">
        <v>421</v>
      </c>
      <c r="B539" s="29" t="n">
        <v>0</v>
      </c>
      <c r="C539" s="29" t="n">
        <v>0</v>
      </c>
      <c r="D539" s="29" t="n">
        <v>0</v>
      </c>
      <c r="E539" s="29" t="n">
        <v>0</v>
      </c>
      <c r="F539" s="29" t="n">
        <v>0</v>
      </c>
      <c r="G539" s="29" t="n">
        <v>0</v>
      </c>
      <c r="H539" s="29" t="n">
        <v>0</v>
      </c>
      <c r="I539" s="29" t="n">
        <v>0</v>
      </c>
      <c r="J539" s="29" t="n">
        <v>0</v>
      </c>
      <c r="K539" s="29" t="n">
        <v>0</v>
      </c>
      <c r="L539" s="29" t="n">
        <f aca="false">$M$8*Quesería!$B$36*(Quesería!$F$94+Quesería!$F$95*$M$21)*$M$11*(1-$M$17)</f>
        <v>67.1237725584543</v>
      </c>
    </row>
    <row r="540" customFormat="false" ht="15" hidden="true" customHeight="false" outlineLevel="1" collapsed="false">
      <c r="A540" s="5" t="s">
        <v>147</v>
      </c>
      <c r="B540" s="59" t="n">
        <f aca="false">B528-B529-B530-B531-B536-B523-B524-B525-B538+B539</f>
        <v>-961.151880133756</v>
      </c>
      <c r="C540" s="59" t="n">
        <f aca="false">C528-C529-C530-C531-C536-C523-C524-C525-C538+C539</f>
        <v>-498.272498151054</v>
      </c>
      <c r="D540" s="59" t="n">
        <f aca="false">D528-D529-D530-D531-D536-D523-D524-D525-D538+D539</f>
        <v>559.771528071648</v>
      </c>
      <c r="E540" s="59" t="n">
        <f aca="false">E528-E529-E530-E531-E536-E523-E524-E525-E538+E539</f>
        <v>335.497742234431</v>
      </c>
      <c r="F540" s="59" t="n">
        <f aca="false">F528-F529-F530-F531-F536-F523-F524-F525-F538+F539</f>
        <v>338.282850604125</v>
      </c>
      <c r="G540" s="59" t="n">
        <f aca="false">G528-G529-G530-G531-G536-G523-G524-G525-G538+G539</f>
        <v>304.048264167546</v>
      </c>
      <c r="H540" s="59" t="n">
        <f aca="false">H528-H529-H530-H531-H536-H523-H524-H525-H538+H539</f>
        <v>282.511430002948</v>
      </c>
      <c r="I540" s="59" t="n">
        <f aca="false">I528-I529-I530-I531-I536-I523-I524-I525-I538+I539</f>
        <v>343.26536104114</v>
      </c>
      <c r="J540" s="59" t="n">
        <f aca="false">J528-J529-J530-J531-J536-J523-J524-J525-J538+J539</f>
        <v>333.437667129183</v>
      </c>
      <c r="K540" s="59" t="n">
        <f aca="false">K528-K529-K530-K531-K536-K523-K524-K525-K538+K539</f>
        <v>332.184731441579</v>
      </c>
      <c r="L540" s="59" t="n">
        <f aca="false">L528-L529-L530-L531-L536-L523-L524-L525-L538+L539</f>
        <v>424.508128728911</v>
      </c>
    </row>
    <row r="541" customFormat="false" ht="15" hidden="true" customHeight="false" outlineLevel="1" collapsed="false">
      <c r="A541" s="9" t="s">
        <v>422</v>
      </c>
      <c r="B541" s="58" t="n">
        <f aca="false">B540*B520</f>
        <v>-1017.85984106165</v>
      </c>
      <c r="C541" s="58" t="n">
        <f aca="false">C540*C520</f>
        <v>-551.415751441355</v>
      </c>
      <c r="D541" s="58" t="n">
        <f aca="false">D540*D520</f>
        <v>642.39449693286</v>
      </c>
      <c r="E541" s="58" t="n">
        <f aca="false">E540*E520</f>
        <v>398.108222521094</v>
      </c>
      <c r="F541" s="58" t="n">
        <f aca="false">F540*F520</f>
        <v>415.061131870238</v>
      </c>
      <c r="G541" s="58" t="n">
        <f aca="false">G540*G520</f>
        <v>385.740422259829</v>
      </c>
      <c r="H541" s="58" t="n">
        <f aca="false">H540*H520</f>
        <v>370.603217464052</v>
      </c>
      <c r="I541" s="58" t="n">
        <f aca="false">I540*I520</f>
        <v>465.611482164776</v>
      </c>
      <c r="J541" s="58" t="n">
        <f aca="false">J540*J520</f>
        <v>467.658571002738</v>
      </c>
      <c r="K541" s="58" t="n">
        <f aca="false">K540*K520</f>
        <v>481.741926308435</v>
      </c>
      <c r="L541" s="58" t="n">
        <f aca="false">L540*L520</f>
        <v>636.56290617119</v>
      </c>
    </row>
    <row r="542" customFormat="false" ht="15" hidden="true" customHeight="false" outlineLevel="1" collapsed="false">
      <c r="A542" s="6" t="s">
        <v>423</v>
      </c>
      <c r="B542" s="29" t="n">
        <f aca="false">B540</f>
        <v>-961.151880133756</v>
      </c>
      <c r="C542" s="29" t="n">
        <f aca="false">B542+C540</f>
        <v>-1459.42437828481</v>
      </c>
      <c r="D542" s="29" t="n">
        <f aca="false">C542+D540</f>
        <v>-899.652850213162</v>
      </c>
      <c r="E542" s="29" t="n">
        <f aca="false">D542+E540</f>
        <v>-564.155107978732</v>
      </c>
      <c r="F542" s="29" t="n">
        <f aca="false">E542+F540</f>
        <v>-225.872257374606</v>
      </c>
      <c r="G542" s="29" t="n">
        <f aca="false">F542+G540</f>
        <v>78.1760067929395</v>
      </c>
      <c r="H542" s="29" t="n">
        <f aca="false">G542+H540</f>
        <v>360.687436795888</v>
      </c>
      <c r="I542" s="29" t="n">
        <f aca="false">H542+I540</f>
        <v>703.952797837028</v>
      </c>
      <c r="J542" s="29" t="n">
        <f aca="false">I542+J540</f>
        <v>1037.39046496621</v>
      </c>
      <c r="K542" s="29" t="n">
        <f aca="false">J542+K540</f>
        <v>1369.57519640779</v>
      </c>
      <c r="L542" s="29" t="n">
        <f aca="false">K542+L540</f>
        <v>1794.0833251367</v>
      </c>
    </row>
    <row r="543" customFormat="false" ht="15" hidden="true" customHeight="false" outlineLevel="1" collapsed="false">
      <c r="A543" s="9" t="s">
        <v>424</v>
      </c>
      <c r="B543" s="60" t="n">
        <v>0</v>
      </c>
      <c r="C543" s="60" t="n">
        <f aca="false">IF(AND(B542&lt;0,C542&gt;=0),B$43+(-B542)/C540,0)</f>
        <v>0</v>
      </c>
      <c r="D543" s="60" t="n">
        <f aca="false">IF(AND(C542&lt;0,D542&gt;=0),C$43+(-C542)/D540,0)</f>
        <v>0</v>
      </c>
      <c r="E543" s="60" t="n">
        <f aca="false">IF(AND(D542&lt;0,E542&gt;=0),D$43+(-D542)/E540,0)</f>
        <v>0</v>
      </c>
      <c r="F543" s="60" t="n">
        <f aca="false">IF(AND(E542&lt;0,F542&gt;=0),E$43+(-E542)/F540,0)</f>
        <v>0</v>
      </c>
      <c r="G543" s="60" t="n">
        <f aca="false">IF(AND(F542&lt;0,G542&gt;=0),F$43+(-F542)/G540,0)</f>
        <v>4.74288290378181</v>
      </c>
      <c r="H543" s="60" t="n">
        <f aca="false">IF(AND(G542&lt;0,H542&gt;=0),G$43+(-G542)/H540,0)</f>
        <v>0</v>
      </c>
      <c r="I543" s="60" t="n">
        <f aca="false">IF(AND(H542&lt;0,I542&gt;=0),H$43+(-H542)/I540,0)</f>
        <v>0</v>
      </c>
      <c r="J543" s="60" t="n">
        <f aca="false">IF(AND(I542&lt;0,J542&gt;=0),I$43+(-I542)/J540,0)</f>
        <v>0</v>
      </c>
      <c r="K543" s="60" t="n">
        <f aca="false">IF(AND(J542&lt;0,K542&gt;=0),J$43+(-J542)/K540,0)</f>
        <v>0</v>
      </c>
      <c r="L543" s="60" t="n">
        <f aca="false">IF(AND(K542&lt;0,L542&gt;=0),K$43+(-K542)/L540,0)</f>
        <v>0</v>
      </c>
    </row>
    <row r="544" customFormat="false" ht="15" hidden="true" customHeight="false" outlineLevel="1" collapsed="false">
      <c r="A544" s="9" t="s">
        <v>425</v>
      </c>
      <c r="B544" s="57" t="n">
        <f aca="false">(B520/$B$520)/(1+$M$25)^B$43</f>
        <v>1</v>
      </c>
      <c r="C544" s="57" t="n">
        <f aca="false">(C520/$B$520)/(1+$M$25)^C$43</f>
        <v>0.914491484024789</v>
      </c>
      <c r="D544" s="57" t="n">
        <f aca="false">(D520/$B$520)/(1+$M$25)^D$43</f>
        <v>0.82989241847364</v>
      </c>
      <c r="E544" s="57" t="n">
        <f aca="false">(E520/$B$520)/(1+$M$25)^E$43</f>
        <v>0.750940817252449</v>
      </c>
      <c r="F544" s="57" t="n">
        <f aca="false">(F520/$B$520)/(1+$M$25)^F$43</f>
        <v>0.679500256253622</v>
      </c>
      <c r="G544" s="57" t="n">
        <f aca="false">(G520/$B$520)/(1+$M$25)^G$43</f>
        <v>0.61485617460253</v>
      </c>
      <c r="H544" s="57" t="n">
        <f aca="false">(H520/$B$520)/(1+$M$25)^H$43</f>
        <v>0.556361990989082</v>
      </c>
      <c r="I544" s="57" t="n">
        <f aca="false">(I520/$B$520)/(1+$M$25)^I$43</f>
        <v>0.503432636449386</v>
      </c>
      <c r="J544" s="57" t="n">
        <f aca="false">(J520/$B$520)/(1+$M$25)^J$43</f>
        <v>0.455538702404552</v>
      </c>
      <c r="K544" s="57" t="n">
        <f aca="false">(K520/$B$520)/(1+$M$25)^K$43</f>
        <v>0.412201145424321</v>
      </c>
      <c r="L544" s="57" t="n">
        <f aca="false">(L520/$B$520)/(1+$M$25)^L$43</f>
        <v>0.372986495751639</v>
      </c>
    </row>
    <row r="545" customFormat="false" ht="15" hidden="true" customHeight="false" outlineLevel="1" collapsed="false">
      <c r="A545" s="9" t="s">
        <v>426</v>
      </c>
      <c r="B545" s="58" t="n">
        <f aca="false">B540*B544</f>
        <v>-961.151880133756</v>
      </c>
      <c r="C545" s="58" t="n">
        <f aca="false">C540*C544</f>
        <v>-455.665956282897</v>
      </c>
      <c r="D545" s="58" t="n">
        <f aca="false">D540*D544</f>
        <v>464.550147224064</v>
      </c>
      <c r="E545" s="58" t="n">
        <f aca="false">E540*E544</f>
        <v>251.938948739875</v>
      </c>
      <c r="F545" s="58" t="n">
        <f aca="false">F540*F544</f>
        <v>229.863283671709</v>
      </c>
      <c r="G545" s="58" t="n">
        <f aca="false">G540*G544</f>
        <v>186.945952600597</v>
      </c>
      <c r="H545" s="58" t="n">
        <f aca="false">H540*H544</f>
        <v>157.178621673613</v>
      </c>
      <c r="I545" s="58" t="n">
        <f aca="false">I540*I544</f>
        <v>172.810985710691</v>
      </c>
      <c r="J545" s="58" t="n">
        <f aca="false">J540*J544</f>
        <v>151.893762216829</v>
      </c>
      <c r="K545" s="58" t="n">
        <f aca="false">K540*K544</f>
        <v>136.92692679269</v>
      </c>
      <c r="L545" s="58" t="n">
        <f aca="false">L540*L544</f>
        <v>158.335799352682</v>
      </c>
    </row>
    <row r="546" customFormat="false" ht="15" hidden="true" customHeight="false" outlineLevel="1" collapsed="false">
      <c r="A546" s="9" t="s">
        <v>427</v>
      </c>
      <c r="B546" s="58" t="n">
        <f aca="false">B545</f>
        <v>-961.151880133756</v>
      </c>
      <c r="C546" s="58" t="n">
        <f aca="false">B546+C545</f>
        <v>-1416.81783641665</v>
      </c>
      <c r="D546" s="58" t="n">
        <f aca="false">C546+D545</f>
        <v>-952.267689192588</v>
      </c>
      <c r="E546" s="58" t="n">
        <f aca="false">D546+E545</f>
        <v>-700.328740452713</v>
      </c>
      <c r="F546" s="58" t="n">
        <f aca="false">E546+F545</f>
        <v>-470.465456781004</v>
      </c>
      <c r="G546" s="58" t="n">
        <f aca="false">F546+G545</f>
        <v>-283.519504180407</v>
      </c>
      <c r="H546" s="58" t="n">
        <f aca="false">G546+H545</f>
        <v>-126.340882506794</v>
      </c>
      <c r="I546" s="58" t="n">
        <f aca="false">H546+I545</f>
        <v>46.4701032038973</v>
      </c>
      <c r="J546" s="58" t="n">
        <f aca="false">I546+J545</f>
        <v>198.363865420726</v>
      </c>
      <c r="K546" s="58" t="n">
        <f aca="false">J546+K545</f>
        <v>335.290792213416</v>
      </c>
      <c r="L546" s="58" t="n">
        <f aca="false">K546+L545</f>
        <v>493.626591566098</v>
      </c>
    </row>
    <row r="547" customFormat="false" ht="15" hidden="true" customHeight="false" outlineLevel="1" collapsed="false">
      <c r="A547" s="9" t="s">
        <v>428</v>
      </c>
      <c r="B547" s="60" t="n">
        <v>0</v>
      </c>
      <c r="C547" s="60" t="n">
        <f aca="false">IF(AND(B546&lt;0,C546&gt;=0),B$43+(-B546)/C545,0)</f>
        <v>0</v>
      </c>
      <c r="D547" s="60" t="n">
        <f aca="false">IF(AND(C546&lt;0,D546&gt;=0),C$43+(-C546)/D545,0)</f>
        <v>0</v>
      </c>
      <c r="E547" s="60" t="n">
        <f aca="false">IF(AND(D546&lt;0,E546&gt;=0),D$43+(-D546)/E545,0)</f>
        <v>0</v>
      </c>
      <c r="F547" s="60" t="n">
        <f aca="false">IF(AND(E546&lt;0,F546&gt;=0),E$43+(-E546)/F545,0)</f>
        <v>0</v>
      </c>
      <c r="G547" s="60" t="n">
        <f aca="false">IF(AND(F546&lt;0,G546&gt;=0),F$43+(-F546)/G545,0)</f>
        <v>0</v>
      </c>
      <c r="H547" s="60" t="n">
        <f aca="false">IF(AND(G546&lt;0,H546&gt;=0),G$43+(-G546)/H545,0)</f>
        <v>0</v>
      </c>
      <c r="I547" s="60" t="n">
        <f aca="false">IF(AND(H546&lt;0,I546&gt;=0),H$43+(-H546)/I545,0)</f>
        <v>6.73109288733707</v>
      </c>
      <c r="J547" s="60" t="n">
        <f aca="false">IF(AND(I546&lt;0,J546&gt;=0),I$43+(-I546)/J545,0)</f>
        <v>0</v>
      </c>
      <c r="K547" s="60" t="n">
        <f aca="false">IF(AND(J546&lt;0,K546&gt;=0),J$43+(-J546)/K545,0)</f>
        <v>0</v>
      </c>
      <c r="L547" s="60" t="n">
        <f aca="false">IF(AND(K546&lt;0,L546&gt;=0),K$43+(-K546)/L545,0)</f>
        <v>0</v>
      </c>
    </row>
    <row r="548" customFormat="false" ht="15" hidden="true" customHeight="false" outlineLevel="1" collapsed="false">
      <c r="A548" s="9" t="s">
        <v>429</v>
      </c>
      <c r="B548" s="58" t="n">
        <f aca="false">IF(B$43&lt;0,0,(Quesería!$B$44*$B$523*$B$520)*(1-MAX(0,MIN(B$43-0-Quesería!$B$47,(Quesería!$B$46-Quesería!$B$47)))/(Quesería!$B$46-Quesería!$B$47))*IF(B$43&gt;=2,1-Quesería!$B$48,1))+IF(B$43&lt;1,0,(Quesería!$B$44*$C$523*$C$520)*(1-MAX(0,MIN(B$43-1-Quesería!$B$47,(Quesería!$B$46-Quesería!$B$47)))/(Quesería!$B$46-Quesería!$B$47))*IF(B$43&gt;=2,1-Quesería!$B$48,1))</f>
        <v>640.716344812795</v>
      </c>
      <c r="C548" s="58" t="n">
        <f aca="false">IF(C$43&lt;0,0,(Quesería!$B$44*$B$523*$B$520)*(1-MAX(0,MIN(C$43-0-Quesería!$B$47,(Quesería!$B$46-Quesería!$B$47)))/(Quesería!$B$46-Quesería!$B$47))*IF(C$43&gt;=2,1-Quesería!$B$48,1))+IF(C$43&lt;1,0,(Quesería!$B$44*$C$523*$C$520)*(1-MAX(0,MIN(C$43-1-Quesería!$B$47,(Quesería!$B$46-Quesería!$B$47)))/(Quesería!$B$46-Quesería!$B$47))*IF(C$43&gt;=2,1-Quesería!$B$48,1))</f>
        <v>1186.30267505023</v>
      </c>
      <c r="D548" s="58" t="n">
        <f aca="false">IF(D$43&lt;0,0,(Quesería!$B$44*$B$523*$B$520)*(1-MAX(0,MIN(D$43-0-Quesería!$B$47,(Quesería!$B$46-Quesería!$B$47)))/(Quesería!$B$46-Quesería!$B$47))*IF(D$43&gt;=2,1-Quesería!$B$48,1))+IF(D$43&lt;1,0,(Quesería!$B$44*$C$523*$C$520)*(1-MAX(0,MIN(D$43-1-Quesería!$B$47,(Quesería!$B$46-Quesería!$B$47)))/(Quesería!$B$46-Quesería!$B$47))*IF(D$43&gt;=2,1-Quesería!$B$48,1))</f>
        <v>1079.51661758143</v>
      </c>
      <c r="E548" s="58" t="n">
        <f aca="false">IF(E$43&lt;0,0,(Quesería!$B$44*$B$523*$B$520)*(1-MAX(0,MIN(E$43-0-Quesería!$B$47,(Quesería!$B$46-Quesería!$B$47)))/(Quesería!$B$46-Quesería!$B$47))*IF(E$43&gt;=2,1-Quesería!$B$48,1))+IF(E$43&lt;1,0,(Quesería!$B$44*$C$523*$C$520)*(1-MAX(0,MIN(E$43-1-Quesería!$B$47,(Quesería!$B$46-Quesería!$B$47)))/(Quesería!$B$46-Quesería!$B$47))*IF(E$43&gt;=2,1-Quesería!$B$48,1))</f>
        <v>881.799505073058</v>
      </c>
      <c r="F548" s="58" t="n">
        <f aca="false">IF(F$43&lt;0,0,(Quesería!$B$44*$B$523*$B$520)*(1-MAX(0,MIN(F$43-0-Quesería!$B$47,(Quesería!$B$46-Quesería!$B$47)))/(Quesería!$B$46-Quesería!$B$47))*IF(F$43&gt;=2,1-Quesería!$B$48,1))+IF(F$43&lt;1,0,(Quesería!$B$44*$C$523*$C$520)*(1-MAX(0,MIN(F$43-1-Quesería!$B$47,(Quesería!$B$46-Quesería!$B$47)))/(Quesería!$B$46-Quesería!$B$47))*IF(F$43&gt;=2,1-Quesería!$B$48,1))</f>
        <v>684.082392564686</v>
      </c>
      <c r="G548" s="58" t="n">
        <f aca="false">IF(G$43&lt;0,0,(Quesería!$B$44*$B$523*$B$520)*(1-MAX(0,MIN(G$43-0-Quesería!$B$47,(Quesería!$B$46-Quesería!$B$47)))/(Quesería!$B$46-Quesería!$B$47))*IF(G$43&gt;=2,1-Quesería!$B$48,1))+IF(G$43&lt;1,0,(Quesería!$B$44*$C$523*$C$520)*(1-MAX(0,MIN(G$43-1-Quesería!$B$47,(Quesería!$B$46-Quesería!$B$47)))/(Quesería!$B$46-Quesería!$B$47))*IF(G$43&gt;=2,1-Quesería!$B$48,1))</f>
        <v>486.365280056315</v>
      </c>
      <c r="H548" s="58" t="n">
        <f aca="false">IF(H$43&lt;0,0,(Quesería!$B$44*$B$523*$B$520)*(1-MAX(0,MIN(H$43-0-Quesería!$B$47,(Quesería!$B$46-Quesería!$B$47)))/(Quesería!$B$46-Quesería!$B$47))*IF(H$43&gt;=2,1-Quesería!$B$48,1))+IF(H$43&lt;1,0,(Quesería!$B$44*$C$523*$C$520)*(1-MAX(0,MIN(H$43-1-Quesería!$B$47,(Quesería!$B$46-Quesería!$B$47)))/(Quesería!$B$46-Quesería!$B$47))*IF(H$43&gt;=2,1-Quesería!$B$48,1))</f>
        <v>288.648167547944</v>
      </c>
      <c r="I548" s="58" t="n">
        <f aca="false">IF(I$43&lt;0,0,(Quesería!$B$44*$B$523*$B$520)*(1-MAX(0,MIN(I$43-0-Quesería!$B$47,(Quesería!$B$46-Quesería!$B$47)))/(Quesería!$B$46-Quesería!$B$47))*IF(I$43&gt;=2,1-Quesería!$B$48,1))+IF(I$43&lt;1,0,(Quesería!$B$44*$C$523*$C$520)*(1-MAX(0,MIN(I$43-1-Quesería!$B$47,(Quesería!$B$46-Quesería!$B$47)))/(Quesería!$B$46-Quesería!$B$47))*IF(I$43&gt;=2,1-Quesería!$B$48,1))</f>
        <v>90.9310550395722</v>
      </c>
      <c r="J548" s="58" t="n">
        <f aca="false">IF(J$43&lt;0,0,(Quesería!$B$44*$B$523*$B$520)*(1-MAX(0,MIN(J$43-0-Quesería!$B$47,(Quesería!$B$46-Quesería!$B$47)))/(Quesería!$B$46-Quesería!$B$47))*IF(J$43&gt;=2,1-Quesería!$B$48,1))+IF(J$43&lt;1,0,(Quesería!$B$44*$C$523*$C$520)*(1-MAX(0,MIN(J$43-1-Quesería!$B$47,(Quesería!$B$46-Quesería!$B$47)))/(Quesería!$B$46-Quesería!$B$47))*IF(J$43&gt;=2,1-Quesería!$B$48,1))</f>
        <v>0</v>
      </c>
      <c r="K548" s="58" t="n">
        <f aca="false">IF(K$43&lt;0,0,(Quesería!$B$44*$B$523*$B$520)*(1-MAX(0,MIN(K$43-0-Quesería!$B$47,(Quesería!$B$46-Quesería!$B$47)))/(Quesería!$B$46-Quesería!$B$47))*IF(K$43&gt;=2,1-Quesería!$B$48,1))+IF(K$43&lt;1,0,(Quesería!$B$44*$C$523*$C$520)*(1-MAX(0,MIN(K$43-1-Quesería!$B$47,(Quesería!$B$46-Quesería!$B$47)))/(Quesería!$B$46-Quesería!$B$47))*IF(K$43&gt;=2,1-Quesería!$B$48,1))</f>
        <v>0</v>
      </c>
      <c r="L548" s="58" t="n">
        <f aca="false">IF(L$43&lt;0,0,(Quesería!$B$44*$B$523*$B$520)*(1-MAX(0,MIN(L$43-0-Quesería!$B$47,(Quesería!$B$46-Quesería!$B$47)))/(Quesería!$B$46-Quesería!$B$47))*IF(L$43&gt;=2,1-Quesería!$B$48,1))+IF(L$43&lt;1,0,(Quesería!$B$44*$C$523*$C$520)*(1-MAX(0,MIN(L$43-1-Quesería!$B$47,(Quesería!$B$46-Quesería!$B$47)))/(Quesería!$B$46-Quesería!$B$47))*IF(L$43&gt;=2,1-Quesería!$B$48,1))</f>
        <v>0</v>
      </c>
    </row>
    <row r="549" customFormat="false" ht="15" hidden="true" customHeight="false" outlineLevel="1" collapsed="false">
      <c r="A549" s="6" t="s">
        <v>430</v>
      </c>
      <c r="B549" s="29" t="n">
        <f aca="false">Quesería!$B$44*B523</f>
        <v>605.02015563059</v>
      </c>
      <c r="C549" s="29" t="n">
        <f aca="false">Quesería!$B$44*C523</f>
        <v>493.004893338424</v>
      </c>
      <c r="D549" s="29" t="n">
        <f aca="false">Quesería!$B$44*D523</f>
        <v>0</v>
      </c>
      <c r="E549" s="29" t="n">
        <f aca="false">Quesería!$B$44*E523</f>
        <v>0</v>
      </c>
      <c r="F549" s="29" t="n">
        <f aca="false">Quesería!$B$44*F523</f>
        <v>0</v>
      </c>
      <c r="G549" s="29" t="n">
        <f aca="false">Quesería!$B$44*G523</f>
        <v>0</v>
      </c>
      <c r="H549" s="29" t="n">
        <f aca="false">Quesería!$B$44*H523</f>
        <v>0</v>
      </c>
      <c r="I549" s="29" t="n">
        <f aca="false">Quesería!$B$44*I523</f>
        <v>0</v>
      </c>
      <c r="J549" s="29" t="n">
        <f aca="false">Quesería!$B$44*J523</f>
        <v>0</v>
      </c>
      <c r="K549" s="29" t="n">
        <f aca="false">Quesería!$B$44*K523</f>
        <v>0</v>
      </c>
      <c r="L549" s="29" t="n">
        <f aca="false">Quesería!$B$44*L523</f>
        <v>0</v>
      </c>
    </row>
    <row r="550" customFormat="false" ht="15" hidden="true" customHeight="false" outlineLevel="1" collapsed="false">
      <c r="A550" s="6" t="s">
        <v>431</v>
      </c>
      <c r="B550" s="29" t="n">
        <f aca="false">(IF(AND(B$43&gt;0,B$43&lt;=0+Quesería!$B$46),($M$14+$M$24)*(Quesería!$B$44*$B$523*$B$520)*(1-MAX(0,MIN((B$43-1)-0-Quesería!$B$47,(Quesería!$B$46-Quesería!$B$47)))/(Quesería!$B$46-Quesería!$B$47))*IF(B$43&gt;2,1-Quesería!$B$48,1),0)+IF(AND(B$43&gt;1,B$43&lt;=1+Quesería!$B$46),($M$14+$M$24)*(Quesería!$B$44*$C$523*$C$520)*(1-MAX(0,MIN((B$43-1)-1-Quesería!$B$47,(Quesería!$B$46-Quesería!$B$47)))/(Quesería!$B$46-Quesería!$B$47))*IF(B$43&gt;2,1-Quesería!$B$48,1),0))*B522</f>
        <v>0</v>
      </c>
      <c r="C550" s="29" t="n">
        <f aca="false">(IF(AND(C$43&gt;0,C$43&lt;=0+Quesería!$B$46),($M$14+$M$24)*(Quesería!$B$44*$B$523*$B$520)*(1-MAX(0,MIN((C$43-1)-0-Quesería!$B$47,(Quesería!$B$46-Quesería!$B$47)))/(Quesería!$B$46-Quesería!$B$47))*IF(C$43&gt;2,1-Quesería!$B$48,1),0)+IF(AND(C$43&gt;1,C$43&lt;=1+Quesería!$B$46),($M$14+$M$24)*(Quesería!$B$44*$C$523*$C$520)*(1-MAX(0,MIN((C$43-1)-1-Quesería!$B$47,(Quesería!$B$46-Quesería!$B$47)))/(Quesería!$B$46-Quesería!$B$47))*IF(C$43&gt;2,1-Quesería!$B$48,1),0))*C522</f>
        <v>78.3659066419935</v>
      </c>
      <c r="D550" s="29" t="n">
        <f aca="false">(IF(AND(D$43&gt;0,D$43&lt;=0+Quesería!$B$46),($M$14+$M$24)*(Quesería!$B$44*$B$523*$B$520)*(1-MAX(0,MIN((D$43-1)-0-Quesería!$B$47,(Quesería!$B$46-Quesería!$B$47)))/(Quesería!$B$46-Quesería!$B$47))*IF(D$43&gt;2,1-Quesería!$B$48,1),0)+IF(AND(D$43&gt;1,D$43&lt;=1+Quesería!$B$46),($M$14+$M$24)*(Quesería!$B$44*$C$523*$C$520)*(1-MAX(0,MIN((D$43-1)-1-Quesería!$B$47,(Quesería!$B$46-Quesería!$B$47)))/(Quesería!$B$46-Quesería!$B$47))*IF(D$43&gt;2,1-Quesería!$B$48,1),0))*D522</f>
        <v>139.919457529459</v>
      </c>
      <c r="E550" s="29" t="n">
        <f aca="false">(IF(AND(E$43&gt;0,E$43&lt;=0+Quesería!$B$46),($M$14+$M$24)*(Quesería!$B$44*$B$523*$B$520)*(1-MAX(0,MIN((E$43-1)-0-Quesería!$B$47,(Quesería!$B$46-Quesería!$B$47)))/(Quesería!$B$46-Quesería!$B$47))*IF(E$43&gt;2,1-Quesería!$B$48,1),0)+IF(AND(E$43&gt;1,E$43&lt;=1+Quesería!$B$46),($M$14+$M$24)*(Quesería!$B$44*$C$523*$C$520)*(1-MAX(0,MIN((E$43-1)-1-Quesería!$B$47,(Quesería!$B$46-Quesería!$B$47)))/(Quesería!$B$46-Quesería!$B$47))*IF(E$43&gt;2,1-Quesería!$B$48,1),0))*E522</f>
        <v>123.137801739616</v>
      </c>
      <c r="F550" s="29" t="n">
        <f aca="false">(IF(AND(F$43&gt;0,F$43&lt;=0+Quesería!$B$46),($M$14+$M$24)*(Quesería!$B$44*$B$523*$B$520)*(1-MAX(0,MIN((F$43-1)-0-Quesería!$B$47,(Quesería!$B$46-Quesería!$B$47)))/(Quesería!$B$46-Quesería!$B$47))*IF(F$43&gt;2,1-Quesería!$B$48,1),0)+IF(AND(F$43&gt;1,F$43&lt;=1+Quesería!$B$46),($M$14+$M$24)*(Quesería!$B$44*$C$523*$C$520)*(1-MAX(0,MIN((F$43-1)-1-Quesería!$B$47,(Quesería!$B$46-Quesería!$B$47)))/(Quesería!$B$46-Quesería!$B$47))*IF(F$43&gt;2,1-Quesería!$B$48,1),0))*F522</f>
        <v>97.2772704923506</v>
      </c>
      <c r="G550" s="29" t="n">
        <f aca="false">(IF(AND(G$43&gt;0,G$43&lt;=0+Quesería!$B$46),($M$14+$M$24)*(Quesería!$B$44*$B$523*$B$520)*(1-MAX(0,MIN((G$43-1)-0-Quesería!$B$47,(Quesería!$B$46-Quesería!$B$47)))/(Quesería!$B$46-Quesería!$B$47))*IF(G$43&gt;2,1-Quesería!$B$48,1),0)+IF(AND(G$43&gt;1,G$43&lt;=1+Quesería!$B$46),($M$14+$M$24)*(Quesería!$B$44*$C$523*$C$520)*(1-MAX(0,MIN((G$43-1)-1-Quesería!$B$47,(Quesería!$B$46-Quesería!$B$47)))/(Quesería!$B$46-Quesería!$B$47))*IF(G$43&gt;2,1-Quesería!$B$48,1),0))*G522</f>
        <v>72.9842919448286</v>
      </c>
      <c r="H550" s="29" t="n">
        <f aca="false">(IF(AND(H$43&gt;0,H$43&lt;=0+Quesería!$B$46),($M$14+$M$24)*(Quesería!$B$44*$B$523*$B$520)*(1-MAX(0,MIN((H$43-1)-0-Quesería!$B$47,(Quesería!$B$46-Quesería!$B$47)))/(Quesería!$B$46-Quesería!$B$47))*IF(H$43&gt;2,1-Quesería!$B$48,1),0)+IF(AND(H$43&gt;1,H$43&lt;=1+Quesería!$B$46),($M$14+$M$24)*(Quesería!$B$44*$C$523*$C$520)*(1-MAX(0,MIN((H$43-1)-1-Quesería!$B$47,(Quesería!$B$46-Quesería!$B$47)))/(Quesería!$B$46-Quesería!$B$47))*IF(H$43&gt;2,1-Quesería!$B$48,1),0))*H522</f>
        <v>50.1837386214499</v>
      </c>
      <c r="I550" s="29" t="n">
        <f aca="false">(IF(AND(I$43&gt;0,I$43&lt;=0+Quesería!$B$46),($M$14+$M$24)*(Quesería!$B$44*$B$523*$B$520)*(1-MAX(0,MIN((I$43-1)-0-Quesería!$B$47,(Quesería!$B$46-Quesería!$B$47)))/(Quesería!$B$46-Quesería!$B$47))*IF(I$43&gt;2,1-Quesería!$B$48,1),0)+IF(AND(I$43&gt;1,I$43&lt;=1+Quesería!$B$46),($M$14+$M$24)*(Quesería!$B$44*$C$523*$C$520)*(1-MAX(0,MIN((I$43-1)-1-Quesería!$B$47,(Quesería!$B$46-Quesería!$B$47)))/(Quesería!$B$46-Quesería!$B$47))*IF(I$43&gt;2,1-Quesería!$B$48,1),0))*I522</f>
        <v>28.8037288518513</v>
      </c>
      <c r="J550" s="29" t="n">
        <f aca="false">(IF(AND(J$43&gt;0,J$43&lt;=0+Quesería!$B$46),($M$14+$M$24)*(Quesería!$B$44*$B$523*$B$520)*(1-MAX(0,MIN((J$43-1)-0-Quesería!$B$47,(Quesería!$B$46-Quesería!$B$47)))/(Quesería!$B$46-Quesería!$B$47))*IF(J$43&gt;2,1-Quesería!$B$48,1),0)+IF(AND(J$43&gt;1,J$43&lt;=1+Quesería!$B$46),($M$14+$M$24)*(Quesería!$B$44*$C$523*$C$520)*(1-MAX(0,MIN((J$43-1)-1-Quesería!$B$47,(Quesería!$B$46-Quesería!$B$47)))/(Quesería!$B$46-Quesería!$B$47))*IF(J$43&gt;2,1-Quesería!$B$48,1),0))*J522</f>
        <v>8.77549454352636</v>
      </c>
      <c r="K550" s="29" t="n">
        <f aca="false">(IF(AND(K$43&gt;0,K$43&lt;=0+Quesería!$B$46),($M$14+$M$24)*(Quesería!$B$44*$B$523*$B$520)*(1-MAX(0,MIN((K$43-1)-0-Quesería!$B$47,(Quesería!$B$46-Quesería!$B$47)))/(Quesería!$B$46-Quesería!$B$47))*IF(K$43&gt;2,1-Quesería!$B$48,1),0)+IF(AND(K$43&gt;1,K$43&lt;=1+Quesería!$B$46),($M$14+$M$24)*(Quesería!$B$44*$C$523*$C$520)*(1-MAX(0,MIN((K$43-1)-1-Quesería!$B$47,(Quesería!$B$46-Quesería!$B$47)))/(Quesería!$B$46-Quesería!$B$47))*IF(K$43&gt;2,1-Quesería!$B$48,1),0))*K522</f>
        <v>0</v>
      </c>
      <c r="L550" s="29" t="n">
        <f aca="false">(IF(AND(L$43&gt;0,L$43&lt;=0+Quesería!$B$46),($M$14+$M$24)*(Quesería!$B$44*$B$523*$B$520)*(1-MAX(0,MIN((L$43-1)-0-Quesería!$B$47,(Quesería!$B$46-Quesería!$B$47)))/(Quesería!$B$46-Quesería!$B$47))*IF(L$43&gt;2,1-Quesería!$B$48,1),0)+IF(AND(L$43&gt;1,L$43&lt;=1+Quesería!$B$46),($M$14+$M$24)*(Quesería!$B$44*$C$523*$C$520)*(1-MAX(0,MIN((L$43-1)-1-Quesería!$B$47,(Quesería!$B$46-Quesería!$B$47)))/(Quesería!$B$46-Quesería!$B$47))*IF(L$43&gt;2,1-Quesería!$B$48,1),0))*L522</f>
        <v>0</v>
      </c>
    </row>
    <row r="551" customFormat="false" ht="15" hidden="true" customHeight="false" outlineLevel="1" collapsed="false">
      <c r="A551" s="6" t="s">
        <v>432</v>
      </c>
      <c r="B551" s="29" t="n">
        <f aca="false">((IF(AND(B$43&gt;0+Quesería!$B$47,B$43&lt;=0+Quesería!$B$46),(Quesería!$B$44*$B$523*$B$520)/(Quesería!$B$46-Quesería!$B$47),0)*IF(B$43&gt;2,1-Quesería!$B$48,1)+IF(B$43=2,Quesería!$B$48*(Quesería!$B$44*$B$523*$B$520)*(1-MAX(0,MIN(2-0-Quesería!$B$47,(Quesería!$B$46-Quesería!$B$47)))/(Quesería!$B$46-Quesería!$B$47)),0))+(IF(AND(B$43&gt;1+Quesería!$B$47,B$43&lt;=1+Quesería!$B$46),(Quesería!$B$44*$C$523*$C$520)/(Quesería!$B$46-Quesería!$B$47),0)*IF(B$43&gt;2,1-Quesería!$B$48,1)+IF(B$43=2,Quesería!$B$48*(Quesería!$B$44*$C$523*$C$520)*(1-MAX(0,MIN(2-1-Quesería!$B$47,(Quesería!$B$46-Quesería!$B$47)))/(Quesería!$B$46-Quesería!$B$47)),0)))*B522</f>
        <v>0</v>
      </c>
      <c r="C551" s="29" t="n">
        <f aca="false">((IF(AND(C$43&gt;0+Quesería!$B$47,C$43&lt;=0+Quesería!$B$46),(Quesería!$B$44*$B$523*$B$520)/(Quesería!$B$46-Quesería!$B$47),0)*IF(C$43&gt;2,1-Quesería!$B$48,1)+IF(C$43=2,Quesería!$B$48*(Quesería!$B$44*$B$523*$B$520)*(1-MAX(0,MIN(2-0-Quesería!$B$47,(Quesería!$B$46-Quesería!$B$47)))/(Quesería!$B$46-Quesería!$B$47)),0))+(IF(AND(C$43&gt;1+Quesería!$B$47,C$43&lt;=1+Quesería!$B$46),(Quesería!$B$44*$C$523*$C$520)/(Quesería!$B$46-Quesería!$B$47),0)*IF(C$43&gt;2,1-Quesería!$B$48,1)+IF(C$43=2,Quesería!$B$48*(Quesería!$B$44*$C$523*$C$520)*(1-MAX(0,MIN(2-1-Quesería!$B$47,(Quesería!$B$46-Quesería!$B$47)))/(Quesería!$B$46-Quesería!$B$47)),0)))*C522</f>
        <v>0</v>
      </c>
      <c r="D551" s="29" t="n">
        <f aca="false">((IF(AND(D$43&gt;0+Quesería!$B$47,D$43&lt;=0+Quesería!$B$46),(Quesería!$B$44*$B$523*$B$520)/(Quesería!$B$46-Quesería!$B$47),0)*IF(D$43&gt;2,1-Quesería!$B$48,1)+IF(D$43=2,Quesería!$B$48*(Quesería!$B$44*$B$523*$B$520)*(1-MAX(0,MIN(2-0-Quesería!$B$47,(Quesería!$B$46-Quesería!$B$47)))/(Quesería!$B$46-Quesería!$B$47)),0))+(IF(AND(D$43&gt;1+Quesería!$B$47,D$43&lt;=1+Quesería!$B$46),(Quesería!$B$44*$C$523*$C$520)/(Quesería!$B$46-Quesería!$B$47),0)*IF(D$43&gt;2,1-Quesería!$B$48,1)+IF(D$43=2,Quesería!$B$48*(Quesería!$B$44*$C$523*$C$520)*(1-MAX(0,MIN(2-1-Quesería!$B$47,(Quesería!$B$46-Quesería!$B$47)))/(Quesería!$B$46-Quesería!$B$47)),0)))*D522</f>
        <v>93.0515358575744</v>
      </c>
      <c r="E551" s="29" t="n">
        <f aca="false">((IF(AND(E$43&gt;0+Quesería!$B$47,E$43&lt;=0+Quesería!$B$46),(Quesería!$B$44*$B$523*$B$520)/(Quesería!$B$46-Quesería!$B$47),0)*IF(E$43&gt;2,1-Quesería!$B$48,1)+IF(E$43=2,Quesería!$B$48*(Quesería!$B$44*$B$523*$B$520)*(1-MAX(0,MIN(2-0-Quesería!$B$47,(Quesería!$B$46-Quesería!$B$47)))/(Quesería!$B$46-Quesería!$B$47)),0))+(IF(AND(E$43&gt;1+Quesería!$B$47,E$43&lt;=1+Quesería!$B$46),(Quesería!$B$44*$C$523*$C$520)/(Quesería!$B$46-Quesería!$B$47),0)*IF(E$43&gt;2,1-Quesería!$B$48,1)+IF(E$43=2,Quesería!$B$48*(Quesería!$B$44*$C$523*$C$520)*(1-MAX(0,MIN(2-1-Quesería!$B$47,(Quesería!$B$46-Quesería!$B$47)))/(Quesería!$B$46-Quesería!$B$47)),0)))*E522</f>
        <v>166.622142159233</v>
      </c>
      <c r="F551" s="29" t="n">
        <f aca="false">((IF(AND(F$43&gt;0+Quesería!$B$47,F$43&lt;=0+Quesería!$B$46),(Quesería!$B$44*$B$523*$B$520)/(Quesería!$B$46-Quesería!$B$47),0)*IF(F$43&gt;2,1-Quesería!$B$48,1)+IF(F$43=2,Quesería!$B$48*(Quesería!$B$44*$B$523*$B$520)*(1-MAX(0,MIN(2-0-Quesería!$B$47,(Quesería!$B$46-Quesería!$B$47)))/(Quesería!$B$46-Quesería!$B$47)),0))+(IF(AND(F$43&gt;1+Quesería!$B$47,F$43&lt;=1+Quesería!$B$46),(Quesería!$B$44*$C$523*$C$520)/(Quesería!$B$46-Quesería!$B$47),0)*IF(F$43&gt;2,1-Quesería!$B$48,1)+IF(F$43=2,Quesería!$B$48*(Quesería!$B$44*$C$523*$C$520)*(1-MAX(0,MIN(2-1-Quesería!$B$47,(Quesería!$B$46-Quesería!$B$47)))/(Quesería!$B$46-Quesería!$B$47)),0)))*F522</f>
        <v>161.143270947034</v>
      </c>
      <c r="G551" s="29" t="n">
        <f aca="false">((IF(AND(G$43&gt;0+Quesería!$B$47,G$43&lt;=0+Quesería!$B$46),(Quesería!$B$44*$B$523*$B$520)/(Quesería!$B$46-Quesería!$B$47),0)*IF(G$43&gt;2,1-Quesería!$B$48,1)+IF(G$43=2,Quesería!$B$48*(Quesería!$B$44*$B$523*$B$520)*(1-MAX(0,MIN(2-0-Quesería!$B$47,(Quesería!$B$46-Quesería!$B$47)))/(Quesería!$B$46-Quesería!$B$47)),0))+(IF(AND(G$43&gt;1+Quesería!$B$47,G$43&lt;=1+Quesería!$B$46),(Quesería!$B$44*$C$523*$C$520)/(Quesería!$B$46-Quesería!$B$47),0)*IF(G$43&gt;2,1-Quesería!$B$48,1)+IF(G$43=2,Quesería!$B$48*(Quesería!$B$44*$C$523*$C$520)*(1-MAX(0,MIN(2-1-Quesería!$B$47,(Quesería!$B$46-Quesería!$B$47)))/(Quesería!$B$46-Quesería!$B$47)),0)))*G522</f>
        <v>155.844556041619</v>
      </c>
      <c r="H551" s="29" t="n">
        <f aca="false">((IF(AND(H$43&gt;0+Quesería!$B$47,H$43&lt;=0+Quesería!$B$46),(Quesería!$B$44*$B$523*$B$520)/(Quesería!$B$46-Quesería!$B$47),0)*IF(H$43&gt;2,1-Quesería!$B$48,1)+IF(H$43=2,Quesería!$B$48*(Quesería!$B$44*$B$523*$B$520)*(1-MAX(0,MIN(2-0-Quesería!$B$47,(Quesería!$B$46-Quesería!$B$47)))/(Quesería!$B$46-Quesería!$B$47)),0))+(IF(AND(H$43&gt;1+Quesería!$B$47,H$43&lt;=1+Quesería!$B$46),(Quesería!$B$44*$C$523*$C$520)/(Quesería!$B$46-Quesería!$B$47),0)*IF(H$43&gt;2,1-Quesería!$B$48,1)+IF(H$43=2,Quesería!$B$48*(Quesería!$B$44*$C$523*$C$520)*(1-MAX(0,MIN(2-1-Quesería!$B$47,(Quesería!$B$46-Quesería!$B$47)))/(Quesería!$B$46-Quesería!$B$47)),0)))*H522</f>
        <v>150.720073541218</v>
      </c>
      <c r="I551" s="29" t="n">
        <f aca="false">((IF(AND(I$43&gt;0+Quesería!$B$47,I$43&lt;=0+Quesería!$B$46),(Quesería!$B$44*$B$523*$B$520)/(Quesería!$B$46-Quesería!$B$47),0)*IF(I$43&gt;2,1-Quesería!$B$48,1)+IF(I$43=2,Quesería!$B$48*(Quesería!$B$44*$B$523*$B$520)*(1-MAX(0,MIN(2-0-Quesería!$B$47,(Quesería!$B$46-Quesería!$B$47)))/(Quesería!$B$46-Quesería!$B$47)),0))+(IF(AND(I$43&gt;1+Quesería!$B$47,I$43&lt;=1+Quesería!$B$46),(Quesería!$B$44*$C$523*$C$520)/(Quesería!$B$46-Quesería!$B$47),0)*IF(I$43&gt;2,1-Quesería!$B$48,1)+IF(I$43=2,Quesería!$B$48*(Quesería!$B$44*$C$523*$C$520)*(1-MAX(0,MIN(2-1-Quesería!$B$47,(Quesería!$B$46-Quesería!$B$47)))/(Quesería!$B$46-Quesería!$B$47)),0)))*I522</f>
        <v>145.764094333866</v>
      </c>
      <c r="J551" s="29" t="n">
        <f aca="false">((IF(AND(J$43&gt;0+Quesería!$B$47,J$43&lt;=0+Quesería!$B$46),(Quesería!$B$44*$B$523*$B$520)/(Quesería!$B$46-Quesería!$B$47),0)*IF(J$43&gt;2,1-Quesería!$B$48,1)+IF(J$43=2,Quesería!$B$48*(Quesería!$B$44*$B$523*$B$520)*(1-MAX(0,MIN(2-0-Quesería!$B$47,(Quesería!$B$46-Quesería!$B$47)))/(Quesería!$B$46-Quesería!$B$47)),0))+(IF(AND(J$43&gt;1+Quesería!$B$47,J$43&lt;=1+Quesería!$B$46),(Quesería!$B$44*$C$523*$C$520)/(Quesería!$B$46-Quesería!$B$47),0)*IF(J$43&gt;2,1-Quesería!$B$48,1)+IF(J$43=2,Quesería!$B$48*(Quesería!$B$44*$C$523*$C$520)*(1-MAX(0,MIN(2-1-Quesería!$B$47,(Quesería!$B$46-Quesería!$B$47)))/(Quesería!$B$46-Quesería!$B$47)),0)))*J522</f>
        <v>64.8332795376327</v>
      </c>
      <c r="K551" s="29" t="n">
        <f aca="false">((IF(AND(K$43&gt;0+Quesería!$B$47,K$43&lt;=0+Quesería!$B$46),(Quesería!$B$44*$B$523*$B$520)/(Quesería!$B$46-Quesería!$B$47),0)*IF(K$43&gt;2,1-Quesería!$B$48,1)+IF(K$43=2,Quesería!$B$48*(Quesería!$B$44*$B$523*$B$520)*(1-MAX(0,MIN(2-0-Quesería!$B$47,(Quesería!$B$46-Quesería!$B$47)))/(Quesería!$B$46-Quesería!$B$47)),0))+(IF(AND(K$43&gt;1+Quesería!$B$47,K$43&lt;=1+Quesería!$B$46),(Quesería!$B$44*$C$523*$C$520)/(Quesería!$B$46-Quesería!$B$47),0)*IF(K$43&gt;2,1-Quesería!$B$48,1)+IF(K$43=2,Quesería!$B$48*(Quesería!$B$44*$C$523*$C$520)*(1-MAX(0,MIN(2-1-Quesería!$B$47,(Quesería!$B$46-Quesería!$B$47)))/(Quesería!$B$46-Quesería!$B$47)),0)))*K522</f>
        <v>0</v>
      </c>
      <c r="L551" s="29" t="n">
        <f aca="false">((IF(AND(L$43&gt;0+Quesería!$B$47,L$43&lt;=0+Quesería!$B$46),(Quesería!$B$44*$B$523*$B$520)/(Quesería!$B$46-Quesería!$B$47),0)*IF(L$43&gt;2,1-Quesería!$B$48,1)+IF(L$43=2,Quesería!$B$48*(Quesería!$B$44*$B$523*$B$520)*(1-MAX(0,MIN(2-0-Quesería!$B$47,(Quesería!$B$46-Quesería!$B$47)))/(Quesería!$B$46-Quesería!$B$47)),0))+(IF(AND(L$43&gt;1+Quesería!$B$47,L$43&lt;=1+Quesería!$B$46),(Quesería!$B$44*$C$523*$C$520)/(Quesería!$B$46-Quesería!$B$47),0)*IF(L$43&gt;2,1-Quesería!$B$48,1)+IF(L$43=2,Quesería!$B$48*(Quesería!$B$44*$C$523*$C$520)*(1-MAX(0,MIN(2-1-Quesería!$B$47,(Quesería!$B$46-Quesería!$B$47)))/(Quesería!$B$46-Quesería!$B$47)),0)))*L522</f>
        <v>0</v>
      </c>
    </row>
    <row r="552" customFormat="false" ht="15" hidden="true" customHeight="false" outlineLevel="1" collapsed="false">
      <c r="A552" s="6" t="s">
        <v>433</v>
      </c>
      <c r="B552" s="29" t="n">
        <f aca="false">$M$13*Quesería!$B$51*(1+0.19)*B548*B522+(1-$M$13)*IF(B$43=0,Quesería!$B$50,0)</f>
        <v>4</v>
      </c>
      <c r="C552" s="29" t="n">
        <f aca="false">$M$13*Quesería!$B$51*(1+0.19)*C548*C522+(1-$M$13)*IF(C$43=0,Quesería!$B$50,0)</f>
        <v>0</v>
      </c>
      <c r="D552" s="29" t="n">
        <f aca="false">$M$13*Quesería!$B$51*(1+0.19)*D548*D522+(1-$M$13)*IF(D$43=0,Quesería!$B$50,0)</f>
        <v>0</v>
      </c>
      <c r="E552" s="29" t="n">
        <f aca="false">$M$13*Quesería!$B$51*(1+0.19)*E548*E522+(1-$M$13)*IF(E$43=0,Quesería!$B$50,0)</f>
        <v>0</v>
      </c>
      <c r="F552" s="29" t="n">
        <f aca="false">$M$13*Quesería!$B$51*(1+0.19)*F548*F522+(1-$M$13)*IF(F$43=0,Quesería!$B$50,0)</f>
        <v>0</v>
      </c>
      <c r="G552" s="29" t="n">
        <f aca="false">$M$13*Quesería!$B$51*(1+0.19)*G548*G522+(1-$M$13)*IF(G$43=0,Quesería!$B$50,0)</f>
        <v>0</v>
      </c>
      <c r="H552" s="29" t="n">
        <f aca="false">$M$13*Quesería!$B$51*(1+0.19)*H548*H522+(1-$M$13)*IF(H$43=0,Quesería!$B$50,0)</f>
        <v>0</v>
      </c>
      <c r="I552" s="29" t="n">
        <f aca="false">$M$13*Quesería!$B$51*(1+0.19)*I548*I522+(1-$M$13)*IF(I$43=0,Quesería!$B$50,0)</f>
        <v>0</v>
      </c>
      <c r="J552" s="29" t="n">
        <f aca="false">$M$13*Quesería!$B$51*(1+0.19)*J548*J522+(1-$M$13)*IF(J$43=0,Quesería!$B$50,0)</f>
        <v>0</v>
      </c>
      <c r="K552" s="29" t="n">
        <f aca="false">$M$13*Quesería!$B$51*(1+0.19)*K548*K522+(1-$M$13)*IF(K$43=0,Quesería!$B$50,0)</f>
        <v>0</v>
      </c>
      <c r="L552" s="29" t="n">
        <f aca="false">$M$13*Quesería!$B$51*(1+0.19)*L548*L522+(1-$M$13)*IF(L$43=0,Quesería!$B$50,0)</f>
        <v>0</v>
      </c>
    </row>
    <row r="553" customFormat="false" ht="15" hidden="true" customHeight="false" outlineLevel="1" collapsed="false">
      <c r="A553" s="6" t="s">
        <v>434</v>
      </c>
      <c r="B553" s="29" t="n">
        <f aca="false">Quesería!$B$52*(B550+B551+B552)</f>
        <v>0.016</v>
      </c>
      <c r="C553" s="29" t="n">
        <f aca="false">Quesería!$B$52*(C550+C551+C552)</f>
        <v>0.313463626567974</v>
      </c>
      <c r="D553" s="29" t="n">
        <f aca="false">Quesería!$B$52*(D550+D551+D552)</f>
        <v>0.931883973548135</v>
      </c>
      <c r="E553" s="29" t="n">
        <f aca="false">Quesería!$B$52*(E550+E551+E552)</f>
        <v>1.1590397755954</v>
      </c>
      <c r="F553" s="29" t="n">
        <f aca="false">Quesería!$B$52*(F550+F551+F552)</f>
        <v>1.03368216575754</v>
      </c>
      <c r="G553" s="29" t="n">
        <f aca="false">Quesería!$B$52*(G550+G551+G552)</f>
        <v>0.915315391945791</v>
      </c>
      <c r="H553" s="29" t="n">
        <f aca="false">Quesería!$B$52*(H550+H551+H552)</f>
        <v>0.803615248650671</v>
      </c>
      <c r="I553" s="29" t="n">
        <f aca="false">Quesería!$B$52*(I550+I551+I552)</f>
        <v>0.69827129274287</v>
      </c>
      <c r="J553" s="29" t="n">
        <f aca="false">Quesería!$B$52*(J550+J551+J552)</f>
        <v>0.294435096324636</v>
      </c>
      <c r="K553" s="29" t="n">
        <f aca="false">Quesería!$B$52*(K550+K551+K552)</f>
        <v>0</v>
      </c>
      <c r="L553" s="29" t="n">
        <f aca="false">Quesería!$B$52*(L550+L551+L552)</f>
        <v>0</v>
      </c>
    </row>
    <row r="554" customFormat="false" ht="15" hidden="true" customHeight="false" outlineLevel="1" collapsed="false">
      <c r="A554" s="6" t="s">
        <v>435</v>
      </c>
      <c r="B554" s="29" t="n">
        <f aca="false">$M$17*(B550+B552+0.5*B553)</f>
        <v>1.4028</v>
      </c>
      <c r="C554" s="29" t="n">
        <f aca="false">$M$17*(C550+C552+0.5*C553)</f>
        <v>27.4829234593471</v>
      </c>
      <c r="D554" s="29" t="n">
        <f aca="false">$M$17*(D550+D552+0.5*D553)</f>
        <v>49.1348898306817</v>
      </c>
      <c r="E554" s="29" t="n">
        <f aca="false">$M$17*(E550+E552+0.5*E553)</f>
        <v>43.3010625695947</v>
      </c>
      <c r="F554" s="29" t="n">
        <f aca="false">$M$17*(F550+F552+0.5*F553)</f>
        <v>34.2279390513303</v>
      </c>
      <c r="G554" s="29" t="n">
        <f aca="false">$M$17*(G550+G552+0.5*G553)</f>
        <v>25.7046823742805</v>
      </c>
      <c r="H554" s="29" t="n">
        <f aca="false">$M$17*(H550+H552+0.5*H553)</f>
        <v>17.7049411860213</v>
      </c>
      <c r="I554" s="29" t="n">
        <f aca="false">$M$17*(I550+I552+0.5*I553)</f>
        <v>10.2035025743779</v>
      </c>
      <c r="J554" s="29" t="n">
        <f aca="false">$M$17*(J550+J552+0.5*J553)</f>
        <v>3.12294923209104</v>
      </c>
      <c r="K554" s="29" t="n">
        <f aca="false">$M$17*(K550+K552+0.5*K553)</f>
        <v>0</v>
      </c>
      <c r="L554" s="29" t="n">
        <f aca="false">$M$17*(L550+L552+0.5*L553)</f>
        <v>0</v>
      </c>
    </row>
    <row r="555" customFormat="false" ht="15" hidden="true" customHeight="false" outlineLevel="1" collapsed="false">
      <c r="A555" s="5" t="s">
        <v>436</v>
      </c>
      <c r="B555" s="59" t="n">
        <f aca="false">B540+B549-B550-B551-B552-B553+B554</f>
        <v>-358.744924503166</v>
      </c>
      <c r="C555" s="59" t="n">
        <f aca="false">C540+C549-C550-C551-C552-C553+C554</f>
        <v>-56.4640516218448</v>
      </c>
      <c r="D555" s="59" t="n">
        <f aca="false">D540+D549-D550-D551-D552-D553+D554</f>
        <v>375.003540541747</v>
      </c>
      <c r="E555" s="59" t="n">
        <f aca="false">E540+E549-E550-E551-E552-E553+E554</f>
        <v>87.8798211295807</v>
      </c>
      <c r="F555" s="59" t="n">
        <f aca="false">F540+F549-F550-F551-F552-F553+F554</f>
        <v>113.056566050313</v>
      </c>
      <c r="G555" s="59" t="n">
        <f aca="false">G540+G549-G550-G551-G552-G553+G554</f>
        <v>100.008783163433</v>
      </c>
      <c r="H555" s="59" t="n">
        <f aca="false">H540+H549-H550-H551-H552-H553+H554</f>
        <v>98.5089437776511</v>
      </c>
      <c r="I555" s="59" t="n">
        <f aca="false">I540+I549-I550-I551-I552-I553+I554</f>
        <v>178.202769137057</v>
      </c>
      <c r="J555" s="59" t="n">
        <f aca="false">J540+J549-J550-J551-J552-J553+J554</f>
        <v>262.657407183791</v>
      </c>
      <c r="K555" s="59" t="n">
        <f aca="false">K540+K549-K550-K551-K552-K553+K554</f>
        <v>332.184731441579</v>
      </c>
      <c r="L555" s="59" t="n">
        <f aca="false">L540+L549-L550-L551-L552-L553+L554</f>
        <v>424.508128728911</v>
      </c>
    </row>
    <row r="556" customFormat="false" ht="15" hidden="true" customHeight="false" outlineLevel="1" collapsed="false">
      <c r="A556" s="9" t="s">
        <v>437</v>
      </c>
      <c r="B556" s="58" t="n">
        <f aca="false">B555*B520</f>
        <v>-379.910875048852</v>
      </c>
      <c r="C556" s="58" t="n">
        <f aca="false">C555*C520</f>
        <v>-62.4862250475726</v>
      </c>
      <c r="D556" s="58" t="n">
        <f aca="false">D555*D520</f>
        <v>430.354526255082</v>
      </c>
      <c r="E556" s="58" t="n">
        <f aca="false">E555*E520</f>
        <v>104.279924962722</v>
      </c>
      <c r="F556" s="58" t="n">
        <f aca="false">F555*F520</f>
        <v>138.716420848421</v>
      </c>
      <c r="G556" s="58" t="n">
        <f aca="false">G555*G520</f>
        <v>126.879297774567</v>
      </c>
      <c r="H556" s="58" t="n">
        <f aca="false">H555*H520</f>
        <v>129.225679515345</v>
      </c>
      <c r="I556" s="58" t="n">
        <f aca="false">I555*I520</f>
        <v>241.717530752625</v>
      </c>
      <c r="J556" s="58" t="n">
        <f aca="false">J555*J520</f>
        <v>368.386657585588</v>
      </c>
      <c r="K556" s="58" t="n">
        <f aca="false">K555*K520</f>
        <v>481.741926308435</v>
      </c>
      <c r="L556" s="58" t="n">
        <f aca="false">L555*L520</f>
        <v>636.56290617119</v>
      </c>
    </row>
    <row r="557" customFormat="false" ht="15" hidden="true" customHeight="false" outlineLevel="1" collapsed="false">
      <c r="A557" s="9" t="s">
        <v>438</v>
      </c>
      <c r="B557" s="57" t="n">
        <f aca="false">(B520/$B$520)/(1+Quesería!$B$11+$M$24)^B$43</f>
        <v>1</v>
      </c>
      <c r="C557" s="57" t="n">
        <f aca="false">(C520/$B$520)/(1+Quesería!$B$11+$M$24)^C$43</f>
        <v>0.839792648762556</v>
      </c>
      <c r="D557" s="57" t="n">
        <f aca="false">(D520/$B$520)/(1+Quesería!$B$11+$M$24)^D$43</f>
        <v>0.699852636893309</v>
      </c>
      <c r="E557" s="57" t="n">
        <f aca="false">(E520/$B$520)/(1+Quesería!$B$11+$M$24)^E$43</f>
        <v>0.581544456525564</v>
      </c>
      <c r="F557" s="57" t="n">
        <f aca="false">(F520/$B$520)/(1+Quesería!$B$11+$M$24)^F$43</f>
        <v>0.48323595152385</v>
      </c>
      <c r="G557" s="57" t="n">
        <f aca="false">(G520/$B$520)/(1+Quesería!$B$11+$M$24)^G$43</f>
        <v>0.401546231289534</v>
      </c>
      <c r="H557" s="57" t="n">
        <f aca="false">(H520/$B$520)/(1+Quesería!$B$11+$M$24)^H$43</f>
        <v>0.333665935562889</v>
      </c>
      <c r="I557" s="57" t="n">
        <f aca="false">(I520/$B$520)/(1+Quesería!$B$11+$M$24)^I$43</f>
        <v>0.277260618777372</v>
      </c>
      <c r="J557" s="57" t="n">
        <f aca="false">(J520/$B$520)/(1+Quesería!$B$11+$M$24)^J$43</f>
        <v>0.23039046702543</v>
      </c>
      <c r="K557" s="57" t="n">
        <f aca="false">(K520/$B$520)/(1+Quesería!$B$11+$M$24)^K$43</f>
        <v>0.191443586652371</v>
      </c>
      <c r="L557" s="57" t="n">
        <f aca="false">(L520/$B$520)/(1+Quesería!$B$11+$M$24)^L$43</f>
        <v>0.159080570231573</v>
      </c>
    </row>
    <row r="558" customFormat="false" ht="15" hidden="true" customHeight="false" outlineLevel="1" collapsed="false">
      <c r="A558" s="9" t="s">
        <v>439</v>
      </c>
      <c r="B558" s="58" t="n">
        <f aca="false">B540+B523+B525+B554</f>
        <v>120.166830858099</v>
      </c>
      <c r="C558" s="58" t="n">
        <f aca="false">C540+C523+C525+C554</f>
        <v>431.788614650946</v>
      </c>
      <c r="D558" s="58" t="n">
        <f aca="false">D540+D523+D525+D554</f>
        <v>608.906417902329</v>
      </c>
      <c r="E558" s="58" t="n">
        <f aca="false">E540+E523+E525+E554</f>
        <v>378.798804804025</v>
      </c>
      <c r="F558" s="58" t="n">
        <f aca="false">F540+F523+F525+F554</f>
        <v>372.510789655456</v>
      </c>
      <c r="G558" s="58" t="n">
        <f aca="false">G540+G523+G525+G554</f>
        <v>334.971337822912</v>
      </c>
      <c r="H558" s="58" t="n">
        <f aca="false">H540+H523+H525+H554</f>
        <v>309.030310774051</v>
      </c>
      <c r="I558" s="58" t="n">
        <f aca="false">I540+I523+I525+I554</f>
        <v>353.468863615518</v>
      </c>
      <c r="J558" s="58" t="n">
        <f aca="false">J540+J523+J525+J554</f>
        <v>336.560616361274</v>
      </c>
      <c r="K558" s="58" t="n">
        <f aca="false">K540+K523+K525+K554</f>
        <v>332.184731441579</v>
      </c>
      <c r="L558" s="58" t="n">
        <f aca="false">L540+L523+L525+L554</f>
        <v>424.508128728911</v>
      </c>
    </row>
    <row r="559" customFormat="false" ht="15" hidden="true" customHeight="false" outlineLevel="1" collapsed="false">
      <c r="A559" s="5" t="s">
        <v>149</v>
      </c>
      <c r="B559" s="12" t="str">
        <f aca="false">IF(AND(B$43&gt;=1,(B550+B551+B552)&gt;0.001),B558/(B550+B551+B552),"")</f>
        <v/>
      </c>
      <c r="C559" s="12" t="n">
        <f aca="false">IF(AND(C$43&gt;=1,(C550+C551+C552)&gt;0.001),C558/(C550+C551+C552),"")</f>
        <v>5.50990390021935</v>
      </c>
      <c r="D559" s="12" t="n">
        <f aca="false">IF(AND(D$43&gt;=1,(D550+D551+D552)&gt;0.001),D558/(D550+D551+D552),"")</f>
        <v>2.61365764488438</v>
      </c>
      <c r="E559" s="12" t="n">
        <f aca="false">IF(AND(E$43&gt;=1,(E550+E551+E552)&gt;0.001),E558/(E550+E551+E552),"")</f>
        <v>1.30728491905099</v>
      </c>
      <c r="F559" s="12" t="n">
        <f aca="false">IF(AND(F$43&gt;=1,(F550+F551+F552)&gt;0.001),F558/(F550+F551+F552),"")</f>
        <v>1.44149063220979</v>
      </c>
      <c r="G559" s="12" t="n">
        <f aca="false">IF(AND(G$43&gt;=1,(G550+G551+G552)&gt;0.001),G558/(G550+G551+G552),"")</f>
        <v>1.46385099942797</v>
      </c>
      <c r="H559" s="12" t="n">
        <f aca="false">IF(AND(H$43&gt;=1,(H550+H551+H552)&gt;0.001),H558/(H550+H551+H552),"")</f>
        <v>1.53820033302223</v>
      </c>
      <c r="I559" s="12" t="n">
        <f aca="false">IF(AND(I$43&gt;=1,(I550+I551+I552)&gt;0.001),I558/(I550+I551+I552),"")</f>
        <v>2.02482254269432</v>
      </c>
      <c r="J559" s="12" t="n">
        <f aca="false">IF(AND(J$43&gt;=1,(J550+J551+J552)&gt;0.001),J558/(J550+J551+J552),"")</f>
        <v>4.57228938482512</v>
      </c>
      <c r="K559" s="12" t="str">
        <f aca="false">IF(AND(K$43&gt;=1,(K550+K551+K552)&gt;0.001),K558/(K550+K551+K552),"")</f>
        <v/>
      </c>
      <c r="L559" s="12" t="str">
        <f aca="false">IF(AND(L$43&gt;=1,(L550+L551+L552)&gt;0.001),L558/(L550+L551+L552),"")</f>
        <v/>
      </c>
    </row>
    <row r="561" customFormat="false" ht="15" hidden="false" customHeight="false" outlineLevel="0" collapsed="false">
      <c r="A561" s="43" t="s">
        <v>1173</v>
      </c>
      <c r="B561" s="44"/>
      <c r="C561" s="44"/>
      <c r="D561" s="44"/>
      <c r="E561" s="44"/>
      <c r="F561" s="44"/>
      <c r="G561" s="44"/>
      <c r="H561" s="44"/>
      <c r="I561" s="44"/>
      <c r="J561" s="44"/>
      <c r="K561" s="44"/>
      <c r="L561" s="44"/>
    </row>
    <row r="562" customFormat="false" ht="15" hidden="true" customHeight="false" outlineLevel="1" collapsed="false">
      <c r="A562" s="9" t="s">
        <v>405</v>
      </c>
      <c r="B562" s="56" t="n">
        <f aca="false">CHOOSE($N$15,Entorno!B$7,Entorno!B$8,Entorno!B$9)</f>
        <v>0.065</v>
      </c>
      <c r="C562" s="56" t="n">
        <f aca="false">CHOOSE($N$15,Entorno!C$7,Entorno!C$8,Entorno!C$9)</f>
        <v>0.065</v>
      </c>
      <c r="D562" s="56" t="n">
        <f aca="false">CHOOSE($N$15,Entorno!D$7,Entorno!D$8,Entorno!D$9)</f>
        <v>0.065</v>
      </c>
      <c r="E562" s="56" t="n">
        <f aca="false">CHOOSE($N$15,Entorno!E$7,Entorno!E$8,Entorno!E$9)</f>
        <v>0.065</v>
      </c>
      <c r="F562" s="56" t="n">
        <f aca="false">CHOOSE($N$15,Entorno!F$7,Entorno!F$8,Entorno!F$9)</f>
        <v>0.065</v>
      </c>
      <c r="G562" s="56" t="n">
        <f aca="false">CHOOSE($N$15,Entorno!G$7,Entorno!G$8,Entorno!G$9)</f>
        <v>0.065</v>
      </c>
      <c r="H562" s="56" t="n">
        <f aca="false">CHOOSE($N$15,Entorno!H$7,Entorno!H$8,Entorno!H$9)</f>
        <v>0.065</v>
      </c>
      <c r="I562" s="56" t="n">
        <f aca="false">CHOOSE($N$15,Entorno!I$7,Entorno!I$8,Entorno!I$9)</f>
        <v>0.065</v>
      </c>
      <c r="J562" s="56" t="n">
        <f aca="false">CHOOSE($N$15,Entorno!J$7,Entorno!J$8,Entorno!J$9)</f>
        <v>0.065</v>
      </c>
      <c r="K562" s="56" t="n">
        <f aca="false">CHOOSE($N$15,Entorno!K$7,Entorno!K$8,Entorno!K$9)</f>
        <v>0.065</v>
      </c>
      <c r="L562" s="56" t="n">
        <f aca="false">CHOOSE($N$15,Entorno!L$7,Entorno!L$8,Entorno!L$9)</f>
        <v>0.065</v>
      </c>
    </row>
    <row r="563" customFormat="false" ht="15" hidden="true" customHeight="false" outlineLevel="1" collapsed="false">
      <c r="A563" s="9" t="s">
        <v>406</v>
      </c>
      <c r="B563" s="57" t="n">
        <f aca="false">1+B562</f>
        <v>1.065</v>
      </c>
      <c r="C563" s="57" t="n">
        <f aca="false">B563*(1+C562)</f>
        <v>1.134225</v>
      </c>
      <c r="D563" s="57" t="n">
        <f aca="false">C563*(1+D562)</f>
        <v>1.207949625</v>
      </c>
      <c r="E563" s="57" t="n">
        <f aca="false">D563*(1+E562)</f>
        <v>1.286466350625</v>
      </c>
      <c r="F563" s="57" t="n">
        <f aca="false">E563*(1+F562)</f>
        <v>1.37008666341562</v>
      </c>
      <c r="G563" s="57" t="n">
        <f aca="false">F563*(1+G562)</f>
        <v>1.45914229653764</v>
      </c>
      <c r="H563" s="57" t="n">
        <f aca="false">G563*(1+H562)</f>
        <v>1.55398654581259</v>
      </c>
      <c r="I563" s="57" t="n">
        <f aca="false">H563*(1+I562)</f>
        <v>1.6549956712904</v>
      </c>
      <c r="J563" s="57" t="n">
        <f aca="false">I563*(1+J562)</f>
        <v>1.76257038992428</v>
      </c>
      <c r="K563" s="57" t="n">
        <f aca="false">J563*(1+K562)</f>
        <v>1.87713746526936</v>
      </c>
      <c r="L563" s="57" t="n">
        <f aca="false">K563*(1+L562)</f>
        <v>1.99915140051187</v>
      </c>
    </row>
    <row r="564" customFormat="false" ht="15" hidden="true" customHeight="false" outlineLevel="1" collapsed="false">
      <c r="A564" s="9" t="s">
        <v>407</v>
      </c>
      <c r="B564" s="57" t="n">
        <f aca="false">(1+$N$16)/(1+B562)</f>
        <v>1.018779342723</v>
      </c>
      <c r="C564" s="57" t="n">
        <f aca="false">B564*(1+Entorno!$B$13)</f>
        <v>1.02387323943662</v>
      </c>
      <c r="D564" s="57" t="n">
        <f aca="false">C564*(1+Entorno!$B$13)</f>
        <v>1.0289926056338</v>
      </c>
      <c r="E564" s="57" t="n">
        <f aca="false">D564*(1+Entorno!$B$13)</f>
        <v>1.03413756866197</v>
      </c>
      <c r="F564" s="57" t="n">
        <f aca="false">E564*(1+Entorno!$B$13)</f>
        <v>1.03930825650528</v>
      </c>
      <c r="G564" s="57" t="n">
        <f aca="false">F564*(1+Entorno!$B$13)</f>
        <v>1.04450479778781</v>
      </c>
      <c r="H564" s="57" t="n">
        <f aca="false">G564*(1+Entorno!$B$13)</f>
        <v>1.04972732177675</v>
      </c>
      <c r="I564" s="57" t="n">
        <f aca="false">H564*(1+Entorno!$B$13)</f>
        <v>1.05497595838563</v>
      </c>
      <c r="J564" s="57" t="n">
        <f aca="false">I564*(1+Entorno!$B$13)</f>
        <v>1.06025083817756</v>
      </c>
      <c r="K564" s="57" t="n">
        <f aca="false">J564*(1+Entorno!$B$13)</f>
        <v>1.06555209236845</v>
      </c>
      <c r="L564" s="57" t="n">
        <f aca="false">K564*(1+Entorno!$B$13)</f>
        <v>1.07087985283029</v>
      </c>
    </row>
    <row r="565" customFormat="false" ht="15" hidden="true" customHeight="false" outlineLevel="1" collapsed="false">
      <c r="A565" s="9" t="s">
        <v>408</v>
      </c>
      <c r="B565" s="57" t="n">
        <f aca="false">1/B563</f>
        <v>0.938967136150235</v>
      </c>
      <c r="C565" s="57" t="n">
        <f aca="false">1/C563</f>
        <v>0.881659282770174</v>
      </c>
      <c r="D565" s="57" t="n">
        <f aca="false">1/D563</f>
        <v>0.82784909180298</v>
      </c>
      <c r="E565" s="57" t="n">
        <f aca="false">1/E563</f>
        <v>0.777323090894817</v>
      </c>
      <c r="F565" s="57" t="n">
        <f aca="false">1/F563</f>
        <v>0.729880836520955</v>
      </c>
      <c r="G565" s="57" t="n">
        <f aca="false">1/G563</f>
        <v>0.685334118799019</v>
      </c>
      <c r="H565" s="57" t="n">
        <f aca="false">1/H563</f>
        <v>0.643506214834759</v>
      </c>
      <c r="I565" s="57" t="n">
        <f aca="false">1/I563</f>
        <v>0.604231187638272</v>
      </c>
      <c r="J565" s="57" t="n">
        <f aca="false">1/J563</f>
        <v>0.567353227829363</v>
      </c>
      <c r="K565" s="57" t="n">
        <f aca="false">1/K563</f>
        <v>0.532726035520529</v>
      </c>
      <c r="L565" s="57" t="n">
        <f aca="false">1/L563</f>
        <v>0.500212239925379</v>
      </c>
    </row>
    <row r="566" customFormat="false" ht="15" hidden="true" customHeight="false" outlineLevel="1" collapsed="false">
      <c r="A566" s="6" t="s">
        <v>323</v>
      </c>
      <c r="B566" s="29" t="n">
        <f aca="false">IF(B$43=0,Quesería!$F$92,IF(B$43=1,Quesería!$F$93*$N$21,0))*$N$11</f>
        <v>930.800239431677</v>
      </c>
      <c r="C566" s="29" t="n">
        <f aca="false">IF(C$43=0,Quesería!$F$92,IF(C$43=1,Quesería!$F$93*$N$21,0))*$N$11</f>
        <v>758.469066674498</v>
      </c>
      <c r="D566" s="29" t="n">
        <f aca="false">IF(D$43=0,Quesería!$F$92,IF(D$43=1,Quesería!$F$93*$N$21,0))*$N$11</f>
        <v>0</v>
      </c>
      <c r="E566" s="29" t="n">
        <f aca="false">IF(E$43=0,Quesería!$F$92,IF(E$43=1,Quesería!$F$93*$N$21,0))*$N$11</f>
        <v>0</v>
      </c>
      <c r="F566" s="29" t="n">
        <f aca="false">IF(F$43=0,Quesería!$F$92,IF(F$43=1,Quesería!$F$93*$N$21,0))*$N$11</f>
        <v>0</v>
      </c>
      <c r="G566" s="29" t="n">
        <f aca="false">IF(G$43=0,Quesería!$F$92,IF(G$43=1,Quesería!$F$93*$N$21,0))*$N$11</f>
        <v>0</v>
      </c>
      <c r="H566" s="29" t="n">
        <f aca="false">IF(H$43=0,Quesería!$F$92,IF(H$43=1,Quesería!$F$93*$N$21,0))*$N$11</f>
        <v>0</v>
      </c>
      <c r="I566" s="29" t="n">
        <f aca="false">IF(I$43=0,Quesería!$F$92,IF(I$43=1,Quesería!$F$93*$N$21,0))*$N$11</f>
        <v>0</v>
      </c>
      <c r="J566" s="29" t="n">
        <f aca="false">IF(J$43=0,Quesería!$F$92,IF(J$43=1,Quesería!$F$93*$N$21,0))*$N$11</f>
        <v>0</v>
      </c>
      <c r="K566" s="29" t="n">
        <f aca="false">IF(K$43=0,Quesería!$F$92,IF(K$43=1,Quesería!$F$93*$N$21,0))*$N$11</f>
        <v>0</v>
      </c>
      <c r="L566" s="29" t="n">
        <f aca="false">IF(L$43=0,Quesería!$F$92,IF(L$43=1,Quesería!$F$93*$N$21,0))*$N$11</f>
        <v>0</v>
      </c>
    </row>
    <row r="567" customFormat="false" ht="15" hidden="true" customHeight="false" outlineLevel="1" collapsed="false">
      <c r="A567" s="6" t="s">
        <v>409</v>
      </c>
      <c r="B567" s="29" t="n">
        <f aca="false">IF(B$43=5,Quesería!$F$99,IF(B$43=6,Quesería!$F$100,0))*$N$11</f>
        <v>0</v>
      </c>
      <c r="C567" s="29" t="n">
        <f aca="false">IF(C$43=5,Quesería!$F$99,IF(C$43=6,Quesería!$F$100,0))*$N$11</f>
        <v>0</v>
      </c>
      <c r="D567" s="29" t="n">
        <f aca="false">IF(D$43=5,Quesería!$F$99,IF(D$43=6,Quesería!$F$100,0))*$N$11</f>
        <v>0</v>
      </c>
      <c r="E567" s="29" t="n">
        <f aca="false">IF(E$43=5,Quesería!$F$99,IF(E$43=6,Quesería!$F$100,0))*$N$11</f>
        <v>0</v>
      </c>
      <c r="F567" s="29" t="n">
        <f aca="false">IF(F$43=5,Quesería!$F$99,IF(F$43=6,Quesería!$F$100,0))*$N$11</f>
        <v>0</v>
      </c>
      <c r="G567" s="29" t="n">
        <f aca="false">IF(G$43=5,Quesería!$F$99,IF(G$43=6,Quesería!$F$100,0))*$N$11</f>
        <v>27.4652172688735</v>
      </c>
      <c r="H567" s="29" t="n">
        <f aca="false">IF(H$43=5,Quesería!$F$99,IF(H$43=6,Quesería!$F$100,0))*$N$11</f>
        <v>46.3891557109552</v>
      </c>
      <c r="I567" s="29" t="n">
        <f aca="false">IF(I$43=5,Quesería!$F$99,IF(I$43=6,Quesería!$F$100,0))*$N$11</f>
        <v>0</v>
      </c>
      <c r="J567" s="29" t="n">
        <f aca="false">IF(J$43=5,Quesería!$F$99,IF(J$43=6,Quesería!$F$100,0))*$N$11</f>
        <v>0</v>
      </c>
      <c r="K567" s="29" t="n">
        <f aca="false">IF(K$43=5,Quesería!$F$99,IF(K$43=6,Quesería!$F$100,0))*$N$11</f>
        <v>0</v>
      </c>
      <c r="L567" s="29" t="n">
        <f aca="false">IF(L$43=5,Quesería!$F$99,IF(L$43=6,Quesería!$F$100,0))*$N$11</f>
        <v>0</v>
      </c>
    </row>
    <row r="568" customFormat="false" ht="15" hidden="true" customHeight="false" outlineLevel="1" collapsed="false">
      <c r="A568" s="6" t="s">
        <v>410</v>
      </c>
      <c r="B568" s="29" t="n">
        <f aca="false">Quesería!$B$55*(IF(B$43=0,SUMPRODUCT((Quesería!$C$70:$C$89=0)*(Quesería!$H$70:$H$89&gt;0)*(Quesería!$J$70:$J$89&gt;0)*Quesería!$F$70:$F$89*(1+Quesería!$I$70:$I$89)),IF(B$43=1,SUMPRODUCT((Quesería!$C$70:$C$89=1)*(Quesería!$H$70:$H$89&gt;0)*(Quesería!$J$70:$J$89&gt;0)*Quesería!$F$70:$F$89*(1+Quesería!$I$70:$I$89))*$N$21,0))*$N$11+B567)</f>
        <v>149.115671560178</v>
      </c>
      <c r="C568" s="29" t="n">
        <f aca="false">Quesería!$B$55*(IF(C$43=0,SUMPRODUCT((Quesería!$C$70:$C$89=0)*(Quesería!$H$70:$H$89&gt;0)*(Quesería!$J$70:$J$89&gt;0)*Quesería!$F$70:$F$89*(1+Quesería!$I$70:$I$89)),IF(C$43=1,SUMPRODUCT((Quesería!$C$70:$C$89=1)*(Quesería!$H$70:$H$89&gt;0)*(Quesería!$J$70:$J$89&gt;0)*Quesería!$F$70:$F$89*(1+Quesería!$I$70:$I$89))*$N$21,0))*$N$11+C567)</f>
        <v>144.109122668155</v>
      </c>
      <c r="D568" s="29" t="n">
        <f aca="false">Quesería!$B$55*(IF(D$43=0,SUMPRODUCT((Quesería!$C$70:$C$89=0)*(Quesería!$H$70:$H$89&gt;0)*(Quesería!$J$70:$J$89&gt;0)*Quesería!$F$70:$F$89*(1+Quesería!$I$70:$I$89)),IF(D$43=1,SUMPRODUCT((Quesería!$C$70:$C$89=1)*(Quesería!$H$70:$H$89&gt;0)*(Quesería!$J$70:$J$89&gt;0)*Quesería!$F$70:$F$89*(1+Quesería!$I$70:$I$89))*$N$21,0))*$N$11+D567)</f>
        <v>0</v>
      </c>
      <c r="E568" s="29" t="n">
        <f aca="false">Quesería!$B$55*(IF(E$43=0,SUMPRODUCT((Quesería!$C$70:$C$89=0)*(Quesería!$H$70:$H$89&gt;0)*(Quesería!$J$70:$J$89&gt;0)*Quesería!$F$70:$F$89*(1+Quesería!$I$70:$I$89)),IF(E$43=1,SUMPRODUCT((Quesería!$C$70:$C$89=1)*(Quesería!$H$70:$H$89&gt;0)*(Quesería!$J$70:$J$89&gt;0)*Quesería!$F$70:$F$89*(1+Quesería!$I$70:$I$89))*$N$21,0))*$N$11+E567)</f>
        <v>0</v>
      </c>
      <c r="F568" s="29" t="n">
        <f aca="false">Quesería!$B$55*(IF(F$43=0,SUMPRODUCT((Quesería!$C$70:$C$89=0)*(Quesería!$H$70:$H$89&gt;0)*(Quesería!$J$70:$J$89&gt;0)*Quesería!$F$70:$F$89*(1+Quesería!$I$70:$I$89)),IF(F$43=1,SUMPRODUCT((Quesería!$C$70:$C$89=1)*(Quesería!$H$70:$H$89&gt;0)*(Quesería!$J$70:$J$89&gt;0)*Quesería!$F$70:$F$89*(1+Quesería!$I$70:$I$89))*$N$21,0))*$N$11+F567)</f>
        <v>0</v>
      </c>
      <c r="G568" s="29" t="n">
        <f aca="false">Quesería!$B$55*(IF(G$43=0,SUMPRODUCT((Quesería!$C$70:$C$89=0)*(Quesería!$H$70:$H$89&gt;0)*(Quesería!$J$70:$J$89&gt;0)*Quesería!$F$70:$F$89*(1+Quesería!$I$70:$I$89)),IF(G$43=1,SUMPRODUCT((Quesería!$C$70:$C$89=1)*(Quesería!$H$70:$H$89&gt;0)*(Quesería!$J$70:$J$89&gt;0)*Quesería!$F$70:$F$89*(1+Quesería!$I$70:$I$89))*$N$21,0))*$N$11+G567)</f>
        <v>5.21839128108597</v>
      </c>
      <c r="H568" s="29" t="n">
        <f aca="false">Quesería!$B$55*(IF(H$43=0,SUMPRODUCT((Quesería!$C$70:$C$89=0)*(Quesería!$H$70:$H$89&gt;0)*(Quesería!$J$70:$J$89&gt;0)*Quesería!$F$70:$F$89*(1+Quesería!$I$70:$I$89)),IF(H$43=1,SUMPRODUCT((Quesería!$C$70:$C$89=1)*(Quesería!$H$70:$H$89&gt;0)*(Quesería!$J$70:$J$89&gt;0)*Quesería!$F$70:$F$89*(1+Quesería!$I$70:$I$89))*$N$21,0))*$N$11+H567)</f>
        <v>8.8139395850815</v>
      </c>
      <c r="I568" s="29" t="n">
        <f aca="false">Quesería!$B$55*(IF(I$43=0,SUMPRODUCT((Quesería!$C$70:$C$89=0)*(Quesería!$H$70:$H$89&gt;0)*(Quesería!$J$70:$J$89&gt;0)*Quesería!$F$70:$F$89*(1+Quesería!$I$70:$I$89)),IF(I$43=1,SUMPRODUCT((Quesería!$C$70:$C$89=1)*(Quesería!$H$70:$H$89&gt;0)*(Quesería!$J$70:$J$89&gt;0)*Quesería!$F$70:$F$89*(1+Quesería!$I$70:$I$89))*$N$21,0))*$N$11+I567)</f>
        <v>0</v>
      </c>
      <c r="J568" s="29" t="n">
        <f aca="false">Quesería!$B$55*(IF(J$43=0,SUMPRODUCT((Quesería!$C$70:$C$89=0)*(Quesería!$H$70:$H$89&gt;0)*(Quesería!$J$70:$J$89&gt;0)*Quesería!$F$70:$F$89*(1+Quesería!$I$70:$I$89)),IF(J$43=1,SUMPRODUCT((Quesería!$C$70:$C$89=1)*(Quesería!$H$70:$H$89&gt;0)*(Quesería!$J$70:$J$89&gt;0)*Quesería!$F$70:$F$89*(1+Quesería!$I$70:$I$89))*$N$21,0))*$N$11+J567)</f>
        <v>0</v>
      </c>
      <c r="K568" s="29" t="n">
        <f aca="false">Quesería!$B$55*(IF(K$43=0,SUMPRODUCT((Quesería!$C$70:$C$89=0)*(Quesería!$H$70:$H$89&gt;0)*(Quesería!$J$70:$J$89&gt;0)*Quesería!$F$70:$F$89*(1+Quesería!$I$70:$I$89)),IF(K$43=1,SUMPRODUCT((Quesería!$C$70:$C$89=1)*(Quesería!$H$70:$H$89&gt;0)*(Quesería!$J$70:$J$89&gt;0)*Quesería!$F$70:$F$89*(1+Quesería!$I$70:$I$89))*$N$21,0))*$N$11+K567)</f>
        <v>0</v>
      </c>
      <c r="L568" s="29" t="n">
        <f aca="false">Quesería!$B$55*(IF(L$43=0,SUMPRODUCT((Quesería!$C$70:$C$89=0)*(Quesería!$H$70:$H$89&gt;0)*(Quesería!$J$70:$J$89&gt;0)*Quesería!$F$70:$F$89*(1+Quesería!$I$70:$I$89)),IF(L$43=1,SUMPRODUCT((Quesería!$C$70:$C$89=1)*(Quesería!$H$70:$H$89&gt;0)*(Quesería!$J$70:$J$89&gt;0)*Quesería!$F$70:$F$89*(1+Quesería!$I$70:$I$89))*$N$21,0))*$N$11+L567)</f>
        <v>0</v>
      </c>
    </row>
    <row r="569" customFormat="false" ht="15" hidden="true" customHeight="false" outlineLevel="1" collapsed="false">
      <c r="A569" s="6" t="s">
        <v>385</v>
      </c>
      <c r="B569" s="29" t="n">
        <f aca="false">IF(B$43=0,($N$22*Quesería!$J$125+(1-$N$22)*Quesería!$E$121)*Quesería!$B$20*Quesería!$B$21/12*$N$23,(($N$22*Quesería!$J$125+(1-$N$22)*Quesería!$E$121)+($N$22*Quesería!$J$104+(1-$N$22)*Quesería!$E$104)*(B564-1))*IF(B$43=1,Quesería!$B$20,1))*$N$10</f>
        <v>120.716772261203</v>
      </c>
      <c r="C569" s="29" t="n">
        <f aca="false">IF(C$43=0,($N$22*Quesería!$J$125+(1-$N$22)*Quesería!$E$121)*Quesería!$B$20*Quesería!$B$21/12*$N$23,(($N$22*Quesería!$J$125+(1-$N$22)*Quesería!$E$121)+($N$22*Quesería!$J$104+(1-$N$22)*Quesería!$E$104)*(C564-1))*IF(C$43=1,Quesería!$B$20,1))*$N$10</f>
        <v>181.285720363636</v>
      </c>
      <c r="D569" s="29" t="n">
        <f aca="false">IF(D$43=0,($N$22*Quesería!$J$125+(1-$N$22)*Quesería!$E$121)*Quesería!$B$20*Quesería!$B$21/12*$N$23,(($N$22*Quesería!$J$125+(1-$N$22)*Quesería!$E$121)+($N$22*Quesería!$J$104+(1-$N$22)*Quesería!$E$104)*(D564-1))*IF(D$43=1,Quesería!$B$20,1))*$N$10</f>
        <v>241.77449756466</v>
      </c>
      <c r="E569" s="29" t="n">
        <f aca="false">IF(E$43=0,($N$22*Quesería!$J$125+(1-$N$22)*Quesería!$E$121)*Quesería!$B$20*Quesería!$B$21/12*$N$23,(($N$22*Quesería!$J$125+(1-$N$22)*Quesería!$E$121)+($N$22*Quesería!$J$104+(1-$N$22)*Quesería!$E$104)*(E564-1))*IF(E$43=1,Quesería!$B$20,1))*$N$10</f>
        <v>241.835002329871</v>
      </c>
      <c r="F569" s="29" t="n">
        <f aca="false">IF(F$43=0,($N$22*Quesería!$J$125+(1-$N$22)*Quesería!$E$121)*Quesería!$B$20*Quesería!$B$21/12*$N$23,(($N$22*Quesería!$J$125+(1-$N$22)*Quesería!$E$121)+($N$22*Quesería!$J$104+(1-$N$22)*Quesería!$E$104)*(F564-1))*IF(F$43=1,Quesería!$B$20,1))*$N$10</f>
        <v>241.895809618908</v>
      </c>
      <c r="G569" s="29" t="n">
        <f aca="false">IF(G$43=0,($N$22*Quesería!$J$125+(1-$N$22)*Quesería!$E$121)*Quesería!$B$20*Quesería!$B$21/12*$N$23,(($N$22*Quesería!$J$125+(1-$N$22)*Quesería!$E$121)+($N$22*Quesería!$J$104+(1-$N$22)*Quesería!$E$104)*(G564-1))*IF(G$43=1,Quesería!$B$20,1))*$N$10</f>
        <v>241.956920944391</v>
      </c>
      <c r="H569" s="29" t="n">
        <f aca="false">IF(H$43=0,($N$22*Quesería!$J$125+(1-$N$22)*Quesería!$E$121)*Quesería!$B$20*Quesería!$B$21/12*$N$23,(($N$22*Quesería!$J$125+(1-$N$22)*Quesería!$E$121)+($N$22*Quesería!$J$104+(1-$N$22)*Quesería!$E$104)*(H564-1))*IF(H$43=1,Quesería!$B$20,1))*$N$10</f>
        <v>242.018337826501</v>
      </c>
      <c r="I569" s="29" t="n">
        <f aca="false">IF(I$43=0,($N$22*Quesería!$J$125+(1-$N$22)*Quesería!$E$121)*Quesería!$B$20*Quesería!$B$21/12*$N$23,(($N$22*Quesería!$J$125+(1-$N$22)*Quesería!$E$121)+($N$22*Quesería!$J$104+(1-$N$22)*Quesería!$E$104)*(I564-1))*IF(I$43=1,Quesería!$B$20,1))*$N$10</f>
        <v>242.080061793021</v>
      </c>
      <c r="J569" s="29" t="n">
        <f aca="false">IF(J$43=0,($N$22*Quesería!$J$125+(1-$N$22)*Quesería!$E$121)*Quesería!$B$20*Quesería!$B$21/12*$N$23,(($N$22*Quesería!$J$125+(1-$N$22)*Quesería!$E$121)+($N$22*Quesería!$J$104+(1-$N$22)*Quesería!$E$104)*(J564-1))*IF(J$43=1,Quesería!$B$20,1))*$N$10</f>
        <v>242.142094379374</v>
      </c>
      <c r="K569" s="29" t="n">
        <f aca="false">IF(K$43=0,($N$22*Quesería!$J$125+(1-$N$22)*Quesería!$E$121)*Quesería!$B$20*Quesería!$B$21/12*$N$23,(($N$22*Quesería!$J$125+(1-$N$22)*Quesería!$E$121)+($N$22*Quesería!$J$104+(1-$N$22)*Quesería!$E$104)*(K564-1))*IF(K$43=1,Quesería!$B$20,1))*$N$10</f>
        <v>242.204437128659</v>
      </c>
      <c r="L569" s="29" t="n">
        <f aca="false">IF(L$43=0,($N$22*Quesería!$J$125+(1-$N$22)*Quesería!$E$121)*Quesería!$B$20*Quesería!$B$21/12*$N$23,(($N$22*Quesería!$J$125+(1-$N$22)*Quesería!$E$121)+($N$22*Quesería!$J$104+(1-$N$22)*Quesería!$E$104)*(L564-1))*IF(L$43=1,Quesería!$B$20,1))*$N$10</f>
        <v>242.26709159169</v>
      </c>
    </row>
    <row r="570" customFormat="false" ht="15" hidden="true" customHeight="false" outlineLevel="1" collapsed="false">
      <c r="A570" s="6" t="s">
        <v>386</v>
      </c>
      <c r="B570" s="29" t="n">
        <f aca="false">IF(B$43&lt;=1,0,((($N$22*Quesería!$J$126+(1-$N$22)*Quesería!$E$122)-($N$22*Quesería!$J$113+(1-$N$22)*Quesería!$E$113)+$N$6*($N$22*Quesería!$J$113+(1-$N$22)*Quesería!$E$113)-(1-$N$9)*(($N$22*Quesería!$J$118+(1-$N$22)*Quesería!$E$118)+($N$22*Quesería!$J$117+(1-$N$22)*Quesería!$E$117)))+($N$6*($N$22*Quesería!$J$113+(1-$N$22)*Quesería!$E$113)+$N$9*($N$22*Quesería!$J$118+(1-$N$22)*Quesería!$E$118))*(B564-1))*IF(B$43=2,Quesería!$B$20,1)+IF(B$43=2,Quesería!$B$24*$N$9*($N$22*Quesería!$J$118+(1-$N$22)*Quesería!$E$118)*B564,0))*$N$10*$N$21</f>
        <v>0</v>
      </c>
      <c r="C570" s="29" t="n">
        <f aca="false">IF(C$43&lt;=1,0,((($N$22*Quesería!$J$126+(1-$N$22)*Quesería!$E$122)-($N$22*Quesería!$J$113+(1-$N$22)*Quesería!$E$113)+$N$6*($N$22*Quesería!$J$113+(1-$N$22)*Quesería!$E$113)-(1-$N$9)*(($N$22*Quesería!$J$118+(1-$N$22)*Quesería!$E$118)+($N$22*Quesería!$J$117+(1-$N$22)*Quesería!$E$117)))+($N$6*($N$22*Quesería!$J$113+(1-$N$22)*Quesería!$E$113)+$N$9*($N$22*Quesería!$J$118+(1-$N$22)*Quesería!$E$118))*(C564-1))*IF(C$43=2,Quesería!$B$20,1)+IF(C$43=2,Quesería!$B$24*$N$9*($N$22*Quesería!$J$118+(1-$N$22)*Quesería!$E$118)*C564,0))*$N$10*$N$21</f>
        <v>0</v>
      </c>
      <c r="D570" s="29" t="n">
        <f aca="false">IF(D$43&lt;=1,0,((($N$22*Quesería!$J$126+(1-$N$22)*Quesería!$E$122)-($N$22*Quesería!$J$113+(1-$N$22)*Quesería!$E$113)+$N$6*($N$22*Quesería!$J$113+(1-$N$22)*Quesería!$E$113)-(1-$N$9)*(($N$22*Quesería!$J$118+(1-$N$22)*Quesería!$E$118)+($N$22*Quesería!$J$117+(1-$N$22)*Quesería!$E$117)))+($N$6*($N$22*Quesería!$J$113+(1-$N$22)*Quesería!$E$113)+$N$9*($N$22*Quesería!$J$118+(1-$N$22)*Quesería!$E$118))*(D564-1))*IF(D$43=2,Quesería!$B$20,1)+IF(D$43=2,Quesería!$B$24*$N$9*($N$22*Quesería!$J$118+(1-$N$22)*Quesería!$E$118)*D564,0))*$N$10*$N$21</f>
        <v>234.975224320146</v>
      </c>
      <c r="E570" s="29" t="n">
        <f aca="false">IF(E$43&lt;=1,0,((($N$22*Quesería!$J$126+(1-$N$22)*Quesería!$E$122)-($N$22*Quesería!$J$113+(1-$N$22)*Quesería!$E$113)+$N$6*($N$22*Quesería!$J$113+(1-$N$22)*Quesería!$E$113)-(1-$N$9)*(($N$22*Quesería!$J$118+(1-$N$22)*Quesería!$E$118)+($N$22*Quesería!$J$117+(1-$N$22)*Quesería!$E$117)))+($N$6*($N$22*Quesería!$J$113+(1-$N$22)*Quesería!$E$113)+$N$9*($N$22*Quesería!$J$118+(1-$N$22)*Quesería!$E$118))*(E564-1))*IF(E$43=2,Quesería!$B$20,1)+IF(E$43=2,Quesería!$B$24*$N$9*($N$22*Quesería!$J$118+(1-$N$22)*Quesería!$E$118)*E564,0))*$N$10*$N$21</f>
        <v>298.728529006627</v>
      </c>
      <c r="F570" s="29" t="n">
        <f aca="false">IF(F$43&lt;=1,0,((($N$22*Quesería!$J$126+(1-$N$22)*Quesería!$E$122)-($N$22*Quesería!$J$113+(1-$N$22)*Quesería!$E$113)+$N$6*($N$22*Quesería!$J$113+(1-$N$22)*Quesería!$E$113)-(1-$N$9)*(($N$22*Quesería!$J$118+(1-$N$22)*Quesería!$E$118)+($N$22*Quesería!$J$117+(1-$N$22)*Quesería!$E$117)))+($N$6*($N$22*Quesería!$J$113+(1-$N$22)*Quesería!$E$113)+$N$9*($N$22*Quesería!$J$118+(1-$N$22)*Quesería!$E$118))*(F564-1))*IF(F$43=2,Quesería!$B$20,1)+IF(F$43=2,Quesería!$B$24*$N$9*($N$22*Quesería!$J$118+(1-$N$22)*Quesería!$E$118)*F564,0))*$N$10*$N$21</f>
        <v>298.975481058023</v>
      </c>
      <c r="G570" s="29" t="n">
        <f aca="false">IF(G$43&lt;=1,0,((($N$22*Quesería!$J$126+(1-$N$22)*Quesería!$E$122)-($N$22*Quesería!$J$113+(1-$N$22)*Quesería!$E$113)+$N$6*($N$22*Quesería!$J$113+(1-$N$22)*Quesería!$E$113)-(1-$N$9)*(($N$22*Quesería!$J$118+(1-$N$22)*Quesería!$E$118)+($N$22*Quesería!$J$117+(1-$N$22)*Quesería!$E$117)))+($N$6*($N$22*Quesería!$J$113+(1-$N$22)*Quesería!$E$113)+$N$9*($N$22*Quesería!$J$118+(1-$N$22)*Quesería!$E$118))*(G564-1))*IF(G$43=2,Quesería!$B$20,1)+IF(G$43=2,Quesería!$B$24*$N$9*($N$22*Quesería!$J$118+(1-$N$22)*Quesería!$E$118)*G564,0))*$N$10*$N$21</f>
        <v>299.223667869677</v>
      </c>
      <c r="H570" s="29" t="n">
        <f aca="false">IF(H$43&lt;=1,0,((($N$22*Quesería!$J$126+(1-$N$22)*Quesería!$E$122)-($N$22*Quesería!$J$113+(1-$N$22)*Quesería!$E$113)+$N$6*($N$22*Quesería!$J$113+(1-$N$22)*Quesería!$E$113)-(1-$N$9)*(($N$22*Quesería!$J$118+(1-$N$22)*Quesería!$E$118)+($N$22*Quesería!$J$117+(1-$N$22)*Quesería!$E$117)))+($N$6*($N$22*Quesería!$J$113+(1-$N$22)*Quesería!$E$113)+$N$9*($N$22*Quesería!$J$118+(1-$N$22)*Quesería!$E$118))*(H564-1))*IF(H$43=2,Quesería!$B$20,1)+IF(H$43=2,Quesería!$B$24*$N$9*($N$22*Quesería!$J$118+(1-$N$22)*Quesería!$E$118)*H564,0))*$N$10*$N$21</f>
        <v>299.473095615388</v>
      </c>
      <c r="I570" s="29" t="n">
        <f aca="false">IF(I$43&lt;=1,0,((($N$22*Quesería!$J$126+(1-$N$22)*Quesería!$E$122)-($N$22*Quesería!$J$113+(1-$N$22)*Quesería!$E$113)+$N$6*($N$22*Quesería!$J$113+(1-$N$22)*Quesería!$E$113)-(1-$N$9)*(($N$22*Quesería!$J$118+(1-$N$22)*Quesería!$E$118)+($N$22*Quesería!$J$117+(1-$N$22)*Quesería!$E$117)))+($N$6*($N$22*Quesería!$J$113+(1-$N$22)*Quesería!$E$113)+$N$9*($N$22*Quesería!$J$118+(1-$N$22)*Quesería!$E$118))*(I564-1))*IF(I$43=2,Quesería!$B$20,1)+IF(I$43=2,Quesería!$B$24*$N$9*($N$22*Quesería!$J$118+(1-$N$22)*Quesería!$E$118)*I564,0))*$N$10*$N$21</f>
        <v>299.723770499829</v>
      </c>
      <c r="J570" s="29" t="n">
        <f aca="false">IF(J$43&lt;=1,0,((($N$22*Quesería!$J$126+(1-$N$22)*Quesería!$E$122)-($N$22*Quesería!$J$113+(1-$N$22)*Quesería!$E$113)+$N$6*($N$22*Quesería!$J$113+(1-$N$22)*Quesería!$E$113)-(1-$N$9)*(($N$22*Quesería!$J$118+(1-$N$22)*Quesería!$E$118)+($N$22*Quesería!$J$117+(1-$N$22)*Quesería!$E$117)))+($N$6*($N$22*Quesería!$J$113+(1-$N$22)*Quesería!$E$113)+$N$9*($N$22*Quesería!$J$118+(1-$N$22)*Quesería!$E$118))*(J564-1))*IF(J$43=2,Quesería!$B$20,1)+IF(J$43=2,Quesería!$B$24*$N$9*($N$22*Quesería!$J$118+(1-$N$22)*Quesería!$E$118)*J564,0))*$N$10*$N$21</f>
        <v>299.975698758691</v>
      </c>
      <c r="K570" s="29" t="n">
        <f aca="false">IF(K$43&lt;=1,0,((($N$22*Quesería!$J$126+(1-$N$22)*Quesería!$E$122)-($N$22*Quesería!$J$113+(1-$N$22)*Quesería!$E$113)+$N$6*($N$22*Quesería!$J$113+(1-$N$22)*Quesería!$E$113)-(1-$N$9)*(($N$22*Quesería!$J$118+(1-$N$22)*Quesería!$E$118)+($N$22*Quesería!$J$117+(1-$N$22)*Quesería!$E$117)))+($N$6*($N$22*Quesería!$J$113+(1-$N$22)*Quesería!$E$113)+$N$9*($N$22*Quesería!$J$118+(1-$N$22)*Quesería!$E$118))*(K564-1))*IF(K$43=2,Quesería!$B$20,1)+IF(K$43=2,Quesería!$B$24*$N$9*($N$22*Quesería!$J$118+(1-$N$22)*Quesería!$E$118)*K564,0))*$N$10*$N$21</f>
        <v>300.228886658848</v>
      </c>
      <c r="L570" s="29" t="n">
        <f aca="false">IF(L$43&lt;=1,0,((($N$22*Quesería!$J$126+(1-$N$22)*Quesería!$E$122)-($N$22*Quesería!$J$113+(1-$N$22)*Quesería!$E$113)+$N$6*($N$22*Quesería!$J$113+(1-$N$22)*Quesería!$E$113)-(1-$N$9)*(($N$22*Quesería!$J$118+(1-$N$22)*Quesería!$E$118)+($N$22*Quesería!$J$117+(1-$N$22)*Quesería!$E$117)))+($N$6*($N$22*Quesería!$J$113+(1-$N$22)*Quesería!$E$113)+$N$9*($N$22*Quesería!$J$118+(1-$N$22)*Quesería!$E$118))*(L564-1))*IF(L$43=2,Quesería!$B$20,1)+IF(L$43=2,Quesería!$B$24*$N$9*($N$22*Quesería!$J$118+(1-$N$22)*Quesería!$E$118)*L564,0))*$N$10*$N$21</f>
        <v>300.483340498505</v>
      </c>
    </row>
    <row r="571" customFormat="false" ht="15" hidden="true" customHeight="false" outlineLevel="1" collapsed="false">
      <c r="A571" s="5" t="s">
        <v>411</v>
      </c>
      <c r="B571" s="10" t="n">
        <f aca="false">B569+B570</f>
        <v>120.716772261203</v>
      </c>
      <c r="C571" s="10" t="n">
        <f aca="false">C569+C570</f>
        <v>181.285720363636</v>
      </c>
      <c r="D571" s="10" t="n">
        <f aca="false">D569+D570</f>
        <v>476.749721884806</v>
      </c>
      <c r="E571" s="10" t="n">
        <f aca="false">E569+E570</f>
        <v>540.563531336497</v>
      </c>
      <c r="F571" s="10" t="n">
        <f aca="false">F569+F570</f>
        <v>540.871290676931</v>
      </c>
      <c r="G571" s="10" t="n">
        <f aca="false">G569+G570</f>
        <v>541.180588814067</v>
      </c>
      <c r="H571" s="10" t="n">
        <f aca="false">H569+H570</f>
        <v>541.491433441889</v>
      </c>
      <c r="I571" s="10" t="n">
        <f aca="false">I569+I570</f>
        <v>541.80383229285</v>
      </c>
      <c r="J571" s="10" t="n">
        <f aca="false">J569+J570</f>
        <v>542.117793138065</v>
      </c>
      <c r="K571" s="10" t="n">
        <f aca="false">K569+K570</f>
        <v>542.433323787507</v>
      </c>
      <c r="L571" s="10" t="n">
        <f aca="false">L569+L570</f>
        <v>542.750432090196</v>
      </c>
    </row>
    <row r="572" customFormat="false" ht="15" hidden="true" customHeight="false" outlineLevel="1" collapsed="false">
      <c r="A572" s="6" t="s">
        <v>412</v>
      </c>
      <c r="B572" s="29" t="n">
        <f aca="false">(IF(B$43&gt;=1,(Quesería!$B$31+Quesería!$B$33)*Quesería!$F$94*$N$11+Quesería!$B$32+'Beneficios y costos'!$B$211,0)+IF(B$43&gt;=2,((Quesería!$B$31+Quesería!$B$33)*Quesería!$F$95*$N$11+'Beneficios y costos'!$C$211)*$N$21,0))*$N$12</f>
        <v>0</v>
      </c>
      <c r="C572" s="29" t="n">
        <f aca="false">(IF(C$43&gt;=1,(Quesería!$B$31+Quesería!$B$33)*Quesería!$F$94*$N$11+Quesería!$B$32+'Beneficios y costos'!$B$211,0)+IF(C$43&gt;=2,((Quesería!$B$31+Quesería!$B$33)*Quesería!$F$95*$N$11+'Beneficios y costos'!$C$211)*$N$21,0))*$N$12</f>
        <v>42.0946487260605</v>
      </c>
      <c r="D572" s="29" t="n">
        <f aca="false">(IF(D$43&gt;=1,(Quesería!$B$31+Quesería!$B$33)*Quesería!$F$94*$N$11+Quesería!$B$32+'Beneficios y costos'!$B$211,0)+IF(D$43&gt;=2,((Quesería!$B$31+Quesería!$B$33)*Quesería!$F$95*$N$11+'Beneficios y costos'!$C$211)*$N$21,0))*$N$12</f>
        <v>95.9432442337815</v>
      </c>
      <c r="E572" s="29" t="n">
        <f aca="false">(IF(E$43&gt;=1,(Quesería!$B$31+Quesería!$B$33)*Quesería!$F$94*$N$11+Quesería!$B$32+'Beneficios y costos'!$B$211,0)+IF(E$43&gt;=2,((Quesería!$B$31+Quesería!$B$33)*Quesería!$F$95*$N$11+'Beneficios y costos'!$C$211)*$N$21,0))*$N$12</f>
        <v>95.9432442337815</v>
      </c>
      <c r="F572" s="29" t="n">
        <f aca="false">(IF(F$43&gt;=1,(Quesería!$B$31+Quesería!$B$33)*Quesería!$F$94*$N$11+Quesería!$B$32+'Beneficios y costos'!$B$211,0)+IF(F$43&gt;=2,((Quesería!$B$31+Quesería!$B$33)*Quesería!$F$95*$N$11+'Beneficios y costos'!$C$211)*$N$21,0))*$N$12</f>
        <v>95.9432442337815</v>
      </c>
      <c r="G572" s="29" t="n">
        <f aca="false">(IF(G$43&gt;=1,(Quesería!$B$31+Quesería!$B$33)*Quesería!$F$94*$N$11+Quesería!$B$32+'Beneficios y costos'!$B$211,0)+IF(G$43&gt;=2,((Quesería!$B$31+Quesería!$B$33)*Quesería!$F$95*$N$11+'Beneficios y costos'!$C$211)*$N$21,0))*$N$12</f>
        <v>95.9432442337815</v>
      </c>
      <c r="H572" s="29" t="n">
        <f aca="false">(IF(H$43&gt;=1,(Quesería!$B$31+Quesería!$B$33)*Quesería!$F$94*$N$11+Quesería!$B$32+'Beneficios y costos'!$B$211,0)+IF(H$43&gt;=2,((Quesería!$B$31+Quesería!$B$33)*Quesería!$F$95*$N$11+'Beneficios y costos'!$C$211)*$N$21,0))*$N$12</f>
        <v>95.9432442337815</v>
      </c>
      <c r="I572" s="29" t="n">
        <f aca="false">(IF(I$43&gt;=1,(Quesería!$B$31+Quesería!$B$33)*Quesería!$F$94*$N$11+Quesería!$B$32+'Beneficios y costos'!$B$211,0)+IF(I$43&gt;=2,((Quesería!$B$31+Quesería!$B$33)*Quesería!$F$95*$N$11+'Beneficios y costos'!$C$211)*$N$21,0))*$N$12</f>
        <v>95.9432442337815</v>
      </c>
      <c r="J572" s="29" t="n">
        <f aca="false">(IF(J$43&gt;=1,(Quesería!$B$31+Quesería!$B$33)*Quesería!$F$94*$N$11+Quesería!$B$32+'Beneficios y costos'!$B$211,0)+IF(J$43&gt;=2,((Quesería!$B$31+Quesería!$B$33)*Quesería!$F$95*$N$11+'Beneficios y costos'!$C$211)*$N$21,0))*$N$12</f>
        <v>95.9432442337815</v>
      </c>
      <c r="K572" s="29" t="n">
        <f aca="false">(IF(K$43&gt;=1,(Quesería!$B$31+Quesería!$B$33)*Quesería!$F$94*$N$11+Quesería!$B$32+'Beneficios y costos'!$B$211,0)+IF(K$43&gt;=2,((Quesería!$B$31+Quesería!$B$33)*Quesería!$F$95*$N$11+'Beneficios y costos'!$C$211)*$N$21,0))*$N$12</f>
        <v>95.9432442337815</v>
      </c>
      <c r="L572" s="29" t="n">
        <f aca="false">(IF(L$43&gt;=1,(Quesería!$B$31+Quesería!$B$33)*Quesería!$F$94*$N$11+Quesería!$B$32+'Beneficios y costos'!$B$211,0)+IF(L$43&gt;=2,((Quesería!$B$31+Quesería!$B$33)*Quesería!$F$95*$N$11+'Beneficios y costos'!$C$211)*$N$21,0))*$N$12</f>
        <v>95.9432442337815</v>
      </c>
    </row>
    <row r="573" customFormat="false" ht="15" hidden="true" customHeight="false" outlineLevel="1" collapsed="false">
      <c r="A573" s="6" t="s">
        <v>413</v>
      </c>
      <c r="B573" s="29" t="n">
        <f aca="false">IF(B$43=1,2*Quesería!$B$22*Quesería!$B$23/12*B564,0)*$N$21</f>
        <v>0</v>
      </c>
      <c r="C573" s="29" t="n">
        <f aca="false">IF(C$43=1,2*Quesería!$B$22*Quesería!$B$23/12*C564,0)*$N$21</f>
        <v>18.4297183098592</v>
      </c>
      <c r="D573" s="29" t="n">
        <f aca="false">IF(D$43=1,2*Quesería!$B$22*Quesería!$B$23/12*D564,0)*$N$21</f>
        <v>0</v>
      </c>
      <c r="E573" s="29" t="n">
        <f aca="false">IF(E$43=1,2*Quesería!$B$22*Quesería!$B$23/12*E564,0)*$N$21</f>
        <v>0</v>
      </c>
      <c r="F573" s="29" t="n">
        <f aca="false">IF(F$43=1,2*Quesería!$B$22*Quesería!$B$23/12*F564,0)*$N$21</f>
        <v>0</v>
      </c>
      <c r="G573" s="29" t="n">
        <f aca="false">IF(G$43=1,2*Quesería!$B$22*Quesería!$B$23/12*G564,0)*$N$21</f>
        <v>0</v>
      </c>
      <c r="H573" s="29" t="n">
        <f aca="false">IF(H$43=1,2*Quesería!$B$22*Quesería!$B$23/12*H564,0)*$N$21</f>
        <v>0</v>
      </c>
      <c r="I573" s="29" t="n">
        <f aca="false">IF(I$43=1,2*Quesería!$B$22*Quesería!$B$23/12*I564,0)*$N$21</f>
        <v>0</v>
      </c>
      <c r="J573" s="29" t="n">
        <f aca="false">IF(J$43=1,2*Quesería!$B$22*Quesería!$B$23/12*J564,0)*$N$21</f>
        <v>0</v>
      </c>
      <c r="K573" s="29" t="n">
        <f aca="false">IF(K$43=1,2*Quesería!$B$22*Quesería!$B$23/12*K564,0)*$N$21</f>
        <v>0</v>
      </c>
      <c r="L573" s="29" t="n">
        <f aca="false">IF(L$43=1,2*Quesería!$B$22*Quesería!$B$23/12*L564,0)*$N$21</f>
        <v>0</v>
      </c>
    </row>
    <row r="574" customFormat="false" ht="15" hidden="true" customHeight="false" outlineLevel="1" collapsed="false">
      <c r="A574" s="6" t="s">
        <v>414</v>
      </c>
      <c r="B574" s="29" t="n">
        <f aca="false">Quesería!$B$52*(B566+B567+B568+B572+B573)</f>
        <v>4.31966364396742</v>
      </c>
      <c r="C574" s="29" t="n">
        <f aca="false">Quesería!$B$52*(C566+C567+C568+C572+C573)</f>
        <v>3.85241022551429</v>
      </c>
      <c r="D574" s="29" t="n">
        <f aca="false">Quesería!$B$52*(D566+D567+D568+D572+D573)</f>
        <v>0.383772976935126</v>
      </c>
      <c r="E574" s="29" t="n">
        <f aca="false">Quesería!$B$52*(E566+E567+E568+E572+E573)</f>
        <v>0.383772976935126</v>
      </c>
      <c r="F574" s="29" t="n">
        <f aca="false">Quesería!$B$52*(F566+F567+F568+F572+F573)</f>
        <v>0.383772976935126</v>
      </c>
      <c r="G574" s="29" t="n">
        <f aca="false">Quesería!$B$52*(G566+G567+G568+G572+G573)</f>
        <v>0.514507411134964</v>
      </c>
      <c r="H574" s="29" t="n">
        <f aca="false">Quesería!$B$52*(H566+H567+H568+H572+H573)</f>
        <v>0.604585358119273</v>
      </c>
      <c r="I574" s="29" t="n">
        <f aca="false">Quesería!$B$52*(I566+I567+I568+I572+I573)</f>
        <v>0.383772976935126</v>
      </c>
      <c r="J574" s="29" t="n">
        <f aca="false">Quesería!$B$52*(J566+J567+J568+J572+J573)</f>
        <v>0.383772976935126</v>
      </c>
      <c r="K574" s="29" t="n">
        <f aca="false">Quesería!$B$52*(K566+K567+K568+K572+K573)</f>
        <v>0.383772976935126</v>
      </c>
      <c r="L574" s="29" t="n">
        <f aca="false">Quesería!$B$52*(L566+L567+L568+L572+L573)</f>
        <v>0.383772976935126</v>
      </c>
    </row>
    <row r="575" customFormat="false" ht="15" hidden="true" customHeight="false" outlineLevel="1" collapsed="false">
      <c r="A575" s="6" t="s">
        <v>415</v>
      </c>
      <c r="B575" s="29" t="n">
        <f aca="false">(IF($N$19=1,(SUMPRODUCT((Quesería!$C$70:$C$89=0)*(Quesería!$J$70:$J$89&gt;0)*(B$43&gt;=1)*(B$43&lt;=Quesería!$J$70:$J$89)*(Quesería!$H$70:$H$89&gt;0)*Quesería!$F$70:$F$89*(1+Quesería!$I$70:$I$89)/(Quesería!$J$70:$J$89+(Quesería!$J$70:$J$89=0)))+SUMPRODUCT((Quesería!$C$70:$C$89=0)*(Quesería!$J$70:$J$89=0)*(B$43=0)*(Quesería!$H$70:$H$89&gt;0)*Quesería!$F$70:$F$89*(1+Quesería!$I$70:$I$89)))*$B$563+(SUMPRODUCT((Quesería!$C$70:$C$89=1)*(Quesería!$J$70:$J$89&gt;0)*(B$43&gt;=2)*(B$43&lt;=Quesería!$J$70:$J$89+1)*(Quesería!$H$70:$H$89&gt;0)*Quesería!$F$70:$F$89*(1+Quesería!$I$70:$I$89)/(Quesería!$J$70:$J$89+(Quesería!$J$70:$J$89=0)))+SUMPRODUCT((Quesería!$C$70:$C$89=1)*(Quesería!$J$70:$J$89=0)*(B$43=1)*(Quesería!$H$70:$H$89&gt;0)*Quesería!$F$70:$F$89*(1+Quesería!$I$70:$I$89)))*$C$563*$N$21,IF(AND(B$43&gt;=1,B$43&lt;=Quesería!$B$30),Quesería!$F$92/Quesería!$B$30,0)*$B$563+IF(AND(B$43&gt;=2,B$43&lt;=Quesería!$B$30+1),Quesería!$F$93/Quesería!$B$30,0)*$C$563*$N$21)*$N$11+IF(AND(B$43&gt;=6,B$43&lt;=10),$G567*$G563/5,0)+IF(AND(B$43&gt;=7,B$43&lt;=11),$H567*$H563/5,0))*B565</f>
        <v>145.980915430742</v>
      </c>
      <c r="C575" s="29" t="n">
        <f aca="false">(IF($N$19=1,(SUMPRODUCT((Quesería!$C$70:$C$89=0)*(Quesería!$J$70:$J$89&gt;0)*(C$43&gt;=1)*(C$43&lt;=Quesería!$J$70:$J$89)*(Quesería!$H$70:$H$89&gt;0)*Quesería!$F$70:$F$89*(1+Quesería!$I$70:$I$89)/(Quesería!$J$70:$J$89+(Quesería!$J$70:$J$89=0)))+SUMPRODUCT((Quesería!$C$70:$C$89=0)*(Quesería!$J$70:$J$89=0)*(C$43=0)*(Quesería!$H$70:$H$89&gt;0)*Quesería!$F$70:$F$89*(1+Quesería!$I$70:$I$89)))*$B$563+(SUMPRODUCT((Quesería!$C$70:$C$89=1)*(Quesería!$J$70:$J$89&gt;0)*(C$43&gt;=2)*(C$43&lt;=Quesería!$J$70:$J$89+1)*(Quesería!$H$70:$H$89&gt;0)*Quesería!$F$70:$F$89*(1+Quesería!$I$70:$I$89)/(Quesería!$J$70:$J$89+(Quesería!$J$70:$J$89=0)))+SUMPRODUCT((Quesería!$C$70:$C$89=1)*(Quesería!$J$70:$J$89=0)*(C$43=1)*(Quesería!$H$70:$H$89&gt;0)*Quesería!$F$70:$F$89*(1+Quesería!$I$70:$I$89)))*$C$563*$N$21,IF(AND(C$43&gt;=1,C$43&lt;=Quesería!$B$30),Quesería!$F$92/Quesería!$B$30,0)*$B$563+IF(AND(C$43&gt;=2,C$43&lt;=Quesería!$B$30+1),Quesería!$F$93/Quesería!$B$30,0)*$C$563*$N$21)*$N$11+IF(AND(C$43&gt;=6,C$43&lt;=10),$G567*$G563/5,0)+IF(AND(C$43&gt;=7,C$43&lt;=11),$H567*$H563/5,0))*C565</f>
        <v>81.1046885446459</v>
      </c>
      <c r="D575" s="29" t="n">
        <f aca="false">(IF($N$19=1,(SUMPRODUCT((Quesería!$C$70:$C$89=0)*(Quesería!$J$70:$J$89&gt;0)*(D$43&gt;=1)*(D$43&lt;=Quesería!$J$70:$J$89)*(Quesería!$H$70:$H$89&gt;0)*Quesería!$F$70:$F$89*(1+Quesería!$I$70:$I$89)/(Quesería!$J$70:$J$89+(Quesería!$J$70:$J$89=0)))+SUMPRODUCT((Quesería!$C$70:$C$89=0)*(Quesería!$J$70:$J$89=0)*(D$43=0)*(Quesería!$H$70:$H$89&gt;0)*Quesería!$F$70:$F$89*(1+Quesería!$I$70:$I$89)))*$B$563+(SUMPRODUCT((Quesería!$C$70:$C$89=1)*(Quesería!$J$70:$J$89&gt;0)*(D$43&gt;=2)*(D$43&lt;=Quesería!$J$70:$J$89+1)*(Quesería!$H$70:$H$89&gt;0)*Quesería!$F$70:$F$89*(1+Quesería!$I$70:$I$89)/(Quesería!$J$70:$J$89+(Quesería!$J$70:$J$89=0)))+SUMPRODUCT((Quesería!$C$70:$C$89=1)*(Quesería!$J$70:$J$89=0)*(D$43=1)*(Quesería!$H$70:$H$89&gt;0)*Quesería!$F$70:$F$89*(1+Quesería!$I$70:$I$89)))*$C$563*$N$21,IF(AND(D$43&gt;=1,D$43&lt;=Quesería!$B$30),Quesería!$F$92/Quesería!$B$30,0)*$B$563+IF(AND(D$43&gt;=2,D$43&lt;=Quesería!$B$30+1),Quesería!$F$93/Quesería!$B$30,0)*$C$563*$N$21)*$N$11+IF(AND(D$43&gt;=6,D$43&lt;=10),$G567*$G563/5,0)+IF(AND(D$43&gt;=7,D$43&lt;=11),$H567*$H563/5,0))*D565</f>
        <v>147.372389870512</v>
      </c>
      <c r="E575" s="29" t="n">
        <f aca="false">(IF($N$19=1,(SUMPRODUCT((Quesería!$C$70:$C$89=0)*(Quesería!$J$70:$J$89&gt;0)*(E$43&gt;=1)*(E$43&lt;=Quesería!$J$70:$J$89)*(Quesería!$H$70:$H$89&gt;0)*Quesería!$F$70:$F$89*(1+Quesería!$I$70:$I$89)/(Quesería!$J$70:$J$89+(Quesería!$J$70:$J$89=0)))+SUMPRODUCT((Quesería!$C$70:$C$89=0)*(Quesería!$J$70:$J$89=0)*(E$43=0)*(Quesería!$H$70:$H$89&gt;0)*Quesería!$F$70:$F$89*(1+Quesería!$I$70:$I$89)))*$B$563+(SUMPRODUCT((Quesería!$C$70:$C$89=1)*(Quesería!$J$70:$J$89&gt;0)*(E$43&gt;=2)*(E$43&lt;=Quesería!$J$70:$J$89+1)*(Quesería!$H$70:$H$89&gt;0)*Quesería!$F$70:$F$89*(1+Quesería!$I$70:$I$89)/(Quesería!$J$70:$J$89+(Quesería!$J$70:$J$89=0)))+SUMPRODUCT((Quesería!$C$70:$C$89=1)*(Quesería!$J$70:$J$89=0)*(E$43=1)*(Quesería!$H$70:$H$89&gt;0)*Quesería!$F$70:$F$89*(1+Quesería!$I$70:$I$89)))*$C$563*$N$21,IF(AND(E$43&gt;=1,E$43&lt;=Quesería!$B$30),Quesería!$F$92/Quesería!$B$30,0)*$B$563+IF(AND(E$43&gt;=2,E$43&lt;=Quesería!$B$30+1),Quesería!$F$93/Quesería!$B$30,0)*$C$563*$N$21)*$N$11+IF(AND(E$43&gt;=6,E$43&lt;=10),$G567*$G563/5,0)+IF(AND(E$43&gt;=7,E$43&lt;=11),$H567*$H563/5,0))*E565</f>
        <v>138.377830864331</v>
      </c>
      <c r="F575" s="29" t="n">
        <f aca="false">(IF($N$19=1,(SUMPRODUCT((Quesería!$C$70:$C$89=0)*(Quesería!$J$70:$J$89&gt;0)*(F$43&gt;=1)*(F$43&lt;=Quesería!$J$70:$J$89)*(Quesería!$H$70:$H$89&gt;0)*Quesería!$F$70:$F$89*(1+Quesería!$I$70:$I$89)/(Quesería!$J$70:$J$89+(Quesería!$J$70:$J$89=0)))+SUMPRODUCT((Quesería!$C$70:$C$89=0)*(Quesería!$J$70:$J$89=0)*(F$43=0)*(Quesería!$H$70:$H$89&gt;0)*Quesería!$F$70:$F$89*(1+Quesería!$I$70:$I$89)))*$B$563+(SUMPRODUCT((Quesería!$C$70:$C$89=1)*(Quesería!$J$70:$J$89&gt;0)*(F$43&gt;=2)*(F$43&lt;=Quesería!$J$70:$J$89+1)*(Quesería!$H$70:$H$89&gt;0)*Quesería!$F$70:$F$89*(1+Quesería!$I$70:$I$89)/(Quesería!$J$70:$J$89+(Quesería!$J$70:$J$89=0)))+SUMPRODUCT((Quesería!$C$70:$C$89=1)*(Quesería!$J$70:$J$89=0)*(F$43=1)*(Quesería!$H$70:$H$89&gt;0)*Quesería!$F$70:$F$89*(1+Quesería!$I$70:$I$89)))*$C$563*$N$21,IF(AND(F$43&gt;=1,F$43&lt;=Quesería!$B$30),Quesería!$F$92/Quesería!$B$30,0)*$B$563+IF(AND(F$43&gt;=2,F$43&lt;=Quesería!$B$30+1),Quesería!$F$93/Quesería!$B$30,0)*$C$563*$N$21)*$N$11+IF(AND(F$43&gt;=6,F$43&lt;=10),$G567*$G563/5,0)+IF(AND(F$43&gt;=7,F$43&lt;=11),$H567*$H563/5,0))*F565</f>
        <v>129.932235553362</v>
      </c>
      <c r="G575" s="29" t="n">
        <f aca="false">(IF($N$19=1,(SUMPRODUCT((Quesería!$C$70:$C$89=0)*(Quesería!$J$70:$J$89&gt;0)*(G$43&gt;=1)*(G$43&lt;=Quesería!$J$70:$J$89)*(Quesería!$H$70:$H$89&gt;0)*Quesería!$F$70:$F$89*(1+Quesería!$I$70:$I$89)/(Quesería!$J$70:$J$89+(Quesería!$J$70:$J$89=0)))+SUMPRODUCT((Quesería!$C$70:$C$89=0)*(Quesería!$J$70:$J$89=0)*(G$43=0)*(Quesería!$H$70:$H$89&gt;0)*Quesería!$F$70:$F$89*(1+Quesería!$I$70:$I$89)))*$B$563+(SUMPRODUCT((Quesería!$C$70:$C$89=1)*(Quesería!$J$70:$J$89&gt;0)*(G$43&gt;=2)*(G$43&lt;=Quesería!$J$70:$J$89+1)*(Quesería!$H$70:$H$89&gt;0)*Quesería!$F$70:$F$89*(1+Quesería!$I$70:$I$89)/(Quesería!$J$70:$J$89+(Quesería!$J$70:$J$89=0)))+SUMPRODUCT((Quesería!$C$70:$C$89=1)*(Quesería!$J$70:$J$89=0)*(G$43=1)*(Quesería!$H$70:$H$89&gt;0)*Quesería!$F$70:$F$89*(1+Quesería!$I$70:$I$89)))*$C$563*$N$21,IF(AND(G$43&gt;=1,G$43&lt;=Quesería!$B$30),Quesería!$F$92/Quesería!$B$30,0)*$B$563+IF(AND(G$43&gt;=2,G$43&lt;=Quesería!$B$30+1),Quesería!$F$93/Quesería!$B$30,0)*$C$563*$N$21)*$N$11+IF(AND(G$43&gt;=6,G$43&lt;=10),$G567*$G563/5,0)+IF(AND(G$43&gt;=7,G$43&lt;=11),$H567*$H563/5,0))*G565</f>
        <v>122.002099111138</v>
      </c>
      <c r="H575" s="29" t="n">
        <f aca="false">(IF($N$19=1,(SUMPRODUCT((Quesería!$C$70:$C$89=0)*(Quesería!$J$70:$J$89&gt;0)*(H$43&gt;=1)*(H$43&lt;=Quesería!$J$70:$J$89)*(Quesería!$H$70:$H$89&gt;0)*Quesería!$F$70:$F$89*(1+Quesería!$I$70:$I$89)/(Quesería!$J$70:$J$89+(Quesería!$J$70:$J$89=0)))+SUMPRODUCT((Quesería!$C$70:$C$89=0)*(Quesería!$J$70:$J$89=0)*(H$43=0)*(Quesería!$H$70:$H$89&gt;0)*Quesería!$F$70:$F$89*(1+Quesería!$I$70:$I$89)))*$B$563+(SUMPRODUCT((Quesería!$C$70:$C$89=1)*(Quesería!$J$70:$J$89&gt;0)*(H$43&gt;=2)*(H$43&lt;=Quesería!$J$70:$J$89+1)*(Quesería!$H$70:$H$89&gt;0)*Quesería!$F$70:$F$89*(1+Quesería!$I$70:$I$89)/(Quesería!$J$70:$J$89+(Quesería!$J$70:$J$89=0)))+SUMPRODUCT((Quesería!$C$70:$C$89=1)*(Quesería!$J$70:$J$89=0)*(H$43=1)*(Quesería!$H$70:$H$89&gt;0)*Quesería!$F$70:$F$89*(1+Quesería!$I$70:$I$89)))*$C$563*$N$21,IF(AND(H$43&gt;=1,H$43&lt;=Quesería!$B$30),Quesería!$F$92/Quesería!$B$30,0)*$B$563+IF(AND(H$43&gt;=2,H$43&lt;=Quesería!$B$30+1),Quesería!$F$93/Quesería!$B$30,0)*$C$563*$N$21)*$N$11+IF(AND(H$43&gt;=6,H$43&lt;=10),$G567*$G563/5,0)+IF(AND(H$43&gt;=7,H$43&lt;=11),$H567*$H563/5,0))*H565</f>
        <v>108.892925011891</v>
      </c>
      <c r="I575" s="29" t="n">
        <f aca="false">(IF($N$19=1,(SUMPRODUCT((Quesería!$C$70:$C$89=0)*(Quesería!$J$70:$J$89&gt;0)*(I$43&gt;=1)*(I$43&lt;=Quesería!$J$70:$J$89)*(Quesería!$H$70:$H$89&gt;0)*Quesería!$F$70:$F$89*(1+Quesería!$I$70:$I$89)/(Quesería!$J$70:$J$89+(Quesería!$J$70:$J$89=0)))+SUMPRODUCT((Quesería!$C$70:$C$89=0)*(Quesería!$J$70:$J$89=0)*(I$43=0)*(Quesería!$H$70:$H$89&gt;0)*Quesería!$F$70:$F$89*(1+Quesería!$I$70:$I$89)))*$B$563+(SUMPRODUCT((Quesería!$C$70:$C$89=1)*(Quesería!$J$70:$J$89&gt;0)*(I$43&gt;=2)*(I$43&lt;=Quesería!$J$70:$J$89+1)*(Quesería!$H$70:$H$89&gt;0)*Quesería!$F$70:$F$89*(1+Quesería!$I$70:$I$89)/(Quesería!$J$70:$J$89+(Quesería!$J$70:$J$89=0)))+SUMPRODUCT((Quesería!$C$70:$C$89=1)*(Quesería!$J$70:$J$89=0)*(I$43=1)*(Quesería!$H$70:$H$89&gt;0)*Quesería!$F$70:$F$89*(1+Quesería!$I$70:$I$89)))*$C$563*$N$21,IF(AND(I$43&gt;=1,I$43&lt;=Quesería!$B$30),Quesería!$F$92/Quesería!$B$30,0)*$B$563+IF(AND(I$43&gt;=2,I$43&lt;=Quesería!$B$30+1),Quesería!$F$93/Quesería!$B$30,0)*$C$563*$N$21)*$N$11+IF(AND(I$43&gt;=6,I$43&lt;=10),$G567*$G563/5,0)+IF(AND(I$43&gt;=7,I$43&lt;=11),$H567*$H563/5,0))*I565</f>
        <v>110.958456482707</v>
      </c>
      <c r="J575" s="29" t="n">
        <f aca="false">(IF($N$19=1,(SUMPRODUCT((Quesería!$C$70:$C$89=0)*(Quesería!$J$70:$J$89&gt;0)*(J$43&gt;=1)*(J$43&lt;=Quesería!$J$70:$J$89)*(Quesería!$H$70:$H$89&gt;0)*Quesería!$F$70:$F$89*(1+Quesería!$I$70:$I$89)/(Quesería!$J$70:$J$89+(Quesería!$J$70:$J$89=0)))+SUMPRODUCT((Quesería!$C$70:$C$89=0)*(Quesería!$J$70:$J$89=0)*(J$43=0)*(Quesería!$H$70:$H$89&gt;0)*Quesería!$F$70:$F$89*(1+Quesería!$I$70:$I$89)))*$B$563+(SUMPRODUCT((Quesería!$C$70:$C$89=1)*(Quesería!$J$70:$J$89&gt;0)*(J$43&gt;=2)*(J$43&lt;=Quesería!$J$70:$J$89+1)*(Quesería!$H$70:$H$89&gt;0)*Quesería!$F$70:$F$89*(1+Quesería!$I$70:$I$89)/(Quesería!$J$70:$J$89+(Quesería!$J$70:$J$89=0)))+SUMPRODUCT((Quesería!$C$70:$C$89=1)*(Quesería!$J$70:$J$89=0)*(J$43=1)*(Quesería!$H$70:$H$89&gt;0)*Quesería!$F$70:$F$89*(1+Quesería!$I$70:$I$89)))*$C$563*$N$21,IF(AND(J$43&gt;=1,J$43&lt;=Quesería!$B$30),Quesería!$F$92/Quesería!$B$30,0)*$B$563+IF(AND(J$43&gt;=2,J$43&lt;=Quesería!$B$30+1),Quesería!$F$93/Quesería!$B$30,0)*$C$563*$N$21)*$N$11+IF(AND(J$43&gt;=6,J$43&lt;=10),$G567*$G563/5,0)+IF(AND(J$43&gt;=7,J$43&lt;=11),$H567*$H563/5,0))*J565</f>
        <v>104.186344115217</v>
      </c>
      <c r="K575" s="29" t="n">
        <f aca="false">(IF($N$19=1,(SUMPRODUCT((Quesería!$C$70:$C$89=0)*(Quesería!$J$70:$J$89&gt;0)*(K$43&gt;=1)*(K$43&lt;=Quesería!$J$70:$J$89)*(Quesería!$H$70:$H$89&gt;0)*Quesería!$F$70:$F$89*(1+Quesería!$I$70:$I$89)/(Quesería!$J$70:$J$89+(Quesería!$J$70:$J$89=0)))+SUMPRODUCT((Quesería!$C$70:$C$89=0)*(Quesería!$J$70:$J$89=0)*(K$43=0)*(Quesería!$H$70:$H$89&gt;0)*Quesería!$F$70:$F$89*(1+Quesería!$I$70:$I$89)))*$B$563+(SUMPRODUCT((Quesería!$C$70:$C$89=1)*(Quesería!$J$70:$J$89&gt;0)*(K$43&gt;=2)*(K$43&lt;=Quesería!$J$70:$J$89+1)*(Quesería!$H$70:$H$89&gt;0)*Quesería!$F$70:$F$89*(1+Quesería!$I$70:$I$89)/(Quesería!$J$70:$J$89+(Quesería!$J$70:$J$89=0)))+SUMPRODUCT((Quesería!$C$70:$C$89=1)*(Quesería!$J$70:$J$89=0)*(K$43=1)*(Quesería!$H$70:$H$89&gt;0)*Quesería!$F$70:$F$89*(1+Quesería!$I$70:$I$89)))*$C$563*$N$21,IF(AND(K$43&gt;=1,K$43&lt;=Quesería!$B$30),Quesería!$F$92/Quesería!$B$30,0)*$B$563+IF(AND(K$43&gt;=2,K$43&lt;=Quesería!$B$30+1),Quesería!$F$93/Quesería!$B$30,0)*$C$563*$N$21)*$N$11+IF(AND(K$43&gt;=6,K$43&lt;=10),$G567*$G563/5,0)+IF(AND(K$43&gt;=7,K$43&lt;=11),$H567*$H563/5,0))*K565</f>
        <v>97.8275531598286</v>
      </c>
      <c r="L575" s="29" t="n">
        <f aca="false">(IF($N$19=1,(SUMPRODUCT((Quesería!$C$70:$C$89=0)*(Quesería!$J$70:$J$89&gt;0)*(L$43&gt;=1)*(L$43&lt;=Quesería!$J$70:$J$89)*(Quesería!$H$70:$H$89&gt;0)*Quesería!$F$70:$F$89*(1+Quesería!$I$70:$I$89)/(Quesería!$J$70:$J$89+(Quesería!$J$70:$J$89=0)))+SUMPRODUCT((Quesería!$C$70:$C$89=0)*(Quesería!$J$70:$J$89=0)*(L$43=0)*(Quesería!$H$70:$H$89&gt;0)*Quesería!$F$70:$F$89*(1+Quesería!$I$70:$I$89)))*$B$563+(SUMPRODUCT((Quesería!$C$70:$C$89=1)*(Quesería!$J$70:$J$89&gt;0)*(L$43&gt;=2)*(L$43&lt;=Quesería!$J$70:$J$89+1)*(Quesería!$H$70:$H$89&gt;0)*Quesería!$F$70:$F$89*(1+Quesería!$I$70:$I$89)/(Quesería!$J$70:$J$89+(Quesería!$J$70:$J$89=0)))+SUMPRODUCT((Quesería!$C$70:$C$89=1)*(Quesería!$J$70:$J$89=0)*(L$43=1)*(Quesería!$H$70:$H$89&gt;0)*Quesería!$F$70:$F$89*(1+Quesería!$I$70:$I$89)))*$C$563*$N$21,IF(AND(L$43&gt;=1,L$43&lt;=Quesería!$B$30),Quesería!$F$92/Quesería!$B$30,0)*$B$563+IF(AND(L$43&gt;=2,L$43&lt;=Quesería!$B$30+1),Quesería!$F$93/Quesería!$B$30,0)*$C$563*$N$21)*$N$11+IF(AND(L$43&gt;=6,L$43&lt;=10),$G567*$G563/5,0)+IF(AND(L$43&gt;=7,L$43&lt;=11),$H567*$H563/5,0))*L565</f>
        <v>91.8568574270691</v>
      </c>
    </row>
    <row r="576" customFormat="false" ht="15" hidden="true" customHeight="false" outlineLevel="1" collapsed="false">
      <c r="A576" s="9" t="s">
        <v>416</v>
      </c>
      <c r="B576" s="58" t="n">
        <f aca="false">IF(B$43=1,MIN($N$7*Quesería!$B$56*Quesería!$F$86*$N$11*$N$21,Quesería!$B$57*Quesería!$B$58),0)</f>
        <v>0</v>
      </c>
      <c r="C576" s="58" t="n">
        <f aca="false">IF(C$43=1,MIN($N$7*Quesería!$B$56*Quesería!$F$86*$N$11*$N$21,Quesería!$B$57*Quesería!$B$58),0)</f>
        <v>20</v>
      </c>
      <c r="D576" s="58" t="n">
        <f aca="false">IF(D$43=1,MIN($N$7*Quesería!$B$56*Quesería!$F$86*$N$11*$N$21,Quesería!$B$57*Quesería!$B$58),0)</f>
        <v>0</v>
      </c>
      <c r="E576" s="58" t="n">
        <f aca="false">IF(E$43=1,MIN($N$7*Quesería!$B$56*Quesería!$F$86*$N$11*$N$21,Quesería!$B$57*Quesería!$B$58),0)</f>
        <v>0</v>
      </c>
      <c r="F576" s="58" t="n">
        <f aca="false">IF(F$43=1,MIN($N$7*Quesería!$B$56*Quesería!$F$86*$N$11*$N$21,Quesería!$B$57*Quesería!$B$58),0)</f>
        <v>0</v>
      </c>
      <c r="G576" s="58" t="n">
        <f aca="false">IF(G$43=1,MIN($N$7*Quesería!$B$56*Quesería!$F$86*$N$11*$N$21,Quesería!$B$57*Quesería!$B$58),0)</f>
        <v>0</v>
      </c>
      <c r="H576" s="58" t="n">
        <f aca="false">IF(H$43=1,MIN($N$7*Quesería!$B$56*Quesería!$F$86*$N$11*$N$21,Quesería!$B$57*Quesería!$B$58),0)</f>
        <v>0</v>
      </c>
      <c r="I576" s="58" t="n">
        <f aca="false">IF(I$43=1,MIN($N$7*Quesería!$B$56*Quesería!$F$86*$N$11*$N$21,Quesería!$B$57*Quesería!$B$58),0)</f>
        <v>0</v>
      </c>
      <c r="J576" s="58" t="n">
        <f aca="false">IF(J$43=1,MIN($N$7*Quesería!$B$56*Quesería!$F$86*$N$11*$N$21,Quesería!$B$57*Quesería!$B$58),0)</f>
        <v>0</v>
      </c>
      <c r="K576" s="58" t="n">
        <f aca="false">IF(K$43=1,MIN($N$7*Quesería!$B$56*Quesería!$F$86*$N$11*$N$21,Quesería!$B$57*Quesería!$B$58),0)</f>
        <v>0</v>
      </c>
      <c r="L576" s="58" t="n">
        <f aca="false">IF(L$43=1,MIN($N$7*Quesería!$B$56*Quesería!$F$86*$N$11*$N$21,Quesería!$B$57*Quesería!$B$58),0)</f>
        <v>0</v>
      </c>
    </row>
    <row r="577" customFormat="false" ht="15" hidden="true" customHeight="false" outlineLevel="1" collapsed="false">
      <c r="A577" s="9" t="s">
        <v>417</v>
      </c>
      <c r="B577" s="58" t="n">
        <v>0</v>
      </c>
      <c r="C577" s="58" t="n">
        <f aca="false">$N$20*Quesería!$B$60*Quesería!$F$98*$N$11*$B$563/C563/2</f>
        <v>136.183209032657</v>
      </c>
      <c r="D577" s="58" t="n">
        <f aca="false">$N$20*Quesería!$B$60*Quesería!$F$98*$N$11*$B$563/D563/2</f>
        <v>127.871557777143</v>
      </c>
      <c r="E577" s="58" t="n">
        <v>0</v>
      </c>
      <c r="F577" s="58" t="n">
        <v>0</v>
      </c>
      <c r="G577" s="58" t="n">
        <v>0</v>
      </c>
      <c r="H577" s="58" t="n">
        <v>0</v>
      </c>
      <c r="I577" s="58" t="n">
        <v>0</v>
      </c>
      <c r="J577" s="58" t="n">
        <v>0</v>
      </c>
      <c r="K577" s="58" t="n">
        <v>0</v>
      </c>
      <c r="L577" s="58" t="n">
        <v>0</v>
      </c>
    </row>
    <row r="578" customFormat="false" ht="15" hidden="true" customHeight="false" outlineLevel="1" collapsed="false">
      <c r="A578" s="9" t="s">
        <v>418</v>
      </c>
      <c r="B578" s="58" t="n">
        <f aca="false">0</f>
        <v>0</v>
      </c>
      <c r="C578" s="58" t="n">
        <f aca="false">B568*B563/C563</f>
        <v>140.014715079979</v>
      </c>
      <c r="D578" s="58" t="n">
        <f aca="false">C568*C563/D563</f>
        <v>135.31373020484</v>
      </c>
      <c r="E578" s="58" t="n">
        <f aca="false">D568*D563/E563</f>
        <v>0</v>
      </c>
      <c r="F578" s="58" t="n">
        <f aca="false">E568*E563/F563</f>
        <v>0</v>
      </c>
      <c r="G578" s="58" t="n">
        <f aca="false">F568*F563/G563</f>
        <v>0</v>
      </c>
      <c r="H578" s="58" t="n">
        <f aca="false">G568*G563/H563</f>
        <v>4.89989791651265</v>
      </c>
      <c r="I578" s="58" t="n">
        <f aca="false">H568*H563/I563</f>
        <v>8.27599961040516</v>
      </c>
      <c r="J578" s="58" t="n">
        <f aca="false">I568*I563/J563</f>
        <v>0</v>
      </c>
      <c r="K578" s="58" t="n">
        <f aca="false">J568*J563/K563</f>
        <v>0</v>
      </c>
      <c r="L578" s="58" t="n">
        <f aca="false">K568*K563/L563</f>
        <v>0</v>
      </c>
    </row>
    <row r="579" customFormat="false" ht="15" hidden="true" customHeight="false" outlineLevel="1" collapsed="false">
      <c r="A579" s="6" t="s">
        <v>295</v>
      </c>
      <c r="B579" s="29" t="n">
        <f aca="false">$N$17*(B571-B572-B573-0.5*B574-B575)-B576-B577-B578</f>
        <v>-9.59839124703308</v>
      </c>
      <c r="C579" s="29" t="n">
        <f aca="false">$N$17*(C571-C572-C573-0.5*C574-C575)-C576-C577-C578</f>
        <v>-282.992263228027</v>
      </c>
      <c r="D579" s="29" t="n">
        <f aca="false">$N$17*(D571-D572-D573-0.5*D574-D575)-D576-D577-D578</f>
        <v>-181.550517529768</v>
      </c>
      <c r="E579" s="29" t="n">
        <f aca="false">$N$17*(E571-E572-E573-0.5*E574-E575)-E576-E577-E578</f>
        <v>107.117699412471</v>
      </c>
      <c r="F579" s="29" t="n">
        <f aca="false">$N$17*(F571-F572-F573-0.5*F574-F575)-F576-F577-F578</f>
        <v>110.181373540462</v>
      </c>
      <c r="G579" s="29" t="n">
        <f aca="false">$N$17*(G571-G572-G573-0.5*G574-G575)-G576-G577-G578</f>
        <v>113.042297117253</v>
      </c>
      <c r="H579" s="29" t="n">
        <f aca="false">$N$17*(H571-H572-H573-0.5*H574-H575)-H576-H577-H578</f>
        <v>112.823642114492</v>
      </c>
      <c r="I579" s="29" t="n">
        <f aca="false">$N$17*(I571-I572-I573-0.5*I574-I575)-I576-I577-I578</f>
        <v>108.872586170358</v>
      </c>
      <c r="J579" s="29" t="n">
        <f aca="false">$N$17*(J571-J572-J573-0.5*J574-J575)-J576-J577-J578</f>
        <v>119.628711405209</v>
      </c>
      <c r="K579" s="29" t="n">
        <f aca="false">$N$17*(K571-K572-K573-0.5*K574-K575)-K576-K577-K578</f>
        <v>121.9647239669</v>
      </c>
      <c r="L579" s="29" t="n">
        <f aca="false">$N$17*(L571-L572-L573-0.5*L574-L575)-L576-L577-L578</f>
        <v>124.165455379307</v>
      </c>
    </row>
    <row r="580" customFormat="false" ht="15" hidden="true" customHeight="false" outlineLevel="1" collapsed="false">
      <c r="A580" s="9" t="s">
        <v>419</v>
      </c>
      <c r="B580" s="58" t="n">
        <f aca="false">(IF(B$43&gt;=1,Quesería!$G$123*IF(B$43=1,Quesería!$B$20,1),Quesería!$G$123*Quesería!$B$20*Quesería!$B$21/12*$N$23)+IF(B$43&gt;=2,Quesería!$G$124*$N$21*IF(B$43=2,Quesería!$B$20,1),0))*$N$10</f>
        <v>77.4042870161869</v>
      </c>
      <c r="C580" s="58" t="n">
        <f aca="false">(IF(C$43&gt;=1,Quesería!$G$123*IF(C$43=1,Quesería!$B$20,1),Quesería!$G$123*Quesería!$B$20*Quesería!$B$21/12*$N$23)+IF(C$43&gt;=2,Quesería!$G$124*$N$21*IF(C$43=2,Quesería!$B$20,1),0))*$N$10</f>
        <v>116.10643052428</v>
      </c>
      <c r="D580" s="58" t="n">
        <f aca="false">(IF(D$43&gt;=1,Quesería!$G$123*IF(D$43=1,Quesería!$B$20,1),Quesería!$G$123*Quesería!$B$20*Quesería!$B$21/12*$N$23)+IF(D$43&gt;=2,Quesería!$G$124*$N$21*IF(D$43=2,Quesería!$B$20,1),0))*$N$10</f>
        <v>297.090260202792</v>
      </c>
      <c r="E580" s="58" t="n">
        <f aca="false">(IF(E$43&gt;=1,Quesería!$G$123*IF(E$43=1,Quesería!$B$20,1),Quesería!$G$123*Quesería!$B$20*Quesería!$B$21/12*$N$23)+IF(E$43&gt;=2,Quesería!$G$124*$N$21*IF(E$43=2,Quesería!$B$20,1),0))*$N$10</f>
        <v>344.517488926264</v>
      </c>
      <c r="F580" s="58" t="n">
        <f aca="false">(IF(F$43&gt;=1,Quesería!$G$123*IF(F$43=1,Quesería!$B$20,1),Quesería!$G$123*Quesería!$B$20*Quesería!$B$21/12*$N$23)+IF(F$43&gt;=2,Quesería!$G$124*$N$21*IF(F$43=2,Quesería!$B$20,1),0))*$N$10</f>
        <v>344.517488926264</v>
      </c>
      <c r="G580" s="58" t="n">
        <f aca="false">(IF(G$43&gt;=1,Quesería!$G$123*IF(G$43=1,Quesería!$B$20,1),Quesería!$G$123*Quesería!$B$20*Quesería!$B$21/12*$N$23)+IF(G$43&gt;=2,Quesería!$G$124*$N$21*IF(G$43=2,Quesería!$B$20,1),0))*$N$10</f>
        <v>344.517488926264</v>
      </c>
      <c r="H580" s="58" t="n">
        <f aca="false">(IF(H$43&gt;=1,Quesería!$G$123*IF(H$43=1,Quesería!$B$20,1),Quesería!$G$123*Quesería!$B$20*Quesería!$B$21/12*$N$23)+IF(H$43&gt;=2,Quesería!$G$124*$N$21*IF(H$43=2,Quesería!$B$20,1),0))*$N$10</f>
        <v>344.517488926264</v>
      </c>
      <c r="I580" s="58" t="n">
        <f aca="false">(IF(I$43&gt;=1,Quesería!$G$123*IF(I$43=1,Quesería!$B$20,1),Quesería!$G$123*Quesería!$B$20*Quesería!$B$21/12*$N$23)+IF(I$43&gt;=2,Quesería!$G$124*$N$21*IF(I$43=2,Quesería!$B$20,1),0))*$N$10</f>
        <v>344.517488926264</v>
      </c>
      <c r="J580" s="58" t="n">
        <f aca="false">(IF(J$43&gt;=1,Quesería!$G$123*IF(J$43=1,Quesería!$B$20,1),Quesería!$G$123*Quesería!$B$20*Quesería!$B$21/12*$N$23)+IF(J$43&gt;=2,Quesería!$G$124*$N$21*IF(J$43=2,Quesería!$B$20,1),0))*$N$10</f>
        <v>344.517488926264</v>
      </c>
      <c r="K580" s="58" t="n">
        <f aca="false">(IF(K$43&gt;=1,Quesería!$G$123*IF(K$43=1,Quesería!$B$20,1),Quesería!$G$123*Quesería!$B$20*Quesería!$B$21/12*$N$23)+IF(K$43&gt;=2,Quesería!$G$124*$N$21*IF(K$43=2,Quesería!$B$20,1),0))*$N$10</f>
        <v>344.517488926264</v>
      </c>
      <c r="L580" s="58" t="n">
        <f aca="false">(IF(L$43&gt;=1,Quesería!$G$123*IF(L$43=1,Quesería!$B$20,1),Quesería!$G$123*Quesería!$B$20*Quesería!$B$21/12*$N$23)+IF(L$43&gt;=2,Quesería!$G$124*$N$21*IF(L$43=2,Quesería!$B$20,1),0))*$N$10</f>
        <v>344.517488926264</v>
      </c>
    </row>
    <row r="581" customFormat="false" ht="15" hidden="true" customHeight="false" outlineLevel="1" collapsed="false">
      <c r="A581" s="6" t="s">
        <v>420</v>
      </c>
      <c r="B581" s="29" t="n">
        <f aca="false">(B580*(Quesería!$B$38+Quesería!$B$40*Quesería!$B$39)/365-B572*Quesería!$B$42/365)</f>
        <v>7.23146900616979</v>
      </c>
      <c r="C581" s="29" t="n">
        <f aca="false">(C580*(Quesería!$B$38+Quesería!$B$40*Quesería!$B$39)/365-C572*Quesería!$B$42/365)-(B580*(Quesería!$B$38+Quesería!$B$40*Quesería!$B$39)/365-B572*Quesería!$B$42/365)*B563/C563</f>
        <v>1.51988006233573</v>
      </c>
      <c r="D581" s="29" t="n">
        <f aca="false">(D580*(Quesería!$B$38+Quesería!$B$40*Quesería!$B$39)/365-D572*Quesería!$B$42/365)-(C580*(Quesería!$B$38+Quesería!$B$40*Quesería!$B$39)/365-C572*Quesería!$B$42/365)*C563/D563</f>
        <v>14.1698661350635</v>
      </c>
      <c r="E581" s="29" t="n">
        <f aca="false">(E580*(Quesería!$B$38+Quesería!$B$40*Quesería!$B$39)/365-E572*Quesería!$B$42/365)-(D580*(Quesería!$B$38+Quesería!$B$40*Quesería!$B$39)/365-D572*Quesería!$B$42/365)*D563/E563</f>
        <v>5.77192790384249</v>
      </c>
      <c r="F581" s="29" t="n">
        <f aca="false">(F580*(Quesería!$B$38+Quesería!$B$40*Quesería!$B$39)/365-F572*Quesería!$B$42/365)-(E580*(Quesería!$B$38+Quesería!$B$40*Quesería!$B$39)/365-E572*Quesería!$B$42/365)*E563/F563</f>
        <v>1.6114841467638</v>
      </c>
      <c r="G581" s="29" t="n">
        <f aca="false">(G580*(Quesería!$B$38+Quesería!$B$40*Quesería!$B$39)/365-G572*Quesería!$B$42/365)-(F580*(Quesería!$B$38+Quesería!$B$40*Quesería!$B$39)/365-F572*Quesería!$B$42/365)*F563/G563</f>
        <v>1.6114841467638</v>
      </c>
      <c r="H581" s="29" t="n">
        <f aca="false">(H580*(Quesería!$B$38+Quesería!$B$40*Quesería!$B$39)/365-H572*Quesería!$B$42/365)-(G580*(Quesería!$B$38+Quesería!$B$40*Quesería!$B$39)/365-G572*Quesería!$B$42/365)*G563/H563</f>
        <v>1.6114841467638</v>
      </c>
      <c r="I581" s="29" t="n">
        <f aca="false">(I580*(Quesería!$B$38+Quesería!$B$40*Quesería!$B$39)/365-I572*Quesería!$B$42/365)-(H580*(Quesería!$B$38+Quesería!$B$40*Quesería!$B$39)/365-H572*Quesería!$B$42/365)*H563/I563</f>
        <v>1.6114841467638</v>
      </c>
      <c r="J581" s="29" t="n">
        <f aca="false">(J580*(Quesería!$B$38+Quesería!$B$40*Quesería!$B$39)/365-J572*Quesería!$B$42/365)-(I580*(Quesería!$B$38+Quesería!$B$40*Quesería!$B$39)/365-I572*Quesería!$B$42/365)*I563/J563</f>
        <v>1.6114841467638</v>
      </c>
      <c r="K581" s="29" t="n">
        <f aca="false">(K580*(Quesería!$B$38+Quesería!$B$40*Quesería!$B$39)/365-K572*Quesería!$B$42/365)-(J580*(Quesería!$B$38+Quesería!$B$40*Quesería!$B$39)/365-J572*Quesería!$B$42/365)*J563/K563</f>
        <v>1.6114841467638</v>
      </c>
      <c r="L581" s="29" t="n">
        <f aca="false">-(K580*(Quesería!$B$38+Quesería!$B$40*Quesería!$B$39)/365-K572*Quesería!$B$42/365)*K563/L563</f>
        <v>-24.7920637963661</v>
      </c>
    </row>
    <row r="582" customFormat="false" ht="15" hidden="true" customHeight="false" outlineLevel="1" collapsed="false">
      <c r="A582" s="6" t="s">
        <v>421</v>
      </c>
      <c r="B582" s="29" t="n">
        <v>0</v>
      </c>
      <c r="C582" s="29" t="n">
        <v>0</v>
      </c>
      <c r="D582" s="29" t="n">
        <v>0</v>
      </c>
      <c r="E582" s="29" t="n">
        <v>0</v>
      </c>
      <c r="F582" s="29" t="n">
        <v>0</v>
      </c>
      <c r="G582" s="29" t="n">
        <v>0</v>
      </c>
      <c r="H582" s="29" t="n">
        <v>0</v>
      </c>
      <c r="I582" s="29" t="n">
        <v>0</v>
      </c>
      <c r="J582" s="29" t="n">
        <v>0</v>
      </c>
      <c r="K582" s="29" t="n">
        <v>0</v>
      </c>
      <c r="L582" s="29" t="n">
        <f aca="false">$N$8*Quesería!$B$36*(Quesería!$F$94+Quesería!$F$95*$N$21)*$N$11*(1-$N$17)</f>
        <v>67.1237725584543</v>
      </c>
    </row>
    <row r="583" customFormat="false" ht="15" hidden="true" customHeight="false" outlineLevel="1" collapsed="false">
      <c r="A583" s="5" t="s">
        <v>147</v>
      </c>
      <c r="B583" s="59" t="n">
        <f aca="false">B571-B572-B573-B574-B579-B566-B567-B568-B581+B582</f>
        <v>-961.151880133756</v>
      </c>
      <c r="C583" s="59" t="n">
        <f aca="false">C571-C572-C573-C574-C579-C566-C567-C568-C581+C582</f>
        <v>-504.196863074761</v>
      </c>
      <c r="D583" s="59" t="n">
        <f aca="false">D571-D572-D573-D574-D579-D566-D567-D568-D581+D582</f>
        <v>547.803356068793</v>
      </c>
      <c r="E583" s="59" t="n">
        <f aca="false">E571-E572-E573-E574-E579-E566-E567-E568-E581+E582</f>
        <v>331.346886809467</v>
      </c>
      <c r="F583" s="59" t="n">
        <f aca="false">F571-F572-F573-F574-F579-F566-F567-F568-F581+F582</f>
        <v>332.751415778989</v>
      </c>
      <c r="G583" s="59" t="n">
        <f aca="false">G571-G572-G573-G574-G579-G566-G567-G568-G581+G582</f>
        <v>297.385447355174</v>
      </c>
      <c r="H583" s="59" t="n">
        <f aca="false">H571-H572-H573-H574-H579-H566-H567-H568-H581+H582</f>
        <v>275.305382292696</v>
      </c>
      <c r="I583" s="59" t="n">
        <f aca="false">I571-I572-I573-I574-I579-I566-I567-I568-I581+I582</f>
        <v>334.992744765011</v>
      </c>
      <c r="J583" s="59" t="n">
        <f aca="false">J571-J572-J573-J574-J579-J566-J567-J568-J581+J582</f>
        <v>324.550580375375</v>
      </c>
      <c r="K583" s="59" t="n">
        <f aca="false">K571-K572-K573-K574-K579-K566-K567-K568-K581+K582</f>
        <v>322.530098463126</v>
      </c>
      <c r="L583" s="59" t="n">
        <f aca="false">L571-L572-L573-L574-L579-L566-L567-L568-L581+L582</f>
        <v>414.173795854992</v>
      </c>
    </row>
    <row r="584" customFormat="false" ht="15" hidden="true" customHeight="false" outlineLevel="1" collapsed="false">
      <c r="A584" s="9" t="s">
        <v>422</v>
      </c>
      <c r="B584" s="58" t="n">
        <f aca="false">B583*B563</f>
        <v>-1023.62675234245</v>
      </c>
      <c r="C584" s="58" t="n">
        <f aca="false">C583*C563</f>
        <v>-571.87268702097</v>
      </c>
      <c r="D584" s="58" t="n">
        <f aca="false">D583*D563</f>
        <v>661.71885853704</v>
      </c>
      <c r="E584" s="58" t="n">
        <f aca="false">E583*E563</f>
        <v>426.26662026473</v>
      </c>
      <c r="F584" s="58" t="n">
        <f aca="false">F583*F563</f>
        <v>455.89827699146</v>
      </c>
      <c r="G584" s="58" t="n">
        <f aca="false">G583*G563</f>
        <v>433.927684610703</v>
      </c>
      <c r="H584" s="58" t="n">
        <f aca="false">H583*H563</f>
        <v>427.82086007264</v>
      </c>
      <c r="I584" s="58" t="n">
        <f aca="false">I583*I563</f>
        <v>554.411542499785</v>
      </c>
      <c r="J584" s="58" t="n">
        <f aca="false">J583*J563</f>
        <v>572.043243002377</v>
      </c>
      <c r="K584" s="58" t="n">
        <f aca="false">K583*K563</f>
        <v>605.43333150215</v>
      </c>
      <c r="L584" s="58" t="n">
        <f aca="false">L583*L563</f>
        <v>827.996124038824</v>
      </c>
    </row>
    <row r="585" customFormat="false" ht="15" hidden="true" customHeight="false" outlineLevel="1" collapsed="false">
      <c r="A585" s="6" t="s">
        <v>423</v>
      </c>
      <c r="B585" s="29" t="n">
        <f aca="false">B583</f>
        <v>-961.151880133756</v>
      </c>
      <c r="C585" s="29" t="n">
        <f aca="false">B585+C583</f>
        <v>-1465.34874320852</v>
      </c>
      <c r="D585" s="29" t="n">
        <f aca="false">C585+D583</f>
        <v>-917.545387139723</v>
      </c>
      <c r="E585" s="29" t="n">
        <f aca="false">D585+E583</f>
        <v>-586.198500330256</v>
      </c>
      <c r="F585" s="29" t="n">
        <f aca="false">E585+F583</f>
        <v>-253.447084551267</v>
      </c>
      <c r="G585" s="29" t="n">
        <f aca="false">F585+G583</f>
        <v>43.9383628039076</v>
      </c>
      <c r="H585" s="29" t="n">
        <f aca="false">G585+H583</f>
        <v>319.243745096603</v>
      </c>
      <c r="I585" s="29" t="n">
        <f aca="false">H585+I583</f>
        <v>654.236489861615</v>
      </c>
      <c r="J585" s="29" t="n">
        <f aca="false">I585+J583</f>
        <v>978.78707023699</v>
      </c>
      <c r="K585" s="29" t="n">
        <f aca="false">J585+K583</f>
        <v>1301.31716870012</v>
      </c>
      <c r="L585" s="29" t="n">
        <f aca="false">K585+L583</f>
        <v>1715.49096455511</v>
      </c>
    </row>
    <row r="586" customFormat="false" ht="15" hidden="true" customHeight="false" outlineLevel="1" collapsed="false">
      <c r="A586" s="9" t="s">
        <v>424</v>
      </c>
      <c r="B586" s="60" t="n">
        <v>0</v>
      </c>
      <c r="C586" s="60" t="n">
        <f aca="false">IF(AND(B585&lt;0,C585&gt;=0),B$43+(-B585)/C583,0)</f>
        <v>0</v>
      </c>
      <c r="D586" s="60" t="n">
        <f aca="false">IF(AND(C585&lt;0,D585&gt;=0),C$43+(-C585)/D583,0)</f>
        <v>0</v>
      </c>
      <c r="E586" s="60" t="n">
        <f aca="false">IF(AND(D585&lt;0,E585&gt;=0),D$43+(-D585)/E583,0)</f>
        <v>0</v>
      </c>
      <c r="F586" s="60" t="n">
        <f aca="false">IF(AND(E585&lt;0,F585&gt;=0),E$43+(-E585)/F583,0)</f>
        <v>0</v>
      </c>
      <c r="G586" s="60" t="n">
        <f aca="false">IF(AND(F585&lt;0,G585&gt;=0),F$43+(-F585)/G583,0)</f>
        <v>4.85225113335344</v>
      </c>
      <c r="H586" s="60" t="n">
        <f aca="false">IF(AND(G585&lt;0,H585&gt;=0),G$43+(-G585)/H583,0)</f>
        <v>0</v>
      </c>
      <c r="I586" s="60" t="n">
        <f aca="false">IF(AND(H585&lt;0,I585&gt;=0),H$43+(-H585)/I583,0)</f>
        <v>0</v>
      </c>
      <c r="J586" s="60" t="n">
        <f aca="false">IF(AND(I585&lt;0,J585&gt;=0),I$43+(-I585)/J583,0)</f>
        <v>0</v>
      </c>
      <c r="K586" s="60" t="n">
        <f aca="false">IF(AND(J585&lt;0,K585&gt;=0),J$43+(-J585)/K583,0)</f>
        <v>0</v>
      </c>
      <c r="L586" s="60" t="n">
        <f aca="false">IF(AND(K585&lt;0,L585&gt;=0),K$43+(-K585)/L583,0)</f>
        <v>0</v>
      </c>
    </row>
    <row r="587" customFormat="false" ht="15" hidden="true" customHeight="false" outlineLevel="1" collapsed="false">
      <c r="A587" s="9" t="s">
        <v>425</v>
      </c>
      <c r="B587" s="57" t="n">
        <f aca="false">(B563/$B$563)/(1+$N$25)^B$43</f>
        <v>1</v>
      </c>
      <c r="C587" s="57" t="n">
        <f aca="false">(C563/$B$563)/(1+$N$25)^C$43</f>
        <v>0.914994937611784</v>
      </c>
      <c r="D587" s="57" t="n">
        <f aca="false">(D563/$B$563)/(1+$N$25)^D$43</f>
        <v>0.837215735855192</v>
      </c>
      <c r="E587" s="57" t="n">
        <f aca="false">(E563/$B$563)/(1+$N$25)^E$43</f>
        <v>0.766048159996425</v>
      </c>
      <c r="F587" s="57" t="n">
        <f aca="false">(F563/$B$563)/(1+$N$25)^F$43</f>
        <v>0.700930188363551</v>
      </c>
      <c r="G587" s="57" t="n">
        <f aca="false">(G563/$B$563)/(1+$N$25)^G$43</f>
        <v>0.641347573971923</v>
      </c>
      <c r="H587" s="57" t="n">
        <f aca="false">(H563/$B$563)/(1+$N$25)^H$43</f>
        <v>0.586829783433908</v>
      </c>
      <c r="I587" s="57" t="n">
        <f aca="false">(I563/$B$563)/(1+$N$25)^I$43</f>
        <v>0.536946281081846</v>
      </c>
      <c r="J587" s="57" t="n">
        <f aca="false">(J563/$B$563)/(1+$N$25)^J$43</f>
        <v>0.491303128959363</v>
      </c>
      <c r="K587" s="57" t="n">
        <f aca="false">(K563/$B$563)/(1+$N$25)^K$43</f>
        <v>0.449539875830646</v>
      </c>
      <c r="L587" s="57" t="n">
        <f aca="false">(L563/$B$563)/(1+$N$25)^L$43</f>
        <v>0.411326710639671</v>
      </c>
    </row>
    <row r="588" customFormat="false" ht="15" hidden="true" customHeight="false" outlineLevel="1" collapsed="false">
      <c r="A588" s="9" t="s">
        <v>426</v>
      </c>
      <c r="B588" s="58" t="n">
        <f aca="false">B583*B587</f>
        <v>-961.151880133756</v>
      </c>
      <c r="C588" s="58" t="n">
        <f aca="false">C583*C587</f>
        <v>-461.337577273148</v>
      </c>
      <c r="D588" s="58" t="n">
        <f aca="false">D583*D587</f>
        <v>458.629589855078</v>
      </c>
      <c r="E588" s="58" t="n">
        <f aca="false">E583*E587</f>
        <v>253.827672960936</v>
      </c>
      <c r="F588" s="58" t="n">
        <f aca="false">F583*F587</f>
        <v>233.235512540205</v>
      </c>
      <c r="G588" s="58" t="n">
        <f aca="false">G583*G587</f>
        <v>190.727435195796</v>
      </c>
      <c r="H588" s="58" t="n">
        <f aca="false">H583*H587</f>
        <v>161.557397869012</v>
      </c>
      <c r="I588" s="58" t="n">
        <f aca="false">I583*I587</f>
        <v>179.873108490973</v>
      </c>
      <c r="J588" s="58" t="n">
        <f aca="false">J583*J587</f>
        <v>159.452715643999</v>
      </c>
      <c r="K588" s="58" t="n">
        <f aca="false">K583*K587</f>
        <v>144.99014041476</v>
      </c>
      <c r="L588" s="58" t="n">
        <f aca="false">L583*L587</f>
        <v>170.360745082181</v>
      </c>
    </row>
    <row r="589" customFormat="false" ht="15" hidden="true" customHeight="false" outlineLevel="1" collapsed="false">
      <c r="A589" s="9" t="s">
        <v>427</v>
      </c>
      <c r="B589" s="58" t="n">
        <f aca="false">B588</f>
        <v>-961.151880133756</v>
      </c>
      <c r="C589" s="58" t="n">
        <f aca="false">B589+C588</f>
        <v>-1422.4894574069</v>
      </c>
      <c r="D589" s="58" t="n">
        <f aca="false">C589+D588</f>
        <v>-963.859867551825</v>
      </c>
      <c r="E589" s="58" t="n">
        <f aca="false">D589+E588</f>
        <v>-710.032194590889</v>
      </c>
      <c r="F589" s="58" t="n">
        <f aca="false">E589+F588</f>
        <v>-476.796682050684</v>
      </c>
      <c r="G589" s="58" t="n">
        <f aca="false">F589+G588</f>
        <v>-286.069246854888</v>
      </c>
      <c r="H589" s="58" t="n">
        <f aca="false">G589+H588</f>
        <v>-124.511848985876</v>
      </c>
      <c r="I589" s="58" t="n">
        <f aca="false">H589+I588</f>
        <v>55.3612595050969</v>
      </c>
      <c r="J589" s="58" t="n">
        <f aca="false">I589+J588</f>
        <v>214.813975149096</v>
      </c>
      <c r="K589" s="58" t="n">
        <f aca="false">J589+K588</f>
        <v>359.804115563856</v>
      </c>
      <c r="L589" s="58" t="n">
        <f aca="false">K589+L588</f>
        <v>530.164860646036</v>
      </c>
    </row>
    <row r="590" customFormat="false" ht="15" hidden="true" customHeight="false" outlineLevel="1" collapsed="false">
      <c r="A590" s="9" t="s">
        <v>428</v>
      </c>
      <c r="B590" s="60" t="n">
        <v>0</v>
      </c>
      <c r="C590" s="60" t="n">
        <f aca="false">IF(AND(B589&lt;0,C589&gt;=0),B$43+(-B589)/C588,0)</f>
        <v>0</v>
      </c>
      <c r="D590" s="60" t="n">
        <f aca="false">IF(AND(C589&lt;0,D589&gt;=0),C$43+(-C589)/D588,0)</f>
        <v>0</v>
      </c>
      <c r="E590" s="60" t="n">
        <f aca="false">IF(AND(D589&lt;0,E589&gt;=0),D$43+(-D589)/E588,0)</f>
        <v>0</v>
      </c>
      <c r="F590" s="60" t="n">
        <f aca="false">IF(AND(E589&lt;0,F589&gt;=0),E$43+(-E589)/F588,0)</f>
        <v>0</v>
      </c>
      <c r="G590" s="60" t="n">
        <f aca="false">IF(AND(F589&lt;0,G589&gt;=0),F$43+(-F589)/G588,0)</f>
        <v>0</v>
      </c>
      <c r="H590" s="60" t="n">
        <f aca="false">IF(AND(G589&lt;0,H589&gt;=0),G$43+(-G589)/H588,0)</f>
        <v>0</v>
      </c>
      <c r="I590" s="60" t="n">
        <f aca="false">IF(AND(H589&lt;0,I589&gt;=0),H$43+(-H589)/I588,0)</f>
        <v>6.69222047714889</v>
      </c>
      <c r="J590" s="60" t="n">
        <f aca="false">IF(AND(I589&lt;0,J589&gt;=0),I$43+(-I589)/J588,0)</f>
        <v>0</v>
      </c>
      <c r="K590" s="60" t="n">
        <f aca="false">IF(AND(J589&lt;0,K589&gt;=0),J$43+(-J589)/K588,0)</f>
        <v>0</v>
      </c>
      <c r="L590" s="60" t="n">
        <f aca="false">IF(AND(K589&lt;0,L589&gt;=0),K$43+(-K589)/L588,0)</f>
        <v>0</v>
      </c>
    </row>
    <row r="591" customFormat="false" ht="15" hidden="true" customHeight="false" outlineLevel="1" collapsed="false">
      <c r="A591" s="9" t="s">
        <v>429</v>
      </c>
      <c r="B591" s="58" t="n">
        <f aca="false">IF(B$43&lt;0,0,(Quesería!$B$44*$B$566*$B$563)*(1-MAX(0,MIN(B$43-0-Quesería!$B$47,(Quesería!$B$46-Quesería!$B$47)))/(Quesería!$B$46-Quesería!$B$47))*IF(B$43&gt;=2,1-Quesería!$B$48,1))+IF(B$43&lt;1,0,(Quesería!$B$44*$C$566*$C$563)*(1-MAX(0,MIN(B$43-1-Quesería!$B$47,(Quesería!$B$46-Quesería!$B$47)))/(Quesería!$B$46-Quesería!$B$47))*IF(B$43&gt;=2,1-Quesería!$B$48,1))</f>
        <v>644.346465746578</v>
      </c>
      <c r="C591" s="58" t="n">
        <f aca="false">IF(C$43&lt;0,0,(Quesería!$B$44*$B$566*$B$563)*(1-MAX(0,MIN(C$43-0-Quesería!$B$47,(Quesería!$B$46-Quesería!$B$47)))/(Quesería!$B$46-Quesería!$B$47))*IF(C$43&gt;=2,1-Quesería!$B$48,1))+IF(C$43&lt;1,0,(Quesería!$B$44*$C$566*$C$563)*(1-MAX(0,MIN(C$43-1-Quesería!$B$47,(Quesería!$B$46-Quesería!$B$47)))/(Quesería!$B$46-Quesería!$B$47))*IF(C$43&gt;=2,1-Quesería!$B$48,1))</f>
        <v>1203.52494089335</v>
      </c>
      <c r="D591" s="58" t="n">
        <f aca="false">IF(D$43&lt;0,0,(Quesería!$B$44*$B$566*$B$563)*(1-MAX(0,MIN(D$43-0-Quesería!$B$47,(Quesería!$B$46-Quesería!$B$47)))/(Quesería!$B$46-Quesería!$B$47))*IF(D$43&gt;=2,1-Quesería!$B$48,1))+IF(D$43&lt;1,0,(Quesería!$B$44*$C$566*$C$563)*(1-MAX(0,MIN(D$43-1-Quesería!$B$47,(Quesería!$B$46-Quesería!$B$47)))/(Quesería!$B$46-Quesería!$B$47))*IF(D$43&gt;=2,1-Quesería!$B$48,1))</f>
        <v>1096.13386326892</v>
      </c>
      <c r="E591" s="58" t="n">
        <f aca="false">IF(E$43&lt;0,0,(Quesería!$B$44*$B$566*$B$563)*(1-MAX(0,MIN(E$43-0-Quesería!$B$47,(Quesería!$B$46-Quesería!$B$47)))/(Quesería!$B$46-Quesería!$B$47))*IF(E$43&gt;=2,1-Quesería!$B$48,1))+IF(E$43&lt;1,0,(Quesería!$B$44*$C$566*$C$563)*(1-MAX(0,MIN(E$43-1-Quesería!$B$47,(Quesería!$B$46-Quesería!$B$47)))/(Quesería!$B$46-Quesería!$B$47))*IF(E$43&gt;=2,1-Quesería!$B$48,1))</f>
        <v>895.546373120031</v>
      </c>
      <c r="F591" s="58" t="n">
        <f aca="false">IF(F$43&lt;0,0,(Quesería!$B$44*$B$566*$B$563)*(1-MAX(0,MIN(F$43-0-Quesería!$B$47,(Quesería!$B$46-Quesería!$B$47)))/(Quesería!$B$46-Quesería!$B$47))*IF(F$43&gt;=2,1-Quesería!$B$48,1))+IF(F$43&lt;1,0,(Quesería!$B$44*$C$566*$C$563)*(1-MAX(0,MIN(F$43-1-Quesería!$B$47,(Quesería!$B$46-Quesería!$B$47)))/(Quesería!$B$46-Quesería!$B$47))*IF(F$43&gt;=2,1-Quesería!$B$48,1))</f>
        <v>694.958882971138</v>
      </c>
      <c r="G591" s="58" t="n">
        <f aca="false">IF(G$43&lt;0,0,(Quesería!$B$44*$B$566*$B$563)*(1-MAX(0,MIN(G$43-0-Quesería!$B$47,(Quesería!$B$46-Quesería!$B$47)))/(Quesería!$B$46-Quesería!$B$47))*IF(G$43&gt;=2,1-Quesería!$B$48,1))+IF(G$43&lt;1,0,(Quesería!$B$44*$C$566*$C$563)*(1-MAX(0,MIN(G$43-1-Quesería!$B$47,(Quesería!$B$46-Quesería!$B$47)))/(Quesería!$B$46-Quesería!$B$47))*IF(G$43&gt;=2,1-Quesería!$B$48,1))</f>
        <v>494.371392822246</v>
      </c>
      <c r="H591" s="58" t="n">
        <f aca="false">IF(H$43&lt;0,0,(Quesería!$B$44*$B$566*$B$563)*(1-MAX(0,MIN(H$43-0-Quesería!$B$47,(Quesería!$B$46-Quesería!$B$47)))/(Quesería!$B$46-Quesería!$B$47))*IF(H$43&gt;=2,1-Quesería!$B$48,1))+IF(H$43&lt;1,0,(Quesería!$B$44*$C$566*$C$563)*(1-MAX(0,MIN(H$43-1-Quesería!$B$47,(Quesería!$B$46-Quesería!$B$47)))/(Quesería!$B$46-Quesería!$B$47))*IF(H$43&gt;=2,1-Quesería!$B$48,1))</f>
        <v>293.783902673354</v>
      </c>
      <c r="I591" s="58" t="n">
        <f aca="false">IF(I$43&lt;0,0,(Quesería!$B$44*$B$566*$B$563)*(1-MAX(0,MIN(I$43-0-Quesería!$B$47,(Quesería!$B$46-Quesería!$B$47)))/(Quesería!$B$46-Quesería!$B$47))*IF(I$43&gt;=2,1-Quesería!$B$48,1))+IF(I$43&lt;1,0,(Quesería!$B$44*$C$566*$C$563)*(1-MAX(0,MIN(I$43-1-Quesería!$B$47,(Quesería!$B$46-Quesería!$B$47)))/(Quesería!$B$46-Quesería!$B$47))*IF(I$43&gt;=2,1-Quesería!$B$48,1))</f>
        <v>93.1964125244623</v>
      </c>
      <c r="J591" s="58" t="n">
        <f aca="false">IF(J$43&lt;0,0,(Quesería!$B$44*$B$566*$B$563)*(1-MAX(0,MIN(J$43-0-Quesería!$B$47,(Quesería!$B$46-Quesería!$B$47)))/(Quesería!$B$46-Quesería!$B$47))*IF(J$43&gt;=2,1-Quesería!$B$48,1))+IF(J$43&lt;1,0,(Quesería!$B$44*$C$566*$C$563)*(1-MAX(0,MIN(J$43-1-Quesería!$B$47,(Quesería!$B$46-Quesería!$B$47)))/(Quesería!$B$46-Quesería!$B$47))*IF(J$43&gt;=2,1-Quesería!$B$48,1))</f>
        <v>0</v>
      </c>
      <c r="K591" s="58" t="n">
        <f aca="false">IF(K$43&lt;0,0,(Quesería!$B$44*$B$566*$B$563)*(1-MAX(0,MIN(K$43-0-Quesería!$B$47,(Quesería!$B$46-Quesería!$B$47)))/(Quesería!$B$46-Quesería!$B$47))*IF(K$43&gt;=2,1-Quesería!$B$48,1))+IF(K$43&lt;1,0,(Quesería!$B$44*$C$566*$C$563)*(1-MAX(0,MIN(K$43-1-Quesería!$B$47,(Quesería!$B$46-Quesería!$B$47)))/(Quesería!$B$46-Quesería!$B$47))*IF(K$43&gt;=2,1-Quesería!$B$48,1))</f>
        <v>0</v>
      </c>
      <c r="L591" s="58" t="n">
        <f aca="false">IF(L$43&lt;0,0,(Quesería!$B$44*$B$566*$B$563)*(1-MAX(0,MIN(L$43-0-Quesería!$B$47,(Quesería!$B$46-Quesería!$B$47)))/(Quesería!$B$46-Quesería!$B$47))*IF(L$43&gt;=2,1-Quesería!$B$48,1))+IF(L$43&lt;1,0,(Quesería!$B$44*$C$566*$C$563)*(1-MAX(0,MIN(L$43-1-Quesería!$B$47,(Quesería!$B$46-Quesería!$B$47)))/(Quesería!$B$46-Quesería!$B$47))*IF(L$43&gt;=2,1-Quesería!$B$48,1))</f>
        <v>0</v>
      </c>
    </row>
    <row r="592" customFormat="false" ht="15" hidden="true" customHeight="false" outlineLevel="1" collapsed="false">
      <c r="A592" s="6" t="s">
        <v>430</v>
      </c>
      <c r="B592" s="29" t="n">
        <f aca="false">Quesería!$B$44*B566</f>
        <v>605.02015563059</v>
      </c>
      <c r="C592" s="29" t="n">
        <f aca="false">Quesería!$B$44*C566</f>
        <v>493.004893338424</v>
      </c>
      <c r="D592" s="29" t="n">
        <f aca="false">Quesería!$B$44*D566</f>
        <v>0</v>
      </c>
      <c r="E592" s="29" t="n">
        <f aca="false">Quesería!$B$44*E566</f>
        <v>0</v>
      </c>
      <c r="F592" s="29" t="n">
        <f aca="false">Quesería!$B$44*F566</f>
        <v>0</v>
      </c>
      <c r="G592" s="29" t="n">
        <f aca="false">Quesería!$B$44*G566</f>
        <v>0</v>
      </c>
      <c r="H592" s="29" t="n">
        <f aca="false">Quesería!$B$44*H566</f>
        <v>0</v>
      </c>
      <c r="I592" s="29" t="n">
        <f aca="false">Quesería!$B$44*I566</f>
        <v>0</v>
      </c>
      <c r="J592" s="29" t="n">
        <f aca="false">Quesería!$B$44*J566</f>
        <v>0</v>
      </c>
      <c r="K592" s="29" t="n">
        <f aca="false">Quesería!$B$44*K566</f>
        <v>0</v>
      </c>
      <c r="L592" s="29" t="n">
        <f aca="false">Quesería!$B$44*L566</f>
        <v>0</v>
      </c>
    </row>
    <row r="593" customFormat="false" ht="15" hidden="true" customHeight="false" outlineLevel="1" collapsed="false">
      <c r="A593" s="6" t="s">
        <v>431</v>
      </c>
      <c r="B593" s="29" t="n">
        <f aca="false">(IF(AND(B$43&gt;0,B$43&lt;=0+Quesería!$B$46),($N$14+$N$24)*(Quesería!$B$44*$B$566*$B$563)*(1-MAX(0,MIN((B$43-1)-0-Quesería!$B$47,(Quesería!$B$46-Quesería!$B$47)))/(Quesería!$B$46-Quesería!$B$47))*IF(B$43&gt;2,1-Quesería!$B$48,1),0)+IF(AND(B$43&gt;1,B$43&lt;=1+Quesería!$B$46),($N$14+$N$24)*(Quesería!$B$44*$C$566*$C$563)*(1-MAX(0,MIN((B$43-1)-1-Quesería!$B$47,(Quesería!$B$46-Quesería!$B$47)))/(Quesería!$B$46-Quesería!$B$47))*IF(B$43&gt;2,1-Quesería!$B$48,1),0))*B565</f>
        <v>0</v>
      </c>
      <c r="C593" s="29" t="n">
        <f aca="false">(IF(AND(C$43&gt;0,C$43&lt;=0+Quesería!$B$46),($N$14+$N$24)*(Quesería!$B$44*$B$566*$B$563)*(1-MAX(0,MIN((C$43-1)-0-Quesería!$B$47,(Quesería!$B$46-Quesería!$B$47)))/(Quesería!$B$46-Quesería!$B$47))*IF(C$43&gt;2,1-Quesería!$B$48,1),0)+IF(AND(C$43&gt;1,C$43&lt;=1+Quesería!$B$46),($N$14+$N$24)*(Quesería!$B$44*$C$566*$C$563)*(1-MAX(0,MIN((C$43-1)-1-Quesería!$B$47,(Quesería!$B$46-Quesería!$B$47)))/(Quesería!$B$46-Quesería!$B$47))*IF(C$43&gt;2,1-Quesería!$B$48,1),0))*C565</f>
        <v>92.5062026871932</v>
      </c>
      <c r="D593" s="29" t="n">
        <f aca="false">(IF(AND(D$43&gt;0,D$43&lt;=0+Quesería!$B$46),($N$14+$N$24)*(Quesería!$B$44*$B$566*$B$563)*(1-MAX(0,MIN((D$43-1)-0-Quesería!$B$47,(Quesería!$B$46-Quesería!$B$47)))/(Quesería!$B$46-Quesería!$B$47))*IF(D$43&gt;2,1-Quesería!$B$48,1),0)+IF(AND(D$43&gt;1,D$43&lt;=1+Quesería!$B$46),($N$14+$N$24)*(Quesería!$B$44*$C$566*$C$563)*(1-MAX(0,MIN((D$43-1)-1-Quesería!$B$47,(Quesería!$B$46-Quesería!$B$47)))/(Quesería!$B$46-Quesería!$B$47))*IF(D$43&gt;2,1-Quesería!$B$48,1),0))*D565</f>
        <v>162.23960862841</v>
      </c>
      <c r="E593" s="29" t="n">
        <f aca="false">(IF(AND(E$43&gt;0,E$43&lt;=0+Quesería!$B$46),($N$14+$N$24)*(Quesería!$B$44*$B$566*$B$563)*(1-MAX(0,MIN((E$43-1)-0-Quesería!$B$47,(Quesería!$B$46-Quesería!$B$47)))/(Quesería!$B$46-Quesería!$B$47))*IF(E$43&gt;2,1-Quesería!$B$48,1),0)+IF(AND(E$43&gt;1,E$43&lt;=1+Quesería!$B$46),($N$14+$N$24)*(Quesería!$B$44*$C$566*$C$563)*(1-MAX(0,MIN((E$43-1)-1-Quesería!$B$47,(Quesería!$B$46-Quesería!$B$47)))/(Quesería!$B$46-Quesería!$B$47))*IF(E$43&gt;2,1-Quesería!$B$48,1),0))*E565</f>
        <v>138.744501965123</v>
      </c>
      <c r="F593" s="29" t="n">
        <f aca="false">(IF(AND(F$43&gt;0,F$43&lt;=0+Quesería!$B$46),($N$14+$N$24)*(Quesería!$B$44*$B$566*$B$563)*(1-MAX(0,MIN((F$43-1)-0-Quesería!$B$47,(Quesería!$B$46-Quesería!$B$47)))/(Quesería!$B$46-Quesería!$B$47))*IF(F$43&gt;2,1-Quesería!$B$48,1),0)+IF(AND(F$43&gt;1,F$43&lt;=1+Quesería!$B$46),($N$14+$N$24)*(Quesería!$B$44*$C$566*$C$563)*(1-MAX(0,MIN((F$43-1)-1-Quesería!$B$47,(Quesería!$B$46-Quesería!$B$47)))/(Quesería!$B$46-Quesería!$B$47))*IF(F$43&gt;2,1-Quesería!$B$48,1),0))*F565</f>
        <v>106.436518170076</v>
      </c>
      <c r="G593" s="29" t="n">
        <f aca="false">(IF(AND(G$43&gt;0,G$43&lt;=0+Quesería!$B$46),($N$14+$N$24)*(Quesería!$B$44*$B$566*$B$563)*(1-MAX(0,MIN((G$43-1)-0-Quesería!$B$47,(Quesería!$B$46-Quesería!$B$47)))/(Quesería!$B$46-Quesería!$B$47))*IF(G$43&gt;2,1-Quesería!$B$48,1),0)+IF(AND(G$43&gt;1,G$43&lt;=1+Quesería!$B$46),($N$14+$N$24)*(Quesería!$B$44*$C$566*$C$563)*(1-MAX(0,MIN((G$43-1)-1-Quesería!$B$47,(Quesería!$B$46-Quesería!$B$47)))/(Quesería!$B$46-Quesería!$B$47))*IF(G$43&gt;2,1-Quesería!$B$48,1),0))*G565</f>
        <v>77.5554072050415</v>
      </c>
      <c r="H593" s="29" t="n">
        <f aca="false">(IF(AND(H$43&gt;0,H$43&lt;=0+Quesería!$B$46),($N$14+$N$24)*(Quesería!$B$44*$B$566*$B$563)*(1-MAX(0,MIN((H$43-1)-0-Quesería!$B$47,(Quesería!$B$46-Quesería!$B$47)))/(Quesería!$B$46-Quesería!$B$47))*IF(H$43&gt;2,1-Quesería!$B$48,1),0)+IF(AND(H$43&gt;1,H$43&lt;=1+Quesería!$B$46),($N$14+$N$24)*(Quesería!$B$44*$C$566*$C$563)*(1-MAX(0,MIN((H$43-1)-1-Quesería!$B$47,(Quesería!$B$46-Quesería!$B$47)))/(Quesería!$B$46-Quesería!$B$47))*IF(H$43&gt;2,1-Quesería!$B$48,1),0))*H565</f>
        <v>51.803212922183</v>
      </c>
      <c r="I593" s="29" t="n">
        <f aca="false">(IF(AND(I$43&gt;0,I$43&lt;=0+Quesería!$B$46),($N$14+$N$24)*(Quesería!$B$44*$B$566*$B$563)*(1-MAX(0,MIN((I$43-1)-0-Quesería!$B$47,(Quesería!$B$46-Quesería!$B$47)))/(Quesería!$B$46-Quesería!$B$47))*IF(I$43&gt;2,1-Quesería!$B$48,1),0)+IF(AND(I$43&gt;1,I$43&lt;=1+Quesería!$B$46),($N$14+$N$24)*(Quesería!$B$44*$C$566*$C$563)*(1-MAX(0,MIN((I$43-1)-1-Quesería!$B$47,(Quesería!$B$46-Quesería!$B$47)))/(Quesería!$B$46-Quesería!$B$47))*IF(I$43&gt;2,1-Quesería!$B$48,1),0))*I565</f>
        <v>28.9055842705003</v>
      </c>
      <c r="J593" s="29" t="n">
        <f aca="false">(IF(AND(J$43&gt;0,J$43&lt;=0+Quesería!$B$46),($N$14+$N$24)*(Quesería!$B$44*$B$566*$B$563)*(1-MAX(0,MIN((J$43-1)-0-Quesería!$B$47,(Quesería!$B$46-Quesería!$B$47)))/(Quesería!$B$46-Quesería!$B$47))*IF(J$43&gt;2,1-Quesería!$B$48,1),0)+IF(AND(J$43&gt;1,J$43&lt;=1+Quesería!$B$46),($N$14+$N$24)*(Quesería!$B$44*$C$566*$C$563)*(1-MAX(0,MIN((J$43-1)-1-Quesería!$B$47,(Quesería!$B$46-Quesería!$B$47)))/(Quesería!$B$46-Quesería!$B$47))*IF(J$43&gt;2,1-Quesería!$B$48,1),0))*J565</f>
        <v>8.61000381227939</v>
      </c>
      <c r="K593" s="29" t="n">
        <f aca="false">(IF(AND(K$43&gt;0,K$43&lt;=0+Quesería!$B$46),($N$14+$N$24)*(Quesería!$B$44*$B$566*$B$563)*(1-MAX(0,MIN((K$43-1)-0-Quesería!$B$47,(Quesería!$B$46-Quesería!$B$47)))/(Quesería!$B$46-Quesería!$B$47))*IF(K$43&gt;2,1-Quesería!$B$48,1),0)+IF(AND(K$43&gt;1,K$43&lt;=1+Quesería!$B$46),($N$14+$N$24)*(Quesería!$B$44*$C$566*$C$563)*(1-MAX(0,MIN((K$43-1)-1-Quesería!$B$47,(Quesería!$B$46-Quesería!$B$47)))/(Quesería!$B$46-Quesería!$B$47))*IF(K$43&gt;2,1-Quesería!$B$48,1),0))*K565</f>
        <v>0</v>
      </c>
      <c r="L593" s="29" t="n">
        <f aca="false">(IF(AND(L$43&gt;0,L$43&lt;=0+Quesería!$B$46),($N$14+$N$24)*(Quesería!$B$44*$B$566*$B$563)*(1-MAX(0,MIN((L$43-1)-0-Quesería!$B$47,(Quesería!$B$46-Quesería!$B$47)))/(Quesería!$B$46-Quesería!$B$47))*IF(L$43&gt;2,1-Quesería!$B$48,1),0)+IF(AND(L$43&gt;1,L$43&lt;=1+Quesería!$B$46),($N$14+$N$24)*(Quesería!$B$44*$C$566*$C$563)*(1-MAX(0,MIN((L$43-1)-1-Quesería!$B$47,(Quesería!$B$46-Quesería!$B$47)))/(Quesería!$B$46-Quesería!$B$47))*IF(L$43&gt;2,1-Quesería!$B$48,1),0))*L565</f>
        <v>0</v>
      </c>
    </row>
    <row r="594" customFormat="false" ht="15" hidden="true" customHeight="false" outlineLevel="1" collapsed="false">
      <c r="A594" s="6" t="s">
        <v>432</v>
      </c>
      <c r="B594" s="29" t="n">
        <f aca="false">((IF(AND(B$43&gt;0+Quesería!$B$47,B$43&lt;=0+Quesería!$B$46),(Quesería!$B$44*$B$566*$B$563)/(Quesería!$B$46-Quesería!$B$47),0)*IF(B$43&gt;2,1-Quesería!$B$48,1)+IF(B$43=2,Quesería!$B$48*(Quesería!$B$44*$B$566*$B$563)*(1-MAX(0,MIN(2-0-Quesería!$B$47,(Quesería!$B$46-Quesería!$B$47)))/(Quesería!$B$46-Quesería!$B$47)),0))+(IF(AND(B$43&gt;1+Quesería!$B$47,B$43&lt;=1+Quesería!$B$46),(Quesería!$B$44*$C$566*$C$563)/(Quesería!$B$46-Quesería!$B$47),0)*IF(B$43&gt;2,1-Quesería!$B$48,1)+IF(B$43=2,Quesería!$B$48*(Quesería!$B$44*$C$566*$C$563)*(1-MAX(0,MIN(2-1-Quesería!$B$47,(Quesería!$B$46-Quesería!$B$47)))/(Quesería!$B$46-Quesería!$B$47)),0)))*B565</f>
        <v>0</v>
      </c>
      <c r="C594" s="29" t="n">
        <f aca="false">((IF(AND(C$43&gt;0+Quesería!$B$47,C$43&lt;=0+Quesería!$B$46),(Quesería!$B$44*$B$566*$B$563)/(Quesería!$B$46-Quesería!$B$47),0)*IF(C$43&gt;2,1-Quesería!$B$48,1)+IF(C$43=2,Quesería!$B$48*(Quesería!$B$44*$B$566*$B$563)*(1-MAX(0,MIN(2-0-Quesería!$B$47,(Quesería!$B$46-Quesería!$B$47)))/(Quesería!$B$46-Quesería!$B$47)),0))+(IF(AND(C$43&gt;1+Quesería!$B$47,C$43&lt;=1+Quesería!$B$46),(Quesería!$B$44*$C$566*$C$563)/(Quesería!$B$46-Quesería!$B$47),0)*IF(C$43&gt;2,1-Quesería!$B$48,1)+IF(C$43=2,Quesería!$B$48*(Quesería!$B$44*$C$566*$C$563)*(1-MAX(0,MIN(2-1-Quesería!$B$47,(Quesería!$B$46-Quesería!$B$47)))/(Quesería!$B$46-Quesería!$B$47)),0)))*C565</f>
        <v>0</v>
      </c>
      <c r="D594" s="29" t="n">
        <f aca="false">((IF(AND(D$43&gt;0+Quesería!$B$47,D$43&lt;=0+Quesería!$B$46),(Quesería!$B$44*$B$566*$B$563)/(Quesería!$B$46-Quesería!$B$47),0)*IF(D$43&gt;2,1-Quesería!$B$48,1)+IF(D$43=2,Quesería!$B$48*(Quesería!$B$44*$B$566*$B$563)*(1-MAX(0,MIN(2-0-Quesería!$B$47,(Quesería!$B$46-Quesería!$B$47)))/(Quesería!$B$46-Quesería!$B$47)),0))+(IF(AND(D$43&gt;1+Quesería!$B$47,D$43&lt;=1+Quesería!$B$46),(Quesería!$B$44*$C$566*$C$563)/(Quesería!$B$46-Quesería!$B$47),0)*IF(D$43&gt;2,1-Quesería!$B$48,1)+IF(D$43=2,Quesería!$B$48*(Quesería!$B$44*$C$566*$C$563)*(1-MAX(0,MIN(2-1-Quesería!$B$47,(Quesería!$B$46-Quesería!$B$47)))/(Quesería!$B$46-Quesería!$B$47)),0)))*D565</f>
        <v>88.9036060791275</v>
      </c>
      <c r="E594" s="29" t="n">
        <f aca="false">((IF(AND(E$43&gt;0+Quesería!$B$47,E$43&lt;=0+Quesería!$B$46),(Quesería!$B$44*$B$566*$B$563)/(Quesería!$B$46-Quesería!$B$47),0)*IF(E$43&gt;2,1-Quesería!$B$48,1)+IF(E$43=2,Quesería!$B$48*(Quesería!$B$44*$B$566*$B$563)*(1-MAX(0,MIN(2-0-Quesería!$B$47,(Quesería!$B$46-Quesería!$B$47)))/(Quesería!$B$46-Quesería!$B$47)),0))+(IF(AND(E$43&gt;1+Quesería!$B$47,E$43&lt;=1+Quesería!$B$46),(Quesería!$B$44*$C$566*$C$563)/(Quesería!$B$46-Quesería!$B$47),0)*IF(E$43&gt;2,1-Quesería!$B$48,1)+IF(E$43=2,Quesería!$B$48*(Quesería!$B$44*$C$566*$C$563)*(1-MAX(0,MIN(2-1-Quesería!$B$47,(Quesería!$B$46-Quesería!$B$47)))/(Quesería!$B$46-Quesería!$B$47)),0)))*E565</f>
        <v>155.92128783737</v>
      </c>
      <c r="F594" s="29" t="n">
        <f aca="false">((IF(AND(F$43&gt;0+Quesería!$B$47,F$43&lt;=0+Quesería!$B$46),(Quesería!$B$44*$B$566*$B$563)/(Quesería!$B$46-Quesería!$B$47),0)*IF(F$43&gt;2,1-Quesería!$B$48,1)+IF(F$43=2,Quesería!$B$48*(Quesería!$B$44*$B$566*$B$563)*(1-MAX(0,MIN(2-0-Quesería!$B$47,(Quesería!$B$46-Quesería!$B$47)))/(Quesería!$B$46-Quesería!$B$47)),0))+(IF(AND(F$43&gt;1+Quesería!$B$47,F$43&lt;=1+Quesería!$B$46),(Quesería!$B$44*$C$566*$C$563)/(Quesería!$B$46-Quesería!$B$47),0)*IF(F$43&gt;2,1-Quesería!$B$48,1)+IF(F$43=2,Quesería!$B$48*(Quesería!$B$44*$C$566*$C$563)*(1-MAX(0,MIN(2-1-Quesería!$B$47,(Quesería!$B$46-Quesería!$B$47)))/(Quesería!$B$46-Quesería!$B$47)),0)))*F565</f>
        <v>146.404965105512</v>
      </c>
      <c r="G594" s="29" t="n">
        <f aca="false">((IF(AND(G$43&gt;0+Quesería!$B$47,G$43&lt;=0+Quesería!$B$46),(Quesería!$B$44*$B$566*$B$563)/(Quesería!$B$46-Quesería!$B$47),0)*IF(G$43&gt;2,1-Quesería!$B$48,1)+IF(G$43=2,Quesería!$B$48*(Quesería!$B$44*$B$566*$B$563)*(1-MAX(0,MIN(2-0-Quesería!$B$47,(Quesería!$B$46-Quesería!$B$47)))/(Quesería!$B$46-Quesería!$B$47)),0))+(IF(AND(G$43&gt;1+Quesería!$B$47,G$43&lt;=1+Quesería!$B$46),(Quesería!$B$44*$C$566*$C$563)/(Quesería!$B$46-Quesería!$B$47),0)*IF(G$43&gt;2,1-Quesería!$B$48,1)+IF(G$43=2,Quesería!$B$48*(Quesería!$B$44*$C$566*$C$563)*(1-MAX(0,MIN(2-1-Quesería!$B$47,(Quesería!$B$46-Quesería!$B$47)))/(Quesería!$B$46-Quesería!$B$47)),0)))*G565</f>
        <v>137.469450803298</v>
      </c>
      <c r="H594" s="29" t="n">
        <f aca="false">((IF(AND(H$43&gt;0+Quesería!$B$47,H$43&lt;=0+Quesería!$B$46),(Quesería!$B$44*$B$566*$B$563)/(Quesería!$B$46-Quesería!$B$47),0)*IF(H$43&gt;2,1-Quesería!$B$48,1)+IF(H$43=2,Quesería!$B$48*(Quesería!$B$44*$B$566*$B$563)*(1-MAX(0,MIN(2-0-Quesería!$B$47,(Quesería!$B$46-Quesería!$B$47)))/(Quesería!$B$46-Quesería!$B$47)),0))+(IF(AND(H$43&gt;1+Quesería!$B$47,H$43&lt;=1+Quesería!$B$46),(Quesería!$B$44*$C$566*$C$563)/(Quesería!$B$46-Quesería!$B$47),0)*IF(H$43&gt;2,1-Quesería!$B$48,1)+IF(H$43=2,Quesería!$B$48*(Quesería!$B$44*$C$566*$C$563)*(1-MAX(0,MIN(2-1-Quesería!$B$47,(Quesería!$B$46-Quesería!$B$47)))/(Quesería!$B$46-Quesería!$B$47)),0)))*H565</f>
        <v>129.079296528918</v>
      </c>
      <c r="I594" s="29" t="n">
        <f aca="false">((IF(AND(I$43&gt;0+Quesería!$B$47,I$43&lt;=0+Quesería!$B$46),(Quesería!$B$44*$B$566*$B$563)/(Quesería!$B$46-Quesería!$B$47),0)*IF(I$43&gt;2,1-Quesería!$B$48,1)+IF(I$43=2,Quesería!$B$48*(Quesería!$B$44*$B$566*$B$563)*(1-MAX(0,MIN(2-0-Quesería!$B$47,(Quesería!$B$46-Quesería!$B$47)))/(Quesería!$B$46-Quesería!$B$47)),0))+(IF(AND(I$43&gt;1+Quesería!$B$47,I$43&lt;=1+Quesería!$B$46),(Quesería!$B$44*$C$566*$C$563)/(Quesería!$B$46-Quesería!$B$47),0)*IF(I$43&gt;2,1-Quesería!$B$48,1)+IF(I$43=2,Quesería!$B$48*(Quesería!$B$44*$C$566*$C$563)*(1-MAX(0,MIN(2-1-Quesería!$B$47,(Quesería!$B$46-Quesería!$B$47)))/(Quesería!$B$46-Quesería!$B$47)),0)))*I565</f>
        <v>121.201217398045</v>
      </c>
      <c r="J594" s="29" t="n">
        <f aca="false">((IF(AND(J$43&gt;0+Quesería!$B$47,J$43&lt;=0+Quesería!$B$46),(Quesería!$B$44*$B$566*$B$563)/(Quesería!$B$46-Quesería!$B$47),0)*IF(J$43&gt;2,1-Quesería!$B$48,1)+IF(J$43=2,Quesería!$B$48*(Quesería!$B$44*$B$566*$B$563)*(1-MAX(0,MIN(2-0-Quesería!$B$47,(Quesería!$B$46-Quesería!$B$47)))/(Quesería!$B$46-Quesería!$B$47)),0))+(IF(AND(J$43&gt;1+Quesería!$B$47,J$43&lt;=1+Quesería!$B$46),(Quesería!$B$44*$C$566*$C$563)/(Quesería!$B$46-Quesería!$B$47),0)*IF(J$43&gt;2,1-Quesería!$B$48,1)+IF(J$43=2,Quesería!$B$48*(Quesería!$B$44*$C$566*$C$563)*(1-MAX(0,MIN(2-1-Quesería!$B$47,(Quesería!$B$46-Quesería!$B$47)))/(Quesería!$B$46-Quesería!$B$47)),0)))*J565</f>
        <v>52.8752854678706</v>
      </c>
      <c r="K594" s="29" t="n">
        <f aca="false">((IF(AND(K$43&gt;0+Quesería!$B$47,K$43&lt;=0+Quesería!$B$46),(Quesería!$B$44*$B$566*$B$563)/(Quesería!$B$46-Quesería!$B$47),0)*IF(K$43&gt;2,1-Quesería!$B$48,1)+IF(K$43=2,Quesería!$B$48*(Quesería!$B$44*$B$566*$B$563)*(1-MAX(0,MIN(2-0-Quesería!$B$47,(Quesería!$B$46-Quesería!$B$47)))/(Quesería!$B$46-Quesería!$B$47)),0))+(IF(AND(K$43&gt;1+Quesería!$B$47,K$43&lt;=1+Quesería!$B$46),(Quesería!$B$44*$C$566*$C$563)/(Quesería!$B$46-Quesería!$B$47),0)*IF(K$43&gt;2,1-Quesería!$B$48,1)+IF(K$43=2,Quesería!$B$48*(Quesería!$B$44*$C$566*$C$563)*(1-MAX(0,MIN(2-1-Quesería!$B$47,(Quesería!$B$46-Quesería!$B$47)))/(Quesería!$B$46-Quesería!$B$47)),0)))*K565</f>
        <v>0</v>
      </c>
      <c r="L594" s="29" t="n">
        <f aca="false">((IF(AND(L$43&gt;0+Quesería!$B$47,L$43&lt;=0+Quesería!$B$46),(Quesería!$B$44*$B$566*$B$563)/(Quesería!$B$46-Quesería!$B$47),0)*IF(L$43&gt;2,1-Quesería!$B$48,1)+IF(L$43=2,Quesería!$B$48*(Quesería!$B$44*$B$566*$B$563)*(1-MAX(0,MIN(2-0-Quesería!$B$47,(Quesería!$B$46-Quesería!$B$47)))/(Quesería!$B$46-Quesería!$B$47)),0))+(IF(AND(L$43&gt;1+Quesería!$B$47,L$43&lt;=1+Quesería!$B$46),(Quesería!$B$44*$C$566*$C$563)/(Quesería!$B$46-Quesería!$B$47),0)*IF(L$43&gt;2,1-Quesería!$B$48,1)+IF(L$43=2,Quesería!$B$48*(Quesería!$B$44*$C$566*$C$563)*(1-MAX(0,MIN(2-1-Quesería!$B$47,(Quesería!$B$46-Quesería!$B$47)))/(Quesería!$B$46-Quesería!$B$47)),0)))*L565</f>
        <v>0</v>
      </c>
    </row>
    <row r="595" customFormat="false" ht="15" hidden="true" customHeight="false" outlineLevel="1" collapsed="false">
      <c r="A595" s="6" t="s">
        <v>433</v>
      </c>
      <c r="B595" s="29" t="n">
        <f aca="false">$N$13*Quesería!$B$51*(1+0.19)*B591*B565+(1-$N$13)*IF(B$43=0,Quesería!$B$50,0)</f>
        <v>4</v>
      </c>
      <c r="C595" s="29" t="n">
        <f aca="false">$N$13*Quesería!$B$51*(1+0.19)*C591*C565+(1-$N$13)*IF(C$43=0,Quesería!$B$50,0)</f>
        <v>0</v>
      </c>
      <c r="D595" s="29" t="n">
        <f aca="false">$N$13*Quesería!$B$51*(1+0.19)*D591*D565+(1-$N$13)*IF(D$43=0,Quesería!$B$50,0)</f>
        <v>0</v>
      </c>
      <c r="E595" s="29" t="n">
        <f aca="false">$N$13*Quesería!$B$51*(1+0.19)*E591*E565+(1-$N$13)*IF(E$43=0,Quesería!$B$50,0)</f>
        <v>0</v>
      </c>
      <c r="F595" s="29" t="n">
        <f aca="false">$N$13*Quesería!$B$51*(1+0.19)*F591*F565+(1-$N$13)*IF(F$43=0,Quesería!$B$50,0)</f>
        <v>0</v>
      </c>
      <c r="G595" s="29" t="n">
        <f aca="false">$N$13*Quesería!$B$51*(1+0.19)*G591*G565+(1-$N$13)*IF(G$43=0,Quesería!$B$50,0)</f>
        <v>0</v>
      </c>
      <c r="H595" s="29" t="n">
        <f aca="false">$N$13*Quesería!$B$51*(1+0.19)*H591*H565+(1-$N$13)*IF(H$43=0,Quesería!$B$50,0)</f>
        <v>0</v>
      </c>
      <c r="I595" s="29" t="n">
        <f aca="false">$N$13*Quesería!$B$51*(1+0.19)*I591*I565+(1-$N$13)*IF(I$43=0,Quesería!$B$50,0)</f>
        <v>0</v>
      </c>
      <c r="J595" s="29" t="n">
        <f aca="false">$N$13*Quesería!$B$51*(1+0.19)*J591*J565+(1-$N$13)*IF(J$43=0,Quesería!$B$50,0)</f>
        <v>0</v>
      </c>
      <c r="K595" s="29" t="n">
        <f aca="false">$N$13*Quesería!$B$51*(1+0.19)*K591*K565+(1-$N$13)*IF(K$43=0,Quesería!$B$50,0)</f>
        <v>0</v>
      </c>
      <c r="L595" s="29" t="n">
        <f aca="false">$N$13*Quesería!$B$51*(1+0.19)*L591*L565+(1-$N$13)*IF(L$43=0,Quesería!$B$50,0)</f>
        <v>0</v>
      </c>
    </row>
    <row r="596" customFormat="false" ht="15" hidden="true" customHeight="false" outlineLevel="1" collapsed="false">
      <c r="A596" s="6" t="s">
        <v>434</v>
      </c>
      <c r="B596" s="29" t="n">
        <f aca="false">Quesería!$B$52*(B593+B594+B595)</f>
        <v>0.016</v>
      </c>
      <c r="C596" s="29" t="n">
        <f aca="false">Quesería!$B$52*(C593+C594+C595)</f>
        <v>0.370024810748773</v>
      </c>
      <c r="D596" s="29" t="n">
        <f aca="false">Quesería!$B$52*(D593+D594+D595)</f>
        <v>1.00457285883015</v>
      </c>
      <c r="E596" s="29" t="n">
        <f aca="false">Quesería!$B$52*(E593+E594+E595)</f>
        <v>1.17866315920997</v>
      </c>
      <c r="F596" s="29" t="n">
        <f aca="false">Quesería!$B$52*(F593+F594+F595)</f>
        <v>1.01136593310235</v>
      </c>
      <c r="G596" s="29" t="n">
        <f aca="false">Quesería!$B$52*(G593+G594+G595)</f>
        <v>0.860099432033357</v>
      </c>
      <c r="H596" s="29" t="n">
        <f aca="false">Quesería!$B$52*(H593+H594+H595)</f>
        <v>0.723530037804404</v>
      </c>
      <c r="I596" s="29" t="n">
        <f aca="false">Quesería!$B$52*(I593+I594+I595)</f>
        <v>0.600427206674182</v>
      </c>
      <c r="J596" s="29" t="n">
        <f aca="false">Quesería!$B$52*(J593+J594+J595)</f>
        <v>0.2459411571206</v>
      </c>
      <c r="K596" s="29" t="n">
        <f aca="false">Quesería!$B$52*(K593+K594+K595)</f>
        <v>0</v>
      </c>
      <c r="L596" s="29" t="n">
        <f aca="false">Quesería!$B$52*(L593+L594+L595)</f>
        <v>0</v>
      </c>
    </row>
    <row r="597" customFormat="false" ht="15" hidden="true" customHeight="false" outlineLevel="1" collapsed="false">
      <c r="A597" s="6" t="s">
        <v>435</v>
      </c>
      <c r="B597" s="29" t="n">
        <f aca="false">$N$17*(B593+B595+0.5*B596)</f>
        <v>1.4028</v>
      </c>
      <c r="C597" s="29" t="n">
        <f aca="false">$N$17*(C593+C595+0.5*C596)</f>
        <v>32.4419252823987</v>
      </c>
      <c r="D597" s="29" t="n">
        <f aca="false">$N$17*(D593+D595+0.5*D596)</f>
        <v>56.9596632702388</v>
      </c>
      <c r="E597" s="29" t="n">
        <f aca="false">$N$17*(E593+E595+0.5*E596)</f>
        <v>48.7668417406547</v>
      </c>
      <c r="F597" s="29" t="n">
        <f aca="false">$N$17*(F593+F595+0.5*F596)</f>
        <v>37.4297703978194</v>
      </c>
      <c r="G597" s="29" t="n">
        <f aca="false">$N$17*(G593+G595+0.5*G596)</f>
        <v>27.2949099223704</v>
      </c>
      <c r="H597" s="29" t="n">
        <f aca="false">$N$17*(H593+H595+0.5*H596)</f>
        <v>18.2577422793798</v>
      </c>
      <c r="I597" s="29" t="n">
        <f aca="false">$N$17*(I593+I595+0.5*I596)</f>
        <v>10.2220292558431</v>
      </c>
      <c r="J597" s="29" t="n">
        <f aca="false">$N$17*(J593+J595+0.5*J596)</f>
        <v>3.05654103679389</v>
      </c>
      <c r="K597" s="29" t="n">
        <f aca="false">$N$17*(K593+K595+0.5*K596)</f>
        <v>0</v>
      </c>
      <c r="L597" s="29" t="n">
        <f aca="false">$N$17*(L593+L595+0.5*L596)</f>
        <v>0</v>
      </c>
    </row>
    <row r="598" customFormat="false" ht="15" hidden="true" customHeight="false" outlineLevel="1" collapsed="false">
      <c r="A598" s="5" t="s">
        <v>436</v>
      </c>
      <c r="B598" s="59" t="n">
        <f aca="false">B583+B592-B593-B594-B595-B596+B597</f>
        <v>-358.744924503166</v>
      </c>
      <c r="C598" s="59" t="n">
        <f aca="false">C583+C592-C593-C594-C595-C596+C597</f>
        <v>-71.6262719518799</v>
      </c>
      <c r="D598" s="59" t="n">
        <f aca="false">D583+D592-D593-D594-D595-D596+D597</f>
        <v>352.615231772664</v>
      </c>
      <c r="E598" s="59" t="n">
        <f aca="false">E583+E592-E593-E594-E595-E596+E597</f>
        <v>84.2692755884189</v>
      </c>
      <c r="F598" s="59" t="n">
        <f aca="false">F583+F592-F593-F594-F595-F596+F597</f>
        <v>116.328336968118</v>
      </c>
      <c r="G598" s="59" t="n">
        <f aca="false">G583+G592-G593-G594-G595-G596+G597</f>
        <v>108.795399837172</v>
      </c>
      <c r="H598" s="59" t="n">
        <f aca="false">H583+H592-H593-H594-H595-H596+H597</f>
        <v>111.95708508317</v>
      </c>
      <c r="I598" s="59" t="n">
        <f aca="false">I583+I592-I593-I594-I595-I596+I597</f>
        <v>194.507545145635</v>
      </c>
      <c r="J598" s="59" t="n">
        <f aca="false">J583+J592-J593-J594-J595-J596+J597</f>
        <v>265.875890974898</v>
      </c>
      <c r="K598" s="59" t="n">
        <f aca="false">K583+K592-K593-K594-K595-K596+K597</f>
        <v>322.530098463126</v>
      </c>
      <c r="L598" s="59" t="n">
        <f aca="false">L583+L592-L593-L594-L595-L596+L597</f>
        <v>414.173795854992</v>
      </c>
    </row>
    <row r="599" customFormat="false" ht="15" hidden="true" customHeight="false" outlineLevel="1" collapsed="false">
      <c r="A599" s="9" t="s">
        <v>437</v>
      </c>
      <c r="B599" s="58" t="n">
        <f aca="false">B598*B563</f>
        <v>-382.063344595871</v>
      </c>
      <c r="C599" s="58" t="n">
        <f aca="false">C598*C563</f>
        <v>-81.2403083046209</v>
      </c>
      <c r="D599" s="58" t="n">
        <f aca="false">D598*D563</f>
        <v>425.941436989078</v>
      </c>
      <c r="E599" s="58" t="n">
        <f aca="false">E598*E563</f>
        <v>108.409587436046</v>
      </c>
      <c r="F599" s="58" t="n">
        <f aca="false">F598*F563</f>
        <v>159.379903057338</v>
      </c>
      <c r="G599" s="58" t="n">
        <f aca="false">G598*G563</f>
        <v>158.747969571142</v>
      </c>
      <c r="H599" s="58" t="n">
        <f aca="false">H598*H563</f>
        <v>173.979803927641</v>
      </c>
      <c r="I599" s="58" t="n">
        <f aca="false">I598*I563</f>
        <v>321.909145249349</v>
      </c>
      <c r="J599" s="58" t="n">
        <f aca="false">J598*J563</f>
        <v>468.624972827092</v>
      </c>
      <c r="K599" s="58" t="n">
        <f aca="false">K598*K563</f>
        <v>605.43333150215</v>
      </c>
      <c r="L599" s="58" t="n">
        <f aca="false">L598*L563</f>
        <v>827.996124038824</v>
      </c>
    </row>
    <row r="600" customFormat="false" ht="15" hidden="true" customHeight="false" outlineLevel="1" collapsed="false">
      <c r="A600" s="9" t="s">
        <v>438</v>
      </c>
      <c r="B600" s="57" t="n">
        <f aca="false">(B563/$B$563)/(1+Quesería!$B$11+$N$24)^B$43</f>
        <v>1</v>
      </c>
      <c r="C600" s="57" t="n">
        <f aca="false">(C563/$B$563)/(1+Quesería!$B$11+$N$24)^C$43</f>
        <v>0.837372066351013</v>
      </c>
      <c r="D600" s="57" t="n">
        <f aca="false">(D563/$B$563)/(1+Quesería!$B$11+$N$24)^D$43</f>
        <v>0.701191977504965</v>
      </c>
      <c r="E600" s="57" t="n">
        <f aca="false">(E563/$B$563)/(1+Quesería!$B$11+$N$24)^E$43</f>
        <v>0.587158575112085</v>
      </c>
      <c r="F600" s="57" t="n">
        <f aca="false">(F563/$B$563)/(1+Quesería!$B$11+$N$24)^F$43</f>
        <v>0.491670189317323</v>
      </c>
      <c r="G600" s="57" t="n">
        <f aca="false">(G563/$B$563)/(1+Quesería!$B$11+$N$24)^G$43</f>
        <v>0.41171088239184</v>
      </c>
      <c r="H600" s="57" t="n">
        <f aca="false">(H563/$B$563)/(1+Quesería!$B$11+$N$24)^H$43</f>
        <v>0.344755192327654</v>
      </c>
      <c r="I600" s="57" t="n">
        <f aca="false">(I563/$B$563)/(1+Quesería!$B$11+$N$24)^I$43</f>
        <v>0.288688367784648</v>
      </c>
      <c r="J600" s="57" t="n">
        <f aca="false">(J563/$B$563)/(1+Quesería!$B$11+$N$24)^J$43</f>
        <v>0.241739575063332</v>
      </c>
      <c r="K600" s="57" t="n">
        <f aca="false">(K563/$B$563)/(1+Quesería!$B$11+$N$24)^K$43</f>
        <v>0.202425967489598</v>
      </c>
      <c r="L600" s="57" t="n">
        <f aca="false">(L563/$B$563)/(1+Quesería!$B$11+$N$24)^L$43</f>
        <v>0.169505850679868</v>
      </c>
    </row>
    <row r="601" customFormat="false" ht="15" hidden="true" customHeight="false" outlineLevel="1" collapsed="false">
      <c r="A601" s="9" t="s">
        <v>439</v>
      </c>
      <c r="B601" s="58" t="n">
        <f aca="false">B583+B566+B568+B597</f>
        <v>120.166830858099</v>
      </c>
      <c r="C601" s="58" t="n">
        <f aca="false">C583+C566+C568+C597</f>
        <v>430.823251550291</v>
      </c>
      <c r="D601" s="58" t="n">
        <f aca="false">D583+D566+D568+D597</f>
        <v>604.763019339032</v>
      </c>
      <c r="E601" s="58" t="n">
        <f aca="false">E583+E566+E568+E597</f>
        <v>380.113728550122</v>
      </c>
      <c r="F601" s="58" t="n">
        <f aca="false">F583+F566+F568+F597</f>
        <v>370.181186176808</v>
      </c>
      <c r="G601" s="58" t="n">
        <f aca="false">G583+G566+G568+G597</f>
        <v>329.898748558631</v>
      </c>
      <c r="H601" s="58" t="n">
        <f aca="false">H583+H566+H568+H597</f>
        <v>302.377064157157</v>
      </c>
      <c r="I601" s="58" t="n">
        <f aca="false">I583+I566+I568+I597</f>
        <v>345.214774020855</v>
      </c>
      <c r="J601" s="58" t="n">
        <f aca="false">J583+J566+J568+J597</f>
        <v>327.607121412169</v>
      </c>
      <c r="K601" s="58" t="n">
        <f aca="false">K583+K566+K568+K597</f>
        <v>322.530098463126</v>
      </c>
      <c r="L601" s="58" t="n">
        <f aca="false">L583+L566+L568+L597</f>
        <v>414.173795854992</v>
      </c>
    </row>
    <row r="602" customFormat="false" ht="15" hidden="true" customHeight="false" outlineLevel="1" collapsed="false">
      <c r="A602" s="5" t="s">
        <v>149</v>
      </c>
      <c r="B602" s="12" t="str">
        <f aca="false">IF(AND(B$43&gt;=1,(B593+B594+B595)&gt;0.001),B601/(B593+B594+B595),"")</f>
        <v/>
      </c>
      <c r="C602" s="12" t="n">
        <f aca="false">IF(AND(C$43&gt;=1,(C593+C594+C595)&gt;0.001),C601/(C593+C594+C595),"")</f>
        <v>4.6572363694044</v>
      </c>
      <c r="D602" s="12" t="n">
        <f aca="false">IF(AND(D$43&gt;=1,(D593+D594+D595)&gt;0.001),D601/(D593+D594+D595),"")</f>
        <v>2.40804044832863</v>
      </c>
      <c r="E602" s="12" t="n">
        <f aca="false">IF(AND(E$43&gt;=1,(E593+E594+E595)&gt;0.001),E601/(E593+E594+E595),"")</f>
        <v>1.28998255550772</v>
      </c>
      <c r="F602" s="12" t="n">
        <f aca="false">IF(AND(F$43&gt;=1,(F593+F594+F595)&gt;0.001),F601/(F593+F594+F595),"")</f>
        <v>1.46408406318881</v>
      </c>
      <c r="G602" s="12" t="n">
        <f aca="false">IF(AND(G$43&gt;=1,(G593+G594+G595)&gt;0.001),G601/(G593+G594+G595),"")</f>
        <v>1.53423539777823</v>
      </c>
      <c r="H602" s="12" t="n">
        <f aca="false">IF(AND(H$43&gt;=1,(H593+H594+H595)&gt;0.001),H601/(H593+H594+H595),"")</f>
        <v>1.67167663183543</v>
      </c>
      <c r="I602" s="12" t="n">
        <f aca="false">IF(AND(I$43&gt;=1,(I593+I594+I595)&gt;0.001),I601/(I593+I594+I595),"")</f>
        <v>2.2997943476481</v>
      </c>
      <c r="J602" s="12" t="n">
        <f aca="false">IF(AND(J$43&gt;=1,(J593+J594+J595)&gt;0.001),J601/(J593+J594+J595),"")</f>
        <v>5.32821956678887</v>
      </c>
      <c r="K602" s="12" t="str">
        <f aca="false">IF(AND(K$43&gt;=1,(K593+K594+K595)&gt;0.001),K601/(K593+K594+K595),"")</f>
        <v/>
      </c>
      <c r="L602" s="12" t="str">
        <f aca="false">IF(AND(L$43&gt;=1,(L593+L594+L595)&gt;0.001),L601/(L593+L594+L595),"")</f>
        <v/>
      </c>
    </row>
    <row r="604" customFormat="false" ht="15" hidden="false" customHeight="false" outlineLevel="0" collapsed="false">
      <c r="A604" s="43" t="s">
        <v>1174</v>
      </c>
      <c r="B604" s="44"/>
      <c r="C604" s="44"/>
      <c r="D604" s="44"/>
      <c r="E604" s="44"/>
      <c r="F604" s="44"/>
      <c r="G604" s="44"/>
      <c r="H604" s="44"/>
      <c r="I604" s="44"/>
      <c r="J604" s="44"/>
      <c r="K604" s="44"/>
      <c r="L604" s="44"/>
    </row>
    <row r="605" customFormat="false" ht="15" hidden="true" customHeight="false" outlineLevel="1" collapsed="false">
      <c r="A605" s="9" t="s">
        <v>405</v>
      </c>
      <c r="B605" s="56" t="n">
        <f aca="false">CHOOSE($O$15,Entorno!B$7,Entorno!B$8,Entorno!B$9)</f>
        <v>0.06</v>
      </c>
      <c r="C605" s="56" t="n">
        <f aca="false">CHOOSE($O$15,Entorno!C$7,Entorno!C$8,Entorno!C$9)</f>
        <v>0.05</v>
      </c>
      <c r="D605" s="56" t="n">
        <f aca="false">CHOOSE($O$15,Entorno!D$7,Entorno!D$8,Entorno!D$9)</f>
        <v>0.045</v>
      </c>
      <c r="E605" s="56" t="n">
        <f aca="false">CHOOSE($O$15,Entorno!E$7,Entorno!E$8,Entorno!E$9)</f>
        <v>0.04</v>
      </c>
      <c r="F605" s="56" t="n">
        <f aca="false">CHOOSE($O$15,Entorno!F$7,Entorno!F$8,Entorno!F$9)</f>
        <v>0.04</v>
      </c>
      <c r="G605" s="56" t="n">
        <f aca="false">CHOOSE($O$15,Entorno!G$7,Entorno!G$8,Entorno!G$9)</f>
        <v>0.04</v>
      </c>
      <c r="H605" s="56" t="n">
        <f aca="false">CHOOSE($O$15,Entorno!H$7,Entorno!H$8,Entorno!H$9)</f>
        <v>0.04</v>
      </c>
      <c r="I605" s="56" t="n">
        <f aca="false">CHOOSE($O$15,Entorno!I$7,Entorno!I$8,Entorno!I$9)</f>
        <v>0.04</v>
      </c>
      <c r="J605" s="56" t="n">
        <f aca="false">CHOOSE($O$15,Entorno!J$7,Entorno!J$8,Entorno!J$9)</f>
        <v>0.04</v>
      </c>
      <c r="K605" s="56" t="n">
        <f aca="false">CHOOSE($O$15,Entorno!K$7,Entorno!K$8,Entorno!K$9)</f>
        <v>0.04</v>
      </c>
      <c r="L605" s="56" t="n">
        <f aca="false">CHOOSE($O$15,Entorno!L$7,Entorno!L$8,Entorno!L$9)</f>
        <v>0.04</v>
      </c>
    </row>
    <row r="606" customFormat="false" ht="15" hidden="true" customHeight="false" outlineLevel="1" collapsed="false">
      <c r="A606" s="9" t="s">
        <v>406</v>
      </c>
      <c r="B606" s="57" t="n">
        <f aca="false">1+B605</f>
        <v>1.06</v>
      </c>
      <c r="C606" s="57" t="n">
        <f aca="false">B606*(1+C605)</f>
        <v>1.113</v>
      </c>
      <c r="D606" s="57" t="n">
        <f aca="false">C606*(1+D605)</f>
        <v>1.163085</v>
      </c>
      <c r="E606" s="57" t="n">
        <f aca="false">D606*(1+E605)</f>
        <v>1.2096084</v>
      </c>
      <c r="F606" s="57" t="n">
        <f aca="false">E606*(1+F605)</f>
        <v>1.257992736</v>
      </c>
      <c r="G606" s="57" t="n">
        <f aca="false">F606*(1+G605)</f>
        <v>1.30831244544</v>
      </c>
      <c r="H606" s="57" t="n">
        <f aca="false">G606*(1+H605)</f>
        <v>1.3606449432576</v>
      </c>
      <c r="I606" s="57" t="n">
        <f aca="false">H606*(1+I605)</f>
        <v>1.4150707409879</v>
      </c>
      <c r="J606" s="57" t="n">
        <f aca="false">I606*(1+J605)</f>
        <v>1.47167357062742</v>
      </c>
      <c r="K606" s="57" t="n">
        <f aca="false">J606*(1+K605)</f>
        <v>1.53054051345252</v>
      </c>
      <c r="L606" s="57" t="n">
        <f aca="false">K606*(1+L605)</f>
        <v>1.59176213399062</v>
      </c>
    </row>
    <row r="607" customFormat="false" ht="15" hidden="true" customHeight="false" outlineLevel="1" collapsed="false">
      <c r="A607" s="9" t="s">
        <v>407</v>
      </c>
      <c r="B607" s="57" t="n">
        <f aca="false">(1+$O$16)/(1+B605)</f>
        <v>1.00943396226415</v>
      </c>
      <c r="C607" s="57" t="n">
        <f aca="false">B607*(1+Entorno!$B$13)</f>
        <v>1.01448113207547</v>
      </c>
      <c r="D607" s="57" t="n">
        <f aca="false">C607*(1+Entorno!$B$13)</f>
        <v>1.01955353773585</v>
      </c>
      <c r="E607" s="57" t="n">
        <f aca="false">D607*(1+Entorno!$B$13)</f>
        <v>1.02465130542453</v>
      </c>
      <c r="F607" s="57" t="n">
        <f aca="false">E607*(1+Entorno!$B$13)</f>
        <v>1.02977456195165</v>
      </c>
      <c r="G607" s="57" t="n">
        <f aca="false">F607*(1+Entorno!$B$13)</f>
        <v>1.03492343476141</v>
      </c>
      <c r="H607" s="57" t="n">
        <f aca="false">G607*(1+Entorno!$B$13)</f>
        <v>1.04009805193522</v>
      </c>
      <c r="I607" s="57" t="n">
        <f aca="false">H607*(1+Entorno!$B$13)</f>
        <v>1.04529854219489</v>
      </c>
      <c r="J607" s="57" t="n">
        <f aca="false">I607*(1+Entorno!$B$13)</f>
        <v>1.05052503490587</v>
      </c>
      <c r="K607" s="57" t="n">
        <f aca="false">J607*(1+Entorno!$B$13)</f>
        <v>1.0557776600804</v>
      </c>
      <c r="L607" s="57" t="n">
        <f aca="false">K607*(1+Entorno!$B$13)</f>
        <v>1.0610565483808</v>
      </c>
    </row>
    <row r="608" customFormat="false" ht="15" hidden="true" customHeight="false" outlineLevel="1" collapsed="false">
      <c r="A608" s="9" t="s">
        <v>408</v>
      </c>
      <c r="B608" s="57" t="n">
        <f aca="false">1/B606</f>
        <v>0.943396226415094</v>
      </c>
      <c r="C608" s="57" t="n">
        <f aca="false">1/C606</f>
        <v>0.898472596585804</v>
      </c>
      <c r="D608" s="57" t="n">
        <f aca="false">1/D606</f>
        <v>0.859782389077324</v>
      </c>
      <c r="E608" s="57" t="n">
        <f aca="false">1/E606</f>
        <v>0.826713835651273</v>
      </c>
      <c r="F608" s="57" t="n">
        <f aca="false">1/F606</f>
        <v>0.794917149664686</v>
      </c>
      <c r="G608" s="57" t="n">
        <f aca="false">1/G606</f>
        <v>0.764343413139121</v>
      </c>
      <c r="H608" s="57" t="n">
        <f aca="false">1/H606</f>
        <v>0.734945589556847</v>
      </c>
      <c r="I608" s="57" t="n">
        <f aca="false">1/I606</f>
        <v>0.706678451496968</v>
      </c>
      <c r="J608" s="57" t="n">
        <f aca="false">1/J606</f>
        <v>0.679498511054777</v>
      </c>
      <c r="K608" s="57" t="n">
        <f aca="false">1/K606</f>
        <v>0.653363952937286</v>
      </c>
      <c r="L608" s="57" t="n">
        <f aca="false">1/L606</f>
        <v>0.628234570132006</v>
      </c>
    </row>
    <row r="609" customFormat="false" ht="15" hidden="true" customHeight="false" outlineLevel="1" collapsed="false">
      <c r="A609" s="6" t="s">
        <v>323</v>
      </c>
      <c r="B609" s="29" t="n">
        <f aca="false">IF(B$43=0,Quesería!$F$92,IF(B$43=1,Quesería!$F$93*$O$21,0))*$O$11</f>
        <v>930.800239431677</v>
      </c>
      <c r="C609" s="29" t="n">
        <f aca="false">IF(C$43=0,Quesería!$F$92,IF(C$43=1,Quesería!$F$93*$O$21,0))*$O$11</f>
        <v>758.469066674498</v>
      </c>
      <c r="D609" s="29" t="n">
        <f aca="false">IF(D$43=0,Quesería!$F$92,IF(D$43=1,Quesería!$F$93*$O$21,0))*$O$11</f>
        <v>0</v>
      </c>
      <c r="E609" s="29" t="n">
        <f aca="false">IF(E$43=0,Quesería!$F$92,IF(E$43=1,Quesería!$F$93*$O$21,0))*$O$11</f>
        <v>0</v>
      </c>
      <c r="F609" s="29" t="n">
        <f aca="false">IF(F$43=0,Quesería!$F$92,IF(F$43=1,Quesería!$F$93*$O$21,0))*$O$11</f>
        <v>0</v>
      </c>
      <c r="G609" s="29" t="n">
        <f aca="false">IF(G$43=0,Quesería!$F$92,IF(G$43=1,Quesería!$F$93*$O$21,0))*$O$11</f>
        <v>0</v>
      </c>
      <c r="H609" s="29" t="n">
        <f aca="false">IF(H$43=0,Quesería!$F$92,IF(H$43=1,Quesería!$F$93*$O$21,0))*$O$11</f>
        <v>0</v>
      </c>
      <c r="I609" s="29" t="n">
        <f aca="false">IF(I$43=0,Quesería!$F$92,IF(I$43=1,Quesería!$F$93*$O$21,0))*$O$11</f>
        <v>0</v>
      </c>
      <c r="J609" s="29" t="n">
        <f aca="false">IF(J$43=0,Quesería!$F$92,IF(J$43=1,Quesería!$F$93*$O$21,0))*$O$11</f>
        <v>0</v>
      </c>
      <c r="K609" s="29" t="n">
        <f aca="false">IF(K$43=0,Quesería!$F$92,IF(K$43=1,Quesería!$F$93*$O$21,0))*$O$11</f>
        <v>0</v>
      </c>
      <c r="L609" s="29" t="n">
        <f aca="false">IF(L$43=0,Quesería!$F$92,IF(L$43=1,Quesería!$F$93*$O$21,0))*$O$11</f>
        <v>0</v>
      </c>
    </row>
    <row r="610" customFormat="false" ht="15" hidden="true" customHeight="false" outlineLevel="1" collapsed="false">
      <c r="A610" s="6" t="s">
        <v>409</v>
      </c>
      <c r="B610" s="29" t="n">
        <f aca="false">IF(B$43=5,Quesería!$F$99,IF(B$43=6,Quesería!$F$100,0))*$O$11</f>
        <v>0</v>
      </c>
      <c r="C610" s="29" t="n">
        <f aca="false">IF(C$43=5,Quesería!$F$99,IF(C$43=6,Quesería!$F$100,0))*$O$11</f>
        <v>0</v>
      </c>
      <c r="D610" s="29" t="n">
        <f aca="false">IF(D$43=5,Quesería!$F$99,IF(D$43=6,Quesería!$F$100,0))*$O$11</f>
        <v>0</v>
      </c>
      <c r="E610" s="29" t="n">
        <f aca="false">IF(E$43=5,Quesería!$F$99,IF(E$43=6,Quesería!$F$100,0))*$O$11</f>
        <v>0</v>
      </c>
      <c r="F610" s="29" t="n">
        <f aca="false">IF(F$43=5,Quesería!$F$99,IF(F$43=6,Quesería!$F$100,0))*$O$11</f>
        <v>0</v>
      </c>
      <c r="G610" s="29" t="n">
        <f aca="false">IF(G$43=5,Quesería!$F$99,IF(G$43=6,Quesería!$F$100,0))*$O$11</f>
        <v>27.4652172688735</v>
      </c>
      <c r="H610" s="29" t="n">
        <f aca="false">IF(H$43=5,Quesería!$F$99,IF(H$43=6,Quesería!$F$100,0))*$O$11</f>
        <v>46.3891557109552</v>
      </c>
      <c r="I610" s="29" t="n">
        <f aca="false">IF(I$43=5,Quesería!$F$99,IF(I$43=6,Quesería!$F$100,0))*$O$11</f>
        <v>0</v>
      </c>
      <c r="J610" s="29" t="n">
        <f aca="false">IF(J$43=5,Quesería!$F$99,IF(J$43=6,Quesería!$F$100,0))*$O$11</f>
        <v>0</v>
      </c>
      <c r="K610" s="29" t="n">
        <f aca="false">IF(K$43=5,Quesería!$F$99,IF(K$43=6,Quesería!$F$100,0))*$O$11</f>
        <v>0</v>
      </c>
      <c r="L610" s="29" t="n">
        <f aca="false">IF(L$43=5,Quesería!$F$99,IF(L$43=6,Quesería!$F$100,0))*$O$11</f>
        <v>0</v>
      </c>
    </row>
    <row r="611" customFormat="false" ht="15" hidden="true" customHeight="false" outlineLevel="1" collapsed="false">
      <c r="A611" s="6" t="s">
        <v>410</v>
      </c>
      <c r="B611" s="29" t="n">
        <f aca="false">Quesería!$B$55*(IF(B$43=0,SUMPRODUCT((Quesería!$C$70:$C$89=0)*(Quesería!$H$70:$H$89&gt;0)*(Quesería!$J$70:$J$89&gt;0)*Quesería!$F$70:$F$89*(1+Quesería!$I$70:$I$89)),IF(B$43=1,SUMPRODUCT((Quesería!$C$70:$C$89=1)*(Quesería!$H$70:$H$89&gt;0)*(Quesería!$J$70:$J$89&gt;0)*Quesería!$F$70:$F$89*(1+Quesería!$I$70:$I$89))*$O$21,0))*$O$11+B610)</f>
        <v>149.115671560178</v>
      </c>
      <c r="C611" s="29" t="n">
        <f aca="false">Quesería!$B$55*(IF(C$43=0,SUMPRODUCT((Quesería!$C$70:$C$89=0)*(Quesería!$H$70:$H$89&gt;0)*(Quesería!$J$70:$J$89&gt;0)*Quesería!$F$70:$F$89*(1+Quesería!$I$70:$I$89)),IF(C$43=1,SUMPRODUCT((Quesería!$C$70:$C$89=1)*(Quesería!$H$70:$H$89&gt;0)*(Quesería!$J$70:$J$89&gt;0)*Quesería!$F$70:$F$89*(1+Quesería!$I$70:$I$89))*$O$21,0))*$O$11+C610)</f>
        <v>144.109122668155</v>
      </c>
      <c r="D611" s="29" t="n">
        <f aca="false">Quesería!$B$55*(IF(D$43=0,SUMPRODUCT((Quesería!$C$70:$C$89=0)*(Quesería!$H$70:$H$89&gt;0)*(Quesería!$J$70:$J$89&gt;0)*Quesería!$F$70:$F$89*(1+Quesería!$I$70:$I$89)),IF(D$43=1,SUMPRODUCT((Quesería!$C$70:$C$89=1)*(Quesería!$H$70:$H$89&gt;0)*(Quesería!$J$70:$J$89&gt;0)*Quesería!$F$70:$F$89*(1+Quesería!$I$70:$I$89))*$O$21,0))*$O$11+D610)</f>
        <v>0</v>
      </c>
      <c r="E611" s="29" t="n">
        <f aca="false">Quesería!$B$55*(IF(E$43=0,SUMPRODUCT((Quesería!$C$70:$C$89=0)*(Quesería!$H$70:$H$89&gt;0)*(Quesería!$J$70:$J$89&gt;0)*Quesería!$F$70:$F$89*(1+Quesería!$I$70:$I$89)),IF(E$43=1,SUMPRODUCT((Quesería!$C$70:$C$89=1)*(Quesería!$H$70:$H$89&gt;0)*(Quesería!$J$70:$J$89&gt;0)*Quesería!$F$70:$F$89*(1+Quesería!$I$70:$I$89))*$O$21,0))*$O$11+E610)</f>
        <v>0</v>
      </c>
      <c r="F611" s="29" t="n">
        <f aca="false">Quesería!$B$55*(IF(F$43=0,SUMPRODUCT((Quesería!$C$70:$C$89=0)*(Quesería!$H$70:$H$89&gt;0)*(Quesería!$J$70:$J$89&gt;0)*Quesería!$F$70:$F$89*(1+Quesería!$I$70:$I$89)),IF(F$43=1,SUMPRODUCT((Quesería!$C$70:$C$89=1)*(Quesería!$H$70:$H$89&gt;0)*(Quesería!$J$70:$J$89&gt;0)*Quesería!$F$70:$F$89*(1+Quesería!$I$70:$I$89))*$O$21,0))*$O$11+F610)</f>
        <v>0</v>
      </c>
      <c r="G611" s="29" t="n">
        <f aca="false">Quesería!$B$55*(IF(G$43=0,SUMPRODUCT((Quesería!$C$70:$C$89=0)*(Quesería!$H$70:$H$89&gt;0)*(Quesería!$J$70:$J$89&gt;0)*Quesería!$F$70:$F$89*(1+Quesería!$I$70:$I$89)),IF(G$43=1,SUMPRODUCT((Quesería!$C$70:$C$89=1)*(Quesería!$H$70:$H$89&gt;0)*(Quesería!$J$70:$J$89&gt;0)*Quesería!$F$70:$F$89*(1+Quesería!$I$70:$I$89))*$O$21,0))*$O$11+G610)</f>
        <v>5.21839128108597</v>
      </c>
      <c r="H611" s="29" t="n">
        <f aca="false">Quesería!$B$55*(IF(H$43=0,SUMPRODUCT((Quesería!$C$70:$C$89=0)*(Quesería!$H$70:$H$89&gt;0)*(Quesería!$J$70:$J$89&gt;0)*Quesería!$F$70:$F$89*(1+Quesería!$I$70:$I$89)),IF(H$43=1,SUMPRODUCT((Quesería!$C$70:$C$89=1)*(Quesería!$H$70:$H$89&gt;0)*(Quesería!$J$70:$J$89&gt;0)*Quesería!$F$70:$F$89*(1+Quesería!$I$70:$I$89))*$O$21,0))*$O$11+H610)</f>
        <v>8.8139395850815</v>
      </c>
      <c r="I611" s="29" t="n">
        <f aca="false">Quesería!$B$55*(IF(I$43=0,SUMPRODUCT((Quesería!$C$70:$C$89=0)*(Quesería!$H$70:$H$89&gt;0)*(Quesería!$J$70:$J$89&gt;0)*Quesería!$F$70:$F$89*(1+Quesería!$I$70:$I$89)),IF(I$43=1,SUMPRODUCT((Quesería!$C$70:$C$89=1)*(Quesería!$H$70:$H$89&gt;0)*(Quesería!$J$70:$J$89&gt;0)*Quesería!$F$70:$F$89*(1+Quesería!$I$70:$I$89))*$O$21,0))*$O$11+I610)</f>
        <v>0</v>
      </c>
      <c r="J611" s="29" t="n">
        <f aca="false">Quesería!$B$55*(IF(J$43=0,SUMPRODUCT((Quesería!$C$70:$C$89=0)*(Quesería!$H$70:$H$89&gt;0)*(Quesería!$J$70:$J$89&gt;0)*Quesería!$F$70:$F$89*(1+Quesería!$I$70:$I$89)),IF(J$43=1,SUMPRODUCT((Quesería!$C$70:$C$89=1)*(Quesería!$H$70:$H$89&gt;0)*(Quesería!$J$70:$J$89&gt;0)*Quesería!$F$70:$F$89*(1+Quesería!$I$70:$I$89))*$O$21,0))*$O$11+J610)</f>
        <v>0</v>
      </c>
      <c r="K611" s="29" t="n">
        <f aca="false">Quesería!$B$55*(IF(K$43=0,SUMPRODUCT((Quesería!$C$70:$C$89=0)*(Quesería!$H$70:$H$89&gt;0)*(Quesería!$J$70:$J$89&gt;0)*Quesería!$F$70:$F$89*(1+Quesería!$I$70:$I$89)),IF(K$43=1,SUMPRODUCT((Quesería!$C$70:$C$89=1)*(Quesería!$H$70:$H$89&gt;0)*(Quesería!$J$70:$J$89&gt;0)*Quesería!$F$70:$F$89*(1+Quesería!$I$70:$I$89))*$O$21,0))*$O$11+K610)</f>
        <v>0</v>
      </c>
      <c r="L611" s="29" t="n">
        <f aca="false">Quesería!$B$55*(IF(L$43=0,SUMPRODUCT((Quesería!$C$70:$C$89=0)*(Quesería!$H$70:$H$89&gt;0)*(Quesería!$J$70:$J$89&gt;0)*Quesería!$F$70:$F$89*(1+Quesería!$I$70:$I$89)),IF(L$43=1,SUMPRODUCT((Quesería!$C$70:$C$89=1)*(Quesería!$H$70:$H$89&gt;0)*(Quesería!$J$70:$J$89&gt;0)*Quesería!$F$70:$F$89*(1+Quesería!$I$70:$I$89))*$O$21,0))*$O$11+L610)</f>
        <v>0</v>
      </c>
    </row>
    <row r="612" customFormat="false" ht="15" hidden="true" customHeight="false" outlineLevel="1" collapsed="false">
      <c r="A612" s="6" t="s">
        <v>385</v>
      </c>
      <c r="B612" s="29" t="n">
        <f aca="false">IF(B$43=0,($O$22*Quesería!$J$125+(1-$O$22)*Quesería!$E$121)*Quesería!$B$20*Quesería!$B$21/12*$O$23,(($O$22*Quesería!$J$125+(1-$O$22)*Quesería!$E$121)+($O$22*Quesería!$J$104+(1-$O$22)*Quesería!$E$104)*(B607-1))*IF(B$43=1,Quesería!$B$20,1))*$O$10</f>
        <v>120.716772261203</v>
      </c>
      <c r="C612" s="29" t="n">
        <f aca="false">IF(C$43=0,($O$22*Quesería!$J$125+(1-$O$22)*Quesería!$E$121)*Quesería!$B$20*Quesería!$B$21/12*$O$23,(($O$22*Quesería!$J$125+(1-$O$22)*Quesería!$E$121)+($O$22*Quesería!$J$104+(1-$O$22)*Quesería!$E$104)*(C607-1))*IF(C$43=1,Quesería!$B$20,1))*$O$10</f>
        <v>181.20288197671</v>
      </c>
      <c r="D612" s="29" t="n">
        <f aca="false">IF(D$43=0,($O$22*Quesería!$J$125+(1-$O$22)*Quesería!$E$121)*Quesería!$B$20*Quesería!$B$21/12*$O$23,(($O$22*Quesería!$J$125+(1-$O$22)*Quesería!$E$121)+($O$22*Quesería!$J$104+(1-$O$22)*Quesería!$E$104)*(D607-1))*IF(D$43=1,Quesería!$B$20,1))*$O$10</f>
        <v>241.66349412618</v>
      </c>
      <c r="E612" s="29" t="n">
        <f aca="false">IF(E$43=0,($O$22*Quesería!$J$125+(1-$O$22)*Quesería!$E$121)*Quesería!$B$20*Quesería!$B$21/12*$O$23,(($O$22*Quesería!$J$125+(1-$O$22)*Quesería!$E$121)+($O$22*Quesería!$J$104+(1-$O$22)*Quesería!$E$104)*(E607-1))*IF(E$43=1,Quesería!$B$20,1))*$O$10</f>
        <v>241.723443874198</v>
      </c>
      <c r="F612" s="29" t="n">
        <f aca="false">IF(F$43=0,($O$22*Quesería!$J$125+(1-$O$22)*Quesería!$E$121)*Quesería!$B$20*Quesería!$B$21/12*$O$23,(($O$22*Quesería!$J$125+(1-$O$22)*Quesería!$E$121)+($O$22*Quesería!$J$104+(1-$O$22)*Quesería!$E$104)*(F607-1))*IF(F$43=1,Quesería!$B$20,1))*$O$10</f>
        <v>241.783693370957</v>
      </c>
      <c r="G612" s="29" t="n">
        <f aca="false">IF(G$43=0,($O$22*Quesería!$J$125+(1-$O$22)*Quesería!$E$121)*Quesería!$B$20*Quesería!$B$21/12*$O$23,(($O$22*Quesería!$J$125+(1-$O$22)*Quesería!$E$121)+($O$22*Quesería!$J$104+(1-$O$22)*Quesería!$E$104)*(G607-1))*IF(G$43=1,Quesería!$B$20,1))*$O$10</f>
        <v>241.8442441152</v>
      </c>
      <c r="H612" s="29" t="n">
        <f aca="false">IF(H$43=0,($O$22*Quesería!$J$125+(1-$O$22)*Quesería!$E$121)*Quesería!$B$20*Quesería!$B$21/12*$O$23,(($O$22*Quesería!$J$125+(1-$O$22)*Quesería!$E$121)+($O$22*Quesería!$J$104+(1-$O$22)*Quesería!$E$104)*(H607-1))*IF(H$43=1,Quesería!$B$20,1))*$O$10</f>
        <v>241.905097613164</v>
      </c>
      <c r="I612" s="29" t="n">
        <f aca="false">IF(I$43=0,($O$22*Quesería!$J$125+(1-$O$22)*Quesería!$E$121)*Quesería!$B$20*Quesería!$B$21/12*$O$23,(($O$22*Quesería!$J$125+(1-$O$22)*Quesería!$E$121)+($O$22*Quesería!$J$104+(1-$O$22)*Quesería!$E$104)*(I607-1))*IF(I$43=1,Quesería!$B$20,1))*$O$10</f>
        <v>241.966255378618</v>
      </c>
      <c r="J612" s="29" t="n">
        <f aca="false">IF(J$43=0,($O$22*Quesería!$J$125+(1-$O$22)*Quesería!$E$121)*Quesería!$B$20*Quesería!$B$21/12*$O$23,(($O$22*Quesería!$J$125+(1-$O$22)*Quesería!$E$121)+($O$22*Quesería!$J$104+(1-$O$22)*Quesería!$E$104)*(J607-1))*IF(J$43=1,Quesería!$B$20,1))*$O$10</f>
        <v>242.027718932899</v>
      </c>
      <c r="K612" s="29" t="n">
        <f aca="false">IF(K$43=0,($O$22*Quesería!$J$125+(1-$O$22)*Quesería!$E$121)*Quesería!$B$20*Quesería!$B$21/12*$O$23,(($O$22*Quesería!$J$125+(1-$O$22)*Quesería!$E$121)+($O$22*Quesería!$J$104+(1-$O$22)*Quesería!$E$104)*(K607-1))*IF(K$43=1,Quesería!$B$20,1))*$O$10</f>
        <v>242.089489804951</v>
      </c>
      <c r="L612" s="29" t="n">
        <f aca="false">IF(L$43=0,($O$22*Quesería!$J$125+(1-$O$22)*Quesería!$E$121)*Quesería!$B$20*Quesería!$B$21/12*$O$23,(($O$22*Quesería!$J$125+(1-$O$22)*Quesería!$E$121)+($O$22*Quesería!$J$104+(1-$O$22)*Quesería!$E$104)*(L607-1))*IF(L$43=1,Quesería!$B$20,1))*$O$10</f>
        <v>242.151569531364</v>
      </c>
    </row>
    <row r="613" customFormat="false" ht="15" hidden="true" customHeight="false" outlineLevel="1" collapsed="false">
      <c r="A613" s="6" t="s">
        <v>386</v>
      </c>
      <c r="B613" s="29" t="n">
        <f aca="false">IF(B$43&lt;=1,0,((($O$22*Quesería!$J$126+(1-$O$22)*Quesería!$E$122)-($O$22*Quesería!$J$113+(1-$O$22)*Quesería!$E$113)+$O$6*($O$22*Quesería!$J$113+(1-$O$22)*Quesería!$E$113)-(1-$O$9)*(($O$22*Quesería!$J$118+(1-$O$22)*Quesería!$E$118)+($O$22*Quesería!$J$117+(1-$O$22)*Quesería!$E$117)))+($O$6*($O$22*Quesería!$J$113+(1-$O$22)*Quesería!$E$113)+$O$9*($O$22*Quesería!$J$118+(1-$O$22)*Quesería!$E$118))*(B607-1))*IF(B$43=2,Quesería!$B$20,1)+IF(B$43=2,Quesería!$B$24*$O$9*($O$22*Quesería!$J$118+(1-$O$22)*Quesería!$E$118)*B607,0))*$O$10*$O$21</f>
        <v>0</v>
      </c>
      <c r="C613" s="29" t="n">
        <f aca="false">IF(C$43&lt;=1,0,((($O$22*Quesería!$J$126+(1-$O$22)*Quesería!$E$122)-($O$22*Quesería!$J$113+(1-$O$22)*Quesería!$E$113)+$O$6*($O$22*Quesería!$J$113+(1-$O$22)*Quesería!$E$113)-(1-$O$9)*(($O$22*Quesería!$J$118+(1-$O$22)*Quesería!$E$118)+($O$22*Quesería!$J$117+(1-$O$22)*Quesería!$E$117)))+($O$6*($O$22*Quesería!$J$113+(1-$O$22)*Quesería!$E$113)+$O$9*($O$22*Quesería!$J$118+(1-$O$22)*Quesería!$E$118))*(C607-1))*IF(C$43=2,Quesería!$B$20,1)+IF(C$43=2,Quesería!$B$24*$O$9*($O$22*Quesería!$J$118+(1-$O$22)*Quesería!$E$118)*C607,0))*$O$10*$O$21</f>
        <v>0</v>
      </c>
      <c r="D613" s="29" t="n">
        <f aca="false">IF(D$43&lt;=1,0,((($O$22*Quesería!$J$126+(1-$O$22)*Quesería!$E$122)-($O$22*Quesería!$J$113+(1-$O$22)*Quesería!$E$113)+$O$6*($O$22*Quesería!$J$113+(1-$O$22)*Quesería!$E$113)-(1-$O$9)*(($O$22*Quesería!$J$118+(1-$O$22)*Quesería!$E$118)+($O$22*Quesería!$J$117+(1-$O$22)*Quesería!$E$117)))+($O$6*($O$22*Quesería!$J$113+(1-$O$22)*Quesería!$E$113)+$O$9*($O$22*Quesería!$J$118+(1-$O$22)*Quesería!$E$118))*(D607-1))*IF(D$43=2,Quesería!$B$20,1)+IF(D$43=2,Quesería!$B$24*$O$9*($O$22*Quesería!$J$118+(1-$O$22)*Quesería!$E$118)*D607,0))*$O$10*$O$21</f>
        <v>234.535174974743</v>
      </c>
      <c r="E613" s="29" t="n">
        <f aca="false">IF(E$43&lt;=1,0,((($O$22*Quesería!$J$126+(1-$O$22)*Quesería!$E$122)-($O$22*Quesería!$J$113+(1-$O$22)*Quesería!$E$113)+$O$6*($O$22*Quesería!$J$113+(1-$O$22)*Quesería!$E$113)-(1-$O$9)*(($O$22*Quesería!$J$118+(1-$O$22)*Quesería!$E$118)+($O$22*Quesería!$J$117+(1-$O$22)*Quesería!$E$117)))+($O$6*($O$22*Quesería!$J$113+(1-$O$22)*Quesería!$E$113)+$O$9*($O$22*Quesería!$J$118+(1-$O$22)*Quesería!$E$118))*(E607-1))*IF(E$43=2,Quesería!$B$20,1)+IF(E$43=2,Quesería!$B$24*$O$9*($O$22*Quesería!$J$118+(1-$O$22)*Quesería!$E$118)*E607,0))*$O$10*$O$21</f>
        <v>298.275465074406</v>
      </c>
      <c r="F613" s="29" t="n">
        <f aca="false">IF(F$43&lt;=1,0,((($O$22*Quesería!$J$126+(1-$O$22)*Quesería!$E$122)-($O$22*Quesería!$J$113+(1-$O$22)*Quesería!$E$113)+$O$6*($O$22*Quesería!$J$113+(1-$O$22)*Quesería!$E$113)-(1-$O$9)*(($O$22*Quesería!$J$118+(1-$O$22)*Quesería!$E$118)+($O$22*Quesería!$J$117+(1-$O$22)*Quesería!$E$117)))+($O$6*($O$22*Quesería!$J$113+(1-$O$22)*Quesería!$E$113)+$O$9*($O$22*Quesería!$J$118+(1-$O$22)*Quesería!$E$118))*(F607-1))*IF(F$43=2,Quesería!$B$20,1)+IF(F$43=2,Quesería!$B$24*$O$9*($O$22*Quesería!$J$118+(1-$O$22)*Quesería!$E$118)*F607,0))*$O$10*$O$21</f>
        <v>298.520151806142</v>
      </c>
      <c r="G613" s="29" t="n">
        <f aca="false">IF(G$43&lt;=1,0,((($O$22*Quesería!$J$126+(1-$O$22)*Quesería!$E$122)-($O$22*Quesería!$J$113+(1-$O$22)*Quesería!$E$113)+$O$6*($O$22*Quesería!$J$113+(1-$O$22)*Quesería!$E$113)-(1-$O$9)*(($O$22*Quesería!$J$118+(1-$O$22)*Quesería!$E$118)+($O$22*Quesería!$J$117+(1-$O$22)*Quesería!$E$117)))+($O$6*($O$22*Quesería!$J$113+(1-$O$22)*Quesería!$E$113)+$O$9*($O$22*Quesería!$J$118+(1-$O$22)*Quesería!$E$118))*(G607-1))*IF(G$43=2,Quesería!$B$20,1)+IF(G$43=2,Quesería!$B$24*$O$9*($O$22*Quesería!$J$118+(1-$O$22)*Quesería!$E$118)*G607,0))*$O$10*$O$21</f>
        <v>298.766061971536</v>
      </c>
      <c r="H613" s="29" t="n">
        <f aca="false">IF(H$43&lt;=1,0,((($O$22*Quesería!$J$126+(1-$O$22)*Quesería!$E$122)-($O$22*Quesería!$J$113+(1-$O$22)*Quesería!$E$113)+$O$6*($O$22*Quesería!$J$113+(1-$O$22)*Quesería!$E$113)-(1-$O$9)*(($O$22*Quesería!$J$118+(1-$O$22)*Quesería!$E$118)+($O$22*Quesería!$J$117+(1-$O$22)*Quesería!$E$117)))+($O$6*($O$22*Quesería!$J$113+(1-$O$22)*Quesería!$E$113)+$O$9*($O$22*Quesería!$J$118+(1-$O$22)*Quesería!$E$118))*(H607-1))*IF(H$43=2,Quesería!$B$20,1)+IF(H$43=2,Quesería!$B$24*$O$9*($O$22*Quesería!$J$118+(1-$O$22)*Quesería!$E$118)*H607,0))*$O$10*$O$21</f>
        <v>299.013201687757</v>
      </c>
      <c r="I613" s="29" t="n">
        <f aca="false">IF(I$43&lt;=1,0,((($O$22*Quesería!$J$126+(1-$O$22)*Quesería!$E$122)-($O$22*Quesería!$J$113+(1-$O$22)*Quesería!$E$113)+$O$6*($O$22*Quesería!$J$113+(1-$O$22)*Quesería!$E$113)-(1-$O$9)*(($O$22*Quesería!$J$118+(1-$O$22)*Quesería!$E$118)+($O$22*Quesería!$J$117+(1-$O$22)*Quesería!$E$117)))+($O$6*($O$22*Quesería!$J$113+(1-$O$22)*Quesería!$E$113)+$O$9*($O$22*Quesería!$J$118+(1-$O$22)*Quesería!$E$118))*(I607-1))*IF(I$43=2,Quesería!$B$20,1)+IF(I$43=2,Quesería!$B$24*$O$9*($O$22*Quesería!$J$118+(1-$O$22)*Quesería!$E$118)*I607,0))*$O$10*$O$21</f>
        <v>299.261577102559</v>
      </c>
      <c r="J613" s="29" t="n">
        <f aca="false">IF(J$43&lt;=1,0,((($O$22*Quesería!$J$126+(1-$O$22)*Quesería!$E$122)-($O$22*Quesería!$J$113+(1-$O$22)*Quesería!$E$113)+$O$6*($O$22*Quesería!$J$113+(1-$O$22)*Quesería!$E$113)-(1-$O$9)*(($O$22*Quesería!$J$118+(1-$O$22)*Quesería!$E$118)+($O$22*Quesería!$J$117+(1-$O$22)*Quesería!$E$117)))+($O$6*($O$22*Quesería!$J$113+(1-$O$22)*Quesería!$E$113)+$O$9*($O$22*Quesería!$J$118+(1-$O$22)*Quesería!$E$118))*(J607-1))*IF(J$43=2,Quesería!$B$20,1)+IF(J$43=2,Quesería!$B$24*$O$9*($O$22*Quesería!$J$118+(1-$O$22)*Quesería!$E$118)*J607,0))*$O$10*$O$21</f>
        <v>299.511194394435</v>
      </c>
      <c r="K613" s="29" t="n">
        <f aca="false">IF(K$43&lt;=1,0,((($O$22*Quesería!$J$126+(1-$O$22)*Quesería!$E$122)-($O$22*Quesería!$J$113+(1-$O$22)*Quesería!$E$113)+$O$6*($O$22*Quesería!$J$113+(1-$O$22)*Quesería!$E$113)-(1-$O$9)*(($O$22*Quesería!$J$118+(1-$O$22)*Quesería!$E$118)+($O$22*Quesería!$J$117+(1-$O$22)*Quesería!$E$117)))+($O$6*($O$22*Quesería!$J$113+(1-$O$22)*Quesería!$E$113)+$O$9*($O$22*Quesería!$J$118+(1-$O$22)*Quesería!$E$118))*(K607-1))*IF(K$43=2,Quesería!$B$20,1)+IF(K$43=2,Quesería!$B$24*$O$9*($O$22*Quesería!$J$118+(1-$O$22)*Quesería!$E$118)*K607,0))*$O$10*$O$21</f>
        <v>299.762059772771</v>
      </c>
      <c r="L613" s="29" t="n">
        <f aca="false">IF(L$43&lt;=1,0,((($O$22*Quesería!$J$126+(1-$O$22)*Quesería!$E$122)-($O$22*Quesería!$J$113+(1-$O$22)*Quesería!$E$113)+$O$6*($O$22*Quesería!$J$113+(1-$O$22)*Quesería!$E$113)-(1-$O$9)*(($O$22*Quesería!$J$118+(1-$O$22)*Quesería!$E$118)+($O$22*Quesería!$J$117+(1-$O$22)*Quesería!$E$117)))+($O$6*($O$22*Quesería!$J$113+(1-$O$22)*Quesería!$E$113)+$O$9*($O$22*Quesería!$J$118+(1-$O$22)*Quesería!$E$118))*(L607-1))*IF(L$43=2,Quesería!$B$20,1)+IF(L$43=2,Quesería!$B$24*$O$9*($O$22*Quesería!$J$118+(1-$O$22)*Quesería!$E$118)*L607,0))*$O$10*$O$21</f>
        <v>300.014179477998</v>
      </c>
    </row>
    <row r="614" customFormat="false" ht="15" hidden="true" customHeight="false" outlineLevel="1" collapsed="false">
      <c r="A614" s="5" t="s">
        <v>411</v>
      </c>
      <c r="B614" s="10" t="n">
        <f aca="false">B612+B613</f>
        <v>120.716772261203</v>
      </c>
      <c r="C614" s="10" t="n">
        <f aca="false">C612+C613</f>
        <v>181.20288197671</v>
      </c>
      <c r="D614" s="10" t="n">
        <f aca="false">D612+D613</f>
        <v>476.198669100923</v>
      </c>
      <c r="E614" s="10" t="n">
        <f aca="false">E612+E613</f>
        <v>539.998908948605</v>
      </c>
      <c r="F614" s="10" t="n">
        <f aca="false">F612+F613</f>
        <v>540.303845177099</v>
      </c>
      <c r="G614" s="10" t="n">
        <f aca="false">G612+G613</f>
        <v>540.610306086736</v>
      </c>
      <c r="H614" s="10" t="n">
        <f aca="false">H612+H613</f>
        <v>540.918299300921</v>
      </c>
      <c r="I614" s="10" t="n">
        <f aca="false">I612+I613</f>
        <v>541.227832481177</v>
      </c>
      <c r="J614" s="10" t="n">
        <f aca="false">J612+J613</f>
        <v>541.538913327334</v>
      </c>
      <c r="K614" s="10" t="n">
        <f aca="false">K612+K613</f>
        <v>541.851549577722</v>
      </c>
      <c r="L614" s="10" t="n">
        <f aca="false">L612+L613</f>
        <v>542.165749009362</v>
      </c>
    </row>
    <row r="615" customFormat="false" ht="15" hidden="true" customHeight="false" outlineLevel="1" collapsed="false">
      <c r="A615" s="6" t="s">
        <v>412</v>
      </c>
      <c r="B615" s="29" t="n">
        <f aca="false">(IF(B$43&gt;=1,(Quesería!$B$31+Quesería!$B$33)*Quesería!$F$94*$O$11+Quesería!$B$32+'Beneficios y costos'!$B$211,0)+IF(B$43&gt;=2,((Quesería!$B$31+Quesería!$B$33)*Quesería!$F$95*$O$11+'Beneficios y costos'!$C$211)*$O$21,0))*$O$12</f>
        <v>0</v>
      </c>
      <c r="C615" s="29" t="n">
        <f aca="false">(IF(C$43&gt;=1,(Quesería!$B$31+Quesería!$B$33)*Quesería!$F$94*$O$11+Quesería!$B$32+'Beneficios y costos'!$B$211,0)+IF(C$43&gt;=2,((Quesería!$B$31+Quesería!$B$33)*Quesería!$F$95*$O$11+'Beneficios y costos'!$C$211)*$O$21,0))*$O$12</f>
        <v>42.0946487260605</v>
      </c>
      <c r="D615" s="29" t="n">
        <f aca="false">(IF(D$43&gt;=1,(Quesería!$B$31+Quesería!$B$33)*Quesería!$F$94*$O$11+Quesería!$B$32+'Beneficios y costos'!$B$211,0)+IF(D$43&gt;=2,((Quesería!$B$31+Quesería!$B$33)*Quesería!$F$95*$O$11+'Beneficios y costos'!$C$211)*$O$21,0))*$O$12</f>
        <v>95.9432442337815</v>
      </c>
      <c r="E615" s="29" t="n">
        <f aca="false">(IF(E$43&gt;=1,(Quesería!$B$31+Quesería!$B$33)*Quesería!$F$94*$O$11+Quesería!$B$32+'Beneficios y costos'!$B$211,0)+IF(E$43&gt;=2,((Quesería!$B$31+Quesería!$B$33)*Quesería!$F$95*$O$11+'Beneficios y costos'!$C$211)*$O$21,0))*$O$12</f>
        <v>95.9432442337815</v>
      </c>
      <c r="F615" s="29" t="n">
        <f aca="false">(IF(F$43&gt;=1,(Quesería!$B$31+Quesería!$B$33)*Quesería!$F$94*$O$11+Quesería!$B$32+'Beneficios y costos'!$B$211,0)+IF(F$43&gt;=2,((Quesería!$B$31+Quesería!$B$33)*Quesería!$F$95*$O$11+'Beneficios y costos'!$C$211)*$O$21,0))*$O$12</f>
        <v>95.9432442337815</v>
      </c>
      <c r="G615" s="29" t="n">
        <f aca="false">(IF(G$43&gt;=1,(Quesería!$B$31+Quesería!$B$33)*Quesería!$F$94*$O$11+Quesería!$B$32+'Beneficios y costos'!$B$211,0)+IF(G$43&gt;=2,((Quesería!$B$31+Quesería!$B$33)*Quesería!$F$95*$O$11+'Beneficios y costos'!$C$211)*$O$21,0))*$O$12</f>
        <v>95.9432442337815</v>
      </c>
      <c r="H615" s="29" t="n">
        <f aca="false">(IF(H$43&gt;=1,(Quesería!$B$31+Quesería!$B$33)*Quesería!$F$94*$O$11+Quesería!$B$32+'Beneficios y costos'!$B$211,0)+IF(H$43&gt;=2,((Quesería!$B$31+Quesería!$B$33)*Quesería!$F$95*$O$11+'Beneficios y costos'!$C$211)*$O$21,0))*$O$12</f>
        <v>95.9432442337815</v>
      </c>
      <c r="I615" s="29" t="n">
        <f aca="false">(IF(I$43&gt;=1,(Quesería!$B$31+Quesería!$B$33)*Quesería!$F$94*$O$11+Quesería!$B$32+'Beneficios y costos'!$B$211,0)+IF(I$43&gt;=2,((Quesería!$B$31+Quesería!$B$33)*Quesería!$F$95*$O$11+'Beneficios y costos'!$C$211)*$O$21,0))*$O$12</f>
        <v>95.9432442337815</v>
      </c>
      <c r="J615" s="29" t="n">
        <f aca="false">(IF(J$43&gt;=1,(Quesería!$B$31+Quesería!$B$33)*Quesería!$F$94*$O$11+Quesería!$B$32+'Beneficios y costos'!$B$211,0)+IF(J$43&gt;=2,((Quesería!$B$31+Quesería!$B$33)*Quesería!$F$95*$O$11+'Beneficios y costos'!$C$211)*$O$21,0))*$O$12</f>
        <v>95.9432442337815</v>
      </c>
      <c r="K615" s="29" t="n">
        <f aca="false">(IF(K$43&gt;=1,(Quesería!$B$31+Quesería!$B$33)*Quesería!$F$94*$O$11+Quesería!$B$32+'Beneficios y costos'!$B$211,0)+IF(K$43&gt;=2,((Quesería!$B$31+Quesería!$B$33)*Quesería!$F$95*$O$11+'Beneficios y costos'!$C$211)*$O$21,0))*$O$12</f>
        <v>95.9432442337815</v>
      </c>
      <c r="L615" s="29" t="n">
        <f aca="false">(IF(L$43&gt;=1,(Quesería!$B$31+Quesería!$B$33)*Quesería!$F$94*$O$11+Quesería!$B$32+'Beneficios y costos'!$B$211,0)+IF(L$43&gt;=2,((Quesería!$B$31+Quesería!$B$33)*Quesería!$F$95*$O$11+'Beneficios y costos'!$C$211)*$O$21,0))*$O$12</f>
        <v>95.9432442337815</v>
      </c>
    </row>
    <row r="616" customFormat="false" ht="15" hidden="true" customHeight="false" outlineLevel="1" collapsed="false">
      <c r="A616" s="6" t="s">
        <v>413</v>
      </c>
      <c r="B616" s="29" t="n">
        <f aca="false">IF(B$43=1,2*Quesería!$B$22*Quesería!$B$23/12*B607,0)*$O$21</f>
        <v>0</v>
      </c>
      <c r="C616" s="29" t="n">
        <f aca="false">IF(C$43=1,2*Quesería!$B$22*Quesería!$B$23/12*C607,0)*$O$21</f>
        <v>18.2606603773585</v>
      </c>
      <c r="D616" s="29" t="n">
        <f aca="false">IF(D$43=1,2*Quesería!$B$22*Quesería!$B$23/12*D607,0)*$O$21</f>
        <v>0</v>
      </c>
      <c r="E616" s="29" t="n">
        <f aca="false">IF(E$43=1,2*Quesería!$B$22*Quesería!$B$23/12*E607,0)*$O$21</f>
        <v>0</v>
      </c>
      <c r="F616" s="29" t="n">
        <f aca="false">IF(F$43=1,2*Quesería!$B$22*Quesería!$B$23/12*F607,0)*$O$21</f>
        <v>0</v>
      </c>
      <c r="G616" s="29" t="n">
        <f aca="false">IF(G$43=1,2*Quesería!$B$22*Quesería!$B$23/12*G607,0)*$O$21</f>
        <v>0</v>
      </c>
      <c r="H616" s="29" t="n">
        <f aca="false">IF(H$43=1,2*Quesería!$B$22*Quesería!$B$23/12*H607,0)*$O$21</f>
        <v>0</v>
      </c>
      <c r="I616" s="29" t="n">
        <f aca="false">IF(I$43=1,2*Quesería!$B$22*Quesería!$B$23/12*I607,0)*$O$21</f>
        <v>0</v>
      </c>
      <c r="J616" s="29" t="n">
        <f aca="false">IF(J$43=1,2*Quesería!$B$22*Quesería!$B$23/12*J607,0)*$O$21</f>
        <v>0</v>
      </c>
      <c r="K616" s="29" t="n">
        <f aca="false">IF(K$43=1,2*Quesería!$B$22*Quesería!$B$23/12*K607,0)*$O$21</f>
        <v>0</v>
      </c>
      <c r="L616" s="29" t="n">
        <f aca="false">IF(L$43=1,2*Quesería!$B$22*Quesería!$B$23/12*L607,0)*$O$21</f>
        <v>0</v>
      </c>
    </row>
    <row r="617" customFormat="false" ht="15" hidden="true" customHeight="false" outlineLevel="1" collapsed="false">
      <c r="A617" s="6" t="s">
        <v>414</v>
      </c>
      <c r="B617" s="29" t="n">
        <f aca="false">Quesería!$B$52*(B609+B610+B611+B615+B616)</f>
        <v>4.31966364396742</v>
      </c>
      <c r="C617" s="29" t="n">
        <f aca="false">Quesería!$B$52*(C609+C610+C611+C615+C616)</f>
        <v>3.85173399378429</v>
      </c>
      <c r="D617" s="29" t="n">
        <f aca="false">Quesería!$B$52*(D609+D610+D611+D615+D616)</f>
        <v>0.383772976935126</v>
      </c>
      <c r="E617" s="29" t="n">
        <f aca="false">Quesería!$B$52*(E609+E610+E611+E615+E616)</f>
        <v>0.383772976935126</v>
      </c>
      <c r="F617" s="29" t="n">
        <f aca="false">Quesería!$B$52*(F609+F610+F611+F615+F616)</f>
        <v>0.383772976935126</v>
      </c>
      <c r="G617" s="29" t="n">
        <f aca="false">Quesería!$B$52*(G609+G610+G611+G615+G616)</f>
        <v>0.514507411134964</v>
      </c>
      <c r="H617" s="29" t="n">
        <f aca="false">Quesería!$B$52*(H609+H610+H611+H615+H616)</f>
        <v>0.604585358119273</v>
      </c>
      <c r="I617" s="29" t="n">
        <f aca="false">Quesería!$B$52*(I609+I610+I611+I615+I616)</f>
        <v>0.383772976935126</v>
      </c>
      <c r="J617" s="29" t="n">
        <f aca="false">Quesería!$B$52*(J609+J610+J611+J615+J616)</f>
        <v>0.383772976935126</v>
      </c>
      <c r="K617" s="29" t="n">
        <f aca="false">Quesería!$B$52*(K609+K610+K611+K615+K616)</f>
        <v>0.383772976935126</v>
      </c>
      <c r="L617" s="29" t="n">
        <f aca="false">Quesería!$B$52*(L609+L610+L611+L615+L616)</f>
        <v>0.383772976935126</v>
      </c>
    </row>
    <row r="618" customFormat="false" ht="15" hidden="true" customHeight="false" outlineLevel="1" collapsed="false">
      <c r="A618" s="6" t="s">
        <v>415</v>
      </c>
      <c r="B618" s="29" t="n">
        <f aca="false">(IF($O$19=1,(SUMPRODUCT((Quesería!$C$70:$C$89=0)*(Quesería!$J$70:$J$89&gt;0)*(B$43&gt;=1)*(B$43&lt;=Quesería!$J$70:$J$89)*(Quesería!$H$70:$H$89&gt;0)*Quesería!$F$70:$F$89*(1+Quesería!$I$70:$I$89)/(Quesería!$J$70:$J$89+(Quesería!$J$70:$J$89=0)))+SUMPRODUCT((Quesería!$C$70:$C$89=0)*(Quesería!$J$70:$J$89=0)*(B$43=0)*(Quesería!$H$70:$H$89&gt;0)*Quesería!$F$70:$F$89*(1+Quesería!$I$70:$I$89)))*$B$606+(SUMPRODUCT((Quesería!$C$70:$C$89=1)*(Quesería!$J$70:$J$89&gt;0)*(B$43&gt;=2)*(B$43&lt;=Quesería!$J$70:$J$89+1)*(Quesería!$H$70:$H$89&gt;0)*Quesería!$F$70:$F$89*(1+Quesería!$I$70:$I$89)/(Quesería!$J$70:$J$89+(Quesería!$J$70:$J$89=0)))+SUMPRODUCT((Quesería!$C$70:$C$89=1)*(Quesería!$J$70:$J$89=0)*(B$43=1)*(Quesería!$H$70:$H$89&gt;0)*Quesería!$F$70:$F$89*(1+Quesería!$I$70:$I$89)))*$C$606*$O$21,IF(AND(B$43&gt;=1,B$43&lt;=Quesería!$B$30),Quesería!$F$92/Quesería!$B$30,0)*$B$606+IF(AND(B$43&gt;=2,B$43&lt;=Quesería!$B$30+1),Quesería!$F$93/Quesería!$B$30,0)*$C$606*$O$21)*$O$11+IF(AND(B$43&gt;=6,B$43&lt;=10),$G610*$G606/5,0)+IF(AND(B$43&gt;=7,B$43&lt;=11),$H610*$H606/5,0))*B608</f>
        <v>145.980915430742</v>
      </c>
      <c r="C618" s="29" t="n">
        <f aca="false">(IF($O$19=1,(SUMPRODUCT((Quesería!$C$70:$C$89=0)*(Quesería!$J$70:$J$89&gt;0)*(C$43&gt;=1)*(C$43&lt;=Quesería!$J$70:$J$89)*(Quesería!$H$70:$H$89&gt;0)*Quesería!$F$70:$F$89*(1+Quesería!$I$70:$I$89)/(Quesería!$J$70:$J$89+(Quesería!$J$70:$J$89=0)))+SUMPRODUCT((Quesería!$C$70:$C$89=0)*(Quesería!$J$70:$J$89=0)*(C$43=0)*(Quesería!$H$70:$H$89&gt;0)*Quesería!$F$70:$F$89*(1+Quesería!$I$70:$I$89)))*$B$606+(SUMPRODUCT((Quesería!$C$70:$C$89=1)*(Quesería!$J$70:$J$89&gt;0)*(C$43&gt;=2)*(C$43&lt;=Quesería!$J$70:$J$89+1)*(Quesería!$H$70:$H$89&gt;0)*Quesería!$F$70:$F$89*(1+Quesería!$I$70:$I$89)/(Quesería!$J$70:$J$89+(Quesería!$J$70:$J$89=0)))+SUMPRODUCT((Quesería!$C$70:$C$89=1)*(Quesería!$J$70:$J$89=0)*(C$43=1)*(Quesería!$H$70:$H$89&gt;0)*Quesería!$F$70:$F$89*(1+Quesería!$I$70:$I$89)))*$C$606*$O$21,IF(AND(C$43&gt;=1,C$43&lt;=Quesería!$B$30),Quesería!$F$92/Quesería!$B$30,0)*$B$606+IF(AND(C$43&gt;=2,C$43&lt;=Quesería!$B$30+1),Quesería!$F$93/Quesería!$B$30,0)*$C$606*$O$21)*$O$11+IF(AND(C$43&gt;=6,C$43&lt;=10),$G610*$G606/5,0)+IF(AND(C$43&gt;=7,C$43&lt;=11),$H610*$H606/5,0))*C608</f>
        <v>82.2633269524265</v>
      </c>
      <c r="D618" s="29" t="n">
        <f aca="false">(IF($O$19=1,(SUMPRODUCT((Quesería!$C$70:$C$89=0)*(Quesería!$J$70:$J$89&gt;0)*(D$43&gt;=1)*(D$43&lt;=Quesería!$J$70:$J$89)*(Quesería!$H$70:$H$89&gt;0)*Quesería!$F$70:$F$89*(1+Quesería!$I$70:$I$89)/(Quesería!$J$70:$J$89+(Quesería!$J$70:$J$89=0)))+SUMPRODUCT((Quesería!$C$70:$C$89=0)*(Quesería!$J$70:$J$89=0)*(D$43=0)*(Quesería!$H$70:$H$89&gt;0)*Quesería!$F$70:$F$89*(1+Quesería!$I$70:$I$89)))*$B$606+(SUMPRODUCT((Quesería!$C$70:$C$89=1)*(Quesería!$J$70:$J$89&gt;0)*(D$43&gt;=2)*(D$43&lt;=Quesería!$J$70:$J$89+1)*(Quesería!$H$70:$H$89&gt;0)*Quesería!$F$70:$F$89*(1+Quesería!$I$70:$I$89)/(Quesería!$J$70:$J$89+(Quesería!$J$70:$J$89=0)))+SUMPRODUCT((Quesería!$C$70:$C$89=1)*(Quesería!$J$70:$J$89=0)*(D$43=1)*(Quesería!$H$70:$H$89&gt;0)*Quesería!$F$70:$F$89*(1+Quesería!$I$70:$I$89)))*$C$606*$O$21,IF(AND(D$43&gt;=1,D$43&lt;=Quesería!$B$30),Quesería!$F$92/Quesería!$B$30,0)*$B$606+IF(AND(D$43&gt;=2,D$43&lt;=Quesería!$B$30+1),Quesería!$F$93/Quesería!$B$30,0)*$C$606*$O$21)*$O$11+IF(AND(D$43&gt;=6,D$43&lt;=10),$G610*$G606/5,0)+IF(AND(D$43&gt;=7,D$43&lt;=11),$H610*$H606/5,0))*D608</f>
        <v>151.301658966389</v>
      </c>
      <c r="E618" s="29" t="n">
        <f aca="false">(IF($O$19=1,(SUMPRODUCT((Quesería!$C$70:$C$89=0)*(Quesería!$J$70:$J$89&gt;0)*(E$43&gt;=1)*(E$43&lt;=Quesería!$J$70:$J$89)*(Quesería!$H$70:$H$89&gt;0)*Quesería!$F$70:$F$89*(1+Quesería!$I$70:$I$89)/(Quesería!$J$70:$J$89+(Quesería!$J$70:$J$89=0)))+SUMPRODUCT((Quesería!$C$70:$C$89=0)*(Quesería!$J$70:$J$89=0)*(E$43=0)*(Quesería!$H$70:$H$89&gt;0)*Quesería!$F$70:$F$89*(1+Quesería!$I$70:$I$89)))*$B$606+(SUMPRODUCT((Quesería!$C$70:$C$89=1)*(Quesería!$J$70:$J$89&gt;0)*(E$43&gt;=2)*(E$43&lt;=Quesería!$J$70:$J$89+1)*(Quesería!$H$70:$H$89&gt;0)*Quesería!$F$70:$F$89*(1+Quesería!$I$70:$I$89)/(Quesería!$J$70:$J$89+(Quesería!$J$70:$J$89=0)))+SUMPRODUCT((Quesería!$C$70:$C$89=1)*(Quesería!$J$70:$J$89=0)*(E$43=1)*(Quesería!$H$70:$H$89&gt;0)*Quesería!$F$70:$F$89*(1+Quesería!$I$70:$I$89)))*$C$606*$O$21,IF(AND(E$43&gt;=1,E$43&lt;=Quesería!$B$30),Quesería!$F$92/Quesería!$B$30,0)*$B$606+IF(AND(E$43&gt;=2,E$43&lt;=Quesería!$B$30+1),Quesería!$F$93/Quesería!$B$30,0)*$C$606*$O$21)*$O$11+IF(AND(E$43&gt;=6,E$43&lt;=10),$G610*$G606/5,0)+IF(AND(E$43&gt;=7,E$43&lt;=11),$H610*$H606/5,0))*E608</f>
        <v>145.482364390759</v>
      </c>
      <c r="F618" s="29" t="n">
        <f aca="false">(IF($O$19=1,(SUMPRODUCT((Quesería!$C$70:$C$89=0)*(Quesería!$J$70:$J$89&gt;0)*(F$43&gt;=1)*(F$43&lt;=Quesería!$J$70:$J$89)*(Quesería!$H$70:$H$89&gt;0)*Quesería!$F$70:$F$89*(1+Quesería!$I$70:$I$89)/(Quesería!$J$70:$J$89+(Quesería!$J$70:$J$89=0)))+SUMPRODUCT((Quesería!$C$70:$C$89=0)*(Quesería!$J$70:$J$89=0)*(F$43=0)*(Quesería!$H$70:$H$89&gt;0)*Quesería!$F$70:$F$89*(1+Quesería!$I$70:$I$89)))*$B$606+(SUMPRODUCT((Quesería!$C$70:$C$89=1)*(Quesería!$J$70:$J$89&gt;0)*(F$43&gt;=2)*(F$43&lt;=Quesería!$J$70:$J$89+1)*(Quesería!$H$70:$H$89&gt;0)*Quesería!$F$70:$F$89*(1+Quesería!$I$70:$I$89)/(Quesería!$J$70:$J$89+(Quesería!$J$70:$J$89=0)))+SUMPRODUCT((Quesería!$C$70:$C$89=1)*(Quesería!$J$70:$J$89=0)*(F$43=1)*(Quesería!$H$70:$H$89&gt;0)*Quesería!$F$70:$F$89*(1+Quesería!$I$70:$I$89)))*$C$606*$O$21,IF(AND(F$43&gt;=1,F$43&lt;=Quesería!$B$30),Quesería!$F$92/Quesería!$B$30,0)*$B$606+IF(AND(F$43&gt;=2,F$43&lt;=Quesería!$B$30+1),Quesería!$F$93/Quesería!$B$30,0)*$C$606*$O$21)*$O$11+IF(AND(F$43&gt;=6,F$43&lt;=10),$G610*$G606/5,0)+IF(AND(F$43&gt;=7,F$43&lt;=11),$H610*$H606/5,0))*F608</f>
        <v>139.886888837268</v>
      </c>
      <c r="G618" s="29" t="n">
        <f aca="false">(IF($O$19=1,(SUMPRODUCT((Quesería!$C$70:$C$89=0)*(Quesería!$J$70:$J$89&gt;0)*(G$43&gt;=1)*(G$43&lt;=Quesería!$J$70:$J$89)*(Quesería!$H$70:$H$89&gt;0)*Quesería!$F$70:$F$89*(1+Quesería!$I$70:$I$89)/(Quesería!$J$70:$J$89+(Quesería!$J$70:$J$89=0)))+SUMPRODUCT((Quesería!$C$70:$C$89=0)*(Quesería!$J$70:$J$89=0)*(G$43=0)*(Quesería!$H$70:$H$89&gt;0)*Quesería!$F$70:$F$89*(1+Quesería!$I$70:$I$89)))*$B$606+(SUMPRODUCT((Quesería!$C$70:$C$89=1)*(Quesería!$J$70:$J$89&gt;0)*(G$43&gt;=2)*(G$43&lt;=Quesería!$J$70:$J$89+1)*(Quesería!$H$70:$H$89&gt;0)*Quesería!$F$70:$F$89*(1+Quesería!$I$70:$I$89)/(Quesería!$J$70:$J$89+(Quesería!$J$70:$J$89=0)))+SUMPRODUCT((Quesería!$C$70:$C$89=1)*(Quesería!$J$70:$J$89=0)*(G$43=1)*(Quesería!$H$70:$H$89&gt;0)*Quesería!$F$70:$F$89*(1+Quesería!$I$70:$I$89)))*$C$606*$O$21,IF(AND(G$43&gt;=1,G$43&lt;=Quesería!$B$30),Quesería!$F$92/Quesería!$B$30,0)*$B$606+IF(AND(G$43&gt;=2,G$43&lt;=Quesería!$B$30+1),Quesería!$F$93/Quesería!$B$30,0)*$C$606*$O$21)*$O$11+IF(AND(G$43&gt;=6,G$43&lt;=10),$G610*$G606/5,0)+IF(AND(G$43&gt;=7,G$43&lt;=11),$H610*$H606/5,0))*G608</f>
        <v>134.506623881988</v>
      </c>
      <c r="H618" s="29" t="n">
        <f aca="false">(IF($O$19=1,(SUMPRODUCT((Quesería!$C$70:$C$89=0)*(Quesería!$J$70:$J$89&gt;0)*(H$43&gt;=1)*(H$43&lt;=Quesería!$J$70:$J$89)*(Quesería!$H$70:$H$89&gt;0)*Quesería!$F$70:$F$89*(1+Quesería!$I$70:$I$89)/(Quesería!$J$70:$J$89+(Quesería!$J$70:$J$89=0)))+SUMPRODUCT((Quesería!$C$70:$C$89=0)*(Quesería!$J$70:$J$89=0)*(H$43=0)*(Quesería!$H$70:$H$89&gt;0)*Quesería!$F$70:$F$89*(1+Quesería!$I$70:$I$89)))*$B$606+(SUMPRODUCT((Quesería!$C$70:$C$89=1)*(Quesería!$J$70:$J$89&gt;0)*(H$43&gt;=2)*(H$43&lt;=Quesería!$J$70:$J$89+1)*(Quesería!$H$70:$H$89&gt;0)*Quesería!$F$70:$F$89*(1+Quesería!$I$70:$I$89)/(Quesería!$J$70:$J$89+(Quesería!$J$70:$J$89=0)))+SUMPRODUCT((Quesería!$C$70:$C$89=1)*(Quesería!$J$70:$J$89=0)*(H$43=1)*(Quesería!$H$70:$H$89&gt;0)*Quesería!$F$70:$F$89*(1+Quesería!$I$70:$I$89)))*$C$606*$O$21,IF(AND(H$43&gt;=1,H$43&lt;=Quesería!$B$30),Quesería!$F$92/Quesería!$B$30,0)*$B$606+IF(AND(H$43&gt;=2,H$43&lt;=Quesería!$B$30+1),Quesería!$F$93/Quesería!$B$30,0)*$C$606*$O$21)*$O$11+IF(AND(H$43&gt;=6,H$43&lt;=10),$G610*$G606/5,0)+IF(AND(H$43&gt;=7,H$43&lt;=11),$H610*$H606/5,0))*H608</f>
        <v>122.314670590318</v>
      </c>
      <c r="I618" s="29" t="n">
        <f aca="false">(IF($O$19=1,(SUMPRODUCT((Quesería!$C$70:$C$89=0)*(Quesería!$J$70:$J$89&gt;0)*(I$43&gt;=1)*(I$43&lt;=Quesería!$J$70:$J$89)*(Quesería!$H$70:$H$89&gt;0)*Quesería!$F$70:$F$89*(1+Quesería!$I$70:$I$89)/(Quesería!$J$70:$J$89+(Quesería!$J$70:$J$89=0)))+SUMPRODUCT((Quesería!$C$70:$C$89=0)*(Quesería!$J$70:$J$89=0)*(I$43=0)*(Quesería!$H$70:$H$89&gt;0)*Quesería!$F$70:$F$89*(1+Quesería!$I$70:$I$89)))*$B$606+(SUMPRODUCT((Quesería!$C$70:$C$89=1)*(Quesería!$J$70:$J$89&gt;0)*(I$43&gt;=2)*(I$43&lt;=Quesería!$J$70:$J$89+1)*(Quesería!$H$70:$H$89&gt;0)*Quesería!$F$70:$F$89*(1+Quesería!$I$70:$I$89)/(Quesería!$J$70:$J$89+(Quesería!$J$70:$J$89=0)))+SUMPRODUCT((Quesería!$C$70:$C$89=1)*(Quesería!$J$70:$J$89=0)*(I$43=1)*(Quesería!$H$70:$H$89&gt;0)*Quesería!$F$70:$F$89*(1+Quesería!$I$70:$I$89)))*$C$606*$O$21,IF(AND(I$43&gt;=1,I$43&lt;=Quesería!$B$30),Quesería!$F$92/Quesería!$B$30,0)*$B$606+IF(AND(I$43&gt;=2,I$43&lt;=Quesería!$B$30+1),Quesería!$F$93/Quesería!$B$30,0)*$C$606*$O$21)*$O$11+IF(AND(I$43&gt;=6,I$43&lt;=10),$G610*$G606/5,0)+IF(AND(I$43&gt;=7,I$43&lt;=11),$H610*$H606/5,0))*I608</f>
        <v>126.531251665874</v>
      </c>
      <c r="J618" s="29" t="n">
        <f aca="false">(IF($O$19=1,(SUMPRODUCT((Quesería!$C$70:$C$89=0)*(Quesería!$J$70:$J$89&gt;0)*(J$43&gt;=1)*(J$43&lt;=Quesería!$J$70:$J$89)*(Quesería!$H$70:$H$89&gt;0)*Quesería!$F$70:$F$89*(1+Quesería!$I$70:$I$89)/(Quesería!$J$70:$J$89+(Quesería!$J$70:$J$89=0)))+SUMPRODUCT((Quesería!$C$70:$C$89=0)*(Quesería!$J$70:$J$89=0)*(J$43=0)*(Quesería!$H$70:$H$89&gt;0)*Quesería!$F$70:$F$89*(1+Quesería!$I$70:$I$89)))*$B$606+(SUMPRODUCT((Quesería!$C$70:$C$89=1)*(Quesería!$J$70:$J$89&gt;0)*(J$43&gt;=2)*(J$43&lt;=Quesería!$J$70:$J$89+1)*(Quesería!$H$70:$H$89&gt;0)*Quesería!$F$70:$F$89*(1+Quesería!$I$70:$I$89)/(Quesería!$J$70:$J$89+(Quesería!$J$70:$J$89=0)))+SUMPRODUCT((Quesería!$C$70:$C$89=1)*(Quesería!$J$70:$J$89=0)*(J$43=1)*(Quesería!$H$70:$H$89&gt;0)*Quesería!$F$70:$F$89*(1+Quesería!$I$70:$I$89)))*$C$606*$O$21,IF(AND(J$43&gt;=1,J$43&lt;=Quesería!$B$30),Quesería!$F$92/Quesería!$B$30,0)*$B$606+IF(AND(J$43&gt;=2,J$43&lt;=Quesería!$B$30+1),Quesería!$F$93/Quesería!$B$30,0)*$C$606*$O$21)*$O$11+IF(AND(J$43&gt;=6,J$43&lt;=10),$G610*$G606/5,0)+IF(AND(J$43&gt;=7,J$43&lt;=11),$H610*$H606/5,0))*J608</f>
        <v>121.66466506334</v>
      </c>
      <c r="K618" s="29" t="n">
        <f aca="false">(IF($O$19=1,(SUMPRODUCT((Quesería!$C$70:$C$89=0)*(Quesería!$J$70:$J$89&gt;0)*(K$43&gt;=1)*(K$43&lt;=Quesería!$J$70:$J$89)*(Quesería!$H$70:$H$89&gt;0)*Quesería!$F$70:$F$89*(1+Quesería!$I$70:$I$89)/(Quesería!$J$70:$J$89+(Quesería!$J$70:$J$89=0)))+SUMPRODUCT((Quesería!$C$70:$C$89=0)*(Quesería!$J$70:$J$89=0)*(K$43=0)*(Quesería!$H$70:$H$89&gt;0)*Quesería!$F$70:$F$89*(1+Quesería!$I$70:$I$89)))*$B$606+(SUMPRODUCT((Quesería!$C$70:$C$89=1)*(Quesería!$J$70:$J$89&gt;0)*(K$43&gt;=2)*(K$43&lt;=Quesería!$J$70:$J$89+1)*(Quesería!$H$70:$H$89&gt;0)*Quesería!$F$70:$F$89*(1+Quesería!$I$70:$I$89)/(Quesería!$J$70:$J$89+(Quesería!$J$70:$J$89=0)))+SUMPRODUCT((Quesería!$C$70:$C$89=1)*(Quesería!$J$70:$J$89=0)*(K$43=1)*(Quesería!$H$70:$H$89&gt;0)*Quesería!$F$70:$F$89*(1+Quesería!$I$70:$I$89)))*$C$606*$O$21,IF(AND(K$43&gt;=1,K$43&lt;=Quesería!$B$30),Quesería!$F$92/Quesería!$B$30,0)*$B$606+IF(AND(K$43&gt;=2,K$43&lt;=Quesería!$B$30+1),Quesería!$F$93/Quesería!$B$30,0)*$C$606*$O$21)*$O$11+IF(AND(K$43&gt;=6,K$43&lt;=10),$G610*$G606/5,0)+IF(AND(K$43&gt;=7,K$43&lt;=11),$H610*$H606/5,0))*K608</f>
        <v>116.985254868597</v>
      </c>
      <c r="L618" s="29" t="n">
        <f aca="false">(IF($O$19=1,(SUMPRODUCT((Quesería!$C$70:$C$89=0)*(Quesería!$J$70:$J$89&gt;0)*(L$43&gt;=1)*(L$43&lt;=Quesería!$J$70:$J$89)*(Quesería!$H$70:$H$89&gt;0)*Quesería!$F$70:$F$89*(1+Quesería!$I$70:$I$89)/(Quesería!$J$70:$J$89+(Quesería!$J$70:$J$89=0)))+SUMPRODUCT((Quesería!$C$70:$C$89=0)*(Quesería!$J$70:$J$89=0)*(L$43=0)*(Quesería!$H$70:$H$89&gt;0)*Quesería!$F$70:$F$89*(1+Quesería!$I$70:$I$89)))*$B$606+(SUMPRODUCT((Quesería!$C$70:$C$89=1)*(Quesería!$J$70:$J$89&gt;0)*(L$43&gt;=2)*(L$43&lt;=Quesería!$J$70:$J$89+1)*(Quesería!$H$70:$H$89&gt;0)*Quesería!$F$70:$F$89*(1+Quesería!$I$70:$I$89)/(Quesería!$J$70:$J$89+(Quesería!$J$70:$J$89=0)))+SUMPRODUCT((Quesería!$C$70:$C$89=1)*(Quesería!$J$70:$J$89=0)*(L$43=1)*(Quesería!$H$70:$H$89&gt;0)*Quesería!$F$70:$F$89*(1+Quesería!$I$70:$I$89)))*$C$606*$O$21,IF(AND(L$43&gt;=1,L$43&lt;=Quesería!$B$30),Quesería!$F$92/Quesería!$B$30,0)*$B$606+IF(AND(L$43&gt;=2,L$43&lt;=Quesería!$B$30+1),Quesería!$F$93/Quesería!$B$30,0)*$C$606*$O$21)*$O$11+IF(AND(L$43&gt;=6,L$43&lt;=10),$G610*$G606/5,0)+IF(AND(L$43&gt;=7,L$43&lt;=11),$H610*$H606/5,0))*L608</f>
        <v>112.485821989035</v>
      </c>
    </row>
    <row r="619" customFormat="false" ht="15" hidden="true" customHeight="false" outlineLevel="1" collapsed="false">
      <c r="A619" s="9" t="s">
        <v>416</v>
      </c>
      <c r="B619" s="58" t="n">
        <f aca="false">IF(B$43=1,MIN($O$7*Quesería!$B$56*Quesería!$F$86*$O$11*$O$21,Quesería!$B$57*Quesería!$B$58),0)</f>
        <v>0</v>
      </c>
      <c r="C619" s="58" t="n">
        <f aca="false">IF(C$43=1,MIN($O$7*Quesería!$B$56*Quesería!$F$86*$O$11*$O$21,Quesería!$B$57*Quesería!$B$58),0)</f>
        <v>20</v>
      </c>
      <c r="D619" s="58" t="n">
        <f aca="false">IF(D$43=1,MIN($O$7*Quesería!$B$56*Quesería!$F$86*$O$11*$O$21,Quesería!$B$57*Quesería!$B$58),0)</f>
        <v>0</v>
      </c>
      <c r="E619" s="58" t="n">
        <f aca="false">IF(E$43=1,MIN($O$7*Quesería!$B$56*Quesería!$F$86*$O$11*$O$21,Quesería!$B$57*Quesería!$B$58),0)</f>
        <v>0</v>
      </c>
      <c r="F619" s="58" t="n">
        <f aca="false">IF(F$43=1,MIN($O$7*Quesería!$B$56*Quesería!$F$86*$O$11*$O$21,Quesería!$B$57*Quesería!$B$58),0)</f>
        <v>0</v>
      </c>
      <c r="G619" s="58" t="n">
        <f aca="false">IF(G$43=1,MIN($O$7*Quesería!$B$56*Quesería!$F$86*$O$11*$O$21,Quesería!$B$57*Quesería!$B$58),0)</f>
        <v>0</v>
      </c>
      <c r="H619" s="58" t="n">
        <f aca="false">IF(H$43=1,MIN($O$7*Quesería!$B$56*Quesería!$F$86*$O$11*$O$21,Quesería!$B$57*Quesería!$B$58),0)</f>
        <v>0</v>
      </c>
      <c r="I619" s="58" t="n">
        <f aca="false">IF(I$43=1,MIN($O$7*Quesería!$B$56*Quesería!$F$86*$O$11*$O$21,Quesería!$B$57*Quesería!$B$58),0)</f>
        <v>0</v>
      </c>
      <c r="J619" s="58" t="n">
        <f aca="false">IF(J$43=1,MIN($O$7*Quesería!$B$56*Quesería!$F$86*$O$11*$O$21,Quesería!$B$57*Quesería!$B$58),0)</f>
        <v>0</v>
      </c>
      <c r="K619" s="58" t="n">
        <f aca="false">IF(K$43=1,MIN($O$7*Quesería!$B$56*Quesería!$F$86*$O$11*$O$21,Quesería!$B$57*Quesería!$B$58),0)</f>
        <v>0</v>
      </c>
      <c r="L619" s="58" t="n">
        <f aca="false">IF(L$43=1,MIN($O$7*Quesería!$B$56*Quesería!$F$86*$O$11*$O$21,Quesería!$B$57*Quesería!$B$58),0)</f>
        <v>0</v>
      </c>
    </row>
    <row r="620" customFormat="false" ht="15" hidden="true" customHeight="false" outlineLevel="1" collapsed="false">
      <c r="A620" s="9" t="s">
        <v>417</v>
      </c>
      <c r="B620" s="58" t="n">
        <v>0</v>
      </c>
      <c r="C620" s="58" t="n">
        <f aca="false">$O$20*Quesería!$B$60*Quesería!$F$98*$O$11*$B$606/C606/2</f>
        <v>138.12868344741</v>
      </c>
      <c r="D620" s="58" t="n">
        <f aca="false">$O$20*Quesería!$B$60*Quesería!$F$98*$O$11*$B$606/D606/2</f>
        <v>132.18055832288</v>
      </c>
      <c r="E620" s="58" t="n">
        <v>0</v>
      </c>
      <c r="F620" s="58" t="n">
        <v>0</v>
      </c>
      <c r="G620" s="58" t="n">
        <v>0</v>
      </c>
      <c r="H620" s="58" t="n">
        <v>0</v>
      </c>
      <c r="I620" s="58" t="n">
        <v>0</v>
      </c>
      <c r="J620" s="58" t="n">
        <v>0</v>
      </c>
      <c r="K620" s="58" t="n">
        <v>0</v>
      </c>
      <c r="L620" s="58" t="n">
        <v>0</v>
      </c>
    </row>
    <row r="621" customFormat="false" ht="15" hidden="true" customHeight="false" outlineLevel="1" collapsed="false">
      <c r="A621" s="9" t="s">
        <v>418</v>
      </c>
      <c r="B621" s="58" t="n">
        <f aca="false">0</f>
        <v>0</v>
      </c>
      <c r="C621" s="58" t="n">
        <f aca="false">B611*B606/C606</f>
        <v>142.014925295407</v>
      </c>
      <c r="D621" s="58" t="n">
        <f aca="false">C611*C606/D606</f>
        <v>137.903466668091</v>
      </c>
      <c r="E621" s="58" t="n">
        <f aca="false">D611*D606/E606</f>
        <v>0</v>
      </c>
      <c r="F621" s="58" t="n">
        <f aca="false">E611*E606/F606</f>
        <v>0</v>
      </c>
      <c r="G621" s="58" t="n">
        <f aca="false">F611*F606/G606</f>
        <v>0</v>
      </c>
      <c r="H621" s="58" t="n">
        <f aca="false">G611*G606/H606</f>
        <v>5.01768392412113</v>
      </c>
      <c r="I621" s="58" t="n">
        <f aca="false">H611*H606/I606</f>
        <v>8.47494190873221</v>
      </c>
      <c r="J621" s="58" t="n">
        <f aca="false">I611*I606/J606</f>
        <v>0</v>
      </c>
      <c r="K621" s="58" t="n">
        <f aca="false">J611*J606/K606</f>
        <v>0</v>
      </c>
      <c r="L621" s="58" t="n">
        <f aca="false">K611*K606/L606</f>
        <v>0</v>
      </c>
    </row>
    <row r="622" customFormat="false" ht="15" hidden="true" customHeight="false" outlineLevel="1" collapsed="false">
      <c r="A622" s="6" t="s">
        <v>295</v>
      </c>
      <c r="B622" s="29" t="n">
        <f aca="false">$O$17*(B614-B615-B616-0.5*B617-B618)-B619-B620-B621</f>
        <v>-9.59839124703308</v>
      </c>
      <c r="C622" s="29" t="n">
        <f aca="false">$O$17*(C614-C615-C616-0.5*C617-C618)-C619-C620-C621</f>
        <v>-287.313176119426</v>
      </c>
      <c r="D622" s="29" t="n">
        <f aca="false">$O$17*(D614-D615-D616-0.5*D617-D618)-D619-D620-D621</f>
        <v>-190.017367196671</v>
      </c>
      <c r="E622" s="29" t="n">
        <f aca="false">$O$17*(E614-E615-E616-0.5*E617-E618)-E619-E620-E621</f>
        <v>104.433494842459</v>
      </c>
      <c r="F622" s="29" t="n">
        <f aca="false">$O$17*(F614-F615-F616-0.5*F617-F618)-F619-F620-F621</f>
        <v>106.498638966154</v>
      </c>
      <c r="G622" s="29" t="n">
        <f aca="false">$O$17*(G614-G615-G616-0.5*G617-G618)-G619-G620-G621</f>
        <v>108.46611449289</v>
      </c>
      <c r="H622" s="29" t="n">
        <f aca="false">$O$17*(H614-H615-H616-0.5*H617-H618)-H619-H620-H621</f>
        <v>107.807648205096</v>
      </c>
      <c r="I622" s="29" t="n">
        <f aca="false">$O$17*(I614-I615-I616-0.5*I617-I618)-I619-I620-I621</f>
        <v>103.021565623837</v>
      </c>
      <c r="J622" s="29" t="n">
        <f aca="false">$O$17*(J614-J615-J616-0.5*J617-J618)-J619-J620-J621</f>
        <v>113.308691139611</v>
      </c>
      <c r="K622" s="29" t="n">
        <f aca="false">$O$17*(K614-K615-K616-0.5*K617-K618)-K619-K620-K621</f>
        <v>115.055907395407</v>
      </c>
      <c r="L622" s="29" t="n">
        <f aca="false">$O$17*(L614-L615-L616-0.5*L617-L618)-L619-L620-L621</f>
        <v>116.740678704327</v>
      </c>
    </row>
    <row r="623" customFormat="false" ht="15" hidden="true" customHeight="false" outlineLevel="1" collapsed="false">
      <c r="A623" s="9" t="s">
        <v>419</v>
      </c>
      <c r="B623" s="58" t="n">
        <f aca="false">(IF(B$43&gt;=1,Quesería!$G$123*IF(B$43=1,Quesería!$B$20,1),Quesería!$G$123*Quesería!$B$20*Quesería!$B$21/12*$O$23)+IF(B$43&gt;=2,Quesería!$G$124*$O$21*IF(B$43=2,Quesería!$B$20,1),0))*$O$10</f>
        <v>77.4042870161869</v>
      </c>
      <c r="C623" s="58" t="n">
        <f aca="false">(IF(C$43&gt;=1,Quesería!$G$123*IF(C$43=1,Quesería!$B$20,1),Quesería!$G$123*Quesería!$B$20*Quesería!$B$21/12*$O$23)+IF(C$43&gt;=2,Quesería!$G$124*$O$21*IF(C$43=2,Quesería!$B$20,1),0))*$O$10</f>
        <v>116.10643052428</v>
      </c>
      <c r="D623" s="58" t="n">
        <f aca="false">(IF(D$43&gt;=1,Quesería!$G$123*IF(D$43=1,Quesería!$B$20,1),Quesería!$G$123*Quesería!$B$20*Quesería!$B$21/12*$O$23)+IF(D$43&gt;=2,Quesería!$G$124*$O$21*IF(D$43=2,Quesería!$B$20,1),0))*$O$10</f>
        <v>297.090260202792</v>
      </c>
      <c r="E623" s="58" t="n">
        <f aca="false">(IF(E$43&gt;=1,Quesería!$G$123*IF(E$43=1,Quesería!$B$20,1),Quesería!$G$123*Quesería!$B$20*Quesería!$B$21/12*$O$23)+IF(E$43&gt;=2,Quesería!$G$124*$O$21*IF(E$43=2,Quesería!$B$20,1),0))*$O$10</f>
        <v>344.517488926264</v>
      </c>
      <c r="F623" s="58" t="n">
        <f aca="false">(IF(F$43&gt;=1,Quesería!$G$123*IF(F$43=1,Quesería!$B$20,1),Quesería!$G$123*Quesería!$B$20*Quesería!$B$21/12*$O$23)+IF(F$43&gt;=2,Quesería!$G$124*$O$21*IF(F$43=2,Quesería!$B$20,1),0))*$O$10</f>
        <v>344.517488926264</v>
      </c>
      <c r="G623" s="58" t="n">
        <f aca="false">(IF(G$43&gt;=1,Quesería!$G$123*IF(G$43=1,Quesería!$B$20,1),Quesería!$G$123*Quesería!$B$20*Quesería!$B$21/12*$O$23)+IF(G$43&gt;=2,Quesería!$G$124*$O$21*IF(G$43=2,Quesería!$B$20,1),0))*$O$10</f>
        <v>344.517488926264</v>
      </c>
      <c r="H623" s="58" t="n">
        <f aca="false">(IF(H$43&gt;=1,Quesería!$G$123*IF(H$43=1,Quesería!$B$20,1),Quesería!$G$123*Quesería!$B$20*Quesería!$B$21/12*$O$23)+IF(H$43&gt;=2,Quesería!$G$124*$O$21*IF(H$43=2,Quesería!$B$20,1),0))*$O$10</f>
        <v>344.517488926264</v>
      </c>
      <c r="I623" s="58" t="n">
        <f aca="false">(IF(I$43&gt;=1,Quesería!$G$123*IF(I$43=1,Quesería!$B$20,1),Quesería!$G$123*Quesería!$B$20*Quesería!$B$21/12*$O$23)+IF(I$43&gt;=2,Quesería!$G$124*$O$21*IF(I$43=2,Quesería!$B$20,1),0))*$O$10</f>
        <v>344.517488926264</v>
      </c>
      <c r="J623" s="58" t="n">
        <f aca="false">(IF(J$43&gt;=1,Quesería!$G$123*IF(J$43=1,Quesería!$B$20,1),Quesería!$G$123*Quesería!$B$20*Quesería!$B$21/12*$O$23)+IF(J$43&gt;=2,Quesería!$G$124*$O$21*IF(J$43=2,Quesería!$B$20,1),0))*$O$10</f>
        <v>344.517488926264</v>
      </c>
      <c r="K623" s="58" t="n">
        <f aca="false">(IF(K$43&gt;=1,Quesería!$G$123*IF(K$43=1,Quesería!$B$20,1),Quesería!$G$123*Quesería!$B$20*Quesería!$B$21/12*$O$23)+IF(K$43&gt;=2,Quesería!$G$124*$O$21*IF(K$43=2,Quesería!$B$20,1),0))*$O$10</f>
        <v>344.517488926264</v>
      </c>
      <c r="L623" s="58" t="n">
        <f aca="false">(IF(L$43&gt;=1,Quesería!$G$123*IF(L$43=1,Quesería!$B$20,1),Quesería!$G$123*Quesería!$B$20*Quesería!$B$21/12*$O$23)+IF(L$43&gt;=2,Quesería!$G$124*$O$21*IF(L$43=2,Quesería!$B$20,1),0))*$O$10</f>
        <v>344.517488926264</v>
      </c>
    </row>
    <row r="624" customFormat="false" ht="15" hidden="true" customHeight="false" outlineLevel="1" collapsed="false">
      <c r="A624" s="6" t="s">
        <v>420</v>
      </c>
      <c r="B624" s="29" t="n">
        <f aca="false">(B623*(Quesería!$B$38+Quesería!$B$40*Quesería!$B$39)/365-B615*Quesería!$B$42/365)</f>
        <v>7.23146900616979</v>
      </c>
      <c r="C624" s="29" t="n">
        <f aca="false">(C623*(Quesería!$B$38+Quesería!$B$40*Quesería!$B$39)/365-C615*Quesería!$B$42/365)-(B623*(Quesería!$B$38+Quesería!$B$40*Quesería!$B$39)/365-B615*Quesería!$B$42/365)*B606/C606</f>
        <v>1.42287846600884</v>
      </c>
      <c r="D624" s="29" t="n">
        <f aca="false">(D623*(Quesería!$B$38+Quesería!$B$40*Quesería!$B$39)/365-D615*Quesería!$B$42/365)-(C623*(Quesería!$B$38+Quesería!$B$40*Quesería!$B$39)/365-C615*Quesería!$B$42/365)*C606/D606</f>
        <v>14.0205300736897</v>
      </c>
      <c r="E624" s="29" t="n">
        <f aca="false">(E623*(Quesería!$B$38+Quesería!$B$40*Quesería!$B$39)/365-E615*Quesería!$B$42/365)-(D623*(Quesería!$B$38+Quesería!$B$40*Quesería!$B$39)/365-D615*Quesería!$B$42/365)*D606/E606</f>
        <v>5.27597549905193</v>
      </c>
      <c r="F624" s="29" t="n">
        <f aca="false">(F623*(Quesería!$B$38+Quesería!$B$40*Quesería!$B$39)/365-F615*Quesería!$B$42/365)-(E623*(Quesería!$B$38+Quesería!$B$40*Quesería!$B$39)/365-E615*Quesería!$B$42/365)*E606/F606</f>
        <v>1.01552107473577</v>
      </c>
      <c r="G624" s="29" t="n">
        <f aca="false">(G623*(Quesería!$B$38+Quesería!$B$40*Quesería!$B$39)/365-G615*Quesería!$B$42/365)-(F623*(Quesería!$B$38+Quesería!$B$40*Quesería!$B$39)/365-F615*Quesería!$B$42/365)*F606/G606</f>
        <v>1.01552107473577</v>
      </c>
      <c r="H624" s="29" t="n">
        <f aca="false">(H623*(Quesería!$B$38+Quesería!$B$40*Quesería!$B$39)/365-H615*Quesería!$B$42/365)-(G623*(Quesería!$B$38+Quesería!$B$40*Quesería!$B$39)/365-G615*Quesería!$B$42/365)*G606/H606</f>
        <v>1.01552107473577</v>
      </c>
      <c r="I624" s="29" t="n">
        <f aca="false">(I623*(Quesería!$B$38+Quesería!$B$40*Quesería!$B$39)/365-I615*Quesería!$B$42/365)-(H623*(Quesería!$B$38+Quesería!$B$40*Quesería!$B$39)/365-H615*Quesería!$B$42/365)*H606/I606</f>
        <v>1.01552107473577</v>
      </c>
      <c r="J624" s="29" t="n">
        <f aca="false">(J623*(Quesería!$B$38+Quesería!$B$40*Quesería!$B$39)/365-J615*Quesería!$B$42/365)-(I623*(Quesería!$B$38+Quesería!$B$40*Quesería!$B$39)/365-I615*Quesería!$B$42/365)*I606/J606</f>
        <v>1.01552107473577</v>
      </c>
      <c r="K624" s="29" t="n">
        <f aca="false">(K623*(Quesería!$B$38+Quesería!$B$40*Quesería!$B$39)/365-K615*Quesería!$B$42/365)-(J623*(Quesería!$B$38+Quesería!$B$40*Quesería!$B$39)/365-J615*Quesería!$B$42/365)*J606/K606</f>
        <v>1.01552107473577</v>
      </c>
      <c r="L624" s="29" t="n">
        <f aca="false">-(K623*(Quesería!$B$38+Quesería!$B$40*Quesería!$B$39)/365-K615*Quesería!$B$42/365)*K606/L606</f>
        <v>-25.3880268683941</v>
      </c>
    </row>
    <row r="625" customFormat="false" ht="15" hidden="true" customHeight="false" outlineLevel="1" collapsed="false">
      <c r="A625" s="6" t="s">
        <v>421</v>
      </c>
      <c r="B625" s="29" t="n">
        <v>0</v>
      </c>
      <c r="C625" s="29" t="n">
        <v>0</v>
      </c>
      <c r="D625" s="29" t="n">
        <v>0</v>
      </c>
      <c r="E625" s="29" t="n">
        <v>0</v>
      </c>
      <c r="F625" s="29" t="n">
        <v>0</v>
      </c>
      <c r="G625" s="29" t="n">
        <v>0</v>
      </c>
      <c r="H625" s="29" t="n">
        <v>0</v>
      </c>
      <c r="I625" s="29" t="n">
        <v>0</v>
      </c>
      <c r="J625" s="29" t="n">
        <v>0</v>
      </c>
      <c r="K625" s="29" t="n">
        <v>0</v>
      </c>
      <c r="L625" s="29" t="n">
        <f aca="false">$O$8*Quesería!$B$36*(Quesería!$F$94+Quesería!$F$95*$O$21)*$O$11*(1-$O$17)</f>
        <v>67.1237725584543</v>
      </c>
    </row>
    <row r="626" customFormat="false" ht="15" hidden="true" customHeight="false" outlineLevel="1" collapsed="false">
      <c r="A626" s="5" t="s">
        <v>147</v>
      </c>
      <c r="B626" s="59" t="n">
        <f aca="false">B614-B615-B616-B617-B622-B609-B610-B611-B624+B625</f>
        <v>-961.151880133756</v>
      </c>
      <c r="C626" s="59" t="n">
        <f aca="false">C614-C615-C616-C617-C622-C609-C610-C611-C624+C625</f>
        <v>-499.692052809729</v>
      </c>
      <c r="D626" s="59" t="n">
        <f aca="false">D614-D615-D616-D617-D622-D609-D610-D611-D624+D625</f>
        <v>555.868489013187</v>
      </c>
      <c r="E626" s="59" t="n">
        <f aca="false">E614-E615-E616-E617-E622-E609-E610-E611-E624+E625</f>
        <v>333.962421396377</v>
      </c>
      <c r="F626" s="59" t="n">
        <f aca="false">F614-F615-F616-F617-F622-F609-F610-F611-F624+F625</f>
        <v>336.462667925493</v>
      </c>
      <c r="G626" s="59" t="n">
        <f aca="false">G614-G615-G616-G617-G622-G609-G610-G611-G624+G625</f>
        <v>301.987310324235</v>
      </c>
      <c r="H626" s="59" t="n">
        <f aca="false">H614-H615-H616-H617-H622-H609-H610-H611-H624+H625</f>
        <v>280.344205133152</v>
      </c>
      <c r="I626" s="59" t="n">
        <f aca="false">I614-I615-I616-I617-I622-I609-I610-I611-I624+I625</f>
        <v>340.863728571888</v>
      </c>
      <c r="J626" s="59" t="n">
        <f aca="false">J614-J615-J616-J617-J622-J609-J610-J611-J624+J625</f>
        <v>330.887683902271</v>
      </c>
      <c r="K626" s="59" t="n">
        <f aca="false">K614-K615-K616-K617-K622-K609-K610-K611-K624+K625</f>
        <v>329.453103896863</v>
      </c>
      <c r="L626" s="59" t="n">
        <f aca="false">L614-L615-L616-L617-L622-L609-L610-L611-L624+L625</f>
        <v>421.609852521166</v>
      </c>
    </row>
    <row r="627" customFormat="false" ht="15" hidden="true" customHeight="false" outlineLevel="1" collapsed="false">
      <c r="A627" s="9" t="s">
        <v>422</v>
      </c>
      <c r="B627" s="58" t="n">
        <f aca="false">B626*B606</f>
        <v>-1018.82099294178</v>
      </c>
      <c r="C627" s="58" t="n">
        <f aca="false">C626*C606</f>
        <v>-556.157254777228</v>
      </c>
      <c r="D627" s="58" t="n">
        <f aca="false">D626*D606</f>
        <v>646.522301543903</v>
      </c>
      <c r="E627" s="58" t="n">
        <f aca="false">E626*E606</f>
        <v>403.963750205398</v>
      </c>
      <c r="F627" s="58" t="n">
        <f aca="false">F626*F606</f>
        <v>423.26759218545</v>
      </c>
      <c r="G627" s="58" t="n">
        <f aca="false">G626*G606</f>
        <v>395.093756462148</v>
      </c>
      <c r="H627" s="58" t="n">
        <f aca="false">H626*H606</f>
        <v>381.448925085995</v>
      </c>
      <c r="I627" s="58" t="n">
        <f aca="false">I626*I606</f>
        <v>482.346288966121</v>
      </c>
      <c r="J627" s="58" t="n">
        <f aca="false">J626*J606</f>
        <v>486.958659245093</v>
      </c>
      <c r="K627" s="58" t="n">
        <f aca="false">K626*K606</f>
        <v>504.24132279683</v>
      </c>
      <c r="L627" s="58" t="n">
        <f aca="false">L626*L606</f>
        <v>671.102598560562</v>
      </c>
    </row>
    <row r="628" customFormat="false" ht="15" hidden="true" customHeight="false" outlineLevel="1" collapsed="false">
      <c r="A628" s="6" t="s">
        <v>423</v>
      </c>
      <c r="B628" s="29" t="n">
        <f aca="false">B626</f>
        <v>-961.151880133756</v>
      </c>
      <c r="C628" s="29" t="n">
        <f aca="false">B628+C626</f>
        <v>-1460.84393294348</v>
      </c>
      <c r="D628" s="29" t="n">
        <f aca="false">C628+D626</f>
        <v>-904.975443930297</v>
      </c>
      <c r="E628" s="29" t="n">
        <f aca="false">D628+E626</f>
        <v>-571.01302253392</v>
      </c>
      <c r="F628" s="29" t="n">
        <f aca="false">E628+F626</f>
        <v>-234.550354608427</v>
      </c>
      <c r="G628" s="29" t="n">
        <f aca="false">F628+G626</f>
        <v>67.4369557158078</v>
      </c>
      <c r="H628" s="29" t="n">
        <f aca="false">G628+H626</f>
        <v>347.78116084896</v>
      </c>
      <c r="I628" s="29" t="n">
        <f aca="false">H628+I626</f>
        <v>688.644889420848</v>
      </c>
      <c r="J628" s="29" t="n">
        <f aca="false">I628+J626</f>
        <v>1019.53257332312</v>
      </c>
      <c r="K628" s="29" t="n">
        <f aca="false">J628+K626</f>
        <v>1348.98567721998</v>
      </c>
      <c r="L628" s="29" t="n">
        <f aca="false">K628+L626</f>
        <v>1770.59552974115</v>
      </c>
    </row>
    <row r="629" customFormat="false" ht="15" hidden="true" customHeight="false" outlineLevel="1" collapsed="false">
      <c r="A629" s="9" t="s">
        <v>424</v>
      </c>
      <c r="B629" s="60" t="n">
        <v>0</v>
      </c>
      <c r="C629" s="60" t="n">
        <f aca="false">IF(AND(B628&lt;0,C628&gt;=0),B$43+(-B628)/C626,0)</f>
        <v>0</v>
      </c>
      <c r="D629" s="60" t="n">
        <f aca="false">IF(AND(C628&lt;0,D628&gt;=0),C$43+(-C628)/D626,0)</f>
        <v>0</v>
      </c>
      <c r="E629" s="60" t="n">
        <f aca="false">IF(AND(D628&lt;0,E628&gt;=0),D$43+(-D628)/E626,0)</f>
        <v>0</v>
      </c>
      <c r="F629" s="60" t="n">
        <f aca="false">IF(AND(E628&lt;0,F628&gt;=0),E$43+(-E628)/F626,0)</f>
        <v>0</v>
      </c>
      <c r="G629" s="60" t="n">
        <f aca="false">IF(AND(F628&lt;0,G628&gt;=0),F$43+(-F628)/G626,0)</f>
        <v>4.77668943889264</v>
      </c>
      <c r="H629" s="60" t="n">
        <f aca="false">IF(AND(G628&lt;0,H628&gt;=0),G$43+(-G628)/H626,0)</f>
        <v>0</v>
      </c>
      <c r="I629" s="60" t="n">
        <f aca="false">IF(AND(H628&lt;0,I628&gt;=0),H$43+(-H628)/I626,0)</f>
        <v>0</v>
      </c>
      <c r="J629" s="60" t="n">
        <f aca="false">IF(AND(I628&lt;0,J628&gt;=0),I$43+(-I628)/J626,0)</f>
        <v>0</v>
      </c>
      <c r="K629" s="60" t="n">
        <f aca="false">IF(AND(J628&lt;0,K628&gt;=0),J$43+(-J628)/K626,0)</f>
        <v>0</v>
      </c>
      <c r="L629" s="60" t="n">
        <f aca="false">IF(AND(K628&lt;0,L628&gt;=0),K$43+(-K628)/L626,0)</f>
        <v>0</v>
      </c>
    </row>
    <row r="630" customFormat="false" ht="15" hidden="true" customHeight="false" outlineLevel="1" collapsed="false">
      <c r="A630" s="9" t="s">
        <v>425</v>
      </c>
      <c r="B630" s="57" t="n">
        <f aca="false">(B606/$B$606)/(1+$O$25)^B$43</f>
        <v>1</v>
      </c>
      <c r="C630" s="57" t="n">
        <f aca="false">(C606/$B$606)/(1+$O$25)^C$43</f>
        <v>0.915373701313561</v>
      </c>
      <c r="D630" s="57" t="n">
        <f aca="false">(D606/$B$606)/(1+$O$25)^D$43</f>
        <v>0.833918970137172</v>
      </c>
      <c r="E630" s="57" t="n">
        <f aca="false">(E606/$B$606)/(1+$O$25)^E$43</f>
        <v>0.756077518153961</v>
      </c>
      <c r="F630" s="57" t="n">
        <f aca="false">(F606/$B$606)/(1+$O$25)^F$43</f>
        <v>0.685502109831871</v>
      </c>
      <c r="G630" s="57" t="n">
        <f aca="false">(G606/$B$606)/(1+$O$25)^G$43</f>
        <v>0.621514502549008</v>
      </c>
      <c r="H630" s="57" t="n">
        <f aca="false">(H606/$B$606)/(1+$O$25)^H$43</f>
        <v>0.563499763660072</v>
      </c>
      <c r="I630" s="57" t="n">
        <f aca="false">(I606/$B$606)/(1+$O$25)^I$43</f>
        <v>0.510900360880829</v>
      </c>
      <c r="J630" s="57" t="n">
        <f aca="false">(J606/$B$606)/(1+$O$25)^J$43</f>
        <v>0.463210804300567</v>
      </c>
      <c r="K630" s="57" t="n">
        <f aca="false">(K606/$B$606)/(1+$O$25)^K$43</f>
        <v>0.419972788531318</v>
      </c>
      <c r="L630" s="57" t="n">
        <f aca="false">(L606/$B$606)/(1+$O$25)^L$43</f>
        <v>0.380770788308996</v>
      </c>
    </row>
    <row r="631" customFormat="false" ht="15" hidden="true" customHeight="false" outlineLevel="1" collapsed="false">
      <c r="A631" s="9" t="s">
        <v>426</v>
      </c>
      <c r="B631" s="58" t="n">
        <f aca="false">B626*B630</f>
        <v>-961.151880133756</v>
      </c>
      <c r="C631" s="58" t="n">
        <f aca="false">C626*C630</f>
        <v>-457.404963897413</v>
      </c>
      <c r="D631" s="58" t="n">
        <f aca="false">D626*D630</f>
        <v>463.549277889583</v>
      </c>
      <c r="E631" s="58" t="n">
        <f aca="false">E626*E630</f>
        <v>252.50147872606</v>
      </c>
      <c r="F631" s="58" t="n">
        <f aca="false">F626*F630</f>
        <v>230.645868742586</v>
      </c>
      <c r="G631" s="58" t="n">
        <f aca="false">G626*G630</f>
        <v>187.68949295228</v>
      </c>
      <c r="H631" s="58" t="n">
        <f aca="false">H626*H630</f>
        <v>157.973893336002</v>
      </c>
      <c r="I631" s="58" t="n">
        <f aca="false">I626*I630</f>
        <v>174.147401938563</v>
      </c>
      <c r="J631" s="58" t="n">
        <f aca="false">J626*J630</f>
        <v>153.270750193523</v>
      </c>
      <c r="K631" s="58" t="n">
        <f aca="false">K626*K630</f>
        <v>138.361338733863</v>
      </c>
      <c r="L631" s="58" t="n">
        <f aca="false">L626*L630</f>
        <v>160.536715903324</v>
      </c>
    </row>
    <row r="632" customFormat="false" ht="15" hidden="true" customHeight="false" outlineLevel="1" collapsed="false">
      <c r="A632" s="9" t="s">
        <v>427</v>
      </c>
      <c r="B632" s="58" t="n">
        <f aca="false">B631</f>
        <v>-961.151880133756</v>
      </c>
      <c r="C632" s="58" t="n">
        <f aca="false">B632+C631</f>
        <v>-1418.55684403117</v>
      </c>
      <c r="D632" s="58" t="n">
        <f aca="false">C632+D631</f>
        <v>-955.007566141585</v>
      </c>
      <c r="E632" s="58" t="n">
        <f aca="false">D632+E631</f>
        <v>-702.506087415525</v>
      </c>
      <c r="F632" s="58" t="n">
        <f aca="false">E632+F631</f>
        <v>-471.860218672939</v>
      </c>
      <c r="G632" s="58" t="n">
        <f aca="false">F632+G631</f>
        <v>-284.17072572066</v>
      </c>
      <c r="H632" s="58" t="n">
        <f aca="false">G632+H631</f>
        <v>-126.196832384658</v>
      </c>
      <c r="I632" s="58" t="n">
        <f aca="false">H632+I631</f>
        <v>47.9505695539046</v>
      </c>
      <c r="J632" s="58" t="n">
        <f aca="false">I632+J631</f>
        <v>201.221319747427</v>
      </c>
      <c r="K632" s="58" t="n">
        <f aca="false">J632+K631</f>
        <v>339.582658481291</v>
      </c>
      <c r="L632" s="58" t="n">
        <f aca="false">K632+L631</f>
        <v>500.119374384615</v>
      </c>
    </row>
    <row r="633" customFormat="false" ht="15" hidden="true" customHeight="false" outlineLevel="1" collapsed="false">
      <c r="A633" s="9" t="s">
        <v>428</v>
      </c>
      <c r="B633" s="60" t="n">
        <v>0</v>
      </c>
      <c r="C633" s="60" t="n">
        <f aca="false">IF(AND(B632&lt;0,C632&gt;=0),B$43+(-B632)/C631,0)</f>
        <v>0</v>
      </c>
      <c r="D633" s="60" t="n">
        <f aca="false">IF(AND(C632&lt;0,D632&gt;=0),C$43+(-C632)/D631,0)</f>
        <v>0</v>
      </c>
      <c r="E633" s="60" t="n">
        <f aca="false">IF(AND(D632&lt;0,E632&gt;=0),D$43+(-D632)/E631,0)</f>
        <v>0</v>
      </c>
      <c r="F633" s="60" t="n">
        <f aca="false">IF(AND(E632&lt;0,F632&gt;=0),E$43+(-E632)/F631,0)</f>
        <v>0</v>
      </c>
      <c r="G633" s="60" t="n">
        <f aca="false">IF(AND(F632&lt;0,G632&gt;=0),F$43+(-F632)/G631,0)</f>
        <v>0</v>
      </c>
      <c r="H633" s="60" t="n">
        <f aca="false">IF(AND(G632&lt;0,H632&gt;=0),G$43+(-G632)/H631,0)</f>
        <v>0</v>
      </c>
      <c r="I633" s="60" t="n">
        <f aca="false">IF(AND(H632&lt;0,I632&gt;=0),H$43+(-H632)/I631,0)</f>
        <v>6.7246552689266</v>
      </c>
      <c r="J633" s="60" t="n">
        <f aca="false">IF(AND(I632&lt;0,J632&gt;=0),I$43+(-I632)/J631,0)</f>
        <v>0</v>
      </c>
      <c r="K633" s="60" t="n">
        <f aca="false">IF(AND(J632&lt;0,K632&gt;=0),J$43+(-J632)/K631,0)</f>
        <v>0</v>
      </c>
      <c r="L633" s="60" t="n">
        <f aca="false">IF(AND(K632&lt;0,L632&gt;=0),K$43+(-K632)/L631,0)</f>
        <v>0</v>
      </c>
    </row>
    <row r="634" customFormat="false" ht="15" hidden="true" customHeight="false" outlineLevel="1" collapsed="false">
      <c r="A634" s="9" t="s">
        <v>429</v>
      </c>
      <c r="B634" s="58" t="n">
        <f aca="false">IF(B$43&lt;0,0,(Quesería!$B$44*$B$609*$B$606)*(1-MAX(0,MIN(B$43-0-Quesería!$B$47,(Quesería!$B$46-Quesería!$B$47)))/(Quesería!$B$46-Quesería!$B$47))*IF(B$43&gt;=2,1-Quesería!$B$48,1))+IF(B$43&lt;1,0,(Quesería!$B$44*$C$609*$C$606)*(1-MAX(0,MIN(B$43-1-Quesería!$B$47,(Quesería!$B$46-Quesería!$B$47)))/(Quesería!$B$46-Quesería!$B$47))*IF(B$43&gt;=2,1-Quesería!$B$48,1))</f>
        <v>641.321364968425</v>
      </c>
      <c r="C634" s="58" t="n">
        <f aca="false">IF(C$43&lt;0,0,(Quesería!$B$44*$B$609*$B$606)*(1-MAX(0,MIN(C$43-0-Quesería!$B$47,(Quesería!$B$46-Quesería!$B$47)))/(Quesería!$B$46-Quesería!$B$47))*IF(C$43&gt;=2,1-Quesería!$B$48,1))+IF(C$43&lt;1,0,(Quesería!$B$44*$C$609*$C$606)*(1-MAX(0,MIN(C$43-1-Quesería!$B$47,(Quesería!$B$46-Quesería!$B$47)))/(Quesería!$B$46-Quesería!$B$47))*IF(C$43&gt;=2,1-Quesería!$B$48,1))</f>
        <v>1190.03581125409</v>
      </c>
      <c r="D634" s="58" t="n">
        <f aca="false">IF(D$43&lt;0,0,(Quesería!$B$44*$B$609*$B$606)*(1-MAX(0,MIN(D$43-0-Quesería!$B$47,(Quesería!$B$46-Quesería!$B$47)))/(Quesería!$B$46-Quesería!$B$47))*IF(D$43&gt;=2,1-Quesería!$B$48,1))+IF(D$43&lt;1,0,(Quesería!$B$44*$C$609*$C$606)*(1-MAX(0,MIN(D$43-1-Quesería!$B$47,(Quesería!$B$46-Quesería!$B$47)))/(Quesería!$B$46-Quesería!$B$47))*IF(D$43&gt;=2,1-Quesería!$B$48,1))</f>
        <v>1083.14891709269</v>
      </c>
      <c r="E634" s="58" t="n">
        <f aca="false">IF(E$43&lt;0,0,(Quesería!$B$44*$B$609*$B$606)*(1-MAX(0,MIN(E$43-0-Quesería!$B$47,(Quesería!$B$46-Quesería!$B$47)))/(Quesería!$B$46-Quesería!$B$47))*IF(E$43&gt;=2,1-Quesería!$B$48,1))+IF(E$43&lt;1,0,(Quesería!$B$44*$C$609*$C$606)*(1-MAX(0,MIN(E$43-1-Quesería!$B$47,(Quesería!$B$46-Quesería!$B$47)))/(Quesería!$B$46-Quesería!$B$47))*IF(E$43&gt;=2,1-Quesería!$B$48,1))</f>
        <v>884.809615217005</v>
      </c>
      <c r="F634" s="58" t="n">
        <f aca="false">IF(F$43&lt;0,0,(Quesería!$B$44*$B$609*$B$606)*(1-MAX(0,MIN(F$43-0-Quesería!$B$47,(Quesería!$B$46-Quesería!$B$47)))/(Quesería!$B$46-Quesería!$B$47))*IF(F$43&gt;=2,1-Quesería!$B$48,1))+IF(F$43&lt;1,0,(Quesería!$B$44*$C$609*$C$606)*(1-MAX(0,MIN(F$43-1-Quesería!$B$47,(Quesería!$B$46-Quesería!$B$47)))/(Quesería!$B$46-Quesería!$B$47))*IF(F$43&gt;=2,1-Quesería!$B$48,1))</f>
        <v>686.470313341323</v>
      </c>
      <c r="G634" s="58" t="n">
        <f aca="false">IF(G$43&lt;0,0,(Quesería!$B$44*$B$609*$B$606)*(1-MAX(0,MIN(G$43-0-Quesería!$B$47,(Quesería!$B$46-Quesería!$B$47)))/(Quesería!$B$46-Quesería!$B$47))*IF(G$43&gt;=2,1-Quesería!$B$48,1))+IF(G$43&lt;1,0,(Quesería!$B$44*$C$609*$C$606)*(1-MAX(0,MIN(G$43-1-Quesería!$B$47,(Quesería!$B$46-Quesería!$B$47)))/(Quesería!$B$46-Quesería!$B$47))*IF(G$43&gt;=2,1-Quesería!$B$48,1))</f>
        <v>488.131011465641</v>
      </c>
      <c r="H634" s="58" t="n">
        <f aca="false">IF(H$43&lt;0,0,(Quesería!$B$44*$B$609*$B$606)*(1-MAX(0,MIN(H$43-0-Quesería!$B$47,(Quesería!$B$46-Quesería!$B$47)))/(Quesería!$B$46-Quesería!$B$47))*IF(H$43&gt;=2,1-Quesería!$B$48,1))+IF(H$43&lt;1,0,(Quesería!$B$44*$C$609*$C$606)*(1-MAX(0,MIN(H$43-1-Quesería!$B$47,(Quesería!$B$46-Quesería!$B$47)))/(Quesería!$B$46-Quesería!$B$47))*IF(H$43&gt;=2,1-Quesería!$B$48,1))</f>
        <v>289.79170958996</v>
      </c>
      <c r="I634" s="58" t="n">
        <f aca="false">IF(I$43&lt;0,0,(Quesería!$B$44*$B$609*$B$606)*(1-MAX(0,MIN(I$43-0-Quesería!$B$47,(Quesería!$B$46-Quesería!$B$47)))/(Quesería!$B$46-Quesería!$B$47))*IF(I$43&gt;=2,1-Quesería!$B$48,1))+IF(I$43&lt;1,0,(Quesería!$B$44*$C$609*$C$606)*(1-MAX(0,MIN(I$43-1-Quesería!$B$47,(Quesería!$B$46-Quesería!$B$47)))/(Quesería!$B$46-Quesería!$B$47))*IF(I$43&gt;=2,1-Quesería!$B$48,1))</f>
        <v>91.4524077142776</v>
      </c>
      <c r="J634" s="58" t="n">
        <f aca="false">IF(J$43&lt;0,0,(Quesería!$B$44*$B$609*$B$606)*(1-MAX(0,MIN(J$43-0-Quesería!$B$47,(Quesería!$B$46-Quesería!$B$47)))/(Quesería!$B$46-Quesería!$B$47))*IF(J$43&gt;=2,1-Quesería!$B$48,1))+IF(J$43&lt;1,0,(Quesería!$B$44*$C$609*$C$606)*(1-MAX(0,MIN(J$43-1-Quesería!$B$47,(Quesería!$B$46-Quesería!$B$47)))/(Quesería!$B$46-Quesería!$B$47))*IF(J$43&gt;=2,1-Quesería!$B$48,1))</f>
        <v>0</v>
      </c>
      <c r="K634" s="58" t="n">
        <f aca="false">IF(K$43&lt;0,0,(Quesería!$B$44*$B$609*$B$606)*(1-MAX(0,MIN(K$43-0-Quesería!$B$47,(Quesería!$B$46-Quesería!$B$47)))/(Quesería!$B$46-Quesería!$B$47))*IF(K$43&gt;=2,1-Quesería!$B$48,1))+IF(K$43&lt;1,0,(Quesería!$B$44*$C$609*$C$606)*(1-MAX(0,MIN(K$43-1-Quesería!$B$47,(Quesería!$B$46-Quesería!$B$47)))/(Quesería!$B$46-Quesería!$B$47))*IF(K$43&gt;=2,1-Quesería!$B$48,1))</f>
        <v>0</v>
      </c>
      <c r="L634" s="58" t="n">
        <f aca="false">IF(L$43&lt;0,0,(Quesería!$B$44*$B$609*$B$606)*(1-MAX(0,MIN(L$43-0-Quesería!$B$47,(Quesería!$B$46-Quesería!$B$47)))/(Quesería!$B$46-Quesería!$B$47))*IF(L$43&gt;=2,1-Quesería!$B$48,1))+IF(L$43&lt;1,0,(Quesería!$B$44*$C$609*$C$606)*(1-MAX(0,MIN(L$43-1-Quesería!$B$47,(Quesería!$B$46-Quesería!$B$47)))/(Quesería!$B$46-Quesería!$B$47))*IF(L$43&gt;=2,1-Quesería!$B$48,1))</f>
        <v>0</v>
      </c>
    </row>
    <row r="635" customFormat="false" ht="15" hidden="true" customHeight="false" outlineLevel="1" collapsed="false">
      <c r="A635" s="6" t="s">
        <v>430</v>
      </c>
      <c r="B635" s="29" t="n">
        <f aca="false">Quesería!$B$44*B609</f>
        <v>605.02015563059</v>
      </c>
      <c r="C635" s="29" t="n">
        <f aca="false">Quesería!$B$44*C609</f>
        <v>493.004893338424</v>
      </c>
      <c r="D635" s="29" t="n">
        <f aca="false">Quesería!$B$44*D609</f>
        <v>0</v>
      </c>
      <c r="E635" s="29" t="n">
        <f aca="false">Quesería!$B$44*E609</f>
        <v>0</v>
      </c>
      <c r="F635" s="29" t="n">
        <f aca="false">Quesería!$B$44*F609</f>
        <v>0</v>
      </c>
      <c r="G635" s="29" t="n">
        <f aca="false">Quesería!$B$44*G609</f>
        <v>0</v>
      </c>
      <c r="H635" s="29" t="n">
        <f aca="false">Quesería!$B$44*H609</f>
        <v>0</v>
      </c>
      <c r="I635" s="29" t="n">
        <f aca="false">Quesería!$B$44*I609</f>
        <v>0</v>
      </c>
      <c r="J635" s="29" t="n">
        <f aca="false">Quesería!$B$44*J609</f>
        <v>0</v>
      </c>
      <c r="K635" s="29" t="n">
        <f aca="false">Quesería!$B$44*K609</f>
        <v>0</v>
      </c>
      <c r="L635" s="29" t="n">
        <f aca="false">Quesería!$B$44*L609</f>
        <v>0</v>
      </c>
    </row>
    <row r="636" customFormat="false" ht="15" hidden="true" customHeight="false" outlineLevel="1" collapsed="false">
      <c r="A636" s="6" t="s">
        <v>431</v>
      </c>
      <c r="B636" s="29" t="n">
        <f aca="false">(IF(AND(B$43&gt;0,B$43&lt;=0+Quesería!$B$46),($O$14+$O$24)*(Quesería!$B$44*$B$609*$B$606)*(1-MAX(0,MIN((B$43-1)-0-Quesería!$B$47,(Quesería!$B$46-Quesería!$B$47)))/(Quesería!$B$46-Quesería!$B$47))*IF(B$43&gt;2,1-Quesería!$B$48,1),0)+IF(AND(B$43&gt;1,B$43&lt;=1+Quesería!$B$46),($O$14+$O$24)*(Quesería!$B$44*$C$609*$C$606)*(1-MAX(0,MIN((B$43-1)-1-Quesería!$B$47,(Quesería!$B$46-Quesería!$B$47)))/(Quesería!$B$46-Quesería!$B$47))*IF(B$43&gt;2,1-Quesería!$B$48,1),0))*B608</f>
        <v>0</v>
      </c>
      <c r="C636" s="29" t="n">
        <f aca="false">(IF(AND(C$43&gt;0,C$43&lt;=0+Quesería!$B$46),($O$14+$O$24)*(Quesería!$B$44*$B$609*$B$606)*(1-MAX(0,MIN((C$43-1)-0-Quesería!$B$47,(Quesería!$B$46-Quesería!$B$47)))/(Quesería!$B$46-Quesería!$B$47))*IF(C$43&gt;2,1-Quesería!$B$48,1),0)+IF(AND(C$43&gt;1,C$43&lt;=1+Quesería!$B$46),($O$14+$O$24)*(Quesería!$B$44*$C$609*$C$606)*(1-MAX(0,MIN((C$43-1)-1-Quesería!$B$47,(Quesería!$B$46-Quesería!$B$47)))/(Quesería!$B$46-Quesería!$B$47))*IF(C$43&gt;2,1-Quesería!$B$48,1),0))*C608</f>
        <v>81.2455637561078</v>
      </c>
      <c r="D636" s="29" t="n">
        <f aca="false">(IF(AND(D$43&gt;0,D$43&lt;=0+Quesería!$B$46),($O$14+$O$24)*(Quesería!$B$44*$B$609*$B$606)*(1-MAX(0,MIN((D$43-1)-0-Quesería!$B$47,(Quesería!$B$46-Quesería!$B$47)))/(Quesería!$B$46-Quesería!$B$47))*IF(D$43&gt;2,1-Quesería!$B$48,1),0)+IF(AND(D$43&gt;1,D$43&lt;=1+Quesería!$B$46),($O$14+$O$24)*(Quesería!$B$44*$C$609*$C$606)*(1-MAX(0,MIN((D$43-1)-1-Quesería!$B$47,(Quesería!$B$46-Quesería!$B$47)))/(Quesería!$B$46-Quesería!$B$47))*IF(D$43&gt;2,1-Quesería!$B$48,1),0))*D608</f>
        <v>144.267228437154</v>
      </c>
      <c r="E636" s="29" t="n">
        <f aca="false">(IF(AND(E$43&gt;0,E$43&lt;=0+Quesería!$B$46),($O$14+$O$24)*(Quesería!$B$44*$B$609*$B$606)*(1-MAX(0,MIN((E$43-1)-0-Quesería!$B$47,(Quesería!$B$46-Quesería!$B$47)))/(Quesería!$B$46-Quesería!$B$47))*IF(E$43&gt;2,1-Quesería!$B$48,1),0)+IF(AND(E$43&gt;1,E$43&lt;=1+Quesería!$B$46),($O$14+$O$24)*(Quesería!$B$44*$C$609*$C$606)*(1-MAX(0,MIN((E$43-1)-1-Quesería!$B$47,(Quesería!$B$46-Quesería!$B$47)))/(Quesería!$B$46-Quesería!$B$47))*IF(E$43&gt;2,1-Quesería!$B$48,1),0))*E608</f>
        <v>126.259041612202</v>
      </c>
      <c r="F636" s="29" t="n">
        <f aca="false">(IF(AND(F$43&gt;0,F$43&lt;=0+Quesería!$B$46),($O$14+$O$24)*(Quesería!$B$44*$B$609*$B$606)*(1-MAX(0,MIN((F$43-1)-0-Quesería!$B$47,(Quesería!$B$46-Quesería!$B$47)))/(Quesería!$B$46-Quesería!$B$47))*IF(F$43&gt;2,1-Quesería!$B$48,1),0)+IF(AND(F$43&gt;1,F$43&lt;=1+Quesería!$B$46),($O$14+$O$24)*(Quesería!$B$44*$C$609*$C$606)*(1-MAX(0,MIN((F$43-1)-1-Quesería!$B$47,(Quesería!$B$46-Quesería!$B$47)))/(Quesería!$B$46-Quesería!$B$47))*IF(F$43&gt;2,1-Quesería!$B$48,1),0))*F608</f>
        <v>99.1723975627135</v>
      </c>
      <c r="G636" s="29" t="n">
        <f aca="false">(IF(AND(G$43&gt;0,G$43&lt;=0+Quesería!$B$46),($O$14+$O$24)*(Quesería!$B$44*$B$609*$B$606)*(1-MAX(0,MIN((G$43-1)-0-Quesería!$B$47,(Quesería!$B$46-Quesería!$B$47)))/(Quesería!$B$46-Quesería!$B$47))*IF(G$43&gt;2,1-Quesería!$B$48,1),0)+IF(AND(G$43&gt;1,G$43&lt;=1+Quesería!$B$46),($O$14+$O$24)*(Quesería!$B$44*$C$609*$C$606)*(1-MAX(0,MIN((G$43-1)-1-Quesería!$B$47,(Quesería!$B$46-Quesería!$B$47)))/(Quesería!$B$46-Quesería!$B$47))*IF(G$43&gt;2,1-Quesería!$B$48,1),0))*G608</f>
        <v>73.9825677868365</v>
      </c>
      <c r="H636" s="29" t="n">
        <f aca="false">(IF(AND(H$43&gt;0,H$43&lt;=0+Quesería!$B$46),($O$14+$O$24)*(Quesería!$B$44*$B$609*$B$606)*(1-MAX(0,MIN((H$43-1)-0-Quesería!$B$47,(Quesería!$B$46-Quesería!$B$47)))/(Quesería!$B$46-Quesería!$B$47))*IF(H$43&gt;2,1-Quesería!$B$48,1),0)+IF(AND(H$43&gt;1,H$43&lt;=1+Quesería!$B$46),($O$14+$O$24)*(Quesería!$B$44*$C$609*$C$606)*(1-MAX(0,MIN((H$43-1)-1-Quesería!$B$47,(Quesería!$B$46-Quesería!$B$47)))/(Quesería!$B$46-Quesería!$B$47))*IF(H$43&gt;2,1-Quesería!$B$48,1),0))*H608</f>
        <v>50.583712494366</v>
      </c>
      <c r="I636" s="29" t="n">
        <f aca="false">(IF(AND(I$43&gt;0,I$43&lt;=0+Quesería!$B$46),($O$14+$O$24)*(Quesería!$B$44*$B$609*$B$606)*(1-MAX(0,MIN((I$43-1)-0-Quesería!$B$47,(Quesería!$B$46-Quesería!$B$47)))/(Quesería!$B$46-Quesería!$B$47))*IF(I$43&gt;2,1-Quesería!$B$48,1),0)+IF(AND(I$43&gt;1,I$43&lt;=1+Quesería!$B$46),($O$14+$O$24)*(Quesería!$B$44*$C$609*$C$606)*(1-MAX(0,MIN((I$43-1)-1-Quesería!$B$47,(Quesería!$B$46-Quesería!$B$47)))/(Quesería!$B$46-Quesería!$B$47))*IF(I$43&gt;2,1-Quesería!$B$48,1),0))*I608</f>
        <v>28.8753274791465</v>
      </c>
      <c r="J636" s="29" t="n">
        <f aca="false">(IF(AND(J$43&gt;0,J$43&lt;=0+Quesería!$B$46),($O$14+$O$24)*(Quesería!$B$44*$B$609*$B$606)*(1-MAX(0,MIN((J$43-1)-0-Quesería!$B$47,(Quesería!$B$46-Quesería!$B$47)))/(Quesería!$B$46-Quesería!$B$47))*IF(J$43&gt;2,1-Quesería!$B$48,1),0)+IF(AND(J$43&gt;1,J$43&lt;=1+Quesería!$B$46),($O$14+$O$24)*(Quesería!$B$44*$C$609*$C$606)*(1-MAX(0,MIN((J$43-1)-1-Quesería!$B$47,(Quesería!$B$46-Quesería!$B$47)))/(Quesería!$B$46-Quesería!$B$47))*IF(J$43&gt;2,1-Quesería!$B$48,1),0))*J608</f>
        <v>8.76199025726588</v>
      </c>
      <c r="K636" s="29" t="n">
        <f aca="false">(IF(AND(K$43&gt;0,K$43&lt;=0+Quesería!$B$46),($O$14+$O$24)*(Quesería!$B$44*$B$609*$B$606)*(1-MAX(0,MIN((K$43-1)-0-Quesería!$B$47,(Quesería!$B$46-Quesería!$B$47)))/(Quesería!$B$46-Quesería!$B$47))*IF(K$43&gt;2,1-Quesería!$B$48,1),0)+IF(AND(K$43&gt;1,K$43&lt;=1+Quesería!$B$46),($O$14+$O$24)*(Quesería!$B$44*$C$609*$C$606)*(1-MAX(0,MIN((K$43-1)-1-Quesería!$B$47,(Quesería!$B$46-Quesería!$B$47)))/(Quesería!$B$46-Quesería!$B$47))*IF(K$43&gt;2,1-Quesería!$B$48,1),0))*K608</f>
        <v>0</v>
      </c>
      <c r="L636" s="29" t="n">
        <f aca="false">(IF(AND(L$43&gt;0,L$43&lt;=0+Quesería!$B$46),($O$14+$O$24)*(Quesería!$B$44*$B$609*$B$606)*(1-MAX(0,MIN((L$43-1)-0-Quesería!$B$47,(Quesería!$B$46-Quesería!$B$47)))/(Quesería!$B$46-Quesería!$B$47))*IF(L$43&gt;2,1-Quesería!$B$48,1),0)+IF(AND(L$43&gt;1,L$43&lt;=1+Quesería!$B$46),($O$14+$O$24)*(Quesería!$B$44*$C$609*$C$606)*(1-MAX(0,MIN((L$43-1)-1-Quesería!$B$47,(Quesería!$B$46-Quesería!$B$47)))/(Quesería!$B$46-Quesería!$B$47))*IF(L$43&gt;2,1-Quesería!$B$48,1),0))*L608</f>
        <v>0</v>
      </c>
    </row>
    <row r="637" customFormat="false" ht="15" hidden="true" customHeight="false" outlineLevel="1" collapsed="false">
      <c r="A637" s="6" t="s">
        <v>432</v>
      </c>
      <c r="B637" s="29" t="n">
        <f aca="false">((IF(AND(B$43&gt;0+Quesería!$B$47,B$43&lt;=0+Quesería!$B$46),(Quesería!$B$44*$B$609*$B$606)/(Quesería!$B$46-Quesería!$B$47),0)*IF(B$43&gt;2,1-Quesería!$B$48,1)+IF(B$43=2,Quesería!$B$48*(Quesería!$B$44*$B$609*$B$606)*(1-MAX(0,MIN(2-0-Quesería!$B$47,(Quesería!$B$46-Quesería!$B$47)))/(Quesería!$B$46-Quesería!$B$47)),0))+(IF(AND(B$43&gt;1+Quesería!$B$47,B$43&lt;=1+Quesería!$B$46),(Quesería!$B$44*$C$609*$C$606)/(Quesería!$B$46-Quesería!$B$47),0)*IF(B$43&gt;2,1-Quesería!$B$48,1)+IF(B$43=2,Quesería!$B$48*(Quesería!$B$44*$C$609*$C$606)*(1-MAX(0,MIN(2-1-Quesería!$B$47,(Quesería!$B$46-Quesería!$B$47)))/(Quesería!$B$46-Quesería!$B$47)),0)))*B608</f>
        <v>0</v>
      </c>
      <c r="C637" s="29" t="n">
        <f aca="false">((IF(AND(C$43&gt;0+Quesería!$B$47,C$43&lt;=0+Quesería!$B$46),(Quesería!$B$44*$B$609*$B$606)/(Quesería!$B$46-Quesería!$B$47),0)*IF(C$43&gt;2,1-Quesería!$B$48,1)+IF(C$43=2,Quesería!$B$48*(Quesería!$B$44*$B$609*$B$606)*(1-MAX(0,MIN(2-0-Quesería!$B$47,(Quesería!$B$46-Quesería!$B$47)))/(Quesería!$B$46-Quesería!$B$47)),0))+(IF(AND(C$43&gt;1+Quesería!$B$47,C$43&lt;=1+Quesería!$B$46),(Quesería!$B$44*$C$609*$C$606)/(Quesería!$B$46-Quesería!$B$47),0)*IF(C$43&gt;2,1-Quesería!$B$48,1)+IF(C$43=2,Quesería!$B$48*(Quesería!$B$44*$C$609*$C$606)*(1-MAX(0,MIN(2-1-Quesería!$B$47,(Quesería!$B$46-Quesería!$B$47)))/(Quesería!$B$46-Quesería!$B$47)),0)))*C608</f>
        <v>0</v>
      </c>
      <c r="D637" s="29" t="n">
        <f aca="false">((IF(AND(D$43&gt;0+Quesería!$B$47,D$43&lt;=0+Quesería!$B$46),(Quesería!$B$44*$B$609*$B$606)/(Quesería!$B$46-Quesería!$B$47),0)*IF(D$43&gt;2,1-Quesería!$B$48,1)+IF(D$43=2,Quesería!$B$48*(Quesería!$B$44*$B$609*$B$606)*(1-MAX(0,MIN(2-0-Quesería!$B$47,(Quesería!$B$46-Quesería!$B$47)))/(Quesería!$B$46-Quesería!$B$47)),0))+(IF(AND(D$43&gt;1+Quesería!$B$47,D$43&lt;=1+Quesería!$B$46),(Quesería!$B$44*$C$609*$C$606)/(Quesería!$B$46-Quesería!$B$47),0)*IF(D$43&gt;2,1-Quesería!$B$48,1)+IF(D$43=2,Quesería!$B$48*(Quesería!$B$44*$C$609*$C$606)*(1-MAX(0,MIN(2-1-Quesería!$B$47,(Quesería!$B$46-Quesería!$B$47)))/(Quesería!$B$46-Quesería!$B$47)),0)))*D608</f>
        <v>91.8994692231472</v>
      </c>
      <c r="E637" s="29" t="n">
        <f aca="false">((IF(AND(E$43&gt;0+Quesería!$B$47,E$43&lt;=0+Quesería!$B$46),(Quesería!$B$44*$B$609*$B$606)/(Quesería!$B$46-Quesería!$B$47),0)*IF(E$43&gt;2,1-Quesería!$B$48,1)+IF(E$43=2,Quesería!$B$48*(Quesería!$B$44*$B$609*$B$606)*(1-MAX(0,MIN(2-0-Quesería!$B$47,(Quesería!$B$46-Quesería!$B$47)))/(Quesería!$B$46-Quesería!$B$47)),0))+(IF(AND(E$43&gt;1+Quesería!$B$47,E$43&lt;=1+Quesería!$B$46),(Quesería!$B$44*$C$609*$C$606)/(Quesería!$B$46-Quesería!$B$47),0)*IF(E$43&gt;2,1-Quesería!$B$48,1)+IF(E$43=2,Quesería!$B$48*(Quesería!$B$44*$C$609*$C$606)*(1-MAX(0,MIN(2-1-Quesería!$B$47,(Quesería!$B$46-Quesería!$B$47)))/(Quesería!$B$46-Quesería!$B$47)),0)))*E608</f>
        <v>163.969845014041</v>
      </c>
      <c r="F637" s="29" t="n">
        <f aca="false">((IF(AND(F$43&gt;0+Quesería!$B$47,F$43&lt;=0+Quesería!$B$46),(Quesería!$B$44*$B$609*$B$606)/(Quesería!$B$46-Quesería!$B$47),0)*IF(F$43&gt;2,1-Quesería!$B$48,1)+IF(F$43=2,Quesería!$B$48*(Quesería!$B$44*$B$609*$B$606)*(1-MAX(0,MIN(2-0-Quesería!$B$47,(Quesería!$B$46-Quesería!$B$47)))/(Quesería!$B$46-Quesería!$B$47)),0))+(IF(AND(F$43&gt;1+Quesería!$B$47,F$43&lt;=1+Quesería!$B$46),(Quesería!$B$44*$C$609*$C$606)/(Quesería!$B$46-Quesería!$B$47),0)*IF(F$43&gt;2,1-Quesería!$B$48,1)+IF(F$43=2,Quesería!$B$48*(Quesería!$B$44*$C$609*$C$606)*(1-MAX(0,MIN(2-1-Quesería!$B$47,(Quesería!$B$46-Quesería!$B$47)))/(Quesería!$B$46-Quesería!$B$47)),0)))*F608</f>
        <v>157.663312513501</v>
      </c>
      <c r="G637" s="29" t="n">
        <f aca="false">((IF(AND(G$43&gt;0+Quesería!$B$47,G$43&lt;=0+Quesería!$B$46),(Quesería!$B$44*$B$609*$B$606)/(Quesería!$B$46-Quesería!$B$47),0)*IF(G$43&gt;2,1-Quesería!$B$48,1)+IF(G$43=2,Quesería!$B$48*(Quesería!$B$44*$B$609*$B$606)*(1-MAX(0,MIN(2-0-Quesería!$B$47,(Quesería!$B$46-Quesería!$B$47)))/(Quesería!$B$46-Quesería!$B$47)),0))+(IF(AND(G$43&gt;1+Quesería!$B$47,G$43&lt;=1+Quesería!$B$46),(Quesería!$B$44*$C$609*$C$606)/(Quesería!$B$46-Quesería!$B$47),0)*IF(G$43&gt;2,1-Quesería!$B$48,1)+IF(G$43=2,Quesería!$B$48*(Quesería!$B$44*$C$609*$C$606)*(1-MAX(0,MIN(2-1-Quesería!$B$47,(Quesería!$B$46-Quesería!$B$47)))/(Quesería!$B$46-Quesería!$B$47)),0)))*G608</f>
        <v>151.599338955289</v>
      </c>
      <c r="H637" s="29" t="n">
        <f aca="false">((IF(AND(H$43&gt;0+Quesería!$B$47,H$43&lt;=0+Quesería!$B$46),(Quesería!$B$44*$B$609*$B$606)/(Quesería!$B$46-Quesería!$B$47),0)*IF(H$43&gt;2,1-Quesería!$B$48,1)+IF(H$43=2,Quesería!$B$48*(Quesería!$B$44*$B$609*$B$606)*(1-MAX(0,MIN(2-0-Quesería!$B$47,(Quesería!$B$46-Quesería!$B$47)))/(Quesería!$B$46-Quesería!$B$47)),0))+(IF(AND(H$43&gt;1+Quesería!$B$47,H$43&lt;=1+Quesería!$B$46),(Quesería!$B$44*$C$609*$C$606)/(Quesería!$B$46-Quesería!$B$47),0)*IF(H$43&gt;2,1-Quesería!$B$48,1)+IF(H$43=2,Quesería!$B$48*(Quesería!$B$44*$C$609*$C$606)*(1-MAX(0,MIN(2-1-Quesería!$B$47,(Quesería!$B$46-Quesería!$B$47)))/(Quesería!$B$46-Quesería!$B$47)),0)))*H608</f>
        <v>145.768595149317</v>
      </c>
      <c r="I637" s="29" t="n">
        <f aca="false">((IF(AND(I$43&gt;0+Quesería!$B$47,I$43&lt;=0+Quesería!$B$46),(Quesería!$B$44*$B$609*$B$606)/(Quesería!$B$46-Quesería!$B$47),0)*IF(I$43&gt;2,1-Quesería!$B$48,1)+IF(I$43=2,Quesería!$B$48*(Quesería!$B$44*$B$609*$B$606)*(1-MAX(0,MIN(2-0-Quesería!$B$47,(Quesería!$B$46-Quesería!$B$47)))/(Quesería!$B$46-Quesería!$B$47)),0))+(IF(AND(I$43&gt;1+Quesería!$B$47,I$43&lt;=1+Quesería!$B$46),(Quesería!$B$44*$C$609*$C$606)/(Quesería!$B$46-Quesería!$B$47),0)*IF(I$43&gt;2,1-Quesería!$B$48,1)+IF(I$43=2,Quesería!$B$48*(Quesería!$B$44*$C$609*$C$606)*(1-MAX(0,MIN(2-1-Quesería!$B$47,(Quesería!$B$46-Quesería!$B$47)))/(Quesería!$B$46-Quesería!$B$47)),0)))*I608</f>
        <v>140.162110720497</v>
      </c>
      <c r="J637" s="29" t="n">
        <f aca="false">((IF(AND(J$43&gt;0+Quesería!$B$47,J$43&lt;=0+Quesería!$B$46),(Quesería!$B$44*$B$609*$B$606)/(Quesería!$B$46-Quesería!$B$47),0)*IF(J$43&gt;2,1-Quesería!$B$48,1)+IF(J$43=2,Quesería!$B$48*(Quesería!$B$44*$B$609*$B$606)*(1-MAX(0,MIN(2-0-Quesería!$B$47,(Quesería!$B$46-Quesería!$B$47)))/(Quesería!$B$46-Quesería!$B$47)),0))+(IF(AND(J$43&gt;1+Quesería!$B$47,J$43&lt;=1+Quesería!$B$46),(Quesería!$B$44*$C$609*$C$606)/(Quesería!$B$46-Quesería!$B$47),0)*IF(J$43&gt;2,1-Quesería!$B$48,1)+IF(J$43=2,Quesería!$B$48*(Quesería!$B$44*$C$609*$C$606)*(1-MAX(0,MIN(2-1-Quesería!$B$47,(Quesería!$B$46-Quesería!$B$47)))/(Quesería!$B$46-Quesería!$B$47)),0)))*J608</f>
        <v>62.1417748742261</v>
      </c>
      <c r="K637" s="29" t="n">
        <f aca="false">((IF(AND(K$43&gt;0+Quesería!$B$47,K$43&lt;=0+Quesería!$B$46),(Quesería!$B$44*$B$609*$B$606)/(Quesería!$B$46-Quesería!$B$47),0)*IF(K$43&gt;2,1-Quesería!$B$48,1)+IF(K$43=2,Quesería!$B$48*(Quesería!$B$44*$B$609*$B$606)*(1-MAX(0,MIN(2-0-Quesería!$B$47,(Quesería!$B$46-Quesería!$B$47)))/(Quesería!$B$46-Quesería!$B$47)),0))+(IF(AND(K$43&gt;1+Quesería!$B$47,K$43&lt;=1+Quesería!$B$46),(Quesería!$B$44*$C$609*$C$606)/(Quesería!$B$46-Quesería!$B$47),0)*IF(K$43&gt;2,1-Quesería!$B$48,1)+IF(K$43=2,Quesería!$B$48*(Quesería!$B$44*$C$609*$C$606)*(1-MAX(0,MIN(2-1-Quesería!$B$47,(Quesería!$B$46-Quesería!$B$47)))/(Quesería!$B$46-Quesería!$B$47)),0)))*K608</f>
        <v>0</v>
      </c>
      <c r="L637" s="29" t="n">
        <f aca="false">((IF(AND(L$43&gt;0+Quesería!$B$47,L$43&lt;=0+Quesería!$B$46),(Quesería!$B$44*$B$609*$B$606)/(Quesería!$B$46-Quesería!$B$47),0)*IF(L$43&gt;2,1-Quesería!$B$48,1)+IF(L$43=2,Quesería!$B$48*(Quesería!$B$44*$B$609*$B$606)*(1-MAX(0,MIN(2-0-Quesería!$B$47,(Quesería!$B$46-Quesería!$B$47)))/(Quesería!$B$46-Quesería!$B$47)),0))+(IF(AND(L$43&gt;1+Quesería!$B$47,L$43&lt;=1+Quesería!$B$46),(Quesería!$B$44*$C$609*$C$606)/(Quesería!$B$46-Quesería!$B$47),0)*IF(L$43&gt;2,1-Quesería!$B$48,1)+IF(L$43=2,Quesería!$B$48*(Quesería!$B$44*$C$609*$C$606)*(1-MAX(0,MIN(2-1-Quesería!$B$47,(Quesería!$B$46-Quesería!$B$47)))/(Quesería!$B$46-Quesería!$B$47)),0)))*L608</f>
        <v>0</v>
      </c>
    </row>
    <row r="638" customFormat="false" ht="15" hidden="true" customHeight="false" outlineLevel="1" collapsed="false">
      <c r="A638" s="6" t="s">
        <v>433</v>
      </c>
      <c r="B638" s="29" t="n">
        <f aca="false">$O$13*Quesería!$B$51*(1+0.19)*B634*B608+(1-$O$13)*IF(B$43=0,Quesería!$B$50,0)</f>
        <v>4</v>
      </c>
      <c r="C638" s="29" t="n">
        <f aca="false">$O$13*Quesería!$B$51*(1+0.19)*C634*C608+(1-$O$13)*IF(C$43=0,Quesería!$B$50,0)</f>
        <v>0</v>
      </c>
      <c r="D638" s="29" t="n">
        <f aca="false">$O$13*Quesería!$B$51*(1+0.19)*D634*D608+(1-$O$13)*IF(D$43=0,Quesería!$B$50,0)</f>
        <v>0</v>
      </c>
      <c r="E638" s="29" t="n">
        <f aca="false">$O$13*Quesería!$B$51*(1+0.19)*E634*E608+(1-$O$13)*IF(E$43=0,Quesería!$B$50,0)</f>
        <v>0</v>
      </c>
      <c r="F638" s="29" t="n">
        <f aca="false">$O$13*Quesería!$B$51*(1+0.19)*F634*F608+(1-$O$13)*IF(F$43=0,Quesería!$B$50,0)</f>
        <v>0</v>
      </c>
      <c r="G638" s="29" t="n">
        <f aca="false">$O$13*Quesería!$B$51*(1+0.19)*G634*G608+(1-$O$13)*IF(G$43=0,Quesería!$B$50,0)</f>
        <v>0</v>
      </c>
      <c r="H638" s="29" t="n">
        <f aca="false">$O$13*Quesería!$B$51*(1+0.19)*H634*H608+(1-$O$13)*IF(H$43=0,Quesería!$B$50,0)</f>
        <v>0</v>
      </c>
      <c r="I638" s="29" t="n">
        <f aca="false">$O$13*Quesería!$B$51*(1+0.19)*I634*I608+(1-$O$13)*IF(I$43=0,Quesería!$B$50,0)</f>
        <v>0</v>
      </c>
      <c r="J638" s="29" t="n">
        <f aca="false">$O$13*Quesería!$B$51*(1+0.19)*J634*J608+(1-$O$13)*IF(J$43=0,Quesería!$B$50,0)</f>
        <v>0</v>
      </c>
      <c r="K638" s="29" t="n">
        <f aca="false">$O$13*Quesería!$B$51*(1+0.19)*K634*K608+(1-$O$13)*IF(K$43=0,Quesería!$B$50,0)</f>
        <v>0</v>
      </c>
      <c r="L638" s="29" t="n">
        <f aca="false">$O$13*Quesería!$B$51*(1+0.19)*L634*L608+(1-$O$13)*IF(L$43=0,Quesería!$B$50,0)</f>
        <v>0</v>
      </c>
    </row>
    <row r="639" customFormat="false" ht="15" hidden="true" customHeight="false" outlineLevel="1" collapsed="false">
      <c r="A639" s="6" t="s">
        <v>434</v>
      </c>
      <c r="B639" s="29" t="n">
        <f aca="false">Quesería!$B$52*(B636+B637+B638)</f>
        <v>0.016</v>
      </c>
      <c r="C639" s="29" t="n">
        <f aca="false">Quesería!$B$52*(C636+C637+C638)</f>
        <v>0.324982255024431</v>
      </c>
      <c r="D639" s="29" t="n">
        <f aca="false">Quesería!$B$52*(D636+D637+D638)</f>
        <v>0.944666790641204</v>
      </c>
      <c r="E639" s="29" t="n">
        <f aca="false">Quesería!$B$52*(E636+E637+E638)</f>
        <v>1.16091554650497</v>
      </c>
      <c r="F639" s="29" t="n">
        <f aca="false">Quesería!$B$52*(F636+F637+F638)</f>
        <v>1.02734284030486</v>
      </c>
      <c r="G639" s="29" t="n">
        <f aca="false">Quesería!$B$52*(G636+G637+G638)</f>
        <v>0.902327626968503</v>
      </c>
      <c r="H639" s="29" t="n">
        <f aca="false">Quesería!$B$52*(H636+H637+H638)</f>
        <v>0.78540923057473</v>
      </c>
      <c r="I639" s="29" t="n">
        <f aca="false">Quesería!$B$52*(I636+I637+I638)</f>
        <v>0.676149752798573</v>
      </c>
      <c r="J639" s="29" t="n">
        <f aca="false">Quesería!$B$52*(J636+J637+J638)</f>
        <v>0.283615060525968</v>
      </c>
      <c r="K639" s="29" t="n">
        <f aca="false">Quesería!$B$52*(K636+K637+K638)</f>
        <v>0</v>
      </c>
      <c r="L639" s="29" t="n">
        <f aca="false">Quesería!$B$52*(L636+L637+L638)</f>
        <v>0</v>
      </c>
    </row>
    <row r="640" customFormat="false" ht="15" hidden="true" customHeight="false" outlineLevel="1" collapsed="false">
      <c r="A640" s="6" t="s">
        <v>435</v>
      </c>
      <c r="B640" s="29" t="n">
        <f aca="false">$O$17*(B636+B638+0.5*B639)</f>
        <v>1.4028</v>
      </c>
      <c r="C640" s="29" t="n">
        <f aca="false">$O$17*(C636+C638+0.5*C639)</f>
        <v>28.492819209267</v>
      </c>
      <c r="D640" s="29" t="n">
        <f aca="false">$O$17*(D636+D638+0.5*D639)</f>
        <v>50.658846641366</v>
      </c>
      <c r="E640" s="29" t="n">
        <f aca="false">$O$17*(E636+E638+0.5*E639)</f>
        <v>44.393824784909</v>
      </c>
      <c r="F640" s="29" t="n">
        <f aca="false">$O$17*(F636+F638+0.5*F639)</f>
        <v>34.8901241440031</v>
      </c>
      <c r="G640" s="29" t="n">
        <f aca="false">$O$17*(G636+G638+0.5*G639)</f>
        <v>26.0518060601123</v>
      </c>
      <c r="H640" s="29" t="n">
        <f aca="false">$O$17*(H636+H638+0.5*H639)</f>
        <v>17.8417459883787</v>
      </c>
      <c r="I640" s="29" t="n">
        <f aca="false">$O$17*(I636+I638+0.5*I639)</f>
        <v>10.224690824441</v>
      </c>
      <c r="J640" s="29" t="n">
        <f aca="false">$O$17*(J636+J638+0.5*J639)</f>
        <v>3.1163292256351</v>
      </c>
      <c r="K640" s="29" t="n">
        <f aca="false">$O$17*(K636+K638+0.5*K639)</f>
        <v>0</v>
      </c>
      <c r="L640" s="29" t="n">
        <f aca="false">$O$17*(L636+L638+0.5*L639)</f>
        <v>0</v>
      </c>
    </row>
    <row r="641" customFormat="false" ht="15" hidden="true" customHeight="false" outlineLevel="1" collapsed="false">
      <c r="A641" s="5" t="s">
        <v>436</v>
      </c>
      <c r="B641" s="59" t="n">
        <f aca="false">B626+B635-B636-B637-B638-B639+B640</f>
        <v>-358.744924503166</v>
      </c>
      <c r="C641" s="59" t="n">
        <f aca="false">C626+C635-C636-C637-C638-C639+C640</f>
        <v>-59.76488627317</v>
      </c>
      <c r="D641" s="59" t="n">
        <f aca="false">D626+D635-D636-D637-D638-D639+D640</f>
        <v>369.415971203611</v>
      </c>
      <c r="E641" s="59" t="n">
        <f aca="false">E626+E635-E636-E637-E638-E639+E640</f>
        <v>86.9664440085387</v>
      </c>
      <c r="F641" s="59" t="n">
        <f aca="false">F626+F635-F636-F637-F638-F639+F640</f>
        <v>113.489739152977</v>
      </c>
      <c r="G641" s="59" t="n">
        <f aca="false">G626+G635-G636-G637-G638-G639+G640</f>
        <v>101.554882015253</v>
      </c>
      <c r="H641" s="59" t="n">
        <f aca="false">H626+H635-H636-H637-H638-H639+H640</f>
        <v>101.048234247274</v>
      </c>
      <c r="I641" s="59" t="n">
        <f aca="false">I626+I635-I636-I637-I638-I639+I640</f>
        <v>181.374831443887</v>
      </c>
      <c r="J641" s="59" t="n">
        <f aca="false">J626+J635-J636-J637-J638-J639+J640</f>
        <v>262.816632935888</v>
      </c>
      <c r="K641" s="59" t="n">
        <f aca="false">K626+K635-K636-K637-K638-K639+K640</f>
        <v>329.453103896863</v>
      </c>
      <c r="L641" s="59" t="n">
        <f aca="false">L626+L635-L636-L637-L638-L639+L640</f>
        <v>421.609852521166</v>
      </c>
    </row>
    <row r="642" customFormat="false" ht="15" hidden="true" customHeight="false" outlineLevel="1" collapsed="false">
      <c r="A642" s="9" t="s">
        <v>437</v>
      </c>
      <c r="B642" s="58" t="n">
        <f aca="false">B641*B606</f>
        <v>-380.269619973356</v>
      </c>
      <c r="C642" s="58" t="n">
        <f aca="false">C641*C606</f>
        <v>-66.5183184220382</v>
      </c>
      <c r="D642" s="58" t="n">
        <f aca="false">D641*D606</f>
        <v>429.662174867352</v>
      </c>
      <c r="E642" s="58" t="n">
        <f aca="false">E641*E606</f>
        <v>105.195341190858</v>
      </c>
      <c r="F642" s="58" t="n">
        <f aca="false">F641*F606</f>
        <v>142.76926746498</v>
      </c>
      <c r="G642" s="58" t="n">
        <f aca="false">G641*G606</f>
        <v>132.865516035746</v>
      </c>
      <c r="H642" s="58" t="n">
        <f aca="false">H641*H606</f>
        <v>137.490768953662</v>
      </c>
      <c r="I642" s="58" t="n">
        <f aca="false">I641*I606</f>
        <v>256.658217127858</v>
      </c>
      <c r="J642" s="58" t="n">
        <f aca="false">J641*J606</f>
        <v>386.780292613035</v>
      </c>
      <c r="K642" s="58" t="n">
        <f aca="false">K641*K606</f>
        <v>504.24132279683</v>
      </c>
      <c r="L642" s="58" t="n">
        <f aca="false">L641*L606</f>
        <v>671.102598560562</v>
      </c>
    </row>
    <row r="643" customFormat="false" ht="15" hidden="true" customHeight="false" outlineLevel="1" collapsed="false">
      <c r="A643" s="9" t="s">
        <v>438</v>
      </c>
      <c r="B643" s="57" t="n">
        <f aca="false">(B606/$B$606)/(1+Quesería!$B$11+$O$24)^B$43</f>
        <v>1</v>
      </c>
      <c r="C643" s="57" t="n">
        <f aca="false">(C606/$B$606)/(1+Quesería!$B$11+$O$24)^C$43</f>
        <v>0.84</v>
      </c>
      <c r="D643" s="57" t="n">
        <f aca="false">(D606/$B$606)/(1+Quesería!$B$11+$O$24)^D$43</f>
        <v>0.70224</v>
      </c>
      <c r="E643" s="57" t="n">
        <f aca="false">(E606/$B$606)/(1+Quesería!$B$11+$O$24)^E$43</f>
        <v>0.58426368</v>
      </c>
      <c r="F643" s="57" t="n">
        <f aca="false">(F606/$B$606)/(1+Quesería!$B$11+$O$24)^F$43</f>
        <v>0.48610738176</v>
      </c>
      <c r="G643" s="57" t="n">
        <f aca="false">(G606/$B$606)/(1+Quesería!$B$11+$O$24)^G$43</f>
        <v>0.40444134162432</v>
      </c>
      <c r="H643" s="57" t="n">
        <f aca="false">(H606/$B$606)/(1+Quesería!$B$11+$O$24)^H$43</f>
        <v>0.336495196231434</v>
      </c>
      <c r="I643" s="57" t="n">
        <f aca="false">(I606/$B$606)/(1+Quesería!$B$11+$O$24)^I$43</f>
        <v>0.279964003264553</v>
      </c>
      <c r="J643" s="57" t="n">
        <f aca="false">(J606/$B$606)/(1+Quesería!$B$11+$O$24)^J$43</f>
        <v>0.232930050716108</v>
      </c>
      <c r="K643" s="57" t="n">
        <f aca="false">(K606/$B$606)/(1+Quesería!$B$11+$O$24)^K$43</f>
        <v>0.193797802195802</v>
      </c>
      <c r="L643" s="57" t="n">
        <f aca="false">(L606/$B$606)/(1+Quesería!$B$11+$O$24)^L$43</f>
        <v>0.161239771426907</v>
      </c>
    </row>
    <row r="644" customFormat="false" ht="15" hidden="true" customHeight="false" outlineLevel="1" collapsed="false">
      <c r="A644" s="9" t="s">
        <v>439</v>
      </c>
      <c r="B644" s="58" t="n">
        <f aca="false">B626+B609+B611+B640</f>
        <v>120.166830858099</v>
      </c>
      <c r="C644" s="58" t="n">
        <f aca="false">C626+C609+C611+C640</f>
        <v>431.378955742191</v>
      </c>
      <c r="D644" s="58" t="n">
        <f aca="false">D626+D609+D611+D640</f>
        <v>606.527335654553</v>
      </c>
      <c r="E644" s="58" t="n">
        <f aca="false">E626+E609+E611+E640</f>
        <v>378.356246181286</v>
      </c>
      <c r="F644" s="58" t="n">
        <f aca="false">F626+F609+F611+F640</f>
        <v>371.352792069496</v>
      </c>
      <c r="G644" s="58" t="n">
        <f aca="false">G626+G609+G611+G640</f>
        <v>333.257507665433</v>
      </c>
      <c r="H644" s="58" t="n">
        <f aca="false">H626+H609+H611+H640</f>
        <v>306.999890706612</v>
      </c>
      <c r="I644" s="58" t="n">
        <f aca="false">I626+I609+I611+I640</f>
        <v>351.088419396329</v>
      </c>
      <c r="J644" s="58" t="n">
        <f aca="false">J626+J609+J611+J640</f>
        <v>334.004013127906</v>
      </c>
      <c r="K644" s="58" t="n">
        <f aca="false">K626+K609+K611+K640</f>
        <v>329.453103896863</v>
      </c>
      <c r="L644" s="58" t="n">
        <f aca="false">L626+L609+L611+L640</f>
        <v>421.609852521166</v>
      </c>
    </row>
    <row r="645" customFormat="false" ht="15" hidden="true" customHeight="false" outlineLevel="1" collapsed="false">
      <c r="A645" s="5" t="s">
        <v>149</v>
      </c>
      <c r="B645" s="12" t="str">
        <f aca="false">IF(AND(B$43&gt;=1,(B636+B637+B638)&gt;0.001),B644/(B636+B637+B638),"")</f>
        <v/>
      </c>
      <c r="C645" s="12" t="n">
        <f aca="false">IF(AND(C$43&gt;=1,(C636+C637+C638)&gt;0.001),C644/(C636+C637+C638),"")</f>
        <v>5.30956935737629</v>
      </c>
      <c r="D645" s="12" t="n">
        <f aca="false">IF(AND(D$43&gt;=1,(D636+D637+D638)&gt;0.001),D644/(D636+D637+D638),"")</f>
        <v>2.56821703340652</v>
      </c>
      <c r="E645" s="12" t="n">
        <f aca="false">IF(AND(E$43&gt;=1,(E636+E637+E638)&gt;0.001),E644/(E636+E637+E638),"")</f>
        <v>1.3036477884041</v>
      </c>
      <c r="F645" s="12" t="n">
        <f aca="false">IF(AND(F$43&gt;=1,(F636+F637+F638)&gt;0.001),F644/(F636+F637+F638),"")</f>
        <v>1.44587679010563</v>
      </c>
      <c r="G645" s="12" t="n">
        <f aca="false">IF(AND(G$43&gt;=1,(G636+G637+G638)&gt;0.001),G644/(G636+G637+G638),"")</f>
        <v>1.47732374674178</v>
      </c>
      <c r="H645" s="12" t="n">
        <f aca="false">IF(AND(H$43&gt;=1,(H636+H637+H638)&gt;0.001),H644/(H636+H637+H638),"")</f>
        <v>1.56351557254789</v>
      </c>
      <c r="I645" s="12" t="n">
        <f aca="false">IF(AND(I$43&gt;=1,(I636+I637+I638)&gt;0.001),I644/(I636+I637+I638),"")</f>
        <v>2.07698615842529</v>
      </c>
      <c r="J645" s="12" t="n">
        <f aca="false">IF(AND(J$43&gt;=1,(J636+J637+J638)&gt;0.001),J644/(J636+J637+J638),"")</f>
        <v>4.71066681026729</v>
      </c>
      <c r="K645" s="12" t="str">
        <f aca="false">IF(AND(K$43&gt;=1,(K636+K637+K638)&gt;0.001),K644/(K636+K637+K638),"")</f>
        <v/>
      </c>
      <c r="L645" s="12" t="str">
        <f aca="false">IF(AND(L$43&gt;=1,(L636+L637+L638)&gt;0.001),L644/(L636+L637+L638),"")</f>
        <v/>
      </c>
    </row>
    <row r="647" customFormat="false" ht="15" hidden="false" customHeight="false" outlineLevel="0" collapsed="false">
      <c r="A647" s="43" t="s">
        <v>1175</v>
      </c>
      <c r="B647" s="44"/>
      <c r="C647" s="44"/>
      <c r="D647" s="44"/>
      <c r="E647" s="44"/>
      <c r="F647" s="44"/>
      <c r="G647" s="44"/>
      <c r="H647" s="44"/>
      <c r="I647" s="44"/>
      <c r="J647" s="44"/>
      <c r="K647" s="44"/>
      <c r="L647" s="44"/>
    </row>
    <row r="648" customFormat="false" ht="15" hidden="true" customHeight="false" outlineLevel="1" collapsed="false">
      <c r="A648" s="9" t="s">
        <v>405</v>
      </c>
      <c r="B648" s="56" t="n">
        <f aca="false">CHOOSE($P$15,Entorno!B$7,Entorno!B$8,Entorno!B$9)</f>
        <v>0.06</v>
      </c>
      <c r="C648" s="56" t="n">
        <f aca="false">CHOOSE($P$15,Entorno!C$7,Entorno!C$8,Entorno!C$9)</f>
        <v>0.05</v>
      </c>
      <c r="D648" s="56" t="n">
        <f aca="false">CHOOSE($P$15,Entorno!D$7,Entorno!D$8,Entorno!D$9)</f>
        <v>0.045</v>
      </c>
      <c r="E648" s="56" t="n">
        <f aca="false">CHOOSE($P$15,Entorno!E$7,Entorno!E$8,Entorno!E$9)</f>
        <v>0.04</v>
      </c>
      <c r="F648" s="56" t="n">
        <f aca="false">CHOOSE($P$15,Entorno!F$7,Entorno!F$8,Entorno!F$9)</f>
        <v>0.04</v>
      </c>
      <c r="G648" s="56" t="n">
        <f aca="false">CHOOSE($P$15,Entorno!G$7,Entorno!G$8,Entorno!G$9)</f>
        <v>0.04</v>
      </c>
      <c r="H648" s="56" t="n">
        <f aca="false">CHOOSE($P$15,Entorno!H$7,Entorno!H$8,Entorno!H$9)</f>
        <v>0.04</v>
      </c>
      <c r="I648" s="56" t="n">
        <f aca="false">CHOOSE($P$15,Entorno!I$7,Entorno!I$8,Entorno!I$9)</f>
        <v>0.04</v>
      </c>
      <c r="J648" s="56" t="n">
        <f aca="false">CHOOSE($P$15,Entorno!J$7,Entorno!J$8,Entorno!J$9)</f>
        <v>0.04</v>
      </c>
      <c r="K648" s="56" t="n">
        <f aca="false">CHOOSE($P$15,Entorno!K$7,Entorno!K$8,Entorno!K$9)</f>
        <v>0.04</v>
      </c>
      <c r="L648" s="56" t="n">
        <f aca="false">CHOOSE($P$15,Entorno!L$7,Entorno!L$8,Entorno!L$9)</f>
        <v>0.04</v>
      </c>
    </row>
    <row r="649" customFormat="false" ht="15" hidden="true" customHeight="false" outlineLevel="1" collapsed="false">
      <c r="A649" s="9" t="s">
        <v>406</v>
      </c>
      <c r="B649" s="57" t="n">
        <f aca="false">1+B648</f>
        <v>1.06</v>
      </c>
      <c r="C649" s="57" t="n">
        <f aca="false">B649*(1+C648)</f>
        <v>1.113</v>
      </c>
      <c r="D649" s="57" t="n">
        <f aca="false">C649*(1+D648)</f>
        <v>1.163085</v>
      </c>
      <c r="E649" s="57" t="n">
        <f aca="false">D649*(1+E648)</f>
        <v>1.2096084</v>
      </c>
      <c r="F649" s="57" t="n">
        <f aca="false">E649*(1+F648)</f>
        <v>1.257992736</v>
      </c>
      <c r="G649" s="57" t="n">
        <f aca="false">F649*(1+G648)</f>
        <v>1.30831244544</v>
      </c>
      <c r="H649" s="57" t="n">
        <f aca="false">G649*(1+H648)</f>
        <v>1.3606449432576</v>
      </c>
      <c r="I649" s="57" t="n">
        <f aca="false">H649*(1+I648)</f>
        <v>1.4150707409879</v>
      </c>
      <c r="J649" s="57" t="n">
        <f aca="false">I649*(1+J648)</f>
        <v>1.47167357062742</v>
      </c>
      <c r="K649" s="57" t="n">
        <f aca="false">J649*(1+K648)</f>
        <v>1.53054051345252</v>
      </c>
      <c r="L649" s="57" t="n">
        <f aca="false">K649*(1+L648)</f>
        <v>1.59176213399062</v>
      </c>
    </row>
    <row r="650" customFormat="false" ht="15" hidden="true" customHeight="false" outlineLevel="1" collapsed="false">
      <c r="A650" s="9" t="s">
        <v>407</v>
      </c>
      <c r="B650" s="57" t="n">
        <f aca="false">(1+$P$16)/(1+B648)</f>
        <v>1.0377358490566</v>
      </c>
      <c r="C650" s="57" t="n">
        <f aca="false">B650*(1+Entorno!$B$13)</f>
        <v>1.04292452830189</v>
      </c>
      <c r="D650" s="57" t="n">
        <f aca="false">C650*(1+Entorno!$B$13)</f>
        <v>1.0481391509434</v>
      </c>
      <c r="E650" s="57" t="n">
        <f aca="false">D650*(1+Entorno!$B$13)</f>
        <v>1.05337984669811</v>
      </c>
      <c r="F650" s="57" t="n">
        <f aca="false">E650*(1+Entorno!$B$13)</f>
        <v>1.0586467459316</v>
      </c>
      <c r="G650" s="57" t="n">
        <f aca="false">F650*(1+Entorno!$B$13)</f>
        <v>1.06393997966126</v>
      </c>
      <c r="H650" s="57" t="n">
        <f aca="false">G650*(1+Entorno!$B$13)</f>
        <v>1.06925967955957</v>
      </c>
      <c r="I650" s="57" t="n">
        <f aca="false">H650*(1+Entorno!$B$13)</f>
        <v>1.07460597795737</v>
      </c>
      <c r="J650" s="57" t="n">
        <f aca="false">I650*(1+Entorno!$B$13)</f>
        <v>1.07997900784715</v>
      </c>
      <c r="K650" s="57" t="n">
        <f aca="false">J650*(1+Entorno!$B$13)</f>
        <v>1.08537890288639</v>
      </c>
      <c r="L650" s="57" t="n">
        <f aca="false">K650*(1+Entorno!$B$13)</f>
        <v>1.09080579740082</v>
      </c>
    </row>
    <row r="651" customFormat="false" ht="15" hidden="true" customHeight="false" outlineLevel="1" collapsed="false">
      <c r="A651" s="9" t="s">
        <v>408</v>
      </c>
      <c r="B651" s="57" t="n">
        <f aca="false">1/B649</f>
        <v>0.943396226415094</v>
      </c>
      <c r="C651" s="57" t="n">
        <f aca="false">1/C649</f>
        <v>0.898472596585804</v>
      </c>
      <c r="D651" s="57" t="n">
        <f aca="false">1/D649</f>
        <v>0.859782389077324</v>
      </c>
      <c r="E651" s="57" t="n">
        <f aca="false">1/E649</f>
        <v>0.826713835651273</v>
      </c>
      <c r="F651" s="57" t="n">
        <f aca="false">1/F649</f>
        <v>0.794917149664686</v>
      </c>
      <c r="G651" s="57" t="n">
        <f aca="false">1/G649</f>
        <v>0.764343413139121</v>
      </c>
      <c r="H651" s="57" t="n">
        <f aca="false">1/H649</f>
        <v>0.734945589556847</v>
      </c>
      <c r="I651" s="57" t="n">
        <f aca="false">1/I649</f>
        <v>0.706678451496968</v>
      </c>
      <c r="J651" s="57" t="n">
        <f aca="false">1/J649</f>
        <v>0.679498511054777</v>
      </c>
      <c r="K651" s="57" t="n">
        <f aca="false">1/K649</f>
        <v>0.653363952937286</v>
      </c>
      <c r="L651" s="57" t="n">
        <f aca="false">1/L649</f>
        <v>0.628234570132006</v>
      </c>
    </row>
    <row r="652" customFormat="false" ht="15" hidden="true" customHeight="false" outlineLevel="1" collapsed="false">
      <c r="A652" s="6" t="s">
        <v>323</v>
      </c>
      <c r="B652" s="29" t="n">
        <f aca="false">IF(B$43=0,Quesería!$F$92,IF(B$43=1,Quesería!$F$93*$P$21,0))*$P$11</f>
        <v>930.800239431677</v>
      </c>
      <c r="C652" s="29" t="n">
        <f aca="false">IF(C$43=0,Quesería!$F$92,IF(C$43=1,Quesería!$F$93*$P$21,0))*$P$11</f>
        <v>758.469066674498</v>
      </c>
      <c r="D652" s="29" t="n">
        <f aca="false">IF(D$43=0,Quesería!$F$92,IF(D$43=1,Quesería!$F$93*$P$21,0))*$P$11</f>
        <v>0</v>
      </c>
      <c r="E652" s="29" t="n">
        <f aca="false">IF(E$43=0,Quesería!$F$92,IF(E$43=1,Quesería!$F$93*$P$21,0))*$P$11</f>
        <v>0</v>
      </c>
      <c r="F652" s="29" t="n">
        <f aca="false">IF(F$43=0,Quesería!$F$92,IF(F$43=1,Quesería!$F$93*$P$21,0))*$P$11</f>
        <v>0</v>
      </c>
      <c r="G652" s="29" t="n">
        <f aca="false">IF(G$43=0,Quesería!$F$92,IF(G$43=1,Quesería!$F$93*$P$21,0))*$P$11</f>
        <v>0</v>
      </c>
      <c r="H652" s="29" t="n">
        <f aca="false">IF(H$43=0,Quesería!$F$92,IF(H$43=1,Quesería!$F$93*$P$21,0))*$P$11</f>
        <v>0</v>
      </c>
      <c r="I652" s="29" t="n">
        <f aca="false">IF(I$43=0,Quesería!$F$92,IF(I$43=1,Quesería!$F$93*$P$21,0))*$P$11</f>
        <v>0</v>
      </c>
      <c r="J652" s="29" t="n">
        <f aca="false">IF(J$43=0,Quesería!$F$92,IF(J$43=1,Quesería!$F$93*$P$21,0))*$P$11</f>
        <v>0</v>
      </c>
      <c r="K652" s="29" t="n">
        <f aca="false">IF(K$43=0,Quesería!$F$92,IF(K$43=1,Quesería!$F$93*$P$21,0))*$P$11</f>
        <v>0</v>
      </c>
      <c r="L652" s="29" t="n">
        <f aca="false">IF(L$43=0,Quesería!$F$92,IF(L$43=1,Quesería!$F$93*$P$21,0))*$P$11</f>
        <v>0</v>
      </c>
    </row>
    <row r="653" customFormat="false" ht="15" hidden="true" customHeight="false" outlineLevel="1" collapsed="false">
      <c r="A653" s="6" t="s">
        <v>409</v>
      </c>
      <c r="B653" s="29" t="n">
        <f aca="false">IF(B$43=5,Quesería!$F$99,IF(B$43=6,Quesería!$F$100,0))*$P$11</f>
        <v>0</v>
      </c>
      <c r="C653" s="29" t="n">
        <f aca="false">IF(C$43=5,Quesería!$F$99,IF(C$43=6,Quesería!$F$100,0))*$P$11</f>
        <v>0</v>
      </c>
      <c r="D653" s="29" t="n">
        <f aca="false">IF(D$43=5,Quesería!$F$99,IF(D$43=6,Quesería!$F$100,0))*$P$11</f>
        <v>0</v>
      </c>
      <c r="E653" s="29" t="n">
        <f aca="false">IF(E$43=5,Quesería!$F$99,IF(E$43=6,Quesería!$F$100,0))*$P$11</f>
        <v>0</v>
      </c>
      <c r="F653" s="29" t="n">
        <f aca="false">IF(F$43=5,Quesería!$F$99,IF(F$43=6,Quesería!$F$100,0))*$P$11</f>
        <v>0</v>
      </c>
      <c r="G653" s="29" t="n">
        <f aca="false">IF(G$43=5,Quesería!$F$99,IF(G$43=6,Quesería!$F$100,0))*$P$11</f>
        <v>27.4652172688735</v>
      </c>
      <c r="H653" s="29" t="n">
        <f aca="false">IF(H$43=5,Quesería!$F$99,IF(H$43=6,Quesería!$F$100,0))*$P$11</f>
        <v>46.3891557109552</v>
      </c>
      <c r="I653" s="29" t="n">
        <f aca="false">IF(I$43=5,Quesería!$F$99,IF(I$43=6,Quesería!$F$100,0))*$P$11</f>
        <v>0</v>
      </c>
      <c r="J653" s="29" t="n">
        <f aca="false">IF(J$43=5,Quesería!$F$99,IF(J$43=6,Quesería!$F$100,0))*$P$11</f>
        <v>0</v>
      </c>
      <c r="K653" s="29" t="n">
        <f aca="false">IF(K$43=5,Quesería!$F$99,IF(K$43=6,Quesería!$F$100,0))*$P$11</f>
        <v>0</v>
      </c>
      <c r="L653" s="29" t="n">
        <f aca="false">IF(L$43=5,Quesería!$F$99,IF(L$43=6,Quesería!$F$100,0))*$P$11</f>
        <v>0</v>
      </c>
    </row>
    <row r="654" customFormat="false" ht="15" hidden="true" customHeight="false" outlineLevel="1" collapsed="false">
      <c r="A654" s="6" t="s">
        <v>410</v>
      </c>
      <c r="B654" s="29" t="n">
        <f aca="false">Quesería!$B$55*(IF(B$43=0,SUMPRODUCT((Quesería!$C$70:$C$89=0)*(Quesería!$H$70:$H$89&gt;0)*(Quesería!$J$70:$J$89&gt;0)*Quesería!$F$70:$F$89*(1+Quesería!$I$70:$I$89)),IF(B$43=1,SUMPRODUCT((Quesería!$C$70:$C$89=1)*(Quesería!$H$70:$H$89&gt;0)*(Quesería!$J$70:$J$89&gt;0)*Quesería!$F$70:$F$89*(1+Quesería!$I$70:$I$89))*$P$21,0))*$P$11+B653)</f>
        <v>149.115671560178</v>
      </c>
      <c r="C654" s="29" t="n">
        <f aca="false">Quesería!$B$55*(IF(C$43=0,SUMPRODUCT((Quesería!$C$70:$C$89=0)*(Quesería!$H$70:$H$89&gt;0)*(Quesería!$J$70:$J$89&gt;0)*Quesería!$F$70:$F$89*(1+Quesería!$I$70:$I$89)),IF(C$43=1,SUMPRODUCT((Quesería!$C$70:$C$89=1)*(Quesería!$H$70:$H$89&gt;0)*(Quesería!$J$70:$J$89&gt;0)*Quesería!$F$70:$F$89*(1+Quesería!$I$70:$I$89))*$P$21,0))*$P$11+C653)</f>
        <v>144.109122668155</v>
      </c>
      <c r="D654" s="29" t="n">
        <f aca="false">Quesería!$B$55*(IF(D$43=0,SUMPRODUCT((Quesería!$C$70:$C$89=0)*(Quesería!$H$70:$H$89&gt;0)*(Quesería!$J$70:$J$89&gt;0)*Quesería!$F$70:$F$89*(1+Quesería!$I$70:$I$89)),IF(D$43=1,SUMPRODUCT((Quesería!$C$70:$C$89=1)*(Quesería!$H$70:$H$89&gt;0)*(Quesería!$J$70:$J$89&gt;0)*Quesería!$F$70:$F$89*(1+Quesería!$I$70:$I$89))*$P$21,0))*$P$11+D653)</f>
        <v>0</v>
      </c>
      <c r="E654" s="29" t="n">
        <f aca="false">Quesería!$B$55*(IF(E$43=0,SUMPRODUCT((Quesería!$C$70:$C$89=0)*(Quesería!$H$70:$H$89&gt;0)*(Quesería!$J$70:$J$89&gt;0)*Quesería!$F$70:$F$89*(1+Quesería!$I$70:$I$89)),IF(E$43=1,SUMPRODUCT((Quesería!$C$70:$C$89=1)*(Quesería!$H$70:$H$89&gt;0)*(Quesería!$J$70:$J$89&gt;0)*Quesería!$F$70:$F$89*(1+Quesería!$I$70:$I$89))*$P$21,0))*$P$11+E653)</f>
        <v>0</v>
      </c>
      <c r="F654" s="29" t="n">
        <f aca="false">Quesería!$B$55*(IF(F$43=0,SUMPRODUCT((Quesería!$C$70:$C$89=0)*(Quesería!$H$70:$H$89&gt;0)*(Quesería!$J$70:$J$89&gt;0)*Quesería!$F$70:$F$89*(1+Quesería!$I$70:$I$89)),IF(F$43=1,SUMPRODUCT((Quesería!$C$70:$C$89=1)*(Quesería!$H$70:$H$89&gt;0)*(Quesería!$J$70:$J$89&gt;0)*Quesería!$F$70:$F$89*(1+Quesería!$I$70:$I$89))*$P$21,0))*$P$11+F653)</f>
        <v>0</v>
      </c>
      <c r="G654" s="29" t="n">
        <f aca="false">Quesería!$B$55*(IF(G$43=0,SUMPRODUCT((Quesería!$C$70:$C$89=0)*(Quesería!$H$70:$H$89&gt;0)*(Quesería!$J$70:$J$89&gt;0)*Quesería!$F$70:$F$89*(1+Quesería!$I$70:$I$89)),IF(G$43=1,SUMPRODUCT((Quesería!$C$70:$C$89=1)*(Quesería!$H$70:$H$89&gt;0)*(Quesería!$J$70:$J$89&gt;0)*Quesería!$F$70:$F$89*(1+Quesería!$I$70:$I$89))*$P$21,0))*$P$11+G653)</f>
        <v>5.21839128108597</v>
      </c>
      <c r="H654" s="29" t="n">
        <f aca="false">Quesería!$B$55*(IF(H$43=0,SUMPRODUCT((Quesería!$C$70:$C$89=0)*(Quesería!$H$70:$H$89&gt;0)*(Quesería!$J$70:$J$89&gt;0)*Quesería!$F$70:$F$89*(1+Quesería!$I$70:$I$89)),IF(H$43=1,SUMPRODUCT((Quesería!$C$70:$C$89=1)*(Quesería!$H$70:$H$89&gt;0)*(Quesería!$J$70:$J$89&gt;0)*Quesería!$F$70:$F$89*(1+Quesería!$I$70:$I$89))*$P$21,0))*$P$11+H653)</f>
        <v>8.8139395850815</v>
      </c>
      <c r="I654" s="29" t="n">
        <f aca="false">Quesería!$B$55*(IF(I$43=0,SUMPRODUCT((Quesería!$C$70:$C$89=0)*(Quesería!$H$70:$H$89&gt;0)*(Quesería!$J$70:$J$89&gt;0)*Quesería!$F$70:$F$89*(1+Quesería!$I$70:$I$89)),IF(I$43=1,SUMPRODUCT((Quesería!$C$70:$C$89=1)*(Quesería!$H$70:$H$89&gt;0)*(Quesería!$J$70:$J$89&gt;0)*Quesería!$F$70:$F$89*(1+Quesería!$I$70:$I$89))*$P$21,0))*$P$11+I653)</f>
        <v>0</v>
      </c>
      <c r="J654" s="29" t="n">
        <f aca="false">Quesería!$B$55*(IF(J$43=0,SUMPRODUCT((Quesería!$C$70:$C$89=0)*(Quesería!$H$70:$H$89&gt;0)*(Quesería!$J$70:$J$89&gt;0)*Quesería!$F$70:$F$89*(1+Quesería!$I$70:$I$89)),IF(J$43=1,SUMPRODUCT((Quesería!$C$70:$C$89=1)*(Quesería!$H$70:$H$89&gt;0)*(Quesería!$J$70:$J$89&gt;0)*Quesería!$F$70:$F$89*(1+Quesería!$I$70:$I$89))*$P$21,0))*$P$11+J653)</f>
        <v>0</v>
      </c>
      <c r="K654" s="29" t="n">
        <f aca="false">Quesería!$B$55*(IF(K$43=0,SUMPRODUCT((Quesería!$C$70:$C$89=0)*(Quesería!$H$70:$H$89&gt;0)*(Quesería!$J$70:$J$89&gt;0)*Quesería!$F$70:$F$89*(1+Quesería!$I$70:$I$89)),IF(K$43=1,SUMPRODUCT((Quesería!$C$70:$C$89=1)*(Quesería!$H$70:$H$89&gt;0)*(Quesería!$J$70:$J$89&gt;0)*Quesería!$F$70:$F$89*(1+Quesería!$I$70:$I$89))*$P$21,0))*$P$11+K653)</f>
        <v>0</v>
      </c>
      <c r="L654" s="29" t="n">
        <f aca="false">Quesería!$B$55*(IF(L$43=0,SUMPRODUCT((Quesería!$C$70:$C$89=0)*(Quesería!$H$70:$H$89&gt;0)*(Quesería!$J$70:$J$89&gt;0)*Quesería!$F$70:$F$89*(1+Quesería!$I$70:$I$89)),IF(L$43=1,SUMPRODUCT((Quesería!$C$70:$C$89=1)*(Quesería!$H$70:$H$89&gt;0)*(Quesería!$J$70:$J$89&gt;0)*Quesería!$F$70:$F$89*(1+Quesería!$I$70:$I$89))*$P$21,0))*$P$11+L653)</f>
        <v>0</v>
      </c>
    </row>
    <row r="655" customFormat="false" ht="15" hidden="true" customHeight="false" outlineLevel="1" collapsed="false">
      <c r="A655" s="6" t="s">
        <v>385</v>
      </c>
      <c r="B655" s="29" t="n">
        <f aca="false">IF(B$43=0,($P$22*Quesería!$J$125+(1-$P$22)*Quesería!$E$121)*Quesería!$B$20*Quesería!$B$21/12*$P$23,(($P$22*Quesería!$J$125+(1-$P$22)*Quesería!$E$121)+($P$22*Quesería!$J$104+(1-$P$22)*Quesería!$E$104)*(B650-1))*IF(B$43=1,Quesería!$B$20,1))*$P$10</f>
        <v>120.716772261203</v>
      </c>
      <c r="C655" s="29" t="n">
        <f aca="false">IF(C$43=0,($P$22*Quesería!$J$125+(1-$P$22)*Quesería!$E$121)*Quesería!$B$20*Quesería!$B$21/12*$P$23,(($P$22*Quesería!$J$125+(1-$P$22)*Quesería!$E$121)+($P$22*Quesería!$J$104+(1-$P$22)*Quesería!$E$104)*(C650-1))*IF(C$43=1,Quesería!$B$20,1))*$P$10</f>
        <v>181.453752731427</v>
      </c>
      <c r="D655" s="29" t="n">
        <f aca="false">IF(D$43=0,($P$22*Quesería!$J$125+(1-$P$22)*Quesería!$E$121)*Quesería!$B$20*Quesería!$B$21/12*$P$23,(($P$22*Quesería!$J$125+(1-$P$22)*Quesería!$E$121)+($P$22*Quesería!$J$104+(1-$P$22)*Quesería!$E$104)*(D650-1))*IF(D$43=1,Quesería!$B$20,1))*$P$10</f>
        <v>241.9996609375</v>
      </c>
      <c r="E655" s="29" t="n">
        <f aca="false">IF(E$43=0,($P$22*Quesería!$J$125+(1-$P$22)*Quesería!$E$121)*Quesería!$B$20*Quesería!$B$21/12*$P$23,(($P$22*Quesería!$J$125+(1-$P$22)*Quesería!$E$121)+($P$22*Quesería!$J$104+(1-$P$22)*Quesería!$E$104)*(E650-1))*IF(E$43=1,Quesería!$B$20,1))*$P$10</f>
        <v>242.061291519576</v>
      </c>
      <c r="F655" s="29" t="n">
        <f aca="false">IF(F$43=0,($P$22*Quesería!$J$125+(1-$P$22)*Quesería!$E$121)*Quesería!$B$20*Quesería!$B$21/12*$P$23,(($P$22*Quesería!$J$125+(1-$P$22)*Quesería!$E$121)+($P$22*Quesería!$J$104+(1-$P$22)*Quesería!$E$104)*(F650-1))*IF(F$43=1,Quesería!$B$20,1))*$P$10</f>
        <v>242.123230254562</v>
      </c>
      <c r="G655" s="29" t="n">
        <f aca="false">IF(G$43=0,($P$22*Quesería!$J$125+(1-$P$22)*Quesería!$E$121)*Quesería!$B$20*Quesería!$B$21/12*$P$23,(($P$22*Quesería!$J$125+(1-$P$22)*Quesería!$E$121)+($P$22*Quesería!$J$104+(1-$P$22)*Quesería!$E$104)*(G650-1))*IF(G$43=1,Quesería!$B$20,1))*$P$10</f>
        <v>242.185478683222</v>
      </c>
      <c r="H655" s="29" t="n">
        <f aca="false">IF(H$43=0,($P$22*Quesería!$J$125+(1-$P$22)*Quesería!$E$121)*Quesería!$B$20*Quesería!$B$21/12*$P$23,(($P$22*Quesería!$J$125+(1-$P$22)*Quesería!$E$121)+($P$22*Quesería!$J$104+(1-$P$22)*Quesería!$E$104)*(H650-1))*IF(H$43=1,Quesería!$B$20,1))*$P$10</f>
        <v>242.248038354027</v>
      </c>
      <c r="I655" s="29" t="n">
        <f aca="false">IF(I$43=0,($P$22*Quesería!$J$125+(1-$P$22)*Quesería!$E$121)*Quesería!$B$20*Quesería!$B$21/12*$P$23,(($P$22*Quesería!$J$125+(1-$P$22)*Quesería!$E$121)+($P$22*Quesería!$J$104+(1-$P$22)*Quesería!$E$104)*(I650-1))*IF(I$43=1,Quesería!$B$20,1))*$P$10</f>
        <v>242.310910823185</v>
      </c>
      <c r="J655" s="29" t="n">
        <f aca="false">IF(J$43=0,($P$22*Quesería!$J$125+(1-$P$22)*Quesería!$E$121)*Quesería!$B$20*Quesería!$B$21/12*$P$23,(($P$22*Quesería!$J$125+(1-$P$22)*Quesería!$E$121)+($P$22*Quesería!$J$104+(1-$P$22)*Quesería!$E$104)*(J650-1))*IF(J$43=1,Quesería!$B$20,1))*$P$10</f>
        <v>242.374097654689</v>
      </c>
      <c r="K655" s="29" t="n">
        <f aca="false">IF(K$43=0,($P$22*Quesería!$J$125+(1-$P$22)*Quesería!$E$121)*Quesería!$B$20*Quesería!$B$21/12*$P$23,(($P$22*Quesería!$J$125+(1-$P$22)*Quesería!$E$121)+($P$22*Quesería!$J$104+(1-$P$22)*Quesería!$E$104)*(K650-1))*IF(K$43=1,Quesería!$B$20,1))*$P$10</f>
        <v>242.43760042035</v>
      </c>
      <c r="L655" s="29" t="n">
        <f aca="false">IF(L$43=0,($P$22*Quesería!$J$125+(1-$P$22)*Quesería!$E$121)*Quesería!$B$20*Quesería!$B$21/12*$P$23,(($P$22*Quesería!$J$125+(1-$P$22)*Quesería!$E$121)+($P$22*Quesería!$J$104+(1-$P$22)*Quesería!$E$104)*(L650-1))*IF(L$43=1,Quesería!$B$20,1))*$P$10</f>
        <v>242.50142069984</v>
      </c>
    </row>
    <row r="656" customFormat="false" ht="15" hidden="true" customHeight="false" outlineLevel="1" collapsed="false">
      <c r="A656" s="6" t="s">
        <v>386</v>
      </c>
      <c r="B656" s="29" t="n">
        <f aca="false">IF(B$43&lt;=1,0,((($P$22*Quesería!$J$126+(1-$P$22)*Quesería!$E$122)-($P$22*Quesería!$J$113+(1-$P$22)*Quesería!$E$113)+$P$6*($P$22*Quesería!$J$113+(1-$P$22)*Quesería!$E$113)-(1-$P$9)*(($P$22*Quesería!$J$118+(1-$P$22)*Quesería!$E$118)+($P$22*Quesería!$J$117+(1-$P$22)*Quesería!$E$117)))+($P$6*($P$22*Quesería!$J$113+(1-$P$22)*Quesería!$E$113)+$P$9*($P$22*Quesería!$J$118+(1-$P$22)*Quesería!$E$118))*(B650-1))*IF(B$43=2,Quesería!$B$20,1)+IF(B$43=2,Quesería!$B$24*$P$9*($P$22*Quesería!$J$118+(1-$P$22)*Quesería!$E$118)*B650,0))*$P$10*$P$21</f>
        <v>0</v>
      </c>
      <c r="C656" s="29" t="n">
        <f aca="false">IF(C$43&lt;=1,0,((($P$22*Quesería!$J$126+(1-$P$22)*Quesería!$E$122)-($P$22*Quesería!$J$113+(1-$P$22)*Quesería!$E$113)+$P$6*($P$22*Quesería!$J$113+(1-$P$22)*Quesería!$E$113)-(1-$P$9)*(($P$22*Quesería!$J$118+(1-$P$22)*Quesería!$E$118)+($P$22*Quesería!$J$117+(1-$P$22)*Quesería!$E$117)))+($P$6*($P$22*Quesería!$J$113+(1-$P$22)*Quesería!$E$113)+$P$9*($P$22*Quesería!$J$118+(1-$P$22)*Quesería!$E$118))*(C650-1))*IF(C$43=2,Quesería!$B$20,1)+IF(C$43=2,Quesería!$B$24*$P$9*($P$22*Quesería!$J$118+(1-$P$22)*Quesería!$E$118)*C650,0))*$P$10*$P$21</f>
        <v>0</v>
      </c>
      <c r="D656" s="29" t="n">
        <f aca="false">IF(D$43&lt;=1,0,((($P$22*Quesería!$J$126+(1-$P$22)*Quesería!$E$122)-($P$22*Quesería!$J$113+(1-$P$22)*Quesería!$E$113)+$P$6*($P$22*Quesería!$J$113+(1-$P$22)*Quesería!$E$113)-(1-$P$9)*(($P$22*Quesería!$J$118+(1-$P$22)*Quesería!$E$118)+($P$22*Quesería!$J$117+(1-$P$22)*Quesería!$E$117)))+($P$6*($P$22*Quesería!$J$113+(1-$P$22)*Quesería!$E$113)+$P$9*($P$22*Quesería!$J$118+(1-$P$22)*Quesería!$E$118))*(D650-1))*IF(D$43=2,Quesería!$B$20,1)+IF(D$43=2,Quesería!$B$24*$P$9*($P$22*Quesería!$J$118+(1-$P$22)*Quesería!$E$118)*D650,0))*$P$10*$P$21</f>
        <v>235.867836262479</v>
      </c>
      <c r="E656" s="29" t="n">
        <f aca="false">IF(E$43&lt;=1,0,((($P$22*Quesería!$J$126+(1-$P$22)*Quesería!$E$122)-($P$22*Quesería!$J$113+(1-$P$22)*Quesería!$E$113)+$P$6*($P$22*Quesería!$J$113+(1-$P$22)*Quesería!$E$113)-(1-$P$9)*(($P$22*Quesería!$J$118+(1-$P$22)*Quesería!$E$118)+($P$22*Quesería!$J$117+(1-$P$22)*Quesería!$E$117)))+($P$6*($P$22*Quesería!$J$113+(1-$P$22)*Quesería!$E$113)+$P$9*($P$22*Quesería!$J$118+(1-$P$22)*Quesería!$E$118))*(E650-1))*IF(E$43=2,Quesería!$B$20,1)+IF(E$43=2,Quesería!$B$24*$P$9*($P$22*Quesería!$J$118+(1-$P$22)*Quesería!$E$118)*E650,0))*$P$10*$P$21</f>
        <v>299.647540205633</v>
      </c>
      <c r="F656" s="29" t="n">
        <f aca="false">IF(F$43&lt;=1,0,((($P$22*Quesería!$J$126+(1-$P$22)*Quesería!$E$122)-($P$22*Quesería!$J$113+(1-$P$22)*Quesería!$E$113)+$P$6*($P$22*Quesería!$J$113+(1-$P$22)*Quesería!$E$113)-(1-$P$9)*(($P$22*Quesería!$J$118+(1-$P$22)*Quesería!$E$118)+($P$22*Quesería!$J$117+(1-$P$22)*Quesería!$E$117)))+($P$6*($P$22*Quesería!$J$113+(1-$P$22)*Quesería!$E$113)+$P$9*($P$22*Quesería!$J$118+(1-$P$22)*Quesería!$E$118))*(F650-1))*IF(F$43=2,Quesería!$B$20,1)+IF(F$43=2,Quesería!$B$24*$P$9*($P$22*Quesería!$J$118+(1-$P$22)*Quesería!$E$118)*F650,0))*$P$10*$P$21</f>
        <v>299.899087313024</v>
      </c>
      <c r="G656" s="29" t="n">
        <f aca="false">IF(G$43&lt;=1,0,((($P$22*Quesería!$J$126+(1-$P$22)*Quesería!$E$122)-($P$22*Quesería!$J$113+(1-$P$22)*Quesería!$E$113)+$P$6*($P$22*Quesería!$J$113+(1-$P$22)*Quesería!$E$113)-(1-$P$9)*(($P$22*Quesería!$J$118+(1-$P$22)*Quesería!$E$118)+($P$22*Quesería!$J$117+(1-$P$22)*Quesería!$E$117)))+($P$6*($P$22*Quesería!$J$113+(1-$P$22)*Quesería!$E$113)+$P$9*($P$22*Quesería!$J$118+(1-$P$22)*Quesería!$E$118))*(G650-1))*IF(G$43=2,Quesería!$B$20,1)+IF(G$43=2,Quesería!$B$24*$P$9*($P$22*Quesería!$J$118+(1-$P$22)*Quesería!$E$118)*G650,0))*$P$10*$P$21</f>
        <v>300.151892155953</v>
      </c>
      <c r="H656" s="29" t="n">
        <f aca="false">IF(H$43&lt;=1,0,((($P$22*Quesería!$J$126+(1-$P$22)*Quesería!$E$122)-($P$22*Quesería!$J$113+(1-$P$22)*Quesería!$E$113)+$P$6*($P$22*Quesería!$J$113+(1-$P$22)*Quesería!$E$113)-(1-$P$9)*(($P$22*Quesería!$J$118+(1-$P$22)*Quesería!$E$118)+($P$22*Quesería!$J$117+(1-$P$22)*Quesería!$E$117)))+($P$6*($P$22*Quesería!$J$113+(1-$P$22)*Quesería!$E$113)+$P$9*($P$22*Quesería!$J$118+(1-$P$22)*Quesería!$E$118))*(H650-1))*IF(H$43=2,Quesería!$B$20,1)+IF(H$43=2,Quesería!$B$24*$P$9*($P$22*Quesería!$J$118+(1-$P$22)*Quesería!$E$118)*H650,0))*$P$10*$P$21</f>
        <v>300.405961023096</v>
      </c>
      <c r="I656" s="29" t="n">
        <f aca="false">IF(I$43&lt;=1,0,((($P$22*Quesería!$J$126+(1-$P$22)*Quesería!$E$122)-($P$22*Quesería!$J$113+(1-$P$22)*Quesería!$E$113)+$P$6*($P$22*Quesería!$J$113+(1-$P$22)*Quesería!$E$113)-(1-$P$9)*(($P$22*Quesería!$J$118+(1-$P$22)*Quesería!$E$118)+($P$22*Quesería!$J$117+(1-$P$22)*Quesería!$E$117)))+($P$6*($P$22*Quesería!$J$113+(1-$P$22)*Quesería!$E$113)+$P$9*($P$22*Quesería!$J$118+(1-$P$22)*Quesería!$E$118))*(I650-1))*IF(I$43=2,Quesería!$B$20,1)+IF(I$43=2,Quesería!$B$24*$P$9*($P$22*Quesería!$J$118+(1-$P$22)*Quesería!$E$118)*I650,0))*$P$10*$P$21</f>
        <v>300.661300234575</v>
      </c>
      <c r="J656" s="29" t="n">
        <f aca="false">IF(J$43&lt;=1,0,((($P$22*Quesería!$J$126+(1-$P$22)*Quesería!$E$122)-($P$22*Quesería!$J$113+(1-$P$22)*Quesería!$E$113)+$P$6*($P$22*Quesería!$J$113+(1-$P$22)*Quesería!$E$113)-(1-$P$9)*(($P$22*Quesería!$J$118+(1-$P$22)*Quesería!$E$118)+($P$22*Quesería!$J$117+(1-$P$22)*Quesería!$E$117)))+($P$6*($P$22*Quesería!$J$113+(1-$P$22)*Quesería!$E$113)+$P$9*($P$22*Quesería!$J$118+(1-$P$22)*Quesería!$E$118))*(J650-1))*IF(J$43=2,Quesería!$B$20,1)+IF(J$43=2,Quesería!$B$24*$P$9*($P$22*Quesería!$J$118+(1-$P$22)*Quesería!$E$118)*J650,0))*$P$10*$P$21</f>
        <v>300.917916142111</v>
      </c>
      <c r="K656" s="29" t="n">
        <f aca="false">IF(K$43&lt;=1,0,((($P$22*Quesería!$J$126+(1-$P$22)*Quesería!$E$122)-($P$22*Quesería!$J$113+(1-$P$22)*Quesería!$E$113)+$P$6*($P$22*Quesería!$J$113+(1-$P$22)*Quesería!$E$113)-(1-$P$9)*(($P$22*Quesería!$J$118+(1-$P$22)*Quesería!$E$118)+($P$22*Quesería!$J$117+(1-$P$22)*Quesería!$E$117)))+($P$6*($P$22*Quesería!$J$113+(1-$P$22)*Quesería!$E$113)+$P$9*($P$22*Quesería!$J$118+(1-$P$22)*Quesería!$E$118))*(K650-1))*IF(K$43=2,Quesería!$B$20,1)+IF(K$43=2,Quesería!$B$24*$P$9*($P$22*Quesería!$J$118+(1-$P$22)*Quesería!$E$118)*K650,0))*$P$10*$P$21</f>
        <v>301.175815129185</v>
      </c>
      <c r="L656" s="29" t="n">
        <f aca="false">IF(L$43&lt;=1,0,((($P$22*Quesería!$J$126+(1-$P$22)*Quesería!$E$122)-($P$22*Quesería!$J$113+(1-$P$22)*Quesería!$E$113)+$P$6*($P$22*Quesería!$J$113+(1-$P$22)*Quesería!$E$113)-(1-$P$9)*(($P$22*Quesería!$J$118+(1-$P$22)*Quesería!$E$118)+($P$22*Quesería!$J$117+(1-$P$22)*Quesería!$E$117)))+($P$6*($P$22*Quesería!$J$113+(1-$P$22)*Quesería!$E$113)+$P$9*($P$22*Quesería!$J$118+(1-$P$22)*Quesería!$E$118))*(L650-1))*IF(L$43=2,Quesería!$B$20,1)+IF(L$43=2,Quesería!$B$24*$P$9*($P$22*Quesería!$J$118+(1-$P$22)*Quesería!$E$118)*L650,0))*$P$10*$P$21</f>
        <v>301.435003611194</v>
      </c>
    </row>
    <row r="657" customFormat="false" ht="15" hidden="true" customHeight="false" outlineLevel="1" collapsed="false">
      <c r="A657" s="5" t="s">
        <v>411</v>
      </c>
      <c r="B657" s="10" t="n">
        <f aca="false">B655+B656</f>
        <v>120.716772261203</v>
      </c>
      <c r="C657" s="10" t="n">
        <f aca="false">C655+C656</f>
        <v>181.453752731427</v>
      </c>
      <c r="D657" s="10" t="n">
        <f aca="false">D655+D656</f>
        <v>477.86749719998</v>
      </c>
      <c r="E657" s="10" t="n">
        <f aca="false">E655+E656</f>
        <v>541.708831725209</v>
      </c>
      <c r="F657" s="10" t="n">
        <f aca="false">F655+F656</f>
        <v>542.022317567586</v>
      </c>
      <c r="G657" s="10" t="n">
        <f aca="false">G655+G656</f>
        <v>542.337370839175</v>
      </c>
      <c r="H657" s="10" t="n">
        <f aca="false">H655+H656</f>
        <v>542.653999377122</v>
      </c>
      <c r="I657" s="10" t="n">
        <f aca="false">I655+I656</f>
        <v>542.972211057759</v>
      </c>
      <c r="J657" s="10" t="n">
        <f aca="false">J655+J656</f>
        <v>543.292013796799</v>
      </c>
      <c r="K657" s="10" t="n">
        <f aca="false">K655+K656</f>
        <v>543.613415549535</v>
      </c>
      <c r="L657" s="10" t="n">
        <f aca="false">L655+L656</f>
        <v>543.936424311034</v>
      </c>
    </row>
    <row r="658" customFormat="false" ht="15" hidden="true" customHeight="false" outlineLevel="1" collapsed="false">
      <c r="A658" s="6" t="s">
        <v>412</v>
      </c>
      <c r="B658" s="29" t="n">
        <f aca="false">(IF(B$43&gt;=1,(Quesería!$B$31+Quesería!$B$33)*Quesería!$F$94*$P$11+Quesería!$B$32+'Beneficios y costos'!$B$211,0)+IF(B$43&gt;=2,((Quesería!$B$31+Quesería!$B$33)*Quesería!$F$95*$P$11+'Beneficios y costos'!$C$211)*$P$21,0))*$P$12</f>
        <v>0</v>
      </c>
      <c r="C658" s="29" t="n">
        <f aca="false">(IF(C$43&gt;=1,(Quesería!$B$31+Quesería!$B$33)*Quesería!$F$94*$P$11+Quesería!$B$32+'Beneficios y costos'!$B$211,0)+IF(C$43&gt;=2,((Quesería!$B$31+Quesería!$B$33)*Quesería!$F$95*$P$11+'Beneficios y costos'!$C$211)*$P$21,0))*$P$12</f>
        <v>42.0946487260605</v>
      </c>
      <c r="D658" s="29" t="n">
        <f aca="false">(IF(D$43&gt;=1,(Quesería!$B$31+Quesería!$B$33)*Quesería!$F$94*$P$11+Quesería!$B$32+'Beneficios y costos'!$B$211,0)+IF(D$43&gt;=2,((Quesería!$B$31+Quesería!$B$33)*Quesería!$F$95*$P$11+'Beneficios y costos'!$C$211)*$P$21,0))*$P$12</f>
        <v>95.9432442337815</v>
      </c>
      <c r="E658" s="29" t="n">
        <f aca="false">(IF(E$43&gt;=1,(Quesería!$B$31+Quesería!$B$33)*Quesería!$F$94*$P$11+Quesería!$B$32+'Beneficios y costos'!$B$211,0)+IF(E$43&gt;=2,((Quesería!$B$31+Quesería!$B$33)*Quesería!$F$95*$P$11+'Beneficios y costos'!$C$211)*$P$21,0))*$P$12</f>
        <v>95.9432442337815</v>
      </c>
      <c r="F658" s="29" t="n">
        <f aca="false">(IF(F$43&gt;=1,(Quesería!$B$31+Quesería!$B$33)*Quesería!$F$94*$P$11+Quesería!$B$32+'Beneficios y costos'!$B$211,0)+IF(F$43&gt;=2,((Quesería!$B$31+Quesería!$B$33)*Quesería!$F$95*$P$11+'Beneficios y costos'!$C$211)*$P$21,0))*$P$12</f>
        <v>95.9432442337815</v>
      </c>
      <c r="G658" s="29" t="n">
        <f aca="false">(IF(G$43&gt;=1,(Quesería!$B$31+Quesería!$B$33)*Quesería!$F$94*$P$11+Quesería!$B$32+'Beneficios y costos'!$B$211,0)+IF(G$43&gt;=2,((Quesería!$B$31+Quesería!$B$33)*Quesería!$F$95*$P$11+'Beneficios y costos'!$C$211)*$P$21,0))*$P$12</f>
        <v>95.9432442337815</v>
      </c>
      <c r="H658" s="29" t="n">
        <f aca="false">(IF(H$43&gt;=1,(Quesería!$B$31+Quesería!$B$33)*Quesería!$F$94*$P$11+Quesería!$B$32+'Beneficios y costos'!$B$211,0)+IF(H$43&gt;=2,((Quesería!$B$31+Quesería!$B$33)*Quesería!$F$95*$P$11+'Beneficios y costos'!$C$211)*$P$21,0))*$P$12</f>
        <v>95.9432442337815</v>
      </c>
      <c r="I658" s="29" t="n">
        <f aca="false">(IF(I$43&gt;=1,(Quesería!$B$31+Quesería!$B$33)*Quesería!$F$94*$P$11+Quesería!$B$32+'Beneficios y costos'!$B$211,0)+IF(I$43&gt;=2,((Quesería!$B$31+Quesería!$B$33)*Quesería!$F$95*$P$11+'Beneficios y costos'!$C$211)*$P$21,0))*$P$12</f>
        <v>95.9432442337815</v>
      </c>
      <c r="J658" s="29" t="n">
        <f aca="false">(IF(J$43&gt;=1,(Quesería!$B$31+Quesería!$B$33)*Quesería!$F$94*$P$11+Quesería!$B$32+'Beneficios y costos'!$B$211,0)+IF(J$43&gt;=2,((Quesería!$B$31+Quesería!$B$33)*Quesería!$F$95*$P$11+'Beneficios y costos'!$C$211)*$P$21,0))*$P$12</f>
        <v>95.9432442337815</v>
      </c>
      <c r="K658" s="29" t="n">
        <f aca="false">(IF(K$43&gt;=1,(Quesería!$B$31+Quesería!$B$33)*Quesería!$F$94*$P$11+Quesería!$B$32+'Beneficios y costos'!$B$211,0)+IF(K$43&gt;=2,((Quesería!$B$31+Quesería!$B$33)*Quesería!$F$95*$P$11+'Beneficios y costos'!$C$211)*$P$21,0))*$P$12</f>
        <v>95.9432442337815</v>
      </c>
      <c r="L658" s="29" t="n">
        <f aca="false">(IF(L$43&gt;=1,(Quesería!$B$31+Quesería!$B$33)*Quesería!$F$94*$P$11+Quesería!$B$32+'Beneficios y costos'!$B$211,0)+IF(L$43&gt;=2,((Quesería!$B$31+Quesería!$B$33)*Quesería!$F$95*$P$11+'Beneficios y costos'!$C$211)*$P$21,0))*$P$12</f>
        <v>95.9432442337815</v>
      </c>
    </row>
    <row r="659" customFormat="false" ht="15" hidden="true" customHeight="false" outlineLevel="1" collapsed="false">
      <c r="A659" s="6" t="s">
        <v>413</v>
      </c>
      <c r="B659" s="29" t="n">
        <f aca="false">IF(B$43=1,2*Quesería!$B$22*Quesería!$B$23/12*B650,0)*$P$21</f>
        <v>0</v>
      </c>
      <c r="C659" s="29" t="n">
        <f aca="false">IF(C$43=1,2*Quesería!$B$22*Quesería!$B$23/12*C650,0)*$P$21</f>
        <v>18.772641509434</v>
      </c>
      <c r="D659" s="29" t="n">
        <f aca="false">IF(D$43=1,2*Quesería!$B$22*Quesería!$B$23/12*D650,0)*$P$21</f>
        <v>0</v>
      </c>
      <c r="E659" s="29" t="n">
        <f aca="false">IF(E$43=1,2*Quesería!$B$22*Quesería!$B$23/12*E650,0)*$P$21</f>
        <v>0</v>
      </c>
      <c r="F659" s="29" t="n">
        <f aca="false">IF(F$43=1,2*Quesería!$B$22*Quesería!$B$23/12*F650,0)*$P$21</f>
        <v>0</v>
      </c>
      <c r="G659" s="29" t="n">
        <f aca="false">IF(G$43=1,2*Quesería!$B$22*Quesería!$B$23/12*G650,0)*$P$21</f>
        <v>0</v>
      </c>
      <c r="H659" s="29" t="n">
        <f aca="false">IF(H$43=1,2*Quesería!$B$22*Quesería!$B$23/12*H650,0)*$P$21</f>
        <v>0</v>
      </c>
      <c r="I659" s="29" t="n">
        <f aca="false">IF(I$43=1,2*Quesería!$B$22*Quesería!$B$23/12*I650,0)*$P$21</f>
        <v>0</v>
      </c>
      <c r="J659" s="29" t="n">
        <f aca="false">IF(J$43=1,2*Quesería!$B$22*Quesería!$B$23/12*J650,0)*$P$21</f>
        <v>0</v>
      </c>
      <c r="K659" s="29" t="n">
        <f aca="false">IF(K$43=1,2*Quesería!$B$22*Quesería!$B$23/12*K650,0)*$P$21</f>
        <v>0</v>
      </c>
      <c r="L659" s="29" t="n">
        <f aca="false">IF(L$43=1,2*Quesería!$B$22*Quesería!$B$23/12*L650,0)*$P$21</f>
        <v>0</v>
      </c>
    </row>
    <row r="660" customFormat="false" ht="15" hidden="true" customHeight="false" outlineLevel="1" collapsed="false">
      <c r="A660" s="6" t="s">
        <v>414</v>
      </c>
      <c r="B660" s="29" t="n">
        <f aca="false">Quesería!$B$52*(B652+B653+B654+B658+B659)</f>
        <v>4.31966364396742</v>
      </c>
      <c r="C660" s="29" t="n">
        <f aca="false">Quesería!$B$52*(C652+C653+C654+C658+C659)</f>
        <v>3.85378191831259</v>
      </c>
      <c r="D660" s="29" t="n">
        <f aca="false">Quesería!$B$52*(D652+D653+D654+D658+D659)</f>
        <v>0.383772976935126</v>
      </c>
      <c r="E660" s="29" t="n">
        <f aca="false">Quesería!$B$52*(E652+E653+E654+E658+E659)</f>
        <v>0.383772976935126</v>
      </c>
      <c r="F660" s="29" t="n">
        <f aca="false">Quesería!$B$52*(F652+F653+F654+F658+F659)</f>
        <v>0.383772976935126</v>
      </c>
      <c r="G660" s="29" t="n">
        <f aca="false">Quesería!$B$52*(G652+G653+G654+G658+G659)</f>
        <v>0.514507411134964</v>
      </c>
      <c r="H660" s="29" t="n">
        <f aca="false">Quesería!$B$52*(H652+H653+H654+H658+H659)</f>
        <v>0.604585358119273</v>
      </c>
      <c r="I660" s="29" t="n">
        <f aca="false">Quesería!$B$52*(I652+I653+I654+I658+I659)</f>
        <v>0.383772976935126</v>
      </c>
      <c r="J660" s="29" t="n">
        <f aca="false">Quesería!$B$52*(J652+J653+J654+J658+J659)</f>
        <v>0.383772976935126</v>
      </c>
      <c r="K660" s="29" t="n">
        <f aca="false">Quesería!$B$52*(K652+K653+K654+K658+K659)</f>
        <v>0.383772976935126</v>
      </c>
      <c r="L660" s="29" t="n">
        <f aca="false">Quesería!$B$52*(L652+L653+L654+L658+L659)</f>
        <v>0.383772976935126</v>
      </c>
    </row>
    <row r="661" customFormat="false" ht="15" hidden="true" customHeight="false" outlineLevel="1" collapsed="false">
      <c r="A661" s="6" t="s">
        <v>415</v>
      </c>
      <c r="B661" s="29" t="n">
        <f aca="false">(IF($P$19=1,(SUMPRODUCT((Quesería!$C$70:$C$89=0)*(Quesería!$J$70:$J$89&gt;0)*(B$43&gt;=1)*(B$43&lt;=Quesería!$J$70:$J$89)*(Quesería!$H$70:$H$89&gt;0)*Quesería!$F$70:$F$89*(1+Quesería!$I$70:$I$89)/(Quesería!$J$70:$J$89+(Quesería!$J$70:$J$89=0)))+SUMPRODUCT((Quesería!$C$70:$C$89=0)*(Quesería!$J$70:$J$89=0)*(B$43=0)*(Quesería!$H$70:$H$89&gt;0)*Quesería!$F$70:$F$89*(1+Quesería!$I$70:$I$89)))*$B$649+(SUMPRODUCT((Quesería!$C$70:$C$89=1)*(Quesería!$J$70:$J$89&gt;0)*(B$43&gt;=2)*(B$43&lt;=Quesería!$J$70:$J$89+1)*(Quesería!$H$70:$H$89&gt;0)*Quesería!$F$70:$F$89*(1+Quesería!$I$70:$I$89)/(Quesería!$J$70:$J$89+(Quesería!$J$70:$J$89=0)))+SUMPRODUCT((Quesería!$C$70:$C$89=1)*(Quesería!$J$70:$J$89=0)*(B$43=1)*(Quesería!$H$70:$H$89&gt;0)*Quesería!$F$70:$F$89*(1+Quesería!$I$70:$I$89)))*$C$649*$P$21,IF(AND(B$43&gt;=1,B$43&lt;=Quesería!$B$30),Quesería!$F$92/Quesería!$B$30,0)*$B$649+IF(AND(B$43&gt;=2,B$43&lt;=Quesería!$B$30+1),Quesería!$F$93/Quesería!$B$30,0)*$C$649*$P$21)*$P$11+IF(AND(B$43&gt;=6,B$43&lt;=10),$G653*$G649/5,0)+IF(AND(B$43&gt;=7,B$43&lt;=11),$H653*$H649/5,0))*B651</f>
        <v>145.980915430742</v>
      </c>
      <c r="C661" s="29" t="n">
        <f aca="false">(IF($P$19=1,(SUMPRODUCT((Quesería!$C$70:$C$89=0)*(Quesería!$J$70:$J$89&gt;0)*(C$43&gt;=1)*(C$43&lt;=Quesería!$J$70:$J$89)*(Quesería!$H$70:$H$89&gt;0)*Quesería!$F$70:$F$89*(1+Quesería!$I$70:$I$89)/(Quesería!$J$70:$J$89+(Quesería!$J$70:$J$89=0)))+SUMPRODUCT((Quesería!$C$70:$C$89=0)*(Quesería!$J$70:$J$89=0)*(C$43=0)*(Quesería!$H$70:$H$89&gt;0)*Quesería!$F$70:$F$89*(1+Quesería!$I$70:$I$89)))*$B$649+(SUMPRODUCT((Quesería!$C$70:$C$89=1)*(Quesería!$J$70:$J$89&gt;0)*(C$43&gt;=2)*(C$43&lt;=Quesería!$J$70:$J$89+1)*(Quesería!$H$70:$H$89&gt;0)*Quesería!$F$70:$F$89*(1+Quesería!$I$70:$I$89)/(Quesería!$J$70:$J$89+(Quesería!$J$70:$J$89=0)))+SUMPRODUCT((Quesería!$C$70:$C$89=1)*(Quesería!$J$70:$J$89=0)*(C$43=1)*(Quesería!$H$70:$H$89&gt;0)*Quesería!$F$70:$F$89*(1+Quesería!$I$70:$I$89)))*$C$649*$P$21,IF(AND(C$43&gt;=1,C$43&lt;=Quesería!$B$30),Quesería!$F$92/Quesería!$B$30,0)*$B$649+IF(AND(C$43&gt;=2,C$43&lt;=Quesería!$B$30+1),Quesería!$F$93/Quesería!$B$30,0)*$C$649*$P$21)*$P$11+IF(AND(C$43&gt;=6,C$43&lt;=10),$G653*$G649/5,0)+IF(AND(C$43&gt;=7,C$43&lt;=11),$H653*$H649/5,0))*C651</f>
        <v>82.2633269524265</v>
      </c>
      <c r="D661" s="29" t="n">
        <f aca="false">(IF($P$19=1,(SUMPRODUCT((Quesería!$C$70:$C$89=0)*(Quesería!$J$70:$J$89&gt;0)*(D$43&gt;=1)*(D$43&lt;=Quesería!$J$70:$J$89)*(Quesería!$H$70:$H$89&gt;0)*Quesería!$F$70:$F$89*(1+Quesería!$I$70:$I$89)/(Quesería!$J$70:$J$89+(Quesería!$J$70:$J$89=0)))+SUMPRODUCT((Quesería!$C$70:$C$89=0)*(Quesería!$J$70:$J$89=0)*(D$43=0)*(Quesería!$H$70:$H$89&gt;0)*Quesería!$F$70:$F$89*(1+Quesería!$I$70:$I$89)))*$B$649+(SUMPRODUCT((Quesería!$C$70:$C$89=1)*(Quesería!$J$70:$J$89&gt;0)*(D$43&gt;=2)*(D$43&lt;=Quesería!$J$70:$J$89+1)*(Quesería!$H$70:$H$89&gt;0)*Quesería!$F$70:$F$89*(1+Quesería!$I$70:$I$89)/(Quesería!$J$70:$J$89+(Quesería!$J$70:$J$89=0)))+SUMPRODUCT((Quesería!$C$70:$C$89=1)*(Quesería!$J$70:$J$89=0)*(D$43=1)*(Quesería!$H$70:$H$89&gt;0)*Quesería!$F$70:$F$89*(1+Quesería!$I$70:$I$89)))*$C$649*$P$21,IF(AND(D$43&gt;=1,D$43&lt;=Quesería!$B$30),Quesería!$F$92/Quesería!$B$30,0)*$B$649+IF(AND(D$43&gt;=2,D$43&lt;=Quesería!$B$30+1),Quesería!$F$93/Quesería!$B$30,0)*$C$649*$P$21)*$P$11+IF(AND(D$43&gt;=6,D$43&lt;=10),$G653*$G649/5,0)+IF(AND(D$43&gt;=7,D$43&lt;=11),$H653*$H649/5,0))*D651</f>
        <v>151.301658966389</v>
      </c>
      <c r="E661" s="29" t="n">
        <f aca="false">(IF($P$19=1,(SUMPRODUCT((Quesería!$C$70:$C$89=0)*(Quesería!$J$70:$J$89&gt;0)*(E$43&gt;=1)*(E$43&lt;=Quesería!$J$70:$J$89)*(Quesería!$H$70:$H$89&gt;0)*Quesería!$F$70:$F$89*(1+Quesería!$I$70:$I$89)/(Quesería!$J$70:$J$89+(Quesería!$J$70:$J$89=0)))+SUMPRODUCT((Quesería!$C$70:$C$89=0)*(Quesería!$J$70:$J$89=0)*(E$43=0)*(Quesería!$H$70:$H$89&gt;0)*Quesería!$F$70:$F$89*(1+Quesería!$I$70:$I$89)))*$B$649+(SUMPRODUCT((Quesería!$C$70:$C$89=1)*(Quesería!$J$70:$J$89&gt;0)*(E$43&gt;=2)*(E$43&lt;=Quesería!$J$70:$J$89+1)*(Quesería!$H$70:$H$89&gt;0)*Quesería!$F$70:$F$89*(1+Quesería!$I$70:$I$89)/(Quesería!$J$70:$J$89+(Quesería!$J$70:$J$89=0)))+SUMPRODUCT((Quesería!$C$70:$C$89=1)*(Quesería!$J$70:$J$89=0)*(E$43=1)*(Quesería!$H$70:$H$89&gt;0)*Quesería!$F$70:$F$89*(1+Quesería!$I$70:$I$89)))*$C$649*$P$21,IF(AND(E$43&gt;=1,E$43&lt;=Quesería!$B$30),Quesería!$F$92/Quesería!$B$30,0)*$B$649+IF(AND(E$43&gt;=2,E$43&lt;=Quesería!$B$30+1),Quesería!$F$93/Quesería!$B$30,0)*$C$649*$P$21)*$P$11+IF(AND(E$43&gt;=6,E$43&lt;=10),$G653*$G649/5,0)+IF(AND(E$43&gt;=7,E$43&lt;=11),$H653*$H649/5,0))*E651</f>
        <v>145.482364390759</v>
      </c>
      <c r="F661" s="29" t="n">
        <f aca="false">(IF($P$19=1,(SUMPRODUCT((Quesería!$C$70:$C$89=0)*(Quesería!$J$70:$J$89&gt;0)*(F$43&gt;=1)*(F$43&lt;=Quesería!$J$70:$J$89)*(Quesería!$H$70:$H$89&gt;0)*Quesería!$F$70:$F$89*(1+Quesería!$I$70:$I$89)/(Quesería!$J$70:$J$89+(Quesería!$J$70:$J$89=0)))+SUMPRODUCT((Quesería!$C$70:$C$89=0)*(Quesería!$J$70:$J$89=0)*(F$43=0)*(Quesería!$H$70:$H$89&gt;0)*Quesería!$F$70:$F$89*(1+Quesería!$I$70:$I$89)))*$B$649+(SUMPRODUCT((Quesería!$C$70:$C$89=1)*(Quesería!$J$70:$J$89&gt;0)*(F$43&gt;=2)*(F$43&lt;=Quesería!$J$70:$J$89+1)*(Quesería!$H$70:$H$89&gt;0)*Quesería!$F$70:$F$89*(1+Quesería!$I$70:$I$89)/(Quesería!$J$70:$J$89+(Quesería!$J$70:$J$89=0)))+SUMPRODUCT((Quesería!$C$70:$C$89=1)*(Quesería!$J$70:$J$89=0)*(F$43=1)*(Quesería!$H$70:$H$89&gt;0)*Quesería!$F$70:$F$89*(1+Quesería!$I$70:$I$89)))*$C$649*$P$21,IF(AND(F$43&gt;=1,F$43&lt;=Quesería!$B$30),Quesería!$F$92/Quesería!$B$30,0)*$B$649+IF(AND(F$43&gt;=2,F$43&lt;=Quesería!$B$30+1),Quesería!$F$93/Quesería!$B$30,0)*$C$649*$P$21)*$P$11+IF(AND(F$43&gt;=6,F$43&lt;=10),$G653*$G649/5,0)+IF(AND(F$43&gt;=7,F$43&lt;=11),$H653*$H649/5,0))*F651</f>
        <v>139.886888837268</v>
      </c>
      <c r="G661" s="29" t="n">
        <f aca="false">(IF($P$19=1,(SUMPRODUCT((Quesería!$C$70:$C$89=0)*(Quesería!$J$70:$J$89&gt;0)*(G$43&gt;=1)*(G$43&lt;=Quesería!$J$70:$J$89)*(Quesería!$H$70:$H$89&gt;0)*Quesería!$F$70:$F$89*(1+Quesería!$I$70:$I$89)/(Quesería!$J$70:$J$89+(Quesería!$J$70:$J$89=0)))+SUMPRODUCT((Quesería!$C$70:$C$89=0)*(Quesería!$J$70:$J$89=0)*(G$43=0)*(Quesería!$H$70:$H$89&gt;0)*Quesería!$F$70:$F$89*(1+Quesería!$I$70:$I$89)))*$B$649+(SUMPRODUCT((Quesería!$C$70:$C$89=1)*(Quesería!$J$70:$J$89&gt;0)*(G$43&gt;=2)*(G$43&lt;=Quesería!$J$70:$J$89+1)*(Quesería!$H$70:$H$89&gt;0)*Quesería!$F$70:$F$89*(1+Quesería!$I$70:$I$89)/(Quesería!$J$70:$J$89+(Quesería!$J$70:$J$89=0)))+SUMPRODUCT((Quesería!$C$70:$C$89=1)*(Quesería!$J$70:$J$89=0)*(G$43=1)*(Quesería!$H$70:$H$89&gt;0)*Quesería!$F$70:$F$89*(1+Quesería!$I$70:$I$89)))*$C$649*$P$21,IF(AND(G$43&gt;=1,G$43&lt;=Quesería!$B$30),Quesería!$F$92/Quesería!$B$30,0)*$B$649+IF(AND(G$43&gt;=2,G$43&lt;=Quesería!$B$30+1),Quesería!$F$93/Quesería!$B$30,0)*$C$649*$P$21)*$P$11+IF(AND(G$43&gt;=6,G$43&lt;=10),$G653*$G649/5,0)+IF(AND(G$43&gt;=7,G$43&lt;=11),$H653*$H649/5,0))*G651</f>
        <v>134.506623881988</v>
      </c>
      <c r="H661" s="29" t="n">
        <f aca="false">(IF($P$19=1,(SUMPRODUCT((Quesería!$C$70:$C$89=0)*(Quesería!$J$70:$J$89&gt;0)*(H$43&gt;=1)*(H$43&lt;=Quesería!$J$70:$J$89)*(Quesería!$H$70:$H$89&gt;0)*Quesería!$F$70:$F$89*(1+Quesería!$I$70:$I$89)/(Quesería!$J$70:$J$89+(Quesería!$J$70:$J$89=0)))+SUMPRODUCT((Quesería!$C$70:$C$89=0)*(Quesería!$J$70:$J$89=0)*(H$43=0)*(Quesería!$H$70:$H$89&gt;0)*Quesería!$F$70:$F$89*(1+Quesería!$I$70:$I$89)))*$B$649+(SUMPRODUCT((Quesería!$C$70:$C$89=1)*(Quesería!$J$70:$J$89&gt;0)*(H$43&gt;=2)*(H$43&lt;=Quesería!$J$70:$J$89+1)*(Quesería!$H$70:$H$89&gt;0)*Quesería!$F$70:$F$89*(1+Quesería!$I$70:$I$89)/(Quesería!$J$70:$J$89+(Quesería!$J$70:$J$89=0)))+SUMPRODUCT((Quesería!$C$70:$C$89=1)*(Quesería!$J$70:$J$89=0)*(H$43=1)*(Quesería!$H$70:$H$89&gt;0)*Quesería!$F$70:$F$89*(1+Quesería!$I$70:$I$89)))*$C$649*$P$21,IF(AND(H$43&gt;=1,H$43&lt;=Quesería!$B$30),Quesería!$F$92/Quesería!$B$30,0)*$B$649+IF(AND(H$43&gt;=2,H$43&lt;=Quesería!$B$30+1),Quesería!$F$93/Quesería!$B$30,0)*$C$649*$P$21)*$P$11+IF(AND(H$43&gt;=6,H$43&lt;=10),$G653*$G649/5,0)+IF(AND(H$43&gt;=7,H$43&lt;=11),$H653*$H649/5,0))*H651</f>
        <v>122.314670590318</v>
      </c>
      <c r="I661" s="29" t="n">
        <f aca="false">(IF($P$19=1,(SUMPRODUCT((Quesería!$C$70:$C$89=0)*(Quesería!$J$70:$J$89&gt;0)*(I$43&gt;=1)*(I$43&lt;=Quesería!$J$70:$J$89)*(Quesería!$H$70:$H$89&gt;0)*Quesería!$F$70:$F$89*(1+Quesería!$I$70:$I$89)/(Quesería!$J$70:$J$89+(Quesería!$J$70:$J$89=0)))+SUMPRODUCT((Quesería!$C$70:$C$89=0)*(Quesería!$J$70:$J$89=0)*(I$43=0)*(Quesería!$H$70:$H$89&gt;0)*Quesería!$F$70:$F$89*(1+Quesería!$I$70:$I$89)))*$B$649+(SUMPRODUCT((Quesería!$C$70:$C$89=1)*(Quesería!$J$70:$J$89&gt;0)*(I$43&gt;=2)*(I$43&lt;=Quesería!$J$70:$J$89+1)*(Quesería!$H$70:$H$89&gt;0)*Quesería!$F$70:$F$89*(1+Quesería!$I$70:$I$89)/(Quesería!$J$70:$J$89+(Quesería!$J$70:$J$89=0)))+SUMPRODUCT((Quesería!$C$70:$C$89=1)*(Quesería!$J$70:$J$89=0)*(I$43=1)*(Quesería!$H$70:$H$89&gt;0)*Quesería!$F$70:$F$89*(1+Quesería!$I$70:$I$89)))*$C$649*$P$21,IF(AND(I$43&gt;=1,I$43&lt;=Quesería!$B$30),Quesería!$F$92/Quesería!$B$30,0)*$B$649+IF(AND(I$43&gt;=2,I$43&lt;=Quesería!$B$30+1),Quesería!$F$93/Quesería!$B$30,0)*$C$649*$P$21)*$P$11+IF(AND(I$43&gt;=6,I$43&lt;=10),$G653*$G649/5,0)+IF(AND(I$43&gt;=7,I$43&lt;=11),$H653*$H649/5,0))*I651</f>
        <v>126.531251665874</v>
      </c>
      <c r="J661" s="29" t="n">
        <f aca="false">(IF($P$19=1,(SUMPRODUCT((Quesería!$C$70:$C$89=0)*(Quesería!$J$70:$J$89&gt;0)*(J$43&gt;=1)*(J$43&lt;=Quesería!$J$70:$J$89)*(Quesería!$H$70:$H$89&gt;0)*Quesería!$F$70:$F$89*(1+Quesería!$I$70:$I$89)/(Quesería!$J$70:$J$89+(Quesería!$J$70:$J$89=0)))+SUMPRODUCT((Quesería!$C$70:$C$89=0)*(Quesería!$J$70:$J$89=0)*(J$43=0)*(Quesería!$H$70:$H$89&gt;0)*Quesería!$F$70:$F$89*(1+Quesería!$I$70:$I$89)))*$B$649+(SUMPRODUCT((Quesería!$C$70:$C$89=1)*(Quesería!$J$70:$J$89&gt;0)*(J$43&gt;=2)*(J$43&lt;=Quesería!$J$70:$J$89+1)*(Quesería!$H$70:$H$89&gt;0)*Quesería!$F$70:$F$89*(1+Quesería!$I$70:$I$89)/(Quesería!$J$70:$J$89+(Quesería!$J$70:$J$89=0)))+SUMPRODUCT((Quesería!$C$70:$C$89=1)*(Quesería!$J$70:$J$89=0)*(J$43=1)*(Quesería!$H$70:$H$89&gt;0)*Quesería!$F$70:$F$89*(1+Quesería!$I$70:$I$89)))*$C$649*$P$21,IF(AND(J$43&gt;=1,J$43&lt;=Quesería!$B$30),Quesería!$F$92/Quesería!$B$30,0)*$B$649+IF(AND(J$43&gt;=2,J$43&lt;=Quesería!$B$30+1),Quesería!$F$93/Quesería!$B$30,0)*$C$649*$P$21)*$P$11+IF(AND(J$43&gt;=6,J$43&lt;=10),$G653*$G649/5,0)+IF(AND(J$43&gt;=7,J$43&lt;=11),$H653*$H649/5,0))*J651</f>
        <v>121.66466506334</v>
      </c>
      <c r="K661" s="29" t="n">
        <f aca="false">(IF($P$19=1,(SUMPRODUCT((Quesería!$C$70:$C$89=0)*(Quesería!$J$70:$J$89&gt;0)*(K$43&gt;=1)*(K$43&lt;=Quesería!$J$70:$J$89)*(Quesería!$H$70:$H$89&gt;0)*Quesería!$F$70:$F$89*(1+Quesería!$I$70:$I$89)/(Quesería!$J$70:$J$89+(Quesería!$J$70:$J$89=0)))+SUMPRODUCT((Quesería!$C$70:$C$89=0)*(Quesería!$J$70:$J$89=0)*(K$43=0)*(Quesería!$H$70:$H$89&gt;0)*Quesería!$F$70:$F$89*(1+Quesería!$I$70:$I$89)))*$B$649+(SUMPRODUCT((Quesería!$C$70:$C$89=1)*(Quesería!$J$70:$J$89&gt;0)*(K$43&gt;=2)*(K$43&lt;=Quesería!$J$70:$J$89+1)*(Quesería!$H$70:$H$89&gt;0)*Quesería!$F$70:$F$89*(1+Quesería!$I$70:$I$89)/(Quesería!$J$70:$J$89+(Quesería!$J$70:$J$89=0)))+SUMPRODUCT((Quesería!$C$70:$C$89=1)*(Quesería!$J$70:$J$89=0)*(K$43=1)*(Quesería!$H$70:$H$89&gt;0)*Quesería!$F$70:$F$89*(1+Quesería!$I$70:$I$89)))*$C$649*$P$21,IF(AND(K$43&gt;=1,K$43&lt;=Quesería!$B$30),Quesería!$F$92/Quesería!$B$30,0)*$B$649+IF(AND(K$43&gt;=2,K$43&lt;=Quesería!$B$30+1),Quesería!$F$93/Quesería!$B$30,0)*$C$649*$P$21)*$P$11+IF(AND(K$43&gt;=6,K$43&lt;=10),$G653*$G649/5,0)+IF(AND(K$43&gt;=7,K$43&lt;=11),$H653*$H649/5,0))*K651</f>
        <v>116.985254868597</v>
      </c>
      <c r="L661" s="29" t="n">
        <f aca="false">(IF($P$19=1,(SUMPRODUCT((Quesería!$C$70:$C$89=0)*(Quesería!$J$70:$J$89&gt;0)*(L$43&gt;=1)*(L$43&lt;=Quesería!$J$70:$J$89)*(Quesería!$H$70:$H$89&gt;0)*Quesería!$F$70:$F$89*(1+Quesería!$I$70:$I$89)/(Quesería!$J$70:$J$89+(Quesería!$J$70:$J$89=0)))+SUMPRODUCT((Quesería!$C$70:$C$89=0)*(Quesería!$J$70:$J$89=0)*(L$43=0)*(Quesería!$H$70:$H$89&gt;0)*Quesería!$F$70:$F$89*(1+Quesería!$I$70:$I$89)))*$B$649+(SUMPRODUCT((Quesería!$C$70:$C$89=1)*(Quesería!$J$70:$J$89&gt;0)*(L$43&gt;=2)*(L$43&lt;=Quesería!$J$70:$J$89+1)*(Quesería!$H$70:$H$89&gt;0)*Quesería!$F$70:$F$89*(1+Quesería!$I$70:$I$89)/(Quesería!$J$70:$J$89+(Quesería!$J$70:$J$89=0)))+SUMPRODUCT((Quesería!$C$70:$C$89=1)*(Quesería!$J$70:$J$89=0)*(L$43=1)*(Quesería!$H$70:$H$89&gt;0)*Quesería!$F$70:$F$89*(1+Quesería!$I$70:$I$89)))*$C$649*$P$21,IF(AND(L$43&gt;=1,L$43&lt;=Quesería!$B$30),Quesería!$F$92/Quesería!$B$30,0)*$B$649+IF(AND(L$43&gt;=2,L$43&lt;=Quesería!$B$30+1),Quesería!$F$93/Quesería!$B$30,0)*$C$649*$P$21)*$P$11+IF(AND(L$43&gt;=6,L$43&lt;=10),$G653*$G649/5,0)+IF(AND(L$43&gt;=7,L$43&lt;=11),$H653*$H649/5,0))*L651</f>
        <v>112.485821989035</v>
      </c>
    </row>
    <row r="662" customFormat="false" ht="15" hidden="true" customHeight="false" outlineLevel="1" collapsed="false">
      <c r="A662" s="9" t="s">
        <v>416</v>
      </c>
      <c r="B662" s="58" t="n">
        <f aca="false">IF(B$43=1,MIN($P$7*Quesería!$B$56*Quesería!$F$86*$P$11*$P$21,Quesería!$B$57*Quesería!$B$58),0)</f>
        <v>0</v>
      </c>
      <c r="C662" s="58" t="n">
        <f aca="false">IF(C$43=1,MIN($P$7*Quesería!$B$56*Quesería!$F$86*$P$11*$P$21,Quesería!$B$57*Quesería!$B$58),0)</f>
        <v>20</v>
      </c>
      <c r="D662" s="58" t="n">
        <f aca="false">IF(D$43=1,MIN($P$7*Quesería!$B$56*Quesería!$F$86*$P$11*$P$21,Quesería!$B$57*Quesería!$B$58),0)</f>
        <v>0</v>
      </c>
      <c r="E662" s="58" t="n">
        <f aca="false">IF(E$43=1,MIN($P$7*Quesería!$B$56*Quesería!$F$86*$P$11*$P$21,Quesería!$B$57*Quesería!$B$58),0)</f>
        <v>0</v>
      </c>
      <c r="F662" s="58" t="n">
        <f aca="false">IF(F$43=1,MIN($P$7*Quesería!$B$56*Quesería!$F$86*$P$11*$P$21,Quesería!$B$57*Quesería!$B$58),0)</f>
        <v>0</v>
      </c>
      <c r="G662" s="58" t="n">
        <f aca="false">IF(G$43=1,MIN($P$7*Quesería!$B$56*Quesería!$F$86*$P$11*$P$21,Quesería!$B$57*Quesería!$B$58),0)</f>
        <v>0</v>
      </c>
      <c r="H662" s="58" t="n">
        <f aca="false">IF(H$43=1,MIN($P$7*Quesería!$B$56*Quesería!$F$86*$P$11*$P$21,Quesería!$B$57*Quesería!$B$58),0)</f>
        <v>0</v>
      </c>
      <c r="I662" s="58" t="n">
        <f aca="false">IF(I$43=1,MIN($P$7*Quesería!$B$56*Quesería!$F$86*$P$11*$P$21,Quesería!$B$57*Quesería!$B$58),0)</f>
        <v>0</v>
      </c>
      <c r="J662" s="58" t="n">
        <f aca="false">IF(J$43=1,MIN($P$7*Quesería!$B$56*Quesería!$F$86*$P$11*$P$21,Quesería!$B$57*Quesería!$B$58),0)</f>
        <v>0</v>
      </c>
      <c r="K662" s="58" t="n">
        <f aca="false">IF(K$43=1,MIN($P$7*Quesería!$B$56*Quesería!$F$86*$P$11*$P$21,Quesería!$B$57*Quesería!$B$58),0)</f>
        <v>0</v>
      </c>
      <c r="L662" s="58" t="n">
        <f aca="false">IF(L$43=1,MIN($P$7*Quesería!$B$56*Quesería!$F$86*$P$11*$P$21,Quesería!$B$57*Quesería!$B$58),0)</f>
        <v>0</v>
      </c>
    </row>
    <row r="663" customFormat="false" ht="15" hidden="true" customHeight="false" outlineLevel="1" collapsed="false">
      <c r="A663" s="9" t="s">
        <v>417</v>
      </c>
      <c r="B663" s="58" t="n">
        <v>0</v>
      </c>
      <c r="C663" s="58" t="n">
        <f aca="false">$P$20*Quesería!$B$60*Quesería!$F$98*$P$11*$B$649/C649/2</f>
        <v>138.12868344741</v>
      </c>
      <c r="D663" s="58" t="n">
        <f aca="false">$P$20*Quesería!$B$60*Quesería!$F$98*$P$11*$B$649/D649/2</f>
        <v>132.18055832288</v>
      </c>
      <c r="E663" s="58" t="n">
        <v>0</v>
      </c>
      <c r="F663" s="58" t="n">
        <v>0</v>
      </c>
      <c r="G663" s="58" t="n">
        <v>0</v>
      </c>
      <c r="H663" s="58" t="n">
        <v>0</v>
      </c>
      <c r="I663" s="58" t="n">
        <v>0</v>
      </c>
      <c r="J663" s="58" t="n">
        <v>0</v>
      </c>
      <c r="K663" s="58" t="n">
        <v>0</v>
      </c>
      <c r="L663" s="58" t="n">
        <v>0</v>
      </c>
    </row>
    <row r="664" customFormat="false" ht="15" hidden="true" customHeight="false" outlineLevel="1" collapsed="false">
      <c r="A664" s="9" t="s">
        <v>418</v>
      </c>
      <c r="B664" s="58" t="n">
        <f aca="false">0</f>
        <v>0</v>
      </c>
      <c r="C664" s="58" t="n">
        <f aca="false">B654*B649/C649</f>
        <v>142.014925295407</v>
      </c>
      <c r="D664" s="58" t="n">
        <f aca="false">C654*C649/D649</f>
        <v>137.903466668091</v>
      </c>
      <c r="E664" s="58" t="n">
        <f aca="false">D654*D649/E649</f>
        <v>0</v>
      </c>
      <c r="F664" s="58" t="n">
        <f aca="false">E654*E649/F649</f>
        <v>0</v>
      </c>
      <c r="G664" s="58" t="n">
        <f aca="false">F654*F649/G649</f>
        <v>0</v>
      </c>
      <c r="H664" s="58" t="n">
        <f aca="false">G654*G649/H649</f>
        <v>5.01768392412113</v>
      </c>
      <c r="I664" s="58" t="n">
        <f aca="false">H654*H649/I649</f>
        <v>8.47494190873221</v>
      </c>
      <c r="J664" s="58" t="n">
        <f aca="false">I654*I649/J649</f>
        <v>0</v>
      </c>
      <c r="K664" s="58" t="n">
        <f aca="false">J654*J649/K649</f>
        <v>0</v>
      </c>
      <c r="L664" s="58" t="n">
        <f aca="false">K654*K649/L649</f>
        <v>0</v>
      </c>
    </row>
    <row r="665" customFormat="false" ht="15" hidden="true" customHeight="false" outlineLevel="1" collapsed="false">
      <c r="A665" s="6" t="s">
        <v>295</v>
      </c>
      <c r="B665" s="29" t="n">
        <f aca="false">$P$17*(B657-B658-B659-0.5*B660-B661)-B662-B663-B664</f>
        <v>-9.59839124703308</v>
      </c>
      <c r="C665" s="29" t="n">
        <f aca="false">$P$17*(C657-C658-C659-0.5*C660-C661)-C662-C663-C664</f>
        <v>-287.404923138294</v>
      </c>
      <c r="D665" s="29" t="n">
        <f aca="false">$P$17*(D657-D658-D659-0.5*D660-D661)-D662-D663-D664</f>
        <v>-189.433277362001</v>
      </c>
      <c r="E665" s="29" t="n">
        <f aca="false">$P$17*(E657-E658-E659-0.5*E660-E661)-E662-E663-E664</f>
        <v>105.03196781427</v>
      </c>
      <c r="F665" s="29" t="n">
        <f aca="false">$P$17*(F657-F658-F659-0.5*F660-F661)-F662-F663-F664</f>
        <v>107.100104302824</v>
      </c>
      <c r="G665" s="29" t="n">
        <f aca="false">$P$17*(G657-G658-G659-0.5*G660-G661)-G662-G663-G664</f>
        <v>109.070587156243</v>
      </c>
      <c r="H665" s="29" t="n">
        <f aca="false">$P$17*(H657-H658-H659-0.5*H660-H661)-H662-H663-H664</f>
        <v>108.415143231766</v>
      </c>
      <c r="I665" s="29" t="n">
        <f aca="false">$P$17*(I657-I658-I659-0.5*I660-I661)-I662-I663-I664</f>
        <v>103.63209812564</v>
      </c>
      <c r="J665" s="29" t="n">
        <f aca="false">$P$17*(J657-J658-J659-0.5*J660-J661)-J662-J663-J664</f>
        <v>113.922276303923</v>
      </c>
      <c r="K665" s="29" t="n">
        <f aca="false">$P$17*(K657-K658-K659-0.5*K660-K661)-K662-K663-K664</f>
        <v>115.672560485541</v>
      </c>
      <c r="L665" s="29" t="n">
        <f aca="false">$P$17*(L657-L658-L659-0.5*L660-L661)-L662-L663-L664</f>
        <v>117.360415059912</v>
      </c>
    </row>
    <row r="666" customFormat="false" ht="15" hidden="true" customHeight="false" outlineLevel="1" collapsed="false">
      <c r="A666" s="9" t="s">
        <v>419</v>
      </c>
      <c r="B666" s="58" t="n">
        <f aca="false">(IF(B$43&gt;=1,Quesería!$G$123*IF(B$43=1,Quesería!$B$20,1),Quesería!$G$123*Quesería!$B$20*Quesería!$B$21/12*$P$23)+IF(B$43&gt;=2,Quesería!$G$124*$P$21*IF(B$43=2,Quesería!$B$20,1),0))*$P$10</f>
        <v>77.4042870161869</v>
      </c>
      <c r="C666" s="58" t="n">
        <f aca="false">(IF(C$43&gt;=1,Quesería!$G$123*IF(C$43=1,Quesería!$B$20,1),Quesería!$G$123*Quesería!$B$20*Quesería!$B$21/12*$P$23)+IF(C$43&gt;=2,Quesería!$G$124*$P$21*IF(C$43=2,Quesería!$B$20,1),0))*$P$10</f>
        <v>116.10643052428</v>
      </c>
      <c r="D666" s="58" t="n">
        <f aca="false">(IF(D$43&gt;=1,Quesería!$G$123*IF(D$43=1,Quesería!$B$20,1),Quesería!$G$123*Quesería!$B$20*Quesería!$B$21/12*$P$23)+IF(D$43&gt;=2,Quesería!$G$124*$P$21*IF(D$43=2,Quesería!$B$20,1),0))*$P$10</f>
        <v>297.090260202792</v>
      </c>
      <c r="E666" s="58" t="n">
        <f aca="false">(IF(E$43&gt;=1,Quesería!$G$123*IF(E$43=1,Quesería!$B$20,1),Quesería!$G$123*Quesería!$B$20*Quesería!$B$21/12*$P$23)+IF(E$43&gt;=2,Quesería!$G$124*$P$21*IF(E$43=2,Quesería!$B$20,1),0))*$P$10</f>
        <v>344.517488926264</v>
      </c>
      <c r="F666" s="58" t="n">
        <f aca="false">(IF(F$43&gt;=1,Quesería!$G$123*IF(F$43=1,Quesería!$B$20,1),Quesería!$G$123*Quesería!$B$20*Quesería!$B$21/12*$P$23)+IF(F$43&gt;=2,Quesería!$G$124*$P$21*IF(F$43=2,Quesería!$B$20,1),0))*$P$10</f>
        <v>344.517488926264</v>
      </c>
      <c r="G666" s="58" t="n">
        <f aca="false">(IF(G$43&gt;=1,Quesería!$G$123*IF(G$43=1,Quesería!$B$20,1),Quesería!$G$123*Quesería!$B$20*Quesería!$B$21/12*$P$23)+IF(G$43&gt;=2,Quesería!$G$124*$P$21*IF(G$43=2,Quesería!$B$20,1),0))*$P$10</f>
        <v>344.517488926264</v>
      </c>
      <c r="H666" s="58" t="n">
        <f aca="false">(IF(H$43&gt;=1,Quesería!$G$123*IF(H$43=1,Quesería!$B$20,1),Quesería!$G$123*Quesería!$B$20*Quesería!$B$21/12*$P$23)+IF(H$43&gt;=2,Quesería!$G$124*$P$21*IF(H$43=2,Quesería!$B$20,1),0))*$P$10</f>
        <v>344.517488926264</v>
      </c>
      <c r="I666" s="58" t="n">
        <f aca="false">(IF(I$43&gt;=1,Quesería!$G$123*IF(I$43=1,Quesería!$B$20,1),Quesería!$G$123*Quesería!$B$20*Quesería!$B$21/12*$P$23)+IF(I$43&gt;=2,Quesería!$G$124*$P$21*IF(I$43=2,Quesería!$B$20,1),0))*$P$10</f>
        <v>344.517488926264</v>
      </c>
      <c r="J666" s="58" t="n">
        <f aca="false">(IF(J$43&gt;=1,Quesería!$G$123*IF(J$43=1,Quesería!$B$20,1),Quesería!$G$123*Quesería!$B$20*Quesería!$B$21/12*$P$23)+IF(J$43&gt;=2,Quesería!$G$124*$P$21*IF(J$43=2,Quesería!$B$20,1),0))*$P$10</f>
        <v>344.517488926264</v>
      </c>
      <c r="K666" s="58" t="n">
        <f aca="false">(IF(K$43&gt;=1,Quesería!$G$123*IF(K$43=1,Quesería!$B$20,1),Quesería!$G$123*Quesería!$B$20*Quesería!$B$21/12*$P$23)+IF(K$43&gt;=2,Quesería!$G$124*$P$21*IF(K$43=2,Quesería!$B$20,1),0))*$P$10</f>
        <v>344.517488926264</v>
      </c>
      <c r="L666" s="58" t="n">
        <f aca="false">(IF(L$43&gt;=1,Quesería!$G$123*IF(L$43=1,Quesería!$B$20,1),Quesería!$G$123*Quesería!$B$20*Quesería!$B$21/12*$P$23)+IF(L$43&gt;=2,Quesería!$G$124*$P$21*IF(L$43=2,Quesería!$B$20,1),0))*$P$10</f>
        <v>344.517488926264</v>
      </c>
    </row>
    <row r="667" customFormat="false" ht="15" hidden="true" customHeight="false" outlineLevel="1" collapsed="false">
      <c r="A667" s="6" t="s">
        <v>420</v>
      </c>
      <c r="B667" s="29" t="n">
        <f aca="false">(B666*(Quesería!$B$38+Quesería!$B$40*Quesería!$B$39)/365-B658*Quesería!$B$42/365)</f>
        <v>7.23146900616979</v>
      </c>
      <c r="C667" s="29" t="n">
        <f aca="false">(C666*(Quesería!$B$38+Quesería!$B$40*Quesería!$B$39)/365-C658*Quesería!$B$42/365)-(B666*(Quesería!$B$38+Quesería!$B$40*Quesería!$B$39)/365-B658*Quesería!$B$42/365)*B649/C649</f>
        <v>1.42287846600884</v>
      </c>
      <c r="D667" s="29" t="n">
        <f aca="false">(D666*(Quesería!$B$38+Quesería!$B$40*Quesería!$B$39)/365-D658*Quesería!$B$42/365)-(C666*(Quesería!$B$38+Quesería!$B$40*Quesería!$B$39)/365-C658*Quesería!$B$42/365)*C649/D649</f>
        <v>14.0205300736897</v>
      </c>
      <c r="E667" s="29" t="n">
        <f aca="false">(E666*(Quesería!$B$38+Quesería!$B$40*Quesería!$B$39)/365-E658*Quesería!$B$42/365)-(D666*(Quesería!$B$38+Quesería!$B$40*Quesería!$B$39)/365-D658*Quesería!$B$42/365)*D649/E649</f>
        <v>5.27597549905193</v>
      </c>
      <c r="F667" s="29" t="n">
        <f aca="false">(F666*(Quesería!$B$38+Quesería!$B$40*Quesería!$B$39)/365-F658*Quesería!$B$42/365)-(E666*(Quesería!$B$38+Quesería!$B$40*Quesería!$B$39)/365-E658*Quesería!$B$42/365)*E649/F649</f>
        <v>1.01552107473577</v>
      </c>
      <c r="G667" s="29" t="n">
        <f aca="false">(G666*(Quesería!$B$38+Quesería!$B$40*Quesería!$B$39)/365-G658*Quesería!$B$42/365)-(F666*(Quesería!$B$38+Quesería!$B$40*Quesería!$B$39)/365-F658*Quesería!$B$42/365)*F649/G649</f>
        <v>1.01552107473577</v>
      </c>
      <c r="H667" s="29" t="n">
        <f aca="false">(H666*(Quesería!$B$38+Quesería!$B$40*Quesería!$B$39)/365-H658*Quesería!$B$42/365)-(G666*(Quesería!$B$38+Quesería!$B$40*Quesería!$B$39)/365-G658*Quesería!$B$42/365)*G649/H649</f>
        <v>1.01552107473577</v>
      </c>
      <c r="I667" s="29" t="n">
        <f aca="false">(I666*(Quesería!$B$38+Quesería!$B$40*Quesería!$B$39)/365-I658*Quesería!$B$42/365)-(H666*(Quesería!$B$38+Quesería!$B$40*Quesería!$B$39)/365-H658*Quesería!$B$42/365)*H649/I649</f>
        <v>1.01552107473577</v>
      </c>
      <c r="J667" s="29" t="n">
        <f aca="false">(J666*(Quesería!$B$38+Quesería!$B$40*Quesería!$B$39)/365-J658*Quesería!$B$42/365)-(I666*(Quesería!$B$38+Quesería!$B$40*Quesería!$B$39)/365-I658*Quesería!$B$42/365)*I649/J649</f>
        <v>1.01552107473577</v>
      </c>
      <c r="K667" s="29" t="n">
        <f aca="false">(K666*(Quesería!$B$38+Quesería!$B$40*Quesería!$B$39)/365-K658*Quesería!$B$42/365)-(J666*(Quesería!$B$38+Quesería!$B$40*Quesería!$B$39)/365-J658*Quesería!$B$42/365)*J649/K649</f>
        <v>1.01552107473577</v>
      </c>
      <c r="L667" s="29" t="n">
        <f aca="false">-(K666*(Quesería!$B$38+Quesería!$B$40*Quesería!$B$39)/365-K658*Quesería!$B$42/365)*K649/L649</f>
        <v>-25.3880268683941</v>
      </c>
    </row>
    <row r="668" customFormat="false" ht="15" hidden="true" customHeight="false" outlineLevel="1" collapsed="false">
      <c r="A668" s="6" t="s">
        <v>421</v>
      </c>
      <c r="B668" s="29" t="n">
        <v>0</v>
      </c>
      <c r="C668" s="29" t="n">
        <v>0</v>
      </c>
      <c r="D668" s="29" t="n">
        <v>0</v>
      </c>
      <c r="E668" s="29" t="n">
        <v>0</v>
      </c>
      <c r="F668" s="29" t="n">
        <v>0</v>
      </c>
      <c r="G668" s="29" t="n">
        <v>0</v>
      </c>
      <c r="H668" s="29" t="n">
        <v>0</v>
      </c>
      <c r="I668" s="29" t="n">
        <v>0</v>
      </c>
      <c r="J668" s="29" t="n">
        <v>0</v>
      </c>
      <c r="K668" s="29" t="n">
        <v>0</v>
      </c>
      <c r="L668" s="29" t="n">
        <f aca="false">$P$8*Quesería!$B$36*(Quesería!$F$94+Quesería!$F$95*$P$21)*$P$11*(1-$P$17)</f>
        <v>67.1237725584543</v>
      </c>
    </row>
    <row r="669" customFormat="false" ht="15" hidden="true" customHeight="false" outlineLevel="1" collapsed="false">
      <c r="A669" s="5" t="s">
        <v>147</v>
      </c>
      <c r="B669" s="59" t="n">
        <f aca="false">B657-B658-B659-B660-B665-B652-B653-B654-B667+B668</f>
        <v>-961.151880133756</v>
      </c>
      <c r="C669" s="59" t="n">
        <f aca="false">C657-C658-C659-C660-C665-C652-C653-C654-C667+C668</f>
        <v>-499.863464092748</v>
      </c>
      <c r="D669" s="59" t="n">
        <f aca="false">D657-D658-D659-D660-D665-D652-D653-D654-D667+D668</f>
        <v>556.953227277574</v>
      </c>
      <c r="E669" s="59" t="n">
        <f aca="false">E657-E658-E659-E660-E665-E652-E653-E654-E667+E668</f>
        <v>335.07387120117</v>
      </c>
      <c r="F669" s="59" t="n">
        <f aca="false">F657-F658-F659-F660-F665-F652-F653-F654-F667+F668</f>
        <v>337.579674979309</v>
      </c>
      <c r="G669" s="59" t="n">
        <f aca="false">G657-G658-G659-G660-G665-G652-G653-G654-G667+G668</f>
        <v>303.10990241332</v>
      </c>
      <c r="H669" s="59" t="n">
        <f aca="false">H657-H658-H659-H660-H665-H652-H653-H654-H667+H668</f>
        <v>281.472410182683</v>
      </c>
      <c r="I669" s="59" t="n">
        <f aca="false">I657-I658-I659-I660-I665-I652-I653-I654-I667+I668</f>
        <v>341.997574646666</v>
      </c>
      <c r="J669" s="59" t="n">
        <f aca="false">J657-J658-J659-J660-J665-J652-J653-J654-J667+J668</f>
        <v>332.027199207424</v>
      </c>
      <c r="K669" s="59" t="n">
        <f aca="false">K657-K658-K659-K660-K665-K652-K653-K654-K667+K668</f>
        <v>330.598316778541</v>
      </c>
      <c r="L669" s="59" t="n">
        <f aca="false">L657-L658-L659-L660-L665-L652-L653-L654-L667+L668</f>
        <v>422.760791467253</v>
      </c>
    </row>
    <row r="670" customFormat="false" ht="15" hidden="true" customHeight="false" outlineLevel="1" collapsed="false">
      <c r="A670" s="9" t="s">
        <v>422</v>
      </c>
      <c r="B670" s="58" t="n">
        <f aca="false">B669*B649</f>
        <v>-1018.82099294178</v>
      </c>
      <c r="C670" s="58" t="n">
        <f aca="false">C669*C649</f>
        <v>-556.348035535228</v>
      </c>
      <c r="D670" s="58" t="n">
        <f aca="false">D669*D649</f>
        <v>647.783944348137</v>
      </c>
      <c r="E670" s="58" t="n">
        <f aca="false">E669*E649</f>
        <v>405.308169225453</v>
      </c>
      <c r="F670" s="58" t="n">
        <f aca="false">F669*F649</f>
        <v>424.672778945212</v>
      </c>
      <c r="G670" s="58" t="n">
        <f aca="false">G669*G649</f>
        <v>396.562457663451</v>
      </c>
      <c r="H670" s="58" t="n">
        <f aca="false">H669*H649</f>
        <v>382.984011581597</v>
      </c>
      <c r="I670" s="58" t="n">
        <f aca="false">I669*I649</f>
        <v>483.950761371324</v>
      </c>
      <c r="J670" s="58" t="n">
        <f aca="false">J669*J649</f>
        <v>488.635653803011</v>
      </c>
      <c r="K670" s="58" t="n">
        <f aca="false">K669*K649</f>
        <v>505.994117508766</v>
      </c>
      <c r="L670" s="58" t="n">
        <f aca="false">L669*L649</f>
        <v>672.934619593478</v>
      </c>
    </row>
    <row r="671" customFormat="false" ht="15" hidden="true" customHeight="false" outlineLevel="1" collapsed="false">
      <c r="A671" s="6" t="s">
        <v>423</v>
      </c>
      <c r="B671" s="29" t="n">
        <f aca="false">B669</f>
        <v>-961.151880133756</v>
      </c>
      <c r="C671" s="29" t="n">
        <f aca="false">B671+C669</f>
        <v>-1461.0153442265</v>
      </c>
      <c r="D671" s="29" t="n">
        <f aca="false">C671+D669</f>
        <v>-904.062116948929</v>
      </c>
      <c r="E671" s="29" t="n">
        <f aca="false">D671+E669</f>
        <v>-568.988245747759</v>
      </c>
      <c r="F671" s="29" t="n">
        <f aca="false">E671+F669</f>
        <v>-231.40857076845</v>
      </c>
      <c r="G671" s="29" t="n">
        <f aca="false">F671+G669</f>
        <v>71.7013316448701</v>
      </c>
      <c r="H671" s="29" t="n">
        <f aca="false">G671+H669</f>
        <v>353.173741827553</v>
      </c>
      <c r="I671" s="29" t="n">
        <f aca="false">H671+I669</f>
        <v>695.17131647422</v>
      </c>
      <c r="J671" s="29" t="n">
        <f aca="false">I671+J669</f>
        <v>1027.19851568164</v>
      </c>
      <c r="K671" s="29" t="n">
        <f aca="false">J671+K669</f>
        <v>1357.79683246018</v>
      </c>
      <c r="L671" s="29" t="n">
        <f aca="false">K671+L669</f>
        <v>1780.55762392744</v>
      </c>
    </row>
    <row r="672" customFormat="false" ht="15" hidden="true" customHeight="false" outlineLevel="1" collapsed="false">
      <c r="A672" s="9" t="s">
        <v>424</v>
      </c>
      <c r="B672" s="60" t="n">
        <v>0</v>
      </c>
      <c r="C672" s="60" t="n">
        <f aca="false">IF(AND(B671&lt;0,C671&gt;=0),B$43+(-B671)/C669,0)</f>
        <v>0</v>
      </c>
      <c r="D672" s="60" t="n">
        <f aca="false">IF(AND(C671&lt;0,D671&gt;=0),C$43+(-C671)/D669,0)</f>
        <v>0</v>
      </c>
      <c r="E672" s="60" t="n">
        <f aca="false">IF(AND(D671&lt;0,E671&gt;=0),D$43+(-D671)/E669,0)</f>
        <v>0</v>
      </c>
      <c r="F672" s="60" t="n">
        <f aca="false">IF(AND(E671&lt;0,F671&gt;=0),E$43+(-E671)/F669,0)</f>
        <v>0</v>
      </c>
      <c r="G672" s="60" t="n">
        <f aca="false">IF(AND(F671&lt;0,G671&gt;=0),F$43+(-F671)/G669,0)</f>
        <v>4.76344774263726</v>
      </c>
      <c r="H672" s="60" t="n">
        <f aca="false">IF(AND(G671&lt;0,H671&gt;=0),G$43+(-G671)/H669,0)</f>
        <v>0</v>
      </c>
      <c r="I672" s="60" t="n">
        <f aca="false">IF(AND(H671&lt;0,I671&gt;=0),H$43+(-H671)/I669,0)</f>
        <v>0</v>
      </c>
      <c r="J672" s="60" t="n">
        <f aca="false">IF(AND(I671&lt;0,J671&gt;=0),I$43+(-I671)/J669,0)</f>
        <v>0</v>
      </c>
      <c r="K672" s="60" t="n">
        <f aca="false">IF(AND(J671&lt;0,K671&gt;=0),J$43+(-J671)/K669,0)</f>
        <v>0</v>
      </c>
      <c r="L672" s="60" t="n">
        <f aca="false">IF(AND(K671&lt;0,L671&gt;=0),K$43+(-K671)/L669,0)</f>
        <v>0</v>
      </c>
    </row>
    <row r="673" customFormat="false" ht="15" hidden="true" customHeight="false" outlineLevel="1" collapsed="false">
      <c r="A673" s="9" t="s">
        <v>425</v>
      </c>
      <c r="B673" s="57" t="n">
        <f aca="false">(B649/$B$649)/(1+$P$25)^B$43</f>
        <v>1</v>
      </c>
      <c r="C673" s="57" t="n">
        <f aca="false">(C649/$B$649)/(1+$P$25)^C$43</f>
        <v>0.915373701313561</v>
      </c>
      <c r="D673" s="57" t="n">
        <f aca="false">(D649/$B$649)/(1+$P$25)^D$43</f>
        <v>0.833918970137172</v>
      </c>
      <c r="E673" s="57" t="n">
        <f aca="false">(E649/$B$649)/(1+$P$25)^E$43</f>
        <v>0.756077518153961</v>
      </c>
      <c r="F673" s="57" t="n">
        <f aca="false">(F649/$B$649)/(1+$P$25)^F$43</f>
        <v>0.685502109831871</v>
      </c>
      <c r="G673" s="57" t="n">
        <f aca="false">(G649/$B$649)/(1+$P$25)^G$43</f>
        <v>0.621514502549008</v>
      </c>
      <c r="H673" s="57" t="n">
        <f aca="false">(H649/$B$649)/(1+$P$25)^H$43</f>
        <v>0.563499763660072</v>
      </c>
      <c r="I673" s="57" t="n">
        <f aca="false">(I649/$B$649)/(1+$P$25)^I$43</f>
        <v>0.510900360880829</v>
      </c>
      <c r="J673" s="57" t="n">
        <f aca="false">(J649/$B$649)/(1+$P$25)^J$43</f>
        <v>0.463210804300567</v>
      </c>
      <c r="K673" s="57" t="n">
        <f aca="false">(K649/$B$649)/(1+$P$25)^K$43</f>
        <v>0.419972788531318</v>
      </c>
      <c r="L673" s="57" t="n">
        <f aca="false">(L649/$B$649)/(1+$P$25)^L$43</f>
        <v>0.380770788308996</v>
      </c>
    </row>
    <row r="674" customFormat="false" ht="15" hidden="true" customHeight="false" outlineLevel="1" collapsed="false">
      <c r="A674" s="9" t="s">
        <v>426</v>
      </c>
      <c r="B674" s="58" t="n">
        <f aca="false">B669*B673</f>
        <v>-961.151880133756</v>
      </c>
      <c r="C674" s="58" t="n">
        <f aca="false">C669*C673</f>
        <v>-457.561869277997</v>
      </c>
      <c r="D674" s="58" t="n">
        <f aca="false">D669*D673</f>
        <v>464.453861705889</v>
      </c>
      <c r="E674" s="58" t="n">
        <f aca="false">E669*E673</f>
        <v>253.34182093602</v>
      </c>
      <c r="F674" s="58" t="n">
        <f aca="false">F669*F673</f>
        <v>231.411579434674</v>
      </c>
      <c r="G674" s="58" t="n">
        <f aca="false">G669*G673</f>
        <v>188.387200216093</v>
      </c>
      <c r="H674" s="58" t="n">
        <f aca="false">H669*H673</f>
        <v>158.609636614773</v>
      </c>
      <c r="I674" s="58" t="n">
        <f aca="false">I669*I673</f>
        <v>174.72668430735</v>
      </c>
      <c r="J674" s="58" t="n">
        <f aca="false">J669*J673</f>
        <v>153.798585994535</v>
      </c>
      <c r="K674" s="58" t="n">
        <f aca="false">K669*K673</f>
        <v>138.842296981244</v>
      </c>
      <c r="L674" s="58" t="n">
        <f aca="false">L669*L673</f>
        <v>160.974959833121</v>
      </c>
    </row>
    <row r="675" customFormat="false" ht="15" hidden="true" customHeight="false" outlineLevel="1" collapsed="false">
      <c r="A675" s="9" t="s">
        <v>427</v>
      </c>
      <c r="B675" s="58" t="n">
        <f aca="false">B674</f>
        <v>-961.151880133756</v>
      </c>
      <c r="C675" s="58" t="n">
        <f aca="false">B675+C674</f>
        <v>-1418.71374941175</v>
      </c>
      <c r="D675" s="58" t="n">
        <f aca="false">C675+D674</f>
        <v>-954.259887705863</v>
      </c>
      <c r="E675" s="58" t="n">
        <f aca="false">D675+E674</f>
        <v>-700.918066769843</v>
      </c>
      <c r="F675" s="58" t="n">
        <f aca="false">E675+F674</f>
        <v>-469.506487335169</v>
      </c>
      <c r="G675" s="58" t="n">
        <f aca="false">F675+G674</f>
        <v>-281.119287119076</v>
      </c>
      <c r="H675" s="58" t="n">
        <f aca="false">G675+H674</f>
        <v>-122.509650504303</v>
      </c>
      <c r="I675" s="58" t="n">
        <f aca="false">H675+I674</f>
        <v>52.2170338030471</v>
      </c>
      <c r="J675" s="58" t="n">
        <f aca="false">I675+J674</f>
        <v>206.015619797582</v>
      </c>
      <c r="K675" s="58" t="n">
        <f aca="false">J675+K674</f>
        <v>344.857916778826</v>
      </c>
      <c r="L675" s="58" t="n">
        <f aca="false">K675+L674</f>
        <v>505.832876611947</v>
      </c>
    </row>
    <row r="676" customFormat="false" ht="15" hidden="true" customHeight="false" outlineLevel="1" collapsed="false">
      <c r="A676" s="9" t="s">
        <v>428</v>
      </c>
      <c r="B676" s="60" t="n">
        <v>0</v>
      </c>
      <c r="C676" s="60" t="n">
        <f aca="false">IF(AND(B675&lt;0,C675&gt;=0),B$43+(-B675)/C674,0)</f>
        <v>0</v>
      </c>
      <c r="D676" s="60" t="n">
        <f aca="false">IF(AND(C675&lt;0,D675&gt;=0),C$43+(-C675)/D674,0)</f>
        <v>0</v>
      </c>
      <c r="E676" s="60" t="n">
        <f aca="false">IF(AND(D675&lt;0,E675&gt;=0),D$43+(-D675)/E674,0)</f>
        <v>0</v>
      </c>
      <c r="F676" s="60" t="n">
        <f aca="false">IF(AND(E675&lt;0,F675&gt;=0),E$43+(-E675)/F674,0)</f>
        <v>0</v>
      </c>
      <c r="G676" s="60" t="n">
        <f aca="false">IF(AND(F675&lt;0,G675&gt;=0),F$43+(-F675)/G674,0)</f>
        <v>0</v>
      </c>
      <c r="H676" s="60" t="n">
        <f aca="false">IF(AND(G675&lt;0,H675&gt;=0),G$43+(-G675)/H674,0)</f>
        <v>0</v>
      </c>
      <c r="I676" s="60" t="n">
        <f aca="false">IF(AND(H675&lt;0,I675&gt;=0),H$43+(-H675)/I674,0)</f>
        <v>6.70115020490405</v>
      </c>
      <c r="J676" s="60" t="n">
        <f aca="false">IF(AND(I675&lt;0,J675&gt;=0),I$43+(-I675)/J674,0)</f>
        <v>0</v>
      </c>
      <c r="K676" s="60" t="n">
        <f aca="false">IF(AND(J675&lt;0,K675&gt;=0),J$43+(-J675)/K674,0)</f>
        <v>0</v>
      </c>
      <c r="L676" s="60" t="n">
        <f aca="false">IF(AND(K675&lt;0,L675&gt;=0),K$43+(-K675)/L674,0)</f>
        <v>0</v>
      </c>
    </row>
    <row r="677" customFormat="false" ht="15" hidden="true" customHeight="false" outlineLevel="1" collapsed="false">
      <c r="A677" s="9" t="s">
        <v>429</v>
      </c>
      <c r="B677" s="58" t="n">
        <f aca="false">IF(B$43&lt;0,0,(Quesería!$B$44*$B$652*$B$649)*(1-MAX(0,MIN(B$43-0-Quesería!$B$47,(Quesería!$B$46-Quesería!$B$47)))/(Quesería!$B$46-Quesería!$B$47))*IF(B$43&gt;=2,1-Quesería!$B$48,1))+IF(B$43&lt;1,0,(Quesería!$B$44*$C$652*$C$649)*(1-MAX(0,MIN(B$43-1-Quesería!$B$47,(Quesería!$B$46-Quesería!$B$47)))/(Quesería!$B$46-Quesería!$B$47))*IF(B$43&gt;=2,1-Quesería!$B$48,1))</f>
        <v>641.321364968425</v>
      </c>
      <c r="C677" s="58" t="n">
        <f aca="false">IF(C$43&lt;0,0,(Quesería!$B$44*$B$652*$B$649)*(1-MAX(0,MIN(C$43-0-Quesería!$B$47,(Quesería!$B$46-Quesería!$B$47)))/(Quesería!$B$46-Quesería!$B$47))*IF(C$43&gt;=2,1-Quesería!$B$48,1))+IF(C$43&lt;1,0,(Quesería!$B$44*$C$652*$C$649)*(1-MAX(0,MIN(C$43-1-Quesería!$B$47,(Quesería!$B$46-Quesería!$B$47)))/(Quesería!$B$46-Quesería!$B$47))*IF(C$43&gt;=2,1-Quesería!$B$48,1))</f>
        <v>1190.03581125409</v>
      </c>
      <c r="D677" s="58" t="n">
        <f aca="false">IF(D$43&lt;0,0,(Quesería!$B$44*$B$652*$B$649)*(1-MAX(0,MIN(D$43-0-Quesería!$B$47,(Quesería!$B$46-Quesería!$B$47)))/(Quesería!$B$46-Quesería!$B$47))*IF(D$43&gt;=2,1-Quesería!$B$48,1))+IF(D$43&lt;1,0,(Quesería!$B$44*$C$652*$C$649)*(1-MAX(0,MIN(D$43-1-Quesería!$B$47,(Quesería!$B$46-Quesería!$B$47)))/(Quesería!$B$46-Quesería!$B$47))*IF(D$43&gt;=2,1-Quesería!$B$48,1))</f>
        <v>1083.14891709269</v>
      </c>
      <c r="E677" s="58" t="n">
        <f aca="false">IF(E$43&lt;0,0,(Quesería!$B$44*$B$652*$B$649)*(1-MAX(0,MIN(E$43-0-Quesería!$B$47,(Quesería!$B$46-Quesería!$B$47)))/(Quesería!$B$46-Quesería!$B$47))*IF(E$43&gt;=2,1-Quesería!$B$48,1))+IF(E$43&lt;1,0,(Quesería!$B$44*$C$652*$C$649)*(1-MAX(0,MIN(E$43-1-Quesería!$B$47,(Quesería!$B$46-Quesería!$B$47)))/(Quesería!$B$46-Quesería!$B$47))*IF(E$43&gt;=2,1-Quesería!$B$48,1))</f>
        <v>884.809615217005</v>
      </c>
      <c r="F677" s="58" t="n">
        <f aca="false">IF(F$43&lt;0,0,(Quesería!$B$44*$B$652*$B$649)*(1-MAX(0,MIN(F$43-0-Quesería!$B$47,(Quesería!$B$46-Quesería!$B$47)))/(Quesería!$B$46-Quesería!$B$47))*IF(F$43&gt;=2,1-Quesería!$B$48,1))+IF(F$43&lt;1,0,(Quesería!$B$44*$C$652*$C$649)*(1-MAX(0,MIN(F$43-1-Quesería!$B$47,(Quesería!$B$46-Quesería!$B$47)))/(Quesería!$B$46-Quesería!$B$47))*IF(F$43&gt;=2,1-Quesería!$B$48,1))</f>
        <v>686.470313341323</v>
      </c>
      <c r="G677" s="58" t="n">
        <f aca="false">IF(G$43&lt;0,0,(Quesería!$B$44*$B$652*$B$649)*(1-MAX(0,MIN(G$43-0-Quesería!$B$47,(Quesería!$B$46-Quesería!$B$47)))/(Quesería!$B$46-Quesería!$B$47))*IF(G$43&gt;=2,1-Quesería!$B$48,1))+IF(G$43&lt;1,0,(Quesería!$B$44*$C$652*$C$649)*(1-MAX(0,MIN(G$43-1-Quesería!$B$47,(Quesería!$B$46-Quesería!$B$47)))/(Quesería!$B$46-Quesería!$B$47))*IF(G$43&gt;=2,1-Quesería!$B$48,1))</f>
        <v>488.131011465641</v>
      </c>
      <c r="H677" s="58" t="n">
        <f aca="false">IF(H$43&lt;0,0,(Quesería!$B$44*$B$652*$B$649)*(1-MAX(0,MIN(H$43-0-Quesería!$B$47,(Quesería!$B$46-Quesería!$B$47)))/(Quesería!$B$46-Quesería!$B$47))*IF(H$43&gt;=2,1-Quesería!$B$48,1))+IF(H$43&lt;1,0,(Quesería!$B$44*$C$652*$C$649)*(1-MAX(0,MIN(H$43-1-Quesería!$B$47,(Quesería!$B$46-Quesería!$B$47)))/(Quesería!$B$46-Quesería!$B$47))*IF(H$43&gt;=2,1-Quesería!$B$48,1))</f>
        <v>289.79170958996</v>
      </c>
      <c r="I677" s="58" t="n">
        <f aca="false">IF(I$43&lt;0,0,(Quesería!$B$44*$B$652*$B$649)*(1-MAX(0,MIN(I$43-0-Quesería!$B$47,(Quesería!$B$46-Quesería!$B$47)))/(Quesería!$B$46-Quesería!$B$47))*IF(I$43&gt;=2,1-Quesería!$B$48,1))+IF(I$43&lt;1,0,(Quesería!$B$44*$C$652*$C$649)*(1-MAX(0,MIN(I$43-1-Quesería!$B$47,(Quesería!$B$46-Quesería!$B$47)))/(Quesería!$B$46-Quesería!$B$47))*IF(I$43&gt;=2,1-Quesería!$B$48,1))</f>
        <v>91.4524077142776</v>
      </c>
      <c r="J677" s="58" t="n">
        <f aca="false">IF(J$43&lt;0,0,(Quesería!$B$44*$B$652*$B$649)*(1-MAX(0,MIN(J$43-0-Quesería!$B$47,(Quesería!$B$46-Quesería!$B$47)))/(Quesería!$B$46-Quesería!$B$47))*IF(J$43&gt;=2,1-Quesería!$B$48,1))+IF(J$43&lt;1,0,(Quesería!$B$44*$C$652*$C$649)*(1-MAX(0,MIN(J$43-1-Quesería!$B$47,(Quesería!$B$46-Quesería!$B$47)))/(Quesería!$B$46-Quesería!$B$47))*IF(J$43&gt;=2,1-Quesería!$B$48,1))</f>
        <v>0</v>
      </c>
      <c r="K677" s="58" t="n">
        <f aca="false">IF(K$43&lt;0,0,(Quesería!$B$44*$B$652*$B$649)*(1-MAX(0,MIN(K$43-0-Quesería!$B$47,(Quesería!$B$46-Quesería!$B$47)))/(Quesería!$B$46-Quesería!$B$47))*IF(K$43&gt;=2,1-Quesería!$B$48,1))+IF(K$43&lt;1,0,(Quesería!$B$44*$C$652*$C$649)*(1-MAX(0,MIN(K$43-1-Quesería!$B$47,(Quesería!$B$46-Quesería!$B$47)))/(Quesería!$B$46-Quesería!$B$47))*IF(K$43&gt;=2,1-Quesería!$B$48,1))</f>
        <v>0</v>
      </c>
      <c r="L677" s="58" t="n">
        <f aca="false">IF(L$43&lt;0,0,(Quesería!$B$44*$B$652*$B$649)*(1-MAX(0,MIN(L$43-0-Quesería!$B$47,(Quesería!$B$46-Quesería!$B$47)))/(Quesería!$B$46-Quesería!$B$47))*IF(L$43&gt;=2,1-Quesería!$B$48,1))+IF(L$43&lt;1,0,(Quesería!$B$44*$C$652*$C$649)*(1-MAX(0,MIN(L$43-1-Quesería!$B$47,(Quesería!$B$46-Quesería!$B$47)))/(Quesería!$B$46-Quesería!$B$47))*IF(L$43&gt;=2,1-Quesería!$B$48,1))</f>
        <v>0</v>
      </c>
    </row>
    <row r="678" customFormat="false" ht="15" hidden="true" customHeight="false" outlineLevel="1" collapsed="false">
      <c r="A678" s="6" t="s">
        <v>430</v>
      </c>
      <c r="B678" s="29" t="n">
        <f aca="false">Quesería!$B$44*B652</f>
        <v>605.02015563059</v>
      </c>
      <c r="C678" s="29" t="n">
        <f aca="false">Quesería!$B$44*C652</f>
        <v>493.004893338424</v>
      </c>
      <c r="D678" s="29" t="n">
        <f aca="false">Quesería!$B$44*D652</f>
        <v>0</v>
      </c>
      <c r="E678" s="29" t="n">
        <f aca="false">Quesería!$B$44*E652</f>
        <v>0</v>
      </c>
      <c r="F678" s="29" t="n">
        <f aca="false">Quesería!$B$44*F652</f>
        <v>0</v>
      </c>
      <c r="G678" s="29" t="n">
        <f aca="false">Quesería!$B$44*G652</f>
        <v>0</v>
      </c>
      <c r="H678" s="29" t="n">
        <f aca="false">Quesería!$B$44*H652</f>
        <v>0</v>
      </c>
      <c r="I678" s="29" t="n">
        <f aca="false">Quesería!$B$44*I652</f>
        <v>0</v>
      </c>
      <c r="J678" s="29" t="n">
        <f aca="false">Quesería!$B$44*J652</f>
        <v>0</v>
      </c>
      <c r="K678" s="29" t="n">
        <f aca="false">Quesería!$B$44*K652</f>
        <v>0</v>
      </c>
      <c r="L678" s="29" t="n">
        <f aca="false">Quesería!$B$44*L652</f>
        <v>0</v>
      </c>
    </row>
    <row r="679" customFormat="false" ht="15" hidden="true" customHeight="false" outlineLevel="1" collapsed="false">
      <c r="A679" s="6" t="s">
        <v>431</v>
      </c>
      <c r="B679" s="29" t="n">
        <f aca="false">(IF(AND(B$43&gt;0,B$43&lt;=0+Quesería!$B$46),($P$14+$P$24)*(Quesería!$B$44*$B$652*$B$649)*(1-MAX(0,MIN((B$43-1)-0-Quesería!$B$47,(Quesería!$B$46-Quesería!$B$47)))/(Quesería!$B$46-Quesería!$B$47))*IF(B$43&gt;2,1-Quesería!$B$48,1),0)+IF(AND(B$43&gt;1,B$43&lt;=1+Quesería!$B$46),($P$14+$P$24)*(Quesería!$B$44*$C$652*$C$649)*(1-MAX(0,MIN((B$43-1)-1-Quesería!$B$47,(Quesería!$B$46-Quesería!$B$47)))/(Quesería!$B$46-Quesería!$B$47))*IF(B$43&gt;2,1-Quesería!$B$48,1),0))*B651</f>
        <v>0</v>
      </c>
      <c r="C679" s="29" t="n">
        <f aca="false">(IF(AND(C$43&gt;0,C$43&lt;=0+Quesería!$B$46),($P$14+$P$24)*(Quesería!$B$44*$B$652*$B$649)*(1-MAX(0,MIN((C$43-1)-0-Quesería!$B$47,(Quesería!$B$46-Quesería!$B$47)))/(Quesería!$B$46-Quesería!$B$47))*IF(C$43&gt;2,1-Quesería!$B$48,1),0)+IF(AND(C$43&gt;1,C$43&lt;=1+Quesería!$B$46),($P$14+$P$24)*(Quesería!$B$44*$C$652*$C$649)*(1-MAX(0,MIN((C$43-1)-1-Quesería!$B$47,(Quesería!$B$46-Quesería!$B$47)))/(Quesería!$B$46-Quesería!$B$47))*IF(C$43&gt;2,1-Quesería!$B$48,1),0))*C651</f>
        <v>81.2455637561078</v>
      </c>
      <c r="D679" s="29" t="n">
        <f aca="false">(IF(AND(D$43&gt;0,D$43&lt;=0+Quesería!$B$46),($P$14+$P$24)*(Quesería!$B$44*$B$652*$B$649)*(1-MAX(0,MIN((D$43-1)-0-Quesería!$B$47,(Quesería!$B$46-Quesería!$B$47)))/(Quesería!$B$46-Quesería!$B$47))*IF(D$43&gt;2,1-Quesería!$B$48,1),0)+IF(AND(D$43&gt;1,D$43&lt;=1+Quesería!$B$46),($P$14+$P$24)*(Quesería!$B$44*$C$652*$C$649)*(1-MAX(0,MIN((D$43-1)-1-Quesería!$B$47,(Quesería!$B$46-Quesería!$B$47)))/(Quesería!$B$46-Quesería!$B$47))*IF(D$43&gt;2,1-Quesería!$B$48,1),0))*D651</f>
        <v>144.267228437154</v>
      </c>
      <c r="E679" s="29" t="n">
        <f aca="false">(IF(AND(E$43&gt;0,E$43&lt;=0+Quesería!$B$46),($P$14+$P$24)*(Quesería!$B$44*$B$652*$B$649)*(1-MAX(0,MIN((E$43-1)-0-Quesería!$B$47,(Quesería!$B$46-Quesería!$B$47)))/(Quesería!$B$46-Quesería!$B$47))*IF(E$43&gt;2,1-Quesería!$B$48,1),0)+IF(AND(E$43&gt;1,E$43&lt;=1+Quesería!$B$46),($P$14+$P$24)*(Quesería!$B$44*$C$652*$C$649)*(1-MAX(0,MIN((E$43-1)-1-Quesería!$B$47,(Quesería!$B$46-Quesería!$B$47)))/(Quesería!$B$46-Quesería!$B$47))*IF(E$43&gt;2,1-Quesería!$B$48,1),0))*E651</f>
        <v>126.259041612202</v>
      </c>
      <c r="F679" s="29" t="n">
        <f aca="false">(IF(AND(F$43&gt;0,F$43&lt;=0+Quesería!$B$46),($P$14+$P$24)*(Quesería!$B$44*$B$652*$B$649)*(1-MAX(0,MIN((F$43-1)-0-Quesería!$B$47,(Quesería!$B$46-Quesería!$B$47)))/(Quesería!$B$46-Quesería!$B$47))*IF(F$43&gt;2,1-Quesería!$B$48,1),0)+IF(AND(F$43&gt;1,F$43&lt;=1+Quesería!$B$46),($P$14+$P$24)*(Quesería!$B$44*$C$652*$C$649)*(1-MAX(0,MIN((F$43-1)-1-Quesería!$B$47,(Quesería!$B$46-Quesería!$B$47)))/(Quesería!$B$46-Quesería!$B$47))*IF(F$43&gt;2,1-Quesería!$B$48,1),0))*F651</f>
        <v>99.1723975627135</v>
      </c>
      <c r="G679" s="29" t="n">
        <f aca="false">(IF(AND(G$43&gt;0,G$43&lt;=0+Quesería!$B$46),($P$14+$P$24)*(Quesería!$B$44*$B$652*$B$649)*(1-MAX(0,MIN((G$43-1)-0-Quesería!$B$47,(Quesería!$B$46-Quesería!$B$47)))/(Quesería!$B$46-Quesería!$B$47))*IF(G$43&gt;2,1-Quesería!$B$48,1),0)+IF(AND(G$43&gt;1,G$43&lt;=1+Quesería!$B$46),($P$14+$P$24)*(Quesería!$B$44*$C$652*$C$649)*(1-MAX(0,MIN((G$43-1)-1-Quesería!$B$47,(Quesería!$B$46-Quesería!$B$47)))/(Quesería!$B$46-Quesería!$B$47))*IF(G$43&gt;2,1-Quesería!$B$48,1),0))*G651</f>
        <v>73.9825677868365</v>
      </c>
      <c r="H679" s="29" t="n">
        <f aca="false">(IF(AND(H$43&gt;0,H$43&lt;=0+Quesería!$B$46),($P$14+$P$24)*(Quesería!$B$44*$B$652*$B$649)*(1-MAX(0,MIN((H$43-1)-0-Quesería!$B$47,(Quesería!$B$46-Quesería!$B$47)))/(Quesería!$B$46-Quesería!$B$47))*IF(H$43&gt;2,1-Quesería!$B$48,1),0)+IF(AND(H$43&gt;1,H$43&lt;=1+Quesería!$B$46),($P$14+$P$24)*(Quesería!$B$44*$C$652*$C$649)*(1-MAX(0,MIN((H$43-1)-1-Quesería!$B$47,(Quesería!$B$46-Quesería!$B$47)))/(Quesería!$B$46-Quesería!$B$47))*IF(H$43&gt;2,1-Quesería!$B$48,1),0))*H651</f>
        <v>50.583712494366</v>
      </c>
      <c r="I679" s="29" t="n">
        <f aca="false">(IF(AND(I$43&gt;0,I$43&lt;=0+Quesería!$B$46),($P$14+$P$24)*(Quesería!$B$44*$B$652*$B$649)*(1-MAX(0,MIN((I$43-1)-0-Quesería!$B$47,(Quesería!$B$46-Quesería!$B$47)))/(Quesería!$B$46-Quesería!$B$47))*IF(I$43&gt;2,1-Quesería!$B$48,1),0)+IF(AND(I$43&gt;1,I$43&lt;=1+Quesería!$B$46),($P$14+$P$24)*(Quesería!$B$44*$C$652*$C$649)*(1-MAX(0,MIN((I$43-1)-1-Quesería!$B$47,(Quesería!$B$46-Quesería!$B$47)))/(Quesería!$B$46-Quesería!$B$47))*IF(I$43&gt;2,1-Quesería!$B$48,1),0))*I651</f>
        <v>28.8753274791465</v>
      </c>
      <c r="J679" s="29" t="n">
        <f aca="false">(IF(AND(J$43&gt;0,J$43&lt;=0+Quesería!$B$46),($P$14+$P$24)*(Quesería!$B$44*$B$652*$B$649)*(1-MAX(0,MIN((J$43-1)-0-Quesería!$B$47,(Quesería!$B$46-Quesería!$B$47)))/(Quesería!$B$46-Quesería!$B$47))*IF(J$43&gt;2,1-Quesería!$B$48,1),0)+IF(AND(J$43&gt;1,J$43&lt;=1+Quesería!$B$46),($P$14+$P$24)*(Quesería!$B$44*$C$652*$C$649)*(1-MAX(0,MIN((J$43-1)-1-Quesería!$B$47,(Quesería!$B$46-Quesería!$B$47)))/(Quesería!$B$46-Quesería!$B$47))*IF(J$43&gt;2,1-Quesería!$B$48,1),0))*J651</f>
        <v>8.76199025726588</v>
      </c>
      <c r="K679" s="29" t="n">
        <f aca="false">(IF(AND(K$43&gt;0,K$43&lt;=0+Quesería!$B$46),($P$14+$P$24)*(Quesería!$B$44*$B$652*$B$649)*(1-MAX(0,MIN((K$43-1)-0-Quesería!$B$47,(Quesería!$B$46-Quesería!$B$47)))/(Quesería!$B$46-Quesería!$B$47))*IF(K$43&gt;2,1-Quesería!$B$48,1),0)+IF(AND(K$43&gt;1,K$43&lt;=1+Quesería!$B$46),($P$14+$P$24)*(Quesería!$B$44*$C$652*$C$649)*(1-MAX(0,MIN((K$43-1)-1-Quesería!$B$47,(Quesería!$B$46-Quesería!$B$47)))/(Quesería!$B$46-Quesería!$B$47))*IF(K$43&gt;2,1-Quesería!$B$48,1),0))*K651</f>
        <v>0</v>
      </c>
      <c r="L679" s="29" t="n">
        <f aca="false">(IF(AND(L$43&gt;0,L$43&lt;=0+Quesería!$B$46),($P$14+$P$24)*(Quesería!$B$44*$B$652*$B$649)*(1-MAX(0,MIN((L$43-1)-0-Quesería!$B$47,(Quesería!$B$46-Quesería!$B$47)))/(Quesería!$B$46-Quesería!$B$47))*IF(L$43&gt;2,1-Quesería!$B$48,1),0)+IF(AND(L$43&gt;1,L$43&lt;=1+Quesería!$B$46),($P$14+$P$24)*(Quesería!$B$44*$C$652*$C$649)*(1-MAX(0,MIN((L$43-1)-1-Quesería!$B$47,(Quesería!$B$46-Quesería!$B$47)))/(Quesería!$B$46-Quesería!$B$47))*IF(L$43&gt;2,1-Quesería!$B$48,1),0))*L651</f>
        <v>0</v>
      </c>
    </row>
    <row r="680" customFormat="false" ht="15" hidden="true" customHeight="false" outlineLevel="1" collapsed="false">
      <c r="A680" s="6" t="s">
        <v>432</v>
      </c>
      <c r="B680" s="29" t="n">
        <f aca="false">((IF(AND(B$43&gt;0+Quesería!$B$47,B$43&lt;=0+Quesería!$B$46),(Quesería!$B$44*$B$652*$B$649)/(Quesería!$B$46-Quesería!$B$47),0)*IF(B$43&gt;2,1-Quesería!$B$48,1)+IF(B$43=2,Quesería!$B$48*(Quesería!$B$44*$B$652*$B$649)*(1-MAX(0,MIN(2-0-Quesería!$B$47,(Quesería!$B$46-Quesería!$B$47)))/(Quesería!$B$46-Quesería!$B$47)),0))+(IF(AND(B$43&gt;1+Quesería!$B$47,B$43&lt;=1+Quesería!$B$46),(Quesería!$B$44*$C$652*$C$649)/(Quesería!$B$46-Quesería!$B$47),0)*IF(B$43&gt;2,1-Quesería!$B$48,1)+IF(B$43=2,Quesería!$B$48*(Quesería!$B$44*$C$652*$C$649)*(1-MAX(0,MIN(2-1-Quesería!$B$47,(Quesería!$B$46-Quesería!$B$47)))/(Quesería!$B$46-Quesería!$B$47)),0)))*B651</f>
        <v>0</v>
      </c>
      <c r="C680" s="29" t="n">
        <f aca="false">((IF(AND(C$43&gt;0+Quesería!$B$47,C$43&lt;=0+Quesería!$B$46),(Quesería!$B$44*$B$652*$B$649)/(Quesería!$B$46-Quesería!$B$47),0)*IF(C$43&gt;2,1-Quesería!$B$48,1)+IF(C$43=2,Quesería!$B$48*(Quesería!$B$44*$B$652*$B$649)*(1-MAX(0,MIN(2-0-Quesería!$B$47,(Quesería!$B$46-Quesería!$B$47)))/(Quesería!$B$46-Quesería!$B$47)),0))+(IF(AND(C$43&gt;1+Quesería!$B$47,C$43&lt;=1+Quesería!$B$46),(Quesería!$B$44*$C$652*$C$649)/(Quesería!$B$46-Quesería!$B$47),0)*IF(C$43&gt;2,1-Quesería!$B$48,1)+IF(C$43=2,Quesería!$B$48*(Quesería!$B$44*$C$652*$C$649)*(1-MAX(0,MIN(2-1-Quesería!$B$47,(Quesería!$B$46-Quesería!$B$47)))/(Quesería!$B$46-Quesería!$B$47)),0)))*C651</f>
        <v>0</v>
      </c>
      <c r="D680" s="29" t="n">
        <f aca="false">((IF(AND(D$43&gt;0+Quesería!$B$47,D$43&lt;=0+Quesería!$B$46),(Quesería!$B$44*$B$652*$B$649)/(Quesería!$B$46-Quesería!$B$47),0)*IF(D$43&gt;2,1-Quesería!$B$48,1)+IF(D$43=2,Quesería!$B$48*(Quesería!$B$44*$B$652*$B$649)*(1-MAX(0,MIN(2-0-Quesería!$B$47,(Quesería!$B$46-Quesería!$B$47)))/(Quesería!$B$46-Quesería!$B$47)),0))+(IF(AND(D$43&gt;1+Quesería!$B$47,D$43&lt;=1+Quesería!$B$46),(Quesería!$B$44*$C$652*$C$649)/(Quesería!$B$46-Quesería!$B$47),0)*IF(D$43&gt;2,1-Quesería!$B$48,1)+IF(D$43=2,Quesería!$B$48*(Quesería!$B$44*$C$652*$C$649)*(1-MAX(0,MIN(2-1-Quesería!$B$47,(Quesería!$B$46-Quesería!$B$47)))/(Quesería!$B$46-Quesería!$B$47)),0)))*D651</f>
        <v>91.8994692231472</v>
      </c>
      <c r="E680" s="29" t="n">
        <f aca="false">((IF(AND(E$43&gt;0+Quesería!$B$47,E$43&lt;=0+Quesería!$B$46),(Quesería!$B$44*$B$652*$B$649)/(Quesería!$B$46-Quesería!$B$47),0)*IF(E$43&gt;2,1-Quesería!$B$48,1)+IF(E$43=2,Quesería!$B$48*(Quesería!$B$44*$B$652*$B$649)*(1-MAX(0,MIN(2-0-Quesería!$B$47,(Quesería!$B$46-Quesería!$B$47)))/(Quesería!$B$46-Quesería!$B$47)),0))+(IF(AND(E$43&gt;1+Quesería!$B$47,E$43&lt;=1+Quesería!$B$46),(Quesería!$B$44*$C$652*$C$649)/(Quesería!$B$46-Quesería!$B$47),0)*IF(E$43&gt;2,1-Quesería!$B$48,1)+IF(E$43=2,Quesería!$B$48*(Quesería!$B$44*$C$652*$C$649)*(1-MAX(0,MIN(2-1-Quesería!$B$47,(Quesería!$B$46-Quesería!$B$47)))/(Quesería!$B$46-Quesería!$B$47)),0)))*E651</f>
        <v>163.969845014041</v>
      </c>
      <c r="F680" s="29" t="n">
        <f aca="false">((IF(AND(F$43&gt;0+Quesería!$B$47,F$43&lt;=0+Quesería!$B$46),(Quesería!$B$44*$B$652*$B$649)/(Quesería!$B$46-Quesería!$B$47),0)*IF(F$43&gt;2,1-Quesería!$B$48,1)+IF(F$43=2,Quesería!$B$48*(Quesería!$B$44*$B$652*$B$649)*(1-MAX(0,MIN(2-0-Quesería!$B$47,(Quesería!$B$46-Quesería!$B$47)))/(Quesería!$B$46-Quesería!$B$47)),0))+(IF(AND(F$43&gt;1+Quesería!$B$47,F$43&lt;=1+Quesería!$B$46),(Quesería!$B$44*$C$652*$C$649)/(Quesería!$B$46-Quesería!$B$47),0)*IF(F$43&gt;2,1-Quesería!$B$48,1)+IF(F$43=2,Quesería!$B$48*(Quesería!$B$44*$C$652*$C$649)*(1-MAX(0,MIN(2-1-Quesería!$B$47,(Quesería!$B$46-Quesería!$B$47)))/(Quesería!$B$46-Quesería!$B$47)),0)))*F651</f>
        <v>157.663312513501</v>
      </c>
      <c r="G680" s="29" t="n">
        <f aca="false">((IF(AND(G$43&gt;0+Quesería!$B$47,G$43&lt;=0+Quesería!$B$46),(Quesería!$B$44*$B$652*$B$649)/(Quesería!$B$46-Quesería!$B$47),0)*IF(G$43&gt;2,1-Quesería!$B$48,1)+IF(G$43=2,Quesería!$B$48*(Quesería!$B$44*$B$652*$B$649)*(1-MAX(0,MIN(2-0-Quesería!$B$47,(Quesería!$B$46-Quesería!$B$47)))/(Quesería!$B$46-Quesería!$B$47)),0))+(IF(AND(G$43&gt;1+Quesería!$B$47,G$43&lt;=1+Quesería!$B$46),(Quesería!$B$44*$C$652*$C$649)/(Quesería!$B$46-Quesería!$B$47),0)*IF(G$43&gt;2,1-Quesería!$B$48,1)+IF(G$43=2,Quesería!$B$48*(Quesería!$B$44*$C$652*$C$649)*(1-MAX(0,MIN(2-1-Quesería!$B$47,(Quesería!$B$46-Quesería!$B$47)))/(Quesería!$B$46-Quesería!$B$47)),0)))*G651</f>
        <v>151.599338955289</v>
      </c>
      <c r="H680" s="29" t="n">
        <f aca="false">((IF(AND(H$43&gt;0+Quesería!$B$47,H$43&lt;=0+Quesería!$B$46),(Quesería!$B$44*$B$652*$B$649)/(Quesería!$B$46-Quesería!$B$47),0)*IF(H$43&gt;2,1-Quesería!$B$48,1)+IF(H$43=2,Quesería!$B$48*(Quesería!$B$44*$B$652*$B$649)*(1-MAX(0,MIN(2-0-Quesería!$B$47,(Quesería!$B$46-Quesería!$B$47)))/(Quesería!$B$46-Quesería!$B$47)),0))+(IF(AND(H$43&gt;1+Quesería!$B$47,H$43&lt;=1+Quesería!$B$46),(Quesería!$B$44*$C$652*$C$649)/(Quesería!$B$46-Quesería!$B$47),0)*IF(H$43&gt;2,1-Quesería!$B$48,1)+IF(H$43=2,Quesería!$B$48*(Quesería!$B$44*$C$652*$C$649)*(1-MAX(0,MIN(2-1-Quesería!$B$47,(Quesería!$B$46-Quesería!$B$47)))/(Quesería!$B$46-Quesería!$B$47)),0)))*H651</f>
        <v>145.768595149317</v>
      </c>
      <c r="I680" s="29" t="n">
        <f aca="false">((IF(AND(I$43&gt;0+Quesería!$B$47,I$43&lt;=0+Quesería!$B$46),(Quesería!$B$44*$B$652*$B$649)/(Quesería!$B$46-Quesería!$B$47),0)*IF(I$43&gt;2,1-Quesería!$B$48,1)+IF(I$43=2,Quesería!$B$48*(Quesería!$B$44*$B$652*$B$649)*(1-MAX(0,MIN(2-0-Quesería!$B$47,(Quesería!$B$46-Quesería!$B$47)))/(Quesería!$B$46-Quesería!$B$47)),0))+(IF(AND(I$43&gt;1+Quesería!$B$47,I$43&lt;=1+Quesería!$B$46),(Quesería!$B$44*$C$652*$C$649)/(Quesería!$B$46-Quesería!$B$47),0)*IF(I$43&gt;2,1-Quesería!$B$48,1)+IF(I$43=2,Quesería!$B$48*(Quesería!$B$44*$C$652*$C$649)*(1-MAX(0,MIN(2-1-Quesería!$B$47,(Quesería!$B$46-Quesería!$B$47)))/(Quesería!$B$46-Quesería!$B$47)),0)))*I651</f>
        <v>140.162110720497</v>
      </c>
      <c r="J680" s="29" t="n">
        <f aca="false">((IF(AND(J$43&gt;0+Quesería!$B$47,J$43&lt;=0+Quesería!$B$46),(Quesería!$B$44*$B$652*$B$649)/(Quesería!$B$46-Quesería!$B$47),0)*IF(J$43&gt;2,1-Quesería!$B$48,1)+IF(J$43=2,Quesería!$B$48*(Quesería!$B$44*$B$652*$B$649)*(1-MAX(0,MIN(2-0-Quesería!$B$47,(Quesería!$B$46-Quesería!$B$47)))/(Quesería!$B$46-Quesería!$B$47)),0))+(IF(AND(J$43&gt;1+Quesería!$B$47,J$43&lt;=1+Quesería!$B$46),(Quesería!$B$44*$C$652*$C$649)/(Quesería!$B$46-Quesería!$B$47),0)*IF(J$43&gt;2,1-Quesería!$B$48,1)+IF(J$43=2,Quesería!$B$48*(Quesería!$B$44*$C$652*$C$649)*(1-MAX(0,MIN(2-1-Quesería!$B$47,(Quesería!$B$46-Quesería!$B$47)))/(Quesería!$B$46-Quesería!$B$47)),0)))*J651</f>
        <v>62.1417748742261</v>
      </c>
      <c r="K680" s="29" t="n">
        <f aca="false">((IF(AND(K$43&gt;0+Quesería!$B$47,K$43&lt;=0+Quesería!$B$46),(Quesería!$B$44*$B$652*$B$649)/(Quesería!$B$46-Quesería!$B$47),0)*IF(K$43&gt;2,1-Quesería!$B$48,1)+IF(K$43=2,Quesería!$B$48*(Quesería!$B$44*$B$652*$B$649)*(1-MAX(0,MIN(2-0-Quesería!$B$47,(Quesería!$B$46-Quesería!$B$47)))/(Quesería!$B$46-Quesería!$B$47)),0))+(IF(AND(K$43&gt;1+Quesería!$B$47,K$43&lt;=1+Quesería!$B$46),(Quesería!$B$44*$C$652*$C$649)/(Quesería!$B$46-Quesería!$B$47),0)*IF(K$43&gt;2,1-Quesería!$B$48,1)+IF(K$43=2,Quesería!$B$48*(Quesería!$B$44*$C$652*$C$649)*(1-MAX(0,MIN(2-1-Quesería!$B$47,(Quesería!$B$46-Quesería!$B$47)))/(Quesería!$B$46-Quesería!$B$47)),0)))*K651</f>
        <v>0</v>
      </c>
      <c r="L680" s="29" t="n">
        <f aca="false">((IF(AND(L$43&gt;0+Quesería!$B$47,L$43&lt;=0+Quesería!$B$46),(Quesería!$B$44*$B$652*$B$649)/(Quesería!$B$46-Quesería!$B$47),0)*IF(L$43&gt;2,1-Quesería!$B$48,1)+IF(L$43=2,Quesería!$B$48*(Quesería!$B$44*$B$652*$B$649)*(1-MAX(0,MIN(2-0-Quesería!$B$47,(Quesería!$B$46-Quesería!$B$47)))/(Quesería!$B$46-Quesería!$B$47)),0))+(IF(AND(L$43&gt;1+Quesería!$B$47,L$43&lt;=1+Quesería!$B$46),(Quesería!$B$44*$C$652*$C$649)/(Quesería!$B$46-Quesería!$B$47),0)*IF(L$43&gt;2,1-Quesería!$B$48,1)+IF(L$43=2,Quesería!$B$48*(Quesería!$B$44*$C$652*$C$649)*(1-MAX(0,MIN(2-1-Quesería!$B$47,(Quesería!$B$46-Quesería!$B$47)))/(Quesería!$B$46-Quesería!$B$47)),0)))*L651</f>
        <v>0</v>
      </c>
    </row>
    <row r="681" customFormat="false" ht="15" hidden="true" customHeight="false" outlineLevel="1" collapsed="false">
      <c r="A681" s="6" t="s">
        <v>433</v>
      </c>
      <c r="B681" s="29" t="n">
        <f aca="false">$P$13*Quesería!$B$51*(1+0.19)*B677*B651+(1-$P$13)*IF(B$43=0,Quesería!$B$50,0)</f>
        <v>4</v>
      </c>
      <c r="C681" s="29" t="n">
        <f aca="false">$P$13*Quesería!$B$51*(1+0.19)*C677*C651+(1-$P$13)*IF(C$43=0,Quesería!$B$50,0)</f>
        <v>0</v>
      </c>
      <c r="D681" s="29" t="n">
        <f aca="false">$P$13*Quesería!$B$51*(1+0.19)*D677*D651+(1-$P$13)*IF(D$43=0,Quesería!$B$50,0)</f>
        <v>0</v>
      </c>
      <c r="E681" s="29" t="n">
        <f aca="false">$P$13*Quesería!$B$51*(1+0.19)*E677*E651+(1-$P$13)*IF(E$43=0,Quesería!$B$50,0)</f>
        <v>0</v>
      </c>
      <c r="F681" s="29" t="n">
        <f aca="false">$P$13*Quesería!$B$51*(1+0.19)*F677*F651+(1-$P$13)*IF(F$43=0,Quesería!$B$50,0)</f>
        <v>0</v>
      </c>
      <c r="G681" s="29" t="n">
        <f aca="false">$P$13*Quesería!$B$51*(1+0.19)*G677*G651+(1-$P$13)*IF(G$43=0,Quesería!$B$50,0)</f>
        <v>0</v>
      </c>
      <c r="H681" s="29" t="n">
        <f aca="false">$P$13*Quesería!$B$51*(1+0.19)*H677*H651+(1-$P$13)*IF(H$43=0,Quesería!$B$50,0)</f>
        <v>0</v>
      </c>
      <c r="I681" s="29" t="n">
        <f aca="false">$P$13*Quesería!$B$51*(1+0.19)*I677*I651+(1-$P$13)*IF(I$43=0,Quesería!$B$50,0)</f>
        <v>0</v>
      </c>
      <c r="J681" s="29" t="n">
        <f aca="false">$P$13*Quesería!$B$51*(1+0.19)*J677*J651+(1-$P$13)*IF(J$43=0,Quesería!$B$50,0)</f>
        <v>0</v>
      </c>
      <c r="K681" s="29" t="n">
        <f aca="false">$P$13*Quesería!$B$51*(1+0.19)*K677*K651+(1-$P$13)*IF(K$43=0,Quesería!$B$50,0)</f>
        <v>0</v>
      </c>
      <c r="L681" s="29" t="n">
        <f aca="false">$P$13*Quesería!$B$51*(1+0.19)*L677*L651+(1-$P$13)*IF(L$43=0,Quesería!$B$50,0)</f>
        <v>0</v>
      </c>
    </row>
    <row r="682" customFormat="false" ht="15" hidden="true" customHeight="false" outlineLevel="1" collapsed="false">
      <c r="A682" s="6" t="s">
        <v>434</v>
      </c>
      <c r="B682" s="29" t="n">
        <f aca="false">Quesería!$B$52*(B679+B680+B681)</f>
        <v>0.016</v>
      </c>
      <c r="C682" s="29" t="n">
        <f aca="false">Quesería!$B$52*(C679+C680+C681)</f>
        <v>0.324982255024431</v>
      </c>
      <c r="D682" s="29" t="n">
        <f aca="false">Quesería!$B$52*(D679+D680+D681)</f>
        <v>0.944666790641204</v>
      </c>
      <c r="E682" s="29" t="n">
        <f aca="false">Quesería!$B$52*(E679+E680+E681)</f>
        <v>1.16091554650497</v>
      </c>
      <c r="F682" s="29" t="n">
        <f aca="false">Quesería!$B$52*(F679+F680+F681)</f>
        <v>1.02734284030486</v>
      </c>
      <c r="G682" s="29" t="n">
        <f aca="false">Quesería!$B$52*(G679+G680+G681)</f>
        <v>0.902327626968503</v>
      </c>
      <c r="H682" s="29" t="n">
        <f aca="false">Quesería!$B$52*(H679+H680+H681)</f>
        <v>0.78540923057473</v>
      </c>
      <c r="I682" s="29" t="n">
        <f aca="false">Quesería!$B$52*(I679+I680+I681)</f>
        <v>0.676149752798573</v>
      </c>
      <c r="J682" s="29" t="n">
        <f aca="false">Quesería!$B$52*(J679+J680+J681)</f>
        <v>0.283615060525968</v>
      </c>
      <c r="K682" s="29" t="n">
        <f aca="false">Quesería!$B$52*(K679+K680+K681)</f>
        <v>0</v>
      </c>
      <c r="L682" s="29" t="n">
        <f aca="false">Quesería!$B$52*(L679+L680+L681)</f>
        <v>0</v>
      </c>
    </row>
    <row r="683" customFormat="false" ht="15" hidden="true" customHeight="false" outlineLevel="1" collapsed="false">
      <c r="A683" s="6" t="s">
        <v>435</v>
      </c>
      <c r="B683" s="29" t="n">
        <f aca="false">$P$17*(B679+B681+0.5*B682)</f>
        <v>1.4028</v>
      </c>
      <c r="C683" s="29" t="n">
        <f aca="false">$P$17*(C679+C681+0.5*C682)</f>
        <v>28.492819209267</v>
      </c>
      <c r="D683" s="29" t="n">
        <f aca="false">$P$17*(D679+D681+0.5*D682)</f>
        <v>50.658846641366</v>
      </c>
      <c r="E683" s="29" t="n">
        <f aca="false">$P$17*(E679+E681+0.5*E682)</f>
        <v>44.393824784909</v>
      </c>
      <c r="F683" s="29" t="n">
        <f aca="false">$P$17*(F679+F681+0.5*F682)</f>
        <v>34.8901241440031</v>
      </c>
      <c r="G683" s="29" t="n">
        <f aca="false">$P$17*(G679+G681+0.5*G682)</f>
        <v>26.0518060601123</v>
      </c>
      <c r="H683" s="29" t="n">
        <f aca="false">$P$17*(H679+H681+0.5*H682)</f>
        <v>17.8417459883787</v>
      </c>
      <c r="I683" s="29" t="n">
        <f aca="false">$P$17*(I679+I681+0.5*I682)</f>
        <v>10.224690824441</v>
      </c>
      <c r="J683" s="29" t="n">
        <f aca="false">$P$17*(J679+J681+0.5*J682)</f>
        <v>3.1163292256351</v>
      </c>
      <c r="K683" s="29" t="n">
        <f aca="false">$P$17*(K679+K681+0.5*K682)</f>
        <v>0</v>
      </c>
      <c r="L683" s="29" t="n">
        <f aca="false">$P$17*(L679+L681+0.5*L682)</f>
        <v>0</v>
      </c>
    </row>
    <row r="684" customFormat="false" ht="15" hidden="true" customHeight="false" outlineLevel="1" collapsed="false">
      <c r="A684" s="5" t="s">
        <v>436</v>
      </c>
      <c r="B684" s="59" t="n">
        <f aca="false">B669+B678-B679-B680-B681-B682+B683</f>
        <v>-358.744924503166</v>
      </c>
      <c r="C684" s="59" t="n">
        <f aca="false">C669+C678-C679-C680-C681-C682+C683</f>
        <v>-59.9362975561889</v>
      </c>
      <c r="D684" s="59" t="n">
        <f aca="false">D669+D678-D679-D680-D681-D682+D683</f>
        <v>370.500709467998</v>
      </c>
      <c r="E684" s="59" t="n">
        <f aca="false">E669+E678-E679-E680-E681-E682+E683</f>
        <v>88.0778938133312</v>
      </c>
      <c r="F684" s="59" t="n">
        <f aca="false">F669+F678-F679-F680-F681-F682+F683</f>
        <v>114.606746206793</v>
      </c>
      <c r="G684" s="59" t="n">
        <f aca="false">G669+G678-G679-G680-G681-G682+G683</f>
        <v>102.677474104338</v>
      </c>
      <c r="H684" s="59" t="n">
        <f aca="false">H669+H678-H679-H680-H681-H682+H683</f>
        <v>102.176439296805</v>
      </c>
      <c r="I684" s="59" t="n">
        <f aca="false">I669+I678-I679-I680-I681-I682+I683</f>
        <v>182.508677518666</v>
      </c>
      <c r="J684" s="59" t="n">
        <f aca="false">J669+J678-J679-J680-J681-J682+J683</f>
        <v>263.956148241041</v>
      </c>
      <c r="K684" s="59" t="n">
        <f aca="false">K669+K678-K679-K680-K681-K682+K683</f>
        <v>330.598316778541</v>
      </c>
      <c r="L684" s="59" t="n">
        <f aca="false">L669+L678-L679-L680-L681-L682+L683</f>
        <v>422.760791467253</v>
      </c>
    </row>
    <row r="685" customFormat="false" ht="15" hidden="true" customHeight="false" outlineLevel="1" collapsed="false">
      <c r="A685" s="9" t="s">
        <v>437</v>
      </c>
      <c r="B685" s="58" t="n">
        <f aca="false">B684*B649</f>
        <v>-380.269619973356</v>
      </c>
      <c r="C685" s="58" t="n">
        <f aca="false">C684*C649</f>
        <v>-66.7090991800382</v>
      </c>
      <c r="D685" s="58" t="n">
        <f aca="false">D684*D649</f>
        <v>430.923817671587</v>
      </c>
      <c r="E685" s="58" t="n">
        <f aca="false">E684*E649</f>
        <v>106.539760210913</v>
      </c>
      <c r="F685" s="58" t="n">
        <f aca="false">F684*F649</f>
        <v>144.174454224742</v>
      </c>
      <c r="G685" s="58" t="n">
        <f aca="false">G684*G649</f>
        <v>134.334217237049</v>
      </c>
      <c r="H685" s="58" t="n">
        <f aca="false">H684*H649</f>
        <v>139.025855449264</v>
      </c>
      <c r="I685" s="58" t="n">
        <f aca="false">I684*I649</f>
        <v>258.262689533061</v>
      </c>
      <c r="J685" s="58" t="n">
        <f aca="false">J684*J649</f>
        <v>388.457287170953</v>
      </c>
      <c r="K685" s="58" t="n">
        <f aca="false">K684*K649</f>
        <v>505.994117508766</v>
      </c>
      <c r="L685" s="58" t="n">
        <f aca="false">L684*L649</f>
        <v>672.934619593478</v>
      </c>
    </row>
    <row r="686" customFormat="false" ht="15" hidden="true" customHeight="false" outlineLevel="1" collapsed="false">
      <c r="A686" s="9" t="s">
        <v>438</v>
      </c>
      <c r="B686" s="57" t="n">
        <f aca="false">(B649/$B$649)/(1+Quesería!$B$11+$P$24)^B$43</f>
        <v>1</v>
      </c>
      <c r="C686" s="57" t="n">
        <f aca="false">(C649/$B$649)/(1+Quesería!$B$11+$P$24)^C$43</f>
        <v>0.84</v>
      </c>
      <c r="D686" s="57" t="n">
        <f aca="false">(D649/$B$649)/(1+Quesería!$B$11+$P$24)^D$43</f>
        <v>0.70224</v>
      </c>
      <c r="E686" s="57" t="n">
        <f aca="false">(E649/$B$649)/(1+Quesería!$B$11+$P$24)^E$43</f>
        <v>0.58426368</v>
      </c>
      <c r="F686" s="57" t="n">
        <f aca="false">(F649/$B$649)/(1+Quesería!$B$11+$P$24)^F$43</f>
        <v>0.48610738176</v>
      </c>
      <c r="G686" s="57" t="n">
        <f aca="false">(G649/$B$649)/(1+Quesería!$B$11+$P$24)^G$43</f>
        <v>0.40444134162432</v>
      </c>
      <c r="H686" s="57" t="n">
        <f aca="false">(H649/$B$649)/(1+Quesería!$B$11+$P$24)^H$43</f>
        <v>0.336495196231434</v>
      </c>
      <c r="I686" s="57" t="n">
        <f aca="false">(I649/$B$649)/(1+Quesería!$B$11+$P$24)^I$43</f>
        <v>0.279964003264553</v>
      </c>
      <c r="J686" s="57" t="n">
        <f aca="false">(J649/$B$649)/(1+Quesería!$B$11+$P$24)^J$43</f>
        <v>0.232930050716108</v>
      </c>
      <c r="K686" s="57" t="n">
        <f aca="false">(K649/$B$649)/(1+Quesería!$B$11+$P$24)^K$43</f>
        <v>0.193797802195802</v>
      </c>
      <c r="L686" s="57" t="n">
        <f aca="false">(L649/$B$649)/(1+Quesería!$B$11+$P$24)^L$43</f>
        <v>0.161239771426907</v>
      </c>
    </row>
    <row r="687" customFormat="false" ht="15" hidden="true" customHeight="false" outlineLevel="1" collapsed="false">
      <c r="A687" s="9" t="s">
        <v>439</v>
      </c>
      <c r="B687" s="58" t="n">
        <f aca="false">B669+B652+B654+B683</f>
        <v>120.166830858099</v>
      </c>
      <c r="C687" s="58" t="n">
        <f aca="false">C669+C652+C654+C683</f>
        <v>431.207544459173</v>
      </c>
      <c r="D687" s="58" t="n">
        <f aca="false">D669+D652+D654+D683</f>
        <v>607.61207391894</v>
      </c>
      <c r="E687" s="58" t="n">
        <f aca="false">E669+E652+E654+E683</f>
        <v>379.467695986079</v>
      </c>
      <c r="F687" s="58" t="n">
        <f aca="false">F669+F652+F654+F683</f>
        <v>372.469799123312</v>
      </c>
      <c r="G687" s="58" t="n">
        <f aca="false">G669+G652+G654+G683</f>
        <v>334.380099754518</v>
      </c>
      <c r="H687" s="58" t="n">
        <f aca="false">H669+H652+H654+H683</f>
        <v>308.128095756143</v>
      </c>
      <c r="I687" s="58" t="n">
        <f aca="false">I669+I652+I654+I683</f>
        <v>352.222265471107</v>
      </c>
      <c r="J687" s="58" t="n">
        <f aca="false">J669+J652+J654+J683</f>
        <v>335.143528433059</v>
      </c>
      <c r="K687" s="58" t="n">
        <f aca="false">K669+K652+K654+K683</f>
        <v>330.598316778541</v>
      </c>
      <c r="L687" s="58" t="n">
        <f aca="false">L669+L652+L654+L683</f>
        <v>422.760791467253</v>
      </c>
    </row>
    <row r="688" customFormat="false" ht="15" hidden="true" customHeight="false" outlineLevel="1" collapsed="false">
      <c r="A688" s="5" t="s">
        <v>149</v>
      </c>
      <c r="B688" s="12" t="str">
        <f aca="false">IF(AND(B$43&gt;=1,(B679+B680+B681)&gt;0.001),B687/(B679+B680+B681),"")</f>
        <v/>
      </c>
      <c r="C688" s="12" t="n">
        <f aca="false">IF(AND(C$43&gt;=1,(C679+C680+C681)&gt;0.001),C687/(C679+C680+C681),"")</f>
        <v>5.30745956485231</v>
      </c>
      <c r="D688" s="12" t="n">
        <f aca="false">IF(AND(D$43&gt;=1,(D679+D680+D681)&gt;0.001),D687/(D679+D680+D681),"")</f>
        <v>2.57281013766353</v>
      </c>
      <c r="E688" s="12" t="n">
        <f aca="false">IF(AND(E$43&gt;=1,(E679+E680+E681)&gt;0.001),E687/(E679+E680+E681),"")</f>
        <v>1.30747735140079</v>
      </c>
      <c r="F688" s="12" t="n">
        <f aca="false">IF(AND(F$43&gt;=1,(F679+F680+F681)&gt;0.001),F687/(F679+F680+F681),"")</f>
        <v>1.45022590126889</v>
      </c>
      <c r="G688" s="12" t="n">
        <f aca="false">IF(AND(G$43&gt;=1,(G679+G680+G681)&gt;0.001),G687/(G679+G680+G681),"")</f>
        <v>1.48230017461802</v>
      </c>
      <c r="H688" s="12" t="n">
        <f aca="false">IF(AND(H$43&gt;=1,(H679+H680+H681)&gt;0.001),H687/(H679+H680+H681),"")</f>
        <v>1.56926139271711</v>
      </c>
      <c r="I688" s="12" t="n">
        <f aca="false">IF(AND(I$43&gt;=1,(I679+I680+I681)&gt;0.001),I687/(I679+I680+I681),"")</f>
        <v>2.083693820863</v>
      </c>
      <c r="J688" s="12" t="n">
        <f aca="false">IF(AND(J$43&gt;=1,(J679+J680+J681)&gt;0.001),J687/(J679+J680+J681),"")</f>
        <v>4.72673810497271</v>
      </c>
      <c r="K688" s="12" t="str">
        <f aca="false">IF(AND(K$43&gt;=1,(K679+K680+K681)&gt;0.001),K687/(K679+K680+K681),"")</f>
        <v/>
      </c>
      <c r="L688" s="12" t="str">
        <f aca="false">IF(AND(L$43&gt;=1,(L679+L680+L681)&gt;0.001),L687/(L679+L680+L681),"")</f>
        <v/>
      </c>
    </row>
    <row r="690" customFormat="false" ht="15" hidden="false" customHeight="false" outlineLevel="0" collapsed="false">
      <c r="A690" s="43" t="s">
        <v>1176</v>
      </c>
      <c r="B690" s="44"/>
      <c r="C690" s="44"/>
      <c r="D690" s="44"/>
      <c r="E690" s="44"/>
      <c r="F690" s="44"/>
      <c r="G690" s="44"/>
      <c r="H690" s="44"/>
      <c r="I690" s="44"/>
      <c r="J690" s="44"/>
      <c r="K690" s="44"/>
      <c r="L690" s="44"/>
    </row>
    <row r="691" customFormat="false" ht="15" hidden="true" customHeight="false" outlineLevel="1" collapsed="false">
      <c r="A691" s="9" t="s">
        <v>405</v>
      </c>
      <c r="B691" s="56" t="n">
        <f aca="false">CHOOSE($Q$15,Entorno!B$7,Entorno!B$8,Entorno!B$9)</f>
        <v>0.06</v>
      </c>
      <c r="C691" s="56" t="n">
        <f aca="false">CHOOSE($Q$15,Entorno!C$7,Entorno!C$8,Entorno!C$9)</f>
        <v>0.05</v>
      </c>
      <c r="D691" s="56" t="n">
        <f aca="false">CHOOSE($Q$15,Entorno!D$7,Entorno!D$8,Entorno!D$9)</f>
        <v>0.045</v>
      </c>
      <c r="E691" s="56" t="n">
        <f aca="false">CHOOSE($Q$15,Entorno!E$7,Entorno!E$8,Entorno!E$9)</f>
        <v>0.04</v>
      </c>
      <c r="F691" s="56" t="n">
        <f aca="false">CHOOSE($Q$15,Entorno!F$7,Entorno!F$8,Entorno!F$9)</f>
        <v>0.04</v>
      </c>
      <c r="G691" s="56" t="n">
        <f aca="false">CHOOSE($Q$15,Entorno!G$7,Entorno!G$8,Entorno!G$9)</f>
        <v>0.04</v>
      </c>
      <c r="H691" s="56" t="n">
        <f aca="false">CHOOSE($Q$15,Entorno!H$7,Entorno!H$8,Entorno!H$9)</f>
        <v>0.04</v>
      </c>
      <c r="I691" s="56" t="n">
        <f aca="false">CHOOSE($Q$15,Entorno!I$7,Entorno!I$8,Entorno!I$9)</f>
        <v>0.04</v>
      </c>
      <c r="J691" s="56" t="n">
        <f aca="false">CHOOSE($Q$15,Entorno!J$7,Entorno!J$8,Entorno!J$9)</f>
        <v>0.04</v>
      </c>
      <c r="K691" s="56" t="n">
        <f aca="false">CHOOSE($Q$15,Entorno!K$7,Entorno!K$8,Entorno!K$9)</f>
        <v>0.04</v>
      </c>
      <c r="L691" s="56" t="n">
        <f aca="false">CHOOSE($Q$15,Entorno!L$7,Entorno!L$8,Entorno!L$9)</f>
        <v>0.04</v>
      </c>
    </row>
    <row r="692" customFormat="false" ht="15" hidden="true" customHeight="false" outlineLevel="1" collapsed="false">
      <c r="A692" s="9" t="s">
        <v>406</v>
      </c>
      <c r="B692" s="57" t="n">
        <f aca="false">1+B691</f>
        <v>1.06</v>
      </c>
      <c r="C692" s="57" t="n">
        <f aca="false">B692*(1+C691)</f>
        <v>1.113</v>
      </c>
      <c r="D692" s="57" t="n">
        <f aca="false">C692*(1+D691)</f>
        <v>1.163085</v>
      </c>
      <c r="E692" s="57" t="n">
        <f aca="false">D692*(1+E691)</f>
        <v>1.2096084</v>
      </c>
      <c r="F692" s="57" t="n">
        <f aca="false">E692*(1+F691)</f>
        <v>1.257992736</v>
      </c>
      <c r="G692" s="57" t="n">
        <f aca="false">F692*(1+G691)</f>
        <v>1.30831244544</v>
      </c>
      <c r="H692" s="57" t="n">
        <f aca="false">G692*(1+H691)</f>
        <v>1.3606449432576</v>
      </c>
      <c r="I692" s="57" t="n">
        <f aca="false">H692*(1+I691)</f>
        <v>1.4150707409879</v>
      </c>
      <c r="J692" s="57" t="n">
        <f aca="false">I692*(1+J691)</f>
        <v>1.47167357062742</v>
      </c>
      <c r="K692" s="57" t="n">
        <f aca="false">J692*(1+K691)</f>
        <v>1.53054051345252</v>
      </c>
      <c r="L692" s="57" t="n">
        <f aca="false">K692*(1+L691)</f>
        <v>1.59176213399062</v>
      </c>
    </row>
    <row r="693" customFormat="false" ht="15" hidden="true" customHeight="false" outlineLevel="1" collapsed="false">
      <c r="A693" s="9" t="s">
        <v>407</v>
      </c>
      <c r="B693" s="57" t="n">
        <f aca="false">(1+$Q$16)/(1+B691)</f>
        <v>1.02358490566038</v>
      </c>
      <c r="C693" s="57" t="n">
        <f aca="false">B693*(1+Entorno!$B$13)</f>
        <v>1.02870283018868</v>
      </c>
      <c r="D693" s="57" t="n">
        <f aca="false">C693*(1+Entorno!$B$13)</f>
        <v>1.03384634433962</v>
      </c>
      <c r="E693" s="57" t="n">
        <f aca="false">D693*(1+Entorno!$B$13)</f>
        <v>1.03901557606132</v>
      </c>
      <c r="F693" s="57" t="n">
        <f aca="false">E693*(1+Entorno!$B$13)</f>
        <v>1.04421065394163</v>
      </c>
      <c r="G693" s="57" t="n">
        <f aca="false">F693*(1+Entorno!$B$13)</f>
        <v>1.04943170721133</v>
      </c>
      <c r="H693" s="57" t="n">
        <f aca="false">G693*(1+Entorno!$B$13)</f>
        <v>1.05467886574739</v>
      </c>
      <c r="I693" s="57" t="n">
        <f aca="false">H693*(1+Entorno!$B$13)</f>
        <v>1.05995226007613</v>
      </c>
      <c r="J693" s="57" t="n">
        <f aca="false">I693*(1+Entorno!$B$13)</f>
        <v>1.06525202137651</v>
      </c>
      <c r="K693" s="57" t="n">
        <f aca="false">J693*(1+Entorno!$B$13)</f>
        <v>1.07057828148339</v>
      </c>
      <c r="L693" s="57" t="n">
        <f aca="false">K693*(1+Entorno!$B$13)</f>
        <v>1.07593117289081</v>
      </c>
    </row>
    <row r="694" customFormat="false" ht="15" hidden="true" customHeight="false" outlineLevel="1" collapsed="false">
      <c r="A694" s="9" t="s">
        <v>408</v>
      </c>
      <c r="B694" s="57" t="n">
        <f aca="false">1/B692</f>
        <v>0.943396226415094</v>
      </c>
      <c r="C694" s="57" t="n">
        <f aca="false">1/C692</f>
        <v>0.898472596585804</v>
      </c>
      <c r="D694" s="57" t="n">
        <f aca="false">1/D692</f>
        <v>0.859782389077324</v>
      </c>
      <c r="E694" s="57" t="n">
        <f aca="false">1/E692</f>
        <v>0.826713835651273</v>
      </c>
      <c r="F694" s="57" t="n">
        <f aca="false">1/F692</f>
        <v>0.794917149664686</v>
      </c>
      <c r="G694" s="57" t="n">
        <f aca="false">1/G692</f>
        <v>0.764343413139121</v>
      </c>
      <c r="H694" s="57" t="n">
        <f aca="false">1/H692</f>
        <v>0.734945589556847</v>
      </c>
      <c r="I694" s="57" t="n">
        <f aca="false">1/I692</f>
        <v>0.706678451496968</v>
      </c>
      <c r="J694" s="57" t="n">
        <f aca="false">1/J692</f>
        <v>0.679498511054777</v>
      </c>
      <c r="K694" s="57" t="n">
        <f aca="false">1/K692</f>
        <v>0.653363952937286</v>
      </c>
      <c r="L694" s="57" t="n">
        <f aca="false">1/L692</f>
        <v>0.628234570132006</v>
      </c>
    </row>
    <row r="695" customFormat="false" ht="15" hidden="true" customHeight="false" outlineLevel="1" collapsed="false">
      <c r="A695" s="6" t="s">
        <v>323</v>
      </c>
      <c r="B695" s="29" t="n">
        <f aca="false">IF(B$43=0,Quesería!$F$92,IF(B$43=1,Quesería!$F$93*$Q$21,0))*$Q$11</f>
        <v>930.800239431677</v>
      </c>
      <c r="C695" s="29" t="n">
        <f aca="false">IF(C$43=0,Quesería!$F$92,IF(C$43=1,Quesería!$F$93*$Q$21,0))*$Q$11</f>
        <v>758.469066674498</v>
      </c>
      <c r="D695" s="29" t="n">
        <f aca="false">IF(D$43=0,Quesería!$F$92,IF(D$43=1,Quesería!$F$93*$Q$21,0))*$Q$11</f>
        <v>0</v>
      </c>
      <c r="E695" s="29" t="n">
        <f aca="false">IF(E$43=0,Quesería!$F$92,IF(E$43=1,Quesería!$F$93*$Q$21,0))*$Q$11</f>
        <v>0</v>
      </c>
      <c r="F695" s="29" t="n">
        <f aca="false">IF(F$43=0,Quesería!$F$92,IF(F$43=1,Quesería!$F$93*$Q$21,0))*$Q$11</f>
        <v>0</v>
      </c>
      <c r="G695" s="29" t="n">
        <f aca="false">IF(G$43=0,Quesería!$F$92,IF(G$43=1,Quesería!$F$93*$Q$21,0))*$Q$11</f>
        <v>0</v>
      </c>
      <c r="H695" s="29" t="n">
        <f aca="false">IF(H$43=0,Quesería!$F$92,IF(H$43=1,Quesería!$F$93*$Q$21,0))*$Q$11</f>
        <v>0</v>
      </c>
      <c r="I695" s="29" t="n">
        <f aca="false">IF(I$43=0,Quesería!$F$92,IF(I$43=1,Quesería!$F$93*$Q$21,0))*$Q$11</f>
        <v>0</v>
      </c>
      <c r="J695" s="29" t="n">
        <f aca="false">IF(J$43=0,Quesería!$F$92,IF(J$43=1,Quesería!$F$93*$Q$21,0))*$Q$11</f>
        <v>0</v>
      </c>
      <c r="K695" s="29" t="n">
        <f aca="false">IF(K$43=0,Quesería!$F$92,IF(K$43=1,Quesería!$F$93*$Q$21,0))*$Q$11</f>
        <v>0</v>
      </c>
      <c r="L695" s="29" t="n">
        <f aca="false">IF(L$43=0,Quesería!$F$92,IF(L$43=1,Quesería!$F$93*$Q$21,0))*$Q$11</f>
        <v>0</v>
      </c>
    </row>
    <row r="696" customFormat="false" ht="15" hidden="true" customHeight="false" outlineLevel="1" collapsed="false">
      <c r="A696" s="6" t="s">
        <v>409</v>
      </c>
      <c r="B696" s="29" t="n">
        <f aca="false">IF(B$43=5,Quesería!$F$99,IF(B$43=6,Quesería!$F$100,0))*$Q$11</f>
        <v>0</v>
      </c>
      <c r="C696" s="29" t="n">
        <f aca="false">IF(C$43=5,Quesería!$F$99,IF(C$43=6,Quesería!$F$100,0))*$Q$11</f>
        <v>0</v>
      </c>
      <c r="D696" s="29" t="n">
        <f aca="false">IF(D$43=5,Quesería!$F$99,IF(D$43=6,Quesería!$F$100,0))*$Q$11</f>
        <v>0</v>
      </c>
      <c r="E696" s="29" t="n">
        <f aca="false">IF(E$43=5,Quesería!$F$99,IF(E$43=6,Quesería!$F$100,0))*$Q$11</f>
        <v>0</v>
      </c>
      <c r="F696" s="29" t="n">
        <f aca="false">IF(F$43=5,Quesería!$F$99,IF(F$43=6,Quesería!$F$100,0))*$Q$11</f>
        <v>0</v>
      </c>
      <c r="G696" s="29" t="n">
        <f aca="false">IF(G$43=5,Quesería!$F$99,IF(G$43=6,Quesería!$F$100,0))*$Q$11</f>
        <v>27.4652172688735</v>
      </c>
      <c r="H696" s="29" t="n">
        <f aca="false">IF(H$43=5,Quesería!$F$99,IF(H$43=6,Quesería!$F$100,0))*$Q$11</f>
        <v>46.3891557109552</v>
      </c>
      <c r="I696" s="29" t="n">
        <f aca="false">IF(I$43=5,Quesería!$F$99,IF(I$43=6,Quesería!$F$100,0))*$Q$11</f>
        <v>0</v>
      </c>
      <c r="J696" s="29" t="n">
        <f aca="false">IF(J$43=5,Quesería!$F$99,IF(J$43=6,Quesería!$F$100,0))*$Q$11</f>
        <v>0</v>
      </c>
      <c r="K696" s="29" t="n">
        <f aca="false">IF(K$43=5,Quesería!$F$99,IF(K$43=6,Quesería!$F$100,0))*$Q$11</f>
        <v>0</v>
      </c>
      <c r="L696" s="29" t="n">
        <f aca="false">IF(L$43=5,Quesería!$F$99,IF(L$43=6,Quesería!$F$100,0))*$Q$11</f>
        <v>0</v>
      </c>
    </row>
    <row r="697" customFormat="false" ht="15" hidden="true" customHeight="false" outlineLevel="1" collapsed="false">
      <c r="A697" s="6" t="s">
        <v>410</v>
      </c>
      <c r="B697" s="29" t="n">
        <f aca="false">Quesería!$B$55*(IF(B$43=0,SUMPRODUCT((Quesería!$C$70:$C$89=0)*(Quesería!$H$70:$H$89&gt;0)*(Quesería!$J$70:$J$89&gt;0)*Quesería!$F$70:$F$89*(1+Quesería!$I$70:$I$89)),IF(B$43=1,SUMPRODUCT((Quesería!$C$70:$C$89=1)*(Quesería!$H$70:$H$89&gt;0)*(Quesería!$J$70:$J$89&gt;0)*Quesería!$F$70:$F$89*(1+Quesería!$I$70:$I$89))*$Q$21,0))*$Q$11+B696)</f>
        <v>149.115671560178</v>
      </c>
      <c r="C697" s="29" t="n">
        <f aca="false">Quesería!$B$55*(IF(C$43=0,SUMPRODUCT((Quesería!$C$70:$C$89=0)*(Quesería!$H$70:$H$89&gt;0)*(Quesería!$J$70:$J$89&gt;0)*Quesería!$F$70:$F$89*(1+Quesería!$I$70:$I$89)),IF(C$43=1,SUMPRODUCT((Quesería!$C$70:$C$89=1)*(Quesería!$H$70:$H$89&gt;0)*(Quesería!$J$70:$J$89&gt;0)*Quesería!$F$70:$F$89*(1+Quesería!$I$70:$I$89))*$Q$21,0))*$Q$11+C696)</f>
        <v>144.109122668155</v>
      </c>
      <c r="D697" s="29" t="n">
        <f aca="false">Quesería!$B$55*(IF(D$43=0,SUMPRODUCT((Quesería!$C$70:$C$89=0)*(Quesería!$H$70:$H$89&gt;0)*(Quesería!$J$70:$J$89&gt;0)*Quesería!$F$70:$F$89*(1+Quesería!$I$70:$I$89)),IF(D$43=1,SUMPRODUCT((Quesería!$C$70:$C$89=1)*(Quesería!$H$70:$H$89&gt;0)*(Quesería!$J$70:$J$89&gt;0)*Quesería!$F$70:$F$89*(1+Quesería!$I$70:$I$89))*$Q$21,0))*$Q$11+D696)</f>
        <v>0</v>
      </c>
      <c r="E697" s="29" t="n">
        <f aca="false">Quesería!$B$55*(IF(E$43=0,SUMPRODUCT((Quesería!$C$70:$C$89=0)*(Quesería!$H$70:$H$89&gt;0)*(Quesería!$J$70:$J$89&gt;0)*Quesería!$F$70:$F$89*(1+Quesería!$I$70:$I$89)),IF(E$43=1,SUMPRODUCT((Quesería!$C$70:$C$89=1)*(Quesería!$H$70:$H$89&gt;0)*(Quesería!$J$70:$J$89&gt;0)*Quesería!$F$70:$F$89*(1+Quesería!$I$70:$I$89))*$Q$21,0))*$Q$11+E696)</f>
        <v>0</v>
      </c>
      <c r="F697" s="29" t="n">
        <f aca="false">Quesería!$B$55*(IF(F$43=0,SUMPRODUCT((Quesería!$C$70:$C$89=0)*(Quesería!$H$70:$H$89&gt;0)*(Quesería!$J$70:$J$89&gt;0)*Quesería!$F$70:$F$89*(1+Quesería!$I$70:$I$89)),IF(F$43=1,SUMPRODUCT((Quesería!$C$70:$C$89=1)*(Quesería!$H$70:$H$89&gt;0)*(Quesería!$J$70:$J$89&gt;0)*Quesería!$F$70:$F$89*(1+Quesería!$I$70:$I$89))*$Q$21,0))*$Q$11+F696)</f>
        <v>0</v>
      </c>
      <c r="G697" s="29" t="n">
        <f aca="false">Quesería!$B$55*(IF(G$43=0,SUMPRODUCT((Quesería!$C$70:$C$89=0)*(Quesería!$H$70:$H$89&gt;0)*(Quesería!$J$70:$J$89&gt;0)*Quesería!$F$70:$F$89*(1+Quesería!$I$70:$I$89)),IF(G$43=1,SUMPRODUCT((Quesería!$C$70:$C$89=1)*(Quesería!$H$70:$H$89&gt;0)*(Quesería!$J$70:$J$89&gt;0)*Quesería!$F$70:$F$89*(1+Quesería!$I$70:$I$89))*$Q$21,0))*$Q$11+G696)</f>
        <v>5.21839128108597</v>
      </c>
      <c r="H697" s="29" t="n">
        <f aca="false">Quesería!$B$55*(IF(H$43=0,SUMPRODUCT((Quesería!$C$70:$C$89=0)*(Quesería!$H$70:$H$89&gt;0)*(Quesería!$J$70:$J$89&gt;0)*Quesería!$F$70:$F$89*(1+Quesería!$I$70:$I$89)),IF(H$43=1,SUMPRODUCT((Quesería!$C$70:$C$89=1)*(Quesería!$H$70:$H$89&gt;0)*(Quesería!$J$70:$J$89&gt;0)*Quesería!$F$70:$F$89*(1+Quesería!$I$70:$I$89))*$Q$21,0))*$Q$11+H696)</f>
        <v>8.8139395850815</v>
      </c>
      <c r="I697" s="29" t="n">
        <f aca="false">Quesería!$B$55*(IF(I$43=0,SUMPRODUCT((Quesería!$C$70:$C$89=0)*(Quesería!$H$70:$H$89&gt;0)*(Quesería!$J$70:$J$89&gt;0)*Quesería!$F$70:$F$89*(1+Quesería!$I$70:$I$89)),IF(I$43=1,SUMPRODUCT((Quesería!$C$70:$C$89=1)*(Quesería!$H$70:$H$89&gt;0)*(Quesería!$J$70:$J$89&gt;0)*Quesería!$F$70:$F$89*(1+Quesería!$I$70:$I$89))*$Q$21,0))*$Q$11+I696)</f>
        <v>0</v>
      </c>
      <c r="J697" s="29" t="n">
        <f aca="false">Quesería!$B$55*(IF(J$43=0,SUMPRODUCT((Quesería!$C$70:$C$89=0)*(Quesería!$H$70:$H$89&gt;0)*(Quesería!$J$70:$J$89&gt;0)*Quesería!$F$70:$F$89*(1+Quesería!$I$70:$I$89)),IF(J$43=1,SUMPRODUCT((Quesería!$C$70:$C$89=1)*(Quesería!$H$70:$H$89&gt;0)*(Quesería!$J$70:$J$89&gt;0)*Quesería!$F$70:$F$89*(1+Quesería!$I$70:$I$89))*$Q$21,0))*$Q$11+J696)</f>
        <v>0</v>
      </c>
      <c r="K697" s="29" t="n">
        <f aca="false">Quesería!$B$55*(IF(K$43=0,SUMPRODUCT((Quesería!$C$70:$C$89=0)*(Quesería!$H$70:$H$89&gt;0)*(Quesería!$J$70:$J$89&gt;0)*Quesería!$F$70:$F$89*(1+Quesería!$I$70:$I$89)),IF(K$43=1,SUMPRODUCT((Quesería!$C$70:$C$89=1)*(Quesería!$H$70:$H$89&gt;0)*(Quesería!$J$70:$J$89&gt;0)*Quesería!$F$70:$F$89*(1+Quesería!$I$70:$I$89))*$Q$21,0))*$Q$11+K696)</f>
        <v>0</v>
      </c>
      <c r="L697" s="29" t="n">
        <f aca="false">Quesería!$B$55*(IF(L$43=0,SUMPRODUCT((Quesería!$C$70:$C$89=0)*(Quesería!$H$70:$H$89&gt;0)*(Quesería!$J$70:$J$89&gt;0)*Quesería!$F$70:$F$89*(1+Quesería!$I$70:$I$89)),IF(L$43=1,SUMPRODUCT((Quesería!$C$70:$C$89=1)*(Quesería!$H$70:$H$89&gt;0)*(Quesería!$J$70:$J$89&gt;0)*Quesería!$F$70:$F$89*(1+Quesería!$I$70:$I$89))*$Q$21,0))*$Q$11+L696)</f>
        <v>0</v>
      </c>
    </row>
    <row r="698" customFormat="false" ht="15" hidden="true" customHeight="false" outlineLevel="1" collapsed="false">
      <c r="A698" s="6" t="s">
        <v>385</v>
      </c>
      <c r="B698" s="29" t="n">
        <f aca="false">IF(B$43=0,($Q$22*Quesería!$J$125+(1-$Q$22)*Quesería!$E$121)*Quesería!$B$20*Quesería!$B$21/12*$Q$23,(($Q$22*Quesería!$J$125+(1-$Q$22)*Quesería!$E$121)+($Q$22*Quesería!$J$104+(1-$Q$22)*Quesería!$E$104)*(B693-1))*IF(B$43=1,Quesería!$B$20,1))*$Q$10</f>
        <v>120.716772261203</v>
      </c>
      <c r="C698" s="29" t="n">
        <f aca="false">IF(C$43=0,($Q$22*Quesería!$J$125+(1-$Q$22)*Quesería!$E$121)*Quesería!$B$20*Quesería!$B$21/12*$Q$23,(($Q$22*Quesería!$J$125+(1-$Q$22)*Quesería!$E$121)+($Q$22*Quesería!$J$104+(1-$Q$22)*Quesería!$E$104)*(C693-1))*IF(C$43=1,Quesería!$B$20,1))*$Q$10</f>
        <v>181.328317354069</v>
      </c>
      <c r="D698" s="29" t="n">
        <f aca="false">IF(D$43=0,($Q$22*Quesería!$J$125+(1-$Q$22)*Quesería!$E$121)*Quesería!$B$20*Quesería!$B$21/12*$Q$23,(($Q$22*Quesería!$J$125+(1-$Q$22)*Quesería!$E$121)+($Q$22*Quesería!$J$104+(1-$Q$22)*Quesería!$E$104)*(D693-1))*IF(D$43=1,Quesería!$B$20,1))*$Q$10</f>
        <v>241.83157753184</v>
      </c>
      <c r="E698" s="29" t="n">
        <f aca="false">IF(E$43=0,($Q$22*Quesería!$J$125+(1-$Q$22)*Quesería!$E$121)*Quesería!$B$20*Quesería!$B$21/12*$Q$23,(($Q$22*Quesería!$J$125+(1-$Q$22)*Quesería!$E$121)+($Q$22*Quesería!$J$104+(1-$Q$22)*Quesería!$E$104)*(E693-1))*IF(E$43=1,Quesería!$B$20,1))*$Q$10</f>
        <v>241.892367696887</v>
      </c>
      <c r="F698" s="29" t="n">
        <f aca="false">IF(F$43=0,($Q$22*Quesería!$J$125+(1-$Q$22)*Quesería!$E$121)*Quesería!$B$20*Quesería!$B$21/12*$Q$23,(($Q$22*Quesería!$J$125+(1-$Q$22)*Quesería!$E$121)+($Q$22*Quesería!$J$104+(1-$Q$22)*Quesería!$E$104)*(F693-1))*IF(F$43=1,Quesería!$B$20,1))*$Q$10</f>
        <v>241.95346181276</v>
      </c>
      <c r="G698" s="29" t="n">
        <f aca="false">IF(G$43=0,($Q$22*Quesería!$J$125+(1-$Q$22)*Quesería!$E$121)*Quesería!$B$20*Quesería!$B$21/12*$Q$23,(($Q$22*Quesería!$J$125+(1-$Q$22)*Quesería!$E$121)+($Q$22*Quesería!$J$104+(1-$Q$22)*Quesería!$E$104)*(G693-1))*IF(G$43=1,Quesería!$B$20,1))*$Q$10</f>
        <v>242.014861399211</v>
      </c>
      <c r="H698" s="29" t="n">
        <f aca="false">IF(H$43=0,($Q$22*Quesería!$J$125+(1-$Q$22)*Quesería!$E$121)*Quesería!$B$20*Quesería!$B$21/12*$Q$23,(($Q$22*Quesería!$J$125+(1-$Q$22)*Quesería!$E$121)+($Q$22*Quesería!$J$104+(1-$Q$22)*Quesería!$E$104)*(H693-1))*IF(H$43=1,Quesería!$B$20,1))*$Q$10</f>
        <v>242.076567983595</v>
      </c>
      <c r="I698" s="29" t="n">
        <f aca="false">IF(I$43=0,($Q$22*Quesería!$J$125+(1-$Q$22)*Quesería!$E$121)*Quesería!$B$20*Quesería!$B$21/12*$Q$23,(($Q$22*Quesería!$J$125+(1-$Q$22)*Quesería!$E$121)+($Q$22*Quesería!$J$104+(1-$Q$22)*Quesería!$E$104)*(I693-1))*IF(I$43=1,Quesería!$B$20,1))*$Q$10</f>
        <v>242.138583100901</v>
      </c>
      <c r="J698" s="29" t="n">
        <f aca="false">IF(J$43=0,($Q$22*Quesería!$J$125+(1-$Q$22)*Quesería!$E$121)*Quesería!$B$20*Quesería!$B$21/12*$Q$23,(($Q$22*Quesería!$J$125+(1-$Q$22)*Quesería!$E$121)+($Q$22*Quesería!$J$104+(1-$Q$22)*Quesería!$E$104)*(J693-1))*IF(J$43=1,Quesería!$B$20,1))*$Q$10</f>
        <v>242.200908293794</v>
      </c>
      <c r="K698" s="29" t="n">
        <f aca="false">IF(K$43=0,($Q$22*Quesería!$J$125+(1-$Q$22)*Quesería!$E$121)*Quesería!$B$20*Quesería!$B$21/12*$Q$23,(($Q$22*Quesería!$J$125+(1-$Q$22)*Quesería!$E$121)+($Q$22*Quesería!$J$104+(1-$Q$22)*Quesería!$E$104)*(K693-1))*IF(K$43=1,Quesería!$B$20,1))*$Q$10</f>
        <v>242.263545112651</v>
      </c>
      <c r="L698" s="29" t="n">
        <f aca="false">IF(L$43=0,($Q$22*Quesería!$J$125+(1-$Q$22)*Quesería!$E$121)*Quesería!$B$20*Quesería!$B$21/12*$Q$23,(($Q$22*Quesería!$J$125+(1-$Q$22)*Quesería!$E$121)+($Q$22*Quesería!$J$104+(1-$Q$22)*Quesería!$E$104)*(L693-1))*IF(L$43=1,Quesería!$B$20,1))*$Q$10</f>
        <v>242.326495115602</v>
      </c>
    </row>
    <row r="699" customFormat="false" ht="15" hidden="true" customHeight="false" outlineLevel="1" collapsed="false">
      <c r="A699" s="6" t="s">
        <v>386</v>
      </c>
      <c r="B699" s="29" t="n">
        <f aca="false">IF(B$43&lt;=1,0,((($Q$22*Quesería!$J$126+(1-$Q$22)*Quesería!$E$122)-($Q$22*Quesería!$J$113+(1-$Q$22)*Quesería!$E$113)+$Q$6*($Q$22*Quesería!$J$113+(1-$Q$22)*Quesería!$E$113)-(1-$Q$9)*(($Q$22*Quesería!$J$118+(1-$Q$22)*Quesería!$E$118)+($Q$22*Quesería!$J$117+(1-$Q$22)*Quesería!$E$117)))+($Q$6*($Q$22*Quesería!$J$113+(1-$Q$22)*Quesería!$E$113)+$Q$9*($Q$22*Quesería!$J$118+(1-$Q$22)*Quesería!$E$118))*(B693-1))*IF(B$43=2,Quesería!$B$20,1)+IF(B$43=2,Quesería!$B$24*$Q$9*($Q$22*Quesería!$J$118+(1-$Q$22)*Quesería!$E$118)*B693,0))*$Q$10*$Q$21</f>
        <v>0</v>
      </c>
      <c r="C699" s="29" t="n">
        <f aca="false">IF(C$43&lt;=1,0,((($Q$22*Quesería!$J$126+(1-$Q$22)*Quesería!$E$122)-($Q$22*Quesería!$J$113+(1-$Q$22)*Quesería!$E$113)+$Q$6*($Q$22*Quesería!$J$113+(1-$Q$22)*Quesería!$E$113)-(1-$Q$9)*(($Q$22*Quesería!$J$118+(1-$Q$22)*Quesería!$E$118)+($Q$22*Quesería!$J$117+(1-$Q$22)*Quesería!$E$117)))+($Q$6*($Q$22*Quesería!$J$113+(1-$Q$22)*Quesería!$E$113)+$Q$9*($Q$22*Quesería!$J$118+(1-$Q$22)*Quesería!$E$118))*(C693-1))*IF(C$43=2,Quesería!$B$20,1)+IF(C$43=2,Quesería!$B$24*$Q$9*($Q$22*Quesería!$J$118+(1-$Q$22)*Quesería!$E$118)*C693,0))*$Q$10*$Q$21</f>
        <v>0</v>
      </c>
      <c r="D699" s="29" t="n">
        <f aca="false">IF(D$43&lt;=1,0,((($Q$22*Quesería!$J$126+(1-$Q$22)*Quesería!$E$122)-($Q$22*Quesería!$J$113+(1-$Q$22)*Quesería!$E$113)+$Q$6*($Q$22*Quesería!$J$113+(1-$Q$22)*Quesería!$E$113)-(1-$Q$9)*(($Q$22*Quesería!$J$118+(1-$Q$22)*Quesería!$E$118)+($Q$22*Quesería!$J$117+(1-$Q$22)*Quesería!$E$117)))+($Q$6*($Q$22*Quesería!$J$113+(1-$Q$22)*Quesería!$E$113)+$Q$9*($Q$22*Quesería!$J$118+(1-$Q$22)*Quesería!$E$118))*(D693-1))*IF(D$43=2,Quesería!$B$20,1)+IF(D$43=2,Quesería!$B$24*$Q$9*($Q$22*Quesería!$J$118+(1-$Q$22)*Quesería!$E$118)*D693,0))*$Q$10*$Q$21</f>
        <v>235.201505618611</v>
      </c>
      <c r="E699" s="29" t="n">
        <f aca="false">IF(E$43&lt;=1,0,((($Q$22*Quesería!$J$126+(1-$Q$22)*Quesería!$E$122)-($Q$22*Quesería!$J$113+(1-$Q$22)*Quesería!$E$113)+$Q$6*($Q$22*Quesería!$J$113+(1-$Q$22)*Quesería!$E$113)-(1-$Q$9)*(($Q$22*Quesería!$J$118+(1-$Q$22)*Quesería!$E$118)+($Q$22*Quesería!$J$117+(1-$Q$22)*Quesería!$E$117)))+($Q$6*($Q$22*Quesería!$J$113+(1-$Q$22)*Quesería!$E$113)+$Q$9*($Q$22*Quesería!$J$118+(1-$Q$22)*Quesería!$E$118))*(E693-1))*IF(E$43=2,Quesería!$B$20,1)+IF(E$43=2,Quesería!$B$24*$Q$9*($Q$22*Quesería!$J$118+(1-$Q$22)*Quesería!$E$118)*E693,0))*$Q$10*$Q$21</f>
        <v>298.96150264002</v>
      </c>
      <c r="F699" s="29" t="n">
        <f aca="false">IF(F$43&lt;=1,0,((($Q$22*Quesería!$J$126+(1-$Q$22)*Quesería!$E$122)-($Q$22*Quesería!$J$113+(1-$Q$22)*Quesería!$E$113)+$Q$6*($Q$22*Quesería!$J$113+(1-$Q$22)*Quesería!$E$113)-(1-$Q$9)*(($Q$22*Quesería!$J$118+(1-$Q$22)*Quesería!$E$118)+($Q$22*Quesería!$J$117+(1-$Q$22)*Quesería!$E$117)))+($Q$6*($Q$22*Quesería!$J$113+(1-$Q$22)*Quesería!$E$113)+$Q$9*($Q$22*Quesería!$J$118+(1-$Q$22)*Quesería!$E$118))*(F693-1))*IF(F$43=2,Quesería!$B$20,1)+IF(F$43=2,Quesería!$B$24*$Q$9*($Q$22*Quesería!$J$118+(1-$Q$22)*Quesería!$E$118)*F693,0))*$Q$10*$Q$21</f>
        <v>299.209619559583</v>
      </c>
      <c r="G699" s="29" t="n">
        <f aca="false">IF(G$43&lt;=1,0,((($Q$22*Quesería!$J$126+(1-$Q$22)*Quesería!$E$122)-($Q$22*Quesería!$J$113+(1-$Q$22)*Quesería!$E$113)+$Q$6*($Q$22*Quesería!$J$113+(1-$Q$22)*Quesería!$E$113)-(1-$Q$9)*(($Q$22*Quesería!$J$118+(1-$Q$22)*Quesería!$E$118)+($Q$22*Quesería!$J$117+(1-$Q$22)*Quesería!$E$117)))+($Q$6*($Q$22*Quesería!$J$113+(1-$Q$22)*Quesería!$E$113)+$Q$9*($Q$22*Quesería!$J$118+(1-$Q$22)*Quesería!$E$118))*(G693-1))*IF(G$43=2,Quesería!$B$20,1)+IF(G$43=2,Quesería!$B$24*$Q$9*($Q$22*Quesería!$J$118+(1-$Q$22)*Quesería!$E$118)*G693,0))*$Q$10*$Q$21</f>
        <v>299.458977063744</v>
      </c>
      <c r="H699" s="29" t="n">
        <f aca="false">IF(H$43&lt;=1,0,((($Q$22*Quesería!$J$126+(1-$Q$22)*Quesería!$E$122)-($Q$22*Quesería!$J$113+(1-$Q$22)*Quesería!$E$113)+$Q$6*($Q$22*Quesería!$J$113+(1-$Q$22)*Quesería!$E$113)-(1-$Q$9)*(($Q$22*Quesería!$J$118+(1-$Q$22)*Quesería!$E$118)+($Q$22*Quesería!$J$117+(1-$Q$22)*Quesería!$E$117)))+($Q$6*($Q$22*Quesería!$J$113+(1-$Q$22)*Quesería!$E$113)+$Q$9*($Q$22*Quesería!$J$118+(1-$Q$22)*Quesería!$E$118))*(H693-1))*IF(H$43=2,Quesería!$B$20,1)+IF(H$43=2,Quesería!$B$24*$Q$9*($Q$22*Quesería!$J$118+(1-$Q$22)*Quesería!$E$118)*H693,0))*$Q$10*$Q$21</f>
        <v>299.709581355426</v>
      </c>
      <c r="I699" s="29" t="n">
        <f aca="false">IF(I$43&lt;=1,0,((($Q$22*Quesería!$J$126+(1-$Q$22)*Quesería!$E$122)-($Q$22*Quesería!$J$113+(1-$Q$22)*Quesería!$E$113)+$Q$6*($Q$22*Quesería!$J$113+(1-$Q$22)*Quesería!$E$113)-(1-$Q$9)*(($Q$22*Quesería!$J$118+(1-$Q$22)*Quesería!$E$118)+($Q$22*Quesería!$J$117+(1-$Q$22)*Quesería!$E$117)))+($Q$6*($Q$22*Quesería!$J$113+(1-$Q$22)*Quesería!$E$113)+$Q$9*($Q$22*Quesería!$J$118+(1-$Q$22)*Quesería!$E$118))*(I693-1))*IF(I$43=2,Quesería!$B$20,1)+IF(I$43=2,Quesería!$B$24*$Q$9*($Q$22*Quesería!$J$118+(1-$Q$22)*Quesería!$E$118)*I693,0))*$Q$10*$Q$21</f>
        <v>299.961438668567</v>
      </c>
      <c r="J699" s="29" t="n">
        <f aca="false">IF(J$43&lt;=1,0,((($Q$22*Quesería!$J$126+(1-$Q$22)*Quesería!$E$122)-($Q$22*Quesería!$J$113+(1-$Q$22)*Quesería!$E$113)+$Q$6*($Q$22*Quesería!$J$113+(1-$Q$22)*Quesería!$E$113)-(1-$Q$9)*(($Q$22*Quesería!$J$118+(1-$Q$22)*Quesería!$E$118)+($Q$22*Quesería!$J$117+(1-$Q$22)*Quesería!$E$117)))+($Q$6*($Q$22*Quesería!$J$113+(1-$Q$22)*Quesería!$E$113)+$Q$9*($Q$22*Quesería!$J$118+(1-$Q$22)*Quesería!$E$118))*(J693-1))*IF(J$43=2,Quesería!$B$20,1)+IF(J$43=2,Quesería!$B$24*$Q$9*($Q$22*Quesería!$J$118+(1-$Q$22)*Quesería!$E$118)*J693,0))*$Q$10*$Q$21</f>
        <v>300.214555268273</v>
      </c>
      <c r="K699" s="29" t="n">
        <f aca="false">IF(K$43&lt;=1,0,((($Q$22*Quesería!$J$126+(1-$Q$22)*Quesería!$E$122)-($Q$22*Quesería!$J$113+(1-$Q$22)*Quesería!$E$113)+$Q$6*($Q$22*Quesería!$J$113+(1-$Q$22)*Quesería!$E$113)-(1-$Q$9)*(($Q$22*Quesería!$J$118+(1-$Q$22)*Quesería!$E$118)+($Q$22*Quesería!$J$117+(1-$Q$22)*Quesería!$E$117)))+($Q$6*($Q$22*Quesería!$J$113+(1-$Q$22)*Quesería!$E$113)+$Q$9*($Q$22*Quesería!$J$118+(1-$Q$22)*Quesería!$E$118))*(K693-1))*IF(K$43=2,Quesería!$B$20,1)+IF(K$43=2,Quesería!$B$24*$Q$9*($Q$22*Quesería!$J$118+(1-$Q$22)*Quesería!$E$118)*K693,0))*$Q$10*$Q$21</f>
        <v>300.468937450978</v>
      </c>
      <c r="L699" s="29" t="n">
        <f aca="false">IF(L$43&lt;=1,0,((($Q$22*Quesería!$J$126+(1-$Q$22)*Quesería!$E$122)-($Q$22*Quesería!$J$113+(1-$Q$22)*Quesería!$E$113)+$Q$6*($Q$22*Quesería!$J$113+(1-$Q$22)*Quesería!$E$113)-(1-$Q$9)*(($Q$22*Quesería!$J$118+(1-$Q$22)*Quesería!$E$118)+($Q$22*Quesería!$J$117+(1-$Q$22)*Quesería!$E$117)))+($Q$6*($Q$22*Quesería!$J$113+(1-$Q$22)*Quesería!$E$113)+$Q$9*($Q$22*Quesería!$J$118+(1-$Q$22)*Quesería!$E$118))*(L693-1))*IF(L$43=2,Quesería!$B$20,1)+IF(L$43=2,Quesería!$B$24*$Q$9*($Q$22*Quesería!$J$118+(1-$Q$22)*Quesería!$E$118)*L693,0))*$Q$10*$Q$21</f>
        <v>300.724591544596</v>
      </c>
    </row>
    <row r="700" customFormat="false" ht="15" hidden="true" customHeight="false" outlineLevel="1" collapsed="false">
      <c r="A700" s="5" t="s">
        <v>411</v>
      </c>
      <c r="B700" s="10" t="n">
        <f aca="false">B698+B699</f>
        <v>120.716772261203</v>
      </c>
      <c r="C700" s="10" t="n">
        <f aca="false">C698+C699</f>
        <v>181.328317354069</v>
      </c>
      <c r="D700" s="10" t="n">
        <f aca="false">D698+D699</f>
        <v>477.033083150451</v>
      </c>
      <c r="E700" s="10" t="n">
        <f aca="false">E698+E699</f>
        <v>540.853870336907</v>
      </c>
      <c r="F700" s="10" t="n">
        <f aca="false">F698+F699</f>
        <v>541.163081372343</v>
      </c>
      <c r="G700" s="10" t="n">
        <f aca="false">G698+G699</f>
        <v>541.473838462956</v>
      </c>
      <c r="H700" s="10" t="n">
        <f aca="false">H698+H699</f>
        <v>541.786149339022</v>
      </c>
      <c r="I700" s="10" t="n">
        <f aca="false">I698+I699</f>
        <v>542.100021769468</v>
      </c>
      <c r="J700" s="10" t="n">
        <f aca="false">J698+J699</f>
        <v>542.415463562067</v>
      </c>
      <c r="K700" s="10" t="n">
        <f aca="false">K698+K699</f>
        <v>542.732482563628</v>
      </c>
      <c r="L700" s="10" t="n">
        <f aca="false">L698+L699</f>
        <v>543.051086660198</v>
      </c>
    </row>
    <row r="701" customFormat="false" ht="15" hidden="true" customHeight="false" outlineLevel="1" collapsed="false">
      <c r="A701" s="6" t="s">
        <v>412</v>
      </c>
      <c r="B701" s="29" t="n">
        <f aca="false">(IF(B$43&gt;=1,(Quesería!$B$31+Quesería!$B$33)*Quesería!$F$94*$Q$11+Quesería!$B$32+'Beneficios y costos'!$B$211,0)+IF(B$43&gt;=2,((Quesería!$B$31+Quesería!$B$33)*Quesería!$F$95*$Q$11+'Beneficios y costos'!$C$211)*$Q$21,0))*$Q$12</f>
        <v>0</v>
      </c>
      <c r="C701" s="29" t="n">
        <f aca="false">(IF(C$43&gt;=1,(Quesería!$B$31+Quesería!$B$33)*Quesería!$F$94*$Q$11+Quesería!$B$32+'Beneficios y costos'!$B$211,0)+IF(C$43&gt;=2,((Quesería!$B$31+Quesería!$B$33)*Quesería!$F$95*$Q$11+'Beneficios y costos'!$C$211)*$Q$21,0))*$Q$12</f>
        <v>42.0946487260605</v>
      </c>
      <c r="D701" s="29" t="n">
        <f aca="false">(IF(D$43&gt;=1,(Quesería!$B$31+Quesería!$B$33)*Quesería!$F$94*$Q$11+Quesería!$B$32+'Beneficios y costos'!$B$211,0)+IF(D$43&gt;=2,((Quesería!$B$31+Quesería!$B$33)*Quesería!$F$95*$Q$11+'Beneficios y costos'!$C$211)*$Q$21,0))*$Q$12</f>
        <v>95.9432442337815</v>
      </c>
      <c r="E701" s="29" t="n">
        <f aca="false">(IF(E$43&gt;=1,(Quesería!$B$31+Quesería!$B$33)*Quesería!$F$94*$Q$11+Quesería!$B$32+'Beneficios y costos'!$B$211,0)+IF(E$43&gt;=2,((Quesería!$B$31+Quesería!$B$33)*Quesería!$F$95*$Q$11+'Beneficios y costos'!$C$211)*$Q$21,0))*$Q$12</f>
        <v>95.9432442337815</v>
      </c>
      <c r="F701" s="29" t="n">
        <f aca="false">(IF(F$43&gt;=1,(Quesería!$B$31+Quesería!$B$33)*Quesería!$F$94*$Q$11+Quesería!$B$32+'Beneficios y costos'!$B$211,0)+IF(F$43&gt;=2,((Quesería!$B$31+Quesería!$B$33)*Quesería!$F$95*$Q$11+'Beneficios y costos'!$C$211)*$Q$21,0))*$Q$12</f>
        <v>95.9432442337815</v>
      </c>
      <c r="G701" s="29" t="n">
        <f aca="false">(IF(G$43&gt;=1,(Quesería!$B$31+Quesería!$B$33)*Quesería!$F$94*$Q$11+Quesería!$B$32+'Beneficios y costos'!$B$211,0)+IF(G$43&gt;=2,((Quesería!$B$31+Quesería!$B$33)*Quesería!$F$95*$Q$11+'Beneficios y costos'!$C$211)*$Q$21,0))*$Q$12</f>
        <v>95.9432442337815</v>
      </c>
      <c r="H701" s="29" t="n">
        <f aca="false">(IF(H$43&gt;=1,(Quesería!$B$31+Quesería!$B$33)*Quesería!$F$94*$Q$11+Quesería!$B$32+'Beneficios y costos'!$B$211,0)+IF(H$43&gt;=2,((Quesería!$B$31+Quesería!$B$33)*Quesería!$F$95*$Q$11+'Beneficios y costos'!$C$211)*$Q$21,0))*$Q$12</f>
        <v>95.9432442337815</v>
      </c>
      <c r="I701" s="29" t="n">
        <f aca="false">(IF(I$43&gt;=1,(Quesería!$B$31+Quesería!$B$33)*Quesería!$F$94*$Q$11+Quesería!$B$32+'Beneficios y costos'!$B$211,0)+IF(I$43&gt;=2,((Quesería!$B$31+Quesería!$B$33)*Quesería!$F$95*$Q$11+'Beneficios y costos'!$C$211)*$Q$21,0))*$Q$12</f>
        <v>95.9432442337815</v>
      </c>
      <c r="J701" s="29" t="n">
        <f aca="false">(IF(J$43&gt;=1,(Quesería!$B$31+Quesería!$B$33)*Quesería!$F$94*$Q$11+Quesería!$B$32+'Beneficios y costos'!$B$211,0)+IF(J$43&gt;=2,((Quesería!$B$31+Quesería!$B$33)*Quesería!$F$95*$Q$11+'Beneficios y costos'!$C$211)*$Q$21,0))*$Q$12</f>
        <v>95.9432442337815</v>
      </c>
      <c r="K701" s="29" t="n">
        <f aca="false">(IF(K$43&gt;=1,(Quesería!$B$31+Quesería!$B$33)*Quesería!$F$94*$Q$11+Quesería!$B$32+'Beneficios y costos'!$B$211,0)+IF(K$43&gt;=2,((Quesería!$B$31+Quesería!$B$33)*Quesería!$F$95*$Q$11+'Beneficios y costos'!$C$211)*$Q$21,0))*$Q$12</f>
        <v>95.9432442337815</v>
      </c>
      <c r="L701" s="29" t="n">
        <f aca="false">(IF(L$43&gt;=1,(Quesería!$B$31+Quesería!$B$33)*Quesería!$F$94*$Q$11+Quesería!$B$32+'Beneficios y costos'!$B$211,0)+IF(L$43&gt;=2,((Quesería!$B$31+Quesería!$B$33)*Quesería!$F$95*$Q$11+'Beneficios y costos'!$C$211)*$Q$21,0))*$Q$12</f>
        <v>95.9432442337815</v>
      </c>
    </row>
    <row r="702" customFormat="false" ht="15" hidden="true" customHeight="false" outlineLevel="1" collapsed="false">
      <c r="A702" s="6" t="s">
        <v>413</v>
      </c>
      <c r="B702" s="29" t="n">
        <f aca="false">IF(B$43=1,2*Quesería!$B$22*Quesería!$B$23/12*B693,0)*$Q$21</f>
        <v>0</v>
      </c>
      <c r="C702" s="29" t="n">
        <f aca="false">IF(C$43=1,2*Quesería!$B$22*Quesería!$B$23/12*C693,0)*$Q$21</f>
        <v>18.5166509433962</v>
      </c>
      <c r="D702" s="29" t="n">
        <f aca="false">IF(D$43=1,2*Quesería!$B$22*Quesería!$B$23/12*D693,0)*$Q$21</f>
        <v>0</v>
      </c>
      <c r="E702" s="29" t="n">
        <f aca="false">IF(E$43=1,2*Quesería!$B$22*Quesería!$B$23/12*E693,0)*$Q$21</f>
        <v>0</v>
      </c>
      <c r="F702" s="29" t="n">
        <f aca="false">IF(F$43=1,2*Quesería!$B$22*Quesería!$B$23/12*F693,0)*$Q$21</f>
        <v>0</v>
      </c>
      <c r="G702" s="29" t="n">
        <f aca="false">IF(G$43=1,2*Quesería!$B$22*Quesería!$B$23/12*G693,0)*$Q$21</f>
        <v>0</v>
      </c>
      <c r="H702" s="29" t="n">
        <f aca="false">IF(H$43=1,2*Quesería!$B$22*Quesería!$B$23/12*H693,0)*$Q$21</f>
        <v>0</v>
      </c>
      <c r="I702" s="29" t="n">
        <f aca="false">IF(I$43=1,2*Quesería!$B$22*Quesería!$B$23/12*I693,0)*$Q$21</f>
        <v>0</v>
      </c>
      <c r="J702" s="29" t="n">
        <f aca="false">IF(J$43=1,2*Quesería!$B$22*Quesería!$B$23/12*J693,0)*$Q$21</f>
        <v>0</v>
      </c>
      <c r="K702" s="29" t="n">
        <f aca="false">IF(K$43=1,2*Quesería!$B$22*Quesería!$B$23/12*K693,0)*$Q$21</f>
        <v>0</v>
      </c>
      <c r="L702" s="29" t="n">
        <f aca="false">IF(L$43=1,2*Quesería!$B$22*Quesería!$B$23/12*L693,0)*$Q$21</f>
        <v>0</v>
      </c>
    </row>
    <row r="703" customFormat="false" ht="15" hidden="true" customHeight="false" outlineLevel="1" collapsed="false">
      <c r="A703" s="6" t="s">
        <v>414</v>
      </c>
      <c r="B703" s="29" t="n">
        <f aca="false">Quesería!$B$52*(B695+B696+B697+B701+B702)</f>
        <v>4.31966364396742</v>
      </c>
      <c r="C703" s="29" t="n">
        <f aca="false">Quesería!$B$52*(C695+C696+C697+C701+C702)</f>
        <v>3.85275795604844</v>
      </c>
      <c r="D703" s="29" t="n">
        <f aca="false">Quesería!$B$52*(D695+D696+D697+D701+D702)</f>
        <v>0.383772976935126</v>
      </c>
      <c r="E703" s="29" t="n">
        <f aca="false">Quesería!$B$52*(E695+E696+E697+E701+E702)</f>
        <v>0.383772976935126</v>
      </c>
      <c r="F703" s="29" t="n">
        <f aca="false">Quesería!$B$52*(F695+F696+F697+F701+F702)</f>
        <v>0.383772976935126</v>
      </c>
      <c r="G703" s="29" t="n">
        <f aca="false">Quesería!$B$52*(G695+G696+G697+G701+G702)</f>
        <v>0.514507411134964</v>
      </c>
      <c r="H703" s="29" t="n">
        <f aca="false">Quesería!$B$52*(H695+H696+H697+H701+H702)</f>
        <v>0.604585358119273</v>
      </c>
      <c r="I703" s="29" t="n">
        <f aca="false">Quesería!$B$52*(I695+I696+I697+I701+I702)</f>
        <v>0.383772976935126</v>
      </c>
      <c r="J703" s="29" t="n">
        <f aca="false">Quesería!$B$52*(J695+J696+J697+J701+J702)</f>
        <v>0.383772976935126</v>
      </c>
      <c r="K703" s="29" t="n">
        <f aca="false">Quesería!$B$52*(K695+K696+K697+K701+K702)</f>
        <v>0.383772976935126</v>
      </c>
      <c r="L703" s="29" t="n">
        <f aca="false">Quesería!$B$52*(L695+L696+L697+L701+L702)</f>
        <v>0.383772976935126</v>
      </c>
    </row>
    <row r="704" customFormat="false" ht="15" hidden="true" customHeight="false" outlineLevel="1" collapsed="false">
      <c r="A704" s="6" t="s">
        <v>415</v>
      </c>
      <c r="B704" s="29" t="n">
        <f aca="false">(IF($Q$19=1,(SUMPRODUCT((Quesería!$C$70:$C$89=0)*(Quesería!$J$70:$J$89&gt;0)*(B$43&gt;=1)*(B$43&lt;=Quesería!$J$70:$J$89)*(Quesería!$H$70:$H$89&gt;0)*Quesería!$F$70:$F$89*(1+Quesería!$I$70:$I$89)/(Quesería!$J$70:$J$89+(Quesería!$J$70:$J$89=0)))+SUMPRODUCT((Quesería!$C$70:$C$89=0)*(Quesería!$J$70:$J$89=0)*(B$43=0)*(Quesería!$H$70:$H$89&gt;0)*Quesería!$F$70:$F$89*(1+Quesería!$I$70:$I$89)))*$B$692+(SUMPRODUCT((Quesería!$C$70:$C$89=1)*(Quesería!$J$70:$J$89&gt;0)*(B$43&gt;=2)*(B$43&lt;=Quesería!$J$70:$J$89+1)*(Quesería!$H$70:$H$89&gt;0)*Quesería!$F$70:$F$89*(1+Quesería!$I$70:$I$89)/(Quesería!$J$70:$J$89+(Quesería!$J$70:$J$89=0)))+SUMPRODUCT((Quesería!$C$70:$C$89=1)*(Quesería!$J$70:$J$89=0)*(B$43=1)*(Quesería!$H$70:$H$89&gt;0)*Quesería!$F$70:$F$89*(1+Quesería!$I$70:$I$89)))*$C$692*$Q$21,IF(AND(B$43&gt;=1,B$43&lt;=Quesería!$B$30),Quesería!$F$92/Quesería!$B$30,0)*$B$692+IF(AND(B$43&gt;=2,B$43&lt;=Quesería!$B$30+1),Quesería!$F$93/Quesería!$B$30,0)*$C$692*$Q$21)*$Q$11+IF(AND(B$43&gt;=6,B$43&lt;=10),$G696*$G692/5,0)+IF(AND(B$43&gt;=7,B$43&lt;=11),$H696*$H692/5,0))*B694</f>
        <v>145.980915430742</v>
      </c>
      <c r="C704" s="29" t="n">
        <f aca="false">(IF($Q$19=1,(SUMPRODUCT((Quesería!$C$70:$C$89=0)*(Quesería!$J$70:$J$89&gt;0)*(C$43&gt;=1)*(C$43&lt;=Quesería!$J$70:$J$89)*(Quesería!$H$70:$H$89&gt;0)*Quesería!$F$70:$F$89*(1+Quesería!$I$70:$I$89)/(Quesería!$J$70:$J$89+(Quesería!$J$70:$J$89=0)))+SUMPRODUCT((Quesería!$C$70:$C$89=0)*(Quesería!$J$70:$J$89=0)*(C$43=0)*(Quesería!$H$70:$H$89&gt;0)*Quesería!$F$70:$F$89*(1+Quesería!$I$70:$I$89)))*$B$692+(SUMPRODUCT((Quesería!$C$70:$C$89=1)*(Quesería!$J$70:$J$89&gt;0)*(C$43&gt;=2)*(C$43&lt;=Quesería!$J$70:$J$89+1)*(Quesería!$H$70:$H$89&gt;0)*Quesería!$F$70:$F$89*(1+Quesería!$I$70:$I$89)/(Quesería!$J$70:$J$89+(Quesería!$J$70:$J$89=0)))+SUMPRODUCT((Quesería!$C$70:$C$89=1)*(Quesería!$J$70:$J$89=0)*(C$43=1)*(Quesería!$H$70:$H$89&gt;0)*Quesería!$F$70:$F$89*(1+Quesería!$I$70:$I$89)))*$C$692*$Q$21,IF(AND(C$43&gt;=1,C$43&lt;=Quesería!$B$30),Quesería!$F$92/Quesería!$B$30,0)*$B$692+IF(AND(C$43&gt;=2,C$43&lt;=Quesería!$B$30+1),Quesería!$F$93/Quesería!$B$30,0)*$C$692*$Q$21)*$Q$11+IF(AND(C$43&gt;=6,C$43&lt;=10),$G696*$G692/5,0)+IF(AND(C$43&gt;=7,C$43&lt;=11),$H696*$H692/5,0))*C694</f>
        <v>82.2633269524265</v>
      </c>
      <c r="D704" s="29" t="n">
        <f aca="false">(IF($Q$19=1,(SUMPRODUCT((Quesería!$C$70:$C$89=0)*(Quesería!$J$70:$J$89&gt;0)*(D$43&gt;=1)*(D$43&lt;=Quesería!$J$70:$J$89)*(Quesería!$H$70:$H$89&gt;0)*Quesería!$F$70:$F$89*(1+Quesería!$I$70:$I$89)/(Quesería!$J$70:$J$89+(Quesería!$J$70:$J$89=0)))+SUMPRODUCT((Quesería!$C$70:$C$89=0)*(Quesería!$J$70:$J$89=0)*(D$43=0)*(Quesería!$H$70:$H$89&gt;0)*Quesería!$F$70:$F$89*(1+Quesería!$I$70:$I$89)))*$B$692+(SUMPRODUCT((Quesería!$C$70:$C$89=1)*(Quesería!$J$70:$J$89&gt;0)*(D$43&gt;=2)*(D$43&lt;=Quesería!$J$70:$J$89+1)*(Quesería!$H$70:$H$89&gt;0)*Quesería!$F$70:$F$89*(1+Quesería!$I$70:$I$89)/(Quesería!$J$70:$J$89+(Quesería!$J$70:$J$89=0)))+SUMPRODUCT((Quesería!$C$70:$C$89=1)*(Quesería!$J$70:$J$89=0)*(D$43=1)*(Quesería!$H$70:$H$89&gt;0)*Quesería!$F$70:$F$89*(1+Quesería!$I$70:$I$89)))*$C$692*$Q$21,IF(AND(D$43&gt;=1,D$43&lt;=Quesería!$B$30),Quesería!$F$92/Quesería!$B$30,0)*$B$692+IF(AND(D$43&gt;=2,D$43&lt;=Quesería!$B$30+1),Quesería!$F$93/Quesería!$B$30,0)*$C$692*$Q$21)*$Q$11+IF(AND(D$43&gt;=6,D$43&lt;=10),$G696*$G692/5,0)+IF(AND(D$43&gt;=7,D$43&lt;=11),$H696*$H692/5,0))*D694</f>
        <v>151.301658966389</v>
      </c>
      <c r="E704" s="29" t="n">
        <f aca="false">(IF($Q$19=1,(SUMPRODUCT((Quesería!$C$70:$C$89=0)*(Quesería!$J$70:$J$89&gt;0)*(E$43&gt;=1)*(E$43&lt;=Quesería!$J$70:$J$89)*(Quesería!$H$70:$H$89&gt;0)*Quesería!$F$70:$F$89*(1+Quesería!$I$70:$I$89)/(Quesería!$J$70:$J$89+(Quesería!$J$70:$J$89=0)))+SUMPRODUCT((Quesería!$C$70:$C$89=0)*(Quesería!$J$70:$J$89=0)*(E$43=0)*(Quesería!$H$70:$H$89&gt;0)*Quesería!$F$70:$F$89*(1+Quesería!$I$70:$I$89)))*$B$692+(SUMPRODUCT((Quesería!$C$70:$C$89=1)*(Quesería!$J$70:$J$89&gt;0)*(E$43&gt;=2)*(E$43&lt;=Quesería!$J$70:$J$89+1)*(Quesería!$H$70:$H$89&gt;0)*Quesería!$F$70:$F$89*(1+Quesería!$I$70:$I$89)/(Quesería!$J$70:$J$89+(Quesería!$J$70:$J$89=0)))+SUMPRODUCT((Quesería!$C$70:$C$89=1)*(Quesería!$J$70:$J$89=0)*(E$43=1)*(Quesería!$H$70:$H$89&gt;0)*Quesería!$F$70:$F$89*(1+Quesería!$I$70:$I$89)))*$C$692*$Q$21,IF(AND(E$43&gt;=1,E$43&lt;=Quesería!$B$30),Quesería!$F$92/Quesería!$B$30,0)*$B$692+IF(AND(E$43&gt;=2,E$43&lt;=Quesería!$B$30+1),Quesería!$F$93/Quesería!$B$30,0)*$C$692*$Q$21)*$Q$11+IF(AND(E$43&gt;=6,E$43&lt;=10),$G696*$G692/5,0)+IF(AND(E$43&gt;=7,E$43&lt;=11),$H696*$H692/5,0))*E694</f>
        <v>145.482364390759</v>
      </c>
      <c r="F704" s="29" t="n">
        <f aca="false">(IF($Q$19=1,(SUMPRODUCT((Quesería!$C$70:$C$89=0)*(Quesería!$J$70:$J$89&gt;0)*(F$43&gt;=1)*(F$43&lt;=Quesería!$J$70:$J$89)*(Quesería!$H$70:$H$89&gt;0)*Quesería!$F$70:$F$89*(1+Quesería!$I$70:$I$89)/(Quesería!$J$70:$J$89+(Quesería!$J$70:$J$89=0)))+SUMPRODUCT((Quesería!$C$70:$C$89=0)*(Quesería!$J$70:$J$89=0)*(F$43=0)*(Quesería!$H$70:$H$89&gt;0)*Quesería!$F$70:$F$89*(1+Quesería!$I$70:$I$89)))*$B$692+(SUMPRODUCT((Quesería!$C$70:$C$89=1)*(Quesería!$J$70:$J$89&gt;0)*(F$43&gt;=2)*(F$43&lt;=Quesería!$J$70:$J$89+1)*(Quesería!$H$70:$H$89&gt;0)*Quesería!$F$70:$F$89*(1+Quesería!$I$70:$I$89)/(Quesería!$J$70:$J$89+(Quesería!$J$70:$J$89=0)))+SUMPRODUCT((Quesería!$C$70:$C$89=1)*(Quesería!$J$70:$J$89=0)*(F$43=1)*(Quesería!$H$70:$H$89&gt;0)*Quesería!$F$70:$F$89*(1+Quesería!$I$70:$I$89)))*$C$692*$Q$21,IF(AND(F$43&gt;=1,F$43&lt;=Quesería!$B$30),Quesería!$F$92/Quesería!$B$30,0)*$B$692+IF(AND(F$43&gt;=2,F$43&lt;=Quesería!$B$30+1),Quesería!$F$93/Quesería!$B$30,0)*$C$692*$Q$21)*$Q$11+IF(AND(F$43&gt;=6,F$43&lt;=10),$G696*$G692/5,0)+IF(AND(F$43&gt;=7,F$43&lt;=11),$H696*$H692/5,0))*F694</f>
        <v>139.886888837268</v>
      </c>
      <c r="G704" s="29" t="n">
        <f aca="false">(IF($Q$19=1,(SUMPRODUCT((Quesería!$C$70:$C$89=0)*(Quesería!$J$70:$J$89&gt;0)*(G$43&gt;=1)*(G$43&lt;=Quesería!$J$70:$J$89)*(Quesería!$H$70:$H$89&gt;0)*Quesería!$F$70:$F$89*(1+Quesería!$I$70:$I$89)/(Quesería!$J$70:$J$89+(Quesería!$J$70:$J$89=0)))+SUMPRODUCT((Quesería!$C$70:$C$89=0)*(Quesería!$J$70:$J$89=0)*(G$43=0)*(Quesería!$H$70:$H$89&gt;0)*Quesería!$F$70:$F$89*(1+Quesería!$I$70:$I$89)))*$B$692+(SUMPRODUCT((Quesería!$C$70:$C$89=1)*(Quesería!$J$70:$J$89&gt;0)*(G$43&gt;=2)*(G$43&lt;=Quesería!$J$70:$J$89+1)*(Quesería!$H$70:$H$89&gt;0)*Quesería!$F$70:$F$89*(1+Quesería!$I$70:$I$89)/(Quesería!$J$70:$J$89+(Quesería!$J$70:$J$89=0)))+SUMPRODUCT((Quesería!$C$70:$C$89=1)*(Quesería!$J$70:$J$89=0)*(G$43=1)*(Quesería!$H$70:$H$89&gt;0)*Quesería!$F$70:$F$89*(1+Quesería!$I$70:$I$89)))*$C$692*$Q$21,IF(AND(G$43&gt;=1,G$43&lt;=Quesería!$B$30),Quesería!$F$92/Quesería!$B$30,0)*$B$692+IF(AND(G$43&gt;=2,G$43&lt;=Quesería!$B$30+1),Quesería!$F$93/Quesería!$B$30,0)*$C$692*$Q$21)*$Q$11+IF(AND(G$43&gt;=6,G$43&lt;=10),$G696*$G692/5,0)+IF(AND(G$43&gt;=7,G$43&lt;=11),$H696*$H692/5,0))*G694</f>
        <v>134.506623881988</v>
      </c>
      <c r="H704" s="29" t="n">
        <f aca="false">(IF($Q$19=1,(SUMPRODUCT((Quesería!$C$70:$C$89=0)*(Quesería!$J$70:$J$89&gt;0)*(H$43&gt;=1)*(H$43&lt;=Quesería!$J$70:$J$89)*(Quesería!$H$70:$H$89&gt;0)*Quesería!$F$70:$F$89*(1+Quesería!$I$70:$I$89)/(Quesería!$J$70:$J$89+(Quesería!$J$70:$J$89=0)))+SUMPRODUCT((Quesería!$C$70:$C$89=0)*(Quesería!$J$70:$J$89=0)*(H$43=0)*(Quesería!$H$70:$H$89&gt;0)*Quesería!$F$70:$F$89*(1+Quesería!$I$70:$I$89)))*$B$692+(SUMPRODUCT((Quesería!$C$70:$C$89=1)*(Quesería!$J$70:$J$89&gt;0)*(H$43&gt;=2)*(H$43&lt;=Quesería!$J$70:$J$89+1)*(Quesería!$H$70:$H$89&gt;0)*Quesería!$F$70:$F$89*(1+Quesería!$I$70:$I$89)/(Quesería!$J$70:$J$89+(Quesería!$J$70:$J$89=0)))+SUMPRODUCT((Quesería!$C$70:$C$89=1)*(Quesería!$J$70:$J$89=0)*(H$43=1)*(Quesería!$H$70:$H$89&gt;0)*Quesería!$F$70:$F$89*(1+Quesería!$I$70:$I$89)))*$C$692*$Q$21,IF(AND(H$43&gt;=1,H$43&lt;=Quesería!$B$30),Quesería!$F$92/Quesería!$B$30,0)*$B$692+IF(AND(H$43&gt;=2,H$43&lt;=Quesería!$B$30+1),Quesería!$F$93/Quesería!$B$30,0)*$C$692*$Q$21)*$Q$11+IF(AND(H$43&gt;=6,H$43&lt;=10),$G696*$G692/5,0)+IF(AND(H$43&gt;=7,H$43&lt;=11),$H696*$H692/5,0))*H694</f>
        <v>122.314670590318</v>
      </c>
      <c r="I704" s="29" t="n">
        <f aca="false">(IF($Q$19=1,(SUMPRODUCT((Quesería!$C$70:$C$89=0)*(Quesería!$J$70:$J$89&gt;0)*(I$43&gt;=1)*(I$43&lt;=Quesería!$J$70:$J$89)*(Quesería!$H$70:$H$89&gt;0)*Quesería!$F$70:$F$89*(1+Quesería!$I$70:$I$89)/(Quesería!$J$70:$J$89+(Quesería!$J$70:$J$89=0)))+SUMPRODUCT((Quesería!$C$70:$C$89=0)*(Quesería!$J$70:$J$89=0)*(I$43=0)*(Quesería!$H$70:$H$89&gt;0)*Quesería!$F$70:$F$89*(1+Quesería!$I$70:$I$89)))*$B$692+(SUMPRODUCT((Quesería!$C$70:$C$89=1)*(Quesería!$J$70:$J$89&gt;0)*(I$43&gt;=2)*(I$43&lt;=Quesería!$J$70:$J$89+1)*(Quesería!$H$70:$H$89&gt;0)*Quesería!$F$70:$F$89*(1+Quesería!$I$70:$I$89)/(Quesería!$J$70:$J$89+(Quesería!$J$70:$J$89=0)))+SUMPRODUCT((Quesería!$C$70:$C$89=1)*(Quesería!$J$70:$J$89=0)*(I$43=1)*(Quesería!$H$70:$H$89&gt;0)*Quesería!$F$70:$F$89*(1+Quesería!$I$70:$I$89)))*$C$692*$Q$21,IF(AND(I$43&gt;=1,I$43&lt;=Quesería!$B$30),Quesería!$F$92/Quesería!$B$30,0)*$B$692+IF(AND(I$43&gt;=2,I$43&lt;=Quesería!$B$30+1),Quesería!$F$93/Quesería!$B$30,0)*$C$692*$Q$21)*$Q$11+IF(AND(I$43&gt;=6,I$43&lt;=10),$G696*$G692/5,0)+IF(AND(I$43&gt;=7,I$43&lt;=11),$H696*$H692/5,0))*I694</f>
        <v>126.531251665874</v>
      </c>
      <c r="J704" s="29" t="n">
        <f aca="false">(IF($Q$19=1,(SUMPRODUCT((Quesería!$C$70:$C$89=0)*(Quesería!$J$70:$J$89&gt;0)*(J$43&gt;=1)*(J$43&lt;=Quesería!$J$70:$J$89)*(Quesería!$H$70:$H$89&gt;0)*Quesería!$F$70:$F$89*(1+Quesería!$I$70:$I$89)/(Quesería!$J$70:$J$89+(Quesería!$J$70:$J$89=0)))+SUMPRODUCT((Quesería!$C$70:$C$89=0)*(Quesería!$J$70:$J$89=0)*(J$43=0)*(Quesería!$H$70:$H$89&gt;0)*Quesería!$F$70:$F$89*(1+Quesería!$I$70:$I$89)))*$B$692+(SUMPRODUCT((Quesería!$C$70:$C$89=1)*(Quesería!$J$70:$J$89&gt;0)*(J$43&gt;=2)*(J$43&lt;=Quesería!$J$70:$J$89+1)*(Quesería!$H$70:$H$89&gt;0)*Quesería!$F$70:$F$89*(1+Quesería!$I$70:$I$89)/(Quesería!$J$70:$J$89+(Quesería!$J$70:$J$89=0)))+SUMPRODUCT((Quesería!$C$70:$C$89=1)*(Quesería!$J$70:$J$89=0)*(J$43=1)*(Quesería!$H$70:$H$89&gt;0)*Quesería!$F$70:$F$89*(1+Quesería!$I$70:$I$89)))*$C$692*$Q$21,IF(AND(J$43&gt;=1,J$43&lt;=Quesería!$B$30),Quesería!$F$92/Quesería!$B$30,0)*$B$692+IF(AND(J$43&gt;=2,J$43&lt;=Quesería!$B$30+1),Quesería!$F$93/Quesería!$B$30,0)*$C$692*$Q$21)*$Q$11+IF(AND(J$43&gt;=6,J$43&lt;=10),$G696*$G692/5,0)+IF(AND(J$43&gt;=7,J$43&lt;=11),$H696*$H692/5,0))*J694</f>
        <v>121.66466506334</v>
      </c>
      <c r="K704" s="29" t="n">
        <f aca="false">(IF($Q$19=1,(SUMPRODUCT((Quesería!$C$70:$C$89=0)*(Quesería!$J$70:$J$89&gt;0)*(K$43&gt;=1)*(K$43&lt;=Quesería!$J$70:$J$89)*(Quesería!$H$70:$H$89&gt;0)*Quesería!$F$70:$F$89*(1+Quesería!$I$70:$I$89)/(Quesería!$J$70:$J$89+(Quesería!$J$70:$J$89=0)))+SUMPRODUCT((Quesería!$C$70:$C$89=0)*(Quesería!$J$70:$J$89=0)*(K$43=0)*(Quesería!$H$70:$H$89&gt;0)*Quesería!$F$70:$F$89*(1+Quesería!$I$70:$I$89)))*$B$692+(SUMPRODUCT((Quesería!$C$70:$C$89=1)*(Quesería!$J$70:$J$89&gt;0)*(K$43&gt;=2)*(K$43&lt;=Quesería!$J$70:$J$89+1)*(Quesería!$H$70:$H$89&gt;0)*Quesería!$F$70:$F$89*(1+Quesería!$I$70:$I$89)/(Quesería!$J$70:$J$89+(Quesería!$J$70:$J$89=0)))+SUMPRODUCT((Quesería!$C$70:$C$89=1)*(Quesería!$J$70:$J$89=0)*(K$43=1)*(Quesería!$H$70:$H$89&gt;0)*Quesería!$F$70:$F$89*(1+Quesería!$I$70:$I$89)))*$C$692*$Q$21,IF(AND(K$43&gt;=1,K$43&lt;=Quesería!$B$30),Quesería!$F$92/Quesería!$B$30,0)*$B$692+IF(AND(K$43&gt;=2,K$43&lt;=Quesería!$B$30+1),Quesería!$F$93/Quesería!$B$30,0)*$C$692*$Q$21)*$Q$11+IF(AND(K$43&gt;=6,K$43&lt;=10),$G696*$G692/5,0)+IF(AND(K$43&gt;=7,K$43&lt;=11),$H696*$H692/5,0))*K694</f>
        <v>116.985254868597</v>
      </c>
      <c r="L704" s="29" t="n">
        <f aca="false">(IF($Q$19=1,(SUMPRODUCT((Quesería!$C$70:$C$89=0)*(Quesería!$J$70:$J$89&gt;0)*(L$43&gt;=1)*(L$43&lt;=Quesería!$J$70:$J$89)*(Quesería!$H$70:$H$89&gt;0)*Quesería!$F$70:$F$89*(1+Quesería!$I$70:$I$89)/(Quesería!$J$70:$J$89+(Quesería!$J$70:$J$89=0)))+SUMPRODUCT((Quesería!$C$70:$C$89=0)*(Quesería!$J$70:$J$89=0)*(L$43=0)*(Quesería!$H$70:$H$89&gt;0)*Quesería!$F$70:$F$89*(1+Quesería!$I$70:$I$89)))*$B$692+(SUMPRODUCT((Quesería!$C$70:$C$89=1)*(Quesería!$J$70:$J$89&gt;0)*(L$43&gt;=2)*(L$43&lt;=Quesería!$J$70:$J$89+1)*(Quesería!$H$70:$H$89&gt;0)*Quesería!$F$70:$F$89*(1+Quesería!$I$70:$I$89)/(Quesería!$J$70:$J$89+(Quesería!$J$70:$J$89=0)))+SUMPRODUCT((Quesería!$C$70:$C$89=1)*(Quesería!$J$70:$J$89=0)*(L$43=1)*(Quesería!$H$70:$H$89&gt;0)*Quesería!$F$70:$F$89*(1+Quesería!$I$70:$I$89)))*$C$692*$Q$21,IF(AND(L$43&gt;=1,L$43&lt;=Quesería!$B$30),Quesería!$F$92/Quesería!$B$30,0)*$B$692+IF(AND(L$43&gt;=2,L$43&lt;=Quesería!$B$30+1),Quesería!$F$93/Quesería!$B$30,0)*$C$692*$Q$21)*$Q$11+IF(AND(L$43&gt;=6,L$43&lt;=10),$G696*$G692/5,0)+IF(AND(L$43&gt;=7,L$43&lt;=11),$H696*$H692/5,0))*L694</f>
        <v>112.485821989035</v>
      </c>
    </row>
    <row r="705" customFormat="false" ht="15" hidden="true" customHeight="false" outlineLevel="1" collapsed="false">
      <c r="A705" s="9" t="s">
        <v>416</v>
      </c>
      <c r="B705" s="58" t="n">
        <f aca="false">IF(B$43=1,MIN($Q$7*Quesería!$B$56*Quesería!$F$86*$Q$11*$Q$21,Quesería!$B$57*Quesería!$B$58),0)</f>
        <v>0</v>
      </c>
      <c r="C705" s="58" t="n">
        <f aca="false">IF(C$43=1,MIN($Q$7*Quesería!$B$56*Quesería!$F$86*$Q$11*$Q$21,Quesería!$B$57*Quesería!$B$58),0)</f>
        <v>20</v>
      </c>
      <c r="D705" s="58" t="n">
        <f aca="false">IF(D$43=1,MIN($Q$7*Quesería!$B$56*Quesería!$F$86*$Q$11*$Q$21,Quesería!$B$57*Quesería!$B$58),0)</f>
        <v>0</v>
      </c>
      <c r="E705" s="58" t="n">
        <f aca="false">IF(E$43=1,MIN($Q$7*Quesería!$B$56*Quesería!$F$86*$Q$11*$Q$21,Quesería!$B$57*Quesería!$B$58),0)</f>
        <v>0</v>
      </c>
      <c r="F705" s="58" t="n">
        <f aca="false">IF(F$43=1,MIN($Q$7*Quesería!$B$56*Quesería!$F$86*$Q$11*$Q$21,Quesería!$B$57*Quesería!$B$58),0)</f>
        <v>0</v>
      </c>
      <c r="G705" s="58" t="n">
        <f aca="false">IF(G$43=1,MIN($Q$7*Quesería!$B$56*Quesería!$F$86*$Q$11*$Q$21,Quesería!$B$57*Quesería!$B$58),0)</f>
        <v>0</v>
      </c>
      <c r="H705" s="58" t="n">
        <f aca="false">IF(H$43=1,MIN($Q$7*Quesería!$B$56*Quesería!$F$86*$Q$11*$Q$21,Quesería!$B$57*Quesería!$B$58),0)</f>
        <v>0</v>
      </c>
      <c r="I705" s="58" t="n">
        <f aca="false">IF(I$43=1,MIN($Q$7*Quesería!$B$56*Quesería!$F$86*$Q$11*$Q$21,Quesería!$B$57*Quesería!$B$58),0)</f>
        <v>0</v>
      </c>
      <c r="J705" s="58" t="n">
        <f aca="false">IF(J$43=1,MIN($Q$7*Quesería!$B$56*Quesería!$F$86*$Q$11*$Q$21,Quesería!$B$57*Quesería!$B$58),0)</f>
        <v>0</v>
      </c>
      <c r="K705" s="58" t="n">
        <f aca="false">IF(K$43=1,MIN($Q$7*Quesería!$B$56*Quesería!$F$86*$Q$11*$Q$21,Quesería!$B$57*Quesería!$B$58),0)</f>
        <v>0</v>
      </c>
      <c r="L705" s="58" t="n">
        <f aca="false">IF(L$43=1,MIN($Q$7*Quesería!$B$56*Quesería!$F$86*$Q$11*$Q$21,Quesería!$B$57*Quesería!$B$58),0)</f>
        <v>0</v>
      </c>
    </row>
    <row r="706" customFormat="false" ht="15" hidden="true" customHeight="false" outlineLevel="1" collapsed="false">
      <c r="A706" s="9" t="s">
        <v>417</v>
      </c>
      <c r="B706" s="58" t="n">
        <v>0</v>
      </c>
      <c r="C706" s="58" t="n">
        <f aca="false">$Q$20*Quesería!$B$60*Quesería!$F$98*$Q$11*$B$692/C692/2</f>
        <v>138.12868344741</v>
      </c>
      <c r="D706" s="58" t="n">
        <f aca="false">$Q$20*Quesería!$B$60*Quesería!$F$98*$Q$11*$B$692/D692/2</f>
        <v>132.18055832288</v>
      </c>
      <c r="E706" s="58" t="n">
        <v>0</v>
      </c>
      <c r="F706" s="58" t="n">
        <v>0</v>
      </c>
      <c r="G706" s="58" t="n">
        <v>0</v>
      </c>
      <c r="H706" s="58" t="n">
        <v>0</v>
      </c>
      <c r="I706" s="58" t="n">
        <v>0</v>
      </c>
      <c r="J706" s="58" t="n">
        <v>0</v>
      </c>
      <c r="K706" s="58" t="n">
        <v>0</v>
      </c>
      <c r="L706" s="58" t="n">
        <v>0</v>
      </c>
    </row>
    <row r="707" customFormat="false" ht="15" hidden="true" customHeight="false" outlineLevel="1" collapsed="false">
      <c r="A707" s="9" t="s">
        <v>418</v>
      </c>
      <c r="B707" s="58" t="n">
        <f aca="false">0</f>
        <v>0</v>
      </c>
      <c r="C707" s="58" t="n">
        <f aca="false">B697*B692/C692</f>
        <v>142.014925295407</v>
      </c>
      <c r="D707" s="58" t="n">
        <f aca="false">C697*C692/D692</f>
        <v>137.903466668091</v>
      </c>
      <c r="E707" s="58" t="n">
        <f aca="false">D697*D692/E692</f>
        <v>0</v>
      </c>
      <c r="F707" s="58" t="n">
        <f aca="false">E697*E692/F692</f>
        <v>0</v>
      </c>
      <c r="G707" s="58" t="n">
        <f aca="false">F697*F692/G692</f>
        <v>0</v>
      </c>
      <c r="H707" s="58" t="n">
        <f aca="false">G697*G692/H692</f>
        <v>5.01768392412113</v>
      </c>
      <c r="I707" s="58" t="n">
        <f aca="false">H697*H692/I692</f>
        <v>8.47494190873221</v>
      </c>
      <c r="J707" s="58" t="n">
        <f aca="false">I697*I692/J692</f>
        <v>0</v>
      </c>
      <c r="K707" s="58" t="n">
        <f aca="false">J697*J692/K692</f>
        <v>0</v>
      </c>
      <c r="L707" s="58" t="n">
        <f aca="false">K697*K692/L692</f>
        <v>0</v>
      </c>
    </row>
    <row r="708" customFormat="false" ht="15" hidden="true" customHeight="false" outlineLevel="1" collapsed="false">
      <c r="A708" s="6" t="s">
        <v>295</v>
      </c>
      <c r="B708" s="29" t="n">
        <f aca="false">$Q$17*(B700-B701-B702-0.5*B703-B704)-B705-B706-B707</f>
        <v>-8.22719249745693</v>
      </c>
      <c r="C708" s="29" t="n">
        <f aca="false">$Q$17*(C700-C701-C702-0.5*C703-C704)-C705-C706-C707</f>
        <v>-289.185415216568</v>
      </c>
      <c r="D708" s="29" t="n">
        <f aca="false">$Q$17*(D700-D701-D702-0.5*D703-D704)-D705-D706-D707</f>
        <v>-201.205136952426</v>
      </c>
      <c r="E708" s="29" t="n">
        <f aca="false">$Q$17*(E700-E701-E702-0.5*E703-E704)-E705-E706-E707</f>
        <v>89.7709125671697</v>
      </c>
      <c r="F708" s="29" t="n">
        <f aca="false">$Q$17*(F700-F701-F702-0.5*F703-F704)-F705-F706-F707</f>
        <v>91.5423185438477</v>
      </c>
      <c r="G708" s="29" t="n">
        <f aca="false">$Q$17*(G700-G701-G702-0.5*G703-G704)-G705-G706-G707</f>
        <v>93.2300149924855</v>
      </c>
      <c r="H708" s="29" t="n">
        <f aca="false">$Q$17*(H700-H701-H702-0.5*H703-H704)-H705-H706-H707</f>
        <v>91.9500986266377</v>
      </c>
      <c r="I708" s="29" t="n">
        <f aca="false">$Q$17*(I700-I701-I702-0.5*I703-I704)-I705-I706-I707</f>
        <v>87.3551499056713</v>
      </c>
      <c r="J708" s="29" t="n">
        <f aca="false">$Q$17*(J700-J701-J702-0.5*J703-J704)-J705-J706-J707</f>
        <v>97.3847003329431</v>
      </c>
      <c r="K708" s="29" t="n">
        <f aca="false">$Q$17*(K700-K701-K702-0.5*K703-K704)-K705-K706-K707</f>
        <v>98.8836290918348</v>
      </c>
      <c r="L708" s="29" t="n">
        <f aca="false">$Q$17*(L700-L701-L702-0.5*L703-L704)-L705-L706-L707</f>
        <v>100.329040184674</v>
      </c>
    </row>
    <row r="709" customFormat="false" ht="15" hidden="true" customHeight="false" outlineLevel="1" collapsed="false">
      <c r="A709" s="9" t="s">
        <v>419</v>
      </c>
      <c r="B709" s="58" t="n">
        <f aca="false">(IF(B$43&gt;=1,Quesería!$G$123*IF(B$43=1,Quesería!$B$20,1),Quesería!$G$123*Quesería!$B$20*Quesería!$B$21/12*$Q$23)+IF(B$43&gt;=2,Quesería!$G$124*$Q$21*IF(B$43=2,Quesería!$B$20,1),0))*$Q$10</f>
        <v>77.4042870161869</v>
      </c>
      <c r="C709" s="58" t="n">
        <f aca="false">(IF(C$43&gt;=1,Quesería!$G$123*IF(C$43=1,Quesería!$B$20,1),Quesería!$G$123*Quesería!$B$20*Quesería!$B$21/12*$Q$23)+IF(C$43&gt;=2,Quesería!$G$124*$Q$21*IF(C$43=2,Quesería!$B$20,1),0))*$Q$10</f>
        <v>116.10643052428</v>
      </c>
      <c r="D709" s="58" t="n">
        <f aca="false">(IF(D$43&gt;=1,Quesería!$G$123*IF(D$43=1,Quesería!$B$20,1),Quesería!$G$123*Quesería!$B$20*Quesería!$B$21/12*$Q$23)+IF(D$43&gt;=2,Quesería!$G$124*$Q$21*IF(D$43=2,Quesería!$B$20,1),0))*$Q$10</f>
        <v>297.090260202792</v>
      </c>
      <c r="E709" s="58" t="n">
        <f aca="false">(IF(E$43&gt;=1,Quesería!$G$123*IF(E$43=1,Quesería!$B$20,1),Quesería!$G$123*Quesería!$B$20*Quesería!$B$21/12*$Q$23)+IF(E$43&gt;=2,Quesería!$G$124*$Q$21*IF(E$43=2,Quesería!$B$20,1),0))*$Q$10</f>
        <v>344.517488926264</v>
      </c>
      <c r="F709" s="58" t="n">
        <f aca="false">(IF(F$43&gt;=1,Quesería!$G$123*IF(F$43=1,Quesería!$B$20,1),Quesería!$G$123*Quesería!$B$20*Quesería!$B$21/12*$Q$23)+IF(F$43&gt;=2,Quesería!$G$124*$Q$21*IF(F$43=2,Quesería!$B$20,1),0))*$Q$10</f>
        <v>344.517488926264</v>
      </c>
      <c r="G709" s="58" t="n">
        <f aca="false">(IF(G$43&gt;=1,Quesería!$G$123*IF(G$43=1,Quesería!$B$20,1),Quesería!$G$123*Quesería!$B$20*Quesería!$B$21/12*$Q$23)+IF(G$43&gt;=2,Quesería!$G$124*$Q$21*IF(G$43=2,Quesería!$B$20,1),0))*$Q$10</f>
        <v>344.517488926264</v>
      </c>
      <c r="H709" s="58" t="n">
        <f aca="false">(IF(H$43&gt;=1,Quesería!$G$123*IF(H$43=1,Quesería!$B$20,1),Quesería!$G$123*Quesería!$B$20*Quesería!$B$21/12*$Q$23)+IF(H$43&gt;=2,Quesería!$G$124*$Q$21*IF(H$43=2,Quesería!$B$20,1),0))*$Q$10</f>
        <v>344.517488926264</v>
      </c>
      <c r="I709" s="58" t="n">
        <f aca="false">(IF(I$43&gt;=1,Quesería!$G$123*IF(I$43=1,Quesería!$B$20,1),Quesería!$G$123*Quesería!$B$20*Quesería!$B$21/12*$Q$23)+IF(I$43&gt;=2,Quesería!$G$124*$Q$21*IF(I$43=2,Quesería!$B$20,1),0))*$Q$10</f>
        <v>344.517488926264</v>
      </c>
      <c r="J709" s="58" t="n">
        <f aca="false">(IF(J$43&gt;=1,Quesería!$G$123*IF(J$43=1,Quesería!$B$20,1),Quesería!$G$123*Quesería!$B$20*Quesería!$B$21/12*$Q$23)+IF(J$43&gt;=2,Quesería!$G$124*$Q$21*IF(J$43=2,Quesería!$B$20,1),0))*$Q$10</f>
        <v>344.517488926264</v>
      </c>
      <c r="K709" s="58" t="n">
        <f aca="false">(IF(K$43&gt;=1,Quesería!$G$123*IF(K$43=1,Quesería!$B$20,1),Quesería!$G$123*Quesería!$B$20*Quesería!$B$21/12*$Q$23)+IF(K$43&gt;=2,Quesería!$G$124*$Q$21*IF(K$43=2,Quesería!$B$20,1),0))*$Q$10</f>
        <v>344.517488926264</v>
      </c>
      <c r="L709" s="58" t="n">
        <f aca="false">(IF(L$43&gt;=1,Quesería!$G$123*IF(L$43=1,Quesería!$B$20,1),Quesería!$G$123*Quesería!$B$20*Quesería!$B$21/12*$Q$23)+IF(L$43&gt;=2,Quesería!$G$124*$Q$21*IF(L$43=2,Quesería!$B$20,1),0))*$Q$10</f>
        <v>344.517488926264</v>
      </c>
    </row>
    <row r="710" customFormat="false" ht="15" hidden="true" customHeight="false" outlineLevel="1" collapsed="false">
      <c r="A710" s="6" t="s">
        <v>420</v>
      </c>
      <c r="B710" s="29" t="n">
        <f aca="false">(B709*(Quesería!$B$38+Quesería!$B$40*Quesería!$B$39)/365-B701*Quesería!$B$42/365)</f>
        <v>7.23146900616979</v>
      </c>
      <c r="C710" s="29" t="n">
        <f aca="false">(C709*(Quesería!$B$38+Quesería!$B$40*Quesería!$B$39)/365-C701*Quesería!$B$42/365)-(B709*(Quesería!$B$38+Quesería!$B$40*Quesería!$B$39)/365-B701*Quesería!$B$42/365)*B692/C692</f>
        <v>1.42287846600884</v>
      </c>
      <c r="D710" s="29" t="n">
        <f aca="false">(D709*(Quesería!$B$38+Quesería!$B$40*Quesería!$B$39)/365-D701*Quesería!$B$42/365)-(C709*(Quesería!$B$38+Quesería!$B$40*Quesería!$B$39)/365-C701*Quesería!$B$42/365)*C692/D692</f>
        <v>14.0205300736897</v>
      </c>
      <c r="E710" s="29" t="n">
        <f aca="false">(E709*(Quesería!$B$38+Quesería!$B$40*Quesería!$B$39)/365-E701*Quesería!$B$42/365)-(D709*(Quesería!$B$38+Quesería!$B$40*Quesería!$B$39)/365-D701*Quesería!$B$42/365)*D692/E692</f>
        <v>5.27597549905193</v>
      </c>
      <c r="F710" s="29" t="n">
        <f aca="false">(F709*(Quesería!$B$38+Quesería!$B$40*Quesería!$B$39)/365-F701*Quesería!$B$42/365)-(E709*(Quesería!$B$38+Quesería!$B$40*Quesería!$B$39)/365-E701*Quesería!$B$42/365)*E692/F692</f>
        <v>1.01552107473577</v>
      </c>
      <c r="G710" s="29" t="n">
        <f aca="false">(G709*(Quesería!$B$38+Quesería!$B$40*Quesería!$B$39)/365-G701*Quesería!$B$42/365)-(F709*(Quesería!$B$38+Quesería!$B$40*Quesería!$B$39)/365-F701*Quesería!$B$42/365)*F692/G692</f>
        <v>1.01552107473577</v>
      </c>
      <c r="H710" s="29" t="n">
        <f aca="false">(H709*(Quesería!$B$38+Quesería!$B$40*Quesería!$B$39)/365-H701*Quesería!$B$42/365)-(G709*(Quesería!$B$38+Quesería!$B$40*Quesería!$B$39)/365-G701*Quesería!$B$42/365)*G692/H692</f>
        <v>1.01552107473577</v>
      </c>
      <c r="I710" s="29" t="n">
        <f aca="false">(I709*(Quesería!$B$38+Quesería!$B$40*Quesería!$B$39)/365-I701*Quesería!$B$42/365)-(H709*(Quesería!$B$38+Quesería!$B$40*Quesería!$B$39)/365-H701*Quesería!$B$42/365)*H692/I692</f>
        <v>1.01552107473577</v>
      </c>
      <c r="J710" s="29" t="n">
        <f aca="false">(J709*(Quesería!$B$38+Quesería!$B$40*Quesería!$B$39)/365-J701*Quesería!$B$42/365)-(I709*(Quesería!$B$38+Quesería!$B$40*Quesería!$B$39)/365-I701*Quesería!$B$42/365)*I692/J692</f>
        <v>1.01552107473577</v>
      </c>
      <c r="K710" s="29" t="n">
        <f aca="false">(K709*(Quesería!$B$38+Quesería!$B$40*Quesería!$B$39)/365-K701*Quesería!$B$42/365)-(J709*(Quesería!$B$38+Quesería!$B$40*Quesería!$B$39)/365-J701*Quesería!$B$42/365)*J692/K692</f>
        <v>1.01552107473577</v>
      </c>
      <c r="L710" s="29" t="n">
        <f aca="false">-(K709*(Quesería!$B$38+Quesería!$B$40*Quesería!$B$39)/365-K701*Quesería!$B$42/365)*K692/L692</f>
        <v>-25.3880268683941</v>
      </c>
    </row>
    <row r="711" customFormat="false" ht="15" hidden="true" customHeight="false" outlineLevel="1" collapsed="false">
      <c r="A711" s="6" t="s">
        <v>421</v>
      </c>
      <c r="B711" s="29" t="n">
        <v>0</v>
      </c>
      <c r="C711" s="29" t="n">
        <v>0</v>
      </c>
      <c r="D711" s="29" t="n">
        <v>0</v>
      </c>
      <c r="E711" s="29" t="n">
        <v>0</v>
      </c>
      <c r="F711" s="29" t="n">
        <v>0</v>
      </c>
      <c r="G711" s="29" t="n">
        <v>0</v>
      </c>
      <c r="H711" s="29" t="n">
        <v>0</v>
      </c>
      <c r="I711" s="29" t="n">
        <v>0</v>
      </c>
      <c r="J711" s="29" t="n">
        <v>0</v>
      </c>
      <c r="K711" s="29" t="n">
        <v>0</v>
      </c>
      <c r="L711" s="29" t="n">
        <f aca="false">$Q$8*Quesería!$B$36*(Quesería!$F$94+Quesería!$F$95*$Q$21)*$Q$11*(1-$Q$17)</f>
        <v>72.2871396783353</v>
      </c>
    </row>
    <row r="712" customFormat="false" ht="15" hidden="true" customHeight="false" outlineLevel="1" collapsed="false">
      <c r="A712" s="5" t="s">
        <v>147</v>
      </c>
      <c r="B712" s="59" t="n">
        <f aca="false">B700-B701-B702-B703-B708-B695-B696-B697-B710+B711</f>
        <v>-962.523078883332</v>
      </c>
      <c r="C712" s="59" t="n">
        <f aca="false">C700-C701-C702-C703-C708-C695-C696-C697-C710+C711</f>
        <v>-497.95139286353</v>
      </c>
      <c r="D712" s="59" t="n">
        <f aca="false">D700-D701-D702-D703-D708-D695-D696-D697-D710+D711</f>
        <v>567.890672818471</v>
      </c>
      <c r="E712" s="59" t="n">
        <f aca="false">E700-E701-E702-E703-E708-E695-E696-E697-E710+E711</f>
        <v>349.479965059968</v>
      </c>
      <c r="F712" s="59" t="n">
        <f aca="false">F700-F701-F702-F703-F708-F695-F696-F697-F710+F711</f>
        <v>352.278224543042</v>
      </c>
      <c r="G712" s="59" t="n">
        <f aca="false">G700-G701-G702-G703-G708-G695-G696-G697-G710+G711</f>
        <v>318.086942200858</v>
      </c>
      <c r="H712" s="59" t="n">
        <f aca="false">H700-H701-H702-H703-H708-H695-H696-H697-H710+H711</f>
        <v>297.069604749711</v>
      </c>
      <c r="I712" s="59" t="n">
        <f aca="false">I700-I701-I702-I703-I708-I695-I696-I697-I710+I711</f>
        <v>357.402333578344</v>
      </c>
      <c r="J712" s="59" t="n">
        <f aca="false">J700-J701-J702-J703-J708-J695-J696-J697-J710+J711</f>
        <v>347.688224943671</v>
      </c>
      <c r="K712" s="59" t="n">
        <f aca="false">K700-K701-K702-K703-K708-K695-K696-K697-K710+K711</f>
        <v>346.506315186341</v>
      </c>
      <c r="L712" s="59" t="n">
        <f aca="false">L700-L701-L702-L703-L708-L695-L696-L697-L710+L711</f>
        <v>444.070195811537</v>
      </c>
    </row>
    <row r="713" customFormat="false" ht="15" hidden="true" customHeight="false" outlineLevel="1" collapsed="false">
      <c r="A713" s="9" t="s">
        <v>422</v>
      </c>
      <c r="B713" s="58" t="n">
        <f aca="false">B712*B692</f>
        <v>-1020.27446361633</v>
      </c>
      <c r="C713" s="58" t="n">
        <f aca="false">C712*C692</f>
        <v>-554.219900257109</v>
      </c>
      <c r="D713" s="58" t="n">
        <f aca="false">D712*D692</f>
        <v>660.505123195072</v>
      </c>
      <c r="E713" s="58" t="n">
        <f aca="false">E712*E692</f>
        <v>422.733901368244</v>
      </c>
      <c r="F713" s="58" t="n">
        <f aca="false">F712*F692</f>
        <v>443.163447526124</v>
      </c>
      <c r="G713" s="58" t="n">
        <f aca="false">G712*G692</f>
        <v>416.157105213337</v>
      </c>
      <c r="H713" s="58" t="n">
        <f aca="false">H712*H692</f>
        <v>404.206255498228</v>
      </c>
      <c r="I713" s="58" t="n">
        <f aca="false">I712*I692</f>
        <v>505.749585007514</v>
      </c>
      <c r="J713" s="58" t="n">
        <f aca="false">J712*J692</f>
        <v>511.683571467962</v>
      </c>
      <c r="K713" s="58" t="n">
        <f aca="false">K712*K692</f>
        <v>530.341953559842</v>
      </c>
      <c r="L713" s="58" t="n">
        <f aca="false">L712*L692</f>
        <v>706.854122526603</v>
      </c>
    </row>
    <row r="714" customFormat="false" ht="15" hidden="true" customHeight="false" outlineLevel="1" collapsed="false">
      <c r="A714" s="6" t="s">
        <v>423</v>
      </c>
      <c r="B714" s="29" t="n">
        <f aca="false">B712</f>
        <v>-962.523078883332</v>
      </c>
      <c r="C714" s="29" t="n">
        <f aca="false">B714+C712</f>
        <v>-1460.47447174686</v>
      </c>
      <c r="D714" s="29" t="n">
        <f aca="false">C714+D712</f>
        <v>-892.583798928391</v>
      </c>
      <c r="E714" s="29" t="n">
        <f aca="false">D714+E712</f>
        <v>-543.103833868422</v>
      </c>
      <c r="F714" s="29" t="n">
        <f aca="false">E714+F712</f>
        <v>-190.82560932538</v>
      </c>
      <c r="G714" s="29" t="n">
        <f aca="false">F714+G712</f>
        <v>127.261332875479</v>
      </c>
      <c r="H714" s="29" t="n">
        <f aca="false">G714+H712</f>
        <v>424.33093762519</v>
      </c>
      <c r="I714" s="29" t="n">
        <f aca="false">H714+I712</f>
        <v>781.733271203534</v>
      </c>
      <c r="J714" s="29" t="n">
        <f aca="false">I714+J712</f>
        <v>1129.4214961472</v>
      </c>
      <c r="K714" s="29" t="n">
        <f aca="false">J714+K712</f>
        <v>1475.92781133355</v>
      </c>
      <c r="L714" s="29" t="n">
        <f aca="false">K714+L712</f>
        <v>1919.99800714508</v>
      </c>
    </row>
    <row r="715" customFormat="false" ht="15" hidden="true" customHeight="false" outlineLevel="1" collapsed="false">
      <c r="A715" s="9" t="s">
        <v>424</v>
      </c>
      <c r="B715" s="60" t="n">
        <v>0</v>
      </c>
      <c r="C715" s="60" t="n">
        <f aca="false">IF(AND(B714&lt;0,C714&gt;=0),B$43+(-B714)/C712,0)</f>
        <v>0</v>
      </c>
      <c r="D715" s="60" t="n">
        <f aca="false">IF(AND(C714&lt;0,D714&gt;=0),C$43+(-C714)/D712,0)</f>
        <v>0</v>
      </c>
      <c r="E715" s="60" t="n">
        <f aca="false">IF(AND(D714&lt;0,E714&gt;=0),D$43+(-D714)/E712,0)</f>
        <v>0</v>
      </c>
      <c r="F715" s="60" t="n">
        <f aca="false">IF(AND(E714&lt;0,F714&gt;=0),E$43+(-E714)/F712,0)</f>
        <v>0</v>
      </c>
      <c r="G715" s="60" t="n">
        <f aca="false">IF(AND(F714&lt;0,G714&gt;=0),F$43+(-F714)/G712,0)</f>
        <v>4.59991651340683</v>
      </c>
      <c r="H715" s="60" t="n">
        <f aca="false">IF(AND(G714&lt;0,H714&gt;=0),G$43+(-G714)/H712,0)</f>
        <v>0</v>
      </c>
      <c r="I715" s="60" t="n">
        <f aca="false">IF(AND(H714&lt;0,I714&gt;=0),H$43+(-H714)/I712,0)</f>
        <v>0</v>
      </c>
      <c r="J715" s="60" t="n">
        <f aca="false">IF(AND(I714&lt;0,J714&gt;=0),I$43+(-I714)/J712,0)</f>
        <v>0</v>
      </c>
      <c r="K715" s="60" t="n">
        <f aca="false">IF(AND(J714&lt;0,K714&gt;=0),J$43+(-J714)/K712,0)</f>
        <v>0</v>
      </c>
      <c r="L715" s="60" t="n">
        <f aca="false">IF(AND(K714&lt;0,L714&gt;=0),K$43+(-K714)/L712,0)</f>
        <v>0</v>
      </c>
    </row>
    <row r="716" customFormat="false" ht="15" hidden="true" customHeight="false" outlineLevel="1" collapsed="false">
      <c r="A716" s="9" t="s">
        <v>425</v>
      </c>
      <c r="B716" s="57" t="n">
        <f aca="false">(B692/$B$692)/(1+$Q$25)^B$43</f>
        <v>1</v>
      </c>
      <c r="C716" s="57" t="n">
        <f aca="false">(C692/$B$692)/(1+$Q$25)^C$43</f>
        <v>0.911731377886607</v>
      </c>
      <c r="D716" s="57" t="n">
        <f aca="false">(D692/$B$692)/(1+$Q$25)^D$43</f>
        <v>0.827295752540044</v>
      </c>
      <c r="E716" s="57" t="n">
        <f aca="false">(E692/$B$692)/(1+$Q$25)^E$43</f>
        <v>0.74708795832228</v>
      </c>
      <c r="F716" s="57" t="n">
        <f aca="false">(F692/$B$692)/(1+$Q$25)^F$43</f>
        <v>0.674656452370868</v>
      </c>
      <c r="G716" s="57" t="n">
        <f aca="false">(G692/$B$692)/(1+$Q$25)^G$43</f>
        <v>0.609247309711418</v>
      </c>
      <c r="H716" s="57" t="n">
        <f aca="false">(H692/$B$692)/(1+$Q$25)^H$43</f>
        <v>0.550179699736357</v>
      </c>
      <c r="I716" s="57" t="n">
        <f aca="false">(I692/$B$692)/(1+$Q$25)^I$43</f>
        <v>0.496838799576098</v>
      </c>
      <c r="J716" s="57" t="n">
        <f aca="false">(J692/$B$692)/(1+$Q$25)^J$43</f>
        <v>0.448669394531472</v>
      </c>
      <c r="K716" s="57" t="n">
        <f aca="false">(K692/$B$692)/(1+$Q$25)^K$43</f>
        <v>0.405170098955617</v>
      </c>
      <c r="L716" s="57" t="n">
        <f aca="false">(L692/$B$692)/(1+$Q$25)^L$43</f>
        <v>0.365888137431645</v>
      </c>
    </row>
    <row r="717" customFormat="false" ht="15" hidden="true" customHeight="false" outlineLevel="1" collapsed="false">
      <c r="A717" s="9" t="s">
        <v>426</v>
      </c>
      <c r="B717" s="58" t="n">
        <f aca="false">B712*B716</f>
        <v>-962.523078883332</v>
      </c>
      <c r="C717" s="58" t="n">
        <f aca="false">C712*C716</f>
        <v>-453.997909536021</v>
      </c>
      <c r="D717" s="58" t="n">
        <f aca="false">D712*D716</f>
        <v>469.813541529829</v>
      </c>
      <c r="E717" s="58" t="n">
        <f aca="false">E712*E716</f>
        <v>261.092273571194</v>
      </c>
      <c r="F717" s="58" t="n">
        <f aca="false">F712*F716</f>
        <v>237.666777217717</v>
      </c>
      <c r="G717" s="58" t="n">
        <f aca="false">G712*G716</f>
        <v>193.793613790204</v>
      </c>
      <c r="H717" s="58" t="n">
        <f aca="false">H712*H716</f>
        <v>163.441665941994</v>
      </c>
      <c r="I717" s="58" t="n">
        <f aca="false">I712*I716</f>
        <v>177.571346380761</v>
      </c>
      <c r="J717" s="58" t="n">
        <f aca="false">J712*J716</f>
        <v>155.997065371199</v>
      </c>
      <c r="K717" s="58" t="n">
        <f aca="false">K712*K716</f>
        <v>140.393998012796</v>
      </c>
      <c r="L717" s="58" t="n">
        <f aca="false">L712*L716</f>
        <v>162.480016834389</v>
      </c>
    </row>
    <row r="718" customFormat="false" ht="15" hidden="true" customHeight="false" outlineLevel="1" collapsed="false">
      <c r="A718" s="9" t="s">
        <v>427</v>
      </c>
      <c r="B718" s="58" t="n">
        <f aca="false">B717</f>
        <v>-962.523078883332</v>
      </c>
      <c r="C718" s="58" t="n">
        <f aca="false">B718+C717</f>
        <v>-1416.52098841935</v>
      </c>
      <c r="D718" s="58" t="n">
        <f aca="false">C718+D717</f>
        <v>-946.707446889524</v>
      </c>
      <c r="E718" s="58" t="n">
        <f aca="false">D718+E717</f>
        <v>-685.61517331833</v>
      </c>
      <c r="F718" s="58" t="n">
        <f aca="false">E718+F717</f>
        <v>-447.948396100613</v>
      </c>
      <c r="G718" s="58" t="n">
        <f aca="false">F718+G717</f>
        <v>-254.154782310409</v>
      </c>
      <c r="H718" s="58" t="n">
        <f aca="false">G718+H717</f>
        <v>-90.7131163684151</v>
      </c>
      <c r="I718" s="58" t="n">
        <f aca="false">H718+I717</f>
        <v>86.8582300123458</v>
      </c>
      <c r="J718" s="58" t="n">
        <f aca="false">I718+J717</f>
        <v>242.855295383545</v>
      </c>
      <c r="K718" s="58" t="n">
        <f aca="false">J718+K717</f>
        <v>383.249293396341</v>
      </c>
      <c r="L718" s="58" t="n">
        <f aca="false">K718+L717</f>
        <v>545.72931023073</v>
      </c>
    </row>
    <row r="719" customFormat="false" ht="15" hidden="true" customHeight="false" outlineLevel="1" collapsed="false">
      <c r="A719" s="9" t="s">
        <v>428</v>
      </c>
      <c r="B719" s="60" t="n">
        <v>0</v>
      </c>
      <c r="C719" s="60" t="n">
        <f aca="false">IF(AND(B718&lt;0,C718&gt;=0),B$43+(-B718)/C717,0)</f>
        <v>0</v>
      </c>
      <c r="D719" s="60" t="n">
        <f aca="false">IF(AND(C718&lt;0,D718&gt;=0),C$43+(-C718)/D717,0)</f>
        <v>0</v>
      </c>
      <c r="E719" s="60" t="n">
        <f aca="false">IF(AND(D718&lt;0,E718&gt;=0),D$43+(-D718)/E717,0)</f>
        <v>0</v>
      </c>
      <c r="F719" s="60" t="n">
        <f aca="false">IF(AND(E718&lt;0,F718&gt;=0),E$43+(-E718)/F717,0)</f>
        <v>0</v>
      </c>
      <c r="G719" s="60" t="n">
        <f aca="false">IF(AND(F718&lt;0,G718&gt;=0),F$43+(-F718)/G717,0)</f>
        <v>0</v>
      </c>
      <c r="H719" s="60" t="n">
        <f aca="false">IF(AND(G718&lt;0,H718&gt;=0),G$43+(-G718)/H717,0)</f>
        <v>0</v>
      </c>
      <c r="I719" s="60" t="n">
        <f aca="false">IF(AND(H718&lt;0,I718&gt;=0),H$43+(-H718)/I717,0)</f>
        <v>6.51085447183523</v>
      </c>
      <c r="J719" s="60" t="n">
        <f aca="false">IF(AND(I718&lt;0,J718&gt;=0),I$43+(-I718)/J717,0)</f>
        <v>0</v>
      </c>
      <c r="K719" s="60" t="n">
        <f aca="false">IF(AND(J718&lt;0,K718&gt;=0),J$43+(-J718)/K717,0)</f>
        <v>0</v>
      </c>
      <c r="L719" s="60" t="n">
        <f aca="false">IF(AND(K718&lt;0,L718&gt;=0),K$43+(-K718)/L717,0)</f>
        <v>0</v>
      </c>
    </row>
    <row r="720" customFormat="false" ht="15" hidden="true" customHeight="false" outlineLevel="1" collapsed="false">
      <c r="A720" s="9" t="s">
        <v>429</v>
      </c>
      <c r="B720" s="58" t="n">
        <f aca="false">IF(B$43&lt;0,0,(Quesería!$B$44*$B$695*$B$692)*(1-MAX(0,MIN(B$43-0-Quesería!$B$47,(Quesería!$B$46-Quesería!$B$47)))/(Quesería!$B$46-Quesería!$B$47))*IF(B$43&gt;=2,1-Quesería!$B$48,1))+IF(B$43&lt;1,0,(Quesería!$B$44*$C$695*$C$692)*(1-MAX(0,MIN(B$43-1-Quesería!$B$47,(Quesería!$B$46-Quesería!$B$47)))/(Quesería!$B$46-Quesería!$B$47))*IF(B$43&gt;=2,1-Quesería!$B$48,1))</f>
        <v>641.321364968425</v>
      </c>
      <c r="C720" s="58" t="n">
        <f aca="false">IF(C$43&lt;0,0,(Quesería!$B$44*$B$695*$B$692)*(1-MAX(0,MIN(C$43-0-Quesería!$B$47,(Quesería!$B$46-Quesería!$B$47)))/(Quesería!$B$46-Quesería!$B$47))*IF(C$43&gt;=2,1-Quesería!$B$48,1))+IF(C$43&lt;1,0,(Quesería!$B$44*$C$695*$C$692)*(1-MAX(0,MIN(C$43-1-Quesería!$B$47,(Quesería!$B$46-Quesería!$B$47)))/(Quesería!$B$46-Quesería!$B$47))*IF(C$43&gt;=2,1-Quesería!$B$48,1))</f>
        <v>1190.03581125409</v>
      </c>
      <c r="D720" s="58" t="n">
        <f aca="false">IF(D$43&lt;0,0,(Quesería!$B$44*$B$695*$B$692)*(1-MAX(0,MIN(D$43-0-Quesería!$B$47,(Quesería!$B$46-Quesería!$B$47)))/(Quesería!$B$46-Quesería!$B$47))*IF(D$43&gt;=2,1-Quesería!$B$48,1))+IF(D$43&lt;1,0,(Quesería!$B$44*$C$695*$C$692)*(1-MAX(0,MIN(D$43-1-Quesería!$B$47,(Quesería!$B$46-Quesería!$B$47)))/(Quesería!$B$46-Quesería!$B$47))*IF(D$43&gt;=2,1-Quesería!$B$48,1))</f>
        <v>1083.14891709269</v>
      </c>
      <c r="E720" s="58" t="n">
        <f aca="false">IF(E$43&lt;0,0,(Quesería!$B$44*$B$695*$B$692)*(1-MAX(0,MIN(E$43-0-Quesería!$B$47,(Quesería!$B$46-Quesería!$B$47)))/(Quesería!$B$46-Quesería!$B$47))*IF(E$43&gt;=2,1-Quesería!$B$48,1))+IF(E$43&lt;1,0,(Quesería!$B$44*$C$695*$C$692)*(1-MAX(0,MIN(E$43-1-Quesería!$B$47,(Quesería!$B$46-Quesería!$B$47)))/(Quesería!$B$46-Quesería!$B$47))*IF(E$43&gt;=2,1-Quesería!$B$48,1))</f>
        <v>884.809615217005</v>
      </c>
      <c r="F720" s="58" t="n">
        <f aca="false">IF(F$43&lt;0,0,(Quesería!$B$44*$B$695*$B$692)*(1-MAX(0,MIN(F$43-0-Quesería!$B$47,(Quesería!$B$46-Quesería!$B$47)))/(Quesería!$B$46-Quesería!$B$47))*IF(F$43&gt;=2,1-Quesería!$B$48,1))+IF(F$43&lt;1,0,(Quesería!$B$44*$C$695*$C$692)*(1-MAX(0,MIN(F$43-1-Quesería!$B$47,(Quesería!$B$46-Quesería!$B$47)))/(Quesería!$B$46-Quesería!$B$47))*IF(F$43&gt;=2,1-Quesería!$B$48,1))</f>
        <v>686.470313341323</v>
      </c>
      <c r="G720" s="58" t="n">
        <f aca="false">IF(G$43&lt;0,0,(Quesería!$B$44*$B$695*$B$692)*(1-MAX(0,MIN(G$43-0-Quesería!$B$47,(Quesería!$B$46-Quesería!$B$47)))/(Quesería!$B$46-Quesería!$B$47))*IF(G$43&gt;=2,1-Quesería!$B$48,1))+IF(G$43&lt;1,0,(Quesería!$B$44*$C$695*$C$692)*(1-MAX(0,MIN(G$43-1-Quesería!$B$47,(Quesería!$B$46-Quesería!$B$47)))/(Quesería!$B$46-Quesería!$B$47))*IF(G$43&gt;=2,1-Quesería!$B$48,1))</f>
        <v>488.131011465641</v>
      </c>
      <c r="H720" s="58" t="n">
        <f aca="false">IF(H$43&lt;0,0,(Quesería!$B$44*$B$695*$B$692)*(1-MAX(0,MIN(H$43-0-Quesería!$B$47,(Quesería!$B$46-Quesería!$B$47)))/(Quesería!$B$46-Quesería!$B$47))*IF(H$43&gt;=2,1-Quesería!$B$48,1))+IF(H$43&lt;1,0,(Quesería!$B$44*$C$695*$C$692)*(1-MAX(0,MIN(H$43-1-Quesería!$B$47,(Quesería!$B$46-Quesería!$B$47)))/(Quesería!$B$46-Quesería!$B$47))*IF(H$43&gt;=2,1-Quesería!$B$48,1))</f>
        <v>289.79170958996</v>
      </c>
      <c r="I720" s="58" t="n">
        <f aca="false">IF(I$43&lt;0,0,(Quesería!$B$44*$B$695*$B$692)*(1-MAX(0,MIN(I$43-0-Quesería!$B$47,(Quesería!$B$46-Quesería!$B$47)))/(Quesería!$B$46-Quesería!$B$47))*IF(I$43&gt;=2,1-Quesería!$B$48,1))+IF(I$43&lt;1,0,(Quesería!$B$44*$C$695*$C$692)*(1-MAX(0,MIN(I$43-1-Quesería!$B$47,(Quesería!$B$46-Quesería!$B$47)))/(Quesería!$B$46-Quesería!$B$47))*IF(I$43&gt;=2,1-Quesería!$B$48,1))</f>
        <v>91.4524077142776</v>
      </c>
      <c r="J720" s="58" t="n">
        <f aca="false">IF(J$43&lt;0,0,(Quesería!$B$44*$B$695*$B$692)*(1-MAX(0,MIN(J$43-0-Quesería!$B$47,(Quesería!$B$46-Quesería!$B$47)))/(Quesería!$B$46-Quesería!$B$47))*IF(J$43&gt;=2,1-Quesería!$B$48,1))+IF(J$43&lt;1,0,(Quesería!$B$44*$C$695*$C$692)*(1-MAX(0,MIN(J$43-1-Quesería!$B$47,(Quesería!$B$46-Quesería!$B$47)))/(Quesería!$B$46-Quesería!$B$47))*IF(J$43&gt;=2,1-Quesería!$B$48,1))</f>
        <v>0</v>
      </c>
      <c r="K720" s="58" t="n">
        <f aca="false">IF(K$43&lt;0,0,(Quesería!$B$44*$B$695*$B$692)*(1-MAX(0,MIN(K$43-0-Quesería!$B$47,(Quesería!$B$46-Quesería!$B$47)))/(Quesería!$B$46-Quesería!$B$47))*IF(K$43&gt;=2,1-Quesería!$B$48,1))+IF(K$43&lt;1,0,(Quesería!$B$44*$C$695*$C$692)*(1-MAX(0,MIN(K$43-1-Quesería!$B$47,(Quesería!$B$46-Quesería!$B$47)))/(Quesería!$B$46-Quesería!$B$47))*IF(K$43&gt;=2,1-Quesería!$B$48,1))</f>
        <v>0</v>
      </c>
      <c r="L720" s="58" t="n">
        <f aca="false">IF(L$43&lt;0,0,(Quesería!$B$44*$B$695*$B$692)*(1-MAX(0,MIN(L$43-0-Quesería!$B$47,(Quesería!$B$46-Quesería!$B$47)))/(Quesería!$B$46-Quesería!$B$47))*IF(L$43&gt;=2,1-Quesería!$B$48,1))+IF(L$43&lt;1,0,(Quesería!$B$44*$C$695*$C$692)*(1-MAX(0,MIN(L$43-1-Quesería!$B$47,(Quesería!$B$46-Quesería!$B$47)))/(Quesería!$B$46-Quesería!$B$47))*IF(L$43&gt;=2,1-Quesería!$B$48,1))</f>
        <v>0</v>
      </c>
    </row>
    <row r="721" customFormat="false" ht="15" hidden="true" customHeight="false" outlineLevel="1" collapsed="false">
      <c r="A721" s="6" t="s">
        <v>430</v>
      </c>
      <c r="B721" s="29" t="n">
        <f aca="false">Quesería!$B$44*B695</f>
        <v>605.02015563059</v>
      </c>
      <c r="C721" s="29" t="n">
        <f aca="false">Quesería!$B$44*C695</f>
        <v>493.004893338424</v>
      </c>
      <c r="D721" s="29" t="n">
        <f aca="false">Quesería!$B$44*D695</f>
        <v>0</v>
      </c>
      <c r="E721" s="29" t="n">
        <f aca="false">Quesería!$B$44*E695</f>
        <v>0</v>
      </c>
      <c r="F721" s="29" t="n">
        <f aca="false">Quesería!$B$44*F695</f>
        <v>0</v>
      </c>
      <c r="G721" s="29" t="n">
        <f aca="false">Quesería!$B$44*G695</f>
        <v>0</v>
      </c>
      <c r="H721" s="29" t="n">
        <f aca="false">Quesería!$B$44*H695</f>
        <v>0</v>
      </c>
      <c r="I721" s="29" t="n">
        <f aca="false">Quesería!$B$44*I695</f>
        <v>0</v>
      </c>
      <c r="J721" s="29" t="n">
        <f aca="false">Quesería!$B$44*J695</f>
        <v>0</v>
      </c>
      <c r="K721" s="29" t="n">
        <f aca="false">Quesería!$B$44*K695</f>
        <v>0</v>
      </c>
      <c r="L721" s="29" t="n">
        <f aca="false">Quesería!$B$44*L695</f>
        <v>0</v>
      </c>
    </row>
    <row r="722" customFormat="false" ht="15" hidden="true" customHeight="false" outlineLevel="1" collapsed="false">
      <c r="A722" s="6" t="s">
        <v>431</v>
      </c>
      <c r="B722" s="29" t="n">
        <f aca="false">(IF(AND(B$43&gt;0,B$43&lt;=0+Quesería!$B$46),($Q$14+$Q$24)*(Quesería!$B$44*$B$695*$B$692)*(1-MAX(0,MIN((B$43-1)-0-Quesería!$B$47,(Quesería!$B$46-Quesería!$B$47)))/(Quesería!$B$46-Quesería!$B$47))*IF(B$43&gt;2,1-Quesería!$B$48,1),0)+IF(AND(B$43&gt;1,B$43&lt;=1+Quesería!$B$46),($Q$14+$Q$24)*(Quesería!$B$44*$C$695*$C$692)*(1-MAX(0,MIN((B$43-1)-1-Quesería!$B$47,(Quesería!$B$46-Quesería!$B$47)))/(Quesería!$B$46-Quesería!$B$47))*IF(B$43&gt;2,1-Quesería!$B$48,1),0))*B694</f>
        <v>0</v>
      </c>
      <c r="C722" s="29" t="n">
        <f aca="false">(IF(AND(C$43&gt;0,C$43&lt;=0+Quesería!$B$46),($Q$14+$Q$24)*(Quesería!$B$44*$B$695*$B$692)*(1-MAX(0,MIN((C$43-1)-0-Quesería!$B$47,(Quesería!$B$46-Quesería!$B$47)))/(Quesería!$B$46-Quesería!$B$47))*IF(C$43&gt;2,1-Quesería!$B$48,1),0)+IF(AND(C$43&gt;1,C$43&lt;=1+Quesería!$B$46),($Q$14+$Q$24)*(Quesería!$B$44*$C$695*$C$692)*(1-MAX(0,MIN((C$43-1)-1-Quesería!$B$47,(Quesería!$B$46-Quesería!$B$47)))/(Quesería!$B$46-Quesería!$B$47))*IF(C$43&gt;2,1-Quesería!$B$48,1),0))*C694</f>
        <v>81.2455637561078</v>
      </c>
      <c r="D722" s="29" t="n">
        <f aca="false">(IF(AND(D$43&gt;0,D$43&lt;=0+Quesería!$B$46),($Q$14+$Q$24)*(Quesería!$B$44*$B$695*$B$692)*(1-MAX(0,MIN((D$43-1)-0-Quesería!$B$47,(Quesería!$B$46-Quesería!$B$47)))/(Quesería!$B$46-Quesería!$B$47))*IF(D$43&gt;2,1-Quesería!$B$48,1),0)+IF(AND(D$43&gt;1,D$43&lt;=1+Quesería!$B$46),($Q$14+$Q$24)*(Quesería!$B$44*$C$695*$C$692)*(1-MAX(0,MIN((D$43-1)-1-Quesería!$B$47,(Quesería!$B$46-Quesería!$B$47)))/(Quesería!$B$46-Quesería!$B$47))*IF(D$43&gt;2,1-Quesería!$B$48,1),0))*D694</f>
        <v>144.267228437154</v>
      </c>
      <c r="E722" s="29" t="n">
        <f aca="false">(IF(AND(E$43&gt;0,E$43&lt;=0+Quesería!$B$46),($Q$14+$Q$24)*(Quesería!$B$44*$B$695*$B$692)*(1-MAX(0,MIN((E$43-1)-0-Quesería!$B$47,(Quesería!$B$46-Quesería!$B$47)))/(Quesería!$B$46-Quesería!$B$47))*IF(E$43&gt;2,1-Quesería!$B$48,1),0)+IF(AND(E$43&gt;1,E$43&lt;=1+Quesería!$B$46),($Q$14+$Q$24)*(Quesería!$B$44*$C$695*$C$692)*(1-MAX(0,MIN((E$43-1)-1-Quesería!$B$47,(Quesería!$B$46-Quesería!$B$47)))/(Quesería!$B$46-Quesería!$B$47))*IF(E$43&gt;2,1-Quesería!$B$48,1),0))*E694</f>
        <v>126.259041612202</v>
      </c>
      <c r="F722" s="29" t="n">
        <f aca="false">(IF(AND(F$43&gt;0,F$43&lt;=0+Quesería!$B$46),($Q$14+$Q$24)*(Quesería!$B$44*$B$695*$B$692)*(1-MAX(0,MIN((F$43-1)-0-Quesería!$B$47,(Quesería!$B$46-Quesería!$B$47)))/(Quesería!$B$46-Quesería!$B$47))*IF(F$43&gt;2,1-Quesería!$B$48,1),0)+IF(AND(F$43&gt;1,F$43&lt;=1+Quesería!$B$46),($Q$14+$Q$24)*(Quesería!$B$44*$C$695*$C$692)*(1-MAX(0,MIN((F$43-1)-1-Quesería!$B$47,(Quesería!$B$46-Quesería!$B$47)))/(Quesería!$B$46-Quesería!$B$47))*IF(F$43&gt;2,1-Quesería!$B$48,1),0))*F694</f>
        <v>99.1723975627135</v>
      </c>
      <c r="G722" s="29" t="n">
        <f aca="false">(IF(AND(G$43&gt;0,G$43&lt;=0+Quesería!$B$46),($Q$14+$Q$24)*(Quesería!$B$44*$B$695*$B$692)*(1-MAX(0,MIN((G$43-1)-0-Quesería!$B$47,(Quesería!$B$46-Quesería!$B$47)))/(Quesería!$B$46-Quesería!$B$47))*IF(G$43&gt;2,1-Quesería!$B$48,1),0)+IF(AND(G$43&gt;1,G$43&lt;=1+Quesería!$B$46),($Q$14+$Q$24)*(Quesería!$B$44*$C$695*$C$692)*(1-MAX(0,MIN((G$43-1)-1-Quesería!$B$47,(Quesería!$B$46-Quesería!$B$47)))/(Quesería!$B$46-Quesería!$B$47))*IF(G$43&gt;2,1-Quesería!$B$48,1),0))*G694</f>
        <v>73.9825677868365</v>
      </c>
      <c r="H722" s="29" t="n">
        <f aca="false">(IF(AND(H$43&gt;0,H$43&lt;=0+Quesería!$B$46),($Q$14+$Q$24)*(Quesería!$B$44*$B$695*$B$692)*(1-MAX(0,MIN((H$43-1)-0-Quesería!$B$47,(Quesería!$B$46-Quesería!$B$47)))/(Quesería!$B$46-Quesería!$B$47))*IF(H$43&gt;2,1-Quesería!$B$48,1),0)+IF(AND(H$43&gt;1,H$43&lt;=1+Quesería!$B$46),($Q$14+$Q$24)*(Quesería!$B$44*$C$695*$C$692)*(1-MAX(0,MIN((H$43-1)-1-Quesería!$B$47,(Quesería!$B$46-Quesería!$B$47)))/(Quesería!$B$46-Quesería!$B$47))*IF(H$43&gt;2,1-Quesería!$B$48,1),0))*H694</f>
        <v>50.583712494366</v>
      </c>
      <c r="I722" s="29" t="n">
        <f aca="false">(IF(AND(I$43&gt;0,I$43&lt;=0+Quesería!$B$46),($Q$14+$Q$24)*(Quesería!$B$44*$B$695*$B$692)*(1-MAX(0,MIN((I$43-1)-0-Quesería!$B$47,(Quesería!$B$46-Quesería!$B$47)))/(Quesería!$B$46-Quesería!$B$47))*IF(I$43&gt;2,1-Quesería!$B$48,1),0)+IF(AND(I$43&gt;1,I$43&lt;=1+Quesería!$B$46),($Q$14+$Q$24)*(Quesería!$B$44*$C$695*$C$692)*(1-MAX(0,MIN((I$43-1)-1-Quesería!$B$47,(Quesería!$B$46-Quesería!$B$47)))/(Quesería!$B$46-Quesería!$B$47))*IF(I$43&gt;2,1-Quesería!$B$48,1),0))*I694</f>
        <v>28.8753274791465</v>
      </c>
      <c r="J722" s="29" t="n">
        <f aca="false">(IF(AND(J$43&gt;0,J$43&lt;=0+Quesería!$B$46),($Q$14+$Q$24)*(Quesería!$B$44*$B$695*$B$692)*(1-MAX(0,MIN((J$43-1)-0-Quesería!$B$47,(Quesería!$B$46-Quesería!$B$47)))/(Quesería!$B$46-Quesería!$B$47))*IF(J$43&gt;2,1-Quesería!$B$48,1),0)+IF(AND(J$43&gt;1,J$43&lt;=1+Quesería!$B$46),($Q$14+$Q$24)*(Quesería!$B$44*$C$695*$C$692)*(1-MAX(0,MIN((J$43-1)-1-Quesería!$B$47,(Quesería!$B$46-Quesería!$B$47)))/(Quesería!$B$46-Quesería!$B$47))*IF(J$43&gt;2,1-Quesería!$B$48,1),0))*J694</f>
        <v>8.76199025726588</v>
      </c>
      <c r="K722" s="29" t="n">
        <f aca="false">(IF(AND(K$43&gt;0,K$43&lt;=0+Quesería!$B$46),($Q$14+$Q$24)*(Quesería!$B$44*$B$695*$B$692)*(1-MAX(0,MIN((K$43-1)-0-Quesería!$B$47,(Quesería!$B$46-Quesería!$B$47)))/(Quesería!$B$46-Quesería!$B$47))*IF(K$43&gt;2,1-Quesería!$B$48,1),0)+IF(AND(K$43&gt;1,K$43&lt;=1+Quesería!$B$46),($Q$14+$Q$24)*(Quesería!$B$44*$C$695*$C$692)*(1-MAX(0,MIN((K$43-1)-1-Quesería!$B$47,(Quesería!$B$46-Quesería!$B$47)))/(Quesería!$B$46-Quesería!$B$47))*IF(K$43&gt;2,1-Quesería!$B$48,1),0))*K694</f>
        <v>0</v>
      </c>
      <c r="L722" s="29" t="n">
        <f aca="false">(IF(AND(L$43&gt;0,L$43&lt;=0+Quesería!$B$46),($Q$14+$Q$24)*(Quesería!$B$44*$B$695*$B$692)*(1-MAX(0,MIN((L$43-1)-0-Quesería!$B$47,(Quesería!$B$46-Quesería!$B$47)))/(Quesería!$B$46-Quesería!$B$47))*IF(L$43&gt;2,1-Quesería!$B$48,1),0)+IF(AND(L$43&gt;1,L$43&lt;=1+Quesería!$B$46),($Q$14+$Q$24)*(Quesería!$B$44*$C$695*$C$692)*(1-MAX(0,MIN((L$43-1)-1-Quesería!$B$47,(Quesería!$B$46-Quesería!$B$47)))/(Quesería!$B$46-Quesería!$B$47))*IF(L$43&gt;2,1-Quesería!$B$48,1),0))*L694</f>
        <v>0</v>
      </c>
    </row>
    <row r="723" customFormat="false" ht="15" hidden="true" customHeight="false" outlineLevel="1" collapsed="false">
      <c r="A723" s="6" t="s">
        <v>432</v>
      </c>
      <c r="B723" s="29" t="n">
        <f aca="false">((IF(AND(B$43&gt;0+Quesería!$B$47,B$43&lt;=0+Quesería!$B$46),(Quesería!$B$44*$B$695*$B$692)/(Quesería!$B$46-Quesería!$B$47),0)*IF(B$43&gt;2,1-Quesería!$B$48,1)+IF(B$43=2,Quesería!$B$48*(Quesería!$B$44*$B$695*$B$692)*(1-MAX(0,MIN(2-0-Quesería!$B$47,(Quesería!$B$46-Quesería!$B$47)))/(Quesería!$B$46-Quesería!$B$47)),0))+(IF(AND(B$43&gt;1+Quesería!$B$47,B$43&lt;=1+Quesería!$B$46),(Quesería!$B$44*$C$695*$C$692)/(Quesería!$B$46-Quesería!$B$47),0)*IF(B$43&gt;2,1-Quesería!$B$48,1)+IF(B$43=2,Quesería!$B$48*(Quesería!$B$44*$C$695*$C$692)*(1-MAX(0,MIN(2-1-Quesería!$B$47,(Quesería!$B$46-Quesería!$B$47)))/(Quesería!$B$46-Quesería!$B$47)),0)))*B694</f>
        <v>0</v>
      </c>
      <c r="C723" s="29" t="n">
        <f aca="false">((IF(AND(C$43&gt;0+Quesería!$B$47,C$43&lt;=0+Quesería!$B$46),(Quesería!$B$44*$B$695*$B$692)/(Quesería!$B$46-Quesería!$B$47),0)*IF(C$43&gt;2,1-Quesería!$B$48,1)+IF(C$43=2,Quesería!$B$48*(Quesería!$B$44*$B$695*$B$692)*(1-MAX(0,MIN(2-0-Quesería!$B$47,(Quesería!$B$46-Quesería!$B$47)))/(Quesería!$B$46-Quesería!$B$47)),0))+(IF(AND(C$43&gt;1+Quesería!$B$47,C$43&lt;=1+Quesería!$B$46),(Quesería!$B$44*$C$695*$C$692)/(Quesería!$B$46-Quesería!$B$47),0)*IF(C$43&gt;2,1-Quesería!$B$48,1)+IF(C$43=2,Quesería!$B$48*(Quesería!$B$44*$C$695*$C$692)*(1-MAX(0,MIN(2-1-Quesería!$B$47,(Quesería!$B$46-Quesería!$B$47)))/(Quesería!$B$46-Quesería!$B$47)),0)))*C694</f>
        <v>0</v>
      </c>
      <c r="D723" s="29" t="n">
        <f aca="false">((IF(AND(D$43&gt;0+Quesería!$B$47,D$43&lt;=0+Quesería!$B$46),(Quesería!$B$44*$B$695*$B$692)/(Quesería!$B$46-Quesería!$B$47),0)*IF(D$43&gt;2,1-Quesería!$B$48,1)+IF(D$43=2,Quesería!$B$48*(Quesería!$B$44*$B$695*$B$692)*(1-MAX(0,MIN(2-0-Quesería!$B$47,(Quesería!$B$46-Quesería!$B$47)))/(Quesería!$B$46-Quesería!$B$47)),0))+(IF(AND(D$43&gt;1+Quesería!$B$47,D$43&lt;=1+Quesería!$B$46),(Quesería!$B$44*$C$695*$C$692)/(Quesería!$B$46-Quesería!$B$47),0)*IF(D$43&gt;2,1-Quesería!$B$48,1)+IF(D$43=2,Quesería!$B$48*(Quesería!$B$44*$C$695*$C$692)*(1-MAX(0,MIN(2-1-Quesería!$B$47,(Quesería!$B$46-Quesería!$B$47)))/(Quesería!$B$46-Quesería!$B$47)),0)))*D694</f>
        <v>91.8994692231472</v>
      </c>
      <c r="E723" s="29" t="n">
        <f aca="false">((IF(AND(E$43&gt;0+Quesería!$B$47,E$43&lt;=0+Quesería!$B$46),(Quesería!$B$44*$B$695*$B$692)/(Quesería!$B$46-Quesería!$B$47),0)*IF(E$43&gt;2,1-Quesería!$B$48,1)+IF(E$43=2,Quesería!$B$48*(Quesería!$B$44*$B$695*$B$692)*(1-MAX(0,MIN(2-0-Quesería!$B$47,(Quesería!$B$46-Quesería!$B$47)))/(Quesería!$B$46-Quesería!$B$47)),0))+(IF(AND(E$43&gt;1+Quesería!$B$47,E$43&lt;=1+Quesería!$B$46),(Quesería!$B$44*$C$695*$C$692)/(Quesería!$B$46-Quesería!$B$47),0)*IF(E$43&gt;2,1-Quesería!$B$48,1)+IF(E$43=2,Quesería!$B$48*(Quesería!$B$44*$C$695*$C$692)*(1-MAX(0,MIN(2-1-Quesería!$B$47,(Quesería!$B$46-Quesería!$B$47)))/(Quesería!$B$46-Quesería!$B$47)),0)))*E694</f>
        <v>163.969845014041</v>
      </c>
      <c r="F723" s="29" t="n">
        <f aca="false">((IF(AND(F$43&gt;0+Quesería!$B$47,F$43&lt;=0+Quesería!$B$46),(Quesería!$B$44*$B$695*$B$692)/(Quesería!$B$46-Quesería!$B$47),0)*IF(F$43&gt;2,1-Quesería!$B$48,1)+IF(F$43=2,Quesería!$B$48*(Quesería!$B$44*$B$695*$B$692)*(1-MAX(0,MIN(2-0-Quesería!$B$47,(Quesería!$B$46-Quesería!$B$47)))/(Quesería!$B$46-Quesería!$B$47)),0))+(IF(AND(F$43&gt;1+Quesería!$B$47,F$43&lt;=1+Quesería!$B$46),(Quesería!$B$44*$C$695*$C$692)/(Quesería!$B$46-Quesería!$B$47),0)*IF(F$43&gt;2,1-Quesería!$B$48,1)+IF(F$43=2,Quesería!$B$48*(Quesería!$B$44*$C$695*$C$692)*(1-MAX(0,MIN(2-1-Quesería!$B$47,(Quesería!$B$46-Quesería!$B$47)))/(Quesería!$B$46-Quesería!$B$47)),0)))*F694</f>
        <v>157.663312513501</v>
      </c>
      <c r="G723" s="29" t="n">
        <f aca="false">((IF(AND(G$43&gt;0+Quesería!$B$47,G$43&lt;=0+Quesería!$B$46),(Quesería!$B$44*$B$695*$B$692)/(Quesería!$B$46-Quesería!$B$47),0)*IF(G$43&gt;2,1-Quesería!$B$48,1)+IF(G$43=2,Quesería!$B$48*(Quesería!$B$44*$B$695*$B$692)*(1-MAX(0,MIN(2-0-Quesería!$B$47,(Quesería!$B$46-Quesería!$B$47)))/(Quesería!$B$46-Quesería!$B$47)),0))+(IF(AND(G$43&gt;1+Quesería!$B$47,G$43&lt;=1+Quesería!$B$46),(Quesería!$B$44*$C$695*$C$692)/(Quesería!$B$46-Quesería!$B$47),0)*IF(G$43&gt;2,1-Quesería!$B$48,1)+IF(G$43=2,Quesería!$B$48*(Quesería!$B$44*$C$695*$C$692)*(1-MAX(0,MIN(2-1-Quesería!$B$47,(Quesería!$B$46-Quesería!$B$47)))/(Quesería!$B$46-Quesería!$B$47)),0)))*G694</f>
        <v>151.599338955289</v>
      </c>
      <c r="H723" s="29" t="n">
        <f aca="false">((IF(AND(H$43&gt;0+Quesería!$B$47,H$43&lt;=0+Quesería!$B$46),(Quesería!$B$44*$B$695*$B$692)/(Quesería!$B$46-Quesería!$B$47),0)*IF(H$43&gt;2,1-Quesería!$B$48,1)+IF(H$43=2,Quesería!$B$48*(Quesería!$B$44*$B$695*$B$692)*(1-MAX(0,MIN(2-0-Quesería!$B$47,(Quesería!$B$46-Quesería!$B$47)))/(Quesería!$B$46-Quesería!$B$47)),0))+(IF(AND(H$43&gt;1+Quesería!$B$47,H$43&lt;=1+Quesería!$B$46),(Quesería!$B$44*$C$695*$C$692)/(Quesería!$B$46-Quesería!$B$47),0)*IF(H$43&gt;2,1-Quesería!$B$48,1)+IF(H$43=2,Quesería!$B$48*(Quesería!$B$44*$C$695*$C$692)*(1-MAX(0,MIN(2-1-Quesería!$B$47,(Quesería!$B$46-Quesería!$B$47)))/(Quesería!$B$46-Quesería!$B$47)),0)))*H694</f>
        <v>145.768595149317</v>
      </c>
      <c r="I723" s="29" t="n">
        <f aca="false">((IF(AND(I$43&gt;0+Quesería!$B$47,I$43&lt;=0+Quesería!$B$46),(Quesería!$B$44*$B$695*$B$692)/(Quesería!$B$46-Quesería!$B$47),0)*IF(I$43&gt;2,1-Quesería!$B$48,1)+IF(I$43=2,Quesería!$B$48*(Quesería!$B$44*$B$695*$B$692)*(1-MAX(0,MIN(2-0-Quesería!$B$47,(Quesería!$B$46-Quesería!$B$47)))/(Quesería!$B$46-Quesería!$B$47)),0))+(IF(AND(I$43&gt;1+Quesería!$B$47,I$43&lt;=1+Quesería!$B$46),(Quesería!$B$44*$C$695*$C$692)/(Quesería!$B$46-Quesería!$B$47),0)*IF(I$43&gt;2,1-Quesería!$B$48,1)+IF(I$43=2,Quesería!$B$48*(Quesería!$B$44*$C$695*$C$692)*(1-MAX(0,MIN(2-1-Quesería!$B$47,(Quesería!$B$46-Quesería!$B$47)))/(Quesería!$B$46-Quesería!$B$47)),0)))*I694</f>
        <v>140.162110720497</v>
      </c>
      <c r="J723" s="29" t="n">
        <f aca="false">((IF(AND(J$43&gt;0+Quesería!$B$47,J$43&lt;=0+Quesería!$B$46),(Quesería!$B$44*$B$695*$B$692)/(Quesería!$B$46-Quesería!$B$47),0)*IF(J$43&gt;2,1-Quesería!$B$48,1)+IF(J$43=2,Quesería!$B$48*(Quesería!$B$44*$B$695*$B$692)*(1-MAX(0,MIN(2-0-Quesería!$B$47,(Quesería!$B$46-Quesería!$B$47)))/(Quesería!$B$46-Quesería!$B$47)),0))+(IF(AND(J$43&gt;1+Quesería!$B$47,J$43&lt;=1+Quesería!$B$46),(Quesería!$B$44*$C$695*$C$692)/(Quesería!$B$46-Quesería!$B$47),0)*IF(J$43&gt;2,1-Quesería!$B$48,1)+IF(J$43=2,Quesería!$B$48*(Quesería!$B$44*$C$695*$C$692)*(1-MAX(0,MIN(2-1-Quesería!$B$47,(Quesería!$B$46-Quesería!$B$47)))/(Quesería!$B$46-Quesería!$B$47)),0)))*J694</f>
        <v>62.1417748742261</v>
      </c>
      <c r="K723" s="29" t="n">
        <f aca="false">((IF(AND(K$43&gt;0+Quesería!$B$47,K$43&lt;=0+Quesería!$B$46),(Quesería!$B$44*$B$695*$B$692)/(Quesería!$B$46-Quesería!$B$47),0)*IF(K$43&gt;2,1-Quesería!$B$48,1)+IF(K$43=2,Quesería!$B$48*(Quesería!$B$44*$B$695*$B$692)*(1-MAX(0,MIN(2-0-Quesería!$B$47,(Quesería!$B$46-Quesería!$B$47)))/(Quesería!$B$46-Quesería!$B$47)),0))+(IF(AND(K$43&gt;1+Quesería!$B$47,K$43&lt;=1+Quesería!$B$46),(Quesería!$B$44*$C$695*$C$692)/(Quesería!$B$46-Quesería!$B$47),0)*IF(K$43&gt;2,1-Quesería!$B$48,1)+IF(K$43=2,Quesería!$B$48*(Quesería!$B$44*$C$695*$C$692)*(1-MAX(0,MIN(2-1-Quesería!$B$47,(Quesería!$B$46-Quesería!$B$47)))/(Quesería!$B$46-Quesería!$B$47)),0)))*K694</f>
        <v>0</v>
      </c>
      <c r="L723" s="29" t="n">
        <f aca="false">((IF(AND(L$43&gt;0+Quesería!$B$47,L$43&lt;=0+Quesería!$B$46),(Quesería!$B$44*$B$695*$B$692)/(Quesería!$B$46-Quesería!$B$47),0)*IF(L$43&gt;2,1-Quesería!$B$48,1)+IF(L$43=2,Quesería!$B$48*(Quesería!$B$44*$B$695*$B$692)*(1-MAX(0,MIN(2-0-Quesería!$B$47,(Quesería!$B$46-Quesería!$B$47)))/(Quesería!$B$46-Quesería!$B$47)),0))+(IF(AND(L$43&gt;1+Quesería!$B$47,L$43&lt;=1+Quesería!$B$46),(Quesería!$B$44*$C$695*$C$692)/(Quesería!$B$46-Quesería!$B$47),0)*IF(L$43&gt;2,1-Quesería!$B$48,1)+IF(L$43=2,Quesería!$B$48*(Quesería!$B$44*$C$695*$C$692)*(1-MAX(0,MIN(2-1-Quesería!$B$47,(Quesería!$B$46-Quesería!$B$47)))/(Quesería!$B$46-Quesería!$B$47)),0)))*L694</f>
        <v>0</v>
      </c>
    </row>
    <row r="724" customFormat="false" ht="15" hidden="true" customHeight="false" outlineLevel="1" collapsed="false">
      <c r="A724" s="6" t="s">
        <v>433</v>
      </c>
      <c r="B724" s="29" t="n">
        <f aca="false">$Q$13*Quesería!$B$51*(1+0.19)*B720*B694+(1-$Q$13)*IF(B$43=0,Quesería!$B$50,0)</f>
        <v>4</v>
      </c>
      <c r="C724" s="29" t="n">
        <f aca="false">$Q$13*Quesería!$B$51*(1+0.19)*C720*C694+(1-$Q$13)*IF(C$43=0,Quesería!$B$50,0)</f>
        <v>0</v>
      </c>
      <c r="D724" s="29" t="n">
        <f aca="false">$Q$13*Quesería!$B$51*(1+0.19)*D720*D694+(1-$Q$13)*IF(D$43=0,Quesería!$B$50,0)</f>
        <v>0</v>
      </c>
      <c r="E724" s="29" t="n">
        <f aca="false">$Q$13*Quesería!$B$51*(1+0.19)*E720*E694+(1-$Q$13)*IF(E$43=0,Quesería!$B$50,0)</f>
        <v>0</v>
      </c>
      <c r="F724" s="29" t="n">
        <f aca="false">$Q$13*Quesería!$B$51*(1+0.19)*F720*F694+(1-$Q$13)*IF(F$43=0,Quesería!$B$50,0)</f>
        <v>0</v>
      </c>
      <c r="G724" s="29" t="n">
        <f aca="false">$Q$13*Quesería!$B$51*(1+0.19)*G720*G694+(1-$Q$13)*IF(G$43=0,Quesería!$B$50,0)</f>
        <v>0</v>
      </c>
      <c r="H724" s="29" t="n">
        <f aca="false">$Q$13*Quesería!$B$51*(1+0.19)*H720*H694+(1-$Q$13)*IF(H$43=0,Quesería!$B$50,0)</f>
        <v>0</v>
      </c>
      <c r="I724" s="29" t="n">
        <f aca="false">$Q$13*Quesería!$B$51*(1+0.19)*I720*I694+(1-$Q$13)*IF(I$43=0,Quesería!$B$50,0)</f>
        <v>0</v>
      </c>
      <c r="J724" s="29" t="n">
        <f aca="false">$Q$13*Quesería!$B$51*(1+0.19)*J720*J694+(1-$Q$13)*IF(J$43=0,Quesería!$B$50,0)</f>
        <v>0</v>
      </c>
      <c r="K724" s="29" t="n">
        <f aca="false">$Q$13*Quesería!$B$51*(1+0.19)*K720*K694+(1-$Q$13)*IF(K$43=0,Quesería!$B$50,0)</f>
        <v>0</v>
      </c>
      <c r="L724" s="29" t="n">
        <f aca="false">$Q$13*Quesería!$B$51*(1+0.19)*L720*L694+(1-$Q$13)*IF(L$43=0,Quesería!$B$50,0)</f>
        <v>0</v>
      </c>
    </row>
    <row r="725" customFormat="false" ht="15" hidden="true" customHeight="false" outlineLevel="1" collapsed="false">
      <c r="A725" s="6" t="s">
        <v>434</v>
      </c>
      <c r="B725" s="29" t="n">
        <f aca="false">Quesería!$B$52*(B722+B723+B724)</f>
        <v>0.016</v>
      </c>
      <c r="C725" s="29" t="n">
        <f aca="false">Quesería!$B$52*(C722+C723+C724)</f>
        <v>0.324982255024431</v>
      </c>
      <c r="D725" s="29" t="n">
        <f aca="false">Quesería!$B$52*(D722+D723+D724)</f>
        <v>0.944666790641204</v>
      </c>
      <c r="E725" s="29" t="n">
        <f aca="false">Quesería!$B$52*(E722+E723+E724)</f>
        <v>1.16091554650497</v>
      </c>
      <c r="F725" s="29" t="n">
        <f aca="false">Quesería!$B$52*(F722+F723+F724)</f>
        <v>1.02734284030486</v>
      </c>
      <c r="G725" s="29" t="n">
        <f aca="false">Quesería!$B$52*(G722+G723+G724)</f>
        <v>0.902327626968503</v>
      </c>
      <c r="H725" s="29" t="n">
        <f aca="false">Quesería!$B$52*(H722+H723+H724)</f>
        <v>0.78540923057473</v>
      </c>
      <c r="I725" s="29" t="n">
        <f aca="false">Quesería!$B$52*(I722+I723+I724)</f>
        <v>0.676149752798573</v>
      </c>
      <c r="J725" s="29" t="n">
        <f aca="false">Quesería!$B$52*(J722+J723+J724)</f>
        <v>0.283615060525968</v>
      </c>
      <c r="K725" s="29" t="n">
        <f aca="false">Quesería!$B$52*(K722+K723+K724)</f>
        <v>0</v>
      </c>
      <c r="L725" s="29" t="n">
        <f aca="false">Quesería!$B$52*(L722+L723+L724)</f>
        <v>0</v>
      </c>
    </row>
    <row r="726" customFormat="false" ht="15" hidden="true" customHeight="false" outlineLevel="1" collapsed="false">
      <c r="A726" s="6" t="s">
        <v>435</v>
      </c>
      <c r="B726" s="29" t="n">
        <f aca="false">$Q$17*(B722+B724+0.5*B725)</f>
        <v>1.2024</v>
      </c>
      <c r="C726" s="29" t="n">
        <f aca="false">$Q$17*(C722+C724+0.5*C725)</f>
        <v>24.422416465086</v>
      </c>
      <c r="D726" s="29" t="n">
        <f aca="false">$Q$17*(D722+D724+0.5*D725)</f>
        <v>43.4218685497423</v>
      </c>
      <c r="E726" s="29" t="n">
        <f aca="false">$Q$17*(E722+E724+0.5*E725)</f>
        <v>38.0518498156363</v>
      </c>
      <c r="F726" s="29" t="n">
        <f aca="false">$Q$17*(F722+F724+0.5*F725)</f>
        <v>29.9058206948598</v>
      </c>
      <c r="G726" s="29" t="n">
        <f aca="false">$Q$17*(G722+G724+0.5*G725)</f>
        <v>22.3301194800962</v>
      </c>
      <c r="H726" s="29" t="n">
        <f aca="false">$Q$17*(H722+H724+0.5*H725)</f>
        <v>15.292925132896</v>
      </c>
      <c r="I726" s="29" t="n">
        <f aca="false">$Q$17*(I722+I724+0.5*I725)</f>
        <v>8.76402070666375</v>
      </c>
      <c r="J726" s="29" t="n">
        <f aca="false">$Q$17*(J722+J724+0.5*J725)</f>
        <v>2.67113933625866</v>
      </c>
      <c r="K726" s="29" t="n">
        <f aca="false">$Q$17*(K722+K724+0.5*K725)</f>
        <v>0</v>
      </c>
      <c r="L726" s="29" t="n">
        <f aca="false">$Q$17*(L722+L724+0.5*L725)</f>
        <v>0</v>
      </c>
    </row>
    <row r="727" customFormat="false" ht="15" hidden="true" customHeight="false" outlineLevel="1" collapsed="false">
      <c r="A727" s="5" t="s">
        <v>436</v>
      </c>
      <c r="B727" s="59" t="n">
        <f aca="false">B712+B721-B722-B723-B724-B725+B726</f>
        <v>-360.316523252742</v>
      </c>
      <c r="C727" s="59" t="n">
        <f aca="false">C712+C721-C722-C723-C724-C725+C726</f>
        <v>-62.0946290711523</v>
      </c>
      <c r="D727" s="59" t="n">
        <f aca="false">D712+D721-D722-D723-D724-D725+D726</f>
        <v>374.201176917272</v>
      </c>
      <c r="E727" s="59" t="n">
        <f aca="false">E712+E721-E722-E723-E724-E725+E726</f>
        <v>96.1420127028572</v>
      </c>
      <c r="F727" s="59" t="n">
        <f aca="false">F712+F721-F722-F723-F724-F725+F726</f>
        <v>124.320992321383</v>
      </c>
      <c r="G727" s="59" t="n">
        <f aca="false">G712+G721-G722-G723-G724-G725+G726</f>
        <v>113.93282731186</v>
      </c>
      <c r="H727" s="59" t="n">
        <f aca="false">H712+H721-H722-H723-H724-H725+H726</f>
        <v>115.22481300835</v>
      </c>
      <c r="I727" s="59" t="n">
        <f aca="false">I712+I721-I722-I723-I724-I725+I726</f>
        <v>196.452766332566</v>
      </c>
      <c r="J727" s="59" t="n">
        <f aca="false">J712+J721-J722-J723-J724-J725+J726</f>
        <v>279.171984087912</v>
      </c>
      <c r="K727" s="59" t="n">
        <f aca="false">K712+K721-K722-K723-K724-K725+K726</f>
        <v>346.506315186341</v>
      </c>
      <c r="L727" s="59" t="n">
        <f aca="false">L712+L721-L722-L723-L724-L725+L726</f>
        <v>444.070195811537</v>
      </c>
    </row>
    <row r="728" customFormat="false" ht="15" hidden="true" customHeight="false" outlineLevel="1" collapsed="false">
      <c r="A728" s="9" t="s">
        <v>437</v>
      </c>
      <c r="B728" s="58" t="n">
        <f aca="false">B727*B692</f>
        <v>-381.935514647906</v>
      </c>
      <c r="C728" s="58" t="n">
        <f aca="false">C727*C692</f>
        <v>-69.1113221561925</v>
      </c>
      <c r="D728" s="58" t="n">
        <f aca="false">D727*D692</f>
        <v>435.227775854825</v>
      </c>
      <c r="E728" s="58" t="n">
        <f aca="false">E727*E692</f>
        <v>116.294186158283</v>
      </c>
      <c r="F728" s="58" t="n">
        <f aca="false">F727*F692</f>
        <v>156.394905272612</v>
      </c>
      <c r="G728" s="58" t="n">
        <f aca="false">G727*G692</f>
        <v>149.059735916273</v>
      </c>
      <c r="H728" s="58" t="n">
        <f aca="false">H727*H692</f>
        <v>156.780059157613</v>
      </c>
      <c r="I728" s="58" t="n">
        <f aca="false">I727*I692</f>
        <v>277.994561623348</v>
      </c>
      <c r="J728" s="58" t="n">
        <f aca="false">J727*J692</f>
        <v>410.850030641799</v>
      </c>
      <c r="K728" s="58" t="n">
        <f aca="false">K727*K692</f>
        <v>530.341953559842</v>
      </c>
      <c r="L728" s="58" t="n">
        <f aca="false">L727*L692</f>
        <v>706.854122526603</v>
      </c>
    </row>
    <row r="729" customFormat="false" ht="15" hidden="true" customHeight="false" outlineLevel="1" collapsed="false">
      <c r="A729" s="9" t="s">
        <v>438</v>
      </c>
      <c r="B729" s="57" t="n">
        <f aca="false">(B692/$B$692)/(1+Quesería!$B$11+$Q$24)^B$43</f>
        <v>1</v>
      </c>
      <c r="C729" s="57" t="n">
        <f aca="false">(C692/$B$692)/(1+Quesería!$B$11+$Q$24)^C$43</f>
        <v>0.84</v>
      </c>
      <c r="D729" s="57" t="n">
        <f aca="false">(D692/$B$692)/(1+Quesería!$B$11+$Q$24)^D$43</f>
        <v>0.70224</v>
      </c>
      <c r="E729" s="57" t="n">
        <f aca="false">(E692/$B$692)/(1+Quesería!$B$11+$Q$24)^E$43</f>
        <v>0.58426368</v>
      </c>
      <c r="F729" s="57" t="n">
        <f aca="false">(F692/$B$692)/(1+Quesería!$B$11+$Q$24)^F$43</f>
        <v>0.48610738176</v>
      </c>
      <c r="G729" s="57" t="n">
        <f aca="false">(G692/$B$692)/(1+Quesería!$B$11+$Q$24)^G$43</f>
        <v>0.40444134162432</v>
      </c>
      <c r="H729" s="57" t="n">
        <f aca="false">(H692/$B$692)/(1+Quesería!$B$11+$Q$24)^H$43</f>
        <v>0.336495196231434</v>
      </c>
      <c r="I729" s="57" t="n">
        <f aca="false">(I692/$B$692)/(1+Quesería!$B$11+$Q$24)^I$43</f>
        <v>0.279964003264553</v>
      </c>
      <c r="J729" s="57" t="n">
        <f aca="false">(J692/$B$692)/(1+Quesería!$B$11+$Q$24)^J$43</f>
        <v>0.232930050716108</v>
      </c>
      <c r="K729" s="57" t="n">
        <f aca="false">(K692/$B$692)/(1+Quesería!$B$11+$Q$24)^K$43</f>
        <v>0.193797802195802</v>
      </c>
      <c r="L729" s="57" t="n">
        <f aca="false">(L692/$B$692)/(1+Quesería!$B$11+$Q$24)^L$43</f>
        <v>0.161239771426907</v>
      </c>
    </row>
    <row r="730" customFormat="false" ht="15" hidden="true" customHeight="false" outlineLevel="1" collapsed="false">
      <c r="A730" s="9" t="s">
        <v>439</v>
      </c>
      <c r="B730" s="58" t="n">
        <f aca="false">B712+B695+B697+B726</f>
        <v>118.595232108523</v>
      </c>
      <c r="C730" s="58" t="n">
        <f aca="false">C712+C695+C697+C726</f>
        <v>429.049212944209</v>
      </c>
      <c r="D730" s="58" t="n">
        <f aca="false">D712+D695+D697+D726</f>
        <v>611.312541368214</v>
      </c>
      <c r="E730" s="58" t="n">
        <f aca="false">E712+E695+E697+E726</f>
        <v>387.531814875605</v>
      </c>
      <c r="F730" s="58" t="n">
        <f aca="false">F712+F695+F697+F726</f>
        <v>382.184045237902</v>
      </c>
      <c r="G730" s="58" t="n">
        <f aca="false">G712+G695+G697+G726</f>
        <v>345.635452962041</v>
      </c>
      <c r="H730" s="58" t="n">
        <f aca="false">H712+H695+H697+H726</f>
        <v>321.176469467688</v>
      </c>
      <c r="I730" s="58" t="n">
        <f aca="false">I712+I695+I697+I726</f>
        <v>366.166354285008</v>
      </c>
      <c r="J730" s="58" t="n">
        <f aca="false">J712+J695+J697+J726</f>
        <v>350.35936427993</v>
      </c>
      <c r="K730" s="58" t="n">
        <f aca="false">K712+K695+K697+K726</f>
        <v>346.506315186341</v>
      </c>
      <c r="L730" s="58" t="n">
        <f aca="false">L712+L695+L697+L726</f>
        <v>444.070195811537</v>
      </c>
    </row>
    <row r="731" customFormat="false" ht="15" hidden="true" customHeight="false" outlineLevel="1" collapsed="false">
      <c r="A731" s="5" t="s">
        <v>149</v>
      </c>
      <c r="B731" s="12" t="str">
        <f aca="false">IF(AND(B$43&gt;=1,(B722+B723+B724)&gt;0.001),B730/(B722+B723+B724),"")</f>
        <v/>
      </c>
      <c r="C731" s="12" t="n">
        <f aca="false">IF(AND(C$43&gt;=1,(C722+C723+C724)&gt;0.001),C730/(C722+C723+C724),"")</f>
        <v>5.28089403419217</v>
      </c>
      <c r="D731" s="12" t="n">
        <f aca="false">IF(AND(D$43&gt;=1,(D722+D723+D724)&gt;0.001),D730/(D722+D723+D724),"")</f>
        <v>2.58847901683208</v>
      </c>
      <c r="E731" s="12" t="n">
        <f aca="false">IF(AND(E$43&gt;=1,(E722+E723+E724)&gt;0.001),E730/(E722+E723+E724),"")</f>
        <v>1.33526272791264</v>
      </c>
      <c r="F731" s="12" t="n">
        <f aca="false">IF(AND(F$43&gt;=1,(F722+F723+F724)&gt;0.001),F730/(F722+F723+F724),"")</f>
        <v>1.4880487029023</v>
      </c>
      <c r="G731" s="12" t="n">
        <f aca="false">IF(AND(G$43&gt;=1,(G722+G723+G724)&gt;0.001),G730/(G722+G723+G724),"")</f>
        <v>1.53219492624093</v>
      </c>
      <c r="H731" s="12" t="n">
        <f aca="false">IF(AND(H$43&gt;=1,(H722+H723+H724)&gt;0.001),H730/(H722+H723+H724),"")</f>
        <v>1.63571527792035</v>
      </c>
      <c r="I731" s="12" t="n">
        <f aca="false">IF(AND(I$43&gt;=1,(I722+I723+I724)&gt;0.001),I730/(I722+I723+I724),"")</f>
        <v>2.16618494805005</v>
      </c>
      <c r="J731" s="12" t="n">
        <f aca="false">IF(AND(J$43&gt;=1,(J722+J723+J724)&gt;0.001),J730/(J722+J723+J724),"")</f>
        <v>4.94133652324645</v>
      </c>
      <c r="K731" s="12" t="str">
        <f aca="false">IF(AND(K$43&gt;=1,(K722+K723+K724)&gt;0.001),K730/(K722+K723+K724),"")</f>
        <v/>
      </c>
      <c r="L731" s="12" t="str">
        <f aca="false">IF(AND(L$43&gt;=1,(L722+L723+L724)&gt;0.001),L730/(L722+L723+L724),"")</f>
        <v/>
      </c>
    </row>
    <row r="733" customFormat="false" ht="15" hidden="false" customHeight="false" outlineLevel="0" collapsed="false">
      <c r="A733" s="43" t="s">
        <v>1177</v>
      </c>
      <c r="B733" s="44"/>
      <c r="C733" s="44"/>
      <c r="D733" s="44"/>
      <c r="E733" s="44"/>
      <c r="F733" s="44"/>
      <c r="G733" s="44"/>
      <c r="H733" s="44"/>
      <c r="I733" s="44"/>
      <c r="J733" s="44"/>
      <c r="K733" s="44"/>
      <c r="L733" s="44"/>
    </row>
    <row r="734" customFormat="false" ht="15" hidden="true" customHeight="false" outlineLevel="1" collapsed="false">
      <c r="A734" s="9" t="s">
        <v>405</v>
      </c>
      <c r="B734" s="56" t="n">
        <f aca="false">CHOOSE($R$15,Entorno!B$7,Entorno!B$8,Entorno!B$9)</f>
        <v>0.06</v>
      </c>
      <c r="C734" s="56" t="n">
        <f aca="false">CHOOSE($R$15,Entorno!C$7,Entorno!C$8,Entorno!C$9)</f>
        <v>0.05</v>
      </c>
      <c r="D734" s="56" t="n">
        <f aca="false">CHOOSE($R$15,Entorno!D$7,Entorno!D$8,Entorno!D$9)</f>
        <v>0.045</v>
      </c>
      <c r="E734" s="56" t="n">
        <f aca="false">CHOOSE($R$15,Entorno!E$7,Entorno!E$8,Entorno!E$9)</f>
        <v>0.04</v>
      </c>
      <c r="F734" s="56" t="n">
        <f aca="false">CHOOSE($R$15,Entorno!F$7,Entorno!F$8,Entorno!F$9)</f>
        <v>0.04</v>
      </c>
      <c r="G734" s="56" t="n">
        <f aca="false">CHOOSE($R$15,Entorno!G$7,Entorno!G$8,Entorno!G$9)</f>
        <v>0.04</v>
      </c>
      <c r="H734" s="56" t="n">
        <f aca="false">CHOOSE($R$15,Entorno!H$7,Entorno!H$8,Entorno!H$9)</f>
        <v>0.04</v>
      </c>
      <c r="I734" s="56" t="n">
        <f aca="false">CHOOSE($R$15,Entorno!I$7,Entorno!I$8,Entorno!I$9)</f>
        <v>0.04</v>
      </c>
      <c r="J734" s="56" t="n">
        <f aca="false">CHOOSE($R$15,Entorno!J$7,Entorno!J$8,Entorno!J$9)</f>
        <v>0.04</v>
      </c>
      <c r="K734" s="56" t="n">
        <f aca="false">CHOOSE($R$15,Entorno!K$7,Entorno!K$8,Entorno!K$9)</f>
        <v>0.04</v>
      </c>
      <c r="L734" s="56" t="n">
        <f aca="false">CHOOSE($R$15,Entorno!L$7,Entorno!L$8,Entorno!L$9)</f>
        <v>0.04</v>
      </c>
    </row>
    <row r="735" customFormat="false" ht="15" hidden="true" customHeight="false" outlineLevel="1" collapsed="false">
      <c r="A735" s="9" t="s">
        <v>406</v>
      </c>
      <c r="B735" s="57" t="n">
        <f aca="false">1+B734</f>
        <v>1.06</v>
      </c>
      <c r="C735" s="57" t="n">
        <f aca="false">B735*(1+C734)</f>
        <v>1.113</v>
      </c>
      <c r="D735" s="57" t="n">
        <f aca="false">C735*(1+D734)</f>
        <v>1.163085</v>
      </c>
      <c r="E735" s="57" t="n">
        <f aca="false">D735*(1+E734)</f>
        <v>1.2096084</v>
      </c>
      <c r="F735" s="57" t="n">
        <f aca="false">E735*(1+F734)</f>
        <v>1.257992736</v>
      </c>
      <c r="G735" s="57" t="n">
        <f aca="false">F735*(1+G734)</f>
        <v>1.30831244544</v>
      </c>
      <c r="H735" s="57" t="n">
        <f aca="false">G735*(1+H734)</f>
        <v>1.3606449432576</v>
      </c>
      <c r="I735" s="57" t="n">
        <f aca="false">H735*(1+I734)</f>
        <v>1.4150707409879</v>
      </c>
      <c r="J735" s="57" t="n">
        <f aca="false">I735*(1+J734)</f>
        <v>1.47167357062742</v>
      </c>
      <c r="K735" s="57" t="n">
        <f aca="false">J735*(1+K734)</f>
        <v>1.53054051345252</v>
      </c>
      <c r="L735" s="57" t="n">
        <f aca="false">K735*(1+L734)</f>
        <v>1.59176213399062</v>
      </c>
    </row>
    <row r="736" customFormat="false" ht="15" hidden="true" customHeight="false" outlineLevel="1" collapsed="false">
      <c r="A736" s="9" t="s">
        <v>407</v>
      </c>
      <c r="B736" s="57" t="n">
        <f aca="false">(1+$R$16)/(1+B734)</f>
        <v>1.02358490566038</v>
      </c>
      <c r="C736" s="57" t="n">
        <f aca="false">B736*(1+Entorno!$B$13)</f>
        <v>1.02870283018868</v>
      </c>
      <c r="D736" s="57" t="n">
        <f aca="false">C736*(1+Entorno!$B$13)</f>
        <v>1.03384634433962</v>
      </c>
      <c r="E736" s="57" t="n">
        <f aca="false">D736*(1+Entorno!$B$13)</f>
        <v>1.03901557606132</v>
      </c>
      <c r="F736" s="57" t="n">
        <f aca="false">E736*(1+Entorno!$B$13)</f>
        <v>1.04421065394163</v>
      </c>
      <c r="G736" s="57" t="n">
        <f aca="false">F736*(1+Entorno!$B$13)</f>
        <v>1.04943170721133</v>
      </c>
      <c r="H736" s="57" t="n">
        <f aca="false">G736*(1+Entorno!$B$13)</f>
        <v>1.05467886574739</v>
      </c>
      <c r="I736" s="57" t="n">
        <f aca="false">H736*(1+Entorno!$B$13)</f>
        <v>1.05995226007613</v>
      </c>
      <c r="J736" s="57" t="n">
        <f aca="false">I736*(1+Entorno!$B$13)</f>
        <v>1.06525202137651</v>
      </c>
      <c r="K736" s="57" t="n">
        <f aca="false">J736*(1+Entorno!$B$13)</f>
        <v>1.07057828148339</v>
      </c>
      <c r="L736" s="57" t="n">
        <f aca="false">K736*(1+Entorno!$B$13)</f>
        <v>1.07593117289081</v>
      </c>
    </row>
    <row r="737" customFormat="false" ht="15" hidden="true" customHeight="false" outlineLevel="1" collapsed="false">
      <c r="A737" s="9" t="s">
        <v>408</v>
      </c>
      <c r="B737" s="57" t="n">
        <f aca="false">1/B735</f>
        <v>0.943396226415094</v>
      </c>
      <c r="C737" s="57" t="n">
        <f aca="false">1/C735</f>
        <v>0.898472596585804</v>
      </c>
      <c r="D737" s="57" t="n">
        <f aca="false">1/D735</f>
        <v>0.859782389077324</v>
      </c>
      <c r="E737" s="57" t="n">
        <f aca="false">1/E735</f>
        <v>0.826713835651273</v>
      </c>
      <c r="F737" s="57" t="n">
        <f aca="false">1/F735</f>
        <v>0.794917149664686</v>
      </c>
      <c r="G737" s="57" t="n">
        <f aca="false">1/G735</f>
        <v>0.764343413139121</v>
      </c>
      <c r="H737" s="57" t="n">
        <f aca="false">1/H735</f>
        <v>0.734945589556847</v>
      </c>
      <c r="I737" s="57" t="n">
        <f aca="false">1/I735</f>
        <v>0.706678451496968</v>
      </c>
      <c r="J737" s="57" t="n">
        <f aca="false">1/J735</f>
        <v>0.679498511054777</v>
      </c>
      <c r="K737" s="57" t="n">
        <f aca="false">1/K735</f>
        <v>0.653363952937286</v>
      </c>
      <c r="L737" s="57" t="n">
        <f aca="false">1/L735</f>
        <v>0.628234570132006</v>
      </c>
    </row>
    <row r="738" customFormat="false" ht="15" hidden="true" customHeight="false" outlineLevel="1" collapsed="false">
      <c r="A738" s="6" t="s">
        <v>323</v>
      </c>
      <c r="B738" s="29" t="n">
        <f aca="false">IF(B$43=0,Quesería!$F$92,IF(B$43=1,Quesería!$F$93*$R$21,0))*$R$11</f>
        <v>930.800239431677</v>
      </c>
      <c r="C738" s="29" t="n">
        <f aca="false">IF(C$43=0,Quesería!$F$92,IF(C$43=1,Quesería!$F$93*$R$21,0))*$R$11</f>
        <v>758.469066674498</v>
      </c>
      <c r="D738" s="29" t="n">
        <f aca="false">IF(D$43=0,Quesería!$F$92,IF(D$43=1,Quesería!$F$93*$R$21,0))*$R$11</f>
        <v>0</v>
      </c>
      <c r="E738" s="29" t="n">
        <f aca="false">IF(E$43=0,Quesería!$F$92,IF(E$43=1,Quesería!$F$93*$R$21,0))*$R$11</f>
        <v>0</v>
      </c>
      <c r="F738" s="29" t="n">
        <f aca="false">IF(F$43=0,Quesería!$F$92,IF(F$43=1,Quesería!$F$93*$R$21,0))*$R$11</f>
        <v>0</v>
      </c>
      <c r="G738" s="29" t="n">
        <f aca="false">IF(G$43=0,Quesería!$F$92,IF(G$43=1,Quesería!$F$93*$R$21,0))*$R$11</f>
        <v>0</v>
      </c>
      <c r="H738" s="29" t="n">
        <f aca="false">IF(H$43=0,Quesería!$F$92,IF(H$43=1,Quesería!$F$93*$R$21,0))*$R$11</f>
        <v>0</v>
      </c>
      <c r="I738" s="29" t="n">
        <f aca="false">IF(I$43=0,Quesería!$F$92,IF(I$43=1,Quesería!$F$93*$R$21,0))*$R$11</f>
        <v>0</v>
      </c>
      <c r="J738" s="29" t="n">
        <f aca="false">IF(J$43=0,Quesería!$F$92,IF(J$43=1,Quesería!$F$93*$R$21,0))*$R$11</f>
        <v>0</v>
      </c>
      <c r="K738" s="29" t="n">
        <f aca="false">IF(K$43=0,Quesería!$F$92,IF(K$43=1,Quesería!$F$93*$R$21,0))*$R$11</f>
        <v>0</v>
      </c>
      <c r="L738" s="29" t="n">
        <f aca="false">IF(L$43=0,Quesería!$F$92,IF(L$43=1,Quesería!$F$93*$R$21,0))*$R$11</f>
        <v>0</v>
      </c>
    </row>
    <row r="739" customFormat="false" ht="15" hidden="true" customHeight="false" outlineLevel="1" collapsed="false">
      <c r="A739" s="6" t="s">
        <v>409</v>
      </c>
      <c r="B739" s="29" t="n">
        <f aca="false">IF(B$43=5,Quesería!$F$99,IF(B$43=6,Quesería!$F$100,0))*$R$11</f>
        <v>0</v>
      </c>
      <c r="C739" s="29" t="n">
        <f aca="false">IF(C$43=5,Quesería!$F$99,IF(C$43=6,Quesería!$F$100,0))*$R$11</f>
        <v>0</v>
      </c>
      <c r="D739" s="29" t="n">
        <f aca="false">IF(D$43=5,Quesería!$F$99,IF(D$43=6,Quesería!$F$100,0))*$R$11</f>
        <v>0</v>
      </c>
      <c r="E739" s="29" t="n">
        <f aca="false">IF(E$43=5,Quesería!$F$99,IF(E$43=6,Quesería!$F$100,0))*$R$11</f>
        <v>0</v>
      </c>
      <c r="F739" s="29" t="n">
        <f aca="false">IF(F$43=5,Quesería!$F$99,IF(F$43=6,Quesería!$F$100,0))*$R$11</f>
        <v>0</v>
      </c>
      <c r="G739" s="29" t="n">
        <f aca="false">IF(G$43=5,Quesería!$F$99,IF(G$43=6,Quesería!$F$100,0))*$R$11</f>
        <v>27.4652172688735</v>
      </c>
      <c r="H739" s="29" t="n">
        <f aca="false">IF(H$43=5,Quesería!$F$99,IF(H$43=6,Quesería!$F$100,0))*$R$11</f>
        <v>46.3891557109552</v>
      </c>
      <c r="I739" s="29" t="n">
        <f aca="false">IF(I$43=5,Quesería!$F$99,IF(I$43=6,Quesería!$F$100,0))*$R$11</f>
        <v>0</v>
      </c>
      <c r="J739" s="29" t="n">
        <f aca="false">IF(J$43=5,Quesería!$F$99,IF(J$43=6,Quesería!$F$100,0))*$R$11</f>
        <v>0</v>
      </c>
      <c r="K739" s="29" t="n">
        <f aca="false">IF(K$43=5,Quesería!$F$99,IF(K$43=6,Quesería!$F$100,0))*$R$11</f>
        <v>0</v>
      </c>
      <c r="L739" s="29" t="n">
        <f aca="false">IF(L$43=5,Quesería!$F$99,IF(L$43=6,Quesería!$F$100,0))*$R$11</f>
        <v>0</v>
      </c>
    </row>
    <row r="740" customFormat="false" ht="15" hidden="true" customHeight="false" outlineLevel="1" collapsed="false">
      <c r="A740" s="6" t="s">
        <v>410</v>
      </c>
      <c r="B740" s="29" t="n">
        <f aca="false">Quesería!$B$55*(IF(B$43=0,SUMPRODUCT((Quesería!$C$70:$C$89=0)*(Quesería!$H$70:$H$89&gt;0)*(Quesería!$J$70:$J$89&gt;0)*Quesería!$F$70:$F$89*(1+Quesería!$I$70:$I$89)),IF(B$43=1,SUMPRODUCT((Quesería!$C$70:$C$89=1)*(Quesería!$H$70:$H$89&gt;0)*(Quesería!$J$70:$J$89&gt;0)*Quesería!$F$70:$F$89*(1+Quesería!$I$70:$I$89))*$R$21,0))*$R$11+B739)</f>
        <v>149.115671560178</v>
      </c>
      <c r="C740" s="29" t="n">
        <f aca="false">Quesería!$B$55*(IF(C$43=0,SUMPRODUCT((Quesería!$C$70:$C$89=0)*(Quesería!$H$70:$H$89&gt;0)*(Quesería!$J$70:$J$89&gt;0)*Quesería!$F$70:$F$89*(1+Quesería!$I$70:$I$89)),IF(C$43=1,SUMPRODUCT((Quesería!$C$70:$C$89=1)*(Quesería!$H$70:$H$89&gt;0)*(Quesería!$J$70:$J$89&gt;0)*Quesería!$F$70:$F$89*(1+Quesería!$I$70:$I$89))*$R$21,0))*$R$11+C739)</f>
        <v>144.109122668155</v>
      </c>
      <c r="D740" s="29" t="n">
        <f aca="false">Quesería!$B$55*(IF(D$43=0,SUMPRODUCT((Quesería!$C$70:$C$89=0)*(Quesería!$H$70:$H$89&gt;0)*(Quesería!$J$70:$J$89&gt;0)*Quesería!$F$70:$F$89*(1+Quesería!$I$70:$I$89)),IF(D$43=1,SUMPRODUCT((Quesería!$C$70:$C$89=1)*(Quesería!$H$70:$H$89&gt;0)*(Quesería!$J$70:$J$89&gt;0)*Quesería!$F$70:$F$89*(1+Quesería!$I$70:$I$89))*$R$21,0))*$R$11+D739)</f>
        <v>0</v>
      </c>
      <c r="E740" s="29" t="n">
        <f aca="false">Quesería!$B$55*(IF(E$43=0,SUMPRODUCT((Quesería!$C$70:$C$89=0)*(Quesería!$H$70:$H$89&gt;0)*(Quesería!$J$70:$J$89&gt;0)*Quesería!$F$70:$F$89*(1+Quesería!$I$70:$I$89)),IF(E$43=1,SUMPRODUCT((Quesería!$C$70:$C$89=1)*(Quesería!$H$70:$H$89&gt;0)*(Quesería!$J$70:$J$89&gt;0)*Quesería!$F$70:$F$89*(1+Quesería!$I$70:$I$89))*$R$21,0))*$R$11+E739)</f>
        <v>0</v>
      </c>
      <c r="F740" s="29" t="n">
        <f aca="false">Quesería!$B$55*(IF(F$43=0,SUMPRODUCT((Quesería!$C$70:$C$89=0)*(Quesería!$H$70:$H$89&gt;0)*(Quesería!$J$70:$J$89&gt;0)*Quesería!$F$70:$F$89*(1+Quesería!$I$70:$I$89)),IF(F$43=1,SUMPRODUCT((Quesería!$C$70:$C$89=1)*(Quesería!$H$70:$H$89&gt;0)*(Quesería!$J$70:$J$89&gt;0)*Quesería!$F$70:$F$89*(1+Quesería!$I$70:$I$89))*$R$21,0))*$R$11+F739)</f>
        <v>0</v>
      </c>
      <c r="G740" s="29" t="n">
        <f aca="false">Quesería!$B$55*(IF(G$43=0,SUMPRODUCT((Quesería!$C$70:$C$89=0)*(Quesería!$H$70:$H$89&gt;0)*(Quesería!$J$70:$J$89&gt;0)*Quesería!$F$70:$F$89*(1+Quesería!$I$70:$I$89)),IF(G$43=1,SUMPRODUCT((Quesería!$C$70:$C$89=1)*(Quesería!$H$70:$H$89&gt;0)*(Quesería!$J$70:$J$89&gt;0)*Quesería!$F$70:$F$89*(1+Quesería!$I$70:$I$89))*$R$21,0))*$R$11+G739)</f>
        <v>5.21839128108597</v>
      </c>
      <c r="H740" s="29" t="n">
        <f aca="false">Quesería!$B$55*(IF(H$43=0,SUMPRODUCT((Quesería!$C$70:$C$89=0)*(Quesería!$H$70:$H$89&gt;0)*(Quesería!$J$70:$J$89&gt;0)*Quesería!$F$70:$F$89*(1+Quesería!$I$70:$I$89)),IF(H$43=1,SUMPRODUCT((Quesería!$C$70:$C$89=1)*(Quesería!$H$70:$H$89&gt;0)*(Quesería!$J$70:$J$89&gt;0)*Quesería!$F$70:$F$89*(1+Quesería!$I$70:$I$89))*$R$21,0))*$R$11+H739)</f>
        <v>8.8139395850815</v>
      </c>
      <c r="I740" s="29" t="n">
        <f aca="false">Quesería!$B$55*(IF(I$43=0,SUMPRODUCT((Quesería!$C$70:$C$89=0)*(Quesería!$H$70:$H$89&gt;0)*(Quesería!$J$70:$J$89&gt;0)*Quesería!$F$70:$F$89*(1+Quesería!$I$70:$I$89)),IF(I$43=1,SUMPRODUCT((Quesería!$C$70:$C$89=1)*(Quesería!$H$70:$H$89&gt;0)*(Quesería!$J$70:$J$89&gt;0)*Quesería!$F$70:$F$89*(1+Quesería!$I$70:$I$89))*$R$21,0))*$R$11+I739)</f>
        <v>0</v>
      </c>
      <c r="J740" s="29" t="n">
        <f aca="false">Quesería!$B$55*(IF(J$43=0,SUMPRODUCT((Quesería!$C$70:$C$89=0)*(Quesería!$H$70:$H$89&gt;0)*(Quesería!$J$70:$J$89&gt;0)*Quesería!$F$70:$F$89*(1+Quesería!$I$70:$I$89)),IF(J$43=1,SUMPRODUCT((Quesería!$C$70:$C$89=1)*(Quesería!$H$70:$H$89&gt;0)*(Quesería!$J$70:$J$89&gt;0)*Quesería!$F$70:$F$89*(1+Quesería!$I$70:$I$89))*$R$21,0))*$R$11+J739)</f>
        <v>0</v>
      </c>
      <c r="K740" s="29" t="n">
        <f aca="false">Quesería!$B$55*(IF(K$43=0,SUMPRODUCT((Quesería!$C$70:$C$89=0)*(Quesería!$H$70:$H$89&gt;0)*(Quesería!$J$70:$J$89&gt;0)*Quesería!$F$70:$F$89*(1+Quesería!$I$70:$I$89)),IF(K$43=1,SUMPRODUCT((Quesería!$C$70:$C$89=1)*(Quesería!$H$70:$H$89&gt;0)*(Quesería!$J$70:$J$89&gt;0)*Quesería!$F$70:$F$89*(1+Quesería!$I$70:$I$89))*$R$21,0))*$R$11+K739)</f>
        <v>0</v>
      </c>
      <c r="L740" s="29" t="n">
        <f aca="false">Quesería!$B$55*(IF(L$43=0,SUMPRODUCT((Quesería!$C$70:$C$89=0)*(Quesería!$H$70:$H$89&gt;0)*(Quesería!$J$70:$J$89&gt;0)*Quesería!$F$70:$F$89*(1+Quesería!$I$70:$I$89)),IF(L$43=1,SUMPRODUCT((Quesería!$C$70:$C$89=1)*(Quesería!$H$70:$H$89&gt;0)*(Quesería!$J$70:$J$89&gt;0)*Quesería!$F$70:$F$89*(1+Quesería!$I$70:$I$89))*$R$21,0))*$R$11+L739)</f>
        <v>0</v>
      </c>
    </row>
    <row r="741" customFormat="false" ht="15" hidden="true" customHeight="false" outlineLevel="1" collapsed="false">
      <c r="A741" s="6" t="s">
        <v>385</v>
      </c>
      <c r="B741" s="29" t="n">
        <f aca="false">IF(B$43=0,($R$22*Quesería!$J$125+(1-$R$22)*Quesería!$E$121)*Quesería!$B$20*Quesería!$B$21/12*$R$23,(($R$22*Quesería!$J$125+(1-$R$22)*Quesería!$E$121)+($R$22*Quesería!$J$104+(1-$R$22)*Quesería!$E$104)*(B736-1))*IF(B$43=1,Quesería!$B$20,1))*$R$10</f>
        <v>120.716772261203</v>
      </c>
      <c r="C741" s="29" t="n">
        <f aca="false">IF(C$43=0,($R$22*Quesería!$J$125+(1-$R$22)*Quesería!$E$121)*Quesería!$B$20*Quesería!$B$21/12*$R$23,(($R$22*Quesería!$J$125+(1-$R$22)*Quesería!$E$121)+($R$22*Quesería!$J$104+(1-$R$22)*Quesería!$E$104)*(C736-1))*IF(C$43=1,Quesería!$B$20,1))*$R$10</f>
        <v>181.328317354069</v>
      </c>
      <c r="D741" s="29" t="n">
        <f aca="false">IF(D$43=0,($R$22*Quesería!$J$125+(1-$R$22)*Quesería!$E$121)*Quesería!$B$20*Quesería!$B$21/12*$R$23,(($R$22*Quesería!$J$125+(1-$R$22)*Quesería!$E$121)+($R$22*Quesería!$J$104+(1-$R$22)*Quesería!$E$104)*(D736-1))*IF(D$43=1,Quesería!$B$20,1))*$R$10</f>
        <v>241.83157753184</v>
      </c>
      <c r="E741" s="29" t="n">
        <f aca="false">IF(E$43=0,($R$22*Quesería!$J$125+(1-$R$22)*Quesería!$E$121)*Quesería!$B$20*Quesería!$B$21/12*$R$23,(($R$22*Quesería!$J$125+(1-$R$22)*Quesería!$E$121)+($R$22*Quesería!$J$104+(1-$R$22)*Quesería!$E$104)*(E736-1))*IF(E$43=1,Quesería!$B$20,1))*$R$10</f>
        <v>241.892367696887</v>
      </c>
      <c r="F741" s="29" t="n">
        <f aca="false">IF(F$43=0,($R$22*Quesería!$J$125+(1-$R$22)*Quesería!$E$121)*Quesería!$B$20*Quesería!$B$21/12*$R$23,(($R$22*Quesería!$J$125+(1-$R$22)*Quesería!$E$121)+($R$22*Quesería!$J$104+(1-$R$22)*Quesería!$E$104)*(F736-1))*IF(F$43=1,Quesería!$B$20,1))*$R$10</f>
        <v>241.95346181276</v>
      </c>
      <c r="G741" s="29" t="n">
        <f aca="false">IF(G$43=0,($R$22*Quesería!$J$125+(1-$R$22)*Quesería!$E$121)*Quesería!$B$20*Quesería!$B$21/12*$R$23,(($R$22*Quesería!$J$125+(1-$R$22)*Quesería!$E$121)+($R$22*Quesería!$J$104+(1-$R$22)*Quesería!$E$104)*(G736-1))*IF(G$43=1,Quesería!$B$20,1))*$R$10</f>
        <v>242.014861399211</v>
      </c>
      <c r="H741" s="29" t="n">
        <f aca="false">IF(H$43=0,($R$22*Quesería!$J$125+(1-$R$22)*Quesería!$E$121)*Quesería!$B$20*Quesería!$B$21/12*$R$23,(($R$22*Quesería!$J$125+(1-$R$22)*Quesería!$E$121)+($R$22*Quesería!$J$104+(1-$R$22)*Quesería!$E$104)*(H736-1))*IF(H$43=1,Quesería!$B$20,1))*$R$10</f>
        <v>242.076567983595</v>
      </c>
      <c r="I741" s="29" t="n">
        <f aca="false">IF(I$43=0,($R$22*Quesería!$J$125+(1-$R$22)*Quesería!$E$121)*Quesería!$B$20*Quesería!$B$21/12*$R$23,(($R$22*Quesería!$J$125+(1-$R$22)*Quesería!$E$121)+($R$22*Quesería!$J$104+(1-$R$22)*Quesería!$E$104)*(I736-1))*IF(I$43=1,Quesería!$B$20,1))*$R$10</f>
        <v>242.138583100901</v>
      </c>
      <c r="J741" s="29" t="n">
        <f aca="false">IF(J$43=0,($R$22*Quesería!$J$125+(1-$R$22)*Quesería!$E$121)*Quesería!$B$20*Quesería!$B$21/12*$R$23,(($R$22*Quesería!$J$125+(1-$R$22)*Quesería!$E$121)+($R$22*Quesería!$J$104+(1-$R$22)*Quesería!$E$104)*(J736-1))*IF(J$43=1,Quesería!$B$20,1))*$R$10</f>
        <v>242.200908293794</v>
      </c>
      <c r="K741" s="29" t="n">
        <f aca="false">IF(K$43=0,($R$22*Quesería!$J$125+(1-$R$22)*Quesería!$E$121)*Quesería!$B$20*Quesería!$B$21/12*$R$23,(($R$22*Quesería!$J$125+(1-$R$22)*Quesería!$E$121)+($R$22*Quesería!$J$104+(1-$R$22)*Quesería!$E$104)*(K736-1))*IF(K$43=1,Quesería!$B$20,1))*$R$10</f>
        <v>242.263545112651</v>
      </c>
      <c r="L741" s="29" t="n">
        <f aca="false">IF(L$43=0,($R$22*Quesería!$J$125+(1-$R$22)*Quesería!$E$121)*Quesería!$B$20*Quesería!$B$21/12*$R$23,(($R$22*Quesería!$J$125+(1-$R$22)*Quesería!$E$121)+($R$22*Quesería!$J$104+(1-$R$22)*Quesería!$E$104)*(L736-1))*IF(L$43=1,Quesería!$B$20,1))*$R$10</f>
        <v>242.326495115602</v>
      </c>
    </row>
    <row r="742" customFormat="false" ht="15" hidden="true" customHeight="false" outlineLevel="1" collapsed="false">
      <c r="A742" s="6" t="s">
        <v>386</v>
      </c>
      <c r="B742" s="29" t="n">
        <f aca="false">IF(B$43&lt;=1,0,((($R$22*Quesería!$J$126+(1-$R$22)*Quesería!$E$122)-($R$22*Quesería!$J$113+(1-$R$22)*Quesería!$E$113)+$R$6*($R$22*Quesería!$J$113+(1-$R$22)*Quesería!$E$113)-(1-$R$9)*(($R$22*Quesería!$J$118+(1-$R$22)*Quesería!$E$118)+($R$22*Quesería!$J$117+(1-$R$22)*Quesería!$E$117)))+($R$6*($R$22*Quesería!$J$113+(1-$R$22)*Quesería!$E$113)+$R$9*($R$22*Quesería!$J$118+(1-$R$22)*Quesería!$E$118))*(B736-1))*IF(B$43=2,Quesería!$B$20,1)+IF(B$43=2,Quesería!$B$24*$R$9*($R$22*Quesería!$J$118+(1-$R$22)*Quesería!$E$118)*B736,0))*$R$10*$R$21</f>
        <v>0</v>
      </c>
      <c r="C742" s="29" t="n">
        <f aca="false">IF(C$43&lt;=1,0,((($R$22*Quesería!$J$126+(1-$R$22)*Quesería!$E$122)-($R$22*Quesería!$J$113+(1-$R$22)*Quesería!$E$113)+$R$6*($R$22*Quesería!$J$113+(1-$R$22)*Quesería!$E$113)-(1-$R$9)*(($R$22*Quesería!$J$118+(1-$R$22)*Quesería!$E$118)+($R$22*Quesería!$J$117+(1-$R$22)*Quesería!$E$117)))+($R$6*($R$22*Quesería!$J$113+(1-$R$22)*Quesería!$E$113)+$R$9*($R$22*Quesería!$J$118+(1-$R$22)*Quesería!$E$118))*(C736-1))*IF(C$43=2,Quesería!$B$20,1)+IF(C$43=2,Quesería!$B$24*$R$9*($R$22*Quesería!$J$118+(1-$R$22)*Quesería!$E$118)*C736,0))*$R$10*$R$21</f>
        <v>0</v>
      </c>
      <c r="D742" s="29" t="n">
        <f aca="false">IF(D$43&lt;=1,0,((($R$22*Quesería!$J$126+(1-$R$22)*Quesería!$E$122)-($R$22*Quesería!$J$113+(1-$R$22)*Quesería!$E$113)+$R$6*($R$22*Quesería!$J$113+(1-$R$22)*Quesería!$E$113)-(1-$R$9)*(($R$22*Quesería!$J$118+(1-$R$22)*Quesería!$E$118)+($R$22*Quesería!$J$117+(1-$R$22)*Quesería!$E$117)))+($R$6*($R$22*Quesería!$J$113+(1-$R$22)*Quesería!$E$113)+$R$9*($R$22*Quesería!$J$118+(1-$R$22)*Quesería!$E$118))*(D736-1))*IF(D$43=2,Quesería!$B$20,1)+IF(D$43=2,Quesería!$B$24*$R$9*($R$22*Quesería!$J$118+(1-$R$22)*Quesería!$E$118)*D736,0))*$R$10*$R$21</f>
        <v>235.201505618611</v>
      </c>
      <c r="E742" s="29" t="n">
        <f aca="false">IF(E$43&lt;=1,0,((($R$22*Quesería!$J$126+(1-$R$22)*Quesería!$E$122)-($R$22*Quesería!$J$113+(1-$R$22)*Quesería!$E$113)+$R$6*($R$22*Quesería!$J$113+(1-$R$22)*Quesería!$E$113)-(1-$R$9)*(($R$22*Quesería!$J$118+(1-$R$22)*Quesería!$E$118)+($R$22*Quesería!$J$117+(1-$R$22)*Quesería!$E$117)))+($R$6*($R$22*Quesería!$J$113+(1-$R$22)*Quesería!$E$113)+$R$9*($R$22*Quesería!$J$118+(1-$R$22)*Quesería!$E$118))*(E736-1))*IF(E$43=2,Quesería!$B$20,1)+IF(E$43=2,Quesería!$B$24*$R$9*($R$22*Quesería!$J$118+(1-$R$22)*Quesería!$E$118)*E736,0))*$R$10*$R$21</f>
        <v>298.96150264002</v>
      </c>
      <c r="F742" s="29" t="n">
        <f aca="false">IF(F$43&lt;=1,0,((($R$22*Quesería!$J$126+(1-$R$22)*Quesería!$E$122)-($R$22*Quesería!$J$113+(1-$R$22)*Quesería!$E$113)+$R$6*($R$22*Quesería!$J$113+(1-$R$22)*Quesería!$E$113)-(1-$R$9)*(($R$22*Quesería!$J$118+(1-$R$22)*Quesería!$E$118)+($R$22*Quesería!$J$117+(1-$R$22)*Quesería!$E$117)))+($R$6*($R$22*Quesería!$J$113+(1-$R$22)*Quesería!$E$113)+$R$9*($R$22*Quesería!$J$118+(1-$R$22)*Quesería!$E$118))*(F736-1))*IF(F$43=2,Quesería!$B$20,1)+IF(F$43=2,Quesería!$B$24*$R$9*($R$22*Quesería!$J$118+(1-$R$22)*Quesería!$E$118)*F736,0))*$R$10*$R$21</f>
        <v>299.209619559583</v>
      </c>
      <c r="G742" s="29" t="n">
        <f aca="false">IF(G$43&lt;=1,0,((($R$22*Quesería!$J$126+(1-$R$22)*Quesería!$E$122)-($R$22*Quesería!$J$113+(1-$R$22)*Quesería!$E$113)+$R$6*($R$22*Quesería!$J$113+(1-$R$22)*Quesería!$E$113)-(1-$R$9)*(($R$22*Quesería!$J$118+(1-$R$22)*Quesería!$E$118)+($R$22*Quesería!$J$117+(1-$R$22)*Quesería!$E$117)))+($R$6*($R$22*Quesería!$J$113+(1-$R$22)*Quesería!$E$113)+$R$9*($R$22*Quesería!$J$118+(1-$R$22)*Quesería!$E$118))*(G736-1))*IF(G$43=2,Quesería!$B$20,1)+IF(G$43=2,Quesería!$B$24*$R$9*($R$22*Quesería!$J$118+(1-$R$22)*Quesería!$E$118)*G736,0))*$R$10*$R$21</f>
        <v>299.458977063744</v>
      </c>
      <c r="H742" s="29" t="n">
        <f aca="false">IF(H$43&lt;=1,0,((($R$22*Quesería!$J$126+(1-$R$22)*Quesería!$E$122)-($R$22*Quesería!$J$113+(1-$R$22)*Quesería!$E$113)+$R$6*($R$22*Quesería!$J$113+(1-$R$22)*Quesería!$E$113)-(1-$R$9)*(($R$22*Quesería!$J$118+(1-$R$22)*Quesería!$E$118)+($R$22*Quesería!$J$117+(1-$R$22)*Quesería!$E$117)))+($R$6*($R$22*Quesería!$J$113+(1-$R$22)*Quesería!$E$113)+$R$9*($R$22*Quesería!$J$118+(1-$R$22)*Quesería!$E$118))*(H736-1))*IF(H$43=2,Quesería!$B$20,1)+IF(H$43=2,Quesería!$B$24*$R$9*($R$22*Quesería!$J$118+(1-$R$22)*Quesería!$E$118)*H736,0))*$R$10*$R$21</f>
        <v>299.709581355426</v>
      </c>
      <c r="I742" s="29" t="n">
        <f aca="false">IF(I$43&lt;=1,0,((($R$22*Quesería!$J$126+(1-$R$22)*Quesería!$E$122)-($R$22*Quesería!$J$113+(1-$R$22)*Quesería!$E$113)+$R$6*($R$22*Quesería!$J$113+(1-$R$22)*Quesería!$E$113)-(1-$R$9)*(($R$22*Quesería!$J$118+(1-$R$22)*Quesería!$E$118)+($R$22*Quesería!$J$117+(1-$R$22)*Quesería!$E$117)))+($R$6*($R$22*Quesería!$J$113+(1-$R$22)*Quesería!$E$113)+$R$9*($R$22*Quesería!$J$118+(1-$R$22)*Quesería!$E$118))*(I736-1))*IF(I$43=2,Quesería!$B$20,1)+IF(I$43=2,Quesería!$B$24*$R$9*($R$22*Quesería!$J$118+(1-$R$22)*Quesería!$E$118)*I736,0))*$R$10*$R$21</f>
        <v>299.961438668567</v>
      </c>
      <c r="J742" s="29" t="n">
        <f aca="false">IF(J$43&lt;=1,0,((($R$22*Quesería!$J$126+(1-$R$22)*Quesería!$E$122)-($R$22*Quesería!$J$113+(1-$R$22)*Quesería!$E$113)+$R$6*($R$22*Quesería!$J$113+(1-$R$22)*Quesería!$E$113)-(1-$R$9)*(($R$22*Quesería!$J$118+(1-$R$22)*Quesería!$E$118)+($R$22*Quesería!$J$117+(1-$R$22)*Quesería!$E$117)))+($R$6*($R$22*Quesería!$J$113+(1-$R$22)*Quesería!$E$113)+$R$9*($R$22*Quesería!$J$118+(1-$R$22)*Quesería!$E$118))*(J736-1))*IF(J$43=2,Quesería!$B$20,1)+IF(J$43=2,Quesería!$B$24*$R$9*($R$22*Quesería!$J$118+(1-$R$22)*Quesería!$E$118)*J736,0))*$R$10*$R$21</f>
        <v>300.214555268273</v>
      </c>
      <c r="K742" s="29" t="n">
        <f aca="false">IF(K$43&lt;=1,0,((($R$22*Quesería!$J$126+(1-$R$22)*Quesería!$E$122)-($R$22*Quesería!$J$113+(1-$R$22)*Quesería!$E$113)+$R$6*($R$22*Quesería!$J$113+(1-$R$22)*Quesería!$E$113)-(1-$R$9)*(($R$22*Quesería!$J$118+(1-$R$22)*Quesería!$E$118)+($R$22*Quesería!$J$117+(1-$R$22)*Quesería!$E$117)))+($R$6*($R$22*Quesería!$J$113+(1-$R$22)*Quesería!$E$113)+$R$9*($R$22*Quesería!$J$118+(1-$R$22)*Quesería!$E$118))*(K736-1))*IF(K$43=2,Quesería!$B$20,1)+IF(K$43=2,Quesería!$B$24*$R$9*($R$22*Quesería!$J$118+(1-$R$22)*Quesería!$E$118)*K736,0))*$R$10*$R$21</f>
        <v>300.468937450978</v>
      </c>
      <c r="L742" s="29" t="n">
        <f aca="false">IF(L$43&lt;=1,0,((($R$22*Quesería!$J$126+(1-$R$22)*Quesería!$E$122)-($R$22*Quesería!$J$113+(1-$R$22)*Quesería!$E$113)+$R$6*($R$22*Quesería!$J$113+(1-$R$22)*Quesería!$E$113)-(1-$R$9)*(($R$22*Quesería!$J$118+(1-$R$22)*Quesería!$E$118)+($R$22*Quesería!$J$117+(1-$R$22)*Quesería!$E$117)))+($R$6*($R$22*Quesería!$J$113+(1-$R$22)*Quesería!$E$113)+$R$9*($R$22*Quesería!$J$118+(1-$R$22)*Quesería!$E$118))*(L736-1))*IF(L$43=2,Quesería!$B$20,1)+IF(L$43=2,Quesería!$B$24*$R$9*($R$22*Quesería!$J$118+(1-$R$22)*Quesería!$E$118)*L736,0))*$R$10*$R$21</f>
        <v>300.724591544596</v>
      </c>
    </row>
    <row r="743" customFormat="false" ht="15" hidden="true" customHeight="false" outlineLevel="1" collapsed="false">
      <c r="A743" s="5" t="s">
        <v>411</v>
      </c>
      <c r="B743" s="10" t="n">
        <f aca="false">B741+B742</f>
        <v>120.716772261203</v>
      </c>
      <c r="C743" s="10" t="n">
        <f aca="false">C741+C742</f>
        <v>181.328317354069</v>
      </c>
      <c r="D743" s="10" t="n">
        <f aca="false">D741+D742</f>
        <v>477.033083150451</v>
      </c>
      <c r="E743" s="10" t="n">
        <f aca="false">E741+E742</f>
        <v>540.853870336907</v>
      </c>
      <c r="F743" s="10" t="n">
        <f aca="false">F741+F742</f>
        <v>541.163081372343</v>
      </c>
      <c r="G743" s="10" t="n">
        <f aca="false">G741+G742</f>
        <v>541.473838462956</v>
      </c>
      <c r="H743" s="10" t="n">
        <f aca="false">H741+H742</f>
        <v>541.786149339022</v>
      </c>
      <c r="I743" s="10" t="n">
        <f aca="false">I741+I742</f>
        <v>542.100021769468</v>
      </c>
      <c r="J743" s="10" t="n">
        <f aca="false">J741+J742</f>
        <v>542.415463562067</v>
      </c>
      <c r="K743" s="10" t="n">
        <f aca="false">K741+K742</f>
        <v>542.732482563628</v>
      </c>
      <c r="L743" s="10" t="n">
        <f aca="false">L741+L742</f>
        <v>543.051086660198</v>
      </c>
    </row>
    <row r="744" customFormat="false" ht="15" hidden="true" customHeight="false" outlineLevel="1" collapsed="false">
      <c r="A744" s="6" t="s">
        <v>412</v>
      </c>
      <c r="B744" s="29" t="n">
        <f aca="false">(IF(B$43&gt;=1,(Quesería!$B$31+Quesería!$B$33)*Quesería!$F$94*$R$11+Quesería!$B$32+'Beneficios y costos'!$B$211,0)+IF(B$43&gt;=2,((Quesería!$B$31+Quesería!$B$33)*Quesería!$F$95*$R$11+'Beneficios y costos'!$C$211)*$R$21,0))*$R$12</f>
        <v>0</v>
      </c>
      <c r="C744" s="29" t="n">
        <f aca="false">(IF(C$43&gt;=1,(Quesería!$B$31+Quesería!$B$33)*Quesería!$F$94*$R$11+Quesería!$B$32+'Beneficios y costos'!$B$211,0)+IF(C$43&gt;=2,((Quesería!$B$31+Quesería!$B$33)*Quesería!$F$95*$R$11+'Beneficios y costos'!$C$211)*$R$21,0))*$R$12</f>
        <v>42.0946487260605</v>
      </c>
      <c r="D744" s="29" t="n">
        <f aca="false">(IF(D$43&gt;=1,(Quesería!$B$31+Quesería!$B$33)*Quesería!$F$94*$R$11+Quesería!$B$32+'Beneficios y costos'!$B$211,0)+IF(D$43&gt;=2,((Quesería!$B$31+Quesería!$B$33)*Quesería!$F$95*$R$11+'Beneficios y costos'!$C$211)*$R$21,0))*$R$12</f>
        <v>95.9432442337815</v>
      </c>
      <c r="E744" s="29" t="n">
        <f aca="false">(IF(E$43&gt;=1,(Quesería!$B$31+Quesería!$B$33)*Quesería!$F$94*$R$11+Quesería!$B$32+'Beneficios y costos'!$B$211,0)+IF(E$43&gt;=2,((Quesería!$B$31+Quesería!$B$33)*Quesería!$F$95*$R$11+'Beneficios y costos'!$C$211)*$R$21,0))*$R$12</f>
        <v>95.9432442337815</v>
      </c>
      <c r="F744" s="29" t="n">
        <f aca="false">(IF(F$43&gt;=1,(Quesería!$B$31+Quesería!$B$33)*Quesería!$F$94*$R$11+Quesería!$B$32+'Beneficios y costos'!$B$211,0)+IF(F$43&gt;=2,((Quesería!$B$31+Quesería!$B$33)*Quesería!$F$95*$R$11+'Beneficios y costos'!$C$211)*$R$21,0))*$R$12</f>
        <v>95.9432442337815</v>
      </c>
      <c r="G744" s="29" t="n">
        <f aca="false">(IF(G$43&gt;=1,(Quesería!$B$31+Quesería!$B$33)*Quesería!$F$94*$R$11+Quesería!$B$32+'Beneficios y costos'!$B$211,0)+IF(G$43&gt;=2,((Quesería!$B$31+Quesería!$B$33)*Quesería!$F$95*$R$11+'Beneficios y costos'!$C$211)*$R$21,0))*$R$12</f>
        <v>95.9432442337815</v>
      </c>
      <c r="H744" s="29" t="n">
        <f aca="false">(IF(H$43&gt;=1,(Quesería!$B$31+Quesería!$B$33)*Quesería!$F$94*$R$11+Quesería!$B$32+'Beneficios y costos'!$B$211,0)+IF(H$43&gt;=2,((Quesería!$B$31+Quesería!$B$33)*Quesería!$F$95*$R$11+'Beneficios y costos'!$C$211)*$R$21,0))*$R$12</f>
        <v>95.9432442337815</v>
      </c>
      <c r="I744" s="29" t="n">
        <f aca="false">(IF(I$43&gt;=1,(Quesería!$B$31+Quesería!$B$33)*Quesería!$F$94*$R$11+Quesería!$B$32+'Beneficios y costos'!$B$211,0)+IF(I$43&gt;=2,((Quesería!$B$31+Quesería!$B$33)*Quesería!$F$95*$R$11+'Beneficios y costos'!$C$211)*$R$21,0))*$R$12</f>
        <v>95.9432442337815</v>
      </c>
      <c r="J744" s="29" t="n">
        <f aca="false">(IF(J$43&gt;=1,(Quesería!$B$31+Quesería!$B$33)*Quesería!$F$94*$R$11+Quesería!$B$32+'Beneficios y costos'!$B$211,0)+IF(J$43&gt;=2,((Quesería!$B$31+Quesería!$B$33)*Quesería!$F$95*$R$11+'Beneficios y costos'!$C$211)*$R$21,0))*$R$12</f>
        <v>95.9432442337815</v>
      </c>
      <c r="K744" s="29" t="n">
        <f aca="false">(IF(K$43&gt;=1,(Quesería!$B$31+Quesería!$B$33)*Quesería!$F$94*$R$11+Quesería!$B$32+'Beneficios y costos'!$B$211,0)+IF(K$43&gt;=2,((Quesería!$B$31+Quesería!$B$33)*Quesería!$F$95*$R$11+'Beneficios y costos'!$C$211)*$R$21,0))*$R$12</f>
        <v>95.9432442337815</v>
      </c>
      <c r="L744" s="29" t="n">
        <f aca="false">(IF(L$43&gt;=1,(Quesería!$B$31+Quesería!$B$33)*Quesería!$F$94*$R$11+Quesería!$B$32+'Beneficios y costos'!$B$211,0)+IF(L$43&gt;=2,((Quesería!$B$31+Quesería!$B$33)*Quesería!$F$95*$R$11+'Beneficios y costos'!$C$211)*$R$21,0))*$R$12</f>
        <v>95.9432442337815</v>
      </c>
    </row>
    <row r="745" customFormat="false" ht="15" hidden="true" customHeight="false" outlineLevel="1" collapsed="false">
      <c r="A745" s="6" t="s">
        <v>413</v>
      </c>
      <c r="B745" s="29" t="n">
        <f aca="false">IF(B$43=1,2*Quesería!$B$22*Quesería!$B$23/12*B736,0)*$R$21</f>
        <v>0</v>
      </c>
      <c r="C745" s="29" t="n">
        <f aca="false">IF(C$43=1,2*Quesería!$B$22*Quesería!$B$23/12*C736,0)*$R$21</f>
        <v>18.5166509433962</v>
      </c>
      <c r="D745" s="29" t="n">
        <f aca="false">IF(D$43=1,2*Quesería!$B$22*Quesería!$B$23/12*D736,0)*$R$21</f>
        <v>0</v>
      </c>
      <c r="E745" s="29" t="n">
        <f aca="false">IF(E$43=1,2*Quesería!$B$22*Quesería!$B$23/12*E736,0)*$R$21</f>
        <v>0</v>
      </c>
      <c r="F745" s="29" t="n">
        <f aca="false">IF(F$43=1,2*Quesería!$B$22*Quesería!$B$23/12*F736,0)*$R$21</f>
        <v>0</v>
      </c>
      <c r="G745" s="29" t="n">
        <f aca="false">IF(G$43=1,2*Quesería!$B$22*Quesería!$B$23/12*G736,0)*$R$21</f>
        <v>0</v>
      </c>
      <c r="H745" s="29" t="n">
        <f aca="false">IF(H$43=1,2*Quesería!$B$22*Quesería!$B$23/12*H736,0)*$R$21</f>
        <v>0</v>
      </c>
      <c r="I745" s="29" t="n">
        <f aca="false">IF(I$43=1,2*Quesería!$B$22*Quesería!$B$23/12*I736,0)*$R$21</f>
        <v>0</v>
      </c>
      <c r="J745" s="29" t="n">
        <f aca="false">IF(J$43=1,2*Quesería!$B$22*Quesería!$B$23/12*J736,0)*$R$21</f>
        <v>0</v>
      </c>
      <c r="K745" s="29" t="n">
        <f aca="false">IF(K$43=1,2*Quesería!$B$22*Quesería!$B$23/12*K736,0)*$R$21</f>
        <v>0</v>
      </c>
      <c r="L745" s="29" t="n">
        <f aca="false">IF(L$43=1,2*Quesería!$B$22*Quesería!$B$23/12*L736,0)*$R$21</f>
        <v>0</v>
      </c>
    </row>
    <row r="746" customFormat="false" ht="15" hidden="true" customHeight="false" outlineLevel="1" collapsed="false">
      <c r="A746" s="6" t="s">
        <v>414</v>
      </c>
      <c r="B746" s="29" t="n">
        <f aca="false">Quesería!$B$52*(B738+B739+B740+B744+B745)</f>
        <v>4.31966364396742</v>
      </c>
      <c r="C746" s="29" t="n">
        <f aca="false">Quesería!$B$52*(C738+C739+C740+C744+C745)</f>
        <v>3.85275795604844</v>
      </c>
      <c r="D746" s="29" t="n">
        <f aca="false">Quesería!$B$52*(D738+D739+D740+D744+D745)</f>
        <v>0.383772976935126</v>
      </c>
      <c r="E746" s="29" t="n">
        <f aca="false">Quesería!$B$52*(E738+E739+E740+E744+E745)</f>
        <v>0.383772976935126</v>
      </c>
      <c r="F746" s="29" t="n">
        <f aca="false">Quesería!$B$52*(F738+F739+F740+F744+F745)</f>
        <v>0.383772976935126</v>
      </c>
      <c r="G746" s="29" t="n">
        <f aca="false">Quesería!$B$52*(G738+G739+G740+G744+G745)</f>
        <v>0.514507411134964</v>
      </c>
      <c r="H746" s="29" t="n">
        <f aca="false">Quesería!$B$52*(H738+H739+H740+H744+H745)</f>
        <v>0.604585358119273</v>
      </c>
      <c r="I746" s="29" t="n">
        <f aca="false">Quesería!$B$52*(I738+I739+I740+I744+I745)</f>
        <v>0.383772976935126</v>
      </c>
      <c r="J746" s="29" t="n">
        <f aca="false">Quesería!$B$52*(J738+J739+J740+J744+J745)</f>
        <v>0.383772976935126</v>
      </c>
      <c r="K746" s="29" t="n">
        <f aca="false">Quesería!$B$52*(K738+K739+K740+K744+K745)</f>
        <v>0.383772976935126</v>
      </c>
      <c r="L746" s="29" t="n">
        <f aca="false">Quesería!$B$52*(L738+L739+L740+L744+L745)</f>
        <v>0.383772976935126</v>
      </c>
    </row>
    <row r="747" customFormat="false" ht="15" hidden="true" customHeight="false" outlineLevel="1" collapsed="false">
      <c r="A747" s="6" t="s">
        <v>415</v>
      </c>
      <c r="B747" s="29" t="n">
        <f aca="false">(IF($R$19=1,(SUMPRODUCT((Quesería!$C$70:$C$89=0)*(Quesería!$J$70:$J$89&gt;0)*(B$43&gt;=1)*(B$43&lt;=Quesería!$J$70:$J$89)*(Quesería!$H$70:$H$89&gt;0)*Quesería!$F$70:$F$89*(1+Quesería!$I$70:$I$89)/(Quesería!$J$70:$J$89+(Quesería!$J$70:$J$89=0)))+SUMPRODUCT((Quesería!$C$70:$C$89=0)*(Quesería!$J$70:$J$89=0)*(B$43=0)*(Quesería!$H$70:$H$89&gt;0)*Quesería!$F$70:$F$89*(1+Quesería!$I$70:$I$89)))*$B$735+(SUMPRODUCT((Quesería!$C$70:$C$89=1)*(Quesería!$J$70:$J$89&gt;0)*(B$43&gt;=2)*(B$43&lt;=Quesería!$J$70:$J$89+1)*(Quesería!$H$70:$H$89&gt;0)*Quesería!$F$70:$F$89*(1+Quesería!$I$70:$I$89)/(Quesería!$J$70:$J$89+(Quesería!$J$70:$J$89=0)))+SUMPRODUCT((Quesería!$C$70:$C$89=1)*(Quesería!$J$70:$J$89=0)*(B$43=1)*(Quesería!$H$70:$H$89&gt;0)*Quesería!$F$70:$F$89*(1+Quesería!$I$70:$I$89)))*$C$735*$R$21,IF(AND(B$43&gt;=1,B$43&lt;=Quesería!$B$30),Quesería!$F$92/Quesería!$B$30,0)*$B$735+IF(AND(B$43&gt;=2,B$43&lt;=Quesería!$B$30+1),Quesería!$F$93/Quesería!$B$30,0)*$C$735*$R$21)*$R$11+IF(AND(B$43&gt;=6,B$43&lt;=10),$G739*$G735/5,0)+IF(AND(B$43&gt;=7,B$43&lt;=11),$H739*$H735/5,0))*B737</f>
        <v>145.980915430742</v>
      </c>
      <c r="C747" s="29" t="n">
        <f aca="false">(IF($R$19=1,(SUMPRODUCT((Quesería!$C$70:$C$89=0)*(Quesería!$J$70:$J$89&gt;0)*(C$43&gt;=1)*(C$43&lt;=Quesería!$J$70:$J$89)*(Quesería!$H$70:$H$89&gt;0)*Quesería!$F$70:$F$89*(1+Quesería!$I$70:$I$89)/(Quesería!$J$70:$J$89+(Quesería!$J$70:$J$89=0)))+SUMPRODUCT((Quesería!$C$70:$C$89=0)*(Quesería!$J$70:$J$89=0)*(C$43=0)*(Quesería!$H$70:$H$89&gt;0)*Quesería!$F$70:$F$89*(1+Quesería!$I$70:$I$89)))*$B$735+(SUMPRODUCT((Quesería!$C$70:$C$89=1)*(Quesería!$J$70:$J$89&gt;0)*(C$43&gt;=2)*(C$43&lt;=Quesería!$J$70:$J$89+1)*(Quesería!$H$70:$H$89&gt;0)*Quesería!$F$70:$F$89*(1+Quesería!$I$70:$I$89)/(Quesería!$J$70:$J$89+(Quesería!$J$70:$J$89=0)))+SUMPRODUCT((Quesería!$C$70:$C$89=1)*(Quesería!$J$70:$J$89=0)*(C$43=1)*(Quesería!$H$70:$H$89&gt;0)*Quesería!$F$70:$F$89*(1+Quesería!$I$70:$I$89)))*$C$735*$R$21,IF(AND(C$43&gt;=1,C$43&lt;=Quesería!$B$30),Quesería!$F$92/Quesería!$B$30,0)*$B$735+IF(AND(C$43&gt;=2,C$43&lt;=Quesería!$B$30+1),Quesería!$F$93/Quesería!$B$30,0)*$C$735*$R$21)*$R$11+IF(AND(C$43&gt;=6,C$43&lt;=10),$G739*$G735/5,0)+IF(AND(C$43&gt;=7,C$43&lt;=11),$H739*$H735/5,0))*C737</f>
        <v>82.2633269524265</v>
      </c>
      <c r="D747" s="29" t="n">
        <f aca="false">(IF($R$19=1,(SUMPRODUCT((Quesería!$C$70:$C$89=0)*(Quesería!$J$70:$J$89&gt;0)*(D$43&gt;=1)*(D$43&lt;=Quesería!$J$70:$J$89)*(Quesería!$H$70:$H$89&gt;0)*Quesería!$F$70:$F$89*(1+Quesería!$I$70:$I$89)/(Quesería!$J$70:$J$89+(Quesería!$J$70:$J$89=0)))+SUMPRODUCT((Quesería!$C$70:$C$89=0)*(Quesería!$J$70:$J$89=0)*(D$43=0)*(Quesería!$H$70:$H$89&gt;0)*Quesería!$F$70:$F$89*(1+Quesería!$I$70:$I$89)))*$B$735+(SUMPRODUCT((Quesería!$C$70:$C$89=1)*(Quesería!$J$70:$J$89&gt;0)*(D$43&gt;=2)*(D$43&lt;=Quesería!$J$70:$J$89+1)*(Quesería!$H$70:$H$89&gt;0)*Quesería!$F$70:$F$89*(1+Quesería!$I$70:$I$89)/(Quesería!$J$70:$J$89+(Quesería!$J$70:$J$89=0)))+SUMPRODUCT((Quesería!$C$70:$C$89=1)*(Quesería!$J$70:$J$89=0)*(D$43=1)*(Quesería!$H$70:$H$89&gt;0)*Quesería!$F$70:$F$89*(1+Quesería!$I$70:$I$89)))*$C$735*$R$21,IF(AND(D$43&gt;=1,D$43&lt;=Quesería!$B$30),Quesería!$F$92/Quesería!$B$30,0)*$B$735+IF(AND(D$43&gt;=2,D$43&lt;=Quesería!$B$30+1),Quesería!$F$93/Quesería!$B$30,0)*$C$735*$R$21)*$R$11+IF(AND(D$43&gt;=6,D$43&lt;=10),$G739*$G735/5,0)+IF(AND(D$43&gt;=7,D$43&lt;=11),$H739*$H735/5,0))*D737</f>
        <v>151.301658966389</v>
      </c>
      <c r="E747" s="29" t="n">
        <f aca="false">(IF($R$19=1,(SUMPRODUCT((Quesería!$C$70:$C$89=0)*(Quesería!$J$70:$J$89&gt;0)*(E$43&gt;=1)*(E$43&lt;=Quesería!$J$70:$J$89)*(Quesería!$H$70:$H$89&gt;0)*Quesería!$F$70:$F$89*(1+Quesería!$I$70:$I$89)/(Quesería!$J$70:$J$89+(Quesería!$J$70:$J$89=0)))+SUMPRODUCT((Quesería!$C$70:$C$89=0)*(Quesería!$J$70:$J$89=0)*(E$43=0)*(Quesería!$H$70:$H$89&gt;0)*Quesería!$F$70:$F$89*(1+Quesería!$I$70:$I$89)))*$B$735+(SUMPRODUCT((Quesería!$C$70:$C$89=1)*(Quesería!$J$70:$J$89&gt;0)*(E$43&gt;=2)*(E$43&lt;=Quesería!$J$70:$J$89+1)*(Quesería!$H$70:$H$89&gt;0)*Quesería!$F$70:$F$89*(1+Quesería!$I$70:$I$89)/(Quesería!$J$70:$J$89+(Quesería!$J$70:$J$89=0)))+SUMPRODUCT((Quesería!$C$70:$C$89=1)*(Quesería!$J$70:$J$89=0)*(E$43=1)*(Quesería!$H$70:$H$89&gt;0)*Quesería!$F$70:$F$89*(1+Quesería!$I$70:$I$89)))*$C$735*$R$21,IF(AND(E$43&gt;=1,E$43&lt;=Quesería!$B$30),Quesería!$F$92/Quesería!$B$30,0)*$B$735+IF(AND(E$43&gt;=2,E$43&lt;=Quesería!$B$30+1),Quesería!$F$93/Quesería!$B$30,0)*$C$735*$R$21)*$R$11+IF(AND(E$43&gt;=6,E$43&lt;=10),$G739*$G735/5,0)+IF(AND(E$43&gt;=7,E$43&lt;=11),$H739*$H735/5,0))*E737</f>
        <v>145.482364390759</v>
      </c>
      <c r="F747" s="29" t="n">
        <f aca="false">(IF($R$19=1,(SUMPRODUCT((Quesería!$C$70:$C$89=0)*(Quesería!$J$70:$J$89&gt;0)*(F$43&gt;=1)*(F$43&lt;=Quesería!$J$70:$J$89)*(Quesería!$H$70:$H$89&gt;0)*Quesería!$F$70:$F$89*(1+Quesería!$I$70:$I$89)/(Quesería!$J$70:$J$89+(Quesería!$J$70:$J$89=0)))+SUMPRODUCT((Quesería!$C$70:$C$89=0)*(Quesería!$J$70:$J$89=0)*(F$43=0)*(Quesería!$H$70:$H$89&gt;0)*Quesería!$F$70:$F$89*(1+Quesería!$I$70:$I$89)))*$B$735+(SUMPRODUCT((Quesería!$C$70:$C$89=1)*(Quesería!$J$70:$J$89&gt;0)*(F$43&gt;=2)*(F$43&lt;=Quesería!$J$70:$J$89+1)*(Quesería!$H$70:$H$89&gt;0)*Quesería!$F$70:$F$89*(1+Quesería!$I$70:$I$89)/(Quesería!$J$70:$J$89+(Quesería!$J$70:$J$89=0)))+SUMPRODUCT((Quesería!$C$70:$C$89=1)*(Quesería!$J$70:$J$89=0)*(F$43=1)*(Quesería!$H$70:$H$89&gt;0)*Quesería!$F$70:$F$89*(1+Quesería!$I$70:$I$89)))*$C$735*$R$21,IF(AND(F$43&gt;=1,F$43&lt;=Quesería!$B$30),Quesería!$F$92/Quesería!$B$30,0)*$B$735+IF(AND(F$43&gt;=2,F$43&lt;=Quesería!$B$30+1),Quesería!$F$93/Quesería!$B$30,0)*$C$735*$R$21)*$R$11+IF(AND(F$43&gt;=6,F$43&lt;=10),$G739*$G735/5,0)+IF(AND(F$43&gt;=7,F$43&lt;=11),$H739*$H735/5,0))*F737</f>
        <v>139.886888837268</v>
      </c>
      <c r="G747" s="29" t="n">
        <f aca="false">(IF($R$19=1,(SUMPRODUCT((Quesería!$C$70:$C$89=0)*(Quesería!$J$70:$J$89&gt;0)*(G$43&gt;=1)*(G$43&lt;=Quesería!$J$70:$J$89)*(Quesería!$H$70:$H$89&gt;0)*Quesería!$F$70:$F$89*(1+Quesería!$I$70:$I$89)/(Quesería!$J$70:$J$89+(Quesería!$J$70:$J$89=0)))+SUMPRODUCT((Quesería!$C$70:$C$89=0)*(Quesería!$J$70:$J$89=0)*(G$43=0)*(Quesería!$H$70:$H$89&gt;0)*Quesería!$F$70:$F$89*(1+Quesería!$I$70:$I$89)))*$B$735+(SUMPRODUCT((Quesería!$C$70:$C$89=1)*(Quesería!$J$70:$J$89&gt;0)*(G$43&gt;=2)*(G$43&lt;=Quesería!$J$70:$J$89+1)*(Quesería!$H$70:$H$89&gt;0)*Quesería!$F$70:$F$89*(1+Quesería!$I$70:$I$89)/(Quesería!$J$70:$J$89+(Quesería!$J$70:$J$89=0)))+SUMPRODUCT((Quesería!$C$70:$C$89=1)*(Quesería!$J$70:$J$89=0)*(G$43=1)*(Quesería!$H$70:$H$89&gt;0)*Quesería!$F$70:$F$89*(1+Quesería!$I$70:$I$89)))*$C$735*$R$21,IF(AND(G$43&gt;=1,G$43&lt;=Quesería!$B$30),Quesería!$F$92/Quesería!$B$30,0)*$B$735+IF(AND(G$43&gt;=2,G$43&lt;=Quesería!$B$30+1),Quesería!$F$93/Quesería!$B$30,0)*$C$735*$R$21)*$R$11+IF(AND(G$43&gt;=6,G$43&lt;=10),$G739*$G735/5,0)+IF(AND(G$43&gt;=7,G$43&lt;=11),$H739*$H735/5,0))*G737</f>
        <v>134.506623881988</v>
      </c>
      <c r="H747" s="29" t="n">
        <f aca="false">(IF($R$19=1,(SUMPRODUCT((Quesería!$C$70:$C$89=0)*(Quesería!$J$70:$J$89&gt;0)*(H$43&gt;=1)*(H$43&lt;=Quesería!$J$70:$J$89)*(Quesería!$H$70:$H$89&gt;0)*Quesería!$F$70:$F$89*(1+Quesería!$I$70:$I$89)/(Quesería!$J$70:$J$89+(Quesería!$J$70:$J$89=0)))+SUMPRODUCT((Quesería!$C$70:$C$89=0)*(Quesería!$J$70:$J$89=0)*(H$43=0)*(Quesería!$H$70:$H$89&gt;0)*Quesería!$F$70:$F$89*(1+Quesería!$I$70:$I$89)))*$B$735+(SUMPRODUCT((Quesería!$C$70:$C$89=1)*(Quesería!$J$70:$J$89&gt;0)*(H$43&gt;=2)*(H$43&lt;=Quesería!$J$70:$J$89+1)*(Quesería!$H$70:$H$89&gt;0)*Quesería!$F$70:$F$89*(1+Quesería!$I$70:$I$89)/(Quesería!$J$70:$J$89+(Quesería!$J$70:$J$89=0)))+SUMPRODUCT((Quesería!$C$70:$C$89=1)*(Quesería!$J$70:$J$89=0)*(H$43=1)*(Quesería!$H$70:$H$89&gt;0)*Quesería!$F$70:$F$89*(1+Quesería!$I$70:$I$89)))*$C$735*$R$21,IF(AND(H$43&gt;=1,H$43&lt;=Quesería!$B$30),Quesería!$F$92/Quesería!$B$30,0)*$B$735+IF(AND(H$43&gt;=2,H$43&lt;=Quesería!$B$30+1),Quesería!$F$93/Quesería!$B$30,0)*$C$735*$R$21)*$R$11+IF(AND(H$43&gt;=6,H$43&lt;=10),$G739*$G735/5,0)+IF(AND(H$43&gt;=7,H$43&lt;=11),$H739*$H735/5,0))*H737</f>
        <v>122.314670590318</v>
      </c>
      <c r="I747" s="29" t="n">
        <f aca="false">(IF($R$19=1,(SUMPRODUCT((Quesería!$C$70:$C$89=0)*(Quesería!$J$70:$J$89&gt;0)*(I$43&gt;=1)*(I$43&lt;=Quesería!$J$70:$J$89)*(Quesería!$H$70:$H$89&gt;0)*Quesería!$F$70:$F$89*(1+Quesería!$I$70:$I$89)/(Quesería!$J$70:$J$89+(Quesería!$J$70:$J$89=0)))+SUMPRODUCT((Quesería!$C$70:$C$89=0)*(Quesería!$J$70:$J$89=0)*(I$43=0)*(Quesería!$H$70:$H$89&gt;0)*Quesería!$F$70:$F$89*(1+Quesería!$I$70:$I$89)))*$B$735+(SUMPRODUCT((Quesería!$C$70:$C$89=1)*(Quesería!$J$70:$J$89&gt;0)*(I$43&gt;=2)*(I$43&lt;=Quesería!$J$70:$J$89+1)*(Quesería!$H$70:$H$89&gt;0)*Quesería!$F$70:$F$89*(1+Quesería!$I$70:$I$89)/(Quesería!$J$70:$J$89+(Quesería!$J$70:$J$89=0)))+SUMPRODUCT((Quesería!$C$70:$C$89=1)*(Quesería!$J$70:$J$89=0)*(I$43=1)*(Quesería!$H$70:$H$89&gt;0)*Quesería!$F$70:$F$89*(1+Quesería!$I$70:$I$89)))*$C$735*$R$21,IF(AND(I$43&gt;=1,I$43&lt;=Quesería!$B$30),Quesería!$F$92/Quesería!$B$30,0)*$B$735+IF(AND(I$43&gt;=2,I$43&lt;=Quesería!$B$30+1),Quesería!$F$93/Quesería!$B$30,0)*$C$735*$R$21)*$R$11+IF(AND(I$43&gt;=6,I$43&lt;=10),$G739*$G735/5,0)+IF(AND(I$43&gt;=7,I$43&lt;=11),$H739*$H735/5,0))*I737</f>
        <v>126.531251665874</v>
      </c>
      <c r="J747" s="29" t="n">
        <f aca="false">(IF($R$19=1,(SUMPRODUCT((Quesería!$C$70:$C$89=0)*(Quesería!$J$70:$J$89&gt;0)*(J$43&gt;=1)*(J$43&lt;=Quesería!$J$70:$J$89)*(Quesería!$H$70:$H$89&gt;0)*Quesería!$F$70:$F$89*(1+Quesería!$I$70:$I$89)/(Quesería!$J$70:$J$89+(Quesería!$J$70:$J$89=0)))+SUMPRODUCT((Quesería!$C$70:$C$89=0)*(Quesería!$J$70:$J$89=0)*(J$43=0)*(Quesería!$H$70:$H$89&gt;0)*Quesería!$F$70:$F$89*(1+Quesería!$I$70:$I$89)))*$B$735+(SUMPRODUCT((Quesería!$C$70:$C$89=1)*(Quesería!$J$70:$J$89&gt;0)*(J$43&gt;=2)*(J$43&lt;=Quesería!$J$70:$J$89+1)*(Quesería!$H$70:$H$89&gt;0)*Quesería!$F$70:$F$89*(1+Quesería!$I$70:$I$89)/(Quesería!$J$70:$J$89+(Quesería!$J$70:$J$89=0)))+SUMPRODUCT((Quesería!$C$70:$C$89=1)*(Quesería!$J$70:$J$89=0)*(J$43=1)*(Quesería!$H$70:$H$89&gt;0)*Quesería!$F$70:$F$89*(1+Quesería!$I$70:$I$89)))*$C$735*$R$21,IF(AND(J$43&gt;=1,J$43&lt;=Quesería!$B$30),Quesería!$F$92/Quesería!$B$30,0)*$B$735+IF(AND(J$43&gt;=2,J$43&lt;=Quesería!$B$30+1),Quesería!$F$93/Quesería!$B$30,0)*$C$735*$R$21)*$R$11+IF(AND(J$43&gt;=6,J$43&lt;=10),$G739*$G735/5,0)+IF(AND(J$43&gt;=7,J$43&lt;=11),$H739*$H735/5,0))*J737</f>
        <v>121.66466506334</v>
      </c>
      <c r="K747" s="29" t="n">
        <f aca="false">(IF($R$19=1,(SUMPRODUCT((Quesería!$C$70:$C$89=0)*(Quesería!$J$70:$J$89&gt;0)*(K$43&gt;=1)*(K$43&lt;=Quesería!$J$70:$J$89)*(Quesería!$H$70:$H$89&gt;0)*Quesería!$F$70:$F$89*(1+Quesería!$I$70:$I$89)/(Quesería!$J$70:$J$89+(Quesería!$J$70:$J$89=0)))+SUMPRODUCT((Quesería!$C$70:$C$89=0)*(Quesería!$J$70:$J$89=0)*(K$43=0)*(Quesería!$H$70:$H$89&gt;0)*Quesería!$F$70:$F$89*(1+Quesería!$I$70:$I$89)))*$B$735+(SUMPRODUCT((Quesería!$C$70:$C$89=1)*(Quesería!$J$70:$J$89&gt;0)*(K$43&gt;=2)*(K$43&lt;=Quesería!$J$70:$J$89+1)*(Quesería!$H$70:$H$89&gt;0)*Quesería!$F$70:$F$89*(1+Quesería!$I$70:$I$89)/(Quesería!$J$70:$J$89+(Quesería!$J$70:$J$89=0)))+SUMPRODUCT((Quesería!$C$70:$C$89=1)*(Quesería!$J$70:$J$89=0)*(K$43=1)*(Quesería!$H$70:$H$89&gt;0)*Quesería!$F$70:$F$89*(1+Quesería!$I$70:$I$89)))*$C$735*$R$21,IF(AND(K$43&gt;=1,K$43&lt;=Quesería!$B$30),Quesería!$F$92/Quesería!$B$30,0)*$B$735+IF(AND(K$43&gt;=2,K$43&lt;=Quesería!$B$30+1),Quesería!$F$93/Quesería!$B$30,0)*$C$735*$R$21)*$R$11+IF(AND(K$43&gt;=6,K$43&lt;=10),$G739*$G735/5,0)+IF(AND(K$43&gt;=7,K$43&lt;=11),$H739*$H735/5,0))*K737</f>
        <v>116.985254868597</v>
      </c>
      <c r="L747" s="29" t="n">
        <f aca="false">(IF($R$19=1,(SUMPRODUCT((Quesería!$C$70:$C$89=0)*(Quesería!$J$70:$J$89&gt;0)*(L$43&gt;=1)*(L$43&lt;=Quesería!$J$70:$J$89)*(Quesería!$H$70:$H$89&gt;0)*Quesería!$F$70:$F$89*(1+Quesería!$I$70:$I$89)/(Quesería!$J$70:$J$89+(Quesería!$J$70:$J$89=0)))+SUMPRODUCT((Quesería!$C$70:$C$89=0)*(Quesería!$J$70:$J$89=0)*(L$43=0)*(Quesería!$H$70:$H$89&gt;0)*Quesería!$F$70:$F$89*(1+Quesería!$I$70:$I$89)))*$B$735+(SUMPRODUCT((Quesería!$C$70:$C$89=1)*(Quesería!$J$70:$J$89&gt;0)*(L$43&gt;=2)*(L$43&lt;=Quesería!$J$70:$J$89+1)*(Quesería!$H$70:$H$89&gt;0)*Quesería!$F$70:$F$89*(1+Quesería!$I$70:$I$89)/(Quesería!$J$70:$J$89+(Quesería!$J$70:$J$89=0)))+SUMPRODUCT((Quesería!$C$70:$C$89=1)*(Quesería!$J$70:$J$89=0)*(L$43=1)*(Quesería!$H$70:$H$89&gt;0)*Quesería!$F$70:$F$89*(1+Quesería!$I$70:$I$89)))*$C$735*$R$21,IF(AND(L$43&gt;=1,L$43&lt;=Quesería!$B$30),Quesería!$F$92/Quesería!$B$30,0)*$B$735+IF(AND(L$43&gt;=2,L$43&lt;=Quesería!$B$30+1),Quesería!$F$93/Quesería!$B$30,0)*$C$735*$R$21)*$R$11+IF(AND(L$43&gt;=6,L$43&lt;=10),$G739*$G735/5,0)+IF(AND(L$43&gt;=7,L$43&lt;=11),$H739*$H735/5,0))*L737</f>
        <v>112.485821989035</v>
      </c>
    </row>
    <row r="748" customFormat="false" ht="15" hidden="true" customHeight="false" outlineLevel="1" collapsed="false">
      <c r="A748" s="9" t="s">
        <v>416</v>
      </c>
      <c r="B748" s="58" t="n">
        <f aca="false">IF(B$43=1,MIN($R$7*Quesería!$B$56*Quesería!$F$86*$R$11*$R$21,Quesería!$B$57*Quesería!$B$58),0)</f>
        <v>0</v>
      </c>
      <c r="C748" s="58" t="n">
        <f aca="false">IF(C$43=1,MIN($R$7*Quesería!$B$56*Quesería!$F$86*$R$11*$R$21,Quesería!$B$57*Quesería!$B$58),0)</f>
        <v>20</v>
      </c>
      <c r="D748" s="58" t="n">
        <f aca="false">IF(D$43=1,MIN($R$7*Quesería!$B$56*Quesería!$F$86*$R$11*$R$21,Quesería!$B$57*Quesería!$B$58),0)</f>
        <v>0</v>
      </c>
      <c r="E748" s="58" t="n">
        <f aca="false">IF(E$43=1,MIN($R$7*Quesería!$B$56*Quesería!$F$86*$R$11*$R$21,Quesería!$B$57*Quesería!$B$58),0)</f>
        <v>0</v>
      </c>
      <c r="F748" s="58" t="n">
        <f aca="false">IF(F$43=1,MIN($R$7*Quesería!$B$56*Quesería!$F$86*$R$11*$R$21,Quesería!$B$57*Quesería!$B$58),0)</f>
        <v>0</v>
      </c>
      <c r="G748" s="58" t="n">
        <f aca="false">IF(G$43=1,MIN($R$7*Quesería!$B$56*Quesería!$F$86*$R$11*$R$21,Quesería!$B$57*Quesería!$B$58),0)</f>
        <v>0</v>
      </c>
      <c r="H748" s="58" t="n">
        <f aca="false">IF(H$43=1,MIN($R$7*Quesería!$B$56*Quesería!$F$86*$R$11*$R$21,Quesería!$B$57*Quesería!$B$58),0)</f>
        <v>0</v>
      </c>
      <c r="I748" s="58" t="n">
        <f aca="false">IF(I$43=1,MIN($R$7*Quesería!$B$56*Quesería!$F$86*$R$11*$R$21,Quesería!$B$57*Quesería!$B$58),0)</f>
        <v>0</v>
      </c>
      <c r="J748" s="58" t="n">
        <f aca="false">IF(J$43=1,MIN($R$7*Quesería!$B$56*Quesería!$F$86*$R$11*$R$21,Quesería!$B$57*Quesería!$B$58),0)</f>
        <v>0</v>
      </c>
      <c r="K748" s="58" t="n">
        <f aca="false">IF(K$43=1,MIN($R$7*Quesería!$B$56*Quesería!$F$86*$R$11*$R$21,Quesería!$B$57*Quesería!$B$58),0)</f>
        <v>0</v>
      </c>
      <c r="L748" s="58" t="n">
        <f aca="false">IF(L$43=1,MIN($R$7*Quesería!$B$56*Quesería!$F$86*$R$11*$R$21,Quesería!$B$57*Quesería!$B$58),0)</f>
        <v>0</v>
      </c>
    </row>
    <row r="749" customFormat="false" ht="15" hidden="true" customHeight="false" outlineLevel="1" collapsed="false">
      <c r="A749" s="9" t="s">
        <v>417</v>
      </c>
      <c r="B749" s="58" t="n">
        <v>0</v>
      </c>
      <c r="C749" s="58" t="n">
        <f aca="false">$R$20*Quesería!$B$60*Quesería!$F$98*$R$11*$B$735/C735/2</f>
        <v>138.12868344741</v>
      </c>
      <c r="D749" s="58" t="n">
        <f aca="false">$R$20*Quesería!$B$60*Quesería!$F$98*$R$11*$B$735/D735/2</f>
        <v>132.18055832288</v>
      </c>
      <c r="E749" s="58" t="n">
        <v>0</v>
      </c>
      <c r="F749" s="58" t="n">
        <v>0</v>
      </c>
      <c r="G749" s="58" t="n">
        <v>0</v>
      </c>
      <c r="H749" s="58" t="n">
        <v>0</v>
      </c>
      <c r="I749" s="58" t="n">
        <v>0</v>
      </c>
      <c r="J749" s="58" t="n">
        <v>0</v>
      </c>
      <c r="K749" s="58" t="n">
        <v>0</v>
      </c>
      <c r="L749" s="58" t="n">
        <v>0</v>
      </c>
    </row>
    <row r="750" customFormat="false" ht="15" hidden="true" customHeight="false" outlineLevel="1" collapsed="false">
      <c r="A750" s="9" t="s">
        <v>418</v>
      </c>
      <c r="B750" s="58" t="n">
        <f aca="false">0</f>
        <v>0</v>
      </c>
      <c r="C750" s="58" t="n">
        <f aca="false">B740*B735/C735</f>
        <v>142.014925295407</v>
      </c>
      <c r="D750" s="58" t="n">
        <f aca="false">C740*C735/D735</f>
        <v>137.903466668091</v>
      </c>
      <c r="E750" s="58" t="n">
        <f aca="false">D740*D735/E735</f>
        <v>0</v>
      </c>
      <c r="F750" s="58" t="n">
        <f aca="false">E740*E735/F735</f>
        <v>0</v>
      </c>
      <c r="G750" s="58" t="n">
        <f aca="false">F740*F735/G735</f>
        <v>0</v>
      </c>
      <c r="H750" s="58" t="n">
        <f aca="false">G740*G735/H735</f>
        <v>5.01768392412113</v>
      </c>
      <c r="I750" s="58" t="n">
        <f aca="false">H740*H735/I735</f>
        <v>8.47494190873221</v>
      </c>
      <c r="J750" s="58" t="n">
        <f aca="false">I740*I735/J735</f>
        <v>0</v>
      </c>
      <c r="K750" s="58" t="n">
        <f aca="false">J740*J735/K735</f>
        <v>0</v>
      </c>
      <c r="L750" s="58" t="n">
        <f aca="false">K740*K735/L735</f>
        <v>0</v>
      </c>
    </row>
    <row r="751" customFormat="false" ht="15" hidden="true" customHeight="false" outlineLevel="1" collapsed="false">
      <c r="A751" s="6" t="s">
        <v>295</v>
      </c>
      <c r="B751" s="29" t="n">
        <f aca="false">$R$17*(B743-B744-B745-0.5*B746-B747)-B748-B749-B750</f>
        <v>-9.59839124703308</v>
      </c>
      <c r="C751" s="29" t="n">
        <f aca="false">$R$17*(C743-C744-C745-0.5*C746-C747)-C748-C749-C750</f>
        <v>-287.35904962886</v>
      </c>
      <c r="D751" s="29" t="n">
        <f aca="false">$R$17*(D743-D744-D745-0.5*D746-D747)-D748-D749-D750</f>
        <v>-189.725322279336</v>
      </c>
      <c r="E751" s="29" t="n">
        <f aca="false">$R$17*(E743-E744-E745-0.5*E746-E747)-E748-E749-E750</f>
        <v>104.732731328365</v>
      </c>
      <c r="F751" s="29" t="n">
        <f aca="false">$R$17*(F743-F744-F745-0.5*F746-F747)-F748-F749-F750</f>
        <v>106.799371634489</v>
      </c>
      <c r="G751" s="29" t="n">
        <f aca="false">$R$17*(G743-G744-G745-0.5*G746-G747)-G748-G749-G750</f>
        <v>108.768350824566</v>
      </c>
      <c r="H751" s="29" t="n">
        <f aca="false">$R$17*(H743-H744-H745-0.5*H746-H747)-H748-H749-H750</f>
        <v>108.111395718431</v>
      </c>
      <c r="I751" s="29" t="n">
        <f aca="false">$R$17*(I743-I744-I745-0.5*I746-I747)-I748-I749-I750</f>
        <v>103.326831874739</v>
      </c>
      <c r="J751" s="29" t="n">
        <f aca="false">$R$17*(J743-J744-J745-0.5*J746-J747)-J748-J749-J750</f>
        <v>113.615483721767</v>
      </c>
      <c r="K751" s="29" t="n">
        <f aca="false">$R$17*(K743-K744-K745-0.5*K746-K747)-K748-K749-K750</f>
        <v>115.364233940474</v>
      </c>
      <c r="L751" s="29" t="n">
        <f aca="false">$R$17*(L743-L744-L745-0.5*L746-L747)-L748-L749-L750</f>
        <v>117.05054688212</v>
      </c>
    </row>
    <row r="752" customFormat="false" ht="15" hidden="true" customHeight="false" outlineLevel="1" collapsed="false">
      <c r="A752" s="9" t="s">
        <v>419</v>
      </c>
      <c r="B752" s="58" t="n">
        <f aca="false">(IF(B$43&gt;=1,Quesería!$G$123*IF(B$43=1,Quesería!$B$20,1),Quesería!$G$123*Quesería!$B$20*Quesería!$B$21/12*$R$23)+IF(B$43&gt;=2,Quesería!$G$124*$R$21*IF(B$43=2,Quesería!$B$20,1),0))*$R$10</f>
        <v>77.4042870161869</v>
      </c>
      <c r="C752" s="58" t="n">
        <f aca="false">(IF(C$43&gt;=1,Quesería!$G$123*IF(C$43=1,Quesería!$B$20,1),Quesería!$G$123*Quesería!$B$20*Quesería!$B$21/12*$R$23)+IF(C$43&gt;=2,Quesería!$G$124*$R$21*IF(C$43=2,Quesería!$B$20,1),0))*$R$10</f>
        <v>116.10643052428</v>
      </c>
      <c r="D752" s="58" t="n">
        <f aca="false">(IF(D$43&gt;=1,Quesería!$G$123*IF(D$43=1,Quesería!$B$20,1),Quesería!$G$123*Quesería!$B$20*Quesería!$B$21/12*$R$23)+IF(D$43&gt;=2,Quesería!$G$124*$R$21*IF(D$43=2,Quesería!$B$20,1),0))*$R$10</f>
        <v>297.090260202792</v>
      </c>
      <c r="E752" s="58" t="n">
        <f aca="false">(IF(E$43&gt;=1,Quesería!$G$123*IF(E$43=1,Quesería!$B$20,1),Quesería!$G$123*Quesería!$B$20*Quesería!$B$21/12*$R$23)+IF(E$43&gt;=2,Quesería!$G$124*$R$21*IF(E$43=2,Quesería!$B$20,1),0))*$R$10</f>
        <v>344.517488926264</v>
      </c>
      <c r="F752" s="58" t="n">
        <f aca="false">(IF(F$43&gt;=1,Quesería!$G$123*IF(F$43=1,Quesería!$B$20,1),Quesería!$G$123*Quesería!$B$20*Quesería!$B$21/12*$R$23)+IF(F$43&gt;=2,Quesería!$G$124*$R$21*IF(F$43=2,Quesería!$B$20,1),0))*$R$10</f>
        <v>344.517488926264</v>
      </c>
      <c r="G752" s="58" t="n">
        <f aca="false">(IF(G$43&gt;=1,Quesería!$G$123*IF(G$43=1,Quesería!$B$20,1),Quesería!$G$123*Quesería!$B$20*Quesería!$B$21/12*$R$23)+IF(G$43&gt;=2,Quesería!$G$124*$R$21*IF(G$43=2,Quesería!$B$20,1),0))*$R$10</f>
        <v>344.517488926264</v>
      </c>
      <c r="H752" s="58" t="n">
        <f aca="false">(IF(H$43&gt;=1,Quesería!$G$123*IF(H$43=1,Quesería!$B$20,1),Quesería!$G$123*Quesería!$B$20*Quesería!$B$21/12*$R$23)+IF(H$43&gt;=2,Quesería!$G$124*$R$21*IF(H$43=2,Quesería!$B$20,1),0))*$R$10</f>
        <v>344.517488926264</v>
      </c>
      <c r="I752" s="58" t="n">
        <f aca="false">(IF(I$43&gt;=1,Quesería!$G$123*IF(I$43=1,Quesería!$B$20,1),Quesería!$G$123*Quesería!$B$20*Quesería!$B$21/12*$R$23)+IF(I$43&gt;=2,Quesería!$G$124*$R$21*IF(I$43=2,Quesería!$B$20,1),0))*$R$10</f>
        <v>344.517488926264</v>
      </c>
      <c r="J752" s="58" t="n">
        <f aca="false">(IF(J$43&gt;=1,Quesería!$G$123*IF(J$43=1,Quesería!$B$20,1),Quesería!$G$123*Quesería!$B$20*Quesería!$B$21/12*$R$23)+IF(J$43&gt;=2,Quesería!$G$124*$R$21*IF(J$43=2,Quesería!$B$20,1),0))*$R$10</f>
        <v>344.517488926264</v>
      </c>
      <c r="K752" s="58" t="n">
        <f aca="false">(IF(K$43&gt;=1,Quesería!$G$123*IF(K$43=1,Quesería!$B$20,1),Quesería!$G$123*Quesería!$B$20*Quesería!$B$21/12*$R$23)+IF(K$43&gt;=2,Quesería!$G$124*$R$21*IF(K$43=2,Quesería!$B$20,1),0))*$R$10</f>
        <v>344.517488926264</v>
      </c>
      <c r="L752" s="58" t="n">
        <f aca="false">(IF(L$43&gt;=1,Quesería!$G$123*IF(L$43=1,Quesería!$B$20,1),Quesería!$G$123*Quesería!$B$20*Quesería!$B$21/12*$R$23)+IF(L$43&gt;=2,Quesería!$G$124*$R$21*IF(L$43=2,Quesería!$B$20,1),0))*$R$10</f>
        <v>344.517488926264</v>
      </c>
    </row>
    <row r="753" customFormat="false" ht="15" hidden="true" customHeight="false" outlineLevel="1" collapsed="false">
      <c r="A753" s="6" t="s">
        <v>420</v>
      </c>
      <c r="B753" s="29" t="n">
        <f aca="false">(B752*(Quesería!$B$38+Quesería!$B$40*Quesería!$B$39)/365-B744*Quesería!$B$42/365)</f>
        <v>7.23146900616979</v>
      </c>
      <c r="C753" s="29" t="n">
        <f aca="false">(C752*(Quesería!$B$38+Quesería!$B$40*Quesería!$B$39)/365-C744*Quesería!$B$42/365)-(B752*(Quesería!$B$38+Quesería!$B$40*Quesería!$B$39)/365-B744*Quesería!$B$42/365)*B735/C735</f>
        <v>1.42287846600884</v>
      </c>
      <c r="D753" s="29" t="n">
        <f aca="false">(D752*(Quesería!$B$38+Quesería!$B$40*Quesería!$B$39)/365-D744*Quesería!$B$42/365)-(C752*(Quesería!$B$38+Quesería!$B$40*Quesería!$B$39)/365-C744*Quesería!$B$42/365)*C735/D735</f>
        <v>14.0205300736897</v>
      </c>
      <c r="E753" s="29" t="n">
        <f aca="false">(E752*(Quesería!$B$38+Quesería!$B$40*Quesería!$B$39)/365-E744*Quesería!$B$42/365)-(D752*(Quesería!$B$38+Quesería!$B$40*Quesería!$B$39)/365-D744*Quesería!$B$42/365)*D735/E735</f>
        <v>5.27597549905193</v>
      </c>
      <c r="F753" s="29" t="n">
        <f aca="false">(F752*(Quesería!$B$38+Quesería!$B$40*Quesería!$B$39)/365-F744*Quesería!$B$42/365)-(E752*(Quesería!$B$38+Quesería!$B$40*Quesería!$B$39)/365-E744*Quesería!$B$42/365)*E735/F735</f>
        <v>1.01552107473577</v>
      </c>
      <c r="G753" s="29" t="n">
        <f aca="false">(G752*(Quesería!$B$38+Quesería!$B$40*Quesería!$B$39)/365-G744*Quesería!$B$42/365)-(F752*(Quesería!$B$38+Quesería!$B$40*Quesería!$B$39)/365-F744*Quesería!$B$42/365)*F735/G735</f>
        <v>1.01552107473577</v>
      </c>
      <c r="H753" s="29" t="n">
        <f aca="false">(H752*(Quesería!$B$38+Quesería!$B$40*Quesería!$B$39)/365-H744*Quesería!$B$42/365)-(G752*(Quesería!$B$38+Quesería!$B$40*Quesería!$B$39)/365-G744*Quesería!$B$42/365)*G735/H735</f>
        <v>1.01552107473577</v>
      </c>
      <c r="I753" s="29" t="n">
        <f aca="false">(I752*(Quesería!$B$38+Quesería!$B$40*Quesería!$B$39)/365-I744*Quesería!$B$42/365)-(H752*(Quesería!$B$38+Quesería!$B$40*Quesería!$B$39)/365-H744*Quesería!$B$42/365)*H735/I735</f>
        <v>1.01552107473577</v>
      </c>
      <c r="J753" s="29" t="n">
        <f aca="false">(J752*(Quesería!$B$38+Quesería!$B$40*Quesería!$B$39)/365-J744*Quesería!$B$42/365)-(I752*(Quesería!$B$38+Quesería!$B$40*Quesería!$B$39)/365-I744*Quesería!$B$42/365)*I735/J735</f>
        <v>1.01552107473577</v>
      </c>
      <c r="K753" s="29" t="n">
        <f aca="false">(K752*(Quesería!$B$38+Quesería!$B$40*Quesería!$B$39)/365-K744*Quesería!$B$42/365)-(J752*(Quesería!$B$38+Quesería!$B$40*Quesería!$B$39)/365-J744*Quesería!$B$42/365)*J735/K735</f>
        <v>1.01552107473577</v>
      </c>
      <c r="L753" s="29" t="n">
        <f aca="false">-(K752*(Quesería!$B$38+Quesería!$B$40*Quesería!$B$39)/365-K744*Quesería!$B$42/365)*K735/L735</f>
        <v>-25.3880268683941</v>
      </c>
    </row>
    <row r="754" customFormat="false" ht="15" hidden="true" customHeight="false" outlineLevel="1" collapsed="false">
      <c r="A754" s="6" t="s">
        <v>421</v>
      </c>
      <c r="B754" s="29" t="n">
        <v>0</v>
      </c>
      <c r="C754" s="29" t="n">
        <v>0</v>
      </c>
      <c r="D754" s="29" t="n">
        <v>0</v>
      </c>
      <c r="E754" s="29" t="n">
        <v>0</v>
      </c>
      <c r="F754" s="29" t="n">
        <v>0</v>
      </c>
      <c r="G754" s="29" t="n">
        <v>0</v>
      </c>
      <c r="H754" s="29" t="n">
        <v>0</v>
      </c>
      <c r="I754" s="29" t="n">
        <v>0</v>
      </c>
      <c r="J754" s="29" t="n">
        <v>0</v>
      </c>
      <c r="K754" s="29" t="n">
        <v>0</v>
      </c>
      <c r="L754" s="29" t="n">
        <f aca="false">$R$8*Quesería!$B$36*(Quesería!$F$94+Quesería!$F$95*$R$21)*$R$11*(1-$R$17)</f>
        <v>67.1237725584543</v>
      </c>
    </row>
    <row r="755" customFormat="false" ht="15" hidden="true" customHeight="false" outlineLevel="1" collapsed="false">
      <c r="A755" s="5" t="s">
        <v>147</v>
      </c>
      <c r="B755" s="59" t="n">
        <f aca="false">B743-B744-B745-B746-B751-B738-B739-B740-B753+B754</f>
        <v>-961.151880133756</v>
      </c>
      <c r="C755" s="59" t="n">
        <f aca="false">C743-C744-C745-C746-C751-C738-C739-C740-C753+C754</f>
        <v>-499.777758451238</v>
      </c>
      <c r="D755" s="59" t="n">
        <f aca="false">D743-D744-D745-D746-D751-D738-D739-D740-D753+D754</f>
        <v>556.410858145381</v>
      </c>
      <c r="E755" s="59" t="n">
        <f aca="false">E743-E744-E745-E746-E751-E738-E739-E740-E753+E754</f>
        <v>334.518146298773</v>
      </c>
      <c r="F755" s="59" t="n">
        <f aca="false">F743-F744-F745-F746-F751-F738-F739-F740-F753+F754</f>
        <v>337.021171452401</v>
      </c>
      <c r="G755" s="59" t="n">
        <f aca="false">G743-G744-G745-G746-G751-G738-G739-G740-G753+G754</f>
        <v>302.548606368777</v>
      </c>
      <c r="H755" s="59" t="n">
        <f aca="false">H743-H744-H745-H746-H751-H738-H739-H740-H753+H754</f>
        <v>280.908307657918</v>
      </c>
      <c r="I755" s="59" t="n">
        <f aca="false">I743-I744-I745-I746-I751-I738-I739-I740-I753+I754</f>
        <v>341.430651609277</v>
      </c>
      <c r="J755" s="59" t="n">
        <f aca="false">J743-J744-J745-J746-J751-J738-J739-J740-J753+J754</f>
        <v>331.457441554847</v>
      </c>
      <c r="K755" s="59" t="n">
        <f aca="false">K743-K744-K745-K746-K751-K738-K739-K740-K753+K754</f>
        <v>330.025710337702</v>
      </c>
      <c r="L755" s="59" t="n">
        <f aca="false">L743-L744-L745-L746-L751-L738-L739-L740-L753+L754</f>
        <v>422.18532199421</v>
      </c>
    </row>
    <row r="756" customFormat="false" ht="15" hidden="true" customHeight="false" outlineLevel="1" collapsed="false">
      <c r="A756" s="9" t="s">
        <v>422</v>
      </c>
      <c r="B756" s="58" t="n">
        <f aca="false">B755*B735</f>
        <v>-1018.82099294178</v>
      </c>
      <c r="C756" s="58" t="n">
        <f aca="false">C755*C735</f>
        <v>-556.252645156228</v>
      </c>
      <c r="D756" s="58" t="n">
        <f aca="false">D755*D735</f>
        <v>647.15312294602</v>
      </c>
      <c r="E756" s="58" t="n">
        <f aca="false">E755*E735</f>
        <v>404.635959715425</v>
      </c>
      <c r="F756" s="58" t="n">
        <f aca="false">F755*F735</f>
        <v>423.970185565331</v>
      </c>
      <c r="G756" s="58" t="n">
        <f aca="false">G755*G735</f>
        <v>395.828107062799</v>
      </c>
      <c r="H756" s="58" t="n">
        <f aca="false">H755*H735</f>
        <v>382.216468333796</v>
      </c>
      <c r="I756" s="58" t="n">
        <f aca="false">I755*I735</f>
        <v>483.148525168723</v>
      </c>
      <c r="J756" s="58" t="n">
        <f aca="false">J755*J735</f>
        <v>487.797156524052</v>
      </c>
      <c r="K756" s="58" t="n">
        <f aca="false">K755*K735</f>
        <v>505.117720152798</v>
      </c>
      <c r="L756" s="58" t="n">
        <f aca="false">L755*L735</f>
        <v>672.01860907702</v>
      </c>
    </row>
    <row r="757" customFormat="false" ht="15" hidden="true" customHeight="false" outlineLevel="1" collapsed="false">
      <c r="A757" s="6" t="s">
        <v>423</v>
      </c>
      <c r="B757" s="29" t="n">
        <f aca="false">B755</f>
        <v>-961.151880133756</v>
      </c>
      <c r="C757" s="29" t="n">
        <f aca="false">B757+C755</f>
        <v>-1460.92963858499</v>
      </c>
      <c r="D757" s="29" t="n">
        <f aca="false">C757+D755</f>
        <v>-904.518780439613</v>
      </c>
      <c r="E757" s="29" t="n">
        <f aca="false">D757+E755</f>
        <v>-570.00063414084</v>
      </c>
      <c r="F757" s="29" t="n">
        <f aca="false">E757+F755</f>
        <v>-232.979462688438</v>
      </c>
      <c r="G757" s="29" t="n">
        <f aca="false">F757+G755</f>
        <v>69.569143680339</v>
      </c>
      <c r="H757" s="29" t="n">
        <f aca="false">G757+H755</f>
        <v>350.477451338257</v>
      </c>
      <c r="I757" s="29" t="n">
        <f aca="false">H757+I755</f>
        <v>691.908102947534</v>
      </c>
      <c r="J757" s="29" t="n">
        <f aca="false">I757+J755</f>
        <v>1023.36554450238</v>
      </c>
      <c r="K757" s="29" t="n">
        <f aca="false">J757+K755</f>
        <v>1353.39125484008</v>
      </c>
      <c r="L757" s="29" t="n">
        <f aca="false">K757+L755</f>
        <v>1775.57657683429</v>
      </c>
    </row>
    <row r="758" customFormat="false" ht="15" hidden="true" customHeight="false" outlineLevel="1" collapsed="false">
      <c r="A758" s="9" t="s">
        <v>424</v>
      </c>
      <c r="B758" s="60" t="n">
        <v>0</v>
      </c>
      <c r="C758" s="60" t="n">
        <f aca="false">IF(AND(B757&lt;0,C757&gt;=0),B$43+(-B757)/C755,0)</f>
        <v>0</v>
      </c>
      <c r="D758" s="60" t="n">
        <f aca="false">IF(AND(C757&lt;0,D757&gt;=0),C$43+(-C757)/D755,0)</f>
        <v>0</v>
      </c>
      <c r="E758" s="60" t="n">
        <f aca="false">IF(AND(D757&lt;0,E757&gt;=0),D$43+(-D757)/E755,0)</f>
        <v>0</v>
      </c>
      <c r="F758" s="60" t="n">
        <f aca="false">IF(AND(E757&lt;0,F757&gt;=0),E$43+(-E757)/F755,0)</f>
        <v>0</v>
      </c>
      <c r="G758" s="60" t="n">
        <f aca="false">IF(AND(F757&lt;0,G757&gt;=0),F$43+(-F757)/G755,0)</f>
        <v>4.77005630759528</v>
      </c>
      <c r="H758" s="60" t="n">
        <f aca="false">IF(AND(G757&lt;0,H757&gt;=0),G$43+(-G757)/H755,0)</f>
        <v>0</v>
      </c>
      <c r="I758" s="60" t="n">
        <f aca="false">IF(AND(H757&lt;0,I757&gt;=0),H$43+(-H757)/I755,0)</f>
        <v>0</v>
      </c>
      <c r="J758" s="60" t="n">
        <f aca="false">IF(AND(I757&lt;0,J757&gt;=0),I$43+(-I757)/J755,0)</f>
        <v>0</v>
      </c>
      <c r="K758" s="60" t="n">
        <f aca="false">IF(AND(J757&lt;0,K757&gt;=0),J$43+(-J757)/K755,0)</f>
        <v>0</v>
      </c>
      <c r="L758" s="60" t="n">
        <f aca="false">IF(AND(K757&lt;0,L757&gt;=0),K$43+(-K757)/L755,0)</f>
        <v>0</v>
      </c>
    </row>
    <row r="759" customFormat="false" ht="15" hidden="true" customHeight="false" outlineLevel="1" collapsed="false">
      <c r="A759" s="9" t="s">
        <v>425</v>
      </c>
      <c r="B759" s="57" t="n">
        <f aca="false">(B735/$B$735)/(1+$R$25)^B$43</f>
        <v>1</v>
      </c>
      <c r="C759" s="57" t="n">
        <f aca="false">(C735/$B$735)/(1+$R$25)^C$43</f>
        <v>0.91001076846076</v>
      </c>
      <c r="D759" s="57" t="n">
        <f aca="false">(D735/$B$735)/(1+$R$25)^D$43</f>
        <v>0.824176172053998</v>
      </c>
      <c r="E759" s="57" t="n">
        <f aca="false">(E735/$B$735)/(1+$R$25)^E$43</f>
        <v>0.74286624699526</v>
      </c>
      <c r="F759" s="57" t="n">
        <f aca="false">(F735/$B$735)/(1+$R$25)^F$43</f>
        <v>0.669578033965129</v>
      </c>
      <c r="G759" s="57" t="n">
        <f aca="false">(G735/$B$735)/(1+$R$25)^G$43</f>
        <v>0.603520142935594</v>
      </c>
      <c r="H759" s="57" t="n">
        <f aca="false">(H735/$B$735)/(1+$R$25)^H$43</f>
        <v>0.54397925925385</v>
      </c>
      <c r="I759" s="57" t="n">
        <f aca="false">(I735/$B$735)/(1+$R$25)^I$43</f>
        <v>0.490312441038023</v>
      </c>
      <c r="J759" s="57" t="n">
        <f aca="false">(J735/$B$735)/(1+$R$25)^J$43</f>
        <v>0.441940176481026</v>
      </c>
      <c r="K759" s="57" t="n">
        <f aca="false">(K735/$B$735)/(1+$R$25)^K$43</f>
        <v>0.398340126093057</v>
      </c>
      <c r="L759" s="57" t="n">
        <f aca="false">(L735/$B$735)/(1+$R$25)^L$43</f>
        <v>0.359041482309416</v>
      </c>
    </row>
    <row r="760" customFormat="false" ht="15" hidden="true" customHeight="false" outlineLevel="1" collapsed="false">
      <c r="A760" s="9" t="s">
        <v>426</v>
      </c>
      <c r="B760" s="58" t="n">
        <f aca="false">B755*B759</f>
        <v>-961.151880133756</v>
      </c>
      <c r="C760" s="58" t="n">
        <f aca="false">C755*C759</f>
        <v>-454.803142027807</v>
      </c>
      <c r="D760" s="58" t="n">
        <f aca="false">D755*D759</f>
        <v>458.58057115554</v>
      </c>
      <c r="E760" s="58" t="n">
        <f aca="false">E755*E759</f>
        <v>248.502239892781</v>
      </c>
      <c r="F760" s="58" t="n">
        <f aca="false">F755*F759</f>
        <v>225.661973385723</v>
      </c>
      <c r="G760" s="58" t="n">
        <f aca="false">G755*G759</f>
        <v>182.594178160649</v>
      </c>
      <c r="H760" s="58" t="n">
        <f aca="false">H755*H759</f>
        <v>152.808293118007</v>
      </c>
      <c r="I760" s="58" t="n">
        <f aca="false">I755*I759</f>
        <v>167.407696235747</v>
      </c>
      <c r="J760" s="58" t="n">
        <f aca="false">J755*J759</f>
        <v>146.484360216699</v>
      </c>
      <c r="K760" s="58" t="n">
        <f aca="false">K755*K759</f>
        <v>131.462483069871</v>
      </c>
      <c r="L760" s="58" t="n">
        <f aca="false">L755*L759</f>
        <v>151.582043818079</v>
      </c>
    </row>
    <row r="761" customFormat="false" ht="15" hidden="true" customHeight="false" outlineLevel="1" collapsed="false">
      <c r="A761" s="9" t="s">
        <v>427</v>
      </c>
      <c r="B761" s="58" t="n">
        <f aca="false">B760</f>
        <v>-961.151880133756</v>
      </c>
      <c r="C761" s="58" t="n">
        <f aca="false">B761+C760</f>
        <v>-1415.95502216156</v>
      </c>
      <c r="D761" s="58" t="n">
        <f aca="false">C761+D760</f>
        <v>-957.374451006023</v>
      </c>
      <c r="E761" s="58" t="n">
        <f aca="false">D761+E760</f>
        <v>-708.872211113242</v>
      </c>
      <c r="F761" s="58" t="n">
        <f aca="false">E761+F760</f>
        <v>-483.210237727519</v>
      </c>
      <c r="G761" s="58" t="n">
        <f aca="false">F761+G760</f>
        <v>-300.616059566869</v>
      </c>
      <c r="H761" s="58" t="n">
        <f aca="false">G761+H760</f>
        <v>-147.807766448863</v>
      </c>
      <c r="I761" s="58" t="n">
        <f aca="false">H761+I760</f>
        <v>19.5999297868846</v>
      </c>
      <c r="J761" s="58" t="n">
        <f aca="false">I761+J760</f>
        <v>166.084290003583</v>
      </c>
      <c r="K761" s="58" t="n">
        <f aca="false">J761+K760</f>
        <v>297.546773073454</v>
      </c>
      <c r="L761" s="58" t="n">
        <f aca="false">K761+L760</f>
        <v>449.128816891533</v>
      </c>
    </row>
    <row r="762" customFormat="false" ht="15" hidden="true" customHeight="false" outlineLevel="1" collapsed="false">
      <c r="A762" s="9" t="s">
        <v>428</v>
      </c>
      <c r="B762" s="60" t="n">
        <v>0</v>
      </c>
      <c r="C762" s="60" t="n">
        <f aca="false">IF(AND(B761&lt;0,C761&gt;=0),B$43+(-B761)/C760,0)</f>
        <v>0</v>
      </c>
      <c r="D762" s="60" t="n">
        <f aca="false">IF(AND(C761&lt;0,D761&gt;=0),C$43+(-C761)/D760,0)</f>
        <v>0</v>
      </c>
      <c r="E762" s="60" t="n">
        <f aca="false">IF(AND(D761&lt;0,E761&gt;=0),D$43+(-D761)/E760,0)</f>
        <v>0</v>
      </c>
      <c r="F762" s="60" t="n">
        <f aca="false">IF(AND(E761&lt;0,F761&gt;=0),E$43+(-E761)/F760,0)</f>
        <v>0</v>
      </c>
      <c r="G762" s="60" t="n">
        <f aca="false">IF(AND(F761&lt;0,G761&gt;=0),F$43+(-F761)/G760,0)</f>
        <v>0</v>
      </c>
      <c r="H762" s="60" t="n">
        <f aca="false">IF(AND(G761&lt;0,H761&gt;=0),G$43+(-G761)/H760,0)</f>
        <v>0</v>
      </c>
      <c r="I762" s="60" t="n">
        <f aca="false">IF(AND(H761&lt;0,I761&gt;=0),H$43+(-H761)/I760,0)</f>
        <v>6.88292097539361</v>
      </c>
      <c r="J762" s="60" t="n">
        <f aca="false">IF(AND(I761&lt;0,J761&gt;=0),I$43+(-I761)/J760,0)</f>
        <v>0</v>
      </c>
      <c r="K762" s="60" t="n">
        <f aca="false">IF(AND(J761&lt;0,K761&gt;=0),J$43+(-J761)/K760,0)</f>
        <v>0</v>
      </c>
      <c r="L762" s="60" t="n">
        <f aca="false">IF(AND(K761&lt;0,L761&gt;=0),K$43+(-K761)/L760,0)</f>
        <v>0</v>
      </c>
    </row>
    <row r="763" customFormat="false" ht="15" hidden="true" customHeight="false" outlineLevel="1" collapsed="false">
      <c r="A763" s="9" t="s">
        <v>429</v>
      </c>
      <c r="B763" s="58" t="n">
        <f aca="false">IF(B$43&lt;0,0,(Quesería!$B$44*$B$738*$B$735)*(1-MAX(0,MIN(B$43-0-Quesería!$B$47,(Quesería!$B$46-Quesería!$B$47)))/(Quesería!$B$46-Quesería!$B$47))*IF(B$43&gt;=2,1-Quesería!$B$48,1))+IF(B$43&lt;1,0,(Quesería!$B$44*$C$738*$C$735)*(1-MAX(0,MIN(B$43-1-Quesería!$B$47,(Quesería!$B$46-Quesería!$B$47)))/(Quesería!$B$46-Quesería!$B$47))*IF(B$43&gt;=2,1-Quesería!$B$48,1))</f>
        <v>641.321364968425</v>
      </c>
      <c r="C763" s="58" t="n">
        <f aca="false">IF(C$43&lt;0,0,(Quesería!$B$44*$B$738*$B$735)*(1-MAX(0,MIN(C$43-0-Quesería!$B$47,(Quesería!$B$46-Quesería!$B$47)))/(Quesería!$B$46-Quesería!$B$47))*IF(C$43&gt;=2,1-Quesería!$B$48,1))+IF(C$43&lt;1,0,(Quesería!$B$44*$C$738*$C$735)*(1-MAX(0,MIN(C$43-1-Quesería!$B$47,(Quesería!$B$46-Quesería!$B$47)))/(Quesería!$B$46-Quesería!$B$47))*IF(C$43&gt;=2,1-Quesería!$B$48,1))</f>
        <v>1190.03581125409</v>
      </c>
      <c r="D763" s="58" t="n">
        <f aca="false">IF(D$43&lt;0,0,(Quesería!$B$44*$B$738*$B$735)*(1-MAX(0,MIN(D$43-0-Quesería!$B$47,(Quesería!$B$46-Quesería!$B$47)))/(Quesería!$B$46-Quesería!$B$47))*IF(D$43&gt;=2,1-Quesería!$B$48,1))+IF(D$43&lt;1,0,(Quesería!$B$44*$C$738*$C$735)*(1-MAX(0,MIN(D$43-1-Quesería!$B$47,(Quesería!$B$46-Quesería!$B$47)))/(Quesería!$B$46-Quesería!$B$47))*IF(D$43&gt;=2,1-Quesería!$B$48,1))</f>
        <v>1083.14891709269</v>
      </c>
      <c r="E763" s="58" t="n">
        <f aca="false">IF(E$43&lt;0,0,(Quesería!$B$44*$B$738*$B$735)*(1-MAX(0,MIN(E$43-0-Quesería!$B$47,(Quesería!$B$46-Quesería!$B$47)))/(Quesería!$B$46-Quesería!$B$47))*IF(E$43&gt;=2,1-Quesería!$B$48,1))+IF(E$43&lt;1,0,(Quesería!$B$44*$C$738*$C$735)*(1-MAX(0,MIN(E$43-1-Quesería!$B$47,(Quesería!$B$46-Quesería!$B$47)))/(Quesería!$B$46-Quesería!$B$47))*IF(E$43&gt;=2,1-Quesería!$B$48,1))</f>
        <v>884.809615217005</v>
      </c>
      <c r="F763" s="58" t="n">
        <f aca="false">IF(F$43&lt;0,0,(Quesería!$B$44*$B$738*$B$735)*(1-MAX(0,MIN(F$43-0-Quesería!$B$47,(Quesería!$B$46-Quesería!$B$47)))/(Quesería!$B$46-Quesería!$B$47))*IF(F$43&gt;=2,1-Quesería!$B$48,1))+IF(F$43&lt;1,0,(Quesería!$B$44*$C$738*$C$735)*(1-MAX(0,MIN(F$43-1-Quesería!$B$47,(Quesería!$B$46-Quesería!$B$47)))/(Quesería!$B$46-Quesería!$B$47))*IF(F$43&gt;=2,1-Quesería!$B$48,1))</f>
        <v>686.470313341323</v>
      </c>
      <c r="G763" s="58" t="n">
        <f aca="false">IF(G$43&lt;0,0,(Quesería!$B$44*$B$738*$B$735)*(1-MAX(0,MIN(G$43-0-Quesería!$B$47,(Quesería!$B$46-Quesería!$B$47)))/(Quesería!$B$46-Quesería!$B$47))*IF(G$43&gt;=2,1-Quesería!$B$48,1))+IF(G$43&lt;1,0,(Quesería!$B$44*$C$738*$C$735)*(1-MAX(0,MIN(G$43-1-Quesería!$B$47,(Quesería!$B$46-Quesería!$B$47)))/(Quesería!$B$46-Quesería!$B$47))*IF(G$43&gt;=2,1-Quesería!$B$48,1))</f>
        <v>488.131011465641</v>
      </c>
      <c r="H763" s="58" t="n">
        <f aca="false">IF(H$43&lt;0,0,(Quesería!$B$44*$B$738*$B$735)*(1-MAX(0,MIN(H$43-0-Quesería!$B$47,(Quesería!$B$46-Quesería!$B$47)))/(Quesería!$B$46-Quesería!$B$47))*IF(H$43&gt;=2,1-Quesería!$B$48,1))+IF(H$43&lt;1,0,(Quesería!$B$44*$C$738*$C$735)*(1-MAX(0,MIN(H$43-1-Quesería!$B$47,(Quesería!$B$46-Quesería!$B$47)))/(Quesería!$B$46-Quesería!$B$47))*IF(H$43&gt;=2,1-Quesería!$B$48,1))</f>
        <v>289.79170958996</v>
      </c>
      <c r="I763" s="58" t="n">
        <f aca="false">IF(I$43&lt;0,0,(Quesería!$B$44*$B$738*$B$735)*(1-MAX(0,MIN(I$43-0-Quesería!$B$47,(Quesería!$B$46-Quesería!$B$47)))/(Quesería!$B$46-Quesería!$B$47))*IF(I$43&gt;=2,1-Quesería!$B$48,1))+IF(I$43&lt;1,0,(Quesería!$B$44*$C$738*$C$735)*(1-MAX(0,MIN(I$43-1-Quesería!$B$47,(Quesería!$B$46-Quesería!$B$47)))/(Quesería!$B$46-Quesería!$B$47))*IF(I$43&gt;=2,1-Quesería!$B$48,1))</f>
        <v>91.4524077142776</v>
      </c>
      <c r="J763" s="58" t="n">
        <f aca="false">IF(J$43&lt;0,0,(Quesería!$B$44*$B$738*$B$735)*(1-MAX(0,MIN(J$43-0-Quesería!$B$47,(Quesería!$B$46-Quesería!$B$47)))/(Quesería!$B$46-Quesería!$B$47))*IF(J$43&gt;=2,1-Quesería!$B$48,1))+IF(J$43&lt;1,0,(Quesería!$B$44*$C$738*$C$735)*(1-MAX(0,MIN(J$43-1-Quesería!$B$47,(Quesería!$B$46-Quesería!$B$47)))/(Quesería!$B$46-Quesería!$B$47))*IF(J$43&gt;=2,1-Quesería!$B$48,1))</f>
        <v>0</v>
      </c>
      <c r="K763" s="58" t="n">
        <f aca="false">IF(K$43&lt;0,0,(Quesería!$B$44*$B$738*$B$735)*(1-MAX(0,MIN(K$43-0-Quesería!$B$47,(Quesería!$B$46-Quesería!$B$47)))/(Quesería!$B$46-Quesería!$B$47))*IF(K$43&gt;=2,1-Quesería!$B$48,1))+IF(K$43&lt;1,0,(Quesería!$B$44*$C$738*$C$735)*(1-MAX(0,MIN(K$43-1-Quesería!$B$47,(Quesería!$B$46-Quesería!$B$47)))/(Quesería!$B$46-Quesería!$B$47))*IF(K$43&gt;=2,1-Quesería!$B$48,1))</f>
        <v>0</v>
      </c>
      <c r="L763" s="58" t="n">
        <f aca="false">IF(L$43&lt;0,0,(Quesería!$B$44*$B$738*$B$735)*(1-MAX(0,MIN(L$43-0-Quesería!$B$47,(Quesería!$B$46-Quesería!$B$47)))/(Quesería!$B$46-Quesería!$B$47))*IF(L$43&gt;=2,1-Quesería!$B$48,1))+IF(L$43&lt;1,0,(Quesería!$B$44*$C$738*$C$735)*(1-MAX(0,MIN(L$43-1-Quesería!$B$47,(Quesería!$B$46-Quesería!$B$47)))/(Quesería!$B$46-Quesería!$B$47))*IF(L$43&gt;=2,1-Quesería!$B$48,1))</f>
        <v>0</v>
      </c>
    </row>
    <row r="764" customFormat="false" ht="15" hidden="true" customHeight="false" outlineLevel="1" collapsed="false">
      <c r="A764" s="6" t="s">
        <v>430</v>
      </c>
      <c r="B764" s="29" t="n">
        <f aca="false">Quesería!$B$44*B738</f>
        <v>605.02015563059</v>
      </c>
      <c r="C764" s="29" t="n">
        <f aca="false">Quesería!$B$44*C738</f>
        <v>493.004893338424</v>
      </c>
      <c r="D764" s="29" t="n">
        <f aca="false">Quesería!$B$44*D738</f>
        <v>0</v>
      </c>
      <c r="E764" s="29" t="n">
        <f aca="false">Quesería!$B$44*E738</f>
        <v>0</v>
      </c>
      <c r="F764" s="29" t="n">
        <f aca="false">Quesería!$B$44*F738</f>
        <v>0</v>
      </c>
      <c r="G764" s="29" t="n">
        <f aca="false">Quesería!$B$44*G738</f>
        <v>0</v>
      </c>
      <c r="H764" s="29" t="n">
        <f aca="false">Quesería!$B$44*H738</f>
        <v>0</v>
      </c>
      <c r="I764" s="29" t="n">
        <f aca="false">Quesería!$B$44*I738</f>
        <v>0</v>
      </c>
      <c r="J764" s="29" t="n">
        <f aca="false">Quesería!$B$44*J738</f>
        <v>0</v>
      </c>
      <c r="K764" s="29" t="n">
        <f aca="false">Quesería!$B$44*K738</f>
        <v>0</v>
      </c>
      <c r="L764" s="29" t="n">
        <f aca="false">Quesería!$B$44*L738</f>
        <v>0</v>
      </c>
    </row>
    <row r="765" customFormat="false" ht="15" hidden="true" customHeight="false" outlineLevel="1" collapsed="false">
      <c r="A765" s="6" t="s">
        <v>431</v>
      </c>
      <c r="B765" s="29" t="n">
        <f aca="false">(IF(AND(B$43&gt;0,B$43&lt;=0+Quesería!$B$46),($R$14+$R$24)*(Quesería!$B$44*$B$738*$B$735)*(1-MAX(0,MIN((B$43-1)-0-Quesería!$B$47,(Quesería!$B$46-Quesería!$B$47)))/(Quesería!$B$46-Quesería!$B$47))*IF(B$43&gt;2,1-Quesería!$B$48,1),0)+IF(AND(B$43&gt;1,B$43&lt;=1+Quesería!$B$46),($R$14+$R$24)*(Quesería!$B$44*$C$738*$C$735)*(1-MAX(0,MIN((B$43-1)-1-Quesería!$B$47,(Quesería!$B$46-Quesería!$B$47)))/(Quesería!$B$46-Quesería!$B$47))*IF(B$43&gt;2,1-Quesería!$B$48,1),0))*B737</f>
        <v>0</v>
      </c>
      <c r="C765" s="29" t="n">
        <f aca="false">(IF(AND(C$43&gt;0,C$43&lt;=0+Quesería!$B$46),($R$14+$R$24)*(Quesería!$B$44*$B$738*$B$735)*(1-MAX(0,MIN((C$43-1)-0-Quesería!$B$47,(Quesería!$B$46-Quesería!$B$47)))/(Quesería!$B$46-Quesería!$B$47))*IF(C$43&gt;2,1-Quesería!$B$48,1),0)+IF(AND(C$43&gt;1,C$43&lt;=1+Quesería!$B$46),($R$14+$R$24)*(Quesería!$B$44*$C$738*$C$735)*(1-MAX(0,MIN((C$43-1)-1-Quesería!$B$47,(Quesería!$B$46-Quesería!$B$47)))/(Quesería!$B$46-Quesería!$B$47))*IF(C$43&gt;2,1-Quesería!$B$48,1),0))*C737</f>
        <v>90.4649185085739</v>
      </c>
      <c r="D765" s="29" t="n">
        <f aca="false">(IF(AND(D$43&gt;0,D$43&lt;=0+Quesería!$B$46),($R$14+$R$24)*(Quesería!$B$44*$B$738*$B$735)*(1-MAX(0,MIN((D$43-1)-0-Quesería!$B$47,(Quesería!$B$46-Quesería!$B$47)))/(Quesería!$B$46-Quesería!$B$47))*IF(D$43&gt;2,1-Quesería!$B$48,1),0)+IF(AND(D$43&gt;1,D$43&lt;=1+Quesería!$B$46),($R$14+$R$24)*(Quesería!$B$44*$C$738*$C$735)*(1-MAX(0,MIN((D$43-1)-1-Quesería!$B$47,(Quesería!$B$46-Quesería!$B$47)))/(Quesería!$B$46-Quesería!$B$47))*IF(D$43&gt;2,1-Quesería!$B$48,1),0))*D737</f>
        <v>160.637977763355</v>
      </c>
      <c r="E765" s="29" t="n">
        <f aca="false">(IF(AND(E$43&gt;0,E$43&lt;=0+Quesería!$B$46),($R$14+$R$24)*(Quesería!$B$44*$B$738*$B$735)*(1-MAX(0,MIN((E$43-1)-0-Quesería!$B$47,(Quesería!$B$46-Quesería!$B$47)))/(Quesería!$B$46-Quesería!$B$47))*IF(E$43&gt;2,1-Quesería!$B$48,1),0)+IF(AND(E$43&gt;1,E$43&lt;=1+Quesería!$B$46),($R$14+$R$24)*(Quesería!$B$44*$C$738*$C$735)*(1-MAX(0,MIN((E$43-1)-1-Quesería!$B$47,(Quesería!$B$46-Quesería!$B$47)))/(Quesería!$B$46-Quesería!$B$47))*IF(E$43&gt;2,1-Quesería!$B$48,1),0))*E737</f>
        <v>140.586308745501</v>
      </c>
      <c r="F765" s="29" t="n">
        <f aca="false">(IF(AND(F$43&gt;0,F$43&lt;=0+Quesería!$B$46),($R$14+$R$24)*(Quesería!$B$44*$B$738*$B$735)*(1-MAX(0,MIN((F$43-1)-0-Quesería!$B$47,(Quesería!$B$46-Quesería!$B$47)))/(Quesería!$B$46-Quesería!$B$47))*IF(F$43&gt;2,1-Quesería!$B$48,1),0)+IF(AND(F$43&gt;1,F$43&lt;=1+Quesería!$B$46),($R$14+$R$24)*(Quesería!$B$44*$C$738*$C$735)*(1-MAX(0,MIN((F$43-1)-1-Quesería!$B$47,(Quesería!$B$46-Quesería!$B$47)))/(Quesería!$B$46-Quesería!$B$47))*IF(F$43&gt;2,1-Quesería!$B$48,1),0))*F737</f>
        <v>110.426002959901</v>
      </c>
      <c r="G765" s="29" t="n">
        <f aca="false">(IF(AND(G$43&gt;0,G$43&lt;=0+Quesería!$B$46),($R$14+$R$24)*(Quesería!$B$44*$B$738*$B$735)*(1-MAX(0,MIN((G$43-1)-0-Quesería!$B$47,(Quesería!$B$46-Quesería!$B$47)))/(Quesería!$B$46-Quesería!$B$47))*IF(G$43&gt;2,1-Quesería!$B$48,1),0)+IF(AND(G$43&gt;1,G$43&lt;=1+Quesería!$B$46),($R$14+$R$24)*(Quesería!$B$44*$C$738*$C$735)*(1-MAX(0,MIN((G$43-1)-1-Quesería!$B$47,(Quesería!$B$46-Quesería!$B$47)))/(Quesería!$B$46-Quesería!$B$47))*IF(G$43&gt;2,1-Quesería!$B$48,1),0))*G737</f>
        <v>82.3777527839243</v>
      </c>
      <c r="H765" s="29" t="n">
        <f aca="false">(IF(AND(H$43&gt;0,H$43&lt;=0+Quesería!$B$46),($R$14+$R$24)*(Quesería!$B$44*$B$738*$B$735)*(1-MAX(0,MIN((H$43-1)-0-Quesería!$B$47,(Quesería!$B$46-Quesería!$B$47)))/(Quesería!$B$46-Quesería!$B$47))*IF(H$43&gt;2,1-Quesería!$B$48,1),0)+IF(AND(H$43&gt;1,H$43&lt;=1+Quesería!$B$46),($R$14+$R$24)*(Quesería!$B$44*$C$738*$C$735)*(1-MAX(0,MIN((H$43-1)-1-Quesería!$B$47,(Quesería!$B$46-Quesería!$B$47)))/(Quesería!$B$46-Quesería!$B$47))*IF(H$43&gt;2,1-Quesería!$B$48,1),0))*H737</f>
        <v>56.3237082384076</v>
      </c>
      <c r="I765" s="29" t="n">
        <f aca="false">(IF(AND(I$43&gt;0,I$43&lt;=0+Quesería!$B$46),($R$14+$R$24)*(Quesería!$B$44*$B$738*$B$735)*(1-MAX(0,MIN((I$43-1)-0-Quesería!$B$47,(Quesería!$B$46-Quesería!$B$47)))/(Quesería!$B$46-Quesería!$B$47))*IF(I$43&gt;2,1-Quesería!$B$48,1),0)+IF(AND(I$43&gt;1,I$43&lt;=1+Quesería!$B$46),($R$14+$R$24)*(Quesería!$B$44*$C$738*$C$735)*(1-MAX(0,MIN((I$43-1)-1-Quesería!$B$47,(Quesería!$B$46-Quesería!$B$47)))/(Quesería!$B$46-Quesería!$B$47))*IF(I$43&gt;2,1-Quesería!$B$48,1),0))*I737</f>
        <v>32.1519603845816</v>
      </c>
      <c r="J765" s="29" t="n">
        <f aca="false">(IF(AND(J$43&gt;0,J$43&lt;=0+Quesería!$B$46),($R$14+$R$24)*(Quesería!$B$44*$B$738*$B$735)*(1-MAX(0,MIN((J$43-1)-0-Quesería!$B$47,(Quesería!$B$46-Quesería!$B$47)))/(Quesería!$B$46-Quesería!$B$47))*IF(J$43&gt;2,1-Quesería!$B$48,1),0)+IF(AND(J$43&gt;1,J$43&lt;=1+Quesería!$B$46),($R$14+$R$24)*(Quesería!$B$44*$C$738*$C$735)*(1-MAX(0,MIN((J$43-1)-1-Quesería!$B$47,(Quesería!$B$46-Quesería!$B$47)))/(Quesería!$B$46-Quesería!$B$47))*IF(J$43&gt;2,1-Quesería!$B$48,1),0))*J737</f>
        <v>9.7562586552535</v>
      </c>
      <c r="K765" s="29" t="n">
        <f aca="false">(IF(AND(K$43&gt;0,K$43&lt;=0+Quesería!$B$46),($R$14+$R$24)*(Quesería!$B$44*$B$738*$B$735)*(1-MAX(0,MIN((K$43-1)-0-Quesería!$B$47,(Quesería!$B$46-Quesería!$B$47)))/(Quesería!$B$46-Quesería!$B$47))*IF(K$43&gt;2,1-Quesería!$B$48,1),0)+IF(AND(K$43&gt;1,K$43&lt;=1+Quesería!$B$46),($R$14+$R$24)*(Quesería!$B$44*$C$738*$C$735)*(1-MAX(0,MIN((K$43-1)-1-Quesería!$B$47,(Quesería!$B$46-Quesería!$B$47)))/(Quesería!$B$46-Quesería!$B$47))*IF(K$43&gt;2,1-Quesería!$B$48,1),0))*K737</f>
        <v>0</v>
      </c>
      <c r="L765" s="29" t="n">
        <f aca="false">(IF(AND(L$43&gt;0,L$43&lt;=0+Quesería!$B$46),($R$14+$R$24)*(Quesería!$B$44*$B$738*$B$735)*(1-MAX(0,MIN((L$43-1)-0-Quesería!$B$47,(Quesería!$B$46-Quesería!$B$47)))/(Quesería!$B$46-Quesería!$B$47))*IF(L$43&gt;2,1-Quesería!$B$48,1),0)+IF(AND(L$43&gt;1,L$43&lt;=1+Quesería!$B$46),($R$14+$R$24)*(Quesería!$B$44*$C$738*$C$735)*(1-MAX(0,MIN((L$43-1)-1-Quesería!$B$47,(Quesería!$B$46-Quesería!$B$47)))/(Quesería!$B$46-Quesería!$B$47))*IF(L$43&gt;2,1-Quesería!$B$48,1),0))*L737</f>
        <v>0</v>
      </c>
    </row>
    <row r="766" customFormat="false" ht="15" hidden="true" customHeight="false" outlineLevel="1" collapsed="false">
      <c r="A766" s="6" t="s">
        <v>432</v>
      </c>
      <c r="B766" s="29" t="n">
        <f aca="false">((IF(AND(B$43&gt;0+Quesería!$B$47,B$43&lt;=0+Quesería!$B$46),(Quesería!$B$44*$B$738*$B$735)/(Quesería!$B$46-Quesería!$B$47),0)*IF(B$43&gt;2,1-Quesería!$B$48,1)+IF(B$43=2,Quesería!$B$48*(Quesería!$B$44*$B$738*$B$735)*(1-MAX(0,MIN(2-0-Quesería!$B$47,(Quesería!$B$46-Quesería!$B$47)))/(Quesería!$B$46-Quesería!$B$47)),0))+(IF(AND(B$43&gt;1+Quesería!$B$47,B$43&lt;=1+Quesería!$B$46),(Quesería!$B$44*$C$738*$C$735)/(Quesería!$B$46-Quesería!$B$47),0)*IF(B$43&gt;2,1-Quesería!$B$48,1)+IF(B$43=2,Quesería!$B$48*(Quesería!$B$44*$C$738*$C$735)*(1-MAX(0,MIN(2-1-Quesería!$B$47,(Quesería!$B$46-Quesería!$B$47)))/(Quesería!$B$46-Quesería!$B$47)),0)))*B737</f>
        <v>0</v>
      </c>
      <c r="C766" s="29" t="n">
        <f aca="false">((IF(AND(C$43&gt;0+Quesería!$B$47,C$43&lt;=0+Quesería!$B$46),(Quesería!$B$44*$B$738*$B$735)/(Quesería!$B$46-Quesería!$B$47),0)*IF(C$43&gt;2,1-Quesería!$B$48,1)+IF(C$43=2,Quesería!$B$48*(Quesería!$B$44*$B$738*$B$735)*(1-MAX(0,MIN(2-0-Quesería!$B$47,(Quesería!$B$46-Quesería!$B$47)))/(Quesería!$B$46-Quesería!$B$47)),0))+(IF(AND(C$43&gt;1+Quesería!$B$47,C$43&lt;=1+Quesería!$B$46),(Quesería!$B$44*$C$738*$C$735)/(Quesería!$B$46-Quesería!$B$47),0)*IF(C$43&gt;2,1-Quesería!$B$48,1)+IF(C$43=2,Quesería!$B$48*(Quesería!$B$44*$C$738*$C$735)*(1-MAX(0,MIN(2-1-Quesería!$B$47,(Quesería!$B$46-Quesería!$B$47)))/(Quesería!$B$46-Quesería!$B$47)),0)))*C737</f>
        <v>0</v>
      </c>
      <c r="D766" s="29" t="n">
        <f aca="false">((IF(AND(D$43&gt;0+Quesería!$B$47,D$43&lt;=0+Quesería!$B$46),(Quesería!$B$44*$B$738*$B$735)/(Quesería!$B$46-Quesería!$B$47),0)*IF(D$43&gt;2,1-Quesería!$B$48,1)+IF(D$43=2,Quesería!$B$48*(Quesería!$B$44*$B$738*$B$735)*(1-MAX(0,MIN(2-0-Quesería!$B$47,(Quesería!$B$46-Quesería!$B$47)))/(Quesería!$B$46-Quesería!$B$47)),0))+(IF(AND(D$43&gt;1+Quesería!$B$47,D$43&lt;=1+Quesería!$B$46),(Quesería!$B$44*$C$738*$C$735)/(Quesería!$B$46-Quesería!$B$47),0)*IF(D$43&gt;2,1-Quesería!$B$48,1)+IF(D$43=2,Quesería!$B$48*(Quesería!$B$44*$C$738*$C$735)*(1-MAX(0,MIN(2-1-Quesería!$B$47,(Quesería!$B$46-Quesería!$B$47)))/(Quesería!$B$46-Quesería!$B$47)),0)))*D737</f>
        <v>91.8994692231472</v>
      </c>
      <c r="E766" s="29" t="n">
        <f aca="false">((IF(AND(E$43&gt;0+Quesería!$B$47,E$43&lt;=0+Quesería!$B$46),(Quesería!$B$44*$B$738*$B$735)/(Quesería!$B$46-Quesería!$B$47),0)*IF(E$43&gt;2,1-Quesería!$B$48,1)+IF(E$43=2,Quesería!$B$48*(Quesería!$B$44*$B$738*$B$735)*(1-MAX(0,MIN(2-0-Quesería!$B$47,(Quesería!$B$46-Quesería!$B$47)))/(Quesería!$B$46-Quesería!$B$47)),0))+(IF(AND(E$43&gt;1+Quesería!$B$47,E$43&lt;=1+Quesería!$B$46),(Quesería!$B$44*$C$738*$C$735)/(Quesería!$B$46-Quesería!$B$47),0)*IF(E$43&gt;2,1-Quesería!$B$48,1)+IF(E$43=2,Quesería!$B$48*(Quesería!$B$44*$C$738*$C$735)*(1-MAX(0,MIN(2-1-Quesería!$B$47,(Quesería!$B$46-Quesería!$B$47)))/(Quesería!$B$46-Quesería!$B$47)),0)))*E737</f>
        <v>163.969845014041</v>
      </c>
      <c r="F766" s="29" t="n">
        <f aca="false">((IF(AND(F$43&gt;0+Quesería!$B$47,F$43&lt;=0+Quesería!$B$46),(Quesería!$B$44*$B$738*$B$735)/(Quesería!$B$46-Quesería!$B$47),0)*IF(F$43&gt;2,1-Quesería!$B$48,1)+IF(F$43=2,Quesería!$B$48*(Quesería!$B$44*$B$738*$B$735)*(1-MAX(0,MIN(2-0-Quesería!$B$47,(Quesería!$B$46-Quesería!$B$47)))/(Quesería!$B$46-Quesería!$B$47)),0))+(IF(AND(F$43&gt;1+Quesería!$B$47,F$43&lt;=1+Quesería!$B$46),(Quesería!$B$44*$C$738*$C$735)/(Quesería!$B$46-Quesería!$B$47),0)*IF(F$43&gt;2,1-Quesería!$B$48,1)+IF(F$43=2,Quesería!$B$48*(Quesería!$B$44*$C$738*$C$735)*(1-MAX(0,MIN(2-1-Quesería!$B$47,(Quesería!$B$46-Quesería!$B$47)))/(Quesería!$B$46-Quesería!$B$47)),0)))*F737</f>
        <v>157.663312513501</v>
      </c>
      <c r="G766" s="29" t="n">
        <f aca="false">((IF(AND(G$43&gt;0+Quesería!$B$47,G$43&lt;=0+Quesería!$B$46),(Quesería!$B$44*$B$738*$B$735)/(Quesería!$B$46-Quesería!$B$47),0)*IF(G$43&gt;2,1-Quesería!$B$48,1)+IF(G$43=2,Quesería!$B$48*(Quesería!$B$44*$B$738*$B$735)*(1-MAX(0,MIN(2-0-Quesería!$B$47,(Quesería!$B$46-Quesería!$B$47)))/(Quesería!$B$46-Quesería!$B$47)),0))+(IF(AND(G$43&gt;1+Quesería!$B$47,G$43&lt;=1+Quesería!$B$46),(Quesería!$B$44*$C$738*$C$735)/(Quesería!$B$46-Quesería!$B$47),0)*IF(G$43&gt;2,1-Quesería!$B$48,1)+IF(G$43=2,Quesería!$B$48*(Quesería!$B$44*$C$738*$C$735)*(1-MAX(0,MIN(2-1-Quesería!$B$47,(Quesería!$B$46-Quesería!$B$47)))/(Quesería!$B$46-Quesería!$B$47)),0)))*G737</f>
        <v>151.599338955289</v>
      </c>
      <c r="H766" s="29" t="n">
        <f aca="false">((IF(AND(H$43&gt;0+Quesería!$B$47,H$43&lt;=0+Quesería!$B$46),(Quesería!$B$44*$B$738*$B$735)/(Quesería!$B$46-Quesería!$B$47),0)*IF(H$43&gt;2,1-Quesería!$B$48,1)+IF(H$43=2,Quesería!$B$48*(Quesería!$B$44*$B$738*$B$735)*(1-MAX(0,MIN(2-0-Quesería!$B$47,(Quesería!$B$46-Quesería!$B$47)))/(Quesería!$B$46-Quesería!$B$47)),0))+(IF(AND(H$43&gt;1+Quesería!$B$47,H$43&lt;=1+Quesería!$B$46),(Quesería!$B$44*$C$738*$C$735)/(Quesería!$B$46-Quesería!$B$47),0)*IF(H$43&gt;2,1-Quesería!$B$48,1)+IF(H$43=2,Quesería!$B$48*(Quesería!$B$44*$C$738*$C$735)*(1-MAX(0,MIN(2-1-Quesería!$B$47,(Quesería!$B$46-Quesería!$B$47)))/(Quesería!$B$46-Quesería!$B$47)),0)))*H737</f>
        <v>145.768595149317</v>
      </c>
      <c r="I766" s="29" t="n">
        <f aca="false">((IF(AND(I$43&gt;0+Quesería!$B$47,I$43&lt;=0+Quesería!$B$46),(Quesería!$B$44*$B$738*$B$735)/(Quesería!$B$46-Quesería!$B$47),0)*IF(I$43&gt;2,1-Quesería!$B$48,1)+IF(I$43=2,Quesería!$B$48*(Quesería!$B$44*$B$738*$B$735)*(1-MAX(0,MIN(2-0-Quesería!$B$47,(Quesería!$B$46-Quesería!$B$47)))/(Quesería!$B$46-Quesería!$B$47)),0))+(IF(AND(I$43&gt;1+Quesería!$B$47,I$43&lt;=1+Quesería!$B$46),(Quesería!$B$44*$C$738*$C$735)/(Quesería!$B$46-Quesería!$B$47),0)*IF(I$43&gt;2,1-Quesería!$B$48,1)+IF(I$43=2,Quesería!$B$48*(Quesería!$B$44*$C$738*$C$735)*(1-MAX(0,MIN(2-1-Quesería!$B$47,(Quesería!$B$46-Quesería!$B$47)))/(Quesería!$B$46-Quesería!$B$47)),0)))*I737</f>
        <v>140.162110720497</v>
      </c>
      <c r="J766" s="29" t="n">
        <f aca="false">((IF(AND(J$43&gt;0+Quesería!$B$47,J$43&lt;=0+Quesería!$B$46),(Quesería!$B$44*$B$738*$B$735)/(Quesería!$B$46-Quesería!$B$47),0)*IF(J$43&gt;2,1-Quesería!$B$48,1)+IF(J$43=2,Quesería!$B$48*(Quesería!$B$44*$B$738*$B$735)*(1-MAX(0,MIN(2-0-Quesería!$B$47,(Quesería!$B$46-Quesería!$B$47)))/(Quesería!$B$46-Quesería!$B$47)),0))+(IF(AND(J$43&gt;1+Quesería!$B$47,J$43&lt;=1+Quesería!$B$46),(Quesería!$B$44*$C$738*$C$735)/(Quesería!$B$46-Quesería!$B$47),0)*IF(J$43&gt;2,1-Quesería!$B$48,1)+IF(J$43=2,Quesería!$B$48*(Quesería!$B$44*$C$738*$C$735)*(1-MAX(0,MIN(2-1-Quesería!$B$47,(Quesería!$B$46-Quesería!$B$47)))/(Quesería!$B$46-Quesería!$B$47)),0)))*J737</f>
        <v>62.1417748742261</v>
      </c>
      <c r="K766" s="29" t="n">
        <f aca="false">((IF(AND(K$43&gt;0+Quesería!$B$47,K$43&lt;=0+Quesería!$B$46),(Quesería!$B$44*$B$738*$B$735)/(Quesería!$B$46-Quesería!$B$47),0)*IF(K$43&gt;2,1-Quesería!$B$48,1)+IF(K$43=2,Quesería!$B$48*(Quesería!$B$44*$B$738*$B$735)*(1-MAX(0,MIN(2-0-Quesería!$B$47,(Quesería!$B$46-Quesería!$B$47)))/(Quesería!$B$46-Quesería!$B$47)),0))+(IF(AND(K$43&gt;1+Quesería!$B$47,K$43&lt;=1+Quesería!$B$46),(Quesería!$B$44*$C$738*$C$735)/(Quesería!$B$46-Quesería!$B$47),0)*IF(K$43&gt;2,1-Quesería!$B$48,1)+IF(K$43=2,Quesería!$B$48*(Quesería!$B$44*$C$738*$C$735)*(1-MAX(0,MIN(2-1-Quesería!$B$47,(Quesería!$B$46-Quesería!$B$47)))/(Quesería!$B$46-Quesería!$B$47)),0)))*K737</f>
        <v>0</v>
      </c>
      <c r="L766" s="29" t="n">
        <f aca="false">((IF(AND(L$43&gt;0+Quesería!$B$47,L$43&lt;=0+Quesería!$B$46),(Quesería!$B$44*$B$738*$B$735)/(Quesería!$B$46-Quesería!$B$47),0)*IF(L$43&gt;2,1-Quesería!$B$48,1)+IF(L$43=2,Quesería!$B$48*(Quesería!$B$44*$B$738*$B$735)*(1-MAX(0,MIN(2-0-Quesería!$B$47,(Quesería!$B$46-Quesería!$B$47)))/(Quesería!$B$46-Quesería!$B$47)),0))+(IF(AND(L$43&gt;1+Quesería!$B$47,L$43&lt;=1+Quesería!$B$46),(Quesería!$B$44*$C$738*$C$735)/(Quesería!$B$46-Quesería!$B$47),0)*IF(L$43&gt;2,1-Quesería!$B$48,1)+IF(L$43=2,Quesería!$B$48*(Quesería!$B$44*$C$738*$C$735)*(1-MAX(0,MIN(2-1-Quesería!$B$47,(Quesería!$B$46-Quesería!$B$47)))/(Quesería!$B$46-Quesería!$B$47)),0)))*L737</f>
        <v>0</v>
      </c>
    </row>
    <row r="767" customFormat="false" ht="15" hidden="true" customHeight="false" outlineLevel="1" collapsed="false">
      <c r="A767" s="6" t="s">
        <v>433</v>
      </c>
      <c r="B767" s="29" t="n">
        <f aca="false">$R$13*Quesería!$B$51*(1+0.19)*B763*B737+(1-$R$13)*IF(B$43=0,Quesería!$B$50,0)</f>
        <v>4</v>
      </c>
      <c r="C767" s="29" t="n">
        <f aca="false">$R$13*Quesería!$B$51*(1+0.19)*C763*C737+(1-$R$13)*IF(C$43=0,Quesería!$B$50,0)</f>
        <v>0</v>
      </c>
      <c r="D767" s="29" t="n">
        <f aca="false">$R$13*Quesería!$B$51*(1+0.19)*D763*D737+(1-$R$13)*IF(D$43=0,Quesería!$B$50,0)</f>
        <v>0</v>
      </c>
      <c r="E767" s="29" t="n">
        <f aca="false">$R$13*Quesería!$B$51*(1+0.19)*E763*E737+(1-$R$13)*IF(E$43=0,Quesería!$B$50,0)</f>
        <v>0</v>
      </c>
      <c r="F767" s="29" t="n">
        <f aca="false">$R$13*Quesería!$B$51*(1+0.19)*F763*F737+(1-$R$13)*IF(F$43=0,Quesería!$B$50,0)</f>
        <v>0</v>
      </c>
      <c r="G767" s="29" t="n">
        <f aca="false">$R$13*Quesería!$B$51*(1+0.19)*G763*G737+(1-$R$13)*IF(G$43=0,Quesería!$B$50,0)</f>
        <v>0</v>
      </c>
      <c r="H767" s="29" t="n">
        <f aca="false">$R$13*Quesería!$B$51*(1+0.19)*H763*H737+(1-$R$13)*IF(H$43=0,Quesería!$B$50,0)</f>
        <v>0</v>
      </c>
      <c r="I767" s="29" t="n">
        <f aca="false">$R$13*Quesería!$B$51*(1+0.19)*I763*I737+(1-$R$13)*IF(I$43=0,Quesería!$B$50,0)</f>
        <v>0</v>
      </c>
      <c r="J767" s="29" t="n">
        <f aca="false">$R$13*Quesería!$B$51*(1+0.19)*J763*J737+(1-$R$13)*IF(J$43=0,Quesería!$B$50,0)</f>
        <v>0</v>
      </c>
      <c r="K767" s="29" t="n">
        <f aca="false">$R$13*Quesería!$B$51*(1+0.19)*K763*K737+(1-$R$13)*IF(K$43=0,Quesería!$B$50,0)</f>
        <v>0</v>
      </c>
      <c r="L767" s="29" t="n">
        <f aca="false">$R$13*Quesería!$B$51*(1+0.19)*L763*L737+(1-$R$13)*IF(L$43=0,Quesería!$B$50,0)</f>
        <v>0</v>
      </c>
    </row>
    <row r="768" customFormat="false" ht="15" hidden="true" customHeight="false" outlineLevel="1" collapsed="false">
      <c r="A768" s="6" t="s">
        <v>434</v>
      </c>
      <c r="B768" s="29" t="n">
        <f aca="false">Quesería!$B$52*(B765+B766+B767)</f>
        <v>0.016</v>
      </c>
      <c r="C768" s="29" t="n">
        <f aca="false">Quesería!$B$52*(C765+C766+C767)</f>
        <v>0.361859674034296</v>
      </c>
      <c r="D768" s="29" t="n">
        <f aca="false">Quesería!$B$52*(D765+D766+D767)</f>
        <v>1.01014978794601</v>
      </c>
      <c r="E768" s="29" t="n">
        <f aca="false">Quesería!$B$52*(E765+E766+E767)</f>
        <v>1.21822461503817</v>
      </c>
      <c r="F768" s="29" t="n">
        <f aca="false">Quesería!$B$52*(F765+F766+F767)</f>
        <v>1.07235726189361</v>
      </c>
      <c r="G768" s="29" t="n">
        <f aca="false">Quesería!$B$52*(G765+G766+G767)</f>
        <v>0.935908366956854</v>
      </c>
      <c r="H768" s="29" t="n">
        <f aca="false">Quesería!$B$52*(H765+H766+H767)</f>
        <v>0.808369213550896</v>
      </c>
      <c r="I768" s="29" t="n">
        <f aca="false">Quesería!$B$52*(I765+I766+I767)</f>
        <v>0.689256284420313</v>
      </c>
      <c r="J768" s="29" t="n">
        <f aca="false">Quesería!$B$52*(J765+J766+J767)</f>
        <v>0.287592134117918</v>
      </c>
      <c r="K768" s="29" t="n">
        <f aca="false">Quesería!$B$52*(K765+K766+K767)</f>
        <v>0</v>
      </c>
      <c r="L768" s="29" t="n">
        <f aca="false">Quesería!$B$52*(L765+L766+L767)</f>
        <v>0</v>
      </c>
    </row>
    <row r="769" customFormat="false" ht="15" hidden="true" customHeight="false" outlineLevel="1" collapsed="false">
      <c r="A769" s="6" t="s">
        <v>435</v>
      </c>
      <c r="B769" s="29" t="n">
        <f aca="false">$R$17*(B765+B767+0.5*B768)</f>
        <v>1.4028</v>
      </c>
      <c r="C769" s="29" t="n">
        <f aca="false">$R$17*(C765+C767+0.5*C768)</f>
        <v>31.7260469209569</v>
      </c>
      <c r="D769" s="29" t="n">
        <f aca="false">$R$17*(D765+D767+0.5*D768)</f>
        <v>56.400068430065</v>
      </c>
      <c r="E769" s="29" t="n">
        <f aca="false">$R$17*(E765+E767+0.5*E768)</f>
        <v>49.4183973685571</v>
      </c>
      <c r="F769" s="29" t="n">
        <f aca="false">$R$17*(F765+F767+0.5*F768)</f>
        <v>38.8367635567967</v>
      </c>
      <c r="G769" s="29" t="n">
        <f aca="false">$R$17*(G765+G767+0.5*G768)</f>
        <v>28.995997438591</v>
      </c>
      <c r="H769" s="29" t="n">
        <f aca="false">$R$17*(H765+H767+0.5*H768)</f>
        <v>19.8547624958141</v>
      </c>
      <c r="I769" s="29" t="n">
        <f aca="false">$R$17*(I765+I767+0.5*I768)</f>
        <v>11.3738059843771</v>
      </c>
      <c r="J769" s="29" t="n">
        <f aca="false">$R$17*(J765+J767+0.5*J768)</f>
        <v>3.46501915280936</v>
      </c>
      <c r="K769" s="29" t="n">
        <f aca="false">$R$17*(K765+K767+0.5*K768)</f>
        <v>0</v>
      </c>
      <c r="L769" s="29" t="n">
        <f aca="false">$R$17*(L765+L767+0.5*L768)</f>
        <v>0</v>
      </c>
    </row>
    <row r="770" customFormat="false" ht="15" hidden="true" customHeight="false" outlineLevel="1" collapsed="false">
      <c r="A770" s="5" t="s">
        <v>436</v>
      </c>
      <c r="B770" s="59" t="n">
        <f aca="false">B755+B764-B765-B766-B767-B768+B769</f>
        <v>-358.744924503166</v>
      </c>
      <c r="C770" s="59" t="n">
        <f aca="false">C755+C764-C765-C766-C767-C768+C769</f>
        <v>-65.8735963744655</v>
      </c>
      <c r="D770" s="59" t="n">
        <f aca="false">D755+D764-D765-D766-D767-D768+D769</f>
        <v>359.263329800997</v>
      </c>
      <c r="E770" s="59" t="n">
        <f aca="false">E755+E764-E765-E766-E767-E768+E769</f>
        <v>78.1621652927503</v>
      </c>
      <c r="F770" s="59" t="n">
        <f aca="false">F755+F764-F765-F766-F767-F768+F769</f>
        <v>106.696262273903</v>
      </c>
      <c r="G770" s="59" t="n">
        <f aca="false">G755+G764-G765-G766-G767-G768+G769</f>
        <v>96.6316037011981</v>
      </c>
      <c r="H770" s="59" t="n">
        <f aca="false">H755+H764-H765-H766-H767-H768+H769</f>
        <v>97.8623975524567</v>
      </c>
      <c r="I770" s="59" t="n">
        <f aca="false">I755+I764-I765-I766-I767-I768+I769</f>
        <v>179.801130204156</v>
      </c>
      <c r="J770" s="59" t="n">
        <f aca="false">J755+J764-J765-J766-J767-J768+J769</f>
        <v>262.736835044059</v>
      </c>
      <c r="K770" s="59" t="n">
        <f aca="false">K755+K764-K765-K766-K767-K768+K769</f>
        <v>330.025710337702</v>
      </c>
      <c r="L770" s="59" t="n">
        <f aca="false">L755+L764-L765-L766-L767-L768+L769</f>
        <v>422.18532199421</v>
      </c>
    </row>
    <row r="771" customFormat="false" ht="15" hidden="true" customHeight="false" outlineLevel="1" collapsed="false">
      <c r="A771" s="9" t="s">
        <v>437</v>
      </c>
      <c r="B771" s="58" t="n">
        <f aca="false">B770*B735</f>
        <v>-380.269619973356</v>
      </c>
      <c r="C771" s="58" t="n">
        <f aca="false">C770*C735</f>
        <v>-73.3173127647802</v>
      </c>
      <c r="D771" s="58" t="n">
        <f aca="false">D770*D735</f>
        <v>417.853789941593</v>
      </c>
      <c r="E771" s="58" t="n">
        <f aca="false">E770*E735</f>
        <v>94.5456117002993</v>
      </c>
      <c r="F771" s="58" t="n">
        <f aca="false">F770*F735</f>
        <v>134.22312289892</v>
      </c>
      <c r="G771" s="58" t="n">
        <f aca="false">G770*G735</f>
        <v>126.424329745103</v>
      </c>
      <c r="H771" s="58" t="n">
        <f aca="false">H770*H735</f>
        <v>133.155976364815</v>
      </c>
      <c r="I771" s="58" t="n">
        <f aca="false">I770*I735</f>
        <v>254.431318548457</v>
      </c>
      <c r="J771" s="58" t="n">
        <f aca="false">J770*J735</f>
        <v>386.662856164638</v>
      </c>
      <c r="K771" s="58" t="n">
        <f aca="false">K770*K735</f>
        <v>505.117720152798</v>
      </c>
      <c r="L771" s="58" t="n">
        <f aca="false">L770*L735</f>
        <v>672.01860907702</v>
      </c>
    </row>
    <row r="772" customFormat="false" ht="15" hidden="true" customHeight="false" outlineLevel="1" collapsed="false">
      <c r="A772" s="9" t="s">
        <v>438</v>
      </c>
      <c r="B772" s="57" t="n">
        <f aca="false">(B735/$B$735)/(1+Quesería!$B$11+$R$24)^B$43</f>
        <v>1</v>
      </c>
      <c r="C772" s="57" t="n">
        <f aca="false">(C735/$B$735)/(1+Quesería!$B$11+$R$24)^C$43</f>
        <v>0.84</v>
      </c>
      <c r="D772" s="57" t="n">
        <f aca="false">(D735/$B$735)/(1+Quesería!$B$11+$R$24)^D$43</f>
        <v>0.70224</v>
      </c>
      <c r="E772" s="57" t="n">
        <f aca="false">(E735/$B$735)/(1+Quesería!$B$11+$R$24)^E$43</f>
        <v>0.58426368</v>
      </c>
      <c r="F772" s="57" t="n">
        <f aca="false">(F735/$B$735)/(1+Quesería!$B$11+$R$24)^F$43</f>
        <v>0.48610738176</v>
      </c>
      <c r="G772" s="57" t="n">
        <f aca="false">(G735/$B$735)/(1+Quesería!$B$11+$R$24)^G$43</f>
        <v>0.40444134162432</v>
      </c>
      <c r="H772" s="57" t="n">
        <f aca="false">(H735/$B$735)/(1+Quesería!$B$11+$R$24)^H$43</f>
        <v>0.336495196231434</v>
      </c>
      <c r="I772" s="57" t="n">
        <f aca="false">(I735/$B$735)/(1+Quesería!$B$11+$R$24)^I$43</f>
        <v>0.279964003264553</v>
      </c>
      <c r="J772" s="57" t="n">
        <f aca="false">(J735/$B$735)/(1+Quesería!$B$11+$R$24)^J$43</f>
        <v>0.232930050716108</v>
      </c>
      <c r="K772" s="57" t="n">
        <f aca="false">(K735/$B$735)/(1+Quesería!$B$11+$R$24)^K$43</f>
        <v>0.193797802195802</v>
      </c>
      <c r="L772" s="57" t="n">
        <f aca="false">(L735/$B$735)/(1+Quesería!$B$11+$R$24)^L$43</f>
        <v>0.161239771426907</v>
      </c>
    </row>
    <row r="773" customFormat="false" ht="15" hidden="true" customHeight="false" outlineLevel="1" collapsed="false">
      <c r="A773" s="9" t="s">
        <v>439</v>
      </c>
      <c r="B773" s="58" t="n">
        <f aca="false">B755+B738+B740+B769</f>
        <v>120.166830858099</v>
      </c>
      <c r="C773" s="58" t="n">
        <f aca="false">C755+C738+C740+C769</f>
        <v>434.526477812372</v>
      </c>
      <c r="D773" s="58" t="n">
        <f aca="false">D755+D738+D740+D769</f>
        <v>612.810926575446</v>
      </c>
      <c r="E773" s="58" t="n">
        <f aca="false">E755+E738+E740+E769</f>
        <v>383.936543667331</v>
      </c>
      <c r="F773" s="58" t="n">
        <f aca="false">F755+F738+F740+F769</f>
        <v>375.857935009198</v>
      </c>
      <c r="G773" s="58" t="n">
        <f aca="false">G755+G738+G740+G769</f>
        <v>336.762995088454</v>
      </c>
      <c r="H773" s="58" t="n">
        <f aca="false">H755+H738+H740+H769</f>
        <v>309.577009738813</v>
      </c>
      <c r="I773" s="58" t="n">
        <f aca="false">I755+I738+I740+I769</f>
        <v>352.804457593654</v>
      </c>
      <c r="J773" s="58" t="n">
        <f aca="false">J755+J738+J740+J769</f>
        <v>334.922460707657</v>
      </c>
      <c r="K773" s="58" t="n">
        <f aca="false">K755+K738+K740+K769</f>
        <v>330.025710337702</v>
      </c>
      <c r="L773" s="58" t="n">
        <f aca="false">L755+L738+L740+L769</f>
        <v>422.18532199421</v>
      </c>
    </row>
    <row r="774" customFormat="false" ht="15" hidden="true" customHeight="false" outlineLevel="1" collapsed="false">
      <c r="A774" s="5" t="s">
        <v>149</v>
      </c>
      <c r="B774" s="12" t="str">
        <f aca="false">IF(AND(B$43&gt;=1,(B765+B766+B767)&gt;0.001),B773/(B765+B766+B767),"")</f>
        <v/>
      </c>
      <c r="C774" s="12" t="n">
        <f aca="false">IF(AND(C$43&gt;=1,(C765+C766+C767)&gt;0.001),C773/(C765+C766+C767),"")</f>
        <v>4.80325948418545</v>
      </c>
      <c r="D774" s="12" t="n">
        <f aca="false">IF(AND(D$43&gt;=1,(D765+D766+D767)&gt;0.001),D773/(D765+D766+D767),"")</f>
        <v>2.42661408788297</v>
      </c>
      <c r="E774" s="12" t="n">
        <f aca="false">IF(AND(E$43&gt;=1,(E765+E766+E767)&gt;0.001),E773/(E765+E766+E767),"")</f>
        <v>1.26064286972334</v>
      </c>
      <c r="F774" s="12" t="n">
        <f aca="false">IF(AND(F$43&gt;=1,(F765+F766+F767)&gt;0.001),F773/(F765+F766+F767),"")</f>
        <v>1.4019877455597</v>
      </c>
      <c r="G774" s="12" t="n">
        <f aca="false">IF(AND(G$43&gt;=1,(G765+G766+G767)&gt;0.001),G773/(G765+G766+G767),"")</f>
        <v>1.43929900395464</v>
      </c>
      <c r="H774" s="12" t="n">
        <f aca="false">IF(AND(H$43&gt;=1,(H765+H766+H767)&gt;0.001),H773/(H765+H766+H767),"")</f>
        <v>1.53185947485033</v>
      </c>
      <c r="I774" s="12" t="n">
        <f aca="false">IF(AND(I$43&gt;=1,(I765+I766+I767)&gt;0.001),I773/(I765+I766+I767),"")</f>
        <v>2.04745007375812</v>
      </c>
      <c r="J774" s="12" t="n">
        <f aca="false">IF(AND(J$43&gt;=1,(J765+J766+J767)&gt;0.001),J773/(J765+J766+J767),"")</f>
        <v>4.65829792925187</v>
      </c>
      <c r="K774" s="12" t="str">
        <f aca="false">IF(AND(K$43&gt;=1,(K765+K766+K767)&gt;0.001),K773/(K765+K766+K767),"")</f>
        <v/>
      </c>
      <c r="L774" s="12" t="str">
        <f aca="false">IF(AND(L$43&gt;=1,(L765+L766+L767)&gt;0.001),L773/(L765+L766+L767),"")</f>
        <v/>
      </c>
    </row>
    <row r="776" customFormat="false" ht="15" hidden="false" customHeight="false" outlineLevel="0" collapsed="false">
      <c r="A776" s="43" t="s">
        <v>1178</v>
      </c>
      <c r="B776" s="44"/>
      <c r="C776" s="44"/>
      <c r="D776" s="44"/>
      <c r="E776" s="44"/>
      <c r="F776" s="44"/>
      <c r="G776" s="44"/>
      <c r="H776" s="44"/>
      <c r="I776" s="44"/>
      <c r="J776" s="44"/>
      <c r="K776" s="44"/>
      <c r="L776" s="44"/>
    </row>
    <row r="777" customFormat="false" ht="15" hidden="true" customHeight="false" outlineLevel="1" collapsed="false">
      <c r="A777" s="9" t="s">
        <v>405</v>
      </c>
      <c r="B777" s="56" t="n">
        <f aca="false">CHOOSE($S$15,Entorno!B$7,Entorno!B$8,Entorno!B$9)</f>
        <v>0.06</v>
      </c>
      <c r="C777" s="56" t="n">
        <f aca="false">CHOOSE($S$15,Entorno!C$7,Entorno!C$8,Entorno!C$9)</f>
        <v>0.05</v>
      </c>
      <c r="D777" s="56" t="n">
        <f aca="false">CHOOSE($S$15,Entorno!D$7,Entorno!D$8,Entorno!D$9)</f>
        <v>0.045</v>
      </c>
      <c r="E777" s="56" t="n">
        <f aca="false">CHOOSE($S$15,Entorno!E$7,Entorno!E$8,Entorno!E$9)</f>
        <v>0.04</v>
      </c>
      <c r="F777" s="56" t="n">
        <f aca="false">CHOOSE($S$15,Entorno!F$7,Entorno!F$8,Entorno!F$9)</f>
        <v>0.04</v>
      </c>
      <c r="G777" s="56" t="n">
        <f aca="false">CHOOSE($S$15,Entorno!G$7,Entorno!G$8,Entorno!G$9)</f>
        <v>0.04</v>
      </c>
      <c r="H777" s="56" t="n">
        <f aca="false">CHOOSE($S$15,Entorno!H$7,Entorno!H$8,Entorno!H$9)</f>
        <v>0.04</v>
      </c>
      <c r="I777" s="56" t="n">
        <f aca="false">CHOOSE($S$15,Entorno!I$7,Entorno!I$8,Entorno!I$9)</f>
        <v>0.04</v>
      </c>
      <c r="J777" s="56" t="n">
        <f aca="false">CHOOSE($S$15,Entorno!J$7,Entorno!J$8,Entorno!J$9)</f>
        <v>0.04</v>
      </c>
      <c r="K777" s="56" t="n">
        <f aca="false">CHOOSE($S$15,Entorno!K$7,Entorno!K$8,Entorno!K$9)</f>
        <v>0.04</v>
      </c>
      <c r="L777" s="56" t="n">
        <f aca="false">CHOOSE($S$15,Entorno!L$7,Entorno!L$8,Entorno!L$9)</f>
        <v>0.04</v>
      </c>
    </row>
    <row r="778" customFormat="false" ht="15" hidden="true" customHeight="false" outlineLevel="1" collapsed="false">
      <c r="A778" s="9" t="s">
        <v>406</v>
      </c>
      <c r="B778" s="57" t="n">
        <f aca="false">1+B777</f>
        <v>1.06</v>
      </c>
      <c r="C778" s="57" t="n">
        <f aca="false">B778*(1+C777)</f>
        <v>1.113</v>
      </c>
      <c r="D778" s="57" t="n">
        <f aca="false">C778*(1+D777)</f>
        <v>1.163085</v>
      </c>
      <c r="E778" s="57" t="n">
        <f aca="false">D778*(1+E777)</f>
        <v>1.2096084</v>
      </c>
      <c r="F778" s="57" t="n">
        <f aca="false">E778*(1+F777)</f>
        <v>1.257992736</v>
      </c>
      <c r="G778" s="57" t="n">
        <f aca="false">F778*(1+G777)</f>
        <v>1.30831244544</v>
      </c>
      <c r="H778" s="57" t="n">
        <f aca="false">G778*(1+H777)</f>
        <v>1.3606449432576</v>
      </c>
      <c r="I778" s="57" t="n">
        <f aca="false">H778*(1+I777)</f>
        <v>1.4150707409879</v>
      </c>
      <c r="J778" s="57" t="n">
        <f aca="false">I778*(1+J777)</f>
        <v>1.47167357062742</v>
      </c>
      <c r="K778" s="57" t="n">
        <f aca="false">J778*(1+K777)</f>
        <v>1.53054051345252</v>
      </c>
      <c r="L778" s="57" t="n">
        <f aca="false">K778*(1+L777)</f>
        <v>1.59176213399062</v>
      </c>
    </row>
    <row r="779" customFormat="false" ht="15" hidden="true" customHeight="false" outlineLevel="1" collapsed="false">
      <c r="A779" s="9" t="s">
        <v>407</v>
      </c>
      <c r="B779" s="57" t="n">
        <f aca="false">(1+$S$16)/(1+B777)</f>
        <v>1.02358490566038</v>
      </c>
      <c r="C779" s="57" t="n">
        <f aca="false">B779*(1+Entorno!$B$13)</f>
        <v>1.02870283018868</v>
      </c>
      <c r="D779" s="57" t="n">
        <f aca="false">C779*(1+Entorno!$B$13)</f>
        <v>1.03384634433962</v>
      </c>
      <c r="E779" s="57" t="n">
        <f aca="false">D779*(1+Entorno!$B$13)</f>
        <v>1.03901557606132</v>
      </c>
      <c r="F779" s="57" t="n">
        <f aca="false">E779*(1+Entorno!$B$13)</f>
        <v>1.04421065394163</v>
      </c>
      <c r="G779" s="57" t="n">
        <f aca="false">F779*(1+Entorno!$B$13)</f>
        <v>1.04943170721133</v>
      </c>
      <c r="H779" s="57" t="n">
        <f aca="false">G779*(1+Entorno!$B$13)</f>
        <v>1.05467886574739</v>
      </c>
      <c r="I779" s="57" t="n">
        <f aca="false">H779*(1+Entorno!$B$13)</f>
        <v>1.05995226007613</v>
      </c>
      <c r="J779" s="57" t="n">
        <f aca="false">I779*(1+Entorno!$B$13)</f>
        <v>1.06525202137651</v>
      </c>
      <c r="K779" s="57" t="n">
        <f aca="false">J779*(1+Entorno!$B$13)</f>
        <v>1.07057828148339</v>
      </c>
      <c r="L779" s="57" t="n">
        <f aca="false">K779*(1+Entorno!$B$13)</f>
        <v>1.07593117289081</v>
      </c>
    </row>
    <row r="780" customFormat="false" ht="15" hidden="true" customHeight="false" outlineLevel="1" collapsed="false">
      <c r="A780" s="9" t="s">
        <v>408</v>
      </c>
      <c r="B780" s="57" t="n">
        <f aca="false">1/B778</f>
        <v>0.943396226415094</v>
      </c>
      <c r="C780" s="57" t="n">
        <f aca="false">1/C778</f>
        <v>0.898472596585804</v>
      </c>
      <c r="D780" s="57" t="n">
        <f aca="false">1/D778</f>
        <v>0.859782389077324</v>
      </c>
      <c r="E780" s="57" t="n">
        <f aca="false">1/E778</f>
        <v>0.826713835651273</v>
      </c>
      <c r="F780" s="57" t="n">
        <f aca="false">1/F778</f>
        <v>0.794917149664686</v>
      </c>
      <c r="G780" s="57" t="n">
        <f aca="false">1/G778</f>
        <v>0.764343413139121</v>
      </c>
      <c r="H780" s="57" t="n">
        <f aca="false">1/H778</f>
        <v>0.734945589556847</v>
      </c>
      <c r="I780" s="57" t="n">
        <f aca="false">1/I778</f>
        <v>0.706678451496968</v>
      </c>
      <c r="J780" s="57" t="n">
        <f aca="false">1/J778</f>
        <v>0.679498511054777</v>
      </c>
      <c r="K780" s="57" t="n">
        <f aca="false">1/K778</f>
        <v>0.653363952937286</v>
      </c>
      <c r="L780" s="57" t="n">
        <f aca="false">1/L778</f>
        <v>0.628234570132006</v>
      </c>
    </row>
    <row r="781" customFormat="false" ht="15" hidden="true" customHeight="false" outlineLevel="1" collapsed="false">
      <c r="A781" s="6" t="s">
        <v>323</v>
      </c>
      <c r="B781" s="29" t="n">
        <f aca="false">IF(B$43=0,Quesería!$F$92,IF(B$43=1,Quesería!$F$93*$S$21,0))*$S$11</f>
        <v>930.800239431677</v>
      </c>
      <c r="C781" s="29" t="n">
        <f aca="false">IF(C$43=0,Quesería!$F$92,IF(C$43=1,Quesería!$F$93*$S$21,0))*$S$11</f>
        <v>758.469066674498</v>
      </c>
      <c r="D781" s="29" t="n">
        <f aca="false">IF(D$43=0,Quesería!$F$92,IF(D$43=1,Quesería!$F$93*$S$21,0))*$S$11</f>
        <v>0</v>
      </c>
      <c r="E781" s="29" t="n">
        <f aca="false">IF(E$43=0,Quesería!$F$92,IF(E$43=1,Quesería!$F$93*$S$21,0))*$S$11</f>
        <v>0</v>
      </c>
      <c r="F781" s="29" t="n">
        <f aca="false">IF(F$43=0,Quesería!$F$92,IF(F$43=1,Quesería!$F$93*$S$21,0))*$S$11</f>
        <v>0</v>
      </c>
      <c r="G781" s="29" t="n">
        <f aca="false">IF(G$43=0,Quesería!$F$92,IF(G$43=1,Quesería!$F$93*$S$21,0))*$S$11</f>
        <v>0</v>
      </c>
      <c r="H781" s="29" t="n">
        <f aca="false">IF(H$43=0,Quesería!$F$92,IF(H$43=1,Quesería!$F$93*$S$21,0))*$S$11</f>
        <v>0</v>
      </c>
      <c r="I781" s="29" t="n">
        <f aca="false">IF(I$43=0,Quesería!$F$92,IF(I$43=1,Quesería!$F$93*$S$21,0))*$S$11</f>
        <v>0</v>
      </c>
      <c r="J781" s="29" t="n">
        <f aca="false">IF(J$43=0,Quesería!$F$92,IF(J$43=1,Quesería!$F$93*$S$21,0))*$S$11</f>
        <v>0</v>
      </c>
      <c r="K781" s="29" t="n">
        <f aca="false">IF(K$43=0,Quesería!$F$92,IF(K$43=1,Quesería!$F$93*$S$21,0))*$S$11</f>
        <v>0</v>
      </c>
      <c r="L781" s="29" t="n">
        <f aca="false">IF(L$43=0,Quesería!$F$92,IF(L$43=1,Quesería!$F$93*$S$21,0))*$S$11</f>
        <v>0</v>
      </c>
    </row>
    <row r="782" customFormat="false" ht="15" hidden="true" customHeight="false" outlineLevel="1" collapsed="false">
      <c r="A782" s="6" t="s">
        <v>409</v>
      </c>
      <c r="B782" s="29" t="n">
        <f aca="false">IF(B$43=5,Quesería!$F$99,IF(B$43=6,Quesería!$F$100,0))*$S$11</f>
        <v>0</v>
      </c>
      <c r="C782" s="29" t="n">
        <f aca="false">IF(C$43=5,Quesería!$F$99,IF(C$43=6,Quesería!$F$100,0))*$S$11</f>
        <v>0</v>
      </c>
      <c r="D782" s="29" t="n">
        <f aca="false">IF(D$43=5,Quesería!$F$99,IF(D$43=6,Quesería!$F$100,0))*$S$11</f>
        <v>0</v>
      </c>
      <c r="E782" s="29" t="n">
        <f aca="false">IF(E$43=5,Quesería!$F$99,IF(E$43=6,Quesería!$F$100,0))*$S$11</f>
        <v>0</v>
      </c>
      <c r="F782" s="29" t="n">
        <f aca="false">IF(F$43=5,Quesería!$F$99,IF(F$43=6,Quesería!$F$100,0))*$S$11</f>
        <v>0</v>
      </c>
      <c r="G782" s="29" t="n">
        <f aca="false">IF(G$43=5,Quesería!$F$99,IF(G$43=6,Quesería!$F$100,0))*$S$11</f>
        <v>27.4652172688735</v>
      </c>
      <c r="H782" s="29" t="n">
        <f aca="false">IF(H$43=5,Quesería!$F$99,IF(H$43=6,Quesería!$F$100,0))*$S$11</f>
        <v>46.3891557109552</v>
      </c>
      <c r="I782" s="29" t="n">
        <f aca="false">IF(I$43=5,Quesería!$F$99,IF(I$43=6,Quesería!$F$100,0))*$S$11</f>
        <v>0</v>
      </c>
      <c r="J782" s="29" t="n">
        <f aca="false">IF(J$43=5,Quesería!$F$99,IF(J$43=6,Quesería!$F$100,0))*$S$11</f>
        <v>0</v>
      </c>
      <c r="K782" s="29" t="n">
        <f aca="false">IF(K$43=5,Quesería!$F$99,IF(K$43=6,Quesería!$F$100,0))*$S$11</f>
        <v>0</v>
      </c>
      <c r="L782" s="29" t="n">
        <f aca="false">IF(L$43=5,Quesería!$F$99,IF(L$43=6,Quesería!$F$100,0))*$S$11</f>
        <v>0</v>
      </c>
    </row>
    <row r="783" customFormat="false" ht="15" hidden="true" customHeight="false" outlineLevel="1" collapsed="false">
      <c r="A783" s="6" t="s">
        <v>410</v>
      </c>
      <c r="B783" s="29" t="n">
        <f aca="false">Quesería!$B$55*(IF(B$43=0,SUMPRODUCT((Quesería!$C$70:$C$89=0)*(Quesería!$H$70:$H$89&gt;0)*(Quesería!$J$70:$J$89&gt;0)*Quesería!$F$70:$F$89*(1+Quesería!$I$70:$I$89)),IF(B$43=1,SUMPRODUCT((Quesería!$C$70:$C$89=1)*(Quesería!$H$70:$H$89&gt;0)*(Quesería!$J$70:$J$89&gt;0)*Quesería!$F$70:$F$89*(1+Quesería!$I$70:$I$89))*$S$21,0))*$S$11+B782)</f>
        <v>149.115671560178</v>
      </c>
      <c r="C783" s="29" t="n">
        <f aca="false">Quesería!$B$55*(IF(C$43=0,SUMPRODUCT((Quesería!$C$70:$C$89=0)*(Quesería!$H$70:$H$89&gt;0)*(Quesería!$J$70:$J$89&gt;0)*Quesería!$F$70:$F$89*(1+Quesería!$I$70:$I$89)),IF(C$43=1,SUMPRODUCT((Quesería!$C$70:$C$89=1)*(Quesería!$H$70:$H$89&gt;0)*(Quesería!$J$70:$J$89&gt;0)*Quesería!$F$70:$F$89*(1+Quesería!$I$70:$I$89))*$S$21,0))*$S$11+C782)</f>
        <v>144.109122668155</v>
      </c>
      <c r="D783" s="29" t="n">
        <f aca="false">Quesería!$B$55*(IF(D$43=0,SUMPRODUCT((Quesería!$C$70:$C$89=0)*(Quesería!$H$70:$H$89&gt;0)*(Quesería!$J$70:$J$89&gt;0)*Quesería!$F$70:$F$89*(1+Quesería!$I$70:$I$89)),IF(D$43=1,SUMPRODUCT((Quesería!$C$70:$C$89=1)*(Quesería!$H$70:$H$89&gt;0)*(Quesería!$J$70:$J$89&gt;0)*Quesería!$F$70:$F$89*(1+Quesería!$I$70:$I$89))*$S$21,0))*$S$11+D782)</f>
        <v>0</v>
      </c>
      <c r="E783" s="29" t="n">
        <f aca="false">Quesería!$B$55*(IF(E$43=0,SUMPRODUCT((Quesería!$C$70:$C$89=0)*(Quesería!$H$70:$H$89&gt;0)*(Quesería!$J$70:$J$89&gt;0)*Quesería!$F$70:$F$89*(1+Quesería!$I$70:$I$89)),IF(E$43=1,SUMPRODUCT((Quesería!$C$70:$C$89=1)*(Quesería!$H$70:$H$89&gt;0)*(Quesería!$J$70:$J$89&gt;0)*Quesería!$F$70:$F$89*(1+Quesería!$I$70:$I$89))*$S$21,0))*$S$11+E782)</f>
        <v>0</v>
      </c>
      <c r="F783" s="29" t="n">
        <f aca="false">Quesería!$B$55*(IF(F$43=0,SUMPRODUCT((Quesería!$C$70:$C$89=0)*(Quesería!$H$70:$H$89&gt;0)*(Quesería!$J$70:$J$89&gt;0)*Quesería!$F$70:$F$89*(1+Quesería!$I$70:$I$89)),IF(F$43=1,SUMPRODUCT((Quesería!$C$70:$C$89=1)*(Quesería!$H$70:$H$89&gt;0)*(Quesería!$J$70:$J$89&gt;0)*Quesería!$F$70:$F$89*(1+Quesería!$I$70:$I$89))*$S$21,0))*$S$11+F782)</f>
        <v>0</v>
      </c>
      <c r="G783" s="29" t="n">
        <f aca="false">Quesería!$B$55*(IF(G$43=0,SUMPRODUCT((Quesería!$C$70:$C$89=0)*(Quesería!$H$70:$H$89&gt;0)*(Quesería!$J$70:$J$89&gt;0)*Quesería!$F$70:$F$89*(1+Quesería!$I$70:$I$89)),IF(G$43=1,SUMPRODUCT((Quesería!$C$70:$C$89=1)*(Quesería!$H$70:$H$89&gt;0)*(Quesería!$J$70:$J$89&gt;0)*Quesería!$F$70:$F$89*(1+Quesería!$I$70:$I$89))*$S$21,0))*$S$11+G782)</f>
        <v>5.21839128108597</v>
      </c>
      <c r="H783" s="29" t="n">
        <f aca="false">Quesería!$B$55*(IF(H$43=0,SUMPRODUCT((Quesería!$C$70:$C$89=0)*(Quesería!$H$70:$H$89&gt;0)*(Quesería!$J$70:$J$89&gt;0)*Quesería!$F$70:$F$89*(1+Quesería!$I$70:$I$89)),IF(H$43=1,SUMPRODUCT((Quesería!$C$70:$C$89=1)*(Quesería!$H$70:$H$89&gt;0)*(Quesería!$J$70:$J$89&gt;0)*Quesería!$F$70:$F$89*(1+Quesería!$I$70:$I$89))*$S$21,0))*$S$11+H782)</f>
        <v>8.8139395850815</v>
      </c>
      <c r="I783" s="29" t="n">
        <f aca="false">Quesería!$B$55*(IF(I$43=0,SUMPRODUCT((Quesería!$C$70:$C$89=0)*(Quesería!$H$70:$H$89&gt;0)*(Quesería!$J$70:$J$89&gt;0)*Quesería!$F$70:$F$89*(1+Quesería!$I$70:$I$89)),IF(I$43=1,SUMPRODUCT((Quesería!$C$70:$C$89=1)*(Quesería!$H$70:$H$89&gt;0)*(Quesería!$J$70:$J$89&gt;0)*Quesería!$F$70:$F$89*(1+Quesería!$I$70:$I$89))*$S$21,0))*$S$11+I782)</f>
        <v>0</v>
      </c>
      <c r="J783" s="29" t="n">
        <f aca="false">Quesería!$B$55*(IF(J$43=0,SUMPRODUCT((Quesería!$C$70:$C$89=0)*(Quesería!$H$70:$H$89&gt;0)*(Quesería!$J$70:$J$89&gt;0)*Quesería!$F$70:$F$89*(1+Quesería!$I$70:$I$89)),IF(J$43=1,SUMPRODUCT((Quesería!$C$70:$C$89=1)*(Quesería!$H$70:$H$89&gt;0)*(Quesería!$J$70:$J$89&gt;0)*Quesería!$F$70:$F$89*(1+Quesería!$I$70:$I$89))*$S$21,0))*$S$11+J782)</f>
        <v>0</v>
      </c>
      <c r="K783" s="29" t="n">
        <f aca="false">Quesería!$B$55*(IF(K$43=0,SUMPRODUCT((Quesería!$C$70:$C$89=0)*(Quesería!$H$70:$H$89&gt;0)*(Quesería!$J$70:$J$89&gt;0)*Quesería!$F$70:$F$89*(1+Quesería!$I$70:$I$89)),IF(K$43=1,SUMPRODUCT((Quesería!$C$70:$C$89=1)*(Quesería!$H$70:$H$89&gt;0)*(Quesería!$J$70:$J$89&gt;0)*Quesería!$F$70:$F$89*(1+Quesería!$I$70:$I$89))*$S$21,0))*$S$11+K782)</f>
        <v>0</v>
      </c>
      <c r="L783" s="29" t="n">
        <f aca="false">Quesería!$B$55*(IF(L$43=0,SUMPRODUCT((Quesería!$C$70:$C$89=0)*(Quesería!$H$70:$H$89&gt;0)*(Quesería!$J$70:$J$89&gt;0)*Quesería!$F$70:$F$89*(1+Quesería!$I$70:$I$89)),IF(L$43=1,SUMPRODUCT((Quesería!$C$70:$C$89=1)*(Quesería!$H$70:$H$89&gt;0)*(Quesería!$J$70:$J$89&gt;0)*Quesería!$F$70:$F$89*(1+Quesería!$I$70:$I$89))*$S$21,0))*$S$11+L782)</f>
        <v>0</v>
      </c>
    </row>
    <row r="784" customFormat="false" ht="15" hidden="true" customHeight="false" outlineLevel="1" collapsed="false">
      <c r="A784" s="6" t="s">
        <v>385</v>
      </c>
      <c r="B784" s="29" t="n">
        <f aca="false">IF(B$43=0,($S$22*Quesería!$J$125+(1-$S$22)*Quesería!$E$121)*Quesería!$B$20*Quesería!$B$21/12*$S$23,(($S$22*Quesería!$J$125+(1-$S$22)*Quesería!$E$121)+($S$22*Quesería!$J$104+(1-$S$22)*Quesería!$E$104)*(B779-1))*IF(B$43=1,Quesería!$B$20,1))*$S$10</f>
        <v>120.716772261203</v>
      </c>
      <c r="C784" s="29" t="n">
        <f aca="false">IF(C$43=0,($S$22*Quesería!$J$125+(1-$S$22)*Quesería!$E$121)*Quesería!$B$20*Quesería!$B$21/12*$S$23,(($S$22*Quesería!$J$125+(1-$S$22)*Quesería!$E$121)+($S$22*Quesería!$J$104+(1-$S$22)*Quesería!$E$104)*(C779-1))*IF(C$43=1,Quesería!$B$20,1))*$S$10</f>
        <v>181.328317354069</v>
      </c>
      <c r="D784" s="29" t="n">
        <f aca="false">IF(D$43=0,($S$22*Quesería!$J$125+(1-$S$22)*Quesería!$E$121)*Quesería!$B$20*Quesería!$B$21/12*$S$23,(($S$22*Quesería!$J$125+(1-$S$22)*Quesería!$E$121)+($S$22*Quesería!$J$104+(1-$S$22)*Quesería!$E$104)*(D779-1))*IF(D$43=1,Quesería!$B$20,1))*$S$10</f>
        <v>241.83157753184</v>
      </c>
      <c r="E784" s="29" t="n">
        <f aca="false">IF(E$43=0,($S$22*Quesería!$J$125+(1-$S$22)*Quesería!$E$121)*Quesería!$B$20*Quesería!$B$21/12*$S$23,(($S$22*Quesería!$J$125+(1-$S$22)*Quesería!$E$121)+($S$22*Quesería!$J$104+(1-$S$22)*Quesería!$E$104)*(E779-1))*IF(E$43=1,Quesería!$B$20,1))*$S$10</f>
        <v>241.892367696887</v>
      </c>
      <c r="F784" s="29" t="n">
        <f aca="false">IF(F$43=0,($S$22*Quesería!$J$125+(1-$S$22)*Quesería!$E$121)*Quesería!$B$20*Quesería!$B$21/12*$S$23,(($S$22*Quesería!$J$125+(1-$S$22)*Quesería!$E$121)+($S$22*Quesería!$J$104+(1-$S$22)*Quesería!$E$104)*(F779-1))*IF(F$43=1,Quesería!$B$20,1))*$S$10</f>
        <v>241.95346181276</v>
      </c>
      <c r="G784" s="29" t="n">
        <f aca="false">IF(G$43=0,($S$22*Quesería!$J$125+(1-$S$22)*Quesería!$E$121)*Quesería!$B$20*Quesería!$B$21/12*$S$23,(($S$22*Quesería!$J$125+(1-$S$22)*Quesería!$E$121)+($S$22*Quesería!$J$104+(1-$S$22)*Quesería!$E$104)*(G779-1))*IF(G$43=1,Quesería!$B$20,1))*$S$10</f>
        <v>242.014861399211</v>
      </c>
      <c r="H784" s="29" t="n">
        <f aca="false">IF(H$43=0,($S$22*Quesería!$J$125+(1-$S$22)*Quesería!$E$121)*Quesería!$B$20*Quesería!$B$21/12*$S$23,(($S$22*Quesería!$J$125+(1-$S$22)*Quesería!$E$121)+($S$22*Quesería!$J$104+(1-$S$22)*Quesería!$E$104)*(H779-1))*IF(H$43=1,Quesería!$B$20,1))*$S$10</f>
        <v>242.076567983595</v>
      </c>
      <c r="I784" s="29" t="n">
        <f aca="false">IF(I$43=0,($S$22*Quesería!$J$125+(1-$S$22)*Quesería!$E$121)*Quesería!$B$20*Quesería!$B$21/12*$S$23,(($S$22*Quesería!$J$125+(1-$S$22)*Quesería!$E$121)+($S$22*Quesería!$J$104+(1-$S$22)*Quesería!$E$104)*(I779-1))*IF(I$43=1,Quesería!$B$20,1))*$S$10</f>
        <v>242.138583100901</v>
      </c>
      <c r="J784" s="29" t="n">
        <f aca="false">IF(J$43=0,($S$22*Quesería!$J$125+(1-$S$22)*Quesería!$E$121)*Quesería!$B$20*Quesería!$B$21/12*$S$23,(($S$22*Quesería!$J$125+(1-$S$22)*Quesería!$E$121)+($S$22*Quesería!$J$104+(1-$S$22)*Quesería!$E$104)*(J779-1))*IF(J$43=1,Quesería!$B$20,1))*$S$10</f>
        <v>242.200908293794</v>
      </c>
      <c r="K784" s="29" t="n">
        <f aca="false">IF(K$43=0,($S$22*Quesería!$J$125+(1-$S$22)*Quesería!$E$121)*Quesería!$B$20*Quesería!$B$21/12*$S$23,(($S$22*Quesería!$J$125+(1-$S$22)*Quesería!$E$121)+($S$22*Quesería!$J$104+(1-$S$22)*Quesería!$E$104)*(K779-1))*IF(K$43=1,Quesería!$B$20,1))*$S$10</f>
        <v>242.263545112651</v>
      </c>
      <c r="L784" s="29" t="n">
        <f aca="false">IF(L$43=0,($S$22*Quesería!$J$125+(1-$S$22)*Quesería!$E$121)*Quesería!$B$20*Quesería!$B$21/12*$S$23,(($S$22*Quesería!$J$125+(1-$S$22)*Quesería!$E$121)+($S$22*Quesería!$J$104+(1-$S$22)*Quesería!$E$104)*(L779-1))*IF(L$43=1,Quesería!$B$20,1))*$S$10</f>
        <v>242.326495115602</v>
      </c>
    </row>
    <row r="785" customFormat="false" ht="15" hidden="true" customHeight="false" outlineLevel="1" collapsed="false">
      <c r="A785" s="6" t="s">
        <v>386</v>
      </c>
      <c r="B785" s="29" t="n">
        <f aca="false">IF(B$43&lt;=1,0,((($S$22*Quesería!$J$126+(1-$S$22)*Quesería!$E$122)-($S$22*Quesería!$J$113+(1-$S$22)*Quesería!$E$113)+$S$6*($S$22*Quesería!$J$113+(1-$S$22)*Quesería!$E$113)-(1-$S$9)*(($S$22*Quesería!$J$118+(1-$S$22)*Quesería!$E$118)+($S$22*Quesería!$J$117+(1-$S$22)*Quesería!$E$117)))+($S$6*($S$22*Quesería!$J$113+(1-$S$22)*Quesería!$E$113)+$S$9*($S$22*Quesería!$J$118+(1-$S$22)*Quesería!$E$118))*(B779-1))*IF(B$43=2,Quesería!$B$20,1)+IF(B$43=2,Quesería!$B$24*$S$9*($S$22*Quesería!$J$118+(1-$S$22)*Quesería!$E$118)*B779,0))*$S$10*$S$21</f>
        <v>0</v>
      </c>
      <c r="C785" s="29" t="n">
        <f aca="false">IF(C$43&lt;=1,0,((($S$22*Quesería!$J$126+(1-$S$22)*Quesería!$E$122)-($S$22*Quesería!$J$113+(1-$S$22)*Quesería!$E$113)+$S$6*($S$22*Quesería!$J$113+(1-$S$22)*Quesería!$E$113)-(1-$S$9)*(($S$22*Quesería!$J$118+(1-$S$22)*Quesería!$E$118)+($S$22*Quesería!$J$117+(1-$S$22)*Quesería!$E$117)))+($S$6*($S$22*Quesería!$J$113+(1-$S$22)*Quesería!$E$113)+$S$9*($S$22*Quesería!$J$118+(1-$S$22)*Quesería!$E$118))*(C779-1))*IF(C$43=2,Quesería!$B$20,1)+IF(C$43=2,Quesería!$B$24*$S$9*($S$22*Quesería!$J$118+(1-$S$22)*Quesería!$E$118)*C779,0))*$S$10*$S$21</f>
        <v>0</v>
      </c>
      <c r="D785" s="29" t="n">
        <f aca="false">IF(D$43&lt;=1,0,((($S$22*Quesería!$J$126+(1-$S$22)*Quesería!$E$122)-($S$22*Quesería!$J$113+(1-$S$22)*Quesería!$E$113)+$S$6*($S$22*Quesería!$J$113+(1-$S$22)*Quesería!$E$113)-(1-$S$9)*(($S$22*Quesería!$J$118+(1-$S$22)*Quesería!$E$118)+($S$22*Quesería!$J$117+(1-$S$22)*Quesería!$E$117)))+($S$6*($S$22*Quesería!$J$113+(1-$S$22)*Quesería!$E$113)+$S$9*($S$22*Quesería!$J$118+(1-$S$22)*Quesería!$E$118))*(D779-1))*IF(D$43=2,Quesería!$B$20,1)+IF(D$43=2,Quesería!$B$24*$S$9*($S$22*Quesería!$J$118+(1-$S$22)*Quesería!$E$118)*D779,0))*$S$10*$S$21</f>
        <v>235.201505618611</v>
      </c>
      <c r="E785" s="29" t="n">
        <f aca="false">IF(E$43&lt;=1,0,((($S$22*Quesería!$J$126+(1-$S$22)*Quesería!$E$122)-($S$22*Quesería!$J$113+(1-$S$22)*Quesería!$E$113)+$S$6*($S$22*Quesería!$J$113+(1-$S$22)*Quesería!$E$113)-(1-$S$9)*(($S$22*Quesería!$J$118+(1-$S$22)*Quesería!$E$118)+($S$22*Quesería!$J$117+(1-$S$22)*Quesería!$E$117)))+($S$6*($S$22*Quesería!$J$113+(1-$S$22)*Quesería!$E$113)+$S$9*($S$22*Quesería!$J$118+(1-$S$22)*Quesería!$E$118))*(E779-1))*IF(E$43=2,Quesería!$B$20,1)+IF(E$43=2,Quesería!$B$24*$S$9*($S$22*Quesería!$J$118+(1-$S$22)*Quesería!$E$118)*E779,0))*$S$10*$S$21</f>
        <v>298.96150264002</v>
      </c>
      <c r="F785" s="29" t="n">
        <f aca="false">IF(F$43&lt;=1,0,((($S$22*Quesería!$J$126+(1-$S$22)*Quesería!$E$122)-($S$22*Quesería!$J$113+(1-$S$22)*Quesería!$E$113)+$S$6*($S$22*Quesería!$J$113+(1-$S$22)*Quesería!$E$113)-(1-$S$9)*(($S$22*Quesería!$J$118+(1-$S$22)*Quesería!$E$118)+($S$22*Quesería!$J$117+(1-$S$22)*Quesería!$E$117)))+($S$6*($S$22*Quesería!$J$113+(1-$S$22)*Quesería!$E$113)+$S$9*($S$22*Quesería!$J$118+(1-$S$22)*Quesería!$E$118))*(F779-1))*IF(F$43=2,Quesería!$B$20,1)+IF(F$43=2,Quesería!$B$24*$S$9*($S$22*Quesería!$J$118+(1-$S$22)*Quesería!$E$118)*F779,0))*$S$10*$S$21</f>
        <v>299.209619559583</v>
      </c>
      <c r="G785" s="29" t="n">
        <f aca="false">IF(G$43&lt;=1,0,((($S$22*Quesería!$J$126+(1-$S$22)*Quesería!$E$122)-($S$22*Quesería!$J$113+(1-$S$22)*Quesería!$E$113)+$S$6*($S$22*Quesería!$J$113+(1-$S$22)*Quesería!$E$113)-(1-$S$9)*(($S$22*Quesería!$J$118+(1-$S$22)*Quesería!$E$118)+($S$22*Quesería!$J$117+(1-$S$22)*Quesería!$E$117)))+($S$6*($S$22*Quesería!$J$113+(1-$S$22)*Quesería!$E$113)+$S$9*($S$22*Quesería!$J$118+(1-$S$22)*Quesería!$E$118))*(G779-1))*IF(G$43=2,Quesería!$B$20,1)+IF(G$43=2,Quesería!$B$24*$S$9*($S$22*Quesería!$J$118+(1-$S$22)*Quesería!$E$118)*G779,0))*$S$10*$S$21</f>
        <v>299.458977063744</v>
      </c>
      <c r="H785" s="29" t="n">
        <f aca="false">IF(H$43&lt;=1,0,((($S$22*Quesería!$J$126+(1-$S$22)*Quesería!$E$122)-($S$22*Quesería!$J$113+(1-$S$22)*Quesería!$E$113)+$S$6*($S$22*Quesería!$J$113+(1-$S$22)*Quesería!$E$113)-(1-$S$9)*(($S$22*Quesería!$J$118+(1-$S$22)*Quesería!$E$118)+($S$22*Quesería!$J$117+(1-$S$22)*Quesería!$E$117)))+($S$6*($S$22*Quesería!$J$113+(1-$S$22)*Quesería!$E$113)+$S$9*($S$22*Quesería!$J$118+(1-$S$22)*Quesería!$E$118))*(H779-1))*IF(H$43=2,Quesería!$B$20,1)+IF(H$43=2,Quesería!$B$24*$S$9*($S$22*Quesería!$J$118+(1-$S$22)*Quesería!$E$118)*H779,0))*$S$10*$S$21</f>
        <v>299.709581355426</v>
      </c>
      <c r="I785" s="29" t="n">
        <f aca="false">IF(I$43&lt;=1,0,((($S$22*Quesería!$J$126+(1-$S$22)*Quesería!$E$122)-($S$22*Quesería!$J$113+(1-$S$22)*Quesería!$E$113)+$S$6*($S$22*Quesería!$J$113+(1-$S$22)*Quesería!$E$113)-(1-$S$9)*(($S$22*Quesería!$J$118+(1-$S$22)*Quesería!$E$118)+($S$22*Quesería!$J$117+(1-$S$22)*Quesería!$E$117)))+($S$6*($S$22*Quesería!$J$113+(1-$S$22)*Quesería!$E$113)+$S$9*($S$22*Quesería!$J$118+(1-$S$22)*Quesería!$E$118))*(I779-1))*IF(I$43=2,Quesería!$B$20,1)+IF(I$43=2,Quesería!$B$24*$S$9*($S$22*Quesería!$J$118+(1-$S$22)*Quesería!$E$118)*I779,0))*$S$10*$S$21</f>
        <v>299.961438668567</v>
      </c>
      <c r="J785" s="29" t="n">
        <f aca="false">IF(J$43&lt;=1,0,((($S$22*Quesería!$J$126+(1-$S$22)*Quesería!$E$122)-($S$22*Quesería!$J$113+(1-$S$22)*Quesería!$E$113)+$S$6*($S$22*Quesería!$J$113+(1-$S$22)*Quesería!$E$113)-(1-$S$9)*(($S$22*Quesería!$J$118+(1-$S$22)*Quesería!$E$118)+($S$22*Quesería!$J$117+(1-$S$22)*Quesería!$E$117)))+($S$6*($S$22*Quesería!$J$113+(1-$S$22)*Quesería!$E$113)+$S$9*($S$22*Quesería!$J$118+(1-$S$22)*Quesería!$E$118))*(J779-1))*IF(J$43=2,Quesería!$B$20,1)+IF(J$43=2,Quesería!$B$24*$S$9*($S$22*Quesería!$J$118+(1-$S$22)*Quesería!$E$118)*J779,0))*$S$10*$S$21</f>
        <v>300.214555268273</v>
      </c>
      <c r="K785" s="29" t="n">
        <f aca="false">IF(K$43&lt;=1,0,((($S$22*Quesería!$J$126+(1-$S$22)*Quesería!$E$122)-($S$22*Quesería!$J$113+(1-$S$22)*Quesería!$E$113)+$S$6*($S$22*Quesería!$J$113+(1-$S$22)*Quesería!$E$113)-(1-$S$9)*(($S$22*Quesería!$J$118+(1-$S$22)*Quesería!$E$118)+($S$22*Quesería!$J$117+(1-$S$22)*Quesería!$E$117)))+($S$6*($S$22*Quesería!$J$113+(1-$S$22)*Quesería!$E$113)+$S$9*($S$22*Quesería!$J$118+(1-$S$22)*Quesería!$E$118))*(K779-1))*IF(K$43=2,Quesería!$B$20,1)+IF(K$43=2,Quesería!$B$24*$S$9*($S$22*Quesería!$J$118+(1-$S$22)*Quesería!$E$118)*K779,0))*$S$10*$S$21</f>
        <v>300.468937450978</v>
      </c>
      <c r="L785" s="29" t="n">
        <f aca="false">IF(L$43&lt;=1,0,((($S$22*Quesería!$J$126+(1-$S$22)*Quesería!$E$122)-($S$22*Quesería!$J$113+(1-$S$22)*Quesería!$E$113)+$S$6*($S$22*Quesería!$J$113+(1-$S$22)*Quesería!$E$113)-(1-$S$9)*(($S$22*Quesería!$J$118+(1-$S$22)*Quesería!$E$118)+($S$22*Quesería!$J$117+(1-$S$22)*Quesería!$E$117)))+($S$6*($S$22*Quesería!$J$113+(1-$S$22)*Quesería!$E$113)+$S$9*($S$22*Quesería!$J$118+(1-$S$22)*Quesería!$E$118))*(L779-1))*IF(L$43=2,Quesería!$B$20,1)+IF(L$43=2,Quesería!$B$24*$S$9*($S$22*Quesería!$J$118+(1-$S$22)*Quesería!$E$118)*L779,0))*$S$10*$S$21</f>
        <v>300.724591544596</v>
      </c>
    </row>
    <row r="786" customFormat="false" ht="15" hidden="true" customHeight="false" outlineLevel="1" collapsed="false">
      <c r="A786" s="5" t="s">
        <v>411</v>
      </c>
      <c r="B786" s="10" t="n">
        <f aca="false">B784+B785</f>
        <v>120.716772261203</v>
      </c>
      <c r="C786" s="10" t="n">
        <f aca="false">C784+C785</f>
        <v>181.328317354069</v>
      </c>
      <c r="D786" s="10" t="n">
        <f aca="false">D784+D785</f>
        <v>477.033083150451</v>
      </c>
      <c r="E786" s="10" t="n">
        <f aca="false">E784+E785</f>
        <v>540.853870336907</v>
      </c>
      <c r="F786" s="10" t="n">
        <f aca="false">F784+F785</f>
        <v>541.163081372343</v>
      </c>
      <c r="G786" s="10" t="n">
        <f aca="false">G784+G785</f>
        <v>541.473838462956</v>
      </c>
      <c r="H786" s="10" t="n">
        <f aca="false">H784+H785</f>
        <v>541.786149339022</v>
      </c>
      <c r="I786" s="10" t="n">
        <f aca="false">I784+I785</f>
        <v>542.100021769468</v>
      </c>
      <c r="J786" s="10" t="n">
        <f aca="false">J784+J785</f>
        <v>542.415463562067</v>
      </c>
      <c r="K786" s="10" t="n">
        <f aca="false">K784+K785</f>
        <v>542.732482563628</v>
      </c>
      <c r="L786" s="10" t="n">
        <f aca="false">L784+L785</f>
        <v>543.051086660198</v>
      </c>
    </row>
    <row r="787" customFormat="false" ht="15" hidden="true" customHeight="false" outlineLevel="1" collapsed="false">
      <c r="A787" s="6" t="s">
        <v>412</v>
      </c>
      <c r="B787" s="29" t="n">
        <f aca="false">(IF(B$43&gt;=1,(Quesería!$B$31+Quesería!$B$33)*Quesería!$F$94*$S$11+Quesería!$B$32+'Beneficios y costos'!$B$211,0)+IF(B$43&gt;=2,((Quesería!$B$31+Quesería!$B$33)*Quesería!$F$95*$S$11+'Beneficios y costos'!$C$211)*$S$21,0))*$S$12</f>
        <v>0</v>
      </c>
      <c r="C787" s="29" t="n">
        <f aca="false">(IF(C$43&gt;=1,(Quesería!$B$31+Quesería!$B$33)*Quesería!$F$94*$S$11+Quesería!$B$32+'Beneficios y costos'!$B$211,0)+IF(C$43&gt;=2,((Quesería!$B$31+Quesería!$B$33)*Quesería!$F$95*$S$11+'Beneficios y costos'!$C$211)*$S$21,0))*$S$12</f>
        <v>42.0946487260605</v>
      </c>
      <c r="D787" s="29" t="n">
        <f aca="false">(IF(D$43&gt;=1,(Quesería!$B$31+Quesería!$B$33)*Quesería!$F$94*$S$11+Quesería!$B$32+'Beneficios y costos'!$B$211,0)+IF(D$43&gt;=2,((Quesería!$B$31+Quesería!$B$33)*Quesería!$F$95*$S$11+'Beneficios y costos'!$C$211)*$S$21,0))*$S$12</f>
        <v>95.9432442337815</v>
      </c>
      <c r="E787" s="29" t="n">
        <f aca="false">(IF(E$43&gt;=1,(Quesería!$B$31+Quesería!$B$33)*Quesería!$F$94*$S$11+Quesería!$B$32+'Beneficios y costos'!$B$211,0)+IF(E$43&gt;=2,((Quesería!$B$31+Quesería!$B$33)*Quesería!$F$95*$S$11+'Beneficios y costos'!$C$211)*$S$21,0))*$S$12</f>
        <v>95.9432442337815</v>
      </c>
      <c r="F787" s="29" t="n">
        <f aca="false">(IF(F$43&gt;=1,(Quesería!$B$31+Quesería!$B$33)*Quesería!$F$94*$S$11+Quesería!$B$32+'Beneficios y costos'!$B$211,0)+IF(F$43&gt;=2,((Quesería!$B$31+Quesería!$B$33)*Quesería!$F$95*$S$11+'Beneficios y costos'!$C$211)*$S$21,0))*$S$12</f>
        <v>95.9432442337815</v>
      </c>
      <c r="G787" s="29" t="n">
        <f aca="false">(IF(G$43&gt;=1,(Quesería!$B$31+Quesería!$B$33)*Quesería!$F$94*$S$11+Quesería!$B$32+'Beneficios y costos'!$B$211,0)+IF(G$43&gt;=2,((Quesería!$B$31+Quesería!$B$33)*Quesería!$F$95*$S$11+'Beneficios y costos'!$C$211)*$S$21,0))*$S$12</f>
        <v>95.9432442337815</v>
      </c>
      <c r="H787" s="29" t="n">
        <f aca="false">(IF(H$43&gt;=1,(Quesería!$B$31+Quesería!$B$33)*Quesería!$F$94*$S$11+Quesería!$B$32+'Beneficios y costos'!$B$211,0)+IF(H$43&gt;=2,((Quesería!$B$31+Quesería!$B$33)*Quesería!$F$95*$S$11+'Beneficios y costos'!$C$211)*$S$21,0))*$S$12</f>
        <v>95.9432442337815</v>
      </c>
      <c r="I787" s="29" t="n">
        <f aca="false">(IF(I$43&gt;=1,(Quesería!$B$31+Quesería!$B$33)*Quesería!$F$94*$S$11+Quesería!$B$32+'Beneficios y costos'!$B$211,0)+IF(I$43&gt;=2,((Quesería!$B$31+Quesería!$B$33)*Quesería!$F$95*$S$11+'Beneficios y costos'!$C$211)*$S$21,0))*$S$12</f>
        <v>95.9432442337815</v>
      </c>
      <c r="J787" s="29" t="n">
        <f aca="false">(IF(J$43&gt;=1,(Quesería!$B$31+Quesería!$B$33)*Quesería!$F$94*$S$11+Quesería!$B$32+'Beneficios y costos'!$B$211,0)+IF(J$43&gt;=2,((Quesería!$B$31+Quesería!$B$33)*Quesería!$F$95*$S$11+'Beneficios y costos'!$C$211)*$S$21,0))*$S$12</f>
        <v>95.9432442337815</v>
      </c>
      <c r="K787" s="29" t="n">
        <f aca="false">(IF(K$43&gt;=1,(Quesería!$B$31+Quesería!$B$33)*Quesería!$F$94*$S$11+Quesería!$B$32+'Beneficios y costos'!$B$211,0)+IF(K$43&gt;=2,((Quesería!$B$31+Quesería!$B$33)*Quesería!$F$95*$S$11+'Beneficios y costos'!$C$211)*$S$21,0))*$S$12</f>
        <v>95.9432442337815</v>
      </c>
      <c r="L787" s="29" t="n">
        <f aca="false">(IF(L$43&gt;=1,(Quesería!$B$31+Quesería!$B$33)*Quesería!$F$94*$S$11+Quesería!$B$32+'Beneficios y costos'!$B$211,0)+IF(L$43&gt;=2,((Quesería!$B$31+Quesería!$B$33)*Quesería!$F$95*$S$11+'Beneficios y costos'!$C$211)*$S$21,0))*$S$12</f>
        <v>95.9432442337815</v>
      </c>
    </row>
    <row r="788" customFormat="false" ht="15" hidden="true" customHeight="false" outlineLevel="1" collapsed="false">
      <c r="A788" s="6" t="s">
        <v>413</v>
      </c>
      <c r="B788" s="29" t="n">
        <f aca="false">IF(B$43=1,2*Quesería!$B$22*Quesería!$B$23/12*B779,0)*$S$21</f>
        <v>0</v>
      </c>
      <c r="C788" s="29" t="n">
        <f aca="false">IF(C$43=1,2*Quesería!$B$22*Quesería!$B$23/12*C779,0)*$S$21</f>
        <v>18.5166509433962</v>
      </c>
      <c r="D788" s="29" t="n">
        <f aca="false">IF(D$43=1,2*Quesería!$B$22*Quesería!$B$23/12*D779,0)*$S$21</f>
        <v>0</v>
      </c>
      <c r="E788" s="29" t="n">
        <f aca="false">IF(E$43=1,2*Quesería!$B$22*Quesería!$B$23/12*E779,0)*$S$21</f>
        <v>0</v>
      </c>
      <c r="F788" s="29" t="n">
        <f aca="false">IF(F$43=1,2*Quesería!$B$22*Quesería!$B$23/12*F779,0)*$S$21</f>
        <v>0</v>
      </c>
      <c r="G788" s="29" t="n">
        <f aca="false">IF(G$43=1,2*Quesería!$B$22*Quesería!$B$23/12*G779,0)*$S$21</f>
        <v>0</v>
      </c>
      <c r="H788" s="29" t="n">
        <f aca="false">IF(H$43=1,2*Quesería!$B$22*Quesería!$B$23/12*H779,0)*$S$21</f>
        <v>0</v>
      </c>
      <c r="I788" s="29" t="n">
        <f aca="false">IF(I$43=1,2*Quesería!$B$22*Quesería!$B$23/12*I779,0)*$S$21</f>
        <v>0</v>
      </c>
      <c r="J788" s="29" t="n">
        <f aca="false">IF(J$43=1,2*Quesería!$B$22*Quesería!$B$23/12*J779,0)*$S$21</f>
        <v>0</v>
      </c>
      <c r="K788" s="29" t="n">
        <f aca="false">IF(K$43=1,2*Quesería!$B$22*Quesería!$B$23/12*K779,0)*$S$21</f>
        <v>0</v>
      </c>
      <c r="L788" s="29" t="n">
        <f aca="false">IF(L$43=1,2*Quesería!$B$22*Quesería!$B$23/12*L779,0)*$S$21</f>
        <v>0</v>
      </c>
    </row>
    <row r="789" customFormat="false" ht="15" hidden="true" customHeight="false" outlineLevel="1" collapsed="false">
      <c r="A789" s="6" t="s">
        <v>414</v>
      </c>
      <c r="B789" s="29" t="n">
        <f aca="false">Quesería!$B$52*(B781+B782+B783+B787+B788)</f>
        <v>4.31966364396742</v>
      </c>
      <c r="C789" s="29" t="n">
        <f aca="false">Quesería!$B$52*(C781+C782+C783+C787+C788)</f>
        <v>3.85275795604844</v>
      </c>
      <c r="D789" s="29" t="n">
        <f aca="false">Quesería!$B$52*(D781+D782+D783+D787+D788)</f>
        <v>0.383772976935126</v>
      </c>
      <c r="E789" s="29" t="n">
        <f aca="false">Quesería!$B$52*(E781+E782+E783+E787+E788)</f>
        <v>0.383772976935126</v>
      </c>
      <c r="F789" s="29" t="n">
        <f aca="false">Quesería!$B$52*(F781+F782+F783+F787+F788)</f>
        <v>0.383772976935126</v>
      </c>
      <c r="G789" s="29" t="n">
        <f aca="false">Quesería!$B$52*(G781+G782+G783+G787+G788)</f>
        <v>0.514507411134964</v>
      </c>
      <c r="H789" s="29" t="n">
        <f aca="false">Quesería!$B$52*(H781+H782+H783+H787+H788)</f>
        <v>0.604585358119273</v>
      </c>
      <c r="I789" s="29" t="n">
        <f aca="false">Quesería!$B$52*(I781+I782+I783+I787+I788)</f>
        <v>0.383772976935126</v>
      </c>
      <c r="J789" s="29" t="n">
        <f aca="false">Quesería!$B$52*(J781+J782+J783+J787+J788)</f>
        <v>0.383772976935126</v>
      </c>
      <c r="K789" s="29" t="n">
        <f aca="false">Quesería!$B$52*(K781+K782+K783+K787+K788)</f>
        <v>0.383772976935126</v>
      </c>
      <c r="L789" s="29" t="n">
        <f aca="false">Quesería!$B$52*(L781+L782+L783+L787+L788)</f>
        <v>0.383772976935126</v>
      </c>
    </row>
    <row r="790" customFormat="false" ht="15" hidden="true" customHeight="false" outlineLevel="1" collapsed="false">
      <c r="A790" s="6" t="s">
        <v>415</v>
      </c>
      <c r="B790" s="29" t="n">
        <f aca="false">(IF($S$19=1,(SUMPRODUCT((Quesería!$C$70:$C$89=0)*(Quesería!$J$70:$J$89&gt;0)*(B$43&gt;=1)*(B$43&lt;=Quesería!$J$70:$J$89)*(Quesería!$H$70:$H$89&gt;0)*Quesería!$F$70:$F$89*(1+Quesería!$I$70:$I$89)/(Quesería!$J$70:$J$89+(Quesería!$J$70:$J$89=0)))+SUMPRODUCT((Quesería!$C$70:$C$89=0)*(Quesería!$J$70:$J$89=0)*(B$43=0)*(Quesería!$H$70:$H$89&gt;0)*Quesería!$F$70:$F$89*(1+Quesería!$I$70:$I$89)))*$B$778+(SUMPRODUCT((Quesería!$C$70:$C$89=1)*(Quesería!$J$70:$J$89&gt;0)*(B$43&gt;=2)*(B$43&lt;=Quesería!$J$70:$J$89+1)*(Quesería!$H$70:$H$89&gt;0)*Quesería!$F$70:$F$89*(1+Quesería!$I$70:$I$89)/(Quesería!$J$70:$J$89+(Quesería!$J$70:$J$89=0)))+SUMPRODUCT((Quesería!$C$70:$C$89=1)*(Quesería!$J$70:$J$89=0)*(B$43=1)*(Quesería!$H$70:$H$89&gt;0)*Quesería!$F$70:$F$89*(1+Quesería!$I$70:$I$89)))*$C$778*$S$21,IF(AND(B$43&gt;=1,B$43&lt;=Quesería!$B$30),Quesería!$F$92/Quesería!$B$30,0)*$B$778+IF(AND(B$43&gt;=2,B$43&lt;=Quesería!$B$30+1),Quesería!$F$93/Quesería!$B$30,0)*$C$778*$S$21)*$S$11+IF(AND(B$43&gt;=6,B$43&lt;=10),$G782*$G778/5,0)+IF(AND(B$43&gt;=7,B$43&lt;=11),$H782*$H778/5,0))*B780</f>
        <v>145.980915430742</v>
      </c>
      <c r="C790" s="29" t="n">
        <f aca="false">(IF($S$19=1,(SUMPRODUCT((Quesería!$C$70:$C$89=0)*(Quesería!$J$70:$J$89&gt;0)*(C$43&gt;=1)*(C$43&lt;=Quesería!$J$70:$J$89)*(Quesería!$H$70:$H$89&gt;0)*Quesería!$F$70:$F$89*(1+Quesería!$I$70:$I$89)/(Quesería!$J$70:$J$89+(Quesería!$J$70:$J$89=0)))+SUMPRODUCT((Quesería!$C$70:$C$89=0)*(Quesería!$J$70:$J$89=0)*(C$43=0)*(Quesería!$H$70:$H$89&gt;0)*Quesería!$F$70:$F$89*(1+Quesería!$I$70:$I$89)))*$B$778+(SUMPRODUCT((Quesería!$C$70:$C$89=1)*(Quesería!$J$70:$J$89&gt;0)*(C$43&gt;=2)*(C$43&lt;=Quesería!$J$70:$J$89+1)*(Quesería!$H$70:$H$89&gt;0)*Quesería!$F$70:$F$89*(1+Quesería!$I$70:$I$89)/(Quesería!$J$70:$J$89+(Quesería!$J$70:$J$89=0)))+SUMPRODUCT((Quesería!$C$70:$C$89=1)*(Quesería!$J$70:$J$89=0)*(C$43=1)*(Quesería!$H$70:$H$89&gt;0)*Quesería!$F$70:$F$89*(1+Quesería!$I$70:$I$89)))*$C$778*$S$21,IF(AND(C$43&gt;=1,C$43&lt;=Quesería!$B$30),Quesería!$F$92/Quesería!$B$30,0)*$B$778+IF(AND(C$43&gt;=2,C$43&lt;=Quesería!$B$30+1),Quesería!$F$93/Quesería!$B$30,0)*$C$778*$S$21)*$S$11+IF(AND(C$43&gt;=6,C$43&lt;=10),$G782*$G778/5,0)+IF(AND(C$43&gt;=7,C$43&lt;=11),$H782*$H778/5,0))*C780</f>
        <v>82.2633269524265</v>
      </c>
      <c r="D790" s="29" t="n">
        <f aca="false">(IF($S$19=1,(SUMPRODUCT((Quesería!$C$70:$C$89=0)*(Quesería!$J$70:$J$89&gt;0)*(D$43&gt;=1)*(D$43&lt;=Quesería!$J$70:$J$89)*(Quesería!$H$70:$H$89&gt;0)*Quesería!$F$70:$F$89*(1+Quesería!$I$70:$I$89)/(Quesería!$J$70:$J$89+(Quesería!$J$70:$J$89=0)))+SUMPRODUCT((Quesería!$C$70:$C$89=0)*(Quesería!$J$70:$J$89=0)*(D$43=0)*(Quesería!$H$70:$H$89&gt;0)*Quesería!$F$70:$F$89*(1+Quesería!$I$70:$I$89)))*$B$778+(SUMPRODUCT((Quesería!$C$70:$C$89=1)*(Quesería!$J$70:$J$89&gt;0)*(D$43&gt;=2)*(D$43&lt;=Quesería!$J$70:$J$89+1)*(Quesería!$H$70:$H$89&gt;0)*Quesería!$F$70:$F$89*(1+Quesería!$I$70:$I$89)/(Quesería!$J$70:$J$89+(Quesería!$J$70:$J$89=0)))+SUMPRODUCT((Quesería!$C$70:$C$89=1)*(Quesería!$J$70:$J$89=0)*(D$43=1)*(Quesería!$H$70:$H$89&gt;0)*Quesería!$F$70:$F$89*(1+Quesería!$I$70:$I$89)))*$C$778*$S$21,IF(AND(D$43&gt;=1,D$43&lt;=Quesería!$B$30),Quesería!$F$92/Quesería!$B$30,0)*$B$778+IF(AND(D$43&gt;=2,D$43&lt;=Quesería!$B$30+1),Quesería!$F$93/Quesería!$B$30,0)*$C$778*$S$21)*$S$11+IF(AND(D$43&gt;=6,D$43&lt;=10),$G782*$G778/5,0)+IF(AND(D$43&gt;=7,D$43&lt;=11),$H782*$H778/5,0))*D780</f>
        <v>151.301658966389</v>
      </c>
      <c r="E790" s="29" t="n">
        <f aca="false">(IF($S$19=1,(SUMPRODUCT((Quesería!$C$70:$C$89=0)*(Quesería!$J$70:$J$89&gt;0)*(E$43&gt;=1)*(E$43&lt;=Quesería!$J$70:$J$89)*(Quesería!$H$70:$H$89&gt;0)*Quesería!$F$70:$F$89*(1+Quesería!$I$70:$I$89)/(Quesería!$J$70:$J$89+(Quesería!$J$70:$J$89=0)))+SUMPRODUCT((Quesería!$C$70:$C$89=0)*(Quesería!$J$70:$J$89=0)*(E$43=0)*(Quesería!$H$70:$H$89&gt;0)*Quesería!$F$70:$F$89*(1+Quesería!$I$70:$I$89)))*$B$778+(SUMPRODUCT((Quesería!$C$70:$C$89=1)*(Quesería!$J$70:$J$89&gt;0)*(E$43&gt;=2)*(E$43&lt;=Quesería!$J$70:$J$89+1)*(Quesería!$H$70:$H$89&gt;0)*Quesería!$F$70:$F$89*(1+Quesería!$I$70:$I$89)/(Quesería!$J$70:$J$89+(Quesería!$J$70:$J$89=0)))+SUMPRODUCT((Quesería!$C$70:$C$89=1)*(Quesería!$J$70:$J$89=0)*(E$43=1)*(Quesería!$H$70:$H$89&gt;0)*Quesería!$F$70:$F$89*(1+Quesería!$I$70:$I$89)))*$C$778*$S$21,IF(AND(E$43&gt;=1,E$43&lt;=Quesería!$B$30),Quesería!$F$92/Quesería!$B$30,0)*$B$778+IF(AND(E$43&gt;=2,E$43&lt;=Quesería!$B$30+1),Quesería!$F$93/Quesería!$B$30,0)*$C$778*$S$21)*$S$11+IF(AND(E$43&gt;=6,E$43&lt;=10),$G782*$G778/5,0)+IF(AND(E$43&gt;=7,E$43&lt;=11),$H782*$H778/5,0))*E780</f>
        <v>145.482364390759</v>
      </c>
      <c r="F790" s="29" t="n">
        <f aca="false">(IF($S$19=1,(SUMPRODUCT((Quesería!$C$70:$C$89=0)*(Quesería!$J$70:$J$89&gt;0)*(F$43&gt;=1)*(F$43&lt;=Quesería!$J$70:$J$89)*(Quesería!$H$70:$H$89&gt;0)*Quesería!$F$70:$F$89*(1+Quesería!$I$70:$I$89)/(Quesería!$J$70:$J$89+(Quesería!$J$70:$J$89=0)))+SUMPRODUCT((Quesería!$C$70:$C$89=0)*(Quesería!$J$70:$J$89=0)*(F$43=0)*(Quesería!$H$70:$H$89&gt;0)*Quesería!$F$70:$F$89*(1+Quesería!$I$70:$I$89)))*$B$778+(SUMPRODUCT((Quesería!$C$70:$C$89=1)*(Quesería!$J$70:$J$89&gt;0)*(F$43&gt;=2)*(F$43&lt;=Quesería!$J$70:$J$89+1)*(Quesería!$H$70:$H$89&gt;0)*Quesería!$F$70:$F$89*(1+Quesería!$I$70:$I$89)/(Quesería!$J$70:$J$89+(Quesería!$J$70:$J$89=0)))+SUMPRODUCT((Quesería!$C$70:$C$89=1)*(Quesería!$J$70:$J$89=0)*(F$43=1)*(Quesería!$H$70:$H$89&gt;0)*Quesería!$F$70:$F$89*(1+Quesería!$I$70:$I$89)))*$C$778*$S$21,IF(AND(F$43&gt;=1,F$43&lt;=Quesería!$B$30),Quesería!$F$92/Quesería!$B$30,0)*$B$778+IF(AND(F$43&gt;=2,F$43&lt;=Quesería!$B$30+1),Quesería!$F$93/Quesería!$B$30,0)*$C$778*$S$21)*$S$11+IF(AND(F$43&gt;=6,F$43&lt;=10),$G782*$G778/5,0)+IF(AND(F$43&gt;=7,F$43&lt;=11),$H782*$H778/5,0))*F780</f>
        <v>139.886888837268</v>
      </c>
      <c r="G790" s="29" t="n">
        <f aca="false">(IF($S$19=1,(SUMPRODUCT((Quesería!$C$70:$C$89=0)*(Quesería!$J$70:$J$89&gt;0)*(G$43&gt;=1)*(G$43&lt;=Quesería!$J$70:$J$89)*(Quesería!$H$70:$H$89&gt;0)*Quesería!$F$70:$F$89*(1+Quesería!$I$70:$I$89)/(Quesería!$J$70:$J$89+(Quesería!$J$70:$J$89=0)))+SUMPRODUCT((Quesería!$C$70:$C$89=0)*(Quesería!$J$70:$J$89=0)*(G$43=0)*(Quesería!$H$70:$H$89&gt;0)*Quesería!$F$70:$F$89*(1+Quesería!$I$70:$I$89)))*$B$778+(SUMPRODUCT((Quesería!$C$70:$C$89=1)*(Quesería!$J$70:$J$89&gt;0)*(G$43&gt;=2)*(G$43&lt;=Quesería!$J$70:$J$89+1)*(Quesería!$H$70:$H$89&gt;0)*Quesería!$F$70:$F$89*(1+Quesería!$I$70:$I$89)/(Quesería!$J$70:$J$89+(Quesería!$J$70:$J$89=0)))+SUMPRODUCT((Quesería!$C$70:$C$89=1)*(Quesería!$J$70:$J$89=0)*(G$43=1)*(Quesería!$H$70:$H$89&gt;0)*Quesería!$F$70:$F$89*(1+Quesería!$I$70:$I$89)))*$C$778*$S$21,IF(AND(G$43&gt;=1,G$43&lt;=Quesería!$B$30),Quesería!$F$92/Quesería!$B$30,0)*$B$778+IF(AND(G$43&gt;=2,G$43&lt;=Quesería!$B$30+1),Quesería!$F$93/Quesería!$B$30,0)*$C$778*$S$21)*$S$11+IF(AND(G$43&gt;=6,G$43&lt;=10),$G782*$G778/5,0)+IF(AND(G$43&gt;=7,G$43&lt;=11),$H782*$H778/5,0))*G780</f>
        <v>134.506623881988</v>
      </c>
      <c r="H790" s="29" t="n">
        <f aca="false">(IF($S$19=1,(SUMPRODUCT((Quesería!$C$70:$C$89=0)*(Quesería!$J$70:$J$89&gt;0)*(H$43&gt;=1)*(H$43&lt;=Quesería!$J$70:$J$89)*(Quesería!$H$70:$H$89&gt;0)*Quesería!$F$70:$F$89*(1+Quesería!$I$70:$I$89)/(Quesería!$J$70:$J$89+(Quesería!$J$70:$J$89=0)))+SUMPRODUCT((Quesería!$C$70:$C$89=0)*(Quesería!$J$70:$J$89=0)*(H$43=0)*(Quesería!$H$70:$H$89&gt;0)*Quesería!$F$70:$F$89*(1+Quesería!$I$70:$I$89)))*$B$778+(SUMPRODUCT((Quesería!$C$70:$C$89=1)*(Quesería!$J$70:$J$89&gt;0)*(H$43&gt;=2)*(H$43&lt;=Quesería!$J$70:$J$89+1)*(Quesería!$H$70:$H$89&gt;0)*Quesería!$F$70:$F$89*(1+Quesería!$I$70:$I$89)/(Quesería!$J$70:$J$89+(Quesería!$J$70:$J$89=0)))+SUMPRODUCT((Quesería!$C$70:$C$89=1)*(Quesería!$J$70:$J$89=0)*(H$43=1)*(Quesería!$H$70:$H$89&gt;0)*Quesería!$F$70:$F$89*(1+Quesería!$I$70:$I$89)))*$C$778*$S$21,IF(AND(H$43&gt;=1,H$43&lt;=Quesería!$B$30),Quesería!$F$92/Quesería!$B$30,0)*$B$778+IF(AND(H$43&gt;=2,H$43&lt;=Quesería!$B$30+1),Quesería!$F$93/Quesería!$B$30,0)*$C$778*$S$21)*$S$11+IF(AND(H$43&gt;=6,H$43&lt;=10),$G782*$G778/5,0)+IF(AND(H$43&gt;=7,H$43&lt;=11),$H782*$H778/5,0))*H780</f>
        <v>122.314670590318</v>
      </c>
      <c r="I790" s="29" t="n">
        <f aca="false">(IF($S$19=1,(SUMPRODUCT((Quesería!$C$70:$C$89=0)*(Quesería!$J$70:$J$89&gt;0)*(I$43&gt;=1)*(I$43&lt;=Quesería!$J$70:$J$89)*(Quesería!$H$70:$H$89&gt;0)*Quesería!$F$70:$F$89*(1+Quesería!$I$70:$I$89)/(Quesería!$J$70:$J$89+(Quesería!$J$70:$J$89=0)))+SUMPRODUCT((Quesería!$C$70:$C$89=0)*(Quesería!$J$70:$J$89=0)*(I$43=0)*(Quesería!$H$70:$H$89&gt;0)*Quesería!$F$70:$F$89*(1+Quesería!$I$70:$I$89)))*$B$778+(SUMPRODUCT((Quesería!$C$70:$C$89=1)*(Quesería!$J$70:$J$89&gt;0)*(I$43&gt;=2)*(I$43&lt;=Quesería!$J$70:$J$89+1)*(Quesería!$H$70:$H$89&gt;0)*Quesería!$F$70:$F$89*(1+Quesería!$I$70:$I$89)/(Quesería!$J$70:$J$89+(Quesería!$J$70:$J$89=0)))+SUMPRODUCT((Quesería!$C$70:$C$89=1)*(Quesería!$J$70:$J$89=0)*(I$43=1)*(Quesería!$H$70:$H$89&gt;0)*Quesería!$F$70:$F$89*(1+Quesería!$I$70:$I$89)))*$C$778*$S$21,IF(AND(I$43&gt;=1,I$43&lt;=Quesería!$B$30),Quesería!$F$92/Quesería!$B$30,0)*$B$778+IF(AND(I$43&gt;=2,I$43&lt;=Quesería!$B$30+1),Quesería!$F$93/Quesería!$B$30,0)*$C$778*$S$21)*$S$11+IF(AND(I$43&gt;=6,I$43&lt;=10),$G782*$G778/5,0)+IF(AND(I$43&gt;=7,I$43&lt;=11),$H782*$H778/5,0))*I780</f>
        <v>126.531251665874</v>
      </c>
      <c r="J790" s="29" t="n">
        <f aca="false">(IF($S$19=1,(SUMPRODUCT((Quesería!$C$70:$C$89=0)*(Quesería!$J$70:$J$89&gt;0)*(J$43&gt;=1)*(J$43&lt;=Quesería!$J$70:$J$89)*(Quesería!$H$70:$H$89&gt;0)*Quesería!$F$70:$F$89*(1+Quesería!$I$70:$I$89)/(Quesería!$J$70:$J$89+(Quesería!$J$70:$J$89=0)))+SUMPRODUCT((Quesería!$C$70:$C$89=0)*(Quesería!$J$70:$J$89=0)*(J$43=0)*(Quesería!$H$70:$H$89&gt;0)*Quesería!$F$70:$F$89*(1+Quesería!$I$70:$I$89)))*$B$778+(SUMPRODUCT((Quesería!$C$70:$C$89=1)*(Quesería!$J$70:$J$89&gt;0)*(J$43&gt;=2)*(J$43&lt;=Quesería!$J$70:$J$89+1)*(Quesería!$H$70:$H$89&gt;0)*Quesería!$F$70:$F$89*(1+Quesería!$I$70:$I$89)/(Quesería!$J$70:$J$89+(Quesería!$J$70:$J$89=0)))+SUMPRODUCT((Quesería!$C$70:$C$89=1)*(Quesería!$J$70:$J$89=0)*(J$43=1)*(Quesería!$H$70:$H$89&gt;0)*Quesería!$F$70:$F$89*(1+Quesería!$I$70:$I$89)))*$C$778*$S$21,IF(AND(J$43&gt;=1,J$43&lt;=Quesería!$B$30),Quesería!$F$92/Quesería!$B$30,0)*$B$778+IF(AND(J$43&gt;=2,J$43&lt;=Quesería!$B$30+1),Quesería!$F$93/Quesería!$B$30,0)*$C$778*$S$21)*$S$11+IF(AND(J$43&gt;=6,J$43&lt;=10),$G782*$G778/5,0)+IF(AND(J$43&gt;=7,J$43&lt;=11),$H782*$H778/5,0))*J780</f>
        <v>121.66466506334</v>
      </c>
      <c r="K790" s="29" t="n">
        <f aca="false">(IF($S$19=1,(SUMPRODUCT((Quesería!$C$70:$C$89=0)*(Quesería!$J$70:$J$89&gt;0)*(K$43&gt;=1)*(K$43&lt;=Quesería!$J$70:$J$89)*(Quesería!$H$70:$H$89&gt;0)*Quesería!$F$70:$F$89*(1+Quesería!$I$70:$I$89)/(Quesería!$J$70:$J$89+(Quesería!$J$70:$J$89=0)))+SUMPRODUCT((Quesería!$C$70:$C$89=0)*(Quesería!$J$70:$J$89=0)*(K$43=0)*(Quesería!$H$70:$H$89&gt;0)*Quesería!$F$70:$F$89*(1+Quesería!$I$70:$I$89)))*$B$778+(SUMPRODUCT((Quesería!$C$70:$C$89=1)*(Quesería!$J$70:$J$89&gt;0)*(K$43&gt;=2)*(K$43&lt;=Quesería!$J$70:$J$89+1)*(Quesería!$H$70:$H$89&gt;0)*Quesería!$F$70:$F$89*(1+Quesería!$I$70:$I$89)/(Quesería!$J$70:$J$89+(Quesería!$J$70:$J$89=0)))+SUMPRODUCT((Quesería!$C$70:$C$89=1)*(Quesería!$J$70:$J$89=0)*(K$43=1)*(Quesería!$H$70:$H$89&gt;0)*Quesería!$F$70:$F$89*(1+Quesería!$I$70:$I$89)))*$C$778*$S$21,IF(AND(K$43&gt;=1,K$43&lt;=Quesería!$B$30),Quesería!$F$92/Quesería!$B$30,0)*$B$778+IF(AND(K$43&gt;=2,K$43&lt;=Quesería!$B$30+1),Quesería!$F$93/Quesería!$B$30,0)*$C$778*$S$21)*$S$11+IF(AND(K$43&gt;=6,K$43&lt;=10),$G782*$G778/5,0)+IF(AND(K$43&gt;=7,K$43&lt;=11),$H782*$H778/5,0))*K780</f>
        <v>116.985254868597</v>
      </c>
      <c r="L790" s="29" t="n">
        <f aca="false">(IF($S$19=1,(SUMPRODUCT((Quesería!$C$70:$C$89=0)*(Quesería!$J$70:$J$89&gt;0)*(L$43&gt;=1)*(L$43&lt;=Quesería!$J$70:$J$89)*(Quesería!$H$70:$H$89&gt;0)*Quesería!$F$70:$F$89*(1+Quesería!$I$70:$I$89)/(Quesería!$J$70:$J$89+(Quesería!$J$70:$J$89=0)))+SUMPRODUCT((Quesería!$C$70:$C$89=0)*(Quesería!$J$70:$J$89=0)*(L$43=0)*(Quesería!$H$70:$H$89&gt;0)*Quesería!$F$70:$F$89*(1+Quesería!$I$70:$I$89)))*$B$778+(SUMPRODUCT((Quesería!$C$70:$C$89=1)*(Quesería!$J$70:$J$89&gt;0)*(L$43&gt;=2)*(L$43&lt;=Quesería!$J$70:$J$89+1)*(Quesería!$H$70:$H$89&gt;0)*Quesería!$F$70:$F$89*(1+Quesería!$I$70:$I$89)/(Quesería!$J$70:$J$89+(Quesería!$J$70:$J$89=0)))+SUMPRODUCT((Quesería!$C$70:$C$89=1)*(Quesería!$J$70:$J$89=0)*(L$43=1)*(Quesería!$H$70:$H$89&gt;0)*Quesería!$F$70:$F$89*(1+Quesería!$I$70:$I$89)))*$C$778*$S$21,IF(AND(L$43&gt;=1,L$43&lt;=Quesería!$B$30),Quesería!$F$92/Quesería!$B$30,0)*$B$778+IF(AND(L$43&gt;=2,L$43&lt;=Quesería!$B$30+1),Quesería!$F$93/Quesería!$B$30,0)*$C$778*$S$21)*$S$11+IF(AND(L$43&gt;=6,L$43&lt;=10),$G782*$G778/5,0)+IF(AND(L$43&gt;=7,L$43&lt;=11),$H782*$H778/5,0))*L780</f>
        <v>112.485821989035</v>
      </c>
    </row>
    <row r="791" customFormat="false" ht="15" hidden="true" customHeight="false" outlineLevel="1" collapsed="false">
      <c r="A791" s="9" t="s">
        <v>416</v>
      </c>
      <c r="B791" s="58" t="n">
        <f aca="false">IF(B$43=1,MIN($S$7*Quesería!$B$56*Quesería!$F$86*$S$11*$S$21,Quesería!$B$57*Quesería!$B$58),0)</f>
        <v>0</v>
      </c>
      <c r="C791" s="58" t="n">
        <f aca="false">IF(C$43=1,MIN($S$7*Quesería!$B$56*Quesería!$F$86*$S$11*$S$21,Quesería!$B$57*Quesería!$B$58),0)</f>
        <v>20</v>
      </c>
      <c r="D791" s="58" t="n">
        <f aca="false">IF(D$43=1,MIN($S$7*Quesería!$B$56*Quesería!$F$86*$S$11*$S$21,Quesería!$B$57*Quesería!$B$58),0)</f>
        <v>0</v>
      </c>
      <c r="E791" s="58" t="n">
        <f aca="false">IF(E$43=1,MIN($S$7*Quesería!$B$56*Quesería!$F$86*$S$11*$S$21,Quesería!$B$57*Quesería!$B$58),0)</f>
        <v>0</v>
      </c>
      <c r="F791" s="58" t="n">
        <f aca="false">IF(F$43=1,MIN($S$7*Quesería!$B$56*Quesería!$F$86*$S$11*$S$21,Quesería!$B$57*Quesería!$B$58),0)</f>
        <v>0</v>
      </c>
      <c r="G791" s="58" t="n">
        <f aca="false">IF(G$43=1,MIN($S$7*Quesería!$B$56*Quesería!$F$86*$S$11*$S$21,Quesería!$B$57*Quesería!$B$58),0)</f>
        <v>0</v>
      </c>
      <c r="H791" s="58" t="n">
        <f aca="false">IF(H$43=1,MIN($S$7*Quesería!$B$56*Quesería!$F$86*$S$11*$S$21,Quesería!$B$57*Quesería!$B$58),0)</f>
        <v>0</v>
      </c>
      <c r="I791" s="58" t="n">
        <f aca="false">IF(I$43=1,MIN($S$7*Quesería!$B$56*Quesería!$F$86*$S$11*$S$21,Quesería!$B$57*Quesería!$B$58),0)</f>
        <v>0</v>
      </c>
      <c r="J791" s="58" t="n">
        <f aca="false">IF(J$43=1,MIN($S$7*Quesería!$B$56*Quesería!$F$86*$S$11*$S$21,Quesería!$B$57*Quesería!$B$58),0)</f>
        <v>0</v>
      </c>
      <c r="K791" s="58" t="n">
        <f aca="false">IF(K$43=1,MIN($S$7*Quesería!$B$56*Quesería!$F$86*$S$11*$S$21,Quesería!$B$57*Quesería!$B$58),0)</f>
        <v>0</v>
      </c>
      <c r="L791" s="58" t="n">
        <f aca="false">IF(L$43=1,MIN($S$7*Quesería!$B$56*Quesería!$F$86*$S$11*$S$21,Quesería!$B$57*Quesería!$B$58),0)</f>
        <v>0</v>
      </c>
    </row>
    <row r="792" customFormat="false" ht="15" hidden="true" customHeight="false" outlineLevel="1" collapsed="false">
      <c r="A792" s="9" t="s">
        <v>417</v>
      </c>
      <c r="B792" s="58" t="n">
        <v>0</v>
      </c>
      <c r="C792" s="58" t="n">
        <f aca="false">$S$20*Quesería!$B$60*Quesería!$F$98*$S$11*$B$778/C778/2</f>
        <v>138.12868344741</v>
      </c>
      <c r="D792" s="58" t="n">
        <f aca="false">$S$20*Quesería!$B$60*Quesería!$F$98*$S$11*$B$778/D778/2</f>
        <v>132.18055832288</v>
      </c>
      <c r="E792" s="58" t="n">
        <v>0</v>
      </c>
      <c r="F792" s="58" t="n">
        <v>0</v>
      </c>
      <c r="G792" s="58" t="n">
        <v>0</v>
      </c>
      <c r="H792" s="58" t="n">
        <v>0</v>
      </c>
      <c r="I792" s="58" t="n">
        <v>0</v>
      </c>
      <c r="J792" s="58" t="n">
        <v>0</v>
      </c>
      <c r="K792" s="58" t="n">
        <v>0</v>
      </c>
      <c r="L792" s="58" t="n">
        <v>0</v>
      </c>
    </row>
    <row r="793" customFormat="false" ht="15" hidden="true" customHeight="false" outlineLevel="1" collapsed="false">
      <c r="A793" s="9" t="s">
        <v>418</v>
      </c>
      <c r="B793" s="58" t="n">
        <f aca="false">0</f>
        <v>0</v>
      </c>
      <c r="C793" s="58" t="n">
        <f aca="false">B783*B778/C778</f>
        <v>142.014925295407</v>
      </c>
      <c r="D793" s="58" t="n">
        <f aca="false">C783*C778/D778</f>
        <v>137.903466668091</v>
      </c>
      <c r="E793" s="58" t="n">
        <f aca="false">D783*D778/E778</f>
        <v>0</v>
      </c>
      <c r="F793" s="58" t="n">
        <f aca="false">E783*E778/F778</f>
        <v>0</v>
      </c>
      <c r="G793" s="58" t="n">
        <f aca="false">F783*F778/G778</f>
        <v>0</v>
      </c>
      <c r="H793" s="58" t="n">
        <f aca="false">G783*G778/H778</f>
        <v>5.01768392412113</v>
      </c>
      <c r="I793" s="58" t="n">
        <f aca="false">H783*H778/I778</f>
        <v>8.47494190873221</v>
      </c>
      <c r="J793" s="58" t="n">
        <f aca="false">I783*I778/J778</f>
        <v>0</v>
      </c>
      <c r="K793" s="58" t="n">
        <f aca="false">J783*J778/K778</f>
        <v>0</v>
      </c>
      <c r="L793" s="58" t="n">
        <f aca="false">K783*K778/L778</f>
        <v>0</v>
      </c>
    </row>
    <row r="794" customFormat="false" ht="15" hidden="true" customHeight="false" outlineLevel="1" collapsed="false">
      <c r="A794" s="6" t="s">
        <v>295</v>
      </c>
      <c r="B794" s="29" t="n">
        <f aca="false">$S$17*(B786-B787-B788-0.5*B789-B790)-B791-B792-B793</f>
        <v>-9.59839124703308</v>
      </c>
      <c r="C794" s="29" t="n">
        <f aca="false">$S$17*(C786-C787-C788-0.5*C789-C790)-C791-C792-C793</f>
        <v>-287.35904962886</v>
      </c>
      <c r="D794" s="29" t="n">
        <f aca="false">$S$17*(D786-D787-D788-0.5*D789-D790)-D791-D792-D793</f>
        <v>-189.725322279336</v>
      </c>
      <c r="E794" s="29" t="n">
        <f aca="false">$S$17*(E786-E787-E788-0.5*E789-E790)-E791-E792-E793</f>
        <v>104.732731328365</v>
      </c>
      <c r="F794" s="29" t="n">
        <f aca="false">$S$17*(F786-F787-F788-0.5*F789-F790)-F791-F792-F793</f>
        <v>106.799371634489</v>
      </c>
      <c r="G794" s="29" t="n">
        <f aca="false">$S$17*(G786-G787-G788-0.5*G789-G790)-G791-G792-G793</f>
        <v>108.768350824566</v>
      </c>
      <c r="H794" s="29" t="n">
        <f aca="false">$S$17*(H786-H787-H788-0.5*H789-H790)-H791-H792-H793</f>
        <v>108.111395718431</v>
      </c>
      <c r="I794" s="29" t="n">
        <f aca="false">$S$17*(I786-I787-I788-0.5*I789-I790)-I791-I792-I793</f>
        <v>103.326831874739</v>
      </c>
      <c r="J794" s="29" t="n">
        <f aca="false">$S$17*(J786-J787-J788-0.5*J789-J790)-J791-J792-J793</f>
        <v>113.615483721767</v>
      </c>
      <c r="K794" s="29" t="n">
        <f aca="false">$S$17*(K786-K787-K788-0.5*K789-K790)-K791-K792-K793</f>
        <v>115.364233940474</v>
      </c>
      <c r="L794" s="29" t="n">
        <f aca="false">$S$17*(L786-L787-L788-0.5*L789-L790)-L791-L792-L793</f>
        <v>117.05054688212</v>
      </c>
    </row>
    <row r="795" customFormat="false" ht="15" hidden="true" customHeight="false" outlineLevel="1" collapsed="false">
      <c r="A795" s="9" t="s">
        <v>419</v>
      </c>
      <c r="B795" s="58" t="n">
        <f aca="false">(IF(B$43&gt;=1,Quesería!$G$123*IF(B$43=1,Quesería!$B$20,1),Quesería!$G$123*Quesería!$B$20*Quesería!$B$21/12*$S$23)+IF(B$43&gt;=2,Quesería!$G$124*$S$21*IF(B$43=2,Quesería!$B$20,1),0))*$S$10</f>
        <v>77.4042870161869</v>
      </c>
      <c r="C795" s="58" t="n">
        <f aca="false">(IF(C$43&gt;=1,Quesería!$G$123*IF(C$43=1,Quesería!$B$20,1),Quesería!$G$123*Quesería!$B$20*Quesería!$B$21/12*$S$23)+IF(C$43&gt;=2,Quesería!$G$124*$S$21*IF(C$43=2,Quesería!$B$20,1),0))*$S$10</f>
        <v>116.10643052428</v>
      </c>
      <c r="D795" s="58" t="n">
        <f aca="false">(IF(D$43&gt;=1,Quesería!$G$123*IF(D$43=1,Quesería!$B$20,1),Quesería!$G$123*Quesería!$B$20*Quesería!$B$21/12*$S$23)+IF(D$43&gt;=2,Quesería!$G$124*$S$21*IF(D$43=2,Quesería!$B$20,1),0))*$S$10</f>
        <v>297.090260202792</v>
      </c>
      <c r="E795" s="58" t="n">
        <f aca="false">(IF(E$43&gt;=1,Quesería!$G$123*IF(E$43=1,Quesería!$B$20,1),Quesería!$G$123*Quesería!$B$20*Quesería!$B$21/12*$S$23)+IF(E$43&gt;=2,Quesería!$G$124*$S$21*IF(E$43=2,Quesería!$B$20,1),0))*$S$10</f>
        <v>344.517488926264</v>
      </c>
      <c r="F795" s="58" t="n">
        <f aca="false">(IF(F$43&gt;=1,Quesería!$G$123*IF(F$43=1,Quesería!$B$20,1),Quesería!$G$123*Quesería!$B$20*Quesería!$B$21/12*$S$23)+IF(F$43&gt;=2,Quesería!$G$124*$S$21*IF(F$43=2,Quesería!$B$20,1),0))*$S$10</f>
        <v>344.517488926264</v>
      </c>
      <c r="G795" s="58" t="n">
        <f aca="false">(IF(G$43&gt;=1,Quesería!$G$123*IF(G$43=1,Quesería!$B$20,1),Quesería!$G$123*Quesería!$B$20*Quesería!$B$21/12*$S$23)+IF(G$43&gt;=2,Quesería!$G$124*$S$21*IF(G$43=2,Quesería!$B$20,1),0))*$S$10</f>
        <v>344.517488926264</v>
      </c>
      <c r="H795" s="58" t="n">
        <f aca="false">(IF(H$43&gt;=1,Quesería!$G$123*IF(H$43=1,Quesería!$B$20,1),Quesería!$G$123*Quesería!$B$20*Quesería!$B$21/12*$S$23)+IF(H$43&gt;=2,Quesería!$G$124*$S$21*IF(H$43=2,Quesería!$B$20,1),0))*$S$10</f>
        <v>344.517488926264</v>
      </c>
      <c r="I795" s="58" t="n">
        <f aca="false">(IF(I$43&gt;=1,Quesería!$G$123*IF(I$43=1,Quesería!$B$20,1),Quesería!$G$123*Quesería!$B$20*Quesería!$B$21/12*$S$23)+IF(I$43&gt;=2,Quesería!$G$124*$S$21*IF(I$43=2,Quesería!$B$20,1),0))*$S$10</f>
        <v>344.517488926264</v>
      </c>
      <c r="J795" s="58" t="n">
        <f aca="false">(IF(J$43&gt;=1,Quesería!$G$123*IF(J$43=1,Quesería!$B$20,1),Quesería!$G$123*Quesería!$B$20*Quesería!$B$21/12*$S$23)+IF(J$43&gt;=2,Quesería!$G$124*$S$21*IF(J$43=2,Quesería!$B$20,1),0))*$S$10</f>
        <v>344.517488926264</v>
      </c>
      <c r="K795" s="58" t="n">
        <f aca="false">(IF(K$43&gt;=1,Quesería!$G$123*IF(K$43=1,Quesería!$B$20,1),Quesería!$G$123*Quesería!$B$20*Quesería!$B$21/12*$S$23)+IF(K$43&gt;=2,Quesería!$G$124*$S$21*IF(K$43=2,Quesería!$B$20,1),0))*$S$10</f>
        <v>344.517488926264</v>
      </c>
      <c r="L795" s="58" t="n">
        <f aca="false">(IF(L$43&gt;=1,Quesería!$G$123*IF(L$43=1,Quesería!$B$20,1),Quesería!$G$123*Quesería!$B$20*Quesería!$B$21/12*$S$23)+IF(L$43&gt;=2,Quesería!$G$124*$S$21*IF(L$43=2,Quesería!$B$20,1),0))*$S$10</f>
        <v>344.517488926264</v>
      </c>
    </row>
    <row r="796" customFormat="false" ht="15" hidden="true" customHeight="false" outlineLevel="1" collapsed="false">
      <c r="A796" s="6" t="s">
        <v>420</v>
      </c>
      <c r="B796" s="29" t="n">
        <f aca="false">(B795*(Quesería!$B$38+Quesería!$B$40*Quesería!$B$39)/365-B787*Quesería!$B$42/365)</f>
        <v>7.23146900616979</v>
      </c>
      <c r="C796" s="29" t="n">
        <f aca="false">(C795*(Quesería!$B$38+Quesería!$B$40*Quesería!$B$39)/365-C787*Quesería!$B$42/365)-(B795*(Quesería!$B$38+Quesería!$B$40*Quesería!$B$39)/365-B787*Quesería!$B$42/365)*B778/C778</f>
        <v>1.42287846600884</v>
      </c>
      <c r="D796" s="29" t="n">
        <f aca="false">(D795*(Quesería!$B$38+Quesería!$B$40*Quesería!$B$39)/365-D787*Quesería!$B$42/365)-(C795*(Quesería!$B$38+Quesería!$B$40*Quesería!$B$39)/365-C787*Quesería!$B$42/365)*C778/D778</f>
        <v>14.0205300736897</v>
      </c>
      <c r="E796" s="29" t="n">
        <f aca="false">(E795*(Quesería!$B$38+Quesería!$B$40*Quesería!$B$39)/365-E787*Quesería!$B$42/365)-(D795*(Quesería!$B$38+Quesería!$B$40*Quesería!$B$39)/365-D787*Quesería!$B$42/365)*D778/E778</f>
        <v>5.27597549905193</v>
      </c>
      <c r="F796" s="29" t="n">
        <f aca="false">(F795*(Quesería!$B$38+Quesería!$B$40*Quesería!$B$39)/365-F787*Quesería!$B$42/365)-(E795*(Quesería!$B$38+Quesería!$B$40*Quesería!$B$39)/365-E787*Quesería!$B$42/365)*E778/F778</f>
        <v>1.01552107473577</v>
      </c>
      <c r="G796" s="29" t="n">
        <f aca="false">(G795*(Quesería!$B$38+Quesería!$B$40*Quesería!$B$39)/365-G787*Quesería!$B$42/365)-(F795*(Quesería!$B$38+Quesería!$B$40*Quesería!$B$39)/365-F787*Quesería!$B$42/365)*F778/G778</f>
        <v>1.01552107473577</v>
      </c>
      <c r="H796" s="29" t="n">
        <f aca="false">(H795*(Quesería!$B$38+Quesería!$B$40*Quesería!$B$39)/365-H787*Quesería!$B$42/365)-(G795*(Quesería!$B$38+Quesería!$B$40*Quesería!$B$39)/365-G787*Quesería!$B$42/365)*G778/H778</f>
        <v>1.01552107473577</v>
      </c>
      <c r="I796" s="29" t="n">
        <f aca="false">(I795*(Quesería!$B$38+Quesería!$B$40*Quesería!$B$39)/365-I787*Quesería!$B$42/365)-(H795*(Quesería!$B$38+Quesería!$B$40*Quesería!$B$39)/365-H787*Quesería!$B$42/365)*H778/I778</f>
        <v>1.01552107473577</v>
      </c>
      <c r="J796" s="29" t="n">
        <f aca="false">(J795*(Quesería!$B$38+Quesería!$B$40*Quesería!$B$39)/365-J787*Quesería!$B$42/365)-(I795*(Quesería!$B$38+Quesería!$B$40*Quesería!$B$39)/365-I787*Quesería!$B$42/365)*I778/J778</f>
        <v>1.01552107473577</v>
      </c>
      <c r="K796" s="29" t="n">
        <f aca="false">(K795*(Quesería!$B$38+Quesería!$B$40*Quesería!$B$39)/365-K787*Quesería!$B$42/365)-(J795*(Quesería!$B$38+Quesería!$B$40*Quesería!$B$39)/365-J787*Quesería!$B$42/365)*J778/K778</f>
        <v>1.01552107473577</v>
      </c>
      <c r="L796" s="29" t="n">
        <f aca="false">-(K795*(Quesería!$B$38+Quesería!$B$40*Quesería!$B$39)/365-K787*Quesería!$B$42/365)*K778/L778</f>
        <v>-25.3880268683941</v>
      </c>
    </row>
    <row r="797" customFormat="false" ht="15" hidden="true" customHeight="false" outlineLevel="1" collapsed="false">
      <c r="A797" s="6" t="s">
        <v>421</v>
      </c>
      <c r="B797" s="29" t="n">
        <v>0</v>
      </c>
      <c r="C797" s="29" t="n">
        <v>0</v>
      </c>
      <c r="D797" s="29" t="n">
        <v>0</v>
      </c>
      <c r="E797" s="29" t="n">
        <v>0</v>
      </c>
      <c r="F797" s="29" t="n">
        <v>0</v>
      </c>
      <c r="G797" s="29" t="n">
        <v>0</v>
      </c>
      <c r="H797" s="29" t="n">
        <v>0</v>
      </c>
      <c r="I797" s="29" t="n">
        <v>0</v>
      </c>
      <c r="J797" s="29" t="n">
        <v>0</v>
      </c>
      <c r="K797" s="29" t="n">
        <v>0</v>
      </c>
      <c r="L797" s="29" t="n">
        <f aca="false">$S$8*Quesería!$B$36*(Quesería!$F$94+Quesería!$F$95*$S$21)*$S$11*(1-$S$17)</f>
        <v>67.1237725584543</v>
      </c>
    </row>
    <row r="798" customFormat="false" ht="15" hidden="true" customHeight="false" outlineLevel="1" collapsed="false">
      <c r="A798" s="5" t="s">
        <v>147</v>
      </c>
      <c r="B798" s="59" t="n">
        <f aca="false">B786-B787-B788-B789-B794-B781-B782-B783-B796+B797</f>
        <v>-961.151880133756</v>
      </c>
      <c r="C798" s="59" t="n">
        <f aca="false">C786-C787-C788-C789-C794-C781-C782-C783-C796+C797</f>
        <v>-499.777758451238</v>
      </c>
      <c r="D798" s="59" t="n">
        <f aca="false">D786-D787-D788-D789-D794-D781-D782-D783-D796+D797</f>
        <v>556.410858145381</v>
      </c>
      <c r="E798" s="59" t="n">
        <f aca="false">E786-E787-E788-E789-E794-E781-E782-E783-E796+E797</f>
        <v>334.518146298773</v>
      </c>
      <c r="F798" s="59" t="n">
        <f aca="false">F786-F787-F788-F789-F794-F781-F782-F783-F796+F797</f>
        <v>337.021171452401</v>
      </c>
      <c r="G798" s="59" t="n">
        <f aca="false">G786-G787-G788-G789-G794-G781-G782-G783-G796+G797</f>
        <v>302.548606368777</v>
      </c>
      <c r="H798" s="59" t="n">
        <f aca="false">H786-H787-H788-H789-H794-H781-H782-H783-H796+H797</f>
        <v>280.908307657918</v>
      </c>
      <c r="I798" s="59" t="n">
        <f aca="false">I786-I787-I788-I789-I794-I781-I782-I783-I796+I797</f>
        <v>341.430651609277</v>
      </c>
      <c r="J798" s="59" t="n">
        <f aca="false">J786-J787-J788-J789-J794-J781-J782-J783-J796+J797</f>
        <v>331.457441554847</v>
      </c>
      <c r="K798" s="59" t="n">
        <f aca="false">K786-K787-K788-K789-K794-K781-K782-K783-K796+K797</f>
        <v>330.025710337702</v>
      </c>
      <c r="L798" s="59" t="n">
        <f aca="false">L786-L787-L788-L789-L794-L781-L782-L783-L796+L797</f>
        <v>422.18532199421</v>
      </c>
    </row>
    <row r="799" customFormat="false" ht="15" hidden="true" customHeight="false" outlineLevel="1" collapsed="false">
      <c r="A799" s="9" t="s">
        <v>422</v>
      </c>
      <c r="B799" s="58" t="n">
        <f aca="false">B798*B778</f>
        <v>-1018.82099294178</v>
      </c>
      <c r="C799" s="58" t="n">
        <f aca="false">C798*C778</f>
        <v>-556.252645156228</v>
      </c>
      <c r="D799" s="58" t="n">
        <f aca="false">D798*D778</f>
        <v>647.15312294602</v>
      </c>
      <c r="E799" s="58" t="n">
        <f aca="false">E798*E778</f>
        <v>404.635959715425</v>
      </c>
      <c r="F799" s="58" t="n">
        <f aca="false">F798*F778</f>
        <v>423.970185565331</v>
      </c>
      <c r="G799" s="58" t="n">
        <f aca="false">G798*G778</f>
        <v>395.828107062799</v>
      </c>
      <c r="H799" s="58" t="n">
        <f aca="false">H798*H778</f>
        <v>382.216468333796</v>
      </c>
      <c r="I799" s="58" t="n">
        <f aca="false">I798*I778</f>
        <v>483.148525168723</v>
      </c>
      <c r="J799" s="58" t="n">
        <f aca="false">J798*J778</f>
        <v>487.797156524052</v>
      </c>
      <c r="K799" s="58" t="n">
        <f aca="false">K798*K778</f>
        <v>505.117720152798</v>
      </c>
      <c r="L799" s="58" t="n">
        <f aca="false">L798*L778</f>
        <v>672.01860907702</v>
      </c>
    </row>
    <row r="800" customFormat="false" ht="15" hidden="true" customHeight="false" outlineLevel="1" collapsed="false">
      <c r="A800" s="6" t="s">
        <v>423</v>
      </c>
      <c r="B800" s="29" t="n">
        <f aca="false">B798</f>
        <v>-961.151880133756</v>
      </c>
      <c r="C800" s="29" t="n">
        <f aca="false">B800+C798</f>
        <v>-1460.92963858499</v>
      </c>
      <c r="D800" s="29" t="n">
        <f aca="false">C800+D798</f>
        <v>-904.518780439613</v>
      </c>
      <c r="E800" s="29" t="n">
        <f aca="false">D800+E798</f>
        <v>-570.00063414084</v>
      </c>
      <c r="F800" s="29" t="n">
        <f aca="false">E800+F798</f>
        <v>-232.979462688438</v>
      </c>
      <c r="G800" s="29" t="n">
        <f aca="false">F800+G798</f>
        <v>69.569143680339</v>
      </c>
      <c r="H800" s="29" t="n">
        <f aca="false">G800+H798</f>
        <v>350.477451338257</v>
      </c>
      <c r="I800" s="29" t="n">
        <f aca="false">H800+I798</f>
        <v>691.908102947534</v>
      </c>
      <c r="J800" s="29" t="n">
        <f aca="false">I800+J798</f>
        <v>1023.36554450238</v>
      </c>
      <c r="K800" s="29" t="n">
        <f aca="false">J800+K798</f>
        <v>1353.39125484008</v>
      </c>
      <c r="L800" s="29" t="n">
        <f aca="false">K800+L798</f>
        <v>1775.57657683429</v>
      </c>
    </row>
    <row r="801" customFormat="false" ht="15" hidden="true" customHeight="false" outlineLevel="1" collapsed="false">
      <c r="A801" s="9" t="s">
        <v>424</v>
      </c>
      <c r="B801" s="60" t="n">
        <v>0</v>
      </c>
      <c r="C801" s="60" t="n">
        <f aca="false">IF(AND(B800&lt;0,C800&gt;=0),B$43+(-B800)/C798,0)</f>
        <v>0</v>
      </c>
      <c r="D801" s="60" t="n">
        <f aca="false">IF(AND(C800&lt;0,D800&gt;=0),C$43+(-C800)/D798,0)</f>
        <v>0</v>
      </c>
      <c r="E801" s="60" t="n">
        <f aca="false">IF(AND(D800&lt;0,E800&gt;=0),D$43+(-D800)/E798,0)</f>
        <v>0</v>
      </c>
      <c r="F801" s="60" t="n">
        <f aca="false">IF(AND(E800&lt;0,F800&gt;=0),E$43+(-E800)/F798,0)</f>
        <v>0</v>
      </c>
      <c r="G801" s="60" t="n">
        <f aca="false">IF(AND(F800&lt;0,G800&gt;=0),F$43+(-F800)/G798,0)</f>
        <v>4.77005630759528</v>
      </c>
      <c r="H801" s="60" t="n">
        <f aca="false">IF(AND(G800&lt;0,H800&gt;=0),G$43+(-G800)/H798,0)</f>
        <v>0</v>
      </c>
      <c r="I801" s="60" t="n">
        <f aca="false">IF(AND(H800&lt;0,I800&gt;=0),H$43+(-H800)/I798,0)</f>
        <v>0</v>
      </c>
      <c r="J801" s="60" t="n">
        <f aca="false">IF(AND(I800&lt;0,J800&gt;=0),I$43+(-I800)/J798,0)</f>
        <v>0</v>
      </c>
      <c r="K801" s="60" t="n">
        <f aca="false">IF(AND(J800&lt;0,K800&gt;=0),J$43+(-J800)/K798,0)</f>
        <v>0</v>
      </c>
      <c r="L801" s="60" t="n">
        <f aca="false">IF(AND(K800&lt;0,L800&gt;=0),K$43+(-K800)/L798,0)</f>
        <v>0</v>
      </c>
    </row>
    <row r="802" customFormat="false" ht="15" hidden="true" customHeight="false" outlineLevel="1" collapsed="false">
      <c r="A802" s="9" t="s">
        <v>425</v>
      </c>
      <c r="B802" s="57" t="n">
        <f aca="false">(B778/$B$778)/(1+$S$25)^B$43</f>
        <v>1</v>
      </c>
      <c r="C802" s="57" t="n">
        <f aca="false">(C778/$B$778)/(1+$S$25)^C$43</f>
        <v>0.907458487517462</v>
      </c>
      <c r="D802" s="57" t="n">
        <f aca="false">(D778/$B$778)/(1+$S$25)^D$43</f>
        <v>0.819559568917159</v>
      </c>
      <c r="E802" s="57" t="n">
        <f aca="false">(E778/$B$778)/(1+$S$25)^E$43</f>
        <v>0.73663327458441</v>
      </c>
      <c r="F802" s="57" t="n">
        <f aca="false">(F778/$B$778)/(1+$S$25)^F$43</f>
        <v>0.6620977922836</v>
      </c>
      <c r="G802" s="57" t="n">
        <f aca="false">(G778/$B$778)/(1+$S$25)^G$43</f>
        <v>0.595104106306</v>
      </c>
      <c r="H802" s="57" t="n">
        <f aca="false">(H778/$B$778)/(1+$S$25)^H$43</f>
        <v>0.534889107726503</v>
      </c>
      <c r="I802" s="57" t="n">
        <f aca="false">(I778/$B$778)/(1+$S$25)^I$43</f>
        <v>0.480766902013848</v>
      </c>
      <c r="J802" s="57" t="n">
        <f aca="false">(J778/$B$778)/(1+$S$25)^J$43</f>
        <v>0.432120996171371</v>
      </c>
      <c r="K802" s="57" t="n">
        <f aca="false">(K778/$B$778)/(1+$S$25)^K$43</f>
        <v>0.388397276413924</v>
      </c>
      <c r="L802" s="57" t="n">
        <f aca="false">(L778/$B$778)/(1+$S$25)^L$43</f>
        <v>0.349097696391334</v>
      </c>
    </row>
    <row r="803" customFormat="false" ht="15" hidden="true" customHeight="false" outlineLevel="1" collapsed="false">
      <c r="A803" s="9" t="s">
        <v>426</v>
      </c>
      <c r="B803" s="58" t="n">
        <f aca="false">B798*B802</f>
        <v>-961.151880133756</v>
      </c>
      <c r="C803" s="58" t="n">
        <f aca="false">C798*C802</f>
        <v>-453.527568779028</v>
      </c>
      <c r="D803" s="58" t="n">
        <f aca="false">D798*D802</f>
        <v>456.011843042455</v>
      </c>
      <c r="E803" s="58" t="n">
        <f aca="false">E798*E802</f>
        <v>246.417197515972</v>
      </c>
      <c r="F803" s="58" t="n">
        <f aca="false">F798*F802</f>
        <v>223.140973571467</v>
      </c>
      <c r="G803" s="58" t="n">
        <f aca="false">G798*G802</f>
        <v>180.047918007217</v>
      </c>
      <c r="H803" s="58" t="n">
        <f aca="false">H798*H802</f>
        <v>150.254794036106</v>
      </c>
      <c r="I803" s="58" t="n">
        <f aca="false">I798*I802</f>
        <v>164.148556626762</v>
      </c>
      <c r="J803" s="58" t="n">
        <f aca="false">J798*J802</f>
        <v>143.229719833095</v>
      </c>
      <c r="K803" s="58" t="n">
        <f aca="false">K798*K802</f>
        <v>128.181087041734</v>
      </c>
      <c r="L803" s="58" t="n">
        <f aca="false">L798*L802</f>
        <v>147.383923358412</v>
      </c>
    </row>
    <row r="804" customFormat="false" ht="15" hidden="true" customHeight="false" outlineLevel="1" collapsed="false">
      <c r="A804" s="9" t="s">
        <v>427</v>
      </c>
      <c r="B804" s="58" t="n">
        <f aca="false">B803</f>
        <v>-961.151880133756</v>
      </c>
      <c r="C804" s="58" t="n">
        <f aca="false">B804+C803</f>
        <v>-1414.67944891278</v>
      </c>
      <c r="D804" s="58" t="n">
        <f aca="false">C804+D803</f>
        <v>-958.667605870329</v>
      </c>
      <c r="E804" s="58" t="n">
        <f aca="false">D804+E803</f>
        <v>-712.250408354357</v>
      </c>
      <c r="F804" s="58" t="n">
        <f aca="false">E804+F803</f>
        <v>-489.10943478289</v>
      </c>
      <c r="G804" s="58" t="n">
        <f aca="false">F804+G803</f>
        <v>-309.061516775673</v>
      </c>
      <c r="H804" s="58" t="n">
        <f aca="false">G804+H803</f>
        <v>-158.806722739567</v>
      </c>
      <c r="I804" s="58" t="n">
        <f aca="false">H804+I803</f>
        <v>5.34183388719455</v>
      </c>
      <c r="J804" s="58" t="n">
        <f aca="false">I804+J803</f>
        <v>148.571553720289</v>
      </c>
      <c r="K804" s="58" t="n">
        <f aca="false">J804+K803</f>
        <v>276.752640762023</v>
      </c>
      <c r="L804" s="58" t="n">
        <f aca="false">K804+L803</f>
        <v>424.136564120436</v>
      </c>
    </row>
    <row r="805" customFormat="false" ht="15" hidden="true" customHeight="false" outlineLevel="1" collapsed="false">
      <c r="A805" s="9" t="s">
        <v>428</v>
      </c>
      <c r="B805" s="60" t="n">
        <v>0</v>
      </c>
      <c r="C805" s="60" t="n">
        <f aca="false">IF(AND(B804&lt;0,C804&gt;=0),B$43+(-B804)/C803,0)</f>
        <v>0</v>
      </c>
      <c r="D805" s="60" t="n">
        <f aca="false">IF(AND(C804&lt;0,D804&gt;=0),C$43+(-C804)/D803,0)</f>
        <v>0</v>
      </c>
      <c r="E805" s="60" t="n">
        <f aca="false">IF(AND(D804&lt;0,E804&gt;=0),D$43+(-D804)/E803,0)</f>
        <v>0</v>
      </c>
      <c r="F805" s="60" t="n">
        <f aca="false">IF(AND(E804&lt;0,F804&gt;=0),E$43+(-E804)/F803,0)</f>
        <v>0</v>
      </c>
      <c r="G805" s="60" t="n">
        <f aca="false">IF(AND(F804&lt;0,G804&gt;=0),F$43+(-F804)/G803,0)</f>
        <v>0</v>
      </c>
      <c r="H805" s="60" t="n">
        <f aca="false">IF(AND(G804&lt;0,H804&gt;=0),G$43+(-G804)/H803,0)</f>
        <v>0</v>
      </c>
      <c r="I805" s="60" t="n">
        <f aca="false">IF(AND(H804&lt;0,I804&gt;=0),H$43+(-H804)/I803,0)</f>
        <v>6.96745732038728</v>
      </c>
      <c r="J805" s="60" t="n">
        <f aca="false">IF(AND(I804&lt;0,J804&gt;=0),I$43+(-I804)/J803,0)</f>
        <v>0</v>
      </c>
      <c r="K805" s="60" t="n">
        <f aca="false">IF(AND(J804&lt;0,K804&gt;=0),J$43+(-J804)/K803,0)</f>
        <v>0</v>
      </c>
      <c r="L805" s="60" t="n">
        <f aca="false">IF(AND(K804&lt;0,L804&gt;=0),K$43+(-K804)/L803,0)</f>
        <v>0</v>
      </c>
    </row>
    <row r="806" customFormat="false" ht="15" hidden="true" customHeight="false" outlineLevel="1" collapsed="false">
      <c r="A806" s="9" t="s">
        <v>429</v>
      </c>
      <c r="B806" s="58" t="n">
        <f aca="false">IF(B$43&lt;0,0,(Quesería!$B$44*$B$781*$B$778)*(1-MAX(0,MIN(B$43-0-Quesería!$B$47,(Quesería!$B$46-Quesería!$B$47)))/(Quesería!$B$46-Quesería!$B$47))*IF(B$43&gt;=2,1-Quesería!$B$48,1))+IF(B$43&lt;1,0,(Quesería!$B$44*$C$781*$C$778)*(1-MAX(0,MIN(B$43-1-Quesería!$B$47,(Quesería!$B$46-Quesería!$B$47)))/(Quesería!$B$46-Quesería!$B$47))*IF(B$43&gt;=2,1-Quesería!$B$48,1))</f>
        <v>641.321364968425</v>
      </c>
      <c r="C806" s="58" t="n">
        <f aca="false">IF(C$43&lt;0,0,(Quesería!$B$44*$B$781*$B$778)*(1-MAX(0,MIN(C$43-0-Quesería!$B$47,(Quesería!$B$46-Quesería!$B$47)))/(Quesería!$B$46-Quesería!$B$47))*IF(C$43&gt;=2,1-Quesería!$B$48,1))+IF(C$43&lt;1,0,(Quesería!$B$44*$C$781*$C$778)*(1-MAX(0,MIN(C$43-1-Quesería!$B$47,(Quesería!$B$46-Quesería!$B$47)))/(Quesería!$B$46-Quesería!$B$47))*IF(C$43&gt;=2,1-Quesería!$B$48,1))</f>
        <v>1190.03581125409</v>
      </c>
      <c r="D806" s="58" t="n">
        <f aca="false">IF(D$43&lt;0,0,(Quesería!$B$44*$B$781*$B$778)*(1-MAX(0,MIN(D$43-0-Quesería!$B$47,(Quesería!$B$46-Quesería!$B$47)))/(Quesería!$B$46-Quesería!$B$47))*IF(D$43&gt;=2,1-Quesería!$B$48,1))+IF(D$43&lt;1,0,(Quesería!$B$44*$C$781*$C$778)*(1-MAX(0,MIN(D$43-1-Quesería!$B$47,(Quesería!$B$46-Quesería!$B$47)))/(Quesería!$B$46-Quesería!$B$47))*IF(D$43&gt;=2,1-Quesería!$B$48,1))</f>
        <v>1083.14891709269</v>
      </c>
      <c r="E806" s="58" t="n">
        <f aca="false">IF(E$43&lt;0,0,(Quesería!$B$44*$B$781*$B$778)*(1-MAX(0,MIN(E$43-0-Quesería!$B$47,(Quesería!$B$46-Quesería!$B$47)))/(Quesería!$B$46-Quesería!$B$47))*IF(E$43&gt;=2,1-Quesería!$B$48,1))+IF(E$43&lt;1,0,(Quesería!$B$44*$C$781*$C$778)*(1-MAX(0,MIN(E$43-1-Quesería!$B$47,(Quesería!$B$46-Quesería!$B$47)))/(Quesería!$B$46-Quesería!$B$47))*IF(E$43&gt;=2,1-Quesería!$B$48,1))</f>
        <v>884.809615217005</v>
      </c>
      <c r="F806" s="58" t="n">
        <f aca="false">IF(F$43&lt;0,0,(Quesería!$B$44*$B$781*$B$778)*(1-MAX(0,MIN(F$43-0-Quesería!$B$47,(Quesería!$B$46-Quesería!$B$47)))/(Quesería!$B$46-Quesería!$B$47))*IF(F$43&gt;=2,1-Quesería!$B$48,1))+IF(F$43&lt;1,0,(Quesería!$B$44*$C$781*$C$778)*(1-MAX(0,MIN(F$43-1-Quesería!$B$47,(Quesería!$B$46-Quesería!$B$47)))/(Quesería!$B$46-Quesería!$B$47))*IF(F$43&gt;=2,1-Quesería!$B$48,1))</f>
        <v>686.470313341323</v>
      </c>
      <c r="G806" s="58" t="n">
        <f aca="false">IF(G$43&lt;0,0,(Quesería!$B$44*$B$781*$B$778)*(1-MAX(0,MIN(G$43-0-Quesería!$B$47,(Quesería!$B$46-Quesería!$B$47)))/(Quesería!$B$46-Quesería!$B$47))*IF(G$43&gt;=2,1-Quesería!$B$48,1))+IF(G$43&lt;1,0,(Quesería!$B$44*$C$781*$C$778)*(1-MAX(0,MIN(G$43-1-Quesería!$B$47,(Quesería!$B$46-Quesería!$B$47)))/(Quesería!$B$46-Quesería!$B$47))*IF(G$43&gt;=2,1-Quesería!$B$48,1))</f>
        <v>488.131011465641</v>
      </c>
      <c r="H806" s="58" t="n">
        <f aca="false">IF(H$43&lt;0,0,(Quesería!$B$44*$B$781*$B$778)*(1-MAX(0,MIN(H$43-0-Quesería!$B$47,(Quesería!$B$46-Quesería!$B$47)))/(Quesería!$B$46-Quesería!$B$47))*IF(H$43&gt;=2,1-Quesería!$B$48,1))+IF(H$43&lt;1,0,(Quesería!$B$44*$C$781*$C$778)*(1-MAX(0,MIN(H$43-1-Quesería!$B$47,(Quesería!$B$46-Quesería!$B$47)))/(Quesería!$B$46-Quesería!$B$47))*IF(H$43&gt;=2,1-Quesería!$B$48,1))</f>
        <v>289.79170958996</v>
      </c>
      <c r="I806" s="58" t="n">
        <f aca="false">IF(I$43&lt;0,0,(Quesería!$B$44*$B$781*$B$778)*(1-MAX(0,MIN(I$43-0-Quesería!$B$47,(Quesería!$B$46-Quesería!$B$47)))/(Quesería!$B$46-Quesería!$B$47))*IF(I$43&gt;=2,1-Quesería!$B$48,1))+IF(I$43&lt;1,0,(Quesería!$B$44*$C$781*$C$778)*(1-MAX(0,MIN(I$43-1-Quesería!$B$47,(Quesería!$B$46-Quesería!$B$47)))/(Quesería!$B$46-Quesería!$B$47))*IF(I$43&gt;=2,1-Quesería!$B$48,1))</f>
        <v>91.4524077142776</v>
      </c>
      <c r="J806" s="58" t="n">
        <f aca="false">IF(J$43&lt;0,0,(Quesería!$B$44*$B$781*$B$778)*(1-MAX(0,MIN(J$43-0-Quesería!$B$47,(Quesería!$B$46-Quesería!$B$47)))/(Quesería!$B$46-Quesería!$B$47))*IF(J$43&gt;=2,1-Quesería!$B$48,1))+IF(J$43&lt;1,0,(Quesería!$B$44*$C$781*$C$778)*(1-MAX(0,MIN(J$43-1-Quesería!$B$47,(Quesería!$B$46-Quesería!$B$47)))/(Quesería!$B$46-Quesería!$B$47))*IF(J$43&gt;=2,1-Quesería!$B$48,1))</f>
        <v>0</v>
      </c>
      <c r="K806" s="58" t="n">
        <f aca="false">IF(K$43&lt;0,0,(Quesería!$B$44*$B$781*$B$778)*(1-MAX(0,MIN(K$43-0-Quesería!$B$47,(Quesería!$B$46-Quesería!$B$47)))/(Quesería!$B$46-Quesería!$B$47))*IF(K$43&gt;=2,1-Quesería!$B$48,1))+IF(K$43&lt;1,0,(Quesería!$B$44*$C$781*$C$778)*(1-MAX(0,MIN(K$43-1-Quesería!$B$47,(Quesería!$B$46-Quesería!$B$47)))/(Quesería!$B$46-Quesería!$B$47))*IF(K$43&gt;=2,1-Quesería!$B$48,1))</f>
        <v>0</v>
      </c>
      <c r="L806" s="58" t="n">
        <f aca="false">IF(L$43&lt;0,0,(Quesería!$B$44*$B$781*$B$778)*(1-MAX(0,MIN(L$43-0-Quesería!$B$47,(Quesería!$B$46-Quesería!$B$47)))/(Quesería!$B$46-Quesería!$B$47))*IF(L$43&gt;=2,1-Quesería!$B$48,1))+IF(L$43&lt;1,0,(Quesería!$B$44*$C$781*$C$778)*(1-MAX(0,MIN(L$43-1-Quesería!$B$47,(Quesería!$B$46-Quesería!$B$47)))/(Quesería!$B$46-Quesería!$B$47))*IF(L$43&gt;=2,1-Quesería!$B$48,1))</f>
        <v>0</v>
      </c>
    </row>
    <row r="807" customFormat="false" ht="15" hidden="true" customHeight="false" outlineLevel="1" collapsed="false">
      <c r="A807" s="6" t="s">
        <v>430</v>
      </c>
      <c r="B807" s="29" t="n">
        <f aca="false">Quesería!$B$44*B781</f>
        <v>605.02015563059</v>
      </c>
      <c r="C807" s="29" t="n">
        <f aca="false">Quesería!$B$44*C781</f>
        <v>493.004893338424</v>
      </c>
      <c r="D807" s="29" t="n">
        <f aca="false">Quesería!$B$44*D781</f>
        <v>0</v>
      </c>
      <c r="E807" s="29" t="n">
        <f aca="false">Quesería!$B$44*E781</f>
        <v>0</v>
      </c>
      <c r="F807" s="29" t="n">
        <f aca="false">Quesería!$B$44*F781</f>
        <v>0</v>
      </c>
      <c r="G807" s="29" t="n">
        <f aca="false">Quesería!$B$44*G781</f>
        <v>0</v>
      </c>
      <c r="H807" s="29" t="n">
        <f aca="false">Quesería!$B$44*H781</f>
        <v>0</v>
      </c>
      <c r="I807" s="29" t="n">
        <f aca="false">Quesería!$B$44*I781</f>
        <v>0</v>
      </c>
      <c r="J807" s="29" t="n">
        <f aca="false">Quesería!$B$44*J781</f>
        <v>0</v>
      </c>
      <c r="K807" s="29" t="n">
        <f aca="false">Quesería!$B$44*K781</f>
        <v>0</v>
      </c>
      <c r="L807" s="29" t="n">
        <f aca="false">Quesería!$B$44*L781</f>
        <v>0</v>
      </c>
    </row>
    <row r="808" customFormat="false" ht="15" hidden="true" customHeight="false" outlineLevel="1" collapsed="false">
      <c r="A808" s="6" t="s">
        <v>431</v>
      </c>
      <c r="B808" s="29" t="n">
        <f aca="false">(IF(AND(B$43&gt;0,B$43&lt;=0+Quesería!$B$46),($S$14+$S$24)*(Quesería!$B$44*$B$781*$B$778)*(1-MAX(0,MIN((B$43-1)-0-Quesería!$B$47,(Quesería!$B$46-Quesería!$B$47)))/(Quesería!$B$46-Quesería!$B$47))*IF(B$43&gt;2,1-Quesería!$B$48,1),0)+IF(AND(B$43&gt;1,B$43&lt;=1+Quesería!$B$46),($S$14+$S$24)*(Quesería!$B$44*$C$781*$C$778)*(1-MAX(0,MIN((B$43-1)-1-Quesería!$B$47,(Quesería!$B$46-Quesería!$B$47)))/(Quesería!$B$46-Quesería!$B$47))*IF(B$43&gt;2,1-Quesería!$B$48,1),0))*B780</f>
        <v>0</v>
      </c>
      <c r="C808" s="29" t="n">
        <f aca="false">(IF(AND(C$43&gt;0,C$43&lt;=0+Quesería!$B$46),($S$14+$S$24)*(Quesería!$B$44*$B$781*$B$778)*(1-MAX(0,MIN((C$43-1)-0-Quesería!$B$47,(Quesería!$B$46-Quesería!$B$47)))/(Quesería!$B$46-Quesería!$B$47))*IF(C$43&gt;2,1-Quesería!$B$48,1),0)+IF(AND(C$43&gt;1,C$43&lt;=1+Quesería!$B$46),($S$14+$S$24)*(Quesería!$B$44*$C$781*$C$778)*(1-MAX(0,MIN((C$43-1)-1-Quesería!$B$47,(Quesería!$B$46-Quesería!$B$47)))/(Quesería!$B$46-Quesería!$B$47))*IF(C$43&gt;2,1-Quesería!$B$48,1),0))*C780</f>
        <v>81.2455637561078</v>
      </c>
      <c r="D808" s="29" t="n">
        <f aca="false">(IF(AND(D$43&gt;0,D$43&lt;=0+Quesería!$B$46),($S$14+$S$24)*(Quesería!$B$44*$B$781*$B$778)*(1-MAX(0,MIN((D$43-1)-0-Quesería!$B$47,(Quesería!$B$46-Quesería!$B$47)))/(Quesería!$B$46-Quesería!$B$47))*IF(D$43&gt;2,1-Quesería!$B$48,1),0)+IF(AND(D$43&gt;1,D$43&lt;=1+Quesería!$B$46),($S$14+$S$24)*(Quesería!$B$44*$C$781*$C$778)*(1-MAX(0,MIN((D$43-1)-1-Quesería!$B$47,(Quesería!$B$46-Quesería!$B$47)))/(Quesería!$B$46-Quesería!$B$47))*IF(D$43&gt;2,1-Quesería!$B$48,1),0))*D780</f>
        <v>144.267228437154</v>
      </c>
      <c r="E808" s="29" t="n">
        <f aca="false">(IF(AND(E$43&gt;0,E$43&lt;=0+Quesería!$B$46),($S$14+$S$24)*(Quesería!$B$44*$B$781*$B$778)*(1-MAX(0,MIN((E$43-1)-0-Quesería!$B$47,(Quesería!$B$46-Quesería!$B$47)))/(Quesería!$B$46-Quesería!$B$47))*IF(E$43&gt;2,1-Quesería!$B$48,1),0)+IF(AND(E$43&gt;1,E$43&lt;=1+Quesería!$B$46),($S$14+$S$24)*(Quesería!$B$44*$C$781*$C$778)*(1-MAX(0,MIN((E$43-1)-1-Quesería!$B$47,(Quesería!$B$46-Quesería!$B$47)))/(Quesería!$B$46-Quesería!$B$47))*IF(E$43&gt;2,1-Quesería!$B$48,1),0))*E780</f>
        <v>126.259041612202</v>
      </c>
      <c r="F808" s="29" t="n">
        <f aca="false">(IF(AND(F$43&gt;0,F$43&lt;=0+Quesería!$B$46),($S$14+$S$24)*(Quesería!$B$44*$B$781*$B$778)*(1-MAX(0,MIN((F$43-1)-0-Quesería!$B$47,(Quesería!$B$46-Quesería!$B$47)))/(Quesería!$B$46-Quesería!$B$47))*IF(F$43&gt;2,1-Quesería!$B$48,1),0)+IF(AND(F$43&gt;1,F$43&lt;=1+Quesería!$B$46),($S$14+$S$24)*(Quesería!$B$44*$C$781*$C$778)*(1-MAX(0,MIN((F$43-1)-1-Quesería!$B$47,(Quesería!$B$46-Quesería!$B$47)))/(Quesería!$B$46-Quesería!$B$47))*IF(F$43&gt;2,1-Quesería!$B$48,1),0))*F780</f>
        <v>99.1723975627135</v>
      </c>
      <c r="G808" s="29" t="n">
        <f aca="false">(IF(AND(G$43&gt;0,G$43&lt;=0+Quesería!$B$46),($S$14+$S$24)*(Quesería!$B$44*$B$781*$B$778)*(1-MAX(0,MIN((G$43-1)-0-Quesería!$B$47,(Quesería!$B$46-Quesería!$B$47)))/(Quesería!$B$46-Quesería!$B$47))*IF(G$43&gt;2,1-Quesería!$B$48,1),0)+IF(AND(G$43&gt;1,G$43&lt;=1+Quesería!$B$46),($S$14+$S$24)*(Quesería!$B$44*$C$781*$C$778)*(1-MAX(0,MIN((G$43-1)-1-Quesería!$B$47,(Quesería!$B$46-Quesería!$B$47)))/(Quesería!$B$46-Quesería!$B$47))*IF(G$43&gt;2,1-Quesería!$B$48,1),0))*G780</f>
        <v>73.9825677868365</v>
      </c>
      <c r="H808" s="29" t="n">
        <f aca="false">(IF(AND(H$43&gt;0,H$43&lt;=0+Quesería!$B$46),($S$14+$S$24)*(Quesería!$B$44*$B$781*$B$778)*(1-MAX(0,MIN((H$43-1)-0-Quesería!$B$47,(Quesería!$B$46-Quesería!$B$47)))/(Quesería!$B$46-Quesería!$B$47))*IF(H$43&gt;2,1-Quesería!$B$48,1),0)+IF(AND(H$43&gt;1,H$43&lt;=1+Quesería!$B$46),($S$14+$S$24)*(Quesería!$B$44*$C$781*$C$778)*(1-MAX(0,MIN((H$43-1)-1-Quesería!$B$47,(Quesería!$B$46-Quesería!$B$47)))/(Quesería!$B$46-Quesería!$B$47))*IF(H$43&gt;2,1-Quesería!$B$48,1),0))*H780</f>
        <v>50.583712494366</v>
      </c>
      <c r="I808" s="29" t="n">
        <f aca="false">(IF(AND(I$43&gt;0,I$43&lt;=0+Quesería!$B$46),($S$14+$S$24)*(Quesería!$B$44*$B$781*$B$778)*(1-MAX(0,MIN((I$43-1)-0-Quesería!$B$47,(Quesería!$B$46-Quesería!$B$47)))/(Quesería!$B$46-Quesería!$B$47))*IF(I$43&gt;2,1-Quesería!$B$48,1),0)+IF(AND(I$43&gt;1,I$43&lt;=1+Quesería!$B$46),($S$14+$S$24)*(Quesería!$B$44*$C$781*$C$778)*(1-MAX(0,MIN((I$43-1)-1-Quesería!$B$47,(Quesería!$B$46-Quesería!$B$47)))/(Quesería!$B$46-Quesería!$B$47))*IF(I$43&gt;2,1-Quesería!$B$48,1),0))*I780</f>
        <v>28.8753274791465</v>
      </c>
      <c r="J808" s="29" t="n">
        <f aca="false">(IF(AND(J$43&gt;0,J$43&lt;=0+Quesería!$B$46),($S$14+$S$24)*(Quesería!$B$44*$B$781*$B$778)*(1-MAX(0,MIN((J$43-1)-0-Quesería!$B$47,(Quesería!$B$46-Quesería!$B$47)))/(Quesería!$B$46-Quesería!$B$47))*IF(J$43&gt;2,1-Quesería!$B$48,1),0)+IF(AND(J$43&gt;1,J$43&lt;=1+Quesería!$B$46),($S$14+$S$24)*(Quesería!$B$44*$C$781*$C$778)*(1-MAX(0,MIN((J$43-1)-1-Quesería!$B$47,(Quesería!$B$46-Quesería!$B$47)))/(Quesería!$B$46-Quesería!$B$47))*IF(J$43&gt;2,1-Quesería!$B$48,1),0))*J780</f>
        <v>8.76199025726588</v>
      </c>
      <c r="K808" s="29" t="n">
        <f aca="false">(IF(AND(K$43&gt;0,K$43&lt;=0+Quesería!$B$46),($S$14+$S$24)*(Quesería!$B$44*$B$781*$B$778)*(1-MAX(0,MIN((K$43-1)-0-Quesería!$B$47,(Quesería!$B$46-Quesería!$B$47)))/(Quesería!$B$46-Quesería!$B$47))*IF(K$43&gt;2,1-Quesería!$B$48,1),0)+IF(AND(K$43&gt;1,K$43&lt;=1+Quesería!$B$46),($S$14+$S$24)*(Quesería!$B$44*$C$781*$C$778)*(1-MAX(0,MIN((K$43-1)-1-Quesería!$B$47,(Quesería!$B$46-Quesería!$B$47)))/(Quesería!$B$46-Quesería!$B$47))*IF(K$43&gt;2,1-Quesería!$B$48,1),0))*K780</f>
        <v>0</v>
      </c>
      <c r="L808" s="29" t="n">
        <f aca="false">(IF(AND(L$43&gt;0,L$43&lt;=0+Quesería!$B$46),($S$14+$S$24)*(Quesería!$B$44*$B$781*$B$778)*(1-MAX(0,MIN((L$43-1)-0-Quesería!$B$47,(Quesería!$B$46-Quesería!$B$47)))/(Quesería!$B$46-Quesería!$B$47))*IF(L$43&gt;2,1-Quesería!$B$48,1),0)+IF(AND(L$43&gt;1,L$43&lt;=1+Quesería!$B$46),($S$14+$S$24)*(Quesería!$B$44*$C$781*$C$778)*(1-MAX(0,MIN((L$43-1)-1-Quesería!$B$47,(Quesería!$B$46-Quesería!$B$47)))/(Quesería!$B$46-Quesería!$B$47))*IF(L$43&gt;2,1-Quesería!$B$48,1),0))*L780</f>
        <v>0</v>
      </c>
    </row>
    <row r="809" customFormat="false" ht="15" hidden="true" customHeight="false" outlineLevel="1" collapsed="false">
      <c r="A809" s="6" t="s">
        <v>432</v>
      </c>
      <c r="B809" s="29" t="n">
        <f aca="false">((IF(AND(B$43&gt;0+Quesería!$B$47,B$43&lt;=0+Quesería!$B$46),(Quesería!$B$44*$B$781*$B$778)/(Quesería!$B$46-Quesería!$B$47),0)*IF(B$43&gt;2,1-Quesería!$B$48,1)+IF(B$43=2,Quesería!$B$48*(Quesería!$B$44*$B$781*$B$778)*(1-MAX(0,MIN(2-0-Quesería!$B$47,(Quesería!$B$46-Quesería!$B$47)))/(Quesería!$B$46-Quesería!$B$47)),0))+(IF(AND(B$43&gt;1+Quesería!$B$47,B$43&lt;=1+Quesería!$B$46),(Quesería!$B$44*$C$781*$C$778)/(Quesería!$B$46-Quesería!$B$47),0)*IF(B$43&gt;2,1-Quesería!$B$48,1)+IF(B$43=2,Quesería!$B$48*(Quesería!$B$44*$C$781*$C$778)*(1-MAX(0,MIN(2-1-Quesería!$B$47,(Quesería!$B$46-Quesería!$B$47)))/(Quesería!$B$46-Quesería!$B$47)),0)))*B780</f>
        <v>0</v>
      </c>
      <c r="C809" s="29" t="n">
        <f aca="false">((IF(AND(C$43&gt;0+Quesería!$B$47,C$43&lt;=0+Quesería!$B$46),(Quesería!$B$44*$B$781*$B$778)/(Quesería!$B$46-Quesería!$B$47),0)*IF(C$43&gt;2,1-Quesería!$B$48,1)+IF(C$43=2,Quesería!$B$48*(Quesería!$B$44*$B$781*$B$778)*(1-MAX(0,MIN(2-0-Quesería!$B$47,(Quesería!$B$46-Quesería!$B$47)))/(Quesería!$B$46-Quesería!$B$47)),0))+(IF(AND(C$43&gt;1+Quesería!$B$47,C$43&lt;=1+Quesería!$B$46),(Quesería!$B$44*$C$781*$C$778)/(Quesería!$B$46-Quesería!$B$47),0)*IF(C$43&gt;2,1-Quesería!$B$48,1)+IF(C$43=2,Quesería!$B$48*(Quesería!$B$44*$C$781*$C$778)*(1-MAX(0,MIN(2-1-Quesería!$B$47,(Quesería!$B$46-Quesería!$B$47)))/(Quesería!$B$46-Quesería!$B$47)),0)))*C780</f>
        <v>0</v>
      </c>
      <c r="D809" s="29" t="n">
        <f aca="false">((IF(AND(D$43&gt;0+Quesería!$B$47,D$43&lt;=0+Quesería!$B$46),(Quesería!$B$44*$B$781*$B$778)/(Quesería!$B$46-Quesería!$B$47),0)*IF(D$43&gt;2,1-Quesería!$B$48,1)+IF(D$43=2,Quesería!$B$48*(Quesería!$B$44*$B$781*$B$778)*(1-MAX(0,MIN(2-0-Quesería!$B$47,(Quesería!$B$46-Quesería!$B$47)))/(Quesería!$B$46-Quesería!$B$47)),0))+(IF(AND(D$43&gt;1+Quesería!$B$47,D$43&lt;=1+Quesería!$B$46),(Quesería!$B$44*$C$781*$C$778)/(Quesería!$B$46-Quesería!$B$47),0)*IF(D$43&gt;2,1-Quesería!$B$48,1)+IF(D$43=2,Quesería!$B$48*(Quesería!$B$44*$C$781*$C$778)*(1-MAX(0,MIN(2-1-Quesería!$B$47,(Quesería!$B$46-Quesería!$B$47)))/(Quesería!$B$46-Quesería!$B$47)),0)))*D780</f>
        <v>91.8994692231472</v>
      </c>
      <c r="E809" s="29" t="n">
        <f aca="false">((IF(AND(E$43&gt;0+Quesería!$B$47,E$43&lt;=0+Quesería!$B$46),(Quesería!$B$44*$B$781*$B$778)/(Quesería!$B$46-Quesería!$B$47),0)*IF(E$43&gt;2,1-Quesería!$B$48,1)+IF(E$43=2,Quesería!$B$48*(Quesería!$B$44*$B$781*$B$778)*(1-MAX(0,MIN(2-0-Quesería!$B$47,(Quesería!$B$46-Quesería!$B$47)))/(Quesería!$B$46-Quesería!$B$47)),0))+(IF(AND(E$43&gt;1+Quesería!$B$47,E$43&lt;=1+Quesería!$B$46),(Quesería!$B$44*$C$781*$C$778)/(Quesería!$B$46-Quesería!$B$47),0)*IF(E$43&gt;2,1-Quesería!$B$48,1)+IF(E$43=2,Quesería!$B$48*(Quesería!$B$44*$C$781*$C$778)*(1-MAX(0,MIN(2-1-Quesería!$B$47,(Quesería!$B$46-Quesería!$B$47)))/(Quesería!$B$46-Quesería!$B$47)),0)))*E780</f>
        <v>163.969845014041</v>
      </c>
      <c r="F809" s="29" t="n">
        <f aca="false">((IF(AND(F$43&gt;0+Quesería!$B$47,F$43&lt;=0+Quesería!$B$46),(Quesería!$B$44*$B$781*$B$778)/(Quesería!$B$46-Quesería!$B$47),0)*IF(F$43&gt;2,1-Quesería!$B$48,1)+IF(F$43=2,Quesería!$B$48*(Quesería!$B$44*$B$781*$B$778)*(1-MAX(0,MIN(2-0-Quesería!$B$47,(Quesería!$B$46-Quesería!$B$47)))/(Quesería!$B$46-Quesería!$B$47)),0))+(IF(AND(F$43&gt;1+Quesería!$B$47,F$43&lt;=1+Quesería!$B$46),(Quesería!$B$44*$C$781*$C$778)/(Quesería!$B$46-Quesería!$B$47),0)*IF(F$43&gt;2,1-Quesería!$B$48,1)+IF(F$43=2,Quesería!$B$48*(Quesería!$B$44*$C$781*$C$778)*(1-MAX(0,MIN(2-1-Quesería!$B$47,(Quesería!$B$46-Quesería!$B$47)))/(Quesería!$B$46-Quesería!$B$47)),0)))*F780</f>
        <v>157.663312513501</v>
      </c>
      <c r="G809" s="29" t="n">
        <f aca="false">((IF(AND(G$43&gt;0+Quesería!$B$47,G$43&lt;=0+Quesería!$B$46),(Quesería!$B$44*$B$781*$B$778)/(Quesería!$B$46-Quesería!$B$47),0)*IF(G$43&gt;2,1-Quesería!$B$48,1)+IF(G$43=2,Quesería!$B$48*(Quesería!$B$44*$B$781*$B$778)*(1-MAX(0,MIN(2-0-Quesería!$B$47,(Quesería!$B$46-Quesería!$B$47)))/(Quesería!$B$46-Quesería!$B$47)),0))+(IF(AND(G$43&gt;1+Quesería!$B$47,G$43&lt;=1+Quesería!$B$46),(Quesería!$B$44*$C$781*$C$778)/(Quesería!$B$46-Quesería!$B$47),0)*IF(G$43&gt;2,1-Quesería!$B$48,1)+IF(G$43=2,Quesería!$B$48*(Quesería!$B$44*$C$781*$C$778)*(1-MAX(0,MIN(2-1-Quesería!$B$47,(Quesería!$B$46-Quesería!$B$47)))/(Quesería!$B$46-Quesería!$B$47)),0)))*G780</f>
        <v>151.599338955289</v>
      </c>
      <c r="H809" s="29" t="n">
        <f aca="false">((IF(AND(H$43&gt;0+Quesería!$B$47,H$43&lt;=0+Quesería!$B$46),(Quesería!$B$44*$B$781*$B$778)/(Quesería!$B$46-Quesería!$B$47),0)*IF(H$43&gt;2,1-Quesería!$B$48,1)+IF(H$43=2,Quesería!$B$48*(Quesería!$B$44*$B$781*$B$778)*(1-MAX(0,MIN(2-0-Quesería!$B$47,(Quesería!$B$46-Quesería!$B$47)))/(Quesería!$B$46-Quesería!$B$47)),0))+(IF(AND(H$43&gt;1+Quesería!$B$47,H$43&lt;=1+Quesería!$B$46),(Quesería!$B$44*$C$781*$C$778)/(Quesería!$B$46-Quesería!$B$47),0)*IF(H$43&gt;2,1-Quesería!$B$48,1)+IF(H$43=2,Quesería!$B$48*(Quesería!$B$44*$C$781*$C$778)*(1-MAX(0,MIN(2-1-Quesería!$B$47,(Quesería!$B$46-Quesería!$B$47)))/(Quesería!$B$46-Quesería!$B$47)),0)))*H780</f>
        <v>145.768595149317</v>
      </c>
      <c r="I809" s="29" t="n">
        <f aca="false">((IF(AND(I$43&gt;0+Quesería!$B$47,I$43&lt;=0+Quesería!$B$46),(Quesería!$B$44*$B$781*$B$778)/(Quesería!$B$46-Quesería!$B$47),0)*IF(I$43&gt;2,1-Quesería!$B$48,1)+IF(I$43=2,Quesería!$B$48*(Quesería!$B$44*$B$781*$B$778)*(1-MAX(0,MIN(2-0-Quesería!$B$47,(Quesería!$B$46-Quesería!$B$47)))/(Quesería!$B$46-Quesería!$B$47)),0))+(IF(AND(I$43&gt;1+Quesería!$B$47,I$43&lt;=1+Quesería!$B$46),(Quesería!$B$44*$C$781*$C$778)/(Quesería!$B$46-Quesería!$B$47),0)*IF(I$43&gt;2,1-Quesería!$B$48,1)+IF(I$43=2,Quesería!$B$48*(Quesería!$B$44*$C$781*$C$778)*(1-MAX(0,MIN(2-1-Quesería!$B$47,(Quesería!$B$46-Quesería!$B$47)))/(Quesería!$B$46-Quesería!$B$47)),0)))*I780</f>
        <v>140.162110720497</v>
      </c>
      <c r="J809" s="29" t="n">
        <f aca="false">((IF(AND(J$43&gt;0+Quesería!$B$47,J$43&lt;=0+Quesería!$B$46),(Quesería!$B$44*$B$781*$B$778)/(Quesería!$B$46-Quesería!$B$47),0)*IF(J$43&gt;2,1-Quesería!$B$48,1)+IF(J$43=2,Quesería!$B$48*(Quesería!$B$44*$B$781*$B$778)*(1-MAX(0,MIN(2-0-Quesería!$B$47,(Quesería!$B$46-Quesería!$B$47)))/(Quesería!$B$46-Quesería!$B$47)),0))+(IF(AND(J$43&gt;1+Quesería!$B$47,J$43&lt;=1+Quesería!$B$46),(Quesería!$B$44*$C$781*$C$778)/(Quesería!$B$46-Quesería!$B$47),0)*IF(J$43&gt;2,1-Quesería!$B$48,1)+IF(J$43=2,Quesería!$B$48*(Quesería!$B$44*$C$781*$C$778)*(1-MAX(0,MIN(2-1-Quesería!$B$47,(Quesería!$B$46-Quesería!$B$47)))/(Quesería!$B$46-Quesería!$B$47)),0)))*J780</f>
        <v>62.1417748742261</v>
      </c>
      <c r="K809" s="29" t="n">
        <f aca="false">((IF(AND(K$43&gt;0+Quesería!$B$47,K$43&lt;=0+Quesería!$B$46),(Quesería!$B$44*$B$781*$B$778)/(Quesería!$B$46-Quesería!$B$47),0)*IF(K$43&gt;2,1-Quesería!$B$48,1)+IF(K$43=2,Quesería!$B$48*(Quesería!$B$44*$B$781*$B$778)*(1-MAX(0,MIN(2-0-Quesería!$B$47,(Quesería!$B$46-Quesería!$B$47)))/(Quesería!$B$46-Quesería!$B$47)),0))+(IF(AND(K$43&gt;1+Quesería!$B$47,K$43&lt;=1+Quesería!$B$46),(Quesería!$B$44*$C$781*$C$778)/(Quesería!$B$46-Quesería!$B$47),0)*IF(K$43&gt;2,1-Quesería!$B$48,1)+IF(K$43=2,Quesería!$B$48*(Quesería!$B$44*$C$781*$C$778)*(1-MAX(0,MIN(2-1-Quesería!$B$47,(Quesería!$B$46-Quesería!$B$47)))/(Quesería!$B$46-Quesería!$B$47)),0)))*K780</f>
        <v>0</v>
      </c>
      <c r="L809" s="29" t="n">
        <f aca="false">((IF(AND(L$43&gt;0+Quesería!$B$47,L$43&lt;=0+Quesería!$B$46),(Quesería!$B$44*$B$781*$B$778)/(Quesería!$B$46-Quesería!$B$47),0)*IF(L$43&gt;2,1-Quesería!$B$48,1)+IF(L$43=2,Quesería!$B$48*(Quesería!$B$44*$B$781*$B$778)*(1-MAX(0,MIN(2-0-Quesería!$B$47,(Quesería!$B$46-Quesería!$B$47)))/(Quesería!$B$46-Quesería!$B$47)),0))+(IF(AND(L$43&gt;1+Quesería!$B$47,L$43&lt;=1+Quesería!$B$46),(Quesería!$B$44*$C$781*$C$778)/(Quesería!$B$46-Quesería!$B$47),0)*IF(L$43&gt;2,1-Quesería!$B$48,1)+IF(L$43=2,Quesería!$B$48*(Quesería!$B$44*$C$781*$C$778)*(1-MAX(0,MIN(2-1-Quesería!$B$47,(Quesería!$B$46-Quesería!$B$47)))/(Quesería!$B$46-Quesería!$B$47)),0)))*L780</f>
        <v>0</v>
      </c>
    </row>
    <row r="810" customFormat="false" ht="15" hidden="true" customHeight="false" outlineLevel="1" collapsed="false">
      <c r="A810" s="6" t="s">
        <v>433</v>
      </c>
      <c r="B810" s="29" t="n">
        <f aca="false">$S$13*Quesería!$B$51*(1+0.19)*B806*B780+(1-$S$13)*IF(B$43=0,Quesería!$B$50,0)</f>
        <v>14.327482305488</v>
      </c>
      <c r="C810" s="29" t="n">
        <f aca="false">$S$13*Quesería!$B$51*(1+0.19)*C806*C780+(1-$S$13)*IF(C$43=0,Quesería!$B$50,0)</f>
        <v>25.3200701224691</v>
      </c>
      <c r="D810" s="29" t="n">
        <f aca="false">$S$13*Quesería!$B$51*(1+0.19)*D806*D780+(1-$S$13)*IF(D$43=0,Quesería!$B$50,0)</f>
        <v>22.0534608439383</v>
      </c>
      <c r="E810" s="29" t="n">
        <f aca="false">$S$13*Quesería!$B$51*(1+0.19)*E806*E780+(1-$S$13)*IF(E$43=0,Quesería!$B$50,0)</f>
        <v>17.3222809117016</v>
      </c>
      <c r="F810" s="29" t="n">
        <f aca="false">$S$13*Quesería!$B$51*(1+0.19)*F806*F780+(1-$S$13)*IF(F$43=0,Quesería!$B$50,0)</f>
        <v>12.9224144345424</v>
      </c>
      <c r="G810" s="29" t="n">
        <f aca="false">$S$13*Quesería!$B$51*(1+0.19)*G806*G780+(1-$S$13)*IF(G$43=0,Quesería!$B$50,0)</f>
        <v>8.8353745489521</v>
      </c>
      <c r="H810" s="29" t="n">
        <f aca="false">$S$13*Quesería!$B$51*(1+0.19)*H806*H780+(1-$S$13)*IF(H$43=0,Quesería!$B$50,0)</f>
        <v>5.04360634918451</v>
      </c>
      <c r="I810" s="29" t="n">
        <f aca="false">$S$13*Quesería!$B$51*(1+0.19)*I806*I780+(1-$S$13)*IF(I$43=0,Quesería!$B$50,0)</f>
        <v>1.53044254562841</v>
      </c>
      <c r="J810" s="29" t="n">
        <f aca="false">$S$13*Quesería!$B$51*(1+0.19)*J806*J780+(1-$S$13)*IF(J$43=0,Quesería!$B$50,0)</f>
        <v>0</v>
      </c>
      <c r="K810" s="29" t="n">
        <f aca="false">$S$13*Quesería!$B$51*(1+0.19)*K806*K780+(1-$S$13)*IF(K$43=0,Quesería!$B$50,0)</f>
        <v>0</v>
      </c>
      <c r="L810" s="29" t="n">
        <f aca="false">$S$13*Quesería!$B$51*(1+0.19)*L806*L780+(1-$S$13)*IF(L$43=0,Quesería!$B$50,0)</f>
        <v>0</v>
      </c>
    </row>
    <row r="811" customFormat="false" ht="15" hidden="true" customHeight="false" outlineLevel="1" collapsed="false">
      <c r="A811" s="6" t="s">
        <v>434</v>
      </c>
      <c r="B811" s="29" t="n">
        <f aca="false">Quesería!$B$52*(B808+B809+B810)</f>
        <v>0.057309929221952</v>
      </c>
      <c r="C811" s="29" t="n">
        <f aca="false">Quesería!$B$52*(C808+C809+C810)</f>
        <v>0.426262535514308</v>
      </c>
      <c r="D811" s="29" t="n">
        <f aca="false">Quesería!$B$52*(D808+D809+D810)</f>
        <v>1.03288063401696</v>
      </c>
      <c r="E811" s="29" t="n">
        <f aca="false">Quesería!$B$52*(E808+E809+E810)</f>
        <v>1.23020467015178</v>
      </c>
      <c r="F811" s="29" t="n">
        <f aca="false">Quesería!$B$52*(F808+F809+F810)</f>
        <v>1.07903249804303</v>
      </c>
      <c r="G811" s="29" t="n">
        <f aca="false">Quesería!$B$52*(G808+G809+G810)</f>
        <v>0.937669125164311</v>
      </c>
      <c r="H811" s="29" t="n">
        <f aca="false">Quesería!$B$52*(H808+H809+H810)</f>
        <v>0.805583655971468</v>
      </c>
      <c r="I811" s="29" t="n">
        <f aca="false">Quesería!$B$52*(I808+I809+I810)</f>
        <v>0.682271522981086</v>
      </c>
      <c r="J811" s="29" t="n">
        <f aca="false">Quesería!$B$52*(J808+J809+J810)</f>
        <v>0.283615060525968</v>
      </c>
      <c r="K811" s="29" t="n">
        <f aca="false">Quesería!$B$52*(K808+K809+K810)</f>
        <v>0</v>
      </c>
      <c r="L811" s="29" t="n">
        <f aca="false">Quesería!$B$52*(L808+L809+L810)</f>
        <v>0</v>
      </c>
    </row>
    <row r="812" customFormat="false" ht="15" hidden="true" customHeight="false" outlineLevel="1" collapsed="false">
      <c r="A812" s="6" t="s">
        <v>435</v>
      </c>
      <c r="B812" s="29" t="n">
        <f aca="false">$S$17*(B808+B810+0.5*B811)</f>
        <v>5.02464804453464</v>
      </c>
      <c r="C812" s="29" t="n">
        <f aca="false">$S$17*(C808+C810+0.5*C811)</f>
        <v>37.3725678012169</v>
      </c>
      <c r="D812" s="29" t="n">
        <f aca="false">$S$17*(D808+D810+0.5*D811)</f>
        <v>58.3929953593351</v>
      </c>
      <c r="E812" s="29" t="n">
        <f aca="false">$S$17*(E808+E810+0.5*E811)</f>
        <v>50.4687487006427</v>
      </c>
      <c r="F812" s="29" t="n">
        <f aca="false">$S$17*(F808+F810+0.5*F811)</f>
        <v>39.4220148861971</v>
      </c>
      <c r="G812" s="29" t="n">
        <f aca="false">$S$17*(G808+G810+0.5*G811)</f>
        <v>29.1503719144297</v>
      </c>
      <c r="H812" s="29" t="n">
        <f aca="false">$S$17*(H808+H810+0.5*H811)</f>
        <v>19.6105387350377</v>
      </c>
      <c r="I812" s="29" t="n">
        <f aca="false">$S$17*(I808+I810+0.5*I811)</f>
        <v>10.7614170251929</v>
      </c>
      <c r="J812" s="29" t="n">
        <f aca="false">$S$17*(J808+J810+0.5*J811)</f>
        <v>3.1163292256351</v>
      </c>
      <c r="K812" s="29" t="n">
        <f aca="false">$S$17*(K808+K810+0.5*K811)</f>
        <v>0</v>
      </c>
      <c r="L812" s="29" t="n">
        <f aca="false">$S$17*(L808+L810+0.5*L811)</f>
        <v>0</v>
      </c>
    </row>
    <row r="813" customFormat="false" ht="15" hidden="true" customHeight="false" outlineLevel="1" collapsed="false">
      <c r="A813" s="5" t="s">
        <v>436</v>
      </c>
      <c r="B813" s="59" t="n">
        <f aca="false">B798+B807-B808-B809-B810-B811+B812</f>
        <v>-365.491868693341</v>
      </c>
      <c r="C813" s="59" t="n">
        <f aca="false">C798+C807-C808-C809-C810-C811+C812</f>
        <v>-76.3921937256885</v>
      </c>
      <c r="D813" s="59" t="n">
        <f aca="false">D798+D807-D808-D809-D810-D811+D812</f>
        <v>355.55081436646</v>
      </c>
      <c r="E813" s="59" t="n">
        <f aca="false">E798+E807-E808-E809-E810-E811+E812</f>
        <v>76.2055227913203</v>
      </c>
      <c r="F813" s="59" t="n">
        <f aca="false">F798+F807-F808-F809-F810-F811+F812</f>
        <v>105.606029329799</v>
      </c>
      <c r="G813" s="59" t="n">
        <f aca="false">G798+G807-G808-G809-G810-G811+G812</f>
        <v>96.3440278669652</v>
      </c>
      <c r="H813" s="59" t="n">
        <f aca="false">H798+H807-H808-H809-H810-H811+H812</f>
        <v>98.3173487441168</v>
      </c>
      <c r="I813" s="59" t="n">
        <f aca="false">I798+I807-I808-I809-I810-I811+I812</f>
        <v>180.941916366217</v>
      </c>
      <c r="J813" s="59" t="n">
        <f aca="false">J798+J807-J808-J809-J810-J811+J812</f>
        <v>263.386390588464</v>
      </c>
      <c r="K813" s="59" t="n">
        <f aca="false">K798+K807-K808-K809-K810-K811+K812</f>
        <v>330.025710337702</v>
      </c>
      <c r="L813" s="59" t="n">
        <f aca="false">L798+L807-L808-L809-L810-L811+L812</f>
        <v>422.18532199421</v>
      </c>
    </row>
    <row r="814" customFormat="false" ht="15" hidden="true" customHeight="false" outlineLevel="1" collapsed="false">
      <c r="A814" s="9" t="s">
        <v>437</v>
      </c>
      <c r="B814" s="58" t="n">
        <f aca="false">B813*B778</f>
        <v>-387.421380814941</v>
      </c>
      <c r="C814" s="58" t="n">
        <f aca="false">C813*C778</f>
        <v>-85.0245116166913</v>
      </c>
      <c r="D814" s="58" t="n">
        <f aca="false">D813*D778</f>
        <v>413.535818927414</v>
      </c>
      <c r="E814" s="58" t="n">
        <f aca="false">E813*E778</f>
        <v>92.1788404947725</v>
      </c>
      <c r="F814" s="58" t="n">
        <f aca="false">F813*F778</f>
        <v>132.85161777469</v>
      </c>
      <c r="G814" s="58" t="n">
        <f aca="false">G813*G778</f>
        <v>126.048090702169</v>
      </c>
      <c r="H814" s="58" t="n">
        <f aca="false">H813*H778</f>
        <v>133.775003403177</v>
      </c>
      <c r="I814" s="58" t="n">
        <f aca="false">I813*I778</f>
        <v>256.045611668115</v>
      </c>
      <c r="J814" s="58" t="n">
        <f aca="false">J813*J778</f>
        <v>387.618789891994</v>
      </c>
      <c r="K814" s="58" t="n">
        <f aca="false">K813*K778</f>
        <v>505.117720152798</v>
      </c>
      <c r="L814" s="58" t="n">
        <f aca="false">L813*L778</f>
        <v>672.01860907702</v>
      </c>
    </row>
    <row r="815" customFormat="false" ht="15" hidden="true" customHeight="false" outlineLevel="1" collapsed="false">
      <c r="A815" s="9" t="s">
        <v>438</v>
      </c>
      <c r="B815" s="57" t="n">
        <f aca="false">(B778/$B$778)/(1+Quesería!$B$11+$S$24)^B$43</f>
        <v>1</v>
      </c>
      <c r="C815" s="57" t="n">
        <f aca="false">(C778/$B$778)/(1+Quesería!$B$11+$S$24)^C$43</f>
        <v>0.84</v>
      </c>
      <c r="D815" s="57" t="n">
        <f aca="false">(D778/$B$778)/(1+Quesería!$B$11+$S$24)^D$43</f>
        <v>0.70224</v>
      </c>
      <c r="E815" s="57" t="n">
        <f aca="false">(E778/$B$778)/(1+Quesería!$B$11+$S$24)^E$43</f>
        <v>0.58426368</v>
      </c>
      <c r="F815" s="57" t="n">
        <f aca="false">(F778/$B$778)/(1+Quesería!$B$11+$S$24)^F$43</f>
        <v>0.48610738176</v>
      </c>
      <c r="G815" s="57" t="n">
        <f aca="false">(G778/$B$778)/(1+Quesería!$B$11+$S$24)^G$43</f>
        <v>0.40444134162432</v>
      </c>
      <c r="H815" s="57" t="n">
        <f aca="false">(H778/$B$778)/(1+Quesería!$B$11+$S$24)^H$43</f>
        <v>0.336495196231434</v>
      </c>
      <c r="I815" s="57" t="n">
        <f aca="false">(I778/$B$778)/(1+Quesería!$B$11+$S$24)^I$43</f>
        <v>0.279964003264553</v>
      </c>
      <c r="J815" s="57" t="n">
        <f aca="false">(J778/$B$778)/(1+Quesería!$B$11+$S$24)^J$43</f>
        <v>0.232930050716108</v>
      </c>
      <c r="K815" s="57" t="n">
        <f aca="false">(K778/$B$778)/(1+Quesería!$B$11+$S$24)^K$43</f>
        <v>0.193797802195802</v>
      </c>
      <c r="L815" s="57" t="n">
        <f aca="false">(L778/$B$778)/(1+Quesería!$B$11+$S$24)^L$43</f>
        <v>0.161239771426907</v>
      </c>
    </row>
    <row r="816" customFormat="false" ht="15" hidden="true" customHeight="false" outlineLevel="1" collapsed="false">
      <c r="A816" s="9" t="s">
        <v>439</v>
      </c>
      <c r="B816" s="58" t="n">
        <f aca="false">B798+B781+B783+B812</f>
        <v>123.788678902633</v>
      </c>
      <c r="C816" s="58" t="n">
        <f aca="false">C798+C781+C783+C812</f>
        <v>440.172998692632</v>
      </c>
      <c r="D816" s="58" t="n">
        <f aca="false">D798+D781+D783+D812</f>
        <v>614.803853504716</v>
      </c>
      <c r="E816" s="58" t="n">
        <f aca="false">E798+E781+E783+E812</f>
        <v>384.986894999416</v>
      </c>
      <c r="F816" s="58" t="n">
        <f aca="false">F798+F781+F783+F812</f>
        <v>376.443186338598</v>
      </c>
      <c r="G816" s="58" t="n">
        <f aca="false">G798+G781+G783+G812</f>
        <v>336.917369564293</v>
      </c>
      <c r="H816" s="58" t="n">
        <f aca="false">H798+H781+H783+H812</f>
        <v>309.332785978037</v>
      </c>
      <c r="I816" s="58" t="n">
        <f aca="false">I798+I781+I783+I812</f>
        <v>352.19206863447</v>
      </c>
      <c r="J816" s="58" t="n">
        <f aca="false">J798+J781+J783+J812</f>
        <v>334.573770780482</v>
      </c>
      <c r="K816" s="58" t="n">
        <f aca="false">K798+K781+K783+K812</f>
        <v>330.025710337702</v>
      </c>
      <c r="L816" s="58" t="n">
        <f aca="false">L798+L781+L783+L812</f>
        <v>422.18532199421</v>
      </c>
    </row>
    <row r="817" customFormat="false" ht="15" hidden="true" customHeight="false" outlineLevel="1" collapsed="false">
      <c r="A817" s="5" t="s">
        <v>149</v>
      </c>
      <c r="B817" s="12" t="str">
        <f aca="false">IF(AND(B$43&gt;=1,(B808+B809+B810)&gt;0.001),B816/(B808+B809+B810),"")</f>
        <v/>
      </c>
      <c r="C817" s="12" t="n">
        <f aca="false">IF(AND(C$43&gt;=1,(C808+C809+C810)&gt;0.001),C816/(C808+C809+C810),"")</f>
        <v>4.13053423202244</v>
      </c>
      <c r="D817" s="12" t="n">
        <f aca="false">IF(AND(D$43&gt;=1,(D808+D809+D810)&gt;0.001),D816/(D808+D809+D810),"")</f>
        <v>2.3809289602563</v>
      </c>
      <c r="E817" s="12" t="n">
        <f aca="false">IF(AND(E$43&gt;=1,(E808+E809+E810)&gt;0.001),E816/(E808+E809+E810),"")</f>
        <v>1.25178160785853</v>
      </c>
      <c r="F817" s="12" t="n">
        <f aca="false">IF(AND(F$43&gt;=1,(F808+F809+F810)&gt;0.001),F816/(F808+F809+F810),"")</f>
        <v>1.39548414722014</v>
      </c>
      <c r="G817" s="12" t="n">
        <f aca="false">IF(AND(G$43&gt;=1,(G808+G809+G810)&gt;0.001),G816/(G808+G809+G810),"")</f>
        <v>1.43725482911791</v>
      </c>
      <c r="H817" s="12" t="n">
        <f aca="false">IF(AND(H$43&gt;=1,(H808+H809+H810)&gt;0.001),H816/(H808+H809+H810),"")</f>
        <v>1.53594370335136</v>
      </c>
      <c r="I817" s="12" t="n">
        <f aca="false">IF(AND(I$43&gt;=1,(I808+I809+I810)&gt;0.001),I816/(I808+I809+I810),"")</f>
        <v>2.06482056935701</v>
      </c>
      <c r="J817" s="12" t="n">
        <f aca="false">IF(AND(J$43&gt;=1,(J808+J809+J810)&gt;0.001),J816/(J808+J809+J810),"")</f>
        <v>4.71870245762</v>
      </c>
      <c r="K817" s="12" t="str">
        <f aca="false">IF(AND(K$43&gt;=1,(K808+K809+K810)&gt;0.001),K816/(K808+K809+K810),"")</f>
        <v/>
      </c>
      <c r="L817" s="12" t="str">
        <f aca="false">IF(AND(L$43&gt;=1,(L808+L809+L810)&gt;0.001),L816/(L808+L809+L810),"")</f>
        <v/>
      </c>
    </row>
    <row r="819" customFormat="false" ht="15" hidden="false" customHeight="false" outlineLevel="0" collapsed="false">
      <c r="A819" s="43" t="s">
        <v>168</v>
      </c>
      <c r="B819" s="44"/>
      <c r="C819" s="44"/>
      <c r="D819" s="44"/>
      <c r="E819" s="44"/>
      <c r="F819" s="44"/>
      <c r="G819" s="44"/>
      <c r="H819" s="44"/>
      <c r="I819" s="44"/>
      <c r="J819" s="44"/>
      <c r="K819" s="44"/>
      <c r="L819" s="44"/>
    </row>
    <row r="820" customFormat="false" ht="15" hidden="true" customHeight="false" outlineLevel="1" collapsed="false">
      <c r="A820" s="9" t="s">
        <v>405</v>
      </c>
      <c r="B820" s="56" t="n">
        <f aca="false">CHOOSE($T$15,Entorno!B$7,Entorno!B$8,Entorno!B$9)</f>
        <v>0.06</v>
      </c>
      <c r="C820" s="56" t="n">
        <f aca="false">CHOOSE($T$15,Entorno!C$7,Entorno!C$8,Entorno!C$9)</f>
        <v>0.05</v>
      </c>
      <c r="D820" s="56" t="n">
        <f aca="false">CHOOSE($T$15,Entorno!D$7,Entorno!D$8,Entorno!D$9)</f>
        <v>0.045</v>
      </c>
      <c r="E820" s="56" t="n">
        <f aca="false">CHOOSE($T$15,Entorno!E$7,Entorno!E$8,Entorno!E$9)</f>
        <v>0.04</v>
      </c>
      <c r="F820" s="56" t="n">
        <f aca="false">CHOOSE($T$15,Entorno!F$7,Entorno!F$8,Entorno!F$9)</f>
        <v>0.04</v>
      </c>
      <c r="G820" s="56" t="n">
        <f aca="false">CHOOSE($T$15,Entorno!G$7,Entorno!G$8,Entorno!G$9)</f>
        <v>0.04</v>
      </c>
      <c r="H820" s="56" t="n">
        <f aca="false">CHOOSE($T$15,Entorno!H$7,Entorno!H$8,Entorno!H$9)</f>
        <v>0.04</v>
      </c>
      <c r="I820" s="56" t="n">
        <f aca="false">CHOOSE($T$15,Entorno!I$7,Entorno!I$8,Entorno!I$9)</f>
        <v>0.04</v>
      </c>
      <c r="J820" s="56" t="n">
        <f aca="false">CHOOSE($T$15,Entorno!J$7,Entorno!J$8,Entorno!J$9)</f>
        <v>0.04</v>
      </c>
      <c r="K820" s="56" t="n">
        <f aca="false">CHOOSE($T$15,Entorno!K$7,Entorno!K$8,Entorno!K$9)</f>
        <v>0.04</v>
      </c>
      <c r="L820" s="56" t="n">
        <f aca="false">CHOOSE($T$15,Entorno!L$7,Entorno!L$8,Entorno!L$9)</f>
        <v>0.04</v>
      </c>
    </row>
    <row r="821" customFormat="false" ht="15" hidden="true" customHeight="false" outlineLevel="1" collapsed="false">
      <c r="A821" s="9" t="s">
        <v>406</v>
      </c>
      <c r="B821" s="57" t="n">
        <f aca="false">1+B820</f>
        <v>1.06</v>
      </c>
      <c r="C821" s="57" t="n">
        <f aca="false">B821*(1+C820)</f>
        <v>1.113</v>
      </c>
      <c r="D821" s="57" t="n">
        <f aca="false">C821*(1+D820)</f>
        <v>1.163085</v>
      </c>
      <c r="E821" s="57" t="n">
        <f aca="false">D821*(1+E820)</f>
        <v>1.2096084</v>
      </c>
      <c r="F821" s="57" t="n">
        <f aca="false">E821*(1+F820)</f>
        <v>1.257992736</v>
      </c>
      <c r="G821" s="57" t="n">
        <f aca="false">F821*(1+G820)</f>
        <v>1.30831244544</v>
      </c>
      <c r="H821" s="57" t="n">
        <f aca="false">G821*(1+H820)</f>
        <v>1.3606449432576</v>
      </c>
      <c r="I821" s="57" t="n">
        <f aca="false">H821*(1+I820)</f>
        <v>1.4150707409879</v>
      </c>
      <c r="J821" s="57" t="n">
        <f aca="false">I821*(1+J820)</f>
        <v>1.47167357062742</v>
      </c>
      <c r="K821" s="57" t="n">
        <f aca="false">J821*(1+K820)</f>
        <v>1.53054051345252</v>
      </c>
      <c r="L821" s="57" t="n">
        <f aca="false">K821*(1+L820)</f>
        <v>1.59176213399062</v>
      </c>
    </row>
    <row r="822" customFormat="false" ht="15" hidden="true" customHeight="false" outlineLevel="1" collapsed="false">
      <c r="A822" s="9" t="s">
        <v>407</v>
      </c>
      <c r="B822" s="57" t="n">
        <f aca="false">(1+$T$16)/(1+B820)</f>
        <v>1.02358490566038</v>
      </c>
      <c r="C822" s="57" t="n">
        <f aca="false">B822*(1+Entorno!$B$13)</f>
        <v>1.02870283018868</v>
      </c>
      <c r="D822" s="57" t="n">
        <f aca="false">C822*(1+Entorno!$B$13)</f>
        <v>1.03384634433962</v>
      </c>
      <c r="E822" s="57" t="n">
        <f aca="false">D822*(1+Entorno!$B$13)</f>
        <v>1.03901557606132</v>
      </c>
      <c r="F822" s="57" t="n">
        <f aca="false">E822*(1+Entorno!$B$13)</f>
        <v>1.04421065394163</v>
      </c>
      <c r="G822" s="57" t="n">
        <f aca="false">F822*(1+Entorno!$B$13)</f>
        <v>1.04943170721133</v>
      </c>
      <c r="H822" s="57" t="n">
        <f aca="false">G822*(1+Entorno!$B$13)</f>
        <v>1.05467886574739</v>
      </c>
      <c r="I822" s="57" t="n">
        <f aca="false">H822*(1+Entorno!$B$13)</f>
        <v>1.05995226007613</v>
      </c>
      <c r="J822" s="57" t="n">
        <f aca="false">I822*(1+Entorno!$B$13)</f>
        <v>1.06525202137651</v>
      </c>
      <c r="K822" s="57" t="n">
        <f aca="false">J822*(1+Entorno!$B$13)</f>
        <v>1.07057828148339</v>
      </c>
      <c r="L822" s="57" t="n">
        <f aca="false">K822*(1+Entorno!$B$13)</f>
        <v>1.07593117289081</v>
      </c>
    </row>
    <row r="823" customFormat="false" ht="15" hidden="true" customHeight="false" outlineLevel="1" collapsed="false">
      <c r="A823" s="9" t="s">
        <v>408</v>
      </c>
      <c r="B823" s="57" t="n">
        <f aca="false">1/B821</f>
        <v>0.943396226415094</v>
      </c>
      <c r="C823" s="57" t="n">
        <f aca="false">1/C821</f>
        <v>0.898472596585804</v>
      </c>
      <c r="D823" s="57" t="n">
        <f aca="false">1/D821</f>
        <v>0.859782389077324</v>
      </c>
      <c r="E823" s="57" t="n">
        <f aca="false">1/E821</f>
        <v>0.826713835651273</v>
      </c>
      <c r="F823" s="57" t="n">
        <f aca="false">1/F821</f>
        <v>0.794917149664686</v>
      </c>
      <c r="G823" s="57" t="n">
        <f aca="false">1/G821</f>
        <v>0.764343413139121</v>
      </c>
      <c r="H823" s="57" t="n">
        <f aca="false">1/H821</f>
        <v>0.734945589556847</v>
      </c>
      <c r="I823" s="57" t="n">
        <f aca="false">1/I821</f>
        <v>0.706678451496968</v>
      </c>
      <c r="J823" s="57" t="n">
        <f aca="false">1/J821</f>
        <v>0.679498511054777</v>
      </c>
      <c r="K823" s="57" t="n">
        <f aca="false">1/K821</f>
        <v>0.653363952937286</v>
      </c>
      <c r="L823" s="57" t="n">
        <f aca="false">1/L821</f>
        <v>0.628234570132006</v>
      </c>
    </row>
    <row r="824" customFormat="false" ht="15" hidden="true" customHeight="false" outlineLevel="1" collapsed="false">
      <c r="A824" s="6" t="s">
        <v>323</v>
      </c>
      <c r="B824" s="29" t="n">
        <f aca="false">IF(B$43=0,Quesería!$F$92,IF(B$43=1,Quesería!$F$93*$T$21,0))*$T$11</f>
        <v>930.800239431677</v>
      </c>
      <c r="C824" s="29" t="n">
        <f aca="false">IF(C$43=0,Quesería!$F$92,IF(C$43=1,Quesería!$F$93*$T$21,0))*$T$11</f>
        <v>758.469066674498</v>
      </c>
      <c r="D824" s="29" t="n">
        <f aca="false">IF(D$43=0,Quesería!$F$92,IF(D$43=1,Quesería!$F$93*$T$21,0))*$T$11</f>
        <v>0</v>
      </c>
      <c r="E824" s="29" t="n">
        <f aca="false">IF(E$43=0,Quesería!$F$92,IF(E$43=1,Quesería!$F$93*$T$21,0))*$T$11</f>
        <v>0</v>
      </c>
      <c r="F824" s="29" t="n">
        <f aca="false">IF(F$43=0,Quesería!$F$92,IF(F$43=1,Quesería!$F$93*$T$21,0))*$T$11</f>
        <v>0</v>
      </c>
      <c r="G824" s="29" t="n">
        <f aca="false">IF(G$43=0,Quesería!$F$92,IF(G$43=1,Quesería!$F$93*$T$21,0))*$T$11</f>
        <v>0</v>
      </c>
      <c r="H824" s="29" t="n">
        <f aca="false">IF(H$43=0,Quesería!$F$92,IF(H$43=1,Quesería!$F$93*$T$21,0))*$T$11</f>
        <v>0</v>
      </c>
      <c r="I824" s="29" t="n">
        <f aca="false">IF(I$43=0,Quesería!$F$92,IF(I$43=1,Quesería!$F$93*$T$21,0))*$T$11</f>
        <v>0</v>
      </c>
      <c r="J824" s="29" t="n">
        <f aca="false">IF(J$43=0,Quesería!$F$92,IF(J$43=1,Quesería!$F$93*$T$21,0))*$T$11</f>
        <v>0</v>
      </c>
      <c r="K824" s="29" t="n">
        <f aca="false">IF(K$43=0,Quesería!$F$92,IF(K$43=1,Quesería!$F$93*$T$21,0))*$T$11</f>
        <v>0</v>
      </c>
      <c r="L824" s="29" t="n">
        <f aca="false">IF(L$43=0,Quesería!$F$92,IF(L$43=1,Quesería!$F$93*$T$21,0))*$T$11</f>
        <v>0</v>
      </c>
    </row>
    <row r="825" customFormat="false" ht="15" hidden="true" customHeight="false" outlineLevel="1" collapsed="false">
      <c r="A825" s="6" t="s">
        <v>409</v>
      </c>
      <c r="B825" s="29" t="n">
        <f aca="false">IF(B$43=5,Quesería!$F$99,IF(B$43=6,Quesería!$F$100,0))*$T$11</f>
        <v>0</v>
      </c>
      <c r="C825" s="29" t="n">
        <f aca="false">IF(C$43=5,Quesería!$F$99,IF(C$43=6,Quesería!$F$100,0))*$T$11</f>
        <v>0</v>
      </c>
      <c r="D825" s="29" t="n">
        <f aca="false">IF(D$43=5,Quesería!$F$99,IF(D$43=6,Quesería!$F$100,0))*$T$11</f>
        <v>0</v>
      </c>
      <c r="E825" s="29" t="n">
        <f aca="false">IF(E$43=5,Quesería!$F$99,IF(E$43=6,Quesería!$F$100,0))*$T$11</f>
        <v>0</v>
      </c>
      <c r="F825" s="29" t="n">
        <f aca="false">IF(F$43=5,Quesería!$F$99,IF(F$43=6,Quesería!$F$100,0))*$T$11</f>
        <v>0</v>
      </c>
      <c r="G825" s="29" t="n">
        <f aca="false">IF(G$43=5,Quesería!$F$99,IF(G$43=6,Quesería!$F$100,0))*$T$11</f>
        <v>27.4652172688735</v>
      </c>
      <c r="H825" s="29" t="n">
        <f aca="false">IF(H$43=5,Quesería!$F$99,IF(H$43=6,Quesería!$F$100,0))*$T$11</f>
        <v>46.3891557109552</v>
      </c>
      <c r="I825" s="29" t="n">
        <f aca="false">IF(I$43=5,Quesería!$F$99,IF(I$43=6,Quesería!$F$100,0))*$T$11</f>
        <v>0</v>
      </c>
      <c r="J825" s="29" t="n">
        <f aca="false">IF(J$43=5,Quesería!$F$99,IF(J$43=6,Quesería!$F$100,0))*$T$11</f>
        <v>0</v>
      </c>
      <c r="K825" s="29" t="n">
        <f aca="false">IF(K$43=5,Quesería!$F$99,IF(K$43=6,Quesería!$F$100,0))*$T$11</f>
        <v>0</v>
      </c>
      <c r="L825" s="29" t="n">
        <f aca="false">IF(L$43=5,Quesería!$F$99,IF(L$43=6,Quesería!$F$100,0))*$T$11</f>
        <v>0</v>
      </c>
    </row>
    <row r="826" customFormat="false" ht="15" hidden="true" customHeight="false" outlineLevel="1" collapsed="false">
      <c r="A826" s="6" t="s">
        <v>410</v>
      </c>
      <c r="B826" s="29" t="n">
        <f aca="false">Quesería!$B$55*(IF(B$43=0,SUMPRODUCT((Quesería!$C$70:$C$89=0)*(Quesería!$H$70:$H$89&gt;0)*(Quesería!$J$70:$J$89&gt;0)*Quesería!$F$70:$F$89*(1+Quesería!$I$70:$I$89)),IF(B$43=1,SUMPRODUCT((Quesería!$C$70:$C$89=1)*(Quesería!$H$70:$H$89&gt;0)*(Quesería!$J$70:$J$89&gt;0)*Quesería!$F$70:$F$89*(1+Quesería!$I$70:$I$89))*$T$21,0))*$T$11+B825)</f>
        <v>149.115671560178</v>
      </c>
      <c r="C826" s="29" t="n">
        <f aca="false">Quesería!$B$55*(IF(C$43=0,SUMPRODUCT((Quesería!$C$70:$C$89=0)*(Quesería!$H$70:$H$89&gt;0)*(Quesería!$J$70:$J$89&gt;0)*Quesería!$F$70:$F$89*(1+Quesería!$I$70:$I$89)),IF(C$43=1,SUMPRODUCT((Quesería!$C$70:$C$89=1)*(Quesería!$H$70:$H$89&gt;0)*(Quesería!$J$70:$J$89&gt;0)*Quesería!$F$70:$F$89*(1+Quesería!$I$70:$I$89))*$T$21,0))*$T$11+C825)</f>
        <v>144.109122668155</v>
      </c>
      <c r="D826" s="29" t="n">
        <f aca="false">Quesería!$B$55*(IF(D$43=0,SUMPRODUCT((Quesería!$C$70:$C$89=0)*(Quesería!$H$70:$H$89&gt;0)*(Quesería!$J$70:$J$89&gt;0)*Quesería!$F$70:$F$89*(1+Quesería!$I$70:$I$89)),IF(D$43=1,SUMPRODUCT((Quesería!$C$70:$C$89=1)*(Quesería!$H$70:$H$89&gt;0)*(Quesería!$J$70:$J$89&gt;0)*Quesería!$F$70:$F$89*(1+Quesería!$I$70:$I$89))*$T$21,0))*$T$11+D825)</f>
        <v>0</v>
      </c>
      <c r="E826" s="29" t="n">
        <f aca="false">Quesería!$B$55*(IF(E$43=0,SUMPRODUCT((Quesería!$C$70:$C$89=0)*(Quesería!$H$70:$H$89&gt;0)*(Quesería!$J$70:$J$89&gt;0)*Quesería!$F$70:$F$89*(1+Quesería!$I$70:$I$89)),IF(E$43=1,SUMPRODUCT((Quesería!$C$70:$C$89=1)*(Quesería!$H$70:$H$89&gt;0)*(Quesería!$J$70:$J$89&gt;0)*Quesería!$F$70:$F$89*(1+Quesería!$I$70:$I$89))*$T$21,0))*$T$11+E825)</f>
        <v>0</v>
      </c>
      <c r="F826" s="29" t="n">
        <f aca="false">Quesería!$B$55*(IF(F$43=0,SUMPRODUCT((Quesería!$C$70:$C$89=0)*(Quesería!$H$70:$H$89&gt;0)*(Quesería!$J$70:$J$89&gt;0)*Quesería!$F$70:$F$89*(1+Quesería!$I$70:$I$89)),IF(F$43=1,SUMPRODUCT((Quesería!$C$70:$C$89=1)*(Quesería!$H$70:$H$89&gt;0)*(Quesería!$J$70:$J$89&gt;0)*Quesería!$F$70:$F$89*(1+Quesería!$I$70:$I$89))*$T$21,0))*$T$11+F825)</f>
        <v>0</v>
      </c>
      <c r="G826" s="29" t="n">
        <f aca="false">Quesería!$B$55*(IF(G$43=0,SUMPRODUCT((Quesería!$C$70:$C$89=0)*(Quesería!$H$70:$H$89&gt;0)*(Quesería!$J$70:$J$89&gt;0)*Quesería!$F$70:$F$89*(1+Quesería!$I$70:$I$89)),IF(G$43=1,SUMPRODUCT((Quesería!$C$70:$C$89=1)*(Quesería!$H$70:$H$89&gt;0)*(Quesería!$J$70:$J$89&gt;0)*Quesería!$F$70:$F$89*(1+Quesería!$I$70:$I$89))*$T$21,0))*$T$11+G825)</f>
        <v>5.21839128108597</v>
      </c>
      <c r="H826" s="29" t="n">
        <f aca="false">Quesería!$B$55*(IF(H$43=0,SUMPRODUCT((Quesería!$C$70:$C$89=0)*(Quesería!$H$70:$H$89&gt;0)*(Quesería!$J$70:$J$89&gt;0)*Quesería!$F$70:$F$89*(1+Quesería!$I$70:$I$89)),IF(H$43=1,SUMPRODUCT((Quesería!$C$70:$C$89=1)*(Quesería!$H$70:$H$89&gt;0)*(Quesería!$J$70:$J$89&gt;0)*Quesería!$F$70:$F$89*(1+Quesería!$I$70:$I$89))*$T$21,0))*$T$11+H825)</f>
        <v>8.8139395850815</v>
      </c>
      <c r="I826" s="29" t="n">
        <f aca="false">Quesería!$B$55*(IF(I$43=0,SUMPRODUCT((Quesería!$C$70:$C$89=0)*(Quesería!$H$70:$H$89&gt;0)*(Quesería!$J$70:$J$89&gt;0)*Quesería!$F$70:$F$89*(1+Quesería!$I$70:$I$89)),IF(I$43=1,SUMPRODUCT((Quesería!$C$70:$C$89=1)*(Quesería!$H$70:$H$89&gt;0)*(Quesería!$J$70:$J$89&gt;0)*Quesería!$F$70:$F$89*(1+Quesería!$I$70:$I$89))*$T$21,0))*$T$11+I825)</f>
        <v>0</v>
      </c>
      <c r="J826" s="29" t="n">
        <f aca="false">Quesería!$B$55*(IF(J$43=0,SUMPRODUCT((Quesería!$C$70:$C$89=0)*(Quesería!$H$70:$H$89&gt;0)*(Quesería!$J$70:$J$89&gt;0)*Quesería!$F$70:$F$89*(1+Quesería!$I$70:$I$89)),IF(J$43=1,SUMPRODUCT((Quesería!$C$70:$C$89=1)*(Quesería!$H$70:$H$89&gt;0)*(Quesería!$J$70:$J$89&gt;0)*Quesería!$F$70:$F$89*(1+Quesería!$I$70:$I$89))*$T$21,0))*$T$11+J825)</f>
        <v>0</v>
      </c>
      <c r="K826" s="29" t="n">
        <f aca="false">Quesería!$B$55*(IF(K$43=0,SUMPRODUCT((Quesería!$C$70:$C$89=0)*(Quesería!$H$70:$H$89&gt;0)*(Quesería!$J$70:$J$89&gt;0)*Quesería!$F$70:$F$89*(1+Quesería!$I$70:$I$89)),IF(K$43=1,SUMPRODUCT((Quesería!$C$70:$C$89=1)*(Quesería!$H$70:$H$89&gt;0)*(Quesería!$J$70:$J$89&gt;0)*Quesería!$F$70:$F$89*(1+Quesería!$I$70:$I$89))*$T$21,0))*$T$11+K825)</f>
        <v>0</v>
      </c>
      <c r="L826" s="29" t="n">
        <f aca="false">Quesería!$B$55*(IF(L$43=0,SUMPRODUCT((Quesería!$C$70:$C$89=0)*(Quesería!$H$70:$H$89&gt;0)*(Quesería!$J$70:$J$89&gt;0)*Quesería!$F$70:$F$89*(1+Quesería!$I$70:$I$89)),IF(L$43=1,SUMPRODUCT((Quesería!$C$70:$C$89=1)*(Quesería!$H$70:$H$89&gt;0)*(Quesería!$J$70:$J$89&gt;0)*Quesería!$F$70:$F$89*(1+Quesería!$I$70:$I$89))*$T$21,0))*$T$11+L825)</f>
        <v>0</v>
      </c>
    </row>
    <row r="827" customFormat="false" ht="15" hidden="true" customHeight="false" outlineLevel="1" collapsed="false">
      <c r="A827" s="6" t="s">
        <v>385</v>
      </c>
      <c r="B827" s="29" t="n">
        <f aca="false">IF(B$43=0,($T$22*Quesería!$J$125+(1-$T$22)*Quesería!$E$121)*Quesería!$B$20*Quesería!$B$21/12*$T$23,(($T$22*Quesería!$J$125+(1-$T$22)*Quesería!$E$121)+($T$22*Quesería!$J$104+(1-$T$22)*Quesería!$E$104)*(B822-1))*IF(B$43=1,Quesería!$B$20,1))*$T$10</f>
        <v>120.716772261203</v>
      </c>
      <c r="C827" s="29" t="n">
        <f aca="false">IF(C$43=0,($T$22*Quesería!$J$125+(1-$T$22)*Quesería!$E$121)*Quesería!$B$20*Quesería!$B$21/12*$T$23,(($T$22*Quesería!$J$125+(1-$T$22)*Quesería!$E$121)+($T$22*Quesería!$J$104+(1-$T$22)*Quesería!$E$104)*(C822-1))*IF(C$43=1,Quesería!$B$20,1))*$T$10</f>
        <v>181.328317354069</v>
      </c>
      <c r="D827" s="29" t="n">
        <f aca="false">IF(D$43=0,($T$22*Quesería!$J$125+(1-$T$22)*Quesería!$E$121)*Quesería!$B$20*Quesería!$B$21/12*$T$23,(($T$22*Quesería!$J$125+(1-$T$22)*Quesería!$E$121)+($T$22*Quesería!$J$104+(1-$T$22)*Quesería!$E$104)*(D822-1))*IF(D$43=1,Quesería!$B$20,1))*$T$10</f>
        <v>241.83157753184</v>
      </c>
      <c r="E827" s="29" t="n">
        <f aca="false">IF(E$43=0,($T$22*Quesería!$J$125+(1-$T$22)*Quesería!$E$121)*Quesería!$B$20*Quesería!$B$21/12*$T$23,(($T$22*Quesería!$J$125+(1-$T$22)*Quesería!$E$121)+($T$22*Quesería!$J$104+(1-$T$22)*Quesería!$E$104)*(E822-1))*IF(E$43=1,Quesería!$B$20,1))*$T$10</f>
        <v>241.892367696887</v>
      </c>
      <c r="F827" s="29" t="n">
        <f aca="false">IF(F$43=0,($T$22*Quesería!$J$125+(1-$T$22)*Quesería!$E$121)*Quesería!$B$20*Quesería!$B$21/12*$T$23,(($T$22*Quesería!$J$125+(1-$T$22)*Quesería!$E$121)+($T$22*Quesería!$J$104+(1-$T$22)*Quesería!$E$104)*(F822-1))*IF(F$43=1,Quesería!$B$20,1))*$T$10</f>
        <v>241.95346181276</v>
      </c>
      <c r="G827" s="29" t="n">
        <f aca="false">IF(G$43=0,($T$22*Quesería!$J$125+(1-$T$22)*Quesería!$E$121)*Quesería!$B$20*Quesería!$B$21/12*$T$23,(($T$22*Quesería!$J$125+(1-$T$22)*Quesería!$E$121)+($T$22*Quesería!$J$104+(1-$T$22)*Quesería!$E$104)*(G822-1))*IF(G$43=1,Quesería!$B$20,1))*$T$10</f>
        <v>242.014861399211</v>
      </c>
      <c r="H827" s="29" t="n">
        <f aca="false">IF(H$43=0,($T$22*Quesería!$J$125+(1-$T$22)*Quesería!$E$121)*Quesería!$B$20*Quesería!$B$21/12*$T$23,(($T$22*Quesería!$J$125+(1-$T$22)*Quesería!$E$121)+($T$22*Quesería!$J$104+(1-$T$22)*Quesería!$E$104)*(H822-1))*IF(H$43=1,Quesería!$B$20,1))*$T$10</f>
        <v>242.076567983595</v>
      </c>
      <c r="I827" s="29" t="n">
        <f aca="false">IF(I$43=0,($T$22*Quesería!$J$125+(1-$T$22)*Quesería!$E$121)*Quesería!$B$20*Quesería!$B$21/12*$T$23,(($T$22*Quesería!$J$125+(1-$T$22)*Quesería!$E$121)+($T$22*Quesería!$J$104+(1-$T$22)*Quesería!$E$104)*(I822-1))*IF(I$43=1,Quesería!$B$20,1))*$T$10</f>
        <v>242.138583100901</v>
      </c>
      <c r="J827" s="29" t="n">
        <f aca="false">IF(J$43=0,($T$22*Quesería!$J$125+(1-$T$22)*Quesería!$E$121)*Quesería!$B$20*Quesería!$B$21/12*$T$23,(($T$22*Quesería!$J$125+(1-$T$22)*Quesería!$E$121)+($T$22*Quesería!$J$104+(1-$T$22)*Quesería!$E$104)*(J822-1))*IF(J$43=1,Quesería!$B$20,1))*$T$10</f>
        <v>242.200908293794</v>
      </c>
      <c r="K827" s="29" t="n">
        <f aca="false">IF(K$43=0,($T$22*Quesería!$J$125+(1-$T$22)*Quesería!$E$121)*Quesería!$B$20*Quesería!$B$21/12*$T$23,(($T$22*Quesería!$J$125+(1-$T$22)*Quesería!$E$121)+($T$22*Quesería!$J$104+(1-$T$22)*Quesería!$E$104)*(K822-1))*IF(K$43=1,Quesería!$B$20,1))*$T$10</f>
        <v>242.263545112651</v>
      </c>
      <c r="L827" s="29" t="n">
        <f aca="false">IF(L$43=0,($T$22*Quesería!$J$125+(1-$T$22)*Quesería!$E$121)*Quesería!$B$20*Quesería!$B$21/12*$T$23,(($T$22*Quesería!$J$125+(1-$T$22)*Quesería!$E$121)+($T$22*Quesería!$J$104+(1-$T$22)*Quesería!$E$104)*(L822-1))*IF(L$43=1,Quesería!$B$20,1))*$T$10</f>
        <v>242.326495115602</v>
      </c>
    </row>
    <row r="828" customFormat="false" ht="15" hidden="true" customHeight="false" outlineLevel="1" collapsed="false">
      <c r="A828" s="6" t="s">
        <v>386</v>
      </c>
      <c r="B828" s="29" t="n">
        <f aca="false">IF(B$43&lt;=1,0,((($T$22*Quesería!$J$126+(1-$T$22)*Quesería!$E$122)-($T$22*Quesería!$J$113+(1-$T$22)*Quesería!$E$113)+$T$6*($T$22*Quesería!$J$113+(1-$T$22)*Quesería!$E$113)-(1-$T$9)*(($T$22*Quesería!$J$118+(1-$T$22)*Quesería!$E$118)+($T$22*Quesería!$J$117+(1-$T$22)*Quesería!$E$117)))+($T$6*($T$22*Quesería!$J$113+(1-$T$22)*Quesería!$E$113)+$T$9*($T$22*Quesería!$J$118+(1-$T$22)*Quesería!$E$118))*(B822-1))*IF(B$43=2,Quesería!$B$20,1)+IF(B$43=2,Quesería!$B$24*$T$9*($T$22*Quesería!$J$118+(1-$T$22)*Quesería!$E$118)*B822,0))*$T$10*$T$21</f>
        <v>0</v>
      </c>
      <c r="C828" s="29" t="n">
        <f aca="false">IF(C$43&lt;=1,0,((($T$22*Quesería!$J$126+(1-$T$22)*Quesería!$E$122)-($T$22*Quesería!$J$113+(1-$T$22)*Quesería!$E$113)+$T$6*($T$22*Quesería!$J$113+(1-$T$22)*Quesería!$E$113)-(1-$T$9)*(($T$22*Quesería!$J$118+(1-$T$22)*Quesería!$E$118)+($T$22*Quesería!$J$117+(1-$T$22)*Quesería!$E$117)))+($T$6*($T$22*Quesería!$J$113+(1-$T$22)*Quesería!$E$113)+$T$9*($T$22*Quesería!$J$118+(1-$T$22)*Quesería!$E$118))*(C822-1))*IF(C$43=2,Quesería!$B$20,1)+IF(C$43=2,Quesería!$B$24*$T$9*($T$22*Quesería!$J$118+(1-$T$22)*Quesería!$E$118)*C822,0))*$T$10*$T$21</f>
        <v>0</v>
      </c>
      <c r="D828" s="29" t="n">
        <f aca="false">IF(D$43&lt;=1,0,((($T$22*Quesería!$J$126+(1-$T$22)*Quesería!$E$122)-($T$22*Quesería!$J$113+(1-$T$22)*Quesería!$E$113)+$T$6*($T$22*Quesería!$J$113+(1-$T$22)*Quesería!$E$113)-(1-$T$9)*(($T$22*Quesería!$J$118+(1-$T$22)*Quesería!$E$118)+($T$22*Quesería!$J$117+(1-$T$22)*Quesería!$E$117)))+($T$6*($T$22*Quesería!$J$113+(1-$T$22)*Quesería!$E$113)+$T$9*($T$22*Quesería!$J$118+(1-$T$22)*Quesería!$E$118))*(D822-1))*IF(D$43=2,Quesería!$B$20,1)+IF(D$43=2,Quesería!$B$24*$T$9*($T$22*Quesería!$J$118+(1-$T$22)*Quesería!$E$118)*D822,0))*$T$10*$T$21</f>
        <v>235.201505618611</v>
      </c>
      <c r="E828" s="29" t="n">
        <f aca="false">IF(E$43&lt;=1,0,((($T$22*Quesería!$J$126+(1-$T$22)*Quesería!$E$122)-($T$22*Quesería!$J$113+(1-$T$22)*Quesería!$E$113)+$T$6*($T$22*Quesería!$J$113+(1-$T$22)*Quesería!$E$113)-(1-$T$9)*(($T$22*Quesería!$J$118+(1-$T$22)*Quesería!$E$118)+($T$22*Quesería!$J$117+(1-$T$22)*Quesería!$E$117)))+($T$6*($T$22*Quesería!$J$113+(1-$T$22)*Quesería!$E$113)+$T$9*($T$22*Quesería!$J$118+(1-$T$22)*Quesería!$E$118))*(E822-1))*IF(E$43=2,Quesería!$B$20,1)+IF(E$43=2,Quesería!$B$24*$T$9*($T$22*Quesería!$J$118+(1-$T$22)*Quesería!$E$118)*E822,0))*$T$10*$T$21</f>
        <v>298.96150264002</v>
      </c>
      <c r="F828" s="29" t="n">
        <f aca="false">IF(F$43&lt;=1,0,((($T$22*Quesería!$J$126+(1-$T$22)*Quesería!$E$122)-($T$22*Quesería!$J$113+(1-$T$22)*Quesería!$E$113)+$T$6*($T$22*Quesería!$J$113+(1-$T$22)*Quesería!$E$113)-(1-$T$9)*(($T$22*Quesería!$J$118+(1-$T$22)*Quesería!$E$118)+($T$22*Quesería!$J$117+(1-$T$22)*Quesería!$E$117)))+($T$6*($T$22*Quesería!$J$113+(1-$T$22)*Quesería!$E$113)+$T$9*($T$22*Quesería!$J$118+(1-$T$22)*Quesería!$E$118))*(F822-1))*IF(F$43=2,Quesería!$B$20,1)+IF(F$43=2,Quesería!$B$24*$T$9*($T$22*Quesería!$J$118+(1-$T$22)*Quesería!$E$118)*F822,0))*$T$10*$T$21</f>
        <v>299.209619559583</v>
      </c>
      <c r="G828" s="29" t="n">
        <f aca="false">IF(G$43&lt;=1,0,((($T$22*Quesería!$J$126+(1-$T$22)*Quesería!$E$122)-($T$22*Quesería!$J$113+(1-$T$22)*Quesería!$E$113)+$T$6*($T$22*Quesería!$J$113+(1-$T$22)*Quesería!$E$113)-(1-$T$9)*(($T$22*Quesería!$J$118+(1-$T$22)*Quesería!$E$118)+($T$22*Quesería!$J$117+(1-$T$22)*Quesería!$E$117)))+($T$6*($T$22*Quesería!$J$113+(1-$T$22)*Quesería!$E$113)+$T$9*($T$22*Quesería!$J$118+(1-$T$22)*Quesería!$E$118))*(G822-1))*IF(G$43=2,Quesería!$B$20,1)+IF(G$43=2,Quesería!$B$24*$T$9*($T$22*Quesería!$J$118+(1-$T$22)*Quesería!$E$118)*G822,0))*$T$10*$T$21</f>
        <v>299.458977063744</v>
      </c>
      <c r="H828" s="29" t="n">
        <f aca="false">IF(H$43&lt;=1,0,((($T$22*Quesería!$J$126+(1-$T$22)*Quesería!$E$122)-($T$22*Quesería!$J$113+(1-$T$22)*Quesería!$E$113)+$T$6*($T$22*Quesería!$J$113+(1-$T$22)*Quesería!$E$113)-(1-$T$9)*(($T$22*Quesería!$J$118+(1-$T$22)*Quesería!$E$118)+($T$22*Quesería!$J$117+(1-$T$22)*Quesería!$E$117)))+($T$6*($T$22*Quesería!$J$113+(1-$T$22)*Quesería!$E$113)+$T$9*($T$22*Quesería!$J$118+(1-$T$22)*Quesería!$E$118))*(H822-1))*IF(H$43=2,Quesería!$B$20,1)+IF(H$43=2,Quesería!$B$24*$T$9*($T$22*Quesería!$J$118+(1-$T$22)*Quesería!$E$118)*H822,0))*$T$10*$T$21</f>
        <v>299.709581355426</v>
      </c>
      <c r="I828" s="29" t="n">
        <f aca="false">IF(I$43&lt;=1,0,((($T$22*Quesería!$J$126+(1-$T$22)*Quesería!$E$122)-($T$22*Quesería!$J$113+(1-$T$22)*Quesería!$E$113)+$T$6*($T$22*Quesería!$J$113+(1-$T$22)*Quesería!$E$113)-(1-$T$9)*(($T$22*Quesería!$J$118+(1-$T$22)*Quesería!$E$118)+($T$22*Quesería!$J$117+(1-$T$22)*Quesería!$E$117)))+($T$6*($T$22*Quesería!$J$113+(1-$T$22)*Quesería!$E$113)+$T$9*($T$22*Quesería!$J$118+(1-$T$22)*Quesería!$E$118))*(I822-1))*IF(I$43=2,Quesería!$B$20,1)+IF(I$43=2,Quesería!$B$24*$T$9*($T$22*Quesería!$J$118+(1-$T$22)*Quesería!$E$118)*I822,0))*$T$10*$T$21</f>
        <v>299.961438668567</v>
      </c>
      <c r="J828" s="29" t="n">
        <f aca="false">IF(J$43&lt;=1,0,((($T$22*Quesería!$J$126+(1-$T$22)*Quesería!$E$122)-($T$22*Quesería!$J$113+(1-$T$22)*Quesería!$E$113)+$T$6*($T$22*Quesería!$J$113+(1-$T$22)*Quesería!$E$113)-(1-$T$9)*(($T$22*Quesería!$J$118+(1-$T$22)*Quesería!$E$118)+($T$22*Quesería!$J$117+(1-$T$22)*Quesería!$E$117)))+($T$6*($T$22*Quesería!$J$113+(1-$T$22)*Quesería!$E$113)+$T$9*($T$22*Quesería!$J$118+(1-$T$22)*Quesería!$E$118))*(J822-1))*IF(J$43=2,Quesería!$B$20,1)+IF(J$43=2,Quesería!$B$24*$T$9*($T$22*Quesería!$J$118+(1-$T$22)*Quesería!$E$118)*J822,0))*$T$10*$T$21</f>
        <v>300.214555268273</v>
      </c>
      <c r="K828" s="29" t="n">
        <f aca="false">IF(K$43&lt;=1,0,((($T$22*Quesería!$J$126+(1-$T$22)*Quesería!$E$122)-($T$22*Quesería!$J$113+(1-$T$22)*Quesería!$E$113)+$T$6*($T$22*Quesería!$J$113+(1-$T$22)*Quesería!$E$113)-(1-$T$9)*(($T$22*Quesería!$J$118+(1-$T$22)*Quesería!$E$118)+($T$22*Quesería!$J$117+(1-$T$22)*Quesería!$E$117)))+($T$6*($T$22*Quesería!$J$113+(1-$T$22)*Quesería!$E$113)+$T$9*($T$22*Quesería!$J$118+(1-$T$22)*Quesería!$E$118))*(K822-1))*IF(K$43=2,Quesería!$B$20,1)+IF(K$43=2,Quesería!$B$24*$T$9*($T$22*Quesería!$J$118+(1-$T$22)*Quesería!$E$118)*K822,0))*$T$10*$T$21</f>
        <v>300.468937450978</v>
      </c>
      <c r="L828" s="29" t="n">
        <f aca="false">IF(L$43&lt;=1,0,((($T$22*Quesería!$J$126+(1-$T$22)*Quesería!$E$122)-($T$22*Quesería!$J$113+(1-$T$22)*Quesería!$E$113)+$T$6*($T$22*Quesería!$J$113+(1-$T$22)*Quesería!$E$113)-(1-$T$9)*(($T$22*Quesería!$J$118+(1-$T$22)*Quesería!$E$118)+($T$22*Quesería!$J$117+(1-$T$22)*Quesería!$E$117)))+($T$6*($T$22*Quesería!$J$113+(1-$T$22)*Quesería!$E$113)+$T$9*($T$22*Quesería!$J$118+(1-$T$22)*Quesería!$E$118))*(L822-1))*IF(L$43=2,Quesería!$B$20,1)+IF(L$43=2,Quesería!$B$24*$T$9*($T$22*Quesería!$J$118+(1-$T$22)*Quesería!$E$118)*L822,0))*$T$10*$T$21</f>
        <v>300.724591544596</v>
      </c>
    </row>
    <row r="829" customFormat="false" ht="15" hidden="true" customHeight="false" outlineLevel="1" collapsed="false">
      <c r="A829" s="5" t="s">
        <v>411</v>
      </c>
      <c r="B829" s="10" t="n">
        <f aca="false">B827+B828</f>
        <v>120.716772261203</v>
      </c>
      <c r="C829" s="10" t="n">
        <f aca="false">C827+C828</f>
        <v>181.328317354069</v>
      </c>
      <c r="D829" s="10" t="n">
        <f aca="false">D827+D828</f>
        <v>477.033083150451</v>
      </c>
      <c r="E829" s="10" t="n">
        <f aca="false">E827+E828</f>
        <v>540.853870336907</v>
      </c>
      <c r="F829" s="10" t="n">
        <f aca="false">F827+F828</f>
        <v>541.163081372343</v>
      </c>
      <c r="G829" s="10" t="n">
        <f aca="false">G827+G828</f>
        <v>541.473838462956</v>
      </c>
      <c r="H829" s="10" t="n">
        <f aca="false">H827+H828</f>
        <v>541.786149339022</v>
      </c>
      <c r="I829" s="10" t="n">
        <f aca="false">I827+I828</f>
        <v>542.100021769468</v>
      </c>
      <c r="J829" s="10" t="n">
        <f aca="false">J827+J828</f>
        <v>542.415463562067</v>
      </c>
      <c r="K829" s="10" t="n">
        <f aca="false">K827+K828</f>
        <v>542.732482563628</v>
      </c>
      <c r="L829" s="10" t="n">
        <f aca="false">L827+L828</f>
        <v>543.051086660198</v>
      </c>
    </row>
    <row r="830" customFormat="false" ht="15" hidden="true" customHeight="false" outlineLevel="1" collapsed="false">
      <c r="A830" s="6" t="s">
        <v>412</v>
      </c>
      <c r="B830" s="29" t="n">
        <f aca="false">(IF(B$43&gt;=1,(Quesería!$B$31+Quesería!$B$33)*Quesería!$F$94*$T$11+Quesería!$B$32+'Beneficios y costos'!$B$211,0)+IF(B$43&gt;=2,((Quesería!$B$31+Quesería!$B$33)*Quesería!$F$95*$T$11+'Beneficios y costos'!$C$211)*$T$21,0))*$T$12</f>
        <v>0</v>
      </c>
      <c r="C830" s="29" t="n">
        <f aca="false">(IF(C$43&gt;=1,(Quesería!$B$31+Quesería!$B$33)*Quesería!$F$94*$T$11+Quesería!$B$32+'Beneficios y costos'!$B$211,0)+IF(C$43&gt;=2,((Quesería!$B$31+Quesería!$B$33)*Quesería!$F$95*$T$11+'Beneficios y costos'!$C$211)*$T$21,0))*$T$12</f>
        <v>42.0946487260605</v>
      </c>
      <c r="D830" s="29" t="n">
        <f aca="false">(IF(D$43&gt;=1,(Quesería!$B$31+Quesería!$B$33)*Quesería!$F$94*$T$11+Quesería!$B$32+'Beneficios y costos'!$B$211,0)+IF(D$43&gt;=2,((Quesería!$B$31+Quesería!$B$33)*Quesería!$F$95*$T$11+'Beneficios y costos'!$C$211)*$T$21,0))*$T$12</f>
        <v>95.9432442337815</v>
      </c>
      <c r="E830" s="29" t="n">
        <f aca="false">(IF(E$43&gt;=1,(Quesería!$B$31+Quesería!$B$33)*Quesería!$F$94*$T$11+Quesería!$B$32+'Beneficios y costos'!$B$211,0)+IF(E$43&gt;=2,((Quesería!$B$31+Quesería!$B$33)*Quesería!$F$95*$T$11+'Beneficios y costos'!$C$211)*$T$21,0))*$T$12</f>
        <v>95.9432442337815</v>
      </c>
      <c r="F830" s="29" t="n">
        <f aca="false">(IF(F$43&gt;=1,(Quesería!$B$31+Quesería!$B$33)*Quesería!$F$94*$T$11+Quesería!$B$32+'Beneficios y costos'!$B$211,0)+IF(F$43&gt;=2,((Quesería!$B$31+Quesería!$B$33)*Quesería!$F$95*$T$11+'Beneficios y costos'!$C$211)*$T$21,0))*$T$12</f>
        <v>95.9432442337815</v>
      </c>
      <c r="G830" s="29" t="n">
        <f aca="false">(IF(G$43&gt;=1,(Quesería!$B$31+Quesería!$B$33)*Quesería!$F$94*$T$11+Quesería!$B$32+'Beneficios y costos'!$B$211,0)+IF(G$43&gt;=2,((Quesería!$B$31+Quesería!$B$33)*Quesería!$F$95*$T$11+'Beneficios y costos'!$C$211)*$T$21,0))*$T$12</f>
        <v>95.9432442337815</v>
      </c>
      <c r="H830" s="29" t="n">
        <f aca="false">(IF(H$43&gt;=1,(Quesería!$B$31+Quesería!$B$33)*Quesería!$F$94*$T$11+Quesería!$B$32+'Beneficios y costos'!$B$211,0)+IF(H$43&gt;=2,((Quesería!$B$31+Quesería!$B$33)*Quesería!$F$95*$T$11+'Beneficios y costos'!$C$211)*$T$21,0))*$T$12</f>
        <v>95.9432442337815</v>
      </c>
      <c r="I830" s="29" t="n">
        <f aca="false">(IF(I$43&gt;=1,(Quesería!$B$31+Quesería!$B$33)*Quesería!$F$94*$T$11+Quesería!$B$32+'Beneficios y costos'!$B$211,0)+IF(I$43&gt;=2,((Quesería!$B$31+Quesería!$B$33)*Quesería!$F$95*$T$11+'Beneficios y costos'!$C$211)*$T$21,0))*$T$12</f>
        <v>95.9432442337815</v>
      </c>
      <c r="J830" s="29" t="n">
        <f aca="false">(IF(J$43&gt;=1,(Quesería!$B$31+Quesería!$B$33)*Quesería!$F$94*$T$11+Quesería!$B$32+'Beneficios y costos'!$B$211,0)+IF(J$43&gt;=2,((Quesería!$B$31+Quesería!$B$33)*Quesería!$F$95*$T$11+'Beneficios y costos'!$C$211)*$T$21,0))*$T$12</f>
        <v>95.9432442337815</v>
      </c>
      <c r="K830" s="29" t="n">
        <f aca="false">(IF(K$43&gt;=1,(Quesería!$B$31+Quesería!$B$33)*Quesería!$F$94*$T$11+Quesería!$B$32+'Beneficios y costos'!$B$211,0)+IF(K$43&gt;=2,((Quesería!$B$31+Quesería!$B$33)*Quesería!$F$95*$T$11+'Beneficios y costos'!$C$211)*$T$21,0))*$T$12</f>
        <v>95.9432442337815</v>
      </c>
      <c r="L830" s="29" t="n">
        <f aca="false">(IF(L$43&gt;=1,(Quesería!$B$31+Quesería!$B$33)*Quesería!$F$94*$T$11+Quesería!$B$32+'Beneficios y costos'!$B$211,0)+IF(L$43&gt;=2,((Quesería!$B$31+Quesería!$B$33)*Quesería!$F$95*$T$11+'Beneficios y costos'!$C$211)*$T$21,0))*$T$12</f>
        <v>95.9432442337815</v>
      </c>
    </row>
    <row r="831" customFormat="false" ht="15" hidden="true" customHeight="false" outlineLevel="1" collapsed="false">
      <c r="A831" s="6" t="s">
        <v>413</v>
      </c>
      <c r="B831" s="29" t="n">
        <f aca="false">IF(B$43=1,2*Quesería!$B$22*Quesería!$B$23/12*B822,0)*$T$21</f>
        <v>0</v>
      </c>
      <c r="C831" s="29" t="n">
        <f aca="false">IF(C$43=1,2*Quesería!$B$22*Quesería!$B$23/12*C822,0)*$T$21</f>
        <v>18.5166509433962</v>
      </c>
      <c r="D831" s="29" t="n">
        <f aca="false">IF(D$43=1,2*Quesería!$B$22*Quesería!$B$23/12*D822,0)*$T$21</f>
        <v>0</v>
      </c>
      <c r="E831" s="29" t="n">
        <f aca="false">IF(E$43=1,2*Quesería!$B$22*Quesería!$B$23/12*E822,0)*$T$21</f>
        <v>0</v>
      </c>
      <c r="F831" s="29" t="n">
        <f aca="false">IF(F$43=1,2*Quesería!$B$22*Quesería!$B$23/12*F822,0)*$T$21</f>
        <v>0</v>
      </c>
      <c r="G831" s="29" t="n">
        <f aca="false">IF(G$43=1,2*Quesería!$B$22*Quesería!$B$23/12*G822,0)*$T$21</f>
        <v>0</v>
      </c>
      <c r="H831" s="29" t="n">
        <f aca="false">IF(H$43=1,2*Quesería!$B$22*Quesería!$B$23/12*H822,0)*$T$21</f>
        <v>0</v>
      </c>
      <c r="I831" s="29" t="n">
        <f aca="false">IF(I$43=1,2*Quesería!$B$22*Quesería!$B$23/12*I822,0)*$T$21</f>
        <v>0</v>
      </c>
      <c r="J831" s="29" t="n">
        <f aca="false">IF(J$43=1,2*Quesería!$B$22*Quesería!$B$23/12*J822,0)*$T$21</f>
        <v>0</v>
      </c>
      <c r="K831" s="29" t="n">
        <f aca="false">IF(K$43=1,2*Quesería!$B$22*Quesería!$B$23/12*K822,0)*$T$21</f>
        <v>0</v>
      </c>
      <c r="L831" s="29" t="n">
        <f aca="false">IF(L$43=1,2*Quesería!$B$22*Quesería!$B$23/12*L822,0)*$T$21</f>
        <v>0</v>
      </c>
    </row>
    <row r="832" customFormat="false" ht="15" hidden="true" customHeight="false" outlineLevel="1" collapsed="false">
      <c r="A832" s="6" t="s">
        <v>414</v>
      </c>
      <c r="B832" s="29" t="n">
        <f aca="false">Quesería!$B$52*(B824+B825+B826+B830+B831)</f>
        <v>4.31966364396742</v>
      </c>
      <c r="C832" s="29" t="n">
        <f aca="false">Quesería!$B$52*(C824+C825+C826+C830+C831)</f>
        <v>3.85275795604844</v>
      </c>
      <c r="D832" s="29" t="n">
        <f aca="false">Quesería!$B$52*(D824+D825+D826+D830+D831)</f>
        <v>0.383772976935126</v>
      </c>
      <c r="E832" s="29" t="n">
        <f aca="false">Quesería!$B$52*(E824+E825+E826+E830+E831)</f>
        <v>0.383772976935126</v>
      </c>
      <c r="F832" s="29" t="n">
        <f aca="false">Quesería!$B$52*(F824+F825+F826+F830+F831)</f>
        <v>0.383772976935126</v>
      </c>
      <c r="G832" s="29" t="n">
        <f aca="false">Quesería!$B$52*(G824+G825+G826+G830+G831)</f>
        <v>0.514507411134964</v>
      </c>
      <c r="H832" s="29" t="n">
        <f aca="false">Quesería!$B$52*(H824+H825+H826+H830+H831)</f>
        <v>0.604585358119273</v>
      </c>
      <c r="I832" s="29" t="n">
        <f aca="false">Quesería!$B$52*(I824+I825+I826+I830+I831)</f>
        <v>0.383772976935126</v>
      </c>
      <c r="J832" s="29" t="n">
        <f aca="false">Quesería!$B$52*(J824+J825+J826+J830+J831)</f>
        <v>0.383772976935126</v>
      </c>
      <c r="K832" s="29" t="n">
        <f aca="false">Quesería!$B$52*(K824+K825+K826+K830+K831)</f>
        <v>0.383772976935126</v>
      </c>
      <c r="L832" s="29" t="n">
        <f aca="false">Quesería!$B$52*(L824+L825+L826+L830+L831)</f>
        <v>0.383772976935126</v>
      </c>
    </row>
    <row r="833" customFormat="false" ht="15" hidden="true" customHeight="false" outlineLevel="1" collapsed="false">
      <c r="A833" s="6" t="s">
        <v>415</v>
      </c>
      <c r="B833" s="29" t="n">
        <f aca="false">(IF($T$19=1,(SUMPRODUCT((Quesería!$C$70:$C$89=0)*(Quesería!$J$70:$J$89&gt;0)*(B$43&gt;=1)*(B$43&lt;=Quesería!$J$70:$J$89)*(Quesería!$H$70:$H$89&gt;0)*Quesería!$F$70:$F$89*(1+Quesería!$I$70:$I$89)/(Quesería!$J$70:$J$89+(Quesería!$J$70:$J$89=0)))+SUMPRODUCT((Quesería!$C$70:$C$89=0)*(Quesería!$J$70:$J$89=0)*(B$43=0)*(Quesería!$H$70:$H$89&gt;0)*Quesería!$F$70:$F$89*(1+Quesería!$I$70:$I$89)))*$B$821+(SUMPRODUCT((Quesería!$C$70:$C$89=1)*(Quesería!$J$70:$J$89&gt;0)*(B$43&gt;=2)*(B$43&lt;=Quesería!$J$70:$J$89+1)*(Quesería!$H$70:$H$89&gt;0)*Quesería!$F$70:$F$89*(1+Quesería!$I$70:$I$89)/(Quesería!$J$70:$J$89+(Quesería!$J$70:$J$89=0)))+SUMPRODUCT((Quesería!$C$70:$C$89=1)*(Quesería!$J$70:$J$89=0)*(B$43=1)*(Quesería!$H$70:$H$89&gt;0)*Quesería!$F$70:$F$89*(1+Quesería!$I$70:$I$89)))*$C$821*$T$21,IF(AND(B$43&gt;=1,B$43&lt;=Quesería!$B$30),Quesería!$F$92/Quesería!$B$30,0)*$B$821+IF(AND(B$43&gt;=2,B$43&lt;=Quesería!$B$30+1),Quesería!$F$93/Quesería!$B$30,0)*$C$821*$T$21)*$T$11+IF(AND(B$43&gt;=6,B$43&lt;=10),$G825*$G821/5,0)+IF(AND(B$43&gt;=7,B$43&lt;=11),$H825*$H821/5,0))*B823</f>
        <v>145.980915430742</v>
      </c>
      <c r="C833" s="29" t="n">
        <f aca="false">(IF($T$19=1,(SUMPRODUCT((Quesería!$C$70:$C$89=0)*(Quesería!$J$70:$J$89&gt;0)*(C$43&gt;=1)*(C$43&lt;=Quesería!$J$70:$J$89)*(Quesería!$H$70:$H$89&gt;0)*Quesería!$F$70:$F$89*(1+Quesería!$I$70:$I$89)/(Quesería!$J$70:$J$89+(Quesería!$J$70:$J$89=0)))+SUMPRODUCT((Quesería!$C$70:$C$89=0)*(Quesería!$J$70:$J$89=0)*(C$43=0)*(Quesería!$H$70:$H$89&gt;0)*Quesería!$F$70:$F$89*(1+Quesería!$I$70:$I$89)))*$B$821+(SUMPRODUCT((Quesería!$C$70:$C$89=1)*(Quesería!$J$70:$J$89&gt;0)*(C$43&gt;=2)*(C$43&lt;=Quesería!$J$70:$J$89+1)*(Quesería!$H$70:$H$89&gt;0)*Quesería!$F$70:$F$89*(1+Quesería!$I$70:$I$89)/(Quesería!$J$70:$J$89+(Quesería!$J$70:$J$89=0)))+SUMPRODUCT((Quesería!$C$70:$C$89=1)*(Quesería!$J$70:$J$89=0)*(C$43=1)*(Quesería!$H$70:$H$89&gt;0)*Quesería!$F$70:$F$89*(1+Quesería!$I$70:$I$89)))*$C$821*$T$21,IF(AND(C$43&gt;=1,C$43&lt;=Quesería!$B$30),Quesería!$F$92/Quesería!$B$30,0)*$B$821+IF(AND(C$43&gt;=2,C$43&lt;=Quesería!$B$30+1),Quesería!$F$93/Quesería!$B$30,0)*$C$821*$T$21)*$T$11+IF(AND(C$43&gt;=6,C$43&lt;=10),$G825*$G821/5,0)+IF(AND(C$43&gt;=7,C$43&lt;=11),$H825*$H821/5,0))*C823</f>
        <v>82.2633269524265</v>
      </c>
      <c r="D833" s="29" t="n">
        <f aca="false">(IF($T$19=1,(SUMPRODUCT((Quesería!$C$70:$C$89=0)*(Quesería!$J$70:$J$89&gt;0)*(D$43&gt;=1)*(D$43&lt;=Quesería!$J$70:$J$89)*(Quesería!$H$70:$H$89&gt;0)*Quesería!$F$70:$F$89*(1+Quesería!$I$70:$I$89)/(Quesería!$J$70:$J$89+(Quesería!$J$70:$J$89=0)))+SUMPRODUCT((Quesería!$C$70:$C$89=0)*(Quesería!$J$70:$J$89=0)*(D$43=0)*(Quesería!$H$70:$H$89&gt;0)*Quesería!$F$70:$F$89*(1+Quesería!$I$70:$I$89)))*$B$821+(SUMPRODUCT((Quesería!$C$70:$C$89=1)*(Quesería!$J$70:$J$89&gt;0)*(D$43&gt;=2)*(D$43&lt;=Quesería!$J$70:$J$89+1)*(Quesería!$H$70:$H$89&gt;0)*Quesería!$F$70:$F$89*(1+Quesería!$I$70:$I$89)/(Quesería!$J$70:$J$89+(Quesería!$J$70:$J$89=0)))+SUMPRODUCT((Quesería!$C$70:$C$89=1)*(Quesería!$J$70:$J$89=0)*(D$43=1)*(Quesería!$H$70:$H$89&gt;0)*Quesería!$F$70:$F$89*(1+Quesería!$I$70:$I$89)))*$C$821*$T$21,IF(AND(D$43&gt;=1,D$43&lt;=Quesería!$B$30),Quesería!$F$92/Quesería!$B$30,0)*$B$821+IF(AND(D$43&gt;=2,D$43&lt;=Quesería!$B$30+1),Quesería!$F$93/Quesería!$B$30,0)*$C$821*$T$21)*$T$11+IF(AND(D$43&gt;=6,D$43&lt;=10),$G825*$G821/5,0)+IF(AND(D$43&gt;=7,D$43&lt;=11),$H825*$H821/5,0))*D823</f>
        <v>151.301658966389</v>
      </c>
      <c r="E833" s="29" t="n">
        <f aca="false">(IF($T$19=1,(SUMPRODUCT((Quesería!$C$70:$C$89=0)*(Quesería!$J$70:$J$89&gt;0)*(E$43&gt;=1)*(E$43&lt;=Quesería!$J$70:$J$89)*(Quesería!$H$70:$H$89&gt;0)*Quesería!$F$70:$F$89*(1+Quesería!$I$70:$I$89)/(Quesería!$J$70:$J$89+(Quesería!$J$70:$J$89=0)))+SUMPRODUCT((Quesería!$C$70:$C$89=0)*(Quesería!$J$70:$J$89=0)*(E$43=0)*(Quesería!$H$70:$H$89&gt;0)*Quesería!$F$70:$F$89*(1+Quesería!$I$70:$I$89)))*$B$821+(SUMPRODUCT((Quesería!$C$70:$C$89=1)*(Quesería!$J$70:$J$89&gt;0)*(E$43&gt;=2)*(E$43&lt;=Quesería!$J$70:$J$89+1)*(Quesería!$H$70:$H$89&gt;0)*Quesería!$F$70:$F$89*(1+Quesería!$I$70:$I$89)/(Quesería!$J$70:$J$89+(Quesería!$J$70:$J$89=0)))+SUMPRODUCT((Quesería!$C$70:$C$89=1)*(Quesería!$J$70:$J$89=0)*(E$43=1)*(Quesería!$H$70:$H$89&gt;0)*Quesería!$F$70:$F$89*(1+Quesería!$I$70:$I$89)))*$C$821*$T$21,IF(AND(E$43&gt;=1,E$43&lt;=Quesería!$B$30),Quesería!$F$92/Quesería!$B$30,0)*$B$821+IF(AND(E$43&gt;=2,E$43&lt;=Quesería!$B$30+1),Quesería!$F$93/Quesería!$B$30,0)*$C$821*$T$21)*$T$11+IF(AND(E$43&gt;=6,E$43&lt;=10),$G825*$G821/5,0)+IF(AND(E$43&gt;=7,E$43&lt;=11),$H825*$H821/5,0))*E823</f>
        <v>145.482364390759</v>
      </c>
      <c r="F833" s="29" t="n">
        <f aca="false">(IF($T$19=1,(SUMPRODUCT((Quesería!$C$70:$C$89=0)*(Quesería!$J$70:$J$89&gt;0)*(F$43&gt;=1)*(F$43&lt;=Quesería!$J$70:$J$89)*(Quesería!$H$70:$H$89&gt;0)*Quesería!$F$70:$F$89*(1+Quesería!$I$70:$I$89)/(Quesería!$J$70:$J$89+(Quesería!$J$70:$J$89=0)))+SUMPRODUCT((Quesería!$C$70:$C$89=0)*(Quesería!$J$70:$J$89=0)*(F$43=0)*(Quesería!$H$70:$H$89&gt;0)*Quesería!$F$70:$F$89*(1+Quesería!$I$70:$I$89)))*$B$821+(SUMPRODUCT((Quesería!$C$70:$C$89=1)*(Quesería!$J$70:$J$89&gt;0)*(F$43&gt;=2)*(F$43&lt;=Quesería!$J$70:$J$89+1)*(Quesería!$H$70:$H$89&gt;0)*Quesería!$F$70:$F$89*(1+Quesería!$I$70:$I$89)/(Quesería!$J$70:$J$89+(Quesería!$J$70:$J$89=0)))+SUMPRODUCT((Quesería!$C$70:$C$89=1)*(Quesería!$J$70:$J$89=0)*(F$43=1)*(Quesería!$H$70:$H$89&gt;0)*Quesería!$F$70:$F$89*(1+Quesería!$I$70:$I$89)))*$C$821*$T$21,IF(AND(F$43&gt;=1,F$43&lt;=Quesería!$B$30),Quesería!$F$92/Quesería!$B$30,0)*$B$821+IF(AND(F$43&gt;=2,F$43&lt;=Quesería!$B$30+1),Quesería!$F$93/Quesería!$B$30,0)*$C$821*$T$21)*$T$11+IF(AND(F$43&gt;=6,F$43&lt;=10),$G825*$G821/5,0)+IF(AND(F$43&gt;=7,F$43&lt;=11),$H825*$H821/5,0))*F823</f>
        <v>139.886888837268</v>
      </c>
      <c r="G833" s="29" t="n">
        <f aca="false">(IF($T$19=1,(SUMPRODUCT((Quesería!$C$70:$C$89=0)*(Quesería!$J$70:$J$89&gt;0)*(G$43&gt;=1)*(G$43&lt;=Quesería!$J$70:$J$89)*(Quesería!$H$70:$H$89&gt;0)*Quesería!$F$70:$F$89*(1+Quesería!$I$70:$I$89)/(Quesería!$J$70:$J$89+(Quesería!$J$70:$J$89=0)))+SUMPRODUCT((Quesería!$C$70:$C$89=0)*(Quesería!$J$70:$J$89=0)*(G$43=0)*(Quesería!$H$70:$H$89&gt;0)*Quesería!$F$70:$F$89*(1+Quesería!$I$70:$I$89)))*$B$821+(SUMPRODUCT((Quesería!$C$70:$C$89=1)*(Quesería!$J$70:$J$89&gt;0)*(G$43&gt;=2)*(G$43&lt;=Quesería!$J$70:$J$89+1)*(Quesería!$H$70:$H$89&gt;0)*Quesería!$F$70:$F$89*(1+Quesería!$I$70:$I$89)/(Quesería!$J$70:$J$89+(Quesería!$J$70:$J$89=0)))+SUMPRODUCT((Quesería!$C$70:$C$89=1)*(Quesería!$J$70:$J$89=0)*(G$43=1)*(Quesería!$H$70:$H$89&gt;0)*Quesería!$F$70:$F$89*(1+Quesería!$I$70:$I$89)))*$C$821*$T$21,IF(AND(G$43&gt;=1,G$43&lt;=Quesería!$B$30),Quesería!$F$92/Quesería!$B$30,0)*$B$821+IF(AND(G$43&gt;=2,G$43&lt;=Quesería!$B$30+1),Quesería!$F$93/Quesería!$B$30,0)*$C$821*$T$21)*$T$11+IF(AND(G$43&gt;=6,G$43&lt;=10),$G825*$G821/5,0)+IF(AND(G$43&gt;=7,G$43&lt;=11),$H825*$H821/5,0))*G823</f>
        <v>134.506623881988</v>
      </c>
      <c r="H833" s="29" t="n">
        <f aca="false">(IF($T$19=1,(SUMPRODUCT((Quesería!$C$70:$C$89=0)*(Quesería!$J$70:$J$89&gt;0)*(H$43&gt;=1)*(H$43&lt;=Quesería!$J$70:$J$89)*(Quesería!$H$70:$H$89&gt;0)*Quesería!$F$70:$F$89*(1+Quesería!$I$70:$I$89)/(Quesería!$J$70:$J$89+(Quesería!$J$70:$J$89=0)))+SUMPRODUCT((Quesería!$C$70:$C$89=0)*(Quesería!$J$70:$J$89=0)*(H$43=0)*(Quesería!$H$70:$H$89&gt;0)*Quesería!$F$70:$F$89*(1+Quesería!$I$70:$I$89)))*$B$821+(SUMPRODUCT((Quesería!$C$70:$C$89=1)*(Quesería!$J$70:$J$89&gt;0)*(H$43&gt;=2)*(H$43&lt;=Quesería!$J$70:$J$89+1)*(Quesería!$H$70:$H$89&gt;0)*Quesería!$F$70:$F$89*(1+Quesería!$I$70:$I$89)/(Quesería!$J$70:$J$89+(Quesería!$J$70:$J$89=0)))+SUMPRODUCT((Quesería!$C$70:$C$89=1)*(Quesería!$J$70:$J$89=0)*(H$43=1)*(Quesería!$H$70:$H$89&gt;0)*Quesería!$F$70:$F$89*(1+Quesería!$I$70:$I$89)))*$C$821*$T$21,IF(AND(H$43&gt;=1,H$43&lt;=Quesería!$B$30),Quesería!$F$92/Quesería!$B$30,0)*$B$821+IF(AND(H$43&gt;=2,H$43&lt;=Quesería!$B$30+1),Quesería!$F$93/Quesería!$B$30,0)*$C$821*$T$21)*$T$11+IF(AND(H$43&gt;=6,H$43&lt;=10),$G825*$G821/5,0)+IF(AND(H$43&gt;=7,H$43&lt;=11),$H825*$H821/5,0))*H823</f>
        <v>122.314670590318</v>
      </c>
      <c r="I833" s="29" t="n">
        <f aca="false">(IF($T$19=1,(SUMPRODUCT((Quesería!$C$70:$C$89=0)*(Quesería!$J$70:$J$89&gt;0)*(I$43&gt;=1)*(I$43&lt;=Quesería!$J$70:$J$89)*(Quesería!$H$70:$H$89&gt;0)*Quesería!$F$70:$F$89*(1+Quesería!$I$70:$I$89)/(Quesería!$J$70:$J$89+(Quesería!$J$70:$J$89=0)))+SUMPRODUCT((Quesería!$C$70:$C$89=0)*(Quesería!$J$70:$J$89=0)*(I$43=0)*(Quesería!$H$70:$H$89&gt;0)*Quesería!$F$70:$F$89*(1+Quesería!$I$70:$I$89)))*$B$821+(SUMPRODUCT((Quesería!$C$70:$C$89=1)*(Quesería!$J$70:$J$89&gt;0)*(I$43&gt;=2)*(I$43&lt;=Quesería!$J$70:$J$89+1)*(Quesería!$H$70:$H$89&gt;0)*Quesería!$F$70:$F$89*(1+Quesería!$I$70:$I$89)/(Quesería!$J$70:$J$89+(Quesería!$J$70:$J$89=0)))+SUMPRODUCT((Quesería!$C$70:$C$89=1)*(Quesería!$J$70:$J$89=0)*(I$43=1)*(Quesería!$H$70:$H$89&gt;0)*Quesería!$F$70:$F$89*(1+Quesería!$I$70:$I$89)))*$C$821*$T$21,IF(AND(I$43&gt;=1,I$43&lt;=Quesería!$B$30),Quesería!$F$92/Quesería!$B$30,0)*$B$821+IF(AND(I$43&gt;=2,I$43&lt;=Quesería!$B$30+1),Quesería!$F$93/Quesería!$B$30,0)*$C$821*$T$21)*$T$11+IF(AND(I$43&gt;=6,I$43&lt;=10),$G825*$G821/5,0)+IF(AND(I$43&gt;=7,I$43&lt;=11),$H825*$H821/5,0))*I823</f>
        <v>126.531251665874</v>
      </c>
      <c r="J833" s="29" t="n">
        <f aca="false">(IF($T$19=1,(SUMPRODUCT((Quesería!$C$70:$C$89=0)*(Quesería!$J$70:$J$89&gt;0)*(J$43&gt;=1)*(J$43&lt;=Quesería!$J$70:$J$89)*(Quesería!$H$70:$H$89&gt;0)*Quesería!$F$70:$F$89*(1+Quesería!$I$70:$I$89)/(Quesería!$J$70:$J$89+(Quesería!$J$70:$J$89=0)))+SUMPRODUCT((Quesería!$C$70:$C$89=0)*(Quesería!$J$70:$J$89=0)*(J$43=0)*(Quesería!$H$70:$H$89&gt;0)*Quesería!$F$70:$F$89*(1+Quesería!$I$70:$I$89)))*$B$821+(SUMPRODUCT((Quesería!$C$70:$C$89=1)*(Quesería!$J$70:$J$89&gt;0)*(J$43&gt;=2)*(J$43&lt;=Quesería!$J$70:$J$89+1)*(Quesería!$H$70:$H$89&gt;0)*Quesería!$F$70:$F$89*(1+Quesería!$I$70:$I$89)/(Quesería!$J$70:$J$89+(Quesería!$J$70:$J$89=0)))+SUMPRODUCT((Quesería!$C$70:$C$89=1)*(Quesería!$J$70:$J$89=0)*(J$43=1)*(Quesería!$H$70:$H$89&gt;0)*Quesería!$F$70:$F$89*(1+Quesería!$I$70:$I$89)))*$C$821*$T$21,IF(AND(J$43&gt;=1,J$43&lt;=Quesería!$B$30),Quesería!$F$92/Quesería!$B$30,0)*$B$821+IF(AND(J$43&gt;=2,J$43&lt;=Quesería!$B$30+1),Quesería!$F$93/Quesería!$B$30,0)*$C$821*$T$21)*$T$11+IF(AND(J$43&gt;=6,J$43&lt;=10),$G825*$G821/5,0)+IF(AND(J$43&gt;=7,J$43&lt;=11),$H825*$H821/5,0))*J823</f>
        <v>121.66466506334</v>
      </c>
      <c r="K833" s="29" t="n">
        <f aca="false">(IF($T$19=1,(SUMPRODUCT((Quesería!$C$70:$C$89=0)*(Quesería!$J$70:$J$89&gt;0)*(K$43&gt;=1)*(K$43&lt;=Quesería!$J$70:$J$89)*(Quesería!$H$70:$H$89&gt;0)*Quesería!$F$70:$F$89*(1+Quesería!$I$70:$I$89)/(Quesería!$J$70:$J$89+(Quesería!$J$70:$J$89=0)))+SUMPRODUCT((Quesería!$C$70:$C$89=0)*(Quesería!$J$70:$J$89=0)*(K$43=0)*(Quesería!$H$70:$H$89&gt;0)*Quesería!$F$70:$F$89*(1+Quesería!$I$70:$I$89)))*$B$821+(SUMPRODUCT((Quesería!$C$70:$C$89=1)*(Quesería!$J$70:$J$89&gt;0)*(K$43&gt;=2)*(K$43&lt;=Quesería!$J$70:$J$89+1)*(Quesería!$H$70:$H$89&gt;0)*Quesería!$F$70:$F$89*(1+Quesería!$I$70:$I$89)/(Quesería!$J$70:$J$89+(Quesería!$J$70:$J$89=0)))+SUMPRODUCT((Quesería!$C$70:$C$89=1)*(Quesería!$J$70:$J$89=0)*(K$43=1)*(Quesería!$H$70:$H$89&gt;0)*Quesería!$F$70:$F$89*(1+Quesería!$I$70:$I$89)))*$C$821*$T$21,IF(AND(K$43&gt;=1,K$43&lt;=Quesería!$B$30),Quesería!$F$92/Quesería!$B$30,0)*$B$821+IF(AND(K$43&gt;=2,K$43&lt;=Quesería!$B$30+1),Quesería!$F$93/Quesería!$B$30,0)*$C$821*$T$21)*$T$11+IF(AND(K$43&gt;=6,K$43&lt;=10),$G825*$G821/5,0)+IF(AND(K$43&gt;=7,K$43&lt;=11),$H825*$H821/5,0))*K823</f>
        <v>116.985254868597</v>
      </c>
      <c r="L833" s="29" t="n">
        <f aca="false">(IF($T$19=1,(SUMPRODUCT((Quesería!$C$70:$C$89=0)*(Quesería!$J$70:$J$89&gt;0)*(L$43&gt;=1)*(L$43&lt;=Quesería!$J$70:$J$89)*(Quesería!$H$70:$H$89&gt;0)*Quesería!$F$70:$F$89*(1+Quesería!$I$70:$I$89)/(Quesería!$J$70:$J$89+(Quesería!$J$70:$J$89=0)))+SUMPRODUCT((Quesería!$C$70:$C$89=0)*(Quesería!$J$70:$J$89=0)*(L$43=0)*(Quesería!$H$70:$H$89&gt;0)*Quesería!$F$70:$F$89*(1+Quesería!$I$70:$I$89)))*$B$821+(SUMPRODUCT((Quesería!$C$70:$C$89=1)*(Quesería!$J$70:$J$89&gt;0)*(L$43&gt;=2)*(L$43&lt;=Quesería!$J$70:$J$89+1)*(Quesería!$H$70:$H$89&gt;0)*Quesería!$F$70:$F$89*(1+Quesería!$I$70:$I$89)/(Quesería!$J$70:$J$89+(Quesería!$J$70:$J$89=0)))+SUMPRODUCT((Quesería!$C$70:$C$89=1)*(Quesería!$J$70:$J$89=0)*(L$43=1)*(Quesería!$H$70:$H$89&gt;0)*Quesería!$F$70:$F$89*(1+Quesería!$I$70:$I$89)))*$C$821*$T$21,IF(AND(L$43&gt;=1,L$43&lt;=Quesería!$B$30),Quesería!$F$92/Quesería!$B$30,0)*$B$821+IF(AND(L$43&gt;=2,L$43&lt;=Quesería!$B$30+1),Quesería!$F$93/Quesería!$B$30,0)*$C$821*$T$21)*$T$11+IF(AND(L$43&gt;=6,L$43&lt;=10),$G825*$G821/5,0)+IF(AND(L$43&gt;=7,L$43&lt;=11),$H825*$H821/5,0))*L823</f>
        <v>112.485821989035</v>
      </c>
    </row>
    <row r="834" customFormat="false" ht="15" hidden="true" customHeight="false" outlineLevel="1" collapsed="false">
      <c r="A834" s="9" t="s">
        <v>416</v>
      </c>
      <c r="B834" s="58" t="n">
        <f aca="false">IF(B$43=1,MIN($T$7*Quesería!$B$56*Quesería!$F$86*$T$11*$T$21,Quesería!$B$57*Quesería!$B$58),0)</f>
        <v>0</v>
      </c>
      <c r="C834" s="58" t="n">
        <f aca="false">IF(C$43=1,MIN($T$7*Quesería!$B$56*Quesería!$F$86*$T$11*$T$21,Quesería!$B$57*Quesería!$B$58),0)</f>
        <v>20</v>
      </c>
      <c r="D834" s="58" t="n">
        <f aca="false">IF(D$43=1,MIN($T$7*Quesería!$B$56*Quesería!$F$86*$T$11*$T$21,Quesería!$B$57*Quesería!$B$58),0)</f>
        <v>0</v>
      </c>
      <c r="E834" s="58" t="n">
        <f aca="false">IF(E$43=1,MIN($T$7*Quesería!$B$56*Quesería!$F$86*$T$11*$T$21,Quesería!$B$57*Quesería!$B$58),0)</f>
        <v>0</v>
      </c>
      <c r="F834" s="58" t="n">
        <f aca="false">IF(F$43=1,MIN($T$7*Quesería!$B$56*Quesería!$F$86*$T$11*$T$21,Quesería!$B$57*Quesería!$B$58),0)</f>
        <v>0</v>
      </c>
      <c r="G834" s="58" t="n">
        <f aca="false">IF(G$43=1,MIN($T$7*Quesería!$B$56*Quesería!$F$86*$T$11*$T$21,Quesería!$B$57*Quesería!$B$58),0)</f>
        <v>0</v>
      </c>
      <c r="H834" s="58" t="n">
        <f aca="false">IF(H$43=1,MIN($T$7*Quesería!$B$56*Quesería!$F$86*$T$11*$T$21,Quesería!$B$57*Quesería!$B$58),0)</f>
        <v>0</v>
      </c>
      <c r="I834" s="58" t="n">
        <f aca="false">IF(I$43=1,MIN($T$7*Quesería!$B$56*Quesería!$F$86*$T$11*$T$21,Quesería!$B$57*Quesería!$B$58),0)</f>
        <v>0</v>
      </c>
      <c r="J834" s="58" t="n">
        <f aca="false">IF(J$43=1,MIN($T$7*Quesería!$B$56*Quesería!$F$86*$T$11*$T$21,Quesería!$B$57*Quesería!$B$58),0)</f>
        <v>0</v>
      </c>
      <c r="K834" s="58" t="n">
        <f aca="false">IF(K$43=1,MIN($T$7*Quesería!$B$56*Quesería!$F$86*$T$11*$T$21,Quesería!$B$57*Quesería!$B$58),0)</f>
        <v>0</v>
      </c>
      <c r="L834" s="58" t="n">
        <f aca="false">IF(L$43=1,MIN($T$7*Quesería!$B$56*Quesería!$F$86*$T$11*$T$21,Quesería!$B$57*Quesería!$B$58),0)</f>
        <v>0</v>
      </c>
    </row>
    <row r="835" customFormat="false" ht="15" hidden="true" customHeight="false" outlineLevel="1" collapsed="false">
      <c r="A835" s="9" t="s">
        <v>417</v>
      </c>
      <c r="B835" s="58" t="n">
        <v>0</v>
      </c>
      <c r="C835" s="58" t="n">
        <f aca="false">$T$20*Quesería!$B$60*Quesería!$F$98*$T$11*$B$821/C821/2</f>
        <v>0</v>
      </c>
      <c r="D835" s="58" t="n">
        <f aca="false">$T$20*Quesería!$B$60*Quesería!$F$98*$T$11*$B$821/D821/2</f>
        <v>0</v>
      </c>
      <c r="E835" s="58" t="n">
        <v>0</v>
      </c>
      <c r="F835" s="58" t="n">
        <v>0</v>
      </c>
      <c r="G835" s="58" t="n">
        <v>0</v>
      </c>
      <c r="H835" s="58" t="n">
        <v>0</v>
      </c>
      <c r="I835" s="58" t="n">
        <v>0</v>
      </c>
      <c r="J835" s="58" t="n">
        <v>0</v>
      </c>
      <c r="K835" s="58" t="n">
        <v>0</v>
      </c>
      <c r="L835" s="58" t="n">
        <v>0</v>
      </c>
    </row>
    <row r="836" customFormat="false" ht="15" hidden="true" customHeight="false" outlineLevel="1" collapsed="false">
      <c r="A836" s="9" t="s">
        <v>418</v>
      </c>
      <c r="B836" s="58" t="n">
        <f aca="false">0</f>
        <v>0</v>
      </c>
      <c r="C836" s="58" t="n">
        <f aca="false">B826*B821/C821</f>
        <v>142.014925295407</v>
      </c>
      <c r="D836" s="58" t="n">
        <f aca="false">C826*C821/D821</f>
        <v>137.903466668091</v>
      </c>
      <c r="E836" s="58" t="n">
        <f aca="false">D826*D821/E821</f>
        <v>0</v>
      </c>
      <c r="F836" s="58" t="n">
        <f aca="false">E826*E821/F821</f>
        <v>0</v>
      </c>
      <c r="G836" s="58" t="n">
        <f aca="false">F826*F821/G821</f>
        <v>0</v>
      </c>
      <c r="H836" s="58" t="n">
        <f aca="false">G826*G821/H821</f>
        <v>5.01768392412113</v>
      </c>
      <c r="I836" s="58" t="n">
        <f aca="false">H826*H821/I821</f>
        <v>8.47494190873221</v>
      </c>
      <c r="J836" s="58" t="n">
        <f aca="false">I826*I821/J821</f>
        <v>0</v>
      </c>
      <c r="K836" s="58" t="n">
        <f aca="false">J826*J821/K821</f>
        <v>0</v>
      </c>
      <c r="L836" s="58" t="n">
        <f aca="false">K826*K821/L821</f>
        <v>0</v>
      </c>
    </row>
    <row r="837" customFormat="false" ht="15" hidden="true" customHeight="false" outlineLevel="1" collapsed="false">
      <c r="A837" s="6" t="s">
        <v>295</v>
      </c>
      <c r="B837" s="29" t="n">
        <f aca="false">$T$17*(B829-B830-B831-0.5*B832-B833)-B834-B835-B836</f>
        <v>-9.59839124703308</v>
      </c>
      <c r="C837" s="29" t="n">
        <f aca="false">$T$17*(C829-C830-C831-0.5*C832-C833)-C834-C835-C836</f>
        <v>-149.230366181451</v>
      </c>
      <c r="D837" s="29" t="n">
        <f aca="false">$T$17*(D829-D830-D831-0.5*D832-D833)-D834-D835-D836</f>
        <v>-57.544763956456</v>
      </c>
      <c r="E837" s="29" t="n">
        <f aca="false">$T$17*(E829-E830-E831-0.5*E832-E833)-E834-E835-E836</f>
        <v>104.732731328365</v>
      </c>
      <c r="F837" s="29" t="n">
        <f aca="false">$T$17*(F829-F830-F831-0.5*F832-F833)-F834-F835-F836</f>
        <v>106.799371634489</v>
      </c>
      <c r="G837" s="29" t="n">
        <f aca="false">$T$17*(G829-G830-G831-0.5*G832-G833)-G834-G835-G836</f>
        <v>108.768350824566</v>
      </c>
      <c r="H837" s="29" t="n">
        <f aca="false">$T$17*(H829-H830-H831-0.5*H832-H833)-H834-H835-H836</f>
        <v>108.111395718431</v>
      </c>
      <c r="I837" s="29" t="n">
        <f aca="false">$T$17*(I829-I830-I831-0.5*I832-I833)-I834-I835-I836</f>
        <v>103.326831874739</v>
      </c>
      <c r="J837" s="29" t="n">
        <f aca="false">$T$17*(J829-J830-J831-0.5*J832-J833)-J834-J835-J836</f>
        <v>113.615483721767</v>
      </c>
      <c r="K837" s="29" t="n">
        <f aca="false">$T$17*(K829-K830-K831-0.5*K832-K833)-K834-K835-K836</f>
        <v>115.364233940474</v>
      </c>
      <c r="L837" s="29" t="n">
        <f aca="false">$T$17*(L829-L830-L831-0.5*L832-L833)-L834-L835-L836</f>
        <v>117.05054688212</v>
      </c>
    </row>
    <row r="838" customFormat="false" ht="15" hidden="true" customHeight="false" outlineLevel="1" collapsed="false">
      <c r="A838" s="9" t="s">
        <v>419</v>
      </c>
      <c r="B838" s="58" t="n">
        <f aca="false">(IF(B$43&gt;=1,Quesería!$G$123*IF(B$43=1,Quesería!$B$20,1),Quesería!$G$123*Quesería!$B$20*Quesería!$B$21/12*$T$23)+IF(B$43&gt;=2,Quesería!$G$124*$T$21*IF(B$43=2,Quesería!$B$20,1),0))*$T$10</f>
        <v>77.4042870161869</v>
      </c>
      <c r="C838" s="58" t="n">
        <f aca="false">(IF(C$43&gt;=1,Quesería!$G$123*IF(C$43=1,Quesería!$B$20,1),Quesería!$G$123*Quesería!$B$20*Quesería!$B$21/12*$T$23)+IF(C$43&gt;=2,Quesería!$G$124*$T$21*IF(C$43=2,Quesería!$B$20,1),0))*$T$10</f>
        <v>116.10643052428</v>
      </c>
      <c r="D838" s="58" t="n">
        <f aca="false">(IF(D$43&gt;=1,Quesería!$G$123*IF(D$43=1,Quesería!$B$20,1),Quesería!$G$123*Quesería!$B$20*Quesería!$B$21/12*$T$23)+IF(D$43&gt;=2,Quesería!$G$124*$T$21*IF(D$43=2,Quesería!$B$20,1),0))*$T$10</f>
        <v>297.090260202792</v>
      </c>
      <c r="E838" s="58" t="n">
        <f aca="false">(IF(E$43&gt;=1,Quesería!$G$123*IF(E$43=1,Quesería!$B$20,1),Quesería!$G$123*Quesería!$B$20*Quesería!$B$21/12*$T$23)+IF(E$43&gt;=2,Quesería!$G$124*$T$21*IF(E$43=2,Quesería!$B$20,1),0))*$T$10</f>
        <v>344.517488926264</v>
      </c>
      <c r="F838" s="58" t="n">
        <f aca="false">(IF(F$43&gt;=1,Quesería!$G$123*IF(F$43=1,Quesería!$B$20,1),Quesería!$G$123*Quesería!$B$20*Quesería!$B$21/12*$T$23)+IF(F$43&gt;=2,Quesería!$G$124*$T$21*IF(F$43=2,Quesería!$B$20,1),0))*$T$10</f>
        <v>344.517488926264</v>
      </c>
      <c r="G838" s="58" t="n">
        <f aca="false">(IF(G$43&gt;=1,Quesería!$G$123*IF(G$43=1,Quesería!$B$20,1),Quesería!$G$123*Quesería!$B$20*Quesería!$B$21/12*$T$23)+IF(G$43&gt;=2,Quesería!$G$124*$T$21*IF(G$43=2,Quesería!$B$20,1),0))*$T$10</f>
        <v>344.517488926264</v>
      </c>
      <c r="H838" s="58" t="n">
        <f aca="false">(IF(H$43&gt;=1,Quesería!$G$123*IF(H$43=1,Quesería!$B$20,1),Quesería!$G$123*Quesería!$B$20*Quesería!$B$21/12*$T$23)+IF(H$43&gt;=2,Quesería!$G$124*$T$21*IF(H$43=2,Quesería!$B$20,1),0))*$T$10</f>
        <v>344.517488926264</v>
      </c>
      <c r="I838" s="58" t="n">
        <f aca="false">(IF(I$43&gt;=1,Quesería!$G$123*IF(I$43=1,Quesería!$B$20,1),Quesería!$G$123*Quesería!$B$20*Quesería!$B$21/12*$T$23)+IF(I$43&gt;=2,Quesería!$G$124*$T$21*IF(I$43=2,Quesería!$B$20,1),0))*$T$10</f>
        <v>344.517488926264</v>
      </c>
      <c r="J838" s="58" t="n">
        <f aca="false">(IF(J$43&gt;=1,Quesería!$G$123*IF(J$43=1,Quesería!$B$20,1),Quesería!$G$123*Quesería!$B$20*Quesería!$B$21/12*$T$23)+IF(J$43&gt;=2,Quesería!$G$124*$T$21*IF(J$43=2,Quesería!$B$20,1),0))*$T$10</f>
        <v>344.517488926264</v>
      </c>
      <c r="K838" s="58" t="n">
        <f aca="false">(IF(K$43&gt;=1,Quesería!$G$123*IF(K$43=1,Quesería!$B$20,1),Quesería!$G$123*Quesería!$B$20*Quesería!$B$21/12*$T$23)+IF(K$43&gt;=2,Quesería!$G$124*$T$21*IF(K$43=2,Quesería!$B$20,1),0))*$T$10</f>
        <v>344.517488926264</v>
      </c>
      <c r="L838" s="58" t="n">
        <f aca="false">(IF(L$43&gt;=1,Quesería!$G$123*IF(L$43=1,Quesería!$B$20,1),Quesería!$G$123*Quesería!$B$20*Quesería!$B$21/12*$T$23)+IF(L$43&gt;=2,Quesería!$G$124*$T$21*IF(L$43=2,Quesería!$B$20,1),0))*$T$10</f>
        <v>344.517488926264</v>
      </c>
    </row>
    <row r="839" customFormat="false" ht="15" hidden="true" customHeight="false" outlineLevel="1" collapsed="false">
      <c r="A839" s="6" t="s">
        <v>420</v>
      </c>
      <c r="B839" s="29" t="n">
        <f aca="false">(B838*(Quesería!$B$38+Quesería!$B$40*Quesería!$B$39)/365-B830*Quesería!$B$42/365)</f>
        <v>7.23146900616979</v>
      </c>
      <c r="C839" s="29" t="n">
        <f aca="false">(C838*(Quesería!$B$38+Quesería!$B$40*Quesería!$B$39)/365-C830*Quesería!$B$42/365)-(B838*(Quesería!$B$38+Quesería!$B$40*Quesería!$B$39)/365-B830*Quesería!$B$42/365)*B821/C821</f>
        <v>1.42287846600884</v>
      </c>
      <c r="D839" s="29" t="n">
        <f aca="false">(D838*(Quesería!$B$38+Quesería!$B$40*Quesería!$B$39)/365-D830*Quesería!$B$42/365)-(C838*(Quesería!$B$38+Quesería!$B$40*Quesería!$B$39)/365-C830*Quesería!$B$42/365)*C821/D821</f>
        <v>14.0205300736897</v>
      </c>
      <c r="E839" s="29" t="n">
        <f aca="false">(E838*(Quesería!$B$38+Quesería!$B$40*Quesería!$B$39)/365-E830*Quesería!$B$42/365)-(D838*(Quesería!$B$38+Quesería!$B$40*Quesería!$B$39)/365-D830*Quesería!$B$42/365)*D821/E821</f>
        <v>5.27597549905193</v>
      </c>
      <c r="F839" s="29" t="n">
        <f aca="false">(F838*(Quesería!$B$38+Quesería!$B$40*Quesería!$B$39)/365-F830*Quesería!$B$42/365)-(E838*(Quesería!$B$38+Quesería!$B$40*Quesería!$B$39)/365-E830*Quesería!$B$42/365)*E821/F821</f>
        <v>1.01552107473577</v>
      </c>
      <c r="G839" s="29" t="n">
        <f aca="false">(G838*(Quesería!$B$38+Quesería!$B$40*Quesería!$B$39)/365-G830*Quesería!$B$42/365)-(F838*(Quesería!$B$38+Quesería!$B$40*Quesería!$B$39)/365-F830*Quesería!$B$42/365)*F821/G821</f>
        <v>1.01552107473577</v>
      </c>
      <c r="H839" s="29" t="n">
        <f aca="false">(H838*(Quesería!$B$38+Quesería!$B$40*Quesería!$B$39)/365-H830*Quesería!$B$42/365)-(G838*(Quesería!$B$38+Quesería!$B$40*Quesería!$B$39)/365-G830*Quesería!$B$42/365)*G821/H821</f>
        <v>1.01552107473577</v>
      </c>
      <c r="I839" s="29" t="n">
        <f aca="false">(I838*(Quesería!$B$38+Quesería!$B$40*Quesería!$B$39)/365-I830*Quesería!$B$42/365)-(H838*(Quesería!$B$38+Quesería!$B$40*Quesería!$B$39)/365-H830*Quesería!$B$42/365)*H821/I821</f>
        <v>1.01552107473577</v>
      </c>
      <c r="J839" s="29" t="n">
        <f aca="false">(J838*(Quesería!$B$38+Quesería!$B$40*Quesería!$B$39)/365-J830*Quesería!$B$42/365)-(I838*(Quesería!$B$38+Quesería!$B$40*Quesería!$B$39)/365-I830*Quesería!$B$42/365)*I821/J821</f>
        <v>1.01552107473577</v>
      </c>
      <c r="K839" s="29" t="n">
        <f aca="false">(K838*(Quesería!$B$38+Quesería!$B$40*Quesería!$B$39)/365-K830*Quesería!$B$42/365)-(J838*(Quesería!$B$38+Quesería!$B$40*Quesería!$B$39)/365-J830*Quesería!$B$42/365)*J821/K821</f>
        <v>1.01552107473577</v>
      </c>
      <c r="L839" s="29" t="n">
        <f aca="false">-(K838*(Quesería!$B$38+Quesería!$B$40*Quesería!$B$39)/365-K830*Quesería!$B$42/365)*K821/L821</f>
        <v>-25.3880268683941</v>
      </c>
    </row>
    <row r="840" customFormat="false" ht="15" hidden="true" customHeight="false" outlineLevel="1" collapsed="false">
      <c r="A840" s="6" t="s">
        <v>421</v>
      </c>
      <c r="B840" s="29" t="n">
        <v>0</v>
      </c>
      <c r="C840" s="29" t="n">
        <v>0</v>
      </c>
      <c r="D840" s="29" t="n">
        <v>0</v>
      </c>
      <c r="E840" s="29" t="n">
        <v>0</v>
      </c>
      <c r="F840" s="29" t="n">
        <v>0</v>
      </c>
      <c r="G840" s="29" t="n">
        <v>0</v>
      </c>
      <c r="H840" s="29" t="n">
        <v>0</v>
      </c>
      <c r="I840" s="29" t="n">
        <v>0</v>
      </c>
      <c r="J840" s="29" t="n">
        <v>0</v>
      </c>
      <c r="K840" s="29" t="n">
        <v>0</v>
      </c>
      <c r="L840" s="29" t="n">
        <f aca="false">$T$8*Quesería!$B$36*(Quesería!$F$94+Quesería!$F$95*$T$21)*$T$11*(1-$T$17)</f>
        <v>67.1237725584543</v>
      </c>
    </row>
    <row r="841" customFormat="false" ht="15" hidden="true" customHeight="false" outlineLevel="1" collapsed="false">
      <c r="A841" s="5" t="s">
        <v>147</v>
      </c>
      <c r="B841" s="59" t="n">
        <f aca="false">B829-B830-B831-B832-B837-B824-B825-B826-B839+B840</f>
        <v>-961.151880133756</v>
      </c>
      <c r="C841" s="59" t="n">
        <f aca="false">C829-C830-C831-C832-C837-C824-C825-C826-C839+C840</f>
        <v>-637.906441898648</v>
      </c>
      <c r="D841" s="59" t="n">
        <f aca="false">D829-D830-D831-D832-D837-D824-D825-D826-D839+D840</f>
        <v>424.230299822501</v>
      </c>
      <c r="E841" s="59" t="n">
        <f aca="false">E829-E830-E831-E832-E837-E824-E825-E826-E839+E840</f>
        <v>334.518146298773</v>
      </c>
      <c r="F841" s="59" t="n">
        <f aca="false">F829-F830-F831-F832-F837-F824-F825-F826-F839+F840</f>
        <v>337.021171452401</v>
      </c>
      <c r="G841" s="59" t="n">
        <f aca="false">G829-G830-G831-G832-G837-G824-G825-G826-G839+G840</f>
        <v>302.548606368777</v>
      </c>
      <c r="H841" s="59" t="n">
        <f aca="false">H829-H830-H831-H832-H837-H824-H825-H826-H839+H840</f>
        <v>280.908307657918</v>
      </c>
      <c r="I841" s="59" t="n">
        <f aca="false">I829-I830-I831-I832-I837-I824-I825-I826-I839+I840</f>
        <v>341.430651609277</v>
      </c>
      <c r="J841" s="59" t="n">
        <f aca="false">J829-J830-J831-J832-J837-J824-J825-J826-J839+J840</f>
        <v>331.457441554847</v>
      </c>
      <c r="K841" s="59" t="n">
        <f aca="false">K829-K830-K831-K832-K837-K824-K825-K826-K839+K840</f>
        <v>330.025710337702</v>
      </c>
      <c r="L841" s="59" t="n">
        <f aca="false">L829-L830-L831-L832-L837-L824-L825-L826-L839+L840</f>
        <v>422.18532199421</v>
      </c>
    </row>
    <row r="842" customFormat="false" ht="15" hidden="true" customHeight="false" outlineLevel="1" collapsed="false">
      <c r="A842" s="9" t="s">
        <v>422</v>
      </c>
      <c r="B842" s="58" t="n">
        <f aca="false">B841*B821</f>
        <v>-1018.82099294178</v>
      </c>
      <c r="C842" s="58" t="n">
        <f aca="false">C841*C821</f>
        <v>-709.989869833195</v>
      </c>
      <c r="D842" s="58" t="n">
        <f aca="false">D841*D821</f>
        <v>493.415898269053</v>
      </c>
      <c r="E842" s="58" t="n">
        <f aca="false">E841*E821</f>
        <v>404.635959715425</v>
      </c>
      <c r="F842" s="58" t="n">
        <f aca="false">F841*F821</f>
        <v>423.970185565331</v>
      </c>
      <c r="G842" s="58" t="n">
        <f aca="false">G841*G821</f>
        <v>395.828107062799</v>
      </c>
      <c r="H842" s="58" t="n">
        <f aca="false">H841*H821</f>
        <v>382.216468333796</v>
      </c>
      <c r="I842" s="58" t="n">
        <f aca="false">I841*I821</f>
        <v>483.148525168723</v>
      </c>
      <c r="J842" s="58" t="n">
        <f aca="false">J841*J821</f>
        <v>487.797156524052</v>
      </c>
      <c r="K842" s="58" t="n">
        <f aca="false">K841*K821</f>
        <v>505.117720152798</v>
      </c>
      <c r="L842" s="58" t="n">
        <f aca="false">L841*L821</f>
        <v>672.01860907702</v>
      </c>
    </row>
    <row r="843" customFormat="false" ht="15" hidden="true" customHeight="false" outlineLevel="1" collapsed="false">
      <c r="A843" s="6" t="s">
        <v>423</v>
      </c>
      <c r="B843" s="29" t="n">
        <f aca="false">B841</f>
        <v>-961.151880133756</v>
      </c>
      <c r="C843" s="29" t="n">
        <f aca="false">B843+C841</f>
        <v>-1599.0583220324</v>
      </c>
      <c r="D843" s="29" t="n">
        <f aca="false">C843+D841</f>
        <v>-1174.8280222099</v>
      </c>
      <c r="E843" s="29" t="n">
        <f aca="false">D843+E841</f>
        <v>-840.309875911129</v>
      </c>
      <c r="F843" s="29" t="n">
        <f aca="false">E843+F841</f>
        <v>-503.288704458728</v>
      </c>
      <c r="G843" s="29" t="n">
        <f aca="false">F843+G841</f>
        <v>-200.74009808995</v>
      </c>
      <c r="H843" s="29" t="n">
        <f aca="false">G843+H841</f>
        <v>80.1682095679674</v>
      </c>
      <c r="I843" s="29" t="n">
        <f aca="false">H843+I841</f>
        <v>421.598861177245</v>
      </c>
      <c r="J843" s="29" t="n">
        <f aca="false">I843+J841</f>
        <v>753.056302732092</v>
      </c>
      <c r="K843" s="29" t="n">
        <f aca="false">J843+K841</f>
        <v>1083.08201306979</v>
      </c>
      <c r="L843" s="29" t="n">
        <f aca="false">K843+L841</f>
        <v>1505.267335064</v>
      </c>
    </row>
    <row r="844" customFormat="false" ht="15" hidden="true" customHeight="false" outlineLevel="1" collapsed="false">
      <c r="A844" s="9" t="s">
        <v>424</v>
      </c>
      <c r="B844" s="60" t="n">
        <v>0</v>
      </c>
      <c r="C844" s="60" t="n">
        <f aca="false">IF(AND(B843&lt;0,C843&gt;=0),B$43+(-B843)/C841,0)</f>
        <v>0</v>
      </c>
      <c r="D844" s="60" t="n">
        <f aca="false">IF(AND(C843&lt;0,D843&gt;=0),C$43+(-C843)/D841,0)</f>
        <v>0</v>
      </c>
      <c r="E844" s="60" t="n">
        <f aca="false">IF(AND(D843&lt;0,E843&gt;=0),D$43+(-D843)/E841,0)</f>
        <v>0</v>
      </c>
      <c r="F844" s="60" t="n">
        <f aca="false">IF(AND(E843&lt;0,F843&gt;=0),E$43+(-E843)/F841,0)</f>
        <v>0</v>
      </c>
      <c r="G844" s="60" t="n">
        <f aca="false">IF(AND(F843&lt;0,G843&gt;=0),F$43+(-F843)/G841,0)</f>
        <v>0</v>
      </c>
      <c r="H844" s="60" t="n">
        <f aca="false">IF(AND(G843&lt;0,H843&gt;=0),G$43+(-G843)/H841,0)</f>
        <v>5.71461075595673</v>
      </c>
      <c r="I844" s="60" t="n">
        <f aca="false">IF(AND(H843&lt;0,I843&gt;=0),H$43+(-H843)/I841,0)</f>
        <v>0</v>
      </c>
      <c r="J844" s="60" t="n">
        <f aca="false">IF(AND(I843&lt;0,J843&gt;=0),I$43+(-I843)/J841,0)</f>
        <v>0</v>
      </c>
      <c r="K844" s="60" t="n">
        <f aca="false">IF(AND(J843&lt;0,K843&gt;=0),J$43+(-J843)/K841,0)</f>
        <v>0</v>
      </c>
      <c r="L844" s="60" t="n">
        <f aca="false">IF(AND(K843&lt;0,L843&gt;=0),K$43+(-K843)/L841,0)</f>
        <v>0</v>
      </c>
    </row>
    <row r="845" customFormat="false" ht="15" hidden="true" customHeight="false" outlineLevel="1" collapsed="false">
      <c r="A845" s="9" t="s">
        <v>425</v>
      </c>
      <c r="B845" s="57" t="n">
        <f aca="false">(B821/$B$821)/(1+$T$25)^B$43</f>
        <v>1</v>
      </c>
      <c r="C845" s="57" t="n">
        <f aca="false">(C821/$B$821)/(1+$T$25)^C$43</f>
        <v>0.915373701313561</v>
      </c>
      <c r="D845" s="57" t="n">
        <f aca="false">(D821/$B$821)/(1+$T$25)^D$43</f>
        <v>0.833918970137172</v>
      </c>
      <c r="E845" s="57" t="n">
        <f aca="false">(E821/$B$821)/(1+$T$25)^E$43</f>
        <v>0.756077518153961</v>
      </c>
      <c r="F845" s="57" t="n">
        <f aca="false">(F821/$B$821)/(1+$T$25)^F$43</f>
        <v>0.685502109831871</v>
      </c>
      <c r="G845" s="57" t="n">
        <f aca="false">(G821/$B$821)/(1+$T$25)^G$43</f>
        <v>0.621514502549008</v>
      </c>
      <c r="H845" s="57" t="n">
        <f aca="false">(H821/$B$821)/(1+$T$25)^H$43</f>
        <v>0.563499763660072</v>
      </c>
      <c r="I845" s="57" t="n">
        <f aca="false">(I821/$B$821)/(1+$T$25)^I$43</f>
        <v>0.510900360880829</v>
      </c>
      <c r="J845" s="57" t="n">
        <f aca="false">(J821/$B$821)/(1+$T$25)^J$43</f>
        <v>0.463210804300567</v>
      </c>
      <c r="K845" s="57" t="n">
        <f aca="false">(K821/$B$821)/(1+$T$25)^K$43</f>
        <v>0.419972788531318</v>
      </c>
      <c r="L845" s="57" t="n">
        <f aca="false">(L821/$B$821)/(1+$T$25)^L$43</f>
        <v>0.380770788308996</v>
      </c>
    </row>
    <row r="846" customFormat="false" ht="15" hidden="true" customHeight="false" outlineLevel="1" collapsed="false">
      <c r="A846" s="9" t="s">
        <v>426</v>
      </c>
      <c r="B846" s="58" t="n">
        <f aca="false">B841*B845</f>
        <v>-961.151880133756</v>
      </c>
      <c r="C846" s="58" t="n">
        <f aca="false">C841*C845</f>
        <v>-583.922780812529</v>
      </c>
      <c r="D846" s="58" t="n">
        <f aca="false">D841*D845</f>
        <v>353.773694728964</v>
      </c>
      <c r="E846" s="58" t="n">
        <f aca="false">E841*E845</f>
        <v>252.92164983104</v>
      </c>
      <c r="F846" s="58" t="n">
        <f aca="false">F841*F845</f>
        <v>231.02872408863</v>
      </c>
      <c r="G846" s="58" t="n">
        <f aca="false">G841*G845</f>
        <v>188.038346584186</v>
      </c>
      <c r="H846" s="58" t="n">
        <f aca="false">H841*H845</f>
        <v>158.291764975387</v>
      </c>
      <c r="I846" s="58" t="n">
        <f aca="false">I841*I845</f>
        <v>174.437043122956</v>
      </c>
      <c r="J846" s="58" t="n">
        <f aca="false">J841*J845</f>
        <v>153.534668094029</v>
      </c>
      <c r="K846" s="58" t="n">
        <f aca="false">K841*K845</f>
        <v>138.601817857554</v>
      </c>
      <c r="L846" s="58" t="n">
        <f aca="false">L841*L845</f>
        <v>160.755837868223</v>
      </c>
    </row>
    <row r="847" customFormat="false" ht="15" hidden="true" customHeight="false" outlineLevel="1" collapsed="false">
      <c r="A847" s="9" t="s">
        <v>427</v>
      </c>
      <c r="B847" s="58" t="n">
        <f aca="false">B846</f>
        <v>-961.151880133756</v>
      </c>
      <c r="C847" s="58" t="n">
        <f aca="false">B847+C846</f>
        <v>-1545.07466094629</v>
      </c>
      <c r="D847" s="58" t="n">
        <f aca="false">C847+D846</f>
        <v>-1191.30096621732</v>
      </c>
      <c r="E847" s="58" t="n">
        <f aca="false">D847+E846</f>
        <v>-938.379316386281</v>
      </c>
      <c r="F847" s="58" t="n">
        <f aca="false">E847+F846</f>
        <v>-707.350592297651</v>
      </c>
      <c r="G847" s="58" t="n">
        <f aca="false">F847+G846</f>
        <v>-519.312245713465</v>
      </c>
      <c r="H847" s="58" t="n">
        <f aca="false">G847+H846</f>
        <v>-361.020480738077</v>
      </c>
      <c r="I847" s="58" t="n">
        <f aca="false">H847+I846</f>
        <v>-186.583437615121</v>
      </c>
      <c r="J847" s="58" t="n">
        <f aca="false">I847+J846</f>
        <v>-33.0487695210919</v>
      </c>
      <c r="K847" s="58" t="n">
        <f aca="false">J847+K846</f>
        <v>105.553048336462</v>
      </c>
      <c r="L847" s="58" t="n">
        <f aca="false">K847+L846</f>
        <v>266.308886204684</v>
      </c>
    </row>
    <row r="848" customFormat="false" ht="15" hidden="true" customHeight="false" outlineLevel="1" collapsed="false">
      <c r="A848" s="9" t="s">
        <v>428</v>
      </c>
      <c r="B848" s="60" t="n">
        <v>0</v>
      </c>
      <c r="C848" s="60" t="n">
        <f aca="false">IF(AND(B847&lt;0,C847&gt;=0),B$43+(-B847)/C846,0)</f>
        <v>0</v>
      </c>
      <c r="D848" s="60" t="n">
        <f aca="false">IF(AND(C847&lt;0,D847&gt;=0),C$43+(-C847)/D846,0)</f>
        <v>0</v>
      </c>
      <c r="E848" s="60" t="n">
        <f aca="false">IF(AND(D847&lt;0,E847&gt;=0),D$43+(-D847)/E846,0)</f>
        <v>0</v>
      </c>
      <c r="F848" s="60" t="n">
        <f aca="false">IF(AND(E847&lt;0,F847&gt;=0),E$43+(-E847)/F846,0)</f>
        <v>0</v>
      </c>
      <c r="G848" s="60" t="n">
        <f aca="false">IF(AND(F847&lt;0,G847&gt;=0),F$43+(-F847)/G846,0)</f>
        <v>0</v>
      </c>
      <c r="H848" s="60" t="n">
        <f aca="false">IF(AND(G847&lt;0,H847&gt;=0),G$43+(-G847)/H846,0)</f>
        <v>0</v>
      </c>
      <c r="I848" s="60" t="n">
        <f aca="false">IF(AND(H847&lt;0,I847&gt;=0),H$43+(-H847)/I846,0)</f>
        <v>0</v>
      </c>
      <c r="J848" s="60" t="n">
        <f aca="false">IF(AND(I847&lt;0,J847&gt;=0),I$43+(-I847)/J846,0)</f>
        <v>0</v>
      </c>
      <c r="K848" s="60" t="n">
        <f aca="false">IF(AND(J847&lt;0,K847&gt;=0),J$43+(-J847)/K846,0)</f>
        <v>8.23844398314499</v>
      </c>
      <c r="L848" s="60" t="n">
        <f aca="false">IF(AND(K847&lt;0,L847&gt;=0),K$43+(-K847)/L846,0)</f>
        <v>0</v>
      </c>
    </row>
    <row r="849" customFormat="false" ht="15" hidden="true" customHeight="false" outlineLevel="1" collapsed="false">
      <c r="A849" s="9" t="s">
        <v>429</v>
      </c>
      <c r="B849" s="58" t="n">
        <f aca="false">IF(B$43&lt;0,0,(Quesería!$B$44*$B$824*$B$821)*(1-MAX(0,MIN(B$43-0-Quesería!$B$47,(Quesería!$B$46-Quesería!$B$47)))/(Quesería!$B$46-Quesería!$B$47))*IF(B$43&gt;=2,1-Quesería!$B$48,1))+IF(B$43&lt;1,0,(Quesería!$B$44*$C$824*$C$821)*(1-MAX(0,MIN(B$43-1-Quesería!$B$47,(Quesería!$B$46-Quesería!$B$47)))/(Quesería!$B$46-Quesería!$B$47))*IF(B$43&gt;=2,1-Quesería!$B$48,1))</f>
        <v>641.321364968425</v>
      </c>
      <c r="C849" s="58" t="n">
        <f aca="false">IF(C$43&lt;0,0,(Quesería!$B$44*$B$824*$B$821)*(1-MAX(0,MIN(C$43-0-Quesería!$B$47,(Quesería!$B$46-Quesería!$B$47)))/(Quesería!$B$46-Quesería!$B$47))*IF(C$43&gt;=2,1-Quesería!$B$48,1))+IF(C$43&lt;1,0,(Quesería!$B$44*$C$824*$C$821)*(1-MAX(0,MIN(C$43-1-Quesería!$B$47,(Quesería!$B$46-Quesería!$B$47)))/(Quesería!$B$46-Quesería!$B$47))*IF(C$43&gt;=2,1-Quesería!$B$48,1))</f>
        <v>1190.03581125409</v>
      </c>
      <c r="D849" s="58" t="n">
        <f aca="false">IF(D$43&lt;0,0,(Quesería!$B$44*$B$824*$B$821)*(1-MAX(0,MIN(D$43-0-Quesería!$B$47,(Quesería!$B$46-Quesería!$B$47)))/(Quesería!$B$46-Quesería!$B$47))*IF(D$43&gt;=2,1-Quesería!$B$48,1))+IF(D$43&lt;1,0,(Quesería!$B$44*$C$824*$C$821)*(1-MAX(0,MIN(D$43-1-Quesería!$B$47,(Quesería!$B$46-Quesería!$B$47)))/(Quesería!$B$46-Quesería!$B$47))*IF(D$43&gt;=2,1-Quesería!$B$48,1))</f>
        <v>1083.14891709269</v>
      </c>
      <c r="E849" s="58" t="n">
        <f aca="false">IF(E$43&lt;0,0,(Quesería!$B$44*$B$824*$B$821)*(1-MAX(0,MIN(E$43-0-Quesería!$B$47,(Quesería!$B$46-Quesería!$B$47)))/(Quesería!$B$46-Quesería!$B$47))*IF(E$43&gt;=2,1-Quesería!$B$48,1))+IF(E$43&lt;1,0,(Quesería!$B$44*$C$824*$C$821)*(1-MAX(0,MIN(E$43-1-Quesería!$B$47,(Quesería!$B$46-Quesería!$B$47)))/(Quesería!$B$46-Quesería!$B$47))*IF(E$43&gt;=2,1-Quesería!$B$48,1))</f>
        <v>884.809615217005</v>
      </c>
      <c r="F849" s="58" t="n">
        <f aca="false">IF(F$43&lt;0,0,(Quesería!$B$44*$B$824*$B$821)*(1-MAX(0,MIN(F$43-0-Quesería!$B$47,(Quesería!$B$46-Quesería!$B$47)))/(Quesería!$B$46-Quesería!$B$47))*IF(F$43&gt;=2,1-Quesería!$B$48,1))+IF(F$43&lt;1,0,(Quesería!$B$44*$C$824*$C$821)*(1-MAX(0,MIN(F$43-1-Quesería!$B$47,(Quesería!$B$46-Quesería!$B$47)))/(Quesería!$B$46-Quesería!$B$47))*IF(F$43&gt;=2,1-Quesería!$B$48,1))</f>
        <v>686.470313341323</v>
      </c>
      <c r="G849" s="58" t="n">
        <f aca="false">IF(G$43&lt;0,0,(Quesería!$B$44*$B$824*$B$821)*(1-MAX(0,MIN(G$43-0-Quesería!$B$47,(Quesería!$B$46-Quesería!$B$47)))/(Quesería!$B$46-Quesería!$B$47))*IF(G$43&gt;=2,1-Quesería!$B$48,1))+IF(G$43&lt;1,0,(Quesería!$B$44*$C$824*$C$821)*(1-MAX(0,MIN(G$43-1-Quesería!$B$47,(Quesería!$B$46-Quesería!$B$47)))/(Quesería!$B$46-Quesería!$B$47))*IF(G$43&gt;=2,1-Quesería!$B$48,1))</f>
        <v>488.131011465641</v>
      </c>
      <c r="H849" s="58" t="n">
        <f aca="false">IF(H$43&lt;0,0,(Quesería!$B$44*$B$824*$B$821)*(1-MAX(0,MIN(H$43-0-Quesería!$B$47,(Quesería!$B$46-Quesería!$B$47)))/(Quesería!$B$46-Quesería!$B$47))*IF(H$43&gt;=2,1-Quesería!$B$48,1))+IF(H$43&lt;1,0,(Quesería!$B$44*$C$824*$C$821)*(1-MAX(0,MIN(H$43-1-Quesería!$B$47,(Quesería!$B$46-Quesería!$B$47)))/(Quesería!$B$46-Quesería!$B$47))*IF(H$43&gt;=2,1-Quesería!$B$48,1))</f>
        <v>289.79170958996</v>
      </c>
      <c r="I849" s="58" t="n">
        <f aca="false">IF(I$43&lt;0,0,(Quesería!$B$44*$B$824*$B$821)*(1-MAX(0,MIN(I$43-0-Quesería!$B$47,(Quesería!$B$46-Quesería!$B$47)))/(Quesería!$B$46-Quesería!$B$47))*IF(I$43&gt;=2,1-Quesería!$B$48,1))+IF(I$43&lt;1,0,(Quesería!$B$44*$C$824*$C$821)*(1-MAX(0,MIN(I$43-1-Quesería!$B$47,(Quesería!$B$46-Quesería!$B$47)))/(Quesería!$B$46-Quesería!$B$47))*IF(I$43&gt;=2,1-Quesería!$B$48,1))</f>
        <v>91.4524077142776</v>
      </c>
      <c r="J849" s="58" t="n">
        <f aca="false">IF(J$43&lt;0,0,(Quesería!$B$44*$B$824*$B$821)*(1-MAX(0,MIN(J$43-0-Quesería!$B$47,(Quesería!$B$46-Quesería!$B$47)))/(Quesería!$B$46-Quesería!$B$47))*IF(J$43&gt;=2,1-Quesería!$B$48,1))+IF(J$43&lt;1,0,(Quesería!$B$44*$C$824*$C$821)*(1-MAX(0,MIN(J$43-1-Quesería!$B$47,(Quesería!$B$46-Quesería!$B$47)))/(Quesería!$B$46-Quesería!$B$47))*IF(J$43&gt;=2,1-Quesería!$B$48,1))</f>
        <v>0</v>
      </c>
      <c r="K849" s="58" t="n">
        <f aca="false">IF(K$43&lt;0,0,(Quesería!$B$44*$B$824*$B$821)*(1-MAX(0,MIN(K$43-0-Quesería!$B$47,(Quesería!$B$46-Quesería!$B$47)))/(Quesería!$B$46-Quesería!$B$47))*IF(K$43&gt;=2,1-Quesería!$B$48,1))+IF(K$43&lt;1,0,(Quesería!$B$44*$C$824*$C$821)*(1-MAX(0,MIN(K$43-1-Quesería!$B$47,(Quesería!$B$46-Quesería!$B$47)))/(Quesería!$B$46-Quesería!$B$47))*IF(K$43&gt;=2,1-Quesería!$B$48,1))</f>
        <v>0</v>
      </c>
      <c r="L849" s="58" t="n">
        <f aca="false">IF(L$43&lt;0,0,(Quesería!$B$44*$B$824*$B$821)*(1-MAX(0,MIN(L$43-0-Quesería!$B$47,(Quesería!$B$46-Quesería!$B$47)))/(Quesería!$B$46-Quesería!$B$47))*IF(L$43&gt;=2,1-Quesería!$B$48,1))+IF(L$43&lt;1,0,(Quesería!$B$44*$C$824*$C$821)*(1-MAX(0,MIN(L$43-1-Quesería!$B$47,(Quesería!$B$46-Quesería!$B$47)))/(Quesería!$B$46-Quesería!$B$47))*IF(L$43&gt;=2,1-Quesería!$B$48,1))</f>
        <v>0</v>
      </c>
    </row>
    <row r="850" customFormat="false" ht="15" hidden="true" customHeight="false" outlineLevel="1" collapsed="false">
      <c r="A850" s="6" t="s">
        <v>430</v>
      </c>
      <c r="B850" s="29" t="n">
        <f aca="false">Quesería!$B$44*B824</f>
        <v>605.02015563059</v>
      </c>
      <c r="C850" s="29" t="n">
        <f aca="false">Quesería!$B$44*C824</f>
        <v>493.004893338424</v>
      </c>
      <c r="D850" s="29" t="n">
        <f aca="false">Quesería!$B$44*D824</f>
        <v>0</v>
      </c>
      <c r="E850" s="29" t="n">
        <f aca="false">Quesería!$B$44*E824</f>
        <v>0</v>
      </c>
      <c r="F850" s="29" t="n">
        <f aca="false">Quesería!$B$44*F824</f>
        <v>0</v>
      </c>
      <c r="G850" s="29" t="n">
        <f aca="false">Quesería!$B$44*G824</f>
        <v>0</v>
      </c>
      <c r="H850" s="29" t="n">
        <f aca="false">Quesería!$B$44*H824</f>
        <v>0</v>
      </c>
      <c r="I850" s="29" t="n">
        <f aca="false">Quesería!$B$44*I824</f>
        <v>0</v>
      </c>
      <c r="J850" s="29" t="n">
        <f aca="false">Quesería!$B$44*J824</f>
        <v>0</v>
      </c>
      <c r="K850" s="29" t="n">
        <f aca="false">Quesería!$B$44*K824</f>
        <v>0</v>
      </c>
      <c r="L850" s="29" t="n">
        <f aca="false">Quesería!$B$44*L824</f>
        <v>0</v>
      </c>
    </row>
    <row r="851" customFormat="false" ht="15" hidden="true" customHeight="false" outlineLevel="1" collapsed="false">
      <c r="A851" s="6" t="s">
        <v>431</v>
      </c>
      <c r="B851" s="29" t="n">
        <f aca="false">(IF(AND(B$43&gt;0,B$43&lt;=0+Quesería!$B$46),($T$14+$T$24)*(Quesería!$B$44*$B$824*$B$821)*(1-MAX(0,MIN((B$43-1)-0-Quesería!$B$47,(Quesería!$B$46-Quesería!$B$47)))/(Quesería!$B$46-Quesería!$B$47))*IF(B$43&gt;2,1-Quesería!$B$48,1),0)+IF(AND(B$43&gt;1,B$43&lt;=1+Quesería!$B$46),($T$14+$T$24)*(Quesería!$B$44*$C$824*$C$821)*(1-MAX(0,MIN((B$43-1)-1-Quesería!$B$47,(Quesería!$B$46-Quesería!$B$47)))/(Quesería!$B$46-Quesería!$B$47))*IF(B$43&gt;2,1-Quesería!$B$48,1),0))*B823</f>
        <v>0</v>
      </c>
      <c r="C851" s="29" t="n">
        <f aca="false">(IF(AND(C$43&gt;0,C$43&lt;=0+Quesería!$B$46),($T$14+$T$24)*(Quesería!$B$44*$B$824*$B$821)*(1-MAX(0,MIN((C$43-1)-0-Quesería!$B$47,(Quesería!$B$46-Quesería!$B$47)))/(Quesería!$B$46-Quesería!$B$47))*IF(C$43&gt;2,1-Quesería!$B$48,1),0)+IF(AND(C$43&gt;1,C$43&lt;=1+Quesería!$B$46),($T$14+$T$24)*(Quesería!$B$44*$C$824*$C$821)*(1-MAX(0,MIN((C$43-1)-1-Quesería!$B$47,(Quesería!$B$46-Quesería!$B$47)))/(Quesería!$B$46-Quesería!$B$47))*IF(C$43&gt;2,1-Quesería!$B$48,1),0))*C823</f>
        <v>81.2455637561078</v>
      </c>
      <c r="D851" s="29" t="n">
        <f aca="false">(IF(AND(D$43&gt;0,D$43&lt;=0+Quesería!$B$46),($T$14+$T$24)*(Quesería!$B$44*$B$824*$B$821)*(1-MAX(0,MIN((D$43-1)-0-Quesería!$B$47,(Quesería!$B$46-Quesería!$B$47)))/(Quesería!$B$46-Quesería!$B$47))*IF(D$43&gt;2,1-Quesería!$B$48,1),0)+IF(AND(D$43&gt;1,D$43&lt;=1+Quesería!$B$46),($T$14+$T$24)*(Quesería!$B$44*$C$824*$C$821)*(1-MAX(0,MIN((D$43-1)-1-Quesería!$B$47,(Quesería!$B$46-Quesería!$B$47)))/(Quesería!$B$46-Quesería!$B$47))*IF(D$43&gt;2,1-Quesería!$B$48,1),0))*D823</f>
        <v>144.267228437154</v>
      </c>
      <c r="E851" s="29" t="n">
        <f aca="false">(IF(AND(E$43&gt;0,E$43&lt;=0+Quesería!$B$46),($T$14+$T$24)*(Quesería!$B$44*$B$824*$B$821)*(1-MAX(0,MIN((E$43-1)-0-Quesería!$B$47,(Quesería!$B$46-Quesería!$B$47)))/(Quesería!$B$46-Quesería!$B$47))*IF(E$43&gt;2,1-Quesería!$B$48,1),0)+IF(AND(E$43&gt;1,E$43&lt;=1+Quesería!$B$46),($T$14+$T$24)*(Quesería!$B$44*$C$824*$C$821)*(1-MAX(0,MIN((E$43-1)-1-Quesería!$B$47,(Quesería!$B$46-Quesería!$B$47)))/(Quesería!$B$46-Quesería!$B$47))*IF(E$43&gt;2,1-Quesería!$B$48,1),0))*E823</f>
        <v>126.259041612202</v>
      </c>
      <c r="F851" s="29" t="n">
        <f aca="false">(IF(AND(F$43&gt;0,F$43&lt;=0+Quesería!$B$46),($T$14+$T$24)*(Quesería!$B$44*$B$824*$B$821)*(1-MAX(0,MIN((F$43-1)-0-Quesería!$B$47,(Quesería!$B$46-Quesería!$B$47)))/(Quesería!$B$46-Quesería!$B$47))*IF(F$43&gt;2,1-Quesería!$B$48,1),0)+IF(AND(F$43&gt;1,F$43&lt;=1+Quesería!$B$46),($T$14+$T$24)*(Quesería!$B$44*$C$824*$C$821)*(1-MAX(0,MIN((F$43-1)-1-Quesería!$B$47,(Quesería!$B$46-Quesería!$B$47)))/(Quesería!$B$46-Quesería!$B$47))*IF(F$43&gt;2,1-Quesería!$B$48,1),0))*F823</f>
        <v>99.1723975627135</v>
      </c>
      <c r="G851" s="29" t="n">
        <f aca="false">(IF(AND(G$43&gt;0,G$43&lt;=0+Quesería!$B$46),($T$14+$T$24)*(Quesería!$B$44*$B$824*$B$821)*(1-MAX(0,MIN((G$43-1)-0-Quesería!$B$47,(Quesería!$B$46-Quesería!$B$47)))/(Quesería!$B$46-Quesería!$B$47))*IF(G$43&gt;2,1-Quesería!$B$48,1),0)+IF(AND(G$43&gt;1,G$43&lt;=1+Quesería!$B$46),($T$14+$T$24)*(Quesería!$B$44*$C$824*$C$821)*(1-MAX(0,MIN((G$43-1)-1-Quesería!$B$47,(Quesería!$B$46-Quesería!$B$47)))/(Quesería!$B$46-Quesería!$B$47))*IF(G$43&gt;2,1-Quesería!$B$48,1),0))*G823</f>
        <v>73.9825677868365</v>
      </c>
      <c r="H851" s="29" t="n">
        <f aca="false">(IF(AND(H$43&gt;0,H$43&lt;=0+Quesería!$B$46),($T$14+$T$24)*(Quesería!$B$44*$B$824*$B$821)*(1-MAX(0,MIN((H$43-1)-0-Quesería!$B$47,(Quesería!$B$46-Quesería!$B$47)))/(Quesería!$B$46-Quesería!$B$47))*IF(H$43&gt;2,1-Quesería!$B$48,1),0)+IF(AND(H$43&gt;1,H$43&lt;=1+Quesería!$B$46),($T$14+$T$24)*(Quesería!$B$44*$C$824*$C$821)*(1-MAX(0,MIN((H$43-1)-1-Quesería!$B$47,(Quesería!$B$46-Quesería!$B$47)))/(Quesería!$B$46-Quesería!$B$47))*IF(H$43&gt;2,1-Quesería!$B$48,1),0))*H823</f>
        <v>50.583712494366</v>
      </c>
      <c r="I851" s="29" t="n">
        <f aca="false">(IF(AND(I$43&gt;0,I$43&lt;=0+Quesería!$B$46),($T$14+$T$24)*(Quesería!$B$44*$B$824*$B$821)*(1-MAX(0,MIN((I$43-1)-0-Quesería!$B$47,(Quesería!$B$46-Quesería!$B$47)))/(Quesería!$B$46-Quesería!$B$47))*IF(I$43&gt;2,1-Quesería!$B$48,1),0)+IF(AND(I$43&gt;1,I$43&lt;=1+Quesería!$B$46),($T$14+$T$24)*(Quesería!$B$44*$C$824*$C$821)*(1-MAX(0,MIN((I$43-1)-1-Quesería!$B$47,(Quesería!$B$46-Quesería!$B$47)))/(Quesería!$B$46-Quesería!$B$47))*IF(I$43&gt;2,1-Quesería!$B$48,1),0))*I823</f>
        <v>28.8753274791465</v>
      </c>
      <c r="J851" s="29" t="n">
        <f aca="false">(IF(AND(J$43&gt;0,J$43&lt;=0+Quesería!$B$46),($T$14+$T$24)*(Quesería!$B$44*$B$824*$B$821)*(1-MAX(0,MIN((J$43-1)-0-Quesería!$B$47,(Quesería!$B$46-Quesería!$B$47)))/(Quesería!$B$46-Quesería!$B$47))*IF(J$43&gt;2,1-Quesería!$B$48,1),0)+IF(AND(J$43&gt;1,J$43&lt;=1+Quesería!$B$46),($T$14+$T$24)*(Quesería!$B$44*$C$824*$C$821)*(1-MAX(0,MIN((J$43-1)-1-Quesería!$B$47,(Quesería!$B$46-Quesería!$B$47)))/(Quesería!$B$46-Quesería!$B$47))*IF(J$43&gt;2,1-Quesería!$B$48,1),0))*J823</f>
        <v>8.76199025726588</v>
      </c>
      <c r="K851" s="29" t="n">
        <f aca="false">(IF(AND(K$43&gt;0,K$43&lt;=0+Quesería!$B$46),($T$14+$T$24)*(Quesería!$B$44*$B$824*$B$821)*(1-MAX(0,MIN((K$43-1)-0-Quesería!$B$47,(Quesería!$B$46-Quesería!$B$47)))/(Quesería!$B$46-Quesería!$B$47))*IF(K$43&gt;2,1-Quesería!$B$48,1),0)+IF(AND(K$43&gt;1,K$43&lt;=1+Quesería!$B$46),($T$14+$T$24)*(Quesería!$B$44*$C$824*$C$821)*(1-MAX(0,MIN((K$43-1)-1-Quesería!$B$47,(Quesería!$B$46-Quesería!$B$47)))/(Quesería!$B$46-Quesería!$B$47))*IF(K$43&gt;2,1-Quesería!$B$48,1),0))*K823</f>
        <v>0</v>
      </c>
      <c r="L851" s="29" t="n">
        <f aca="false">(IF(AND(L$43&gt;0,L$43&lt;=0+Quesería!$B$46),($T$14+$T$24)*(Quesería!$B$44*$B$824*$B$821)*(1-MAX(0,MIN((L$43-1)-0-Quesería!$B$47,(Quesería!$B$46-Quesería!$B$47)))/(Quesería!$B$46-Quesería!$B$47))*IF(L$43&gt;2,1-Quesería!$B$48,1),0)+IF(AND(L$43&gt;1,L$43&lt;=1+Quesería!$B$46),($T$14+$T$24)*(Quesería!$B$44*$C$824*$C$821)*(1-MAX(0,MIN((L$43-1)-1-Quesería!$B$47,(Quesería!$B$46-Quesería!$B$47)))/(Quesería!$B$46-Quesería!$B$47))*IF(L$43&gt;2,1-Quesería!$B$48,1),0))*L823</f>
        <v>0</v>
      </c>
    </row>
    <row r="852" customFormat="false" ht="15" hidden="true" customHeight="false" outlineLevel="1" collapsed="false">
      <c r="A852" s="6" t="s">
        <v>432</v>
      </c>
      <c r="B852" s="29" t="n">
        <f aca="false">((IF(AND(B$43&gt;0+Quesería!$B$47,B$43&lt;=0+Quesería!$B$46),(Quesería!$B$44*$B$824*$B$821)/(Quesería!$B$46-Quesería!$B$47),0)*IF(B$43&gt;2,1-Quesería!$B$48,1)+IF(B$43=2,Quesería!$B$48*(Quesería!$B$44*$B$824*$B$821)*(1-MAX(0,MIN(2-0-Quesería!$B$47,(Quesería!$B$46-Quesería!$B$47)))/(Quesería!$B$46-Quesería!$B$47)),0))+(IF(AND(B$43&gt;1+Quesería!$B$47,B$43&lt;=1+Quesería!$B$46),(Quesería!$B$44*$C$824*$C$821)/(Quesería!$B$46-Quesería!$B$47),0)*IF(B$43&gt;2,1-Quesería!$B$48,1)+IF(B$43=2,Quesería!$B$48*(Quesería!$B$44*$C$824*$C$821)*(1-MAX(0,MIN(2-1-Quesería!$B$47,(Quesería!$B$46-Quesería!$B$47)))/(Quesería!$B$46-Quesería!$B$47)),0)))*B823</f>
        <v>0</v>
      </c>
      <c r="C852" s="29" t="n">
        <f aca="false">((IF(AND(C$43&gt;0+Quesería!$B$47,C$43&lt;=0+Quesería!$B$46),(Quesería!$B$44*$B$824*$B$821)/(Quesería!$B$46-Quesería!$B$47),0)*IF(C$43&gt;2,1-Quesería!$B$48,1)+IF(C$43=2,Quesería!$B$48*(Quesería!$B$44*$B$824*$B$821)*(1-MAX(0,MIN(2-0-Quesería!$B$47,(Quesería!$B$46-Quesería!$B$47)))/(Quesería!$B$46-Quesería!$B$47)),0))+(IF(AND(C$43&gt;1+Quesería!$B$47,C$43&lt;=1+Quesería!$B$46),(Quesería!$B$44*$C$824*$C$821)/(Quesería!$B$46-Quesería!$B$47),0)*IF(C$43&gt;2,1-Quesería!$B$48,1)+IF(C$43=2,Quesería!$B$48*(Quesería!$B$44*$C$824*$C$821)*(1-MAX(0,MIN(2-1-Quesería!$B$47,(Quesería!$B$46-Quesería!$B$47)))/(Quesería!$B$46-Quesería!$B$47)),0)))*C823</f>
        <v>0</v>
      </c>
      <c r="D852" s="29" t="n">
        <f aca="false">((IF(AND(D$43&gt;0+Quesería!$B$47,D$43&lt;=0+Quesería!$B$46),(Quesería!$B$44*$B$824*$B$821)/(Quesería!$B$46-Quesería!$B$47),0)*IF(D$43&gt;2,1-Quesería!$B$48,1)+IF(D$43=2,Quesería!$B$48*(Quesería!$B$44*$B$824*$B$821)*(1-MAX(0,MIN(2-0-Quesería!$B$47,(Quesería!$B$46-Quesería!$B$47)))/(Quesería!$B$46-Quesería!$B$47)),0))+(IF(AND(D$43&gt;1+Quesería!$B$47,D$43&lt;=1+Quesería!$B$46),(Quesería!$B$44*$C$824*$C$821)/(Quesería!$B$46-Quesería!$B$47),0)*IF(D$43&gt;2,1-Quesería!$B$48,1)+IF(D$43=2,Quesería!$B$48*(Quesería!$B$44*$C$824*$C$821)*(1-MAX(0,MIN(2-1-Quesería!$B$47,(Quesería!$B$46-Quesería!$B$47)))/(Quesería!$B$46-Quesería!$B$47)),0)))*D823</f>
        <v>91.8994692231472</v>
      </c>
      <c r="E852" s="29" t="n">
        <f aca="false">((IF(AND(E$43&gt;0+Quesería!$B$47,E$43&lt;=0+Quesería!$B$46),(Quesería!$B$44*$B$824*$B$821)/(Quesería!$B$46-Quesería!$B$47),0)*IF(E$43&gt;2,1-Quesería!$B$48,1)+IF(E$43=2,Quesería!$B$48*(Quesería!$B$44*$B$824*$B$821)*(1-MAX(0,MIN(2-0-Quesería!$B$47,(Quesería!$B$46-Quesería!$B$47)))/(Quesería!$B$46-Quesería!$B$47)),0))+(IF(AND(E$43&gt;1+Quesería!$B$47,E$43&lt;=1+Quesería!$B$46),(Quesería!$B$44*$C$824*$C$821)/(Quesería!$B$46-Quesería!$B$47),0)*IF(E$43&gt;2,1-Quesería!$B$48,1)+IF(E$43=2,Quesería!$B$48*(Quesería!$B$44*$C$824*$C$821)*(1-MAX(0,MIN(2-1-Quesería!$B$47,(Quesería!$B$46-Quesería!$B$47)))/(Quesería!$B$46-Quesería!$B$47)),0)))*E823</f>
        <v>163.969845014041</v>
      </c>
      <c r="F852" s="29" t="n">
        <f aca="false">((IF(AND(F$43&gt;0+Quesería!$B$47,F$43&lt;=0+Quesería!$B$46),(Quesería!$B$44*$B$824*$B$821)/(Quesería!$B$46-Quesería!$B$47),0)*IF(F$43&gt;2,1-Quesería!$B$48,1)+IF(F$43=2,Quesería!$B$48*(Quesería!$B$44*$B$824*$B$821)*(1-MAX(0,MIN(2-0-Quesería!$B$47,(Quesería!$B$46-Quesería!$B$47)))/(Quesería!$B$46-Quesería!$B$47)),0))+(IF(AND(F$43&gt;1+Quesería!$B$47,F$43&lt;=1+Quesería!$B$46),(Quesería!$B$44*$C$824*$C$821)/(Quesería!$B$46-Quesería!$B$47),0)*IF(F$43&gt;2,1-Quesería!$B$48,1)+IF(F$43=2,Quesería!$B$48*(Quesería!$B$44*$C$824*$C$821)*(1-MAX(0,MIN(2-1-Quesería!$B$47,(Quesería!$B$46-Quesería!$B$47)))/(Quesería!$B$46-Quesería!$B$47)),0)))*F823</f>
        <v>157.663312513501</v>
      </c>
      <c r="G852" s="29" t="n">
        <f aca="false">((IF(AND(G$43&gt;0+Quesería!$B$47,G$43&lt;=0+Quesería!$B$46),(Quesería!$B$44*$B$824*$B$821)/(Quesería!$B$46-Quesería!$B$47),0)*IF(G$43&gt;2,1-Quesería!$B$48,1)+IF(G$43=2,Quesería!$B$48*(Quesería!$B$44*$B$824*$B$821)*(1-MAX(0,MIN(2-0-Quesería!$B$47,(Quesería!$B$46-Quesería!$B$47)))/(Quesería!$B$46-Quesería!$B$47)),0))+(IF(AND(G$43&gt;1+Quesería!$B$47,G$43&lt;=1+Quesería!$B$46),(Quesería!$B$44*$C$824*$C$821)/(Quesería!$B$46-Quesería!$B$47),0)*IF(G$43&gt;2,1-Quesería!$B$48,1)+IF(G$43=2,Quesería!$B$48*(Quesería!$B$44*$C$824*$C$821)*(1-MAX(0,MIN(2-1-Quesería!$B$47,(Quesería!$B$46-Quesería!$B$47)))/(Quesería!$B$46-Quesería!$B$47)),0)))*G823</f>
        <v>151.599338955289</v>
      </c>
      <c r="H852" s="29" t="n">
        <f aca="false">((IF(AND(H$43&gt;0+Quesería!$B$47,H$43&lt;=0+Quesería!$B$46),(Quesería!$B$44*$B$824*$B$821)/(Quesería!$B$46-Quesería!$B$47),0)*IF(H$43&gt;2,1-Quesería!$B$48,1)+IF(H$43=2,Quesería!$B$48*(Quesería!$B$44*$B$824*$B$821)*(1-MAX(0,MIN(2-0-Quesería!$B$47,(Quesería!$B$46-Quesería!$B$47)))/(Quesería!$B$46-Quesería!$B$47)),0))+(IF(AND(H$43&gt;1+Quesería!$B$47,H$43&lt;=1+Quesería!$B$46),(Quesería!$B$44*$C$824*$C$821)/(Quesería!$B$46-Quesería!$B$47),0)*IF(H$43&gt;2,1-Quesería!$B$48,1)+IF(H$43=2,Quesería!$B$48*(Quesería!$B$44*$C$824*$C$821)*(1-MAX(0,MIN(2-1-Quesería!$B$47,(Quesería!$B$46-Quesería!$B$47)))/(Quesería!$B$46-Quesería!$B$47)),0)))*H823</f>
        <v>145.768595149317</v>
      </c>
      <c r="I852" s="29" t="n">
        <f aca="false">((IF(AND(I$43&gt;0+Quesería!$B$47,I$43&lt;=0+Quesería!$B$46),(Quesería!$B$44*$B$824*$B$821)/(Quesería!$B$46-Quesería!$B$47),0)*IF(I$43&gt;2,1-Quesería!$B$48,1)+IF(I$43=2,Quesería!$B$48*(Quesería!$B$44*$B$824*$B$821)*(1-MAX(0,MIN(2-0-Quesería!$B$47,(Quesería!$B$46-Quesería!$B$47)))/(Quesería!$B$46-Quesería!$B$47)),0))+(IF(AND(I$43&gt;1+Quesería!$B$47,I$43&lt;=1+Quesería!$B$46),(Quesería!$B$44*$C$824*$C$821)/(Quesería!$B$46-Quesería!$B$47),0)*IF(I$43&gt;2,1-Quesería!$B$48,1)+IF(I$43=2,Quesería!$B$48*(Quesería!$B$44*$C$824*$C$821)*(1-MAX(0,MIN(2-1-Quesería!$B$47,(Quesería!$B$46-Quesería!$B$47)))/(Quesería!$B$46-Quesería!$B$47)),0)))*I823</f>
        <v>140.162110720497</v>
      </c>
      <c r="J852" s="29" t="n">
        <f aca="false">((IF(AND(J$43&gt;0+Quesería!$B$47,J$43&lt;=0+Quesería!$B$46),(Quesería!$B$44*$B$824*$B$821)/(Quesería!$B$46-Quesería!$B$47),0)*IF(J$43&gt;2,1-Quesería!$B$48,1)+IF(J$43=2,Quesería!$B$48*(Quesería!$B$44*$B$824*$B$821)*(1-MAX(0,MIN(2-0-Quesería!$B$47,(Quesería!$B$46-Quesería!$B$47)))/(Quesería!$B$46-Quesería!$B$47)),0))+(IF(AND(J$43&gt;1+Quesería!$B$47,J$43&lt;=1+Quesería!$B$46),(Quesería!$B$44*$C$824*$C$821)/(Quesería!$B$46-Quesería!$B$47),0)*IF(J$43&gt;2,1-Quesería!$B$48,1)+IF(J$43=2,Quesería!$B$48*(Quesería!$B$44*$C$824*$C$821)*(1-MAX(0,MIN(2-1-Quesería!$B$47,(Quesería!$B$46-Quesería!$B$47)))/(Quesería!$B$46-Quesería!$B$47)),0)))*J823</f>
        <v>62.1417748742261</v>
      </c>
      <c r="K852" s="29" t="n">
        <f aca="false">((IF(AND(K$43&gt;0+Quesería!$B$47,K$43&lt;=0+Quesería!$B$46),(Quesería!$B$44*$B$824*$B$821)/(Quesería!$B$46-Quesería!$B$47),0)*IF(K$43&gt;2,1-Quesería!$B$48,1)+IF(K$43=2,Quesería!$B$48*(Quesería!$B$44*$B$824*$B$821)*(1-MAX(0,MIN(2-0-Quesería!$B$47,(Quesería!$B$46-Quesería!$B$47)))/(Quesería!$B$46-Quesería!$B$47)),0))+(IF(AND(K$43&gt;1+Quesería!$B$47,K$43&lt;=1+Quesería!$B$46),(Quesería!$B$44*$C$824*$C$821)/(Quesería!$B$46-Quesería!$B$47),0)*IF(K$43&gt;2,1-Quesería!$B$48,1)+IF(K$43=2,Quesería!$B$48*(Quesería!$B$44*$C$824*$C$821)*(1-MAX(0,MIN(2-1-Quesería!$B$47,(Quesería!$B$46-Quesería!$B$47)))/(Quesería!$B$46-Quesería!$B$47)),0)))*K823</f>
        <v>0</v>
      </c>
      <c r="L852" s="29" t="n">
        <f aca="false">((IF(AND(L$43&gt;0+Quesería!$B$47,L$43&lt;=0+Quesería!$B$46),(Quesería!$B$44*$B$824*$B$821)/(Quesería!$B$46-Quesería!$B$47),0)*IF(L$43&gt;2,1-Quesería!$B$48,1)+IF(L$43=2,Quesería!$B$48*(Quesería!$B$44*$B$824*$B$821)*(1-MAX(0,MIN(2-0-Quesería!$B$47,(Quesería!$B$46-Quesería!$B$47)))/(Quesería!$B$46-Quesería!$B$47)),0))+(IF(AND(L$43&gt;1+Quesería!$B$47,L$43&lt;=1+Quesería!$B$46),(Quesería!$B$44*$C$824*$C$821)/(Quesería!$B$46-Quesería!$B$47),0)*IF(L$43&gt;2,1-Quesería!$B$48,1)+IF(L$43=2,Quesería!$B$48*(Quesería!$B$44*$C$824*$C$821)*(1-MAX(0,MIN(2-1-Quesería!$B$47,(Quesería!$B$46-Quesería!$B$47)))/(Quesería!$B$46-Quesería!$B$47)),0)))*L823</f>
        <v>0</v>
      </c>
    </row>
    <row r="853" customFormat="false" ht="15" hidden="true" customHeight="false" outlineLevel="1" collapsed="false">
      <c r="A853" s="6" t="s">
        <v>433</v>
      </c>
      <c r="B853" s="29" t="n">
        <f aca="false">$T$13*Quesería!$B$51*(1+0.19)*B849*B823+(1-$T$13)*IF(B$43=0,Quesería!$B$50,0)</f>
        <v>4</v>
      </c>
      <c r="C853" s="29" t="n">
        <f aca="false">$T$13*Quesería!$B$51*(1+0.19)*C849*C823+(1-$T$13)*IF(C$43=0,Quesería!$B$50,0)</f>
        <v>0</v>
      </c>
      <c r="D853" s="29" t="n">
        <f aca="false">$T$13*Quesería!$B$51*(1+0.19)*D849*D823+(1-$T$13)*IF(D$43=0,Quesería!$B$50,0)</f>
        <v>0</v>
      </c>
      <c r="E853" s="29" t="n">
        <f aca="false">$T$13*Quesería!$B$51*(1+0.19)*E849*E823+(1-$T$13)*IF(E$43=0,Quesería!$B$50,0)</f>
        <v>0</v>
      </c>
      <c r="F853" s="29" t="n">
        <f aca="false">$T$13*Quesería!$B$51*(1+0.19)*F849*F823+(1-$T$13)*IF(F$43=0,Quesería!$B$50,0)</f>
        <v>0</v>
      </c>
      <c r="G853" s="29" t="n">
        <f aca="false">$T$13*Quesería!$B$51*(1+0.19)*G849*G823+(1-$T$13)*IF(G$43=0,Quesería!$B$50,0)</f>
        <v>0</v>
      </c>
      <c r="H853" s="29" t="n">
        <f aca="false">$T$13*Quesería!$B$51*(1+0.19)*H849*H823+(1-$T$13)*IF(H$43=0,Quesería!$B$50,0)</f>
        <v>0</v>
      </c>
      <c r="I853" s="29" t="n">
        <f aca="false">$T$13*Quesería!$B$51*(1+0.19)*I849*I823+(1-$T$13)*IF(I$43=0,Quesería!$B$50,0)</f>
        <v>0</v>
      </c>
      <c r="J853" s="29" t="n">
        <f aca="false">$T$13*Quesería!$B$51*(1+0.19)*J849*J823+(1-$T$13)*IF(J$43=0,Quesería!$B$50,0)</f>
        <v>0</v>
      </c>
      <c r="K853" s="29" t="n">
        <f aca="false">$T$13*Quesería!$B$51*(1+0.19)*K849*K823+(1-$T$13)*IF(K$43=0,Quesería!$B$50,0)</f>
        <v>0</v>
      </c>
      <c r="L853" s="29" t="n">
        <f aca="false">$T$13*Quesería!$B$51*(1+0.19)*L849*L823+(1-$T$13)*IF(L$43=0,Quesería!$B$50,0)</f>
        <v>0</v>
      </c>
    </row>
    <row r="854" customFormat="false" ht="15" hidden="true" customHeight="false" outlineLevel="1" collapsed="false">
      <c r="A854" s="6" t="s">
        <v>434</v>
      </c>
      <c r="B854" s="29" t="n">
        <f aca="false">Quesería!$B$52*(B851+B852+B853)</f>
        <v>0.016</v>
      </c>
      <c r="C854" s="29" t="n">
        <f aca="false">Quesería!$B$52*(C851+C852+C853)</f>
        <v>0.324982255024431</v>
      </c>
      <c r="D854" s="29" t="n">
        <f aca="false">Quesería!$B$52*(D851+D852+D853)</f>
        <v>0.944666790641204</v>
      </c>
      <c r="E854" s="29" t="n">
        <f aca="false">Quesería!$B$52*(E851+E852+E853)</f>
        <v>1.16091554650497</v>
      </c>
      <c r="F854" s="29" t="n">
        <f aca="false">Quesería!$B$52*(F851+F852+F853)</f>
        <v>1.02734284030486</v>
      </c>
      <c r="G854" s="29" t="n">
        <f aca="false">Quesería!$B$52*(G851+G852+G853)</f>
        <v>0.902327626968503</v>
      </c>
      <c r="H854" s="29" t="n">
        <f aca="false">Quesería!$B$52*(H851+H852+H853)</f>
        <v>0.78540923057473</v>
      </c>
      <c r="I854" s="29" t="n">
        <f aca="false">Quesería!$B$52*(I851+I852+I853)</f>
        <v>0.676149752798573</v>
      </c>
      <c r="J854" s="29" t="n">
        <f aca="false">Quesería!$B$52*(J851+J852+J853)</f>
        <v>0.283615060525968</v>
      </c>
      <c r="K854" s="29" t="n">
        <f aca="false">Quesería!$B$52*(K851+K852+K853)</f>
        <v>0</v>
      </c>
      <c r="L854" s="29" t="n">
        <f aca="false">Quesería!$B$52*(L851+L852+L853)</f>
        <v>0</v>
      </c>
    </row>
    <row r="855" customFormat="false" ht="15" hidden="true" customHeight="false" outlineLevel="1" collapsed="false">
      <c r="A855" s="6" t="s">
        <v>435</v>
      </c>
      <c r="B855" s="29" t="n">
        <f aca="false">$T$17*(B851+B853+0.5*B854)</f>
        <v>1.4028</v>
      </c>
      <c r="C855" s="29" t="n">
        <f aca="false">$T$17*(C851+C853+0.5*C854)</f>
        <v>28.492819209267</v>
      </c>
      <c r="D855" s="29" t="n">
        <f aca="false">$T$17*(D851+D853+0.5*D854)</f>
        <v>50.658846641366</v>
      </c>
      <c r="E855" s="29" t="n">
        <f aca="false">$T$17*(E851+E853+0.5*E854)</f>
        <v>44.393824784909</v>
      </c>
      <c r="F855" s="29" t="n">
        <f aca="false">$T$17*(F851+F853+0.5*F854)</f>
        <v>34.8901241440031</v>
      </c>
      <c r="G855" s="29" t="n">
        <f aca="false">$T$17*(G851+G853+0.5*G854)</f>
        <v>26.0518060601123</v>
      </c>
      <c r="H855" s="29" t="n">
        <f aca="false">$T$17*(H851+H853+0.5*H854)</f>
        <v>17.8417459883787</v>
      </c>
      <c r="I855" s="29" t="n">
        <f aca="false">$T$17*(I851+I853+0.5*I854)</f>
        <v>10.224690824441</v>
      </c>
      <c r="J855" s="29" t="n">
        <f aca="false">$T$17*(J851+J853+0.5*J854)</f>
        <v>3.1163292256351</v>
      </c>
      <c r="K855" s="29" t="n">
        <f aca="false">$T$17*(K851+K853+0.5*K854)</f>
        <v>0</v>
      </c>
      <c r="L855" s="29" t="n">
        <f aca="false">$T$17*(L851+L853+0.5*L854)</f>
        <v>0</v>
      </c>
    </row>
    <row r="856" customFormat="false" ht="15" hidden="true" customHeight="false" outlineLevel="1" collapsed="false">
      <c r="A856" s="5" t="s">
        <v>436</v>
      </c>
      <c r="B856" s="59" t="n">
        <f aca="false">B841+B850-B851-B852-B853-B854+B855</f>
        <v>-358.744924503166</v>
      </c>
      <c r="C856" s="59" t="n">
        <f aca="false">C841+C850-C851-C852-C853-C854+C855</f>
        <v>-197.979275362089</v>
      </c>
      <c r="D856" s="59" t="n">
        <f aca="false">D841+D850-D851-D852-D853-D854+D855</f>
        <v>237.777782012925</v>
      </c>
      <c r="E856" s="59" t="n">
        <f aca="false">E841+E850-E851-E852-E853-E854+E855</f>
        <v>87.5221689109349</v>
      </c>
      <c r="F856" s="59" t="n">
        <f aca="false">F841+F850-F851-F852-F853-F854+F855</f>
        <v>114.048242679885</v>
      </c>
      <c r="G856" s="59" t="n">
        <f aca="false">G841+G850-G851-G852-G853-G854+G855</f>
        <v>102.116178059796</v>
      </c>
      <c r="H856" s="59" t="n">
        <f aca="false">H841+H850-H851-H852-H853-H854+H855</f>
        <v>101.612336772039</v>
      </c>
      <c r="I856" s="59" t="n">
        <f aca="false">I841+I850-I851-I852-I853-I854+I855</f>
        <v>181.941754481276</v>
      </c>
      <c r="J856" s="59" t="n">
        <f aca="false">J841+J850-J851-J852-J853-J854+J855</f>
        <v>263.386390588464</v>
      </c>
      <c r="K856" s="59" t="n">
        <f aca="false">K841+K850-K851-K852-K853-K854+K855</f>
        <v>330.025710337702</v>
      </c>
      <c r="L856" s="59" t="n">
        <f aca="false">L841+L850-L851-L852-L853-L854+L855</f>
        <v>422.18532199421</v>
      </c>
    </row>
    <row r="857" customFormat="false" ht="15" hidden="true" customHeight="false" outlineLevel="1" collapsed="false">
      <c r="A857" s="9" t="s">
        <v>437</v>
      </c>
      <c r="B857" s="58" t="n">
        <f aca="false">B856*B821</f>
        <v>-380.269619973356</v>
      </c>
      <c r="C857" s="58" t="n">
        <f aca="false">C856*C821</f>
        <v>-220.350933478005</v>
      </c>
      <c r="D857" s="58" t="n">
        <f aca="false">D856*D821</f>
        <v>276.555771592503</v>
      </c>
      <c r="E857" s="58" t="n">
        <f aca="false">E856*E821</f>
        <v>105.867550700886</v>
      </c>
      <c r="F857" s="58" t="n">
        <f aca="false">F856*F821</f>
        <v>143.471860844861</v>
      </c>
      <c r="G857" s="58" t="n">
        <f aca="false">G856*G821</f>
        <v>133.599866636398</v>
      </c>
      <c r="H857" s="58" t="n">
        <f aca="false">H856*H821</f>
        <v>138.258312201463</v>
      </c>
      <c r="I857" s="58" t="n">
        <f aca="false">I856*I821</f>
        <v>257.460453330459</v>
      </c>
      <c r="J857" s="58" t="n">
        <f aca="false">J856*J821</f>
        <v>387.618789891994</v>
      </c>
      <c r="K857" s="58" t="n">
        <f aca="false">K856*K821</f>
        <v>505.117720152798</v>
      </c>
      <c r="L857" s="58" t="n">
        <f aca="false">L856*L821</f>
        <v>672.01860907702</v>
      </c>
    </row>
    <row r="858" customFormat="false" ht="15" hidden="true" customHeight="false" outlineLevel="1" collapsed="false">
      <c r="A858" s="9" t="s">
        <v>438</v>
      </c>
      <c r="B858" s="57" t="n">
        <f aca="false">(B821/$B$821)/(1+Quesería!$B$11+$T$24)^B$43</f>
        <v>1</v>
      </c>
      <c r="C858" s="57" t="n">
        <f aca="false">(C821/$B$821)/(1+Quesería!$B$11+$T$24)^C$43</f>
        <v>0.84</v>
      </c>
      <c r="D858" s="57" t="n">
        <f aca="false">(D821/$B$821)/(1+Quesería!$B$11+$T$24)^D$43</f>
        <v>0.70224</v>
      </c>
      <c r="E858" s="57" t="n">
        <f aca="false">(E821/$B$821)/(1+Quesería!$B$11+$T$24)^E$43</f>
        <v>0.58426368</v>
      </c>
      <c r="F858" s="57" t="n">
        <f aca="false">(F821/$B$821)/(1+Quesería!$B$11+$T$24)^F$43</f>
        <v>0.48610738176</v>
      </c>
      <c r="G858" s="57" t="n">
        <f aca="false">(G821/$B$821)/(1+Quesería!$B$11+$T$24)^G$43</f>
        <v>0.40444134162432</v>
      </c>
      <c r="H858" s="57" t="n">
        <f aca="false">(H821/$B$821)/(1+Quesería!$B$11+$T$24)^H$43</f>
        <v>0.336495196231434</v>
      </c>
      <c r="I858" s="57" t="n">
        <f aca="false">(I821/$B$821)/(1+Quesería!$B$11+$T$24)^I$43</f>
        <v>0.279964003264553</v>
      </c>
      <c r="J858" s="57" t="n">
        <f aca="false">(J821/$B$821)/(1+Quesería!$B$11+$T$24)^J$43</f>
        <v>0.232930050716108</v>
      </c>
      <c r="K858" s="57" t="n">
        <f aca="false">(K821/$B$821)/(1+Quesería!$B$11+$T$24)^K$43</f>
        <v>0.193797802195802</v>
      </c>
      <c r="L858" s="57" t="n">
        <f aca="false">(L821/$B$821)/(1+Quesería!$B$11+$T$24)^L$43</f>
        <v>0.161239771426907</v>
      </c>
    </row>
    <row r="859" customFormat="false" ht="15" hidden="true" customHeight="false" outlineLevel="1" collapsed="false">
      <c r="A859" s="9" t="s">
        <v>439</v>
      </c>
      <c r="B859" s="58" t="n">
        <f aca="false">B841+B824+B826+B855</f>
        <v>120.166830858099</v>
      </c>
      <c r="C859" s="58" t="n">
        <f aca="false">C841+C824+C826+C855</f>
        <v>293.164566653273</v>
      </c>
      <c r="D859" s="58" t="n">
        <f aca="false">D841+D824+D826+D855</f>
        <v>474.889146463867</v>
      </c>
      <c r="E859" s="58" t="n">
        <f aca="false">E841+E824+E826+E855</f>
        <v>378.911971083682</v>
      </c>
      <c r="F859" s="58" t="n">
        <f aca="false">F841+F824+F826+F855</f>
        <v>371.911295596404</v>
      </c>
      <c r="G859" s="58" t="n">
        <f aca="false">G841+G824+G826+G855</f>
        <v>333.818803709976</v>
      </c>
      <c r="H859" s="58" t="n">
        <f aca="false">H841+H824+H826+H855</f>
        <v>307.563993231378</v>
      </c>
      <c r="I859" s="58" t="n">
        <f aca="false">I841+I824+I826+I855</f>
        <v>351.655342433718</v>
      </c>
      <c r="J859" s="58" t="n">
        <f aca="false">J841+J824+J826+J855</f>
        <v>334.573770780482</v>
      </c>
      <c r="K859" s="58" t="n">
        <f aca="false">K841+K824+K826+K855</f>
        <v>330.025710337702</v>
      </c>
      <c r="L859" s="58" t="n">
        <f aca="false">L841+L824+L826+L855</f>
        <v>422.18532199421</v>
      </c>
    </row>
    <row r="860" customFormat="false" ht="15" hidden="true" customHeight="false" outlineLevel="1" collapsed="false">
      <c r="A860" s="5" t="s">
        <v>149</v>
      </c>
      <c r="B860" s="12" t="str">
        <f aca="false">IF(AND(B$43&gt;=1,(B851+B852+B853)&gt;0.001),B859/(B851+B852+B853),"")</f>
        <v/>
      </c>
      <c r="C860" s="12" t="n">
        <f aca="false">IF(AND(C$43&gt;=1,(C851+C852+C853)&gt;0.001),C859/(C851+C852+C853),"")</f>
        <v>3.6083762989611</v>
      </c>
      <c r="D860" s="12" t="n">
        <f aca="false">IF(AND(D$43&gt;=1,(D851+D852+D853)&gt;0.001),D859/(D851+D852+D853),"")</f>
        <v>2.01082181005444</v>
      </c>
      <c r="E860" s="12" t="n">
        <f aca="false">IF(AND(E$43&gt;=1,(E851+E852+E853)&gt;0.001),E859/(E851+E852+E853),"")</f>
        <v>1.30556256990244</v>
      </c>
      <c r="F860" s="12" t="n">
        <f aca="false">IF(AND(F$43&gt;=1,(F851+F852+F853)&gt;0.001),F859/(F851+F852+F853),"")</f>
        <v>1.44805134568726</v>
      </c>
      <c r="G860" s="12" t="n">
        <f aca="false">IF(AND(G$43&gt;=1,(G851+G852+G853)&gt;0.001),G859/(G851+G852+G853),"")</f>
        <v>1.4798119606799</v>
      </c>
      <c r="H860" s="12" t="n">
        <f aca="false">IF(AND(H$43&gt;=1,(H851+H852+H853)&gt;0.001),H859/(H851+H852+H853),"")</f>
        <v>1.5663884826325</v>
      </c>
      <c r="I860" s="12" t="n">
        <f aca="false">IF(AND(I$43&gt;=1,(I851+I852+I853)&gt;0.001),I859/(I851+I852+I853),"")</f>
        <v>2.08033998964414</v>
      </c>
      <c r="J860" s="12" t="n">
        <f aca="false">IF(AND(J$43&gt;=1,(J851+J852+J853)&gt;0.001),J859/(J851+J852+J853),"")</f>
        <v>4.71870245762</v>
      </c>
      <c r="K860" s="12" t="str">
        <f aca="false">IF(AND(K$43&gt;=1,(K851+K852+K853)&gt;0.001),K859/(K851+K852+K853),"")</f>
        <v/>
      </c>
      <c r="L860" s="12" t="str">
        <f aca="false">IF(AND(L$43&gt;=1,(L851+L852+L853)&gt;0.001),L859/(L851+L852+L853),"")</f>
        <v/>
      </c>
    </row>
    <row r="862" customFormat="false" ht="15" hidden="false" customHeight="false" outlineLevel="0" collapsed="false">
      <c r="A862" s="43" t="s">
        <v>1179</v>
      </c>
      <c r="B862" s="44"/>
      <c r="C862" s="44"/>
      <c r="D862" s="44"/>
      <c r="E862" s="44"/>
      <c r="F862" s="44"/>
      <c r="G862" s="44"/>
      <c r="H862" s="44"/>
      <c r="I862" s="44"/>
      <c r="J862" s="44"/>
      <c r="K862" s="44"/>
      <c r="L862" s="44"/>
    </row>
    <row r="863" customFormat="false" ht="15" hidden="true" customHeight="false" outlineLevel="1" collapsed="false">
      <c r="A863" s="9" t="s">
        <v>405</v>
      </c>
      <c r="B863" s="56" t="n">
        <f aca="false">CHOOSE($U$15,Entorno!B$7,Entorno!B$8,Entorno!B$9)</f>
        <v>0.06</v>
      </c>
      <c r="C863" s="56" t="n">
        <f aca="false">CHOOSE($U$15,Entorno!C$7,Entorno!C$8,Entorno!C$9)</f>
        <v>0.05</v>
      </c>
      <c r="D863" s="56" t="n">
        <f aca="false">CHOOSE($U$15,Entorno!D$7,Entorno!D$8,Entorno!D$9)</f>
        <v>0.045</v>
      </c>
      <c r="E863" s="56" t="n">
        <f aca="false">CHOOSE($U$15,Entorno!E$7,Entorno!E$8,Entorno!E$9)</f>
        <v>0.04</v>
      </c>
      <c r="F863" s="56" t="n">
        <f aca="false">CHOOSE($U$15,Entorno!F$7,Entorno!F$8,Entorno!F$9)</f>
        <v>0.04</v>
      </c>
      <c r="G863" s="56" t="n">
        <f aca="false">CHOOSE($U$15,Entorno!G$7,Entorno!G$8,Entorno!G$9)</f>
        <v>0.04</v>
      </c>
      <c r="H863" s="56" t="n">
        <f aca="false">CHOOSE($U$15,Entorno!H$7,Entorno!H$8,Entorno!H$9)</f>
        <v>0.04</v>
      </c>
      <c r="I863" s="56" t="n">
        <f aca="false">CHOOSE($U$15,Entorno!I$7,Entorno!I$8,Entorno!I$9)</f>
        <v>0.04</v>
      </c>
      <c r="J863" s="56" t="n">
        <f aca="false">CHOOSE($U$15,Entorno!J$7,Entorno!J$8,Entorno!J$9)</f>
        <v>0.04</v>
      </c>
      <c r="K863" s="56" t="n">
        <f aca="false">CHOOSE($U$15,Entorno!K$7,Entorno!K$8,Entorno!K$9)</f>
        <v>0.04</v>
      </c>
      <c r="L863" s="56" t="n">
        <f aca="false">CHOOSE($U$15,Entorno!L$7,Entorno!L$8,Entorno!L$9)</f>
        <v>0.04</v>
      </c>
    </row>
    <row r="864" customFormat="false" ht="15" hidden="true" customHeight="false" outlineLevel="1" collapsed="false">
      <c r="A864" s="9" t="s">
        <v>406</v>
      </c>
      <c r="B864" s="57" t="n">
        <f aca="false">1+B863</f>
        <v>1.06</v>
      </c>
      <c r="C864" s="57" t="n">
        <f aca="false">B864*(1+C863)</f>
        <v>1.113</v>
      </c>
      <c r="D864" s="57" t="n">
        <f aca="false">C864*(1+D863)</f>
        <v>1.163085</v>
      </c>
      <c r="E864" s="57" t="n">
        <f aca="false">D864*(1+E863)</f>
        <v>1.2096084</v>
      </c>
      <c r="F864" s="57" t="n">
        <f aca="false">E864*(1+F863)</f>
        <v>1.257992736</v>
      </c>
      <c r="G864" s="57" t="n">
        <f aca="false">F864*(1+G863)</f>
        <v>1.30831244544</v>
      </c>
      <c r="H864" s="57" t="n">
        <f aca="false">G864*(1+H863)</f>
        <v>1.3606449432576</v>
      </c>
      <c r="I864" s="57" t="n">
        <f aca="false">H864*(1+I863)</f>
        <v>1.4150707409879</v>
      </c>
      <c r="J864" s="57" t="n">
        <f aca="false">I864*(1+J863)</f>
        <v>1.47167357062742</v>
      </c>
      <c r="K864" s="57" t="n">
        <f aca="false">J864*(1+K863)</f>
        <v>1.53054051345252</v>
      </c>
      <c r="L864" s="57" t="n">
        <f aca="false">K864*(1+L863)</f>
        <v>1.59176213399062</v>
      </c>
    </row>
    <row r="865" customFormat="false" ht="15" hidden="true" customHeight="false" outlineLevel="1" collapsed="false">
      <c r="A865" s="9" t="s">
        <v>407</v>
      </c>
      <c r="B865" s="57" t="n">
        <f aca="false">(1+$U$16)/(1+B863)</f>
        <v>1.02358490566038</v>
      </c>
      <c r="C865" s="57" t="n">
        <f aca="false">B865*(1+Entorno!$B$13)</f>
        <v>1.02870283018868</v>
      </c>
      <c r="D865" s="57" t="n">
        <f aca="false">C865*(1+Entorno!$B$13)</f>
        <v>1.03384634433962</v>
      </c>
      <c r="E865" s="57" t="n">
        <f aca="false">D865*(1+Entorno!$B$13)</f>
        <v>1.03901557606132</v>
      </c>
      <c r="F865" s="57" t="n">
        <f aca="false">E865*(1+Entorno!$B$13)</f>
        <v>1.04421065394163</v>
      </c>
      <c r="G865" s="57" t="n">
        <f aca="false">F865*(1+Entorno!$B$13)</f>
        <v>1.04943170721133</v>
      </c>
      <c r="H865" s="57" t="n">
        <f aca="false">G865*(1+Entorno!$B$13)</f>
        <v>1.05467886574739</v>
      </c>
      <c r="I865" s="57" t="n">
        <f aca="false">H865*(1+Entorno!$B$13)</f>
        <v>1.05995226007613</v>
      </c>
      <c r="J865" s="57" t="n">
        <f aca="false">I865*(1+Entorno!$B$13)</f>
        <v>1.06525202137651</v>
      </c>
      <c r="K865" s="57" t="n">
        <f aca="false">J865*(1+Entorno!$B$13)</f>
        <v>1.07057828148339</v>
      </c>
      <c r="L865" s="57" t="n">
        <f aca="false">K865*(1+Entorno!$B$13)</f>
        <v>1.07593117289081</v>
      </c>
    </row>
    <row r="866" customFormat="false" ht="15" hidden="true" customHeight="false" outlineLevel="1" collapsed="false">
      <c r="A866" s="9" t="s">
        <v>408</v>
      </c>
      <c r="B866" s="57" t="n">
        <f aca="false">1/B864</f>
        <v>0.943396226415094</v>
      </c>
      <c r="C866" s="57" t="n">
        <f aca="false">1/C864</f>
        <v>0.898472596585804</v>
      </c>
      <c r="D866" s="57" t="n">
        <f aca="false">1/D864</f>
        <v>0.859782389077324</v>
      </c>
      <c r="E866" s="57" t="n">
        <f aca="false">1/E864</f>
        <v>0.826713835651273</v>
      </c>
      <c r="F866" s="57" t="n">
        <f aca="false">1/F864</f>
        <v>0.794917149664686</v>
      </c>
      <c r="G866" s="57" t="n">
        <f aca="false">1/G864</f>
        <v>0.764343413139121</v>
      </c>
      <c r="H866" s="57" t="n">
        <f aca="false">1/H864</f>
        <v>0.734945589556847</v>
      </c>
      <c r="I866" s="57" t="n">
        <f aca="false">1/I864</f>
        <v>0.706678451496968</v>
      </c>
      <c r="J866" s="57" t="n">
        <f aca="false">1/J864</f>
        <v>0.679498511054777</v>
      </c>
      <c r="K866" s="57" t="n">
        <f aca="false">1/K864</f>
        <v>0.653363952937286</v>
      </c>
      <c r="L866" s="57" t="n">
        <f aca="false">1/L864</f>
        <v>0.628234570132006</v>
      </c>
    </row>
    <row r="867" customFormat="false" ht="15" hidden="true" customHeight="false" outlineLevel="1" collapsed="false">
      <c r="A867" s="6" t="s">
        <v>323</v>
      </c>
      <c r="B867" s="29" t="n">
        <f aca="false">IF(B$43=0,Quesería!$F$92,IF(B$43=1,Quesería!$F$93*$U$21,0))*$U$11</f>
        <v>930.800239431677</v>
      </c>
      <c r="C867" s="29" t="n">
        <f aca="false">IF(C$43=0,Quesería!$F$92,IF(C$43=1,Quesería!$F$93*$U$21,0))*$U$11</f>
        <v>758.469066674498</v>
      </c>
      <c r="D867" s="29" t="n">
        <f aca="false">IF(D$43=0,Quesería!$F$92,IF(D$43=1,Quesería!$F$93*$U$21,0))*$U$11</f>
        <v>0</v>
      </c>
      <c r="E867" s="29" t="n">
        <f aca="false">IF(E$43=0,Quesería!$F$92,IF(E$43=1,Quesería!$F$93*$U$21,0))*$U$11</f>
        <v>0</v>
      </c>
      <c r="F867" s="29" t="n">
        <f aca="false">IF(F$43=0,Quesería!$F$92,IF(F$43=1,Quesería!$F$93*$U$21,0))*$U$11</f>
        <v>0</v>
      </c>
      <c r="G867" s="29" t="n">
        <f aca="false">IF(G$43=0,Quesería!$F$92,IF(G$43=1,Quesería!$F$93*$U$21,0))*$U$11</f>
        <v>0</v>
      </c>
      <c r="H867" s="29" t="n">
        <f aca="false">IF(H$43=0,Quesería!$F$92,IF(H$43=1,Quesería!$F$93*$U$21,0))*$U$11</f>
        <v>0</v>
      </c>
      <c r="I867" s="29" t="n">
        <f aca="false">IF(I$43=0,Quesería!$F$92,IF(I$43=1,Quesería!$F$93*$U$21,0))*$U$11</f>
        <v>0</v>
      </c>
      <c r="J867" s="29" t="n">
        <f aca="false">IF(J$43=0,Quesería!$F$92,IF(J$43=1,Quesería!$F$93*$U$21,0))*$U$11</f>
        <v>0</v>
      </c>
      <c r="K867" s="29" t="n">
        <f aca="false">IF(K$43=0,Quesería!$F$92,IF(K$43=1,Quesería!$F$93*$U$21,0))*$U$11</f>
        <v>0</v>
      </c>
      <c r="L867" s="29" t="n">
        <f aca="false">IF(L$43=0,Quesería!$F$92,IF(L$43=1,Quesería!$F$93*$U$21,0))*$U$11</f>
        <v>0</v>
      </c>
    </row>
    <row r="868" customFormat="false" ht="15" hidden="true" customHeight="false" outlineLevel="1" collapsed="false">
      <c r="A868" s="6" t="s">
        <v>409</v>
      </c>
      <c r="B868" s="29" t="n">
        <f aca="false">IF(B$43=5,Quesería!$F$99,IF(B$43=6,Quesería!$F$100,0))*$U$11</f>
        <v>0</v>
      </c>
      <c r="C868" s="29" t="n">
        <f aca="false">IF(C$43=5,Quesería!$F$99,IF(C$43=6,Quesería!$F$100,0))*$U$11</f>
        <v>0</v>
      </c>
      <c r="D868" s="29" t="n">
        <f aca="false">IF(D$43=5,Quesería!$F$99,IF(D$43=6,Quesería!$F$100,0))*$U$11</f>
        <v>0</v>
      </c>
      <c r="E868" s="29" t="n">
        <f aca="false">IF(E$43=5,Quesería!$F$99,IF(E$43=6,Quesería!$F$100,0))*$U$11</f>
        <v>0</v>
      </c>
      <c r="F868" s="29" t="n">
        <f aca="false">IF(F$43=5,Quesería!$F$99,IF(F$43=6,Quesería!$F$100,0))*$U$11</f>
        <v>0</v>
      </c>
      <c r="G868" s="29" t="n">
        <f aca="false">IF(G$43=5,Quesería!$F$99,IF(G$43=6,Quesería!$F$100,0))*$U$11</f>
        <v>27.4652172688735</v>
      </c>
      <c r="H868" s="29" t="n">
        <f aca="false">IF(H$43=5,Quesería!$F$99,IF(H$43=6,Quesería!$F$100,0))*$U$11</f>
        <v>46.3891557109552</v>
      </c>
      <c r="I868" s="29" t="n">
        <f aca="false">IF(I$43=5,Quesería!$F$99,IF(I$43=6,Quesería!$F$100,0))*$U$11</f>
        <v>0</v>
      </c>
      <c r="J868" s="29" t="n">
        <f aca="false">IF(J$43=5,Quesería!$F$99,IF(J$43=6,Quesería!$F$100,0))*$U$11</f>
        <v>0</v>
      </c>
      <c r="K868" s="29" t="n">
        <f aca="false">IF(K$43=5,Quesería!$F$99,IF(K$43=6,Quesería!$F$100,0))*$U$11</f>
        <v>0</v>
      </c>
      <c r="L868" s="29" t="n">
        <f aca="false">IF(L$43=5,Quesería!$F$99,IF(L$43=6,Quesería!$F$100,0))*$U$11</f>
        <v>0</v>
      </c>
    </row>
    <row r="869" customFormat="false" ht="15" hidden="true" customHeight="false" outlineLevel="1" collapsed="false">
      <c r="A869" s="6" t="s">
        <v>410</v>
      </c>
      <c r="B869" s="29" t="n">
        <f aca="false">Quesería!$B$55*(IF(B$43=0,SUMPRODUCT((Quesería!$C$70:$C$89=0)*(Quesería!$H$70:$H$89&gt;0)*(Quesería!$J$70:$J$89&gt;0)*Quesería!$F$70:$F$89*(1+Quesería!$I$70:$I$89)),IF(B$43=1,SUMPRODUCT((Quesería!$C$70:$C$89=1)*(Quesería!$H$70:$H$89&gt;0)*(Quesería!$J$70:$J$89&gt;0)*Quesería!$F$70:$F$89*(1+Quesería!$I$70:$I$89))*$U$21,0))*$U$11+B868)</f>
        <v>149.115671560178</v>
      </c>
      <c r="C869" s="29" t="n">
        <f aca="false">Quesería!$B$55*(IF(C$43=0,SUMPRODUCT((Quesería!$C$70:$C$89=0)*(Quesería!$H$70:$H$89&gt;0)*(Quesería!$J$70:$J$89&gt;0)*Quesería!$F$70:$F$89*(1+Quesería!$I$70:$I$89)),IF(C$43=1,SUMPRODUCT((Quesería!$C$70:$C$89=1)*(Quesería!$H$70:$H$89&gt;0)*(Quesería!$J$70:$J$89&gt;0)*Quesería!$F$70:$F$89*(1+Quesería!$I$70:$I$89))*$U$21,0))*$U$11+C868)</f>
        <v>144.109122668155</v>
      </c>
      <c r="D869" s="29" t="n">
        <f aca="false">Quesería!$B$55*(IF(D$43=0,SUMPRODUCT((Quesería!$C$70:$C$89=0)*(Quesería!$H$70:$H$89&gt;0)*(Quesería!$J$70:$J$89&gt;0)*Quesería!$F$70:$F$89*(1+Quesería!$I$70:$I$89)),IF(D$43=1,SUMPRODUCT((Quesería!$C$70:$C$89=1)*(Quesería!$H$70:$H$89&gt;0)*(Quesería!$J$70:$J$89&gt;0)*Quesería!$F$70:$F$89*(1+Quesería!$I$70:$I$89))*$U$21,0))*$U$11+D868)</f>
        <v>0</v>
      </c>
      <c r="E869" s="29" t="n">
        <f aca="false">Quesería!$B$55*(IF(E$43=0,SUMPRODUCT((Quesería!$C$70:$C$89=0)*(Quesería!$H$70:$H$89&gt;0)*(Quesería!$J$70:$J$89&gt;0)*Quesería!$F$70:$F$89*(1+Quesería!$I$70:$I$89)),IF(E$43=1,SUMPRODUCT((Quesería!$C$70:$C$89=1)*(Quesería!$H$70:$H$89&gt;0)*(Quesería!$J$70:$J$89&gt;0)*Quesería!$F$70:$F$89*(1+Quesería!$I$70:$I$89))*$U$21,0))*$U$11+E868)</f>
        <v>0</v>
      </c>
      <c r="F869" s="29" t="n">
        <f aca="false">Quesería!$B$55*(IF(F$43=0,SUMPRODUCT((Quesería!$C$70:$C$89=0)*(Quesería!$H$70:$H$89&gt;0)*(Quesería!$J$70:$J$89&gt;0)*Quesería!$F$70:$F$89*(1+Quesería!$I$70:$I$89)),IF(F$43=1,SUMPRODUCT((Quesería!$C$70:$C$89=1)*(Quesería!$H$70:$H$89&gt;0)*(Quesería!$J$70:$J$89&gt;0)*Quesería!$F$70:$F$89*(1+Quesería!$I$70:$I$89))*$U$21,0))*$U$11+F868)</f>
        <v>0</v>
      </c>
      <c r="G869" s="29" t="n">
        <f aca="false">Quesería!$B$55*(IF(G$43=0,SUMPRODUCT((Quesería!$C$70:$C$89=0)*(Quesería!$H$70:$H$89&gt;0)*(Quesería!$J$70:$J$89&gt;0)*Quesería!$F$70:$F$89*(1+Quesería!$I$70:$I$89)),IF(G$43=1,SUMPRODUCT((Quesería!$C$70:$C$89=1)*(Quesería!$H$70:$H$89&gt;0)*(Quesería!$J$70:$J$89&gt;0)*Quesería!$F$70:$F$89*(1+Quesería!$I$70:$I$89))*$U$21,0))*$U$11+G868)</f>
        <v>5.21839128108597</v>
      </c>
      <c r="H869" s="29" t="n">
        <f aca="false">Quesería!$B$55*(IF(H$43=0,SUMPRODUCT((Quesería!$C$70:$C$89=0)*(Quesería!$H$70:$H$89&gt;0)*(Quesería!$J$70:$J$89&gt;0)*Quesería!$F$70:$F$89*(1+Quesería!$I$70:$I$89)),IF(H$43=1,SUMPRODUCT((Quesería!$C$70:$C$89=1)*(Quesería!$H$70:$H$89&gt;0)*(Quesería!$J$70:$J$89&gt;0)*Quesería!$F$70:$F$89*(1+Quesería!$I$70:$I$89))*$U$21,0))*$U$11+H868)</f>
        <v>8.8139395850815</v>
      </c>
      <c r="I869" s="29" t="n">
        <f aca="false">Quesería!$B$55*(IF(I$43=0,SUMPRODUCT((Quesería!$C$70:$C$89=0)*(Quesería!$H$70:$H$89&gt;0)*(Quesería!$J$70:$J$89&gt;0)*Quesería!$F$70:$F$89*(1+Quesería!$I$70:$I$89)),IF(I$43=1,SUMPRODUCT((Quesería!$C$70:$C$89=1)*(Quesería!$H$70:$H$89&gt;0)*(Quesería!$J$70:$J$89&gt;0)*Quesería!$F$70:$F$89*(1+Quesería!$I$70:$I$89))*$U$21,0))*$U$11+I868)</f>
        <v>0</v>
      </c>
      <c r="J869" s="29" t="n">
        <f aca="false">Quesería!$B$55*(IF(J$43=0,SUMPRODUCT((Quesería!$C$70:$C$89=0)*(Quesería!$H$70:$H$89&gt;0)*(Quesería!$J$70:$J$89&gt;0)*Quesería!$F$70:$F$89*(1+Quesería!$I$70:$I$89)),IF(J$43=1,SUMPRODUCT((Quesería!$C$70:$C$89=1)*(Quesería!$H$70:$H$89&gt;0)*(Quesería!$J$70:$J$89&gt;0)*Quesería!$F$70:$F$89*(1+Quesería!$I$70:$I$89))*$U$21,0))*$U$11+J868)</f>
        <v>0</v>
      </c>
      <c r="K869" s="29" t="n">
        <f aca="false">Quesería!$B$55*(IF(K$43=0,SUMPRODUCT((Quesería!$C$70:$C$89=0)*(Quesería!$H$70:$H$89&gt;0)*(Quesería!$J$70:$J$89&gt;0)*Quesería!$F$70:$F$89*(1+Quesería!$I$70:$I$89)),IF(K$43=1,SUMPRODUCT((Quesería!$C$70:$C$89=1)*(Quesería!$H$70:$H$89&gt;0)*(Quesería!$J$70:$J$89&gt;0)*Quesería!$F$70:$F$89*(1+Quesería!$I$70:$I$89))*$U$21,0))*$U$11+K868)</f>
        <v>0</v>
      </c>
      <c r="L869" s="29" t="n">
        <f aca="false">Quesería!$B$55*(IF(L$43=0,SUMPRODUCT((Quesería!$C$70:$C$89=0)*(Quesería!$H$70:$H$89&gt;0)*(Quesería!$J$70:$J$89&gt;0)*Quesería!$F$70:$F$89*(1+Quesería!$I$70:$I$89)),IF(L$43=1,SUMPRODUCT((Quesería!$C$70:$C$89=1)*(Quesería!$H$70:$H$89&gt;0)*(Quesería!$J$70:$J$89&gt;0)*Quesería!$F$70:$F$89*(1+Quesería!$I$70:$I$89))*$U$21,0))*$U$11+L868)</f>
        <v>0</v>
      </c>
    </row>
    <row r="870" customFormat="false" ht="15" hidden="true" customHeight="false" outlineLevel="1" collapsed="false">
      <c r="A870" s="6" t="s">
        <v>385</v>
      </c>
      <c r="B870" s="29" t="n">
        <f aca="false">IF(B$43=0,($U$22*Quesería!$J$125+(1-$U$22)*Quesería!$E$121)*Quesería!$B$20*Quesería!$B$21/12*$U$23,(($U$22*Quesería!$J$125+(1-$U$22)*Quesería!$E$121)+($U$22*Quesería!$J$104+(1-$U$22)*Quesería!$E$104)*(B865-1))*IF(B$43=1,Quesería!$B$20,1))*$U$10</f>
        <v>120.716772261203</v>
      </c>
      <c r="C870" s="29" t="n">
        <f aca="false">IF(C$43=0,($U$22*Quesería!$J$125+(1-$U$22)*Quesería!$E$121)*Quesería!$B$20*Quesería!$B$21/12*$U$23,(($U$22*Quesería!$J$125+(1-$U$22)*Quesería!$E$121)+($U$22*Quesería!$J$104+(1-$U$22)*Quesería!$E$104)*(C865-1))*IF(C$43=1,Quesería!$B$20,1))*$U$10</f>
        <v>181.328317354069</v>
      </c>
      <c r="D870" s="29" t="n">
        <f aca="false">IF(D$43=0,($U$22*Quesería!$J$125+(1-$U$22)*Quesería!$E$121)*Quesería!$B$20*Quesería!$B$21/12*$U$23,(($U$22*Quesería!$J$125+(1-$U$22)*Quesería!$E$121)+($U$22*Quesería!$J$104+(1-$U$22)*Quesería!$E$104)*(D865-1))*IF(D$43=1,Quesería!$B$20,1))*$U$10</f>
        <v>241.83157753184</v>
      </c>
      <c r="E870" s="29" t="n">
        <f aca="false">IF(E$43=0,($U$22*Quesería!$J$125+(1-$U$22)*Quesería!$E$121)*Quesería!$B$20*Quesería!$B$21/12*$U$23,(($U$22*Quesería!$J$125+(1-$U$22)*Quesería!$E$121)+($U$22*Quesería!$J$104+(1-$U$22)*Quesería!$E$104)*(E865-1))*IF(E$43=1,Quesería!$B$20,1))*$U$10</f>
        <v>241.892367696887</v>
      </c>
      <c r="F870" s="29" t="n">
        <f aca="false">IF(F$43=0,($U$22*Quesería!$J$125+(1-$U$22)*Quesería!$E$121)*Quesería!$B$20*Quesería!$B$21/12*$U$23,(($U$22*Quesería!$J$125+(1-$U$22)*Quesería!$E$121)+($U$22*Quesería!$J$104+(1-$U$22)*Quesería!$E$104)*(F865-1))*IF(F$43=1,Quesería!$B$20,1))*$U$10</f>
        <v>241.95346181276</v>
      </c>
      <c r="G870" s="29" t="n">
        <f aca="false">IF(G$43=0,($U$22*Quesería!$J$125+(1-$U$22)*Quesería!$E$121)*Quesería!$B$20*Quesería!$B$21/12*$U$23,(($U$22*Quesería!$J$125+(1-$U$22)*Quesería!$E$121)+($U$22*Quesería!$J$104+(1-$U$22)*Quesería!$E$104)*(G865-1))*IF(G$43=1,Quesería!$B$20,1))*$U$10</f>
        <v>242.014861399211</v>
      </c>
      <c r="H870" s="29" t="n">
        <f aca="false">IF(H$43=0,($U$22*Quesería!$J$125+(1-$U$22)*Quesería!$E$121)*Quesería!$B$20*Quesería!$B$21/12*$U$23,(($U$22*Quesería!$J$125+(1-$U$22)*Quesería!$E$121)+($U$22*Quesería!$J$104+(1-$U$22)*Quesería!$E$104)*(H865-1))*IF(H$43=1,Quesería!$B$20,1))*$U$10</f>
        <v>242.076567983595</v>
      </c>
      <c r="I870" s="29" t="n">
        <f aca="false">IF(I$43=0,($U$22*Quesería!$J$125+(1-$U$22)*Quesería!$E$121)*Quesería!$B$20*Quesería!$B$21/12*$U$23,(($U$22*Quesería!$J$125+(1-$U$22)*Quesería!$E$121)+($U$22*Quesería!$J$104+(1-$U$22)*Quesería!$E$104)*(I865-1))*IF(I$43=1,Quesería!$B$20,1))*$U$10</f>
        <v>242.138583100901</v>
      </c>
      <c r="J870" s="29" t="n">
        <f aca="false">IF(J$43=0,($U$22*Quesería!$J$125+(1-$U$22)*Quesería!$E$121)*Quesería!$B$20*Quesería!$B$21/12*$U$23,(($U$22*Quesería!$J$125+(1-$U$22)*Quesería!$E$121)+($U$22*Quesería!$J$104+(1-$U$22)*Quesería!$E$104)*(J865-1))*IF(J$43=1,Quesería!$B$20,1))*$U$10</f>
        <v>242.200908293794</v>
      </c>
      <c r="K870" s="29" t="n">
        <f aca="false">IF(K$43=0,($U$22*Quesería!$J$125+(1-$U$22)*Quesería!$E$121)*Quesería!$B$20*Quesería!$B$21/12*$U$23,(($U$22*Quesería!$J$125+(1-$U$22)*Quesería!$E$121)+($U$22*Quesería!$J$104+(1-$U$22)*Quesería!$E$104)*(K865-1))*IF(K$43=1,Quesería!$B$20,1))*$U$10</f>
        <v>242.263545112651</v>
      </c>
      <c r="L870" s="29" t="n">
        <f aca="false">IF(L$43=0,($U$22*Quesería!$J$125+(1-$U$22)*Quesería!$E$121)*Quesería!$B$20*Quesería!$B$21/12*$U$23,(($U$22*Quesería!$J$125+(1-$U$22)*Quesería!$E$121)+($U$22*Quesería!$J$104+(1-$U$22)*Quesería!$E$104)*(L865-1))*IF(L$43=1,Quesería!$B$20,1))*$U$10</f>
        <v>242.326495115602</v>
      </c>
    </row>
    <row r="871" customFormat="false" ht="15" hidden="true" customHeight="false" outlineLevel="1" collapsed="false">
      <c r="A871" s="6" t="s">
        <v>386</v>
      </c>
      <c r="B871" s="29" t="n">
        <f aca="false">IF(B$43&lt;=1,0,((($U$22*Quesería!$J$126+(1-$U$22)*Quesería!$E$122)-($U$22*Quesería!$J$113+(1-$U$22)*Quesería!$E$113)+$U$6*($U$22*Quesería!$J$113+(1-$U$22)*Quesería!$E$113)-(1-$U$9)*(($U$22*Quesería!$J$118+(1-$U$22)*Quesería!$E$118)+($U$22*Quesería!$J$117+(1-$U$22)*Quesería!$E$117)))+($U$6*($U$22*Quesería!$J$113+(1-$U$22)*Quesería!$E$113)+$U$9*($U$22*Quesería!$J$118+(1-$U$22)*Quesería!$E$118))*(B865-1))*IF(B$43=2,Quesería!$B$20,1)+IF(B$43=2,Quesería!$B$24*$U$9*($U$22*Quesería!$J$118+(1-$U$22)*Quesería!$E$118)*B865,0))*$U$10*$U$21</f>
        <v>0</v>
      </c>
      <c r="C871" s="29" t="n">
        <f aca="false">IF(C$43&lt;=1,0,((($U$22*Quesería!$J$126+(1-$U$22)*Quesería!$E$122)-($U$22*Quesería!$J$113+(1-$U$22)*Quesería!$E$113)+$U$6*($U$22*Quesería!$J$113+(1-$U$22)*Quesería!$E$113)-(1-$U$9)*(($U$22*Quesería!$J$118+(1-$U$22)*Quesería!$E$118)+($U$22*Quesería!$J$117+(1-$U$22)*Quesería!$E$117)))+($U$6*($U$22*Quesería!$J$113+(1-$U$22)*Quesería!$E$113)+$U$9*($U$22*Quesería!$J$118+(1-$U$22)*Quesería!$E$118))*(C865-1))*IF(C$43=2,Quesería!$B$20,1)+IF(C$43=2,Quesería!$B$24*$U$9*($U$22*Quesería!$J$118+(1-$U$22)*Quesería!$E$118)*C865,0))*$U$10*$U$21</f>
        <v>0</v>
      </c>
      <c r="D871" s="29" t="n">
        <f aca="false">IF(D$43&lt;=1,0,((($U$22*Quesería!$J$126+(1-$U$22)*Quesería!$E$122)-($U$22*Quesería!$J$113+(1-$U$22)*Quesería!$E$113)+$U$6*($U$22*Quesería!$J$113+(1-$U$22)*Quesería!$E$113)-(1-$U$9)*(($U$22*Quesería!$J$118+(1-$U$22)*Quesería!$E$118)+($U$22*Quesería!$J$117+(1-$U$22)*Quesería!$E$117)))+($U$6*($U$22*Quesería!$J$113+(1-$U$22)*Quesería!$E$113)+$U$9*($U$22*Quesería!$J$118+(1-$U$22)*Quesería!$E$118))*(D865-1))*IF(D$43=2,Quesería!$B$20,1)+IF(D$43=2,Quesería!$B$24*$U$9*($U$22*Quesería!$J$118+(1-$U$22)*Quesería!$E$118)*D865,0))*$U$10*$U$21</f>
        <v>235.201505618611</v>
      </c>
      <c r="E871" s="29" t="n">
        <f aca="false">IF(E$43&lt;=1,0,((($U$22*Quesería!$J$126+(1-$U$22)*Quesería!$E$122)-($U$22*Quesería!$J$113+(1-$U$22)*Quesería!$E$113)+$U$6*($U$22*Quesería!$J$113+(1-$U$22)*Quesería!$E$113)-(1-$U$9)*(($U$22*Quesería!$J$118+(1-$U$22)*Quesería!$E$118)+($U$22*Quesería!$J$117+(1-$U$22)*Quesería!$E$117)))+($U$6*($U$22*Quesería!$J$113+(1-$U$22)*Quesería!$E$113)+$U$9*($U$22*Quesería!$J$118+(1-$U$22)*Quesería!$E$118))*(E865-1))*IF(E$43=2,Quesería!$B$20,1)+IF(E$43=2,Quesería!$B$24*$U$9*($U$22*Quesería!$J$118+(1-$U$22)*Quesería!$E$118)*E865,0))*$U$10*$U$21</f>
        <v>298.96150264002</v>
      </c>
      <c r="F871" s="29" t="n">
        <f aca="false">IF(F$43&lt;=1,0,((($U$22*Quesería!$J$126+(1-$U$22)*Quesería!$E$122)-($U$22*Quesería!$J$113+(1-$U$22)*Quesería!$E$113)+$U$6*($U$22*Quesería!$J$113+(1-$U$22)*Quesería!$E$113)-(1-$U$9)*(($U$22*Quesería!$J$118+(1-$U$22)*Quesería!$E$118)+($U$22*Quesería!$J$117+(1-$U$22)*Quesería!$E$117)))+($U$6*($U$22*Quesería!$J$113+(1-$U$22)*Quesería!$E$113)+$U$9*($U$22*Quesería!$J$118+(1-$U$22)*Quesería!$E$118))*(F865-1))*IF(F$43=2,Quesería!$B$20,1)+IF(F$43=2,Quesería!$B$24*$U$9*($U$22*Quesería!$J$118+(1-$U$22)*Quesería!$E$118)*F865,0))*$U$10*$U$21</f>
        <v>299.209619559583</v>
      </c>
      <c r="G871" s="29" t="n">
        <f aca="false">IF(G$43&lt;=1,0,((($U$22*Quesería!$J$126+(1-$U$22)*Quesería!$E$122)-($U$22*Quesería!$J$113+(1-$U$22)*Quesería!$E$113)+$U$6*($U$22*Quesería!$J$113+(1-$U$22)*Quesería!$E$113)-(1-$U$9)*(($U$22*Quesería!$J$118+(1-$U$22)*Quesería!$E$118)+($U$22*Quesería!$J$117+(1-$U$22)*Quesería!$E$117)))+($U$6*($U$22*Quesería!$J$113+(1-$U$22)*Quesería!$E$113)+$U$9*($U$22*Quesería!$J$118+(1-$U$22)*Quesería!$E$118))*(G865-1))*IF(G$43=2,Quesería!$B$20,1)+IF(G$43=2,Quesería!$B$24*$U$9*($U$22*Quesería!$J$118+(1-$U$22)*Quesería!$E$118)*G865,0))*$U$10*$U$21</f>
        <v>299.458977063744</v>
      </c>
      <c r="H871" s="29" t="n">
        <f aca="false">IF(H$43&lt;=1,0,((($U$22*Quesería!$J$126+(1-$U$22)*Quesería!$E$122)-($U$22*Quesería!$J$113+(1-$U$22)*Quesería!$E$113)+$U$6*($U$22*Quesería!$J$113+(1-$U$22)*Quesería!$E$113)-(1-$U$9)*(($U$22*Quesería!$J$118+(1-$U$22)*Quesería!$E$118)+($U$22*Quesería!$J$117+(1-$U$22)*Quesería!$E$117)))+($U$6*($U$22*Quesería!$J$113+(1-$U$22)*Quesería!$E$113)+$U$9*($U$22*Quesería!$J$118+(1-$U$22)*Quesería!$E$118))*(H865-1))*IF(H$43=2,Quesería!$B$20,1)+IF(H$43=2,Quesería!$B$24*$U$9*($U$22*Quesería!$J$118+(1-$U$22)*Quesería!$E$118)*H865,0))*$U$10*$U$21</f>
        <v>299.709581355426</v>
      </c>
      <c r="I871" s="29" t="n">
        <f aca="false">IF(I$43&lt;=1,0,((($U$22*Quesería!$J$126+(1-$U$22)*Quesería!$E$122)-($U$22*Quesería!$J$113+(1-$U$22)*Quesería!$E$113)+$U$6*($U$22*Quesería!$J$113+(1-$U$22)*Quesería!$E$113)-(1-$U$9)*(($U$22*Quesería!$J$118+(1-$U$22)*Quesería!$E$118)+($U$22*Quesería!$J$117+(1-$U$22)*Quesería!$E$117)))+($U$6*($U$22*Quesería!$J$113+(1-$U$22)*Quesería!$E$113)+$U$9*($U$22*Quesería!$J$118+(1-$U$22)*Quesería!$E$118))*(I865-1))*IF(I$43=2,Quesería!$B$20,1)+IF(I$43=2,Quesería!$B$24*$U$9*($U$22*Quesería!$J$118+(1-$U$22)*Quesería!$E$118)*I865,0))*$U$10*$U$21</f>
        <v>299.961438668567</v>
      </c>
      <c r="J871" s="29" t="n">
        <f aca="false">IF(J$43&lt;=1,0,((($U$22*Quesería!$J$126+(1-$U$22)*Quesería!$E$122)-($U$22*Quesería!$J$113+(1-$U$22)*Quesería!$E$113)+$U$6*($U$22*Quesería!$J$113+(1-$U$22)*Quesería!$E$113)-(1-$U$9)*(($U$22*Quesería!$J$118+(1-$U$22)*Quesería!$E$118)+($U$22*Quesería!$J$117+(1-$U$22)*Quesería!$E$117)))+($U$6*($U$22*Quesería!$J$113+(1-$U$22)*Quesería!$E$113)+$U$9*($U$22*Quesería!$J$118+(1-$U$22)*Quesería!$E$118))*(J865-1))*IF(J$43=2,Quesería!$B$20,1)+IF(J$43=2,Quesería!$B$24*$U$9*($U$22*Quesería!$J$118+(1-$U$22)*Quesería!$E$118)*J865,0))*$U$10*$U$21</f>
        <v>300.214555268273</v>
      </c>
      <c r="K871" s="29" t="n">
        <f aca="false">IF(K$43&lt;=1,0,((($U$22*Quesería!$J$126+(1-$U$22)*Quesería!$E$122)-($U$22*Quesería!$J$113+(1-$U$22)*Quesería!$E$113)+$U$6*($U$22*Quesería!$J$113+(1-$U$22)*Quesería!$E$113)-(1-$U$9)*(($U$22*Quesería!$J$118+(1-$U$22)*Quesería!$E$118)+($U$22*Quesería!$J$117+(1-$U$22)*Quesería!$E$117)))+($U$6*($U$22*Quesería!$J$113+(1-$U$22)*Quesería!$E$113)+$U$9*($U$22*Quesería!$J$118+(1-$U$22)*Quesería!$E$118))*(K865-1))*IF(K$43=2,Quesería!$B$20,1)+IF(K$43=2,Quesería!$B$24*$U$9*($U$22*Quesería!$J$118+(1-$U$22)*Quesería!$E$118)*K865,0))*$U$10*$U$21</f>
        <v>300.468937450978</v>
      </c>
      <c r="L871" s="29" t="n">
        <f aca="false">IF(L$43&lt;=1,0,((($U$22*Quesería!$J$126+(1-$U$22)*Quesería!$E$122)-($U$22*Quesería!$J$113+(1-$U$22)*Quesería!$E$113)+$U$6*($U$22*Quesería!$J$113+(1-$U$22)*Quesería!$E$113)-(1-$U$9)*(($U$22*Quesería!$J$118+(1-$U$22)*Quesería!$E$118)+($U$22*Quesería!$J$117+(1-$U$22)*Quesería!$E$117)))+($U$6*($U$22*Quesería!$J$113+(1-$U$22)*Quesería!$E$113)+$U$9*($U$22*Quesería!$J$118+(1-$U$22)*Quesería!$E$118))*(L865-1))*IF(L$43=2,Quesería!$B$20,1)+IF(L$43=2,Quesería!$B$24*$U$9*($U$22*Quesería!$J$118+(1-$U$22)*Quesería!$E$118)*L865,0))*$U$10*$U$21</f>
        <v>300.724591544596</v>
      </c>
    </row>
    <row r="872" customFormat="false" ht="15" hidden="true" customHeight="false" outlineLevel="1" collapsed="false">
      <c r="A872" s="5" t="s">
        <v>411</v>
      </c>
      <c r="B872" s="10" t="n">
        <f aca="false">B870+B871</f>
        <v>120.716772261203</v>
      </c>
      <c r="C872" s="10" t="n">
        <f aca="false">C870+C871</f>
        <v>181.328317354069</v>
      </c>
      <c r="D872" s="10" t="n">
        <f aca="false">D870+D871</f>
        <v>477.033083150451</v>
      </c>
      <c r="E872" s="10" t="n">
        <f aca="false">E870+E871</f>
        <v>540.853870336907</v>
      </c>
      <c r="F872" s="10" t="n">
        <f aca="false">F870+F871</f>
        <v>541.163081372343</v>
      </c>
      <c r="G872" s="10" t="n">
        <f aca="false">G870+G871</f>
        <v>541.473838462956</v>
      </c>
      <c r="H872" s="10" t="n">
        <f aca="false">H870+H871</f>
        <v>541.786149339022</v>
      </c>
      <c r="I872" s="10" t="n">
        <f aca="false">I870+I871</f>
        <v>542.100021769468</v>
      </c>
      <c r="J872" s="10" t="n">
        <f aca="false">J870+J871</f>
        <v>542.415463562067</v>
      </c>
      <c r="K872" s="10" t="n">
        <f aca="false">K870+K871</f>
        <v>542.732482563628</v>
      </c>
      <c r="L872" s="10" t="n">
        <f aca="false">L870+L871</f>
        <v>543.051086660198</v>
      </c>
    </row>
    <row r="873" customFormat="false" ht="15" hidden="true" customHeight="false" outlineLevel="1" collapsed="false">
      <c r="A873" s="6" t="s">
        <v>412</v>
      </c>
      <c r="B873" s="29" t="n">
        <f aca="false">(IF(B$43&gt;=1,(Quesería!$B$31+Quesería!$B$33)*Quesería!$F$94*$U$11+Quesería!$B$32+'Beneficios y costos'!$B$211,0)+IF(B$43&gt;=2,((Quesería!$B$31+Quesería!$B$33)*Quesería!$F$95*$U$11+'Beneficios y costos'!$C$211)*$U$21,0))*$U$12</f>
        <v>0</v>
      </c>
      <c r="C873" s="29" t="n">
        <f aca="false">(IF(C$43&gt;=1,(Quesería!$B$31+Quesería!$B$33)*Quesería!$F$94*$U$11+Quesería!$B$32+'Beneficios y costos'!$B$211,0)+IF(C$43&gt;=2,((Quesería!$B$31+Quesería!$B$33)*Quesería!$F$95*$U$11+'Beneficios y costos'!$C$211)*$U$21,0))*$U$12</f>
        <v>42.0946487260605</v>
      </c>
      <c r="D873" s="29" t="n">
        <f aca="false">(IF(D$43&gt;=1,(Quesería!$B$31+Quesería!$B$33)*Quesería!$F$94*$U$11+Quesería!$B$32+'Beneficios y costos'!$B$211,0)+IF(D$43&gt;=2,((Quesería!$B$31+Quesería!$B$33)*Quesería!$F$95*$U$11+'Beneficios y costos'!$C$211)*$U$21,0))*$U$12</f>
        <v>95.9432442337815</v>
      </c>
      <c r="E873" s="29" t="n">
        <f aca="false">(IF(E$43&gt;=1,(Quesería!$B$31+Quesería!$B$33)*Quesería!$F$94*$U$11+Quesería!$B$32+'Beneficios y costos'!$B$211,0)+IF(E$43&gt;=2,((Quesería!$B$31+Quesería!$B$33)*Quesería!$F$95*$U$11+'Beneficios y costos'!$C$211)*$U$21,0))*$U$12</f>
        <v>95.9432442337815</v>
      </c>
      <c r="F873" s="29" t="n">
        <f aca="false">(IF(F$43&gt;=1,(Quesería!$B$31+Quesería!$B$33)*Quesería!$F$94*$U$11+Quesería!$B$32+'Beneficios y costos'!$B$211,0)+IF(F$43&gt;=2,((Quesería!$B$31+Quesería!$B$33)*Quesería!$F$95*$U$11+'Beneficios y costos'!$C$211)*$U$21,0))*$U$12</f>
        <v>95.9432442337815</v>
      </c>
      <c r="G873" s="29" t="n">
        <f aca="false">(IF(G$43&gt;=1,(Quesería!$B$31+Quesería!$B$33)*Quesería!$F$94*$U$11+Quesería!$B$32+'Beneficios y costos'!$B$211,0)+IF(G$43&gt;=2,((Quesería!$B$31+Quesería!$B$33)*Quesería!$F$95*$U$11+'Beneficios y costos'!$C$211)*$U$21,0))*$U$12</f>
        <v>95.9432442337815</v>
      </c>
      <c r="H873" s="29" t="n">
        <f aca="false">(IF(H$43&gt;=1,(Quesería!$B$31+Quesería!$B$33)*Quesería!$F$94*$U$11+Quesería!$B$32+'Beneficios y costos'!$B$211,0)+IF(H$43&gt;=2,((Quesería!$B$31+Quesería!$B$33)*Quesería!$F$95*$U$11+'Beneficios y costos'!$C$211)*$U$21,0))*$U$12</f>
        <v>95.9432442337815</v>
      </c>
      <c r="I873" s="29" t="n">
        <f aca="false">(IF(I$43&gt;=1,(Quesería!$B$31+Quesería!$B$33)*Quesería!$F$94*$U$11+Quesería!$B$32+'Beneficios y costos'!$B$211,0)+IF(I$43&gt;=2,((Quesería!$B$31+Quesería!$B$33)*Quesería!$F$95*$U$11+'Beneficios y costos'!$C$211)*$U$21,0))*$U$12</f>
        <v>95.9432442337815</v>
      </c>
      <c r="J873" s="29" t="n">
        <f aca="false">(IF(J$43&gt;=1,(Quesería!$B$31+Quesería!$B$33)*Quesería!$F$94*$U$11+Quesería!$B$32+'Beneficios y costos'!$B$211,0)+IF(J$43&gt;=2,((Quesería!$B$31+Quesería!$B$33)*Quesería!$F$95*$U$11+'Beneficios y costos'!$C$211)*$U$21,0))*$U$12</f>
        <v>95.9432442337815</v>
      </c>
      <c r="K873" s="29" t="n">
        <f aca="false">(IF(K$43&gt;=1,(Quesería!$B$31+Quesería!$B$33)*Quesería!$F$94*$U$11+Quesería!$B$32+'Beneficios y costos'!$B$211,0)+IF(K$43&gt;=2,((Quesería!$B$31+Quesería!$B$33)*Quesería!$F$95*$U$11+'Beneficios y costos'!$C$211)*$U$21,0))*$U$12</f>
        <v>95.9432442337815</v>
      </c>
      <c r="L873" s="29" t="n">
        <f aca="false">(IF(L$43&gt;=1,(Quesería!$B$31+Quesería!$B$33)*Quesería!$F$94*$U$11+Quesería!$B$32+'Beneficios y costos'!$B$211,0)+IF(L$43&gt;=2,((Quesería!$B$31+Quesería!$B$33)*Quesería!$F$95*$U$11+'Beneficios y costos'!$C$211)*$U$21,0))*$U$12</f>
        <v>95.9432442337815</v>
      </c>
    </row>
    <row r="874" customFormat="false" ht="15" hidden="true" customHeight="false" outlineLevel="1" collapsed="false">
      <c r="A874" s="6" t="s">
        <v>413</v>
      </c>
      <c r="B874" s="29" t="n">
        <f aca="false">IF(B$43=1,2*Quesería!$B$22*Quesería!$B$23/12*B865,0)*$U$21</f>
        <v>0</v>
      </c>
      <c r="C874" s="29" t="n">
        <f aca="false">IF(C$43=1,2*Quesería!$B$22*Quesería!$B$23/12*C865,0)*$U$21</f>
        <v>18.5166509433962</v>
      </c>
      <c r="D874" s="29" t="n">
        <f aca="false">IF(D$43=1,2*Quesería!$B$22*Quesería!$B$23/12*D865,0)*$U$21</f>
        <v>0</v>
      </c>
      <c r="E874" s="29" t="n">
        <f aca="false">IF(E$43=1,2*Quesería!$B$22*Quesería!$B$23/12*E865,0)*$U$21</f>
        <v>0</v>
      </c>
      <c r="F874" s="29" t="n">
        <f aca="false">IF(F$43=1,2*Quesería!$B$22*Quesería!$B$23/12*F865,0)*$U$21</f>
        <v>0</v>
      </c>
      <c r="G874" s="29" t="n">
        <f aca="false">IF(G$43=1,2*Quesería!$B$22*Quesería!$B$23/12*G865,0)*$U$21</f>
        <v>0</v>
      </c>
      <c r="H874" s="29" t="n">
        <f aca="false">IF(H$43=1,2*Quesería!$B$22*Quesería!$B$23/12*H865,0)*$U$21</f>
        <v>0</v>
      </c>
      <c r="I874" s="29" t="n">
        <f aca="false">IF(I$43=1,2*Quesería!$B$22*Quesería!$B$23/12*I865,0)*$U$21</f>
        <v>0</v>
      </c>
      <c r="J874" s="29" t="n">
        <f aca="false">IF(J$43=1,2*Quesería!$B$22*Quesería!$B$23/12*J865,0)*$U$21</f>
        <v>0</v>
      </c>
      <c r="K874" s="29" t="n">
        <f aca="false">IF(K$43=1,2*Quesería!$B$22*Quesería!$B$23/12*K865,0)*$U$21</f>
        <v>0</v>
      </c>
      <c r="L874" s="29" t="n">
        <f aca="false">IF(L$43=1,2*Quesería!$B$22*Quesería!$B$23/12*L865,0)*$U$21</f>
        <v>0</v>
      </c>
    </row>
    <row r="875" customFormat="false" ht="15" hidden="true" customHeight="false" outlineLevel="1" collapsed="false">
      <c r="A875" s="6" t="s">
        <v>414</v>
      </c>
      <c r="B875" s="29" t="n">
        <f aca="false">Quesería!$B$52*(B867+B868+B869+B873+B874)</f>
        <v>4.31966364396742</v>
      </c>
      <c r="C875" s="29" t="n">
        <f aca="false">Quesería!$B$52*(C867+C868+C869+C873+C874)</f>
        <v>3.85275795604844</v>
      </c>
      <c r="D875" s="29" t="n">
        <f aca="false">Quesería!$B$52*(D867+D868+D869+D873+D874)</f>
        <v>0.383772976935126</v>
      </c>
      <c r="E875" s="29" t="n">
        <f aca="false">Quesería!$B$52*(E867+E868+E869+E873+E874)</f>
        <v>0.383772976935126</v>
      </c>
      <c r="F875" s="29" t="n">
        <f aca="false">Quesería!$B$52*(F867+F868+F869+F873+F874)</f>
        <v>0.383772976935126</v>
      </c>
      <c r="G875" s="29" t="n">
        <f aca="false">Quesería!$B$52*(G867+G868+G869+G873+G874)</f>
        <v>0.514507411134964</v>
      </c>
      <c r="H875" s="29" t="n">
        <f aca="false">Quesería!$B$52*(H867+H868+H869+H873+H874)</f>
        <v>0.604585358119273</v>
      </c>
      <c r="I875" s="29" t="n">
        <f aca="false">Quesería!$B$52*(I867+I868+I869+I873+I874)</f>
        <v>0.383772976935126</v>
      </c>
      <c r="J875" s="29" t="n">
        <f aca="false">Quesería!$B$52*(J867+J868+J869+J873+J874)</f>
        <v>0.383772976935126</v>
      </c>
      <c r="K875" s="29" t="n">
        <f aca="false">Quesería!$B$52*(K867+K868+K869+K873+K874)</f>
        <v>0.383772976935126</v>
      </c>
      <c r="L875" s="29" t="n">
        <f aca="false">Quesería!$B$52*(L867+L868+L869+L873+L874)</f>
        <v>0.383772976935126</v>
      </c>
    </row>
    <row r="876" customFormat="false" ht="15" hidden="true" customHeight="false" outlineLevel="1" collapsed="false">
      <c r="A876" s="6" t="s">
        <v>415</v>
      </c>
      <c r="B876" s="29" t="n">
        <f aca="false">(IF($U$19=1,(SUMPRODUCT((Quesería!$C$70:$C$89=0)*(Quesería!$J$70:$J$89&gt;0)*(B$43&gt;=1)*(B$43&lt;=Quesería!$J$70:$J$89)*(Quesería!$H$70:$H$89&gt;0)*Quesería!$F$70:$F$89*(1+Quesería!$I$70:$I$89)/(Quesería!$J$70:$J$89+(Quesería!$J$70:$J$89=0)))+SUMPRODUCT((Quesería!$C$70:$C$89=0)*(Quesería!$J$70:$J$89=0)*(B$43=0)*(Quesería!$H$70:$H$89&gt;0)*Quesería!$F$70:$F$89*(1+Quesería!$I$70:$I$89)))*$B$864+(SUMPRODUCT((Quesería!$C$70:$C$89=1)*(Quesería!$J$70:$J$89&gt;0)*(B$43&gt;=2)*(B$43&lt;=Quesería!$J$70:$J$89+1)*(Quesería!$H$70:$H$89&gt;0)*Quesería!$F$70:$F$89*(1+Quesería!$I$70:$I$89)/(Quesería!$J$70:$J$89+(Quesería!$J$70:$J$89=0)))+SUMPRODUCT((Quesería!$C$70:$C$89=1)*(Quesería!$J$70:$J$89=0)*(B$43=1)*(Quesería!$H$70:$H$89&gt;0)*Quesería!$F$70:$F$89*(1+Quesería!$I$70:$I$89)))*$C$864*$U$21,IF(AND(B$43&gt;=1,B$43&lt;=Quesería!$B$30),Quesería!$F$92/Quesería!$B$30,0)*$B$864+IF(AND(B$43&gt;=2,B$43&lt;=Quesería!$B$30+1),Quesería!$F$93/Quesería!$B$30,0)*$C$864*$U$21)*$U$11+IF(AND(B$43&gt;=6,B$43&lt;=10),$G868*$G864/5,0)+IF(AND(B$43&gt;=7,B$43&lt;=11),$H868*$H864/5,0))*B866</f>
        <v>145.980915430742</v>
      </c>
      <c r="C876" s="29" t="n">
        <f aca="false">(IF($U$19=1,(SUMPRODUCT((Quesería!$C$70:$C$89=0)*(Quesería!$J$70:$J$89&gt;0)*(C$43&gt;=1)*(C$43&lt;=Quesería!$J$70:$J$89)*(Quesería!$H$70:$H$89&gt;0)*Quesería!$F$70:$F$89*(1+Quesería!$I$70:$I$89)/(Quesería!$J$70:$J$89+(Quesería!$J$70:$J$89=0)))+SUMPRODUCT((Quesería!$C$70:$C$89=0)*(Quesería!$J$70:$J$89=0)*(C$43=0)*(Quesería!$H$70:$H$89&gt;0)*Quesería!$F$70:$F$89*(1+Quesería!$I$70:$I$89)))*$B$864+(SUMPRODUCT((Quesería!$C$70:$C$89=1)*(Quesería!$J$70:$J$89&gt;0)*(C$43&gt;=2)*(C$43&lt;=Quesería!$J$70:$J$89+1)*(Quesería!$H$70:$H$89&gt;0)*Quesería!$F$70:$F$89*(1+Quesería!$I$70:$I$89)/(Quesería!$J$70:$J$89+(Quesería!$J$70:$J$89=0)))+SUMPRODUCT((Quesería!$C$70:$C$89=1)*(Quesería!$J$70:$J$89=0)*(C$43=1)*(Quesería!$H$70:$H$89&gt;0)*Quesería!$F$70:$F$89*(1+Quesería!$I$70:$I$89)))*$C$864*$U$21,IF(AND(C$43&gt;=1,C$43&lt;=Quesería!$B$30),Quesería!$F$92/Quesería!$B$30,0)*$B$864+IF(AND(C$43&gt;=2,C$43&lt;=Quesería!$B$30+1),Quesería!$F$93/Quesería!$B$30,0)*$C$864*$U$21)*$U$11+IF(AND(C$43&gt;=6,C$43&lt;=10),$G868*$G864/5,0)+IF(AND(C$43&gt;=7,C$43&lt;=11),$H868*$H864/5,0))*C866</f>
        <v>82.2633269524265</v>
      </c>
      <c r="D876" s="29" t="n">
        <f aca="false">(IF($U$19=1,(SUMPRODUCT((Quesería!$C$70:$C$89=0)*(Quesería!$J$70:$J$89&gt;0)*(D$43&gt;=1)*(D$43&lt;=Quesería!$J$70:$J$89)*(Quesería!$H$70:$H$89&gt;0)*Quesería!$F$70:$F$89*(1+Quesería!$I$70:$I$89)/(Quesería!$J$70:$J$89+(Quesería!$J$70:$J$89=0)))+SUMPRODUCT((Quesería!$C$70:$C$89=0)*(Quesería!$J$70:$J$89=0)*(D$43=0)*(Quesería!$H$70:$H$89&gt;0)*Quesería!$F$70:$F$89*(1+Quesería!$I$70:$I$89)))*$B$864+(SUMPRODUCT((Quesería!$C$70:$C$89=1)*(Quesería!$J$70:$J$89&gt;0)*(D$43&gt;=2)*(D$43&lt;=Quesería!$J$70:$J$89+1)*(Quesería!$H$70:$H$89&gt;0)*Quesería!$F$70:$F$89*(1+Quesería!$I$70:$I$89)/(Quesería!$J$70:$J$89+(Quesería!$J$70:$J$89=0)))+SUMPRODUCT((Quesería!$C$70:$C$89=1)*(Quesería!$J$70:$J$89=0)*(D$43=1)*(Quesería!$H$70:$H$89&gt;0)*Quesería!$F$70:$F$89*(1+Quesería!$I$70:$I$89)))*$C$864*$U$21,IF(AND(D$43&gt;=1,D$43&lt;=Quesería!$B$30),Quesería!$F$92/Quesería!$B$30,0)*$B$864+IF(AND(D$43&gt;=2,D$43&lt;=Quesería!$B$30+1),Quesería!$F$93/Quesería!$B$30,0)*$C$864*$U$21)*$U$11+IF(AND(D$43&gt;=6,D$43&lt;=10),$G868*$G864/5,0)+IF(AND(D$43&gt;=7,D$43&lt;=11),$H868*$H864/5,0))*D866</f>
        <v>151.301658966389</v>
      </c>
      <c r="E876" s="29" t="n">
        <f aca="false">(IF($U$19=1,(SUMPRODUCT((Quesería!$C$70:$C$89=0)*(Quesería!$J$70:$J$89&gt;0)*(E$43&gt;=1)*(E$43&lt;=Quesería!$J$70:$J$89)*(Quesería!$H$70:$H$89&gt;0)*Quesería!$F$70:$F$89*(1+Quesería!$I$70:$I$89)/(Quesería!$J$70:$J$89+(Quesería!$J$70:$J$89=0)))+SUMPRODUCT((Quesería!$C$70:$C$89=0)*(Quesería!$J$70:$J$89=0)*(E$43=0)*(Quesería!$H$70:$H$89&gt;0)*Quesería!$F$70:$F$89*(1+Quesería!$I$70:$I$89)))*$B$864+(SUMPRODUCT((Quesería!$C$70:$C$89=1)*(Quesería!$J$70:$J$89&gt;0)*(E$43&gt;=2)*(E$43&lt;=Quesería!$J$70:$J$89+1)*(Quesería!$H$70:$H$89&gt;0)*Quesería!$F$70:$F$89*(1+Quesería!$I$70:$I$89)/(Quesería!$J$70:$J$89+(Quesería!$J$70:$J$89=0)))+SUMPRODUCT((Quesería!$C$70:$C$89=1)*(Quesería!$J$70:$J$89=0)*(E$43=1)*(Quesería!$H$70:$H$89&gt;0)*Quesería!$F$70:$F$89*(1+Quesería!$I$70:$I$89)))*$C$864*$U$21,IF(AND(E$43&gt;=1,E$43&lt;=Quesería!$B$30),Quesería!$F$92/Quesería!$B$30,0)*$B$864+IF(AND(E$43&gt;=2,E$43&lt;=Quesería!$B$30+1),Quesería!$F$93/Quesería!$B$30,0)*$C$864*$U$21)*$U$11+IF(AND(E$43&gt;=6,E$43&lt;=10),$G868*$G864/5,0)+IF(AND(E$43&gt;=7,E$43&lt;=11),$H868*$H864/5,0))*E866</f>
        <v>145.482364390759</v>
      </c>
      <c r="F876" s="29" t="n">
        <f aca="false">(IF($U$19=1,(SUMPRODUCT((Quesería!$C$70:$C$89=0)*(Quesería!$J$70:$J$89&gt;0)*(F$43&gt;=1)*(F$43&lt;=Quesería!$J$70:$J$89)*(Quesería!$H$70:$H$89&gt;0)*Quesería!$F$70:$F$89*(1+Quesería!$I$70:$I$89)/(Quesería!$J$70:$J$89+(Quesería!$J$70:$J$89=0)))+SUMPRODUCT((Quesería!$C$70:$C$89=0)*(Quesería!$J$70:$J$89=0)*(F$43=0)*(Quesería!$H$70:$H$89&gt;0)*Quesería!$F$70:$F$89*(1+Quesería!$I$70:$I$89)))*$B$864+(SUMPRODUCT((Quesería!$C$70:$C$89=1)*(Quesería!$J$70:$J$89&gt;0)*(F$43&gt;=2)*(F$43&lt;=Quesería!$J$70:$J$89+1)*(Quesería!$H$70:$H$89&gt;0)*Quesería!$F$70:$F$89*(1+Quesería!$I$70:$I$89)/(Quesería!$J$70:$J$89+(Quesería!$J$70:$J$89=0)))+SUMPRODUCT((Quesería!$C$70:$C$89=1)*(Quesería!$J$70:$J$89=0)*(F$43=1)*(Quesería!$H$70:$H$89&gt;0)*Quesería!$F$70:$F$89*(1+Quesería!$I$70:$I$89)))*$C$864*$U$21,IF(AND(F$43&gt;=1,F$43&lt;=Quesería!$B$30),Quesería!$F$92/Quesería!$B$30,0)*$B$864+IF(AND(F$43&gt;=2,F$43&lt;=Quesería!$B$30+1),Quesería!$F$93/Quesería!$B$30,0)*$C$864*$U$21)*$U$11+IF(AND(F$43&gt;=6,F$43&lt;=10),$G868*$G864/5,0)+IF(AND(F$43&gt;=7,F$43&lt;=11),$H868*$H864/5,0))*F866</f>
        <v>139.886888837268</v>
      </c>
      <c r="G876" s="29" t="n">
        <f aca="false">(IF($U$19=1,(SUMPRODUCT((Quesería!$C$70:$C$89=0)*(Quesería!$J$70:$J$89&gt;0)*(G$43&gt;=1)*(G$43&lt;=Quesería!$J$70:$J$89)*(Quesería!$H$70:$H$89&gt;0)*Quesería!$F$70:$F$89*(1+Quesería!$I$70:$I$89)/(Quesería!$J$70:$J$89+(Quesería!$J$70:$J$89=0)))+SUMPRODUCT((Quesería!$C$70:$C$89=0)*(Quesería!$J$70:$J$89=0)*(G$43=0)*(Quesería!$H$70:$H$89&gt;0)*Quesería!$F$70:$F$89*(1+Quesería!$I$70:$I$89)))*$B$864+(SUMPRODUCT((Quesería!$C$70:$C$89=1)*(Quesería!$J$70:$J$89&gt;0)*(G$43&gt;=2)*(G$43&lt;=Quesería!$J$70:$J$89+1)*(Quesería!$H$70:$H$89&gt;0)*Quesería!$F$70:$F$89*(1+Quesería!$I$70:$I$89)/(Quesería!$J$70:$J$89+(Quesería!$J$70:$J$89=0)))+SUMPRODUCT((Quesería!$C$70:$C$89=1)*(Quesería!$J$70:$J$89=0)*(G$43=1)*(Quesería!$H$70:$H$89&gt;0)*Quesería!$F$70:$F$89*(1+Quesería!$I$70:$I$89)))*$C$864*$U$21,IF(AND(G$43&gt;=1,G$43&lt;=Quesería!$B$30),Quesería!$F$92/Quesería!$B$30,0)*$B$864+IF(AND(G$43&gt;=2,G$43&lt;=Quesería!$B$30+1),Quesería!$F$93/Quesería!$B$30,0)*$C$864*$U$21)*$U$11+IF(AND(G$43&gt;=6,G$43&lt;=10),$G868*$G864/5,0)+IF(AND(G$43&gt;=7,G$43&lt;=11),$H868*$H864/5,0))*G866</f>
        <v>134.506623881988</v>
      </c>
      <c r="H876" s="29" t="n">
        <f aca="false">(IF($U$19=1,(SUMPRODUCT((Quesería!$C$70:$C$89=0)*(Quesería!$J$70:$J$89&gt;0)*(H$43&gt;=1)*(H$43&lt;=Quesería!$J$70:$J$89)*(Quesería!$H$70:$H$89&gt;0)*Quesería!$F$70:$F$89*(1+Quesería!$I$70:$I$89)/(Quesería!$J$70:$J$89+(Quesería!$J$70:$J$89=0)))+SUMPRODUCT((Quesería!$C$70:$C$89=0)*(Quesería!$J$70:$J$89=0)*(H$43=0)*(Quesería!$H$70:$H$89&gt;0)*Quesería!$F$70:$F$89*(1+Quesería!$I$70:$I$89)))*$B$864+(SUMPRODUCT((Quesería!$C$70:$C$89=1)*(Quesería!$J$70:$J$89&gt;0)*(H$43&gt;=2)*(H$43&lt;=Quesería!$J$70:$J$89+1)*(Quesería!$H$70:$H$89&gt;0)*Quesería!$F$70:$F$89*(1+Quesería!$I$70:$I$89)/(Quesería!$J$70:$J$89+(Quesería!$J$70:$J$89=0)))+SUMPRODUCT((Quesería!$C$70:$C$89=1)*(Quesería!$J$70:$J$89=0)*(H$43=1)*(Quesería!$H$70:$H$89&gt;0)*Quesería!$F$70:$F$89*(1+Quesería!$I$70:$I$89)))*$C$864*$U$21,IF(AND(H$43&gt;=1,H$43&lt;=Quesería!$B$30),Quesería!$F$92/Quesería!$B$30,0)*$B$864+IF(AND(H$43&gt;=2,H$43&lt;=Quesería!$B$30+1),Quesería!$F$93/Quesería!$B$30,0)*$C$864*$U$21)*$U$11+IF(AND(H$43&gt;=6,H$43&lt;=10),$G868*$G864/5,0)+IF(AND(H$43&gt;=7,H$43&lt;=11),$H868*$H864/5,0))*H866</f>
        <v>122.314670590318</v>
      </c>
      <c r="I876" s="29" t="n">
        <f aca="false">(IF($U$19=1,(SUMPRODUCT((Quesería!$C$70:$C$89=0)*(Quesería!$J$70:$J$89&gt;0)*(I$43&gt;=1)*(I$43&lt;=Quesería!$J$70:$J$89)*(Quesería!$H$70:$H$89&gt;0)*Quesería!$F$70:$F$89*(1+Quesería!$I$70:$I$89)/(Quesería!$J$70:$J$89+(Quesería!$J$70:$J$89=0)))+SUMPRODUCT((Quesería!$C$70:$C$89=0)*(Quesería!$J$70:$J$89=0)*(I$43=0)*(Quesería!$H$70:$H$89&gt;0)*Quesería!$F$70:$F$89*(1+Quesería!$I$70:$I$89)))*$B$864+(SUMPRODUCT((Quesería!$C$70:$C$89=1)*(Quesería!$J$70:$J$89&gt;0)*(I$43&gt;=2)*(I$43&lt;=Quesería!$J$70:$J$89+1)*(Quesería!$H$70:$H$89&gt;0)*Quesería!$F$70:$F$89*(1+Quesería!$I$70:$I$89)/(Quesería!$J$70:$J$89+(Quesería!$J$70:$J$89=0)))+SUMPRODUCT((Quesería!$C$70:$C$89=1)*(Quesería!$J$70:$J$89=0)*(I$43=1)*(Quesería!$H$70:$H$89&gt;0)*Quesería!$F$70:$F$89*(1+Quesería!$I$70:$I$89)))*$C$864*$U$21,IF(AND(I$43&gt;=1,I$43&lt;=Quesería!$B$30),Quesería!$F$92/Quesería!$B$30,0)*$B$864+IF(AND(I$43&gt;=2,I$43&lt;=Quesería!$B$30+1),Quesería!$F$93/Quesería!$B$30,0)*$C$864*$U$21)*$U$11+IF(AND(I$43&gt;=6,I$43&lt;=10),$G868*$G864/5,0)+IF(AND(I$43&gt;=7,I$43&lt;=11),$H868*$H864/5,0))*I866</f>
        <v>126.531251665874</v>
      </c>
      <c r="J876" s="29" t="n">
        <f aca="false">(IF($U$19=1,(SUMPRODUCT((Quesería!$C$70:$C$89=0)*(Quesería!$J$70:$J$89&gt;0)*(J$43&gt;=1)*(J$43&lt;=Quesería!$J$70:$J$89)*(Quesería!$H$70:$H$89&gt;0)*Quesería!$F$70:$F$89*(1+Quesería!$I$70:$I$89)/(Quesería!$J$70:$J$89+(Quesería!$J$70:$J$89=0)))+SUMPRODUCT((Quesería!$C$70:$C$89=0)*(Quesería!$J$70:$J$89=0)*(J$43=0)*(Quesería!$H$70:$H$89&gt;0)*Quesería!$F$70:$F$89*(1+Quesería!$I$70:$I$89)))*$B$864+(SUMPRODUCT((Quesería!$C$70:$C$89=1)*(Quesería!$J$70:$J$89&gt;0)*(J$43&gt;=2)*(J$43&lt;=Quesería!$J$70:$J$89+1)*(Quesería!$H$70:$H$89&gt;0)*Quesería!$F$70:$F$89*(1+Quesería!$I$70:$I$89)/(Quesería!$J$70:$J$89+(Quesería!$J$70:$J$89=0)))+SUMPRODUCT((Quesería!$C$70:$C$89=1)*(Quesería!$J$70:$J$89=0)*(J$43=1)*(Quesería!$H$70:$H$89&gt;0)*Quesería!$F$70:$F$89*(1+Quesería!$I$70:$I$89)))*$C$864*$U$21,IF(AND(J$43&gt;=1,J$43&lt;=Quesería!$B$30),Quesería!$F$92/Quesería!$B$30,0)*$B$864+IF(AND(J$43&gt;=2,J$43&lt;=Quesería!$B$30+1),Quesería!$F$93/Quesería!$B$30,0)*$C$864*$U$21)*$U$11+IF(AND(J$43&gt;=6,J$43&lt;=10),$G868*$G864/5,0)+IF(AND(J$43&gt;=7,J$43&lt;=11),$H868*$H864/5,0))*J866</f>
        <v>121.66466506334</v>
      </c>
      <c r="K876" s="29" t="n">
        <f aca="false">(IF($U$19=1,(SUMPRODUCT((Quesería!$C$70:$C$89=0)*(Quesería!$J$70:$J$89&gt;0)*(K$43&gt;=1)*(K$43&lt;=Quesería!$J$70:$J$89)*(Quesería!$H$70:$H$89&gt;0)*Quesería!$F$70:$F$89*(1+Quesería!$I$70:$I$89)/(Quesería!$J$70:$J$89+(Quesería!$J$70:$J$89=0)))+SUMPRODUCT((Quesería!$C$70:$C$89=0)*(Quesería!$J$70:$J$89=0)*(K$43=0)*(Quesería!$H$70:$H$89&gt;0)*Quesería!$F$70:$F$89*(1+Quesería!$I$70:$I$89)))*$B$864+(SUMPRODUCT((Quesería!$C$70:$C$89=1)*(Quesería!$J$70:$J$89&gt;0)*(K$43&gt;=2)*(K$43&lt;=Quesería!$J$70:$J$89+1)*(Quesería!$H$70:$H$89&gt;0)*Quesería!$F$70:$F$89*(1+Quesería!$I$70:$I$89)/(Quesería!$J$70:$J$89+(Quesería!$J$70:$J$89=0)))+SUMPRODUCT((Quesería!$C$70:$C$89=1)*(Quesería!$J$70:$J$89=0)*(K$43=1)*(Quesería!$H$70:$H$89&gt;0)*Quesería!$F$70:$F$89*(1+Quesería!$I$70:$I$89)))*$C$864*$U$21,IF(AND(K$43&gt;=1,K$43&lt;=Quesería!$B$30),Quesería!$F$92/Quesería!$B$30,0)*$B$864+IF(AND(K$43&gt;=2,K$43&lt;=Quesería!$B$30+1),Quesería!$F$93/Quesería!$B$30,0)*$C$864*$U$21)*$U$11+IF(AND(K$43&gt;=6,K$43&lt;=10),$G868*$G864/5,0)+IF(AND(K$43&gt;=7,K$43&lt;=11),$H868*$H864/5,0))*K866</f>
        <v>116.985254868597</v>
      </c>
      <c r="L876" s="29" t="n">
        <f aca="false">(IF($U$19=1,(SUMPRODUCT((Quesería!$C$70:$C$89=0)*(Quesería!$J$70:$J$89&gt;0)*(L$43&gt;=1)*(L$43&lt;=Quesería!$J$70:$J$89)*(Quesería!$H$70:$H$89&gt;0)*Quesería!$F$70:$F$89*(1+Quesería!$I$70:$I$89)/(Quesería!$J$70:$J$89+(Quesería!$J$70:$J$89=0)))+SUMPRODUCT((Quesería!$C$70:$C$89=0)*(Quesería!$J$70:$J$89=0)*(L$43=0)*(Quesería!$H$70:$H$89&gt;0)*Quesería!$F$70:$F$89*(1+Quesería!$I$70:$I$89)))*$B$864+(SUMPRODUCT((Quesería!$C$70:$C$89=1)*(Quesería!$J$70:$J$89&gt;0)*(L$43&gt;=2)*(L$43&lt;=Quesería!$J$70:$J$89+1)*(Quesería!$H$70:$H$89&gt;0)*Quesería!$F$70:$F$89*(1+Quesería!$I$70:$I$89)/(Quesería!$J$70:$J$89+(Quesería!$J$70:$J$89=0)))+SUMPRODUCT((Quesería!$C$70:$C$89=1)*(Quesería!$J$70:$J$89=0)*(L$43=1)*(Quesería!$H$70:$H$89&gt;0)*Quesería!$F$70:$F$89*(1+Quesería!$I$70:$I$89)))*$C$864*$U$21,IF(AND(L$43&gt;=1,L$43&lt;=Quesería!$B$30),Quesería!$F$92/Quesería!$B$30,0)*$B$864+IF(AND(L$43&gt;=2,L$43&lt;=Quesería!$B$30+1),Quesería!$F$93/Quesería!$B$30,0)*$C$864*$U$21)*$U$11+IF(AND(L$43&gt;=6,L$43&lt;=10),$G868*$G864/5,0)+IF(AND(L$43&gt;=7,L$43&lt;=11),$H868*$H864/5,0))*L866</f>
        <v>112.485821989035</v>
      </c>
    </row>
    <row r="877" customFormat="false" ht="15" hidden="true" customHeight="false" outlineLevel="1" collapsed="false">
      <c r="A877" s="9" t="s">
        <v>416</v>
      </c>
      <c r="B877" s="58" t="n">
        <f aca="false">IF(B$43=1,MIN($U$7*Quesería!$B$56*Quesería!$F$86*$U$11*$U$21,Quesería!$B$57*Quesería!$B$58),0)</f>
        <v>0</v>
      </c>
      <c r="C877" s="58" t="n">
        <f aca="false">IF(C$43=1,MIN($U$7*Quesería!$B$56*Quesería!$F$86*$U$11*$U$21,Quesería!$B$57*Quesería!$B$58),0)</f>
        <v>20</v>
      </c>
      <c r="D877" s="58" t="n">
        <f aca="false">IF(D$43=1,MIN($U$7*Quesería!$B$56*Quesería!$F$86*$U$11*$U$21,Quesería!$B$57*Quesería!$B$58),0)</f>
        <v>0</v>
      </c>
      <c r="E877" s="58" t="n">
        <f aca="false">IF(E$43=1,MIN($U$7*Quesería!$B$56*Quesería!$F$86*$U$11*$U$21,Quesería!$B$57*Quesería!$B$58),0)</f>
        <v>0</v>
      </c>
      <c r="F877" s="58" t="n">
        <f aca="false">IF(F$43=1,MIN($U$7*Quesería!$B$56*Quesería!$F$86*$U$11*$U$21,Quesería!$B$57*Quesería!$B$58),0)</f>
        <v>0</v>
      </c>
      <c r="G877" s="58" t="n">
        <f aca="false">IF(G$43=1,MIN($U$7*Quesería!$B$56*Quesería!$F$86*$U$11*$U$21,Quesería!$B$57*Quesería!$B$58),0)</f>
        <v>0</v>
      </c>
      <c r="H877" s="58" t="n">
        <f aca="false">IF(H$43=1,MIN($U$7*Quesería!$B$56*Quesería!$F$86*$U$11*$U$21,Quesería!$B$57*Quesería!$B$58),0)</f>
        <v>0</v>
      </c>
      <c r="I877" s="58" t="n">
        <f aca="false">IF(I$43=1,MIN($U$7*Quesería!$B$56*Quesería!$F$86*$U$11*$U$21,Quesería!$B$57*Quesería!$B$58),0)</f>
        <v>0</v>
      </c>
      <c r="J877" s="58" t="n">
        <f aca="false">IF(J$43=1,MIN($U$7*Quesería!$B$56*Quesería!$F$86*$U$11*$U$21,Quesería!$B$57*Quesería!$B$58),0)</f>
        <v>0</v>
      </c>
      <c r="K877" s="58" t="n">
        <f aca="false">IF(K$43=1,MIN($U$7*Quesería!$B$56*Quesería!$F$86*$U$11*$U$21,Quesería!$B$57*Quesería!$B$58),0)</f>
        <v>0</v>
      </c>
      <c r="L877" s="58" t="n">
        <f aca="false">IF(L$43=1,MIN($U$7*Quesería!$B$56*Quesería!$F$86*$U$11*$U$21,Quesería!$B$57*Quesería!$B$58),0)</f>
        <v>0</v>
      </c>
    </row>
    <row r="878" customFormat="false" ht="15" hidden="true" customHeight="false" outlineLevel="1" collapsed="false">
      <c r="A878" s="9" t="s">
        <v>417</v>
      </c>
      <c r="B878" s="58" t="n">
        <v>0</v>
      </c>
      <c r="C878" s="58" t="n">
        <f aca="false">$U$20*Quesería!$B$60*Quesería!$F$98*$U$11*$B$864/C864/2</f>
        <v>0</v>
      </c>
      <c r="D878" s="58" t="n">
        <f aca="false">$U$20*Quesería!$B$60*Quesería!$F$98*$U$11*$B$864/D864/2</f>
        <v>0</v>
      </c>
      <c r="E878" s="58" t="n">
        <v>0</v>
      </c>
      <c r="F878" s="58" t="n">
        <v>0</v>
      </c>
      <c r="G878" s="58" t="n">
        <v>0</v>
      </c>
      <c r="H878" s="58" t="n">
        <v>0</v>
      </c>
      <c r="I878" s="58" t="n">
        <v>0</v>
      </c>
      <c r="J878" s="58" t="n">
        <v>0</v>
      </c>
      <c r="K878" s="58" t="n">
        <v>0</v>
      </c>
      <c r="L878" s="58" t="n">
        <v>0</v>
      </c>
    </row>
    <row r="879" customFormat="false" ht="15" hidden="true" customHeight="false" outlineLevel="1" collapsed="false">
      <c r="A879" s="9" t="s">
        <v>418</v>
      </c>
      <c r="B879" s="58" t="n">
        <f aca="false">0</f>
        <v>0</v>
      </c>
      <c r="C879" s="58" t="n">
        <f aca="false">B869*B864/C864</f>
        <v>142.014925295407</v>
      </c>
      <c r="D879" s="58" t="n">
        <f aca="false">C869*C864/D864</f>
        <v>137.903466668091</v>
      </c>
      <c r="E879" s="58" t="n">
        <f aca="false">D869*D864/E864</f>
        <v>0</v>
      </c>
      <c r="F879" s="58" t="n">
        <f aca="false">E869*E864/F864</f>
        <v>0</v>
      </c>
      <c r="G879" s="58" t="n">
        <f aca="false">F869*F864/G864</f>
        <v>0</v>
      </c>
      <c r="H879" s="58" t="n">
        <f aca="false">G869*G864/H864</f>
        <v>5.01768392412113</v>
      </c>
      <c r="I879" s="58" t="n">
        <f aca="false">H869*H864/I864</f>
        <v>8.47494190873221</v>
      </c>
      <c r="J879" s="58" t="n">
        <f aca="false">I869*I864/J864</f>
        <v>0</v>
      </c>
      <c r="K879" s="58" t="n">
        <f aca="false">J869*J864/K864</f>
        <v>0</v>
      </c>
      <c r="L879" s="58" t="n">
        <f aca="false">K869*K864/L864</f>
        <v>0</v>
      </c>
    </row>
    <row r="880" customFormat="false" ht="15" hidden="true" customHeight="false" outlineLevel="1" collapsed="false">
      <c r="A880" s="6" t="s">
        <v>295</v>
      </c>
      <c r="B880" s="29" t="n">
        <f aca="false">$U$17*(B872-B873-B874-0.5*B875-B876)-B877-B878-B879</f>
        <v>-9.59839124703308</v>
      </c>
      <c r="C880" s="29" t="n">
        <f aca="false">$U$17*(C872-C873-C874-0.5*C875-C876)-C877-C878-C879</f>
        <v>-149.230366181451</v>
      </c>
      <c r="D880" s="29" t="n">
        <f aca="false">$U$17*(D872-D873-D874-0.5*D875-D876)-D877-D878-D879</f>
        <v>-57.544763956456</v>
      </c>
      <c r="E880" s="29" t="n">
        <f aca="false">$U$17*(E872-E873-E874-0.5*E875-E876)-E877-E878-E879</f>
        <v>104.732731328365</v>
      </c>
      <c r="F880" s="29" t="n">
        <f aca="false">$U$17*(F872-F873-F874-0.5*F875-F876)-F877-F878-F879</f>
        <v>106.799371634489</v>
      </c>
      <c r="G880" s="29" t="n">
        <f aca="false">$U$17*(G872-G873-G874-0.5*G875-G876)-G877-G878-G879</f>
        <v>108.768350824566</v>
      </c>
      <c r="H880" s="29" t="n">
        <f aca="false">$U$17*(H872-H873-H874-0.5*H875-H876)-H877-H878-H879</f>
        <v>108.111395718431</v>
      </c>
      <c r="I880" s="29" t="n">
        <f aca="false">$U$17*(I872-I873-I874-0.5*I875-I876)-I877-I878-I879</f>
        <v>103.326831874739</v>
      </c>
      <c r="J880" s="29" t="n">
        <f aca="false">$U$17*(J872-J873-J874-0.5*J875-J876)-J877-J878-J879</f>
        <v>113.615483721767</v>
      </c>
      <c r="K880" s="29" t="n">
        <f aca="false">$U$17*(K872-K873-K874-0.5*K875-K876)-K877-K878-K879</f>
        <v>115.364233940474</v>
      </c>
      <c r="L880" s="29" t="n">
        <f aca="false">$U$17*(L872-L873-L874-0.5*L875-L876)-L877-L878-L879</f>
        <v>117.05054688212</v>
      </c>
    </row>
    <row r="881" customFormat="false" ht="15" hidden="true" customHeight="false" outlineLevel="1" collapsed="false">
      <c r="A881" s="9" t="s">
        <v>419</v>
      </c>
      <c r="B881" s="58" t="n">
        <f aca="false">(IF(B$43&gt;=1,Quesería!$G$123*IF(B$43=1,Quesería!$B$20,1),Quesería!$G$123*Quesería!$B$20*Quesería!$B$21/12*$U$23)+IF(B$43&gt;=2,Quesería!$G$124*$U$21*IF(B$43=2,Quesería!$B$20,1),0))*$U$10</f>
        <v>77.4042870161869</v>
      </c>
      <c r="C881" s="58" t="n">
        <f aca="false">(IF(C$43&gt;=1,Quesería!$G$123*IF(C$43=1,Quesería!$B$20,1),Quesería!$G$123*Quesería!$B$20*Quesería!$B$21/12*$U$23)+IF(C$43&gt;=2,Quesería!$G$124*$U$21*IF(C$43=2,Quesería!$B$20,1),0))*$U$10</f>
        <v>116.10643052428</v>
      </c>
      <c r="D881" s="58" t="n">
        <f aca="false">(IF(D$43&gt;=1,Quesería!$G$123*IF(D$43=1,Quesería!$B$20,1),Quesería!$G$123*Quesería!$B$20*Quesería!$B$21/12*$U$23)+IF(D$43&gt;=2,Quesería!$G$124*$U$21*IF(D$43=2,Quesería!$B$20,1),0))*$U$10</f>
        <v>297.090260202792</v>
      </c>
      <c r="E881" s="58" t="n">
        <f aca="false">(IF(E$43&gt;=1,Quesería!$G$123*IF(E$43=1,Quesería!$B$20,1),Quesería!$G$123*Quesería!$B$20*Quesería!$B$21/12*$U$23)+IF(E$43&gt;=2,Quesería!$G$124*$U$21*IF(E$43=2,Quesería!$B$20,1),0))*$U$10</f>
        <v>344.517488926264</v>
      </c>
      <c r="F881" s="58" t="n">
        <f aca="false">(IF(F$43&gt;=1,Quesería!$G$123*IF(F$43=1,Quesería!$B$20,1),Quesería!$G$123*Quesería!$B$20*Quesería!$B$21/12*$U$23)+IF(F$43&gt;=2,Quesería!$G$124*$U$21*IF(F$43=2,Quesería!$B$20,1),0))*$U$10</f>
        <v>344.517488926264</v>
      </c>
      <c r="G881" s="58" t="n">
        <f aca="false">(IF(G$43&gt;=1,Quesería!$G$123*IF(G$43=1,Quesería!$B$20,1),Quesería!$G$123*Quesería!$B$20*Quesería!$B$21/12*$U$23)+IF(G$43&gt;=2,Quesería!$G$124*$U$21*IF(G$43=2,Quesería!$B$20,1),0))*$U$10</f>
        <v>344.517488926264</v>
      </c>
      <c r="H881" s="58" t="n">
        <f aca="false">(IF(H$43&gt;=1,Quesería!$G$123*IF(H$43=1,Quesería!$B$20,1),Quesería!$G$123*Quesería!$B$20*Quesería!$B$21/12*$U$23)+IF(H$43&gt;=2,Quesería!$G$124*$U$21*IF(H$43=2,Quesería!$B$20,1),0))*$U$10</f>
        <v>344.517488926264</v>
      </c>
      <c r="I881" s="58" t="n">
        <f aca="false">(IF(I$43&gt;=1,Quesería!$G$123*IF(I$43=1,Quesería!$B$20,1),Quesería!$G$123*Quesería!$B$20*Quesería!$B$21/12*$U$23)+IF(I$43&gt;=2,Quesería!$G$124*$U$21*IF(I$43=2,Quesería!$B$20,1),0))*$U$10</f>
        <v>344.517488926264</v>
      </c>
      <c r="J881" s="58" t="n">
        <f aca="false">(IF(J$43&gt;=1,Quesería!$G$123*IF(J$43=1,Quesería!$B$20,1),Quesería!$G$123*Quesería!$B$20*Quesería!$B$21/12*$U$23)+IF(J$43&gt;=2,Quesería!$G$124*$U$21*IF(J$43=2,Quesería!$B$20,1),0))*$U$10</f>
        <v>344.517488926264</v>
      </c>
      <c r="K881" s="58" t="n">
        <f aca="false">(IF(K$43&gt;=1,Quesería!$G$123*IF(K$43=1,Quesería!$B$20,1),Quesería!$G$123*Quesería!$B$20*Quesería!$B$21/12*$U$23)+IF(K$43&gt;=2,Quesería!$G$124*$U$21*IF(K$43=2,Quesería!$B$20,1),0))*$U$10</f>
        <v>344.517488926264</v>
      </c>
      <c r="L881" s="58" t="n">
        <f aca="false">(IF(L$43&gt;=1,Quesería!$G$123*IF(L$43=1,Quesería!$B$20,1),Quesería!$G$123*Quesería!$B$20*Quesería!$B$21/12*$U$23)+IF(L$43&gt;=2,Quesería!$G$124*$U$21*IF(L$43=2,Quesería!$B$20,1),0))*$U$10</f>
        <v>344.517488926264</v>
      </c>
    </row>
    <row r="882" customFormat="false" ht="15" hidden="true" customHeight="false" outlineLevel="1" collapsed="false">
      <c r="A882" s="6" t="s">
        <v>420</v>
      </c>
      <c r="B882" s="29" t="n">
        <f aca="false">(B881*(Quesería!$B$38+Quesería!$B$40*Quesería!$B$39)/365-B873*Quesería!$B$42/365)</f>
        <v>7.23146900616979</v>
      </c>
      <c r="C882" s="29" t="n">
        <f aca="false">(C881*(Quesería!$B$38+Quesería!$B$40*Quesería!$B$39)/365-C873*Quesería!$B$42/365)-(B881*(Quesería!$B$38+Quesería!$B$40*Quesería!$B$39)/365-B873*Quesería!$B$42/365)*B864/C864</f>
        <v>1.42287846600884</v>
      </c>
      <c r="D882" s="29" t="n">
        <f aca="false">(D881*(Quesería!$B$38+Quesería!$B$40*Quesería!$B$39)/365-D873*Quesería!$B$42/365)-(C881*(Quesería!$B$38+Quesería!$B$40*Quesería!$B$39)/365-C873*Quesería!$B$42/365)*C864/D864</f>
        <v>14.0205300736897</v>
      </c>
      <c r="E882" s="29" t="n">
        <f aca="false">(E881*(Quesería!$B$38+Quesería!$B$40*Quesería!$B$39)/365-E873*Quesería!$B$42/365)-(D881*(Quesería!$B$38+Quesería!$B$40*Quesería!$B$39)/365-D873*Quesería!$B$42/365)*D864/E864</f>
        <v>5.27597549905193</v>
      </c>
      <c r="F882" s="29" t="n">
        <f aca="false">(F881*(Quesería!$B$38+Quesería!$B$40*Quesería!$B$39)/365-F873*Quesería!$B$42/365)-(E881*(Quesería!$B$38+Quesería!$B$40*Quesería!$B$39)/365-E873*Quesería!$B$42/365)*E864/F864</f>
        <v>1.01552107473577</v>
      </c>
      <c r="G882" s="29" t="n">
        <f aca="false">(G881*(Quesería!$B$38+Quesería!$B$40*Quesería!$B$39)/365-G873*Quesería!$B$42/365)-(F881*(Quesería!$B$38+Quesería!$B$40*Quesería!$B$39)/365-F873*Quesería!$B$42/365)*F864/G864</f>
        <v>1.01552107473577</v>
      </c>
      <c r="H882" s="29" t="n">
        <f aca="false">(H881*(Quesería!$B$38+Quesería!$B$40*Quesería!$B$39)/365-H873*Quesería!$B$42/365)-(G881*(Quesería!$B$38+Quesería!$B$40*Quesería!$B$39)/365-G873*Quesería!$B$42/365)*G864/H864</f>
        <v>1.01552107473577</v>
      </c>
      <c r="I882" s="29" t="n">
        <f aca="false">(I881*(Quesería!$B$38+Quesería!$B$40*Quesería!$B$39)/365-I873*Quesería!$B$42/365)-(H881*(Quesería!$B$38+Quesería!$B$40*Quesería!$B$39)/365-H873*Quesería!$B$42/365)*H864/I864</f>
        <v>1.01552107473577</v>
      </c>
      <c r="J882" s="29" t="n">
        <f aca="false">(J881*(Quesería!$B$38+Quesería!$B$40*Quesería!$B$39)/365-J873*Quesería!$B$42/365)-(I881*(Quesería!$B$38+Quesería!$B$40*Quesería!$B$39)/365-I873*Quesería!$B$42/365)*I864/J864</f>
        <v>1.01552107473577</v>
      </c>
      <c r="K882" s="29" t="n">
        <f aca="false">(K881*(Quesería!$B$38+Quesería!$B$40*Quesería!$B$39)/365-K873*Quesería!$B$42/365)-(J881*(Quesería!$B$38+Quesería!$B$40*Quesería!$B$39)/365-J873*Quesería!$B$42/365)*J864/K864</f>
        <v>1.01552107473577</v>
      </c>
      <c r="L882" s="29" t="n">
        <f aca="false">-(K881*(Quesería!$B$38+Quesería!$B$40*Quesería!$B$39)/365-K873*Quesería!$B$42/365)*K864/L864</f>
        <v>-25.3880268683941</v>
      </c>
    </row>
    <row r="883" customFormat="false" ht="15" hidden="true" customHeight="false" outlineLevel="1" collapsed="false">
      <c r="A883" s="6" t="s">
        <v>421</v>
      </c>
      <c r="B883" s="29" t="n">
        <v>0</v>
      </c>
      <c r="C883" s="29" t="n">
        <v>0</v>
      </c>
      <c r="D883" s="29" t="n">
        <v>0</v>
      </c>
      <c r="E883" s="29" t="n">
        <v>0</v>
      </c>
      <c r="F883" s="29" t="n">
        <v>0</v>
      </c>
      <c r="G883" s="29" t="n">
        <v>0</v>
      </c>
      <c r="H883" s="29" t="n">
        <v>0</v>
      </c>
      <c r="I883" s="29" t="n">
        <v>0</v>
      </c>
      <c r="J883" s="29" t="n">
        <v>0</v>
      </c>
      <c r="K883" s="29" t="n">
        <v>0</v>
      </c>
      <c r="L883" s="29" t="n">
        <f aca="false">$U$8*Quesería!$B$36*(Quesería!$F$94+Quesería!$F$95*$U$21)*$U$11*(1-$U$17)</f>
        <v>67.1237725584543</v>
      </c>
    </row>
    <row r="884" customFormat="false" ht="15" hidden="true" customHeight="false" outlineLevel="1" collapsed="false">
      <c r="A884" s="5" t="s">
        <v>147</v>
      </c>
      <c r="B884" s="59" t="n">
        <f aca="false">B872-B873-B874-B875-B880-B867-B868-B869-B882+B883</f>
        <v>-961.151880133756</v>
      </c>
      <c r="C884" s="59" t="n">
        <f aca="false">C872-C873-C874-C875-C880-C867-C868-C869-C882+C883</f>
        <v>-637.906441898648</v>
      </c>
      <c r="D884" s="59" t="n">
        <f aca="false">D872-D873-D874-D875-D880-D867-D868-D869-D882+D883</f>
        <v>424.230299822501</v>
      </c>
      <c r="E884" s="59" t="n">
        <f aca="false">E872-E873-E874-E875-E880-E867-E868-E869-E882+E883</f>
        <v>334.518146298773</v>
      </c>
      <c r="F884" s="59" t="n">
        <f aca="false">F872-F873-F874-F875-F880-F867-F868-F869-F882+F883</f>
        <v>337.021171452401</v>
      </c>
      <c r="G884" s="59" t="n">
        <f aca="false">G872-G873-G874-G875-G880-G867-G868-G869-G882+G883</f>
        <v>302.548606368777</v>
      </c>
      <c r="H884" s="59" t="n">
        <f aca="false">H872-H873-H874-H875-H880-H867-H868-H869-H882+H883</f>
        <v>280.908307657918</v>
      </c>
      <c r="I884" s="59" t="n">
        <f aca="false">I872-I873-I874-I875-I880-I867-I868-I869-I882+I883</f>
        <v>341.430651609277</v>
      </c>
      <c r="J884" s="59" t="n">
        <f aca="false">J872-J873-J874-J875-J880-J867-J868-J869-J882+J883</f>
        <v>331.457441554847</v>
      </c>
      <c r="K884" s="59" t="n">
        <f aca="false">K872-K873-K874-K875-K880-K867-K868-K869-K882+K883</f>
        <v>330.025710337702</v>
      </c>
      <c r="L884" s="59" t="n">
        <f aca="false">L872-L873-L874-L875-L880-L867-L868-L869-L882+L883</f>
        <v>422.18532199421</v>
      </c>
    </row>
    <row r="885" customFormat="false" ht="15" hidden="true" customHeight="false" outlineLevel="1" collapsed="false">
      <c r="A885" s="9" t="s">
        <v>422</v>
      </c>
      <c r="B885" s="58" t="n">
        <f aca="false">B884*B864</f>
        <v>-1018.82099294178</v>
      </c>
      <c r="C885" s="58" t="n">
        <f aca="false">C884*C864</f>
        <v>-709.989869833195</v>
      </c>
      <c r="D885" s="58" t="n">
        <f aca="false">D884*D864</f>
        <v>493.415898269053</v>
      </c>
      <c r="E885" s="58" t="n">
        <f aca="false">E884*E864</f>
        <v>404.635959715425</v>
      </c>
      <c r="F885" s="58" t="n">
        <f aca="false">F884*F864</f>
        <v>423.970185565331</v>
      </c>
      <c r="G885" s="58" t="n">
        <f aca="false">G884*G864</f>
        <v>395.828107062799</v>
      </c>
      <c r="H885" s="58" t="n">
        <f aca="false">H884*H864</f>
        <v>382.216468333796</v>
      </c>
      <c r="I885" s="58" t="n">
        <f aca="false">I884*I864</f>
        <v>483.148525168723</v>
      </c>
      <c r="J885" s="58" t="n">
        <f aca="false">J884*J864</f>
        <v>487.797156524052</v>
      </c>
      <c r="K885" s="58" t="n">
        <f aca="false">K884*K864</f>
        <v>505.117720152798</v>
      </c>
      <c r="L885" s="58" t="n">
        <f aca="false">L884*L864</f>
        <v>672.01860907702</v>
      </c>
    </row>
    <row r="886" customFormat="false" ht="15" hidden="true" customHeight="false" outlineLevel="1" collapsed="false">
      <c r="A886" s="6" t="s">
        <v>423</v>
      </c>
      <c r="B886" s="29" t="n">
        <f aca="false">B884</f>
        <v>-961.151880133756</v>
      </c>
      <c r="C886" s="29" t="n">
        <f aca="false">B886+C884</f>
        <v>-1599.0583220324</v>
      </c>
      <c r="D886" s="29" t="n">
        <f aca="false">C886+D884</f>
        <v>-1174.8280222099</v>
      </c>
      <c r="E886" s="29" t="n">
        <f aca="false">D886+E884</f>
        <v>-840.309875911129</v>
      </c>
      <c r="F886" s="29" t="n">
        <f aca="false">E886+F884</f>
        <v>-503.288704458728</v>
      </c>
      <c r="G886" s="29" t="n">
        <f aca="false">F886+G884</f>
        <v>-200.74009808995</v>
      </c>
      <c r="H886" s="29" t="n">
        <f aca="false">G886+H884</f>
        <v>80.1682095679674</v>
      </c>
      <c r="I886" s="29" t="n">
        <f aca="false">H886+I884</f>
        <v>421.598861177245</v>
      </c>
      <c r="J886" s="29" t="n">
        <f aca="false">I886+J884</f>
        <v>753.056302732092</v>
      </c>
      <c r="K886" s="29" t="n">
        <f aca="false">J886+K884</f>
        <v>1083.08201306979</v>
      </c>
      <c r="L886" s="29" t="n">
        <f aca="false">K886+L884</f>
        <v>1505.267335064</v>
      </c>
    </row>
    <row r="887" customFormat="false" ht="15" hidden="true" customHeight="false" outlineLevel="1" collapsed="false">
      <c r="A887" s="9" t="s">
        <v>424</v>
      </c>
      <c r="B887" s="60" t="n">
        <v>0</v>
      </c>
      <c r="C887" s="60" t="n">
        <f aca="false">IF(AND(B886&lt;0,C886&gt;=0),B$43+(-B886)/C884,0)</f>
        <v>0</v>
      </c>
      <c r="D887" s="60" t="n">
        <f aca="false">IF(AND(C886&lt;0,D886&gt;=0),C$43+(-C886)/D884,0)</f>
        <v>0</v>
      </c>
      <c r="E887" s="60" t="n">
        <f aca="false">IF(AND(D886&lt;0,E886&gt;=0),D$43+(-D886)/E884,0)</f>
        <v>0</v>
      </c>
      <c r="F887" s="60" t="n">
        <f aca="false">IF(AND(E886&lt;0,F886&gt;=0),E$43+(-E886)/F884,0)</f>
        <v>0</v>
      </c>
      <c r="G887" s="60" t="n">
        <f aca="false">IF(AND(F886&lt;0,G886&gt;=0),F$43+(-F886)/G884,0)</f>
        <v>0</v>
      </c>
      <c r="H887" s="60" t="n">
        <f aca="false">IF(AND(G886&lt;0,H886&gt;=0),G$43+(-G886)/H884,0)</f>
        <v>5.71461075595673</v>
      </c>
      <c r="I887" s="60" t="n">
        <f aca="false">IF(AND(H886&lt;0,I886&gt;=0),H$43+(-H886)/I884,0)</f>
        <v>0</v>
      </c>
      <c r="J887" s="60" t="n">
        <f aca="false">IF(AND(I886&lt;0,J886&gt;=0),I$43+(-I886)/J884,0)</f>
        <v>0</v>
      </c>
      <c r="K887" s="60" t="n">
        <f aca="false">IF(AND(J886&lt;0,K886&gt;=0),J$43+(-J886)/K884,0)</f>
        <v>0</v>
      </c>
      <c r="L887" s="60" t="n">
        <f aca="false">IF(AND(K886&lt;0,L886&gt;=0),K$43+(-K886)/L884,0)</f>
        <v>0</v>
      </c>
    </row>
    <row r="888" customFormat="false" ht="15" hidden="true" customHeight="false" outlineLevel="1" collapsed="false">
      <c r="A888" s="9" t="s">
        <v>425</v>
      </c>
      <c r="B888" s="57" t="n">
        <f aca="false">(B864/$B$864)/(1+$U$25)^B$43</f>
        <v>1</v>
      </c>
      <c r="C888" s="57" t="n">
        <f aca="false">(C864/$B$864)/(1+$U$25)^C$43</f>
        <v>0.907458487517462</v>
      </c>
      <c r="D888" s="57" t="n">
        <f aca="false">(D864/$B$864)/(1+$U$25)^D$43</f>
        <v>0.819559568917159</v>
      </c>
      <c r="E888" s="57" t="n">
        <f aca="false">(E864/$B$864)/(1+$U$25)^E$43</f>
        <v>0.73663327458441</v>
      </c>
      <c r="F888" s="57" t="n">
        <f aca="false">(F864/$B$864)/(1+$U$25)^F$43</f>
        <v>0.6620977922836</v>
      </c>
      <c r="G888" s="57" t="n">
        <f aca="false">(G864/$B$864)/(1+$U$25)^G$43</f>
        <v>0.595104106306</v>
      </c>
      <c r="H888" s="57" t="n">
        <f aca="false">(H864/$B$864)/(1+$U$25)^H$43</f>
        <v>0.534889107726503</v>
      </c>
      <c r="I888" s="57" t="n">
        <f aca="false">(I864/$B$864)/(1+$U$25)^I$43</f>
        <v>0.480766902013848</v>
      </c>
      <c r="J888" s="57" t="n">
        <f aca="false">(J864/$B$864)/(1+$U$25)^J$43</f>
        <v>0.432120996171371</v>
      </c>
      <c r="K888" s="57" t="n">
        <f aca="false">(K864/$B$864)/(1+$U$25)^K$43</f>
        <v>0.388397276413924</v>
      </c>
      <c r="L888" s="57" t="n">
        <f aca="false">(L864/$B$864)/(1+$U$25)^L$43</f>
        <v>0.349097696391334</v>
      </c>
    </row>
    <row r="889" customFormat="false" ht="15" hidden="true" customHeight="false" outlineLevel="1" collapsed="false">
      <c r="A889" s="9" t="s">
        <v>426</v>
      </c>
      <c r="B889" s="58" t="n">
        <f aca="false">B884*B888</f>
        <v>-961.151880133756</v>
      </c>
      <c r="C889" s="58" t="n">
        <f aca="false">C884*C888</f>
        <v>-578.873614942993</v>
      </c>
      <c r="D889" s="58" t="n">
        <f aca="false">D884*D888</f>
        <v>347.682001644126</v>
      </c>
      <c r="E889" s="58" t="n">
        <f aca="false">E884*E888</f>
        <v>246.417197515972</v>
      </c>
      <c r="F889" s="58" t="n">
        <f aca="false">F884*F888</f>
        <v>223.140973571467</v>
      </c>
      <c r="G889" s="58" t="n">
        <f aca="false">G884*G888</f>
        <v>180.047918007217</v>
      </c>
      <c r="H889" s="58" t="n">
        <f aca="false">H884*H888</f>
        <v>150.254794036106</v>
      </c>
      <c r="I889" s="58" t="n">
        <f aca="false">I884*I888</f>
        <v>164.148556626762</v>
      </c>
      <c r="J889" s="58" t="n">
        <f aca="false">J884*J888</f>
        <v>143.229719833095</v>
      </c>
      <c r="K889" s="58" t="n">
        <f aca="false">K884*K888</f>
        <v>128.181087041734</v>
      </c>
      <c r="L889" s="58" t="n">
        <f aca="false">L884*L888</f>
        <v>147.383923358412</v>
      </c>
    </row>
    <row r="890" customFormat="false" ht="15" hidden="true" customHeight="false" outlineLevel="1" collapsed="false">
      <c r="A890" s="9" t="s">
        <v>427</v>
      </c>
      <c r="B890" s="58" t="n">
        <f aca="false">B889</f>
        <v>-961.151880133756</v>
      </c>
      <c r="C890" s="58" t="n">
        <f aca="false">B890+C889</f>
        <v>-1540.02549507675</v>
      </c>
      <c r="D890" s="58" t="n">
        <f aca="false">C890+D889</f>
        <v>-1192.34349343262</v>
      </c>
      <c r="E890" s="58" t="n">
        <f aca="false">D890+E889</f>
        <v>-945.92629591665</v>
      </c>
      <c r="F890" s="58" t="n">
        <f aca="false">E890+F889</f>
        <v>-722.785322345183</v>
      </c>
      <c r="G890" s="58" t="n">
        <f aca="false">F890+G889</f>
        <v>-542.737404337966</v>
      </c>
      <c r="H890" s="58" t="n">
        <f aca="false">G890+H889</f>
        <v>-392.48261030186</v>
      </c>
      <c r="I890" s="58" t="n">
        <f aca="false">H890+I889</f>
        <v>-228.334053675099</v>
      </c>
      <c r="J890" s="58" t="n">
        <f aca="false">I890+J889</f>
        <v>-85.1043338420041</v>
      </c>
      <c r="K890" s="58" t="n">
        <f aca="false">J890+K889</f>
        <v>43.07675319973</v>
      </c>
      <c r="L890" s="58" t="n">
        <f aca="false">K890+L889</f>
        <v>190.460676558142</v>
      </c>
    </row>
    <row r="891" customFormat="false" ht="15" hidden="true" customHeight="false" outlineLevel="1" collapsed="false">
      <c r="A891" s="9" t="s">
        <v>428</v>
      </c>
      <c r="B891" s="60" t="n">
        <v>0</v>
      </c>
      <c r="C891" s="60" t="n">
        <f aca="false">IF(AND(B890&lt;0,C890&gt;=0),B$43+(-B890)/C889,0)</f>
        <v>0</v>
      </c>
      <c r="D891" s="60" t="n">
        <f aca="false">IF(AND(C890&lt;0,D890&gt;=0),C$43+(-C890)/D889,0)</f>
        <v>0</v>
      </c>
      <c r="E891" s="60" t="n">
        <f aca="false">IF(AND(D890&lt;0,E890&gt;=0),D$43+(-D890)/E889,0)</f>
        <v>0</v>
      </c>
      <c r="F891" s="60" t="n">
        <f aca="false">IF(AND(E890&lt;0,F890&gt;=0),E$43+(-E890)/F889,0)</f>
        <v>0</v>
      </c>
      <c r="G891" s="60" t="n">
        <f aca="false">IF(AND(F890&lt;0,G890&gt;=0),F$43+(-F890)/G889,0)</f>
        <v>0</v>
      </c>
      <c r="H891" s="60" t="n">
        <f aca="false">IF(AND(G890&lt;0,H890&gt;=0),G$43+(-G890)/H889,0)</f>
        <v>0</v>
      </c>
      <c r="I891" s="60" t="n">
        <f aca="false">IF(AND(H890&lt;0,I890&gt;=0),H$43+(-H890)/I889,0)</f>
        <v>0</v>
      </c>
      <c r="J891" s="60" t="n">
        <f aca="false">IF(AND(I890&lt;0,J890&gt;=0),I$43+(-I890)/J889,0)</f>
        <v>0</v>
      </c>
      <c r="K891" s="60" t="n">
        <f aca="false">IF(AND(J890&lt;0,K890&gt;=0),J$43+(-J890)/K889,0)</f>
        <v>8.66393830639223</v>
      </c>
      <c r="L891" s="60" t="n">
        <f aca="false">IF(AND(K890&lt;0,L890&gt;=0),K$43+(-K890)/L889,0)</f>
        <v>0</v>
      </c>
    </row>
    <row r="892" customFormat="false" ht="15" hidden="true" customHeight="false" outlineLevel="1" collapsed="false">
      <c r="A892" s="9" t="s">
        <v>429</v>
      </c>
      <c r="B892" s="58" t="n">
        <f aca="false">IF(B$43&lt;0,0,(Quesería!$B$44*$B$867*$B$864)*(1-MAX(0,MIN(B$43-0-Quesería!$B$47,(Quesería!$B$46-Quesería!$B$47)))/(Quesería!$B$46-Quesería!$B$47))*IF(B$43&gt;=2,1-Quesería!$B$48,1))+IF(B$43&lt;1,0,(Quesería!$B$44*$C$867*$C$864)*(1-MAX(0,MIN(B$43-1-Quesería!$B$47,(Quesería!$B$46-Quesería!$B$47)))/(Quesería!$B$46-Quesería!$B$47))*IF(B$43&gt;=2,1-Quesería!$B$48,1))</f>
        <v>641.321364968425</v>
      </c>
      <c r="C892" s="58" t="n">
        <f aca="false">IF(C$43&lt;0,0,(Quesería!$B$44*$B$867*$B$864)*(1-MAX(0,MIN(C$43-0-Quesería!$B$47,(Quesería!$B$46-Quesería!$B$47)))/(Quesería!$B$46-Quesería!$B$47))*IF(C$43&gt;=2,1-Quesería!$B$48,1))+IF(C$43&lt;1,0,(Quesería!$B$44*$C$867*$C$864)*(1-MAX(0,MIN(C$43-1-Quesería!$B$47,(Quesería!$B$46-Quesería!$B$47)))/(Quesería!$B$46-Quesería!$B$47))*IF(C$43&gt;=2,1-Quesería!$B$48,1))</f>
        <v>1190.03581125409</v>
      </c>
      <c r="D892" s="58" t="n">
        <f aca="false">IF(D$43&lt;0,0,(Quesería!$B$44*$B$867*$B$864)*(1-MAX(0,MIN(D$43-0-Quesería!$B$47,(Quesería!$B$46-Quesería!$B$47)))/(Quesería!$B$46-Quesería!$B$47))*IF(D$43&gt;=2,1-Quesería!$B$48,1))+IF(D$43&lt;1,0,(Quesería!$B$44*$C$867*$C$864)*(1-MAX(0,MIN(D$43-1-Quesería!$B$47,(Quesería!$B$46-Quesería!$B$47)))/(Quesería!$B$46-Quesería!$B$47))*IF(D$43&gt;=2,1-Quesería!$B$48,1))</f>
        <v>1083.14891709269</v>
      </c>
      <c r="E892" s="58" t="n">
        <f aca="false">IF(E$43&lt;0,0,(Quesería!$B$44*$B$867*$B$864)*(1-MAX(0,MIN(E$43-0-Quesería!$B$47,(Quesería!$B$46-Quesería!$B$47)))/(Quesería!$B$46-Quesería!$B$47))*IF(E$43&gt;=2,1-Quesería!$B$48,1))+IF(E$43&lt;1,0,(Quesería!$B$44*$C$867*$C$864)*(1-MAX(0,MIN(E$43-1-Quesería!$B$47,(Quesería!$B$46-Quesería!$B$47)))/(Quesería!$B$46-Quesería!$B$47))*IF(E$43&gt;=2,1-Quesería!$B$48,1))</f>
        <v>884.809615217005</v>
      </c>
      <c r="F892" s="58" t="n">
        <f aca="false">IF(F$43&lt;0,0,(Quesería!$B$44*$B$867*$B$864)*(1-MAX(0,MIN(F$43-0-Quesería!$B$47,(Quesería!$B$46-Quesería!$B$47)))/(Quesería!$B$46-Quesería!$B$47))*IF(F$43&gt;=2,1-Quesería!$B$48,1))+IF(F$43&lt;1,0,(Quesería!$B$44*$C$867*$C$864)*(1-MAX(0,MIN(F$43-1-Quesería!$B$47,(Quesería!$B$46-Quesería!$B$47)))/(Quesería!$B$46-Quesería!$B$47))*IF(F$43&gt;=2,1-Quesería!$B$48,1))</f>
        <v>686.470313341323</v>
      </c>
      <c r="G892" s="58" t="n">
        <f aca="false">IF(G$43&lt;0,0,(Quesería!$B$44*$B$867*$B$864)*(1-MAX(0,MIN(G$43-0-Quesería!$B$47,(Quesería!$B$46-Quesería!$B$47)))/(Quesería!$B$46-Quesería!$B$47))*IF(G$43&gt;=2,1-Quesería!$B$48,1))+IF(G$43&lt;1,0,(Quesería!$B$44*$C$867*$C$864)*(1-MAX(0,MIN(G$43-1-Quesería!$B$47,(Quesería!$B$46-Quesería!$B$47)))/(Quesería!$B$46-Quesería!$B$47))*IF(G$43&gt;=2,1-Quesería!$B$48,1))</f>
        <v>488.131011465641</v>
      </c>
      <c r="H892" s="58" t="n">
        <f aca="false">IF(H$43&lt;0,0,(Quesería!$B$44*$B$867*$B$864)*(1-MAX(0,MIN(H$43-0-Quesería!$B$47,(Quesería!$B$46-Quesería!$B$47)))/(Quesería!$B$46-Quesería!$B$47))*IF(H$43&gt;=2,1-Quesería!$B$48,1))+IF(H$43&lt;1,0,(Quesería!$B$44*$C$867*$C$864)*(1-MAX(0,MIN(H$43-1-Quesería!$B$47,(Quesería!$B$46-Quesería!$B$47)))/(Quesería!$B$46-Quesería!$B$47))*IF(H$43&gt;=2,1-Quesería!$B$48,1))</f>
        <v>289.79170958996</v>
      </c>
      <c r="I892" s="58" t="n">
        <f aca="false">IF(I$43&lt;0,0,(Quesería!$B$44*$B$867*$B$864)*(1-MAX(0,MIN(I$43-0-Quesería!$B$47,(Quesería!$B$46-Quesería!$B$47)))/(Quesería!$B$46-Quesería!$B$47))*IF(I$43&gt;=2,1-Quesería!$B$48,1))+IF(I$43&lt;1,0,(Quesería!$B$44*$C$867*$C$864)*(1-MAX(0,MIN(I$43-1-Quesería!$B$47,(Quesería!$B$46-Quesería!$B$47)))/(Quesería!$B$46-Quesería!$B$47))*IF(I$43&gt;=2,1-Quesería!$B$48,1))</f>
        <v>91.4524077142776</v>
      </c>
      <c r="J892" s="58" t="n">
        <f aca="false">IF(J$43&lt;0,0,(Quesería!$B$44*$B$867*$B$864)*(1-MAX(0,MIN(J$43-0-Quesería!$B$47,(Quesería!$B$46-Quesería!$B$47)))/(Quesería!$B$46-Quesería!$B$47))*IF(J$43&gt;=2,1-Quesería!$B$48,1))+IF(J$43&lt;1,0,(Quesería!$B$44*$C$867*$C$864)*(1-MAX(0,MIN(J$43-1-Quesería!$B$47,(Quesería!$B$46-Quesería!$B$47)))/(Quesería!$B$46-Quesería!$B$47))*IF(J$43&gt;=2,1-Quesería!$B$48,1))</f>
        <v>0</v>
      </c>
      <c r="K892" s="58" t="n">
        <f aca="false">IF(K$43&lt;0,0,(Quesería!$B$44*$B$867*$B$864)*(1-MAX(0,MIN(K$43-0-Quesería!$B$47,(Quesería!$B$46-Quesería!$B$47)))/(Quesería!$B$46-Quesería!$B$47))*IF(K$43&gt;=2,1-Quesería!$B$48,1))+IF(K$43&lt;1,0,(Quesería!$B$44*$C$867*$C$864)*(1-MAX(0,MIN(K$43-1-Quesería!$B$47,(Quesería!$B$46-Quesería!$B$47)))/(Quesería!$B$46-Quesería!$B$47))*IF(K$43&gt;=2,1-Quesería!$B$48,1))</f>
        <v>0</v>
      </c>
      <c r="L892" s="58" t="n">
        <f aca="false">IF(L$43&lt;0,0,(Quesería!$B$44*$B$867*$B$864)*(1-MAX(0,MIN(L$43-0-Quesería!$B$47,(Quesería!$B$46-Quesería!$B$47)))/(Quesería!$B$46-Quesería!$B$47))*IF(L$43&gt;=2,1-Quesería!$B$48,1))+IF(L$43&lt;1,0,(Quesería!$B$44*$C$867*$C$864)*(1-MAX(0,MIN(L$43-1-Quesería!$B$47,(Quesería!$B$46-Quesería!$B$47)))/(Quesería!$B$46-Quesería!$B$47))*IF(L$43&gt;=2,1-Quesería!$B$48,1))</f>
        <v>0</v>
      </c>
    </row>
    <row r="893" customFormat="false" ht="15" hidden="true" customHeight="false" outlineLevel="1" collapsed="false">
      <c r="A893" s="6" t="s">
        <v>430</v>
      </c>
      <c r="B893" s="29" t="n">
        <f aca="false">Quesería!$B$44*B867</f>
        <v>605.02015563059</v>
      </c>
      <c r="C893" s="29" t="n">
        <f aca="false">Quesería!$B$44*C867</f>
        <v>493.004893338424</v>
      </c>
      <c r="D893" s="29" t="n">
        <f aca="false">Quesería!$B$44*D867</f>
        <v>0</v>
      </c>
      <c r="E893" s="29" t="n">
        <f aca="false">Quesería!$B$44*E867</f>
        <v>0</v>
      </c>
      <c r="F893" s="29" t="n">
        <f aca="false">Quesería!$B$44*F867</f>
        <v>0</v>
      </c>
      <c r="G893" s="29" t="n">
        <f aca="false">Quesería!$B$44*G867</f>
        <v>0</v>
      </c>
      <c r="H893" s="29" t="n">
        <f aca="false">Quesería!$B$44*H867</f>
        <v>0</v>
      </c>
      <c r="I893" s="29" t="n">
        <f aca="false">Quesería!$B$44*I867</f>
        <v>0</v>
      </c>
      <c r="J893" s="29" t="n">
        <f aca="false">Quesería!$B$44*J867</f>
        <v>0</v>
      </c>
      <c r="K893" s="29" t="n">
        <f aca="false">Quesería!$B$44*K867</f>
        <v>0</v>
      </c>
      <c r="L893" s="29" t="n">
        <f aca="false">Quesería!$B$44*L867</f>
        <v>0</v>
      </c>
    </row>
    <row r="894" customFormat="false" ht="15" hidden="true" customHeight="false" outlineLevel="1" collapsed="false">
      <c r="A894" s="6" t="s">
        <v>431</v>
      </c>
      <c r="B894" s="29" t="n">
        <f aca="false">(IF(AND(B$43&gt;0,B$43&lt;=0+Quesería!$B$46),($U$14+$U$24)*(Quesería!$B$44*$B$867*$B$864)*(1-MAX(0,MIN((B$43-1)-0-Quesería!$B$47,(Quesería!$B$46-Quesería!$B$47)))/(Quesería!$B$46-Quesería!$B$47))*IF(B$43&gt;2,1-Quesería!$B$48,1),0)+IF(AND(B$43&gt;1,B$43&lt;=1+Quesería!$B$46),($U$14+$U$24)*(Quesería!$B$44*$C$867*$C$864)*(1-MAX(0,MIN((B$43-1)-1-Quesería!$B$47,(Quesería!$B$46-Quesería!$B$47)))/(Quesería!$B$46-Quesería!$B$47))*IF(B$43&gt;2,1-Quesería!$B$48,1),0))*B866</f>
        <v>0</v>
      </c>
      <c r="C894" s="29" t="n">
        <f aca="false">(IF(AND(C$43&gt;0,C$43&lt;=0+Quesería!$B$46),($U$14+$U$24)*(Quesería!$B$44*$B$867*$B$864)*(1-MAX(0,MIN((C$43-1)-0-Quesería!$B$47,(Quesería!$B$46-Quesería!$B$47)))/(Quesería!$B$46-Quesería!$B$47))*IF(C$43&gt;2,1-Quesería!$B$48,1),0)+IF(AND(C$43&gt;1,C$43&lt;=1+Quesería!$B$46),($U$14+$U$24)*(Quesería!$B$44*$C$867*$C$864)*(1-MAX(0,MIN((C$43-1)-1-Quesería!$B$47,(Quesería!$B$46-Quesería!$B$47)))/(Quesería!$B$46-Quesería!$B$47))*IF(C$43&gt;2,1-Quesería!$B$48,1),0))*C866</f>
        <v>81.2455637561078</v>
      </c>
      <c r="D894" s="29" t="n">
        <f aca="false">(IF(AND(D$43&gt;0,D$43&lt;=0+Quesería!$B$46),($U$14+$U$24)*(Quesería!$B$44*$B$867*$B$864)*(1-MAX(0,MIN((D$43-1)-0-Quesería!$B$47,(Quesería!$B$46-Quesería!$B$47)))/(Quesería!$B$46-Quesería!$B$47))*IF(D$43&gt;2,1-Quesería!$B$48,1),0)+IF(AND(D$43&gt;1,D$43&lt;=1+Quesería!$B$46),($U$14+$U$24)*(Quesería!$B$44*$C$867*$C$864)*(1-MAX(0,MIN((D$43-1)-1-Quesería!$B$47,(Quesería!$B$46-Quesería!$B$47)))/(Quesería!$B$46-Quesería!$B$47))*IF(D$43&gt;2,1-Quesería!$B$48,1),0))*D866</f>
        <v>144.267228437154</v>
      </c>
      <c r="E894" s="29" t="n">
        <f aca="false">(IF(AND(E$43&gt;0,E$43&lt;=0+Quesería!$B$46),($U$14+$U$24)*(Quesería!$B$44*$B$867*$B$864)*(1-MAX(0,MIN((E$43-1)-0-Quesería!$B$47,(Quesería!$B$46-Quesería!$B$47)))/(Quesería!$B$46-Quesería!$B$47))*IF(E$43&gt;2,1-Quesería!$B$48,1),0)+IF(AND(E$43&gt;1,E$43&lt;=1+Quesería!$B$46),($U$14+$U$24)*(Quesería!$B$44*$C$867*$C$864)*(1-MAX(0,MIN((E$43-1)-1-Quesería!$B$47,(Quesería!$B$46-Quesería!$B$47)))/(Quesería!$B$46-Quesería!$B$47))*IF(E$43&gt;2,1-Quesería!$B$48,1),0))*E866</f>
        <v>126.259041612202</v>
      </c>
      <c r="F894" s="29" t="n">
        <f aca="false">(IF(AND(F$43&gt;0,F$43&lt;=0+Quesería!$B$46),($U$14+$U$24)*(Quesería!$B$44*$B$867*$B$864)*(1-MAX(0,MIN((F$43-1)-0-Quesería!$B$47,(Quesería!$B$46-Quesería!$B$47)))/(Quesería!$B$46-Quesería!$B$47))*IF(F$43&gt;2,1-Quesería!$B$48,1),0)+IF(AND(F$43&gt;1,F$43&lt;=1+Quesería!$B$46),($U$14+$U$24)*(Quesería!$B$44*$C$867*$C$864)*(1-MAX(0,MIN((F$43-1)-1-Quesería!$B$47,(Quesería!$B$46-Quesería!$B$47)))/(Quesería!$B$46-Quesería!$B$47))*IF(F$43&gt;2,1-Quesería!$B$48,1),0))*F866</f>
        <v>99.1723975627135</v>
      </c>
      <c r="G894" s="29" t="n">
        <f aca="false">(IF(AND(G$43&gt;0,G$43&lt;=0+Quesería!$B$46),($U$14+$U$24)*(Quesería!$B$44*$B$867*$B$864)*(1-MAX(0,MIN((G$43-1)-0-Quesería!$B$47,(Quesería!$B$46-Quesería!$B$47)))/(Quesería!$B$46-Quesería!$B$47))*IF(G$43&gt;2,1-Quesería!$B$48,1),0)+IF(AND(G$43&gt;1,G$43&lt;=1+Quesería!$B$46),($U$14+$U$24)*(Quesería!$B$44*$C$867*$C$864)*(1-MAX(0,MIN((G$43-1)-1-Quesería!$B$47,(Quesería!$B$46-Quesería!$B$47)))/(Quesería!$B$46-Quesería!$B$47))*IF(G$43&gt;2,1-Quesería!$B$48,1),0))*G866</f>
        <v>73.9825677868365</v>
      </c>
      <c r="H894" s="29" t="n">
        <f aca="false">(IF(AND(H$43&gt;0,H$43&lt;=0+Quesería!$B$46),($U$14+$U$24)*(Quesería!$B$44*$B$867*$B$864)*(1-MAX(0,MIN((H$43-1)-0-Quesería!$B$47,(Quesería!$B$46-Quesería!$B$47)))/(Quesería!$B$46-Quesería!$B$47))*IF(H$43&gt;2,1-Quesería!$B$48,1),0)+IF(AND(H$43&gt;1,H$43&lt;=1+Quesería!$B$46),($U$14+$U$24)*(Quesería!$B$44*$C$867*$C$864)*(1-MAX(0,MIN((H$43-1)-1-Quesería!$B$47,(Quesería!$B$46-Quesería!$B$47)))/(Quesería!$B$46-Quesería!$B$47))*IF(H$43&gt;2,1-Quesería!$B$48,1),0))*H866</f>
        <v>50.583712494366</v>
      </c>
      <c r="I894" s="29" t="n">
        <f aca="false">(IF(AND(I$43&gt;0,I$43&lt;=0+Quesería!$B$46),($U$14+$U$24)*(Quesería!$B$44*$B$867*$B$864)*(1-MAX(0,MIN((I$43-1)-0-Quesería!$B$47,(Quesería!$B$46-Quesería!$B$47)))/(Quesería!$B$46-Quesería!$B$47))*IF(I$43&gt;2,1-Quesería!$B$48,1),0)+IF(AND(I$43&gt;1,I$43&lt;=1+Quesería!$B$46),($U$14+$U$24)*(Quesería!$B$44*$C$867*$C$864)*(1-MAX(0,MIN((I$43-1)-1-Quesería!$B$47,(Quesería!$B$46-Quesería!$B$47)))/(Quesería!$B$46-Quesería!$B$47))*IF(I$43&gt;2,1-Quesería!$B$48,1),0))*I866</f>
        <v>28.8753274791465</v>
      </c>
      <c r="J894" s="29" t="n">
        <f aca="false">(IF(AND(J$43&gt;0,J$43&lt;=0+Quesería!$B$46),($U$14+$U$24)*(Quesería!$B$44*$B$867*$B$864)*(1-MAX(0,MIN((J$43-1)-0-Quesería!$B$47,(Quesería!$B$46-Quesería!$B$47)))/(Quesería!$B$46-Quesería!$B$47))*IF(J$43&gt;2,1-Quesería!$B$48,1),0)+IF(AND(J$43&gt;1,J$43&lt;=1+Quesería!$B$46),($U$14+$U$24)*(Quesería!$B$44*$C$867*$C$864)*(1-MAX(0,MIN((J$43-1)-1-Quesería!$B$47,(Quesería!$B$46-Quesería!$B$47)))/(Quesería!$B$46-Quesería!$B$47))*IF(J$43&gt;2,1-Quesería!$B$48,1),0))*J866</f>
        <v>8.76199025726588</v>
      </c>
      <c r="K894" s="29" t="n">
        <f aca="false">(IF(AND(K$43&gt;0,K$43&lt;=0+Quesería!$B$46),($U$14+$U$24)*(Quesería!$B$44*$B$867*$B$864)*(1-MAX(0,MIN((K$43-1)-0-Quesería!$B$47,(Quesería!$B$46-Quesería!$B$47)))/(Quesería!$B$46-Quesería!$B$47))*IF(K$43&gt;2,1-Quesería!$B$48,1),0)+IF(AND(K$43&gt;1,K$43&lt;=1+Quesería!$B$46),($U$14+$U$24)*(Quesería!$B$44*$C$867*$C$864)*(1-MAX(0,MIN((K$43-1)-1-Quesería!$B$47,(Quesería!$B$46-Quesería!$B$47)))/(Quesería!$B$46-Quesería!$B$47))*IF(K$43&gt;2,1-Quesería!$B$48,1),0))*K866</f>
        <v>0</v>
      </c>
      <c r="L894" s="29" t="n">
        <f aca="false">(IF(AND(L$43&gt;0,L$43&lt;=0+Quesería!$B$46),($U$14+$U$24)*(Quesería!$B$44*$B$867*$B$864)*(1-MAX(0,MIN((L$43-1)-0-Quesería!$B$47,(Quesería!$B$46-Quesería!$B$47)))/(Quesería!$B$46-Quesería!$B$47))*IF(L$43&gt;2,1-Quesería!$B$48,1),0)+IF(AND(L$43&gt;1,L$43&lt;=1+Quesería!$B$46),($U$14+$U$24)*(Quesería!$B$44*$C$867*$C$864)*(1-MAX(0,MIN((L$43-1)-1-Quesería!$B$47,(Quesería!$B$46-Quesería!$B$47)))/(Quesería!$B$46-Quesería!$B$47))*IF(L$43&gt;2,1-Quesería!$B$48,1),0))*L866</f>
        <v>0</v>
      </c>
    </row>
    <row r="895" customFormat="false" ht="15" hidden="true" customHeight="false" outlineLevel="1" collapsed="false">
      <c r="A895" s="6" t="s">
        <v>432</v>
      </c>
      <c r="B895" s="29" t="n">
        <f aca="false">((IF(AND(B$43&gt;0+Quesería!$B$47,B$43&lt;=0+Quesería!$B$46),(Quesería!$B$44*$B$867*$B$864)/(Quesería!$B$46-Quesería!$B$47),0)*IF(B$43&gt;2,1-Quesería!$B$48,1)+IF(B$43=2,Quesería!$B$48*(Quesería!$B$44*$B$867*$B$864)*(1-MAX(0,MIN(2-0-Quesería!$B$47,(Quesería!$B$46-Quesería!$B$47)))/(Quesería!$B$46-Quesería!$B$47)),0))+(IF(AND(B$43&gt;1+Quesería!$B$47,B$43&lt;=1+Quesería!$B$46),(Quesería!$B$44*$C$867*$C$864)/(Quesería!$B$46-Quesería!$B$47),0)*IF(B$43&gt;2,1-Quesería!$B$48,1)+IF(B$43=2,Quesería!$B$48*(Quesería!$B$44*$C$867*$C$864)*(1-MAX(0,MIN(2-1-Quesería!$B$47,(Quesería!$B$46-Quesería!$B$47)))/(Quesería!$B$46-Quesería!$B$47)),0)))*B866</f>
        <v>0</v>
      </c>
      <c r="C895" s="29" t="n">
        <f aca="false">((IF(AND(C$43&gt;0+Quesería!$B$47,C$43&lt;=0+Quesería!$B$46),(Quesería!$B$44*$B$867*$B$864)/(Quesería!$B$46-Quesería!$B$47),0)*IF(C$43&gt;2,1-Quesería!$B$48,1)+IF(C$43=2,Quesería!$B$48*(Quesería!$B$44*$B$867*$B$864)*(1-MAX(0,MIN(2-0-Quesería!$B$47,(Quesería!$B$46-Quesería!$B$47)))/(Quesería!$B$46-Quesería!$B$47)),0))+(IF(AND(C$43&gt;1+Quesería!$B$47,C$43&lt;=1+Quesería!$B$46),(Quesería!$B$44*$C$867*$C$864)/(Quesería!$B$46-Quesería!$B$47),0)*IF(C$43&gt;2,1-Quesería!$B$48,1)+IF(C$43=2,Quesería!$B$48*(Quesería!$B$44*$C$867*$C$864)*(1-MAX(0,MIN(2-1-Quesería!$B$47,(Quesería!$B$46-Quesería!$B$47)))/(Quesería!$B$46-Quesería!$B$47)),0)))*C866</f>
        <v>0</v>
      </c>
      <c r="D895" s="29" t="n">
        <f aca="false">((IF(AND(D$43&gt;0+Quesería!$B$47,D$43&lt;=0+Quesería!$B$46),(Quesería!$B$44*$B$867*$B$864)/(Quesería!$B$46-Quesería!$B$47),0)*IF(D$43&gt;2,1-Quesería!$B$48,1)+IF(D$43=2,Quesería!$B$48*(Quesería!$B$44*$B$867*$B$864)*(1-MAX(0,MIN(2-0-Quesería!$B$47,(Quesería!$B$46-Quesería!$B$47)))/(Quesería!$B$46-Quesería!$B$47)),0))+(IF(AND(D$43&gt;1+Quesería!$B$47,D$43&lt;=1+Quesería!$B$46),(Quesería!$B$44*$C$867*$C$864)/(Quesería!$B$46-Quesería!$B$47),0)*IF(D$43&gt;2,1-Quesería!$B$48,1)+IF(D$43=2,Quesería!$B$48*(Quesería!$B$44*$C$867*$C$864)*(1-MAX(0,MIN(2-1-Quesería!$B$47,(Quesería!$B$46-Quesería!$B$47)))/(Quesería!$B$46-Quesería!$B$47)),0)))*D866</f>
        <v>91.8994692231472</v>
      </c>
      <c r="E895" s="29" t="n">
        <f aca="false">((IF(AND(E$43&gt;0+Quesería!$B$47,E$43&lt;=0+Quesería!$B$46),(Quesería!$B$44*$B$867*$B$864)/(Quesería!$B$46-Quesería!$B$47),0)*IF(E$43&gt;2,1-Quesería!$B$48,1)+IF(E$43=2,Quesería!$B$48*(Quesería!$B$44*$B$867*$B$864)*(1-MAX(0,MIN(2-0-Quesería!$B$47,(Quesería!$B$46-Quesería!$B$47)))/(Quesería!$B$46-Quesería!$B$47)),0))+(IF(AND(E$43&gt;1+Quesería!$B$47,E$43&lt;=1+Quesería!$B$46),(Quesería!$B$44*$C$867*$C$864)/(Quesería!$B$46-Quesería!$B$47),0)*IF(E$43&gt;2,1-Quesería!$B$48,1)+IF(E$43=2,Quesería!$B$48*(Quesería!$B$44*$C$867*$C$864)*(1-MAX(0,MIN(2-1-Quesería!$B$47,(Quesería!$B$46-Quesería!$B$47)))/(Quesería!$B$46-Quesería!$B$47)),0)))*E866</f>
        <v>163.969845014041</v>
      </c>
      <c r="F895" s="29" t="n">
        <f aca="false">((IF(AND(F$43&gt;0+Quesería!$B$47,F$43&lt;=0+Quesería!$B$46),(Quesería!$B$44*$B$867*$B$864)/(Quesería!$B$46-Quesería!$B$47),0)*IF(F$43&gt;2,1-Quesería!$B$48,1)+IF(F$43=2,Quesería!$B$48*(Quesería!$B$44*$B$867*$B$864)*(1-MAX(0,MIN(2-0-Quesería!$B$47,(Quesería!$B$46-Quesería!$B$47)))/(Quesería!$B$46-Quesería!$B$47)),0))+(IF(AND(F$43&gt;1+Quesería!$B$47,F$43&lt;=1+Quesería!$B$46),(Quesería!$B$44*$C$867*$C$864)/(Quesería!$B$46-Quesería!$B$47),0)*IF(F$43&gt;2,1-Quesería!$B$48,1)+IF(F$43=2,Quesería!$B$48*(Quesería!$B$44*$C$867*$C$864)*(1-MAX(0,MIN(2-1-Quesería!$B$47,(Quesería!$B$46-Quesería!$B$47)))/(Quesería!$B$46-Quesería!$B$47)),0)))*F866</f>
        <v>157.663312513501</v>
      </c>
      <c r="G895" s="29" t="n">
        <f aca="false">((IF(AND(G$43&gt;0+Quesería!$B$47,G$43&lt;=0+Quesería!$B$46),(Quesería!$B$44*$B$867*$B$864)/(Quesería!$B$46-Quesería!$B$47),0)*IF(G$43&gt;2,1-Quesería!$B$48,1)+IF(G$43=2,Quesería!$B$48*(Quesería!$B$44*$B$867*$B$864)*(1-MAX(0,MIN(2-0-Quesería!$B$47,(Quesería!$B$46-Quesería!$B$47)))/(Quesería!$B$46-Quesería!$B$47)),0))+(IF(AND(G$43&gt;1+Quesería!$B$47,G$43&lt;=1+Quesería!$B$46),(Quesería!$B$44*$C$867*$C$864)/(Quesería!$B$46-Quesería!$B$47),0)*IF(G$43&gt;2,1-Quesería!$B$48,1)+IF(G$43=2,Quesería!$B$48*(Quesería!$B$44*$C$867*$C$864)*(1-MAX(0,MIN(2-1-Quesería!$B$47,(Quesería!$B$46-Quesería!$B$47)))/(Quesería!$B$46-Quesería!$B$47)),0)))*G866</f>
        <v>151.599338955289</v>
      </c>
      <c r="H895" s="29" t="n">
        <f aca="false">((IF(AND(H$43&gt;0+Quesería!$B$47,H$43&lt;=0+Quesería!$B$46),(Quesería!$B$44*$B$867*$B$864)/(Quesería!$B$46-Quesería!$B$47),0)*IF(H$43&gt;2,1-Quesería!$B$48,1)+IF(H$43=2,Quesería!$B$48*(Quesería!$B$44*$B$867*$B$864)*(1-MAX(0,MIN(2-0-Quesería!$B$47,(Quesería!$B$46-Quesería!$B$47)))/(Quesería!$B$46-Quesería!$B$47)),0))+(IF(AND(H$43&gt;1+Quesería!$B$47,H$43&lt;=1+Quesería!$B$46),(Quesería!$B$44*$C$867*$C$864)/(Quesería!$B$46-Quesería!$B$47),0)*IF(H$43&gt;2,1-Quesería!$B$48,1)+IF(H$43=2,Quesería!$B$48*(Quesería!$B$44*$C$867*$C$864)*(1-MAX(0,MIN(2-1-Quesería!$B$47,(Quesería!$B$46-Quesería!$B$47)))/(Quesería!$B$46-Quesería!$B$47)),0)))*H866</f>
        <v>145.768595149317</v>
      </c>
      <c r="I895" s="29" t="n">
        <f aca="false">((IF(AND(I$43&gt;0+Quesería!$B$47,I$43&lt;=0+Quesería!$B$46),(Quesería!$B$44*$B$867*$B$864)/(Quesería!$B$46-Quesería!$B$47),0)*IF(I$43&gt;2,1-Quesería!$B$48,1)+IF(I$43=2,Quesería!$B$48*(Quesería!$B$44*$B$867*$B$864)*(1-MAX(0,MIN(2-0-Quesería!$B$47,(Quesería!$B$46-Quesería!$B$47)))/(Quesería!$B$46-Quesería!$B$47)),0))+(IF(AND(I$43&gt;1+Quesería!$B$47,I$43&lt;=1+Quesería!$B$46),(Quesería!$B$44*$C$867*$C$864)/(Quesería!$B$46-Quesería!$B$47),0)*IF(I$43&gt;2,1-Quesería!$B$48,1)+IF(I$43=2,Quesería!$B$48*(Quesería!$B$44*$C$867*$C$864)*(1-MAX(0,MIN(2-1-Quesería!$B$47,(Quesería!$B$46-Quesería!$B$47)))/(Quesería!$B$46-Quesería!$B$47)),0)))*I866</f>
        <v>140.162110720497</v>
      </c>
      <c r="J895" s="29" t="n">
        <f aca="false">((IF(AND(J$43&gt;0+Quesería!$B$47,J$43&lt;=0+Quesería!$B$46),(Quesería!$B$44*$B$867*$B$864)/(Quesería!$B$46-Quesería!$B$47),0)*IF(J$43&gt;2,1-Quesería!$B$48,1)+IF(J$43=2,Quesería!$B$48*(Quesería!$B$44*$B$867*$B$864)*(1-MAX(0,MIN(2-0-Quesería!$B$47,(Quesería!$B$46-Quesería!$B$47)))/(Quesería!$B$46-Quesería!$B$47)),0))+(IF(AND(J$43&gt;1+Quesería!$B$47,J$43&lt;=1+Quesería!$B$46),(Quesería!$B$44*$C$867*$C$864)/(Quesería!$B$46-Quesería!$B$47),0)*IF(J$43&gt;2,1-Quesería!$B$48,1)+IF(J$43=2,Quesería!$B$48*(Quesería!$B$44*$C$867*$C$864)*(1-MAX(0,MIN(2-1-Quesería!$B$47,(Quesería!$B$46-Quesería!$B$47)))/(Quesería!$B$46-Quesería!$B$47)),0)))*J866</f>
        <v>62.1417748742261</v>
      </c>
      <c r="K895" s="29" t="n">
        <f aca="false">((IF(AND(K$43&gt;0+Quesería!$B$47,K$43&lt;=0+Quesería!$B$46),(Quesería!$B$44*$B$867*$B$864)/(Quesería!$B$46-Quesería!$B$47),0)*IF(K$43&gt;2,1-Quesería!$B$48,1)+IF(K$43=2,Quesería!$B$48*(Quesería!$B$44*$B$867*$B$864)*(1-MAX(0,MIN(2-0-Quesería!$B$47,(Quesería!$B$46-Quesería!$B$47)))/(Quesería!$B$46-Quesería!$B$47)),0))+(IF(AND(K$43&gt;1+Quesería!$B$47,K$43&lt;=1+Quesería!$B$46),(Quesería!$B$44*$C$867*$C$864)/(Quesería!$B$46-Quesería!$B$47),0)*IF(K$43&gt;2,1-Quesería!$B$48,1)+IF(K$43=2,Quesería!$B$48*(Quesería!$B$44*$C$867*$C$864)*(1-MAX(0,MIN(2-1-Quesería!$B$47,(Quesería!$B$46-Quesería!$B$47)))/(Quesería!$B$46-Quesería!$B$47)),0)))*K866</f>
        <v>0</v>
      </c>
      <c r="L895" s="29" t="n">
        <f aca="false">((IF(AND(L$43&gt;0+Quesería!$B$47,L$43&lt;=0+Quesería!$B$46),(Quesería!$B$44*$B$867*$B$864)/(Quesería!$B$46-Quesería!$B$47),0)*IF(L$43&gt;2,1-Quesería!$B$48,1)+IF(L$43=2,Quesería!$B$48*(Quesería!$B$44*$B$867*$B$864)*(1-MAX(0,MIN(2-0-Quesería!$B$47,(Quesería!$B$46-Quesería!$B$47)))/(Quesería!$B$46-Quesería!$B$47)),0))+(IF(AND(L$43&gt;1+Quesería!$B$47,L$43&lt;=1+Quesería!$B$46),(Quesería!$B$44*$C$867*$C$864)/(Quesería!$B$46-Quesería!$B$47),0)*IF(L$43&gt;2,1-Quesería!$B$48,1)+IF(L$43=2,Quesería!$B$48*(Quesería!$B$44*$C$867*$C$864)*(1-MAX(0,MIN(2-1-Quesería!$B$47,(Quesería!$B$46-Quesería!$B$47)))/(Quesería!$B$46-Quesería!$B$47)),0)))*L866</f>
        <v>0</v>
      </c>
    </row>
    <row r="896" customFormat="false" ht="15" hidden="true" customHeight="false" outlineLevel="1" collapsed="false">
      <c r="A896" s="6" t="s">
        <v>433</v>
      </c>
      <c r="B896" s="29" t="n">
        <f aca="false">$U$13*Quesería!$B$51*(1+0.19)*B892*B866+(1-$U$13)*IF(B$43=0,Quesería!$B$50,0)</f>
        <v>14.327482305488</v>
      </c>
      <c r="C896" s="29" t="n">
        <f aca="false">$U$13*Quesería!$B$51*(1+0.19)*C892*C866+(1-$U$13)*IF(C$43=0,Quesería!$B$50,0)</f>
        <v>25.3200701224691</v>
      </c>
      <c r="D896" s="29" t="n">
        <f aca="false">$U$13*Quesería!$B$51*(1+0.19)*D892*D866+(1-$U$13)*IF(D$43=0,Quesería!$B$50,0)</f>
        <v>22.0534608439383</v>
      </c>
      <c r="E896" s="29" t="n">
        <f aca="false">$U$13*Quesería!$B$51*(1+0.19)*E892*E866+(1-$U$13)*IF(E$43=0,Quesería!$B$50,0)</f>
        <v>17.3222809117016</v>
      </c>
      <c r="F896" s="29" t="n">
        <f aca="false">$U$13*Quesería!$B$51*(1+0.19)*F892*F866+(1-$U$13)*IF(F$43=0,Quesería!$B$50,0)</f>
        <v>12.9224144345424</v>
      </c>
      <c r="G896" s="29" t="n">
        <f aca="false">$U$13*Quesería!$B$51*(1+0.19)*G892*G866+(1-$U$13)*IF(G$43=0,Quesería!$B$50,0)</f>
        <v>8.8353745489521</v>
      </c>
      <c r="H896" s="29" t="n">
        <f aca="false">$U$13*Quesería!$B$51*(1+0.19)*H892*H866+(1-$U$13)*IF(H$43=0,Quesería!$B$50,0)</f>
        <v>5.04360634918451</v>
      </c>
      <c r="I896" s="29" t="n">
        <f aca="false">$U$13*Quesería!$B$51*(1+0.19)*I892*I866+(1-$U$13)*IF(I$43=0,Quesería!$B$50,0)</f>
        <v>1.53044254562841</v>
      </c>
      <c r="J896" s="29" t="n">
        <f aca="false">$U$13*Quesería!$B$51*(1+0.19)*J892*J866+(1-$U$13)*IF(J$43=0,Quesería!$B$50,0)</f>
        <v>0</v>
      </c>
      <c r="K896" s="29" t="n">
        <f aca="false">$U$13*Quesería!$B$51*(1+0.19)*K892*K866+(1-$U$13)*IF(K$43=0,Quesería!$B$50,0)</f>
        <v>0</v>
      </c>
      <c r="L896" s="29" t="n">
        <f aca="false">$U$13*Quesería!$B$51*(1+0.19)*L892*L866+(1-$U$13)*IF(L$43=0,Quesería!$B$50,0)</f>
        <v>0</v>
      </c>
    </row>
    <row r="897" customFormat="false" ht="15" hidden="true" customHeight="false" outlineLevel="1" collapsed="false">
      <c r="A897" s="6" t="s">
        <v>434</v>
      </c>
      <c r="B897" s="29" t="n">
        <f aca="false">Quesería!$B$52*(B894+B895+B896)</f>
        <v>0.057309929221952</v>
      </c>
      <c r="C897" s="29" t="n">
        <f aca="false">Quesería!$B$52*(C894+C895+C896)</f>
        <v>0.426262535514308</v>
      </c>
      <c r="D897" s="29" t="n">
        <f aca="false">Quesería!$B$52*(D894+D895+D896)</f>
        <v>1.03288063401696</v>
      </c>
      <c r="E897" s="29" t="n">
        <f aca="false">Quesería!$B$52*(E894+E895+E896)</f>
        <v>1.23020467015178</v>
      </c>
      <c r="F897" s="29" t="n">
        <f aca="false">Quesería!$B$52*(F894+F895+F896)</f>
        <v>1.07903249804303</v>
      </c>
      <c r="G897" s="29" t="n">
        <f aca="false">Quesería!$B$52*(G894+G895+G896)</f>
        <v>0.937669125164311</v>
      </c>
      <c r="H897" s="29" t="n">
        <f aca="false">Quesería!$B$52*(H894+H895+H896)</f>
        <v>0.805583655971468</v>
      </c>
      <c r="I897" s="29" t="n">
        <f aca="false">Quesería!$B$52*(I894+I895+I896)</f>
        <v>0.682271522981086</v>
      </c>
      <c r="J897" s="29" t="n">
        <f aca="false">Quesería!$B$52*(J894+J895+J896)</f>
        <v>0.283615060525968</v>
      </c>
      <c r="K897" s="29" t="n">
        <f aca="false">Quesería!$B$52*(K894+K895+K896)</f>
        <v>0</v>
      </c>
      <c r="L897" s="29" t="n">
        <f aca="false">Quesería!$B$52*(L894+L895+L896)</f>
        <v>0</v>
      </c>
    </row>
    <row r="898" customFormat="false" ht="15" hidden="true" customHeight="false" outlineLevel="1" collapsed="false">
      <c r="A898" s="6" t="s">
        <v>435</v>
      </c>
      <c r="B898" s="29" t="n">
        <f aca="false">$U$17*(B894+B896+0.5*B897)</f>
        <v>5.02464804453464</v>
      </c>
      <c r="C898" s="29" t="n">
        <f aca="false">$U$17*(C894+C896+0.5*C897)</f>
        <v>37.3725678012169</v>
      </c>
      <c r="D898" s="29" t="n">
        <f aca="false">$U$17*(D894+D896+0.5*D897)</f>
        <v>58.3929953593351</v>
      </c>
      <c r="E898" s="29" t="n">
        <f aca="false">$U$17*(E894+E896+0.5*E897)</f>
        <v>50.4687487006427</v>
      </c>
      <c r="F898" s="29" t="n">
        <f aca="false">$U$17*(F894+F896+0.5*F897)</f>
        <v>39.4220148861971</v>
      </c>
      <c r="G898" s="29" t="n">
        <f aca="false">$U$17*(G894+G896+0.5*G897)</f>
        <v>29.1503719144297</v>
      </c>
      <c r="H898" s="29" t="n">
        <f aca="false">$U$17*(H894+H896+0.5*H897)</f>
        <v>19.6105387350377</v>
      </c>
      <c r="I898" s="29" t="n">
        <f aca="false">$U$17*(I894+I896+0.5*I897)</f>
        <v>10.7614170251929</v>
      </c>
      <c r="J898" s="29" t="n">
        <f aca="false">$U$17*(J894+J896+0.5*J897)</f>
        <v>3.1163292256351</v>
      </c>
      <c r="K898" s="29" t="n">
        <f aca="false">$U$17*(K894+K896+0.5*K897)</f>
        <v>0</v>
      </c>
      <c r="L898" s="29" t="n">
        <f aca="false">$U$17*(L894+L896+0.5*L897)</f>
        <v>0</v>
      </c>
    </row>
    <row r="899" customFormat="false" ht="15" hidden="true" customHeight="false" outlineLevel="1" collapsed="false">
      <c r="A899" s="5" t="s">
        <v>436</v>
      </c>
      <c r="B899" s="59" t="n">
        <f aca="false">B884+B893-B894-B895-B896-B897+B898</f>
        <v>-365.491868693341</v>
      </c>
      <c r="C899" s="59" t="n">
        <f aca="false">C884+C893-C894-C895-C896-C897+C898</f>
        <v>-214.520877173098</v>
      </c>
      <c r="D899" s="59" t="n">
        <f aca="false">D884+D893-D894-D895-D896-D897+D898</f>
        <v>223.37025604358</v>
      </c>
      <c r="E899" s="59" t="n">
        <f aca="false">E884+E893-E894-E895-E896-E897+E898</f>
        <v>76.2055227913203</v>
      </c>
      <c r="F899" s="59" t="n">
        <f aca="false">F884+F893-F894-F895-F896-F897+F898</f>
        <v>105.606029329799</v>
      </c>
      <c r="G899" s="59" t="n">
        <f aca="false">G884+G893-G894-G895-G896-G897+G898</f>
        <v>96.3440278669652</v>
      </c>
      <c r="H899" s="59" t="n">
        <f aca="false">H884+H893-H894-H895-H896-H897+H898</f>
        <v>98.3173487441168</v>
      </c>
      <c r="I899" s="59" t="n">
        <f aca="false">I884+I893-I894-I895-I896-I897+I898</f>
        <v>180.941916366217</v>
      </c>
      <c r="J899" s="59" t="n">
        <f aca="false">J884+J893-J894-J895-J896-J897+J898</f>
        <v>263.386390588464</v>
      </c>
      <c r="K899" s="59" t="n">
        <f aca="false">K884+K893-K894-K895-K896-K897+K898</f>
        <v>330.025710337702</v>
      </c>
      <c r="L899" s="59" t="n">
        <f aca="false">L884+L893-L894-L895-L896-L897+L898</f>
        <v>422.18532199421</v>
      </c>
    </row>
    <row r="900" customFormat="false" ht="15" hidden="true" customHeight="false" outlineLevel="1" collapsed="false">
      <c r="A900" s="9" t="s">
        <v>437</v>
      </c>
      <c r="B900" s="58" t="n">
        <f aca="false">B899*B864</f>
        <v>-387.421380814941</v>
      </c>
      <c r="C900" s="58" t="n">
        <f aca="false">C899*C864</f>
        <v>-238.761736293658</v>
      </c>
      <c r="D900" s="58" t="n">
        <f aca="false">D899*D864</f>
        <v>259.798594250447</v>
      </c>
      <c r="E900" s="58" t="n">
        <f aca="false">E899*E864</f>
        <v>92.1788404947725</v>
      </c>
      <c r="F900" s="58" t="n">
        <f aca="false">F899*F864</f>
        <v>132.85161777469</v>
      </c>
      <c r="G900" s="58" t="n">
        <f aca="false">G899*G864</f>
        <v>126.048090702169</v>
      </c>
      <c r="H900" s="58" t="n">
        <f aca="false">H899*H864</f>
        <v>133.775003403177</v>
      </c>
      <c r="I900" s="58" t="n">
        <f aca="false">I899*I864</f>
        <v>256.045611668115</v>
      </c>
      <c r="J900" s="58" t="n">
        <f aca="false">J899*J864</f>
        <v>387.618789891994</v>
      </c>
      <c r="K900" s="58" t="n">
        <f aca="false">K899*K864</f>
        <v>505.117720152798</v>
      </c>
      <c r="L900" s="58" t="n">
        <f aca="false">L899*L864</f>
        <v>672.01860907702</v>
      </c>
    </row>
    <row r="901" customFormat="false" ht="15" hidden="true" customHeight="false" outlineLevel="1" collapsed="false">
      <c r="A901" s="9" t="s">
        <v>438</v>
      </c>
      <c r="B901" s="57" t="n">
        <f aca="false">(B864/$B$864)/(1+Quesería!$B$11+$U$24)^B$43</f>
        <v>1</v>
      </c>
      <c r="C901" s="57" t="n">
        <f aca="false">(C864/$B$864)/(1+Quesería!$B$11+$U$24)^C$43</f>
        <v>0.84</v>
      </c>
      <c r="D901" s="57" t="n">
        <f aca="false">(D864/$B$864)/(1+Quesería!$B$11+$U$24)^D$43</f>
        <v>0.70224</v>
      </c>
      <c r="E901" s="57" t="n">
        <f aca="false">(E864/$B$864)/(1+Quesería!$B$11+$U$24)^E$43</f>
        <v>0.58426368</v>
      </c>
      <c r="F901" s="57" t="n">
        <f aca="false">(F864/$B$864)/(1+Quesería!$B$11+$U$24)^F$43</f>
        <v>0.48610738176</v>
      </c>
      <c r="G901" s="57" t="n">
        <f aca="false">(G864/$B$864)/(1+Quesería!$B$11+$U$24)^G$43</f>
        <v>0.40444134162432</v>
      </c>
      <c r="H901" s="57" t="n">
        <f aca="false">(H864/$B$864)/(1+Quesería!$B$11+$U$24)^H$43</f>
        <v>0.336495196231434</v>
      </c>
      <c r="I901" s="57" t="n">
        <f aca="false">(I864/$B$864)/(1+Quesería!$B$11+$U$24)^I$43</f>
        <v>0.279964003264553</v>
      </c>
      <c r="J901" s="57" t="n">
        <f aca="false">(J864/$B$864)/(1+Quesería!$B$11+$U$24)^J$43</f>
        <v>0.232930050716108</v>
      </c>
      <c r="K901" s="57" t="n">
        <f aca="false">(K864/$B$864)/(1+Quesería!$B$11+$U$24)^K$43</f>
        <v>0.193797802195802</v>
      </c>
      <c r="L901" s="57" t="n">
        <f aca="false">(L864/$B$864)/(1+Quesería!$B$11+$U$24)^L$43</f>
        <v>0.161239771426907</v>
      </c>
    </row>
    <row r="902" customFormat="false" ht="15" hidden="true" customHeight="false" outlineLevel="1" collapsed="false">
      <c r="A902" s="9" t="s">
        <v>439</v>
      </c>
      <c r="B902" s="58" t="n">
        <f aca="false">B884+B867+B869+B898</f>
        <v>123.788678902633</v>
      </c>
      <c r="C902" s="58" t="n">
        <f aca="false">C884+C867+C869+C898</f>
        <v>302.044315245222</v>
      </c>
      <c r="D902" s="58" t="n">
        <f aca="false">D884+D867+D869+D898</f>
        <v>482.623295181836</v>
      </c>
      <c r="E902" s="58" t="n">
        <f aca="false">E884+E867+E869+E898</f>
        <v>384.986894999416</v>
      </c>
      <c r="F902" s="58" t="n">
        <f aca="false">F884+F867+F869+F898</f>
        <v>376.443186338598</v>
      </c>
      <c r="G902" s="58" t="n">
        <f aca="false">G884+G867+G869+G898</f>
        <v>336.917369564293</v>
      </c>
      <c r="H902" s="58" t="n">
        <f aca="false">H884+H867+H869+H898</f>
        <v>309.332785978037</v>
      </c>
      <c r="I902" s="58" t="n">
        <f aca="false">I884+I867+I869+I898</f>
        <v>352.19206863447</v>
      </c>
      <c r="J902" s="58" t="n">
        <f aca="false">J884+J867+J869+J898</f>
        <v>334.573770780482</v>
      </c>
      <c r="K902" s="58" t="n">
        <f aca="false">K884+K867+K869+K898</f>
        <v>330.025710337702</v>
      </c>
      <c r="L902" s="58" t="n">
        <f aca="false">L884+L867+L869+L898</f>
        <v>422.18532199421</v>
      </c>
    </row>
    <row r="903" customFormat="false" ht="15" hidden="true" customHeight="false" outlineLevel="1" collapsed="false">
      <c r="A903" s="5" t="s">
        <v>149</v>
      </c>
      <c r="B903" s="12" t="str">
        <f aca="false">IF(AND(B$43&gt;=1,(B894+B895+B896)&gt;0.001),B902/(B894+B895+B896),"")</f>
        <v/>
      </c>
      <c r="C903" s="12" t="n">
        <f aca="false">IF(AND(C$43&gt;=1,(C894+C895+C896)&gt;0.001),C902/(C894+C895+C896),"")</f>
        <v>2.8343501019229</v>
      </c>
      <c r="D903" s="12" t="n">
        <f aca="false">IF(AND(D$43&gt;=1,(D894+D895+D896)&gt;0.001),D902/(D894+D895+D896),"")</f>
        <v>1.86903802544879</v>
      </c>
      <c r="E903" s="12" t="n">
        <f aca="false">IF(AND(E$43&gt;=1,(E894+E895+E896)&gt;0.001),E902/(E894+E895+E896),"")</f>
        <v>1.25178160785853</v>
      </c>
      <c r="F903" s="12" t="n">
        <f aca="false">IF(AND(F$43&gt;=1,(F894+F895+F896)&gt;0.001),F902/(F894+F895+F896),"")</f>
        <v>1.39548414722014</v>
      </c>
      <c r="G903" s="12" t="n">
        <f aca="false">IF(AND(G$43&gt;=1,(G894+G895+G896)&gt;0.001),G902/(G894+G895+G896),"")</f>
        <v>1.43725482911791</v>
      </c>
      <c r="H903" s="12" t="n">
        <f aca="false">IF(AND(H$43&gt;=1,(H894+H895+H896)&gt;0.001),H902/(H894+H895+H896),"")</f>
        <v>1.53594370335136</v>
      </c>
      <c r="I903" s="12" t="n">
        <f aca="false">IF(AND(I$43&gt;=1,(I894+I895+I896)&gt;0.001),I902/(I894+I895+I896),"")</f>
        <v>2.06482056935701</v>
      </c>
      <c r="J903" s="12" t="n">
        <f aca="false">IF(AND(J$43&gt;=1,(J894+J895+J896)&gt;0.001),J902/(J894+J895+J896),"")</f>
        <v>4.71870245762</v>
      </c>
      <c r="K903" s="12" t="str">
        <f aca="false">IF(AND(K$43&gt;=1,(K894+K895+K896)&gt;0.001),K902/(K894+K895+K896),"")</f>
        <v/>
      </c>
      <c r="L903" s="12" t="str">
        <f aca="false">IF(AND(L$43&gt;=1,(L894+L895+L896)&gt;0.001),L902/(L894+L895+L896),"")</f>
        <v/>
      </c>
    </row>
    <row r="905" customFormat="false" ht="15" hidden="false" customHeight="false" outlineLevel="0" collapsed="false">
      <c r="A905" s="43" t="s">
        <v>1180</v>
      </c>
      <c r="B905" s="44"/>
      <c r="C905" s="44"/>
      <c r="D905" s="44"/>
      <c r="E905" s="44"/>
      <c r="F905" s="44"/>
      <c r="G905" s="44"/>
      <c r="H905" s="44"/>
      <c r="I905" s="44"/>
      <c r="J905" s="44"/>
      <c r="K905" s="44"/>
      <c r="L905" s="44"/>
    </row>
    <row r="906" customFormat="false" ht="15" hidden="true" customHeight="false" outlineLevel="1" collapsed="false">
      <c r="A906" s="9" t="s">
        <v>405</v>
      </c>
      <c r="B906" s="56" t="n">
        <f aca="false">CHOOSE($V$15,Entorno!B$7,Entorno!B$8,Entorno!B$9)</f>
        <v>0.06</v>
      </c>
      <c r="C906" s="56" t="n">
        <f aca="false">CHOOSE($V$15,Entorno!C$7,Entorno!C$8,Entorno!C$9)</f>
        <v>0.05</v>
      </c>
      <c r="D906" s="56" t="n">
        <f aca="false">CHOOSE($V$15,Entorno!D$7,Entorno!D$8,Entorno!D$9)</f>
        <v>0.045</v>
      </c>
      <c r="E906" s="56" t="n">
        <f aca="false">CHOOSE($V$15,Entorno!E$7,Entorno!E$8,Entorno!E$9)</f>
        <v>0.04</v>
      </c>
      <c r="F906" s="56" t="n">
        <f aca="false">CHOOSE($V$15,Entorno!F$7,Entorno!F$8,Entorno!F$9)</f>
        <v>0.04</v>
      </c>
      <c r="G906" s="56" t="n">
        <f aca="false">CHOOSE($V$15,Entorno!G$7,Entorno!G$8,Entorno!G$9)</f>
        <v>0.04</v>
      </c>
      <c r="H906" s="56" t="n">
        <f aca="false">CHOOSE($V$15,Entorno!H$7,Entorno!H$8,Entorno!H$9)</f>
        <v>0.04</v>
      </c>
      <c r="I906" s="56" t="n">
        <f aca="false">CHOOSE($V$15,Entorno!I$7,Entorno!I$8,Entorno!I$9)</f>
        <v>0.04</v>
      </c>
      <c r="J906" s="56" t="n">
        <f aca="false">CHOOSE($V$15,Entorno!J$7,Entorno!J$8,Entorno!J$9)</f>
        <v>0.04</v>
      </c>
      <c r="K906" s="56" t="n">
        <f aca="false">CHOOSE($V$15,Entorno!K$7,Entorno!K$8,Entorno!K$9)</f>
        <v>0.04</v>
      </c>
      <c r="L906" s="56" t="n">
        <f aca="false">CHOOSE($V$15,Entorno!L$7,Entorno!L$8,Entorno!L$9)</f>
        <v>0.04</v>
      </c>
    </row>
    <row r="907" customFormat="false" ht="15" hidden="true" customHeight="false" outlineLevel="1" collapsed="false">
      <c r="A907" s="9" t="s">
        <v>406</v>
      </c>
      <c r="B907" s="57" t="n">
        <f aca="false">1+B906</f>
        <v>1.06</v>
      </c>
      <c r="C907" s="57" t="n">
        <f aca="false">B907*(1+C906)</f>
        <v>1.113</v>
      </c>
      <c r="D907" s="57" t="n">
        <f aca="false">C907*(1+D906)</f>
        <v>1.163085</v>
      </c>
      <c r="E907" s="57" t="n">
        <f aca="false">D907*(1+E906)</f>
        <v>1.2096084</v>
      </c>
      <c r="F907" s="57" t="n">
        <f aca="false">E907*(1+F906)</f>
        <v>1.257992736</v>
      </c>
      <c r="G907" s="57" t="n">
        <f aca="false">F907*(1+G906)</f>
        <v>1.30831244544</v>
      </c>
      <c r="H907" s="57" t="n">
        <f aca="false">G907*(1+H906)</f>
        <v>1.3606449432576</v>
      </c>
      <c r="I907" s="57" t="n">
        <f aca="false">H907*(1+I906)</f>
        <v>1.4150707409879</v>
      </c>
      <c r="J907" s="57" t="n">
        <f aca="false">I907*(1+J906)</f>
        <v>1.47167357062742</v>
      </c>
      <c r="K907" s="57" t="n">
        <f aca="false">J907*(1+K906)</f>
        <v>1.53054051345252</v>
      </c>
      <c r="L907" s="57" t="n">
        <f aca="false">K907*(1+L906)</f>
        <v>1.59176213399062</v>
      </c>
    </row>
    <row r="908" customFormat="false" ht="15" hidden="true" customHeight="false" outlineLevel="1" collapsed="false">
      <c r="A908" s="9" t="s">
        <v>407</v>
      </c>
      <c r="B908" s="57" t="n">
        <f aca="false">(1+$V$16)/(1+B906)</f>
        <v>1.02358490566038</v>
      </c>
      <c r="C908" s="57" t="n">
        <f aca="false">B908*(1+Entorno!$B$13)</f>
        <v>1.02870283018868</v>
      </c>
      <c r="D908" s="57" t="n">
        <f aca="false">C908*(1+Entorno!$B$13)</f>
        <v>1.03384634433962</v>
      </c>
      <c r="E908" s="57" t="n">
        <f aca="false">D908*(1+Entorno!$B$13)</f>
        <v>1.03901557606132</v>
      </c>
      <c r="F908" s="57" t="n">
        <f aca="false">E908*(1+Entorno!$B$13)</f>
        <v>1.04421065394163</v>
      </c>
      <c r="G908" s="57" t="n">
        <f aca="false">F908*(1+Entorno!$B$13)</f>
        <v>1.04943170721133</v>
      </c>
      <c r="H908" s="57" t="n">
        <f aca="false">G908*(1+Entorno!$B$13)</f>
        <v>1.05467886574739</v>
      </c>
      <c r="I908" s="57" t="n">
        <f aca="false">H908*(1+Entorno!$B$13)</f>
        <v>1.05995226007613</v>
      </c>
      <c r="J908" s="57" t="n">
        <f aca="false">I908*(1+Entorno!$B$13)</f>
        <v>1.06525202137651</v>
      </c>
      <c r="K908" s="57" t="n">
        <f aca="false">J908*(1+Entorno!$B$13)</f>
        <v>1.07057828148339</v>
      </c>
      <c r="L908" s="57" t="n">
        <f aca="false">K908*(1+Entorno!$B$13)</f>
        <v>1.07593117289081</v>
      </c>
    </row>
    <row r="909" customFormat="false" ht="15" hidden="true" customHeight="false" outlineLevel="1" collapsed="false">
      <c r="A909" s="9" t="s">
        <v>408</v>
      </c>
      <c r="B909" s="57" t="n">
        <f aca="false">1/B907</f>
        <v>0.943396226415094</v>
      </c>
      <c r="C909" s="57" t="n">
        <f aca="false">1/C907</f>
        <v>0.898472596585804</v>
      </c>
      <c r="D909" s="57" t="n">
        <f aca="false">1/D907</f>
        <v>0.859782389077324</v>
      </c>
      <c r="E909" s="57" t="n">
        <f aca="false">1/E907</f>
        <v>0.826713835651273</v>
      </c>
      <c r="F909" s="57" t="n">
        <f aca="false">1/F907</f>
        <v>0.794917149664686</v>
      </c>
      <c r="G909" s="57" t="n">
        <f aca="false">1/G907</f>
        <v>0.764343413139121</v>
      </c>
      <c r="H909" s="57" t="n">
        <f aca="false">1/H907</f>
        <v>0.734945589556847</v>
      </c>
      <c r="I909" s="57" t="n">
        <f aca="false">1/I907</f>
        <v>0.706678451496968</v>
      </c>
      <c r="J909" s="57" t="n">
        <f aca="false">1/J907</f>
        <v>0.679498511054777</v>
      </c>
      <c r="K909" s="57" t="n">
        <f aca="false">1/K907</f>
        <v>0.653363952937286</v>
      </c>
      <c r="L909" s="57" t="n">
        <f aca="false">1/L907</f>
        <v>0.628234570132006</v>
      </c>
    </row>
    <row r="910" customFormat="false" ht="15" hidden="true" customHeight="false" outlineLevel="1" collapsed="false">
      <c r="A910" s="6" t="s">
        <v>323</v>
      </c>
      <c r="B910" s="29" t="n">
        <f aca="false">IF(B$43=0,Quesería!$F$92,IF(B$43=1,Quesería!$F$93*$V$21,0))*$V$11</f>
        <v>1116.96028731801</v>
      </c>
      <c r="C910" s="29" t="n">
        <f aca="false">IF(C$43=0,Quesería!$F$92,IF(C$43=1,Quesería!$F$93*$V$21,0))*$V$11</f>
        <v>910.162880009398</v>
      </c>
      <c r="D910" s="29" t="n">
        <f aca="false">IF(D$43=0,Quesería!$F$92,IF(D$43=1,Quesería!$F$93*$V$21,0))*$V$11</f>
        <v>0</v>
      </c>
      <c r="E910" s="29" t="n">
        <f aca="false">IF(E$43=0,Quesería!$F$92,IF(E$43=1,Quesería!$F$93*$V$21,0))*$V$11</f>
        <v>0</v>
      </c>
      <c r="F910" s="29" t="n">
        <f aca="false">IF(F$43=0,Quesería!$F$92,IF(F$43=1,Quesería!$F$93*$V$21,0))*$V$11</f>
        <v>0</v>
      </c>
      <c r="G910" s="29" t="n">
        <f aca="false">IF(G$43=0,Quesería!$F$92,IF(G$43=1,Quesería!$F$93*$V$21,0))*$V$11</f>
        <v>0</v>
      </c>
      <c r="H910" s="29" t="n">
        <f aca="false">IF(H$43=0,Quesería!$F$92,IF(H$43=1,Quesería!$F$93*$V$21,0))*$V$11</f>
        <v>0</v>
      </c>
      <c r="I910" s="29" t="n">
        <f aca="false">IF(I$43=0,Quesería!$F$92,IF(I$43=1,Quesería!$F$93*$V$21,0))*$V$11</f>
        <v>0</v>
      </c>
      <c r="J910" s="29" t="n">
        <f aca="false">IF(J$43=0,Quesería!$F$92,IF(J$43=1,Quesería!$F$93*$V$21,0))*$V$11</f>
        <v>0</v>
      </c>
      <c r="K910" s="29" t="n">
        <f aca="false">IF(K$43=0,Quesería!$F$92,IF(K$43=1,Quesería!$F$93*$V$21,0))*$V$11</f>
        <v>0</v>
      </c>
      <c r="L910" s="29" t="n">
        <f aca="false">IF(L$43=0,Quesería!$F$92,IF(L$43=1,Quesería!$F$93*$V$21,0))*$V$11</f>
        <v>0</v>
      </c>
    </row>
    <row r="911" customFormat="false" ht="15" hidden="true" customHeight="false" outlineLevel="1" collapsed="false">
      <c r="A911" s="6" t="s">
        <v>409</v>
      </c>
      <c r="B911" s="29" t="n">
        <f aca="false">IF(B$43=5,Quesería!$F$99,IF(B$43=6,Quesería!$F$100,0))*$V$11</f>
        <v>0</v>
      </c>
      <c r="C911" s="29" t="n">
        <f aca="false">IF(C$43=5,Quesería!$F$99,IF(C$43=6,Quesería!$F$100,0))*$V$11</f>
        <v>0</v>
      </c>
      <c r="D911" s="29" t="n">
        <f aca="false">IF(D$43=5,Quesería!$F$99,IF(D$43=6,Quesería!$F$100,0))*$V$11</f>
        <v>0</v>
      </c>
      <c r="E911" s="29" t="n">
        <f aca="false">IF(E$43=5,Quesería!$F$99,IF(E$43=6,Quesería!$F$100,0))*$V$11</f>
        <v>0</v>
      </c>
      <c r="F911" s="29" t="n">
        <f aca="false">IF(F$43=5,Quesería!$F$99,IF(F$43=6,Quesería!$F$100,0))*$V$11</f>
        <v>0</v>
      </c>
      <c r="G911" s="29" t="n">
        <f aca="false">IF(G$43=5,Quesería!$F$99,IF(G$43=6,Quesería!$F$100,0))*$V$11</f>
        <v>32.9582607226482</v>
      </c>
      <c r="H911" s="29" t="n">
        <f aca="false">IF(H$43=5,Quesería!$F$99,IF(H$43=6,Quesería!$F$100,0))*$V$11</f>
        <v>55.6669868531463</v>
      </c>
      <c r="I911" s="29" t="n">
        <f aca="false">IF(I$43=5,Quesería!$F$99,IF(I$43=6,Quesería!$F$100,0))*$V$11</f>
        <v>0</v>
      </c>
      <c r="J911" s="29" t="n">
        <f aca="false">IF(J$43=5,Quesería!$F$99,IF(J$43=6,Quesería!$F$100,0))*$V$11</f>
        <v>0</v>
      </c>
      <c r="K911" s="29" t="n">
        <f aca="false">IF(K$43=5,Quesería!$F$99,IF(K$43=6,Quesería!$F$100,0))*$V$11</f>
        <v>0</v>
      </c>
      <c r="L911" s="29" t="n">
        <f aca="false">IF(L$43=5,Quesería!$F$99,IF(L$43=6,Quesería!$F$100,0))*$V$11</f>
        <v>0</v>
      </c>
    </row>
    <row r="912" customFormat="false" ht="15" hidden="true" customHeight="false" outlineLevel="1" collapsed="false">
      <c r="A912" s="6" t="s">
        <v>410</v>
      </c>
      <c r="B912" s="29" t="n">
        <f aca="false">Quesería!$B$55*(IF(B$43=0,SUMPRODUCT((Quesería!$C$70:$C$89=0)*(Quesería!$H$70:$H$89&gt;0)*(Quesería!$J$70:$J$89&gt;0)*Quesería!$F$70:$F$89*(1+Quesería!$I$70:$I$89)),IF(B$43=1,SUMPRODUCT((Quesería!$C$70:$C$89=1)*(Quesería!$H$70:$H$89&gt;0)*(Quesería!$J$70:$J$89&gt;0)*Quesería!$F$70:$F$89*(1+Quesería!$I$70:$I$89))*$V$21,0))*$V$11+B911)</f>
        <v>178.938805872213</v>
      </c>
      <c r="C912" s="29" t="n">
        <f aca="false">Quesería!$B$55*(IF(C$43=0,SUMPRODUCT((Quesería!$C$70:$C$89=0)*(Quesería!$H$70:$H$89&gt;0)*(Quesería!$J$70:$J$89&gt;0)*Quesería!$F$70:$F$89*(1+Quesería!$I$70:$I$89)),IF(C$43=1,SUMPRODUCT((Quesería!$C$70:$C$89=1)*(Quesería!$H$70:$H$89&gt;0)*(Quesería!$J$70:$J$89&gt;0)*Quesería!$F$70:$F$89*(1+Quesería!$I$70:$I$89))*$V$21,0))*$V$11+C911)</f>
        <v>172.930947201786</v>
      </c>
      <c r="D912" s="29" t="n">
        <f aca="false">Quesería!$B$55*(IF(D$43=0,SUMPRODUCT((Quesería!$C$70:$C$89=0)*(Quesería!$H$70:$H$89&gt;0)*(Quesería!$J$70:$J$89&gt;0)*Quesería!$F$70:$F$89*(1+Quesería!$I$70:$I$89)),IF(D$43=1,SUMPRODUCT((Quesería!$C$70:$C$89=1)*(Quesería!$H$70:$H$89&gt;0)*(Quesería!$J$70:$J$89&gt;0)*Quesería!$F$70:$F$89*(1+Quesería!$I$70:$I$89))*$V$21,0))*$V$11+D911)</f>
        <v>0</v>
      </c>
      <c r="E912" s="29" t="n">
        <f aca="false">Quesería!$B$55*(IF(E$43=0,SUMPRODUCT((Quesería!$C$70:$C$89=0)*(Quesería!$H$70:$H$89&gt;0)*(Quesería!$J$70:$J$89&gt;0)*Quesería!$F$70:$F$89*(1+Quesería!$I$70:$I$89)),IF(E$43=1,SUMPRODUCT((Quesería!$C$70:$C$89=1)*(Quesería!$H$70:$H$89&gt;0)*(Quesería!$J$70:$J$89&gt;0)*Quesería!$F$70:$F$89*(1+Quesería!$I$70:$I$89))*$V$21,0))*$V$11+E911)</f>
        <v>0</v>
      </c>
      <c r="F912" s="29" t="n">
        <f aca="false">Quesería!$B$55*(IF(F$43=0,SUMPRODUCT((Quesería!$C$70:$C$89=0)*(Quesería!$H$70:$H$89&gt;0)*(Quesería!$J$70:$J$89&gt;0)*Quesería!$F$70:$F$89*(1+Quesería!$I$70:$I$89)),IF(F$43=1,SUMPRODUCT((Quesería!$C$70:$C$89=1)*(Quesería!$H$70:$H$89&gt;0)*(Quesería!$J$70:$J$89&gt;0)*Quesería!$F$70:$F$89*(1+Quesería!$I$70:$I$89))*$V$21,0))*$V$11+F911)</f>
        <v>0</v>
      </c>
      <c r="G912" s="29" t="n">
        <f aca="false">Quesería!$B$55*(IF(G$43=0,SUMPRODUCT((Quesería!$C$70:$C$89=0)*(Quesería!$H$70:$H$89&gt;0)*(Quesería!$J$70:$J$89&gt;0)*Quesería!$F$70:$F$89*(1+Quesería!$I$70:$I$89)),IF(G$43=1,SUMPRODUCT((Quesería!$C$70:$C$89=1)*(Quesería!$H$70:$H$89&gt;0)*(Quesería!$J$70:$J$89&gt;0)*Quesería!$F$70:$F$89*(1+Quesería!$I$70:$I$89))*$V$21,0))*$V$11+G911)</f>
        <v>6.26206953730317</v>
      </c>
      <c r="H912" s="29" t="n">
        <f aca="false">Quesería!$B$55*(IF(H$43=0,SUMPRODUCT((Quesería!$C$70:$C$89=0)*(Quesería!$H$70:$H$89&gt;0)*(Quesería!$J$70:$J$89&gt;0)*Quesería!$F$70:$F$89*(1+Quesería!$I$70:$I$89)),IF(H$43=1,SUMPRODUCT((Quesería!$C$70:$C$89=1)*(Quesería!$H$70:$H$89&gt;0)*(Quesería!$J$70:$J$89&gt;0)*Quesería!$F$70:$F$89*(1+Quesería!$I$70:$I$89))*$V$21,0))*$V$11+H911)</f>
        <v>10.5767275020978</v>
      </c>
      <c r="I912" s="29" t="n">
        <f aca="false">Quesería!$B$55*(IF(I$43=0,SUMPRODUCT((Quesería!$C$70:$C$89=0)*(Quesería!$H$70:$H$89&gt;0)*(Quesería!$J$70:$J$89&gt;0)*Quesería!$F$70:$F$89*(1+Quesería!$I$70:$I$89)),IF(I$43=1,SUMPRODUCT((Quesería!$C$70:$C$89=1)*(Quesería!$H$70:$H$89&gt;0)*(Quesería!$J$70:$J$89&gt;0)*Quesería!$F$70:$F$89*(1+Quesería!$I$70:$I$89))*$V$21,0))*$V$11+I911)</f>
        <v>0</v>
      </c>
      <c r="J912" s="29" t="n">
        <f aca="false">Quesería!$B$55*(IF(J$43=0,SUMPRODUCT((Quesería!$C$70:$C$89=0)*(Quesería!$H$70:$H$89&gt;0)*(Quesería!$J$70:$J$89&gt;0)*Quesería!$F$70:$F$89*(1+Quesería!$I$70:$I$89)),IF(J$43=1,SUMPRODUCT((Quesería!$C$70:$C$89=1)*(Quesería!$H$70:$H$89&gt;0)*(Quesería!$J$70:$J$89&gt;0)*Quesería!$F$70:$F$89*(1+Quesería!$I$70:$I$89))*$V$21,0))*$V$11+J911)</f>
        <v>0</v>
      </c>
      <c r="K912" s="29" t="n">
        <f aca="false">Quesería!$B$55*(IF(K$43=0,SUMPRODUCT((Quesería!$C$70:$C$89=0)*(Quesería!$H$70:$H$89&gt;0)*(Quesería!$J$70:$J$89&gt;0)*Quesería!$F$70:$F$89*(1+Quesería!$I$70:$I$89)),IF(K$43=1,SUMPRODUCT((Quesería!$C$70:$C$89=1)*(Quesería!$H$70:$H$89&gt;0)*(Quesería!$J$70:$J$89&gt;0)*Quesería!$F$70:$F$89*(1+Quesería!$I$70:$I$89))*$V$21,0))*$V$11+K911)</f>
        <v>0</v>
      </c>
      <c r="L912" s="29" t="n">
        <f aca="false">Quesería!$B$55*(IF(L$43=0,SUMPRODUCT((Quesería!$C$70:$C$89=0)*(Quesería!$H$70:$H$89&gt;0)*(Quesería!$J$70:$J$89&gt;0)*Quesería!$F$70:$F$89*(1+Quesería!$I$70:$I$89)),IF(L$43=1,SUMPRODUCT((Quesería!$C$70:$C$89=1)*(Quesería!$H$70:$H$89&gt;0)*(Quesería!$J$70:$J$89&gt;0)*Quesería!$F$70:$F$89*(1+Quesería!$I$70:$I$89))*$V$21,0))*$V$11+L911)</f>
        <v>0</v>
      </c>
    </row>
    <row r="913" customFormat="false" ht="15" hidden="true" customHeight="false" outlineLevel="1" collapsed="false">
      <c r="A913" s="6" t="s">
        <v>385</v>
      </c>
      <c r="B913" s="29" t="n">
        <f aca="false">IF(B$43=0,($V$22*Quesería!$J$125+(1-$V$22)*Quesería!$E$121)*Quesería!$B$20*Quesería!$B$21/12*$V$23,(($V$22*Quesería!$J$125+(1-$V$22)*Quesería!$E$121)+($V$22*Quesería!$J$104+(1-$V$22)*Quesería!$E$104)*(B908-1))*IF(B$43=1,Quesería!$B$20,1))*$V$10</f>
        <v>96.5734178089624</v>
      </c>
      <c r="C913" s="29" t="n">
        <f aca="false">IF(C$43=0,($V$22*Quesería!$J$125+(1-$V$22)*Quesería!$E$121)*Quesería!$B$20*Quesería!$B$21/12*$V$23,(($V$22*Quesería!$J$125+(1-$V$22)*Quesería!$E$121)+($V$22*Quesería!$J$104+(1-$V$22)*Quesería!$E$104)*(C908-1))*IF(C$43=1,Quesería!$B$20,1))*$V$10</f>
        <v>145.062653883255</v>
      </c>
      <c r="D913" s="29" t="n">
        <f aca="false">IF(D$43=0,($V$22*Quesería!$J$125+(1-$V$22)*Quesería!$E$121)*Quesería!$B$20*Quesería!$B$21/12*$V$23,(($V$22*Quesería!$J$125+(1-$V$22)*Quesería!$E$121)+($V$22*Quesería!$J$104+(1-$V$22)*Quesería!$E$104)*(D908-1))*IF(D$43=1,Quesería!$B$20,1))*$V$10</f>
        <v>193.465262025472</v>
      </c>
      <c r="E913" s="29" t="n">
        <f aca="false">IF(E$43=0,($V$22*Quesería!$J$125+(1-$V$22)*Quesería!$E$121)*Quesería!$B$20*Quesería!$B$21/12*$V$23,(($V$22*Quesería!$J$125+(1-$V$22)*Quesería!$E$121)+($V$22*Quesería!$J$104+(1-$V$22)*Quesería!$E$104)*(E908-1))*IF(E$43=1,Quesería!$B$20,1))*$V$10</f>
        <v>193.51389415751</v>
      </c>
      <c r="F913" s="29" t="n">
        <f aca="false">IF(F$43=0,($V$22*Quesería!$J$125+(1-$V$22)*Quesería!$E$121)*Quesería!$B$20*Quesería!$B$21/12*$V$23,(($V$22*Quesería!$J$125+(1-$V$22)*Quesería!$E$121)+($V$22*Quesería!$J$104+(1-$V$22)*Quesería!$E$104)*(F908-1))*IF(F$43=1,Quesería!$B$20,1))*$V$10</f>
        <v>193.562769450208</v>
      </c>
      <c r="G913" s="29" t="n">
        <f aca="false">IF(G$43=0,($V$22*Quesería!$J$125+(1-$V$22)*Quesería!$E$121)*Quesería!$B$20*Quesería!$B$21/12*$V$23,(($V$22*Quesería!$J$125+(1-$V$22)*Quesería!$E$121)+($V$22*Quesería!$J$104+(1-$V$22)*Quesería!$E$104)*(G908-1))*IF(G$43=1,Quesería!$B$20,1))*$V$10</f>
        <v>193.611889119369</v>
      </c>
      <c r="H913" s="29" t="n">
        <f aca="false">IF(H$43=0,($V$22*Quesería!$J$125+(1-$V$22)*Quesería!$E$121)*Quesería!$B$20*Quesería!$B$21/12*$V$23,(($V$22*Quesería!$J$125+(1-$V$22)*Quesería!$E$121)+($V$22*Quesería!$J$104+(1-$V$22)*Quesería!$E$104)*(H908-1))*IF(H$43=1,Quesería!$B$20,1))*$V$10</f>
        <v>193.661254386876</v>
      </c>
      <c r="I913" s="29" t="n">
        <f aca="false">IF(I$43=0,($V$22*Quesería!$J$125+(1-$V$22)*Quesería!$E$121)*Quesería!$B$20*Quesería!$B$21/12*$V$23,(($V$22*Quesería!$J$125+(1-$V$22)*Quesería!$E$121)+($V$22*Quesería!$J$104+(1-$V$22)*Quesería!$E$104)*(I908-1))*IF(I$43=1,Quesería!$B$20,1))*$V$10</f>
        <v>193.710866480721</v>
      </c>
      <c r="J913" s="29" t="n">
        <f aca="false">IF(J$43=0,($V$22*Quesería!$J$125+(1-$V$22)*Quesería!$E$121)*Quesería!$B$20*Quesería!$B$21/12*$V$23,(($V$22*Quesería!$J$125+(1-$V$22)*Quesería!$E$121)+($V$22*Quesería!$J$104+(1-$V$22)*Quesería!$E$104)*(J908-1))*IF(J$43=1,Quesería!$B$20,1))*$V$10</f>
        <v>193.760726635035</v>
      </c>
      <c r="K913" s="29" t="n">
        <f aca="false">IF(K$43=0,($V$22*Quesería!$J$125+(1-$V$22)*Quesería!$E$121)*Quesería!$B$20*Quesería!$B$21/12*$V$23,(($V$22*Quesería!$J$125+(1-$V$22)*Quesería!$E$121)+($V$22*Quesería!$J$104+(1-$V$22)*Quesería!$E$104)*(K908-1))*IF(K$43=1,Quesería!$B$20,1))*$V$10</f>
        <v>193.810836090121</v>
      </c>
      <c r="L913" s="29" t="n">
        <f aca="false">IF(L$43=0,($V$22*Quesería!$J$125+(1-$V$22)*Quesería!$E$121)*Quesería!$B$20*Quesería!$B$21/12*$V$23,(($V$22*Quesería!$J$125+(1-$V$22)*Quesería!$E$121)+($V$22*Quesería!$J$104+(1-$V$22)*Quesería!$E$104)*(L908-1))*IF(L$43=1,Quesería!$B$20,1))*$V$10</f>
        <v>193.861196092482</v>
      </c>
    </row>
    <row r="914" customFormat="false" ht="15" hidden="true" customHeight="false" outlineLevel="1" collapsed="false">
      <c r="A914" s="6" t="s">
        <v>386</v>
      </c>
      <c r="B914" s="29" t="n">
        <f aca="false">IF(B$43&lt;=1,0,((($V$22*Quesería!$J$126+(1-$V$22)*Quesería!$E$122)-($V$22*Quesería!$J$113+(1-$V$22)*Quesería!$E$113)+$V$6*($V$22*Quesería!$J$113+(1-$V$22)*Quesería!$E$113)-(1-$V$9)*(($V$22*Quesería!$J$118+(1-$V$22)*Quesería!$E$118)+($V$22*Quesería!$J$117+(1-$V$22)*Quesería!$E$117)))+($V$6*($V$22*Quesería!$J$113+(1-$V$22)*Quesería!$E$113)+$V$9*($V$22*Quesería!$J$118+(1-$V$22)*Quesería!$E$118))*(B908-1))*IF(B$43=2,Quesería!$B$20,1)+IF(B$43=2,Quesería!$B$24*$V$9*($V$22*Quesería!$J$118+(1-$V$22)*Quesería!$E$118)*B908,0))*$V$10*$V$21</f>
        <v>0</v>
      </c>
      <c r="C914" s="29" t="n">
        <f aca="false">IF(C$43&lt;=1,0,((($V$22*Quesería!$J$126+(1-$V$22)*Quesería!$E$122)-($V$22*Quesería!$J$113+(1-$V$22)*Quesería!$E$113)+$V$6*($V$22*Quesería!$J$113+(1-$V$22)*Quesería!$E$113)-(1-$V$9)*(($V$22*Quesería!$J$118+(1-$V$22)*Quesería!$E$118)+($V$22*Quesería!$J$117+(1-$V$22)*Quesería!$E$117)))+($V$6*($V$22*Quesería!$J$113+(1-$V$22)*Quesería!$E$113)+$V$9*($V$22*Quesería!$J$118+(1-$V$22)*Quesería!$E$118))*(C908-1))*IF(C$43=2,Quesería!$B$20,1)+IF(C$43=2,Quesería!$B$24*$V$9*($V$22*Quesería!$J$118+(1-$V$22)*Quesería!$E$118)*C908,0))*$V$10*$V$21</f>
        <v>0</v>
      </c>
      <c r="D914" s="29" t="n">
        <f aca="false">IF(D$43&lt;=1,0,((($V$22*Quesería!$J$126+(1-$V$22)*Quesería!$E$122)-($V$22*Quesería!$J$113+(1-$V$22)*Quesería!$E$113)+$V$6*($V$22*Quesería!$J$113+(1-$V$22)*Quesería!$E$113)-(1-$V$9)*(($V$22*Quesería!$J$118+(1-$V$22)*Quesería!$E$118)+($V$22*Quesería!$J$117+(1-$V$22)*Quesería!$E$117)))+($V$6*($V$22*Quesería!$J$113+(1-$V$22)*Quesería!$E$113)+$V$9*($V$22*Quesería!$J$118+(1-$V$22)*Quesería!$E$118))*(D908-1))*IF(D$43=2,Quesería!$B$20,1)+IF(D$43=2,Quesería!$B$24*$V$9*($V$22*Quesería!$J$118+(1-$V$22)*Quesería!$E$118)*D908,0))*$V$10*$V$21</f>
        <v>188.161204494889</v>
      </c>
      <c r="E914" s="29" t="n">
        <f aca="false">IF(E$43&lt;=1,0,((($V$22*Quesería!$J$126+(1-$V$22)*Quesería!$E$122)-($V$22*Quesería!$J$113+(1-$V$22)*Quesería!$E$113)+$V$6*($V$22*Quesería!$J$113+(1-$V$22)*Quesería!$E$113)-(1-$V$9)*(($V$22*Quesería!$J$118+(1-$V$22)*Quesería!$E$118)+($V$22*Quesería!$J$117+(1-$V$22)*Quesería!$E$117)))+($V$6*($V$22*Quesería!$J$113+(1-$V$22)*Quesería!$E$113)+$V$9*($V$22*Quesería!$J$118+(1-$V$22)*Quesería!$E$118))*(E908-1))*IF(E$43=2,Quesería!$B$20,1)+IF(E$43=2,Quesería!$B$24*$V$9*($V$22*Quesería!$J$118+(1-$V$22)*Quesería!$E$118)*E908,0))*$V$10*$V$21</f>
        <v>239.169202112016</v>
      </c>
      <c r="F914" s="29" t="n">
        <f aca="false">IF(F$43&lt;=1,0,((($V$22*Quesería!$J$126+(1-$V$22)*Quesería!$E$122)-($V$22*Quesería!$J$113+(1-$V$22)*Quesería!$E$113)+$V$6*($V$22*Quesería!$J$113+(1-$V$22)*Quesería!$E$113)-(1-$V$9)*(($V$22*Quesería!$J$118+(1-$V$22)*Quesería!$E$118)+($V$22*Quesería!$J$117+(1-$V$22)*Quesería!$E$117)))+($V$6*($V$22*Quesería!$J$113+(1-$V$22)*Quesería!$E$113)+$V$9*($V$22*Quesería!$J$118+(1-$V$22)*Quesería!$E$118))*(F908-1))*IF(F$43=2,Quesería!$B$20,1)+IF(F$43=2,Quesería!$B$24*$V$9*($V$22*Quesería!$J$118+(1-$V$22)*Quesería!$E$118)*F908,0))*$V$10*$V$21</f>
        <v>239.367695647666</v>
      </c>
      <c r="G914" s="29" t="n">
        <f aca="false">IF(G$43&lt;=1,0,((($V$22*Quesería!$J$126+(1-$V$22)*Quesería!$E$122)-($V$22*Quesería!$J$113+(1-$V$22)*Quesería!$E$113)+$V$6*($V$22*Quesería!$J$113+(1-$V$22)*Quesería!$E$113)-(1-$V$9)*(($V$22*Quesería!$J$118+(1-$V$22)*Quesería!$E$118)+($V$22*Quesería!$J$117+(1-$V$22)*Quesería!$E$117)))+($V$6*($V$22*Quesería!$J$113+(1-$V$22)*Quesería!$E$113)+$V$9*($V$22*Quesería!$J$118+(1-$V$22)*Quesería!$E$118))*(G908-1))*IF(G$43=2,Quesería!$B$20,1)+IF(G$43=2,Quesería!$B$24*$V$9*($V$22*Quesería!$J$118+(1-$V$22)*Quesería!$E$118)*G908,0))*$V$10*$V$21</f>
        <v>239.567181650995</v>
      </c>
      <c r="H914" s="29" t="n">
        <f aca="false">IF(H$43&lt;=1,0,((($V$22*Quesería!$J$126+(1-$V$22)*Quesería!$E$122)-($V$22*Quesería!$J$113+(1-$V$22)*Quesería!$E$113)+$V$6*($V$22*Quesería!$J$113+(1-$V$22)*Quesería!$E$113)-(1-$V$9)*(($V$22*Quesería!$J$118+(1-$V$22)*Quesería!$E$118)+($V$22*Quesería!$J$117+(1-$V$22)*Quesería!$E$117)))+($V$6*($V$22*Quesería!$J$113+(1-$V$22)*Quesería!$E$113)+$V$9*($V$22*Quesería!$J$118+(1-$V$22)*Quesería!$E$118))*(H908-1))*IF(H$43=2,Quesería!$B$20,1)+IF(H$43=2,Quesería!$B$24*$V$9*($V$22*Quesería!$J$118+(1-$V$22)*Quesería!$E$118)*H908,0))*$V$10*$V$21</f>
        <v>239.767665084341</v>
      </c>
      <c r="I914" s="29" t="n">
        <f aca="false">IF(I$43&lt;=1,0,((($V$22*Quesería!$J$126+(1-$V$22)*Quesería!$E$122)-($V$22*Quesería!$J$113+(1-$V$22)*Quesería!$E$113)+$V$6*($V$22*Quesería!$J$113+(1-$V$22)*Quesería!$E$113)-(1-$V$9)*(($V$22*Quesería!$J$118+(1-$V$22)*Quesería!$E$118)+($V$22*Quesería!$J$117+(1-$V$22)*Quesería!$E$117)))+($V$6*($V$22*Quesería!$J$113+(1-$V$22)*Quesería!$E$113)+$V$9*($V$22*Quesería!$J$118+(1-$V$22)*Quesería!$E$118))*(I908-1))*IF(I$43=2,Quesería!$B$20,1)+IF(I$43=2,Quesería!$B$24*$V$9*($V$22*Quesería!$J$118+(1-$V$22)*Quesería!$E$118)*I908,0))*$V$10*$V$21</f>
        <v>239.969150934853</v>
      </c>
      <c r="J914" s="29" t="n">
        <f aca="false">IF(J$43&lt;=1,0,((($V$22*Quesería!$J$126+(1-$V$22)*Quesería!$E$122)-($V$22*Quesería!$J$113+(1-$V$22)*Quesería!$E$113)+$V$6*($V$22*Quesería!$J$113+(1-$V$22)*Quesería!$E$113)-(1-$V$9)*(($V$22*Quesería!$J$118+(1-$V$22)*Quesería!$E$118)+($V$22*Quesería!$J$117+(1-$V$22)*Quesería!$E$117)))+($V$6*($V$22*Quesería!$J$113+(1-$V$22)*Quesería!$E$113)+$V$9*($V$22*Quesería!$J$118+(1-$V$22)*Quesería!$E$118))*(J908-1))*IF(J$43=2,Quesería!$B$20,1)+IF(J$43=2,Quesería!$B$24*$V$9*($V$22*Quesería!$J$118+(1-$V$22)*Quesería!$E$118)*J908,0))*$V$10*$V$21</f>
        <v>240.171644214618</v>
      </c>
      <c r="K914" s="29" t="n">
        <f aca="false">IF(K$43&lt;=1,0,((($V$22*Quesería!$J$126+(1-$V$22)*Quesería!$E$122)-($V$22*Quesería!$J$113+(1-$V$22)*Quesería!$E$113)+$V$6*($V$22*Quesería!$J$113+(1-$V$22)*Quesería!$E$113)-(1-$V$9)*(($V$22*Quesería!$J$118+(1-$V$22)*Quesería!$E$118)+($V$22*Quesería!$J$117+(1-$V$22)*Quesería!$E$117)))+($V$6*($V$22*Quesería!$J$113+(1-$V$22)*Quesería!$E$113)+$V$9*($V$22*Quesería!$J$118+(1-$V$22)*Quesería!$E$118))*(K908-1))*IF(K$43=2,Quesería!$B$20,1)+IF(K$43=2,Quesería!$B$24*$V$9*($V$22*Quesería!$J$118+(1-$V$22)*Quesería!$E$118)*K908,0))*$V$10*$V$21</f>
        <v>240.375149960782</v>
      </c>
      <c r="L914" s="29" t="n">
        <f aca="false">IF(L$43&lt;=1,0,((($V$22*Quesería!$J$126+(1-$V$22)*Quesería!$E$122)-($V$22*Quesería!$J$113+(1-$V$22)*Quesería!$E$113)+$V$6*($V$22*Quesería!$J$113+(1-$V$22)*Quesería!$E$113)-(1-$V$9)*(($V$22*Quesería!$J$118+(1-$V$22)*Quesería!$E$118)+($V$22*Quesería!$J$117+(1-$V$22)*Quesería!$E$117)))+($V$6*($V$22*Quesería!$J$113+(1-$V$22)*Quesería!$E$113)+$V$9*($V$22*Quesería!$J$118+(1-$V$22)*Quesería!$E$118))*(L908-1))*IF(L$43=2,Quesería!$B$20,1)+IF(L$43=2,Quesería!$B$24*$V$9*($V$22*Quesería!$J$118+(1-$V$22)*Quesería!$E$118)*L908,0))*$V$10*$V$21</f>
        <v>240.579673235677</v>
      </c>
    </row>
    <row r="915" customFormat="false" ht="15" hidden="true" customHeight="false" outlineLevel="1" collapsed="false">
      <c r="A915" s="5" t="s">
        <v>411</v>
      </c>
      <c r="B915" s="10" t="n">
        <f aca="false">B913+B914</f>
        <v>96.5734178089624</v>
      </c>
      <c r="C915" s="10" t="n">
        <f aca="false">C913+C914</f>
        <v>145.062653883255</v>
      </c>
      <c r="D915" s="10" t="n">
        <f aca="false">D913+D914</f>
        <v>381.626466520361</v>
      </c>
      <c r="E915" s="10" t="n">
        <f aca="false">E913+E914</f>
        <v>432.683096269525</v>
      </c>
      <c r="F915" s="10" t="n">
        <f aca="false">F913+F914</f>
        <v>432.930465097874</v>
      </c>
      <c r="G915" s="10" t="n">
        <f aca="false">G913+G914</f>
        <v>433.179070770364</v>
      </c>
      <c r="H915" s="10" t="n">
        <f aca="false">H913+H914</f>
        <v>433.428919471217</v>
      </c>
      <c r="I915" s="10" t="n">
        <f aca="false">I913+I914</f>
        <v>433.680017415574</v>
      </c>
      <c r="J915" s="10" t="n">
        <f aca="false">J913+J914</f>
        <v>433.932370849653</v>
      </c>
      <c r="K915" s="10" t="n">
        <f aca="false">K913+K914</f>
        <v>434.185986050903</v>
      </c>
      <c r="L915" s="10" t="n">
        <f aca="false">L913+L914</f>
        <v>434.440869328158</v>
      </c>
    </row>
    <row r="916" customFormat="false" ht="15" hidden="true" customHeight="false" outlineLevel="1" collapsed="false">
      <c r="A916" s="6" t="s">
        <v>412</v>
      </c>
      <c r="B916" s="29" t="n">
        <f aca="false">(IF(B$43&gt;=1,(Quesería!$B$31+Quesería!$B$33)*Quesería!$F$94*$V$11+Quesería!$B$32+'Beneficios y costos'!$B$211,0)+IF(B$43&gt;=2,((Quesería!$B$31+Quesería!$B$33)*Quesería!$F$95*$V$11+'Beneficios y costos'!$C$211)*$V$21,0))*$V$12</f>
        <v>0</v>
      </c>
      <c r="C916" s="29" t="n">
        <f aca="false">(IF(C$43&gt;=1,(Quesería!$B$31+Quesería!$B$33)*Quesería!$F$94*$V$11+Quesería!$B$32+'Beneficios y costos'!$B$211,0)+IF(C$43&gt;=2,((Quesería!$B$31+Quesería!$B$33)*Quesería!$F$95*$V$11+'Beneficios y costos'!$C$211)*$V$21,0))*$V$12</f>
        <v>58.6429270014543</v>
      </c>
      <c r="D916" s="29" t="n">
        <f aca="false">(IF(D$43&gt;=1,(Quesería!$B$31+Quesería!$B$33)*Quesería!$F$94*$V$11+Quesería!$B$32+'Beneficios y costos'!$B$211,0)+IF(D$43&gt;=2,((Quesería!$B$31+Quesería!$B$33)*Quesería!$F$95*$V$11+'Beneficios y costos'!$C$211)*$V$21,0))*$V$12</f>
        <v>133.452307936515</v>
      </c>
      <c r="E916" s="29" t="n">
        <f aca="false">(IF(E$43&gt;=1,(Quesería!$B$31+Quesería!$B$33)*Quesería!$F$94*$V$11+Quesería!$B$32+'Beneficios y costos'!$B$211,0)+IF(E$43&gt;=2,((Quesería!$B$31+Quesería!$B$33)*Quesería!$F$95*$V$11+'Beneficios y costos'!$C$211)*$V$21,0))*$V$12</f>
        <v>133.452307936515</v>
      </c>
      <c r="F916" s="29" t="n">
        <f aca="false">(IF(F$43&gt;=1,(Quesería!$B$31+Quesería!$B$33)*Quesería!$F$94*$V$11+Quesería!$B$32+'Beneficios y costos'!$B$211,0)+IF(F$43&gt;=2,((Quesería!$B$31+Quesería!$B$33)*Quesería!$F$95*$V$11+'Beneficios y costos'!$C$211)*$V$21,0))*$V$12</f>
        <v>133.452307936515</v>
      </c>
      <c r="G916" s="29" t="n">
        <f aca="false">(IF(G$43&gt;=1,(Quesería!$B$31+Quesería!$B$33)*Quesería!$F$94*$V$11+Quesería!$B$32+'Beneficios y costos'!$B$211,0)+IF(G$43&gt;=2,((Quesería!$B$31+Quesería!$B$33)*Quesería!$F$95*$V$11+'Beneficios y costos'!$C$211)*$V$21,0))*$V$12</f>
        <v>133.452307936515</v>
      </c>
      <c r="H916" s="29" t="n">
        <f aca="false">(IF(H$43&gt;=1,(Quesería!$B$31+Quesería!$B$33)*Quesería!$F$94*$V$11+Quesería!$B$32+'Beneficios y costos'!$B$211,0)+IF(H$43&gt;=2,((Quesería!$B$31+Quesería!$B$33)*Quesería!$F$95*$V$11+'Beneficios y costos'!$C$211)*$V$21,0))*$V$12</f>
        <v>133.452307936515</v>
      </c>
      <c r="I916" s="29" t="n">
        <f aca="false">(IF(I$43&gt;=1,(Quesería!$B$31+Quesería!$B$33)*Quesería!$F$94*$V$11+Quesería!$B$32+'Beneficios y costos'!$B$211,0)+IF(I$43&gt;=2,((Quesería!$B$31+Quesería!$B$33)*Quesería!$F$95*$V$11+'Beneficios y costos'!$C$211)*$V$21,0))*$V$12</f>
        <v>133.452307936515</v>
      </c>
      <c r="J916" s="29" t="n">
        <f aca="false">(IF(J$43&gt;=1,(Quesería!$B$31+Quesería!$B$33)*Quesería!$F$94*$V$11+Quesería!$B$32+'Beneficios y costos'!$B$211,0)+IF(J$43&gt;=2,((Quesería!$B$31+Quesería!$B$33)*Quesería!$F$95*$V$11+'Beneficios y costos'!$C$211)*$V$21,0))*$V$12</f>
        <v>133.452307936515</v>
      </c>
      <c r="K916" s="29" t="n">
        <f aca="false">(IF(K$43&gt;=1,(Quesería!$B$31+Quesería!$B$33)*Quesería!$F$94*$V$11+Quesería!$B$32+'Beneficios y costos'!$B$211,0)+IF(K$43&gt;=2,((Quesería!$B$31+Quesería!$B$33)*Quesería!$F$95*$V$11+'Beneficios y costos'!$C$211)*$V$21,0))*$V$12</f>
        <v>133.452307936515</v>
      </c>
      <c r="L916" s="29" t="n">
        <f aca="false">(IF(L$43&gt;=1,(Quesería!$B$31+Quesería!$B$33)*Quesería!$F$94*$V$11+Quesería!$B$32+'Beneficios y costos'!$B$211,0)+IF(L$43&gt;=2,((Quesería!$B$31+Quesería!$B$33)*Quesería!$F$95*$V$11+'Beneficios y costos'!$C$211)*$V$21,0))*$V$12</f>
        <v>133.452307936515</v>
      </c>
    </row>
    <row r="917" customFormat="false" ht="15" hidden="true" customHeight="false" outlineLevel="1" collapsed="false">
      <c r="A917" s="6" t="s">
        <v>413</v>
      </c>
      <c r="B917" s="29" t="n">
        <f aca="false">IF(B$43=1,2*Quesería!$B$22*Quesería!$B$23/12*B908,0)*$V$21</f>
        <v>0</v>
      </c>
      <c r="C917" s="29" t="n">
        <f aca="false">IF(C$43=1,2*Quesería!$B$22*Quesería!$B$23/12*C908,0)*$V$21</f>
        <v>18.5166509433962</v>
      </c>
      <c r="D917" s="29" t="n">
        <f aca="false">IF(D$43=1,2*Quesería!$B$22*Quesería!$B$23/12*D908,0)*$V$21</f>
        <v>0</v>
      </c>
      <c r="E917" s="29" t="n">
        <f aca="false">IF(E$43=1,2*Quesería!$B$22*Quesería!$B$23/12*E908,0)*$V$21</f>
        <v>0</v>
      </c>
      <c r="F917" s="29" t="n">
        <f aca="false">IF(F$43=1,2*Quesería!$B$22*Quesería!$B$23/12*F908,0)*$V$21</f>
        <v>0</v>
      </c>
      <c r="G917" s="29" t="n">
        <f aca="false">IF(G$43=1,2*Quesería!$B$22*Quesería!$B$23/12*G908,0)*$V$21</f>
        <v>0</v>
      </c>
      <c r="H917" s="29" t="n">
        <f aca="false">IF(H$43=1,2*Quesería!$B$22*Quesería!$B$23/12*H908,0)*$V$21</f>
        <v>0</v>
      </c>
      <c r="I917" s="29" t="n">
        <f aca="false">IF(I$43=1,2*Quesería!$B$22*Quesería!$B$23/12*I908,0)*$V$21</f>
        <v>0</v>
      </c>
      <c r="J917" s="29" t="n">
        <f aca="false">IF(J$43=1,2*Quesería!$B$22*Quesería!$B$23/12*J908,0)*$V$21</f>
        <v>0</v>
      </c>
      <c r="K917" s="29" t="n">
        <f aca="false">IF(K$43=1,2*Quesería!$B$22*Quesería!$B$23/12*K908,0)*$V$21</f>
        <v>0</v>
      </c>
      <c r="L917" s="29" t="n">
        <f aca="false">IF(L$43=1,2*Quesería!$B$22*Quesería!$B$23/12*L908,0)*$V$21</f>
        <v>0</v>
      </c>
    </row>
    <row r="918" customFormat="false" ht="15" hidden="true" customHeight="false" outlineLevel="1" collapsed="false">
      <c r="A918" s="6" t="s">
        <v>414</v>
      </c>
      <c r="B918" s="29" t="n">
        <f aca="false">Quesería!$B$52*(B910+B911+B912+B916+B917)</f>
        <v>5.1835963727609</v>
      </c>
      <c r="C918" s="29" t="n">
        <f aca="false">Quesería!$B$52*(C910+C911+C912+C916+C917)</f>
        <v>4.64101362062414</v>
      </c>
      <c r="D918" s="29" t="n">
        <f aca="false">Quesería!$B$52*(D910+D911+D912+D916+D917)</f>
        <v>0.53380923174606</v>
      </c>
      <c r="E918" s="29" t="n">
        <f aca="false">Quesería!$B$52*(E910+E911+E912+E916+E917)</f>
        <v>0.53380923174606</v>
      </c>
      <c r="F918" s="29" t="n">
        <f aca="false">Quesería!$B$52*(F910+F911+F912+F916+F917)</f>
        <v>0.53380923174606</v>
      </c>
      <c r="G918" s="29" t="n">
        <f aca="false">Quesería!$B$52*(G910+G911+G912+G916+G917)</f>
        <v>0.690690552785866</v>
      </c>
      <c r="H918" s="29" t="n">
        <f aca="false">Quesería!$B$52*(H910+H911+H912+H916+H917)</f>
        <v>0.798784089167037</v>
      </c>
      <c r="I918" s="29" t="n">
        <f aca="false">Quesería!$B$52*(I910+I911+I912+I916+I917)</f>
        <v>0.53380923174606</v>
      </c>
      <c r="J918" s="29" t="n">
        <f aca="false">Quesería!$B$52*(J910+J911+J912+J916+J917)</f>
        <v>0.53380923174606</v>
      </c>
      <c r="K918" s="29" t="n">
        <f aca="false">Quesería!$B$52*(K910+K911+K912+K916+K917)</f>
        <v>0.53380923174606</v>
      </c>
      <c r="L918" s="29" t="n">
        <f aca="false">Quesería!$B$52*(L910+L911+L912+L916+L917)</f>
        <v>0.53380923174606</v>
      </c>
    </row>
    <row r="919" customFormat="false" ht="15" hidden="true" customHeight="false" outlineLevel="1" collapsed="false">
      <c r="A919" s="6" t="s">
        <v>415</v>
      </c>
      <c r="B919" s="29" t="n">
        <f aca="false">(IF($V$19=1,(SUMPRODUCT((Quesería!$C$70:$C$89=0)*(Quesería!$J$70:$J$89&gt;0)*(B$43&gt;=1)*(B$43&lt;=Quesería!$J$70:$J$89)*(Quesería!$H$70:$H$89&gt;0)*Quesería!$F$70:$F$89*(1+Quesería!$I$70:$I$89)/(Quesería!$J$70:$J$89+(Quesería!$J$70:$J$89=0)))+SUMPRODUCT((Quesería!$C$70:$C$89=0)*(Quesería!$J$70:$J$89=0)*(B$43=0)*(Quesería!$H$70:$H$89&gt;0)*Quesería!$F$70:$F$89*(1+Quesería!$I$70:$I$89)))*$B$907+(SUMPRODUCT((Quesería!$C$70:$C$89=1)*(Quesería!$J$70:$J$89&gt;0)*(B$43&gt;=2)*(B$43&lt;=Quesería!$J$70:$J$89+1)*(Quesería!$H$70:$H$89&gt;0)*Quesería!$F$70:$F$89*(1+Quesería!$I$70:$I$89)/(Quesería!$J$70:$J$89+(Quesería!$J$70:$J$89=0)))+SUMPRODUCT((Quesería!$C$70:$C$89=1)*(Quesería!$J$70:$J$89=0)*(B$43=1)*(Quesería!$H$70:$H$89&gt;0)*Quesería!$F$70:$F$89*(1+Quesería!$I$70:$I$89)))*$C$907*$V$21,IF(AND(B$43&gt;=1,B$43&lt;=Quesería!$B$30),Quesería!$F$92/Quesería!$B$30,0)*$B$907+IF(AND(B$43&gt;=2,B$43&lt;=Quesería!$B$30+1),Quesería!$F$93/Quesería!$B$30,0)*$C$907*$V$21)*$V$11+IF(AND(B$43&gt;=6,B$43&lt;=10),$G911*$G907/5,0)+IF(AND(B$43&gt;=7,B$43&lt;=11),$H911*$H907/5,0))*B909</f>
        <v>175.177098516891</v>
      </c>
      <c r="C919" s="29" t="n">
        <f aca="false">(IF($V$19=1,(SUMPRODUCT((Quesería!$C$70:$C$89=0)*(Quesería!$J$70:$J$89&gt;0)*(C$43&gt;=1)*(C$43&lt;=Quesería!$J$70:$J$89)*(Quesería!$H$70:$H$89&gt;0)*Quesería!$F$70:$F$89*(1+Quesería!$I$70:$I$89)/(Quesería!$J$70:$J$89+(Quesería!$J$70:$J$89=0)))+SUMPRODUCT((Quesería!$C$70:$C$89=0)*(Quesería!$J$70:$J$89=0)*(C$43=0)*(Quesería!$H$70:$H$89&gt;0)*Quesería!$F$70:$F$89*(1+Quesería!$I$70:$I$89)))*$B$907+(SUMPRODUCT((Quesería!$C$70:$C$89=1)*(Quesería!$J$70:$J$89&gt;0)*(C$43&gt;=2)*(C$43&lt;=Quesería!$J$70:$J$89+1)*(Quesería!$H$70:$H$89&gt;0)*Quesería!$F$70:$F$89*(1+Quesería!$I$70:$I$89)/(Quesería!$J$70:$J$89+(Quesería!$J$70:$J$89=0)))+SUMPRODUCT((Quesería!$C$70:$C$89=1)*(Quesería!$J$70:$J$89=0)*(C$43=1)*(Quesería!$H$70:$H$89&gt;0)*Quesería!$F$70:$F$89*(1+Quesería!$I$70:$I$89)))*$C$907*$V$21,IF(AND(C$43&gt;=1,C$43&lt;=Quesería!$B$30),Quesería!$F$92/Quesería!$B$30,0)*$B$907+IF(AND(C$43&gt;=2,C$43&lt;=Quesería!$B$30+1),Quesería!$F$93/Quesería!$B$30,0)*$C$907*$V$21)*$V$11+IF(AND(C$43&gt;=6,C$43&lt;=10),$G911*$G907/5,0)+IF(AND(C$43&gt;=7,C$43&lt;=11),$H911*$H907/5,0))*C909</f>
        <v>98.7159923429119</v>
      </c>
      <c r="D919" s="29" t="n">
        <f aca="false">(IF($V$19=1,(SUMPRODUCT((Quesería!$C$70:$C$89=0)*(Quesería!$J$70:$J$89&gt;0)*(D$43&gt;=1)*(D$43&lt;=Quesería!$J$70:$J$89)*(Quesería!$H$70:$H$89&gt;0)*Quesería!$F$70:$F$89*(1+Quesería!$I$70:$I$89)/(Quesería!$J$70:$J$89+(Quesería!$J$70:$J$89=0)))+SUMPRODUCT((Quesería!$C$70:$C$89=0)*(Quesería!$J$70:$J$89=0)*(D$43=0)*(Quesería!$H$70:$H$89&gt;0)*Quesería!$F$70:$F$89*(1+Quesería!$I$70:$I$89)))*$B$907+(SUMPRODUCT((Quesería!$C$70:$C$89=1)*(Quesería!$J$70:$J$89&gt;0)*(D$43&gt;=2)*(D$43&lt;=Quesería!$J$70:$J$89+1)*(Quesería!$H$70:$H$89&gt;0)*Quesería!$F$70:$F$89*(1+Quesería!$I$70:$I$89)/(Quesería!$J$70:$J$89+(Quesería!$J$70:$J$89=0)))+SUMPRODUCT((Quesería!$C$70:$C$89=1)*(Quesería!$J$70:$J$89=0)*(D$43=1)*(Quesería!$H$70:$H$89&gt;0)*Quesería!$F$70:$F$89*(1+Quesería!$I$70:$I$89)))*$C$907*$V$21,IF(AND(D$43&gt;=1,D$43&lt;=Quesería!$B$30),Quesería!$F$92/Quesería!$B$30,0)*$B$907+IF(AND(D$43&gt;=2,D$43&lt;=Quesería!$B$30+1),Quesería!$F$93/Quesería!$B$30,0)*$C$907*$V$21)*$V$11+IF(AND(D$43&gt;=6,D$43&lt;=10),$G911*$G907/5,0)+IF(AND(D$43&gt;=7,D$43&lt;=11),$H911*$H907/5,0))*D909</f>
        <v>181.561990759667</v>
      </c>
      <c r="E919" s="29" t="n">
        <f aca="false">(IF($V$19=1,(SUMPRODUCT((Quesería!$C$70:$C$89=0)*(Quesería!$J$70:$J$89&gt;0)*(E$43&gt;=1)*(E$43&lt;=Quesería!$J$70:$J$89)*(Quesería!$H$70:$H$89&gt;0)*Quesería!$F$70:$F$89*(1+Quesería!$I$70:$I$89)/(Quesería!$J$70:$J$89+(Quesería!$J$70:$J$89=0)))+SUMPRODUCT((Quesería!$C$70:$C$89=0)*(Quesería!$J$70:$J$89=0)*(E$43=0)*(Quesería!$H$70:$H$89&gt;0)*Quesería!$F$70:$F$89*(1+Quesería!$I$70:$I$89)))*$B$907+(SUMPRODUCT((Quesería!$C$70:$C$89=1)*(Quesería!$J$70:$J$89&gt;0)*(E$43&gt;=2)*(E$43&lt;=Quesería!$J$70:$J$89+1)*(Quesería!$H$70:$H$89&gt;0)*Quesería!$F$70:$F$89*(1+Quesería!$I$70:$I$89)/(Quesería!$J$70:$J$89+(Quesería!$J$70:$J$89=0)))+SUMPRODUCT((Quesería!$C$70:$C$89=1)*(Quesería!$J$70:$J$89=0)*(E$43=1)*(Quesería!$H$70:$H$89&gt;0)*Quesería!$F$70:$F$89*(1+Quesería!$I$70:$I$89)))*$C$907*$V$21,IF(AND(E$43&gt;=1,E$43&lt;=Quesería!$B$30),Quesería!$F$92/Quesería!$B$30,0)*$B$907+IF(AND(E$43&gt;=2,E$43&lt;=Quesería!$B$30+1),Quesería!$F$93/Quesería!$B$30,0)*$C$907*$V$21)*$V$11+IF(AND(E$43&gt;=6,E$43&lt;=10),$G911*$G907/5,0)+IF(AND(E$43&gt;=7,E$43&lt;=11),$H911*$H907/5,0))*E909</f>
        <v>174.57883726891</v>
      </c>
      <c r="F919" s="29" t="n">
        <f aca="false">(IF($V$19=1,(SUMPRODUCT((Quesería!$C$70:$C$89=0)*(Quesería!$J$70:$J$89&gt;0)*(F$43&gt;=1)*(F$43&lt;=Quesería!$J$70:$J$89)*(Quesería!$H$70:$H$89&gt;0)*Quesería!$F$70:$F$89*(1+Quesería!$I$70:$I$89)/(Quesería!$J$70:$J$89+(Quesería!$J$70:$J$89=0)))+SUMPRODUCT((Quesería!$C$70:$C$89=0)*(Quesería!$J$70:$J$89=0)*(F$43=0)*(Quesería!$H$70:$H$89&gt;0)*Quesería!$F$70:$F$89*(1+Quesería!$I$70:$I$89)))*$B$907+(SUMPRODUCT((Quesería!$C$70:$C$89=1)*(Quesería!$J$70:$J$89&gt;0)*(F$43&gt;=2)*(F$43&lt;=Quesería!$J$70:$J$89+1)*(Quesería!$H$70:$H$89&gt;0)*Quesería!$F$70:$F$89*(1+Quesería!$I$70:$I$89)/(Quesería!$J$70:$J$89+(Quesería!$J$70:$J$89=0)))+SUMPRODUCT((Quesería!$C$70:$C$89=1)*(Quesería!$J$70:$J$89=0)*(F$43=1)*(Quesería!$H$70:$H$89&gt;0)*Quesería!$F$70:$F$89*(1+Quesería!$I$70:$I$89)))*$C$907*$V$21,IF(AND(F$43&gt;=1,F$43&lt;=Quesería!$B$30),Quesería!$F$92/Quesería!$B$30,0)*$B$907+IF(AND(F$43&gt;=2,F$43&lt;=Quesería!$B$30+1),Quesería!$F$93/Quesería!$B$30,0)*$C$907*$V$21)*$V$11+IF(AND(F$43&gt;=6,F$43&lt;=10),$G911*$G907/5,0)+IF(AND(F$43&gt;=7,F$43&lt;=11),$H911*$H907/5,0))*F909</f>
        <v>167.864266604721</v>
      </c>
      <c r="G919" s="29" t="n">
        <f aca="false">(IF($V$19=1,(SUMPRODUCT((Quesería!$C$70:$C$89=0)*(Quesería!$J$70:$J$89&gt;0)*(G$43&gt;=1)*(G$43&lt;=Quesería!$J$70:$J$89)*(Quesería!$H$70:$H$89&gt;0)*Quesería!$F$70:$F$89*(1+Quesería!$I$70:$I$89)/(Quesería!$J$70:$J$89+(Quesería!$J$70:$J$89=0)))+SUMPRODUCT((Quesería!$C$70:$C$89=0)*(Quesería!$J$70:$J$89=0)*(G$43=0)*(Quesería!$H$70:$H$89&gt;0)*Quesería!$F$70:$F$89*(1+Quesería!$I$70:$I$89)))*$B$907+(SUMPRODUCT((Quesería!$C$70:$C$89=1)*(Quesería!$J$70:$J$89&gt;0)*(G$43&gt;=2)*(G$43&lt;=Quesería!$J$70:$J$89+1)*(Quesería!$H$70:$H$89&gt;0)*Quesería!$F$70:$F$89*(1+Quesería!$I$70:$I$89)/(Quesería!$J$70:$J$89+(Quesería!$J$70:$J$89=0)))+SUMPRODUCT((Quesería!$C$70:$C$89=1)*(Quesería!$J$70:$J$89=0)*(G$43=1)*(Quesería!$H$70:$H$89&gt;0)*Quesería!$F$70:$F$89*(1+Quesería!$I$70:$I$89)))*$C$907*$V$21,IF(AND(G$43&gt;=1,G$43&lt;=Quesería!$B$30),Quesería!$F$92/Quesería!$B$30,0)*$B$907+IF(AND(G$43&gt;=2,G$43&lt;=Quesería!$B$30+1),Quesería!$F$93/Quesería!$B$30,0)*$C$907*$V$21)*$V$11+IF(AND(G$43&gt;=6,G$43&lt;=10),$G911*$G907/5,0)+IF(AND(G$43&gt;=7,G$43&lt;=11),$H911*$H907/5,0))*G909</f>
        <v>161.407948658386</v>
      </c>
      <c r="H919" s="29" t="n">
        <f aca="false">(IF($V$19=1,(SUMPRODUCT((Quesería!$C$70:$C$89=0)*(Quesería!$J$70:$J$89&gt;0)*(H$43&gt;=1)*(H$43&lt;=Quesería!$J$70:$J$89)*(Quesería!$H$70:$H$89&gt;0)*Quesería!$F$70:$F$89*(1+Quesería!$I$70:$I$89)/(Quesería!$J$70:$J$89+(Quesería!$J$70:$J$89=0)))+SUMPRODUCT((Quesería!$C$70:$C$89=0)*(Quesería!$J$70:$J$89=0)*(H$43=0)*(Quesería!$H$70:$H$89&gt;0)*Quesería!$F$70:$F$89*(1+Quesería!$I$70:$I$89)))*$B$907+(SUMPRODUCT((Quesería!$C$70:$C$89=1)*(Quesería!$J$70:$J$89&gt;0)*(H$43&gt;=2)*(H$43&lt;=Quesería!$J$70:$J$89+1)*(Quesería!$H$70:$H$89&gt;0)*Quesería!$F$70:$F$89*(1+Quesería!$I$70:$I$89)/(Quesería!$J$70:$J$89+(Quesería!$J$70:$J$89=0)))+SUMPRODUCT((Quesería!$C$70:$C$89=1)*(Quesería!$J$70:$J$89=0)*(H$43=1)*(Quesería!$H$70:$H$89&gt;0)*Quesería!$F$70:$F$89*(1+Quesería!$I$70:$I$89)))*$C$907*$V$21,IF(AND(H$43&gt;=1,H$43&lt;=Quesería!$B$30),Quesería!$F$92/Quesería!$B$30,0)*$B$907+IF(AND(H$43&gt;=2,H$43&lt;=Quesería!$B$30+1),Quesería!$F$93/Quesería!$B$30,0)*$C$907*$V$21)*$V$11+IF(AND(H$43&gt;=6,H$43&lt;=10),$G911*$G907/5,0)+IF(AND(H$43&gt;=7,H$43&lt;=11),$H911*$H907/5,0))*H909</f>
        <v>146.777604708382</v>
      </c>
      <c r="I919" s="29" t="n">
        <f aca="false">(IF($V$19=1,(SUMPRODUCT((Quesería!$C$70:$C$89=0)*(Quesería!$J$70:$J$89&gt;0)*(I$43&gt;=1)*(I$43&lt;=Quesería!$J$70:$J$89)*(Quesería!$H$70:$H$89&gt;0)*Quesería!$F$70:$F$89*(1+Quesería!$I$70:$I$89)/(Quesería!$J$70:$J$89+(Quesería!$J$70:$J$89=0)))+SUMPRODUCT((Quesería!$C$70:$C$89=0)*(Quesería!$J$70:$J$89=0)*(I$43=0)*(Quesería!$H$70:$H$89&gt;0)*Quesería!$F$70:$F$89*(1+Quesería!$I$70:$I$89)))*$B$907+(SUMPRODUCT((Quesería!$C$70:$C$89=1)*(Quesería!$J$70:$J$89&gt;0)*(I$43&gt;=2)*(I$43&lt;=Quesería!$J$70:$J$89+1)*(Quesería!$H$70:$H$89&gt;0)*Quesería!$F$70:$F$89*(1+Quesería!$I$70:$I$89)/(Quesería!$J$70:$J$89+(Quesería!$J$70:$J$89=0)))+SUMPRODUCT((Quesería!$C$70:$C$89=1)*(Quesería!$J$70:$J$89=0)*(I$43=1)*(Quesería!$H$70:$H$89&gt;0)*Quesería!$F$70:$F$89*(1+Quesería!$I$70:$I$89)))*$C$907*$V$21,IF(AND(I$43&gt;=1,I$43&lt;=Quesería!$B$30),Quesería!$F$92/Quesería!$B$30,0)*$B$907+IF(AND(I$43&gt;=2,I$43&lt;=Quesería!$B$30+1),Quesería!$F$93/Quesería!$B$30,0)*$C$907*$V$21)*$V$11+IF(AND(I$43&gt;=6,I$43&lt;=10),$G911*$G907/5,0)+IF(AND(I$43&gt;=7,I$43&lt;=11),$H911*$H907/5,0))*I909</f>
        <v>151.837501999049</v>
      </c>
      <c r="J919" s="29" t="n">
        <f aca="false">(IF($V$19=1,(SUMPRODUCT((Quesería!$C$70:$C$89=0)*(Quesería!$J$70:$J$89&gt;0)*(J$43&gt;=1)*(J$43&lt;=Quesería!$J$70:$J$89)*(Quesería!$H$70:$H$89&gt;0)*Quesería!$F$70:$F$89*(1+Quesería!$I$70:$I$89)/(Quesería!$J$70:$J$89+(Quesería!$J$70:$J$89=0)))+SUMPRODUCT((Quesería!$C$70:$C$89=0)*(Quesería!$J$70:$J$89=0)*(J$43=0)*(Quesería!$H$70:$H$89&gt;0)*Quesería!$F$70:$F$89*(1+Quesería!$I$70:$I$89)))*$B$907+(SUMPRODUCT((Quesería!$C$70:$C$89=1)*(Quesería!$J$70:$J$89&gt;0)*(J$43&gt;=2)*(J$43&lt;=Quesería!$J$70:$J$89+1)*(Quesería!$H$70:$H$89&gt;0)*Quesería!$F$70:$F$89*(1+Quesería!$I$70:$I$89)/(Quesería!$J$70:$J$89+(Quesería!$J$70:$J$89=0)))+SUMPRODUCT((Quesería!$C$70:$C$89=1)*(Quesería!$J$70:$J$89=0)*(J$43=1)*(Quesería!$H$70:$H$89&gt;0)*Quesería!$F$70:$F$89*(1+Quesería!$I$70:$I$89)))*$C$907*$V$21,IF(AND(J$43&gt;=1,J$43&lt;=Quesería!$B$30),Quesería!$F$92/Quesería!$B$30,0)*$B$907+IF(AND(J$43&gt;=2,J$43&lt;=Quesería!$B$30+1),Quesería!$F$93/Quesería!$B$30,0)*$C$907*$V$21)*$V$11+IF(AND(J$43&gt;=6,J$43&lt;=10),$G911*$G907/5,0)+IF(AND(J$43&gt;=7,J$43&lt;=11),$H911*$H907/5,0))*J909</f>
        <v>145.997598076008</v>
      </c>
      <c r="K919" s="29" t="n">
        <f aca="false">(IF($V$19=1,(SUMPRODUCT((Quesería!$C$70:$C$89=0)*(Quesería!$J$70:$J$89&gt;0)*(K$43&gt;=1)*(K$43&lt;=Quesería!$J$70:$J$89)*(Quesería!$H$70:$H$89&gt;0)*Quesería!$F$70:$F$89*(1+Quesería!$I$70:$I$89)/(Quesería!$J$70:$J$89+(Quesería!$J$70:$J$89=0)))+SUMPRODUCT((Quesería!$C$70:$C$89=0)*(Quesería!$J$70:$J$89=0)*(K$43=0)*(Quesería!$H$70:$H$89&gt;0)*Quesería!$F$70:$F$89*(1+Quesería!$I$70:$I$89)))*$B$907+(SUMPRODUCT((Quesería!$C$70:$C$89=1)*(Quesería!$J$70:$J$89&gt;0)*(K$43&gt;=2)*(K$43&lt;=Quesería!$J$70:$J$89+1)*(Quesería!$H$70:$H$89&gt;0)*Quesería!$F$70:$F$89*(1+Quesería!$I$70:$I$89)/(Quesería!$J$70:$J$89+(Quesería!$J$70:$J$89=0)))+SUMPRODUCT((Quesería!$C$70:$C$89=1)*(Quesería!$J$70:$J$89=0)*(K$43=1)*(Quesería!$H$70:$H$89&gt;0)*Quesería!$F$70:$F$89*(1+Quesería!$I$70:$I$89)))*$C$907*$V$21,IF(AND(K$43&gt;=1,K$43&lt;=Quesería!$B$30),Quesería!$F$92/Quesería!$B$30,0)*$B$907+IF(AND(K$43&gt;=2,K$43&lt;=Quesería!$B$30+1),Quesería!$F$93/Quesería!$B$30,0)*$C$907*$V$21)*$V$11+IF(AND(K$43&gt;=6,K$43&lt;=10),$G911*$G907/5,0)+IF(AND(K$43&gt;=7,K$43&lt;=11),$H911*$H907/5,0))*K909</f>
        <v>140.382305842316</v>
      </c>
      <c r="L919" s="29" t="n">
        <f aca="false">(IF($V$19=1,(SUMPRODUCT((Quesería!$C$70:$C$89=0)*(Quesería!$J$70:$J$89&gt;0)*(L$43&gt;=1)*(L$43&lt;=Quesería!$J$70:$J$89)*(Quesería!$H$70:$H$89&gt;0)*Quesería!$F$70:$F$89*(1+Quesería!$I$70:$I$89)/(Quesería!$J$70:$J$89+(Quesería!$J$70:$J$89=0)))+SUMPRODUCT((Quesería!$C$70:$C$89=0)*(Quesería!$J$70:$J$89=0)*(L$43=0)*(Quesería!$H$70:$H$89&gt;0)*Quesería!$F$70:$F$89*(1+Quesería!$I$70:$I$89)))*$B$907+(SUMPRODUCT((Quesería!$C$70:$C$89=1)*(Quesería!$J$70:$J$89&gt;0)*(L$43&gt;=2)*(L$43&lt;=Quesería!$J$70:$J$89+1)*(Quesería!$H$70:$H$89&gt;0)*Quesería!$F$70:$F$89*(1+Quesería!$I$70:$I$89)/(Quesería!$J$70:$J$89+(Quesería!$J$70:$J$89=0)))+SUMPRODUCT((Quesería!$C$70:$C$89=1)*(Quesería!$J$70:$J$89=0)*(L$43=1)*(Quesería!$H$70:$H$89&gt;0)*Quesería!$F$70:$F$89*(1+Quesería!$I$70:$I$89)))*$C$907*$V$21,IF(AND(L$43&gt;=1,L$43&lt;=Quesería!$B$30),Quesería!$F$92/Quesería!$B$30,0)*$B$907+IF(AND(L$43&gt;=2,L$43&lt;=Quesería!$B$30+1),Quesería!$F$93/Quesería!$B$30,0)*$C$907*$V$21)*$V$11+IF(AND(L$43&gt;=6,L$43&lt;=10),$G911*$G907/5,0)+IF(AND(L$43&gt;=7,L$43&lt;=11),$H911*$H907/5,0))*L909</f>
        <v>134.982986386842</v>
      </c>
    </row>
    <row r="920" customFormat="false" ht="15" hidden="true" customHeight="false" outlineLevel="1" collapsed="false">
      <c r="A920" s="9" t="s">
        <v>416</v>
      </c>
      <c r="B920" s="58" t="n">
        <f aca="false">IF(B$43=1,MIN($V$7*Quesería!$B$56*Quesería!$F$86*$V$11*$V$21,Quesería!$B$57*Quesería!$B$58),0)</f>
        <v>0</v>
      </c>
      <c r="C920" s="58" t="n">
        <f aca="false">IF(C$43=1,MIN($V$7*Quesería!$B$56*Quesería!$F$86*$V$11*$V$21,Quesería!$B$57*Quesería!$B$58),0)</f>
        <v>24</v>
      </c>
      <c r="D920" s="58" t="n">
        <f aca="false">IF(D$43=1,MIN($V$7*Quesería!$B$56*Quesería!$F$86*$V$11*$V$21,Quesería!$B$57*Quesería!$B$58),0)</f>
        <v>0</v>
      </c>
      <c r="E920" s="58" t="n">
        <f aca="false">IF(E$43=1,MIN($V$7*Quesería!$B$56*Quesería!$F$86*$V$11*$V$21,Quesería!$B$57*Quesería!$B$58),0)</f>
        <v>0</v>
      </c>
      <c r="F920" s="58" t="n">
        <f aca="false">IF(F$43=1,MIN($V$7*Quesería!$B$56*Quesería!$F$86*$V$11*$V$21,Quesería!$B$57*Quesería!$B$58),0)</f>
        <v>0</v>
      </c>
      <c r="G920" s="58" t="n">
        <f aca="false">IF(G$43=1,MIN($V$7*Quesería!$B$56*Quesería!$F$86*$V$11*$V$21,Quesería!$B$57*Quesería!$B$58),0)</f>
        <v>0</v>
      </c>
      <c r="H920" s="58" t="n">
        <f aca="false">IF(H$43=1,MIN($V$7*Quesería!$B$56*Quesería!$F$86*$V$11*$V$21,Quesería!$B$57*Quesería!$B$58),0)</f>
        <v>0</v>
      </c>
      <c r="I920" s="58" t="n">
        <f aca="false">IF(I$43=1,MIN($V$7*Quesería!$B$56*Quesería!$F$86*$V$11*$V$21,Quesería!$B$57*Quesería!$B$58),0)</f>
        <v>0</v>
      </c>
      <c r="J920" s="58" t="n">
        <f aca="false">IF(J$43=1,MIN($V$7*Quesería!$B$56*Quesería!$F$86*$V$11*$V$21,Quesería!$B$57*Quesería!$B$58),0)</f>
        <v>0</v>
      </c>
      <c r="K920" s="58" t="n">
        <f aca="false">IF(K$43=1,MIN($V$7*Quesería!$B$56*Quesería!$F$86*$V$11*$V$21,Quesería!$B$57*Quesería!$B$58),0)</f>
        <v>0</v>
      </c>
      <c r="L920" s="58" t="n">
        <f aca="false">IF(L$43=1,MIN($V$7*Quesería!$B$56*Quesería!$F$86*$V$11*$V$21,Quesería!$B$57*Quesería!$B$58),0)</f>
        <v>0</v>
      </c>
    </row>
    <row r="921" customFormat="false" ht="15" hidden="true" customHeight="false" outlineLevel="1" collapsed="false">
      <c r="A921" s="9" t="s">
        <v>417</v>
      </c>
      <c r="B921" s="58" t="n">
        <v>0</v>
      </c>
      <c r="C921" s="58" t="n">
        <f aca="false">$V$20*Quesería!$B$60*Quesería!$F$98*$V$11*$B$907/C907/2</f>
        <v>165.754420136891</v>
      </c>
      <c r="D921" s="58" t="n">
        <f aca="false">$V$20*Quesería!$B$60*Quesería!$F$98*$V$11*$B$907/D907/2</f>
        <v>158.616669987456</v>
      </c>
      <c r="E921" s="58" t="n">
        <v>0</v>
      </c>
      <c r="F921" s="58" t="n">
        <v>0</v>
      </c>
      <c r="G921" s="58" t="n">
        <v>0</v>
      </c>
      <c r="H921" s="58" t="n">
        <v>0</v>
      </c>
      <c r="I921" s="58" t="n">
        <v>0</v>
      </c>
      <c r="J921" s="58" t="n">
        <v>0</v>
      </c>
      <c r="K921" s="58" t="n">
        <v>0</v>
      </c>
      <c r="L921" s="58" t="n">
        <v>0</v>
      </c>
    </row>
    <row r="922" customFormat="false" ht="15" hidden="true" customHeight="false" outlineLevel="1" collapsed="false">
      <c r="A922" s="9" t="s">
        <v>418</v>
      </c>
      <c r="B922" s="58" t="n">
        <f aca="false">0</f>
        <v>0</v>
      </c>
      <c r="C922" s="58" t="n">
        <f aca="false">B912*B907/C907</f>
        <v>170.417910354489</v>
      </c>
      <c r="D922" s="58" t="n">
        <f aca="false">C912*C907/D907</f>
        <v>165.484160001709</v>
      </c>
      <c r="E922" s="58" t="n">
        <f aca="false">D912*D907/E907</f>
        <v>0</v>
      </c>
      <c r="F922" s="58" t="n">
        <f aca="false">E912*E907/F907</f>
        <v>0</v>
      </c>
      <c r="G922" s="58" t="n">
        <f aca="false">F912*F907/G907</f>
        <v>0</v>
      </c>
      <c r="H922" s="58" t="n">
        <f aca="false">G912*G907/H907</f>
        <v>6.02122070894535</v>
      </c>
      <c r="I922" s="58" t="n">
        <f aca="false">H912*H907/I907</f>
        <v>10.1699302904787</v>
      </c>
      <c r="J922" s="58" t="n">
        <f aca="false">I912*I907/J907</f>
        <v>0</v>
      </c>
      <c r="K922" s="58" t="n">
        <f aca="false">J912*J907/K907</f>
        <v>0</v>
      </c>
      <c r="L922" s="58" t="n">
        <f aca="false">K912*K907/L907</f>
        <v>0</v>
      </c>
    </row>
    <row r="923" customFormat="false" ht="15" hidden="true" customHeight="false" outlineLevel="1" collapsed="false">
      <c r="A923" s="6" t="s">
        <v>295</v>
      </c>
      <c r="B923" s="29" t="n">
        <f aca="false">$V$17*(B915-B916-B917-0.5*B918-B919)-B920-B921-B922</f>
        <v>-28.4184176130081</v>
      </c>
      <c r="C923" s="29" t="n">
        <f aca="false">$V$17*(C915-C916-C917-0.5*C918-C919)-C920-C921-C922</f>
        <v>-371.769028616567</v>
      </c>
      <c r="D923" s="29" t="n">
        <f aca="false">$V$17*(D915-D916-D917-0.5*D918-D919)-D920-D921-D922</f>
        <v>-300.879987866257</v>
      </c>
      <c r="E923" s="29" t="n">
        <f aca="false">$V$17*(E915-E916-E917-0.5*E918-E919)-E920-E921-E922</f>
        <v>43.5347662568795</v>
      </c>
      <c r="F923" s="29" t="n">
        <f aca="false">$V$17*(F915-F916-F917-0.5*F918-F919)-F920-F921-F922</f>
        <v>45.9714450792676</v>
      </c>
      <c r="G923" s="29" t="n">
        <f aca="false">$V$17*(G915-G916-G917-0.5*G918-G919)-G920-G921-G922</f>
        <v>48.2907141146747</v>
      </c>
      <c r="H923" s="29" t="n">
        <f aca="false">$V$17*(H915-H916-H917-0.5*H918-H919)-H920-H921-H922</f>
        <v>47.4586444646627</v>
      </c>
      <c r="I923" s="29" t="n">
        <f aca="false">$V$17*(I915-I916-I917-0.5*I918-I919)-I920-I921-I922</f>
        <v>41.6732257119695</v>
      </c>
      <c r="J923" s="29" t="n">
        <f aca="false">$V$17*(J915-J916-J917-0.5*J918-J919)-J920-J921-J922</f>
        <v>53.9754460774399</v>
      </c>
      <c r="K923" s="29" t="n">
        <f aca="false">$V$17*(K915-K916-K917-0.5*K918-K919)-K920-K921-K922</f>
        <v>56.0295636796696</v>
      </c>
      <c r="L923" s="29" t="n">
        <f aca="false">$V$17*(L915-L916-L917-0.5*L918-L919)-L920-L921-L922</f>
        <v>58.0085346361248</v>
      </c>
    </row>
    <row r="924" customFormat="false" ht="15" hidden="true" customHeight="false" outlineLevel="1" collapsed="false">
      <c r="A924" s="9" t="s">
        <v>419</v>
      </c>
      <c r="B924" s="58" t="n">
        <f aca="false">(IF(B$43&gt;=1,Quesería!$G$123*IF(B$43=1,Quesería!$B$20,1),Quesería!$G$123*Quesería!$B$20*Quesería!$B$21/12*$V$23)+IF(B$43&gt;=2,Quesería!$G$124*$V$21*IF(B$43=2,Quesería!$B$20,1),0))*$V$10</f>
        <v>61.9234296129496</v>
      </c>
      <c r="C924" s="58" t="n">
        <f aca="false">(IF(C$43&gt;=1,Quesería!$G$123*IF(C$43=1,Quesería!$B$20,1),Quesería!$G$123*Quesería!$B$20*Quesería!$B$21/12*$V$23)+IF(C$43&gt;=2,Quesería!$G$124*$V$21*IF(C$43=2,Quesería!$B$20,1),0))*$V$10</f>
        <v>92.8851444194243</v>
      </c>
      <c r="D924" s="58" t="n">
        <f aca="false">(IF(D$43&gt;=1,Quesería!$G$123*IF(D$43=1,Quesería!$B$20,1),Quesería!$G$123*Quesería!$B$20*Quesería!$B$21/12*$V$23)+IF(D$43&gt;=2,Quesería!$G$124*$V$21*IF(D$43=2,Quesería!$B$20,1),0))*$V$10</f>
        <v>237.672208162233</v>
      </c>
      <c r="E924" s="58" t="n">
        <f aca="false">(IF(E$43&gt;=1,Quesería!$G$123*IF(E$43=1,Quesería!$B$20,1),Quesería!$G$123*Quesería!$B$20*Quesería!$B$21/12*$V$23)+IF(E$43&gt;=2,Quesería!$G$124*$V$21*IF(E$43=2,Quesería!$B$20,1),0))*$V$10</f>
        <v>275.613991141011</v>
      </c>
      <c r="F924" s="58" t="n">
        <f aca="false">(IF(F$43&gt;=1,Quesería!$G$123*IF(F$43=1,Quesería!$B$20,1),Quesería!$G$123*Quesería!$B$20*Quesería!$B$21/12*$V$23)+IF(F$43&gt;=2,Quesería!$G$124*$V$21*IF(F$43=2,Quesería!$B$20,1),0))*$V$10</f>
        <v>275.613991141011</v>
      </c>
      <c r="G924" s="58" t="n">
        <f aca="false">(IF(G$43&gt;=1,Quesería!$G$123*IF(G$43=1,Quesería!$B$20,1),Quesería!$G$123*Quesería!$B$20*Quesería!$B$21/12*$V$23)+IF(G$43&gt;=2,Quesería!$G$124*$V$21*IF(G$43=2,Quesería!$B$20,1),0))*$V$10</f>
        <v>275.613991141011</v>
      </c>
      <c r="H924" s="58" t="n">
        <f aca="false">(IF(H$43&gt;=1,Quesería!$G$123*IF(H$43=1,Quesería!$B$20,1),Quesería!$G$123*Quesería!$B$20*Quesería!$B$21/12*$V$23)+IF(H$43&gt;=2,Quesería!$G$124*$V$21*IF(H$43=2,Quesería!$B$20,1),0))*$V$10</f>
        <v>275.613991141011</v>
      </c>
      <c r="I924" s="58" t="n">
        <f aca="false">(IF(I$43&gt;=1,Quesería!$G$123*IF(I$43=1,Quesería!$B$20,1),Quesería!$G$123*Quesería!$B$20*Quesería!$B$21/12*$V$23)+IF(I$43&gt;=2,Quesería!$G$124*$V$21*IF(I$43=2,Quesería!$B$20,1),0))*$V$10</f>
        <v>275.613991141011</v>
      </c>
      <c r="J924" s="58" t="n">
        <f aca="false">(IF(J$43&gt;=1,Quesería!$G$123*IF(J$43=1,Quesería!$B$20,1),Quesería!$G$123*Quesería!$B$20*Quesería!$B$21/12*$V$23)+IF(J$43&gt;=2,Quesería!$G$124*$V$21*IF(J$43=2,Quesería!$B$20,1),0))*$V$10</f>
        <v>275.613991141011</v>
      </c>
      <c r="K924" s="58" t="n">
        <f aca="false">(IF(K$43&gt;=1,Quesería!$G$123*IF(K$43=1,Quesería!$B$20,1),Quesería!$G$123*Quesería!$B$20*Quesería!$B$21/12*$V$23)+IF(K$43&gt;=2,Quesería!$G$124*$V$21*IF(K$43=2,Quesería!$B$20,1),0))*$V$10</f>
        <v>275.613991141011</v>
      </c>
      <c r="L924" s="58" t="n">
        <f aca="false">(IF(L$43&gt;=1,Quesería!$G$123*IF(L$43=1,Quesería!$B$20,1),Quesería!$G$123*Quesería!$B$20*Quesería!$B$21/12*$V$23)+IF(L$43&gt;=2,Quesería!$G$124*$V$21*IF(L$43=2,Quesería!$B$20,1),0))*$V$10</f>
        <v>275.613991141011</v>
      </c>
    </row>
    <row r="925" customFormat="false" ht="15" hidden="true" customHeight="false" outlineLevel="1" collapsed="false">
      <c r="A925" s="6" t="s">
        <v>420</v>
      </c>
      <c r="B925" s="29" t="n">
        <f aca="false">(B924*(Quesería!$B$38+Quesería!$B$40*Quesería!$B$39)/365-B916*Quesería!$B$42/365)</f>
        <v>5.78517520493583</v>
      </c>
      <c r="C925" s="29" t="n">
        <f aca="false">(C924*(Quesería!$B$38+Quesería!$B$40*Quesería!$B$39)/365-C916*Quesería!$B$42/365)-(B924*(Quesería!$B$38+Quesería!$B$40*Quesería!$B$39)/365-B916*Quesería!$B$42/365)*B907/C907</f>
        <v>-0.36657003939383</v>
      </c>
      <c r="D925" s="29" t="n">
        <f aca="false">(D924*(Quesería!$B$38+Quesería!$B$40*Quesería!$B$39)/365-D916*Quesería!$B$42/365)-(C924*(Quesería!$B$38+Quesería!$B$40*Quesería!$B$39)/365-C916*Quesería!$B$42/365)*C907/D907</f>
        <v>9.23909736285311</v>
      </c>
      <c r="E925" s="29" t="n">
        <f aca="false">(E924*(Quesería!$B$38+Quesería!$B$40*Quesería!$B$39)/365-E916*Quesería!$B$42/365)-(D924*(Quesería!$B$38+Quesería!$B$40*Quesería!$B$39)/365-D916*Quesería!$B$42/365)*D907/E907</f>
        <v>4.089342077209</v>
      </c>
      <c r="F925" s="29" t="n">
        <f aca="false">(F924*(Quesería!$B$38+Quesería!$B$40*Quesería!$B$39)/365-F916*Quesería!$B$42/365)-(E924*(Quesería!$B$38+Quesería!$B$40*Quesería!$B$39)/365-E916*Quesería!$B$42/365)*E907/F907</f>
        <v>0.680978537756076</v>
      </c>
      <c r="G925" s="29" t="n">
        <f aca="false">(G924*(Quesería!$B$38+Quesería!$B$40*Quesería!$B$39)/365-G916*Quesería!$B$42/365)-(F924*(Quesería!$B$38+Quesería!$B$40*Quesería!$B$39)/365-F916*Quesería!$B$42/365)*F907/G907</f>
        <v>0.680978537756076</v>
      </c>
      <c r="H925" s="29" t="n">
        <f aca="false">(H924*(Quesería!$B$38+Quesería!$B$40*Quesería!$B$39)/365-H916*Quesería!$B$42/365)-(G924*(Quesería!$B$38+Quesería!$B$40*Quesería!$B$39)/365-G916*Quesería!$B$42/365)*G907/H907</f>
        <v>0.680978537756076</v>
      </c>
      <c r="I925" s="29" t="n">
        <f aca="false">(I924*(Quesería!$B$38+Quesería!$B$40*Quesería!$B$39)/365-I916*Quesería!$B$42/365)-(H924*(Quesería!$B$38+Quesería!$B$40*Quesería!$B$39)/365-H916*Quesería!$B$42/365)*H907/I907</f>
        <v>0.680978537756076</v>
      </c>
      <c r="J925" s="29" t="n">
        <f aca="false">(J924*(Quesería!$B$38+Quesería!$B$40*Quesería!$B$39)/365-J916*Quesería!$B$42/365)-(I924*(Quesería!$B$38+Quesería!$B$40*Quesería!$B$39)/365-I916*Quesería!$B$42/365)*I907/J907</f>
        <v>0.680978537756076</v>
      </c>
      <c r="K925" s="29" t="n">
        <f aca="false">(K924*(Quesería!$B$38+Quesería!$B$40*Quesería!$B$39)/365-K916*Quesería!$B$42/365)-(J924*(Quesería!$B$38+Quesería!$B$40*Quesería!$B$39)/365-J916*Quesería!$B$42/365)*J907/K907</f>
        <v>0.680978537756076</v>
      </c>
      <c r="L925" s="29" t="n">
        <f aca="false">-(K924*(Quesería!$B$38+Quesería!$B$40*Quesería!$B$39)/365-K916*Quesería!$B$42/365)*K907/L907</f>
        <v>-17.0244634439019</v>
      </c>
    </row>
    <row r="926" customFormat="false" ht="15" hidden="true" customHeight="false" outlineLevel="1" collapsed="false">
      <c r="A926" s="6" t="s">
        <v>421</v>
      </c>
      <c r="B926" s="29" t="n">
        <v>0</v>
      </c>
      <c r="C926" s="29" t="n">
        <v>0</v>
      </c>
      <c r="D926" s="29" t="n">
        <v>0</v>
      </c>
      <c r="E926" s="29" t="n">
        <v>0</v>
      </c>
      <c r="F926" s="29" t="n">
        <v>0</v>
      </c>
      <c r="G926" s="29" t="n">
        <v>0</v>
      </c>
      <c r="H926" s="29" t="n">
        <v>0</v>
      </c>
      <c r="I926" s="29" t="n">
        <v>0</v>
      </c>
      <c r="J926" s="29" t="n">
        <v>0</v>
      </c>
      <c r="K926" s="29" t="n">
        <v>0</v>
      </c>
      <c r="L926" s="29" t="n">
        <f aca="false">$V$8*Quesería!$B$36*(Quesería!$F$94+Quesería!$F$95*$V$21)*$V$11*(1-$V$17)</f>
        <v>80.5485270701451</v>
      </c>
    </row>
    <row r="927" customFormat="false" ht="15" hidden="true" customHeight="false" outlineLevel="1" collapsed="false">
      <c r="A927" s="5" t="s">
        <v>147</v>
      </c>
      <c r="B927" s="59" t="n">
        <f aca="false">B915-B916-B917-B918-B923-B910-B911-B912-B925+B926</f>
        <v>-1181.87602934595</v>
      </c>
      <c r="C927" s="59" t="n">
        <f aca="false">C915-C916-C917-C918-C923-C910-C911-C912-C925+C926</f>
        <v>-647.696166237443</v>
      </c>
      <c r="D927" s="59" t="n">
        <f aca="false">D915-D916-D917-D918-D923-D910-D911-D912-D925+D926</f>
        <v>539.281239855504</v>
      </c>
      <c r="E927" s="59" t="n">
        <f aca="false">E915-E916-E917-E918-E923-E910-E911-E912-E925+E926</f>
        <v>251.072870767176</v>
      </c>
      <c r="F927" s="59" t="n">
        <f aca="false">F915-F916-F917-F918-F923-F910-F911-F912-F925+F926</f>
        <v>252.291924312589</v>
      </c>
      <c r="G927" s="59" t="n">
        <f aca="false">G915-G916-G917-G918-G923-G910-G911-G912-G925+G926</f>
        <v>210.844049368681</v>
      </c>
      <c r="H927" s="59" t="n">
        <f aca="false">H915-H916-H917-H918-H923-H910-H911-H912-H925+H926</f>
        <v>184.794490087872</v>
      </c>
      <c r="I927" s="59" t="n">
        <f aca="false">I915-I916-I917-I918-I923-I910-I911-I912-I925+I926</f>
        <v>257.339695997588</v>
      </c>
      <c r="J927" s="59" t="n">
        <f aca="false">J915-J916-J917-J918-J923-J910-J911-J912-J925+J926</f>
        <v>245.289829066196</v>
      </c>
      <c r="K927" s="59" t="n">
        <f aca="false">K915-K916-K917-K918-K923-K910-K911-K912-K925+K926</f>
        <v>243.489326665216</v>
      </c>
      <c r="L927" s="59" t="n">
        <f aca="false">L915-L916-L917-L918-L923-L910-L911-L912-L925+L926</f>
        <v>340.019208037819</v>
      </c>
    </row>
    <row r="928" customFormat="false" ht="15" hidden="true" customHeight="false" outlineLevel="1" collapsed="false">
      <c r="A928" s="9" t="s">
        <v>422</v>
      </c>
      <c r="B928" s="58" t="n">
        <f aca="false">B927*B907</f>
        <v>-1252.78859110671</v>
      </c>
      <c r="C928" s="58" t="n">
        <f aca="false">C927*C907</f>
        <v>-720.885833022274</v>
      </c>
      <c r="D928" s="58" t="n">
        <f aca="false">D927*D907</f>
        <v>627.229920857339</v>
      </c>
      <c r="E928" s="58" t="n">
        <f aca="false">E927*E907</f>
        <v>303.69985349209</v>
      </c>
      <c r="F928" s="58" t="n">
        <f aca="false">F927*F907</f>
        <v>317.381408136699</v>
      </c>
      <c r="G928" s="58" t="n">
        <f aca="false">G927*G907</f>
        <v>275.849893836012</v>
      </c>
      <c r="H928" s="58" t="n">
        <f aca="false">H927*H907</f>
        <v>251.43968847993</v>
      </c>
      <c r="I928" s="58" t="n">
        <f aca="false">I927*I907</f>
        <v>364.153874300909</v>
      </c>
      <c r="J928" s="58" t="n">
        <f aca="false">J927*J907</f>
        <v>360.986558580439</v>
      </c>
      <c r="K928" s="58" t="n">
        <f aca="false">K927*K907</f>
        <v>372.670279054387</v>
      </c>
      <c r="L928" s="58" t="n">
        <f aca="false">L927*L907</f>
        <v>541.229700184079</v>
      </c>
    </row>
    <row r="929" customFormat="false" ht="15" hidden="true" customHeight="false" outlineLevel="1" collapsed="false">
      <c r="A929" s="6" t="s">
        <v>423</v>
      </c>
      <c r="B929" s="29" t="n">
        <f aca="false">B927</f>
        <v>-1181.87602934595</v>
      </c>
      <c r="C929" s="29" t="n">
        <f aca="false">B929+C927</f>
        <v>-1829.57219558339</v>
      </c>
      <c r="D929" s="29" t="n">
        <f aca="false">C929+D927</f>
        <v>-1290.29095572789</v>
      </c>
      <c r="E929" s="29" t="n">
        <f aca="false">D929+E927</f>
        <v>-1039.21808496071</v>
      </c>
      <c r="F929" s="29" t="n">
        <f aca="false">E929+F927</f>
        <v>-786.926160648125</v>
      </c>
      <c r="G929" s="29" t="n">
        <f aca="false">F929+G927</f>
        <v>-576.082111279443</v>
      </c>
      <c r="H929" s="29" t="n">
        <f aca="false">G929+H927</f>
        <v>-391.287621191571</v>
      </c>
      <c r="I929" s="29" t="n">
        <f aca="false">H929+I927</f>
        <v>-133.947925193983</v>
      </c>
      <c r="J929" s="29" t="n">
        <f aca="false">I929+J927</f>
        <v>111.341903872213</v>
      </c>
      <c r="K929" s="29" t="n">
        <f aca="false">J929+K927</f>
        <v>354.831230537429</v>
      </c>
      <c r="L929" s="29" t="n">
        <f aca="false">K929+L927</f>
        <v>694.850438575249</v>
      </c>
    </row>
    <row r="930" customFormat="false" ht="15" hidden="true" customHeight="false" outlineLevel="1" collapsed="false">
      <c r="A930" s="9" t="s">
        <v>424</v>
      </c>
      <c r="B930" s="60" t="n">
        <v>0</v>
      </c>
      <c r="C930" s="60" t="n">
        <f aca="false">IF(AND(B929&lt;0,C929&gt;=0),B$43+(-B929)/C927,0)</f>
        <v>0</v>
      </c>
      <c r="D930" s="60" t="n">
        <f aca="false">IF(AND(C929&lt;0,D929&gt;=0),C$43+(-C929)/D927,0)</f>
        <v>0</v>
      </c>
      <c r="E930" s="60" t="n">
        <f aca="false">IF(AND(D929&lt;0,E929&gt;=0),D$43+(-D929)/E927,0)</f>
        <v>0</v>
      </c>
      <c r="F930" s="60" t="n">
        <f aca="false">IF(AND(E929&lt;0,F929&gt;=0),E$43+(-E929)/F927,0)</f>
        <v>0</v>
      </c>
      <c r="G930" s="60" t="n">
        <f aca="false">IF(AND(F929&lt;0,G929&gt;=0),F$43+(-F929)/G927,0)</f>
        <v>0</v>
      </c>
      <c r="H930" s="60" t="n">
        <f aca="false">IF(AND(G929&lt;0,H929&gt;=0),G$43+(-G929)/H927,0)</f>
        <v>0</v>
      </c>
      <c r="I930" s="60" t="n">
        <f aca="false">IF(AND(H929&lt;0,I929&gt;=0),H$43+(-H929)/I927,0)</f>
        <v>0</v>
      </c>
      <c r="J930" s="60" t="n">
        <f aca="false">IF(AND(I929&lt;0,J929&gt;=0),I$43+(-I929)/J927,0)</f>
        <v>7.54608022560053</v>
      </c>
      <c r="K930" s="60" t="n">
        <f aca="false">IF(AND(J929&lt;0,K929&gt;=0),J$43+(-J929)/K927,0)</f>
        <v>0</v>
      </c>
      <c r="L930" s="60" t="n">
        <f aca="false">IF(AND(K929&lt;0,L929&gt;=0),K$43+(-K929)/L927,0)</f>
        <v>0</v>
      </c>
    </row>
    <row r="931" customFormat="false" ht="15" hidden="true" customHeight="false" outlineLevel="1" collapsed="false">
      <c r="A931" s="9" t="s">
        <v>425</v>
      </c>
      <c r="B931" s="57" t="n">
        <f aca="false">(B907/$B$907)/(1+$V$25)^B$43</f>
        <v>1</v>
      </c>
      <c r="C931" s="57" t="n">
        <f aca="false">(C907/$B$907)/(1+$V$25)^C$43</f>
        <v>0.915373701313561</v>
      </c>
      <c r="D931" s="57" t="n">
        <f aca="false">(D907/$B$907)/(1+$V$25)^D$43</f>
        <v>0.833918970137172</v>
      </c>
      <c r="E931" s="57" t="n">
        <f aca="false">(E907/$B$907)/(1+$V$25)^E$43</f>
        <v>0.756077518153961</v>
      </c>
      <c r="F931" s="57" t="n">
        <f aca="false">(F907/$B$907)/(1+$V$25)^F$43</f>
        <v>0.685502109831871</v>
      </c>
      <c r="G931" s="57" t="n">
        <f aca="false">(G907/$B$907)/(1+$V$25)^G$43</f>
        <v>0.621514502549008</v>
      </c>
      <c r="H931" s="57" t="n">
        <f aca="false">(H907/$B$907)/(1+$V$25)^H$43</f>
        <v>0.563499763660072</v>
      </c>
      <c r="I931" s="57" t="n">
        <f aca="false">(I907/$B$907)/(1+$V$25)^I$43</f>
        <v>0.510900360880829</v>
      </c>
      <c r="J931" s="57" t="n">
        <f aca="false">(J907/$B$907)/(1+$V$25)^J$43</f>
        <v>0.463210804300567</v>
      </c>
      <c r="K931" s="57" t="n">
        <f aca="false">(K907/$B$907)/(1+$V$25)^K$43</f>
        <v>0.419972788531318</v>
      </c>
      <c r="L931" s="57" t="n">
        <f aca="false">(L907/$B$907)/(1+$V$25)^L$43</f>
        <v>0.380770788308996</v>
      </c>
    </row>
    <row r="932" customFormat="false" ht="15" hidden="true" customHeight="false" outlineLevel="1" collapsed="false">
      <c r="A932" s="9" t="s">
        <v>426</v>
      </c>
      <c r="B932" s="58" t="n">
        <f aca="false">B927*B931</f>
        <v>-1181.87602934595</v>
      </c>
      <c r="C932" s="58" t="n">
        <f aca="false">C927*C931</f>
        <v>-592.884037015372</v>
      </c>
      <c r="D932" s="58" t="n">
        <f aca="false">D927*D931</f>
        <v>449.7168561546</v>
      </c>
      <c r="E932" s="58" t="n">
        <f aca="false">E927*E931</f>
        <v>189.830553005437</v>
      </c>
      <c r="F932" s="58" t="n">
        <f aca="false">F927*F931</f>
        <v>172.946646409823</v>
      </c>
      <c r="G932" s="58" t="n">
        <f aca="false">G927*G931</f>
        <v>131.042634458794</v>
      </c>
      <c r="H932" s="58" t="n">
        <f aca="false">H927*H931</f>
        <v>104.1316514902</v>
      </c>
      <c r="I932" s="58" t="n">
        <f aca="false">I927*I931</f>
        <v>131.474943554131</v>
      </c>
      <c r="J932" s="58" t="n">
        <f aca="false">J927*J931</f>
        <v>113.620899008501</v>
      </c>
      <c r="K932" s="58" t="n">
        <f aca="false">K927*K931</f>
        <v>102.258891497204</v>
      </c>
      <c r="L932" s="58" t="n">
        <f aca="false">L927*L931</f>
        <v>129.469381884761</v>
      </c>
    </row>
    <row r="933" customFormat="false" ht="15" hidden="true" customHeight="false" outlineLevel="1" collapsed="false">
      <c r="A933" s="9" t="s">
        <v>427</v>
      </c>
      <c r="B933" s="58" t="n">
        <f aca="false">B932</f>
        <v>-1181.87602934595</v>
      </c>
      <c r="C933" s="58" t="n">
        <f aca="false">B933+C932</f>
        <v>-1774.76006636132</v>
      </c>
      <c r="D933" s="58" t="n">
        <f aca="false">C933+D932</f>
        <v>-1325.04321020672</v>
      </c>
      <c r="E933" s="58" t="n">
        <f aca="false">D933+E932</f>
        <v>-1135.21265720129</v>
      </c>
      <c r="F933" s="58" t="n">
        <f aca="false">E933+F932</f>
        <v>-962.266010791464</v>
      </c>
      <c r="G933" s="58" t="n">
        <f aca="false">F933+G932</f>
        <v>-831.22337633267</v>
      </c>
      <c r="H933" s="58" t="n">
        <f aca="false">G933+H932</f>
        <v>-727.09172484247</v>
      </c>
      <c r="I933" s="58" t="n">
        <f aca="false">H933+I932</f>
        <v>-595.61678128834</v>
      </c>
      <c r="J933" s="58" t="n">
        <f aca="false">I933+J932</f>
        <v>-481.995882279838</v>
      </c>
      <c r="K933" s="58" t="n">
        <f aca="false">J933+K932</f>
        <v>-379.736990782634</v>
      </c>
      <c r="L933" s="58" t="n">
        <f aca="false">K933+L932</f>
        <v>-250.267608897874</v>
      </c>
    </row>
    <row r="934" customFormat="false" ht="15" hidden="true" customHeight="false" outlineLevel="1" collapsed="false">
      <c r="A934" s="9" t="s">
        <v>428</v>
      </c>
      <c r="B934" s="60" t="n">
        <v>0</v>
      </c>
      <c r="C934" s="60" t="n">
        <f aca="false">IF(AND(B933&lt;0,C933&gt;=0),B$43+(-B933)/C932,0)</f>
        <v>0</v>
      </c>
      <c r="D934" s="60" t="n">
        <f aca="false">IF(AND(C933&lt;0,D933&gt;=0),C$43+(-C933)/D932,0)</f>
        <v>0</v>
      </c>
      <c r="E934" s="60" t="n">
        <f aca="false">IF(AND(D933&lt;0,E933&gt;=0),D$43+(-D933)/E932,0)</f>
        <v>0</v>
      </c>
      <c r="F934" s="60" t="n">
        <f aca="false">IF(AND(E933&lt;0,F933&gt;=0),E$43+(-E933)/F932,0)</f>
        <v>0</v>
      </c>
      <c r="G934" s="60" t="n">
        <f aca="false">IF(AND(F933&lt;0,G933&gt;=0),F$43+(-F933)/G932,0)</f>
        <v>0</v>
      </c>
      <c r="H934" s="60" t="n">
        <f aca="false">IF(AND(G933&lt;0,H933&gt;=0),G$43+(-G933)/H932,0)</f>
        <v>0</v>
      </c>
      <c r="I934" s="60" t="n">
        <f aca="false">IF(AND(H933&lt;0,I933&gt;=0),H$43+(-H933)/I932,0)</f>
        <v>0</v>
      </c>
      <c r="J934" s="60" t="n">
        <f aca="false">IF(AND(I933&lt;0,J933&gt;=0),I$43+(-I933)/J932,0)</f>
        <v>0</v>
      </c>
      <c r="K934" s="60" t="n">
        <f aca="false">IF(AND(J933&lt;0,K933&gt;=0),J$43+(-J933)/K932,0)</f>
        <v>0</v>
      </c>
      <c r="L934" s="60" t="n">
        <f aca="false">IF(AND(K933&lt;0,L933&gt;=0),K$43+(-K933)/L932,0)</f>
        <v>0</v>
      </c>
    </row>
    <row r="935" customFormat="false" ht="15" hidden="true" customHeight="false" outlineLevel="1" collapsed="false">
      <c r="A935" s="9" t="s">
        <v>429</v>
      </c>
      <c r="B935" s="58" t="n">
        <f aca="false">IF(B$43&lt;0,0,(Quesería!$B$44*$B$910*$B$907)*(1-MAX(0,MIN(B$43-0-Quesería!$B$47,(Quesería!$B$46-Quesería!$B$47)))/(Quesería!$B$46-Quesería!$B$47))*IF(B$43&gt;=2,1-Quesería!$B$48,1))+IF(B$43&lt;1,0,(Quesería!$B$44*$C$910*$C$907)*(1-MAX(0,MIN(B$43-1-Quesería!$B$47,(Quesería!$B$46-Quesería!$B$47)))/(Quesería!$B$46-Quesería!$B$47))*IF(B$43&gt;=2,1-Quesería!$B$48,1))</f>
        <v>769.585637962111</v>
      </c>
      <c r="C935" s="58" t="n">
        <f aca="false">IF(C$43&lt;0,0,(Quesería!$B$44*$B$910*$B$907)*(1-MAX(0,MIN(C$43-0-Quesería!$B$47,(Quesería!$B$46-Quesería!$B$47)))/(Quesería!$B$46-Quesería!$B$47))*IF(C$43&gt;=2,1-Quesería!$B$48,1))+IF(C$43&lt;1,0,(Quesería!$B$44*$C$910*$C$907)*(1-MAX(0,MIN(C$43-1-Quesería!$B$47,(Quesería!$B$46-Quesería!$B$47)))/(Quesería!$B$46-Quesería!$B$47))*IF(C$43&gt;=2,1-Quesería!$B$48,1))</f>
        <v>1428.04297350491</v>
      </c>
      <c r="D935" s="58" t="n">
        <f aca="false">IF(D$43&lt;0,0,(Quesería!$B$44*$B$910*$B$907)*(1-MAX(0,MIN(D$43-0-Quesería!$B$47,(Quesería!$B$46-Quesería!$B$47)))/(Quesería!$B$46-Quesería!$B$47))*IF(D$43&gt;=2,1-Quesería!$B$48,1))+IF(D$43&lt;1,0,(Quesería!$B$44*$C$910*$C$907)*(1-MAX(0,MIN(D$43-1-Quesería!$B$47,(Quesería!$B$46-Quesería!$B$47)))/(Quesería!$B$46-Quesería!$B$47))*IF(D$43&gt;=2,1-Quesería!$B$48,1))</f>
        <v>1299.77870051122</v>
      </c>
      <c r="E935" s="58" t="n">
        <f aca="false">IF(E$43&lt;0,0,(Quesería!$B$44*$B$910*$B$907)*(1-MAX(0,MIN(E$43-0-Quesería!$B$47,(Quesería!$B$46-Quesería!$B$47)))/(Quesería!$B$46-Quesería!$B$47))*IF(E$43&gt;=2,1-Quesería!$B$48,1))+IF(E$43&lt;1,0,(Quesería!$B$44*$C$910*$C$907)*(1-MAX(0,MIN(E$43-1-Quesería!$B$47,(Quesería!$B$46-Quesería!$B$47)))/(Quesería!$B$46-Quesería!$B$47))*IF(E$43&gt;=2,1-Quesería!$B$48,1))</f>
        <v>1061.77153826041</v>
      </c>
      <c r="F935" s="58" t="n">
        <f aca="false">IF(F$43&lt;0,0,(Quesería!$B$44*$B$910*$B$907)*(1-MAX(0,MIN(F$43-0-Quesería!$B$47,(Quesería!$B$46-Quesería!$B$47)))/(Quesería!$B$46-Quesería!$B$47))*IF(F$43&gt;=2,1-Quesería!$B$48,1))+IF(F$43&lt;1,0,(Quesería!$B$44*$C$910*$C$907)*(1-MAX(0,MIN(F$43-1-Quesería!$B$47,(Quesería!$B$46-Quesería!$B$47)))/(Quesería!$B$46-Quesería!$B$47))*IF(F$43&gt;=2,1-Quesería!$B$48,1))</f>
        <v>823.764376009588</v>
      </c>
      <c r="G935" s="58" t="n">
        <f aca="false">IF(G$43&lt;0,0,(Quesería!$B$44*$B$910*$B$907)*(1-MAX(0,MIN(G$43-0-Quesería!$B$47,(Quesería!$B$46-Quesería!$B$47)))/(Quesería!$B$46-Quesería!$B$47))*IF(G$43&gt;=2,1-Quesería!$B$48,1))+IF(G$43&lt;1,0,(Quesería!$B$44*$C$910*$C$907)*(1-MAX(0,MIN(G$43-1-Quesería!$B$47,(Quesería!$B$46-Quesería!$B$47)))/(Quesería!$B$46-Quesería!$B$47))*IF(G$43&gt;=2,1-Quesería!$B$48,1))</f>
        <v>585.75721375877</v>
      </c>
      <c r="H935" s="58" t="n">
        <f aca="false">IF(H$43&lt;0,0,(Quesería!$B$44*$B$910*$B$907)*(1-MAX(0,MIN(H$43-0-Quesería!$B$47,(Quesería!$B$46-Quesería!$B$47)))/(Quesería!$B$46-Quesería!$B$47))*IF(H$43&gt;=2,1-Quesería!$B$48,1))+IF(H$43&lt;1,0,(Quesería!$B$44*$C$910*$C$907)*(1-MAX(0,MIN(H$43-1-Quesería!$B$47,(Quesería!$B$46-Quesería!$B$47)))/(Quesería!$B$46-Quesería!$B$47))*IF(H$43&gt;=2,1-Quesería!$B$48,1))</f>
        <v>347.750051507951</v>
      </c>
      <c r="I935" s="58" t="n">
        <f aca="false">IF(I$43&lt;0,0,(Quesería!$B$44*$B$910*$B$907)*(1-MAX(0,MIN(I$43-0-Quesería!$B$47,(Quesería!$B$46-Quesería!$B$47)))/(Quesería!$B$46-Quesería!$B$47))*IF(I$43&gt;=2,1-Quesería!$B$48,1))+IF(I$43&lt;1,0,(Quesería!$B$44*$C$910*$C$907)*(1-MAX(0,MIN(I$43-1-Quesería!$B$47,(Quesería!$B$46-Quesería!$B$47)))/(Quesería!$B$46-Quesería!$B$47))*IF(I$43&gt;=2,1-Quesería!$B$48,1))</f>
        <v>109.742889257133</v>
      </c>
      <c r="J935" s="58" t="n">
        <f aca="false">IF(J$43&lt;0,0,(Quesería!$B$44*$B$910*$B$907)*(1-MAX(0,MIN(J$43-0-Quesería!$B$47,(Quesería!$B$46-Quesería!$B$47)))/(Quesería!$B$46-Quesería!$B$47))*IF(J$43&gt;=2,1-Quesería!$B$48,1))+IF(J$43&lt;1,0,(Quesería!$B$44*$C$910*$C$907)*(1-MAX(0,MIN(J$43-1-Quesería!$B$47,(Quesería!$B$46-Quesería!$B$47)))/(Quesería!$B$46-Quesería!$B$47))*IF(J$43&gt;=2,1-Quesería!$B$48,1))</f>
        <v>0</v>
      </c>
      <c r="K935" s="58" t="n">
        <f aca="false">IF(K$43&lt;0,0,(Quesería!$B$44*$B$910*$B$907)*(1-MAX(0,MIN(K$43-0-Quesería!$B$47,(Quesería!$B$46-Quesería!$B$47)))/(Quesería!$B$46-Quesería!$B$47))*IF(K$43&gt;=2,1-Quesería!$B$48,1))+IF(K$43&lt;1,0,(Quesería!$B$44*$C$910*$C$907)*(1-MAX(0,MIN(K$43-1-Quesería!$B$47,(Quesería!$B$46-Quesería!$B$47)))/(Quesería!$B$46-Quesería!$B$47))*IF(K$43&gt;=2,1-Quesería!$B$48,1))</f>
        <v>0</v>
      </c>
      <c r="L935" s="58" t="n">
        <f aca="false">IF(L$43&lt;0,0,(Quesería!$B$44*$B$910*$B$907)*(1-MAX(0,MIN(L$43-0-Quesería!$B$47,(Quesería!$B$46-Quesería!$B$47)))/(Quesería!$B$46-Quesería!$B$47))*IF(L$43&gt;=2,1-Quesería!$B$48,1))+IF(L$43&lt;1,0,(Quesería!$B$44*$C$910*$C$907)*(1-MAX(0,MIN(L$43-1-Quesería!$B$47,(Quesería!$B$46-Quesería!$B$47)))/(Quesería!$B$46-Quesería!$B$47))*IF(L$43&gt;=2,1-Quesería!$B$48,1))</f>
        <v>0</v>
      </c>
    </row>
    <row r="936" customFormat="false" ht="15" hidden="true" customHeight="false" outlineLevel="1" collapsed="false">
      <c r="A936" s="6" t="s">
        <v>430</v>
      </c>
      <c r="B936" s="29" t="n">
        <f aca="false">Quesería!$B$44*B910</f>
        <v>726.024186756708</v>
      </c>
      <c r="C936" s="29" t="n">
        <f aca="false">Quesería!$B$44*C910</f>
        <v>591.605872006109</v>
      </c>
      <c r="D936" s="29" t="n">
        <f aca="false">Quesería!$B$44*D910</f>
        <v>0</v>
      </c>
      <c r="E936" s="29" t="n">
        <f aca="false">Quesería!$B$44*E910</f>
        <v>0</v>
      </c>
      <c r="F936" s="29" t="n">
        <f aca="false">Quesería!$B$44*F910</f>
        <v>0</v>
      </c>
      <c r="G936" s="29" t="n">
        <f aca="false">Quesería!$B$44*G910</f>
        <v>0</v>
      </c>
      <c r="H936" s="29" t="n">
        <f aca="false">Quesería!$B$44*H910</f>
        <v>0</v>
      </c>
      <c r="I936" s="29" t="n">
        <f aca="false">Quesería!$B$44*I910</f>
        <v>0</v>
      </c>
      <c r="J936" s="29" t="n">
        <f aca="false">Quesería!$B$44*J910</f>
        <v>0</v>
      </c>
      <c r="K936" s="29" t="n">
        <f aca="false">Quesería!$B$44*K910</f>
        <v>0</v>
      </c>
      <c r="L936" s="29" t="n">
        <f aca="false">Quesería!$B$44*L910</f>
        <v>0</v>
      </c>
    </row>
    <row r="937" customFormat="false" ht="15" hidden="true" customHeight="false" outlineLevel="1" collapsed="false">
      <c r="A937" s="6" t="s">
        <v>431</v>
      </c>
      <c r="B937" s="29" t="n">
        <f aca="false">(IF(AND(B$43&gt;0,B$43&lt;=0+Quesería!$B$46),($V$14+$V$24)*(Quesería!$B$44*$B$910*$B$907)*(1-MAX(0,MIN((B$43-1)-0-Quesería!$B$47,(Quesería!$B$46-Quesería!$B$47)))/(Quesería!$B$46-Quesería!$B$47))*IF(B$43&gt;2,1-Quesería!$B$48,1),0)+IF(AND(B$43&gt;1,B$43&lt;=1+Quesería!$B$46),($V$14+$V$24)*(Quesería!$B$44*$C$910*$C$907)*(1-MAX(0,MIN((B$43-1)-1-Quesería!$B$47,(Quesería!$B$46-Quesería!$B$47)))/(Quesería!$B$46-Quesería!$B$47))*IF(B$43&gt;2,1-Quesería!$B$48,1),0))*B909</f>
        <v>0</v>
      </c>
      <c r="C937" s="29" t="n">
        <f aca="false">(IF(AND(C$43&gt;0,C$43&lt;=0+Quesería!$B$46),($V$14+$V$24)*(Quesería!$B$44*$B$910*$B$907)*(1-MAX(0,MIN((C$43-1)-0-Quesería!$B$47,(Quesería!$B$46-Quesería!$B$47)))/(Quesería!$B$46-Quesería!$B$47))*IF(C$43&gt;2,1-Quesería!$B$48,1),0)+IF(AND(C$43&gt;1,C$43&lt;=1+Quesería!$B$46),($V$14+$V$24)*(Quesería!$B$44*$C$910*$C$907)*(1-MAX(0,MIN((C$43-1)-1-Quesería!$B$47,(Quesería!$B$46-Quesería!$B$47)))/(Quesería!$B$46-Quesería!$B$47))*IF(C$43&gt;2,1-Quesería!$B$48,1),0))*C909</f>
        <v>97.4946765073293</v>
      </c>
      <c r="D937" s="29" t="n">
        <f aca="false">(IF(AND(D$43&gt;0,D$43&lt;=0+Quesería!$B$46),($V$14+$V$24)*(Quesería!$B$44*$B$910*$B$907)*(1-MAX(0,MIN((D$43-1)-0-Quesería!$B$47,(Quesería!$B$46-Quesería!$B$47)))/(Quesería!$B$46-Quesería!$B$47))*IF(D$43&gt;2,1-Quesería!$B$48,1),0)+IF(AND(D$43&gt;1,D$43&lt;=1+Quesería!$B$46),($V$14+$V$24)*(Quesería!$B$44*$C$910*$C$907)*(1-MAX(0,MIN((D$43-1)-1-Quesería!$B$47,(Quesería!$B$46-Quesería!$B$47)))/(Quesería!$B$46-Quesería!$B$47))*IF(D$43&gt;2,1-Quesería!$B$48,1),0))*D909</f>
        <v>173.120674124584</v>
      </c>
      <c r="E937" s="29" t="n">
        <f aca="false">(IF(AND(E$43&gt;0,E$43&lt;=0+Quesería!$B$46),($V$14+$V$24)*(Quesería!$B$44*$B$910*$B$907)*(1-MAX(0,MIN((E$43-1)-0-Quesería!$B$47,(Quesería!$B$46-Quesería!$B$47)))/(Quesería!$B$46-Quesería!$B$47))*IF(E$43&gt;2,1-Quesería!$B$48,1),0)+IF(AND(E$43&gt;1,E$43&lt;=1+Quesería!$B$46),($V$14+$V$24)*(Quesería!$B$44*$C$910*$C$907)*(1-MAX(0,MIN((E$43-1)-1-Quesería!$B$47,(Quesería!$B$46-Quesería!$B$47)))/(Quesería!$B$46-Quesería!$B$47))*IF(E$43&gt;2,1-Quesería!$B$48,1),0))*E909</f>
        <v>151.510849934642</v>
      </c>
      <c r="F937" s="29" t="n">
        <f aca="false">(IF(AND(F$43&gt;0,F$43&lt;=0+Quesería!$B$46),($V$14+$V$24)*(Quesería!$B$44*$B$910*$B$907)*(1-MAX(0,MIN((F$43-1)-0-Quesería!$B$47,(Quesería!$B$46-Quesería!$B$47)))/(Quesería!$B$46-Quesería!$B$47))*IF(F$43&gt;2,1-Quesería!$B$48,1),0)+IF(AND(F$43&gt;1,F$43&lt;=1+Quesería!$B$46),($V$14+$V$24)*(Quesería!$B$44*$C$910*$C$907)*(1-MAX(0,MIN((F$43-1)-1-Quesería!$B$47,(Quesería!$B$46-Quesería!$B$47)))/(Quesería!$B$46-Quesería!$B$47))*IF(F$43&gt;2,1-Quesería!$B$48,1),0))*F909</f>
        <v>119.006877075256</v>
      </c>
      <c r="G937" s="29" t="n">
        <f aca="false">(IF(AND(G$43&gt;0,G$43&lt;=0+Quesería!$B$46),($V$14+$V$24)*(Quesería!$B$44*$B$910*$B$907)*(1-MAX(0,MIN((G$43-1)-0-Quesería!$B$47,(Quesería!$B$46-Quesería!$B$47)))/(Quesería!$B$46-Quesería!$B$47))*IF(G$43&gt;2,1-Quesería!$B$48,1),0)+IF(AND(G$43&gt;1,G$43&lt;=1+Quesería!$B$46),($V$14+$V$24)*(Quesería!$B$44*$C$910*$C$907)*(1-MAX(0,MIN((G$43-1)-1-Quesería!$B$47,(Quesería!$B$46-Quesería!$B$47)))/(Quesería!$B$46-Quesería!$B$47))*IF(G$43&gt;2,1-Quesería!$B$48,1),0))*G909</f>
        <v>88.7790813442038</v>
      </c>
      <c r="H937" s="29" t="n">
        <f aca="false">(IF(AND(H$43&gt;0,H$43&lt;=0+Quesería!$B$46),($V$14+$V$24)*(Quesería!$B$44*$B$910*$B$907)*(1-MAX(0,MIN((H$43-1)-0-Quesería!$B$47,(Quesería!$B$46-Quesería!$B$47)))/(Quesería!$B$46-Quesería!$B$47))*IF(H$43&gt;2,1-Quesería!$B$48,1),0)+IF(AND(H$43&gt;1,H$43&lt;=1+Quesería!$B$46),($V$14+$V$24)*(Quesería!$B$44*$C$910*$C$907)*(1-MAX(0,MIN((H$43-1)-1-Quesería!$B$47,(Quesería!$B$46-Quesería!$B$47)))/(Quesería!$B$46-Quesería!$B$47))*IF(H$43&gt;2,1-Quesería!$B$48,1),0))*H909</f>
        <v>60.7004549932392</v>
      </c>
      <c r="I937" s="29" t="n">
        <f aca="false">(IF(AND(I$43&gt;0,I$43&lt;=0+Quesería!$B$46),($V$14+$V$24)*(Quesería!$B$44*$B$910*$B$907)*(1-MAX(0,MIN((I$43-1)-0-Quesería!$B$47,(Quesería!$B$46-Quesería!$B$47)))/(Quesería!$B$46-Quesería!$B$47))*IF(I$43&gt;2,1-Quesería!$B$48,1),0)+IF(AND(I$43&gt;1,I$43&lt;=1+Quesería!$B$46),($V$14+$V$24)*(Quesería!$B$44*$C$910*$C$907)*(1-MAX(0,MIN((I$43-1)-1-Quesería!$B$47,(Quesería!$B$46-Quesería!$B$47)))/(Quesería!$B$46-Quesería!$B$47))*IF(I$43&gt;2,1-Quesería!$B$48,1),0))*I909</f>
        <v>34.6503929749758</v>
      </c>
      <c r="J937" s="29" t="n">
        <f aca="false">(IF(AND(J$43&gt;0,J$43&lt;=0+Quesería!$B$46),($V$14+$V$24)*(Quesería!$B$44*$B$910*$B$907)*(1-MAX(0,MIN((J$43-1)-0-Quesería!$B$47,(Quesería!$B$46-Quesería!$B$47)))/(Quesería!$B$46-Quesería!$B$47))*IF(J$43&gt;2,1-Quesería!$B$48,1),0)+IF(AND(J$43&gt;1,J$43&lt;=1+Quesería!$B$46),($V$14+$V$24)*(Quesería!$B$44*$C$910*$C$907)*(1-MAX(0,MIN((J$43-1)-1-Quesería!$B$47,(Quesería!$B$46-Quesería!$B$47)))/(Quesería!$B$46-Quesería!$B$47))*IF(J$43&gt;2,1-Quesería!$B$48,1),0))*J909</f>
        <v>10.5143883087191</v>
      </c>
      <c r="K937" s="29" t="n">
        <f aca="false">(IF(AND(K$43&gt;0,K$43&lt;=0+Quesería!$B$46),($V$14+$V$24)*(Quesería!$B$44*$B$910*$B$907)*(1-MAX(0,MIN((K$43-1)-0-Quesería!$B$47,(Quesería!$B$46-Quesería!$B$47)))/(Quesería!$B$46-Quesería!$B$47))*IF(K$43&gt;2,1-Quesería!$B$48,1),0)+IF(AND(K$43&gt;1,K$43&lt;=1+Quesería!$B$46),($V$14+$V$24)*(Quesería!$B$44*$C$910*$C$907)*(1-MAX(0,MIN((K$43-1)-1-Quesería!$B$47,(Quesería!$B$46-Quesería!$B$47)))/(Quesería!$B$46-Quesería!$B$47))*IF(K$43&gt;2,1-Quesería!$B$48,1),0))*K909</f>
        <v>0</v>
      </c>
      <c r="L937" s="29" t="n">
        <f aca="false">(IF(AND(L$43&gt;0,L$43&lt;=0+Quesería!$B$46),($V$14+$V$24)*(Quesería!$B$44*$B$910*$B$907)*(1-MAX(0,MIN((L$43-1)-0-Quesería!$B$47,(Quesería!$B$46-Quesería!$B$47)))/(Quesería!$B$46-Quesería!$B$47))*IF(L$43&gt;2,1-Quesería!$B$48,1),0)+IF(AND(L$43&gt;1,L$43&lt;=1+Quesería!$B$46),($V$14+$V$24)*(Quesería!$B$44*$C$910*$C$907)*(1-MAX(0,MIN((L$43-1)-1-Quesería!$B$47,(Quesería!$B$46-Quesería!$B$47)))/(Quesería!$B$46-Quesería!$B$47))*IF(L$43&gt;2,1-Quesería!$B$48,1),0))*L909</f>
        <v>0</v>
      </c>
    </row>
    <row r="938" customFormat="false" ht="15" hidden="true" customHeight="false" outlineLevel="1" collapsed="false">
      <c r="A938" s="6" t="s">
        <v>432</v>
      </c>
      <c r="B938" s="29" t="n">
        <f aca="false">((IF(AND(B$43&gt;0+Quesería!$B$47,B$43&lt;=0+Quesería!$B$46),(Quesería!$B$44*$B$910*$B$907)/(Quesería!$B$46-Quesería!$B$47),0)*IF(B$43&gt;2,1-Quesería!$B$48,1)+IF(B$43=2,Quesería!$B$48*(Quesería!$B$44*$B$910*$B$907)*(1-MAX(0,MIN(2-0-Quesería!$B$47,(Quesería!$B$46-Quesería!$B$47)))/(Quesería!$B$46-Quesería!$B$47)),0))+(IF(AND(B$43&gt;1+Quesería!$B$47,B$43&lt;=1+Quesería!$B$46),(Quesería!$B$44*$C$910*$C$907)/(Quesería!$B$46-Quesería!$B$47),0)*IF(B$43&gt;2,1-Quesería!$B$48,1)+IF(B$43=2,Quesería!$B$48*(Quesería!$B$44*$C$910*$C$907)*(1-MAX(0,MIN(2-1-Quesería!$B$47,(Quesería!$B$46-Quesería!$B$47)))/(Quesería!$B$46-Quesería!$B$47)),0)))*B909</f>
        <v>0</v>
      </c>
      <c r="C938" s="29" t="n">
        <f aca="false">((IF(AND(C$43&gt;0+Quesería!$B$47,C$43&lt;=0+Quesería!$B$46),(Quesería!$B$44*$B$910*$B$907)/(Quesería!$B$46-Quesería!$B$47),0)*IF(C$43&gt;2,1-Quesería!$B$48,1)+IF(C$43=2,Quesería!$B$48*(Quesería!$B$44*$B$910*$B$907)*(1-MAX(0,MIN(2-0-Quesería!$B$47,(Quesería!$B$46-Quesería!$B$47)))/(Quesería!$B$46-Quesería!$B$47)),0))+(IF(AND(C$43&gt;1+Quesería!$B$47,C$43&lt;=1+Quesería!$B$46),(Quesería!$B$44*$C$910*$C$907)/(Quesería!$B$46-Quesería!$B$47),0)*IF(C$43&gt;2,1-Quesería!$B$48,1)+IF(C$43=2,Quesería!$B$48*(Quesería!$B$44*$C$910*$C$907)*(1-MAX(0,MIN(2-1-Quesería!$B$47,(Quesería!$B$46-Quesería!$B$47)))/(Quesería!$B$46-Quesería!$B$47)),0)))*C909</f>
        <v>0</v>
      </c>
      <c r="D938" s="29" t="n">
        <f aca="false">((IF(AND(D$43&gt;0+Quesería!$B$47,D$43&lt;=0+Quesería!$B$46),(Quesería!$B$44*$B$910*$B$907)/(Quesería!$B$46-Quesería!$B$47),0)*IF(D$43&gt;2,1-Quesería!$B$48,1)+IF(D$43=2,Quesería!$B$48*(Quesería!$B$44*$B$910*$B$907)*(1-MAX(0,MIN(2-0-Quesería!$B$47,(Quesería!$B$46-Quesería!$B$47)))/(Quesería!$B$46-Quesería!$B$47)),0))+(IF(AND(D$43&gt;1+Quesería!$B$47,D$43&lt;=1+Quesería!$B$46),(Quesería!$B$44*$C$910*$C$907)/(Quesería!$B$46-Quesería!$B$47),0)*IF(D$43&gt;2,1-Quesería!$B$48,1)+IF(D$43=2,Quesería!$B$48*(Quesería!$B$44*$C$910*$C$907)*(1-MAX(0,MIN(2-1-Quesería!$B$47,(Quesería!$B$46-Quesería!$B$47)))/(Quesería!$B$46-Quesería!$B$47)),0)))*D909</f>
        <v>110.279363067777</v>
      </c>
      <c r="E938" s="29" t="n">
        <f aca="false">((IF(AND(E$43&gt;0+Quesería!$B$47,E$43&lt;=0+Quesería!$B$46),(Quesería!$B$44*$B$910*$B$907)/(Quesería!$B$46-Quesería!$B$47),0)*IF(E$43&gt;2,1-Quesería!$B$48,1)+IF(E$43=2,Quesería!$B$48*(Quesería!$B$44*$B$910*$B$907)*(1-MAX(0,MIN(2-0-Quesería!$B$47,(Quesería!$B$46-Quesería!$B$47)))/(Quesería!$B$46-Quesería!$B$47)),0))+(IF(AND(E$43&gt;1+Quesería!$B$47,E$43&lt;=1+Quesería!$B$46),(Quesería!$B$44*$C$910*$C$907)/(Quesería!$B$46-Quesería!$B$47),0)*IF(E$43&gt;2,1-Quesería!$B$48,1)+IF(E$43=2,Quesería!$B$48*(Quesería!$B$44*$C$910*$C$907)*(1-MAX(0,MIN(2-1-Quesería!$B$47,(Quesería!$B$46-Quesería!$B$47)))/(Quesería!$B$46-Quesería!$B$47)),0)))*E909</f>
        <v>196.763814016849</v>
      </c>
      <c r="F938" s="29" t="n">
        <f aca="false">((IF(AND(F$43&gt;0+Quesería!$B$47,F$43&lt;=0+Quesería!$B$46),(Quesería!$B$44*$B$910*$B$907)/(Quesería!$B$46-Quesería!$B$47),0)*IF(F$43&gt;2,1-Quesería!$B$48,1)+IF(F$43=2,Quesería!$B$48*(Quesería!$B$44*$B$910*$B$907)*(1-MAX(0,MIN(2-0-Quesería!$B$47,(Quesería!$B$46-Quesería!$B$47)))/(Quesería!$B$46-Quesería!$B$47)),0))+(IF(AND(F$43&gt;1+Quesería!$B$47,F$43&lt;=1+Quesería!$B$46),(Quesería!$B$44*$C$910*$C$907)/(Quesería!$B$46-Quesería!$B$47),0)*IF(F$43&gt;2,1-Quesería!$B$48,1)+IF(F$43=2,Quesería!$B$48*(Quesería!$B$44*$C$910*$C$907)*(1-MAX(0,MIN(2-1-Quesería!$B$47,(Quesería!$B$46-Quesería!$B$47)))/(Quesería!$B$46-Quesería!$B$47)),0)))*F909</f>
        <v>189.195975016201</v>
      </c>
      <c r="G938" s="29" t="n">
        <f aca="false">((IF(AND(G$43&gt;0+Quesería!$B$47,G$43&lt;=0+Quesería!$B$46),(Quesería!$B$44*$B$910*$B$907)/(Quesería!$B$46-Quesería!$B$47),0)*IF(G$43&gt;2,1-Quesería!$B$48,1)+IF(G$43=2,Quesería!$B$48*(Quesería!$B$44*$B$910*$B$907)*(1-MAX(0,MIN(2-0-Quesería!$B$47,(Quesería!$B$46-Quesería!$B$47)))/(Quesería!$B$46-Quesería!$B$47)),0))+(IF(AND(G$43&gt;1+Quesería!$B$47,G$43&lt;=1+Quesería!$B$46),(Quesería!$B$44*$C$910*$C$907)/(Quesería!$B$46-Quesería!$B$47),0)*IF(G$43&gt;2,1-Quesería!$B$48,1)+IF(G$43=2,Quesería!$B$48*(Quesería!$B$44*$C$910*$C$907)*(1-MAX(0,MIN(2-1-Quesería!$B$47,(Quesería!$B$46-Quesería!$B$47)))/(Quesería!$B$46-Quesería!$B$47)),0)))*G909</f>
        <v>181.919206746347</v>
      </c>
      <c r="H938" s="29" t="n">
        <f aca="false">((IF(AND(H$43&gt;0+Quesería!$B$47,H$43&lt;=0+Quesería!$B$46),(Quesería!$B$44*$B$910*$B$907)/(Quesería!$B$46-Quesería!$B$47),0)*IF(H$43&gt;2,1-Quesería!$B$48,1)+IF(H$43=2,Quesería!$B$48*(Quesería!$B$44*$B$910*$B$907)*(1-MAX(0,MIN(2-0-Quesería!$B$47,(Quesería!$B$46-Quesería!$B$47)))/(Quesería!$B$46-Quesería!$B$47)),0))+(IF(AND(H$43&gt;1+Quesería!$B$47,H$43&lt;=1+Quesería!$B$46),(Quesería!$B$44*$C$910*$C$907)/(Quesería!$B$46-Quesería!$B$47),0)*IF(H$43&gt;2,1-Quesería!$B$48,1)+IF(H$43=2,Quesería!$B$48*(Quesería!$B$44*$C$910*$C$907)*(1-MAX(0,MIN(2-1-Quesería!$B$47,(Quesería!$B$46-Quesería!$B$47)))/(Quesería!$B$46-Quesería!$B$47)),0)))*H909</f>
        <v>174.92231417918</v>
      </c>
      <c r="I938" s="29" t="n">
        <f aca="false">((IF(AND(I$43&gt;0+Quesería!$B$47,I$43&lt;=0+Quesería!$B$46),(Quesería!$B$44*$B$910*$B$907)/(Quesería!$B$46-Quesería!$B$47),0)*IF(I$43&gt;2,1-Quesería!$B$48,1)+IF(I$43=2,Quesería!$B$48*(Quesería!$B$44*$B$910*$B$907)*(1-MAX(0,MIN(2-0-Quesería!$B$47,(Quesería!$B$46-Quesería!$B$47)))/(Quesería!$B$46-Quesería!$B$47)),0))+(IF(AND(I$43&gt;1+Quesería!$B$47,I$43&lt;=1+Quesería!$B$46),(Quesería!$B$44*$C$910*$C$907)/(Quesería!$B$46-Quesería!$B$47),0)*IF(I$43&gt;2,1-Quesería!$B$48,1)+IF(I$43=2,Quesería!$B$48*(Quesería!$B$44*$C$910*$C$907)*(1-MAX(0,MIN(2-1-Quesería!$B$47,(Quesería!$B$46-Quesería!$B$47)))/(Quesería!$B$46-Quesería!$B$47)),0)))*I909</f>
        <v>168.194532864596</v>
      </c>
      <c r="J938" s="29" t="n">
        <f aca="false">((IF(AND(J$43&gt;0+Quesería!$B$47,J$43&lt;=0+Quesería!$B$46),(Quesería!$B$44*$B$910*$B$907)/(Quesería!$B$46-Quesería!$B$47),0)*IF(J$43&gt;2,1-Quesería!$B$48,1)+IF(J$43=2,Quesería!$B$48*(Quesería!$B$44*$B$910*$B$907)*(1-MAX(0,MIN(2-0-Quesería!$B$47,(Quesería!$B$46-Quesería!$B$47)))/(Quesería!$B$46-Quesería!$B$47)),0))+(IF(AND(J$43&gt;1+Quesería!$B$47,J$43&lt;=1+Quesería!$B$46),(Quesería!$B$44*$C$910*$C$907)/(Quesería!$B$46-Quesería!$B$47),0)*IF(J$43&gt;2,1-Quesería!$B$48,1)+IF(J$43=2,Quesería!$B$48*(Quesería!$B$44*$C$910*$C$907)*(1-MAX(0,MIN(2-1-Quesería!$B$47,(Quesería!$B$46-Quesería!$B$47)))/(Quesería!$B$46-Quesería!$B$47)),0)))*J909</f>
        <v>74.5701298490713</v>
      </c>
      <c r="K938" s="29" t="n">
        <f aca="false">((IF(AND(K$43&gt;0+Quesería!$B$47,K$43&lt;=0+Quesería!$B$46),(Quesería!$B$44*$B$910*$B$907)/(Quesería!$B$46-Quesería!$B$47),0)*IF(K$43&gt;2,1-Quesería!$B$48,1)+IF(K$43=2,Quesería!$B$48*(Quesería!$B$44*$B$910*$B$907)*(1-MAX(0,MIN(2-0-Quesería!$B$47,(Quesería!$B$46-Quesería!$B$47)))/(Quesería!$B$46-Quesería!$B$47)),0))+(IF(AND(K$43&gt;1+Quesería!$B$47,K$43&lt;=1+Quesería!$B$46),(Quesería!$B$44*$C$910*$C$907)/(Quesería!$B$46-Quesería!$B$47),0)*IF(K$43&gt;2,1-Quesería!$B$48,1)+IF(K$43=2,Quesería!$B$48*(Quesería!$B$44*$C$910*$C$907)*(1-MAX(0,MIN(2-1-Quesería!$B$47,(Quesería!$B$46-Quesería!$B$47)))/(Quesería!$B$46-Quesería!$B$47)),0)))*K909</f>
        <v>0</v>
      </c>
      <c r="L938" s="29" t="n">
        <f aca="false">((IF(AND(L$43&gt;0+Quesería!$B$47,L$43&lt;=0+Quesería!$B$46),(Quesería!$B$44*$B$910*$B$907)/(Quesería!$B$46-Quesería!$B$47),0)*IF(L$43&gt;2,1-Quesería!$B$48,1)+IF(L$43=2,Quesería!$B$48*(Quesería!$B$44*$B$910*$B$907)*(1-MAX(0,MIN(2-0-Quesería!$B$47,(Quesería!$B$46-Quesería!$B$47)))/(Quesería!$B$46-Quesería!$B$47)),0))+(IF(AND(L$43&gt;1+Quesería!$B$47,L$43&lt;=1+Quesería!$B$46),(Quesería!$B$44*$C$910*$C$907)/(Quesería!$B$46-Quesería!$B$47),0)*IF(L$43&gt;2,1-Quesería!$B$48,1)+IF(L$43=2,Quesería!$B$48*(Quesería!$B$44*$C$910*$C$907)*(1-MAX(0,MIN(2-1-Quesería!$B$47,(Quesería!$B$46-Quesería!$B$47)))/(Quesería!$B$46-Quesería!$B$47)),0)))*L909</f>
        <v>0</v>
      </c>
    </row>
    <row r="939" customFormat="false" ht="15" hidden="true" customHeight="false" outlineLevel="1" collapsed="false">
      <c r="A939" s="6" t="s">
        <v>433</v>
      </c>
      <c r="B939" s="29" t="n">
        <f aca="false">$V$13*Quesería!$B$51*(1+0.19)*B935*B909+(1-$V$13)*IF(B$43=0,Quesería!$B$50,0)</f>
        <v>4</v>
      </c>
      <c r="C939" s="29" t="n">
        <f aca="false">$V$13*Quesería!$B$51*(1+0.19)*C935*C909+(1-$V$13)*IF(C$43=0,Quesería!$B$50,0)</f>
        <v>0</v>
      </c>
      <c r="D939" s="29" t="n">
        <f aca="false">$V$13*Quesería!$B$51*(1+0.19)*D935*D909+(1-$V$13)*IF(D$43=0,Quesería!$B$50,0)</f>
        <v>0</v>
      </c>
      <c r="E939" s="29" t="n">
        <f aca="false">$V$13*Quesería!$B$51*(1+0.19)*E935*E909+(1-$V$13)*IF(E$43=0,Quesería!$B$50,0)</f>
        <v>0</v>
      </c>
      <c r="F939" s="29" t="n">
        <f aca="false">$V$13*Quesería!$B$51*(1+0.19)*F935*F909+(1-$V$13)*IF(F$43=0,Quesería!$B$50,0)</f>
        <v>0</v>
      </c>
      <c r="G939" s="29" t="n">
        <f aca="false">$V$13*Quesería!$B$51*(1+0.19)*G935*G909+(1-$V$13)*IF(G$43=0,Quesería!$B$50,0)</f>
        <v>0</v>
      </c>
      <c r="H939" s="29" t="n">
        <f aca="false">$V$13*Quesería!$B$51*(1+0.19)*H935*H909+(1-$V$13)*IF(H$43=0,Quesería!$B$50,0)</f>
        <v>0</v>
      </c>
      <c r="I939" s="29" t="n">
        <f aca="false">$V$13*Quesería!$B$51*(1+0.19)*I935*I909+(1-$V$13)*IF(I$43=0,Quesería!$B$50,0)</f>
        <v>0</v>
      </c>
      <c r="J939" s="29" t="n">
        <f aca="false">$V$13*Quesería!$B$51*(1+0.19)*J935*J909+(1-$V$13)*IF(J$43=0,Quesería!$B$50,0)</f>
        <v>0</v>
      </c>
      <c r="K939" s="29" t="n">
        <f aca="false">$V$13*Quesería!$B$51*(1+0.19)*K935*K909+(1-$V$13)*IF(K$43=0,Quesería!$B$50,0)</f>
        <v>0</v>
      </c>
      <c r="L939" s="29" t="n">
        <f aca="false">$V$13*Quesería!$B$51*(1+0.19)*L935*L909+(1-$V$13)*IF(L$43=0,Quesería!$B$50,0)</f>
        <v>0</v>
      </c>
    </row>
    <row r="940" customFormat="false" ht="15" hidden="true" customHeight="false" outlineLevel="1" collapsed="false">
      <c r="A940" s="6" t="s">
        <v>434</v>
      </c>
      <c r="B940" s="29" t="n">
        <f aca="false">Quesería!$B$52*(B937+B938+B939)</f>
        <v>0.016</v>
      </c>
      <c r="C940" s="29" t="n">
        <f aca="false">Quesería!$B$52*(C937+C938+C939)</f>
        <v>0.389978706029317</v>
      </c>
      <c r="D940" s="29" t="n">
        <f aca="false">Quesería!$B$52*(D937+D938+D939)</f>
        <v>1.13360014876944</v>
      </c>
      <c r="E940" s="29" t="n">
        <f aca="false">Quesería!$B$52*(E937+E938+E939)</f>
        <v>1.39309865580596</v>
      </c>
      <c r="F940" s="29" t="n">
        <f aca="false">Quesería!$B$52*(F937+F938+F939)</f>
        <v>1.23281140836583</v>
      </c>
      <c r="G940" s="29" t="n">
        <f aca="false">Quesería!$B$52*(G937+G938+G939)</f>
        <v>1.0827931523622</v>
      </c>
      <c r="H940" s="29" t="n">
        <f aca="false">Quesería!$B$52*(H937+H938+H939)</f>
        <v>0.942491076689676</v>
      </c>
      <c r="I940" s="29" t="n">
        <f aca="false">Quesería!$B$52*(I937+I938+I939)</f>
        <v>0.811379703358287</v>
      </c>
      <c r="J940" s="29" t="n">
        <f aca="false">Quesería!$B$52*(J937+J938+J939)</f>
        <v>0.340338072631162</v>
      </c>
      <c r="K940" s="29" t="n">
        <f aca="false">Quesería!$B$52*(K937+K938+K939)</f>
        <v>0</v>
      </c>
      <c r="L940" s="29" t="n">
        <f aca="false">Quesería!$B$52*(L937+L938+L939)</f>
        <v>0</v>
      </c>
    </row>
    <row r="941" customFormat="false" ht="15" hidden="true" customHeight="false" outlineLevel="1" collapsed="false">
      <c r="A941" s="6" t="s">
        <v>435</v>
      </c>
      <c r="B941" s="29" t="n">
        <f aca="false">$V$17*(B937+B939+0.5*B940)</f>
        <v>1.4028</v>
      </c>
      <c r="C941" s="29" t="n">
        <f aca="false">$V$17*(C937+C939+0.5*C940)</f>
        <v>34.1913830511204</v>
      </c>
      <c r="D941" s="29" t="n">
        <f aca="false">$V$17*(D937+D939+0.5*D940)</f>
        <v>60.7906159696392</v>
      </c>
      <c r="E941" s="29" t="n">
        <f aca="false">$V$17*(E937+E939+0.5*E940)</f>
        <v>53.2725897418908</v>
      </c>
      <c r="F941" s="29" t="n">
        <f aca="false">$V$17*(F937+F939+0.5*F940)</f>
        <v>41.8681489728037</v>
      </c>
      <c r="G941" s="29" t="n">
        <f aca="false">$V$17*(G937+G939+0.5*G940)</f>
        <v>31.2621672721347</v>
      </c>
      <c r="H941" s="29" t="n">
        <f aca="false">$V$17*(H937+H939+0.5*H940)</f>
        <v>21.4100951860544</v>
      </c>
      <c r="I941" s="29" t="n">
        <f aca="false">$V$17*(I937+I939+0.5*I940)</f>
        <v>12.2696289893292</v>
      </c>
      <c r="J941" s="29" t="n">
        <f aca="false">$V$17*(J937+J939+0.5*J940)</f>
        <v>3.73959507076212</v>
      </c>
      <c r="K941" s="29" t="n">
        <f aca="false">$V$17*(K937+K939+0.5*K940)</f>
        <v>0</v>
      </c>
      <c r="L941" s="29" t="n">
        <f aca="false">$V$17*(L937+L939+0.5*L940)</f>
        <v>0</v>
      </c>
    </row>
    <row r="942" customFormat="false" ht="15" hidden="true" customHeight="false" outlineLevel="1" collapsed="false">
      <c r="A942" s="5" t="s">
        <v>436</v>
      </c>
      <c r="B942" s="59" t="n">
        <f aca="false">B927+B936-B937-B938-B939-B940+B941</f>
        <v>-458.465042589243</v>
      </c>
      <c r="C942" s="59" t="n">
        <f aca="false">C927+C936-C937-C938-C939-C940+C941</f>
        <v>-119.783566393572</v>
      </c>
      <c r="D942" s="59" t="n">
        <f aca="false">D927+D936-D937-D938-D939-D940+D941</f>
        <v>315.538218484013</v>
      </c>
      <c r="E942" s="59" t="n">
        <f aca="false">E927+E936-E937-E938-E939-E940+E941</f>
        <v>-45.3223020982305</v>
      </c>
      <c r="F942" s="59" t="n">
        <f aca="false">F927+F936-F937-F938-F939-F940+F941</f>
        <v>-15.2755902144299</v>
      </c>
      <c r="G942" s="59" t="n">
        <f aca="false">G927+G936-G937-G938-G939-G940+G941</f>
        <v>-29.6748646020969</v>
      </c>
      <c r="H942" s="59" t="n">
        <f aca="false">H927+H936-H937-H938-H939-H940+H941</f>
        <v>-30.3606749751819</v>
      </c>
      <c r="I942" s="59" t="n">
        <f aca="false">I927+I936-I937-I938-I939-I940+I941</f>
        <v>65.953019443987</v>
      </c>
      <c r="J942" s="59" t="n">
        <f aca="false">J927+J936-J937-J938-J939-J940+J941</f>
        <v>163.604567906537</v>
      </c>
      <c r="K942" s="59" t="n">
        <f aca="false">K927+K936-K937-K938-K939-K940+K941</f>
        <v>243.489326665216</v>
      </c>
      <c r="L942" s="59" t="n">
        <f aca="false">L927+L936-L937-L938-L939-L940+L941</f>
        <v>340.019208037819</v>
      </c>
    </row>
    <row r="943" customFormat="false" ht="15" hidden="true" customHeight="false" outlineLevel="1" collapsed="false">
      <c r="A943" s="9" t="s">
        <v>437</v>
      </c>
      <c r="B943" s="58" t="n">
        <f aca="false">B942*B907</f>
        <v>-485.972945144598</v>
      </c>
      <c r="C943" s="58" t="n">
        <f aca="false">C942*C907</f>
        <v>-133.319109396046</v>
      </c>
      <c r="D943" s="58" t="n">
        <f aca="false">D942*D907</f>
        <v>366.997768845478</v>
      </c>
      <c r="E943" s="58" t="n">
        <f aca="false">E942*E907</f>
        <v>-54.8222373253572</v>
      </c>
      <c r="F943" s="58" t="n">
        <f aca="false">F942*F907</f>
        <v>-19.2165815278655</v>
      </c>
      <c r="G943" s="58" t="n">
        <f aca="false">G942*G907</f>
        <v>-38.8239946756703</v>
      </c>
      <c r="H943" s="58" t="n">
        <f aca="false">H942*H907</f>
        <v>-41.3100988788689</v>
      </c>
      <c r="I943" s="58" t="n">
        <f aca="false">I942*I907</f>
        <v>93.3281880949924</v>
      </c>
      <c r="J943" s="58" t="n">
        <f aca="false">J942*J907</f>
        <v>240.772518621969</v>
      </c>
      <c r="K943" s="58" t="n">
        <f aca="false">K942*K907</f>
        <v>372.670279054387</v>
      </c>
      <c r="L943" s="58" t="n">
        <f aca="false">L942*L907</f>
        <v>541.229700184079</v>
      </c>
    </row>
    <row r="944" customFormat="false" ht="15" hidden="true" customHeight="false" outlineLevel="1" collapsed="false">
      <c r="A944" s="9" t="s">
        <v>438</v>
      </c>
      <c r="B944" s="57" t="n">
        <f aca="false">(B907/$B$907)/(1+Quesería!$B$11+$V$24)^B$43</f>
        <v>1</v>
      </c>
      <c r="C944" s="57" t="n">
        <f aca="false">(C907/$B$907)/(1+Quesería!$B$11+$V$24)^C$43</f>
        <v>0.84</v>
      </c>
      <c r="D944" s="57" t="n">
        <f aca="false">(D907/$B$907)/(1+Quesería!$B$11+$V$24)^D$43</f>
        <v>0.70224</v>
      </c>
      <c r="E944" s="57" t="n">
        <f aca="false">(E907/$B$907)/(1+Quesería!$B$11+$V$24)^E$43</f>
        <v>0.58426368</v>
      </c>
      <c r="F944" s="57" t="n">
        <f aca="false">(F907/$B$907)/(1+Quesería!$B$11+$V$24)^F$43</f>
        <v>0.48610738176</v>
      </c>
      <c r="G944" s="57" t="n">
        <f aca="false">(G907/$B$907)/(1+Quesería!$B$11+$V$24)^G$43</f>
        <v>0.40444134162432</v>
      </c>
      <c r="H944" s="57" t="n">
        <f aca="false">(H907/$B$907)/(1+Quesería!$B$11+$V$24)^H$43</f>
        <v>0.336495196231434</v>
      </c>
      <c r="I944" s="57" t="n">
        <f aca="false">(I907/$B$907)/(1+Quesería!$B$11+$V$24)^I$43</f>
        <v>0.279964003264553</v>
      </c>
      <c r="J944" s="57" t="n">
        <f aca="false">(J907/$B$907)/(1+Quesería!$B$11+$V$24)^J$43</f>
        <v>0.232930050716108</v>
      </c>
      <c r="K944" s="57" t="n">
        <f aca="false">(K907/$B$907)/(1+Quesería!$B$11+$V$24)^K$43</f>
        <v>0.193797802195802</v>
      </c>
      <c r="L944" s="57" t="n">
        <f aca="false">(L907/$B$907)/(1+Quesería!$B$11+$V$24)^L$43</f>
        <v>0.161239771426907</v>
      </c>
    </row>
    <row r="945" customFormat="false" ht="15" hidden="true" customHeight="false" outlineLevel="1" collapsed="false">
      <c r="A945" s="9" t="s">
        <v>439</v>
      </c>
      <c r="B945" s="58" t="n">
        <f aca="false">B927+B910+B912+B941</f>
        <v>115.425863844274</v>
      </c>
      <c r="C945" s="58" t="n">
        <f aca="false">C927+C910+C912+C941</f>
        <v>469.589044024861</v>
      </c>
      <c r="D945" s="58" t="n">
        <f aca="false">D927+D910+D912+D941</f>
        <v>600.071855825143</v>
      </c>
      <c r="E945" s="58" t="n">
        <f aca="false">E927+E910+E912+E941</f>
        <v>304.345460509067</v>
      </c>
      <c r="F945" s="58" t="n">
        <f aca="false">F927+F910+F912+F941</f>
        <v>294.160073285393</v>
      </c>
      <c r="G945" s="58" t="n">
        <f aca="false">G927+G910+G912+G941</f>
        <v>248.368286178119</v>
      </c>
      <c r="H945" s="58" t="n">
        <f aca="false">H927+H910+H912+H941</f>
        <v>216.781312776025</v>
      </c>
      <c r="I945" s="58" t="n">
        <f aca="false">I927+I910+I912+I941</f>
        <v>269.609324986917</v>
      </c>
      <c r="J945" s="58" t="n">
        <f aca="false">J927+J910+J912+J941</f>
        <v>249.029424136958</v>
      </c>
      <c r="K945" s="58" t="n">
        <f aca="false">K927+K910+K912+K941</f>
        <v>243.489326665216</v>
      </c>
      <c r="L945" s="58" t="n">
        <f aca="false">L927+L910+L912+L941</f>
        <v>340.019208037819</v>
      </c>
    </row>
    <row r="946" customFormat="false" ht="15" hidden="true" customHeight="false" outlineLevel="1" collapsed="false">
      <c r="A946" s="5" t="s">
        <v>149</v>
      </c>
      <c r="B946" s="12" t="str">
        <f aca="false">IF(AND(B$43&gt;=1,(B937+B938+B939)&gt;0.001),B945/(B937+B938+B939),"")</f>
        <v/>
      </c>
      <c r="C946" s="12" t="n">
        <f aca="false">IF(AND(C$43&gt;=1,(C937+C938+C939)&gt;0.001),C945/(C937+C938+C939),"")</f>
        <v>4.81656087129598</v>
      </c>
      <c r="D946" s="12" t="n">
        <f aca="false">IF(AND(D$43&gt;=1,(D937+D938+D939)&gt;0.001),D945/(D937+D938+D939),"")</f>
        <v>2.11740217739576</v>
      </c>
      <c r="E946" s="12" t="n">
        <f aca="false">IF(AND(E$43&gt;=1,(E937+E938+E939)&gt;0.001),E945/(E937+E938+E939),"")</f>
        <v>0.87386620966335</v>
      </c>
      <c r="F946" s="12" t="n">
        <f aca="false">IF(AND(F$43&gt;=1,(F937+F938+F939)&gt;0.001),F945/(F937+F938+F939),"")</f>
        <v>0.954436570879308</v>
      </c>
      <c r="G946" s="12" t="n">
        <f aca="false">IF(AND(G$43&gt;=1,(G937+G938+G939)&gt;0.001),G945/(G937+G938+G939),"")</f>
        <v>0.917509630112762</v>
      </c>
      <c r="H946" s="12" t="n">
        <f aca="false">IF(AND(H$43&gt;=1,(H937+H938+H939)&gt;0.001),H945/(H937+H938+H939),"")</f>
        <v>0.920035502245511</v>
      </c>
      <c r="I946" s="12" t="n">
        <f aca="false">IF(AND(I$43&gt;=1,(I937+I938+I939)&gt;0.001),I945/(I937+I938+I939),"")</f>
        <v>1.32914009986204</v>
      </c>
      <c r="J946" s="12" t="n">
        <f aca="false">IF(AND(J$43&gt;=1,(J937+J938+J939)&gt;0.001),J945/(J937+J938+J939),"")</f>
        <v>2.92684767486289</v>
      </c>
      <c r="K946" s="12" t="str">
        <f aca="false">IF(AND(K$43&gt;=1,(K937+K938+K939)&gt;0.001),K945/(K937+K938+K939),"")</f>
        <v/>
      </c>
      <c r="L946" s="12" t="str">
        <f aca="false">IF(AND(L$43&gt;=1,(L937+L938+L939)&gt;0.001),L945/(L937+L938+L939),"")</f>
        <v/>
      </c>
    </row>
    <row r="948" customFormat="false" ht="15" hidden="false" customHeight="false" outlineLevel="0" collapsed="false">
      <c r="A948" s="43" t="s">
        <v>1181</v>
      </c>
      <c r="B948" s="44"/>
      <c r="C948" s="44"/>
      <c r="D948" s="44"/>
      <c r="E948" s="44"/>
      <c r="F948" s="44"/>
      <c r="G948" s="44"/>
      <c r="H948" s="44"/>
      <c r="I948" s="44"/>
      <c r="J948" s="44"/>
      <c r="K948" s="44"/>
      <c r="L948" s="44"/>
    </row>
    <row r="949" customFormat="false" ht="15" hidden="true" customHeight="false" outlineLevel="1" collapsed="false">
      <c r="A949" s="9" t="s">
        <v>405</v>
      </c>
      <c r="B949" s="56" t="n">
        <f aca="false">CHOOSE($W$15,Entorno!B$7,Entorno!B$8,Entorno!B$9)</f>
        <v>0.06</v>
      </c>
      <c r="C949" s="56" t="n">
        <f aca="false">CHOOSE($W$15,Entorno!C$7,Entorno!C$8,Entorno!C$9)</f>
        <v>0.05</v>
      </c>
      <c r="D949" s="56" t="n">
        <f aca="false">CHOOSE($W$15,Entorno!D$7,Entorno!D$8,Entorno!D$9)</f>
        <v>0.045</v>
      </c>
      <c r="E949" s="56" t="n">
        <f aca="false">CHOOSE($W$15,Entorno!E$7,Entorno!E$8,Entorno!E$9)</f>
        <v>0.04</v>
      </c>
      <c r="F949" s="56" t="n">
        <f aca="false">CHOOSE($W$15,Entorno!F$7,Entorno!F$8,Entorno!F$9)</f>
        <v>0.04</v>
      </c>
      <c r="G949" s="56" t="n">
        <f aca="false">CHOOSE($W$15,Entorno!G$7,Entorno!G$8,Entorno!G$9)</f>
        <v>0.04</v>
      </c>
      <c r="H949" s="56" t="n">
        <f aca="false">CHOOSE($W$15,Entorno!H$7,Entorno!H$8,Entorno!H$9)</f>
        <v>0.04</v>
      </c>
      <c r="I949" s="56" t="n">
        <f aca="false">CHOOSE($W$15,Entorno!I$7,Entorno!I$8,Entorno!I$9)</f>
        <v>0.04</v>
      </c>
      <c r="J949" s="56" t="n">
        <f aca="false">CHOOSE($W$15,Entorno!J$7,Entorno!J$8,Entorno!J$9)</f>
        <v>0.04</v>
      </c>
      <c r="K949" s="56" t="n">
        <f aca="false">CHOOSE($W$15,Entorno!K$7,Entorno!K$8,Entorno!K$9)</f>
        <v>0.04</v>
      </c>
      <c r="L949" s="56" t="n">
        <f aca="false">CHOOSE($W$15,Entorno!L$7,Entorno!L$8,Entorno!L$9)</f>
        <v>0.04</v>
      </c>
    </row>
    <row r="950" customFormat="false" ht="15" hidden="true" customHeight="false" outlineLevel="1" collapsed="false">
      <c r="A950" s="9" t="s">
        <v>406</v>
      </c>
      <c r="B950" s="57" t="n">
        <f aca="false">1+B949</f>
        <v>1.06</v>
      </c>
      <c r="C950" s="57" t="n">
        <f aca="false">B950*(1+C949)</f>
        <v>1.113</v>
      </c>
      <c r="D950" s="57" t="n">
        <f aca="false">C950*(1+D949)</f>
        <v>1.163085</v>
      </c>
      <c r="E950" s="57" t="n">
        <f aca="false">D950*(1+E949)</f>
        <v>1.2096084</v>
      </c>
      <c r="F950" s="57" t="n">
        <f aca="false">E950*(1+F949)</f>
        <v>1.257992736</v>
      </c>
      <c r="G950" s="57" t="n">
        <f aca="false">F950*(1+G949)</f>
        <v>1.30831244544</v>
      </c>
      <c r="H950" s="57" t="n">
        <f aca="false">G950*(1+H949)</f>
        <v>1.3606449432576</v>
      </c>
      <c r="I950" s="57" t="n">
        <f aca="false">H950*(1+I949)</f>
        <v>1.4150707409879</v>
      </c>
      <c r="J950" s="57" t="n">
        <f aca="false">I950*(1+J949)</f>
        <v>1.47167357062742</v>
      </c>
      <c r="K950" s="57" t="n">
        <f aca="false">J950*(1+K949)</f>
        <v>1.53054051345252</v>
      </c>
      <c r="L950" s="57" t="n">
        <f aca="false">K950*(1+L949)</f>
        <v>1.59176213399062</v>
      </c>
    </row>
    <row r="951" customFormat="false" ht="15" hidden="true" customHeight="false" outlineLevel="1" collapsed="false">
      <c r="A951" s="9" t="s">
        <v>407</v>
      </c>
      <c r="B951" s="57" t="n">
        <f aca="false">(1+$W$16)/(1+B949)</f>
        <v>1.02358490566038</v>
      </c>
      <c r="C951" s="57" t="n">
        <f aca="false">B951*(1+Entorno!$B$13)</f>
        <v>1.02870283018868</v>
      </c>
      <c r="D951" s="57" t="n">
        <f aca="false">C951*(1+Entorno!$B$13)</f>
        <v>1.03384634433962</v>
      </c>
      <c r="E951" s="57" t="n">
        <f aca="false">D951*(1+Entorno!$B$13)</f>
        <v>1.03901557606132</v>
      </c>
      <c r="F951" s="57" t="n">
        <f aca="false">E951*(1+Entorno!$B$13)</f>
        <v>1.04421065394163</v>
      </c>
      <c r="G951" s="57" t="n">
        <f aca="false">F951*(1+Entorno!$B$13)</f>
        <v>1.04943170721133</v>
      </c>
      <c r="H951" s="57" t="n">
        <f aca="false">G951*(1+Entorno!$B$13)</f>
        <v>1.05467886574739</v>
      </c>
      <c r="I951" s="57" t="n">
        <f aca="false">H951*(1+Entorno!$B$13)</f>
        <v>1.05995226007613</v>
      </c>
      <c r="J951" s="57" t="n">
        <f aca="false">I951*(1+Entorno!$B$13)</f>
        <v>1.06525202137651</v>
      </c>
      <c r="K951" s="57" t="n">
        <f aca="false">J951*(1+Entorno!$B$13)</f>
        <v>1.07057828148339</v>
      </c>
      <c r="L951" s="57" t="n">
        <f aca="false">K951*(1+Entorno!$B$13)</f>
        <v>1.07593117289081</v>
      </c>
    </row>
    <row r="952" customFormat="false" ht="15" hidden="true" customHeight="false" outlineLevel="1" collapsed="false">
      <c r="A952" s="9" t="s">
        <v>408</v>
      </c>
      <c r="B952" s="57" t="n">
        <f aca="false">1/B950</f>
        <v>0.943396226415094</v>
      </c>
      <c r="C952" s="57" t="n">
        <f aca="false">1/C950</f>
        <v>0.898472596585804</v>
      </c>
      <c r="D952" s="57" t="n">
        <f aca="false">1/D950</f>
        <v>0.859782389077324</v>
      </c>
      <c r="E952" s="57" t="n">
        <f aca="false">1/E950</f>
        <v>0.826713835651273</v>
      </c>
      <c r="F952" s="57" t="n">
        <f aca="false">1/F950</f>
        <v>0.794917149664686</v>
      </c>
      <c r="G952" s="57" t="n">
        <f aca="false">1/G950</f>
        <v>0.764343413139121</v>
      </c>
      <c r="H952" s="57" t="n">
        <f aca="false">1/H950</f>
        <v>0.734945589556847</v>
      </c>
      <c r="I952" s="57" t="n">
        <f aca="false">1/I950</f>
        <v>0.706678451496968</v>
      </c>
      <c r="J952" s="57" t="n">
        <f aca="false">1/J950</f>
        <v>0.679498511054777</v>
      </c>
      <c r="K952" s="57" t="n">
        <f aca="false">1/K950</f>
        <v>0.653363952937286</v>
      </c>
      <c r="L952" s="57" t="n">
        <f aca="false">1/L950</f>
        <v>0.628234570132006</v>
      </c>
    </row>
    <row r="953" customFormat="false" ht="15" hidden="true" customHeight="false" outlineLevel="1" collapsed="false">
      <c r="A953" s="6" t="s">
        <v>323</v>
      </c>
      <c r="B953" s="29" t="n">
        <f aca="false">IF(B$43=0,Quesería!$F$92,IF(B$43=1,Quesería!$F$93*$W$21,0))*$W$11</f>
        <v>930.800239431677</v>
      </c>
      <c r="C953" s="29" t="n">
        <f aca="false">IF(C$43=0,Quesería!$F$92,IF(C$43=1,Quesería!$F$93*$W$21,0))*$W$11</f>
        <v>758.469066674498</v>
      </c>
      <c r="D953" s="29" t="n">
        <f aca="false">IF(D$43=0,Quesería!$F$92,IF(D$43=1,Quesería!$F$93*$W$21,0))*$W$11</f>
        <v>0</v>
      </c>
      <c r="E953" s="29" t="n">
        <f aca="false">IF(E$43=0,Quesería!$F$92,IF(E$43=1,Quesería!$F$93*$W$21,0))*$W$11</f>
        <v>0</v>
      </c>
      <c r="F953" s="29" t="n">
        <f aca="false">IF(F$43=0,Quesería!$F$92,IF(F$43=1,Quesería!$F$93*$W$21,0))*$W$11</f>
        <v>0</v>
      </c>
      <c r="G953" s="29" t="n">
        <f aca="false">IF(G$43=0,Quesería!$F$92,IF(G$43=1,Quesería!$F$93*$W$21,0))*$W$11</f>
        <v>0</v>
      </c>
      <c r="H953" s="29" t="n">
        <f aca="false">IF(H$43=0,Quesería!$F$92,IF(H$43=1,Quesería!$F$93*$W$21,0))*$W$11</f>
        <v>0</v>
      </c>
      <c r="I953" s="29" t="n">
        <f aca="false">IF(I$43=0,Quesería!$F$92,IF(I$43=1,Quesería!$F$93*$W$21,0))*$W$11</f>
        <v>0</v>
      </c>
      <c r="J953" s="29" t="n">
        <f aca="false">IF(J$43=0,Quesería!$F$92,IF(J$43=1,Quesería!$F$93*$W$21,0))*$W$11</f>
        <v>0</v>
      </c>
      <c r="K953" s="29" t="n">
        <f aca="false">IF(K$43=0,Quesería!$F$92,IF(K$43=1,Quesería!$F$93*$W$21,0))*$W$11</f>
        <v>0</v>
      </c>
      <c r="L953" s="29" t="n">
        <f aca="false">IF(L$43=0,Quesería!$F$92,IF(L$43=1,Quesería!$F$93*$W$21,0))*$W$11</f>
        <v>0</v>
      </c>
    </row>
    <row r="954" customFormat="false" ht="15" hidden="true" customHeight="false" outlineLevel="1" collapsed="false">
      <c r="A954" s="6" t="s">
        <v>409</v>
      </c>
      <c r="B954" s="29" t="n">
        <f aca="false">IF(B$43=5,Quesería!$F$99,IF(B$43=6,Quesería!$F$100,0))*$W$11</f>
        <v>0</v>
      </c>
      <c r="C954" s="29" t="n">
        <f aca="false">IF(C$43=5,Quesería!$F$99,IF(C$43=6,Quesería!$F$100,0))*$W$11</f>
        <v>0</v>
      </c>
      <c r="D954" s="29" t="n">
        <f aca="false">IF(D$43=5,Quesería!$F$99,IF(D$43=6,Quesería!$F$100,0))*$W$11</f>
        <v>0</v>
      </c>
      <c r="E954" s="29" t="n">
        <f aca="false">IF(E$43=5,Quesería!$F$99,IF(E$43=6,Quesería!$F$100,0))*$W$11</f>
        <v>0</v>
      </c>
      <c r="F954" s="29" t="n">
        <f aca="false">IF(F$43=5,Quesería!$F$99,IF(F$43=6,Quesería!$F$100,0))*$W$11</f>
        <v>0</v>
      </c>
      <c r="G954" s="29" t="n">
        <f aca="false">IF(G$43=5,Quesería!$F$99,IF(G$43=6,Quesería!$F$100,0))*$W$11</f>
        <v>27.4652172688735</v>
      </c>
      <c r="H954" s="29" t="n">
        <f aca="false">IF(H$43=5,Quesería!$F$99,IF(H$43=6,Quesería!$F$100,0))*$W$11</f>
        <v>46.3891557109552</v>
      </c>
      <c r="I954" s="29" t="n">
        <f aca="false">IF(I$43=5,Quesería!$F$99,IF(I$43=6,Quesería!$F$100,0))*$W$11</f>
        <v>0</v>
      </c>
      <c r="J954" s="29" t="n">
        <f aca="false">IF(J$43=5,Quesería!$F$99,IF(J$43=6,Quesería!$F$100,0))*$W$11</f>
        <v>0</v>
      </c>
      <c r="K954" s="29" t="n">
        <f aca="false">IF(K$43=5,Quesería!$F$99,IF(K$43=6,Quesería!$F$100,0))*$W$11</f>
        <v>0</v>
      </c>
      <c r="L954" s="29" t="n">
        <f aca="false">IF(L$43=5,Quesería!$F$99,IF(L$43=6,Quesería!$F$100,0))*$W$11</f>
        <v>0</v>
      </c>
    </row>
    <row r="955" customFormat="false" ht="15" hidden="true" customHeight="false" outlineLevel="1" collapsed="false">
      <c r="A955" s="6" t="s">
        <v>410</v>
      </c>
      <c r="B955" s="29" t="n">
        <f aca="false">Quesería!$B$55*(IF(B$43=0,SUMPRODUCT((Quesería!$C$70:$C$89=0)*(Quesería!$H$70:$H$89&gt;0)*(Quesería!$J$70:$J$89&gt;0)*Quesería!$F$70:$F$89*(1+Quesería!$I$70:$I$89)),IF(B$43=1,SUMPRODUCT((Quesería!$C$70:$C$89=1)*(Quesería!$H$70:$H$89&gt;0)*(Quesería!$J$70:$J$89&gt;0)*Quesería!$F$70:$F$89*(1+Quesería!$I$70:$I$89))*$W$21,0))*$W$11+B954)</f>
        <v>149.115671560178</v>
      </c>
      <c r="C955" s="29" t="n">
        <f aca="false">Quesería!$B$55*(IF(C$43=0,SUMPRODUCT((Quesería!$C$70:$C$89=0)*(Quesería!$H$70:$H$89&gt;0)*(Quesería!$J$70:$J$89&gt;0)*Quesería!$F$70:$F$89*(1+Quesería!$I$70:$I$89)),IF(C$43=1,SUMPRODUCT((Quesería!$C$70:$C$89=1)*(Quesería!$H$70:$H$89&gt;0)*(Quesería!$J$70:$J$89&gt;0)*Quesería!$F$70:$F$89*(1+Quesería!$I$70:$I$89))*$W$21,0))*$W$11+C954)</f>
        <v>144.109122668155</v>
      </c>
      <c r="D955" s="29" t="n">
        <f aca="false">Quesería!$B$55*(IF(D$43=0,SUMPRODUCT((Quesería!$C$70:$C$89=0)*(Quesería!$H$70:$H$89&gt;0)*(Quesería!$J$70:$J$89&gt;0)*Quesería!$F$70:$F$89*(1+Quesería!$I$70:$I$89)),IF(D$43=1,SUMPRODUCT((Quesería!$C$70:$C$89=1)*(Quesería!$H$70:$H$89&gt;0)*(Quesería!$J$70:$J$89&gt;0)*Quesería!$F$70:$F$89*(1+Quesería!$I$70:$I$89))*$W$21,0))*$W$11+D954)</f>
        <v>0</v>
      </c>
      <c r="E955" s="29" t="n">
        <f aca="false">Quesería!$B$55*(IF(E$43=0,SUMPRODUCT((Quesería!$C$70:$C$89=0)*(Quesería!$H$70:$H$89&gt;0)*(Quesería!$J$70:$J$89&gt;0)*Quesería!$F$70:$F$89*(1+Quesería!$I$70:$I$89)),IF(E$43=1,SUMPRODUCT((Quesería!$C$70:$C$89=1)*(Quesería!$H$70:$H$89&gt;0)*(Quesería!$J$70:$J$89&gt;0)*Quesería!$F$70:$F$89*(1+Quesería!$I$70:$I$89))*$W$21,0))*$W$11+E954)</f>
        <v>0</v>
      </c>
      <c r="F955" s="29" t="n">
        <f aca="false">Quesería!$B$55*(IF(F$43=0,SUMPRODUCT((Quesería!$C$70:$C$89=0)*(Quesería!$H$70:$H$89&gt;0)*(Quesería!$J$70:$J$89&gt;0)*Quesería!$F$70:$F$89*(1+Quesería!$I$70:$I$89)),IF(F$43=1,SUMPRODUCT((Quesería!$C$70:$C$89=1)*(Quesería!$H$70:$H$89&gt;0)*(Quesería!$J$70:$J$89&gt;0)*Quesería!$F$70:$F$89*(1+Quesería!$I$70:$I$89))*$W$21,0))*$W$11+F954)</f>
        <v>0</v>
      </c>
      <c r="G955" s="29" t="n">
        <f aca="false">Quesería!$B$55*(IF(G$43=0,SUMPRODUCT((Quesería!$C$70:$C$89=0)*(Quesería!$H$70:$H$89&gt;0)*(Quesería!$J$70:$J$89&gt;0)*Quesería!$F$70:$F$89*(1+Quesería!$I$70:$I$89)),IF(G$43=1,SUMPRODUCT((Quesería!$C$70:$C$89=1)*(Quesería!$H$70:$H$89&gt;0)*(Quesería!$J$70:$J$89&gt;0)*Quesería!$F$70:$F$89*(1+Quesería!$I$70:$I$89))*$W$21,0))*$W$11+G954)</f>
        <v>5.21839128108597</v>
      </c>
      <c r="H955" s="29" t="n">
        <f aca="false">Quesería!$B$55*(IF(H$43=0,SUMPRODUCT((Quesería!$C$70:$C$89=0)*(Quesería!$H$70:$H$89&gt;0)*(Quesería!$J$70:$J$89&gt;0)*Quesería!$F$70:$F$89*(1+Quesería!$I$70:$I$89)),IF(H$43=1,SUMPRODUCT((Quesería!$C$70:$C$89=1)*(Quesería!$H$70:$H$89&gt;0)*(Quesería!$J$70:$J$89&gt;0)*Quesería!$F$70:$F$89*(1+Quesería!$I$70:$I$89))*$W$21,0))*$W$11+H954)</f>
        <v>8.8139395850815</v>
      </c>
      <c r="I955" s="29" t="n">
        <f aca="false">Quesería!$B$55*(IF(I$43=0,SUMPRODUCT((Quesería!$C$70:$C$89=0)*(Quesería!$H$70:$H$89&gt;0)*(Quesería!$J$70:$J$89&gt;0)*Quesería!$F$70:$F$89*(1+Quesería!$I$70:$I$89)),IF(I$43=1,SUMPRODUCT((Quesería!$C$70:$C$89=1)*(Quesería!$H$70:$H$89&gt;0)*(Quesería!$J$70:$J$89&gt;0)*Quesería!$F$70:$F$89*(1+Quesería!$I$70:$I$89))*$W$21,0))*$W$11+I954)</f>
        <v>0</v>
      </c>
      <c r="J955" s="29" t="n">
        <f aca="false">Quesería!$B$55*(IF(J$43=0,SUMPRODUCT((Quesería!$C$70:$C$89=0)*(Quesería!$H$70:$H$89&gt;0)*(Quesería!$J$70:$J$89&gt;0)*Quesería!$F$70:$F$89*(1+Quesería!$I$70:$I$89)),IF(J$43=1,SUMPRODUCT((Quesería!$C$70:$C$89=1)*(Quesería!$H$70:$H$89&gt;0)*(Quesería!$J$70:$J$89&gt;0)*Quesería!$F$70:$F$89*(1+Quesería!$I$70:$I$89))*$W$21,0))*$W$11+J954)</f>
        <v>0</v>
      </c>
      <c r="K955" s="29" t="n">
        <f aca="false">Quesería!$B$55*(IF(K$43=0,SUMPRODUCT((Quesería!$C$70:$C$89=0)*(Quesería!$H$70:$H$89&gt;0)*(Quesería!$J$70:$J$89&gt;0)*Quesería!$F$70:$F$89*(1+Quesería!$I$70:$I$89)),IF(K$43=1,SUMPRODUCT((Quesería!$C$70:$C$89=1)*(Quesería!$H$70:$H$89&gt;0)*(Quesería!$J$70:$J$89&gt;0)*Quesería!$F$70:$F$89*(1+Quesería!$I$70:$I$89))*$W$21,0))*$W$11+K954)</f>
        <v>0</v>
      </c>
      <c r="L955" s="29" t="n">
        <f aca="false">Quesería!$B$55*(IF(L$43=0,SUMPRODUCT((Quesería!$C$70:$C$89=0)*(Quesería!$H$70:$H$89&gt;0)*(Quesería!$J$70:$J$89&gt;0)*Quesería!$F$70:$F$89*(1+Quesería!$I$70:$I$89)),IF(L$43=1,SUMPRODUCT((Quesería!$C$70:$C$89=1)*(Quesería!$H$70:$H$89&gt;0)*(Quesería!$J$70:$J$89&gt;0)*Quesería!$F$70:$F$89*(1+Quesería!$I$70:$I$89))*$W$21,0))*$W$11+L954)</f>
        <v>0</v>
      </c>
    </row>
    <row r="956" customFormat="false" ht="15" hidden="true" customHeight="false" outlineLevel="1" collapsed="false">
      <c r="A956" s="6" t="s">
        <v>385</v>
      </c>
      <c r="B956" s="29" t="n">
        <f aca="false">IF(B$43=0,($W$22*Quesería!$J$125+(1-$W$22)*Quesería!$E$121)*Quesería!$B$20*Quesería!$B$21/12*$W$23,(($W$22*Quesería!$J$125+(1-$W$22)*Quesería!$E$121)+($W$22*Quesería!$J$104+(1-$W$22)*Quesería!$E$104)*(B951-1))*IF(B$43=1,Quesería!$B$20,1))*$W$10</f>
        <v>120.716772261203</v>
      </c>
      <c r="C956" s="29" t="n">
        <f aca="false">IF(C$43=0,($W$22*Quesería!$J$125+(1-$W$22)*Quesería!$E$121)*Quesería!$B$20*Quesería!$B$21/12*$W$23,(($W$22*Quesería!$J$125+(1-$W$22)*Quesería!$E$121)+($W$22*Quesería!$J$104+(1-$W$22)*Quesería!$E$104)*(C951-1))*IF(C$43=1,Quesería!$B$20,1))*$W$10</f>
        <v>181.328317354069</v>
      </c>
      <c r="D956" s="29" t="n">
        <f aca="false">IF(D$43=0,($W$22*Quesería!$J$125+(1-$W$22)*Quesería!$E$121)*Quesería!$B$20*Quesería!$B$21/12*$W$23,(($W$22*Quesería!$J$125+(1-$W$22)*Quesería!$E$121)+($W$22*Quesería!$J$104+(1-$W$22)*Quesería!$E$104)*(D951-1))*IF(D$43=1,Quesería!$B$20,1))*$W$10</f>
        <v>241.83157753184</v>
      </c>
      <c r="E956" s="29" t="n">
        <f aca="false">IF(E$43=0,($W$22*Quesería!$J$125+(1-$W$22)*Quesería!$E$121)*Quesería!$B$20*Quesería!$B$21/12*$W$23,(($W$22*Quesería!$J$125+(1-$W$22)*Quesería!$E$121)+($W$22*Quesería!$J$104+(1-$W$22)*Quesería!$E$104)*(E951-1))*IF(E$43=1,Quesería!$B$20,1))*$W$10</f>
        <v>241.892367696887</v>
      </c>
      <c r="F956" s="29" t="n">
        <f aca="false">IF(F$43=0,($W$22*Quesería!$J$125+(1-$W$22)*Quesería!$E$121)*Quesería!$B$20*Quesería!$B$21/12*$W$23,(($W$22*Quesería!$J$125+(1-$W$22)*Quesería!$E$121)+($W$22*Quesería!$J$104+(1-$W$22)*Quesería!$E$104)*(F951-1))*IF(F$43=1,Quesería!$B$20,1))*$W$10</f>
        <v>241.95346181276</v>
      </c>
      <c r="G956" s="29" t="n">
        <f aca="false">IF(G$43=0,($W$22*Quesería!$J$125+(1-$W$22)*Quesería!$E$121)*Quesería!$B$20*Quesería!$B$21/12*$W$23,(($W$22*Quesería!$J$125+(1-$W$22)*Quesería!$E$121)+($W$22*Quesería!$J$104+(1-$W$22)*Quesería!$E$104)*(G951-1))*IF(G$43=1,Quesería!$B$20,1))*$W$10</f>
        <v>242.014861399211</v>
      </c>
      <c r="H956" s="29" t="n">
        <f aca="false">IF(H$43=0,($W$22*Quesería!$J$125+(1-$W$22)*Quesería!$E$121)*Quesería!$B$20*Quesería!$B$21/12*$W$23,(($W$22*Quesería!$J$125+(1-$W$22)*Quesería!$E$121)+($W$22*Quesería!$J$104+(1-$W$22)*Quesería!$E$104)*(H951-1))*IF(H$43=1,Quesería!$B$20,1))*$W$10</f>
        <v>242.076567983595</v>
      </c>
      <c r="I956" s="29" t="n">
        <f aca="false">IF(I$43=0,($W$22*Quesería!$J$125+(1-$W$22)*Quesería!$E$121)*Quesería!$B$20*Quesería!$B$21/12*$W$23,(($W$22*Quesería!$J$125+(1-$W$22)*Quesería!$E$121)+($W$22*Quesería!$J$104+(1-$W$22)*Quesería!$E$104)*(I951-1))*IF(I$43=1,Quesería!$B$20,1))*$W$10</f>
        <v>242.138583100901</v>
      </c>
      <c r="J956" s="29" t="n">
        <f aca="false">IF(J$43=0,($W$22*Quesería!$J$125+(1-$W$22)*Quesería!$E$121)*Quesería!$B$20*Quesería!$B$21/12*$W$23,(($W$22*Quesería!$J$125+(1-$W$22)*Quesería!$E$121)+($W$22*Quesería!$J$104+(1-$W$22)*Quesería!$E$104)*(J951-1))*IF(J$43=1,Quesería!$B$20,1))*$W$10</f>
        <v>242.200908293794</v>
      </c>
      <c r="K956" s="29" t="n">
        <f aca="false">IF(K$43=0,($W$22*Quesería!$J$125+(1-$W$22)*Quesería!$E$121)*Quesería!$B$20*Quesería!$B$21/12*$W$23,(($W$22*Quesería!$J$125+(1-$W$22)*Quesería!$E$121)+($W$22*Quesería!$J$104+(1-$W$22)*Quesería!$E$104)*(K951-1))*IF(K$43=1,Quesería!$B$20,1))*$W$10</f>
        <v>242.263545112651</v>
      </c>
      <c r="L956" s="29" t="n">
        <f aca="false">IF(L$43=0,($W$22*Quesería!$J$125+(1-$W$22)*Quesería!$E$121)*Quesería!$B$20*Quesería!$B$21/12*$W$23,(($W$22*Quesería!$J$125+(1-$W$22)*Quesería!$E$121)+($W$22*Quesería!$J$104+(1-$W$22)*Quesería!$E$104)*(L951-1))*IF(L$43=1,Quesería!$B$20,1))*$W$10</f>
        <v>242.326495115602</v>
      </c>
    </row>
    <row r="957" customFormat="false" ht="15" hidden="true" customHeight="false" outlineLevel="1" collapsed="false">
      <c r="A957" s="6" t="s">
        <v>386</v>
      </c>
      <c r="B957" s="29" t="n">
        <f aca="false">IF(B$43&lt;=1,0,((($W$22*Quesería!$J$126+(1-$W$22)*Quesería!$E$122)-($W$22*Quesería!$J$113+(1-$W$22)*Quesería!$E$113)+$W$6*($W$22*Quesería!$J$113+(1-$W$22)*Quesería!$E$113)-(1-$W$9)*(($W$22*Quesería!$J$118+(1-$W$22)*Quesería!$E$118)+($W$22*Quesería!$J$117+(1-$W$22)*Quesería!$E$117)))+($W$6*($W$22*Quesería!$J$113+(1-$W$22)*Quesería!$E$113)+$W$9*($W$22*Quesería!$J$118+(1-$W$22)*Quesería!$E$118))*(B951-1))*IF(B$43=2,Quesería!$B$20,1)+IF(B$43=2,Quesería!$B$24*$W$9*($W$22*Quesería!$J$118+(1-$W$22)*Quesería!$E$118)*B951,0))*$W$10*$W$21</f>
        <v>0</v>
      </c>
      <c r="C957" s="29" t="n">
        <f aca="false">IF(C$43&lt;=1,0,((($W$22*Quesería!$J$126+(1-$W$22)*Quesería!$E$122)-($W$22*Quesería!$J$113+(1-$W$22)*Quesería!$E$113)+$W$6*($W$22*Quesería!$J$113+(1-$W$22)*Quesería!$E$113)-(1-$W$9)*(($W$22*Quesería!$J$118+(1-$W$22)*Quesería!$E$118)+($W$22*Quesería!$J$117+(1-$W$22)*Quesería!$E$117)))+($W$6*($W$22*Quesería!$J$113+(1-$W$22)*Quesería!$E$113)+$W$9*($W$22*Quesería!$J$118+(1-$W$22)*Quesería!$E$118))*(C951-1))*IF(C$43=2,Quesería!$B$20,1)+IF(C$43=2,Quesería!$B$24*$W$9*($W$22*Quesería!$J$118+(1-$W$22)*Quesería!$E$118)*C951,0))*$W$10*$W$21</f>
        <v>0</v>
      </c>
      <c r="D957" s="29" t="n">
        <f aca="false">IF(D$43&lt;=1,0,((($W$22*Quesería!$J$126+(1-$W$22)*Quesería!$E$122)-($W$22*Quesería!$J$113+(1-$W$22)*Quesería!$E$113)+$W$6*($W$22*Quesería!$J$113+(1-$W$22)*Quesería!$E$113)-(1-$W$9)*(($W$22*Quesería!$J$118+(1-$W$22)*Quesería!$E$118)+($W$22*Quesería!$J$117+(1-$W$22)*Quesería!$E$117)))+($W$6*($W$22*Quesería!$J$113+(1-$W$22)*Quesería!$E$113)+$W$9*($W$22*Quesería!$J$118+(1-$W$22)*Quesería!$E$118))*(D951-1))*IF(D$43=2,Quesería!$B$20,1)+IF(D$43=2,Quesería!$B$24*$W$9*($W$22*Quesería!$J$118+(1-$W$22)*Quesería!$E$118)*D951,0))*$W$10*$W$21</f>
        <v>235.201505618611</v>
      </c>
      <c r="E957" s="29" t="n">
        <f aca="false">IF(E$43&lt;=1,0,((($W$22*Quesería!$J$126+(1-$W$22)*Quesería!$E$122)-($W$22*Quesería!$J$113+(1-$W$22)*Quesería!$E$113)+$W$6*($W$22*Quesería!$J$113+(1-$W$22)*Quesería!$E$113)-(1-$W$9)*(($W$22*Quesería!$J$118+(1-$W$22)*Quesería!$E$118)+($W$22*Quesería!$J$117+(1-$W$22)*Quesería!$E$117)))+($W$6*($W$22*Quesería!$J$113+(1-$W$22)*Quesería!$E$113)+$W$9*($W$22*Quesería!$J$118+(1-$W$22)*Quesería!$E$118))*(E951-1))*IF(E$43=2,Quesería!$B$20,1)+IF(E$43=2,Quesería!$B$24*$W$9*($W$22*Quesería!$J$118+(1-$W$22)*Quesería!$E$118)*E951,0))*$W$10*$W$21</f>
        <v>298.96150264002</v>
      </c>
      <c r="F957" s="29" t="n">
        <f aca="false">IF(F$43&lt;=1,0,((($W$22*Quesería!$J$126+(1-$W$22)*Quesería!$E$122)-($W$22*Quesería!$J$113+(1-$W$22)*Quesería!$E$113)+$W$6*($W$22*Quesería!$J$113+(1-$W$22)*Quesería!$E$113)-(1-$W$9)*(($W$22*Quesería!$J$118+(1-$W$22)*Quesería!$E$118)+($W$22*Quesería!$J$117+(1-$W$22)*Quesería!$E$117)))+($W$6*($W$22*Quesería!$J$113+(1-$W$22)*Quesería!$E$113)+$W$9*($W$22*Quesería!$J$118+(1-$W$22)*Quesería!$E$118))*(F951-1))*IF(F$43=2,Quesería!$B$20,1)+IF(F$43=2,Quesería!$B$24*$W$9*($W$22*Quesería!$J$118+(1-$W$22)*Quesería!$E$118)*F951,0))*$W$10*$W$21</f>
        <v>299.209619559583</v>
      </c>
      <c r="G957" s="29" t="n">
        <f aca="false">IF(G$43&lt;=1,0,((($W$22*Quesería!$J$126+(1-$W$22)*Quesería!$E$122)-($W$22*Quesería!$J$113+(1-$W$22)*Quesería!$E$113)+$W$6*($W$22*Quesería!$J$113+(1-$W$22)*Quesería!$E$113)-(1-$W$9)*(($W$22*Quesería!$J$118+(1-$W$22)*Quesería!$E$118)+($W$22*Quesería!$J$117+(1-$W$22)*Quesería!$E$117)))+($W$6*($W$22*Quesería!$J$113+(1-$W$22)*Quesería!$E$113)+$W$9*($W$22*Quesería!$J$118+(1-$W$22)*Quesería!$E$118))*(G951-1))*IF(G$43=2,Quesería!$B$20,1)+IF(G$43=2,Quesería!$B$24*$W$9*($W$22*Quesería!$J$118+(1-$W$22)*Quesería!$E$118)*G951,0))*$W$10*$W$21</f>
        <v>299.458977063744</v>
      </c>
      <c r="H957" s="29" t="n">
        <f aca="false">IF(H$43&lt;=1,0,((($W$22*Quesería!$J$126+(1-$W$22)*Quesería!$E$122)-($W$22*Quesería!$J$113+(1-$W$22)*Quesería!$E$113)+$W$6*($W$22*Quesería!$J$113+(1-$W$22)*Quesería!$E$113)-(1-$W$9)*(($W$22*Quesería!$J$118+(1-$W$22)*Quesería!$E$118)+($W$22*Quesería!$J$117+(1-$W$22)*Quesería!$E$117)))+($W$6*($W$22*Quesería!$J$113+(1-$W$22)*Quesería!$E$113)+$W$9*($W$22*Quesería!$J$118+(1-$W$22)*Quesería!$E$118))*(H951-1))*IF(H$43=2,Quesería!$B$20,1)+IF(H$43=2,Quesería!$B$24*$W$9*($W$22*Quesería!$J$118+(1-$W$22)*Quesería!$E$118)*H951,0))*$W$10*$W$21</f>
        <v>299.709581355426</v>
      </c>
      <c r="I957" s="29" t="n">
        <f aca="false">IF(I$43&lt;=1,0,((($W$22*Quesería!$J$126+(1-$W$22)*Quesería!$E$122)-($W$22*Quesería!$J$113+(1-$W$22)*Quesería!$E$113)+$W$6*($W$22*Quesería!$J$113+(1-$W$22)*Quesería!$E$113)-(1-$W$9)*(($W$22*Quesería!$J$118+(1-$W$22)*Quesería!$E$118)+($W$22*Quesería!$J$117+(1-$W$22)*Quesería!$E$117)))+($W$6*($W$22*Quesería!$J$113+(1-$W$22)*Quesería!$E$113)+$W$9*($W$22*Quesería!$J$118+(1-$W$22)*Quesería!$E$118))*(I951-1))*IF(I$43=2,Quesería!$B$20,1)+IF(I$43=2,Quesería!$B$24*$W$9*($W$22*Quesería!$J$118+(1-$W$22)*Quesería!$E$118)*I951,0))*$W$10*$W$21</f>
        <v>299.961438668567</v>
      </c>
      <c r="J957" s="29" t="n">
        <f aca="false">IF(J$43&lt;=1,0,((($W$22*Quesería!$J$126+(1-$W$22)*Quesería!$E$122)-($W$22*Quesería!$J$113+(1-$W$22)*Quesería!$E$113)+$W$6*($W$22*Quesería!$J$113+(1-$W$22)*Quesería!$E$113)-(1-$W$9)*(($W$22*Quesería!$J$118+(1-$W$22)*Quesería!$E$118)+($W$22*Quesería!$J$117+(1-$W$22)*Quesería!$E$117)))+($W$6*($W$22*Quesería!$J$113+(1-$W$22)*Quesería!$E$113)+$W$9*($W$22*Quesería!$J$118+(1-$W$22)*Quesería!$E$118))*(J951-1))*IF(J$43=2,Quesería!$B$20,1)+IF(J$43=2,Quesería!$B$24*$W$9*($W$22*Quesería!$J$118+(1-$W$22)*Quesería!$E$118)*J951,0))*$W$10*$W$21</f>
        <v>300.214555268273</v>
      </c>
      <c r="K957" s="29" t="n">
        <f aca="false">IF(K$43&lt;=1,0,((($W$22*Quesería!$J$126+(1-$W$22)*Quesería!$E$122)-($W$22*Quesería!$J$113+(1-$W$22)*Quesería!$E$113)+$W$6*($W$22*Quesería!$J$113+(1-$W$22)*Quesería!$E$113)-(1-$W$9)*(($W$22*Quesería!$J$118+(1-$W$22)*Quesería!$E$118)+($W$22*Quesería!$J$117+(1-$W$22)*Quesería!$E$117)))+($W$6*($W$22*Quesería!$J$113+(1-$W$22)*Quesería!$E$113)+$W$9*($W$22*Quesería!$J$118+(1-$W$22)*Quesería!$E$118))*(K951-1))*IF(K$43=2,Quesería!$B$20,1)+IF(K$43=2,Quesería!$B$24*$W$9*($W$22*Quesería!$J$118+(1-$W$22)*Quesería!$E$118)*K951,0))*$W$10*$W$21</f>
        <v>300.468937450978</v>
      </c>
      <c r="L957" s="29" t="n">
        <f aca="false">IF(L$43&lt;=1,0,((($W$22*Quesería!$J$126+(1-$W$22)*Quesería!$E$122)-($W$22*Quesería!$J$113+(1-$W$22)*Quesería!$E$113)+$W$6*($W$22*Quesería!$J$113+(1-$W$22)*Quesería!$E$113)-(1-$W$9)*(($W$22*Quesería!$J$118+(1-$W$22)*Quesería!$E$118)+($W$22*Quesería!$J$117+(1-$W$22)*Quesería!$E$117)))+($W$6*($W$22*Quesería!$J$113+(1-$W$22)*Quesería!$E$113)+$W$9*($W$22*Quesería!$J$118+(1-$W$22)*Quesería!$E$118))*(L951-1))*IF(L$43=2,Quesería!$B$20,1)+IF(L$43=2,Quesería!$B$24*$W$9*($W$22*Quesería!$J$118+(1-$W$22)*Quesería!$E$118)*L951,0))*$W$10*$W$21</f>
        <v>300.724591544596</v>
      </c>
    </row>
    <row r="958" customFormat="false" ht="15" hidden="true" customHeight="false" outlineLevel="1" collapsed="false">
      <c r="A958" s="5" t="s">
        <v>411</v>
      </c>
      <c r="B958" s="10" t="n">
        <f aca="false">B956+B957</f>
        <v>120.716772261203</v>
      </c>
      <c r="C958" s="10" t="n">
        <f aca="false">C956+C957</f>
        <v>181.328317354069</v>
      </c>
      <c r="D958" s="10" t="n">
        <f aca="false">D956+D957</f>
        <v>477.033083150451</v>
      </c>
      <c r="E958" s="10" t="n">
        <f aca="false">E956+E957</f>
        <v>540.853870336907</v>
      </c>
      <c r="F958" s="10" t="n">
        <f aca="false">F956+F957</f>
        <v>541.163081372343</v>
      </c>
      <c r="G958" s="10" t="n">
        <f aca="false">G956+G957</f>
        <v>541.473838462956</v>
      </c>
      <c r="H958" s="10" t="n">
        <f aca="false">H956+H957</f>
        <v>541.786149339022</v>
      </c>
      <c r="I958" s="10" t="n">
        <f aca="false">I956+I957</f>
        <v>542.100021769468</v>
      </c>
      <c r="J958" s="10" t="n">
        <f aca="false">J956+J957</f>
        <v>542.415463562067</v>
      </c>
      <c r="K958" s="10" t="n">
        <f aca="false">K956+K957</f>
        <v>542.732482563628</v>
      </c>
      <c r="L958" s="10" t="n">
        <f aca="false">L956+L957</f>
        <v>543.051086660198</v>
      </c>
    </row>
    <row r="959" customFormat="false" ht="15" hidden="true" customHeight="false" outlineLevel="1" collapsed="false">
      <c r="A959" s="6" t="s">
        <v>412</v>
      </c>
      <c r="B959" s="29" t="n">
        <f aca="false">(IF(B$43&gt;=1,(Quesería!$B$31+Quesería!$B$33)*Quesería!$F$94*$W$11+Quesería!$B$32+'Beneficios y costos'!$B$211,0)+IF(B$43&gt;=2,((Quesería!$B$31+Quesería!$B$33)*Quesería!$F$95*$W$11+'Beneficios y costos'!$C$211)*$W$21,0))*$W$12</f>
        <v>0</v>
      </c>
      <c r="C959" s="29" t="n">
        <f aca="false">(IF(C$43&gt;=1,(Quesería!$B$31+Quesería!$B$33)*Quesería!$F$94*$W$11+Quesería!$B$32+'Beneficios y costos'!$B$211,0)+IF(C$43&gt;=2,((Quesería!$B$31+Quesería!$B$33)*Quesería!$F$95*$W$11+'Beneficios y costos'!$C$211)*$W$21,0))*$W$12</f>
        <v>42.0946487260605</v>
      </c>
      <c r="D959" s="29" t="n">
        <f aca="false">(IF(D$43&gt;=1,(Quesería!$B$31+Quesería!$B$33)*Quesería!$F$94*$W$11+Quesería!$B$32+'Beneficios y costos'!$B$211,0)+IF(D$43&gt;=2,((Quesería!$B$31+Quesería!$B$33)*Quesería!$F$95*$W$11+'Beneficios y costos'!$C$211)*$W$21,0))*$W$12</f>
        <v>95.9432442337815</v>
      </c>
      <c r="E959" s="29" t="n">
        <f aca="false">(IF(E$43&gt;=1,(Quesería!$B$31+Quesería!$B$33)*Quesería!$F$94*$W$11+Quesería!$B$32+'Beneficios y costos'!$B$211,0)+IF(E$43&gt;=2,((Quesería!$B$31+Quesería!$B$33)*Quesería!$F$95*$W$11+'Beneficios y costos'!$C$211)*$W$21,0))*$W$12</f>
        <v>95.9432442337815</v>
      </c>
      <c r="F959" s="29" t="n">
        <f aca="false">(IF(F$43&gt;=1,(Quesería!$B$31+Quesería!$B$33)*Quesería!$F$94*$W$11+Quesería!$B$32+'Beneficios y costos'!$B$211,0)+IF(F$43&gt;=2,((Quesería!$B$31+Quesería!$B$33)*Quesería!$F$95*$W$11+'Beneficios y costos'!$C$211)*$W$21,0))*$W$12</f>
        <v>95.9432442337815</v>
      </c>
      <c r="G959" s="29" t="n">
        <f aca="false">(IF(G$43&gt;=1,(Quesería!$B$31+Quesería!$B$33)*Quesería!$F$94*$W$11+Quesería!$B$32+'Beneficios y costos'!$B$211,0)+IF(G$43&gt;=2,((Quesería!$B$31+Quesería!$B$33)*Quesería!$F$95*$W$11+'Beneficios y costos'!$C$211)*$W$21,0))*$W$12</f>
        <v>95.9432442337815</v>
      </c>
      <c r="H959" s="29" t="n">
        <f aca="false">(IF(H$43&gt;=1,(Quesería!$B$31+Quesería!$B$33)*Quesería!$F$94*$W$11+Quesería!$B$32+'Beneficios y costos'!$B$211,0)+IF(H$43&gt;=2,((Quesería!$B$31+Quesería!$B$33)*Quesería!$F$95*$W$11+'Beneficios y costos'!$C$211)*$W$21,0))*$W$12</f>
        <v>95.9432442337815</v>
      </c>
      <c r="I959" s="29" t="n">
        <f aca="false">(IF(I$43&gt;=1,(Quesería!$B$31+Quesería!$B$33)*Quesería!$F$94*$W$11+Quesería!$B$32+'Beneficios y costos'!$B$211,0)+IF(I$43&gt;=2,((Quesería!$B$31+Quesería!$B$33)*Quesería!$F$95*$W$11+'Beneficios y costos'!$C$211)*$W$21,0))*$W$12</f>
        <v>95.9432442337815</v>
      </c>
      <c r="J959" s="29" t="n">
        <f aca="false">(IF(J$43&gt;=1,(Quesería!$B$31+Quesería!$B$33)*Quesería!$F$94*$W$11+Quesería!$B$32+'Beneficios y costos'!$B$211,0)+IF(J$43&gt;=2,((Quesería!$B$31+Quesería!$B$33)*Quesería!$F$95*$W$11+'Beneficios y costos'!$C$211)*$W$21,0))*$W$12</f>
        <v>95.9432442337815</v>
      </c>
      <c r="K959" s="29" t="n">
        <f aca="false">(IF(K$43&gt;=1,(Quesería!$B$31+Quesería!$B$33)*Quesería!$F$94*$W$11+Quesería!$B$32+'Beneficios y costos'!$B$211,0)+IF(K$43&gt;=2,((Quesería!$B$31+Quesería!$B$33)*Quesería!$F$95*$W$11+'Beneficios y costos'!$C$211)*$W$21,0))*$W$12</f>
        <v>95.9432442337815</v>
      </c>
      <c r="L959" s="29" t="n">
        <f aca="false">(IF(L$43&gt;=1,(Quesería!$B$31+Quesería!$B$33)*Quesería!$F$94*$W$11+Quesería!$B$32+'Beneficios y costos'!$B$211,0)+IF(L$43&gt;=2,((Quesería!$B$31+Quesería!$B$33)*Quesería!$F$95*$W$11+'Beneficios y costos'!$C$211)*$W$21,0))*$W$12</f>
        <v>95.9432442337815</v>
      </c>
    </row>
    <row r="960" customFormat="false" ht="15" hidden="true" customHeight="false" outlineLevel="1" collapsed="false">
      <c r="A960" s="6" t="s">
        <v>413</v>
      </c>
      <c r="B960" s="29" t="n">
        <f aca="false">IF(B$43=1,2*Quesería!$B$22*Quesería!$B$23/12*B951,0)*$W$21</f>
        <v>0</v>
      </c>
      <c r="C960" s="29" t="n">
        <f aca="false">IF(C$43=1,2*Quesería!$B$22*Quesería!$B$23/12*C951,0)*$W$21</f>
        <v>18.5166509433962</v>
      </c>
      <c r="D960" s="29" t="n">
        <f aca="false">IF(D$43=1,2*Quesería!$B$22*Quesería!$B$23/12*D951,0)*$W$21</f>
        <v>0</v>
      </c>
      <c r="E960" s="29" t="n">
        <f aca="false">IF(E$43=1,2*Quesería!$B$22*Quesería!$B$23/12*E951,0)*$W$21</f>
        <v>0</v>
      </c>
      <c r="F960" s="29" t="n">
        <f aca="false">IF(F$43=1,2*Quesería!$B$22*Quesería!$B$23/12*F951,0)*$W$21</f>
        <v>0</v>
      </c>
      <c r="G960" s="29" t="n">
        <f aca="false">IF(G$43=1,2*Quesería!$B$22*Quesería!$B$23/12*G951,0)*$W$21</f>
        <v>0</v>
      </c>
      <c r="H960" s="29" t="n">
        <f aca="false">IF(H$43=1,2*Quesería!$B$22*Quesería!$B$23/12*H951,0)*$W$21</f>
        <v>0</v>
      </c>
      <c r="I960" s="29" t="n">
        <f aca="false">IF(I$43=1,2*Quesería!$B$22*Quesería!$B$23/12*I951,0)*$W$21</f>
        <v>0</v>
      </c>
      <c r="J960" s="29" t="n">
        <f aca="false">IF(J$43=1,2*Quesería!$B$22*Quesería!$B$23/12*J951,0)*$W$21</f>
        <v>0</v>
      </c>
      <c r="K960" s="29" t="n">
        <f aca="false">IF(K$43=1,2*Quesería!$B$22*Quesería!$B$23/12*K951,0)*$W$21</f>
        <v>0</v>
      </c>
      <c r="L960" s="29" t="n">
        <f aca="false">IF(L$43=1,2*Quesería!$B$22*Quesería!$B$23/12*L951,0)*$W$21</f>
        <v>0</v>
      </c>
    </row>
    <row r="961" customFormat="false" ht="15" hidden="true" customHeight="false" outlineLevel="1" collapsed="false">
      <c r="A961" s="6" t="s">
        <v>414</v>
      </c>
      <c r="B961" s="29" t="n">
        <f aca="false">Quesería!$B$52*(B953+B954+B955+B959+B960)</f>
        <v>4.31966364396742</v>
      </c>
      <c r="C961" s="29" t="n">
        <f aca="false">Quesería!$B$52*(C953+C954+C955+C959+C960)</f>
        <v>3.85275795604844</v>
      </c>
      <c r="D961" s="29" t="n">
        <f aca="false">Quesería!$B$52*(D953+D954+D955+D959+D960)</f>
        <v>0.383772976935126</v>
      </c>
      <c r="E961" s="29" t="n">
        <f aca="false">Quesería!$B$52*(E953+E954+E955+E959+E960)</f>
        <v>0.383772976935126</v>
      </c>
      <c r="F961" s="29" t="n">
        <f aca="false">Quesería!$B$52*(F953+F954+F955+F959+F960)</f>
        <v>0.383772976935126</v>
      </c>
      <c r="G961" s="29" t="n">
        <f aca="false">Quesería!$B$52*(G953+G954+G955+G959+G960)</f>
        <v>0.514507411134964</v>
      </c>
      <c r="H961" s="29" t="n">
        <f aca="false">Quesería!$B$52*(H953+H954+H955+H959+H960)</f>
        <v>0.604585358119273</v>
      </c>
      <c r="I961" s="29" t="n">
        <f aca="false">Quesería!$B$52*(I953+I954+I955+I959+I960)</f>
        <v>0.383772976935126</v>
      </c>
      <c r="J961" s="29" t="n">
        <f aca="false">Quesería!$B$52*(J953+J954+J955+J959+J960)</f>
        <v>0.383772976935126</v>
      </c>
      <c r="K961" s="29" t="n">
        <f aca="false">Quesería!$B$52*(K953+K954+K955+K959+K960)</f>
        <v>0.383772976935126</v>
      </c>
      <c r="L961" s="29" t="n">
        <f aca="false">Quesería!$B$52*(L953+L954+L955+L959+L960)</f>
        <v>0.383772976935126</v>
      </c>
    </row>
    <row r="962" customFormat="false" ht="15" hidden="true" customHeight="false" outlineLevel="1" collapsed="false">
      <c r="A962" s="6" t="s">
        <v>415</v>
      </c>
      <c r="B962" s="29" t="n">
        <f aca="false">(IF($W$19=1,(SUMPRODUCT((Quesería!$C$70:$C$89=0)*(Quesería!$J$70:$J$89&gt;0)*(B$43&gt;=1)*(B$43&lt;=Quesería!$J$70:$J$89)*(Quesería!$H$70:$H$89&gt;0)*Quesería!$F$70:$F$89*(1+Quesería!$I$70:$I$89)/(Quesería!$J$70:$J$89+(Quesería!$J$70:$J$89=0)))+SUMPRODUCT((Quesería!$C$70:$C$89=0)*(Quesería!$J$70:$J$89=0)*(B$43=0)*(Quesería!$H$70:$H$89&gt;0)*Quesería!$F$70:$F$89*(1+Quesería!$I$70:$I$89)))*$B$950+(SUMPRODUCT((Quesería!$C$70:$C$89=1)*(Quesería!$J$70:$J$89&gt;0)*(B$43&gt;=2)*(B$43&lt;=Quesería!$J$70:$J$89+1)*(Quesería!$H$70:$H$89&gt;0)*Quesería!$F$70:$F$89*(1+Quesería!$I$70:$I$89)/(Quesería!$J$70:$J$89+(Quesería!$J$70:$J$89=0)))+SUMPRODUCT((Quesería!$C$70:$C$89=1)*(Quesería!$J$70:$J$89=0)*(B$43=1)*(Quesería!$H$70:$H$89&gt;0)*Quesería!$F$70:$F$89*(1+Quesería!$I$70:$I$89)))*$C$950*$W$21,IF(AND(B$43&gt;=1,B$43&lt;=Quesería!$B$30),Quesería!$F$92/Quesería!$B$30,0)*$B$950+IF(AND(B$43&gt;=2,B$43&lt;=Quesería!$B$30+1),Quesería!$F$93/Quesería!$B$30,0)*$C$950*$W$21)*$W$11+IF(AND(B$43&gt;=6,B$43&lt;=10),$G954*$G950/5,0)+IF(AND(B$43&gt;=7,B$43&lt;=11),$H954*$H950/5,0))*B952</f>
        <v>0</v>
      </c>
      <c r="C962" s="29" t="n">
        <f aca="false">(IF($W$19=1,(SUMPRODUCT((Quesería!$C$70:$C$89=0)*(Quesería!$J$70:$J$89&gt;0)*(C$43&gt;=1)*(C$43&lt;=Quesería!$J$70:$J$89)*(Quesería!$H$70:$H$89&gt;0)*Quesería!$F$70:$F$89*(1+Quesería!$I$70:$I$89)/(Quesería!$J$70:$J$89+(Quesería!$J$70:$J$89=0)))+SUMPRODUCT((Quesería!$C$70:$C$89=0)*(Quesería!$J$70:$J$89=0)*(C$43=0)*(Quesería!$H$70:$H$89&gt;0)*Quesería!$F$70:$F$89*(1+Quesería!$I$70:$I$89)))*$B$950+(SUMPRODUCT((Quesería!$C$70:$C$89=1)*(Quesería!$J$70:$J$89&gt;0)*(C$43&gt;=2)*(C$43&lt;=Quesería!$J$70:$J$89+1)*(Quesería!$H$70:$H$89&gt;0)*Quesería!$F$70:$F$89*(1+Quesería!$I$70:$I$89)/(Quesería!$J$70:$J$89+(Quesería!$J$70:$J$89=0)))+SUMPRODUCT((Quesería!$C$70:$C$89=1)*(Quesería!$J$70:$J$89=0)*(C$43=1)*(Quesería!$H$70:$H$89&gt;0)*Quesería!$F$70:$F$89*(1+Quesería!$I$70:$I$89)))*$C$950*$W$21,IF(AND(C$43&gt;=1,C$43&lt;=Quesería!$B$30),Quesería!$F$92/Quesería!$B$30,0)*$B$950+IF(AND(C$43&gt;=2,C$43&lt;=Quesería!$B$30+1),Quesería!$F$93/Quesería!$B$30,0)*$C$950*$W$21)*$W$11+IF(AND(C$43&gt;=6,C$43&lt;=10),$G954*$G950/5,0)+IF(AND(C$43&gt;=7,C$43&lt;=11),$H954*$H950/5,0))*C952</f>
        <v>88.6476418506359</v>
      </c>
      <c r="D962" s="29" t="n">
        <f aca="false">(IF($W$19=1,(SUMPRODUCT((Quesería!$C$70:$C$89=0)*(Quesería!$J$70:$J$89&gt;0)*(D$43&gt;=1)*(D$43&lt;=Quesería!$J$70:$J$89)*(Quesería!$H$70:$H$89&gt;0)*Quesería!$F$70:$F$89*(1+Quesería!$I$70:$I$89)/(Quesería!$J$70:$J$89+(Quesería!$J$70:$J$89=0)))+SUMPRODUCT((Quesería!$C$70:$C$89=0)*(Quesería!$J$70:$J$89=0)*(D$43=0)*(Quesería!$H$70:$H$89&gt;0)*Quesería!$F$70:$F$89*(1+Quesería!$I$70:$I$89)))*$B$950+(SUMPRODUCT((Quesería!$C$70:$C$89=1)*(Quesería!$J$70:$J$89&gt;0)*(D$43&gt;=2)*(D$43&lt;=Quesería!$J$70:$J$89+1)*(Quesería!$H$70:$H$89&gt;0)*Quesería!$F$70:$F$89*(1+Quesería!$I$70:$I$89)/(Quesería!$J$70:$J$89+(Quesería!$J$70:$J$89=0)))+SUMPRODUCT((Quesería!$C$70:$C$89=1)*(Quesería!$J$70:$J$89=0)*(D$43=1)*(Quesería!$H$70:$H$89&gt;0)*Quesería!$F$70:$F$89*(1+Quesería!$I$70:$I$89)))*$C$950*$W$21,IF(AND(D$43&gt;=1,D$43&lt;=Quesería!$B$30),Quesería!$F$92/Quesería!$B$30,0)*$B$950+IF(AND(D$43&gt;=2,D$43&lt;=Quesería!$B$30+1),Quesería!$F$93/Quesería!$B$30,0)*$C$950*$W$21)*$W$11+IF(AND(D$43&gt;=6,D$43&lt;=10),$G954*$G950/5,0)+IF(AND(D$43&gt;=7,D$43&lt;=11),$H954*$H950/5,0))*D952</f>
        <v>157.411051213479</v>
      </c>
      <c r="E962" s="29" t="n">
        <f aca="false">(IF($W$19=1,(SUMPRODUCT((Quesería!$C$70:$C$89=0)*(Quesería!$J$70:$J$89&gt;0)*(E$43&gt;=1)*(E$43&lt;=Quesería!$J$70:$J$89)*(Quesería!$H$70:$H$89&gt;0)*Quesería!$F$70:$F$89*(1+Quesería!$I$70:$I$89)/(Quesería!$J$70:$J$89+(Quesería!$J$70:$J$89=0)))+SUMPRODUCT((Quesería!$C$70:$C$89=0)*(Quesería!$J$70:$J$89=0)*(E$43=0)*(Quesería!$H$70:$H$89&gt;0)*Quesería!$F$70:$F$89*(1+Quesería!$I$70:$I$89)))*$B$950+(SUMPRODUCT((Quesería!$C$70:$C$89=1)*(Quesería!$J$70:$J$89&gt;0)*(E$43&gt;=2)*(E$43&lt;=Quesería!$J$70:$J$89+1)*(Quesería!$H$70:$H$89&gt;0)*Quesería!$F$70:$F$89*(1+Quesería!$I$70:$I$89)/(Quesería!$J$70:$J$89+(Quesería!$J$70:$J$89=0)))+SUMPRODUCT((Quesería!$C$70:$C$89=1)*(Quesería!$J$70:$J$89=0)*(E$43=1)*(Quesería!$H$70:$H$89&gt;0)*Quesería!$F$70:$F$89*(1+Quesería!$I$70:$I$89)))*$C$950*$W$21,IF(AND(E$43&gt;=1,E$43&lt;=Quesería!$B$30),Quesería!$F$92/Quesería!$B$30,0)*$B$950+IF(AND(E$43&gt;=2,E$43&lt;=Quesería!$B$30+1),Quesería!$F$93/Quesería!$B$30,0)*$C$950*$W$21)*$W$11+IF(AND(E$43&gt;=6,E$43&lt;=10),$G954*$G950/5,0)+IF(AND(E$43&gt;=7,E$43&lt;=11),$H954*$H950/5,0))*E952</f>
        <v>151.356780012961</v>
      </c>
      <c r="F962" s="29" t="n">
        <f aca="false">(IF($W$19=1,(SUMPRODUCT((Quesería!$C$70:$C$89=0)*(Quesería!$J$70:$J$89&gt;0)*(F$43&gt;=1)*(F$43&lt;=Quesería!$J$70:$J$89)*(Quesería!$H$70:$H$89&gt;0)*Quesería!$F$70:$F$89*(1+Quesería!$I$70:$I$89)/(Quesería!$J$70:$J$89+(Quesería!$J$70:$J$89=0)))+SUMPRODUCT((Quesería!$C$70:$C$89=0)*(Quesería!$J$70:$J$89=0)*(F$43=0)*(Quesería!$H$70:$H$89&gt;0)*Quesería!$F$70:$F$89*(1+Quesería!$I$70:$I$89)))*$B$950+(SUMPRODUCT((Quesería!$C$70:$C$89=1)*(Quesería!$J$70:$J$89&gt;0)*(F$43&gt;=2)*(F$43&lt;=Quesería!$J$70:$J$89+1)*(Quesería!$H$70:$H$89&gt;0)*Quesería!$F$70:$F$89*(1+Quesería!$I$70:$I$89)/(Quesería!$J$70:$J$89+(Quesería!$J$70:$J$89=0)))+SUMPRODUCT((Quesería!$C$70:$C$89=1)*(Quesería!$J$70:$J$89=0)*(F$43=1)*(Quesería!$H$70:$H$89&gt;0)*Quesería!$F$70:$F$89*(1+Quesería!$I$70:$I$89)))*$C$950*$W$21,IF(AND(F$43&gt;=1,F$43&lt;=Quesería!$B$30),Quesería!$F$92/Quesería!$B$30,0)*$B$950+IF(AND(F$43&gt;=2,F$43&lt;=Quesería!$B$30+1),Quesería!$F$93/Quesería!$B$30,0)*$C$950*$W$21)*$W$11+IF(AND(F$43&gt;=6,F$43&lt;=10),$G954*$G950/5,0)+IF(AND(F$43&gt;=7,F$43&lt;=11),$H954*$H950/5,0))*F952</f>
        <v>145.535365397078</v>
      </c>
      <c r="G962" s="29" t="n">
        <f aca="false">(IF($W$19=1,(SUMPRODUCT((Quesería!$C$70:$C$89=0)*(Quesería!$J$70:$J$89&gt;0)*(G$43&gt;=1)*(G$43&lt;=Quesería!$J$70:$J$89)*(Quesería!$H$70:$H$89&gt;0)*Quesería!$F$70:$F$89*(1+Quesería!$I$70:$I$89)/(Quesería!$J$70:$J$89+(Quesería!$J$70:$J$89=0)))+SUMPRODUCT((Quesería!$C$70:$C$89=0)*(Quesería!$J$70:$J$89=0)*(G$43=0)*(Quesería!$H$70:$H$89&gt;0)*Quesería!$F$70:$F$89*(1+Quesería!$I$70:$I$89)))*$B$950+(SUMPRODUCT((Quesería!$C$70:$C$89=1)*(Quesería!$J$70:$J$89&gt;0)*(G$43&gt;=2)*(G$43&lt;=Quesería!$J$70:$J$89+1)*(Quesería!$H$70:$H$89&gt;0)*Quesería!$F$70:$F$89*(1+Quesería!$I$70:$I$89)/(Quesería!$J$70:$J$89+(Quesería!$J$70:$J$89=0)))+SUMPRODUCT((Quesería!$C$70:$C$89=1)*(Quesería!$J$70:$J$89=0)*(G$43=1)*(Quesería!$H$70:$H$89&gt;0)*Quesería!$F$70:$F$89*(1+Quesería!$I$70:$I$89)))*$C$950*$W$21,IF(AND(G$43&gt;=1,G$43&lt;=Quesería!$B$30),Quesería!$F$92/Quesería!$B$30,0)*$B$950+IF(AND(G$43&gt;=2,G$43&lt;=Quesería!$B$30+1),Quesería!$F$93/Quesería!$B$30,0)*$C$950*$W$21)*$W$11+IF(AND(G$43&gt;=6,G$43&lt;=10),$G954*$G950/5,0)+IF(AND(G$43&gt;=7,G$43&lt;=11),$H954*$H950/5,0))*G952</f>
        <v>139.937851343344</v>
      </c>
      <c r="H962" s="29" t="n">
        <f aca="false">(IF($W$19=1,(SUMPRODUCT((Quesería!$C$70:$C$89=0)*(Quesería!$J$70:$J$89&gt;0)*(H$43&gt;=1)*(H$43&lt;=Quesería!$J$70:$J$89)*(Quesería!$H$70:$H$89&gt;0)*Quesería!$F$70:$F$89*(1+Quesería!$I$70:$I$89)/(Quesería!$J$70:$J$89+(Quesería!$J$70:$J$89=0)))+SUMPRODUCT((Quesería!$C$70:$C$89=0)*(Quesería!$J$70:$J$89=0)*(H$43=0)*(Quesería!$H$70:$H$89&gt;0)*Quesería!$F$70:$F$89*(1+Quesería!$I$70:$I$89)))*$B$950+(SUMPRODUCT((Quesería!$C$70:$C$89=1)*(Quesería!$J$70:$J$89&gt;0)*(H$43&gt;=2)*(H$43&lt;=Quesería!$J$70:$J$89+1)*(Quesería!$H$70:$H$89&gt;0)*Quesería!$F$70:$F$89*(1+Quesería!$I$70:$I$89)/(Quesería!$J$70:$J$89+(Quesería!$J$70:$J$89=0)))+SUMPRODUCT((Quesería!$C$70:$C$89=1)*(Quesería!$J$70:$J$89=0)*(H$43=1)*(Quesería!$H$70:$H$89&gt;0)*Quesería!$F$70:$F$89*(1+Quesería!$I$70:$I$89)))*$C$950*$W$21,IF(AND(H$43&gt;=1,H$43&lt;=Quesería!$B$30),Quesería!$F$92/Quesería!$B$30,0)*$B$950+IF(AND(H$43&gt;=2,H$43&lt;=Quesería!$B$30+1),Quesería!$F$93/Quesería!$B$30,0)*$C$950*$W$21)*$W$11+IF(AND(H$43&gt;=6,H$43&lt;=10),$G954*$G950/5,0)+IF(AND(H$43&gt;=7,H$43&lt;=11),$H954*$H950/5,0))*H952</f>
        <v>139.837398843383</v>
      </c>
      <c r="I962" s="29" t="n">
        <f aca="false">(IF($W$19=1,(SUMPRODUCT((Quesería!$C$70:$C$89=0)*(Quesería!$J$70:$J$89&gt;0)*(I$43&gt;=1)*(I$43&lt;=Quesería!$J$70:$J$89)*(Quesería!$H$70:$H$89&gt;0)*Quesería!$F$70:$F$89*(1+Quesería!$I$70:$I$89)/(Quesería!$J$70:$J$89+(Quesería!$J$70:$J$89=0)))+SUMPRODUCT((Quesería!$C$70:$C$89=0)*(Quesería!$J$70:$J$89=0)*(I$43=0)*(Quesería!$H$70:$H$89&gt;0)*Quesería!$F$70:$F$89*(1+Quesería!$I$70:$I$89)))*$B$950+(SUMPRODUCT((Quesería!$C$70:$C$89=1)*(Quesería!$J$70:$J$89&gt;0)*(I$43&gt;=2)*(I$43&lt;=Quesería!$J$70:$J$89+1)*(Quesería!$H$70:$H$89&gt;0)*Quesería!$F$70:$F$89*(1+Quesería!$I$70:$I$89)/(Quesería!$J$70:$J$89+(Quesería!$J$70:$J$89=0)))+SUMPRODUCT((Quesería!$C$70:$C$89=1)*(Quesería!$J$70:$J$89=0)*(I$43=1)*(Quesería!$H$70:$H$89&gt;0)*Quesería!$F$70:$F$89*(1+Quesería!$I$70:$I$89)))*$C$950*$W$21,IF(AND(I$43&gt;=1,I$43&lt;=Quesería!$B$30),Quesería!$F$92/Quesería!$B$30,0)*$B$950+IF(AND(I$43&gt;=2,I$43&lt;=Quesería!$B$30+1),Quesería!$F$93/Quesería!$B$30,0)*$C$950*$W$21)*$W$11+IF(AND(I$43&gt;=6,I$43&lt;=10),$G954*$G950/5,0)+IF(AND(I$43&gt;=7,I$43&lt;=11),$H954*$H950/5,0))*I952</f>
        <v>143.380028832283</v>
      </c>
      <c r="J962" s="29" t="n">
        <f aca="false">(IF($W$19=1,(SUMPRODUCT((Quesería!$C$70:$C$89=0)*(Quesería!$J$70:$J$89&gt;0)*(J$43&gt;=1)*(J$43&lt;=Quesería!$J$70:$J$89)*(Quesería!$H$70:$H$89&gt;0)*Quesería!$F$70:$F$89*(1+Quesería!$I$70:$I$89)/(Quesería!$J$70:$J$89+(Quesería!$J$70:$J$89=0)))+SUMPRODUCT((Quesería!$C$70:$C$89=0)*(Quesería!$J$70:$J$89=0)*(J$43=0)*(Quesería!$H$70:$H$89&gt;0)*Quesería!$F$70:$F$89*(1+Quesería!$I$70:$I$89)))*$B$950+(SUMPRODUCT((Quesería!$C$70:$C$89=1)*(Quesería!$J$70:$J$89&gt;0)*(J$43&gt;=2)*(J$43&lt;=Quesería!$J$70:$J$89+1)*(Quesería!$H$70:$H$89&gt;0)*Quesería!$F$70:$F$89*(1+Quesería!$I$70:$I$89)/(Quesería!$J$70:$J$89+(Quesería!$J$70:$J$89=0)))+SUMPRODUCT((Quesería!$C$70:$C$89=1)*(Quesería!$J$70:$J$89=0)*(J$43=1)*(Quesería!$H$70:$H$89&gt;0)*Quesería!$F$70:$F$89*(1+Quesería!$I$70:$I$89)))*$C$950*$W$21,IF(AND(J$43&gt;=1,J$43&lt;=Quesería!$B$30),Quesería!$F$92/Quesería!$B$30,0)*$B$950+IF(AND(J$43&gt;=2,J$43&lt;=Quesería!$B$30+1),Quesería!$F$93/Quesería!$B$30,0)*$C$950*$W$21)*$W$11+IF(AND(J$43&gt;=6,J$43&lt;=10),$G954*$G950/5,0)+IF(AND(J$43&gt;=7,J$43&lt;=11),$H954*$H950/5,0))*J952</f>
        <v>137.865412338734</v>
      </c>
      <c r="K962" s="29" t="n">
        <f aca="false">(IF($W$19=1,(SUMPRODUCT((Quesería!$C$70:$C$89=0)*(Quesería!$J$70:$J$89&gt;0)*(K$43&gt;=1)*(K$43&lt;=Quesería!$J$70:$J$89)*(Quesería!$H$70:$H$89&gt;0)*Quesería!$F$70:$F$89*(1+Quesería!$I$70:$I$89)/(Quesería!$J$70:$J$89+(Quesería!$J$70:$J$89=0)))+SUMPRODUCT((Quesería!$C$70:$C$89=0)*(Quesería!$J$70:$J$89=0)*(K$43=0)*(Quesería!$H$70:$H$89&gt;0)*Quesería!$F$70:$F$89*(1+Quesería!$I$70:$I$89)))*$B$950+(SUMPRODUCT((Quesería!$C$70:$C$89=1)*(Quesería!$J$70:$J$89&gt;0)*(K$43&gt;=2)*(K$43&lt;=Quesería!$J$70:$J$89+1)*(Quesería!$H$70:$H$89&gt;0)*Quesería!$F$70:$F$89*(1+Quesería!$I$70:$I$89)/(Quesería!$J$70:$J$89+(Quesería!$J$70:$J$89=0)))+SUMPRODUCT((Quesería!$C$70:$C$89=1)*(Quesería!$J$70:$J$89=0)*(K$43=1)*(Quesería!$H$70:$H$89&gt;0)*Quesería!$F$70:$F$89*(1+Quesería!$I$70:$I$89)))*$C$950*$W$21,IF(AND(K$43&gt;=1,K$43&lt;=Quesería!$B$30),Quesería!$F$92/Quesería!$B$30,0)*$B$950+IF(AND(K$43&gt;=2,K$43&lt;=Quesería!$B$30+1),Quesería!$F$93/Quesería!$B$30,0)*$C$950*$W$21)*$W$11+IF(AND(K$43&gt;=6,K$43&lt;=10),$G954*$G950/5,0)+IF(AND(K$43&gt;=7,K$43&lt;=11),$H954*$H950/5,0))*K952</f>
        <v>132.562896479552</v>
      </c>
      <c r="L962" s="29" t="n">
        <f aca="false">(IF($W$19=1,(SUMPRODUCT((Quesería!$C$70:$C$89=0)*(Quesería!$J$70:$J$89&gt;0)*(L$43&gt;=1)*(L$43&lt;=Quesería!$J$70:$J$89)*(Quesería!$H$70:$H$89&gt;0)*Quesería!$F$70:$F$89*(1+Quesería!$I$70:$I$89)/(Quesería!$J$70:$J$89+(Quesería!$J$70:$J$89=0)))+SUMPRODUCT((Quesería!$C$70:$C$89=0)*(Quesería!$J$70:$J$89=0)*(L$43=0)*(Quesería!$H$70:$H$89&gt;0)*Quesería!$F$70:$F$89*(1+Quesería!$I$70:$I$89)))*$B$950+(SUMPRODUCT((Quesería!$C$70:$C$89=1)*(Quesería!$J$70:$J$89&gt;0)*(L$43&gt;=2)*(L$43&lt;=Quesería!$J$70:$J$89+1)*(Quesería!$H$70:$H$89&gt;0)*Quesería!$F$70:$F$89*(1+Quesería!$I$70:$I$89)/(Quesería!$J$70:$J$89+(Quesería!$J$70:$J$89=0)))+SUMPRODUCT((Quesería!$C$70:$C$89=1)*(Quesería!$J$70:$J$89=0)*(L$43=1)*(Quesería!$H$70:$H$89&gt;0)*Quesería!$F$70:$F$89*(1+Quesería!$I$70:$I$89)))*$C$950*$W$21,IF(AND(L$43&gt;=1,L$43&lt;=Quesería!$B$30),Quesería!$F$92/Quesería!$B$30,0)*$B$950+IF(AND(L$43&gt;=2,L$43&lt;=Quesería!$B$30+1),Quesería!$F$93/Quesería!$B$30,0)*$C$950*$W$21)*$W$11+IF(AND(L$43&gt;=6,L$43&lt;=10),$G954*$G950/5,0)+IF(AND(L$43&gt;=7,L$43&lt;=11),$H954*$H950/5,0))*L952</f>
        <v>127.46432353803</v>
      </c>
    </row>
    <row r="963" customFormat="false" ht="15" hidden="true" customHeight="false" outlineLevel="1" collapsed="false">
      <c r="A963" s="9" t="s">
        <v>416</v>
      </c>
      <c r="B963" s="58" t="n">
        <f aca="false">IF(B$43=1,MIN($W$7*Quesería!$B$56*Quesería!$F$86*$W$11*$W$21,Quesería!$B$57*Quesería!$B$58),0)</f>
        <v>0</v>
      </c>
      <c r="C963" s="58" t="n">
        <f aca="false">IF(C$43=1,MIN($W$7*Quesería!$B$56*Quesería!$F$86*$W$11*$W$21,Quesería!$B$57*Quesería!$B$58),0)</f>
        <v>20</v>
      </c>
      <c r="D963" s="58" t="n">
        <f aca="false">IF(D$43=1,MIN($W$7*Quesería!$B$56*Quesería!$F$86*$W$11*$W$21,Quesería!$B$57*Quesería!$B$58),0)</f>
        <v>0</v>
      </c>
      <c r="E963" s="58" t="n">
        <f aca="false">IF(E$43=1,MIN($W$7*Quesería!$B$56*Quesería!$F$86*$W$11*$W$21,Quesería!$B$57*Quesería!$B$58),0)</f>
        <v>0</v>
      </c>
      <c r="F963" s="58" t="n">
        <f aca="false">IF(F$43=1,MIN($W$7*Quesería!$B$56*Quesería!$F$86*$W$11*$W$21,Quesería!$B$57*Quesería!$B$58),0)</f>
        <v>0</v>
      </c>
      <c r="G963" s="58" t="n">
        <f aca="false">IF(G$43=1,MIN($W$7*Quesería!$B$56*Quesería!$F$86*$W$11*$W$21,Quesería!$B$57*Quesería!$B$58),0)</f>
        <v>0</v>
      </c>
      <c r="H963" s="58" t="n">
        <f aca="false">IF(H$43=1,MIN($W$7*Quesería!$B$56*Quesería!$F$86*$W$11*$W$21,Quesería!$B$57*Quesería!$B$58),0)</f>
        <v>0</v>
      </c>
      <c r="I963" s="58" t="n">
        <f aca="false">IF(I$43=1,MIN($W$7*Quesería!$B$56*Quesería!$F$86*$W$11*$W$21,Quesería!$B$57*Quesería!$B$58),0)</f>
        <v>0</v>
      </c>
      <c r="J963" s="58" t="n">
        <f aca="false">IF(J$43=1,MIN($W$7*Quesería!$B$56*Quesería!$F$86*$W$11*$W$21,Quesería!$B$57*Quesería!$B$58),0)</f>
        <v>0</v>
      </c>
      <c r="K963" s="58" t="n">
        <f aca="false">IF(K$43=1,MIN($W$7*Quesería!$B$56*Quesería!$F$86*$W$11*$W$21,Quesería!$B$57*Quesería!$B$58),0)</f>
        <v>0</v>
      </c>
      <c r="L963" s="58" t="n">
        <f aca="false">IF(L$43=1,MIN($W$7*Quesería!$B$56*Quesería!$F$86*$W$11*$W$21,Quesería!$B$57*Quesería!$B$58),0)</f>
        <v>0</v>
      </c>
    </row>
    <row r="964" customFormat="false" ht="15" hidden="true" customHeight="false" outlineLevel="1" collapsed="false">
      <c r="A964" s="9" t="s">
        <v>417</v>
      </c>
      <c r="B964" s="58" t="n">
        <v>0</v>
      </c>
      <c r="C964" s="58" t="n">
        <f aca="false">$W$20*Quesería!$B$60*Quesería!$F$98*$W$11*$B$950/C950/2</f>
        <v>0</v>
      </c>
      <c r="D964" s="58" t="n">
        <f aca="false">$W$20*Quesería!$B$60*Quesería!$F$98*$W$11*$B$950/D950/2</f>
        <v>0</v>
      </c>
      <c r="E964" s="58" t="n">
        <v>0</v>
      </c>
      <c r="F964" s="58" t="n">
        <v>0</v>
      </c>
      <c r="G964" s="58" t="n">
        <v>0</v>
      </c>
      <c r="H964" s="58" t="n">
        <v>0</v>
      </c>
      <c r="I964" s="58" t="n">
        <v>0</v>
      </c>
      <c r="J964" s="58" t="n">
        <v>0</v>
      </c>
      <c r="K964" s="58" t="n">
        <v>0</v>
      </c>
      <c r="L964" s="58" t="n">
        <v>0</v>
      </c>
    </row>
    <row r="965" customFormat="false" ht="15" hidden="true" customHeight="false" outlineLevel="1" collapsed="false">
      <c r="A965" s="9" t="s">
        <v>418</v>
      </c>
      <c r="B965" s="58" t="n">
        <f aca="false">0</f>
        <v>0</v>
      </c>
      <c r="C965" s="58" t="n">
        <f aca="false">B955*B950/C950</f>
        <v>142.014925295407</v>
      </c>
      <c r="D965" s="58" t="n">
        <f aca="false">C955*C950/D950</f>
        <v>137.903466668091</v>
      </c>
      <c r="E965" s="58" t="n">
        <f aca="false">D955*D950/E950</f>
        <v>0</v>
      </c>
      <c r="F965" s="58" t="n">
        <f aca="false">E955*E950/F950</f>
        <v>0</v>
      </c>
      <c r="G965" s="58" t="n">
        <f aca="false">F955*F950/G950</f>
        <v>0</v>
      </c>
      <c r="H965" s="58" t="n">
        <f aca="false">G955*G950/H950</f>
        <v>5.01768392412113</v>
      </c>
      <c r="I965" s="58" t="n">
        <f aca="false">H955*H950/I950</f>
        <v>8.47494190873221</v>
      </c>
      <c r="J965" s="58" t="n">
        <f aca="false">I955*I950/J950</f>
        <v>0</v>
      </c>
      <c r="K965" s="58" t="n">
        <f aca="false">J955*J950/K950</f>
        <v>0</v>
      </c>
      <c r="L965" s="58" t="n">
        <f aca="false">K955*K950/L950</f>
        <v>0</v>
      </c>
    </row>
    <row r="966" customFormat="false" ht="15" hidden="true" customHeight="false" outlineLevel="1" collapsed="false">
      <c r="A966" s="6" t="s">
        <v>295</v>
      </c>
      <c r="B966" s="29" t="n">
        <f aca="false">$W$17*(B958-B959-B960-0.5*B961-B962)-B963-B964-B965</f>
        <v>41.4949291537268</v>
      </c>
      <c r="C966" s="29" t="n">
        <f aca="false">$W$17*(C958-C959-C960-0.5*C961-C962)-C963-C964-C965</f>
        <v>-151.464876395824</v>
      </c>
      <c r="D966" s="29" t="n">
        <f aca="false">$W$17*(D958-D959-D960-0.5*D961-D962)-D963-D964-D965</f>
        <v>-59.6830512429376</v>
      </c>
      <c r="E966" s="29" t="n">
        <f aca="false">$W$17*(E958-E959-E960-0.5*E961-E962)-E963-E964-E965</f>
        <v>102.676685860594</v>
      </c>
      <c r="F966" s="29" t="n">
        <f aca="false">$W$17*(F958-F959-F960-0.5*F961-F962)-F963-F964-F965</f>
        <v>104.822404838556</v>
      </c>
      <c r="G966" s="29" t="n">
        <f aca="false">$W$17*(G958-G959-G960-0.5*G961-G962)-G963-G964-G965</f>
        <v>106.867421213092</v>
      </c>
      <c r="H966" s="29" t="n">
        <f aca="false">$W$17*(H958-H959-H960-0.5*H961-H962)-H963-H964-H965</f>
        <v>101.978440829858</v>
      </c>
      <c r="I966" s="29" t="n">
        <f aca="false">$W$17*(I958-I959-I960-0.5*I961-I962)-I963-I964-I965</f>
        <v>97.4297598664954</v>
      </c>
      <c r="J966" s="29" t="n">
        <f aca="false">$W$17*(J958-J959-J960-0.5*J961-J962)-J963-J964-J965</f>
        <v>107.945222175379</v>
      </c>
      <c r="K966" s="29" t="n">
        <f aca="false">$W$17*(K958-K959-K960-0.5*K961-K962)-K963-K964-K965</f>
        <v>109.91205937664</v>
      </c>
      <c r="L966" s="29" t="n">
        <f aca="false">$W$17*(L958-L959-L960-0.5*L961-L962)-L963-L964-L965</f>
        <v>111.808071339971</v>
      </c>
    </row>
    <row r="967" customFormat="false" ht="15" hidden="true" customHeight="false" outlineLevel="1" collapsed="false">
      <c r="A967" s="9" t="s">
        <v>419</v>
      </c>
      <c r="B967" s="58" t="n">
        <f aca="false">(IF(B$43&gt;=1,Quesería!$G$123*IF(B$43=1,Quesería!$B$20,1),Quesería!$G$123*Quesería!$B$20*Quesería!$B$21/12*$W$23)+IF(B$43&gt;=2,Quesería!$G$124*$W$21*IF(B$43=2,Quesería!$B$20,1),0))*$W$10</f>
        <v>77.4042870161869</v>
      </c>
      <c r="C967" s="58" t="n">
        <f aca="false">(IF(C$43&gt;=1,Quesería!$G$123*IF(C$43=1,Quesería!$B$20,1),Quesería!$G$123*Quesería!$B$20*Quesería!$B$21/12*$W$23)+IF(C$43&gt;=2,Quesería!$G$124*$W$21*IF(C$43=2,Quesería!$B$20,1),0))*$W$10</f>
        <v>116.10643052428</v>
      </c>
      <c r="D967" s="58" t="n">
        <f aca="false">(IF(D$43&gt;=1,Quesería!$G$123*IF(D$43=1,Quesería!$B$20,1),Quesería!$G$123*Quesería!$B$20*Quesería!$B$21/12*$W$23)+IF(D$43&gt;=2,Quesería!$G$124*$W$21*IF(D$43=2,Quesería!$B$20,1),0))*$W$10</f>
        <v>297.090260202792</v>
      </c>
      <c r="E967" s="58" t="n">
        <f aca="false">(IF(E$43&gt;=1,Quesería!$G$123*IF(E$43=1,Quesería!$B$20,1),Quesería!$G$123*Quesería!$B$20*Quesería!$B$21/12*$W$23)+IF(E$43&gt;=2,Quesería!$G$124*$W$21*IF(E$43=2,Quesería!$B$20,1),0))*$W$10</f>
        <v>344.517488926264</v>
      </c>
      <c r="F967" s="58" t="n">
        <f aca="false">(IF(F$43&gt;=1,Quesería!$G$123*IF(F$43=1,Quesería!$B$20,1),Quesería!$G$123*Quesería!$B$20*Quesería!$B$21/12*$W$23)+IF(F$43&gt;=2,Quesería!$G$124*$W$21*IF(F$43=2,Quesería!$B$20,1),0))*$W$10</f>
        <v>344.517488926264</v>
      </c>
      <c r="G967" s="58" t="n">
        <f aca="false">(IF(G$43&gt;=1,Quesería!$G$123*IF(G$43=1,Quesería!$B$20,1),Quesería!$G$123*Quesería!$B$20*Quesería!$B$21/12*$W$23)+IF(G$43&gt;=2,Quesería!$G$124*$W$21*IF(G$43=2,Quesería!$B$20,1),0))*$W$10</f>
        <v>344.517488926264</v>
      </c>
      <c r="H967" s="58" t="n">
        <f aca="false">(IF(H$43&gt;=1,Quesería!$G$123*IF(H$43=1,Quesería!$B$20,1),Quesería!$G$123*Quesería!$B$20*Quesería!$B$21/12*$W$23)+IF(H$43&gt;=2,Quesería!$G$124*$W$21*IF(H$43=2,Quesería!$B$20,1),0))*$W$10</f>
        <v>344.517488926264</v>
      </c>
      <c r="I967" s="58" t="n">
        <f aca="false">(IF(I$43&gt;=1,Quesería!$G$123*IF(I$43=1,Quesería!$B$20,1),Quesería!$G$123*Quesería!$B$20*Quesería!$B$21/12*$W$23)+IF(I$43&gt;=2,Quesería!$G$124*$W$21*IF(I$43=2,Quesería!$B$20,1),0))*$W$10</f>
        <v>344.517488926264</v>
      </c>
      <c r="J967" s="58" t="n">
        <f aca="false">(IF(J$43&gt;=1,Quesería!$G$123*IF(J$43=1,Quesería!$B$20,1),Quesería!$G$123*Quesería!$B$20*Quesería!$B$21/12*$W$23)+IF(J$43&gt;=2,Quesería!$G$124*$W$21*IF(J$43=2,Quesería!$B$20,1),0))*$W$10</f>
        <v>344.517488926264</v>
      </c>
      <c r="K967" s="58" t="n">
        <f aca="false">(IF(K$43&gt;=1,Quesería!$G$123*IF(K$43=1,Quesería!$B$20,1),Quesería!$G$123*Quesería!$B$20*Quesería!$B$21/12*$W$23)+IF(K$43&gt;=2,Quesería!$G$124*$W$21*IF(K$43=2,Quesería!$B$20,1),0))*$W$10</f>
        <v>344.517488926264</v>
      </c>
      <c r="L967" s="58" t="n">
        <f aca="false">(IF(L$43&gt;=1,Quesería!$G$123*IF(L$43=1,Quesería!$B$20,1),Quesería!$G$123*Quesería!$B$20*Quesería!$B$21/12*$W$23)+IF(L$43&gt;=2,Quesería!$G$124*$W$21*IF(L$43=2,Quesería!$B$20,1),0))*$W$10</f>
        <v>344.517488926264</v>
      </c>
    </row>
    <row r="968" customFormat="false" ht="15" hidden="true" customHeight="false" outlineLevel="1" collapsed="false">
      <c r="A968" s="6" t="s">
        <v>420</v>
      </c>
      <c r="B968" s="29" t="n">
        <f aca="false">(B967*(Quesería!$B$38+Quesería!$B$40*Quesería!$B$39)/365-B959*Quesería!$B$42/365)</f>
        <v>7.23146900616979</v>
      </c>
      <c r="C968" s="29" t="n">
        <f aca="false">(C967*(Quesería!$B$38+Quesería!$B$40*Quesería!$B$39)/365-C959*Quesería!$B$42/365)-(B967*(Quesería!$B$38+Quesería!$B$40*Quesería!$B$39)/365-B959*Quesería!$B$42/365)*B950/C950</f>
        <v>1.42287846600884</v>
      </c>
      <c r="D968" s="29" t="n">
        <f aca="false">(D967*(Quesería!$B$38+Quesería!$B$40*Quesería!$B$39)/365-D959*Quesería!$B$42/365)-(C967*(Quesería!$B$38+Quesería!$B$40*Quesería!$B$39)/365-C959*Quesería!$B$42/365)*C950/D950</f>
        <v>14.0205300736897</v>
      </c>
      <c r="E968" s="29" t="n">
        <f aca="false">(E967*(Quesería!$B$38+Quesería!$B$40*Quesería!$B$39)/365-E959*Quesería!$B$42/365)-(D967*(Quesería!$B$38+Quesería!$B$40*Quesería!$B$39)/365-D959*Quesería!$B$42/365)*D950/E950</f>
        <v>5.27597549905193</v>
      </c>
      <c r="F968" s="29" t="n">
        <f aca="false">(F967*(Quesería!$B$38+Quesería!$B$40*Quesería!$B$39)/365-F959*Quesería!$B$42/365)-(E967*(Quesería!$B$38+Quesería!$B$40*Quesería!$B$39)/365-E959*Quesería!$B$42/365)*E950/F950</f>
        <v>1.01552107473577</v>
      </c>
      <c r="G968" s="29" t="n">
        <f aca="false">(G967*(Quesería!$B$38+Quesería!$B$40*Quesería!$B$39)/365-G959*Quesería!$B$42/365)-(F967*(Quesería!$B$38+Quesería!$B$40*Quesería!$B$39)/365-F959*Quesería!$B$42/365)*F950/G950</f>
        <v>1.01552107473577</v>
      </c>
      <c r="H968" s="29" t="n">
        <f aca="false">(H967*(Quesería!$B$38+Quesería!$B$40*Quesería!$B$39)/365-H959*Quesería!$B$42/365)-(G967*(Quesería!$B$38+Quesería!$B$40*Quesería!$B$39)/365-G959*Quesería!$B$42/365)*G950/H950</f>
        <v>1.01552107473577</v>
      </c>
      <c r="I968" s="29" t="n">
        <f aca="false">(I967*(Quesería!$B$38+Quesería!$B$40*Quesería!$B$39)/365-I959*Quesería!$B$42/365)-(H967*(Quesería!$B$38+Quesería!$B$40*Quesería!$B$39)/365-H959*Quesería!$B$42/365)*H950/I950</f>
        <v>1.01552107473577</v>
      </c>
      <c r="J968" s="29" t="n">
        <f aca="false">(J967*(Quesería!$B$38+Quesería!$B$40*Quesería!$B$39)/365-J959*Quesería!$B$42/365)-(I967*(Quesería!$B$38+Quesería!$B$40*Quesería!$B$39)/365-I959*Quesería!$B$42/365)*I950/J950</f>
        <v>1.01552107473577</v>
      </c>
      <c r="K968" s="29" t="n">
        <f aca="false">(K967*(Quesería!$B$38+Quesería!$B$40*Quesería!$B$39)/365-K959*Quesería!$B$42/365)-(J967*(Quesería!$B$38+Quesería!$B$40*Quesería!$B$39)/365-J959*Quesería!$B$42/365)*J950/K950</f>
        <v>1.01552107473577</v>
      </c>
      <c r="L968" s="29" t="n">
        <f aca="false">-(K967*(Quesería!$B$38+Quesería!$B$40*Quesería!$B$39)/365-K959*Quesería!$B$42/365)*K950/L950</f>
        <v>-25.3880268683941</v>
      </c>
    </row>
    <row r="969" customFormat="false" ht="15" hidden="true" customHeight="false" outlineLevel="1" collapsed="false">
      <c r="A969" s="6" t="s">
        <v>421</v>
      </c>
      <c r="B969" s="29" t="n">
        <v>0</v>
      </c>
      <c r="C969" s="29" t="n">
        <v>0</v>
      </c>
      <c r="D969" s="29" t="n">
        <v>0</v>
      </c>
      <c r="E969" s="29" t="n">
        <v>0</v>
      </c>
      <c r="F969" s="29" t="n">
        <v>0</v>
      </c>
      <c r="G969" s="29" t="n">
        <v>0</v>
      </c>
      <c r="H969" s="29" t="n">
        <v>0</v>
      </c>
      <c r="I969" s="29" t="n">
        <v>0</v>
      </c>
      <c r="J969" s="29" t="n">
        <v>0</v>
      </c>
      <c r="K969" s="29" t="n">
        <v>0</v>
      </c>
      <c r="L969" s="29" t="n">
        <f aca="false">$W$8*Quesería!$B$36*(Quesería!$F$94+Quesería!$F$95*$W$21)*$W$11*(1-$W$17)</f>
        <v>67.1237725584543</v>
      </c>
    </row>
    <row r="970" customFormat="false" ht="15" hidden="true" customHeight="false" outlineLevel="1" collapsed="false">
      <c r="A970" s="5" t="s">
        <v>147</v>
      </c>
      <c r="B970" s="59" t="n">
        <f aca="false">B958-B959-B960-B961-B966-B953-B954-B955-B968+B969</f>
        <v>-1012.24520053452</v>
      </c>
      <c r="C970" s="59" t="n">
        <f aca="false">C958-C959-C960-C961-C966-C953-C954-C955-C968+C969</f>
        <v>-635.671931684274</v>
      </c>
      <c r="D970" s="59" t="n">
        <f aca="false">D958-D959-D960-D961-D966-D953-D954-D955-D968+D969</f>
        <v>426.368587108982</v>
      </c>
      <c r="E970" s="59" t="n">
        <f aca="false">E958-E959-E960-E961-E966-E953-E954-E955-E968+E969</f>
        <v>336.574191766544</v>
      </c>
      <c r="F970" s="59" t="n">
        <f aca="false">F958-F959-F960-F961-F966-F953-F954-F955-F968+F969</f>
        <v>338.998138248335</v>
      </c>
      <c r="G970" s="59" t="n">
        <f aca="false">G958-G959-G960-G961-G966-G953-G954-G955-G968+G969</f>
        <v>304.449535980252</v>
      </c>
      <c r="H970" s="59" t="n">
        <f aca="false">H958-H959-H960-H961-H966-H953-H954-H955-H968+H969</f>
        <v>287.041262546491</v>
      </c>
      <c r="I970" s="59" t="n">
        <f aca="false">I958-I959-I960-I961-I966-I953-I954-I955-I968+I969</f>
        <v>347.32772361752</v>
      </c>
      <c r="J970" s="59" t="n">
        <f aca="false">J958-J959-J960-J961-J966-J953-J954-J955-J968+J969</f>
        <v>337.127703101235</v>
      </c>
      <c r="K970" s="59" t="n">
        <f aca="false">K958-K959-K960-K961-K966-K953-K954-K955-K968+K969</f>
        <v>335.477884901536</v>
      </c>
      <c r="L970" s="59" t="n">
        <f aca="false">L958-L959-L960-L961-L966-L953-L954-L955-L968+L969</f>
        <v>427.427797536358</v>
      </c>
    </row>
    <row r="971" customFormat="false" ht="15" hidden="true" customHeight="false" outlineLevel="1" collapsed="false">
      <c r="A971" s="9" t="s">
        <v>422</v>
      </c>
      <c r="B971" s="58" t="n">
        <f aca="false">B970*B950</f>
        <v>-1072.97991256659</v>
      </c>
      <c r="C971" s="58" t="n">
        <f aca="false">C970*C950</f>
        <v>-707.502859964598</v>
      </c>
      <c r="D971" s="58" t="n">
        <f aca="false">D970*D950</f>
        <v>495.902908137651</v>
      </c>
      <c r="E971" s="58" t="n">
        <f aca="false">E970*E950</f>
        <v>407.122969584023</v>
      </c>
      <c r="F971" s="58" t="n">
        <f aca="false">F970*F950</f>
        <v>426.457195433929</v>
      </c>
      <c r="G971" s="58" t="n">
        <f aca="false">G970*G950</f>
        <v>398.315116931397</v>
      </c>
      <c r="H971" s="58" t="n">
        <f aca="false">H970*H950</f>
        <v>390.56124239016</v>
      </c>
      <c r="I971" s="58" t="n">
        <f aca="false">I970*I950</f>
        <v>491.493299225086</v>
      </c>
      <c r="J971" s="58" t="n">
        <f aca="false">J970*J950</f>
        <v>496.141930580415</v>
      </c>
      <c r="K971" s="58" t="n">
        <f aca="false">K970*K950</f>
        <v>513.462494209162</v>
      </c>
      <c r="L971" s="58" t="n">
        <f aca="false">L970*L950</f>
        <v>680.363383133383</v>
      </c>
    </row>
    <row r="972" customFormat="false" ht="15" hidden="true" customHeight="false" outlineLevel="1" collapsed="false">
      <c r="A972" s="6" t="s">
        <v>423</v>
      </c>
      <c r="B972" s="29" t="n">
        <f aca="false">B970</f>
        <v>-1012.24520053452</v>
      </c>
      <c r="C972" s="29" t="n">
        <f aca="false">B972+C970</f>
        <v>-1647.91713221879</v>
      </c>
      <c r="D972" s="29" t="n">
        <f aca="false">C972+D970</f>
        <v>-1221.54854510981</v>
      </c>
      <c r="E972" s="29" t="n">
        <f aca="false">D972+E970</f>
        <v>-884.974353343263</v>
      </c>
      <c r="F972" s="29" t="n">
        <f aca="false">E972+F970</f>
        <v>-545.976215094928</v>
      </c>
      <c r="G972" s="29" t="n">
        <f aca="false">F972+G970</f>
        <v>-241.526679114677</v>
      </c>
      <c r="H972" s="29" t="n">
        <f aca="false">G972+H970</f>
        <v>45.5145834318139</v>
      </c>
      <c r="I972" s="29" t="n">
        <f aca="false">H972+I970</f>
        <v>392.842307049334</v>
      </c>
      <c r="J972" s="29" t="n">
        <f aca="false">I972+J970</f>
        <v>729.970010150569</v>
      </c>
      <c r="K972" s="29" t="n">
        <f aca="false">J972+K970</f>
        <v>1065.44789505211</v>
      </c>
      <c r="L972" s="29" t="n">
        <f aca="false">K972+L970</f>
        <v>1492.87569258846</v>
      </c>
    </row>
    <row r="973" customFormat="false" ht="15" hidden="true" customHeight="false" outlineLevel="1" collapsed="false">
      <c r="A973" s="9" t="s">
        <v>424</v>
      </c>
      <c r="B973" s="60" t="n">
        <v>0</v>
      </c>
      <c r="C973" s="60" t="n">
        <f aca="false">IF(AND(B972&lt;0,C972&gt;=0),B$43+(-B972)/C970,0)</f>
        <v>0</v>
      </c>
      <c r="D973" s="60" t="n">
        <f aca="false">IF(AND(C972&lt;0,D972&gt;=0),C$43+(-C972)/D970,0)</f>
        <v>0</v>
      </c>
      <c r="E973" s="60" t="n">
        <f aca="false">IF(AND(D972&lt;0,E972&gt;=0),D$43+(-D972)/E970,0)</f>
        <v>0</v>
      </c>
      <c r="F973" s="60" t="n">
        <f aca="false">IF(AND(E972&lt;0,F972&gt;=0),E$43+(-E972)/F970,0)</f>
        <v>0</v>
      </c>
      <c r="G973" s="60" t="n">
        <f aca="false">IF(AND(F972&lt;0,G972&gt;=0),F$43+(-F972)/G970,0)</f>
        <v>0</v>
      </c>
      <c r="H973" s="60" t="n">
        <f aca="false">IF(AND(G972&lt;0,H972&gt;=0),G$43+(-G972)/H970,0)</f>
        <v>5.8414353984231</v>
      </c>
      <c r="I973" s="60" t="n">
        <f aca="false">IF(AND(H972&lt;0,I972&gt;=0),H$43+(-H972)/I970,0)</f>
        <v>0</v>
      </c>
      <c r="J973" s="60" t="n">
        <f aca="false">IF(AND(I972&lt;0,J972&gt;=0),I$43+(-I972)/J970,0)</f>
        <v>0</v>
      </c>
      <c r="K973" s="60" t="n">
        <f aca="false">IF(AND(J972&lt;0,K972&gt;=0),J$43+(-J972)/K970,0)</f>
        <v>0</v>
      </c>
      <c r="L973" s="60" t="n">
        <f aca="false">IF(AND(K972&lt;0,L972&gt;=0),K$43+(-K972)/L970,0)</f>
        <v>0</v>
      </c>
    </row>
    <row r="974" customFormat="false" ht="15" hidden="true" customHeight="false" outlineLevel="1" collapsed="false">
      <c r="A974" s="9" t="s">
        <v>425</v>
      </c>
      <c r="B974" s="57" t="n">
        <f aca="false">(B950/$B$950)/(1+$W$25)^B$43</f>
        <v>1</v>
      </c>
      <c r="C974" s="57" t="n">
        <f aca="false">(C950/$B$950)/(1+$W$25)^C$43</f>
        <v>0.905172413793104</v>
      </c>
      <c r="D974" s="57" t="n">
        <f aca="false">(D950/$B$950)/(1+$W$25)^D$43</f>
        <v>0.815435493460167</v>
      </c>
      <c r="E974" s="57" t="n">
        <f aca="false">(E950/$B$950)/(1+$W$25)^E$43</f>
        <v>0.731080097584977</v>
      </c>
      <c r="F974" s="57" t="n">
        <f aca="false">(F950/$B$950)/(1+$W$25)^F$43</f>
        <v>0.655451121972738</v>
      </c>
      <c r="G974" s="57" t="n">
        <f aca="false">(G950/$B$950)/(1+$W$25)^G$43</f>
        <v>0.5876458334928</v>
      </c>
      <c r="H974" s="57" t="n">
        <f aca="false">(H950/$B$950)/(1+$W$25)^H$43</f>
        <v>0.526854885200441</v>
      </c>
      <c r="I974" s="57" t="n">
        <f aca="false">(I950/$B$950)/(1+$W$25)^I$43</f>
        <v>0.472352655696947</v>
      </c>
      <c r="J974" s="57" t="n">
        <f aca="false">(J950/$B$950)/(1+$W$25)^J$43</f>
        <v>0.423488587866229</v>
      </c>
      <c r="K974" s="57" t="n">
        <f aca="false">(K950/$B$950)/(1+$W$25)^K$43</f>
        <v>0.379679423604205</v>
      </c>
      <c r="L974" s="57" t="n">
        <f aca="false">(L950/$B$950)/(1+$W$25)^L$43</f>
        <v>0.340402241852046</v>
      </c>
    </row>
    <row r="975" customFormat="false" ht="15" hidden="true" customHeight="false" outlineLevel="1" collapsed="false">
      <c r="A975" s="9" t="s">
        <v>426</v>
      </c>
      <c r="B975" s="58" t="n">
        <f aca="false">B970*B974</f>
        <v>-1012.24520053452</v>
      </c>
      <c r="C975" s="58" t="n">
        <f aca="false">C970*C974</f>
        <v>-575.392696783179</v>
      </c>
      <c r="D975" s="58" t="n">
        <f aca="false">D970*D974</f>
        <v>347.676079225127</v>
      </c>
      <c r="E975" s="58" t="n">
        <f aca="false">E970*E974</f>
        <v>246.06269296127</v>
      </c>
      <c r="F975" s="58" t="n">
        <f aca="false">F970*F974</f>
        <v>222.19671006154</v>
      </c>
      <c r="G975" s="58" t="n">
        <f aca="false">G970*G974</f>
        <v>178.908501327611</v>
      </c>
      <c r="H975" s="58" t="n">
        <f aca="false">H970*H974</f>
        <v>151.229091426721</v>
      </c>
      <c r="I975" s="58" t="n">
        <f aca="false">I970*I974</f>
        <v>164.061172647911</v>
      </c>
      <c r="J975" s="58" t="n">
        <f aca="false">J970*J974</f>
        <v>142.769734916927</v>
      </c>
      <c r="K975" s="58" t="n">
        <f aca="false">K970*K974</f>
        <v>127.374049971373</v>
      </c>
      <c r="L975" s="58" t="n">
        <f aca="false">L970*L974</f>
        <v>145.497380511259</v>
      </c>
    </row>
    <row r="976" customFormat="false" ht="15" hidden="true" customHeight="false" outlineLevel="1" collapsed="false">
      <c r="A976" s="9" t="s">
        <v>427</v>
      </c>
      <c r="B976" s="58" t="n">
        <f aca="false">B975</f>
        <v>-1012.24520053452</v>
      </c>
      <c r="C976" s="58" t="n">
        <f aca="false">B976+C975</f>
        <v>-1587.63789731769</v>
      </c>
      <c r="D976" s="58" t="n">
        <f aca="false">C976+D975</f>
        <v>-1239.96181809257</v>
      </c>
      <c r="E976" s="58" t="n">
        <f aca="false">D976+E975</f>
        <v>-993.899125131298</v>
      </c>
      <c r="F976" s="58" t="n">
        <f aca="false">E976+F975</f>
        <v>-771.702415069758</v>
      </c>
      <c r="G976" s="58" t="n">
        <f aca="false">F976+G975</f>
        <v>-592.793913742146</v>
      </c>
      <c r="H976" s="58" t="n">
        <f aca="false">G976+H975</f>
        <v>-441.564822315425</v>
      </c>
      <c r="I976" s="58" t="n">
        <f aca="false">H976+I975</f>
        <v>-277.503649667514</v>
      </c>
      <c r="J976" s="58" t="n">
        <f aca="false">I976+J975</f>
        <v>-134.733914750587</v>
      </c>
      <c r="K976" s="58" t="n">
        <f aca="false">J976+K975</f>
        <v>-7.35986477921399</v>
      </c>
      <c r="L976" s="58" t="n">
        <f aca="false">K976+L975</f>
        <v>138.137515732045</v>
      </c>
    </row>
    <row r="977" customFormat="false" ht="15" hidden="true" customHeight="false" outlineLevel="1" collapsed="false">
      <c r="A977" s="9" t="s">
        <v>428</v>
      </c>
      <c r="B977" s="60" t="n">
        <v>0</v>
      </c>
      <c r="C977" s="60" t="n">
        <f aca="false">IF(AND(B976&lt;0,C976&gt;=0),B$43+(-B976)/C975,0)</f>
        <v>0</v>
      </c>
      <c r="D977" s="60" t="n">
        <f aca="false">IF(AND(C976&lt;0,D976&gt;=0),C$43+(-C976)/D975,0)</f>
        <v>0</v>
      </c>
      <c r="E977" s="60" t="n">
        <f aca="false">IF(AND(D976&lt;0,E976&gt;=0),D$43+(-D976)/E975,0)</f>
        <v>0</v>
      </c>
      <c r="F977" s="60" t="n">
        <f aca="false">IF(AND(E976&lt;0,F976&gt;=0),E$43+(-E976)/F975,0)</f>
        <v>0</v>
      </c>
      <c r="G977" s="60" t="n">
        <f aca="false">IF(AND(F976&lt;0,G976&gt;=0),F$43+(-F976)/G975,0)</f>
        <v>0</v>
      </c>
      <c r="H977" s="60" t="n">
        <f aca="false">IF(AND(G976&lt;0,H976&gt;=0),G$43+(-G976)/H975,0)</f>
        <v>0</v>
      </c>
      <c r="I977" s="60" t="n">
        <f aca="false">IF(AND(H976&lt;0,I976&gt;=0),H$43+(-H976)/I975,0)</f>
        <v>0</v>
      </c>
      <c r="J977" s="60" t="n">
        <f aca="false">IF(AND(I976&lt;0,J976&gt;=0),I$43+(-I976)/J975,0)</f>
        <v>0</v>
      </c>
      <c r="K977" s="60" t="n">
        <f aca="false">IF(AND(J976&lt;0,K976&gt;=0),J$43+(-J976)/K975,0)</f>
        <v>0</v>
      </c>
      <c r="L977" s="60" t="n">
        <f aca="false">IF(AND(K976&lt;0,L976&gt;=0),K$43+(-K976)/L975,0)</f>
        <v>9.05058417377243</v>
      </c>
    </row>
    <row r="978" customFormat="false" ht="15" hidden="true" customHeight="false" outlineLevel="1" collapsed="false">
      <c r="A978" s="9" t="s">
        <v>429</v>
      </c>
      <c r="B978" s="58" t="n">
        <f aca="false">IF(B$43&lt;0,0,(Quesería!$B$44*$B$953*$B$950)*(1-MAX(0,MIN(B$43-0-Quesería!$B$47,(Quesería!$B$46-Quesería!$B$47)))/(Quesería!$B$46-Quesería!$B$47))*IF(B$43&gt;=2,1-Quesería!$B$48,1))+IF(B$43&lt;1,0,(Quesería!$B$44*$C$953*$C$950)*(1-MAX(0,MIN(B$43-1-Quesería!$B$47,(Quesería!$B$46-Quesería!$B$47)))/(Quesería!$B$46-Quesería!$B$47))*IF(B$43&gt;=2,1-Quesería!$B$48,1))</f>
        <v>641.321364968425</v>
      </c>
      <c r="C978" s="58" t="n">
        <f aca="false">IF(C$43&lt;0,0,(Quesería!$B$44*$B$953*$B$950)*(1-MAX(0,MIN(C$43-0-Quesería!$B$47,(Quesería!$B$46-Quesería!$B$47)))/(Quesería!$B$46-Quesería!$B$47))*IF(C$43&gt;=2,1-Quesería!$B$48,1))+IF(C$43&lt;1,0,(Quesería!$B$44*$C$953*$C$950)*(1-MAX(0,MIN(C$43-1-Quesería!$B$47,(Quesería!$B$46-Quesería!$B$47)))/(Quesería!$B$46-Quesería!$B$47))*IF(C$43&gt;=2,1-Quesería!$B$48,1))</f>
        <v>1190.03581125409</v>
      </c>
      <c r="D978" s="58" t="n">
        <f aca="false">IF(D$43&lt;0,0,(Quesería!$B$44*$B$953*$B$950)*(1-MAX(0,MIN(D$43-0-Quesería!$B$47,(Quesería!$B$46-Quesería!$B$47)))/(Quesería!$B$46-Quesería!$B$47))*IF(D$43&gt;=2,1-Quesería!$B$48,1))+IF(D$43&lt;1,0,(Quesería!$B$44*$C$953*$C$950)*(1-MAX(0,MIN(D$43-1-Quesería!$B$47,(Quesería!$B$46-Quesería!$B$47)))/(Quesería!$B$46-Quesería!$B$47))*IF(D$43&gt;=2,1-Quesería!$B$48,1))</f>
        <v>1083.14891709269</v>
      </c>
      <c r="E978" s="58" t="n">
        <f aca="false">IF(E$43&lt;0,0,(Quesería!$B$44*$B$953*$B$950)*(1-MAX(0,MIN(E$43-0-Quesería!$B$47,(Quesería!$B$46-Quesería!$B$47)))/(Quesería!$B$46-Quesería!$B$47))*IF(E$43&gt;=2,1-Quesería!$B$48,1))+IF(E$43&lt;1,0,(Quesería!$B$44*$C$953*$C$950)*(1-MAX(0,MIN(E$43-1-Quesería!$B$47,(Quesería!$B$46-Quesería!$B$47)))/(Quesería!$B$46-Quesería!$B$47))*IF(E$43&gt;=2,1-Quesería!$B$48,1))</f>
        <v>884.809615217005</v>
      </c>
      <c r="F978" s="58" t="n">
        <f aca="false">IF(F$43&lt;0,0,(Quesería!$B$44*$B$953*$B$950)*(1-MAX(0,MIN(F$43-0-Quesería!$B$47,(Quesería!$B$46-Quesería!$B$47)))/(Quesería!$B$46-Quesería!$B$47))*IF(F$43&gt;=2,1-Quesería!$B$48,1))+IF(F$43&lt;1,0,(Quesería!$B$44*$C$953*$C$950)*(1-MAX(0,MIN(F$43-1-Quesería!$B$47,(Quesería!$B$46-Quesería!$B$47)))/(Quesería!$B$46-Quesería!$B$47))*IF(F$43&gt;=2,1-Quesería!$B$48,1))</f>
        <v>686.470313341323</v>
      </c>
      <c r="G978" s="58" t="n">
        <f aca="false">IF(G$43&lt;0,0,(Quesería!$B$44*$B$953*$B$950)*(1-MAX(0,MIN(G$43-0-Quesería!$B$47,(Quesería!$B$46-Quesería!$B$47)))/(Quesería!$B$46-Quesería!$B$47))*IF(G$43&gt;=2,1-Quesería!$B$48,1))+IF(G$43&lt;1,0,(Quesería!$B$44*$C$953*$C$950)*(1-MAX(0,MIN(G$43-1-Quesería!$B$47,(Quesería!$B$46-Quesería!$B$47)))/(Quesería!$B$46-Quesería!$B$47))*IF(G$43&gt;=2,1-Quesería!$B$48,1))</f>
        <v>488.131011465641</v>
      </c>
      <c r="H978" s="58" t="n">
        <f aca="false">IF(H$43&lt;0,0,(Quesería!$B$44*$B$953*$B$950)*(1-MAX(0,MIN(H$43-0-Quesería!$B$47,(Quesería!$B$46-Quesería!$B$47)))/(Quesería!$B$46-Quesería!$B$47))*IF(H$43&gt;=2,1-Quesería!$B$48,1))+IF(H$43&lt;1,0,(Quesería!$B$44*$C$953*$C$950)*(1-MAX(0,MIN(H$43-1-Quesería!$B$47,(Quesería!$B$46-Quesería!$B$47)))/(Quesería!$B$46-Quesería!$B$47))*IF(H$43&gt;=2,1-Quesería!$B$48,1))</f>
        <v>289.79170958996</v>
      </c>
      <c r="I978" s="58" t="n">
        <f aca="false">IF(I$43&lt;0,0,(Quesería!$B$44*$B$953*$B$950)*(1-MAX(0,MIN(I$43-0-Quesería!$B$47,(Quesería!$B$46-Quesería!$B$47)))/(Quesería!$B$46-Quesería!$B$47))*IF(I$43&gt;=2,1-Quesería!$B$48,1))+IF(I$43&lt;1,0,(Quesería!$B$44*$C$953*$C$950)*(1-MAX(0,MIN(I$43-1-Quesería!$B$47,(Quesería!$B$46-Quesería!$B$47)))/(Quesería!$B$46-Quesería!$B$47))*IF(I$43&gt;=2,1-Quesería!$B$48,1))</f>
        <v>91.4524077142776</v>
      </c>
      <c r="J978" s="58" t="n">
        <f aca="false">IF(J$43&lt;0,0,(Quesería!$B$44*$B$953*$B$950)*(1-MAX(0,MIN(J$43-0-Quesería!$B$47,(Quesería!$B$46-Quesería!$B$47)))/(Quesería!$B$46-Quesería!$B$47))*IF(J$43&gt;=2,1-Quesería!$B$48,1))+IF(J$43&lt;1,0,(Quesería!$B$44*$C$953*$C$950)*(1-MAX(0,MIN(J$43-1-Quesería!$B$47,(Quesería!$B$46-Quesería!$B$47)))/(Quesería!$B$46-Quesería!$B$47))*IF(J$43&gt;=2,1-Quesería!$B$48,1))</f>
        <v>0</v>
      </c>
      <c r="K978" s="58" t="n">
        <f aca="false">IF(K$43&lt;0,0,(Quesería!$B$44*$B$953*$B$950)*(1-MAX(0,MIN(K$43-0-Quesería!$B$47,(Quesería!$B$46-Quesería!$B$47)))/(Quesería!$B$46-Quesería!$B$47))*IF(K$43&gt;=2,1-Quesería!$B$48,1))+IF(K$43&lt;1,0,(Quesería!$B$44*$C$953*$C$950)*(1-MAX(0,MIN(K$43-1-Quesería!$B$47,(Quesería!$B$46-Quesería!$B$47)))/(Quesería!$B$46-Quesería!$B$47))*IF(K$43&gt;=2,1-Quesería!$B$48,1))</f>
        <v>0</v>
      </c>
      <c r="L978" s="58" t="n">
        <f aca="false">IF(L$43&lt;0,0,(Quesería!$B$44*$B$953*$B$950)*(1-MAX(0,MIN(L$43-0-Quesería!$B$47,(Quesería!$B$46-Quesería!$B$47)))/(Quesería!$B$46-Quesería!$B$47))*IF(L$43&gt;=2,1-Quesería!$B$48,1))+IF(L$43&lt;1,0,(Quesería!$B$44*$C$953*$C$950)*(1-MAX(0,MIN(L$43-1-Quesería!$B$47,(Quesería!$B$46-Quesería!$B$47)))/(Quesería!$B$46-Quesería!$B$47))*IF(L$43&gt;=2,1-Quesería!$B$48,1))</f>
        <v>0</v>
      </c>
    </row>
    <row r="979" customFormat="false" ht="15" hidden="true" customHeight="false" outlineLevel="1" collapsed="false">
      <c r="A979" s="6" t="s">
        <v>430</v>
      </c>
      <c r="B979" s="29" t="n">
        <f aca="false">Quesería!$B$44*B953</f>
        <v>605.02015563059</v>
      </c>
      <c r="C979" s="29" t="n">
        <f aca="false">Quesería!$B$44*C953</f>
        <v>493.004893338424</v>
      </c>
      <c r="D979" s="29" t="n">
        <f aca="false">Quesería!$B$44*D953</f>
        <v>0</v>
      </c>
      <c r="E979" s="29" t="n">
        <f aca="false">Quesería!$B$44*E953</f>
        <v>0</v>
      </c>
      <c r="F979" s="29" t="n">
        <f aca="false">Quesería!$B$44*F953</f>
        <v>0</v>
      </c>
      <c r="G979" s="29" t="n">
        <f aca="false">Quesería!$B$44*G953</f>
        <v>0</v>
      </c>
      <c r="H979" s="29" t="n">
        <f aca="false">Quesería!$B$44*H953</f>
        <v>0</v>
      </c>
      <c r="I979" s="29" t="n">
        <f aca="false">Quesería!$B$44*I953</f>
        <v>0</v>
      </c>
      <c r="J979" s="29" t="n">
        <f aca="false">Quesería!$B$44*J953</f>
        <v>0</v>
      </c>
      <c r="K979" s="29" t="n">
        <f aca="false">Quesería!$B$44*K953</f>
        <v>0</v>
      </c>
      <c r="L979" s="29" t="n">
        <f aca="false">Quesería!$B$44*L953</f>
        <v>0</v>
      </c>
    </row>
    <row r="980" customFormat="false" ht="15" hidden="true" customHeight="false" outlineLevel="1" collapsed="false">
      <c r="A980" s="6" t="s">
        <v>431</v>
      </c>
      <c r="B980" s="29" t="n">
        <f aca="false">(IF(AND(B$43&gt;0,B$43&lt;=0+Quesería!$B$46),($W$14+$W$24)*(Quesería!$B$44*$B$953*$B$950)*(1-MAX(0,MIN((B$43-1)-0-Quesería!$B$47,(Quesería!$B$46-Quesería!$B$47)))/(Quesería!$B$46-Quesería!$B$47))*IF(B$43&gt;2,1-Quesería!$B$48,1),0)+IF(AND(B$43&gt;1,B$43&lt;=1+Quesería!$B$46),($W$14+$W$24)*(Quesería!$B$44*$C$953*$C$950)*(1-MAX(0,MIN((B$43-1)-1-Quesería!$B$47,(Quesería!$B$46-Quesería!$B$47)))/(Quesería!$B$46-Quesería!$B$47))*IF(B$43&gt;2,1-Quesería!$B$48,1),0))*B952</f>
        <v>0</v>
      </c>
      <c r="C980" s="29" t="n">
        <f aca="false">(IF(AND(C$43&gt;0,C$43&lt;=0+Quesería!$B$46),($W$14+$W$24)*(Quesería!$B$44*$B$953*$B$950)*(1-MAX(0,MIN((C$43-1)-0-Quesería!$B$47,(Quesería!$B$46-Quesería!$B$47)))/(Quesería!$B$46-Quesería!$B$47))*IF(C$43&gt;2,1-Quesería!$B$48,1),0)+IF(AND(C$43&gt;1,C$43&lt;=1+Quesería!$B$46),($W$14+$W$24)*(Quesería!$B$44*$C$953*$C$950)*(1-MAX(0,MIN((C$43-1)-1-Quesería!$B$47,(Quesería!$B$46-Quesería!$B$47)))/(Quesería!$B$46-Quesería!$B$47))*IF(C$43&gt;2,1-Quesería!$B$48,1),0))*C952</f>
        <v>81.2455637561078</v>
      </c>
      <c r="D980" s="29" t="n">
        <f aca="false">(IF(AND(D$43&gt;0,D$43&lt;=0+Quesería!$B$46),($W$14+$W$24)*(Quesería!$B$44*$B$953*$B$950)*(1-MAX(0,MIN((D$43-1)-0-Quesería!$B$47,(Quesería!$B$46-Quesería!$B$47)))/(Quesería!$B$46-Quesería!$B$47))*IF(D$43&gt;2,1-Quesería!$B$48,1),0)+IF(AND(D$43&gt;1,D$43&lt;=1+Quesería!$B$46),($W$14+$W$24)*(Quesería!$B$44*$C$953*$C$950)*(1-MAX(0,MIN((D$43-1)-1-Quesería!$B$47,(Quesería!$B$46-Quesería!$B$47)))/(Quesería!$B$46-Quesería!$B$47))*IF(D$43&gt;2,1-Quesería!$B$48,1),0))*D952</f>
        <v>144.267228437154</v>
      </c>
      <c r="E980" s="29" t="n">
        <f aca="false">(IF(AND(E$43&gt;0,E$43&lt;=0+Quesería!$B$46),($W$14+$W$24)*(Quesería!$B$44*$B$953*$B$950)*(1-MAX(0,MIN((E$43-1)-0-Quesería!$B$47,(Quesería!$B$46-Quesería!$B$47)))/(Quesería!$B$46-Quesería!$B$47))*IF(E$43&gt;2,1-Quesería!$B$48,1),0)+IF(AND(E$43&gt;1,E$43&lt;=1+Quesería!$B$46),($W$14+$W$24)*(Quesería!$B$44*$C$953*$C$950)*(1-MAX(0,MIN((E$43-1)-1-Quesería!$B$47,(Quesería!$B$46-Quesería!$B$47)))/(Quesería!$B$46-Quesería!$B$47))*IF(E$43&gt;2,1-Quesería!$B$48,1),0))*E952</f>
        <v>126.259041612202</v>
      </c>
      <c r="F980" s="29" t="n">
        <f aca="false">(IF(AND(F$43&gt;0,F$43&lt;=0+Quesería!$B$46),($W$14+$W$24)*(Quesería!$B$44*$B$953*$B$950)*(1-MAX(0,MIN((F$43-1)-0-Quesería!$B$47,(Quesería!$B$46-Quesería!$B$47)))/(Quesería!$B$46-Quesería!$B$47))*IF(F$43&gt;2,1-Quesería!$B$48,1),0)+IF(AND(F$43&gt;1,F$43&lt;=1+Quesería!$B$46),($W$14+$W$24)*(Quesería!$B$44*$C$953*$C$950)*(1-MAX(0,MIN((F$43-1)-1-Quesería!$B$47,(Quesería!$B$46-Quesería!$B$47)))/(Quesería!$B$46-Quesería!$B$47))*IF(F$43&gt;2,1-Quesería!$B$48,1),0))*F952</f>
        <v>99.1723975627135</v>
      </c>
      <c r="G980" s="29" t="n">
        <f aca="false">(IF(AND(G$43&gt;0,G$43&lt;=0+Quesería!$B$46),($W$14+$W$24)*(Quesería!$B$44*$B$953*$B$950)*(1-MAX(0,MIN((G$43-1)-0-Quesería!$B$47,(Quesería!$B$46-Quesería!$B$47)))/(Quesería!$B$46-Quesería!$B$47))*IF(G$43&gt;2,1-Quesería!$B$48,1),0)+IF(AND(G$43&gt;1,G$43&lt;=1+Quesería!$B$46),($W$14+$W$24)*(Quesería!$B$44*$C$953*$C$950)*(1-MAX(0,MIN((G$43-1)-1-Quesería!$B$47,(Quesería!$B$46-Quesería!$B$47)))/(Quesería!$B$46-Quesería!$B$47))*IF(G$43&gt;2,1-Quesería!$B$48,1),0))*G952</f>
        <v>73.9825677868365</v>
      </c>
      <c r="H980" s="29" t="n">
        <f aca="false">(IF(AND(H$43&gt;0,H$43&lt;=0+Quesería!$B$46),($W$14+$W$24)*(Quesería!$B$44*$B$953*$B$950)*(1-MAX(0,MIN((H$43-1)-0-Quesería!$B$47,(Quesería!$B$46-Quesería!$B$47)))/(Quesería!$B$46-Quesería!$B$47))*IF(H$43&gt;2,1-Quesería!$B$48,1),0)+IF(AND(H$43&gt;1,H$43&lt;=1+Quesería!$B$46),($W$14+$W$24)*(Quesería!$B$44*$C$953*$C$950)*(1-MAX(0,MIN((H$43-1)-1-Quesería!$B$47,(Quesería!$B$46-Quesería!$B$47)))/(Quesería!$B$46-Quesería!$B$47))*IF(H$43&gt;2,1-Quesería!$B$48,1),0))*H952</f>
        <v>50.583712494366</v>
      </c>
      <c r="I980" s="29" t="n">
        <f aca="false">(IF(AND(I$43&gt;0,I$43&lt;=0+Quesería!$B$46),($W$14+$W$24)*(Quesería!$B$44*$B$953*$B$950)*(1-MAX(0,MIN((I$43-1)-0-Quesería!$B$47,(Quesería!$B$46-Quesería!$B$47)))/(Quesería!$B$46-Quesería!$B$47))*IF(I$43&gt;2,1-Quesería!$B$48,1),0)+IF(AND(I$43&gt;1,I$43&lt;=1+Quesería!$B$46),($W$14+$W$24)*(Quesería!$B$44*$C$953*$C$950)*(1-MAX(0,MIN((I$43-1)-1-Quesería!$B$47,(Quesería!$B$46-Quesería!$B$47)))/(Quesería!$B$46-Quesería!$B$47))*IF(I$43&gt;2,1-Quesería!$B$48,1),0))*I952</f>
        <v>28.8753274791465</v>
      </c>
      <c r="J980" s="29" t="n">
        <f aca="false">(IF(AND(J$43&gt;0,J$43&lt;=0+Quesería!$B$46),($W$14+$W$24)*(Quesería!$B$44*$B$953*$B$950)*(1-MAX(0,MIN((J$43-1)-0-Quesería!$B$47,(Quesería!$B$46-Quesería!$B$47)))/(Quesería!$B$46-Quesería!$B$47))*IF(J$43&gt;2,1-Quesería!$B$48,1),0)+IF(AND(J$43&gt;1,J$43&lt;=1+Quesería!$B$46),($W$14+$W$24)*(Quesería!$B$44*$C$953*$C$950)*(1-MAX(0,MIN((J$43-1)-1-Quesería!$B$47,(Quesería!$B$46-Quesería!$B$47)))/(Quesería!$B$46-Quesería!$B$47))*IF(J$43&gt;2,1-Quesería!$B$48,1),0))*J952</f>
        <v>8.76199025726588</v>
      </c>
      <c r="K980" s="29" t="n">
        <f aca="false">(IF(AND(K$43&gt;0,K$43&lt;=0+Quesería!$B$46),($W$14+$W$24)*(Quesería!$B$44*$B$953*$B$950)*(1-MAX(0,MIN((K$43-1)-0-Quesería!$B$47,(Quesería!$B$46-Quesería!$B$47)))/(Quesería!$B$46-Quesería!$B$47))*IF(K$43&gt;2,1-Quesería!$B$48,1),0)+IF(AND(K$43&gt;1,K$43&lt;=1+Quesería!$B$46),($W$14+$W$24)*(Quesería!$B$44*$C$953*$C$950)*(1-MAX(0,MIN((K$43-1)-1-Quesería!$B$47,(Quesería!$B$46-Quesería!$B$47)))/(Quesería!$B$46-Quesería!$B$47))*IF(K$43&gt;2,1-Quesería!$B$48,1),0))*K952</f>
        <v>0</v>
      </c>
      <c r="L980" s="29" t="n">
        <f aca="false">(IF(AND(L$43&gt;0,L$43&lt;=0+Quesería!$B$46),($W$14+$W$24)*(Quesería!$B$44*$B$953*$B$950)*(1-MAX(0,MIN((L$43-1)-0-Quesería!$B$47,(Quesería!$B$46-Quesería!$B$47)))/(Quesería!$B$46-Quesería!$B$47))*IF(L$43&gt;2,1-Quesería!$B$48,1),0)+IF(AND(L$43&gt;1,L$43&lt;=1+Quesería!$B$46),($W$14+$W$24)*(Quesería!$B$44*$C$953*$C$950)*(1-MAX(0,MIN((L$43-1)-1-Quesería!$B$47,(Quesería!$B$46-Quesería!$B$47)))/(Quesería!$B$46-Quesería!$B$47))*IF(L$43&gt;2,1-Quesería!$B$48,1),0))*L952</f>
        <v>0</v>
      </c>
    </row>
    <row r="981" customFormat="false" ht="15" hidden="true" customHeight="false" outlineLevel="1" collapsed="false">
      <c r="A981" s="6" t="s">
        <v>432</v>
      </c>
      <c r="B981" s="29" t="n">
        <f aca="false">((IF(AND(B$43&gt;0+Quesería!$B$47,B$43&lt;=0+Quesería!$B$46),(Quesería!$B$44*$B$953*$B$950)/(Quesería!$B$46-Quesería!$B$47),0)*IF(B$43&gt;2,1-Quesería!$B$48,1)+IF(B$43=2,Quesería!$B$48*(Quesería!$B$44*$B$953*$B$950)*(1-MAX(0,MIN(2-0-Quesería!$B$47,(Quesería!$B$46-Quesería!$B$47)))/(Quesería!$B$46-Quesería!$B$47)),0))+(IF(AND(B$43&gt;1+Quesería!$B$47,B$43&lt;=1+Quesería!$B$46),(Quesería!$B$44*$C$953*$C$950)/(Quesería!$B$46-Quesería!$B$47),0)*IF(B$43&gt;2,1-Quesería!$B$48,1)+IF(B$43=2,Quesería!$B$48*(Quesería!$B$44*$C$953*$C$950)*(1-MAX(0,MIN(2-1-Quesería!$B$47,(Quesería!$B$46-Quesería!$B$47)))/(Quesería!$B$46-Quesería!$B$47)),0)))*B952</f>
        <v>0</v>
      </c>
      <c r="C981" s="29" t="n">
        <f aca="false">((IF(AND(C$43&gt;0+Quesería!$B$47,C$43&lt;=0+Quesería!$B$46),(Quesería!$B$44*$B$953*$B$950)/(Quesería!$B$46-Quesería!$B$47),0)*IF(C$43&gt;2,1-Quesería!$B$48,1)+IF(C$43=2,Quesería!$B$48*(Quesería!$B$44*$B$953*$B$950)*(1-MAX(0,MIN(2-0-Quesería!$B$47,(Quesería!$B$46-Quesería!$B$47)))/(Quesería!$B$46-Quesería!$B$47)),0))+(IF(AND(C$43&gt;1+Quesería!$B$47,C$43&lt;=1+Quesería!$B$46),(Quesería!$B$44*$C$953*$C$950)/(Quesería!$B$46-Quesería!$B$47),0)*IF(C$43&gt;2,1-Quesería!$B$48,1)+IF(C$43=2,Quesería!$B$48*(Quesería!$B$44*$C$953*$C$950)*(1-MAX(0,MIN(2-1-Quesería!$B$47,(Quesería!$B$46-Quesería!$B$47)))/(Quesería!$B$46-Quesería!$B$47)),0)))*C952</f>
        <v>0</v>
      </c>
      <c r="D981" s="29" t="n">
        <f aca="false">((IF(AND(D$43&gt;0+Quesería!$B$47,D$43&lt;=0+Quesería!$B$46),(Quesería!$B$44*$B$953*$B$950)/(Quesería!$B$46-Quesería!$B$47),0)*IF(D$43&gt;2,1-Quesería!$B$48,1)+IF(D$43=2,Quesería!$B$48*(Quesería!$B$44*$B$953*$B$950)*(1-MAX(0,MIN(2-0-Quesería!$B$47,(Quesería!$B$46-Quesería!$B$47)))/(Quesería!$B$46-Quesería!$B$47)),0))+(IF(AND(D$43&gt;1+Quesería!$B$47,D$43&lt;=1+Quesería!$B$46),(Quesería!$B$44*$C$953*$C$950)/(Quesería!$B$46-Quesería!$B$47),0)*IF(D$43&gt;2,1-Quesería!$B$48,1)+IF(D$43=2,Quesería!$B$48*(Quesería!$B$44*$C$953*$C$950)*(1-MAX(0,MIN(2-1-Quesería!$B$47,(Quesería!$B$46-Quesería!$B$47)))/(Quesería!$B$46-Quesería!$B$47)),0)))*D952</f>
        <v>91.8994692231472</v>
      </c>
      <c r="E981" s="29" t="n">
        <f aca="false">((IF(AND(E$43&gt;0+Quesería!$B$47,E$43&lt;=0+Quesería!$B$46),(Quesería!$B$44*$B$953*$B$950)/(Quesería!$B$46-Quesería!$B$47),0)*IF(E$43&gt;2,1-Quesería!$B$48,1)+IF(E$43=2,Quesería!$B$48*(Quesería!$B$44*$B$953*$B$950)*(1-MAX(0,MIN(2-0-Quesería!$B$47,(Quesería!$B$46-Quesería!$B$47)))/(Quesería!$B$46-Quesería!$B$47)),0))+(IF(AND(E$43&gt;1+Quesería!$B$47,E$43&lt;=1+Quesería!$B$46),(Quesería!$B$44*$C$953*$C$950)/(Quesería!$B$46-Quesería!$B$47),0)*IF(E$43&gt;2,1-Quesería!$B$48,1)+IF(E$43=2,Quesería!$B$48*(Quesería!$B$44*$C$953*$C$950)*(1-MAX(0,MIN(2-1-Quesería!$B$47,(Quesería!$B$46-Quesería!$B$47)))/(Quesería!$B$46-Quesería!$B$47)),0)))*E952</f>
        <v>163.969845014041</v>
      </c>
      <c r="F981" s="29" t="n">
        <f aca="false">((IF(AND(F$43&gt;0+Quesería!$B$47,F$43&lt;=0+Quesería!$B$46),(Quesería!$B$44*$B$953*$B$950)/(Quesería!$B$46-Quesería!$B$47),0)*IF(F$43&gt;2,1-Quesería!$B$48,1)+IF(F$43=2,Quesería!$B$48*(Quesería!$B$44*$B$953*$B$950)*(1-MAX(0,MIN(2-0-Quesería!$B$47,(Quesería!$B$46-Quesería!$B$47)))/(Quesería!$B$46-Quesería!$B$47)),0))+(IF(AND(F$43&gt;1+Quesería!$B$47,F$43&lt;=1+Quesería!$B$46),(Quesería!$B$44*$C$953*$C$950)/(Quesería!$B$46-Quesería!$B$47),0)*IF(F$43&gt;2,1-Quesería!$B$48,1)+IF(F$43=2,Quesería!$B$48*(Quesería!$B$44*$C$953*$C$950)*(1-MAX(0,MIN(2-1-Quesería!$B$47,(Quesería!$B$46-Quesería!$B$47)))/(Quesería!$B$46-Quesería!$B$47)),0)))*F952</f>
        <v>157.663312513501</v>
      </c>
      <c r="G981" s="29" t="n">
        <f aca="false">((IF(AND(G$43&gt;0+Quesería!$B$47,G$43&lt;=0+Quesería!$B$46),(Quesería!$B$44*$B$953*$B$950)/(Quesería!$B$46-Quesería!$B$47),0)*IF(G$43&gt;2,1-Quesería!$B$48,1)+IF(G$43=2,Quesería!$B$48*(Quesería!$B$44*$B$953*$B$950)*(1-MAX(0,MIN(2-0-Quesería!$B$47,(Quesería!$B$46-Quesería!$B$47)))/(Quesería!$B$46-Quesería!$B$47)),0))+(IF(AND(G$43&gt;1+Quesería!$B$47,G$43&lt;=1+Quesería!$B$46),(Quesería!$B$44*$C$953*$C$950)/(Quesería!$B$46-Quesería!$B$47),0)*IF(G$43&gt;2,1-Quesería!$B$48,1)+IF(G$43=2,Quesería!$B$48*(Quesería!$B$44*$C$953*$C$950)*(1-MAX(0,MIN(2-1-Quesería!$B$47,(Quesería!$B$46-Quesería!$B$47)))/(Quesería!$B$46-Quesería!$B$47)),0)))*G952</f>
        <v>151.599338955289</v>
      </c>
      <c r="H981" s="29" t="n">
        <f aca="false">((IF(AND(H$43&gt;0+Quesería!$B$47,H$43&lt;=0+Quesería!$B$46),(Quesería!$B$44*$B$953*$B$950)/(Quesería!$B$46-Quesería!$B$47),0)*IF(H$43&gt;2,1-Quesería!$B$48,1)+IF(H$43=2,Quesería!$B$48*(Quesería!$B$44*$B$953*$B$950)*(1-MAX(0,MIN(2-0-Quesería!$B$47,(Quesería!$B$46-Quesería!$B$47)))/(Quesería!$B$46-Quesería!$B$47)),0))+(IF(AND(H$43&gt;1+Quesería!$B$47,H$43&lt;=1+Quesería!$B$46),(Quesería!$B$44*$C$953*$C$950)/(Quesería!$B$46-Quesería!$B$47),0)*IF(H$43&gt;2,1-Quesería!$B$48,1)+IF(H$43=2,Quesería!$B$48*(Quesería!$B$44*$C$953*$C$950)*(1-MAX(0,MIN(2-1-Quesería!$B$47,(Quesería!$B$46-Quesería!$B$47)))/(Quesería!$B$46-Quesería!$B$47)),0)))*H952</f>
        <v>145.768595149317</v>
      </c>
      <c r="I981" s="29" t="n">
        <f aca="false">((IF(AND(I$43&gt;0+Quesería!$B$47,I$43&lt;=0+Quesería!$B$46),(Quesería!$B$44*$B$953*$B$950)/(Quesería!$B$46-Quesería!$B$47),0)*IF(I$43&gt;2,1-Quesería!$B$48,1)+IF(I$43=2,Quesería!$B$48*(Quesería!$B$44*$B$953*$B$950)*(1-MAX(0,MIN(2-0-Quesería!$B$47,(Quesería!$B$46-Quesería!$B$47)))/(Quesería!$B$46-Quesería!$B$47)),0))+(IF(AND(I$43&gt;1+Quesería!$B$47,I$43&lt;=1+Quesería!$B$46),(Quesería!$B$44*$C$953*$C$950)/(Quesería!$B$46-Quesería!$B$47),0)*IF(I$43&gt;2,1-Quesería!$B$48,1)+IF(I$43=2,Quesería!$B$48*(Quesería!$B$44*$C$953*$C$950)*(1-MAX(0,MIN(2-1-Quesería!$B$47,(Quesería!$B$46-Quesería!$B$47)))/(Quesería!$B$46-Quesería!$B$47)),0)))*I952</f>
        <v>140.162110720497</v>
      </c>
      <c r="J981" s="29" t="n">
        <f aca="false">((IF(AND(J$43&gt;0+Quesería!$B$47,J$43&lt;=0+Quesería!$B$46),(Quesería!$B$44*$B$953*$B$950)/(Quesería!$B$46-Quesería!$B$47),0)*IF(J$43&gt;2,1-Quesería!$B$48,1)+IF(J$43=2,Quesería!$B$48*(Quesería!$B$44*$B$953*$B$950)*(1-MAX(0,MIN(2-0-Quesería!$B$47,(Quesería!$B$46-Quesería!$B$47)))/(Quesería!$B$46-Quesería!$B$47)),0))+(IF(AND(J$43&gt;1+Quesería!$B$47,J$43&lt;=1+Quesería!$B$46),(Quesería!$B$44*$C$953*$C$950)/(Quesería!$B$46-Quesería!$B$47),0)*IF(J$43&gt;2,1-Quesería!$B$48,1)+IF(J$43=2,Quesería!$B$48*(Quesería!$B$44*$C$953*$C$950)*(1-MAX(0,MIN(2-1-Quesería!$B$47,(Quesería!$B$46-Quesería!$B$47)))/(Quesería!$B$46-Quesería!$B$47)),0)))*J952</f>
        <v>62.1417748742261</v>
      </c>
      <c r="K981" s="29" t="n">
        <f aca="false">((IF(AND(K$43&gt;0+Quesería!$B$47,K$43&lt;=0+Quesería!$B$46),(Quesería!$B$44*$B$953*$B$950)/(Quesería!$B$46-Quesería!$B$47),0)*IF(K$43&gt;2,1-Quesería!$B$48,1)+IF(K$43=2,Quesería!$B$48*(Quesería!$B$44*$B$953*$B$950)*(1-MAX(0,MIN(2-0-Quesería!$B$47,(Quesería!$B$46-Quesería!$B$47)))/(Quesería!$B$46-Quesería!$B$47)),0))+(IF(AND(K$43&gt;1+Quesería!$B$47,K$43&lt;=1+Quesería!$B$46),(Quesería!$B$44*$C$953*$C$950)/(Quesería!$B$46-Quesería!$B$47),0)*IF(K$43&gt;2,1-Quesería!$B$48,1)+IF(K$43=2,Quesería!$B$48*(Quesería!$B$44*$C$953*$C$950)*(1-MAX(0,MIN(2-1-Quesería!$B$47,(Quesería!$B$46-Quesería!$B$47)))/(Quesería!$B$46-Quesería!$B$47)),0)))*K952</f>
        <v>0</v>
      </c>
      <c r="L981" s="29" t="n">
        <f aca="false">((IF(AND(L$43&gt;0+Quesería!$B$47,L$43&lt;=0+Quesería!$B$46),(Quesería!$B$44*$B$953*$B$950)/(Quesería!$B$46-Quesería!$B$47),0)*IF(L$43&gt;2,1-Quesería!$B$48,1)+IF(L$43=2,Quesería!$B$48*(Quesería!$B$44*$B$953*$B$950)*(1-MAX(0,MIN(2-0-Quesería!$B$47,(Quesería!$B$46-Quesería!$B$47)))/(Quesería!$B$46-Quesería!$B$47)),0))+(IF(AND(L$43&gt;1+Quesería!$B$47,L$43&lt;=1+Quesería!$B$46),(Quesería!$B$44*$C$953*$C$950)/(Quesería!$B$46-Quesería!$B$47),0)*IF(L$43&gt;2,1-Quesería!$B$48,1)+IF(L$43=2,Quesería!$B$48*(Quesería!$B$44*$C$953*$C$950)*(1-MAX(0,MIN(2-1-Quesería!$B$47,(Quesería!$B$46-Quesería!$B$47)))/(Quesería!$B$46-Quesería!$B$47)),0)))*L952</f>
        <v>0</v>
      </c>
    </row>
    <row r="982" customFormat="false" ht="15" hidden="true" customHeight="false" outlineLevel="1" collapsed="false">
      <c r="A982" s="6" t="s">
        <v>433</v>
      </c>
      <c r="B982" s="29" t="n">
        <f aca="false">$W$13*Quesería!$B$51*(1+0.19)*B978*B952+(1-$W$13)*IF(B$43=0,Quesería!$B$50,0)</f>
        <v>14.327482305488</v>
      </c>
      <c r="C982" s="29" t="n">
        <f aca="false">$W$13*Quesería!$B$51*(1+0.19)*C978*C952+(1-$W$13)*IF(C$43=0,Quesería!$B$50,0)</f>
        <v>25.3200701224691</v>
      </c>
      <c r="D982" s="29" t="n">
        <f aca="false">$W$13*Quesería!$B$51*(1+0.19)*D978*D952+(1-$W$13)*IF(D$43=0,Quesería!$B$50,0)</f>
        <v>22.0534608439383</v>
      </c>
      <c r="E982" s="29" t="n">
        <f aca="false">$W$13*Quesería!$B$51*(1+0.19)*E978*E952+(1-$W$13)*IF(E$43=0,Quesería!$B$50,0)</f>
        <v>17.3222809117016</v>
      </c>
      <c r="F982" s="29" t="n">
        <f aca="false">$W$13*Quesería!$B$51*(1+0.19)*F978*F952+(1-$W$13)*IF(F$43=0,Quesería!$B$50,0)</f>
        <v>12.9224144345424</v>
      </c>
      <c r="G982" s="29" t="n">
        <f aca="false">$W$13*Quesería!$B$51*(1+0.19)*G978*G952+(1-$W$13)*IF(G$43=0,Quesería!$B$50,0)</f>
        <v>8.8353745489521</v>
      </c>
      <c r="H982" s="29" t="n">
        <f aca="false">$W$13*Quesería!$B$51*(1+0.19)*H978*H952+(1-$W$13)*IF(H$43=0,Quesería!$B$50,0)</f>
        <v>5.04360634918451</v>
      </c>
      <c r="I982" s="29" t="n">
        <f aca="false">$W$13*Quesería!$B$51*(1+0.19)*I978*I952+(1-$W$13)*IF(I$43=0,Quesería!$B$50,0)</f>
        <v>1.53044254562841</v>
      </c>
      <c r="J982" s="29" t="n">
        <f aca="false">$W$13*Quesería!$B$51*(1+0.19)*J978*J952+(1-$W$13)*IF(J$43=0,Quesería!$B$50,0)</f>
        <v>0</v>
      </c>
      <c r="K982" s="29" t="n">
        <f aca="false">$W$13*Quesería!$B$51*(1+0.19)*K978*K952+(1-$W$13)*IF(K$43=0,Quesería!$B$50,0)</f>
        <v>0</v>
      </c>
      <c r="L982" s="29" t="n">
        <f aca="false">$W$13*Quesería!$B$51*(1+0.19)*L978*L952+(1-$W$13)*IF(L$43=0,Quesería!$B$50,0)</f>
        <v>0</v>
      </c>
    </row>
    <row r="983" customFormat="false" ht="15" hidden="true" customHeight="false" outlineLevel="1" collapsed="false">
      <c r="A983" s="6" t="s">
        <v>434</v>
      </c>
      <c r="B983" s="29" t="n">
        <f aca="false">Quesería!$B$52*(B980+B981+B982)</f>
        <v>0.057309929221952</v>
      </c>
      <c r="C983" s="29" t="n">
        <f aca="false">Quesería!$B$52*(C980+C981+C982)</f>
        <v>0.426262535514308</v>
      </c>
      <c r="D983" s="29" t="n">
        <f aca="false">Quesería!$B$52*(D980+D981+D982)</f>
        <v>1.03288063401696</v>
      </c>
      <c r="E983" s="29" t="n">
        <f aca="false">Quesería!$B$52*(E980+E981+E982)</f>
        <v>1.23020467015178</v>
      </c>
      <c r="F983" s="29" t="n">
        <f aca="false">Quesería!$B$52*(F980+F981+F982)</f>
        <v>1.07903249804303</v>
      </c>
      <c r="G983" s="29" t="n">
        <f aca="false">Quesería!$B$52*(G980+G981+G982)</f>
        <v>0.937669125164311</v>
      </c>
      <c r="H983" s="29" t="n">
        <f aca="false">Quesería!$B$52*(H980+H981+H982)</f>
        <v>0.805583655971468</v>
      </c>
      <c r="I983" s="29" t="n">
        <f aca="false">Quesería!$B$52*(I980+I981+I982)</f>
        <v>0.682271522981086</v>
      </c>
      <c r="J983" s="29" t="n">
        <f aca="false">Quesería!$B$52*(J980+J981+J982)</f>
        <v>0.283615060525968</v>
      </c>
      <c r="K983" s="29" t="n">
        <f aca="false">Quesería!$B$52*(K980+K981+K982)</f>
        <v>0</v>
      </c>
      <c r="L983" s="29" t="n">
        <f aca="false">Quesería!$B$52*(L980+L981+L982)</f>
        <v>0</v>
      </c>
    </row>
    <row r="984" customFormat="false" ht="15" hidden="true" customHeight="false" outlineLevel="1" collapsed="false">
      <c r="A984" s="6" t="s">
        <v>435</v>
      </c>
      <c r="B984" s="29" t="n">
        <f aca="false">$W$17*(B980+B982+0.5*B983)</f>
        <v>5.02464804453464</v>
      </c>
      <c r="C984" s="29" t="n">
        <f aca="false">$W$17*(C980+C982+0.5*C983)</f>
        <v>37.3725678012169</v>
      </c>
      <c r="D984" s="29" t="n">
        <f aca="false">$W$17*(D980+D982+0.5*D983)</f>
        <v>58.3929953593351</v>
      </c>
      <c r="E984" s="29" t="n">
        <f aca="false">$W$17*(E980+E982+0.5*E983)</f>
        <v>50.4687487006427</v>
      </c>
      <c r="F984" s="29" t="n">
        <f aca="false">$W$17*(F980+F982+0.5*F983)</f>
        <v>39.4220148861971</v>
      </c>
      <c r="G984" s="29" t="n">
        <f aca="false">$W$17*(G980+G982+0.5*G983)</f>
        <v>29.1503719144297</v>
      </c>
      <c r="H984" s="29" t="n">
        <f aca="false">$W$17*(H980+H982+0.5*H983)</f>
        <v>19.6105387350377</v>
      </c>
      <c r="I984" s="29" t="n">
        <f aca="false">$W$17*(I980+I982+0.5*I983)</f>
        <v>10.7614170251929</v>
      </c>
      <c r="J984" s="29" t="n">
        <f aca="false">$W$17*(J980+J982+0.5*J983)</f>
        <v>3.1163292256351</v>
      </c>
      <c r="K984" s="29" t="n">
        <f aca="false">$W$17*(K980+K982+0.5*K983)</f>
        <v>0</v>
      </c>
      <c r="L984" s="29" t="n">
        <f aca="false">$W$17*(L980+L982+0.5*L983)</f>
        <v>0</v>
      </c>
    </row>
    <row r="985" customFormat="false" ht="15" hidden="true" customHeight="false" outlineLevel="1" collapsed="false">
      <c r="A985" s="5" t="s">
        <v>436</v>
      </c>
      <c r="B985" s="59" t="n">
        <f aca="false">B970+B979-B980-B981-B982-B983+B984</f>
        <v>-416.585189094101</v>
      </c>
      <c r="C985" s="59" t="n">
        <f aca="false">C970+C979-C980-C981-C982-C983+C984</f>
        <v>-212.286366958725</v>
      </c>
      <c r="D985" s="59" t="n">
        <f aca="false">D970+D979-D980-D981-D982-D983+D984</f>
        <v>225.508543330062</v>
      </c>
      <c r="E985" s="59" t="n">
        <f aca="false">E970+E979-E980-E981-E982-E983+E984</f>
        <v>78.2615682590911</v>
      </c>
      <c r="F985" s="59" t="n">
        <f aca="false">F970+F979-F980-F981-F982-F983+F984</f>
        <v>107.582996125732</v>
      </c>
      <c r="G985" s="59" t="n">
        <f aca="false">G970+G979-G980-G981-G982-G983+G984</f>
        <v>98.2449574784396</v>
      </c>
      <c r="H985" s="59" t="n">
        <f aca="false">H970+H979-H980-H981-H982-H983+H984</f>
        <v>104.45030363269</v>
      </c>
      <c r="I985" s="59" t="n">
        <f aca="false">I970+I979-I980-I981-I982-I983+I984</f>
        <v>186.838988374461</v>
      </c>
      <c r="J985" s="59" t="n">
        <f aca="false">J970+J979-J980-J981-J982-J983+J984</f>
        <v>269.056652134852</v>
      </c>
      <c r="K985" s="59" t="n">
        <f aca="false">K970+K979-K980-K981-K982-K983+K984</f>
        <v>335.477884901536</v>
      </c>
      <c r="L985" s="59" t="n">
        <f aca="false">L970+L979-L980-L981-L982-L983+L984</f>
        <v>427.427797536358</v>
      </c>
    </row>
    <row r="986" customFormat="false" ht="15" hidden="true" customHeight="false" outlineLevel="1" collapsed="false">
      <c r="A986" s="9" t="s">
        <v>437</v>
      </c>
      <c r="B986" s="58" t="n">
        <f aca="false">B985*B950</f>
        <v>-441.580300439747</v>
      </c>
      <c r="C986" s="58" t="n">
        <f aca="false">C985*C950</f>
        <v>-236.274726425061</v>
      </c>
      <c r="D986" s="58" t="n">
        <f aca="false">D985*D950</f>
        <v>262.285604119045</v>
      </c>
      <c r="E986" s="58" t="n">
        <f aca="false">E985*E950</f>
        <v>94.6658503633699</v>
      </c>
      <c r="F986" s="58" t="n">
        <f aca="false">F985*F950</f>
        <v>135.338627643287</v>
      </c>
      <c r="G986" s="58" t="n">
        <f aca="false">G985*G950</f>
        <v>128.535100570766</v>
      </c>
      <c r="H986" s="58" t="n">
        <f aca="false">H985*H950</f>
        <v>142.11977745954</v>
      </c>
      <c r="I986" s="58" t="n">
        <f aca="false">I985*I950</f>
        <v>264.390385724478</v>
      </c>
      <c r="J986" s="58" t="n">
        <f aca="false">J985*J950</f>
        <v>395.963563948358</v>
      </c>
      <c r="K986" s="58" t="n">
        <f aca="false">K985*K950</f>
        <v>513.462494209162</v>
      </c>
      <c r="L986" s="58" t="n">
        <f aca="false">L985*L950</f>
        <v>680.363383133383</v>
      </c>
    </row>
    <row r="987" customFormat="false" ht="15" hidden="true" customHeight="false" outlineLevel="1" collapsed="false">
      <c r="A987" s="9" t="s">
        <v>438</v>
      </c>
      <c r="B987" s="57" t="n">
        <f aca="false">(B950/$B$950)/(1+Quesería!$B$11+$W$24)^B$43</f>
        <v>1</v>
      </c>
      <c r="C987" s="57" t="n">
        <f aca="false">(C950/$B$950)/(1+Quesería!$B$11+$W$24)^C$43</f>
        <v>0.84</v>
      </c>
      <c r="D987" s="57" t="n">
        <f aca="false">(D950/$B$950)/(1+Quesería!$B$11+$W$24)^D$43</f>
        <v>0.70224</v>
      </c>
      <c r="E987" s="57" t="n">
        <f aca="false">(E950/$B$950)/(1+Quesería!$B$11+$W$24)^E$43</f>
        <v>0.58426368</v>
      </c>
      <c r="F987" s="57" t="n">
        <f aca="false">(F950/$B$950)/(1+Quesería!$B$11+$W$24)^F$43</f>
        <v>0.48610738176</v>
      </c>
      <c r="G987" s="57" t="n">
        <f aca="false">(G950/$B$950)/(1+Quesería!$B$11+$W$24)^G$43</f>
        <v>0.40444134162432</v>
      </c>
      <c r="H987" s="57" t="n">
        <f aca="false">(H950/$B$950)/(1+Quesería!$B$11+$W$24)^H$43</f>
        <v>0.336495196231434</v>
      </c>
      <c r="I987" s="57" t="n">
        <f aca="false">(I950/$B$950)/(1+Quesería!$B$11+$W$24)^I$43</f>
        <v>0.279964003264553</v>
      </c>
      <c r="J987" s="57" t="n">
        <f aca="false">(J950/$B$950)/(1+Quesería!$B$11+$W$24)^J$43</f>
        <v>0.232930050716108</v>
      </c>
      <c r="K987" s="57" t="n">
        <f aca="false">(K950/$B$950)/(1+Quesería!$B$11+$W$24)^K$43</f>
        <v>0.193797802195802</v>
      </c>
      <c r="L987" s="57" t="n">
        <f aca="false">(L950/$B$950)/(1+Quesería!$B$11+$W$24)^L$43</f>
        <v>0.161239771426907</v>
      </c>
    </row>
    <row r="988" customFormat="false" ht="15" hidden="true" customHeight="false" outlineLevel="1" collapsed="false">
      <c r="A988" s="9" t="s">
        <v>439</v>
      </c>
      <c r="B988" s="58" t="n">
        <f aca="false">B970+B953+B955+B984</f>
        <v>72.6953585018737</v>
      </c>
      <c r="C988" s="58" t="n">
        <f aca="false">C970+C953+C955+C984</f>
        <v>304.278825459596</v>
      </c>
      <c r="D988" s="58" t="n">
        <f aca="false">D970+D953+D955+D984</f>
        <v>484.761582468318</v>
      </c>
      <c r="E988" s="58" t="n">
        <f aca="false">E970+E953+E955+E984</f>
        <v>387.042940467187</v>
      </c>
      <c r="F988" s="58" t="n">
        <f aca="false">F970+F953+F955+F984</f>
        <v>378.420153134532</v>
      </c>
      <c r="G988" s="58" t="n">
        <f aca="false">G970+G953+G955+G984</f>
        <v>338.818299175768</v>
      </c>
      <c r="H988" s="58" t="n">
        <f aca="false">H970+H953+H955+H984</f>
        <v>315.46574086661</v>
      </c>
      <c r="I988" s="58" t="n">
        <f aca="false">I970+I953+I955+I984</f>
        <v>358.089140642713</v>
      </c>
      <c r="J988" s="58" t="n">
        <f aca="false">J970+J953+J955+J984</f>
        <v>340.24403232687</v>
      </c>
      <c r="K988" s="58" t="n">
        <f aca="false">K970+K953+K955+K984</f>
        <v>335.477884901536</v>
      </c>
      <c r="L988" s="58" t="n">
        <f aca="false">L970+L953+L955+L984</f>
        <v>427.427797536358</v>
      </c>
    </row>
    <row r="989" customFormat="false" ht="15" hidden="true" customHeight="false" outlineLevel="1" collapsed="false">
      <c r="A989" s="5" t="s">
        <v>149</v>
      </c>
      <c r="B989" s="12" t="str">
        <f aca="false">IF(AND(B$43&gt;=1,(B980+B981+B982)&gt;0.001),B988/(B980+B981+B982),"")</f>
        <v/>
      </c>
      <c r="C989" s="12" t="n">
        <f aca="false">IF(AND(C$43&gt;=1,(C980+C981+C982)&gt;0.001),C988/(C980+C981+C982),"")</f>
        <v>2.8553184960763</v>
      </c>
      <c r="D989" s="12" t="n">
        <f aca="false">IF(AND(D$43&gt;=1,(D980+D981+D982)&gt;0.001),D988/(D980+D981+D982),"")</f>
        <v>1.87731889437423</v>
      </c>
      <c r="E989" s="12" t="n">
        <f aca="false">IF(AND(E$43&gt;=1,(E980+E981+E982)&gt;0.001),E988/(E980+E981+E982),"")</f>
        <v>1.25846682217337</v>
      </c>
      <c r="F989" s="12" t="n">
        <f aca="false">IF(AND(F$43&gt;=1,(F980+F981+F982)&gt;0.001),F988/(F980+F981+F982),"")</f>
        <v>1.40281281173958</v>
      </c>
      <c r="G989" s="12" t="n">
        <f aca="false">IF(AND(G$43&gt;=1,(G980+G981+G982)&gt;0.001),G988/(G980+G981+G982),"")</f>
        <v>1.44536399923116</v>
      </c>
      <c r="H989" s="12" t="n">
        <f aca="false">IF(AND(H$43&gt;=1,(H980+H981+H982)&gt;0.001),H988/(H980+H981+H982),"")</f>
        <v>1.56639593431763</v>
      </c>
      <c r="I989" s="12" t="n">
        <f aca="false">IF(AND(I$43&gt;=1,(I980+I981+I982)&gt;0.001),I988/(I980+I981+I982),"")</f>
        <v>2.09939373742638</v>
      </c>
      <c r="J989" s="12" t="n">
        <f aca="false">IF(AND(J$43&gt;=1,(J980+J981+J982)&gt;0.001),J988/(J980+J981+J982),"")</f>
        <v>4.79867369096525</v>
      </c>
      <c r="K989" s="12" t="str">
        <f aca="false">IF(AND(K$43&gt;=1,(K980+K981+K982)&gt;0.001),K988/(K980+K981+K982),"")</f>
        <v/>
      </c>
      <c r="L989" s="12" t="str">
        <f aca="false">IF(AND(L$43&gt;=1,(L980+L981+L982)&gt;0.001),L988/(L980+L981+L982),"")</f>
        <v/>
      </c>
    </row>
    <row r="991" customFormat="false" ht="15" hidden="false" customHeight="false" outlineLevel="0" collapsed="false">
      <c r="A991" s="43" t="s">
        <v>1182</v>
      </c>
      <c r="B991" s="44"/>
      <c r="C991" s="44"/>
      <c r="D991" s="44"/>
      <c r="E991" s="44"/>
      <c r="F991" s="44"/>
      <c r="G991" s="44"/>
      <c r="H991" s="44"/>
      <c r="I991" s="44"/>
      <c r="J991" s="44"/>
      <c r="K991" s="44"/>
      <c r="L991" s="44"/>
    </row>
    <row r="992" customFormat="false" ht="15" hidden="true" customHeight="false" outlineLevel="1" collapsed="false">
      <c r="A992" s="9" t="s">
        <v>405</v>
      </c>
      <c r="B992" s="56" t="n">
        <f aca="false">CHOOSE($X$15,Entorno!B$7,Entorno!B$8,Entorno!B$9)</f>
        <v>0.06</v>
      </c>
      <c r="C992" s="56" t="n">
        <f aca="false">CHOOSE($X$15,Entorno!C$7,Entorno!C$8,Entorno!C$9)</f>
        <v>0.05</v>
      </c>
      <c r="D992" s="56" t="n">
        <f aca="false">CHOOSE($X$15,Entorno!D$7,Entorno!D$8,Entorno!D$9)</f>
        <v>0.045</v>
      </c>
      <c r="E992" s="56" t="n">
        <f aca="false">CHOOSE($X$15,Entorno!E$7,Entorno!E$8,Entorno!E$9)</f>
        <v>0.04</v>
      </c>
      <c r="F992" s="56" t="n">
        <f aca="false">CHOOSE($X$15,Entorno!F$7,Entorno!F$8,Entorno!F$9)</f>
        <v>0.04</v>
      </c>
      <c r="G992" s="56" t="n">
        <f aca="false">CHOOSE($X$15,Entorno!G$7,Entorno!G$8,Entorno!G$9)</f>
        <v>0.04</v>
      </c>
      <c r="H992" s="56" t="n">
        <f aca="false">CHOOSE($X$15,Entorno!H$7,Entorno!H$8,Entorno!H$9)</f>
        <v>0.04</v>
      </c>
      <c r="I992" s="56" t="n">
        <f aca="false">CHOOSE($X$15,Entorno!I$7,Entorno!I$8,Entorno!I$9)</f>
        <v>0.04</v>
      </c>
      <c r="J992" s="56" t="n">
        <f aca="false">CHOOSE($X$15,Entorno!J$7,Entorno!J$8,Entorno!J$9)</f>
        <v>0.04</v>
      </c>
      <c r="K992" s="56" t="n">
        <f aca="false">CHOOSE($X$15,Entorno!K$7,Entorno!K$8,Entorno!K$9)</f>
        <v>0.04</v>
      </c>
      <c r="L992" s="56" t="n">
        <f aca="false">CHOOSE($X$15,Entorno!L$7,Entorno!L$8,Entorno!L$9)</f>
        <v>0.04</v>
      </c>
    </row>
    <row r="993" customFormat="false" ht="15" hidden="true" customHeight="false" outlineLevel="1" collapsed="false">
      <c r="A993" s="9" t="s">
        <v>406</v>
      </c>
      <c r="B993" s="57" t="n">
        <f aca="false">1+B992</f>
        <v>1.06</v>
      </c>
      <c r="C993" s="57" t="n">
        <f aca="false">B993*(1+C992)</f>
        <v>1.113</v>
      </c>
      <c r="D993" s="57" t="n">
        <f aca="false">C993*(1+D992)</f>
        <v>1.163085</v>
      </c>
      <c r="E993" s="57" t="n">
        <f aca="false">D993*(1+E992)</f>
        <v>1.2096084</v>
      </c>
      <c r="F993" s="57" t="n">
        <f aca="false">E993*(1+F992)</f>
        <v>1.257992736</v>
      </c>
      <c r="G993" s="57" t="n">
        <f aca="false">F993*(1+G992)</f>
        <v>1.30831244544</v>
      </c>
      <c r="H993" s="57" t="n">
        <f aca="false">G993*(1+H992)</f>
        <v>1.3606449432576</v>
      </c>
      <c r="I993" s="57" t="n">
        <f aca="false">H993*(1+I992)</f>
        <v>1.4150707409879</v>
      </c>
      <c r="J993" s="57" t="n">
        <f aca="false">I993*(1+J992)</f>
        <v>1.47167357062742</v>
      </c>
      <c r="K993" s="57" t="n">
        <f aca="false">J993*(1+K992)</f>
        <v>1.53054051345252</v>
      </c>
      <c r="L993" s="57" t="n">
        <f aca="false">K993*(1+L992)</f>
        <v>1.59176213399062</v>
      </c>
    </row>
    <row r="994" customFormat="false" ht="15" hidden="true" customHeight="false" outlineLevel="1" collapsed="false">
      <c r="A994" s="9" t="s">
        <v>407</v>
      </c>
      <c r="B994" s="57" t="n">
        <f aca="false">(1+$X$16)/(1+B992)</f>
        <v>1.02358490566038</v>
      </c>
      <c r="C994" s="57" t="n">
        <f aca="false">B994*(1+Entorno!$B$13)</f>
        <v>1.02870283018868</v>
      </c>
      <c r="D994" s="57" t="n">
        <f aca="false">C994*(1+Entorno!$B$13)</f>
        <v>1.03384634433962</v>
      </c>
      <c r="E994" s="57" t="n">
        <f aca="false">D994*(1+Entorno!$B$13)</f>
        <v>1.03901557606132</v>
      </c>
      <c r="F994" s="57" t="n">
        <f aca="false">E994*(1+Entorno!$B$13)</f>
        <v>1.04421065394163</v>
      </c>
      <c r="G994" s="57" t="n">
        <f aca="false">F994*(1+Entorno!$B$13)</f>
        <v>1.04943170721133</v>
      </c>
      <c r="H994" s="57" t="n">
        <f aca="false">G994*(1+Entorno!$B$13)</f>
        <v>1.05467886574739</v>
      </c>
      <c r="I994" s="57" t="n">
        <f aca="false">H994*(1+Entorno!$B$13)</f>
        <v>1.05995226007613</v>
      </c>
      <c r="J994" s="57" t="n">
        <f aca="false">I994*(1+Entorno!$B$13)</f>
        <v>1.06525202137651</v>
      </c>
      <c r="K994" s="57" t="n">
        <f aca="false">J994*(1+Entorno!$B$13)</f>
        <v>1.07057828148339</v>
      </c>
      <c r="L994" s="57" t="n">
        <f aca="false">K994*(1+Entorno!$B$13)</f>
        <v>1.07593117289081</v>
      </c>
    </row>
    <row r="995" customFormat="false" ht="15" hidden="true" customHeight="false" outlineLevel="1" collapsed="false">
      <c r="A995" s="9" t="s">
        <v>408</v>
      </c>
      <c r="B995" s="57" t="n">
        <f aca="false">1/B993</f>
        <v>0.943396226415094</v>
      </c>
      <c r="C995" s="57" t="n">
        <f aca="false">1/C993</f>
        <v>0.898472596585804</v>
      </c>
      <c r="D995" s="57" t="n">
        <f aca="false">1/D993</f>
        <v>0.859782389077324</v>
      </c>
      <c r="E995" s="57" t="n">
        <f aca="false">1/E993</f>
        <v>0.826713835651273</v>
      </c>
      <c r="F995" s="57" t="n">
        <f aca="false">1/F993</f>
        <v>0.794917149664686</v>
      </c>
      <c r="G995" s="57" t="n">
        <f aca="false">1/G993</f>
        <v>0.764343413139121</v>
      </c>
      <c r="H995" s="57" t="n">
        <f aca="false">1/H993</f>
        <v>0.734945589556847</v>
      </c>
      <c r="I995" s="57" t="n">
        <f aca="false">1/I993</f>
        <v>0.706678451496968</v>
      </c>
      <c r="J995" s="57" t="n">
        <f aca="false">1/J993</f>
        <v>0.679498511054777</v>
      </c>
      <c r="K995" s="57" t="n">
        <f aca="false">1/K993</f>
        <v>0.653363952937286</v>
      </c>
      <c r="L995" s="57" t="n">
        <f aca="false">1/L993</f>
        <v>0.628234570132006</v>
      </c>
    </row>
    <row r="996" customFormat="false" ht="15" hidden="true" customHeight="false" outlineLevel="1" collapsed="false">
      <c r="A996" s="6" t="s">
        <v>323</v>
      </c>
      <c r="B996" s="29" t="n">
        <f aca="false">IF(B$43=0,Quesería!$F$92,IF(B$43=1,Quesería!$F$93*$X$21,0))*$X$11</f>
        <v>930.800239431677</v>
      </c>
      <c r="C996" s="29" t="n">
        <f aca="false">IF(C$43=0,Quesería!$F$92,IF(C$43=1,Quesería!$F$93*$X$21,0))*$X$11</f>
        <v>758.469066674498</v>
      </c>
      <c r="D996" s="29" t="n">
        <f aca="false">IF(D$43=0,Quesería!$F$92,IF(D$43=1,Quesería!$F$93*$X$21,0))*$X$11</f>
        <v>0</v>
      </c>
      <c r="E996" s="29" t="n">
        <f aca="false">IF(E$43=0,Quesería!$F$92,IF(E$43=1,Quesería!$F$93*$X$21,0))*$X$11</f>
        <v>0</v>
      </c>
      <c r="F996" s="29" t="n">
        <f aca="false">IF(F$43=0,Quesería!$F$92,IF(F$43=1,Quesería!$F$93*$X$21,0))*$X$11</f>
        <v>0</v>
      </c>
      <c r="G996" s="29" t="n">
        <f aca="false">IF(G$43=0,Quesería!$F$92,IF(G$43=1,Quesería!$F$93*$X$21,0))*$X$11</f>
        <v>0</v>
      </c>
      <c r="H996" s="29" t="n">
        <f aca="false">IF(H$43=0,Quesería!$F$92,IF(H$43=1,Quesería!$F$93*$X$21,0))*$X$11</f>
        <v>0</v>
      </c>
      <c r="I996" s="29" t="n">
        <f aca="false">IF(I$43=0,Quesería!$F$92,IF(I$43=1,Quesería!$F$93*$X$21,0))*$X$11</f>
        <v>0</v>
      </c>
      <c r="J996" s="29" t="n">
        <f aca="false">IF(J$43=0,Quesería!$F$92,IF(J$43=1,Quesería!$F$93*$X$21,0))*$X$11</f>
        <v>0</v>
      </c>
      <c r="K996" s="29" t="n">
        <f aca="false">IF(K$43=0,Quesería!$F$92,IF(K$43=1,Quesería!$F$93*$X$21,0))*$X$11</f>
        <v>0</v>
      </c>
      <c r="L996" s="29" t="n">
        <f aca="false">IF(L$43=0,Quesería!$F$92,IF(L$43=1,Quesería!$F$93*$X$21,0))*$X$11</f>
        <v>0</v>
      </c>
    </row>
    <row r="997" customFormat="false" ht="15" hidden="true" customHeight="false" outlineLevel="1" collapsed="false">
      <c r="A997" s="6" t="s">
        <v>409</v>
      </c>
      <c r="B997" s="29" t="n">
        <f aca="false">IF(B$43=5,Quesería!$F$99,IF(B$43=6,Quesería!$F$100,0))*$X$11</f>
        <v>0</v>
      </c>
      <c r="C997" s="29" t="n">
        <f aca="false">IF(C$43=5,Quesería!$F$99,IF(C$43=6,Quesería!$F$100,0))*$X$11</f>
        <v>0</v>
      </c>
      <c r="D997" s="29" t="n">
        <f aca="false">IF(D$43=5,Quesería!$F$99,IF(D$43=6,Quesería!$F$100,0))*$X$11</f>
        <v>0</v>
      </c>
      <c r="E997" s="29" t="n">
        <f aca="false">IF(E$43=5,Quesería!$F$99,IF(E$43=6,Quesería!$F$100,0))*$X$11</f>
        <v>0</v>
      </c>
      <c r="F997" s="29" t="n">
        <f aca="false">IF(F$43=5,Quesería!$F$99,IF(F$43=6,Quesería!$F$100,0))*$X$11</f>
        <v>0</v>
      </c>
      <c r="G997" s="29" t="n">
        <f aca="false">IF(G$43=5,Quesería!$F$99,IF(G$43=6,Quesería!$F$100,0))*$X$11</f>
        <v>27.4652172688735</v>
      </c>
      <c r="H997" s="29" t="n">
        <f aca="false">IF(H$43=5,Quesería!$F$99,IF(H$43=6,Quesería!$F$100,0))*$X$11</f>
        <v>46.3891557109552</v>
      </c>
      <c r="I997" s="29" t="n">
        <f aca="false">IF(I$43=5,Quesería!$F$99,IF(I$43=6,Quesería!$F$100,0))*$X$11</f>
        <v>0</v>
      </c>
      <c r="J997" s="29" t="n">
        <f aca="false">IF(J$43=5,Quesería!$F$99,IF(J$43=6,Quesería!$F$100,0))*$X$11</f>
        <v>0</v>
      </c>
      <c r="K997" s="29" t="n">
        <f aca="false">IF(K$43=5,Quesería!$F$99,IF(K$43=6,Quesería!$F$100,0))*$X$11</f>
        <v>0</v>
      </c>
      <c r="L997" s="29" t="n">
        <f aca="false">IF(L$43=5,Quesería!$F$99,IF(L$43=6,Quesería!$F$100,0))*$X$11</f>
        <v>0</v>
      </c>
    </row>
    <row r="998" customFormat="false" ht="15" hidden="true" customHeight="false" outlineLevel="1" collapsed="false">
      <c r="A998" s="6" t="s">
        <v>410</v>
      </c>
      <c r="B998" s="29" t="n">
        <f aca="false">Quesería!$B$55*(IF(B$43=0,SUMPRODUCT((Quesería!$C$70:$C$89=0)*(Quesería!$H$70:$H$89&gt;0)*(Quesería!$J$70:$J$89&gt;0)*Quesería!$F$70:$F$89*(1+Quesería!$I$70:$I$89)),IF(B$43=1,SUMPRODUCT((Quesería!$C$70:$C$89=1)*(Quesería!$H$70:$H$89&gt;0)*(Quesería!$J$70:$J$89&gt;0)*Quesería!$F$70:$F$89*(1+Quesería!$I$70:$I$89))*$X$21,0))*$X$11+B997)</f>
        <v>149.115671560178</v>
      </c>
      <c r="C998" s="29" t="n">
        <f aca="false">Quesería!$B$55*(IF(C$43=0,SUMPRODUCT((Quesería!$C$70:$C$89=0)*(Quesería!$H$70:$H$89&gt;0)*(Quesería!$J$70:$J$89&gt;0)*Quesería!$F$70:$F$89*(1+Quesería!$I$70:$I$89)),IF(C$43=1,SUMPRODUCT((Quesería!$C$70:$C$89=1)*(Quesería!$H$70:$H$89&gt;0)*(Quesería!$J$70:$J$89&gt;0)*Quesería!$F$70:$F$89*(1+Quesería!$I$70:$I$89))*$X$21,0))*$X$11+C997)</f>
        <v>144.109122668155</v>
      </c>
      <c r="D998" s="29" t="n">
        <f aca="false">Quesería!$B$55*(IF(D$43=0,SUMPRODUCT((Quesería!$C$70:$C$89=0)*(Quesería!$H$70:$H$89&gt;0)*(Quesería!$J$70:$J$89&gt;0)*Quesería!$F$70:$F$89*(1+Quesería!$I$70:$I$89)),IF(D$43=1,SUMPRODUCT((Quesería!$C$70:$C$89=1)*(Quesería!$H$70:$H$89&gt;0)*(Quesería!$J$70:$J$89&gt;0)*Quesería!$F$70:$F$89*(1+Quesería!$I$70:$I$89))*$X$21,0))*$X$11+D997)</f>
        <v>0</v>
      </c>
      <c r="E998" s="29" t="n">
        <f aca="false">Quesería!$B$55*(IF(E$43=0,SUMPRODUCT((Quesería!$C$70:$C$89=0)*(Quesería!$H$70:$H$89&gt;0)*(Quesería!$J$70:$J$89&gt;0)*Quesería!$F$70:$F$89*(1+Quesería!$I$70:$I$89)),IF(E$43=1,SUMPRODUCT((Quesería!$C$70:$C$89=1)*(Quesería!$H$70:$H$89&gt;0)*(Quesería!$J$70:$J$89&gt;0)*Quesería!$F$70:$F$89*(1+Quesería!$I$70:$I$89))*$X$21,0))*$X$11+E997)</f>
        <v>0</v>
      </c>
      <c r="F998" s="29" t="n">
        <f aca="false">Quesería!$B$55*(IF(F$43=0,SUMPRODUCT((Quesería!$C$70:$C$89=0)*(Quesería!$H$70:$H$89&gt;0)*(Quesería!$J$70:$J$89&gt;0)*Quesería!$F$70:$F$89*(1+Quesería!$I$70:$I$89)),IF(F$43=1,SUMPRODUCT((Quesería!$C$70:$C$89=1)*(Quesería!$H$70:$H$89&gt;0)*(Quesería!$J$70:$J$89&gt;0)*Quesería!$F$70:$F$89*(1+Quesería!$I$70:$I$89))*$X$21,0))*$X$11+F997)</f>
        <v>0</v>
      </c>
      <c r="G998" s="29" t="n">
        <f aca="false">Quesería!$B$55*(IF(G$43=0,SUMPRODUCT((Quesería!$C$70:$C$89=0)*(Quesería!$H$70:$H$89&gt;0)*(Quesería!$J$70:$J$89&gt;0)*Quesería!$F$70:$F$89*(1+Quesería!$I$70:$I$89)),IF(G$43=1,SUMPRODUCT((Quesería!$C$70:$C$89=1)*(Quesería!$H$70:$H$89&gt;0)*(Quesería!$J$70:$J$89&gt;0)*Quesería!$F$70:$F$89*(1+Quesería!$I$70:$I$89))*$X$21,0))*$X$11+G997)</f>
        <v>5.21839128108597</v>
      </c>
      <c r="H998" s="29" t="n">
        <f aca="false">Quesería!$B$55*(IF(H$43=0,SUMPRODUCT((Quesería!$C$70:$C$89=0)*(Quesería!$H$70:$H$89&gt;0)*(Quesería!$J$70:$J$89&gt;0)*Quesería!$F$70:$F$89*(1+Quesería!$I$70:$I$89)),IF(H$43=1,SUMPRODUCT((Quesería!$C$70:$C$89=1)*(Quesería!$H$70:$H$89&gt;0)*(Quesería!$J$70:$J$89&gt;0)*Quesería!$F$70:$F$89*(1+Quesería!$I$70:$I$89))*$X$21,0))*$X$11+H997)</f>
        <v>8.8139395850815</v>
      </c>
      <c r="I998" s="29" t="n">
        <f aca="false">Quesería!$B$55*(IF(I$43=0,SUMPRODUCT((Quesería!$C$70:$C$89=0)*(Quesería!$H$70:$H$89&gt;0)*(Quesería!$J$70:$J$89&gt;0)*Quesería!$F$70:$F$89*(1+Quesería!$I$70:$I$89)),IF(I$43=1,SUMPRODUCT((Quesería!$C$70:$C$89=1)*(Quesería!$H$70:$H$89&gt;0)*(Quesería!$J$70:$J$89&gt;0)*Quesería!$F$70:$F$89*(1+Quesería!$I$70:$I$89))*$X$21,0))*$X$11+I997)</f>
        <v>0</v>
      </c>
      <c r="J998" s="29" t="n">
        <f aca="false">Quesería!$B$55*(IF(J$43=0,SUMPRODUCT((Quesería!$C$70:$C$89=0)*(Quesería!$H$70:$H$89&gt;0)*(Quesería!$J$70:$J$89&gt;0)*Quesería!$F$70:$F$89*(1+Quesería!$I$70:$I$89)),IF(J$43=1,SUMPRODUCT((Quesería!$C$70:$C$89=1)*(Quesería!$H$70:$H$89&gt;0)*(Quesería!$J$70:$J$89&gt;0)*Quesería!$F$70:$F$89*(1+Quesería!$I$70:$I$89))*$X$21,0))*$X$11+J997)</f>
        <v>0</v>
      </c>
      <c r="K998" s="29" t="n">
        <f aca="false">Quesería!$B$55*(IF(K$43=0,SUMPRODUCT((Quesería!$C$70:$C$89=0)*(Quesería!$H$70:$H$89&gt;0)*(Quesería!$J$70:$J$89&gt;0)*Quesería!$F$70:$F$89*(1+Quesería!$I$70:$I$89)),IF(K$43=1,SUMPRODUCT((Quesería!$C$70:$C$89=1)*(Quesería!$H$70:$H$89&gt;0)*(Quesería!$J$70:$J$89&gt;0)*Quesería!$F$70:$F$89*(1+Quesería!$I$70:$I$89))*$X$21,0))*$X$11+K997)</f>
        <v>0</v>
      </c>
      <c r="L998" s="29" t="n">
        <f aca="false">Quesería!$B$55*(IF(L$43=0,SUMPRODUCT((Quesería!$C$70:$C$89=0)*(Quesería!$H$70:$H$89&gt;0)*(Quesería!$J$70:$J$89&gt;0)*Quesería!$F$70:$F$89*(1+Quesería!$I$70:$I$89)),IF(L$43=1,SUMPRODUCT((Quesería!$C$70:$C$89=1)*(Quesería!$H$70:$H$89&gt;0)*(Quesería!$J$70:$J$89&gt;0)*Quesería!$F$70:$F$89*(1+Quesería!$I$70:$I$89))*$X$21,0))*$X$11+L997)</f>
        <v>0</v>
      </c>
    </row>
    <row r="999" customFormat="false" ht="15" hidden="true" customHeight="false" outlineLevel="1" collapsed="false">
      <c r="A999" s="6" t="s">
        <v>385</v>
      </c>
      <c r="B999" s="29" t="n">
        <f aca="false">IF(B$43=0,($X$22*Quesería!$J$125+(1-$X$22)*Quesería!$E$121)*Quesería!$B$20*Quesería!$B$21/12*$X$23,(($X$22*Quesería!$J$125+(1-$X$22)*Quesería!$E$121)+($X$22*Quesería!$J$104+(1-$X$22)*Quesería!$E$104)*(B994-1))*IF(B$43=1,Quesería!$B$20,1))*$X$10</f>
        <v>120.716772261203</v>
      </c>
      <c r="C999" s="29" t="n">
        <f aca="false">IF(C$43=0,($X$22*Quesería!$J$125+(1-$X$22)*Quesería!$E$121)*Quesería!$B$20*Quesería!$B$21/12*$X$23,(($X$22*Quesería!$J$125+(1-$X$22)*Quesería!$E$121)+($X$22*Quesería!$J$104+(1-$X$22)*Quesería!$E$104)*(C994-1))*IF(C$43=1,Quesería!$B$20,1))*$X$10</f>
        <v>181.328317354069</v>
      </c>
      <c r="D999" s="29" t="n">
        <f aca="false">IF(D$43=0,($X$22*Quesería!$J$125+(1-$X$22)*Quesería!$E$121)*Quesería!$B$20*Quesería!$B$21/12*$X$23,(($X$22*Quesería!$J$125+(1-$X$22)*Quesería!$E$121)+($X$22*Quesería!$J$104+(1-$X$22)*Quesería!$E$104)*(D994-1))*IF(D$43=1,Quesería!$B$20,1))*$X$10</f>
        <v>241.83157753184</v>
      </c>
      <c r="E999" s="29" t="n">
        <f aca="false">IF(E$43=0,($X$22*Quesería!$J$125+(1-$X$22)*Quesería!$E$121)*Quesería!$B$20*Quesería!$B$21/12*$X$23,(($X$22*Quesería!$J$125+(1-$X$22)*Quesería!$E$121)+($X$22*Quesería!$J$104+(1-$X$22)*Quesería!$E$104)*(E994-1))*IF(E$43=1,Quesería!$B$20,1))*$X$10</f>
        <v>241.892367696887</v>
      </c>
      <c r="F999" s="29" t="n">
        <f aca="false">IF(F$43=0,($X$22*Quesería!$J$125+(1-$X$22)*Quesería!$E$121)*Quesería!$B$20*Quesería!$B$21/12*$X$23,(($X$22*Quesería!$J$125+(1-$X$22)*Quesería!$E$121)+($X$22*Quesería!$J$104+(1-$X$22)*Quesería!$E$104)*(F994-1))*IF(F$43=1,Quesería!$B$20,1))*$X$10</f>
        <v>241.95346181276</v>
      </c>
      <c r="G999" s="29" t="n">
        <f aca="false">IF(G$43=0,($X$22*Quesería!$J$125+(1-$X$22)*Quesería!$E$121)*Quesería!$B$20*Quesería!$B$21/12*$X$23,(($X$22*Quesería!$J$125+(1-$X$22)*Quesería!$E$121)+($X$22*Quesería!$J$104+(1-$X$22)*Quesería!$E$104)*(G994-1))*IF(G$43=1,Quesería!$B$20,1))*$X$10</f>
        <v>242.014861399211</v>
      </c>
      <c r="H999" s="29" t="n">
        <f aca="false">IF(H$43=0,($X$22*Quesería!$J$125+(1-$X$22)*Quesería!$E$121)*Quesería!$B$20*Quesería!$B$21/12*$X$23,(($X$22*Quesería!$J$125+(1-$X$22)*Quesería!$E$121)+($X$22*Quesería!$J$104+(1-$X$22)*Quesería!$E$104)*(H994-1))*IF(H$43=1,Quesería!$B$20,1))*$X$10</f>
        <v>242.076567983595</v>
      </c>
      <c r="I999" s="29" t="n">
        <f aca="false">IF(I$43=0,($X$22*Quesería!$J$125+(1-$X$22)*Quesería!$E$121)*Quesería!$B$20*Quesería!$B$21/12*$X$23,(($X$22*Quesería!$J$125+(1-$X$22)*Quesería!$E$121)+($X$22*Quesería!$J$104+(1-$X$22)*Quesería!$E$104)*(I994-1))*IF(I$43=1,Quesería!$B$20,1))*$X$10</f>
        <v>242.138583100901</v>
      </c>
      <c r="J999" s="29" t="n">
        <f aca="false">IF(J$43=0,($X$22*Quesería!$J$125+(1-$X$22)*Quesería!$E$121)*Quesería!$B$20*Quesería!$B$21/12*$X$23,(($X$22*Quesería!$J$125+(1-$X$22)*Quesería!$E$121)+($X$22*Quesería!$J$104+(1-$X$22)*Quesería!$E$104)*(J994-1))*IF(J$43=1,Quesería!$B$20,1))*$X$10</f>
        <v>242.200908293794</v>
      </c>
      <c r="K999" s="29" t="n">
        <f aca="false">IF(K$43=0,($X$22*Quesería!$J$125+(1-$X$22)*Quesería!$E$121)*Quesería!$B$20*Quesería!$B$21/12*$X$23,(($X$22*Quesería!$J$125+(1-$X$22)*Quesería!$E$121)+($X$22*Quesería!$J$104+(1-$X$22)*Quesería!$E$104)*(K994-1))*IF(K$43=1,Quesería!$B$20,1))*$X$10</f>
        <v>242.263545112651</v>
      </c>
      <c r="L999" s="29" t="n">
        <f aca="false">IF(L$43=0,($X$22*Quesería!$J$125+(1-$X$22)*Quesería!$E$121)*Quesería!$B$20*Quesería!$B$21/12*$X$23,(($X$22*Quesería!$J$125+(1-$X$22)*Quesería!$E$121)+($X$22*Quesería!$J$104+(1-$X$22)*Quesería!$E$104)*(L994-1))*IF(L$43=1,Quesería!$B$20,1))*$X$10</f>
        <v>242.326495115602</v>
      </c>
    </row>
    <row r="1000" customFormat="false" ht="15" hidden="true" customHeight="false" outlineLevel="1" collapsed="false">
      <c r="A1000" s="6" t="s">
        <v>386</v>
      </c>
      <c r="B1000" s="29" t="n">
        <f aca="false">IF(B$43&lt;=1,0,((($X$22*Quesería!$J$126+(1-$X$22)*Quesería!$E$122)-($X$22*Quesería!$J$113+(1-$X$22)*Quesería!$E$113)+$X$6*($X$22*Quesería!$J$113+(1-$X$22)*Quesería!$E$113)-(1-$X$9)*(($X$22*Quesería!$J$118+(1-$X$22)*Quesería!$E$118)+($X$22*Quesería!$J$117+(1-$X$22)*Quesería!$E$117)))+($X$6*($X$22*Quesería!$J$113+(1-$X$22)*Quesería!$E$113)+$X$9*($X$22*Quesería!$J$118+(1-$X$22)*Quesería!$E$118))*(B994-1))*IF(B$43=2,Quesería!$B$20,1)+IF(B$43=2,Quesería!$B$24*$X$9*($X$22*Quesería!$J$118+(1-$X$22)*Quesería!$E$118)*B994,0))*$X$10*$X$21</f>
        <v>0</v>
      </c>
      <c r="C1000" s="29" t="n">
        <f aca="false">IF(C$43&lt;=1,0,((($X$22*Quesería!$J$126+(1-$X$22)*Quesería!$E$122)-($X$22*Quesería!$J$113+(1-$X$22)*Quesería!$E$113)+$X$6*($X$22*Quesería!$J$113+(1-$X$22)*Quesería!$E$113)-(1-$X$9)*(($X$22*Quesería!$J$118+(1-$X$22)*Quesería!$E$118)+($X$22*Quesería!$J$117+(1-$X$22)*Quesería!$E$117)))+($X$6*($X$22*Quesería!$J$113+(1-$X$22)*Quesería!$E$113)+$X$9*($X$22*Quesería!$J$118+(1-$X$22)*Quesería!$E$118))*(C994-1))*IF(C$43=2,Quesería!$B$20,1)+IF(C$43=2,Quesería!$B$24*$X$9*($X$22*Quesería!$J$118+(1-$X$22)*Quesería!$E$118)*C994,0))*$X$10*$X$21</f>
        <v>0</v>
      </c>
      <c r="D1000" s="29" t="n">
        <f aca="false">IF(D$43&lt;=1,0,((($X$22*Quesería!$J$126+(1-$X$22)*Quesería!$E$122)-($X$22*Quesería!$J$113+(1-$X$22)*Quesería!$E$113)+$X$6*($X$22*Quesería!$J$113+(1-$X$22)*Quesería!$E$113)-(1-$X$9)*(($X$22*Quesería!$J$118+(1-$X$22)*Quesería!$E$118)+($X$22*Quesería!$J$117+(1-$X$22)*Quesería!$E$117)))+($X$6*($X$22*Quesería!$J$113+(1-$X$22)*Quesería!$E$113)+$X$9*($X$22*Quesería!$J$118+(1-$X$22)*Quesería!$E$118))*(D994-1))*IF(D$43=2,Quesería!$B$20,1)+IF(D$43=2,Quesería!$B$24*$X$9*($X$22*Quesería!$J$118+(1-$X$22)*Quesería!$E$118)*D994,0))*$X$10*$X$21</f>
        <v>235.201505618611</v>
      </c>
      <c r="E1000" s="29" t="n">
        <f aca="false">IF(E$43&lt;=1,0,((($X$22*Quesería!$J$126+(1-$X$22)*Quesería!$E$122)-($X$22*Quesería!$J$113+(1-$X$22)*Quesería!$E$113)+$X$6*($X$22*Quesería!$J$113+(1-$X$22)*Quesería!$E$113)-(1-$X$9)*(($X$22*Quesería!$J$118+(1-$X$22)*Quesería!$E$118)+($X$22*Quesería!$J$117+(1-$X$22)*Quesería!$E$117)))+($X$6*($X$22*Quesería!$J$113+(1-$X$22)*Quesería!$E$113)+$X$9*($X$22*Quesería!$J$118+(1-$X$22)*Quesería!$E$118))*(E994-1))*IF(E$43=2,Quesería!$B$20,1)+IF(E$43=2,Quesería!$B$24*$X$9*($X$22*Quesería!$J$118+(1-$X$22)*Quesería!$E$118)*E994,0))*$X$10*$X$21</f>
        <v>298.96150264002</v>
      </c>
      <c r="F1000" s="29" t="n">
        <f aca="false">IF(F$43&lt;=1,0,((($X$22*Quesería!$J$126+(1-$X$22)*Quesería!$E$122)-($X$22*Quesería!$J$113+(1-$X$22)*Quesería!$E$113)+$X$6*($X$22*Quesería!$J$113+(1-$X$22)*Quesería!$E$113)-(1-$X$9)*(($X$22*Quesería!$J$118+(1-$X$22)*Quesería!$E$118)+($X$22*Quesería!$J$117+(1-$X$22)*Quesería!$E$117)))+($X$6*($X$22*Quesería!$J$113+(1-$X$22)*Quesería!$E$113)+$X$9*($X$22*Quesería!$J$118+(1-$X$22)*Quesería!$E$118))*(F994-1))*IF(F$43=2,Quesería!$B$20,1)+IF(F$43=2,Quesería!$B$24*$X$9*($X$22*Quesería!$J$118+(1-$X$22)*Quesería!$E$118)*F994,0))*$X$10*$X$21</f>
        <v>299.209619559583</v>
      </c>
      <c r="G1000" s="29" t="n">
        <f aca="false">IF(G$43&lt;=1,0,((($X$22*Quesería!$J$126+(1-$X$22)*Quesería!$E$122)-($X$22*Quesería!$J$113+(1-$X$22)*Quesería!$E$113)+$X$6*($X$22*Quesería!$J$113+(1-$X$22)*Quesería!$E$113)-(1-$X$9)*(($X$22*Quesería!$J$118+(1-$X$22)*Quesería!$E$118)+($X$22*Quesería!$J$117+(1-$X$22)*Quesería!$E$117)))+($X$6*($X$22*Quesería!$J$113+(1-$X$22)*Quesería!$E$113)+$X$9*($X$22*Quesería!$J$118+(1-$X$22)*Quesería!$E$118))*(G994-1))*IF(G$43=2,Quesería!$B$20,1)+IF(G$43=2,Quesería!$B$24*$X$9*($X$22*Quesería!$J$118+(1-$X$22)*Quesería!$E$118)*G994,0))*$X$10*$X$21</f>
        <v>299.458977063744</v>
      </c>
      <c r="H1000" s="29" t="n">
        <f aca="false">IF(H$43&lt;=1,0,((($X$22*Quesería!$J$126+(1-$X$22)*Quesería!$E$122)-($X$22*Quesería!$J$113+(1-$X$22)*Quesería!$E$113)+$X$6*($X$22*Quesería!$J$113+(1-$X$22)*Quesería!$E$113)-(1-$X$9)*(($X$22*Quesería!$J$118+(1-$X$22)*Quesería!$E$118)+($X$22*Quesería!$J$117+(1-$X$22)*Quesería!$E$117)))+($X$6*($X$22*Quesería!$J$113+(1-$X$22)*Quesería!$E$113)+$X$9*($X$22*Quesería!$J$118+(1-$X$22)*Quesería!$E$118))*(H994-1))*IF(H$43=2,Quesería!$B$20,1)+IF(H$43=2,Quesería!$B$24*$X$9*($X$22*Quesería!$J$118+(1-$X$22)*Quesería!$E$118)*H994,0))*$X$10*$X$21</f>
        <v>299.709581355426</v>
      </c>
      <c r="I1000" s="29" t="n">
        <f aca="false">IF(I$43&lt;=1,0,((($X$22*Quesería!$J$126+(1-$X$22)*Quesería!$E$122)-($X$22*Quesería!$J$113+(1-$X$22)*Quesería!$E$113)+$X$6*($X$22*Quesería!$J$113+(1-$X$22)*Quesería!$E$113)-(1-$X$9)*(($X$22*Quesería!$J$118+(1-$X$22)*Quesería!$E$118)+($X$22*Quesería!$J$117+(1-$X$22)*Quesería!$E$117)))+($X$6*($X$22*Quesería!$J$113+(1-$X$22)*Quesería!$E$113)+$X$9*($X$22*Quesería!$J$118+(1-$X$22)*Quesería!$E$118))*(I994-1))*IF(I$43=2,Quesería!$B$20,1)+IF(I$43=2,Quesería!$B$24*$X$9*($X$22*Quesería!$J$118+(1-$X$22)*Quesería!$E$118)*I994,0))*$X$10*$X$21</f>
        <v>299.961438668567</v>
      </c>
      <c r="J1000" s="29" t="n">
        <f aca="false">IF(J$43&lt;=1,0,((($X$22*Quesería!$J$126+(1-$X$22)*Quesería!$E$122)-($X$22*Quesería!$J$113+(1-$X$22)*Quesería!$E$113)+$X$6*($X$22*Quesería!$J$113+(1-$X$22)*Quesería!$E$113)-(1-$X$9)*(($X$22*Quesería!$J$118+(1-$X$22)*Quesería!$E$118)+($X$22*Quesería!$J$117+(1-$X$22)*Quesería!$E$117)))+($X$6*($X$22*Quesería!$J$113+(1-$X$22)*Quesería!$E$113)+$X$9*($X$22*Quesería!$J$118+(1-$X$22)*Quesería!$E$118))*(J994-1))*IF(J$43=2,Quesería!$B$20,1)+IF(J$43=2,Quesería!$B$24*$X$9*($X$22*Quesería!$J$118+(1-$X$22)*Quesería!$E$118)*J994,0))*$X$10*$X$21</f>
        <v>300.214555268273</v>
      </c>
      <c r="K1000" s="29" t="n">
        <f aca="false">IF(K$43&lt;=1,0,((($X$22*Quesería!$J$126+(1-$X$22)*Quesería!$E$122)-($X$22*Quesería!$J$113+(1-$X$22)*Quesería!$E$113)+$X$6*($X$22*Quesería!$J$113+(1-$X$22)*Quesería!$E$113)-(1-$X$9)*(($X$22*Quesería!$J$118+(1-$X$22)*Quesería!$E$118)+($X$22*Quesería!$J$117+(1-$X$22)*Quesería!$E$117)))+($X$6*($X$22*Quesería!$J$113+(1-$X$22)*Quesería!$E$113)+$X$9*($X$22*Quesería!$J$118+(1-$X$22)*Quesería!$E$118))*(K994-1))*IF(K$43=2,Quesería!$B$20,1)+IF(K$43=2,Quesería!$B$24*$X$9*($X$22*Quesería!$J$118+(1-$X$22)*Quesería!$E$118)*K994,0))*$X$10*$X$21</f>
        <v>300.468937450978</v>
      </c>
      <c r="L1000" s="29" t="n">
        <f aca="false">IF(L$43&lt;=1,0,((($X$22*Quesería!$J$126+(1-$X$22)*Quesería!$E$122)-($X$22*Quesería!$J$113+(1-$X$22)*Quesería!$E$113)+$X$6*($X$22*Quesería!$J$113+(1-$X$22)*Quesería!$E$113)-(1-$X$9)*(($X$22*Quesería!$J$118+(1-$X$22)*Quesería!$E$118)+($X$22*Quesería!$J$117+(1-$X$22)*Quesería!$E$117)))+($X$6*($X$22*Quesería!$J$113+(1-$X$22)*Quesería!$E$113)+$X$9*($X$22*Quesería!$J$118+(1-$X$22)*Quesería!$E$118))*(L994-1))*IF(L$43=2,Quesería!$B$20,1)+IF(L$43=2,Quesería!$B$24*$X$9*($X$22*Quesería!$J$118+(1-$X$22)*Quesería!$E$118)*L994,0))*$X$10*$X$21</f>
        <v>300.724591544596</v>
      </c>
    </row>
    <row r="1001" customFormat="false" ht="15" hidden="true" customHeight="false" outlineLevel="1" collapsed="false">
      <c r="A1001" s="5" t="s">
        <v>411</v>
      </c>
      <c r="B1001" s="10" t="n">
        <f aca="false">B999+B1000</f>
        <v>120.716772261203</v>
      </c>
      <c r="C1001" s="10" t="n">
        <f aca="false">C999+C1000</f>
        <v>181.328317354069</v>
      </c>
      <c r="D1001" s="10" t="n">
        <f aca="false">D999+D1000</f>
        <v>477.033083150451</v>
      </c>
      <c r="E1001" s="10" t="n">
        <f aca="false">E999+E1000</f>
        <v>540.853870336907</v>
      </c>
      <c r="F1001" s="10" t="n">
        <f aca="false">F999+F1000</f>
        <v>541.163081372343</v>
      </c>
      <c r="G1001" s="10" t="n">
        <f aca="false">G999+G1000</f>
        <v>541.473838462956</v>
      </c>
      <c r="H1001" s="10" t="n">
        <f aca="false">H999+H1000</f>
        <v>541.786149339022</v>
      </c>
      <c r="I1001" s="10" t="n">
        <f aca="false">I999+I1000</f>
        <v>542.100021769468</v>
      </c>
      <c r="J1001" s="10" t="n">
        <f aca="false">J999+J1000</f>
        <v>542.415463562067</v>
      </c>
      <c r="K1001" s="10" t="n">
        <f aca="false">K999+K1000</f>
        <v>542.732482563628</v>
      </c>
      <c r="L1001" s="10" t="n">
        <f aca="false">L999+L1000</f>
        <v>543.051086660198</v>
      </c>
    </row>
    <row r="1002" customFormat="false" ht="15" hidden="true" customHeight="false" outlineLevel="1" collapsed="false">
      <c r="A1002" s="6" t="s">
        <v>412</v>
      </c>
      <c r="B1002" s="29" t="n">
        <f aca="false">(IF(B$43&gt;=1,(Quesería!$B$31+Quesería!$B$33)*Quesería!$F$94*$X$11+Quesería!$B$32+'Beneficios y costos'!$B$211,0)+IF(B$43&gt;=2,((Quesería!$B$31+Quesería!$B$33)*Quesería!$F$95*$X$11+'Beneficios y costos'!$C$211)*$X$21,0))*$X$12</f>
        <v>0</v>
      </c>
      <c r="C1002" s="29" t="n">
        <f aca="false">(IF(C$43&gt;=1,(Quesería!$B$31+Quesería!$B$33)*Quesería!$F$94*$X$11+Quesería!$B$32+'Beneficios y costos'!$B$211,0)+IF(C$43&gt;=2,((Quesería!$B$31+Quesería!$B$33)*Quesería!$F$95*$X$11+'Beneficios y costos'!$C$211)*$X$21,0))*$X$12</f>
        <v>42.0946487260605</v>
      </c>
      <c r="D1002" s="29" t="n">
        <f aca="false">(IF(D$43&gt;=1,(Quesería!$B$31+Quesería!$B$33)*Quesería!$F$94*$X$11+Quesería!$B$32+'Beneficios y costos'!$B$211,0)+IF(D$43&gt;=2,((Quesería!$B$31+Quesería!$B$33)*Quesería!$F$95*$X$11+'Beneficios y costos'!$C$211)*$X$21,0))*$X$12</f>
        <v>95.9432442337815</v>
      </c>
      <c r="E1002" s="29" t="n">
        <f aca="false">(IF(E$43&gt;=1,(Quesería!$B$31+Quesería!$B$33)*Quesería!$F$94*$X$11+Quesería!$B$32+'Beneficios y costos'!$B$211,0)+IF(E$43&gt;=2,((Quesería!$B$31+Quesería!$B$33)*Quesería!$F$95*$X$11+'Beneficios y costos'!$C$211)*$X$21,0))*$X$12</f>
        <v>95.9432442337815</v>
      </c>
      <c r="F1002" s="29" t="n">
        <f aca="false">(IF(F$43&gt;=1,(Quesería!$B$31+Quesería!$B$33)*Quesería!$F$94*$X$11+Quesería!$B$32+'Beneficios y costos'!$B$211,0)+IF(F$43&gt;=2,((Quesería!$B$31+Quesería!$B$33)*Quesería!$F$95*$X$11+'Beneficios y costos'!$C$211)*$X$21,0))*$X$12</f>
        <v>95.9432442337815</v>
      </c>
      <c r="G1002" s="29" t="n">
        <f aca="false">(IF(G$43&gt;=1,(Quesería!$B$31+Quesería!$B$33)*Quesería!$F$94*$X$11+Quesería!$B$32+'Beneficios y costos'!$B$211,0)+IF(G$43&gt;=2,((Quesería!$B$31+Quesería!$B$33)*Quesería!$F$95*$X$11+'Beneficios y costos'!$C$211)*$X$21,0))*$X$12</f>
        <v>95.9432442337815</v>
      </c>
      <c r="H1002" s="29" t="n">
        <f aca="false">(IF(H$43&gt;=1,(Quesería!$B$31+Quesería!$B$33)*Quesería!$F$94*$X$11+Quesería!$B$32+'Beneficios y costos'!$B$211,0)+IF(H$43&gt;=2,((Quesería!$B$31+Quesería!$B$33)*Quesería!$F$95*$X$11+'Beneficios y costos'!$C$211)*$X$21,0))*$X$12</f>
        <v>95.9432442337815</v>
      </c>
      <c r="I1002" s="29" t="n">
        <f aca="false">(IF(I$43&gt;=1,(Quesería!$B$31+Quesería!$B$33)*Quesería!$F$94*$X$11+Quesería!$B$32+'Beneficios y costos'!$B$211,0)+IF(I$43&gt;=2,((Quesería!$B$31+Quesería!$B$33)*Quesería!$F$95*$X$11+'Beneficios y costos'!$C$211)*$X$21,0))*$X$12</f>
        <v>95.9432442337815</v>
      </c>
      <c r="J1002" s="29" t="n">
        <f aca="false">(IF(J$43&gt;=1,(Quesería!$B$31+Quesería!$B$33)*Quesería!$F$94*$X$11+Quesería!$B$32+'Beneficios y costos'!$B$211,0)+IF(J$43&gt;=2,((Quesería!$B$31+Quesería!$B$33)*Quesería!$F$95*$X$11+'Beneficios y costos'!$C$211)*$X$21,0))*$X$12</f>
        <v>95.9432442337815</v>
      </c>
      <c r="K1002" s="29" t="n">
        <f aca="false">(IF(K$43&gt;=1,(Quesería!$B$31+Quesería!$B$33)*Quesería!$F$94*$X$11+Quesería!$B$32+'Beneficios y costos'!$B$211,0)+IF(K$43&gt;=2,((Quesería!$B$31+Quesería!$B$33)*Quesería!$F$95*$X$11+'Beneficios y costos'!$C$211)*$X$21,0))*$X$12</f>
        <v>95.9432442337815</v>
      </c>
      <c r="L1002" s="29" t="n">
        <f aca="false">(IF(L$43&gt;=1,(Quesería!$B$31+Quesería!$B$33)*Quesería!$F$94*$X$11+Quesería!$B$32+'Beneficios y costos'!$B$211,0)+IF(L$43&gt;=2,((Quesería!$B$31+Quesería!$B$33)*Quesería!$F$95*$X$11+'Beneficios y costos'!$C$211)*$X$21,0))*$X$12</f>
        <v>95.9432442337815</v>
      </c>
    </row>
    <row r="1003" customFormat="false" ht="15" hidden="true" customHeight="false" outlineLevel="1" collapsed="false">
      <c r="A1003" s="6" t="s">
        <v>413</v>
      </c>
      <c r="B1003" s="29" t="n">
        <f aca="false">IF(B$43=1,2*Quesería!$B$22*Quesería!$B$23/12*B994,0)*$X$21</f>
        <v>0</v>
      </c>
      <c r="C1003" s="29" t="n">
        <f aca="false">IF(C$43=1,2*Quesería!$B$22*Quesería!$B$23/12*C994,0)*$X$21</f>
        <v>18.5166509433962</v>
      </c>
      <c r="D1003" s="29" t="n">
        <f aca="false">IF(D$43=1,2*Quesería!$B$22*Quesería!$B$23/12*D994,0)*$X$21</f>
        <v>0</v>
      </c>
      <c r="E1003" s="29" t="n">
        <f aca="false">IF(E$43=1,2*Quesería!$B$22*Quesería!$B$23/12*E994,0)*$X$21</f>
        <v>0</v>
      </c>
      <c r="F1003" s="29" t="n">
        <f aca="false">IF(F$43=1,2*Quesería!$B$22*Quesería!$B$23/12*F994,0)*$X$21</f>
        <v>0</v>
      </c>
      <c r="G1003" s="29" t="n">
        <f aca="false">IF(G$43=1,2*Quesería!$B$22*Quesería!$B$23/12*G994,0)*$X$21</f>
        <v>0</v>
      </c>
      <c r="H1003" s="29" t="n">
        <f aca="false">IF(H$43=1,2*Quesería!$B$22*Quesería!$B$23/12*H994,0)*$X$21</f>
        <v>0</v>
      </c>
      <c r="I1003" s="29" t="n">
        <f aca="false">IF(I$43=1,2*Quesería!$B$22*Quesería!$B$23/12*I994,0)*$X$21</f>
        <v>0</v>
      </c>
      <c r="J1003" s="29" t="n">
        <f aca="false">IF(J$43=1,2*Quesería!$B$22*Quesería!$B$23/12*J994,0)*$X$21</f>
        <v>0</v>
      </c>
      <c r="K1003" s="29" t="n">
        <f aca="false">IF(K$43=1,2*Quesería!$B$22*Quesería!$B$23/12*K994,0)*$X$21</f>
        <v>0</v>
      </c>
      <c r="L1003" s="29" t="n">
        <f aca="false">IF(L$43=1,2*Quesería!$B$22*Quesería!$B$23/12*L994,0)*$X$21</f>
        <v>0</v>
      </c>
    </row>
    <row r="1004" customFormat="false" ht="15" hidden="true" customHeight="false" outlineLevel="1" collapsed="false">
      <c r="A1004" s="6" t="s">
        <v>414</v>
      </c>
      <c r="B1004" s="29" t="n">
        <f aca="false">Quesería!$B$52*(B996+B997+B998+B1002+B1003)</f>
        <v>4.31966364396742</v>
      </c>
      <c r="C1004" s="29" t="n">
        <f aca="false">Quesería!$B$52*(C996+C997+C998+C1002+C1003)</f>
        <v>3.85275795604844</v>
      </c>
      <c r="D1004" s="29" t="n">
        <f aca="false">Quesería!$B$52*(D996+D997+D998+D1002+D1003)</f>
        <v>0.383772976935126</v>
      </c>
      <c r="E1004" s="29" t="n">
        <f aca="false">Quesería!$B$52*(E996+E997+E998+E1002+E1003)</f>
        <v>0.383772976935126</v>
      </c>
      <c r="F1004" s="29" t="n">
        <f aca="false">Quesería!$B$52*(F996+F997+F998+F1002+F1003)</f>
        <v>0.383772976935126</v>
      </c>
      <c r="G1004" s="29" t="n">
        <f aca="false">Quesería!$B$52*(G996+G997+G998+G1002+G1003)</f>
        <v>0.514507411134964</v>
      </c>
      <c r="H1004" s="29" t="n">
        <f aca="false">Quesería!$B$52*(H996+H997+H998+H1002+H1003)</f>
        <v>0.604585358119273</v>
      </c>
      <c r="I1004" s="29" t="n">
        <f aca="false">Quesería!$B$52*(I996+I997+I998+I1002+I1003)</f>
        <v>0.383772976935126</v>
      </c>
      <c r="J1004" s="29" t="n">
        <f aca="false">Quesería!$B$52*(J996+J997+J998+J1002+J1003)</f>
        <v>0.383772976935126</v>
      </c>
      <c r="K1004" s="29" t="n">
        <f aca="false">Quesería!$B$52*(K996+K997+K998+K1002+K1003)</f>
        <v>0.383772976935126</v>
      </c>
      <c r="L1004" s="29" t="n">
        <f aca="false">Quesería!$B$52*(L996+L997+L998+L1002+L1003)</f>
        <v>0.383772976935126</v>
      </c>
    </row>
    <row r="1005" customFormat="false" ht="15" hidden="true" customHeight="false" outlineLevel="1" collapsed="false">
      <c r="A1005" s="6" t="s">
        <v>415</v>
      </c>
      <c r="B1005" s="29" t="n">
        <f aca="false">(IF($X$19=1,(SUMPRODUCT((Quesería!$C$70:$C$89=0)*(Quesería!$J$70:$J$89&gt;0)*(B$43&gt;=1)*(B$43&lt;=Quesería!$J$70:$J$89)*(Quesería!$H$70:$H$89&gt;0)*Quesería!$F$70:$F$89*(1+Quesería!$I$70:$I$89)/(Quesería!$J$70:$J$89+(Quesería!$J$70:$J$89=0)))+SUMPRODUCT((Quesería!$C$70:$C$89=0)*(Quesería!$J$70:$J$89=0)*(B$43=0)*(Quesería!$H$70:$H$89&gt;0)*Quesería!$F$70:$F$89*(1+Quesería!$I$70:$I$89)))*$B$993+(SUMPRODUCT((Quesería!$C$70:$C$89=1)*(Quesería!$J$70:$J$89&gt;0)*(B$43&gt;=2)*(B$43&lt;=Quesería!$J$70:$J$89+1)*(Quesería!$H$70:$H$89&gt;0)*Quesería!$F$70:$F$89*(1+Quesería!$I$70:$I$89)/(Quesería!$J$70:$J$89+(Quesería!$J$70:$J$89=0)))+SUMPRODUCT((Quesería!$C$70:$C$89=1)*(Quesería!$J$70:$J$89=0)*(B$43=1)*(Quesería!$H$70:$H$89&gt;0)*Quesería!$F$70:$F$89*(1+Quesería!$I$70:$I$89)))*$C$993*$X$21,IF(AND(B$43&gt;=1,B$43&lt;=Quesería!$B$30),Quesería!$F$92/Quesería!$B$30,0)*$B$993+IF(AND(B$43&gt;=2,B$43&lt;=Quesería!$B$30+1),Quesería!$F$93/Quesería!$B$30,0)*$C$993*$X$21)*$X$11+IF(AND(B$43&gt;=6,B$43&lt;=10),$G997*$G993/5,0)+IF(AND(B$43&gt;=7,B$43&lt;=11),$H997*$H993/5,0))*B995</f>
        <v>0</v>
      </c>
      <c r="C1005" s="29" t="n">
        <f aca="false">(IF($X$19=1,(SUMPRODUCT((Quesería!$C$70:$C$89=0)*(Quesería!$J$70:$J$89&gt;0)*(C$43&gt;=1)*(C$43&lt;=Quesería!$J$70:$J$89)*(Quesería!$H$70:$H$89&gt;0)*Quesería!$F$70:$F$89*(1+Quesería!$I$70:$I$89)/(Quesería!$J$70:$J$89+(Quesería!$J$70:$J$89=0)))+SUMPRODUCT((Quesería!$C$70:$C$89=0)*(Quesería!$J$70:$J$89=0)*(C$43=0)*(Quesería!$H$70:$H$89&gt;0)*Quesería!$F$70:$F$89*(1+Quesería!$I$70:$I$89)))*$B$993+(SUMPRODUCT((Quesería!$C$70:$C$89=1)*(Quesería!$J$70:$J$89&gt;0)*(C$43&gt;=2)*(C$43&lt;=Quesería!$J$70:$J$89+1)*(Quesería!$H$70:$H$89&gt;0)*Quesería!$F$70:$F$89*(1+Quesería!$I$70:$I$89)/(Quesería!$J$70:$J$89+(Quesería!$J$70:$J$89=0)))+SUMPRODUCT((Quesería!$C$70:$C$89=1)*(Quesería!$J$70:$J$89=0)*(C$43=1)*(Quesería!$H$70:$H$89&gt;0)*Quesería!$F$70:$F$89*(1+Quesería!$I$70:$I$89)))*$C$993*$X$21,IF(AND(C$43&gt;=1,C$43&lt;=Quesería!$B$30),Quesería!$F$92/Quesería!$B$30,0)*$B$993+IF(AND(C$43&gt;=2,C$43&lt;=Quesería!$B$30+1),Quesería!$F$93/Quesería!$B$30,0)*$C$993*$X$21)*$X$11+IF(AND(C$43&gt;=6,C$43&lt;=10),$G997*$G993/5,0)+IF(AND(C$43&gt;=7,C$43&lt;=11),$H997*$H993/5,0))*C995</f>
        <v>88.6476418506359</v>
      </c>
      <c r="D1005" s="29" t="n">
        <f aca="false">(IF($X$19=1,(SUMPRODUCT((Quesería!$C$70:$C$89=0)*(Quesería!$J$70:$J$89&gt;0)*(D$43&gt;=1)*(D$43&lt;=Quesería!$J$70:$J$89)*(Quesería!$H$70:$H$89&gt;0)*Quesería!$F$70:$F$89*(1+Quesería!$I$70:$I$89)/(Quesería!$J$70:$J$89+(Quesería!$J$70:$J$89=0)))+SUMPRODUCT((Quesería!$C$70:$C$89=0)*(Quesería!$J$70:$J$89=0)*(D$43=0)*(Quesería!$H$70:$H$89&gt;0)*Quesería!$F$70:$F$89*(1+Quesería!$I$70:$I$89)))*$B$993+(SUMPRODUCT((Quesería!$C$70:$C$89=1)*(Quesería!$J$70:$J$89&gt;0)*(D$43&gt;=2)*(D$43&lt;=Quesería!$J$70:$J$89+1)*(Quesería!$H$70:$H$89&gt;0)*Quesería!$F$70:$F$89*(1+Quesería!$I$70:$I$89)/(Quesería!$J$70:$J$89+(Quesería!$J$70:$J$89=0)))+SUMPRODUCT((Quesería!$C$70:$C$89=1)*(Quesería!$J$70:$J$89=0)*(D$43=1)*(Quesería!$H$70:$H$89&gt;0)*Quesería!$F$70:$F$89*(1+Quesería!$I$70:$I$89)))*$C$993*$X$21,IF(AND(D$43&gt;=1,D$43&lt;=Quesería!$B$30),Quesería!$F$92/Quesería!$B$30,0)*$B$993+IF(AND(D$43&gt;=2,D$43&lt;=Quesería!$B$30+1),Quesería!$F$93/Quesería!$B$30,0)*$C$993*$X$21)*$X$11+IF(AND(D$43&gt;=6,D$43&lt;=10),$G997*$G993/5,0)+IF(AND(D$43&gt;=7,D$43&lt;=11),$H997*$H993/5,0))*D995</f>
        <v>157.411051213479</v>
      </c>
      <c r="E1005" s="29" t="n">
        <f aca="false">(IF($X$19=1,(SUMPRODUCT((Quesería!$C$70:$C$89=0)*(Quesería!$J$70:$J$89&gt;0)*(E$43&gt;=1)*(E$43&lt;=Quesería!$J$70:$J$89)*(Quesería!$H$70:$H$89&gt;0)*Quesería!$F$70:$F$89*(1+Quesería!$I$70:$I$89)/(Quesería!$J$70:$J$89+(Quesería!$J$70:$J$89=0)))+SUMPRODUCT((Quesería!$C$70:$C$89=0)*(Quesería!$J$70:$J$89=0)*(E$43=0)*(Quesería!$H$70:$H$89&gt;0)*Quesería!$F$70:$F$89*(1+Quesería!$I$70:$I$89)))*$B$993+(SUMPRODUCT((Quesería!$C$70:$C$89=1)*(Quesería!$J$70:$J$89&gt;0)*(E$43&gt;=2)*(E$43&lt;=Quesería!$J$70:$J$89+1)*(Quesería!$H$70:$H$89&gt;0)*Quesería!$F$70:$F$89*(1+Quesería!$I$70:$I$89)/(Quesería!$J$70:$J$89+(Quesería!$J$70:$J$89=0)))+SUMPRODUCT((Quesería!$C$70:$C$89=1)*(Quesería!$J$70:$J$89=0)*(E$43=1)*(Quesería!$H$70:$H$89&gt;0)*Quesería!$F$70:$F$89*(1+Quesería!$I$70:$I$89)))*$C$993*$X$21,IF(AND(E$43&gt;=1,E$43&lt;=Quesería!$B$30),Quesería!$F$92/Quesería!$B$30,0)*$B$993+IF(AND(E$43&gt;=2,E$43&lt;=Quesería!$B$30+1),Quesería!$F$93/Quesería!$B$30,0)*$C$993*$X$21)*$X$11+IF(AND(E$43&gt;=6,E$43&lt;=10),$G997*$G993/5,0)+IF(AND(E$43&gt;=7,E$43&lt;=11),$H997*$H993/5,0))*E995</f>
        <v>151.356780012961</v>
      </c>
      <c r="F1005" s="29" t="n">
        <f aca="false">(IF($X$19=1,(SUMPRODUCT((Quesería!$C$70:$C$89=0)*(Quesería!$J$70:$J$89&gt;0)*(F$43&gt;=1)*(F$43&lt;=Quesería!$J$70:$J$89)*(Quesería!$H$70:$H$89&gt;0)*Quesería!$F$70:$F$89*(1+Quesería!$I$70:$I$89)/(Quesería!$J$70:$J$89+(Quesería!$J$70:$J$89=0)))+SUMPRODUCT((Quesería!$C$70:$C$89=0)*(Quesería!$J$70:$J$89=0)*(F$43=0)*(Quesería!$H$70:$H$89&gt;0)*Quesería!$F$70:$F$89*(1+Quesería!$I$70:$I$89)))*$B$993+(SUMPRODUCT((Quesería!$C$70:$C$89=1)*(Quesería!$J$70:$J$89&gt;0)*(F$43&gt;=2)*(F$43&lt;=Quesería!$J$70:$J$89+1)*(Quesería!$H$70:$H$89&gt;0)*Quesería!$F$70:$F$89*(1+Quesería!$I$70:$I$89)/(Quesería!$J$70:$J$89+(Quesería!$J$70:$J$89=0)))+SUMPRODUCT((Quesería!$C$70:$C$89=1)*(Quesería!$J$70:$J$89=0)*(F$43=1)*(Quesería!$H$70:$H$89&gt;0)*Quesería!$F$70:$F$89*(1+Quesería!$I$70:$I$89)))*$C$993*$X$21,IF(AND(F$43&gt;=1,F$43&lt;=Quesería!$B$30),Quesería!$F$92/Quesería!$B$30,0)*$B$993+IF(AND(F$43&gt;=2,F$43&lt;=Quesería!$B$30+1),Quesería!$F$93/Quesería!$B$30,0)*$C$993*$X$21)*$X$11+IF(AND(F$43&gt;=6,F$43&lt;=10),$G997*$G993/5,0)+IF(AND(F$43&gt;=7,F$43&lt;=11),$H997*$H993/5,0))*F995</f>
        <v>145.535365397078</v>
      </c>
      <c r="G1005" s="29" t="n">
        <f aca="false">(IF($X$19=1,(SUMPRODUCT((Quesería!$C$70:$C$89=0)*(Quesería!$J$70:$J$89&gt;0)*(G$43&gt;=1)*(G$43&lt;=Quesería!$J$70:$J$89)*(Quesería!$H$70:$H$89&gt;0)*Quesería!$F$70:$F$89*(1+Quesería!$I$70:$I$89)/(Quesería!$J$70:$J$89+(Quesería!$J$70:$J$89=0)))+SUMPRODUCT((Quesería!$C$70:$C$89=0)*(Quesería!$J$70:$J$89=0)*(G$43=0)*(Quesería!$H$70:$H$89&gt;0)*Quesería!$F$70:$F$89*(1+Quesería!$I$70:$I$89)))*$B$993+(SUMPRODUCT((Quesería!$C$70:$C$89=1)*(Quesería!$J$70:$J$89&gt;0)*(G$43&gt;=2)*(G$43&lt;=Quesería!$J$70:$J$89+1)*(Quesería!$H$70:$H$89&gt;0)*Quesería!$F$70:$F$89*(1+Quesería!$I$70:$I$89)/(Quesería!$J$70:$J$89+(Quesería!$J$70:$J$89=0)))+SUMPRODUCT((Quesería!$C$70:$C$89=1)*(Quesería!$J$70:$J$89=0)*(G$43=1)*(Quesería!$H$70:$H$89&gt;0)*Quesería!$F$70:$F$89*(1+Quesería!$I$70:$I$89)))*$C$993*$X$21,IF(AND(G$43&gt;=1,G$43&lt;=Quesería!$B$30),Quesería!$F$92/Quesería!$B$30,0)*$B$993+IF(AND(G$43&gt;=2,G$43&lt;=Quesería!$B$30+1),Quesería!$F$93/Quesería!$B$30,0)*$C$993*$X$21)*$X$11+IF(AND(G$43&gt;=6,G$43&lt;=10),$G997*$G993/5,0)+IF(AND(G$43&gt;=7,G$43&lt;=11),$H997*$H993/5,0))*G995</f>
        <v>139.937851343344</v>
      </c>
      <c r="H1005" s="29" t="n">
        <f aca="false">(IF($X$19=1,(SUMPRODUCT((Quesería!$C$70:$C$89=0)*(Quesería!$J$70:$J$89&gt;0)*(H$43&gt;=1)*(H$43&lt;=Quesería!$J$70:$J$89)*(Quesería!$H$70:$H$89&gt;0)*Quesería!$F$70:$F$89*(1+Quesería!$I$70:$I$89)/(Quesería!$J$70:$J$89+(Quesería!$J$70:$J$89=0)))+SUMPRODUCT((Quesería!$C$70:$C$89=0)*(Quesería!$J$70:$J$89=0)*(H$43=0)*(Quesería!$H$70:$H$89&gt;0)*Quesería!$F$70:$F$89*(1+Quesería!$I$70:$I$89)))*$B$993+(SUMPRODUCT((Quesería!$C$70:$C$89=1)*(Quesería!$J$70:$J$89&gt;0)*(H$43&gt;=2)*(H$43&lt;=Quesería!$J$70:$J$89+1)*(Quesería!$H$70:$H$89&gt;0)*Quesería!$F$70:$F$89*(1+Quesería!$I$70:$I$89)/(Quesería!$J$70:$J$89+(Quesería!$J$70:$J$89=0)))+SUMPRODUCT((Quesería!$C$70:$C$89=1)*(Quesería!$J$70:$J$89=0)*(H$43=1)*(Quesería!$H$70:$H$89&gt;0)*Quesería!$F$70:$F$89*(1+Quesería!$I$70:$I$89)))*$C$993*$X$21,IF(AND(H$43&gt;=1,H$43&lt;=Quesería!$B$30),Quesería!$F$92/Quesería!$B$30,0)*$B$993+IF(AND(H$43&gt;=2,H$43&lt;=Quesería!$B$30+1),Quesería!$F$93/Quesería!$B$30,0)*$C$993*$X$21)*$X$11+IF(AND(H$43&gt;=6,H$43&lt;=10),$G997*$G993/5,0)+IF(AND(H$43&gt;=7,H$43&lt;=11),$H997*$H993/5,0))*H995</f>
        <v>139.837398843383</v>
      </c>
      <c r="I1005" s="29" t="n">
        <f aca="false">(IF($X$19=1,(SUMPRODUCT((Quesería!$C$70:$C$89=0)*(Quesería!$J$70:$J$89&gt;0)*(I$43&gt;=1)*(I$43&lt;=Quesería!$J$70:$J$89)*(Quesería!$H$70:$H$89&gt;0)*Quesería!$F$70:$F$89*(1+Quesería!$I$70:$I$89)/(Quesería!$J$70:$J$89+(Quesería!$J$70:$J$89=0)))+SUMPRODUCT((Quesería!$C$70:$C$89=0)*(Quesería!$J$70:$J$89=0)*(I$43=0)*(Quesería!$H$70:$H$89&gt;0)*Quesería!$F$70:$F$89*(1+Quesería!$I$70:$I$89)))*$B$993+(SUMPRODUCT((Quesería!$C$70:$C$89=1)*(Quesería!$J$70:$J$89&gt;0)*(I$43&gt;=2)*(I$43&lt;=Quesería!$J$70:$J$89+1)*(Quesería!$H$70:$H$89&gt;0)*Quesería!$F$70:$F$89*(1+Quesería!$I$70:$I$89)/(Quesería!$J$70:$J$89+(Quesería!$J$70:$J$89=0)))+SUMPRODUCT((Quesería!$C$70:$C$89=1)*(Quesería!$J$70:$J$89=0)*(I$43=1)*(Quesería!$H$70:$H$89&gt;0)*Quesería!$F$70:$F$89*(1+Quesería!$I$70:$I$89)))*$C$993*$X$21,IF(AND(I$43&gt;=1,I$43&lt;=Quesería!$B$30),Quesería!$F$92/Quesería!$B$30,0)*$B$993+IF(AND(I$43&gt;=2,I$43&lt;=Quesería!$B$30+1),Quesería!$F$93/Quesería!$B$30,0)*$C$993*$X$21)*$X$11+IF(AND(I$43&gt;=6,I$43&lt;=10),$G997*$G993/5,0)+IF(AND(I$43&gt;=7,I$43&lt;=11),$H997*$H993/5,0))*I995</f>
        <v>143.380028832283</v>
      </c>
      <c r="J1005" s="29" t="n">
        <f aca="false">(IF($X$19=1,(SUMPRODUCT((Quesería!$C$70:$C$89=0)*(Quesería!$J$70:$J$89&gt;0)*(J$43&gt;=1)*(J$43&lt;=Quesería!$J$70:$J$89)*(Quesería!$H$70:$H$89&gt;0)*Quesería!$F$70:$F$89*(1+Quesería!$I$70:$I$89)/(Quesería!$J$70:$J$89+(Quesería!$J$70:$J$89=0)))+SUMPRODUCT((Quesería!$C$70:$C$89=0)*(Quesería!$J$70:$J$89=0)*(J$43=0)*(Quesería!$H$70:$H$89&gt;0)*Quesería!$F$70:$F$89*(1+Quesería!$I$70:$I$89)))*$B$993+(SUMPRODUCT((Quesería!$C$70:$C$89=1)*(Quesería!$J$70:$J$89&gt;0)*(J$43&gt;=2)*(J$43&lt;=Quesería!$J$70:$J$89+1)*(Quesería!$H$70:$H$89&gt;0)*Quesería!$F$70:$F$89*(1+Quesería!$I$70:$I$89)/(Quesería!$J$70:$J$89+(Quesería!$J$70:$J$89=0)))+SUMPRODUCT((Quesería!$C$70:$C$89=1)*(Quesería!$J$70:$J$89=0)*(J$43=1)*(Quesería!$H$70:$H$89&gt;0)*Quesería!$F$70:$F$89*(1+Quesería!$I$70:$I$89)))*$C$993*$X$21,IF(AND(J$43&gt;=1,J$43&lt;=Quesería!$B$30),Quesería!$F$92/Quesería!$B$30,0)*$B$993+IF(AND(J$43&gt;=2,J$43&lt;=Quesería!$B$30+1),Quesería!$F$93/Quesería!$B$30,0)*$C$993*$X$21)*$X$11+IF(AND(J$43&gt;=6,J$43&lt;=10),$G997*$G993/5,0)+IF(AND(J$43&gt;=7,J$43&lt;=11),$H997*$H993/5,0))*J995</f>
        <v>137.865412338734</v>
      </c>
      <c r="K1005" s="29" t="n">
        <f aca="false">(IF($X$19=1,(SUMPRODUCT((Quesería!$C$70:$C$89=0)*(Quesería!$J$70:$J$89&gt;0)*(K$43&gt;=1)*(K$43&lt;=Quesería!$J$70:$J$89)*(Quesería!$H$70:$H$89&gt;0)*Quesería!$F$70:$F$89*(1+Quesería!$I$70:$I$89)/(Quesería!$J$70:$J$89+(Quesería!$J$70:$J$89=0)))+SUMPRODUCT((Quesería!$C$70:$C$89=0)*(Quesería!$J$70:$J$89=0)*(K$43=0)*(Quesería!$H$70:$H$89&gt;0)*Quesería!$F$70:$F$89*(1+Quesería!$I$70:$I$89)))*$B$993+(SUMPRODUCT((Quesería!$C$70:$C$89=1)*(Quesería!$J$70:$J$89&gt;0)*(K$43&gt;=2)*(K$43&lt;=Quesería!$J$70:$J$89+1)*(Quesería!$H$70:$H$89&gt;0)*Quesería!$F$70:$F$89*(1+Quesería!$I$70:$I$89)/(Quesería!$J$70:$J$89+(Quesería!$J$70:$J$89=0)))+SUMPRODUCT((Quesería!$C$70:$C$89=1)*(Quesería!$J$70:$J$89=0)*(K$43=1)*(Quesería!$H$70:$H$89&gt;0)*Quesería!$F$70:$F$89*(1+Quesería!$I$70:$I$89)))*$C$993*$X$21,IF(AND(K$43&gt;=1,K$43&lt;=Quesería!$B$30),Quesería!$F$92/Quesería!$B$30,0)*$B$993+IF(AND(K$43&gt;=2,K$43&lt;=Quesería!$B$30+1),Quesería!$F$93/Quesería!$B$30,0)*$C$993*$X$21)*$X$11+IF(AND(K$43&gt;=6,K$43&lt;=10),$G997*$G993/5,0)+IF(AND(K$43&gt;=7,K$43&lt;=11),$H997*$H993/5,0))*K995</f>
        <v>132.562896479552</v>
      </c>
      <c r="L1005" s="29" t="n">
        <f aca="false">(IF($X$19=1,(SUMPRODUCT((Quesería!$C$70:$C$89=0)*(Quesería!$J$70:$J$89&gt;0)*(L$43&gt;=1)*(L$43&lt;=Quesería!$J$70:$J$89)*(Quesería!$H$70:$H$89&gt;0)*Quesería!$F$70:$F$89*(1+Quesería!$I$70:$I$89)/(Quesería!$J$70:$J$89+(Quesería!$J$70:$J$89=0)))+SUMPRODUCT((Quesería!$C$70:$C$89=0)*(Quesería!$J$70:$J$89=0)*(L$43=0)*(Quesería!$H$70:$H$89&gt;0)*Quesería!$F$70:$F$89*(1+Quesería!$I$70:$I$89)))*$B$993+(SUMPRODUCT((Quesería!$C$70:$C$89=1)*(Quesería!$J$70:$J$89&gt;0)*(L$43&gt;=2)*(L$43&lt;=Quesería!$J$70:$J$89+1)*(Quesería!$H$70:$H$89&gt;0)*Quesería!$F$70:$F$89*(1+Quesería!$I$70:$I$89)/(Quesería!$J$70:$J$89+(Quesería!$J$70:$J$89=0)))+SUMPRODUCT((Quesería!$C$70:$C$89=1)*(Quesería!$J$70:$J$89=0)*(L$43=1)*(Quesería!$H$70:$H$89&gt;0)*Quesería!$F$70:$F$89*(1+Quesería!$I$70:$I$89)))*$C$993*$X$21,IF(AND(L$43&gt;=1,L$43&lt;=Quesería!$B$30),Quesería!$F$92/Quesería!$B$30,0)*$B$993+IF(AND(L$43&gt;=2,L$43&lt;=Quesería!$B$30+1),Quesería!$F$93/Quesería!$B$30,0)*$C$993*$X$21)*$X$11+IF(AND(L$43&gt;=6,L$43&lt;=10),$G997*$G993/5,0)+IF(AND(L$43&gt;=7,L$43&lt;=11),$H997*$H993/5,0))*L995</f>
        <v>127.46432353803</v>
      </c>
    </row>
    <row r="1006" customFormat="false" ht="15" hidden="true" customHeight="false" outlineLevel="1" collapsed="false">
      <c r="A1006" s="9" t="s">
        <v>416</v>
      </c>
      <c r="B1006" s="58" t="n">
        <f aca="false">IF(B$43=1,MIN($X$7*Quesería!$B$56*Quesería!$F$86*$X$11*$X$21,Quesería!$B$57*Quesería!$B$58),0)</f>
        <v>0</v>
      </c>
      <c r="C1006" s="58" t="n">
        <f aca="false">IF(C$43=1,MIN($X$7*Quesería!$B$56*Quesería!$F$86*$X$11*$X$21,Quesería!$B$57*Quesería!$B$58),0)</f>
        <v>20</v>
      </c>
      <c r="D1006" s="58" t="n">
        <f aca="false">IF(D$43=1,MIN($X$7*Quesería!$B$56*Quesería!$F$86*$X$11*$X$21,Quesería!$B$57*Quesería!$B$58),0)</f>
        <v>0</v>
      </c>
      <c r="E1006" s="58" t="n">
        <f aca="false">IF(E$43=1,MIN($X$7*Quesería!$B$56*Quesería!$F$86*$X$11*$X$21,Quesería!$B$57*Quesería!$B$58),0)</f>
        <v>0</v>
      </c>
      <c r="F1006" s="58" t="n">
        <f aca="false">IF(F$43=1,MIN($X$7*Quesería!$B$56*Quesería!$F$86*$X$11*$X$21,Quesería!$B$57*Quesería!$B$58),0)</f>
        <v>0</v>
      </c>
      <c r="G1006" s="58" t="n">
        <f aca="false">IF(G$43=1,MIN($X$7*Quesería!$B$56*Quesería!$F$86*$X$11*$X$21,Quesería!$B$57*Quesería!$B$58),0)</f>
        <v>0</v>
      </c>
      <c r="H1006" s="58" t="n">
        <f aca="false">IF(H$43=1,MIN($X$7*Quesería!$B$56*Quesería!$F$86*$X$11*$X$21,Quesería!$B$57*Quesería!$B$58),0)</f>
        <v>0</v>
      </c>
      <c r="I1006" s="58" t="n">
        <f aca="false">IF(I$43=1,MIN($X$7*Quesería!$B$56*Quesería!$F$86*$X$11*$X$21,Quesería!$B$57*Quesería!$B$58),0)</f>
        <v>0</v>
      </c>
      <c r="J1006" s="58" t="n">
        <f aca="false">IF(J$43=1,MIN($X$7*Quesería!$B$56*Quesería!$F$86*$X$11*$X$21,Quesería!$B$57*Quesería!$B$58),0)</f>
        <v>0</v>
      </c>
      <c r="K1006" s="58" t="n">
        <f aca="false">IF(K$43=1,MIN($X$7*Quesería!$B$56*Quesería!$F$86*$X$11*$X$21,Quesería!$B$57*Quesería!$B$58),0)</f>
        <v>0</v>
      </c>
      <c r="L1006" s="58" t="n">
        <f aca="false">IF(L$43=1,MIN($X$7*Quesería!$B$56*Quesería!$F$86*$X$11*$X$21,Quesería!$B$57*Quesería!$B$58),0)</f>
        <v>0</v>
      </c>
    </row>
    <row r="1007" customFormat="false" ht="15" hidden="true" customHeight="false" outlineLevel="1" collapsed="false">
      <c r="A1007" s="9" t="s">
        <v>417</v>
      </c>
      <c r="B1007" s="58" t="n">
        <v>0</v>
      </c>
      <c r="C1007" s="58" t="n">
        <f aca="false">$X$20*Quesería!$B$60*Quesería!$F$98*$X$11*$B$993/C993/2</f>
        <v>0</v>
      </c>
      <c r="D1007" s="58" t="n">
        <f aca="false">$X$20*Quesería!$B$60*Quesería!$F$98*$X$11*$B$993/D993/2</f>
        <v>0</v>
      </c>
      <c r="E1007" s="58" t="n">
        <v>0</v>
      </c>
      <c r="F1007" s="58" t="n">
        <v>0</v>
      </c>
      <c r="G1007" s="58" t="n">
        <v>0</v>
      </c>
      <c r="H1007" s="58" t="n">
        <v>0</v>
      </c>
      <c r="I1007" s="58" t="n">
        <v>0</v>
      </c>
      <c r="J1007" s="58" t="n">
        <v>0</v>
      </c>
      <c r="K1007" s="58" t="n">
        <v>0</v>
      </c>
      <c r="L1007" s="58" t="n">
        <v>0</v>
      </c>
    </row>
    <row r="1008" customFormat="false" ht="15" hidden="true" customHeight="false" outlineLevel="1" collapsed="false">
      <c r="A1008" s="9" t="s">
        <v>418</v>
      </c>
      <c r="B1008" s="58" t="n">
        <f aca="false">0</f>
        <v>0</v>
      </c>
      <c r="C1008" s="58" t="n">
        <f aca="false">B998*B993/C993</f>
        <v>142.014925295407</v>
      </c>
      <c r="D1008" s="58" t="n">
        <f aca="false">C998*C993/D993</f>
        <v>137.903466668091</v>
      </c>
      <c r="E1008" s="58" t="n">
        <f aca="false">D998*D993/E993</f>
        <v>0</v>
      </c>
      <c r="F1008" s="58" t="n">
        <f aca="false">E998*E993/F993</f>
        <v>0</v>
      </c>
      <c r="G1008" s="58" t="n">
        <f aca="false">F998*F993/G993</f>
        <v>0</v>
      </c>
      <c r="H1008" s="58" t="n">
        <f aca="false">G998*G993/H993</f>
        <v>5.01768392412113</v>
      </c>
      <c r="I1008" s="58" t="n">
        <f aca="false">H998*H993/I993</f>
        <v>8.47494190873221</v>
      </c>
      <c r="J1008" s="58" t="n">
        <f aca="false">I998*I993/J993</f>
        <v>0</v>
      </c>
      <c r="K1008" s="58" t="n">
        <f aca="false">J998*J993/K993</f>
        <v>0</v>
      </c>
      <c r="L1008" s="58" t="n">
        <f aca="false">K998*K993/L993</f>
        <v>0</v>
      </c>
    </row>
    <row r="1009" customFormat="false" ht="15" hidden="true" customHeight="false" outlineLevel="1" collapsed="false">
      <c r="A1009" s="6" t="s">
        <v>295</v>
      </c>
      <c r="B1009" s="29" t="n">
        <f aca="false">$X$17*(B1001-B1002-B1003-0.5*B1004-B1005)-B1006-B1007-B1008</f>
        <v>41.4949291537268</v>
      </c>
      <c r="C1009" s="29" t="n">
        <f aca="false">$X$17*(C1001-C1002-C1003-0.5*C1004-C1005)-C1006-C1007-C1008</f>
        <v>-151.464876395824</v>
      </c>
      <c r="D1009" s="29" t="n">
        <f aca="false">$X$17*(D1001-D1002-D1003-0.5*D1004-D1005)-D1006-D1007-D1008</f>
        <v>-59.6830512429376</v>
      </c>
      <c r="E1009" s="29" t="n">
        <f aca="false">$X$17*(E1001-E1002-E1003-0.5*E1004-E1005)-E1006-E1007-E1008</f>
        <v>102.676685860594</v>
      </c>
      <c r="F1009" s="29" t="n">
        <f aca="false">$X$17*(F1001-F1002-F1003-0.5*F1004-F1005)-F1006-F1007-F1008</f>
        <v>104.822404838556</v>
      </c>
      <c r="G1009" s="29" t="n">
        <f aca="false">$X$17*(G1001-G1002-G1003-0.5*G1004-G1005)-G1006-G1007-G1008</f>
        <v>106.867421213092</v>
      </c>
      <c r="H1009" s="29" t="n">
        <f aca="false">$X$17*(H1001-H1002-H1003-0.5*H1004-H1005)-H1006-H1007-H1008</f>
        <v>101.978440829858</v>
      </c>
      <c r="I1009" s="29" t="n">
        <f aca="false">$X$17*(I1001-I1002-I1003-0.5*I1004-I1005)-I1006-I1007-I1008</f>
        <v>97.4297598664954</v>
      </c>
      <c r="J1009" s="29" t="n">
        <f aca="false">$X$17*(J1001-J1002-J1003-0.5*J1004-J1005)-J1006-J1007-J1008</f>
        <v>107.945222175379</v>
      </c>
      <c r="K1009" s="29" t="n">
        <f aca="false">$X$17*(K1001-K1002-K1003-0.5*K1004-K1005)-K1006-K1007-K1008</f>
        <v>109.91205937664</v>
      </c>
      <c r="L1009" s="29" t="n">
        <f aca="false">$X$17*(L1001-L1002-L1003-0.5*L1004-L1005)-L1006-L1007-L1008</f>
        <v>111.808071339971</v>
      </c>
    </row>
    <row r="1010" customFormat="false" ht="15" hidden="true" customHeight="false" outlineLevel="1" collapsed="false">
      <c r="A1010" s="9" t="s">
        <v>419</v>
      </c>
      <c r="B1010" s="58" t="n">
        <f aca="false">(IF(B$43&gt;=1,Quesería!$G$123*IF(B$43=1,Quesería!$B$20,1),Quesería!$G$123*Quesería!$B$20*Quesería!$B$21/12*$X$23)+IF(B$43&gt;=2,Quesería!$G$124*$X$21*IF(B$43=2,Quesería!$B$20,1),0))*$X$10</f>
        <v>77.4042870161869</v>
      </c>
      <c r="C1010" s="58" t="n">
        <f aca="false">(IF(C$43&gt;=1,Quesería!$G$123*IF(C$43=1,Quesería!$B$20,1),Quesería!$G$123*Quesería!$B$20*Quesería!$B$21/12*$X$23)+IF(C$43&gt;=2,Quesería!$G$124*$X$21*IF(C$43=2,Quesería!$B$20,1),0))*$X$10</f>
        <v>116.10643052428</v>
      </c>
      <c r="D1010" s="58" t="n">
        <f aca="false">(IF(D$43&gt;=1,Quesería!$G$123*IF(D$43=1,Quesería!$B$20,1),Quesería!$G$123*Quesería!$B$20*Quesería!$B$21/12*$X$23)+IF(D$43&gt;=2,Quesería!$G$124*$X$21*IF(D$43=2,Quesería!$B$20,1),0))*$X$10</f>
        <v>297.090260202792</v>
      </c>
      <c r="E1010" s="58" t="n">
        <f aca="false">(IF(E$43&gt;=1,Quesería!$G$123*IF(E$43=1,Quesería!$B$20,1),Quesería!$G$123*Quesería!$B$20*Quesería!$B$21/12*$X$23)+IF(E$43&gt;=2,Quesería!$G$124*$X$21*IF(E$43=2,Quesería!$B$20,1),0))*$X$10</f>
        <v>344.517488926264</v>
      </c>
      <c r="F1010" s="58" t="n">
        <f aca="false">(IF(F$43&gt;=1,Quesería!$G$123*IF(F$43=1,Quesería!$B$20,1),Quesería!$G$123*Quesería!$B$20*Quesería!$B$21/12*$X$23)+IF(F$43&gt;=2,Quesería!$G$124*$X$21*IF(F$43=2,Quesería!$B$20,1),0))*$X$10</f>
        <v>344.517488926264</v>
      </c>
      <c r="G1010" s="58" t="n">
        <f aca="false">(IF(G$43&gt;=1,Quesería!$G$123*IF(G$43=1,Quesería!$B$20,1),Quesería!$G$123*Quesería!$B$20*Quesería!$B$21/12*$X$23)+IF(G$43&gt;=2,Quesería!$G$124*$X$21*IF(G$43=2,Quesería!$B$20,1),0))*$X$10</f>
        <v>344.517488926264</v>
      </c>
      <c r="H1010" s="58" t="n">
        <f aca="false">(IF(H$43&gt;=1,Quesería!$G$123*IF(H$43=1,Quesería!$B$20,1),Quesería!$G$123*Quesería!$B$20*Quesería!$B$21/12*$X$23)+IF(H$43&gt;=2,Quesería!$G$124*$X$21*IF(H$43=2,Quesería!$B$20,1),0))*$X$10</f>
        <v>344.517488926264</v>
      </c>
      <c r="I1010" s="58" t="n">
        <f aca="false">(IF(I$43&gt;=1,Quesería!$G$123*IF(I$43=1,Quesería!$B$20,1),Quesería!$G$123*Quesería!$B$20*Quesería!$B$21/12*$X$23)+IF(I$43&gt;=2,Quesería!$G$124*$X$21*IF(I$43=2,Quesería!$B$20,1),0))*$X$10</f>
        <v>344.517488926264</v>
      </c>
      <c r="J1010" s="58" t="n">
        <f aca="false">(IF(J$43&gt;=1,Quesería!$G$123*IF(J$43=1,Quesería!$B$20,1),Quesería!$G$123*Quesería!$B$20*Quesería!$B$21/12*$X$23)+IF(J$43&gt;=2,Quesería!$G$124*$X$21*IF(J$43=2,Quesería!$B$20,1),0))*$X$10</f>
        <v>344.517488926264</v>
      </c>
      <c r="K1010" s="58" t="n">
        <f aca="false">(IF(K$43&gt;=1,Quesería!$G$123*IF(K$43=1,Quesería!$B$20,1),Quesería!$G$123*Quesería!$B$20*Quesería!$B$21/12*$X$23)+IF(K$43&gt;=2,Quesería!$G$124*$X$21*IF(K$43=2,Quesería!$B$20,1),0))*$X$10</f>
        <v>344.517488926264</v>
      </c>
      <c r="L1010" s="58" t="n">
        <f aca="false">(IF(L$43&gt;=1,Quesería!$G$123*IF(L$43=1,Quesería!$B$20,1),Quesería!$G$123*Quesería!$B$20*Quesería!$B$21/12*$X$23)+IF(L$43&gt;=2,Quesería!$G$124*$X$21*IF(L$43=2,Quesería!$B$20,1),0))*$X$10</f>
        <v>344.517488926264</v>
      </c>
    </row>
    <row r="1011" customFormat="false" ht="15" hidden="true" customHeight="false" outlineLevel="1" collapsed="false">
      <c r="A1011" s="6" t="s">
        <v>420</v>
      </c>
      <c r="B1011" s="29" t="n">
        <f aca="false">(B1010*(Quesería!$B$38+Quesería!$B$40*Quesería!$B$39)/365-B1002*Quesería!$B$42/365)</f>
        <v>7.23146900616979</v>
      </c>
      <c r="C1011" s="29" t="n">
        <f aca="false">(C1010*(Quesería!$B$38+Quesería!$B$40*Quesería!$B$39)/365-C1002*Quesería!$B$42/365)-(B1010*(Quesería!$B$38+Quesería!$B$40*Quesería!$B$39)/365-B1002*Quesería!$B$42/365)*B993/C993</f>
        <v>1.42287846600884</v>
      </c>
      <c r="D1011" s="29" t="n">
        <f aca="false">(D1010*(Quesería!$B$38+Quesería!$B$40*Quesería!$B$39)/365-D1002*Quesería!$B$42/365)-(C1010*(Quesería!$B$38+Quesería!$B$40*Quesería!$B$39)/365-C1002*Quesería!$B$42/365)*C993/D993</f>
        <v>14.0205300736897</v>
      </c>
      <c r="E1011" s="29" t="n">
        <f aca="false">(E1010*(Quesería!$B$38+Quesería!$B$40*Quesería!$B$39)/365-E1002*Quesería!$B$42/365)-(D1010*(Quesería!$B$38+Quesería!$B$40*Quesería!$B$39)/365-D1002*Quesería!$B$42/365)*D993/E993</f>
        <v>5.27597549905193</v>
      </c>
      <c r="F1011" s="29" t="n">
        <f aca="false">(F1010*(Quesería!$B$38+Quesería!$B$40*Quesería!$B$39)/365-F1002*Quesería!$B$42/365)-(E1010*(Quesería!$B$38+Quesería!$B$40*Quesería!$B$39)/365-E1002*Quesería!$B$42/365)*E993/F993</f>
        <v>1.01552107473577</v>
      </c>
      <c r="G1011" s="29" t="n">
        <f aca="false">(G1010*(Quesería!$B$38+Quesería!$B$40*Quesería!$B$39)/365-G1002*Quesería!$B$42/365)-(F1010*(Quesería!$B$38+Quesería!$B$40*Quesería!$B$39)/365-F1002*Quesería!$B$42/365)*F993/G993</f>
        <v>1.01552107473577</v>
      </c>
      <c r="H1011" s="29" t="n">
        <f aca="false">(H1010*(Quesería!$B$38+Quesería!$B$40*Quesería!$B$39)/365-H1002*Quesería!$B$42/365)-(G1010*(Quesería!$B$38+Quesería!$B$40*Quesería!$B$39)/365-G1002*Quesería!$B$42/365)*G993/H993</f>
        <v>1.01552107473577</v>
      </c>
      <c r="I1011" s="29" t="n">
        <f aca="false">(I1010*(Quesería!$B$38+Quesería!$B$40*Quesería!$B$39)/365-I1002*Quesería!$B$42/365)-(H1010*(Quesería!$B$38+Quesería!$B$40*Quesería!$B$39)/365-H1002*Quesería!$B$42/365)*H993/I993</f>
        <v>1.01552107473577</v>
      </c>
      <c r="J1011" s="29" t="n">
        <f aca="false">(J1010*(Quesería!$B$38+Quesería!$B$40*Quesería!$B$39)/365-J1002*Quesería!$B$42/365)-(I1010*(Quesería!$B$38+Quesería!$B$40*Quesería!$B$39)/365-I1002*Quesería!$B$42/365)*I993/J993</f>
        <v>1.01552107473577</v>
      </c>
      <c r="K1011" s="29" t="n">
        <f aca="false">(K1010*(Quesería!$B$38+Quesería!$B$40*Quesería!$B$39)/365-K1002*Quesería!$B$42/365)-(J1010*(Quesería!$B$38+Quesería!$B$40*Quesería!$B$39)/365-J1002*Quesería!$B$42/365)*J993/K993</f>
        <v>1.01552107473577</v>
      </c>
      <c r="L1011" s="29" t="n">
        <f aca="false">-(K1010*(Quesería!$B$38+Quesería!$B$40*Quesería!$B$39)/365-K1002*Quesería!$B$42/365)*K993/L993</f>
        <v>-25.3880268683941</v>
      </c>
    </row>
    <row r="1012" customFormat="false" ht="15" hidden="true" customHeight="false" outlineLevel="1" collapsed="false">
      <c r="A1012" s="6" t="s">
        <v>421</v>
      </c>
      <c r="B1012" s="29" t="n">
        <v>0</v>
      </c>
      <c r="C1012" s="29" t="n">
        <v>0</v>
      </c>
      <c r="D1012" s="29" t="n">
        <v>0</v>
      </c>
      <c r="E1012" s="29" t="n">
        <v>0</v>
      </c>
      <c r="F1012" s="29" t="n">
        <v>0</v>
      </c>
      <c r="G1012" s="29" t="n">
        <v>0</v>
      </c>
      <c r="H1012" s="29" t="n">
        <v>0</v>
      </c>
      <c r="I1012" s="29" t="n">
        <v>0</v>
      </c>
      <c r="J1012" s="29" t="n">
        <v>0</v>
      </c>
      <c r="K1012" s="29" t="n">
        <v>0</v>
      </c>
      <c r="L1012" s="29" t="n">
        <f aca="false">$X$8*Quesería!$B$36*(Quesería!$F$94+Quesería!$F$95*$X$21)*$X$11*(1-$X$17)</f>
        <v>67.1237725584543</v>
      </c>
    </row>
    <row r="1013" customFormat="false" ht="15" hidden="true" customHeight="false" outlineLevel="1" collapsed="false">
      <c r="A1013" s="5" t="s">
        <v>147</v>
      </c>
      <c r="B1013" s="59" t="n">
        <f aca="false">B1001-B1002-B1003-B1004-B1009-B996-B997-B998-B1011+B1012</f>
        <v>-1012.24520053452</v>
      </c>
      <c r="C1013" s="59" t="n">
        <f aca="false">C1001-C1002-C1003-C1004-C1009-C996-C997-C998-C1011+C1012</f>
        <v>-635.671931684274</v>
      </c>
      <c r="D1013" s="59" t="n">
        <f aca="false">D1001-D1002-D1003-D1004-D1009-D996-D997-D998-D1011+D1012</f>
        <v>426.368587108982</v>
      </c>
      <c r="E1013" s="59" t="n">
        <f aca="false">E1001-E1002-E1003-E1004-E1009-E996-E997-E998-E1011+E1012</f>
        <v>336.574191766544</v>
      </c>
      <c r="F1013" s="59" t="n">
        <f aca="false">F1001-F1002-F1003-F1004-F1009-F996-F997-F998-F1011+F1012</f>
        <v>338.998138248335</v>
      </c>
      <c r="G1013" s="59" t="n">
        <f aca="false">G1001-G1002-G1003-G1004-G1009-G996-G997-G998-G1011+G1012</f>
        <v>304.449535980252</v>
      </c>
      <c r="H1013" s="59" t="n">
        <f aca="false">H1001-H1002-H1003-H1004-H1009-H996-H997-H998-H1011+H1012</f>
        <v>287.041262546491</v>
      </c>
      <c r="I1013" s="59" t="n">
        <f aca="false">I1001-I1002-I1003-I1004-I1009-I996-I997-I998-I1011+I1012</f>
        <v>347.32772361752</v>
      </c>
      <c r="J1013" s="59" t="n">
        <f aca="false">J1001-J1002-J1003-J1004-J1009-J996-J997-J998-J1011+J1012</f>
        <v>337.127703101235</v>
      </c>
      <c r="K1013" s="59" t="n">
        <f aca="false">K1001-K1002-K1003-K1004-K1009-K996-K997-K998-K1011+K1012</f>
        <v>335.477884901536</v>
      </c>
      <c r="L1013" s="59" t="n">
        <f aca="false">L1001-L1002-L1003-L1004-L1009-L996-L997-L998-L1011+L1012</f>
        <v>427.427797536358</v>
      </c>
    </row>
    <row r="1014" customFormat="false" ht="15" hidden="true" customHeight="false" outlineLevel="1" collapsed="false">
      <c r="A1014" s="9" t="s">
        <v>422</v>
      </c>
      <c r="B1014" s="58" t="n">
        <f aca="false">B1013*B993</f>
        <v>-1072.97991256659</v>
      </c>
      <c r="C1014" s="58" t="n">
        <f aca="false">C1013*C993</f>
        <v>-707.502859964598</v>
      </c>
      <c r="D1014" s="58" t="n">
        <f aca="false">D1013*D993</f>
        <v>495.902908137651</v>
      </c>
      <c r="E1014" s="58" t="n">
        <f aca="false">E1013*E993</f>
        <v>407.122969584023</v>
      </c>
      <c r="F1014" s="58" t="n">
        <f aca="false">F1013*F993</f>
        <v>426.457195433929</v>
      </c>
      <c r="G1014" s="58" t="n">
        <f aca="false">G1013*G993</f>
        <v>398.315116931397</v>
      </c>
      <c r="H1014" s="58" t="n">
        <f aca="false">H1013*H993</f>
        <v>390.56124239016</v>
      </c>
      <c r="I1014" s="58" t="n">
        <f aca="false">I1013*I993</f>
        <v>491.493299225086</v>
      </c>
      <c r="J1014" s="58" t="n">
        <f aca="false">J1013*J993</f>
        <v>496.141930580415</v>
      </c>
      <c r="K1014" s="58" t="n">
        <f aca="false">K1013*K993</f>
        <v>513.462494209162</v>
      </c>
      <c r="L1014" s="58" t="n">
        <f aca="false">L1013*L993</f>
        <v>680.363383133383</v>
      </c>
    </row>
    <row r="1015" customFormat="false" ht="15" hidden="true" customHeight="false" outlineLevel="1" collapsed="false">
      <c r="A1015" s="6" t="s">
        <v>423</v>
      </c>
      <c r="B1015" s="29" t="n">
        <f aca="false">B1013</f>
        <v>-1012.24520053452</v>
      </c>
      <c r="C1015" s="29" t="n">
        <f aca="false">B1015+C1013</f>
        <v>-1647.91713221879</v>
      </c>
      <c r="D1015" s="29" t="n">
        <f aca="false">C1015+D1013</f>
        <v>-1221.54854510981</v>
      </c>
      <c r="E1015" s="29" t="n">
        <f aca="false">D1015+E1013</f>
        <v>-884.974353343263</v>
      </c>
      <c r="F1015" s="29" t="n">
        <f aca="false">E1015+F1013</f>
        <v>-545.976215094928</v>
      </c>
      <c r="G1015" s="29" t="n">
        <f aca="false">F1015+G1013</f>
        <v>-241.526679114677</v>
      </c>
      <c r="H1015" s="29" t="n">
        <f aca="false">G1015+H1013</f>
        <v>45.5145834318139</v>
      </c>
      <c r="I1015" s="29" t="n">
        <f aca="false">H1015+I1013</f>
        <v>392.842307049334</v>
      </c>
      <c r="J1015" s="29" t="n">
        <f aca="false">I1015+J1013</f>
        <v>729.970010150569</v>
      </c>
      <c r="K1015" s="29" t="n">
        <f aca="false">J1015+K1013</f>
        <v>1065.44789505211</v>
      </c>
      <c r="L1015" s="29" t="n">
        <f aca="false">K1015+L1013</f>
        <v>1492.87569258846</v>
      </c>
    </row>
    <row r="1016" customFormat="false" ht="15" hidden="true" customHeight="false" outlineLevel="1" collapsed="false">
      <c r="A1016" s="9" t="s">
        <v>424</v>
      </c>
      <c r="B1016" s="60" t="n">
        <v>0</v>
      </c>
      <c r="C1016" s="60" t="n">
        <f aca="false">IF(AND(B1015&lt;0,C1015&gt;=0),B$43+(-B1015)/C1013,0)</f>
        <v>0</v>
      </c>
      <c r="D1016" s="60" t="n">
        <f aca="false">IF(AND(C1015&lt;0,D1015&gt;=0),C$43+(-C1015)/D1013,0)</f>
        <v>0</v>
      </c>
      <c r="E1016" s="60" t="n">
        <f aca="false">IF(AND(D1015&lt;0,E1015&gt;=0),D$43+(-D1015)/E1013,0)</f>
        <v>0</v>
      </c>
      <c r="F1016" s="60" t="n">
        <f aca="false">IF(AND(E1015&lt;0,F1015&gt;=0),E$43+(-E1015)/F1013,0)</f>
        <v>0</v>
      </c>
      <c r="G1016" s="60" t="n">
        <f aca="false">IF(AND(F1015&lt;0,G1015&gt;=0),F$43+(-F1015)/G1013,0)</f>
        <v>0</v>
      </c>
      <c r="H1016" s="60" t="n">
        <f aca="false">IF(AND(G1015&lt;0,H1015&gt;=0),G$43+(-G1015)/H1013,0)</f>
        <v>5.8414353984231</v>
      </c>
      <c r="I1016" s="60" t="n">
        <f aca="false">IF(AND(H1015&lt;0,I1015&gt;=0),H$43+(-H1015)/I1013,0)</f>
        <v>0</v>
      </c>
      <c r="J1016" s="60" t="n">
        <f aca="false">IF(AND(I1015&lt;0,J1015&gt;=0),I$43+(-I1015)/J1013,0)</f>
        <v>0</v>
      </c>
      <c r="K1016" s="60" t="n">
        <f aca="false">IF(AND(J1015&lt;0,K1015&gt;=0),J$43+(-J1015)/K1013,0)</f>
        <v>0</v>
      </c>
      <c r="L1016" s="60" t="n">
        <f aca="false">IF(AND(K1015&lt;0,L1015&gt;=0),K$43+(-K1015)/L1013,0)</f>
        <v>0</v>
      </c>
    </row>
    <row r="1017" customFormat="false" ht="15" hidden="true" customHeight="false" outlineLevel="1" collapsed="false">
      <c r="A1017" s="9" t="s">
        <v>425</v>
      </c>
      <c r="B1017" s="57" t="n">
        <f aca="false">(B993/$B$993)/(1+$X$25)^B$43</f>
        <v>1</v>
      </c>
      <c r="C1017" s="57" t="n">
        <f aca="false">(C993/$B$993)/(1+$X$25)^C$43</f>
        <v>0.907458487517462</v>
      </c>
      <c r="D1017" s="57" t="n">
        <f aca="false">(D993/$B$993)/(1+$X$25)^D$43</f>
        <v>0.819559568917159</v>
      </c>
      <c r="E1017" s="57" t="n">
        <f aca="false">(E993/$B$993)/(1+$X$25)^E$43</f>
        <v>0.73663327458441</v>
      </c>
      <c r="F1017" s="57" t="n">
        <f aca="false">(F993/$B$993)/(1+$X$25)^F$43</f>
        <v>0.6620977922836</v>
      </c>
      <c r="G1017" s="57" t="n">
        <f aca="false">(G993/$B$993)/(1+$X$25)^G$43</f>
        <v>0.595104106306</v>
      </c>
      <c r="H1017" s="57" t="n">
        <f aca="false">(H993/$B$993)/(1+$X$25)^H$43</f>
        <v>0.534889107726503</v>
      </c>
      <c r="I1017" s="57" t="n">
        <f aca="false">(I993/$B$993)/(1+$X$25)^I$43</f>
        <v>0.480766902013848</v>
      </c>
      <c r="J1017" s="57" t="n">
        <f aca="false">(J993/$B$993)/(1+$X$25)^J$43</f>
        <v>0.432120996171371</v>
      </c>
      <c r="K1017" s="57" t="n">
        <f aca="false">(K993/$B$993)/(1+$X$25)^K$43</f>
        <v>0.388397276413924</v>
      </c>
      <c r="L1017" s="57" t="n">
        <f aca="false">(L993/$B$993)/(1+$X$25)^L$43</f>
        <v>0.349097696391334</v>
      </c>
    </row>
    <row r="1018" customFormat="false" ht="15" hidden="true" customHeight="false" outlineLevel="1" collapsed="false">
      <c r="A1018" s="9" t="s">
        <v>426</v>
      </c>
      <c r="B1018" s="58" t="n">
        <f aca="false">B1013*B1017</f>
        <v>-1012.24520053452</v>
      </c>
      <c r="C1018" s="58" t="n">
        <f aca="false">C1013*C1017</f>
        <v>-576.845889683515</v>
      </c>
      <c r="D1018" s="58" t="n">
        <f aca="false">D1013*D1017</f>
        <v>349.434455450856</v>
      </c>
      <c r="E1018" s="58" t="n">
        <f aca="false">E1013*E1017</f>
        <v>247.931749021591</v>
      </c>
      <c r="F1018" s="58" t="n">
        <f aca="false">F1013*F1017</f>
        <v>224.449918922473</v>
      </c>
      <c r="G1018" s="58" t="n">
        <f aca="false">G1013*G1017</f>
        <v>181.179169024804</v>
      </c>
      <c r="H1018" s="58" t="n">
        <f aca="false">H1013*H1017</f>
        <v>153.535244804181</v>
      </c>
      <c r="I1018" s="58" t="n">
        <f aca="false">I1013*I1017</f>
        <v>166.983673667117</v>
      </c>
      <c r="J1018" s="58" t="n">
        <f aca="false">J1013*J1017</f>
        <v>145.679958901072</v>
      </c>
      <c r="K1018" s="58" t="n">
        <f aca="false">K1013*K1017</f>
        <v>130.298696792861</v>
      </c>
      <c r="L1018" s="58" t="n">
        <f aca="false">L1013*L1017</f>
        <v>149.214059493564</v>
      </c>
    </row>
    <row r="1019" customFormat="false" ht="15" hidden="true" customHeight="false" outlineLevel="1" collapsed="false">
      <c r="A1019" s="9" t="s">
        <v>427</v>
      </c>
      <c r="B1019" s="58" t="n">
        <f aca="false">B1018</f>
        <v>-1012.24520053452</v>
      </c>
      <c r="C1019" s="58" t="n">
        <f aca="false">B1019+C1018</f>
        <v>-1589.09109021803</v>
      </c>
      <c r="D1019" s="58" t="n">
        <f aca="false">C1019+D1018</f>
        <v>-1239.65663476717</v>
      </c>
      <c r="E1019" s="58" t="n">
        <f aca="false">D1019+E1018</f>
        <v>-991.724885745584</v>
      </c>
      <c r="F1019" s="58" t="n">
        <f aca="false">E1019+F1018</f>
        <v>-767.274966823111</v>
      </c>
      <c r="G1019" s="58" t="n">
        <f aca="false">F1019+G1018</f>
        <v>-586.095797798307</v>
      </c>
      <c r="H1019" s="58" t="n">
        <f aca="false">G1019+H1018</f>
        <v>-432.560552994126</v>
      </c>
      <c r="I1019" s="58" t="n">
        <f aca="false">H1019+I1018</f>
        <v>-265.576879327009</v>
      </c>
      <c r="J1019" s="58" t="n">
        <f aca="false">I1019+J1018</f>
        <v>-119.896920425937</v>
      </c>
      <c r="K1019" s="58" t="n">
        <f aca="false">J1019+K1018</f>
        <v>10.4017763669237</v>
      </c>
      <c r="L1019" s="58" t="n">
        <f aca="false">K1019+L1018</f>
        <v>159.615835860488</v>
      </c>
    </row>
    <row r="1020" customFormat="false" ht="15" hidden="true" customHeight="false" outlineLevel="1" collapsed="false">
      <c r="A1020" s="9" t="s">
        <v>428</v>
      </c>
      <c r="B1020" s="60" t="n">
        <v>0</v>
      </c>
      <c r="C1020" s="60" t="n">
        <f aca="false">IF(AND(B1019&lt;0,C1019&gt;=0),B$43+(-B1019)/C1018,0)</f>
        <v>0</v>
      </c>
      <c r="D1020" s="60" t="n">
        <f aca="false">IF(AND(C1019&lt;0,D1019&gt;=0),C$43+(-C1019)/D1018,0)</f>
        <v>0</v>
      </c>
      <c r="E1020" s="60" t="n">
        <f aca="false">IF(AND(D1019&lt;0,E1019&gt;=0),D$43+(-D1019)/E1018,0)</f>
        <v>0</v>
      </c>
      <c r="F1020" s="60" t="n">
        <f aca="false">IF(AND(E1019&lt;0,F1019&gt;=0),E$43+(-E1019)/F1018,0)</f>
        <v>0</v>
      </c>
      <c r="G1020" s="60" t="n">
        <f aca="false">IF(AND(F1019&lt;0,G1019&gt;=0),F$43+(-F1019)/G1018,0)</f>
        <v>0</v>
      </c>
      <c r="H1020" s="60" t="n">
        <f aca="false">IF(AND(G1019&lt;0,H1019&gt;=0),G$43+(-G1019)/H1018,0)</f>
        <v>0</v>
      </c>
      <c r="I1020" s="60" t="n">
        <f aca="false">IF(AND(H1019&lt;0,I1019&gt;=0),H$43+(-H1019)/I1018,0)</f>
        <v>0</v>
      </c>
      <c r="J1020" s="60" t="n">
        <f aca="false">IF(AND(I1019&lt;0,J1019&gt;=0),I$43+(-I1019)/J1018,0)</f>
        <v>0</v>
      </c>
      <c r="K1020" s="60" t="n">
        <f aca="false">IF(AND(J1019&lt;0,K1019&gt;=0),J$43+(-J1019)/K1018,0)</f>
        <v>8.92016975900028</v>
      </c>
      <c r="L1020" s="60" t="n">
        <f aca="false">IF(AND(K1019&lt;0,L1019&gt;=0),K$43+(-K1019)/L1018,0)</f>
        <v>0</v>
      </c>
    </row>
    <row r="1021" customFormat="false" ht="15" hidden="true" customHeight="false" outlineLevel="1" collapsed="false">
      <c r="A1021" s="9" t="s">
        <v>429</v>
      </c>
      <c r="B1021" s="58" t="n">
        <f aca="false">IF(B$43&lt;0,0,(Quesería!$B$44*$B$996*$B$993)*(1-MAX(0,MIN(B$43-0-Quesería!$B$47,(Quesería!$B$46-Quesería!$B$47)))/(Quesería!$B$46-Quesería!$B$47))*IF(B$43&gt;=2,1-Quesería!$B$48,1))+IF(B$43&lt;1,0,(Quesería!$B$44*$C$996*$C$993)*(1-MAX(0,MIN(B$43-1-Quesería!$B$47,(Quesería!$B$46-Quesería!$B$47)))/(Quesería!$B$46-Quesería!$B$47))*IF(B$43&gt;=2,1-Quesería!$B$48,1))</f>
        <v>641.321364968425</v>
      </c>
      <c r="C1021" s="58" t="n">
        <f aca="false">IF(C$43&lt;0,0,(Quesería!$B$44*$B$996*$B$993)*(1-MAX(0,MIN(C$43-0-Quesería!$B$47,(Quesería!$B$46-Quesería!$B$47)))/(Quesería!$B$46-Quesería!$B$47))*IF(C$43&gt;=2,1-Quesería!$B$48,1))+IF(C$43&lt;1,0,(Quesería!$B$44*$C$996*$C$993)*(1-MAX(0,MIN(C$43-1-Quesería!$B$47,(Quesería!$B$46-Quesería!$B$47)))/(Quesería!$B$46-Quesería!$B$47))*IF(C$43&gt;=2,1-Quesería!$B$48,1))</f>
        <v>1190.03581125409</v>
      </c>
      <c r="D1021" s="58" t="n">
        <f aca="false">IF(D$43&lt;0,0,(Quesería!$B$44*$B$996*$B$993)*(1-MAX(0,MIN(D$43-0-Quesería!$B$47,(Quesería!$B$46-Quesería!$B$47)))/(Quesería!$B$46-Quesería!$B$47))*IF(D$43&gt;=2,1-Quesería!$B$48,1))+IF(D$43&lt;1,0,(Quesería!$B$44*$C$996*$C$993)*(1-MAX(0,MIN(D$43-1-Quesería!$B$47,(Quesería!$B$46-Quesería!$B$47)))/(Quesería!$B$46-Quesería!$B$47))*IF(D$43&gt;=2,1-Quesería!$B$48,1))</f>
        <v>1083.14891709269</v>
      </c>
      <c r="E1021" s="58" t="n">
        <f aca="false">IF(E$43&lt;0,0,(Quesería!$B$44*$B$996*$B$993)*(1-MAX(0,MIN(E$43-0-Quesería!$B$47,(Quesería!$B$46-Quesería!$B$47)))/(Quesería!$B$46-Quesería!$B$47))*IF(E$43&gt;=2,1-Quesería!$B$48,1))+IF(E$43&lt;1,0,(Quesería!$B$44*$C$996*$C$993)*(1-MAX(0,MIN(E$43-1-Quesería!$B$47,(Quesería!$B$46-Quesería!$B$47)))/(Quesería!$B$46-Quesería!$B$47))*IF(E$43&gt;=2,1-Quesería!$B$48,1))</f>
        <v>884.809615217005</v>
      </c>
      <c r="F1021" s="58" t="n">
        <f aca="false">IF(F$43&lt;0,0,(Quesería!$B$44*$B$996*$B$993)*(1-MAX(0,MIN(F$43-0-Quesería!$B$47,(Quesería!$B$46-Quesería!$B$47)))/(Quesería!$B$46-Quesería!$B$47))*IF(F$43&gt;=2,1-Quesería!$B$48,1))+IF(F$43&lt;1,0,(Quesería!$B$44*$C$996*$C$993)*(1-MAX(0,MIN(F$43-1-Quesería!$B$47,(Quesería!$B$46-Quesería!$B$47)))/(Quesería!$B$46-Quesería!$B$47))*IF(F$43&gt;=2,1-Quesería!$B$48,1))</f>
        <v>686.470313341323</v>
      </c>
      <c r="G1021" s="58" t="n">
        <f aca="false">IF(G$43&lt;0,0,(Quesería!$B$44*$B$996*$B$993)*(1-MAX(0,MIN(G$43-0-Quesería!$B$47,(Quesería!$B$46-Quesería!$B$47)))/(Quesería!$B$46-Quesería!$B$47))*IF(G$43&gt;=2,1-Quesería!$B$48,1))+IF(G$43&lt;1,0,(Quesería!$B$44*$C$996*$C$993)*(1-MAX(0,MIN(G$43-1-Quesería!$B$47,(Quesería!$B$46-Quesería!$B$47)))/(Quesería!$B$46-Quesería!$B$47))*IF(G$43&gt;=2,1-Quesería!$B$48,1))</f>
        <v>488.131011465641</v>
      </c>
      <c r="H1021" s="58" t="n">
        <f aca="false">IF(H$43&lt;0,0,(Quesería!$B$44*$B$996*$B$993)*(1-MAX(0,MIN(H$43-0-Quesería!$B$47,(Quesería!$B$46-Quesería!$B$47)))/(Quesería!$B$46-Quesería!$B$47))*IF(H$43&gt;=2,1-Quesería!$B$48,1))+IF(H$43&lt;1,0,(Quesería!$B$44*$C$996*$C$993)*(1-MAX(0,MIN(H$43-1-Quesería!$B$47,(Quesería!$B$46-Quesería!$B$47)))/(Quesería!$B$46-Quesería!$B$47))*IF(H$43&gt;=2,1-Quesería!$B$48,1))</f>
        <v>289.79170958996</v>
      </c>
      <c r="I1021" s="58" t="n">
        <f aca="false">IF(I$43&lt;0,0,(Quesería!$B$44*$B$996*$B$993)*(1-MAX(0,MIN(I$43-0-Quesería!$B$47,(Quesería!$B$46-Quesería!$B$47)))/(Quesería!$B$46-Quesería!$B$47))*IF(I$43&gt;=2,1-Quesería!$B$48,1))+IF(I$43&lt;1,0,(Quesería!$B$44*$C$996*$C$993)*(1-MAX(0,MIN(I$43-1-Quesería!$B$47,(Quesería!$B$46-Quesería!$B$47)))/(Quesería!$B$46-Quesería!$B$47))*IF(I$43&gt;=2,1-Quesería!$B$48,1))</f>
        <v>91.4524077142776</v>
      </c>
      <c r="J1021" s="58" t="n">
        <f aca="false">IF(J$43&lt;0,0,(Quesería!$B$44*$B$996*$B$993)*(1-MAX(0,MIN(J$43-0-Quesería!$B$47,(Quesería!$B$46-Quesería!$B$47)))/(Quesería!$B$46-Quesería!$B$47))*IF(J$43&gt;=2,1-Quesería!$B$48,1))+IF(J$43&lt;1,0,(Quesería!$B$44*$C$996*$C$993)*(1-MAX(0,MIN(J$43-1-Quesería!$B$47,(Quesería!$B$46-Quesería!$B$47)))/(Quesería!$B$46-Quesería!$B$47))*IF(J$43&gt;=2,1-Quesería!$B$48,1))</f>
        <v>0</v>
      </c>
      <c r="K1021" s="58" t="n">
        <f aca="false">IF(K$43&lt;0,0,(Quesería!$B$44*$B$996*$B$993)*(1-MAX(0,MIN(K$43-0-Quesería!$B$47,(Quesería!$B$46-Quesería!$B$47)))/(Quesería!$B$46-Quesería!$B$47))*IF(K$43&gt;=2,1-Quesería!$B$48,1))+IF(K$43&lt;1,0,(Quesería!$B$44*$C$996*$C$993)*(1-MAX(0,MIN(K$43-1-Quesería!$B$47,(Quesería!$B$46-Quesería!$B$47)))/(Quesería!$B$46-Quesería!$B$47))*IF(K$43&gt;=2,1-Quesería!$B$48,1))</f>
        <v>0</v>
      </c>
      <c r="L1021" s="58" t="n">
        <f aca="false">IF(L$43&lt;0,0,(Quesería!$B$44*$B$996*$B$993)*(1-MAX(0,MIN(L$43-0-Quesería!$B$47,(Quesería!$B$46-Quesería!$B$47)))/(Quesería!$B$46-Quesería!$B$47))*IF(L$43&gt;=2,1-Quesería!$B$48,1))+IF(L$43&lt;1,0,(Quesería!$B$44*$C$996*$C$993)*(1-MAX(0,MIN(L$43-1-Quesería!$B$47,(Quesería!$B$46-Quesería!$B$47)))/(Quesería!$B$46-Quesería!$B$47))*IF(L$43&gt;=2,1-Quesería!$B$48,1))</f>
        <v>0</v>
      </c>
    </row>
    <row r="1022" customFormat="false" ht="15" hidden="true" customHeight="false" outlineLevel="1" collapsed="false">
      <c r="A1022" s="6" t="s">
        <v>430</v>
      </c>
      <c r="B1022" s="29" t="n">
        <f aca="false">Quesería!$B$44*B996</f>
        <v>605.02015563059</v>
      </c>
      <c r="C1022" s="29" t="n">
        <f aca="false">Quesería!$B$44*C996</f>
        <v>493.004893338424</v>
      </c>
      <c r="D1022" s="29" t="n">
        <f aca="false">Quesería!$B$44*D996</f>
        <v>0</v>
      </c>
      <c r="E1022" s="29" t="n">
        <f aca="false">Quesería!$B$44*E996</f>
        <v>0</v>
      </c>
      <c r="F1022" s="29" t="n">
        <f aca="false">Quesería!$B$44*F996</f>
        <v>0</v>
      </c>
      <c r="G1022" s="29" t="n">
        <f aca="false">Quesería!$B$44*G996</f>
        <v>0</v>
      </c>
      <c r="H1022" s="29" t="n">
        <f aca="false">Quesería!$B$44*H996</f>
        <v>0</v>
      </c>
      <c r="I1022" s="29" t="n">
        <f aca="false">Quesería!$B$44*I996</f>
        <v>0</v>
      </c>
      <c r="J1022" s="29" t="n">
        <f aca="false">Quesería!$B$44*J996</f>
        <v>0</v>
      </c>
      <c r="K1022" s="29" t="n">
        <f aca="false">Quesería!$B$44*K996</f>
        <v>0</v>
      </c>
      <c r="L1022" s="29" t="n">
        <f aca="false">Quesería!$B$44*L996</f>
        <v>0</v>
      </c>
    </row>
    <row r="1023" customFormat="false" ht="15" hidden="true" customHeight="false" outlineLevel="1" collapsed="false">
      <c r="A1023" s="6" t="s">
        <v>431</v>
      </c>
      <c r="B1023" s="29" t="n">
        <f aca="false">(IF(AND(B$43&gt;0,B$43&lt;=0+Quesería!$B$46),($X$14+$X$24)*(Quesería!$B$44*$B$996*$B$993)*(1-MAX(0,MIN((B$43-1)-0-Quesería!$B$47,(Quesería!$B$46-Quesería!$B$47)))/(Quesería!$B$46-Quesería!$B$47))*IF(B$43&gt;2,1-Quesería!$B$48,1),0)+IF(AND(B$43&gt;1,B$43&lt;=1+Quesería!$B$46),($X$14+$X$24)*(Quesería!$B$44*$C$996*$C$993)*(1-MAX(0,MIN((B$43-1)-1-Quesería!$B$47,(Quesería!$B$46-Quesería!$B$47)))/(Quesería!$B$46-Quesería!$B$47))*IF(B$43&gt;2,1-Quesería!$B$48,1),0))*B995</f>
        <v>0</v>
      </c>
      <c r="C1023" s="29" t="n">
        <f aca="false">(IF(AND(C$43&gt;0,C$43&lt;=0+Quesería!$B$46),($X$14+$X$24)*(Quesería!$B$44*$B$996*$B$993)*(1-MAX(0,MIN((C$43-1)-0-Quesería!$B$47,(Quesería!$B$46-Quesería!$B$47)))/(Quesería!$B$46-Quesería!$B$47))*IF(C$43&gt;2,1-Quesería!$B$48,1),0)+IF(AND(C$43&gt;1,C$43&lt;=1+Quesería!$B$46),($X$14+$X$24)*(Quesería!$B$44*$C$996*$C$993)*(1-MAX(0,MIN((C$43-1)-1-Quesería!$B$47,(Quesería!$B$46-Quesería!$B$47)))/(Quesería!$B$46-Quesería!$B$47))*IF(C$43&gt;2,1-Quesería!$B$48,1),0))*C995</f>
        <v>81.2455637561078</v>
      </c>
      <c r="D1023" s="29" t="n">
        <f aca="false">(IF(AND(D$43&gt;0,D$43&lt;=0+Quesería!$B$46),($X$14+$X$24)*(Quesería!$B$44*$B$996*$B$993)*(1-MAX(0,MIN((D$43-1)-0-Quesería!$B$47,(Quesería!$B$46-Quesería!$B$47)))/(Quesería!$B$46-Quesería!$B$47))*IF(D$43&gt;2,1-Quesería!$B$48,1),0)+IF(AND(D$43&gt;1,D$43&lt;=1+Quesería!$B$46),($X$14+$X$24)*(Quesería!$B$44*$C$996*$C$993)*(1-MAX(0,MIN((D$43-1)-1-Quesería!$B$47,(Quesería!$B$46-Quesería!$B$47)))/(Quesería!$B$46-Quesería!$B$47))*IF(D$43&gt;2,1-Quesería!$B$48,1),0))*D995</f>
        <v>144.267228437154</v>
      </c>
      <c r="E1023" s="29" t="n">
        <f aca="false">(IF(AND(E$43&gt;0,E$43&lt;=0+Quesería!$B$46),($X$14+$X$24)*(Quesería!$B$44*$B$996*$B$993)*(1-MAX(0,MIN((E$43-1)-0-Quesería!$B$47,(Quesería!$B$46-Quesería!$B$47)))/(Quesería!$B$46-Quesería!$B$47))*IF(E$43&gt;2,1-Quesería!$B$48,1),0)+IF(AND(E$43&gt;1,E$43&lt;=1+Quesería!$B$46),($X$14+$X$24)*(Quesería!$B$44*$C$996*$C$993)*(1-MAX(0,MIN((E$43-1)-1-Quesería!$B$47,(Quesería!$B$46-Quesería!$B$47)))/(Quesería!$B$46-Quesería!$B$47))*IF(E$43&gt;2,1-Quesería!$B$48,1),0))*E995</f>
        <v>126.259041612202</v>
      </c>
      <c r="F1023" s="29" t="n">
        <f aca="false">(IF(AND(F$43&gt;0,F$43&lt;=0+Quesería!$B$46),($X$14+$X$24)*(Quesería!$B$44*$B$996*$B$993)*(1-MAX(0,MIN((F$43-1)-0-Quesería!$B$47,(Quesería!$B$46-Quesería!$B$47)))/(Quesería!$B$46-Quesería!$B$47))*IF(F$43&gt;2,1-Quesería!$B$48,1),0)+IF(AND(F$43&gt;1,F$43&lt;=1+Quesería!$B$46),($X$14+$X$24)*(Quesería!$B$44*$C$996*$C$993)*(1-MAX(0,MIN((F$43-1)-1-Quesería!$B$47,(Quesería!$B$46-Quesería!$B$47)))/(Quesería!$B$46-Quesería!$B$47))*IF(F$43&gt;2,1-Quesería!$B$48,1),0))*F995</f>
        <v>99.1723975627135</v>
      </c>
      <c r="G1023" s="29" t="n">
        <f aca="false">(IF(AND(G$43&gt;0,G$43&lt;=0+Quesería!$B$46),($X$14+$X$24)*(Quesería!$B$44*$B$996*$B$993)*(1-MAX(0,MIN((G$43-1)-0-Quesería!$B$47,(Quesería!$B$46-Quesería!$B$47)))/(Quesería!$B$46-Quesería!$B$47))*IF(G$43&gt;2,1-Quesería!$B$48,1),0)+IF(AND(G$43&gt;1,G$43&lt;=1+Quesería!$B$46),($X$14+$X$24)*(Quesería!$B$44*$C$996*$C$993)*(1-MAX(0,MIN((G$43-1)-1-Quesería!$B$47,(Quesería!$B$46-Quesería!$B$47)))/(Quesería!$B$46-Quesería!$B$47))*IF(G$43&gt;2,1-Quesería!$B$48,1),0))*G995</f>
        <v>73.9825677868365</v>
      </c>
      <c r="H1023" s="29" t="n">
        <f aca="false">(IF(AND(H$43&gt;0,H$43&lt;=0+Quesería!$B$46),($X$14+$X$24)*(Quesería!$B$44*$B$996*$B$993)*(1-MAX(0,MIN((H$43-1)-0-Quesería!$B$47,(Quesería!$B$46-Quesería!$B$47)))/(Quesería!$B$46-Quesería!$B$47))*IF(H$43&gt;2,1-Quesería!$B$48,1),0)+IF(AND(H$43&gt;1,H$43&lt;=1+Quesería!$B$46),($X$14+$X$24)*(Quesería!$B$44*$C$996*$C$993)*(1-MAX(0,MIN((H$43-1)-1-Quesería!$B$47,(Quesería!$B$46-Quesería!$B$47)))/(Quesería!$B$46-Quesería!$B$47))*IF(H$43&gt;2,1-Quesería!$B$48,1),0))*H995</f>
        <v>50.583712494366</v>
      </c>
      <c r="I1023" s="29" t="n">
        <f aca="false">(IF(AND(I$43&gt;0,I$43&lt;=0+Quesería!$B$46),($X$14+$X$24)*(Quesería!$B$44*$B$996*$B$993)*(1-MAX(0,MIN((I$43-1)-0-Quesería!$B$47,(Quesería!$B$46-Quesería!$B$47)))/(Quesería!$B$46-Quesería!$B$47))*IF(I$43&gt;2,1-Quesería!$B$48,1),0)+IF(AND(I$43&gt;1,I$43&lt;=1+Quesería!$B$46),($X$14+$X$24)*(Quesería!$B$44*$C$996*$C$993)*(1-MAX(0,MIN((I$43-1)-1-Quesería!$B$47,(Quesería!$B$46-Quesería!$B$47)))/(Quesería!$B$46-Quesería!$B$47))*IF(I$43&gt;2,1-Quesería!$B$48,1),0))*I995</f>
        <v>28.8753274791465</v>
      </c>
      <c r="J1023" s="29" t="n">
        <f aca="false">(IF(AND(J$43&gt;0,J$43&lt;=0+Quesería!$B$46),($X$14+$X$24)*(Quesería!$B$44*$B$996*$B$993)*(1-MAX(0,MIN((J$43-1)-0-Quesería!$B$47,(Quesería!$B$46-Quesería!$B$47)))/(Quesería!$B$46-Quesería!$B$47))*IF(J$43&gt;2,1-Quesería!$B$48,1),0)+IF(AND(J$43&gt;1,J$43&lt;=1+Quesería!$B$46),($X$14+$X$24)*(Quesería!$B$44*$C$996*$C$993)*(1-MAX(0,MIN((J$43-1)-1-Quesería!$B$47,(Quesería!$B$46-Quesería!$B$47)))/(Quesería!$B$46-Quesería!$B$47))*IF(J$43&gt;2,1-Quesería!$B$48,1),0))*J995</f>
        <v>8.76199025726588</v>
      </c>
      <c r="K1023" s="29" t="n">
        <f aca="false">(IF(AND(K$43&gt;0,K$43&lt;=0+Quesería!$B$46),($X$14+$X$24)*(Quesería!$B$44*$B$996*$B$993)*(1-MAX(0,MIN((K$43-1)-0-Quesería!$B$47,(Quesería!$B$46-Quesería!$B$47)))/(Quesería!$B$46-Quesería!$B$47))*IF(K$43&gt;2,1-Quesería!$B$48,1),0)+IF(AND(K$43&gt;1,K$43&lt;=1+Quesería!$B$46),($X$14+$X$24)*(Quesería!$B$44*$C$996*$C$993)*(1-MAX(0,MIN((K$43-1)-1-Quesería!$B$47,(Quesería!$B$46-Quesería!$B$47)))/(Quesería!$B$46-Quesería!$B$47))*IF(K$43&gt;2,1-Quesería!$B$48,1),0))*K995</f>
        <v>0</v>
      </c>
      <c r="L1023" s="29" t="n">
        <f aca="false">(IF(AND(L$43&gt;0,L$43&lt;=0+Quesería!$B$46),($X$14+$X$24)*(Quesería!$B$44*$B$996*$B$993)*(1-MAX(0,MIN((L$43-1)-0-Quesería!$B$47,(Quesería!$B$46-Quesería!$B$47)))/(Quesería!$B$46-Quesería!$B$47))*IF(L$43&gt;2,1-Quesería!$B$48,1),0)+IF(AND(L$43&gt;1,L$43&lt;=1+Quesería!$B$46),($X$14+$X$24)*(Quesería!$B$44*$C$996*$C$993)*(1-MAX(0,MIN((L$43-1)-1-Quesería!$B$47,(Quesería!$B$46-Quesería!$B$47)))/(Quesería!$B$46-Quesería!$B$47))*IF(L$43&gt;2,1-Quesería!$B$48,1),0))*L995</f>
        <v>0</v>
      </c>
    </row>
    <row r="1024" customFormat="false" ht="15" hidden="true" customHeight="false" outlineLevel="1" collapsed="false">
      <c r="A1024" s="6" t="s">
        <v>432</v>
      </c>
      <c r="B1024" s="29" t="n">
        <f aca="false">((IF(AND(B$43&gt;0+Quesería!$B$47,B$43&lt;=0+Quesería!$B$46),(Quesería!$B$44*$B$996*$B$993)/(Quesería!$B$46-Quesería!$B$47),0)*IF(B$43&gt;2,1-Quesería!$B$48,1)+IF(B$43=2,Quesería!$B$48*(Quesería!$B$44*$B$996*$B$993)*(1-MAX(0,MIN(2-0-Quesería!$B$47,(Quesería!$B$46-Quesería!$B$47)))/(Quesería!$B$46-Quesería!$B$47)),0))+(IF(AND(B$43&gt;1+Quesería!$B$47,B$43&lt;=1+Quesería!$B$46),(Quesería!$B$44*$C$996*$C$993)/(Quesería!$B$46-Quesería!$B$47),0)*IF(B$43&gt;2,1-Quesería!$B$48,1)+IF(B$43=2,Quesería!$B$48*(Quesería!$B$44*$C$996*$C$993)*(1-MAX(0,MIN(2-1-Quesería!$B$47,(Quesería!$B$46-Quesería!$B$47)))/(Quesería!$B$46-Quesería!$B$47)),0)))*B995</f>
        <v>0</v>
      </c>
      <c r="C1024" s="29" t="n">
        <f aca="false">((IF(AND(C$43&gt;0+Quesería!$B$47,C$43&lt;=0+Quesería!$B$46),(Quesería!$B$44*$B$996*$B$993)/(Quesería!$B$46-Quesería!$B$47),0)*IF(C$43&gt;2,1-Quesería!$B$48,1)+IF(C$43=2,Quesería!$B$48*(Quesería!$B$44*$B$996*$B$993)*(1-MAX(0,MIN(2-0-Quesería!$B$47,(Quesería!$B$46-Quesería!$B$47)))/(Quesería!$B$46-Quesería!$B$47)),0))+(IF(AND(C$43&gt;1+Quesería!$B$47,C$43&lt;=1+Quesería!$B$46),(Quesería!$B$44*$C$996*$C$993)/(Quesería!$B$46-Quesería!$B$47),0)*IF(C$43&gt;2,1-Quesería!$B$48,1)+IF(C$43=2,Quesería!$B$48*(Quesería!$B$44*$C$996*$C$993)*(1-MAX(0,MIN(2-1-Quesería!$B$47,(Quesería!$B$46-Quesería!$B$47)))/(Quesería!$B$46-Quesería!$B$47)),0)))*C995</f>
        <v>0</v>
      </c>
      <c r="D1024" s="29" t="n">
        <f aca="false">((IF(AND(D$43&gt;0+Quesería!$B$47,D$43&lt;=0+Quesería!$B$46),(Quesería!$B$44*$B$996*$B$993)/(Quesería!$B$46-Quesería!$B$47),0)*IF(D$43&gt;2,1-Quesería!$B$48,1)+IF(D$43=2,Quesería!$B$48*(Quesería!$B$44*$B$996*$B$993)*(1-MAX(0,MIN(2-0-Quesería!$B$47,(Quesería!$B$46-Quesería!$B$47)))/(Quesería!$B$46-Quesería!$B$47)),0))+(IF(AND(D$43&gt;1+Quesería!$B$47,D$43&lt;=1+Quesería!$B$46),(Quesería!$B$44*$C$996*$C$993)/(Quesería!$B$46-Quesería!$B$47),0)*IF(D$43&gt;2,1-Quesería!$B$48,1)+IF(D$43=2,Quesería!$B$48*(Quesería!$B$44*$C$996*$C$993)*(1-MAX(0,MIN(2-1-Quesería!$B$47,(Quesería!$B$46-Quesería!$B$47)))/(Quesería!$B$46-Quesería!$B$47)),0)))*D995</f>
        <v>91.8994692231472</v>
      </c>
      <c r="E1024" s="29" t="n">
        <f aca="false">((IF(AND(E$43&gt;0+Quesería!$B$47,E$43&lt;=0+Quesería!$B$46),(Quesería!$B$44*$B$996*$B$993)/(Quesería!$B$46-Quesería!$B$47),0)*IF(E$43&gt;2,1-Quesería!$B$48,1)+IF(E$43=2,Quesería!$B$48*(Quesería!$B$44*$B$996*$B$993)*(1-MAX(0,MIN(2-0-Quesería!$B$47,(Quesería!$B$46-Quesería!$B$47)))/(Quesería!$B$46-Quesería!$B$47)),0))+(IF(AND(E$43&gt;1+Quesería!$B$47,E$43&lt;=1+Quesería!$B$46),(Quesería!$B$44*$C$996*$C$993)/(Quesería!$B$46-Quesería!$B$47),0)*IF(E$43&gt;2,1-Quesería!$B$48,1)+IF(E$43=2,Quesería!$B$48*(Quesería!$B$44*$C$996*$C$993)*(1-MAX(0,MIN(2-1-Quesería!$B$47,(Quesería!$B$46-Quesería!$B$47)))/(Quesería!$B$46-Quesería!$B$47)),0)))*E995</f>
        <v>163.969845014041</v>
      </c>
      <c r="F1024" s="29" t="n">
        <f aca="false">((IF(AND(F$43&gt;0+Quesería!$B$47,F$43&lt;=0+Quesería!$B$46),(Quesería!$B$44*$B$996*$B$993)/(Quesería!$B$46-Quesería!$B$47),0)*IF(F$43&gt;2,1-Quesería!$B$48,1)+IF(F$43=2,Quesería!$B$48*(Quesería!$B$44*$B$996*$B$993)*(1-MAX(0,MIN(2-0-Quesería!$B$47,(Quesería!$B$46-Quesería!$B$47)))/(Quesería!$B$46-Quesería!$B$47)),0))+(IF(AND(F$43&gt;1+Quesería!$B$47,F$43&lt;=1+Quesería!$B$46),(Quesería!$B$44*$C$996*$C$993)/(Quesería!$B$46-Quesería!$B$47),0)*IF(F$43&gt;2,1-Quesería!$B$48,1)+IF(F$43=2,Quesería!$B$48*(Quesería!$B$44*$C$996*$C$993)*(1-MAX(0,MIN(2-1-Quesería!$B$47,(Quesería!$B$46-Quesería!$B$47)))/(Quesería!$B$46-Quesería!$B$47)),0)))*F995</f>
        <v>157.663312513501</v>
      </c>
      <c r="G1024" s="29" t="n">
        <f aca="false">((IF(AND(G$43&gt;0+Quesería!$B$47,G$43&lt;=0+Quesería!$B$46),(Quesería!$B$44*$B$996*$B$993)/(Quesería!$B$46-Quesería!$B$47),0)*IF(G$43&gt;2,1-Quesería!$B$48,1)+IF(G$43=2,Quesería!$B$48*(Quesería!$B$44*$B$996*$B$993)*(1-MAX(0,MIN(2-0-Quesería!$B$47,(Quesería!$B$46-Quesería!$B$47)))/(Quesería!$B$46-Quesería!$B$47)),0))+(IF(AND(G$43&gt;1+Quesería!$B$47,G$43&lt;=1+Quesería!$B$46),(Quesería!$B$44*$C$996*$C$993)/(Quesería!$B$46-Quesería!$B$47),0)*IF(G$43&gt;2,1-Quesería!$B$48,1)+IF(G$43=2,Quesería!$B$48*(Quesería!$B$44*$C$996*$C$993)*(1-MAX(0,MIN(2-1-Quesería!$B$47,(Quesería!$B$46-Quesería!$B$47)))/(Quesería!$B$46-Quesería!$B$47)),0)))*G995</f>
        <v>151.599338955289</v>
      </c>
      <c r="H1024" s="29" t="n">
        <f aca="false">((IF(AND(H$43&gt;0+Quesería!$B$47,H$43&lt;=0+Quesería!$B$46),(Quesería!$B$44*$B$996*$B$993)/(Quesería!$B$46-Quesería!$B$47),0)*IF(H$43&gt;2,1-Quesería!$B$48,1)+IF(H$43=2,Quesería!$B$48*(Quesería!$B$44*$B$996*$B$993)*(1-MAX(0,MIN(2-0-Quesería!$B$47,(Quesería!$B$46-Quesería!$B$47)))/(Quesería!$B$46-Quesería!$B$47)),0))+(IF(AND(H$43&gt;1+Quesería!$B$47,H$43&lt;=1+Quesería!$B$46),(Quesería!$B$44*$C$996*$C$993)/(Quesería!$B$46-Quesería!$B$47),0)*IF(H$43&gt;2,1-Quesería!$B$48,1)+IF(H$43=2,Quesería!$B$48*(Quesería!$B$44*$C$996*$C$993)*(1-MAX(0,MIN(2-1-Quesería!$B$47,(Quesería!$B$46-Quesería!$B$47)))/(Quesería!$B$46-Quesería!$B$47)),0)))*H995</f>
        <v>145.768595149317</v>
      </c>
      <c r="I1024" s="29" t="n">
        <f aca="false">((IF(AND(I$43&gt;0+Quesería!$B$47,I$43&lt;=0+Quesería!$B$46),(Quesería!$B$44*$B$996*$B$993)/(Quesería!$B$46-Quesería!$B$47),0)*IF(I$43&gt;2,1-Quesería!$B$48,1)+IF(I$43=2,Quesería!$B$48*(Quesería!$B$44*$B$996*$B$993)*(1-MAX(0,MIN(2-0-Quesería!$B$47,(Quesería!$B$46-Quesería!$B$47)))/(Quesería!$B$46-Quesería!$B$47)),0))+(IF(AND(I$43&gt;1+Quesería!$B$47,I$43&lt;=1+Quesería!$B$46),(Quesería!$B$44*$C$996*$C$993)/(Quesería!$B$46-Quesería!$B$47),0)*IF(I$43&gt;2,1-Quesería!$B$48,1)+IF(I$43=2,Quesería!$B$48*(Quesería!$B$44*$C$996*$C$993)*(1-MAX(0,MIN(2-1-Quesería!$B$47,(Quesería!$B$46-Quesería!$B$47)))/(Quesería!$B$46-Quesería!$B$47)),0)))*I995</f>
        <v>140.162110720497</v>
      </c>
      <c r="J1024" s="29" t="n">
        <f aca="false">((IF(AND(J$43&gt;0+Quesería!$B$47,J$43&lt;=0+Quesería!$B$46),(Quesería!$B$44*$B$996*$B$993)/(Quesería!$B$46-Quesería!$B$47),0)*IF(J$43&gt;2,1-Quesería!$B$48,1)+IF(J$43=2,Quesería!$B$48*(Quesería!$B$44*$B$996*$B$993)*(1-MAX(0,MIN(2-0-Quesería!$B$47,(Quesería!$B$46-Quesería!$B$47)))/(Quesería!$B$46-Quesería!$B$47)),0))+(IF(AND(J$43&gt;1+Quesería!$B$47,J$43&lt;=1+Quesería!$B$46),(Quesería!$B$44*$C$996*$C$993)/(Quesería!$B$46-Quesería!$B$47),0)*IF(J$43&gt;2,1-Quesería!$B$48,1)+IF(J$43=2,Quesería!$B$48*(Quesería!$B$44*$C$996*$C$993)*(1-MAX(0,MIN(2-1-Quesería!$B$47,(Quesería!$B$46-Quesería!$B$47)))/(Quesería!$B$46-Quesería!$B$47)),0)))*J995</f>
        <v>62.1417748742261</v>
      </c>
      <c r="K1024" s="29" t="n">
        <f aca="false">((IF(AND(K$43&gt;0+Quesería!$B$47,K$43&lt;=0+Quesería!$B$46),(Quesería!$B$44*$B$996*$B$993)/(Quesería!$B$46-Quesería!$B$47),0)*IF(K$43&gt;2,1-Quesería!$B$48,1)+IF(K$43=2,Quesería!$B$48*(Quesería!$B$44*$B$996*$B$993)*(1-MAX(0,MIN(2-0-Quesería!$B$47,(Quesería!$B$46-Quesería!$B$47)))/(Quesería!$B$46-Quesería!$B$47)),0))+(IF(AND(K$43&gt;1+Quesería!$B$47,K$43&lt;=1+Quesería!$B$46),(Quesería!$B$44*$C$996*$C$993)/(Quesería!$B$46-Quesería!$B$47),0)*IF(K$43&gt;2,1-Quesería!$B$48,1)+IF(K$43=2,Quesería!$B$48*(Quesería!$B$44*$C$996*$C$993)*(1-MAX(0,MIN(2-1-Quesería!$B$47,(Quesería!$B$46-Quesería!$B$47)))/(Quesería!$B$46-Quesería!$B$47)),0)))*K995</f>
        <v>0</v>
      </c>
      <c r="L1024" s="29" t="n">
        <f aca="false">((IF(AND(L$43&gt;0+Quesería!$B$47,L$43&lt;=0+Quesería!$B$46),(Quesería!$B$44*$B$996*$B$993)/(Quesería!$B$46-Quesería!$B$47),0)*IF(L$43&gt;2,1-Quesería!$B$48,1)+IF(L$43=2,Quesería!$B$48*(Quesería!$B$44*$B$996*$B$993)*(1-MAX(0,MIN(2-0-Quesería!$B$47,(Quesería!$B$46-Quesería!$B$47)))/(Quesería!$B$46-Quesería!$B$47)),0))+(IF(AND(L$43&gt;1+Quesería!$B$47,L$43&lt;=1+Quesería!$B$46),(Quesería!$B$44*$C$996*$C$993)/(Quesería!$B$46-Quesería!$B$47),0)*IF(L$43&gt;2,1-Quesería!$B$48,1)+IF(L$43=2,Quesería!$B$48*(Quesería!$B$44*$C$996*$C$993)*(1-MAX(0,MIN(2-1-Quesería!$B$47,(Quesería!$B$46-Quesería!$B$47)))/(Quesería!$B$46-Quesería!$B$47)),0)))*L995</f>
        <v>0</v>
      </c>
    </row>
    <row r="1025" customFormat="false" ht="15" hidden="true" customHeight="false" outlineLevel="1" collapsed="false">
      <c r="A1025" s="6" t="s">
        <v>433</v>
      </c>
      <c r="B1025" s="29" t="n">
        <f aca="false">$X$13*Quesería!$B$51*(1+0.19)*B1021*B995+(1-$X$13)*IF(B$43=0,Quesería!$B$50,0)</f>
        <v>14.327482305488</v>
      </c>
      <c r="C1025" s="29" t="n">
        <f aca="false">$X$13*Quesería!$B$51*(1+0.19)*C1021*C995+(1-$X$13)*IF(C$43=0,Quesería!$B$50,0)</f>
        <v>25.3200701224691</v>
      </c>
      <c r="D1025" s="29" t="n">
        <f aca="false">$X$13*Quesería!$B$51*(1+0.19)*D1021*D995+(1-$X$13)*IF(D$43=0,Quesería!$B$50,0)</f>
        <v>22.0534608439383</v>
      </c>
      <c r="E1025" s="29" t="n">
        <f aca="false">$X$13*Quesería!$B$51*(1+0.19)*E1021*E995+(1-$X$13)*IF(E$43=0,Quesería!$B$50,0)</f>
        <v>17.3222809117016</v>
      </c>
      <c r="F1025" s="29" t="n">
        <f aca="false">$X$13*Quesería!$B$51*(1+0.19)*F1021*F995+(1-$X$13)*IF(F$43=0,Quesería!$B$50,0)</f>
        <v>12.9224144345424</v>
      </c>
      <c r="G1025" s="29" t="n">
        <f aca="false">$X$13*Quesería!$B$51*(1+0.19)*G1021*G995+(1-$X$13)*IF(G$43=0,Quesería!$B$50,0)</f>
        <v>8.8353745489521</v>
      </c>
      <c r="H1025" s="29" t="n">
        <f aca="false">$X$13*Quesería!$B$51*(1+0.19)*H1021*H995+(1-$X$13)*IF(H$43=0,Quesería!$B$50,0)</f>
        <v>5.04360634918451</v>
      </c>
      <c r="I1025" s="29" t="n">
        <f aca="false">$X$13*Quesería!$B$51*(1+0.19)*I1021*I995+(1-$X$13)*IF(I$43=0,Quesería!$B$50,0)</f>
        <v>1.53044254562841</v>
      </c>
      <c r="J1025" s="29" t="n">
        <f aca="false">$X$13*Quesería!$B$51*(1+0.19)*J1021*J995+(1-$X$13)*IF(J$43=0,Quesería!$B$50,0)</f>
        <v>0</v>
      </c>
      <c r="K1025" s="29" t="n">
        <f aca="false">$X$13*Quesería!$B$51*(1+0.19)*K1021*K995+(1-$X$13)*IF(K$43=0,Quesería!$B$50,0)</f>
        <v>0</v>
      </c>
      <c r="L1025" s="29" t="n">
        <f aca="false">$X$13*Quesería!$B$51*(1+0.19)*L1021*L995+(1-$X$13)*IF(L$43=0,Quesería!$B$50,0)</f>
        <v>0</v>
      </c>
    </row>
    <row r="1026" customFormat="false" ht="15" hidden="true" customHeight="false" outlineLevel="1" collapsed="false">
      <c r="A1026" s="6" t="s">
        <v>434</v>
      </c>
      <c r="B1026" s="29" t="n">
        <f aca="false">Quesería!$B$52*(B1023+B1024+B1025)</f>
        <v>0.057309929221952</v>
      </c>
      <c r="C1026" s="29" t="n">
        <f aca="false">Quesería!$B$52*(C1023+C1024+C1025)</f>
        <v>0.426262535514308</v>
      </c>
      <c r="D1026" s="29" t="n">
        <f aca="false">Quesería!$B$52*(D1023+D1024+D1025)</f>
        <v>1.03288063401696</v>
      </c>
      <c r="E1026" s="29" t="n">
        <f aca="false">Quesería!$B$52*(E1023+E1024+E1025)</f>
        <v>1.23020467015178</v>
      </c>
      <c r="F1026" s="29" t="n">
        <f aca="false">Quesería!$B$52*(F1023+F1024+F1025)</f>
        <v>1.07903249804303</v>
      </c>
      <c r="G1026" s="29" t="n">
        <f aca="false">Quesería!$B$52*(G1023+G1024+G1025)</f>
        <v>0.937669125164311</v>
      </c>
      <c r="H1026" s="29" t="n">
        <f aca="false">Quesería!$B$52*(H1023+H1024+H1025)</f>
        <v>0.805583655971468</v>
      </c>
      <c r="I1026" s="29" t="n">
        <f aca="false">Quesería!$B$52*(I1023+I1024+I1025)</f>
        <v>0.682271522981086</v>
      </c>
      <c r="J1026" s="29" t="n">
        <f aca="false">Quesería!$B$52*(J1023+J1024+J1025)</f>
        <v>0.283615060525968</v>
      </c>
      <c r="K1026" s="29" t="n">
        <f aca="false">Quesería!$B$52*(K1023+K1024+K1025)</f>
        <v>0</v>
      </c>
      <c r="L1026" s="29" t="n">
        <f aca="false">Quesería!$B$52*(L1023+L1024+L1025)</f>
        <v>0</v>
      </c>
    </row>
    <row r="1027" customFormat="false" ht="15" hidden="true" customHeight="false" outlineLevel="1" collapsed="false">
      <c r="A1027" s="6" t="s">
        <v>435</v>
      </c>
      <c r="B1027" s="29" t="n">
        <f aca="false">$X$17*(B1023+B1025+0.5*B1026)</f>
        <v>5.02464804453464</v>
      </c>
      <c r="C1027" s="29" t="n">
        <f aca="false">$X$17*(C1023+C1025+0.5*C1026)</f>
        <v>37.3725678012169</v>
      </c>
      <c r="D1027" s="29" t="n">
        <f aca="false">$X$17*(D1023+D1025+0.5*D1026)</f>
        <v>58.3929953593351</v>
      </c>
      <c r="E1027" s="29" t="n">
        <f aca="false">$X$17*(E1023+E1025+0.5*E1026)</f>
        <v>50.4687487006427</v>
      </c>
      <c r="F1027" s="29" t="n">
        <f aca="false">$X$17*(F1023+F1025+0.5*F1026)</f>
        <v>39.4220148861971</v>
      </c>
      <c r="G1027" s="29" t="n">
        <f aca="false">$X$17*(G1023+G1025+0.5*G1026)</f>
        <v>29.1503719144297</v>
      </c>
      <c r="H1027" s="29" t="n">
        <f aca="false">$X$17*(H1023+H1025+0.5*H1026)</f>
        <v>19.6105387350377</v>
      </c>
      <c r="I1027" s="29" t="n">
        <f aca="false">$X$17*(I1023+I1025+0.5*I1026)</f>
        <v>10.7614170251929</v>
      </c>
      <c r="J1027" s="29" t="n">
        <f aca="false">$X$17*(J1023+J1025+0.5*J1026)</f>
        <v>3.1163292256351</v>
      </c>
      <c r="K1027" s="29" t="n">
        <f aca="false">$X$17*(K1023+K1025+0.5*K1026)</f>
        <v>0</v>
      </c>
      <c r="L1027" s="29" t="n">
        <f aca="false">$X$17*(L1023+L1025+0.5*L1026)</f>
        <v>0</v>
      </c>
    </row>
    <row r="1028" customFormat="false" ht="15" hidden="true" customHeight="false" outlineLevel="1" collapsed="false">
      <c r="A1028" s="5" t="s">
        <v>436</v>
      </c>
      <c r="B1028" s="59" t="n">
        <f aca="false">B1013+B1022-B1023-B1024-B1025-B1026+B1027</f>
        <v>-416.585189094101</v>
      </c>
      <c r="C1028" s="59" t="n">
        <f aca="false">C1013+C1022-C1023-C1024-C1025-C1026+C1027</f>
        <v>-212.286366958725</v>
      </c>
      <c r="D1028" s="59" t="n">
        <f aca="false">D1013+D1022-D1023-D1024-D1025-D1026+D1027</f>
        <v>225.508543330062</v>
      </c>
      <c r="E1028" s="59" t="n">
        <f aca="false">E1013+E1022-E1023-E1024-E1025-E1026+E1027</f>
        <v>78.2615682590911</v>
      </c>
      <c r="F1028" s="59" t="n">
        <f aca="false">F1013+F1022-F1023-F1024-F1025-F1026+F1027</f>
        <v>107.582996125732</v>
      </c>
      <c r="G1028" s="59" t="n">
        <f aca="false">G1013+G1022-G1023-G1024-G1025-G1026+G1027</f>
        <v>98.2449574784396</v>
      </c>
      <c r="H1028" s="59" t="n">
        <f aca="false">H1013+H1022-H1023-H1024-H1025-H1026+H1027</f>
        <v>104.45030363269</v>
      </c>
      <c r="I1028" s="59" t="n">
        <f aca="false">I1013+I1022-I1023-I1024-I1025-I1026+I1027</f>
        <v>186.838988374461</v>
      </c>
      <c r="J1028" s="59" t="n">
        <f aca="false">J1013+J1022-J1023-J1024-J1025-J1026+J1027</f>
        <v>269.056652134852</v>
      </c>
      <c r="K1028" s="59" t="n">
        <f aca="false">K1013+K1022-K1023-K1024-K1025-K1026+K1027</f>
        <v>335.477884901536</v>
      </c>
      <c r="L1028" s="59" t="n">
        <f aca="false">L1013+L1022-L1023-L1024-L1025-L1026+L1027</f>
        <v>427.427797536358</v>
      </c>
    </row>
    <row r="1029" customFormat="false" ht="15" hidden="true" customHeight="false" outlineLevel="1" collapsed="false">
      <c r="A1029" s="9" t="s">
        <v>437</v>
      </c>
      <c r="B1029" s="58" t="n">
        <f aca="false">B1028*B993</f>
        <v>-441.580300439747</v>
      </c>
      <c r="C1029" s="58" t="n">
        <f aca="false">C1028*C993</f>
        <v>-236.274726425061</v>
      </c>
      <c r="D1029" s="58" t="n">
        <f aca="false">D1028*D993</f>
        <v>262.285604119045</v>
      </c>
      <c r="E1029" s="58" t="n">
        <f aca="false">E1028*E993</f>
        <v>94.6658503633699</v>
      </c>
      <c r="F1029" s="58" t="n">
        <f aca="false">F1028*F993</f>
        <v>135.338627643287</v>
      </c>
      <c r="G1029" s="58" t="n">
        <f aca="false">G1028*G993</f>
        <v>128.535100570766</v>
      </c>
      <c r="H1029" s="58" t="n">
        <f aca="false">H1028*H993</f>
        <v>142.11977745954</v>
      </c>
      <c r="I1029" s="58" t="n">
        <f aca="false">I1028*I993</f>
        <v>264.390385724478</v>
      </c>
      <c r="J1029" s="58" t="n">
        <f aca="false">J1028*J993</f>
        <v>395.963563948358</v>
      </c>
      <c r="K1029" s="58" t="n">
        <f aca="false">K1028*K993</f>
        <v>513.462494209162</v>
      </c>
      <c r="L1029" s="58" t="n">
        <f aca="false">L1028*L993</f>
        <v>680.363383133383</v>
      </c>
    </row>
    <row r="1030" customFormat="false" ht="15" hidden="true" customHeight="false" outlineLevel="1" collapsed="false">
      <c r="A1030" s="9" t="s">
        <v>438</v>
      </c>
      <c r="B1030" s="57" t="n">
        <f aca="false">(B993/$B$993)/(1+Quesería!$B$11+$X$24)^B$43</f>
        <v>1</v>
      </c>
      <c r="C1030" s="57" t="n">
        <f aca="false">(C993/$B$993)/(1+Quesería!$B$11+$X$24)^C$43</f>
        <v>0.84</v>
      </c>
      <c r="D1030" s="57" t="n">
        <f aca="false">(D993/$B$993)/(1+Quesería!$B$11+$X$24)^D$43</f>
        <v>0.70224</v>
      </c>
      <c r="E1030" s="57" t="n">
        <f aca="false">(E993/$B$993)/(1+Quesería!$B$11+$X$24)^E$43</f>
        <v>0.58426368</v>
      </c>
      <c r="F1030" s="57" t="n">
        <f aca="false">(F993/$B$993)/(1+Quesería!$B$11+$X$24)^F$43</f>
        <v>0.48610738176</v>
      </c>
      <c r="G1030" s="57" t="n">
        <f aca="false">(G993/$B$993)/(1+Quesería!$B$11+$X$24)^G$43</f>
        <v>0.40444134162432</v>
      </c>
      <c r="H1030" s="57" t="n">
        <f aca="false">(H993/$B$993)/(1+Quesería!$B$11+$X$24)^H$43</f>
        <v>0.336495196231434</v>
      </c>
      <c r="I1030" s="57" t="n">
        <f aca="false">(I993/$B$993)/(1+Quesería!$B$11+$X$24)^I$43</f>
        <v>0.279964003264553</v>
      </c>
      <c r="J1030" s="57" t="n">
        <f aca="false">(J993/$B$993)/(1+Quesería!$B$11+$X$24)^J$43</f>
        <v>0.232930050716108</v>
      </c>
      <c r="K1030" s="57" t="n">
        <f aca="false">(K993/$B$993)/(1+Quesería!$B$11+$X$24)^K$43</f>
        <v>0.193797802195802</v>
      </c>
      <c r="L1030" s="57" t="n">
        <f aca="false">(L993/$B$993)/(1+Quesería!$B$11+$X$24)^L$43</f>
        <v>0.161239771426907</v>
      </c>
    </row>
    <row r="1031" customFormat="false" ht="15" hidden="true" customHeight="false" outlineLevel="1" collapsed="false">
      <c r="A1031" s="9" t="s">
        <v>439</v>
      </c>
      <c r="B1031" s="58" t="n">
        <f aca="false">B1013+B996+B998+B1027</f>
        <v>72.6953585018737</v>
      </c>
      <c r="C1031" s="58" t="n">
        <f aca="false">C1013+C996+C998+C1027</f>
        <v>304.278825459596</v>
      </c>
      <c r="D1031" s="58" t="n">
        <f aca="false">D1013+D996+D998+D1027</f>
        <v>484.761582468318</v>
      </c>
      <c r="E1031" s="58" t="n">
        <f aca="false">E1013+E996+E998+E1027</f>
        <v>387.042940467187</v>
      </c>
      <c r="F1031" s="58" t="n">
        <f aca="false">F1013+F996+F998+F1027</f>
        <v>378.420153134532</v>
      </c>
      <c r="G1031" s="58" t="n">
        <f aca="false">G1013+G996+G998+G1027</f>
        <v>338.818299175768</v>
      </c>
      <c r="H1031" s="58" t="n">
        <f aca="false">H1013+H996+H998+H1027</f>
        <v>315.46574086661</v>
      </c>
      <c r="I1031" s="58" t="n">
        <f aca="false">I1013+I996+I998+I1027</f>
        <v>358.089140642713</v>
      </c>
      <c r="J1031" s="58" t="n">
        <f aca="false">J1013+J996+J998+J1027</f>
        <v>340.24403232687</v>
      </c>
      <c r="K1031" s="58" t="n">
        <f aca="false">K1013+K996+K998+K1027</f>
        <v>335.477884901536</v>
      </c>
      <c r="L1031" s="58" t="n">
        <f aca="false">L1013+L996+L998+L1027</f>
        <v>427.427797536358</v>
      </c>
    </row>
    <row r="1032" customFormat="false" ht="15" hidden="true" customHeight="false" outlineLevel="1" collapsed="false">
      <c r="A1032" s="5" t="s">
        <v>149</v>
      </c>
      <c r="B1032" s="12" t="str">
        <f aca="false">IF(AND(B$43&gt;=1,(B1023+B1024+B1025)&gt;0.001),B1031/(B1023+B1024+B1025),"")</f>
        <v/>
      </c>
      <c r="C1032" s="12" t="n">
        <f aca="false">IF(AND(C$43&gt;=1,(C1023+C1024+C1025)&gt;0.001),C1031/(C1023+C1024+C1025),"")</f>
        <v>2.8553184960763</v>
      </c>
      <c r="D1032" s="12" t="n">
        <f aca="false">IF(AND(D$43&gt;=1,(D1023+D1024+D1025)&gt;0.001),D1031/(D1023+D1024+D1025),"")</f>
        <v>1.87731889437423</v>
      </c>
      <c r="E1032" s="12" t="n">
        <f aca="false">IF(AND(E$43&gt;=1,(E1023+E1024+E1025)&gt;0.001),E1031/(E1023+E1024+E1025),"")</f>
        <v>1.25846682217337</v>
      </c>
      <c r="F1032" s="12" t="n">
        <f aca="false">IF(AND(F$43&gt;=1,(F1023+F1024+F1025)&gt;0.001),F1031/(F1023+F1024+F1025),"")</f>
        <v>1.40281281173958</v>
      </c>
      <c r="G1032" s="12" t="n">
        <f aca="false">IF(AND(G$43&gt;=1,(G1023+G1024+G1025)&gt;0.001),G1031/(G1023+G1024+G1025),"")</f>
        <v>1.44536399923116</v>
      </c>
      <c r="H1032" s="12" t="n">
        <f aca="false">IF(AND(H$43&gt;=1,(H1023+H1024+H1025)&gt;0.001),H1031/(H1023+H1024+H1025),"")</f>
        <v>1.56639593431763</v>
      </c>
      <c r="I1032" s="12" t="n">
        <f aca="false">IF(AND(I$43&gt;=1,(I1023+I1024+I1025)&gt;0.001),I1031/(I1023+I1024+I1025),"")</f>
        <v>2.09939373742638</v>
      </c>
      <c r="J1032" s="12" t="n">
        <f aca="false">IF(AND(J$43&gt;=1,(J1023+J1024+J1025)&gt;0.001),J1031/(J1023+J1024+J1025),"")</f>
        <v>4.79867369096525</v>
      </c>
      <c r="K1032" s="12" t="str">
        <f aca="false">IF(AND(K$43&gt;=1,(K1023+K1024+K1025)&gt;0.001),K1031/(K1023+K1024+K1025),"")</f>
        <v/>
      </c>
      <c r="L1032" s="12" t="str">
        <f aca="false">IF(AND(L$43&gt;=1,(L1023+L1024+L1025)&gt;0.001),L1031/(L1023+L1024+L1025),"")</f>
        <v/>
      </c>
    </row>
    <row r="1034" customFormat="false" ht="15" hidden="false" customHeight="false" outlineLevel="0" collapsed="false">
      <c r="A1034" s="43" t="s">
        <v>172</v>
      </c>
      <c r="B1034" s="44"/>
      <c r="C1034" s="44"/>
      <c r="D1034" s="44"/>
      <c r="E1034" s="44"/>
      <c r="F1034" s="44"/>
      <c r="G1034" s="44"/>
      <c r="H1034" s="44"/>
      <c r="I1034" s="44"/>
      <c r="J1034" s="44"/>
      <c r="K1034" s="44"/>
      <c r="L1034" s="44"/>
    </row>
    <row r="1035" customFormat="false" ht="15" hidden="true" customHeight="false" outlineLevel="1" collapsed="false">
      <c r="A1035" s="9" t="s">
        <v>405</v>
      </c>
      <c r="B1035" s="56" t="n">
        <f aca="false">CHOOSE($Y$15,Entorno!B$7,Entorno!B$8,Entorno!B$9)</f>
        <v>0.06</v>
      </c>
      <c r="C1035" s="56" t="n">
        <f aca="false">CHOOSE($Y$15,Entorno!C$7,Entorno!C$8,Entorno!C$9)</f>
        <v>0.05</v>
      </c>
      <c r="D1035" s="56" t="n">
        <f aca="false">CHOOSE($Y$15,Entorno!D$7,Entorno!D$8,Entorno!D$9)</f>
        <v>0.045</v>
      </c>
      <c r="E1035" s="56" t="n">
        <f aca="false">CHOOSE($Y$15,Entorno!E$7,Entorno!E$8,Entorno!E$9)</f>
        <v>0.04</v>
      </c>
      <c r="F1035" s="56" t="n">
        <f aca="false">CHOOSE($Y$15,Entorno!F$7,Entorno!F$8,Entorno!F$9)</f>
        <v>0.04</v>
      </c>
      <c r="G1035" s="56" t="n">
        <f aca="false">CHOOSE($Y$15,Entorno!G$7,Entorno!G$8,Entorno!G$9)</f>
        <v>0.04</v>
      </c>
      <c r="H1035" s="56" t="n">
        <f aca="false">CHOOSE($Y$15,Entorno!H$7,Entorno!H$8,Entorno!H$9)</f>
        <v>0.04</v>
      </c>
      <c r="I1035" s="56" t="n">
        <f aca="false">CHOOSE($Y$15,Entorno!I$7,Entorno!I$8,Entorno!I$9)</f>
        <v>0.04</v>
      </c>
      <c r="J1035" s="56" t="n">
        <f aca="false">CHOOSE($Y$15,Entorno!J$7,Entorno!J$8,Entorno!J$9)</f>
        <v>0.04</v>
      </c>
      <c r="K1035" s="56" t="n">
        <f aca="false">CHOOSE($Y$15,Entorno!K$7,Entorno!K$8,Entorno!K$9)</f>
        <v>0.04</v>
      </c>
      <c r="L1035" s="56" t="n">
        <f aca="false">CHOOSE($Y$15,Entorno!L$7,Entorno!L$8,Entorno!L$9)</f>
        <v>0.04</v>
      </c>
    </row>
    <row r="1036" customFormat="false" ht="15" hidden="true" customHeight="false" outlineLevel="1" collapsed="false">
      <c r="A1036" s="9" t="s">
        <v>406</v>
      </c>
      <c r="B1036" s="57" t="n">
        <f aca="false">1+B1035</f>
        <v>1.06</v>
      </c>
      <c r="C1036" s="57" t="n">
        <f aca="false">B1036*(1+C1035)</f>
        <v>1.113</v>
      </c>
      <c r="D1036" s="57" t="n">
        <f aca="false">C1036*(1+D1035)</f>
        <v>1.163085</v>
      </c>
      <c r="E1036" s="57" t="n">
        <f aca="false">D1036*(1+E1035)</f>
        <v>1.2096084</v>
      </c>
      <c r="F1036" s="57" t="n">
        <f aca="false">E1036*(1+F1035)</f>
        <v>1.257992736</v>
      </c>
      <c r="G1036" s="57" t="n">
        <f aca="false">F1036*(1+G1035)</f>
        <v>1.30831244544</v>
      </c>
      <c r="H1036" s="57" t="n">
        <f aca="false">G1036*(1+H1035)</f>
        <v>1.3606449432576</v>
      </c>
      <c r="I1036" s="57" t="n">
        <f aca="false">H1036*(1+I1035)</f>
        <v>1.4150707409879</v>
      </c>
      <c r="J1036" s="57" t="n">
        <f aca="false">I1036*(1+J1035)</f>
        <v>1.47167357062742</v>
      </c>
      <c r="K1036" s="57" t="n">
        <f aca="false">J1036*(1+K1035)</f>
        <v>1.53054051345252</v>
      </c>
      <c r="L1036" s="57" t="n">
        <f aca="false">K1036*(1+L1035)</f>
        <v>1.59176213399062</v>
      </c>
    </row>
    <row r="1037" customFormat="false" ht="15" hidden="true" customHeight="false" outlineLevel="1" collapsed="false">
      <c r="A1037" s="9" t="s">
        <v>407</v>
      </c>
      <c r="B1037" s="57" t="n">
        <f aca="false">(1+$Y$16)/(1+B1035)</f>
        <v>1.02358490566038</v>
      </c>
      <c r="C1037" s="57" t="n">
        <f aca="false">B1037*(1+Entorno!$B$13)</f>
        <v>1.02870283018868</v>
      </c>
      <c r="D1037" s="57" t="n">
        <f aca="false">C1037*(1+Entorno!$B$13)</f>
        <v>1.03384634433962</v>
      </c>
      <c r="E1037" s="57" t="n">
        <f aca="false">D1037*(1+Entorno!$B$13)</f>
        <v>1.03901557606132</v>
      </c>
      <c r="F1037" s="57" t="n">
        <f aca="false">E1037*(1+Entorno!$B$13)</f>
        <v>1.04421065394163</v>
      </c>
      <c r="G1037" s="57" t="n">
        <f aca="false">F1037*(1+Entorno!$B$13)</f>
        <v>1.04943170721133</v>
      </c>
      <c r="H1037" s="57" t="n">
        <f aca="false">G1037*(1+Entorno!$B$13)</f>
        <v>1.05467886574739</v>
      </c>
      <c r="I1037" s="57" t="n">
        <f aca="false">H1037*(1+Entorno!$B$13)</f>
        <v>1.05995226007613</v>
      </c>
      <c r="J1037" s="57" t="n">
        <f aca="false">I1037*(1+Entorno!$B$13)</f>
        <v>1.06525202137651</v>
      </c>
      <c r="K1037" s="57" t="n">
        <f aca="false">J1037*(1+Entorno!$B$13)</f>
        <v>1.07057828148339</v>
      </c>
      <c r="L1037" s="57" t="n">
        <f aca="false">K1037*(1+Entorno!$B$13)</f>
        <v>1.07593117289081</v>
      </c>
    </row>
    <row r="1038" customFormat="false" ht="15" hidden="true" customHeight="false" outlineLevel="1" collapsed="false">
      <c r="A1038" s="9" t="s">
        <v>408</v>
      </c>
      <c r="B1038" s="57" t="n">
        <f aca="false">1/B1036</f>
        <v>0.943396226415094</v>
      </c>
      <c r="C1038" s="57" t="n">
        <f aca="false">1/C1036</f>
        <v>0.898472596585804</v>
      </c>
      <c r="D1038" s="57" t="n">
        <f aca="false">1/D1036</f>
        <v>0.859782389077324</v>
      </c>
      <c r="E1038" s="57" t="n">
        <f aca="false">1/E1036</f>
        <v>0.826713835651273</v>
      </c>
      <c r="F1038" s="57" t="n">
        <f aca="false">1/F1036</f>
        <v>0.794917149664686</v>
      </c>
      <c r="G1038" s="57" t="n">
        <f aca="false">1/G1036</f>
        <v>0.764343413139121</v>
      </c>
      <c r="H1038" s="57" t="n">
        <f aca="false">1/H1036</f>
        <v>0.734945589556847</v>
      </c>
      <c r="I1038" s="57" t="n">
        <f aca="false">1/I1036</f>
        <v>0.706678451496968</v>
      </c>
      <c r="J1038" s="57" t="n">
        <f aca="false">1/J1036</f>
        <v>0.679498511054777</v>
      </c>
      <c r="K1038" s="57" t="n">
        <f aca="false">1/K1036</f>
        <v>0.653363952937286</v>
      </c>
      <c r="L1038" s="57" t="n">
        <f aca="false">1/L1036</f>
        <v>0.628234570132006</v>
      </c>
    </row>
    <row r="1039" customFormat="false" ht="15" hidden="true" customHeight="false" outlineLevel="1" collapsed="false">
      <c r="A1039" s="6" t="s">
        <v>323</v>
      </c>
      <c r="B1039" s="29" t="n">
        <f aca="false">IF(B$43=0,Quesería!$F$92,IF(B$43=1,Quesería!$F$93*$Y$21,0))*$Y$11</f>
        <v>930.800239431677</v>
      </c>
      <c r="C1039" s="29" t="n">
        <f aca="false">IF(C$43=0,Quesería!$F$92,IF(C$43=1,Quesería!$F$93*$Y$21,0))*$Y$11</f>
        <v>0</v>
      </c>
      <c r="D1039" s="29" t="n">
        <f aca="false">IF(D$43=0,Quesería!$F$92,IF(D$43=1,Quesería!$F$93*$Y$21,0))*$Y$11</f>
        <v>0</v>
      </c>
      <c r="E1039" s="29" t="n">
        <f aca="false">IF(E$43=0,Quesería!$F$92,IF(E$43=1,Quesería!$F$93*$Y$21,0))*$Y$11</f>
        <v>0</v>
      </c>
      <c r="F1039" s="29" t="n">
        <f aca="false">IF(F$43=0,Quesería!$F$92,IF(F$43=1,Quesería!$F$93*$Y$21,0))*$Y$11</f>
        <v>0</v>
      </c>
      <c r="G1039" s="29" t="n">
        <f aca="false">IF(G$43=0,Quesería!$F$92,IF(G$43=1,Quesería!$F$93*$Y$21,0))*$Y$11</f>
        <v>0</v>
      </c>
      <c r="H1039" s="29" t="n">
        <f aca="false">IF(H$43=0,Quesería!$F$92,IF(H$43=1,Quesería!$F$93*$Y$21,0))*$Y$11</f>
        <v>0</v>
      </c>
      <c r="I1039" s="29" t="n">
        <f aca="false">IF(I$43=0,Quesería!$F$92,IF(I$43=1,Quesería!$F$93*$Y$21,0))*$Y$11</f>
        <v>0</v>
      </c>
      <c r="J1039" s="29" t="n">
        <f aca="false">IF(J$43=0,Quesería!$F$92,IF(J$43=1,Quesería!$F$93*$Y$21,0))*$Y$11</f>
        <v>0</v>
      </c>
      <c r="K1039" s="29" t="n">
        <f aca="false">IF(K$43=0,Quesería!$F$92,IF(K$43=1,Quesería!$F$93*$Y$21,0))*$Y$11</f>
        <v>0</v>
      </c>
      <c r="L1039" s="29" t="n">
        <f aca="false">IF(L$43=0,Quesería!$F$92,IF(L$43=1,Quesería!$F$93*$Y$21,0))*$Y$11</f>
        <v>0</v>
      </c>
    </row>
    <row r="1040" customFormat="false" ht="15" hidden="true" customHeight="false" outlineLevel="1" collapsed="false">
      <c r="A1040" s="6" t="s">
        <v>409</v>
      </c>
      <c r="B1040" s="29" t="n">
        <f aca="false">IF(B$43=5,Quesería!$F$99,IF(B$43=6,Quesería!$F$100,0))*$Y$11</f>
        <v>0</v>
      </c>
      <c r="C1040" s="29" t="n">
        <f aca="false">IF(C$43=5,Quesería!$F$99,IF(C$43=6,Quesería!$F$100,0))*$Y$11</f>
        <v>0</v>
      </c>
      <c r="D1040" s="29" t="n">
        <f aca="false">IF(D$43=5,Quesería!$F$99,IF(D$43=6,Quesería!$F$100,0))*$Y$11</f>
        <v>0</v>
      </c>
      <c r="E1040" s="29" t="n">
        <f aca="false">IF(E$43=5,Quesería!$F$99,IF(E$43=6,Quesería!$F$100,0))*$Y$11</f>
        <v>0</v>
      </c>
      <c r="F1040" s="29" t="n">
        <f aca="false">IF(F$43=5,Quesería!$F$99,IF(F$43=6,Quesería!$F$100,0))*$Y$11</f>
        <v>0</v>
      </c>
      <c r="G1040" s="29" t="n">
        <f aca="false">IF(G$43=5,Quesería!$F$99,IF(G$43=6,Quesería!$F$100,0))*$Y$11</f>
        <v>27.4652172688735</v>
      </c>
      <c r="H1040" s="29" t="n">
        <f aca="false">IF(H$43=5,Quesería!$F$99,IF(H$43=6,Quesería!$F$100,0))*$Y$11</f>
        <v>46.3891557109552</v>
      </c>
      <c r="I1040" s="29" t="n">
        <f aca="false">IF(I$43=5,Quesería!$F$99,IF(I$43=6,Quesería!$F$100,0))*$Y$11</f>
        <v>0</v>
      </c>
      <c r="J1040" s="29" t="n">
        <f aca="false">IF(J$43=5,Quesería!$F$99,IF(J$43=6,Quesería!$F$100,0))*$Y$11</f>
        <v>0</v>
      </c>
      <c r="K1040" s="29" t="n">
        <f aca="false">IF(K$43=5,Quesería!$F$99,IF(K$43=6,Quesería!$F$100,0))*$Y$11</f>
        <v>0</v>
      </c>
      <c r="L1040" s="29" t="n">
        <f aca="false">IF(L$43=5,Quesería!$F$99,IF(L$43=6,Quesería!$F$100,0))*$Y$11</f>
        <v>0</v>
      </c>
    </row>
    <row r="1041" customFormat="false" ht="15" hidden="true" customHeight="false" outlineLevel="1" collapsed="false">
      <c r="A1041" s="6" t="s">
        <v>410</v>
      </c>
      <c r="B1041" s="29" t="n">
        <f aca="false">Quesería!$B$55*(IF(B$43=0,SUMPRODUCT((Quesería!$C$70:$C$89=0)*(Quesería!$H$70:$H$89&gt;0)*(Quesería!$J$70:$J$89&gt;0)*Quesería!$F$70:$F$89*(1+Quesería!$I$70:$I$89)),IF(B$43=1,SUMPRODUCT((Quesería!$C$70:$C$89=1)*(Quesería!$H$70:$H$89&gt;0)*(Quesería!$J$70:$J$89&gt;0)*Quesería!$F$70:$F$89*(1+Quesería!$I$70:$I$89))*$Y$21,0))*$Y$11+B1040)</f>
        <v>149.115671560178</v>
      </c>
      <c r="C1041" s="29" t="n">
        <f aca="false">Quesería!$B$55*(IF(C$43=0,SUMPRODUCT((Quesería!$C$70:$C$89=0)*(Quesería!$H$70:$H$89&gt;0)*(Quesería!$J$70:$J$89&gt;0)*Quesería!$F$70:$F$89*(1+Quesería!$I$70:$I$89)),IF(C$43=1,SUMPRODUCT((Quesería!$C$70:$C$89=1)*(Quesería!$H$70:$H$89&gt;0)*(Quesería!$J$70:$J$89&gt;0)*Quesería!$F$70:$F$89*(1+Quesería!$I$70:$I$89))*$Y$21,0))*$Y$11+C1040)</f>
        <v>0</v>
      </c>
      <c r="D1041" s="29" t="n">
        <f aca="false">Quesería!$B$55*(IF(D$43=0,SUMPRODUCT((Quesería!$C$70:$C$89=0)*(Quesería!$H$70:$H$89&gt;0)*(Quesería!$J$70:$J$89&gt;0)*Quesería!$F$70:$F$89*(1+Quesería!$I$70:$I$89)),IF(D$43=1,SUMPRODUCT((Quesería!$C$70:$C$89=1)*(Quesería!$H$70:$H$89&gt;0)*(Quesería!$J$70:$J$89&gt;0)*Quesería!$F$70:$F$89*(1+Quesería!$I$70:$I$89))*$Y$21,0))*$Y$11+D1040)</f>
        <v>0</v>
      </c>
      <c r="E1041" s="29" t="n">
        <f aca="false">Quesería!$B$55*(IF(E$43=0,SUMPRODUCT((Quesería!$C$70:$C$89=0)*(Quesería!$H$70:$H$89&gt;0)*(Quesería!$J$70:$J$89&gt;0)*Quesería!$F$70:$F$89*(1+Quesería!$I$70:$I$89)),IF(E$43=1,SUMPRODUCT((Quesería!$C$70:$C$89=1)*(Quesería!$H$70:$H$89&gt;0)*(Quesería!$J$70:$J$89&gt;0)*Quesería!$F$70:$F$89*(1+Quesería!$I$70:$I$89))*$Y$21,0))*$Y$11+E1040)</f>
        <v>0</v>
      </c>
      <c r="F1041" s="29" t="n">
        <f aca="false">Quesería!$B$55*(IF(F$43=0,SUMPRODUCT((Quesería!$C$70:$C$89=0)*(Quesería!$H$70:$H$89&gt;0)*(Quesería!$J$70:$J$89&gt;0)*Quesería!$F$70:$F$89*(1+Quesería!$I$70:$I$89)),IF(F$43=1,SUMPRODUCT((Quesería!$C$70:$C$89=1)*(Quesería!$H$70:$H$89&gt;0)*(Quesería!$J$70:$J$89&gt;0)*Quesería!$F$70:$F$89*(1+Quesería!$I$70:$I$89))*$Y$21,0))*$Y$11+F1040)</f>
        <v>0</v>
      </c>
      <c r="G1041" s="29" t="n">
        <f aca="false">Quesería!$B$55*(IF(G$43=0,SUMPRODUCT((Quesería!$C$70:$C$89=0)*(Quesería!$H$70:$H$89&gt;0)*(Quesería!$J$70:$J$89&gt;0)*Quesería!$F$70:$F$89*(1+Quesería!$I$70:$I$89)),IF(G$43=1,SUMPRODUCT((Quesería!$C$70:$C$89=1)*(Quesería!$H$70:$H$89&gt;0)*(Quesería!$J$70:$J$89&gt;0)*Quesería!$F$70:$F$89*(1+Quesería!$I$70:$I$89))*$Y$21,0))*$Y$11+G1040)</f>
        <v>5.21839128108597</v>
      </c>
      <c r="H1041" s="29" t="n">
        <f aca="false">Quesería!$B$55*(IF(H$43=0,SUMPRODUCT((Quesería!$C$70:$C$89=0)*(Quesería!$H$70:$H$89&gt;0)*(Quesería!$J$70:$J$89&gt;0)*Quesería!$F$70:$F$89*(1+Quesería!$I$70:$I$89)),IF(H$43=1,SUMPRODUCT((Quesería!$C$70:$C$89=1)*(Quesería!$H$70:$H$89&gt;0)*(Quesería!$J$70:$J$89&gt;0)*Quesería!$F$70:$F$89*(1+Quesería!$I$70:$I$89))*$Y$21,0))*$Y$11+H1040)</f>
        <v>8.8139395850815</v>
      </c>
      <c r="I1041" s="29" t="n">
        <f aca="false">Quesería!$B$55*(IF(I$43=0,SUMPRODUCT((Quesería!$C$70:$C$89=0)*(Quesería!$H$70:$H$89&gt;0)*(Quesería!$J$70:$J$89&gt;0)*Quesería!$F$70:$F$89*(1+Quesería!$I$70:$I$89)),IF(I$43=1,SUMPRODUCT((Quesería!$C$70:$C$89=1)*(Quesería!$H$70:$H$89&gt;0)*(Quesería!$J$70:$J$89&gt;0)*Quesería!$F$70:$F$89*(1+Quesería!$I$70:$I$89))*$Y$21,0))*$Y$11+I1040)</f>
        <v>0</v>
      </c>
      <c r="J1041" s="29" t="n">
        <f aca="false">Quesería!$B$55*(IF(J$43=0,SUMPRODUCT((Quesería!$C$70:$C$89=0)*(Quesería!$H$70:$H$89&gt;0)*(Quesería!$J$70:$J$89&gt;0)*Quesería!$F$70:$F$89*(1+Quesería!$I$70:$I$89)),IF(J$43=1,SUMPRODUCT((Quesería!$C$70:$C$89=1)*(Quesería!$H$70:$H$89&gt;0)*(Quesería!$J$70:$J$89&gt;0)*Quesería!$F$70:$F$89*(1+Quesería!$I$70:$I$89))*$Y$21,0))*$Y$11+J1040)</f>
        <v>0</v>
      </c>
      <c r="K1041" s="29" t="n">
        <f aca="false">Quesería!$B$55*(IF(K$43=0,SUMPRODUCT((Quesería!$C$70:$C$89=0)*(Quesería!$H$70:$H$89&gt;0)*(Quesería!$J$70:$J$89&gt;0)*Quesería!$F$70:$F$89*(1+Quesería!$I$70:$I$89)),IF(K$43=1,SUMPRODUCT((Quesería!$C$70:$C$89=1)*(Quesería!$H$70:$H$89&gt;0)*(Quesería!$J$70:$J$89&gt;0)*Quesería!$F$70:$F$89*(1+Quesería!$I$70:$I$89))*$Y$21,0))*$Y$11+K1040)</f>
        <v>0</v>
      </c>
      <c r="L1041" s="29" t="n">
        <f aca="false">Quesería!$B$55*(IF(L$43=0,SUMPRODUCT((Quesería!$C$70:$C$89=0)*(Quesería!$H$70:$H$89&gt;0)*(Quesería!$J$70:$J$89&gt;0)*Quesería!$F$70:$F$89*(1+Quesería!$I$70:$I$89)),IF(L$43=1,SUMPRODUCT((Quesería!$C$70:$C$89=1)*(Quesería!$H$70:$H$89&gt;0)*(Quesería!$J$70:$J$89&gt;0)*Quesería!$F$70:$F$89*(1+Quesería!$I$70:$I$89))*$Y$21,0))*$Y$11+L1040)</f>
        <v>0</v>
      </c>
    </row>
    <row r="1042" customFormat="false" ht="15" hidden="true" customHeight="false" outlineLevel="1" collapsed="false">
      <c r="A1042" s="6" t="s">
        <v>385</v>
      </c>
      <c r="B1042" s="29" t="n">
        <f aca="false">IF(B$43=0,($Y$22*Quesería!$J$125+(1-$Y$22)*Quesería!$E$121)*Quesería!$B$20*Quesería!$B$21/12*$Y$23,(($Y$22*Quesería!$J$125+(1-$Y$22)*Quesería!$E$121)+($Y$22*Quesería!$J$104+(1-$Y$22)*Quesería!$E$104)*(B1037-1))*IF(B$43=1,Quesería!$B$20,1))*$Y$10</f>
        <v>120.716772261203</v>
      </c>
      <c r="C1042" s="29" t="n">
        <f aca="false">IF(C$43=0,($Y$22*Quesería!$J$125+(1-$Y$22)*Quesería!$E$121)*Quesería!$B$20*Quesería!$B$21/12*$Y$23,(($Y$22*Quesería!$J$125+(1-$Y$22)*Quesería!$E$121)+($Y$22*Quesería!$J$104+(1-$Y$22)*Quesería!$E$104)*(C1037-1))*IF(C$43=1,Quesería!$B$20,1))*$Y$10</f>
        <v>181.328317354069</v>
      </c>
      <c r="D1042" s="29" t="n">
        <f aca="false">IF(D$43=0,($Y$22*Quesería!$J$125+(1-$Y$22)*Quesería!$E$121)*Quesería!$B$20*Quesería!$B$21/12*$Y$23,(($Y$22*Quesería!$J$125+(1-$Y$22)*Quesería!$E$121)+($Y$22*Quesería!$J$104+(1-$Y$22)*Quesería!$E$104)*(D1037-1))*IF(D$43=1,Quesería!$B$20,1))*$Y$10</f>
        <v>241.83157753184</v>
      </c>
      <c r="E1042" s="29" t="n">
        <f aca="false">IF(E$43=0,($Y$22*Quesería!$J$125+(1-$Y$22)*Quesería!$E$121)*Quesería!$B$20*Quesería!$B$21/12*$Y$23,(($Y$22*Quesería!$J$125+(1-$Y$22)*Quesería!$E$121)+($Y$22*Quesería!$J$104+(1-$Y$22)*Quesería!$E$104)*(E1037-1))*IF(E$43=1,Quesería!$B$20,1))*$Y$10</f>
        <v>241.892367696887</v>
      </c>
      <c r="F1042" s="29" t="n">
        <f aca="false">IF(F$43=0,($Y$22*Quesería!$J$125+(1-$Y$22)*Quesería!$E$121)*Quesería!$B$20*Quesería!$B$21/12*$Y$23,(($Y$22*Quesería!$J$125+(1-$Y$22)*Quesería!$E$121)+($Y$22*Quesería!$J$104+(1-$Y$22)*Quesería!$E$104)*(F1037-1))*IF(F$43=1,Quesería!$B$20,1))*$Y$10</f>
        <v>241.95346181276</v>
      </c>
      <c r="G1042" s="29" t="n">
        <f aca="false">IF(G$43=0,($Y$22*Quesería!$J$125+(1-$Y$22)*Quesería!$E$121)*Quesería!$B$20*Quesería!$B$21/12*$Y$23,(($Y$22*Quesería!$J$125+(1-$Y$22)*Quesería!$E$121)+($Y$22*Quesería!$J$104+(1-$Y$22)*Quesería!$E$104)*(G1037-1))*IF(G$43=1,Quesería!$B$20,1))*$Y$10</f>
        <v>242.014861399211</v>
      </c>
      <c r="H1042" s="29" t="n">
        <f aca="false">IF(H$43=0,($Y$22*Quesería!$J$125+(1-$Y$22)*Quesería!$E$121)*Quesería!$B$20*Quesería!$B$21/12*$Y$23,(($Y$22*Quesería!$J$125+(1-$Y$22)*Quesería!$E$121)+($Y$22*Quesería!$J$104+(1-$Y$22)*Quesería!$E$104)*(H1037-1))*IF(H$43=1,Quesería!$B$20,1))*$Y$10</f>
        <v>242.076567983595</v>
      </c>
      <c r="I1042" s="29" t="n">
        <f aca="false">IF(I$43=0,($Y$22*Quesería!$J$125+(1-$Y$22)*Quesería!$E$121)*Quesería!$B$20*Quesería!$B$21/12*$Y$23,(($Y$22*Quesería!$J$125+(1-$Y$22)*Quesería!$E$121)+($Y$22*Quesería!$J$104+(1-$Y$22)*Quesería!$E$104)*(I1037-1))*IF(I$43=1,Quesería!$B$20,1))*$Y$10</f>
        <v>242.138583100901</v>
      </c>
      <c r="J1042" s="29" t="n">
        <f aca="false">IF(J$43=0,($Y$22*Quesería!$J$125+(1-$Y$22)*Quesería!$E$121)*Quesería!$B$20*Quesería!$B$21/12*$Y$23,(($Y$22*Quesería!$J$125+(1-$Y$22)*Quesería!$E$121)+($Y$22*Quesería!$J$104+(1-$Y$22)*Quesería!$E$104)*(J1037-1))*IF(J$43=1,Quesería!$B$20,1))*$Y$10</f>
        <v>242.200908293794</v>
      </c>
      <c r="K1042" s="29" t="n">
        <f aca="false">IF(K$43=0,($Y$22*Quesería!$J$125+(1-$Y$22)*Quesería!$E$121)*Quesería!$B$20*Quesería!$B$21/12*$Y$23,(($Y$22*Quesería!$J$125+(1-$Y$22)*Quesería!$E$121)+($Y$22*Quesería!$J$104+(1-$Y$22)*Quesería!$E$104)*(K1037-1))*IF(K$43=1,Quesería!$B$20,1))*$Y$10</f>
        <v>242.263545112651</v>
      </c>
      <c r="L1042" s="29" t="n">
        <f aca="false">IF(L$43=0,($Y$22*Quesería!$J$125+(1-$Y$22)*Quesería!$E$121)*Quesería!$B$20*Quesería!$B$21/12*$Y$23,(($Y$22*Quesería!$J$125+(1-$Y$22)*Quesería!$E$121)+($Y$22*Quesería!$J$104+(1-$Y$22)*Quesería!$E$104)*(L1037-1))*IF(L$43=1,Quesería!$B$20,1))*$Y$10</f>
        <v>242.326495115602</v>
      </c>
    </row>
    <row r="1043" customFormat="false" ht="15" hidden="true" customHeight="false" outlineLevel="1" collapsed="false">
      <c r="A1043" s="6" t="s">
        <v>386</v>
      </c>
      <c r="B1043" s="29" t="n">
        <f aca="false">IF(B$43&lt;=1,0,((($Y$22*Quesería!$J$126+(1-$Y$22)*Quesería!$E$122)-($Y$22*Quesería!$J$113+(1-$Y$22)*Quesería!$E$113)+$Y$6*($Y$22*Quesería!$J$113+(1-$Y$22)*Quesería!$E$113)-(1-$Y$9)*(($Y$22*Quesería!$J$118+(1-$Y$22)*Quesería!$E$118)+($Y$22*Quesería!$J$117+(1-$Y$22)*Quesería!$E$117)))+($Y$6*($Y$22*Quesería!$J$113+(1-$Y$22)*Quesería!$E$113)+$Y$9*($Y$22*Quesería!$J$118+(1-$Y$22)*Quesería!$E$118))*(B1037-1))*IF(B$43=2,Quesería!$B$20,1)+IF(B$43=2,Quesería!$B$24*$Y$9*($Y$22*Quesería!$J$118+(1-$Y$22)*Quesería!$E$118)*B1037,0))*$Y$10*$Y$21</f>
        <v>0</v>
      </c>
      <c r="C1043" s="29" t="n">
        <f aca="false">IF(C$43&lt;=1,0,((($Y$22*Quesería!$J$126+(1-$Y$22)*Quesería!$E$122)-($Y$22*Quesería!$J$113+(1-$Y$22)*Quesería!$E$113)+$Y$6*($Y$22*Quesería!$J$113+(1-$Y$22)*Quesería!$E$113)-(1-$Y$9)*(($Y$22*Quesería!$J$118+(1-$Y$22)*Quesería!$E$118)+($Y$22*Quesería!$J$117+(1-$Y$22)*Quesería!$E$117)))+($Y$6*($Y$22*Quesería!$J$113+(1-$Y$22)*Quesería!$E$113)+$Y$9*($Y$22*Quesería!$J$118+(1-$Y$22)*Quesería!$E$118))*(C1037-1))*IF(C$43=2,Quesería!$B$20,1)+IF(C$43=2,Quesería!$B$24*$Y$9*($Y$22*Quesería!$J$118+(1-$Y$22)*Quesería!$E$118)*C1037,0))*$Y$10*$Y$21</f>
        <v>0</v>
      </c>
      <c r="D1043" s="29" t="n">
        <f aca="false">IF(D$43&lt;=1,0,((($Y$22*Quesería!$J$126+(1-$Y$22)*Quesería!$E$122)-($Y$22*Quesería!$J$113+(1-$Y$22)*Quesería!$E$113)+$Y$6*($Y$22*Quesería!$J$113+(1-$Y$22)*Quesería!$E$113)-(1-$Y$9)*(($Y$22*Quesería!$J$118+(1-$Y$22)*Quesería!$E$118)+($Y$22*Quesería!$J$117+(1-$Y$22)*Quesería!$E$117)))+($Y$6*($Y$22*Quesería!$J$113+(1-$Y$22)*Quesería!$E$113)+$Y$9*($Y$22*Quesería!$J$118+(1-$Y$22)*Quesería!$E$118))*(D1037-1))*IF(D$43=2,Quesería!$B$20,1)+IF(D$43=2,Quesería!$B$24*$Y$9*($Y$22*Quesería!$J$118+(1-$Y$22)*Quesería!$E$118)*D1037,0))*$Y$10*$Y$21</f>
        <v>0</v>
      </c>
      <c r="E1043" s="29" t="n">
        <f aca="false">IF(E$43&lt;=1,0,((($Y$22*Quesería!$J$126+(1-$Y$22)*Quesería!$E$122)-($Y$22*Quesería!$J$113+(1-$Y$22)*Quesería!$E$113)+$Y$6*($Y$22*Quesería!$J$113+(1-$Y$22)*Quesería!$E$113)-(1-$Y$9)*(($Y$22*Quesería!$J$118+(1-$Y$22)*Quesería!$E$118)+($Y$22*Quesería!$J$117+(1-$Y$22)*Quesería!$E$117)))+($Y$6*($Y$22*Quesería!$J$113+(1-$Y$22)*Quesería!$E$113)+$Y$9*($Y$22*Quesería!$J$118+(1-$Y$22)*Quesería!$E$118))*(E1037-1))*IF(E$43=2,Quesería!$B$20,1)+IF(E$43=2,Quesería!$B$24*$Y$9*($Y$22*Quesería!$J$118+(1-$Y$22)*Quesería!$E$118)*E1037,0))*$Y$10*$Y$21</f>
        <v>0</v>
      </c>
      <c r="F1043" s="29" t="n">
        <f aca="false">IF(F$43&lt;=1,0,((($Y$22*Quesería!$J$126+(1-$Y$22)*Quesería!$E$122)-($Y$22*Quesería!$J$113+(1-$Y$22)*Quesería!$E$113)+$Y$6*($Y$22*Quesería!$J$113+(1-$Y$22)*Quesería!$E$113)-(1-$Y$9)*(($Y$22*Quesería!$J$118+(1-$Y$22)*Quesería!$E$118)+($Y$22*Quesería!$J$117+(1-$Y$22)*Quesería!$E$117)))+($Y$6*($Y$22*Quesería!$J$113+(1-$Y$22)*Quesería!$E$113)+$Y$9*($Y$22*Quesería!$J$118+(1-$Y$22)*Quesería!$E$118))*(F1037-1))*IF(F$43=2,Quesería!$B$20,1)+IF(F$43=2,Quesería!$B$24*$Y$9*($Y$22*Quesería!$J$118+(1-$Y$22)*Quesería!$E$118)*F1037,0))*$Y$10*$Y$21</f>
        <v>0</v>
      </c>
      <c r="G1043" s="29" t="n">
        <f aca="false">IF(G$43&lt;=1,0,((($Y$22*Quesería!$J$126+(1-$Y$22)*Quesería!$E$122)-($Y$22*Quesería!$J$113+(1-$Y$22)*Quesería!$E$113)+$Y$6*($Y$22*Quesería!$J$113+(1-$Y$22)*Quesería!$E$113)-(1-$Y$9)*(($Y$22*Quesería!$J$118+(1-$Y$22)*Quesería!$E$118)+($Y$22*Quesería!$J$117+(1-$Y$22)*Quesería!$E$117)))+($Y$6*($Y$22*Quesería!$J$113+(1-$Y$22)*Quesería!$E$113)+$Y$9*($Y$22*Quesería!$J$118+(1-$Y$22)*Quesería!$E$118))*(G1037-1))*IF(G$43=2,Quesería!$B$20,1)+IF(G$43=2,Quesería!$B$24*$Y$9*($Y$22*Quesería!$J$118+(1-$Y$22)*Quesería!$E$118)*G1037,0))*$Y$10*$Y$21</f>
        <v>0</v>
      </c>
      <c r="H1043" s="29" t="n">
        <f aca="false">IF(H$43&lt;=1,0,((($Y$22*Quesería!$J$126+(1-$Y$22)*Quesería!$E$122)-($Y$22*Quesería!$J$113+(1-$Y$22)*Quesería!$E$113)+$Y$6*($Y$22*Quesería!$J$113+(1-$Y$22)*Quesería!$E$113)-(1-$Y$9)*(($Y$22*Quesería!$J$118+(1-$Y$22)*Quesería!$E$118)+($Y$22*Quesería!$J$117+(1-$Y$22)*Quesería!$E$117)))+($Y$6*($Y$22*Quesería!$J$113+(1-$Y$22)*Quesería!$E$113)+$Y$9*($Y$22*Quesería!$J$118+(1-$Y$22)*Quesería!$E$118))*(H1037-1))*IF(H$43=2,Quesería!$B$20,1)+IF(H$43=2,Quesería!$B$24*$Y$9*($Y$22*Quesería!$J$118+(1-$Y$22)*Quesería!$E$118)*H1037,0))*$Y$10*$Y$21</f>
        <v>0</v>
      </c>
      <c r="I1043" s="29" t="n">
        <f aca="false">IF(I$43&lt;=1,0,((($Y$22*Quesería!$J$126+(1-$Y$22)*Quesería!$E$122)-($Y$22*Quesería!$J$113+(1-$Y$22)*Quesería!$E$113)+$Y$6*($Y$22*Quesería!$J$113+(1-$Y$22)*Quesería!$E$113)-(1-$Y$9)*(($Y$22*Quesería!$J$118+(1-$Y$22)*Quesería!$E$118)+($Y$22*Quesería!$J$117+(1-$Y$22)*Quesería!$E$117)))+($Y$6*($Y$22*Quesería!$J$113+(1-$Y$22)*Quesería!$E$113)+$Y$9*($Y$22*Quesería!$J$118+(1-$Y$22)*Quesería!$E$118))*(I1037-1))*IF(I$43=2,Quesería!$B$20,1)+IF(I$43=2,Quesería!$B$24*$Y$9*($Y$22*Quesería!$J$118+(1-$Y$22)*Quesería!$E$118)*I1037,0))*$Y$10*$Y$21</f>
        <v>0</v>
      </c>
      <c r="J1043" s="29" t="n">
        <f aca="false">IF(J$43&lt;=1,0,((($Y$22*Quesería!$J$126+(1-$Y$22)*Quesería!$E$122)-($Y$22*Quesería!$J$113+(1-$Y$22)*Quesería!$E$113)+$Y$6*($Y$22*Quesería!$J$113+(1-$Y$22)*Quesería!$E$113)-(1-$Y$9)*(($Y$22*Quesería!$J$118+(1-$Y$22)*Quesería!$E$118)+($Y$22*Quesería!$J$117+(1-$Y$22)*Quesería!$E$117)))+($Y$6*($Y$22*Quesería!$J$113+(1-$Y$22)*Quesería!$E$113)+$Y$9*($Y$22*Quesería!$J$118+(1-$Y$22)*Quesería!$E$118))*(J1037-1))*IF(J$43=2,Quesería!$B$20,1)+IF(J$43=2,Quesería!$B$24*$Y$9*($Y$22*Quesería!$J$118+(1-$Y$22)*Quesería!$E$118)*J1037,0))*$Y$10*$Y$21</f>
        <v>0</v>
      </c>
      <c r="K1043" s="29" t="n">
        <f aca="false">IF(K$43&lt;=1,0,((($Y$22*Quesería!$J$126+(1-$Y$22)*Quesería!$E$122)-($Y$22*Quesería!$J$113+(1-$Y$22)*Quesería!$E$113)+$Y$6*($Y$22*Quesería!$J$113+(1-$Y$22)*Quesería!$E$113)-(1-$Y$9)*(($Y$22*Quesería!$J$118+(1-$Y$22)*Quesería!$E$118)+($Y$22*Quesería!$J$117+(1-$Y$22)*Quesería!$E$117)))+($Y$6*($Y$22*Quesería!$J$113+(1-$Y$22)*Quesería!$E$113)+$Y$9*($Y$22*Quesería!$J$118+(1-$Y$22)*Quesería!$E$118))*(K1037-1))*IF(K$43=2,Quesería!$B$20,1)+IF(K$43=2,Quesería!$B$24*$Y$9*($Y$22*Quesería!$J$118+(1-$Y$22)*Quesería!$E$118)*K1037,0))*$Y$10*$Y$21</f>
        <v>0</v>
      </c>
      <c r="L1043" s="29" t="n">
        <f aca="false">IF(L$43&lt;=1,0,((($Y$22*Quesería!$J$126+(1-$Y$22)*Quesería!$E$122)-($Y$22*Quesería!$J$113+(1-$Y$22)*Quesería!$E$113)+$Y$6*($Y$22*Quesería!$J$113+(1-$Y$22)*Quesería!$E$113)-(1-$Y$9)*(($Y$22*Quesería!$J$118+(1-$Y$22)*Quesería!$E$118)+($Y$22*Quesería!$J$117+(1-$Y$22)*Quesería!$E$117)))+($Y$6*($Y$22*Quesería!$J$113+(1-$Y$22)*Quesería!$E$113)+$Y$9*($Y$22*Quesería!$J$118+(1-$Y$22)*Quesería!$E$118))*(L1037-1))*IF(L$43=2,Quesería!$B$20,1)+IF(L$43=2,Quesería!$B$24*$Y$9*($Y$22*Quesería!$J$118+(1-$Y$22)*Quesería!$E$118)*L1037,0))*$Y$10*$Y$21</f>
        <v>0</v>
      </c>
    </row>
    <row r="1044" customFormat="false" ht="15" hidden="true" customHeight="false" outlineLevel="1" collapsed="false">
      <c r="A1044" s="5" t="s">
        <v>411</v>
      </c>
      <c r="B1044" s="10" t="n">
        <f aca="false">B1042+B1043</f>
        <v>120.716772261203</v>
      </c>
      <c r="C1044" s="10" t="n">
        <f aca="false">C1042+C1043</f>
        <v>181.328317354069</v>
      </c>
      <c r="D1044" s="10" t="n">
        <f aca="false">D1042+D1043</f>
        <v>241.83157753184</v>
      </c>
      <c r="E1044" s="10" t="n">
        <f aca="false">E1042+E1043</f>
        <v>241.892367696887</v>
      </c>
      <c r="F1044" s="10" t="n">
        <f aca="false">F1042+F1043</f>
        <v>241.95346181276</v>
      </c>
      <c r="G1044" s="10" t="n">
        <f aca="false">G1042+G1043</f>
        <v>242.014861399211</v>
      </c>
      <c r="H1044" s="10" t="n">
        <f aca="false">H1042+H1043</f>
        <v>242.076567983595</v>
      </c>
      <c r="I1044" s="10" t="n">
        <f aca="false">I1042+I1043</f>
        <v>242.138583100901</v>
      </c>
      <c r="J1044" s="10" t="n">
        <f aca="false">J1042+J1043</f>
        <v>242.200908293794</v>
      </c>
      <c r="K1044" s="10" t="n">
        <f aca="false">K1042+K1043</f>
        <v>242.263545112651</v>
      </c>
      <c r="L1044" s="10" t="n">
        <f aca="false">L1042+L1043</f>
        <v>242.326495115602</v>
      </c>
    </row>
    <row r="1045" customFormat="false" ht="15" hidden="true" customHeight="false" outlineLevel="1" collapsed="false">
      <c r="A1045" s="6" t="s">
        <v>412</v>
      </c>
      <c r="B1045" s="29" t="n">
        <f aca="false">(IF(B$43&gt;=1,(Quesería!$B$31+Quesería!$B$33)*Quesería!$F$94*$Y$11+Quesería!$B$32+'Beneficios y costos'!$B$211,0)+IF(B$43&gt;=2,((Quesería!$B$31+Quesería!$B$33)*Quesería!$F$95*$Y$11+'Beneficios y costos'!$C$211)*$Y$21,0))*$Y$12</f>
        <v>0</v>
      </c>
      <c r="C1045" s="29" t="n">
        <f aca="false">(IF(C$43&gt;=1,(Quesería!$B$31+Quesería!$B$33)*Quesería!$F$94*$Y$11+Quesería!$B$32+'Beneficios y costos'!$B$211,0)+IF(C$43&gt;=2,((Quesería!$B$31+Quesería!$B$33)*Quesería!$F$95*$Y$11+'Beneficios y costos'!$C$211)*$Y$21,0))*$Y$12</f>
        <v>42.0946487260605</v>
      </c>
      <c r="D1045" s="29" t="n">
        <f aca="false">(IF(D$43&gt;=1,(Quesería!$B$31+Quesería!$B$33)*Quesería!$F$94*$Y$11+Quesería!$B$32+'Beneficios y costos'!$B$211,0)+IF(D$43&gt;=2,((Quesería!$B$31+Quesería!$B$33)*Quesería!$F$95*$Y$11+'Beneficios y costos'!$C$211)*$Y$21,0))*$Y$12</f>
        <v>42.0946487260605</v>
      </c>
      <c r="E1045" s="29" t="n">
        <f aca="false">(IF(E$43&gt;=1,(Quesería!$B$31+Quesería!$B$33)*Quesería!$F$94*$Y$11+Quesería!$B$32+'Beneficios y costos'!$B$211,0)+IF(E$43&gt;=2,((Quesería!$B$31+Quesería!$B$33)*Quesería!$F$95*$Y$11+'Beneficios y costos'!$C$211)*$Y$21,0))*$Y$12</f>
        <v>42.0946487260605</v>
      </c>
      <c r="F1045" s="29" t="n">
        <f aca="false">(IF(F$43&gt;=1,(Quesería!$B$31+Quesería!$B$33)*Quesería!$F$94*$Y$11+Quesería!$B$32+'Beneficios y costos'!$B$211,0)+IF(F$43&gt;=2,((Quesería!$B$31+Quesería!$B$33)*Quesería!$F$95*$Y$11+'Beneficios y costos'!$C$211)*$Y$21,0))*$Y$12</f>
        <v>42.0946487260605</v>
      </c>
      <c r="G1045" s="29" t="n">
        <f aca="false">(IF(G$43&gt;=1,(Quesería!$B$31+Quesería!$B$33)*Quesería!$F$94*$Y$11+Quesería!$B$32+'Beneficios y costos'!$B$211,0)+IF(G$43&gt;=2,((Quesería!$B$31+Quesería!$B$33)*Quesería!$F$95*$Y$11+'Beneficios y costos'!$C$211)*$Y$21,0))*$Y$12</f>
        <v>42.0946487260605</v>
      </c>
      <c r="H1045" s="29" t="n">
        <f aca="false">(IF(H$43&gt;=1,(Quesería!$B$31+Quesería!$B$33)*Quesería!$F$94*$Y$11+Quesería!$B$32+'Beneficios y costos'!$B$211,0)+IF(H$43&gt;=2,((Quesería!$B$31+Quesería!$B$33)*Quesería!$F$95*$Y$11+'Beneficios y costos'!$C$211)*$Y$21,0))*$Y$12</f>
        <v>42.0946487260605</v>
      </c>
      <c r="I1045" s="29" t="n">
        <f aca="false">(IF(I$43&gt;=1,(Quesería!$B$31+Quesería!$B$33)*Quesería!$F$94*$Y$11+Quesería!$B$32+'Beneficios y costos'!$B$211,0)+IF(I$43&gt;=2,((Quesería!$B$31+Quesería!$B$33)*Quesería!$F$95*$Y$11+'Beneficios y costos'!$C$211)*$Y$21,0))*$Y$12</f>
        <v>42.0946487260605</v>
      </c>
      <c r="J1045" s="29" t="n">
        <f aca="false">(IF(J$43&gt;=1,(Quesería!$B$31+Quesería!$B$33)*Quesería!$F$94*$Y$11+Quesería!$B$32+'Beneficios y costos'!$B$211,0)+IF(J$43&gt;=2,((Quesería!$B$31+Quesería!$B$33)*Quesería!$F$95*$Y$11+'Beneficios y costos'!$C$211)*$Y$21,0))*$Y$12</f>
        <v>42.0946487260605</v>
      </c>
      <c r="K1045" s="29" t="n">
        <f aca="false">(IF(K$43&gt;=1,(Quesería!$B$31+Quesería!$B$33)*Quesería!$F$94*$Y$11+Quesería!$B$32+'Beneficios y costos'!$B$211,0)+IF(K$43&gt;=2,((Quesería!$B$31+Quesería!$B$33)*Quesería!$F$95*$Y$11+'Beneficios y costos'!$C$211)*$Y$21,0))*$Y$12</f>
        <v>42.0946487260605</v>
      </c>
      <c r="L1045" s="29" t="n">
        <f aca="false">(IF(L$43&gt;=1,(Quesería!$B$31+Quesería!$B$33)*Quesería!$F$94*$Y$11+Quesería!$B$32+'Beneficios y costos'!$B$211,0)+IF(L$43&gt;=2,((Quesería!$B$31+Quesería!$B$33)*Quesería!$F$95*$Y$11+'Beneficios y costos'!$C$211)*$Y$21,0))*$Y$12</f>
        <v>42.0946487260605</v>
      </c>
    </row>
    <row r="1046" customFormat="false" ht="15" hidden="true" customHeight="false" outlineLevel="1" collapsed="false">
      <c r="A1046" s="6" t="s">
        <v>413</v>
      </c>
      <c r="B1046" s="29" t="n">
        <f aca="false">IF(B$43=1,2*Quesería!$B$22*Quesería!$B$23/12*B1037,0)*$Y$21</f>
        <v>0</v>
      </c>
      <c r="C1046" s="29" t="n">
        <f aca="false">IF(C$43=1,2*Quesería!$B$22*Quesería!$B$23/12*C1037,0)*$Y$21</f>
        <v>0</v>
      </c>
      <c r="D1046" s="29" t="n">
        <f aca="false">IF(D$43=1,2*Quesería!$B$22*Quesería!$B$23/12*D1037,0)*$Y$21</f>
        <v>0</v>
      </c>
      <c r="E1046" s="29" t="n">
        <f aca="false">IF(E$43=1,2*Quesería!$B$22*Quesería!$B$23/12*E1037,0)*$Y$21</f>
        <v>0</v>
      </c>
      <c r="F1046" s="29" t="n">
        <f aca="false">IF(F$43=1,2*Quesería!$B$22*Quesería!$B$23/12*F1037,0)*$Y$21</f>
        <v>0</v>
      </c>
      <c r="G1046" s="29" t="n">
        <f aca="false">IF(G$43=1,2*Quesería!$B$22*Quesería!$B$23/12*G1037,0)*$Y$21</f>
        <v>0</v>
      </c>
      <c r="H1046" s="29" t="n">
        <f aca="false">IF(H$43=1,2*Quesería!$B$22*Quesería!$B$23/12*H1037,0)*$Y$21</f>
        <v>0</v>
      </c>
      <c r="I1046" s="29" t="n">
        <f aca="false">IF(I$43=1,2*Quesería!$B$22*Quesería!$B$23/12*I1037,0)*$Y$21</f>
        <v>0</v>
      </c>
      <c r="J1046" s="29" t="n">
        <f aca="false">IF(J$43=1,2*Quesería!$B$22*Quesería!$B$23/12*J1037,0)*$Y$21</f>
        <v>0</v>
      </c>
      <c r="K1046" s="29" t="n">
        <f aca="false">IF(K$43=1,2*Quesería!$B$22*Quesería!$B$23/12*K1037,0)*$Y$21</f>
        <v>0</v>
      </c>
      <c r="L1046" s="29" t="n">
        <f aca="false">IF(L$43=1,2*Quesería!$B$22*Quesería!$B$23/12*L1037,0)*$Y$21</f>
        <v>0</v>
      </c>
    </row>
    <row r="1047" customFormat="false" ht="15" hidden="true" customHeight="false" outlineLevel="1" collapsed="false">
      <c r="A1047" s="6" t="s">
        <v>414</v>
      </c>
      <c r="B1047" s="29" t="n">
        <f aca="false">Quesería!$B$52*(B1039+B1040+B1041+B1045+B1046)</f>
        <v>4.31966364396742</v>
      </c>
      <c r="C1047" s="29" t="n">
        <f aca="false">Quesería!$B$52*(C1039+C1040+C1041+C1045+C1046)</f>
        <v>0.168378594904242</v>
      </c>
      <c r="D1047" s="29" t="n">
        <f aca="false">Quesería!$B$52*(D1039+D1040+D1041+D1045+D1046)</f>
        <v>0.168378594904242</v>
      </c>
      <c r="E1047" s="29" t="n">
        <f aca="false">Quesería!$B$52*(E1039+E1040+E1041+E1045+E1046)</f>
        <v>0.168378594904242</v>
      </c>
      <c r="F1047" s="29" t="n">
        <f aca="false">Quesería!$B$52*(F1039+F1040+F1041+F1045+F1046)</f>
        <v>0.168378594904242</v>
      </c>
      <c r="G1047" s="29" t="n">
        <f aca="false">Quesería!$B$52*(G1039+G1040+G1041+G1045+G1046)</f>
        <v>0.29911302910408</v>
      </c>
      <c r="H1047" s="29" t="n">
        <f aca="false">Quesería!$B$52*(H1039+H1040+H1041+H1045+H1046)</f>
        <v>0.389190976088389</v>
      </c>
      <c r="I1047" s="29" t="n">
        <f aca="false">Quesería!$B$52*(I1039+I1040+I1041+I1045+I1046)</f>
        <v>0.168378594904242</v>
      </c>
      <c r="J1047" s="29" t="n">
        <f aca="false">Quesería!$B$52*(J1039+J1040+J1041+J1045+J1046)</f>
        <v>0.168378594904242</v>
      </c>
      <c r="K1047" s="29" t="n">
        <f aca="false">Quesería!$B$52*(K1039+K1040+K1041+K1045+K1046)</f>
        <v>0.168378594904242</v>
      </c>
      <c r="L1047" s="29" t="n">
        <f aca="false">Quesería!$B$52*(L1039+L1040+L1041+L1045+L1046)</f>
        <v>0.168378594904242</v>
      </c>
    </row>
    <row r="1048" customFormat="false" ht="15" hidden="true" customHeight="false" outlineLevel="1" collapsed="false">
      <c r="A1048" s="6" t="s">
        <v>415</v>
      </c>
      <c r="B1048" s="29" t="n">
        <f aca="false">(IF($Y$19=1,(SUMPRODUCT((Quesería!$C$70:$C$89=0)*(Quesería!$J$70:$J$89&gt;0)*(B$43&gt;=1)*(B$43&lt;=Quesería!$J$70:$J$89)*(Quesería!$H$70:$H$89&gt;0)*Quesería!$F$70:$F$89*(1+Quesería!$I$70:$I$89)/(Quesería!$J$70:$J$89+(Quesería!$J$70:$J$89=0)))+SUMPRODUCT((Quesería!$C$70:$C$89=0)*(Quesería!$J$70:$J$89=0)*(B$43=0)*(Quesería!$H$70:$H$89&gt;0)*Quesería!$F$70:$F$89*(1+Quesería!$I$70:$I$89)))*$B$1036+(SUMPRODUCT((Quesería!$C$70:$C$89=1)*(Quesería!$J$70:$J$89&gt;0)*(B$43&gt;=2)*(B$43&lt;=Quesería!$J$70:$J$89+1)*(Quesería!$H$70:$H$89&gt;0)*Quesería!$F$70:$F$89*(1+Quesería!$I$70:$I$89)/(Quesería!$J$70:$J$89+(Quesería!$J$70:$J$89=0)))+SUMPRODUCT((Quesería!$C$70:$C$89=1)*(Quesería!$J$70:$J$89=0)*(B$43=1)*(Quesería!$H$70:$H$89&gt;0)*Quesería!$F$70:$F$89*(1+Quesería!$I$70:$I$89)))*$C$1036*$Y$21,IF(AND(B$43&gt;=1,B$43&lt;=Quesería!$B$30),Quesería!$F$92/Quesería!$B$30,0)*$B$1036+IF(AND(B$43&gt;=2,B$43&lt;=Quesería!$B$30+1),Quesería!$F$93/Quesería!$B$30,0)*$C$1036*$Y$21)*$Y$11+IF(AND(B$43&gt;=6,B$43&lt;=10),$G1040*$G1036/5,0)+IF(AND(B$43&gt;=7,B$43&lt;=11),$H1040*$H1036/5,0))*B1038</f>
        <v>145.980915430742</v>
      </c>
      <c r="C1048" s="29" t="n">
        <f aca="false">(IF($Y$19=1,(SUMPRODUCT((Quesería!$C$70:$C$89=0)*(Quesería!$J$70:$J$89&gt;0)*(C$43&gt;=1)*(C$43&lt;=Quesería!$J$70:$J$89)*(Quesería!$H$70:$H$89&gt;0)*Quesería!$F$70:$F$89*(1+Quesería!$I$70:$I$89)/(Quesería!$J$70:$J$89+(Quesería!$J$70:$J$89=0)))+SUMPRODUCT((Quesería!$C$70:$C$89=0)*(Quesería!$J$70:$J$89=0)*(C$43=0)*(Quesería!$H$70:$H$89&gt;0)*Quesería!$F$70:$F$89*(1+Quesería!$I$70:$I$89)))*$B$1036+(SUMPRODUCT((Quesería!$C$70:$C$89=1)*(Quesería!$J$70:$J$89&gt;0)*(C$43&gt;=2)*(C$43&lt;=Quesería!$J$70:$J$89+1)*(Quesería!$H$70:$H$89&gt;0)*Quesería!$F$70:$F$89*(1+Quesería!$I$70:$I$89)/(Quesería!$J$70:$J$89+(Quesería!$J$70:$J$89=0)))+SUMPRODUCT((Quesería!$C$70:$C$89=1)*(Quesería!$J$70:$J$89=0)*(C$43=1)*(Quesería!$H$70:$H$89&gt;0)*Quesería!$F$70:$F$89*(1+Quesería!$I$70:$I$89)))*$C$1036*$Y$21,IF(AND(C$43&gt;=1,C$43&lt;=Quesería!$B$30),Quesería!$F$92/Quesería!$B$30,0)*$B$1036+IF(AND(C$43&gt;=2,C$43&lt;=Quesería!$B$30+1),Quesería!$F$93/Quesería!$B$30,0)*$C$1036*$Y$21)*$Y$11+IF(AND(C$43&gt;=6,C$43&lt;=10),$G1040*$G1036/5,0)+IF(AND(C$43&gt;=7,C$43&lt;=11),$H1040*$H1036/5,0))*C1038</f>
        <v>82.2633269524265</v>
      </c>
      <c r="D1048" s="29" t="n">
        <f aca="false">(IF($Y$19=1,(SUMPRODUCT((Quesería!$C$70:$C$89=0)*(Quesería!$J$70:$J$89&gt;0)*(D$43&gt;=1)*(D$43&lt;=Quesería!$J$70:$J$89)*(Quesería!$H$70:$H$89&gt;0)*Quesería!$F$70:$F$89*(1+Quesería!$I$70:$I$89)/(Quesería!$J$70:$J$89+(Quesería!$J$70:$J$89=0)))+SUMPRODUCT((Quesería!$C$70:$C$89=0)*(Quesería!$J$70:$J$89=0)*(D$43=0)*(Quesería!$H$70:$H$89&gt;0)*Quesería!$F$70:$F$89*(1+Quesería!$I$70:$I$89)))*$B$1036+(SUMPRODUCT((Quesería!$C$70:$C$89=1)*(Quesería!$J$70:$J$89&gt;0)*(D$43&gt;=2)*(D$43&lt;=Quesería!$J$70:$J$89+1)*(Quesería!$H$70:$H$89&gt;0)*Quesería!$F$70:$F$89*(1+Quesería!$I$70:$I$89)/(Quesería!$J$70:$J$89+(Quesería!$J$70:$J$89=0)))+SUMPRODUCT((Quesería!$C$70:$C$89=1)*(Quesería!$J$70:$J$89=0)*(D$43=1)*(Quesería!$H$70:$H$89&gt;0)*Quesería!$F$70:$F$89*(1+Quesería!$I$70:$I$89)))*$C$1036*$Y$21,IF(AND(D$43&gt;=1,D$43&lt;=Quesería!$B$30),Quesería!$F$92/Quesería!$B$30,0)*$B$1036+IF(AND(D$43&gt;=2,D$43&lt;=Quesería!$B$30+1),Quesería!$F$93/Quesería!$B$30,0)*$C$1036*$Y$21)*$Y$11+IF(AND(D$43&gt;=6,D$43&lt;=10),$G1040*$G1036/5,0)+IF(AND(D$43&gt;=7,D$43&lt;=11),$H1040*$H1036/5,0))*D1038</f>
        <v>78.7208870358149</v>
      </c>
      <c r="E1048" s="29" t="n">
        <f aca="false">(IF($Y$19=1,(SUMPRODUCT((Quesería!$C$70:$C$89=0)*(Quesería!$J$70:$J$89&gt;0)*(E$43&gt;=1)*(E$43&lt;=Quesería!$J$70:$J$89)*(Quesería!$H$70:$H$89&gt;0)*Quesería!$F$70:$F$89*(1+Quesería!$I$70:$I$89)/(Quesería!$J$70:$J$89+(Quesería!$J$70:$J$89=0)))+SUMPRODUCT((Quesería!$C$70:$C$89=0)*(Quesería!$J$70:$J$89=0)*(E$43=0)*(Quesería!$H$70:$H$89&gt;0)*Quesería!$F$70:$F$89*(1+Quesería!$I$70:$I$89)))*$B$1036+(SUMPRODUCT((Quesería!$C$70:$C$89=1)*(Quesería!$J$70:$J$89&gt;0)*(E$43&gt;=2)*(E$43&lt;=Quesería!$J$70:$J$89+1)*(Quesería!$H$70:$H$89&gt;0)*Quesería!$F$70:$F$89*(1+Quesería!$I$70:$I$89)/(Quesería!$J$70:$J$89+(Quesería!$J$70:$J$89=0)))+SUMPRODUCT((Quesería!$C$70:$C$89=1)*(Quesería!$J$70:$J$89=0)*(E$43=1)*(Quesería!$H$70:$H$89&gt;0)*Quesería!$F$70:$F$89*(1+Quesería!$I$70:$I$89)))*$C$1036*$Y$21,IF(AND(E$43&gt;=1,E$43&lt;=Quesería!$B$30),Quesería!$F$92/Quesería!$B$30,0)*$B$1036+IF(AND(E$43&gt;=2,E$43&lt;=Quesería!$B$30+1),Quesería!$F$93/Quesería!$B$30,0)*$C$1036*$Y$21)*$Y$11+IF(AND(E$43&gt;=6,E$43&lt;=10),$G1040*$G1036/5,0)+IF(AND(E$43&gt;=7,E$43&lt;=11),$H1040*$H1036/5,0))*E1038</f>
        <v>75.6931606113605</v>
      </c>
      <c r="F1048" s="29" t="n">
        <f aca="false">(IF($Y$19=1,(SUMPRODUCT((Quesería!$C$70:$C$89=0)*(Quesería!$J$70:$J$89&gt;0)*(F$43&gt;=1)*(F$43&lt;=Quesería!$J$70:$J$89)*(Quesería!$H$70:$H$89&gt;0)*Quesería!$F$70:$F$89*(1+Quesería!$I$70:$I$89)/(Quesería!$J$70:$J$89+(Quesería!$J$70:$J$89=0)))+SUMPRODUCT((Quesería!$C$70:$C$89=0)*(Quesería!$J$70:$J$89=0)*(F$43=0)*(Quesería!$H$70:$H$89&gt;0)*Quesería!$F$70:$F$89*(1+Quesería!$I$70:$I$89)))*$B$1036+(SUMPRODUCT((Quesería!$C$70:$C$89=1)*(Quesería!$J$70:$J$89&gt;0)*(F$43&gt;=2)*(F$43&lt;=Quesería!$J$70:$J$89+1)*(Quesería!$H$70:$H$89&gt;0)*Quesería!$F$70:$F$89*(1+Quesería!$I$70:$I$89)/(Quesería!$J$70:$J$89+(Quesería!$J$70:$J$89=0)))+SUMPRODUCT((Quesería!$C$70:$C$89=1)*(Quesería!$J$70:$J$89=0)*(F$43=1)*(Quesería!$H$70:$H$89&gt;0)*Quesería!$F$70:$F$89*(1+Quesería!$I$70:$I$89)))*$C$1036*$Y$21,IF(AND(F$43&gt;=1,F$43&lt;=Quesería!$B$30),Quesería!$F$92/Quesería!$B$30,0)*$B$1036+IF(AND(F$43&gt;=2,F$43&lt;=Quesería!$B$30+1),Quesería!$F$93/Quesería!$B$30,0)*$C$1036*$Y$21)*$Y$11+IF(AND(F$43&gt;=6,F$43&lt;=10),$G1040*$G1036/5,0)+IF(AND(F$43&gt;=7,F$43&lt;=11),$H1040*$H1036/5,0))*F1038</f>
        <v>72.7818852032312</v>
      </c>
      <c r="G1048" s="29" t="n">
        <f aca="false">(IF($Y$19=1,(SUMPRODUCT((Quesería!$C$70:$C$89=0)*(Quesería!$J$70:$J$89&gt;0)*(G$43&gt;=1)*(G$43&lt;=Quesería!$J$70:$J$89)*(Quesería!$H$70:$H$89&gt;0)*Quesería!$F$70:$F$89*(1+Quesería!$I$70:$I$89)/(Quesería!$J$70:$J$89+(Quesería!$J$70:$J$89=0)))+SUMPRODUCT((Quesería!$C$70:$C$89=0)*(Quesería!$J$70:$J$89=0)*(G$43=0)*(Quesería!$H$70:$H$89&gt;0)*Quesería!$F$70:$F$89*(1+Quesería!$I$70:$I$89)))*$B$1036+(SUMPRODUCT((Quesería!$C$70:$C$89=1)*(Quesería!$J$70:$J$89&gt;0)*(G$43&gt;=2)*(G$43&lt;=Quesería!$J$70:$J$89+1)*(Quesería!$H$70:$H$89&gt;0)*Quesería!$F$70:$F$89*(1+Quesería!$I$70:$I$89)/(Quesería!$J$70:$J$89+(Quesería!$J$70:$J$89=0)))+SUMPRODUCT((Quesería!$C$70:$C$89=1)*(Quesería!$J$70:$J$89=0)*(G$43=1)*(Quesería!$H$70:$H$89&gt;0)*Quesería!$F$70:$F$89*(1+Quesería!$I$70:$I$89)))*$C$1036*$Y$21,IF(AND(G$43&gt;=1,G$43&lt;=Quesería!$B$30),Quesería!$F$92/Quesería!$B$30,0)*$B$1036+IF(AND(G$43&gt;=2,G$43&lt;=Quesería!$B$30+1),Quesería!$F$93/Quesería!$B$30,0)*$C$1036*$Y$21)*$Y$11+IF(AND(G$43&gt;=6,G$43&lt;=10),$G1040*$G1036/5,0)+IF(AND(G$43&gt;=7,G$43&lt;=11),$H1040*$H1036/5,0))*G1038</f>
        <v>69.9825819261839</v>
      </c>
      <c r="H1048" s="29" t="n">
        <f aca="false">(IF($Y$19=1,(SUMPRODUCT((Quesería!$C$70:$C$89=0)*(Quesería!$J$70:$J$89&gt;0)*(H$43&gt;=1)*(H$43&lt;=Quesería!$J$70:$J$89)*(Quesería!$H$70:$H$89&gt;0)*Quesería!$F$70:$F$89*(1+Quesería!$I$70:$I$89)/(Quesería!$J$70:$J$89+(Quesería!$J$70:$J$89=0)))+SUMPRODUCT((Quesería!$C$70:$C$89=0)*(Quesería!$J$70:$J$89=0)*(H$43=0)*(Quesería!$H$70:$H$89&gt;0)*Quesería!$F$70:$F$89*(1+Quesería!$I$70:$I$89)))*$B$1036+(SUMPRODUCT((Quesería!$C$70:$C$89=1)*(Quesería!$J$70:$J$89&gt;0)*(H$43&gt;=2)*(H$43&lt;=Quesería!$J$70:$J$89+1)*(Quesería!$H$70:$H$89&gt;0)*Quesería!$F$70:$F$89*(1+Quesería!$I$70:$I$89)/(Quesería!$J$70:$J$89+(Quesería!$J$70:$J$89=0)))+SUMPRODUCT((Quesería!$C$70:$C$89=1)*(Quesería!$J$70:$J$89=0)*(H$43=1)*(Quesería!$H$70:$H$89&gt;0)*Quesería!$F$70:$F$89*(1+Quesería!$I$70:$I$89)))*$C$1036*$Y$21,IF(AND(H$43&gt;=1,H$43&lt;=Quesería!$B$30),Quesería!$F$92/Quesería!$B$30,0)*$B$1036+IF(AND(H$43&gt;=2,H$43&lt;=Quesería!$B$30+1),Quesería!$F$93/Quesería!$B$30,0)*$C$1036*$Y$21)*$Y$11+IF(AND(H$43&gt;=6,H$43&lt;=10),$G1040*$G1036/5,0)+IF(AND(H$43&gt;=7,H$43&lt;=11),$H1040*$H1036/5,0))*H1038</f>
        <v>60.2723225558906</v>
      </c>
      <c r="I1048" s="29" t="n">
        <f aca="false">(IF($Y$19=1,(SUMPRODUCT((Quesería!$C$70:$C$89=0)*(Quesería!$J$70:$J$89&gt;0)*(I$43&gt;=1)*(I$43&lt;=Quesería!$J$70:$J$89)*(Quesería!$H$70:$H$89&gt;0)*Quesería!$F$70:$F$89*(1+Quesería!$I$70:$I$89)/(Quesería!$J$70:$J$89+(Quesería!$J$70:$J$89=0)))+SUMPRODUCT((Quesería!$C$70:$C$89=0)*(Quesería!$J$70:$J$89=0)*(I$43=0)*(Quesería!$H$70:$H$89&gt;0)*Quesería!$F$70:$F$89*(1+Quesería!$I$70:$I$89)))*$B$1036+(SUMPRODUCT((Quesería!$C$70:$C$89=1)*(Quesería!$J$70:$J$89&gt;0)*(I$43&gt;=2)*(I$43&lt;=Quesería!$J$70:$J$89+1)*(Quesería!$H$70:$H$89&gt;0)*Quesería!$F$70:$F$89*(1+Quesería!$I$70:$I$89)/(Quesería!$J$70:$J$89+(Quesería!$J$70:$J$89=0)))+SUMPRODUCT((Quesería!$C$70:$C$89=1)*(Quesería!$J$70:$J$89=0)*(I$43=1)*(Quesería!$H$70:$H$89&gt;0)*Quesería!$F$70:$F$89*(1+Quesería!$I$70:$I$89)))*$C$1036*$Y$21,IF(AND(I$43&gt;=1,I$43&lt;=Quesería!$B$30),Quesería!$F$92/Quesería!$B$30,0)*$B$1036+IF(AND(I$43&gt;=2,I$43&lt;=Quesería!$B$30+1),Quesería!$F$93/Quesería!$B$30,0)*$C$1036*$Y$21)*$Y$11+IF(AND(I$43&gt;=6,I$43&lt;=10),$G1040*$G1036/5,0)+IF(AND(I$43&gt;=7,I$43&lt;=11),$H1040*$H1036/5,0))*I1038</f>
        <v>66.875147786617</v>
      </c>
      <c r="J1048" s="29" t="n">
        <f aca="false">(IF($Y$19=1,(SUMPRODUCT((Quesería!$C$70:$C$89=0)*(Quesería!$J$70:$J$89&gt;0)*(J$43&gt;=1)*(J$43&lt;=Quesería!$J$70:$J$89)*(Quesería!$H$70:$H$89&gt;0)*Quesería!$F$70:$F$89*(1+Quesería!$I$70:$I$89)/(Quesería!$J$70:$J$89+(Quesería!$J$70:$J$89=0)))+SUMPRODUCT((Quesería!$C$70:$C$89=0)*(Quesería!$J$70:$J$89=0)*(J$43=0)*(Quesería!$H$70:$H$89&gt;0)*Quesería!$F$70:$F$89*(1+Quesería!$I$70:$I$89)))*$B$1036+(SUMPRODUCT((Quesería!$C$70:$C$89=1)*(Quesería!$J$70:$J$89&gt;0)*(J$43&gt;=2)*(J$43&lt;=Quesería!$J$70:$J$89+1)*(Quesería!$H$70:$H$89&gt;0)*Quesería!$F$70:$F$89*(1+Quesería!$I$70:$I$89)/(Quesería!$J$70:$J$89+(Quesería!$J$70:$J$89=0)))+SUMPRODUCT((Quesería!$C$70:$C$89=1)*(Quesería!$J$70:$J$89=0)*(J$43=1)*(Quesería!$H$70:$H$89&gt;0)*Quesería!$F$70:$F$89*(1+Quesería!$I$70:$I$89)))*$C$1036*$Y$21,IF(AND(J$43&gt;=1,J$43&lt;=Quesería!$B$30),Quesería!$F$92/Quesería!$B$30,0)*$B$1036+IF(AND(J$43&gt;=2,J$43&lt;=Quesería!$B$30+1),Quesería!$F$93/Quesería!$B$30,0)*$C$1036*$Y$21)*$Y$11+IF(AND(J$43&gt;=6,J$43&lt;=10),$G1040*$G1036/5,0)+IF(AND(J$43&gt;=7,J$43&lt;=11),$H1040*$H1036/5,0))*J1038</f>
        <v>64.3030267179009</v>
      </c>
      <c r="K1048" s="29" t="n">
        <f aca="false">(IF($Y$19=1,(SUMPRODUCT((Quesería!$C$70:$C$89=0)*(Quesería!$J$70:$J$89&gt;0)*(K$43&gt;=1)*(K$43&lt;=Quesería!$J$70:$J$89)*(Quesería!$H$70:$H$89&gt;0)*Quesería!$F$70:$F$89*(1+Quesería!$I$70:$I$89)/(Quesería!$J$70:$J$89+(Quesería!$J$70:$J$89=0)))+SUMPRODUCT((Quesería!$C$70:$C$89=0)*(Quesería!$J$70:$J$89=0)*(K$43=0)*(Quesería!$H$70:$H$89&gt;0)*Quesería!$F$70:$F$89*(1+Quesería!$I$70:$I$89)))*$B$1036+(SUMPRODUCT((Quesería!$C$70:$C$89=1)*(Quesería!$J$70:$J$89&gt;0)*(K$43&gt;=2)*(K$43&lt;=Quesería!$J$70:$J$89+1)*(Quesería!$H$70:$H$89&gt;0)*Quesería!$F$70:$F$89*(1+Quesería!$I$70:$I$89)/(Quesería!$J$70:$J$89+(Quesería!$J$70:$J$89=0)))+SUMPRODUCT((Quesería!$C$70:$C$89=1)*(Quesería!$J$70:$J$89=0)*(K$43=1)*(Quesería!$H$70:$H$89&gt;0)*Quesería!$F$70:$F$89*(1+Quesería!$I$70:$I$89)))*$C$1036*$Y$21,IF(AND(K$43&gt;=1,K$43&lt;=Quesería!$B$30),Quesería!$F$92/Quesería!$B$30,0)*$B$1036+IF(AND(K$43&gt;=2,K$43&lt;=Quesería!$B$30+1),Quesería!$F$93/Quesería!$B$30,0)*$C$1036*$Y$21)*$Y$11+IF(AND(K$43&gt;=6,K$43&lt;=10),$G1040*$G1036/5,0)+IF(AND(K$43&gt;=7,K$43&lt;=11),$H1040*$H1036/5,0))*K1038</f>
        <v>61.829833382597</v>
      </c>
      <c r="L1048" s="29" t="n">
        <f aca="false">(IF($Y$19=1,(SUMPRODUCT((Quesería!$C$70:$C$89=0)*(Quesería!$J$70:$J$89&gt;0)*(L$43&gt;=1)*(L$43&lt;=Quesería!$J$70:$J$89)*(Quesería!$H$70:$H$89&gt;0)*Quesería!$F$70:$F$89*(1+Quesería!$I$70:$I$89)/(Quesería!$J$70:$J$89+(Quesería!$J$70:$J$89=0)))+SUMPRODUCT((Quesería!$C$70:$C$89=0)*(Quesería!$J$70:$J$89=0)*(L$43=0)*(Quesería!$H$70:$H$89&gt;0)*Quesería!$F$70:$F$89*(1+Quesería!$I$70:$I$89)))*$B$1036+(SUMPRODUCT((Quesería!$C$70:$C$89=1)*(Quesería!$J$70:$J$89&gt;0)*(L$43&gt;=2)*(L$43&lt;=Quesería!$J$70:$J$89+1)*(Quesería!$H$70:$H$89&gt;0)*Quesería!$F$70:$F$89*(1+Quesería!$I$70:$I$89)/(Quesería!$J$70:$J$89+(Quesería!$J$70:$J$89=0)))+SUMPRODUCT((Quesería!$C$70:$C$89=1)*(Quesería!$J$70:$J$89=0)*(L$43=1)*(Quesería!$H$70:$H$89&gt;0)*Quesería!$F$70:$F$89*(1+Quesería!$I$70:$I$89)))*$C$1036*$Y$21,IF(AND(L$43&gt;=1,L$43&lt;=Quesería!$B$30),Quesería!$F$92/Quesería!$B$30,0)*$B$1036+IF(AND(L$43&gt;=2,L$43&lt;=Quesería!$B$30+1),Quesería!$F$93/Quesería!$B$30,0)*$C$1036*$Y$21)*$Y$11+IF(AND(L$43&gt;=6,L$43&lt;=10),$G1040*$G1036/5,0)+IF(AND(L$43&gt;=7,L$43&lt;=11),$H1040*$H1036/5,0))*L1038</f>
        <v>59.4517628678818</v>
      </c>
    </row>
    <row r="1049" customFormat="false" ht="15" hidden="true" customHeight="false" outlineLevel="1" collapsed="false">
      <c r="A1049" s="9" t="s">
        <v>416</v>
      </c>
      <c r="B1049" s="58" t="n">
        <f aca="false">IF(B$43=1,MIN($Y$7*Quesería!$B$56*Quesería!$F$86*$Y$11*$Y$21,Quesería!$B$57*Quesería!$B$58),0)</f>
        <v>0</v>
      </c>
      <c r="C1049" s="58" t="n">
        <f aca="false">IF(C$43=1,MIN($Y$7*Quesería!$B$56*Quesería!$F$86*$Y$11*$Y$21,Quesería!$B$57*Quesería!$B$58),0)</f>
        <v>0</v>
      </c>
      <c r="D1049" s="58" t="n">
        <f aca="false">IF(D$43=1,MIN($Y$7*Quesería!$B$56*Quesería!$F$86*$Y$11*$Y$21,Quesería!$B$57*Quesería!$B$58),0)</f>
        <v>0</v>
      </c>
      <c r="E1049" s="58" t="n">
        <f aca="false">IF(E$43=1,MIN($Y$7*Quesería!$B$56*Quesería!$F$86*$Y$11*$Y$21,Quesería!$B$57*Quesería!$B$58),0)</f>
        <v>0</v>
      </c>
      <c r="F1049" s="58" t="n">
        <f aca="false">IF(F$43=1,MIN($Y$7*Quesería!$B$56*Quesería!$F$86*$Y$11*$Y$21,Quesería!$B$57*Quesería!$B$58),0)</f>
        <v>0</v>
      </c>
      <c r="G1049" s="58" t="n">
        <f aca="false">IF(G$43=1,MIN($Y$7*Quesería!$B$56*Quesería!$F$86*$Y$11*$Y$21,Quesería!$B$57*Quesería!$B$58),0)</f>
        <v>0</v>
      </c>
      <c r="H1049" s="58" t="n">
        <f aca="false">IF(H$43=1,MIN($Y$7*Quesería!$B$56*Quesería!$F$86*$Y$11*$Y$21,Quesería!$B$57*Quesería!$B$58),0)</f>
        <v>0</v>
      </c>
      <c r="I1049" s="58" t="n">
        <f aca="false">IF(I$43=1,MIN($Y$7*Quesería!$B$56*Quesería!$F$86*$Y$11*$Y$21,Quesería!$B$57*Quesería!$B$58),0)</f>
        <v>0</v>
      </c>
      <c r="J1049" s="58" t="n">
        <f aca="false">IF(J$43=1,MIN($Y$7*Quesería!$B$56*Quesería!$F$86*$Y$11*$Y$21,Quesería!$B$57*Quesería!$B$58),0)</f>
        <v>0</v>
      </c>
      <c r="K1049" s="58" t="n">
        <f aca="false">IF(K$43=1,MIN($Y$7*Quesería!$B$56*Quesería!$F$86*$Y$11*$Y$21,Quesería!$B$57*Quesería!$B$58),0)</f>
        <v>0</v>
      </c>
      <c r="L1049" s="58" t="n">
        <f aca="false">IF(L$43=1,MIN($Y$7*Quesería!$B$56*Quesería!$F$86*$Y$11*$Y$21,Quesería!$B$57*Quesería!$B$58),0)</f>
        <v>0</v>
      </c>
    </row>
    <row r="1050" customFormat="false" ht="15" hidden="true" customHeight="false" outlineLevel="1" collapsed="false">
      <c r="A1050" s="9" t="s">
        <v>417</v>
      </c>
      <c r="B1050" s="58" t="n">
        <v>0</v>
      </c>
      <c r="C1050" s="58" t="n">
        <f aca="false">$Y$20*Quesería!$B$60*Quesería!$F$98*$Y$11*$B$1036/C1036/2</f>
        <v>138.12868344741</v>
      </c>
      <c r="D1050" s="58" t="n">
        <f aca="false">$Y$20*Quesería!$B$60*Quesería!$F$98*$Y$11*$B$1036/D1036/2</f>
        <v>132.18055832288</v>
      </c>
      <c r="E1050" s="58" t="n">
        <v>0</v>
      </c>
      <c r="F1050" s="58" t="n">
        <v>0</v>
      </c>
      <c r="G1050" s="58" t="n">
        <v>0</v>
      </c>
      <c r="H1050" s="58" t="n">
        <v>0</v>
      </c>
      <c r="I1050" s="58" t="n">
        <v>0</v>
      </c>
      <c r="J1050" s="58" t="n">
        <v>0</v>
      </c>
      <c r="K1050" s="58" t="n">
        <v>0</v>
      </c>
      <c r="L1050" s="58" t="n">
        <v>0</v>
      </c>
    </row>
    <row r="1051" customFormat="false" ht="15" hidden="true" customHeight="false" outlineLevel="1" collapsed="false">
      <c r="A1051" s="9" t="s">
        <v>418</v>
      </c>
      <c r="B1051" s="58" t="n">
        <f aca="false">0</f>
        <v>0</v>
      </c>
      <c r="C1051" s="58" t="n">
        <f aca="false">B1041*B1036/C1036</f>
        <v>142.014925295407</v>
      </c>
      <c r="D1051" s="58" t="n">
        <f aca="false">C1041*C1036/D1036</f>
        <v>0</v>
      </c>
      <c r="E1051" s="58" t="n">
        <f aca="false">D1041*D1036/E1036</f>
        <v>0</v>
      </c>
      <c r="F1051" s="58" t="n">
        <f aca="false">E1041*E1036/F1036</f>
        <v>0</v>
      </c>
      <c r="G1051" s="58" t="n">
        <f aca="false">F1041*F1036/G1036</f>
        <v>0</v>
      </c>
      <c r="H1051" s="58" t="n">
        <f aca="false">G1041*G1036/H1036</f>
        <v>5.01768392412113</v>
      </c>
      <c r="I1051" s="58" t="n">
        <f aca="false">H1041*H1036/I1036</f>
        <v>8.47494190873221</v>
      </c>
      <c r="J1051" s="58" t="n">
        <f aca="false">I1041*I1036/J1036</f>
        <v>0</v>
      </c>
      <c r="K1051" s="58" t="n">
        <f aca="false">J1041*J1036/K1036</f>
        <v>0</v>
      </c>
      <c r="L1051" s="58" t="n">
        <f aca="false">K1041*K1036/L1036</f>
        <v>0</v>
      </c>
    </row>
    <row r="1052" customFormat="false" ht="15" hidden="true" customHeight="false" outlineLevel="1" collapsed="false">
      <c r="A1052" s="6" t="s">
        <v>295</v>
      </c>
      <c r="B1052" s="29" t="n">
        <f aca="false">$Y$17*(B1044-B1045-B1046-0.5*B1047-B1048)-B1049-B1050-B1051</f>
        <v>-9.59839124703308</v>
      </c>
      <c r="C1052" s="29" t="n">
        <f aca="false">$Y$17*(C1044-C1045-C1046-0.5*C1047-C1048)-C1049-C1050-C1051</f>
        <v>-260.233455410471</v>
      </c>
      <c r="D1052" s="29" t="n">
        <f aca="false">$Y$17*(D1044-D1045-D1046-0.5*D1047-D1048)-D1049-D1050-D1051</f>
        <v>-89.8544099575005</v>
      </c>
      <c r="E1052" s="29" t="n">
        <f aca="false">$Y$17*(E1044-E1045-E1046-0.5*E1047-E1048)-E1049-E1050-E1051</f>
        <v>43.4071291717049</v>
      </c>
      <c r="F1052" s="29" t="n">
        <f aca="false">$Y$17*(F1044-F1045-F1046-0.5*F1047-F1048)-F1049-F1050-F1051</f>
        <v>44.4474585051055</v>
      </c>
      <c r="G1052" s="29" t="n">
        <f aca="false">$Y$17*(G1044-G1045-G1046-0.5*G1047-G1048)-G1049-G1050-G1051</f>
        <v>45.4258259813452</v>
      </c>
      <c r="H1052" s="29" t="n">
        <f aca="false">$Y$17*(H1044-H1045-H1046-0.5*H1047-H1048)-H1049-H1050-H1051</f>
        <v>43.8125665006389</v>
      </c>
      <c r="I1052" s="29" t="n">
        <f aca="false">$Y$17*(I1044-I1045-I1046-0.5*I1047-I1048)-I1049-I1050-I1051</f>
        <v>38.1046671430379</v>
      </c>
      <c r="J1052" s="29" t="n">
        <f aca="false">$Y$17*(J1044-J1045-J1046-0.5*J1047-J1048)-J1049-J1050-J1051</f>
        <v>47.5016652433331</v>
      </c>
      <c r="K1052" s="29" t="n">
        <f aca="false">$Y$17*(K1044-K1045-K1046-0.5*K1047-K1048)-K1049-K1050-K1051</f>
        <v>48.3892057972894</v>
      </c>
      <c r="L1052" s="29" t="n">
        <f aca="false">$Y$17*(L1044-L1045-L1046-0.5*L1047-L1048)-L1049-L1050-L1051</f>
        <v>49.2435629784726</v>
      </c>
    </row>
    <row r="1053" customFormat="false" ht="15" hidden="true" customHeight="false" outlineLevel="1" collapsed="false">
      <c r="A1053" s="9" t="s">
        <v>419</v>
      </c>
      <c r="B1053" s="58" t="n">
        <f aca="false">(IF(B$43&gt;=1,Quesería!$G$123*IF(B$43=1,Quesería!$B$20,1),Quesería!$G$123*Quesería!$B$20*Quesería!$B$21/12*$Y$23)+IF(B$43&gt;=2,Quesería!$G$124*$Y$21*IF(B$43=2,Quesería!$B$20,1),0))*$Y$10</f>
        <v>77.4042870161869</v>
      </c>
      <c r="C1053" s="58" t="n">
        <f aca="false">(IF(C$43&gt;=1,Quesería!$G$123*IF(C$43=1,Quesería!$B$20,1),Quesería!$G$123*Quesería!$B$20*Quesería!$B$21/12*$Y$23)+IF(C$43&gt;=2,Quesería!$G$124*$Y$21*IF(C$43=2,Quesería!$B$20,1),0))*$Y$10</f>
        <v>116.10643052428</v>
      </c>
      <c r="D1053" s="58" t="n">
        <f aca="false">(IF(D$43&gt;=1,Quesería!$G$123*IF(D$43=1,Quesería!$B$20,1),Quesería!$G$123*Quesería!$B$20*Quesería!$B$21/12*$Y$23)+IF(D$43&gt;=2,Quesería!$G$124*$Y$21*IF(D$43=2,Quesería!$B$20,1),0))*$Y$10</f>
        <v>154.808574032374</v>
      </c>
      <c r="E1053" s="58" t="n">
        <f aca="false">(IF(E$43&gt;=1,Quesería!$G$123*IF(E$43=1,Quesería!$B$20,1),Quesería!$G$123*Quesería!$B$20*Quesería!$B$21/12*$Y$23)+IF(E$43&gt;=2,Quesería!$G$124*$Y$21*IF(E$43=2,Quesería!$B$20,1),0))*$Y$10</f>
        <v>154.808574032374</v>
      </c>
      <c r="F1053" s="58" t="n">
        <f aca="false">(IF(F$43&gt;=1,Quesería!$G$123*IF(F$43=1,Quesería!$B$20,1),Quesería!$G$123*Quesería!$B$20*Quesería!$B$21/12*$Y$23)+IF(F$43&gt;=2,Quesería!$G$124*$Y$21*IF(F$43=2,Quesería!$B$20,1),0))*$Y$10</f>
        <v>154.808574032374</v>
      </c>
      <c r="G1053" s="58" t="n">
        <f aca="false">(IF(G$43&gt;=1,Quesería!$G$123*IF(G$43=1,Quesería!$B$20,1),Quesería!$G$123*Quesería!$B$20*Quesería!$B$21/12*$Y$23)+IF(G$43&gt;=2,Quesería!$G$124*$Y$21*IF(G$43=2,Quesería!$B$20,1),0))*$Y$10</f>
        <v>154.808574032374</v>
      </c>
      <c r="H1053" s="58" t="n">
        <f aca="false">(IF(H$43&gt;=1,Quesería!$G$123*IF(H$43=1,Quesería!$B$20,1),Quesería!$G$123*Quesería!$B$20*Quesería!$B$21/12*$Y$23)+IF(H$43&gt;=2,Quesería!$G$124*$Y$21*IF(H$43=2,Quesería!$B$20,1),0))*$Y$10</f>
        <v>154.808574032374</v>
      </c>
      <c r="I1053" s="58" t="n">
        <f aca="false">(IF(I$43&gt;=1,Quesería!$G$123*IF(I$43=1,Quesería!$B$20,1),Quesería!$G$123*Quesería!$B$20*Quesería!$B$21/12*$Y$23)+IF(I$43&gt;=2,Quesería!$G$124*$Y$21*IF(I$43=2,Quesería!$B$20,1),0))*$Y$10</f>
        <v>154.808574032374</v>
      </c>
      <c r="J1053" s="58" t="n">
        <f aca="false">(IF(J$43&gt;=1,Quesería!$G$123*IF(J$43=1,Quesería!$B$20,1),Quesería!$G$123*Quesería!$B$20*Quesería!$B$21/12*$Y$23)+IF(J$43&gt;=2,Quesería!$G$124*$Y$21*IF(J$43=2,Quesería!$B$20,1),0))*$Y$10</f>
        <v>154.808574032374</v>
      </c>
      <c r="K1053" s="58" t="n">
        <f aca="false">(IF(K$43&gt;=1,Quesería!$G$123*IF(K$43=1,Quesería!$B$20,1),Quesería!$G$123*Quesería!$B$20*Quesería!$B$21/12*$Y$23)+IF(K$43&gt;=2,Quesería!$G$124*$Y$21*IF(K$43=2,Quesería!$B$20,1),0))*$Y$10</f>
        <v>154.808574032374</v>
      </c>
      <c r="L1053" s="58" t="n">
        <f aca="false">(IF(L$43&gt;=1,Quesería!$G$123*IF(L$43=1,Quesería!$B$20,1),Quesería!$G$123*Quesería!$B$20*Quesería!$B$21/12*$Y$23)+IF(L$43&gt;=2,Quesería!$G$124*$Y$21*IF(L$43=2,Quesería!$B$20,1),0))*$Y$10</f>
        <v>154.808574032374</v>
      </c>
    </row>
    <row r="1054" customFormat="false" ht="15" hidden="true" customHeight="false" outlineLevel="1" collapsed="false">
      <c r="A1054" s="6" t="s">
        <v>420</v>
      </c>
      <c r="B1054" s="29" t="n">
        <f aca="false">(B1053*(Quesería!$B$38+Quesería!$B$40*Quesería!$B$39)/365-B1045*Quesería!$B$42/365)</f>
        <v>7.23146900616979</v>
      </c>
      <c r="C1054" s="29" t="n">
        <f aca="false">(C1053*(Quesería!$B$38+Quesería!$B$40*Quesería!$B$39)/365-C1045*Quesería!$B$42/365)-(B1053*(Quesería!$B$38+Quesería!$B$40*Quesería!$B$39)/365-B1045*Quesería!$B$42/365)*B1036/C1036</f>
        <v>1.42287846600884</v>
      </c>
      <c r="D1054" s="29" t="n">
        <f aca="false">(D1053*(Quesería!$B$38+Quesería!$B$40*Quesería!$B$39)/365-D1045*Quesería!$B$42/365)-(C1053*(Quesería!$B$38+Quesería!$B$40*Quesería!$B$39)/365-C1045*Quesería!$B$42/365)*C1036/D1036</f>
        <v>3.97358104015171</v>
      </c>
      <c r="E1054" s="29" t="n">
        <f aca="false">(E1053*(Quesería!$B$38+Quesería!$B$40*Quesería!$B$39)/365-E1045*Quesería!$B$42/365)-(D1053*(Quesería!$B$38+Quesería!$B$40*Quesería!$B$39)/365-D1045*Quesería!$B$42/365)*D1036/E1036</f>
        <v>0.458681781088581</v>
      </c>
      <c r="F1054" s="29" t="n">
        <f aca="false">(F1053*(Quesería!$B$38+Quesería!$B$40*Quesería!$B$39)/365-F1045*Quesería!$B$42/365)-(E1053*(Quesería!$B$38+Quesería!$B$40*Quesería!$B$39)/365-E1045*Quesería!$B$42/365)*E1036/F1036</f>
        <v>0.458681781088579</v>
      </c>
      <c r="G1054" s="29" t="n">
        <f aca="false">(G1053*(Quesería!$B$38+Quesería!$B$40*Quesería!$B$39)/365-G1045*Quesería!$B$42/365)-(F1053*(Quesería!$B$38+Quesería!$B$40*Quesería!$B$39)/365-F1045*Quesería!$B$42/365)*F1036/G1036</f>
        <v>0.458681781088581</v>
      </c>
      <c r="H1054" s="29" t="n">
        <f aca="false">(H1053*(Quesería!$B$38+Quesería!$B$40*Quesería!$B$39)/365-H1045*Quesería!$B$42/365)-(G1053*(Quesería!$B$38+Quesería!$B$40*Quesería!$B$39)/365-G1045*Quesería!$B$42/365)*G1036/H1036</f>
        <v>0.458681781088581</v>
      </c>
      <c r="I1054" s="29" t="n">
        <f aca="false">(I1053*(Quesería!$B$38+Quesería!$B$40*Quesería!$B$39)/365-I1045*Quesería!$B$42/365)-(H1053*(Quesería!$B$38+Quesería!$B$40*Quesería!$B$39)/365-H1045*Quesería!$B$42/365)*H1036/I1036</f>
        <v>0.458681781088579</v>
      </c>
      <c r="J1054" s="29" t="n">
        <f aca="false">(J1053*(Quesería!$B$38+Quesería!$B$40*Quesería!$B$39)/365-J1045*Quesería!$B$42/365)-(I1053*(Quesería!$B$38+Quesería!$B$40*Quesería!$B$39)/365-I1045*Quesería!$B$42/365)*I1036/J1036</f>
        <v>0.458681781088579</v>
      </c>
      <c r="K1054" s="29" t="n">
        <f aca="false">(K1053*(Quesería!$B$38+Quesería!$B$40*Quesería!$B$39)/365-K1045*Quesería!$B$42/365)-(J1053*(Quesería!$B$38+Quesería!$B$40*Quesería!$B$39)/365-J1045*Quesería!$B$42/365)*J1036/K1036</f>
        <v>0.458681781088579</v>
      </c>
      <c r="L1054" s="29" t="n">
        <f aca="false">-(K1053*(Quesería!$B$38+Quesería!$B$40*Quesería!$B$39)/365-K1045*Quesería!$B$42/365)*K1036/L1036</f>
        <v>-11.4670445272145</v>
      </c>
    </row>
    <row r="1055" customFormat="false" ht="15" hidden="true" customHeight="false" outlineLevel="1" collapsed="false">
      <c r="A1055" s="6" t="s">
        <v>421</v>
      </c>
      <c r="B1055" s="29" t="n">
        <v>0</v>
      </c>
      <c r="C1055" s="29" t="n">
        <v>0</v>
      </c>
      <c r="D1055" s="29" t="n">
        <v>0</v>
      </c>
      <c r="E1055" s="29" t="n">
        <v>0</v>
      </c>
      <c r="F1055" s="29" t="n">
        <v>0</v>
      </c>
      <c r="G1055" s="29" t="n">
        <v>0</v>
      </c>
      <c r="H1055" s="29" t="n">
        <v>0</v>
      </c>
      <c r="I1055" s="29" t="n">
        <v>0</v>
      </c>
      <c r="J1055" s="29" t="n">
        <v>0</v>
      </c>
      <c r="K1055" s="29" t="n">
        <v>0</v>
      </c>
      <c r="L1055" s="29" t="n">
        <f aca="false">$Y$8*Quesería!$B$36*(Quesería!$F$94+Quesería!$F$95*$Y$21)*$Y$11*(1-$Y$17)</f>
        <v>30.1529512121209</v>
      </c>
    </row>
    <row r="1056" customFormat="false" ht="15" hidden="true" customHeight="false" outlineLevel="1" collapsed="false">
      <c r="A1056" s="5" t="s">
        <v>147</v>
      </c>
      <c r="B1056" s="59" t="n">
        <f aca="false">B1044-B1045-B1046-B1047-B1052-B1039-B1040-B1041-B1054+B1055</f>
        <v>-961.151880133756</v>
      </c>
      <c r="C1056" s="59" t="n">
        <f aca="false">C1044-C1045-C1046-C1047-C1052-C1039-C1040-C1041-C1054+C1055</f>
        <v>397.875866977566</v>
      </c>
      <c r="D1056" s="59" t="n">
        <f aca="false">D1044-D1045-D1046-D1047-D1052-D1039-D1040-D1041-D1054+D1055</f>
        <v>285.449379128224</v>
      </c>
      <c r="E1056" s="59" t="n">
        <f aca="false">E1044-E1045-E1046-E1047-E1052-E1039-E1040-E1041-E1054+E1055</f>
        <v>155.763529423129</v>
      </c>
      <c r="F1056" s="59" t="n">
        <f aca="false">F1044-F1045-F1046-F1047-F1052-F1039-F1040-F1041-F1054+F1055</f>
        <v>154.784294205601</v>
      </c>
      <c r="G1056" s="59" t="n">
        <f aca="false">G1044-G1045-G1046-G1047-G1052-G1039-G1040-G1041-G1054+G1055</f>
        <v>121.052983331653</v>
      </c>
      <c r="H1056" s="59" t="n">
        <f aca="false">H1044-H1045-H1046-H1047-H1052-H1039-H1040-H1041-H1054+H1055</f>
        <v>100.118384703682</v>
      </c>
      <c r="I1056" s="59" t="n">
        <f aca="false">I1044-I1045-I1046-I1047-I1052-I1039-I1040-I1041-I1054+I1055</f>
        <v>161.31220685581</v>
      </c>
      <c r="J1056" s="59" t="n">
        <f aca="false">J1044-J1045-J1046-J1047-J1052-J1039-J1040-J1041-J1054+J1055</f>
        <v>151.977533948407</v>
      </c>
      <c r="K1056" s="59" t="n">
        <f aca="false">K1044-K1045-K1046-K1047-K1052-K1039-K1040-K1041-K1054+K1055</f>
        <v>151.152630213308</v>
      </c>
      <c r="L1056" s="59" t="n">
        <f aca="false">L1044-L1045-L1046-L1047-L1052-L1039-L1040-L1041-L1054+L1055</f>
        <v>192.4399005555</v>
      </c>
    </row>
    <row r="1057" customFormat="false" ht="15" hidden="true" customHeight="false" outlineLevel="1" collapsed="false">
      <c r="A1057" s="9" t="s">
        <v>422</v>
      </c>
      <c r="B1057" s="58" t="n">
        <f aca="false">B1056*B1036</f>
        <v>-1018.82099294178</v>
      </c>
      <c r="C1057" s="58" t="n">
        <f aca="false">C1056*C1036</f>
        <v>442.835839946032</v>
      </c>
      <c r="D1057" s="58" t="n">
        <f aca="false">D1056*D1036</f>
        <v>332.001891123351</v>
      </c>
      <c r="E1057" s="58" t="n">
        <f aca="false">E1056*E1036</f>
        <v>188.412873603864</v>
      </c>
      <c r="F1057" s="58" t="n">
        <f aca="false">F1056*F1036</f>
        <v>194.717517757533</v>
      </c>
      <c r="G1057" s="58" t="n">
        <f aca="false">G1056*G1036</f>
        <v>158.375124650443</v>
      </c>
      <c r="H1057" s="58" t="n">
        <f aca="false">H1056*H1036</f>
        <v>136.225573874184</v>
      </c>
      <c r="I1057" s="58" t="n">
        <f aca="false">I1056*I1036</f>
        <v>228.268184085845</v>
      </c>
      <c r="J1057" s="58" t="n">
        <f aca="false">J1056*J1036</f>
        <v>223.661320041003</v>
      </c>
      <c r="K1057" s="58" t="n">
        <f aca="false">K1056*K1036</f>
        <v>231.345224256375</v>
      </c>
      <c r="L1057" s="58" t="n">
        <f aca="false">L1056*L1036</f>
        <v>306.318546773165</v>
      </c>
    </row>
    <row r="1058" customFormat="false" ht="15" hidden="true" customHeight="false" outlineLevel="1" collapsed="false">
      <c r="A1058" s="6" t="s">
        <v>423</v>
      </c>
      <c r="B1058" s="29" t="n">
        <f aca="false">B1056</f>
        <v>-961.151880133756</v>
      </c>
      <c r="C1058" s="29" t="n">
        <f aca="false">B1058+C1056</f>
        <v>-563.276013156189</v>
      </c>
      <c r="D1058" s="29" t="n">
        <f aca="false">C1058+D1056</f>
        <v>-277.826634027965</v>
      </c>
      <c r="E1058" s="29" t="n">
        <f aca="false">D1058+E1056</f>
        <v>-122.063104604836</v>
      </c>
      <c r="F1058" s="29" t="n">
        <f aca="false">E1058+F1056</f>
        <v>32.7211896007647</v>
      </c>
      <c r="G1058" s="29" t="n">
        <f aca="false">F1058+G1056</f>
        <v>153.774172932418</v>
      </c>
      <c r="H1058" s="29" t="n">
        <f aca="false">G1058+H1056</f>
        <v>253.8925576361</v>
      </c>
      <c r="I1058" s="29" t="n">
        <f aca="false">H1058+I1056</f>
        <v>415.204764491911</v>
      </c>
      <c r="J1058" s="29" t="n">
        <f aca="false">I1058+J1056</f>
        <v>567.182298440318</v>
      </c>
      <c r="K1058" s="29" t="n">
        <f aca="false">J1058+K1056</f>
        <v>718.334928653626</v>
      </c>
      <c r="L1058" s="29" t="n">
        <f aca="false">K1058+L1056</f>
        <v>910.774829209126</v>
      </c>
    </row>
    <row r="1059" customFormat="false" ht="15" hidden="true" customHeight="false" outlineLevel="1" collapsed="false">
      <c r="A1059" s="9" t="s">
        <v>424</v>
      </c>
      <c r="B1059" s="60" t="n">
        <v>0</v>
      </c>
      <c r="C1059" s="60" t="n">
        <f aca="false">IF(AND(B1058&lt;0,C1058&gt;=0),B$43+(-B1058)/C1056,0)</f>
        <v>0</v>
      </c>
      <c r="D1059" s="60" t="n">
        <f aca="false">IF(AND(C1058&lt;0,D1058&gt;=0),C$43+(-C1058)/D1056,0)</f>
        <v>0</v>
      </c>
      <c r="E1059" s="60" t="n">
        <f aca="false">IF(AND(D1058&lt;0,E1058&gt;=0),D$43+(-D1058)/E1056,0)</f>
        <v>0</v>
      </c>
      <c r="F1059" s="60" t="n">
        <f aca="false">IF(AND(E1058&lt;0,F1058&gt;=0),E$43+(-E1058)/F1056,0)</f>
        <v>3.78860135798209</v>
      </c>
      <c r="G1059" s="60" t="n">
        <f aca="false">IF(AND(F1058&lt;0,G1058&gt;=0),F$43+(-F1058)/G1056,0)</f>
        <v>0</v>
      </c>
      <c r="H1059" s="60" t="n">
        <f aca="false">IF(AND(G1058&lt;0,H1058&gt;=0),G$43+(-G1058)/H1056,0)</f>
        <v>0</v>
      </c>
      <c r="I1059" s="60" t="n">
        <f aca="false">IF(AND(H1058&lt;0,I1058&gt;=0),H$43+(-H1058)/I1056,0)</f>
        <v>0</v>
      </c>
      <c r="J1059" s="60" t="n">
        <f aca="false">IF(AND(I1058&lt;0,J1058&gt;=0),I$43+(-I1058)/J1056,0)</f>
        <v>0</v>
      </c>
      <c r="K1059" s="60" t="n">
        <f aca="false">IF(AND(J1058&lt;0,K1058&gt;=0),J$43+(-J1058)/K1056,0)</f>
        <v>0</v>
      </c>
      <c r="L1059" s="60" t="n">
        <f aca="false">IF(AND(K1058&lt;0,L1058&gt;=0),K$43+(-K1058)/L1056,0)</f>
        <v>0</v>
      </c>
    </row>
    <row r="1060" customFormat="false" ht="15" hidden="true" customHeight="false" outlineLevel="1" collapsed="false">
      <c r="A1060" s="9" t="s">
        <v>425</v>
      </c>
      <c r="B1060" s="57" t="n">
        <f aca="false">(B1036/$B$1036)/(1+$Y$25)^B$43</f>
        <v>1</v>
      </c>
      <c r="C1060" s="57" t="n">
        <f aca="false">(C1036/$B$1036)/(1+$Y$25)^C$43</f>
        <v>0.915373701313561</v>
      </c>
      <c r="D1060" s="57" t="n">
        <f aca="false">(D1036/$B$1036)/(1+$Y$25)^D$43</f>
        <v>0.833918970137172</v>
      </c>
      <c r="E1060" s="57" t="n">
        <f aca="false">(E1036/$B$1036)/(1+$Y$25)^E$43</f>
        <v>0.756077518153961</v>
      </c>
      <c r="F1060" s="57" t="n">
        <f aca="false">(F1036/$B$1036)/(1+$Y$25)^F$43</f>
        <v>0.685502109831871</v>
      </c>
      <c r="G1060" s="57" t="n">
        <f aca="false">(G1036/$B$1036)/(1+$Y$25)^G$43</f>
        <v>0.621514502549008</v>
      </c>
      <c r="H1060" s="57" t="n">
        <f aca="false">(H1036/$B$1036)/(1+$Y$25)^H$43</f>
        <v>0.563499763660072</v>
      </c>
      <c r="I1060" s="57" t="n">
        <f aca="false">(I1036/$B$1036)/(1+$Y$25)^I$43</f>
        <v>0.510900360880829</v>
      </c>
      <c r="J1060" s="57" t="n">
        <f aca="false">(J1036/$B$1036)/(1+$Y$25)^J$43</f>
        <v>0.463210804300567</v>
      </c>
      <c r="K1060" s="57" t="n">
        <f aca="false">(K1036/$B$1036)/(1+$Y$25)^K$43</f>
        <v>0.419972788531318</v>
      </c>
      <c r="L1060" s="57" t="n">
        <f aca="false">(L1036/$B$1036)/(1+$Y$25)^L$43</f>
        <v>0.380770788308996</v>
      </c>
    </row>
    <row r="1061" customFormat="false" ht="15" hidden="true" customHeight="false" outlineLevel="1" collapsed="false">
      <c r="A1061" s="9" t="s">
        <v>426</v>
      </c>
      <c r="B1061" s="58" t="n">
        <f aca="false">B1056*B1060</f>
        <v>-961.151880133756</v>
      </c>
      <c r="C1061" s="58" t="n">
        <f aca="false">C1056*C1060</f>
        <v>364.205105018597</v>
      </c>
      <c r="D1061" s="58" t="n">
        <f aca="false">D1056*D1060</f>
        <v>238.041652268904</v>
      </c>
      <c r="E1061" s="58" t="n">
        <f aca="false">E1056*E1060</f>
        <v>117.769302745141</v>
      </c>
      <c r="F1061" s="58" t="n">
        <f aca="false">F1056*F1060</f>
        <v>106.104960246776</v>
      </c>
      <c r="G1061" s="58" t="n">
        <f aca="false">G1056*G1060</f>
        <v>75.2361847174459</v>
      </c>
      <c r="H1061" s="58" t="n">
        <f aca="false">H1056*H1060</f>
        <v>56.4166861185531</v>
      </c>
      <c r="I1061" s="58" t="n">
        <f aca="false">I1056*I1060</f>
        <v>82.4144646971164</v>
      </c>
      <c r="J1061" s="58" t="n">
        <f aca="false">J1056*J1060</f>
        <v>70.3976357358586</v>
      </c>
      <c r="K1061" s="58" t="n">
        <f aca="false">K1056*K1060</f>
        <v>63.4799916045261</v>
      </c>
      <c r="L1061" s="58" t="n">
        <f aca="false">L1056*L1060</f>
        <v>73.2754926366225</v>
      </c>
    </row>
    <row r="1062" customFormat="false" ht="15" hidden="true" customHeight="false" outlineLevel="1" collapsed="false">
      <c r="A1062" s="9" t="s">
        <v>427</v>
      </c>
      <c r="B1062" s="58" t="n">
        <f aca="false">B1061</f>
        <v>-961.151880133756</v>
      </c>
      <c r="C1062" s="58" t="n">
        <f aca="false">B1062+C1061</f>
        <v>-596.946775115158</v>
      </c>
      <c r="D1062" s="58" t="n">
        <f aca="false">C1062+D1061</f>
        <v>-358.905122846254</v>
      </c>
      <c r="E1062" s="58" t="n">
        <f aca="false">D1062+E1061</f>
        <v>-241.135820101114</v>
      </c>
      <c r="F1062" s="58" t="n">
        <f aca="false">E1062+F1061</f>
        <v>-135.030859854337</v>
      </c>
      <c r="G1062" s="58" t="n">
        <f aca="false">F1062+G1061</f>
        <v>-59.7946751368913</v>
      </c>
      <c r="H1062" s="58" t="n">
        <f aca="false">G1062+H1061</f>
        <v>-3.37798901833816</v>
      </c>
      <c r="I1062" s="58" t="n">
        <f aca="false">H1062+I1061</f>
        <v>79.0364756787782</v>
      </c>
      <c r="J1062" s="58" t="n">
        <f aca="false">I1062+J1061</f>
        <v>149.434111414637</v>
      </c>
      <c r="K1062" s="58" t="n">
        <f aca="false">J1062+K1061</f>
        <v>212.914103019163</v>
      </c>
      <c r="L1062" s="58" t="n">
        <f aca="false">K1062+L1061</f>
        <v>286.189595655785</v>
      </c>
    </row>
    <row r="1063" customFormat="false" ht="15" hidden="true" customHeight="false" outlineLevel="1" collapsed="false">
      <c r="A1063" s="9" t="s">
        <v>428</v>
      </c>
      <c r="B1063" s="60" t="n">
        <v>0</v>
      </c>
      <c r="C1063" s="60" t="n">
        <f aca="false">IF(AND(B1062&lt;0,C1062&gt;=0),B$43+(-B1062)/C1061,0)</f>
        <v>0</v>
      </c>
      <c r="D1063" s="60" t="n">
        <f aca="false">IF(AND(C1062&lt;0,D1062&gt;=0),C$43+(-C1062)/D1061,0)</f>
        <v>0</v>
      </c>
      <c r="E1063" s="60" t="n">
        <f aca="false">IF(AND(D1062&lt;0,E1062&gt;=0),D$43+(-D1062)/E1061,0)</f>
        <v>0</v>
      </c>
      <c r="F1063" s="60" t="n">
        <f aca="false">IF(AND(E1062&lt;0,F1062&gt;=0),E$43+(-E1062)/F1061,0)</f>
        <v>0</v>
      </c>
      <c r="G1063" s="60" t="n">
        <f aca="false">IF(AND(F1062&lt;0,G1062&gt;=0),F$43+(-F1062)/G1061,0)</f>
        <v>0</v>
      </c>
      <c r="H1063" s="60" t="n">
        <f aca="false">IF(AND(G1062&lt;0,H1062&gt;=0),G$43+(-G1062)/H1061,0)</f>
        <v>0</v>
      </c>
      <c r="I1063" s="60" t="n">
        <f aca="false">IF(AND(H1062&lt;0,I1062&gt;=0),H$43+(-H1062)/I1061,0)</f>
        <v>6.04098781725699</v>
      </c>
      <c r="J1063" s="60" t="n">
        <f aca="false">IF(AND(I1062&lt;0,J1062&gt;=0),I$43+(-I1062)/J1061,0)</f>
        <v>0</v>
      </c>
      <c r="K1063" s="60" t="n">
        <f aca="false">IF(AND(J1062&lt;0,K1062&gt;=0),J$43+(-J1062)/K1061,0)</f>
        <v>0</v>
      </c>
      <c r="L1063" s="60" t="n">
        <f aca="false">IF(AND(K1062&lt;0,L1062&gt;=0),K$43+(-K1062)/L1061,0)</f>
        <v>0</v>
      </c>
    </row>
    <row r="1064" customFormat="false" ht="15" hidden="true" customHeight="false" outlineLevel="1" collapsed="false">
      <c r="A1064" s="9" t="s">
        <v>429</v>
      </c>
      <c r="B1064" s="58" t="n">
        <f aca="false">IF(B$43&lt;0,0,(Quesería!$B$44*$B$1039*$B$1036)*(1-MAX(0,MIN(B$43-0-Quesería!$B$47,(Quesería!$B$46-Quesería!$B$47)))/(Quesería!$B$46-Quesería!$B$47))*IF(B$43&gt;=2,1-Quesería!$B$48,1))+IF(B$43&lt;1,0,(Quesería!$B$44*$C$1039*$C$1036)*(1-MAX(0,MIN(B$43-1-Quesería!$B$47,(Quesería!$B$46-Quesería!$B$47)))/(Quesería!$B$46-Quesería!$B$47))*IF(B$43&gt;=2,1-Quesería!$B$48,1))</f>
        <v>641.321364968425</v>
      </c>
      <c r="C1064" s="58" t="n">
        <f aca="false">IF(C$43&lt;0,0,(Quesería!$B$44*$B$1039*$B$1036)*(1-MAX(0,MIN(C$43-0-Quesería!$B$47,(Quesería!$B$46-Quesería!$B$47)))/(Quesería!$B$46-Quesería!$B$47))*IF(C$43&gt;=2,1-Quesería!$B$48,1))+IF(C$43&lt;1,0,(Quesería!$B$44*$C$1039*$C$1036)*(1-MAX(0,MIN(C$43-1-Quesería!$B$47,(Quesería!$B$46-Quesería!$B$47)))/(Quesería!$B$46-Quesería!$B$47))*IF(C$43&gt;=2,1-Quesería!$B$48,1))</f>
        <v>641.321364968425</v>
      </c>
      <c r="D1064" s="58" t="n">
        <f aca="false">IF(D$43&lt;0,0,(Quesería!$B$44*$B$1039*$B$1036)*(1-MAX(0,MIN(D$43-0-Quesería!$B$47,(Quesería!$B$46-Quesería!$B$47)))/(Quesería!$B$46-Quesería!$B$47))*IF(D$43&gt;=2,1-Quesería!$B$48,1))+IF(D$43&lt;1,0,(Quesería!$B$44*$C$1039*$C$1036)*(1-MAX(0,MIN(D$43-1-Quesería!$B$47,(Quesería!$B$46-Quesería!$B$47)))/(Quesería!$B$46-Quesería!$B$47))*IF(D$43&gt;=2,1-Quesería!$B$48,1))</f>
        <v>534.434470807021</v>
      </c>
      <c r="E1064" s="58" t="n">
        <f aca="false">IF(E$43&lt;0,0,(Quesería!$B$44*$B$1039*$B$1036)*(1-MAX(0,MIN(E$43-0-Quesería!$B$47,(Quesería!$B$46-Quesería!$B$47)))/(Quesería!$B$46-Quesería!$B$47))*IF(E$43&gt;=2,1-Quesería!$B$48,1))+IF(E$43&lt;1,0,(Quesería!$B$44*$C$1039*$C$1036)*(1-MAX(0,MIN(E$43-1-Quesería!$B$47,(Quesería!$B$46-Quesería!$B$47)))/(Quesería!$B$46-Quesería!$B$47))*IF(E$43&gt;=2,1-Quesería!$B$48,1))</f>
        <v>427.547576645617</v>
      </c>
      <c r="F1064" s="58" t="n">
        <f aca="false">IF(F$43&lt;0,0,(Quesería!$B$44*$B$1039*$B$1036)*(1-MAX(0,MIN(F$43-0-Quesería!$B$47,(Quesería!$B$46-Quesería!$B$47)))/(Quesería!$B$46-Quesería!$B$47))*IF(F$43&gt;=2,1-Quesería!$B$48,1))+IF(F$43&lt;1,0,(Quesería!$B$44*$C$1039*$C$1036)*(1-MAX(0,MIN(F$43-1-Quesería!$B$47,(Quesería!$B$46-Quesería!$B$47)))/(Quesería!$B$46-Quesería!$B$47))*IF(F$43&gt;=2,1-Quesería!$B$48,1))</f>
        <v>320.660682484213</v>
      </c>
      <c r="G1064" s="58" t="n">
        <f aca="false">IF(G$43&lt;0,0,(Quesería!$B$44*$B$1039*$B$1036)*(1-MAX(0,MIN(G$43-0-Quesería!$B$47,(Quesería!$B$46-Quesería!$B$47)))/(Quesería!$B$46-Quesería!$B$47))*IF(G$43&gt;=2,1-Quesería!$B$48,1))+IF(G$43&lt;1,0,(Quesería!$B$44*$C$1039*$C$1036)*(1-MAX(0,MIN(G$43-1-Quesería!$B$47,(Quesería!$B$46-Quesería!$B$47)))/(Quesería!$B$46-Quesería!$B$47))*IF(G$43&gt;=2,1-Quesería!$B$48,1))</f>
        <v>213.773788322808</v>
      </c>
      <c r="H1064" s="58" t="n">
        <f aca="false">IF(H$43&lt;0,0,(Quesería!$B$44*$B$1039*$B$1036)*(1-MAX(0,MIN(H$43-0-Quesería!$B$47,(Quesería!$B$46-Quesería!$B$47)))/(Quesería!$B$46-Quesería!$B$47))*IF(H$43&gt;=2,1-Quesería!$B$48,1))+IF(H$43&lt;1,0,(Quesería!$B$44*$C$1039*$C$1036)*(1-MAX(0,MIN(H$43-1-Quesería!$B$47,(Quesería!$B$46-Quesería!$B$47)))/(Quesería!$B$46-Quesería!$B$47))*IF(H$43&gt;=2,1-Quesería!$B$48,1))</f>
        <v>106.886894161404</v>
      </c>
      <c r="I1064" s="58" t="n">
        <f aca="false">IF(I$43&lt;0,0,(Quesería!$B$44*$B$1039*$B$1036)*(1-MAX(0,MIN(I$43-0-Quesería!$B$47,(Quesería!$B$46-Quesería!$B$47)))/(Quesería!$B$46-Quesería!$B$47))*IF(I$43&gt;=2,1-Quesería!$B$48,1))+IF(I$43&lt;1,0,(Quesería!$B$44*$C$1039*$C$1036)*(1-MAX(0,MIN(I$43-1-Quesería!$B$47,(Quesería!$B$46-Quesería!$B$47)))/(Quesería!$B$46-Quesería!$B$47))*IF(I$43&gt;=2,1-Quesería!$B$48,1))</f>
        <v>0</v>
      </c>
      <c r="J1064" s="58" t="n">
        <f aca="false">IF(J$43&lt;0,0,(Quesería!$B$44*$B$1039*$B$1036)*(1-MAX(0,MIN(J$43-0-Quesería!$B$47,(Quesería!$B$46-Quesería!$B$47)))/(Quesería!$B$46-Quesería!$B$47))*IF(J$43&gt;=2,1-Quesería!$B$48,1))+IF(J$43&lt;1,0,(Quesería!$B$44*$C$1039*$C$1036)*(1-MAX(0,MIN(J$43-1-Quesería!$B$47,(Quesería!$B$46-Quesería!$B$47)))/(Quesería!$B$46-Quesería!$B$47))*IF(J$43&gt;=2,1-Quesería!$B$48,1))</f>
        <v>0</v>
      </c>
      <c r="K1064" s="58" t="n">
        <f aca="false">IF(K$43&lt;0,0,(Quesería!$B$44*$B$1039*$B$1036)*(1-MAX(0,MIN(K$43-0-Quesería!$B$47,(Quesería!$B$46-Quesería!$B$47)))/(Quesería!$B$46-Quesería!$B$47))*IF(K$43&gt;=2,1-Quesería!$B$48,1))+IF(K$43&lt;1,0,(Quesería!$B$44*$C$1039*$C$1036)*(1-MAX(0,MIN(K$43-1-Quesería!$B$47,(Quesería!$B$46-Quesería!$B$47)))/(Quesería!$B$46-Quesería!$B$47))*IF(K$43&gt;=2,1-Quesería!$B$48,1))</f>
        <v>0</v>
      </c>
      <c r="L1064" s="58" t="n">
        <f aca="false">IF(L$43&lt;0,0,(Quesería!$B$44*$B$1039*$B$1036)*(1-MAX(0,MIN(L$43-0-Quesería!$B$47,(Quesería!$B$46-Quesería!$B$47)))/(Quesería!$B$46-Quesería!$B$47))*IF(L$43&gt;=2,1-Quesería!$B$48,1))+IF(L$43&lt;1,0,(Quesería!$B$44*$C$1039*$C$1036)*(1-MAX(0,MIN(L$43-1-Quesería!$B$47,(Quesería!$B$46-Quesería!$B$47)))/(Quesería!$B$46-Quesería!$B$47))*IF(L$43&gt;=2,1-Quesería!$B$48,1))</f>
        <v>0</v>
      </c>
    </row>
    <row r="1065" customFormat="false" ht="15" hidden="true" customHeight="false" outlineLevel="1" collapsed="false">
      <c r="A1065" s="6" t="s">
        <v>430</v>
      </c>
      <c r="B1065" s="29" t="n">
        <f aca="false">Quesería!$B$44*B1039</f>
        <v>605.02015563059</v>
      </c>
      <c r="C1065" s="29" t="n">
        <f aca="false">Quesería!$B$44*C1039</f>
        <v>0</v>
      </c>
      <c r="D1065" s="29" t="n">
        <f aca="false">Quesería!$B$44*D1039</f>
        <v>0</v>
      </c>
      <c r="E1065" s="29" t="n">
        <f aca="false">Quesería!$B$44*E1039</f>
        <v>0</v>
      </c>
      <c r="F1065" s="29" t="n">
        <f aca="false">Quesería!$B$44*F1039</f>
        <v>0</v>
      </c>
      <c r="G1065" s="29" t="n">
        <f aca="false">Quesería!$B$44*G1039</f>
        <v>0</v>
      </c>
      <c r="H1065" s="29" t="n">
        <f aca="false">Quesería!$B$44*H1039</f>
        <v>0</v>
      </c>
      <c r="I1065" s="29" t="n">
        <f aca="false">Quesería!$B$44*I1039</f>
        <v>0</v>
      </c>
      <c r="J1065" s="29" t="n">
        <f aca="false">Quesería!$B$44*J1039</f>
        <v>0</v>
      </c>
      <c r="K1065" s="29" t="n">
        <f aca="false">Quesería!$B$44*K1039</f>
        <v>0</v>
      </c>
      <c r="L1065" s="29" t="n">
        <f aca="false">Quesería!$B$44*L1039</f>
        <v>0</v>
      </c>
    </row>
    <row r="1066" customFormat="false" ht="15" hidden="true" customHeight="false" outlineLevel="1" collapsed="false">
      <c r="A1066" s="6" t="s">
        <v>431</v>
      </c>
      <c r="B1066" s="29" t="n">
        <f aca="false">(IF(AND(B$43&gt;0,B$43&lt;=0+Quesería!$B$46),($Y$14+$Y$24)*(Quesería!$B$44*$B$1039*$B$1036)*(1-MAX(0,MIN((B$43-1)-0-Quesería!$B$47,(Quesería!$B$46-Quesería!$B$47)))/(Quesería!$B$46-Quesería!$B$47))*IF(B$43&gt;2,1-Quesería!$B$48,1),0)+IF(AND(B$43&gt;1,B$43&lt;=1+Quesería!$B$46),($Y$14+$Y$24)*(Quesería!$B$44*$C$1039*$C$1036)*(1-MAX(0,MIN((B$43-1)-1-Quesería!$B$47,(Quesería!$B$46-Quesería!$B$47)))/(Quesería!$B$46-Quesería!$B$47))*IF(B$43&gt;2,1-Quesería!$B$48,1),0))*B1038</f>
        <v>0</v>
      </c>
      <c r="C1066" s="29" t="n">
        <f aca="false">(IF(AND(C$43&gt;0,C$43&lt;=0+Quesería!$B$46),($Y$14+$Y$24)*(Quesería!$B$44*$B$1039*$B$1036)*(1-MAX(0,MIN((C$43-1)-0-Quesería!$B$47,(Quesería!$B$46-Quesería!$B$47)))/(Quesería!$B$46-Quesería!$B$47))*IF(C$43&gt;2,1-Quesería!$B$48,1),0)+IF(AND(C$43&gt;1,C$43&lt;=1+Quesería!$B$46),($Y$14+$Y$24)*(Quesería!$B$44*$C$1039*$C$1036)*(1-MAX(0,MIN((C$43-1)-1-Quesería!$B$47,(Quesería!$B$46-Quesería!$B$47)))/(Quesería!$B$46-Quesería!$B$47))*IF(C$43&gt;2,1-Quesería!$B$48,1),0))*C1038</f>
        <v>81.2455637561078</v>
      </c>
      <c r="D1066" s="29" t="n">
        <f aca="false">(IF(AND(D$43&gt;0,D$43&lt;=0+Quesería!$B$46),($Y$14+$Y$24)*(Quesería!$B$44*$B$1039*$B$1036)*(1-MAX(0,MIN((D$43-1)-0-Quesería!$B$47,(Quesería!$B$46-Quesería!$B$47)))/(Quesería!$B$46-Quesería!$B$47))*IF(D$43&gt;2,1-Quesería!$B$48,1),0)+IF(AND(D$43&gt;1,D$43&lt;=1+Quesería!$B$46),($Y$14+$Y$24)*(Quesería!$B$44*$C$1039*$C$1036)*(1-MAX(0,MIN((D$43-1)-1-Quesería!$B$47,(Quesería!$B$46-Quesería!$B$47)))/(Quesería!$B$46-Quesería!$B$47))*IF(D$43&gt;2,1-Quesería!$B$48,1),0))*D1038</f>
        <v>77.7469509627826</v>
      </c>
      <c r="E1066" s="29" t="n">
        <f aca="false">(IF(AND(E$43&gt;0,E$43&lt;=0+Quesería!$B$46),($Y$14+$Y$24)*(Quesería!$B$44*$B$1039*$B$1036)*(1-MAX(0,MIN((E$43-1)-0-Quesería!$B$47,(Quesería!$B$46-Quesería!$B$47)))/(Quesería!$B$46-Quesería!$B$47))*IF(E$43&gt;2,1-Quesería!$B$48,1),0)+IF(AND(E$43&gt;1,E$43&lt;=1+Quesería!$B$46),($Y$14+$Y$24)*(Quesería!$B$44*$C$1039*$C$1036)*(1-MAX(0,MIN((E$43-1)-1-Quesería!$B$47,(Quesería!$B$46-Quesería!$B$47)))/(Quesería!$B$46-Quesería!$B$47))*IF(E$43&gt;2,1-Quesería!$B$48,1),0))*E1038</f>
        <v>62.2972363483835</v>
      </c>
      <c r="F1066" s="29" t="n">
        <f aca="false">(IF(AND(F$43&gt;0,F$43&lt;=0+Quesería!$B$46),($Y$14+$Y$24)*(Quesería!$B$44*$B$1039*$B$1036)*(1-MAX(0,MIN((F$43-1)-0-Quesería!$B$47,(Quesería!$B$46-Quesería!$B$47)))/(Quesería!$B$46-Quesería!$B$47))*IF(F$43&gt;2,1-Quesería!$B$48,1),0)+IF(AND(F$43&gt;1,F$43&lt;=1+Quesería!$B$46),($Y$14+$Y$24)*(Quesería!$B$44*$C$1039*$C$1036)*(1-MAX(0,MIN((F$43-1)-1-Quesería!$B$47,(Quesería!$B$46-Quesería!$B$47)))/(Quesería!$B$46-Quesería!$B$47))*IF(F$43&gt;2,1-Quesería!$B$48,1),0))*F1038</f>
        <v>47.920951037218</v>
      </c>
      <c r="G1066" s="29" t="n">
        <f aca="false">(IF(AND(G$43&gt;0,G$43&lt;=0+Quesería!$B$46),($Y$14+$Y$24)*(Quesería!$B$44*$B$1039*$B$1036)*(1-MAX(0,MIN((G$43-1)-0-Quesería!$B$47,(Quesería!$B$46-Quesería!$B$47)))/(Quesería!$B$46-Quesería!$B$47))*IF(G$43&gt;2,1-Quesería!$B$48,1),0)+IF(AND(G$43&gt;1,G$43&lt;=1+Quesería!$B$46),($Y$14+$Y$24)*(Quesería!$B$44*$C$1039*$C$1036)*(1-MAX(0,MIN((G$43-1)-1-Quesería!$B$47,(Quesería!$B$46-Quesería!$B$47)))/(Quesería!$B$46-Quesería!$B$47))*IF(G$43&gt;2,1-Quesería!$B$48,1),0))*G1038</f>
        <v>34.5583781518399</v>
      </c>
      <c r="H1066" s="29" t="n">
        <f aca="false">(IF(AND(H$43&gt;0,H$43&lt;=0+Quesería!$B$46),($Y$14+$Y$24)*(Quesería!$B$44*$B$1039*$B$1036)*(1-MAX(0,MIN((H$43-1)-0-Quesería!$B$47,(Quesería!$B$46-Quesería!$B$47)))/(Quesería!$B$46-Quesería!$B$47))*IF(H$43&gt;2,1-Quesería!$B$48,1),0)+IF(AND(H$43&gt;1,H$43&lt;=1+Quesería!$B$46),($Y$14+$Y$24)*(Quesería!$B$44*$C$1039*$C$1036)*(1-MAX(0,MIN((H$43-1)-1-Quesería!$B$47,(Quesería!$B$46-Quesería!$B$47)))/(Quesería!$B$46-Quesería!$B$47))*IF(H$43&gt;2,1-Quesería!$B$48,1),0))*H1038</f>
        <v>22.1528065075897</v>
      </c>
      <c r="I1066" s="29" t="n">
        <f aca="false">(IF(AND(I$43&gt;0,I$43&lt;=0+Quesería!$B$46),($Y$14+$Y$24)*(Quesería!$B$44*$B$1039*$B$1036)*(1-MAX(0,MIN((I$43-1)-0-Quesería!$B$47,(Quesería!$B$46-Quesería!$B$47)))/(Quesería!$B$46-Quesería!$B$47))*IF(I$43&gt;2,1-Quesería!$B$48,1),0)+IF(AND(I$43&gt;1,I$43&lt;=1+Quesería!$B$46),($Y$14+$Y$24)*(Quesería!$B$44*$C$1039*$C$1036)*(1-MAX(0,MIN((I$43-1)-1-Quesería!$B$47,(Quesería!$B$46-Quesería!$B$47)))/(Quesería!$B$46-Quesería!$B$47))*IF(I$43&gt;2,1-Quesería!$B$48,1),0))*I1038</f>
        <v>10.6503877440335</v>
      </c>
      <c r="J1066" s="29" t="n">
        <f aca="false">(IF(AND(J$43&gt;0,J$43&lt;=0+Quesería!$B$46),($Y$14+$Y$24)*(Quesería!$B$44*$B$1039*$B$1036)*(1-MAX(0,MIN((J$43-1)-0-Quesería!$B$47,(Quesería!$B$46-Quesería!$B$47)))/(Quesería!$B$46-Quesería!$B$47))*IF(J$43&gt;2,1-Quesería!$B$48,1),0)+IF(AND(J$43&gt;1,J$43&lt;=1+Quesería!$B$46),($Y$14+$Y$24)*(Quesería!$B$44*$C$1039*$C$1036)*(1-MAX(0,MIN((J$43-1)-1-Quesería!$B$47,(Quesería!$B$46-Quesería!$B$47)))/(Quesería!$B$46-Quesería!$B$47))*IF(J$43&gt;2,1-Quesería!$B$48,1),0))*J1038</f>
        <v>0</v>
      </c>
      <c r="K1066" s="29" t="n">
        <f aca="false">(IF(AND(K$43&gt;0,K$43&lt;=0+Quesería!$B$46),($Y$14+$Y$24)*(Quesería!$B$44*$B$1039*$B$1036)*(1-MAX(0,MIN((K$43-1)-0-Quesería!$B$47,(Quesería!$B$46-Quesería!$B$47)))/(Quesería!$B$46-Quesería!$B$47))*IF(K$43&gt;2,1-Quesería!$B$48,1),0)+IF(AND(K$43&gt;1,K$43&lt;=1+Quesería!$B$46),($Y$14+$Y$24)*(Quesería!$B$44*$C$1039*$C$1036)*(1-MAX(0,MIN((K$43-1)-1-Quesería!$B$47,(Quesería!$B$46-Quesería!$B$47)))/(Quesería!$B$46-Quesería!$B$47))*IF(K$43&gt;2,1-Quesería!$B$48,1),0))*K1038</f>
        <v>0</v>
      </c>
      <c r="L1066" s="29" t="n">
        <f aca="false">(IF(AND(L$43&gt;0,L$43&lt;=0+Quesería!$B$46),($Y$14+$Y$24)*(Quesería!$B$44*$B$1039*$B$1036)*(1-MAX(0,MIN((L$43-1)-0-Quesería!$B$47,(Quesería!$B$46-Quesería!$B$47)))/(Quesería!$B$46-Quesería!$B$47))*IF(L$43&gt;2,1-Quesería!$B$48,1),0)+IF(AND(L$43&gt;1,L$43&lt;=1+Quesería!$B$46),($Y$14+$Y$24)*(Quesería!$B$44*$C$1039*$C$1036)*(1-MAX(0,MIN((L$43-1)-1-Quesería!$B$47,(Quesería!$B$46-Quesería!$B$47)))/(Quesería!$B$46-Quesería!$B$47))*IF(L$43&gt;2,1-Quesería!$B$48,1),0))*L1038</f>
        <v>0</v>
      </c>
    </row>
    <row r="1067" customFormat="false" ht="15" hidden="true" customHeight="false" outlineLevel="1" collapsed="false">
      <c r="A1067" s="6" t="s">
        <v>432</v>
      </c>
      <c r="B1067" s="29" t="n">
        <f aca="false">((IF(AND(B$43&gt;0+Quesería!$B$47,B$43&lt;=0+Quesería!$B$46),(Quesería!$B$44*$B$1039*$B$1036)/(Quesería!$B$46-Quesería!$B$47),0)*IF(B$43&gt;2,1-Quesería!$B$48,1)+IF(B$43=2,Quesería!$B$48*(Quesería!$B$44*$B$1039*$B$1036)*(1-MAX(0,MIN(2-0-Quesería!$B$47,(Quesería!$B$46-Quesería!$B$47)))/(Quesería!$B$46-Quesería!$B$47)),0))+(IF(AND(B$43&gt;1+Quesería!$B$47,B$43&lt;=1+Quesería!$B$46),(Quesería!$B$44*$C$1039*$C$1036)/(Quesería!$B$46-Quesería!$B$47),0)*IF(B$43&gt;2,1-Quesería!$B$48,1)+IF(B$43=2,Quesería!$B$48*(Quesería!$B$44*$C$1039*$C$1036)*(1-MAX(0,MIN(2-1-Quesería!$B$47,(Quesería!$B$46-Quesería!$B$47)))/(Quesería!$B$46-Quesería!$B$47)),0)))*B1038</f>
        <v>0</v>
      </c>
      <c r="C1067" s="29" t="n">
        <f aca="false">((IF(AND(C$43&gt;0+Quesería!$B$47,C$43&lt;=0+Quesería!$B$46),(Quesería!$B$44*$B$1039*$B$1036)/(Quesería!$B$46-Quesería!$B$47),0)*IF(C$43&gt;2,1-Quesería!$B$48,1)+IF(C$43=2,Quesería!$B$48*(Quesería!$B$44*$B$1039*$B$1036)*(1-MAX(0,MIN(2-0-Quesería!$B$47,(Quesería!$B$46-Quesería!$B$47)))/(Quesería!$B$46-Quesería!$B$47)),0))+(IF(AND(C$43&gt;1+Quesería!$B$47,C$43&lt;=1+Quesería!$B$46),(Quesería!$B$44*$C$1039*$C$1036)/(Quesería!$B$46-Quesería!$B$47),0)*IF(C$43&gt;2,1-Quesería!$B$48,1)+IF(C$43=2,Quesería!$B$48*(Quesería!$B$44*$C$1039*$C$1036)*(1-MAX(0,MIN(2-1-Quesería!$B$47,(Quesería!$B$46-Quesería!$B$47)))/(Quesería!$B$46-Quesería!$B$47)),0)))*C1038</f>
        <v>0</v>
      </c>
      <c r="D1067" s="29" t="n">
        <f aca="false">((IF(AND(D$43&gt;0+Quesería!$B$47,D$43&lt;=0+Quesería!$B$46),(Quesería!$B$44*$B$1039*$B$1036)/(Quesería!$B$46-Quesería!$B$47),0)*IF(D$43&gt;2,1-Quesería!$B$48,1)+IF(D$43=2,Quesería!$B$48*(Quesería!$B$44*$B$1039*$B$1036)*(1-MAX(0,MIN(2-0-Quesería!$B$47,(Quesería!$B$46-Quesería!$B$47)))/(Quesería!$B$46-Quesería!$B$47)),0))+(IF(AND(D$43&gt;1+Quesería!$B$47,D$43&lt;=1+Quesería!$B$46),(Quesería!$B$44*$C$1039*$C$1036)/(Quesería!$B$46-Quesería!$B$47),0)*IF(D$43&gt;2,1-Quesería!$B$48,1)+IF(D$43=2,Quesería!$B$48*(Quesería!$B$44*$C$1039*$C$1036)*(1-MAX(0,MIN(2-1-Quesería!$B$47,(Quesería!$B$46-Quesería!$B$47)))/(Quesería!$B$46-Quesería!$B$47)),0)))*D1038</f>
        <v>91.8994692231472</v>
      </c>
      <c r="E1067" s="29" t="n">
        <f aca="false">((IF(AND(E$43&gt;0+Quesería!$B$47,E$43&lt;=0+Quesería!$B$46),(Quesería!$B$44*$B$1039*$B$1036)/(Quesería!$B$46-Quesería!$B$47),0)*IF(E$43&gt;2,1-Quesería!$B$48,1)+IF(E$43=2,Quesería!$B$48*(Quesería!$B$44*$B$1039*$B$1036)*(1-MAX(0,MIN(2-0-Quesería!$B$47,(Quesería!$B$46-Quesería!$B$47)))/(Quesería!$B$46-Quesería!$B$47)),0))+(IF(AND(E$43&gt;1+Quesería!$B$47,E$43&lt;=1+Quesería!$B$46),(Quesería!$B$44*$C$1039*$C$1036)/(Quesería!$B$46-Quesería!$B$47),0)*IF(E$43&gt;2,1-Quesería!$B$48,1)+IF(E$43=2,Quesería!$B$48*(Quesería!$B$44*$C$1039*$C$1036)*(1-MAX(0,MIN(2-1-Quesería!$B$47,(Quesería!$B$46-Quesería!$B$47)))/(Quesería!$B$46-Quesería!$B$47)),0)))*E1038</f>
        <v>88.3648742530262</v>
      </c>
      <c r="F1067" s="29" t="n">
        <f aca="false">((IF(AND(F$43&gt;0+Quesería!$B$47,F$43&lt;=0+Quesería!$B$46),(Quesería!$B$44*$B$1039*$B$1036)/(Quesería!$B$46-Quesería!$B$47),0)*IF(F$43&gt;2,1-Quesería!$B$48,1)+IF(F$43=2,Quesería!$B$48*(Quesería!$B$44*$B$1039*$B$1036)*(1-MAX(0,MIN(2-0-Quesería!$B$47,(Quesería!$B$46-Quesería!$B$47)))/(Quesería!$B$46-Quesería!$B$47)),0))+(IF(AND(F$43&gt;1+Quesería!$B$47,F$43&lt;=1+Quesería!$B$46),(Quesería!$B$44*$C$1039*$C$1036)/(Quesería!$B$46-Quesería!$B$47),0)*IF(F$43&gt;2,1-Quesería!$B$48,1)+IF(F$43=2,Quesería!$B$48*(Quesería!$B$44*$C$1039*$C$1036)*(1-MAX(0,MIN(2-1-Quesería!$B$47,(Quesería!$B$46-Quesería!$B$47)))/(Quesería!$B$46-Quesería!$B$47)),0)))*F1038</f>
        <v>84.9662252432944</v>
      </c>
      <c r="G1067" s="29" t="n">
        <f aca="false">((IF(AND(G$43&gt;0+Quesería!$B$47,G$43&lt;=0+Quesería!$B$46),(Quesería!$B$44*$B$1039*$B$1036)/(Quesería!$B$46-Quesería!$B$47),0)*IF(G$43&gt;2,1-Quesería!$B$48,1)+IF(G$43=2,Quesería!$B$48*(Quesería!$B$44*$B$1039*$B$1036)*(1-MAX(0,MIN(2-0-Quesería!$B$47,(Quesería!$B$46-Quesería!$B$47)))/(Quesería!$B$46-Quesería!$B$47)),0))+(IF(AND(G$43&gt;1+Quesería!$B$47,G$43&lt;=1+Quesería!$B$46),(Quesería!$B$44*$C$1039*$C$1036)/(Quesería!$B$46-Quesería!$B$47),0)*IF(G$43&gt;2,1-Quesería!$B$48,1)+IF(G$43=2,Quesería!$B$48*(Quesería!$B$44*$C$1039*$C$1036)*(1-MAX(0,MIN(2-1-Quesería!$B$47,(Quesería!$B$46-Quesería!$B$47)))/(Quesería!$B$46-Quesería!$B$47)),0)))*G1038</f>
        <v>81.6982935031677</v>
      </c>
      <c r="H1067" s="29" t="n">
        <f aca="false">((IF(AND(H$43&gt;0+Quesería!$B$47,H$43&lt;=0+Quesería!$B$46),(Quesería!$B$44*$B$1039*$B$1036)/(Quesería!$B$46-Quesería!$B$47),0)*IF(H$43&gt;2,1-Quesería!$B$48,1)+IF(H$43=2,Quesería!$B$48*(Quesería!$B$44*$B$1039*$B$1036)*(1-MAX(0,MIN(2-0-Quesería!$B$47,(Quesería!$B$46-Quesería!$B$47)))/(Quesería!$B$46-Quesería!$B$47)),0))+(IF(AND(H$43&gt;1+Quesería!$B$47,H$43&lt;=1+Quesería!$B$46),(Quesería!$B$44*$C$1039*$C$1036)/(Quesería!$B$46-Quesería!$B$47),0)*IF(H$43&gt;2,1-Quesería!$B$48,1)+IF(H$43=2,Quesería!$B$48*(Quesería!$B$44*$C$1039*$C$1036)*(1-MAX(0,MIN(2-1-Quesería!$B$47,(Quesería!$B$46-Quesería!$B$47)))/(Quesería!$B$46-Quesería!$B$47)),0)))*H1038</f>
        <v>78.5560514453536</v>
      </c>
      <c r="I1067" s="29" t="n">
        <f aca="false">((IF(AND(I$43&gt;0+Quesería!$B$47,I$43&lt;=0+Quesería!$B$46),(Quesería!$B$44*$B$1039*$B$1036)/(Quesería!$B$46-Quesería!$B$47),0)*IF(I$43&gt;2,1-Quesería!$B$48,1)+IF(I$43=2,Quesería!$B$48*(Quesería!$B$44*$B$1039*$B$1036)*(1-MAX(0,MIN(2-0-Quesería!$B$47,(Quesería!$B$46-Quesería!$B$47)))/(Quesería!$B$46-Quesería!$B$47)),0))+(IF(AND(I$43&gt;1+Quesería!$B$47,I$43&lt;=1+Quesería!$B$46),(Quesería!$B$44*$C$1039*$C$1036)/(Quesería!$B$46-Quesería!$B$47),0)*IF(I$43&gt;2,1-Quesería!$B$48,1)+IF(I$43=2,Quesería!$B$48*(Quesería!$B$44*$C$1039*$C$1036)*(1-MAX(0,MIN(2-1-Quesería!$B$47,(Quesería!$B$46-Quesería!$B$47)))/(Quesería!$B$46-Quesería!$B$47)),0)))*I1038</f>
        <v>75.5346648513015</v>
      </c>
      <c r="J1067" s="29" t="n">
        <f aca="false">((IF(AND(J$43&gt;0+Quesería!$B$47,J$43&lt;=0+Quesería!$B$46),(Quesería!$B$44*$B$1039*$B$1036)/(Quesería!$B$46-Quesería!$B$47),0)*IF(J$43&gt;2,1-Quesería!$B$48,1)+IF(J$43=2,Quesería!$B$48*(Quesería!$B$44*$B$1039*$B$1036)*(1-MAX(0,MIN(2-0-Quesería!$B$47,(Quesería!$B$46-Quesería!$B$47)))/(Quesería!$B$46-Quesería!$B$47)),0))+(IF(AND(J$43&gt;1+Quesería!$B$47,J$43&lt;=1+Quesería!$B$46),(Quesería!$B$44*$C$1039*$C$1036)/(Quesería!$B$46-Quesería!$B$47),0)*IF(J$43&gt;2,1-Quesería!$B$48,1)+IF(J$43=2,Quesería!$B$48*(Quesería!$B$44*$C$1039*$C$1036)*(1-MAX(0,MIN(2-1-Quesería!$B$47,(Quesería!$B$46-Quesería!$B$47)))/(Quesería!$B$46-Quesería!$B$47)),0)))*J1038</f>
        <v>0</v>
      </c>
      <c r="K1067" s="29" t="n">
        <f aca="false">((IF(AND(K$43&gt;0+Quesería!$B$47,K$43&lt;=0+Quesería!$B$46),(Quesería!$B$44*$B$1039*$B$1036)/(Quesería!$B$46-Quesería!$B$47),0)*IF(K$43&gt;2,1-Quesería!$B$48,1)+IF(K$43=2,Quesería!$B$48*(Quesería!$B$44*$B$1039*$B$1036)*(1-MAX(0,MIN(2-0-Quesería!$B$47,(Quesería!$B$46-Quesería!$B$47)))/(Quesería!$B$46-Quesería!$B$47)),0))+(IF(AND(K$43&gt;1+Quesería!$B$47,K$43&lt;=1+Quesería!$B$46),(Quesería!$B$44*$C$1039*$C$1036)/(Quesería!$B$46-Quesería!$B$47),0)*IF(K$43&gt;2,1-Quesería!$B$48,1)+IF(K$43=2,Quesería!$B$48*(Quesería!$B$44*$C$1039*$C$1036)*(1-MAX(0,MIN(2-1-Quesería!$B$47,(Quesería!$B$46-Quesería!$B$47)))/(Quesería!$B$46-Quesería!$B$47)),0)))*K1038</f>
        <v>0</v>
      </c>
      <c r="L1067" s="29" t="n">
        <f aca="false">((IF(AND(L$43&gt;0+Quesería!$B$47,L$43&lt;=0+Quesería!$B$46),(Quesería!$B$44*$B$1039*$B$1036)/(Quesería!$B$46-Quesería!$B$47),0)*IF(L$43&gt;2,1-Quesería!$B$48,1)+IF(L$43=2,Quesería!$B$48*(Quesería!$B$44*$B$1039*$B$1036)*(1-MAX(0,MIN(2-0-Quesería!$B$47,(Quesería!$B$46-Quesería!$B$47)))/(Quesería!$B$46-Quesería!$B$47)),0))+(IF(AND(L$43&gt;1+Quesería!$B$47,L$43&lt;=1+Quesería!$B$46),(Quesería!$B$44*$C$1039*$C$1036)/(Quesería!$B$46-Quesería!$B$47),0)*IF(L$43&gt;2,1-Quesería!$B$48,1)+IF(L$43=2,Quesería!$B$48*(Quesería!$B$44*$C$1039*$C$1036)*(1-MAX(0,MIN(2-1-Quesería!$B$47,(Quesería!$B$46-Quesería!$B$47)))/(Quesería!$B$46-Quesería!$B$47)),0)))*L1038</f>
        <v>0</v>
      </c>
    </row>
    <row r="1068" customFormat="false" ht="15" hidden="true" customHeight="false" outlineLevel="1" collapsed="false">
      <c r="A1068" s="6" t="s">
        <v>433</v>
      </c>
      <c r="B1068" s="29" t="n">
        <f aca="false">$Y$13*Quesería!$B$51*(1+0.19)*B1064*B1038+(1-$Y$13)*IF(B$43=0,Quesería!$B$50,0)</f>
        <v>4</v>
      </c>
      <c r="C1068" s="29" t="n">
        <f aca="false">$Y$13*Quesería!$B$51*(1+0.19)*C1064*C1038+(1-$Y$13)*IF(C$43=0,Quesería!$B$50,0)</f>
        <v>0</v>
      </c>
      <c r="D1068" s="29" t="n">
        <f aca="false">$Y$13*Quesería!$B$51*(1+0.19)*D1064*D1038+(1-$Y$13)*IF(D$43=0,Quesería!$B$50,0)</f>
        <v>0</v>
      </c>
      <c r="E1068" s="29" t="n">
        <f aca="false">$Y$13*Quesería!$B$51*(1+0.19)*E1064*E1038+(1-$Y$13)*IF(E$43=0,Quesería!$B$50,0)</f>
        <v>0</v>
      </c>
      <c r="F1068" s="29" t="n">
        <f aca="false">$Y$13*Quesería!$B$51*(1+0.19)*F1064*F1038+(1-$Y$13)*IF(F$43=0,Quesería!$B$50,0)</f>
        <v>0</v>
      </c>
      <c r="G1068" s="29" t="n">
        <f aca="false">$Y$13*Quesería!$B$51*(1+0.19)*G1064*G1038+(1-$Y$13)*IF(G$43=0,Quesería!$B$50,0)</f>
        <v>0</v>
      </c>
      <c r="H1068" s="29" t="n">
        <f aca="false">$Y$13*Quesería!$B$51*(1+0.19)*H1064*H1038+(1-$Y$13)*IF(H$43=0,Quesería!$B$50,0)</f>
        <v>0</v>
      </c>
      <c r="I1068" s="29" t="n">
        <f aca="false">$Y$13*Quesería!$B$51*(1+0.19)*I1064*I1038+(1-$Y$13)*IF(I$43=0,Quesería!$B$50,0)</f>
        <v>0</v>
      </c>
      <c r="J1068" s="29" t="n">
        <f aca="false">$Y$13*Quesería!$B$51*(1+0.19)*J1064*J1038+(1-$Y$13)*IF(J$43=0,Quesería!$B$50,0)</f>
        <v>0</v>
      </c>
      <c r="K1068" s="29" t="n">
        <f aca="false">$Y$13*Quesería!$B$51*(1+0.19)*K1064*K1038+(1-$Y$13)*IF(K$43=0,Quesería!$B$50,0)</f>
        <v>0</v>
      </c>
      <c r="L1068" s="29" t="n">
        <f aca="false">$Y$13*Quesería!$B$51*(1+0.19)*L1064*L1038+(1-$Y$13)*IF(L$43=0,Quesería!$B$50,0)</f>
        <v>0</v>
      </c>
    </row>
    <row r="1069" customFormat="false" ht="15" hidden="true" customHeight="false" outlineLevel="1" collapsed="false">
      <c r="A1069" s="6" t="s">
        <v>434</v>
      </c>
      <c r="B1069" s="29" t="n">
        <f aca="false">Quesería!$B$52*(B1066+B1067+B1068)</f>
        <v>0.016</v>
      </c>
      <c r="C1069" s="29" t="n">
        <f aca="false">Quesería!$B$52*(C1066+C1067+C1068)</f>
        <v>0.324982255024431</v>
      </c>
      <c r="D1069" s="29" t="n">
        <f aca="false">Quesería!$B$52*(D1066+D1067+D1068)</f>
        <v>0.678585680743719</v>
      </c>
      <c r="E1069" s="29" t="n">
        <f aca="false">Quesería!$B$52*(E1066+E1067+E1068)</f>
        <v>0.602648442405639</v>
      </c>
      <c r="F1069" s="29" t="n">
        <f aca="false">Quesería!$B$52*(F1066+F1067+F1068)</f>
        <v>0.53154870512205</v>
      </c>
      <c r="G1069" s="29" t="n">
        <f aca="false">Quesería!$B$52*(G1066+G1067+G1068)</f>
        <v>0.465026686620031</v>
      </c>
      <c r="H1069" s="29" t="n">
        <f aca="false">Quesería!$B$52*(H1066+H1067+H1068)</f>
        <v>0.402835431811773</v>
      </c>
      <c r="I1069" s="29" t="n">
        <f aca="false">Quesería!$B$52*(I1066+I1067+I1068)</f>
        <v>0.34474021038134</v>
      </c>
      <c r="J1069" s="29" t="n">
        <f aca="false">Quesería!$B$52*(J1066+J1067+J1068)</f>
        <v>0</v>
      </c>
      <c r="K1069" s="29" t="n">
        <f aca="false">Quesería!$B$52*(K1066+K1067+K1068)</f>
        <v>0</v>
      </c>
      <c r="L1069" s="29" t="n">
        <f aca="false">Quesería!$B$52*(L1066+L1067+L1068)</f>
        <v>0</v>
      </c>
    </row>
    <row r="1070" customFormat="false" ht="15" hidden="true" customHeight="false" outlineLevel="1" collapsed="false">
      <c r="A1070" s="6" t="s">
        <v>435</v>
      </c>
      <c r="B1070" s="29" t="n">
        <f aca="false">$Y$17*(B1066+B1068+0.5*B1069)</f>
        <v>1.4028</v>
      </c>
      <c r="C1070" s="29" t="n">
        <f aca="false">$Y$17*(C1066+C1068+0.5*C1069)</f>
        <v>28.492819209267</v>
      </c>
      <c r="D1070" s="29" t="n">
        <f aca="false">$Y$17*(D1066+D1068+0.5*D1069)</f>
        <v>27.330185331104</v>
      </c>
      <c r="E1070" s="29" t="n">
        <f aca="false">$Y$17*(E1066+E1068+0.5*E1069)</f>
        <v>21.9094961993552</v>
      </c>
      <c r="F1070" s="29" t="n">
        <f aca="false">$Y$17*(F1066+F1068+0.5*F1069)</f>
        <v>16.8653538864227</v>
      </c>
      <c r="G1070" s="29" t="n">
        <f aca="false">$Y$17*(G1066+G1068+0.5*G1069)</f>
        <v>12.1768120233025</v>
      </c>
      <c r="H1070" s="29" t="n">
        <f aca="false">$Y$17*(H1066+H1068+0.5*H1069)</f>
        <v>7.82397847822346</v>
      </c>
      <c r="I1070" s="29" t="n">
        <f aca="false">$Y$17*(I1066+I1068+0.5*I1069)</f>
        <v>3.78796524722846</v>
      </c>
      <c r="J1070" s="29" t="n">
        <f aca="false">$Y$17*(J1066+J1068+0.5*J1069)</f>
        <v>0</v>
      </c>
      <c r="K1070" s="29" t="n">
        <f aca="false">$Y$17*(K1066+K1068+0.5*K1069)</f>
        <v>0</v>
      </c>
      <c r="L1070" s="29" t="n">
        <f aca="false">$Y$17*(L1066+L1068+0.5*L1069)</f>
        <v>0</v>
      </c>
    </row>
    <row r="1071" customFormat="false" ht="15" hidden="true" customHeight="false" outlineLevel="1" collapsed="false">
      <c r="A1071" s="5" t="s">
        <v>436</v>
      </c>
      <c r="B1071" s="59" t="n">
        <f aca="false">B1056+B1065-B1066-B1067-B1068-B1069+B1070</f>
        <v>-358.744924503166</v>
      </c>
      <c r="C1071" s="59" t="n">
        <f aca="false">C1056+C1065-C1066-C1067-C1068-C1069+C1070</f>
        <v>344.798140175701</v>
      </c>
      <c r="D1071" s="59" t="n">
        <f aca="false">D1056+D1065-D1066-D1067-D1068-D1069+D1070</f>
        <v>142.454558592655</v>
      </c>
      <c r="E1071" s="59" t="n">
        <f aca="false">E1056+E1065-E1066-E1067-E1068-E1069+E1070</f>
        <v>26.4082665786688</v>
      </c>
      <c r="F1071" s="59" t="n">
        <f aca="false">F1056+F1065-F1066-F1067-F1068-F1069+F1070</f>
        <v>38.2309231063889</v>
      </c>
      <c r="G1071" s="59" t="n">
        <f aca="false">G1056+G1065-G1066-G1067-G1068-G1069+G1070</f>
        <v>16.5080970133283</v>
      </c>
      <c r="H1071" s="59" t="n">
        <f aca="false">H1056+H1065-H1066-H1067-H1068-H1069+H1070</f>
        <v>6.8306697971507</v>
      </c>
      <c r="I1071" s="59" t="n">
        <f aca="false">I1056+I1065-I1066-I1067-I1068-I1069+I1070</f>
        <v>78.5703792973222</v>
      </c>
      <c r="J1071" s="59" t="n">
        <f aca="false">J1056+J1065-J1066-J1067-J1068-J1069+J1070</f>
        <v>151.977533948407</v>
      </c>
      <c r="K1071" s="59" t="n">
        <f aca="false">K1056+K1065-K1066-K1067-K1068-K1069+K1070</f>
        <v>151.152630213308</v>
      </c>
      <c r="L1071" s="59" t="n">
        <f aca="false">L1056+L1065-L1066-L1067-L1068-L1069+L1070</f>
        <v>192.4399005555</v>
      </c>
    </row>
    <row r="1072" customFormat="false" ht="15" hidden="true" customHeight="false" outlineLevel="1" collapsed="false">
      <c r="A1072" s="9" t="s">
        <v>437</v>
      </c>
      <c r="B1072" s="58" t="n">
        <f aca="false">B1071*B1036</f>
        <v>-380.269619973356</v>
      </c>
      <c r="C1072" s="58" t="n">
        <f aca="false">C1071*C1036</f>
        <v>383.760330015556</v>
      </c>
      <c r="D1072" s="58" t="n">
        <f aca="false">D1071*D1036</f>
        <v>165.686760280738</v>
      </c>
      <c r="E1072" s="58" t="n">
        <f aca="false">E1071*E1036</f>
        <v>31.9436610829971</v>
      </c>
      <c r="F1072" s="58" t="n">
        <f aca="false">F1071*F1036</f>
        <v>48.0942235584118</v>
      </c>
      <c r="G1072" s="58" t="n">
        <f aca="false">G1071*G1036</f>
        <v>21.5977487730683</v>
      </c>
      <c r="H1072" s="58" t="n">
        <f aca="false">H1071*H1036</f>
        <v>9.29411631855552</v>
      </c>
      <c r="I1072" s="58" t="n">
        <f aca="false">I1071*I1036</f>
        <v>111.182644851962</v>
      </c>
      <c r="J1072" s="58" t="n">
        <f aca="false">J1071*J1036</f>
        <v>223.661320041003</v>
      </c>
      <c r="K1072" s="58" t="n">
        <f aca="false">K1071*K1036</f>
        <v>231.345224256375</v>
      </c>
      <c r="L1072" s="58" t="n">
        <f aca="false">L1071*L1036</f>
        <v>306.318546773165</v>
      </c>
    </row>
    <row r="1073" customFormat="false" ht="15" hidden="true" customHeight="false" outlineLevel="1" collapsed="false">
      <c r="A1073" s="9" t="s">
        <v>438</v>
      </c>
      <c r="B1073" s="57" t="n">
        <f aca="false">(B1036/$B$1036)/(1+Quesería!$B$11+$Y$24)^B$43</f>
        <v>1</v>
      </c>
      <c r="C1073" s="57" t="n">
        <f aca="false">(C1036/$B$1036)/(1+Quesería!$B$11+$Y$24)^C$43</f>
        <v>0.84</v>
      </c>
      <c r="D1073" s="57" t="n">
        <f aca="false">(D1036/$B$1036)/(1+Quesería!$B$11+$Y$24)^D$43</f>
        <v>0.70224</v>
      </c>
      <c r="E1073" s="57" t="n">
        <f aca="false">(E1036/$B$1036)/(1+Quesería!$B$11+$Y$24)^E$43</f>
        <v>0.58426368</v>
      </c>
      <c r="F1073" s="57" t="n">
        <f aca="false">(F1036/$B$1036)/(1+Quesería!$B$11+$Y$24)^F$43</f>
        <v>0.48610738176</v>
      </c>
      <c r="G1073" s="57" t="n">
        <f aca="false">(G1036/$B$1036)/(1+Quesería!$B$11+$Y$24)^G$43</f>
        <v>0.40444134162432</v>
      </c>
      <c r="H1073" s="57" t="n">
        <f aca="false">(H1036/$B$1036)/(1+Quesería!$B$11+$Y$24)^H$43</f>
        <v>0.336495196231434</v>
      </c>
      <c r="I1073" s="57" t="n">
        <f aca="false">(I1036/$B$1036)/(1+Quesería!$B$11+$Y$24)^I$43</f>
        <v>0.279964003264553</v>
      </c>
      <c r="J1073" s="57" t="n">
        <f aca="false">(J1036/$B$1036)/(1+Quesería!$B$11+$Y$24)^J$43</f>
        <v>0.232930050716108</v>
      </c>
      <c r="K1073" s="57" t="n">
        <f aca="false">(K1036/$B$1036)/(1+Quesería!$B$11+$Y$24)^K$43</f>
        <v>0.193797802195802</v>
      </c>
      <c r="L1073" s="57" t="n">
        <f aca="false">(L1036/$B$1036)/(1+Quesería!$B$11+$Y$24)^L$43</f>
        <v>0.161239771426907</v>
      </c>
    </row>
    <row r="1074" customFormat="false" ht="15" hidden="true" customHeight="false" outlineLevel="1" collapsed="false">
      <c r="A1074" s="9" t="s">
        <v>439</v>
      </c>
      <c r="B1074" s="58" t="n">
        <f aca="false">B1056+B1039+B1041+B1070</f>
        <v>120.166830858099</v>
      </c>
      <c r="C1074" s="58" t="n">
        <f aca="false">C1056+C1039+C1041+C1070</f>
        <v>426.368686186833</v>
      </c>
      <c r="D1074" s="58" t="n">
        <f aca="false">D1056+D1039+D1041+D1070</f>
        <v>312.779564459328</v>
      </c>
      <c r="E1074" s="58" t="n">
        <f aca="false">E1056+E1039+E1041+E1070</f>
        <v>177.673025622484</v>
      </c>
      <c r="F1074" s="58" t="n">
        <f aca="false">F1056+F1039+F1041+F1070</f>
        <v>171.649648092023</v>
      </c>
      <c r="G1074" s="58" t="n">
        <f aca="false">G1056+G1039+G1041+G1070</f>
        <v>138.448186636042</v>
      </c>
      <c r="H1074" s="58" t="n">
        <f aca="false">H1056+H1039+H1041+H1070</f>
        <v>116.756302766987</v>
      </c>
      <c r="I1074" s="58" t="n">
        <f aca="false">I1056+I1039+I1041+I1070</f>
        <v>165.100172103039</v>
      </c>
      <c r="J1074" s="58" t="n">
        <f aca="false">J1056+J1039+J1041+J1070</f>
        <v>151.977533948407</v>
      </c>
      <c r="K1074" s="58" t="n">
        <f aca="false">K1056+K1039+K1041+K1070</f>
        <v>151.152630213308</v>
      </c>
      <c r="L1074" s="58" t="n">
        <f aca="false">L1056+L1039+L1041+L1070</f>
        <v>192.4399005555</v>
      </c>
    </row>
    <row r="1075" customFormat="false" ht="15" hidden="true" customHeight="false" outlineLevel="1" collapsed="false">
      <c r="A1075" s="5" t="s">
        <v>149</v>
      </c>
      <c r="B1075" s="12" t="str">
        <f aca="false">IF(AND(B$43&gt;=1,(B1066+B1067+B1068)&gt;0.001),B1074/(B1066+B1067+B1068),"")</f>
        <v/>
      </c>
      <c r="C1075" s="12" t="n">
        <f aca="false">IF(AND(C$43&gt;=1,(C1066+C1067+C1068)&gt;0.001),C1074/(C1066+C1067+C1068),"")</f>
        <v>5.24790113423</v>
      </c>
      <c r="D1075" s="12" t="n">
        <f aca="false">IF(AND(D$43&gt;=1,(D1066+D1067+D1068)&gt;0.001),D1074/(D1066+D1067+D1068),"")</f>
        <v>1.84371449816935</v>
      </c>
      <c r="E1075" s="12" t="n">
        <f aca="false">IF(AND(E$43&gt;=1,(E1066+E1067+E1068)&gt;0.001),E1074/(E1066+E1067+E1068),"")</f>
        <v>1.17928140601013</v>
      </c>
      <c r="F1075" s="12" t="n">
        <f aca="false">IF(AND(F$43&gt;=1,(F1066+F1067+F1068)&gt;0.001),F1074/(F1066+F1067+F1068),"")</f>
        <v>1.29169460061133</v>
      </c>
      <c r="G1075" s="12" t="n">
        <f aca="false">IF(AND(G$43&gt;=1,(G1066+G1067+G1068)&gt;0.001),G1074/(G1066+G1067+G1068),"")</f>
        <v>1.19088379759303</v>
      </c>
      <c r="H1075" s="12" t="n">
        <f aca="false">IF(AND(H$43&gt;=1,(H1066+H1067+H1068)&gt;0.001),H1074/(H1066+H1067+H1068),"")</f>
        <v>1.15934491900943</v>
      </c>
      <c r="I1075" s="12" t="n">
        <f aca="false">IF(AND(I$43&gt;=1,(I1066+I1067+I1068)&gt;0.001),I1074/(I1066+I1067+I1068),"")</f>
        <v>1.91564740208762</v>
      </c>
      <c r="J1075" s="12" t="str">
        <f aca="false">IF(AND(J$43&gt;=1,(J1066+J1067+J1068)&gt;0.001),J1074/(J1066+J1067+J1068),"")</f>
        <v/>
      </c>
      <c r="K1075" s="12" t="str">
        <f aca="false">IF(AND(K$43&gt;=1,(K1066+K1067+K1068)&gt;0.001),K1074/(K1066+K1067+K1068),"")</f>
        <v/>
      </c>
      <c r="L1075" s="12" t="str">
        <f aca="false">IF(AND(L$43&gt;=1,(L1066+L1067+L1068)&gt;0.001),L1074/(L1066+L1067+L1068),"")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4"/>
    <col collapsed="false" customWidth="true" hidden="false" outlineLevel="0" max="6" min="6" style="0" width="62"/>
  </cols>
  <sheetData>
    <row r="1" customFormat="false" ht="17.35" hidden="false" customHeight="false" outlineLevel="0" collapsed="false">
      <c r="A1" s="42" t="s">
        <v>1206</v>
      </c>
    </row>
    <row r="2" customFormat="false" ht="15" hidden="false" customHeight="false" outlineLevel="0" collapsed="false">
      <c r="A2" s="9" t="s">
        <v>1207</v>
      </c>
    </row>
    <row r="4" customFormat="false" ht="15" hidden="false" customHeight="false" outlineLevel="0" collapsed="false">
      <c r="A4" s="3" t="s">
        <v>1208</v>
      </c>
      <c r="B4" s="4"/>
      <c r="C4" s="4"/>
      <c r="D4" s="4"/>
      <c r="E4" s="4"/>
      <c r="F4" s="4"/>
    </row>
    <row r="5" customFormat="false" ht="23.85" hidden="false" customHeight="false" outlineLevel="0" collapsed="false">
      <c r="A5" s="23" t="s">
        <v>187</v>
      </c>
      <c r="B5" s="24" t="s">
        <v>1209</v>
      </c>
      <c r="C5" s="24" t="s">
        <v>1210</v>
      </c>
      <c r="D5" s="24" t="s">
        <v>1211</v>
      </c>
      <c r="E5" s="24"/>
      <c r="F5" s="24" t="s">
        <v>938</v>
      </c>
    </row>
    <row r="6" customFormat="false" ht="15" hidden="false" customHeight="false" outlineLevel="0" collapsed="false">
      <c r="A6" s="6" t="s">
        <v>142</v>
      </c>
      <c r="B6" s="61" t="n">
        <f aca="false">-0.2*Escenarios!$B$33/(Escenarios!$B$33-Escenarios!$G$33)</f>
        <v>-0.25490497414411</v>
      </c>
      <c r="C6" s="29" t="n">
        <f aca="false">D6*(1+B6)</f>
        <v>401.257263553278</v>
      </c>
      <c r="D6" s="29" t="n">
        <f aca="false">Quesería!$E$127</f>
        <v>538.531663249737</v>
      </c>
      <c r="F6" s="9" t="s">
        <v>1212</v>
      </c>
    </row>
    <row r="7" customFormat="false" ht="15" hidden="false" customHeight="false" outlineLevel="0" collapsed="false">
      <c r="A7" s="6" t="s">
        <v>323</v>
      </c>
      <c r="B7" s="61" t="n">
        <f aca="false">0.2*Escenarios!$B$33/(Escenarios!$B$33-Escenarios!$I$33)</f>
        <v>0.408208556897718</v>
      </c>
      <c r="C7" s="29" t="n">
        <f aca="false">D7*(1+B7)</f>
        <v>2378.84349176339</v>
      </c>
      <c r="D7" s="29" t="n">
        <f aca="false">Quesería!$F$97</f>
        <v>1689.26930610618</v>
      </c>
      <c r="F7" s="9" t="s">
        <v>1213</v>
      </c>
    </row>
    <row r="8" customFormat="false" ht="15" hidden="false" customHeight="false" outlineLevel="0" collapsed="false">
      <c r="A8" s="6" t="s">
        <v>412</v>
      </c>
      <c r="B8" s="61" t="n">
        <f aca="false">0.3*Escenarios!$B$33/(Escenarios!$B$33-Escenarios!$K$33)</f>
        <v>1.4394299138246</v>
      </c>
      <c r="C8" s="29" t="n">
        <f aca="false">D8*(1+B8)</f>
        <v>234.046820013266</v>
      </c>
      <c r="D8" s="29" t="n">
        <f aca="false">Quesería!$E$128</f>
        <v>95.9432442337815</v>
      </c>
      <c r="F8" s="9" t="s">
        <v>1214</v>
      </c>
    </row>
    <row r="9" customFormat="false" ht="15" hidden="false" customHeight="false" outlineLevel="0" collapsed="false">
      <c r="A9" s="9" t="s">
        <v>1215</v>
      </c>
    </row>
    <row r="11" customFormat="false" ht="15" hidden="false" customHeight="false" outlineLevel="0" collapsed="false">
      <c r="A11" s="3" t="s">
        <v>1216</v>
      </c>
      <c r="B11" s="4"/>
      <c r="C11" s="4"/>
      <c r="D11" s="4"/>
      <c r="E11" s="4"/>
      <c r="F11" s="4"/>
    </row>
    <row r="12" customFormat="false" ht="35.05" hidden="false" customHeight="false" outlineLevel="0" collapsed="false">
      <c r="A12" s="23" t="s">
        <v>187</v>
      </c>
      <c r="B12" s="24" t="s">
        <v>1217</v>
      </c>
      <c r="C12" s="24" t="s">
        <v>1218</v>
      </c>
      <c r="D12" s="24" t="s">
        <v>1219</v>
      </c>
      <c r="E12" s="24" t="s">
        <v>1220</v>
      </c>
      <c r="F12" s="24" t="s">
        <v>1221</v>
      </c>
    </row>
    <row r="13" customFormat="false" ht="15" hidden="false" customHeight="false" outlineLevel="0" collapsed="false">
      <c r="A13" s="6" t="s">
        <v>142</v>
      </c>
      <c r="B13" s="29" t="n">
        <f aca="false">MIN(Escenarios!$G$33,Escenarios!$H$33)</f>
        <v>108.337984609022</v>
      </c>
      <c r="C13" s="29" t="n">
        <f aca="false">MAX(Escenarios!$G$33,Escenarios!$H$33)</f>
        <v>897.61426638754</v>
      </c>
      <c r="D13" s="29" t="n">
        <f aca="false">B13-Escenarios!$B$33</f>
        <v>-394.638140889259</v>
      </c>
      <c r="E13" s="29" t="n">
        <f aca="false">C13-Escenarios!$B$33</f>
        <v>394.638140889259</v>
      </c>
      <c r="F13" s="9" t="s">
        <v>1222</v>
      </c>
    </row>
    <row r="14" customFormat="false" ht="15" hidden="false" customHeight="false" outlineLevel="0" collapsed="false">
      <c r="A14" s="6" t="s">
        <v>1223</v>
      </c>
      <c r="B14" s="29" t="n">
        <f aca="false">MIN(Escenarios!$F$33,Escenarios!$B$33)</f>
        <v>151.712980908394</v>
      </c>
      <c r="C14" s="29" t="n">
        <f aca="false">MAX(Escenarios!$F$33,Escenarios!$B$33)</f>
        <v>502.976125498281</v>
      </c>
      <c r="D14" s="29" t="n">
        <f aca="false">B14-Escenarios!$B$33</f>
        <v>-351.263144589887</v>
      </c>
      <c r="E14" s="29" t="n">
        <f aca="false">C14-Escenarios!$B$33</f>
        <v>0</v>
      </c>
      <c r="F14" s="9" t="s">
        <v>1224</v>
      </c>
    </row>
    <row r="15" customFormat="false" ht="15" hidden="false" customHeight="false" outlineLevel="0" collapsed="false">
      <c r="A15" s="6" t="s">
        <v>323</v>
      </c>
      <c r="B15" s="29" t="n">
        <f aca="false">MIN(Escenarios!$I$33,Escenarios!$J$33)</f>
        <v>256.545169067199</v>
      </c>
      <c r="C15" s="29" t="n">
        <f aca="false">MAX(Escenarios!$I$33,Escenarios!$J$33)</f>
        <v>749.407081929362</v>
      </c>
      <c r="D15" s="29" t="n">
        <f aca="false">B15-Escenarios!$B$33</f>
        <v>-246.430956431082</v>
      </c>
      <c r="E15" s="29" t="n">
        <f aca="false">C15-Escenarios!$B$33</f>
        <v>246.430956431081</v>
      </c>
      <c r="F15" s="9" t="s">
        <v>1225</v>
      </c>
    </row>
    <row r="16" customFormat="false" ht="15" hidden="false" customHeight="false" outlineLevel="0" collapsed="false">
      <c r="A16" s="6" t="s">
        <v>412</v>
      </c>
      <c r="B16" s="29" t="n">
        <f aca="false">MIN(Escenarios!$K$33,Escenarios!$L$33)</f>
        <v>398.147931919506</v>
      </c>
      <c r="C16" s="29" t="n">
        <f aca="false">MAX(Escenarios!$K$33,Escenarios!$L$33)</f>
        <v>607.804319077056</v>
      </c>
      <c r="D16" s="29" t="n">
        <f aca="false">B16-Escenarios!$B$33</f>
        <v>-104.828193578775</v>
      </c>
      <c r="E16" s="29" t="n">
        <f aca="false">C16-Escenarios!$B$33</f>
        <v>104.828193578775</v>
      </c>
      <c r="F16" s="9" t="s">
        <v>1226</v>
      </c>
    </row>
    <row r="17" customFormat="false" ht="15" hidden="false" customHeight="false" outlineLevel="0" collapsed="false">
      <c r="A17" s="6" t="s">
        <v>1227</v>
      </c>
      <c r="B17" s="29" t="n">
        <f aca="false">MIN(Escenarios!$C$33,Escenarios!$B$33)</f>
        <v>-458.352332832904</v>
      </c>
      <c r="C17" s="29" t="n">
        <f aca="false">MAX(Escenarios!$C$33,Escenarios!$B$33)</f>
        <v>502.976125498281</v>
      </c>
      <c r="D17" s="29" t="n">
        <f aca="false">B17-Escenarios!$B$33</f>
        <v>-961.328458331185</v>
      </c>
      <c r="E17" s="29" t="n">
        <f aca="false">C17-Escenarios!$B$33</f>
        <v>0</v>
      </c>
      <c r="F17" s="9" t="s">
        <v>1228</v>
      </c>
    </row>
    <row r="18" customFormat="false" ht="15" hidden="false" customHeight="false" outlineLevel="0" collapsed="false">
      <c r="A18" s="6" t="s">
        <v>1229</v>
      </c>
      <c r="B18" s="29" t="n">
        <f aca="false">MIN(Escenarios!$M$33,Escenarios!$N$33)</f>
        <v>493.626591566098</v>
      </c>
      <c r="C18" s="29" t="n">
        <f aca="false">MAX(Escenarios!$M$33,Escenarios!$N$33)</f>
        <v>530.164860646036</v>
      </c>
      <c r="D18" s="29" t="n">
        <f aca="false">B18-Escenarios!$B$33</f>
        <v>-9.34953393218325</v>
      </c>
      <c r="E18" s="29" t="n">
        <f aca="false">C18-Escenarios!$B$33</f>
        <v>27.1887351477552</v>
      </c>
      <c r="F18" s="9" t="s">
        <v>1230</v>
      </c>
    </row>
    <row r="19" customFormat="false" ht="15" hidden="false" customHeight="false" outlineLevel="0" collapsed="false">
      <c r="A19" s="6" t="s">
        <v>1231</v>
      </c>
      <c r="B19" s="29" t="n">
        <f aca="false">MIN(Escenarios!$O$33,Escenarios!$P$33)</f>
        <v>500.119374384615</v>
      </c>
      <c r="C19" s="29" t="n">
        <f aca="false">MAX(Escenarios!$O$33,Escenarios!$P$33)</f>
        <v>505.832876611947</v>
      </c>
      <c r="D19" s="29" t="n">
        <f aca="false">B19-Escenarios!$B$33</f>
        <v>-2.85675111366606</v>
      </c>
      <c r="E19" s="29" t="n">
        <f aca="false">C19-Escenarios!$B$33</f>
        <v>2.85675111366612</v>
      </c>
      <c r="F19" s="9" t="s">
        <v>1232</v>
      </c>
    </row>
    <row r="20" customFormat="false" ht="15" hidden="false" customHeight="false" outlineLevel="0" collapsed="false">
      <c r="A20" s="6" t="s">
        <v>1233</v>
      </c>
      <c r="B20" s="29" t="n">
        <f aca="false">MIN(Escenarios!$U$33,Escenarios!$B$33)</f>
        <v>190.460676558142</v>
      </c>
      <c r="C20" s="29" t="n">
        <f aca="false">MAX(Escenarios!$U$33,Escenarios!$B$33)</f>
        <v>502.976125498281</v>
      </c>
      <c r="D20" s="29" t="n">
        <f aca="false">B20-Escenarios!$B$33</f>
        <v>-312.515448940139</v>
      </c>
      <c r="E20" s="29" t="n">
        <f aca="false">C20-Escenarios!$B$33</f>
        <v>0</v>
      </c>
      <c r="F20" s="9" t="s">
        <v>1234</v>
      </c>
    </row>
    <row r="21" customFormat="false" ht="15" hidden="false" customHeight="false" outlineLevel="0" collapsed="false">
      <c r="A21" s="5" t="s">
        <v>1235</v>
      </c>
      <c r="B21" s="62" t="n">
        <f aca="false">Escenarios!$B$33</f>
        <v>502.976125498281</v>
      </c>
    </row>
    <row r="22" customFormat="false" ht="15" hidden="false" customHeight="false" outlineLevel="0" collapsed="false">
      <c r="A22" s="9" t="s">
        <v>1236</v>
      </c>
    </row>
    <row r="41" customFormat="false" ht="15" hidden="false" customHeight="false" outlineLevel="0" collapsed="false">
      <c r="A41" s="3" t="s">
        <v>1201</v>
      </c>
      <c r="B41" s="4"/>
      <c r="C41" s="4"/>
      <c r="D41" s="4"/>
      <c r="E41" s="4"/>
      <c r="F41" s="4"/>
    </row>
    <row r="42" customFormat="false" ht="23.85" hidden="false" customHeight="false" outlineLevel="0" collapsed="false">
      <c r="A42" s="23" t="s">
        <v>163</v>
      </c>
      <c r="B42" s="24" t="s">
        <v>1237</v>
      </c>
      <c r="C42" s="24" t="s">
        <v>1238</v>
      </c>
      <c r="D42" s="24" t="s">
        <v>166</v>
      </c>
      <c r="E42" s="24" t="s">
        <v>1239</v>
      </c>
      <c r="F42" s="24" t="s">
        <v>938</v>
      </c>
    </row>
    <row r="43" customFormat="false" ht="15" hidden="false" customHeight="false" outlineLevel="0" collapsed="false">
      <c r="A43" s="6" t="s">
        <v>153</v>
      </c>
      <c r="B43" s="34" t="n">
        <f aca="false">Escenarios!$B$31</f>
        <v>0.226125774918278</v>
      </c>
      <c r="C43" s="29" t="n">
        <f aca="false">Escenarios!$B$33</f>
        <v>502.976125498281</v>
      </c>
      <c r="D43" s="34" t="n">
        <f aca="false">Escenarios!$B$37</f>
        <v>0.407599554247206</v>
      </c>
      <c r="E43" s="37" t="n">
        <f aca="false">Escenarios!$B$39</f>
        <v>1.30556256990244</v>
      </c>
      <c r="F43" s="9"/>
    </row>
    <row r="44" customFormat="false" ht="15" hidden="false" customHeight="false" outlineLevel="0" collapsed="false">
      <c r="A44" s="6" t="s">
        <v>173</v>
      </c>
      <c r="B44" s="34" t="n">
        <f aca="false">Escenarios!$C$31</f>
        <v>0.0815488178439258</v>
      </c>
      <c r="C44" s="29" t="n">
        <f aca="false">Escenarios!$C$33</f>
        <v>-458.352332832904</v>
      </c>
      <c r="D44" s="34" t="n">
        <f aca="false">Escenarios!$C$37</f>
        <v>0.0564419774733789</v>
      </c>
      <c r="E44" s="37" t="n">
        <f aca="false">Escenarios!$C$39</f>
        <v>0.893332461164914</v>
      </c>
      <c r="F44" s="9" t="s">
        <v>1240</v>
      </c>
    </row>
    <row r="45" customFormat="false" ht="15" hidden="false" customHeight="false" outlineLevel="0" collapsed="false">
      <c r="A45" s="6" t="s">
        <v>174</v>
      </c>
      <c r="B45" s="34" t="n">
        <f aca="false">Escenarios!$D$31</f>
        <v>0.0517128081309421</v>
      </c>
      <c r="C45" s="29" t="n">
        <f aca="false">Escenarios!$D$33</f>
        <v>-340.708446867415</v>
      </c>
      <c r="D45" s="34" t="n">
        <f aca="false">Escenarios!$D$37</f>
        <v>-0.000659537606921579</v>
      </c>
      <c r="E45" s="37" t="n">
        <f aca="false">Escenarios!$D$39</f>
        <v>0.604444031794327</v>
      </c>
      <c r="F45" s="9" t="s">
        <v>1241</v>
      </c>
    </row>
    <row r="46" customFormat="false" ht="15" hidden="false" customHeight="false" outlineLevel="0" collapsed="false">
      <c r="A46" s="6" t="s">
        <v>1180</v>
      </c>
      <c r="B46" s="34" t="n">
        <f aca="false">Escenarios!$V$31</f>
        <v>0.110537287861494</v>
      </c>
      <c r="C46" s="29" t="n">
        <f aca="false">Escenarios!$V$33</f>
        <v>-250.267608897874</v>
      </c>
      <c r="D46" s="34" t="n">
        <f aca="false">Escenarios!$V$37</f>
        <v>0.131957021249146</v>
      </c>
      <c r="E46" s="37" t="n">
        <f aca="false">Escenarios!$V$39</f>
        <v>0.87386620966335</v>
      </c>
      <c r="F46" s="9" t="s">
        <v>1242</v>
      </c>
    </row>
    <row r="47" customFormat="false" ht="15" hidden="false" customHeight="false" outlineLevel="0" collapsed="false">
      <c r="A47" s="6" t="s">
        <v>1173</v>
      </c>
      <c r="B47" s="34" t="n">
        <f aca="false">Escenarios!$N$31</f>
        <v>0.246913230798526</v>
      </c>
      <c r="C47" s="29" t="n">
        <f aca="false">Escenarios!$N$33</f>
        <v>530.164860646036</v>
      </c>
      <c r="D47" s="34" t="n">
        <f aca="false">Escenarios!$N$37</f>
        <v>0.423476311795342</v>
      </c>
      <c r="E47" s="37" t="n">
        <f aca="false">Escenarios!$N$39</f>
        <v>1.28998255550772</v>
      </c>
      <c r="F47" s="9" t="s">
        <v>1243</v>
      </c>
    </row>
    <row r="48" customFormat="false" ht="15" hidden="false" customHeight="false" outlineLevel="0" collapsed="false">
      <c r="A48" s="6" t="s">
        <v>1176</v>
      </c>
      <c r="B48" s="34" t="n">
        <f aca="false">Escenarios!$Q$31</f>
        <v>0.237464441918404</v>
      </c>
      <c r="C48" s="29" t="n">
        <f aca="false">Escenarios!$Q$33</f>
        <v>545.72931023073</v>
      </c>
      <c r="D48" s="34" t="n">
        <f aca="false">Escenarios!$Q$37</f>
        <v>0.42151504136186</v>
      </c>
      <c r="E48" s="37" t="n">
        <f aca="false">Escenarios!$Q$39</f>
        <v>1.33526272791264</v>
      </c>
      <c r="F48" s="9" t="s">
        <v>1244</v>
      </c>
    </row>
    <row r="49" customFormat="false" ht="15" hidden="false" customHeight="false" outlineLevel="0" collapsed="false">
      <c r="A49" s="6" t="s">
        <v>1177</v>
      </c>
      <c r="B49" s="34" t="n">
        <f aca="false">Escenarios!$R$31</f>
        <v>0.226125774918278</v>
      </c>
      <c r="C49" s="29" t="n">
        <f aca="false">Escenarios!$R$33</f>
        <v>449.128816891533</v>
      </c>
      <c r="D49" s="34" t="n">
        <f aca="false">Escenarios!$R$37</f>
        <v>0.391119117899775</v>
      </c>
      <c r="E49" s="37" t="n">
        <f aca="false">Escenarios!$R$39</f>
        <v>1.26064286972334</v>
      </c>
      <c r="F49" s="9" t="s">
        <v>1245</v>
      </c>
    </row>
    <row r="50" customFormat="false" ht="15" hidden="false" customHeight="false" outlineLevel="0" collapsed="false">
      <c r="A50" s="6" t="s">
        <v>1178</v>
      </c>
      <c r="B50" s="34" t="n">
        <f aca="false">Escenarios!$S$31</f>
        <v>0.226125774918278</v>
      </c>
      <c r="C50" s="29" t="n">
        <f aca="false">Escenarios!$S$33</f>
        <v>424.136564120436</v>
      </c>
      <c r="D50" s="34" t="n">
        <f aca="false">Escenarios!$S$37</f>
        <v>0.376494888503076</v>
      </c>
      <c r="E50" s="37" t="n">
        <f aca="false">Escenarios!$S$39</f>
        <v>1.25178160785853</v>
      </c>
      <c r="F50" s="9" t="s">
        <v>1246</v>
      </c>
    </row>
    <row r="51" customFormat="false" ht="15" hidden="false" customHeight="false" outlineLevel="0" collapsed="false">
      <c r="A51" s="6" t="s">
        <v>168</v>
      </c>
      <c r="B51" s="34" t="n">
        <f aca="false">Escenarios!$T$31</f>
        <v>0.185693384348158</v>
      </c>
      <c r="C51" s="29" t="n">
        <f aca="false">Escenarios!$T$33</f>
        <v>266.308886204684</v>
      </c>
      <c r="D51" s="34" t="n">
        <f aca="false">Escenarios!$T$37</f>
        <v>0.280866147178324</v>
      </c>
      <c r="E51" s="37" t="n">
        <f aca="false">Escenarios!$T$39</f>
        <v>1.30556256990244</v>
      </c>
      <c r="F51" s="9" t="s">
        <v>1247</v>
      </c>
    </row>
    <row r="52" customFormat="false" ht="15" hidden="false" customHeight="false" outlineLevel="0" collapsed="false">
      <c r="A52" s="6" t="s">
        <v>1179</v>
      </c>
      <c r="B52" s="34" t="n">
        <f aca="false">Escenarios!$U$31</f>
        <v>0.185693384348158</v>
      </c>
      <c r="C52" s="29" t="n">
        <f aca="false">Escenarios!$U$33</f>
        <v>190.460676558142</v>
      </c>
      <c r="D52" s="34" t="n">
        <f aca="false">Escenarios!$U$37</f>
        <v>0.260073507905463</v>
      </c>
      <c r="E52" s="37" t="n">
        <f aca="false">Escenarios!$U$39</f>
        <v>1.25178160785853</v>
      </c>
      <c r="F52" s="9" t="s">
        <v>1248</v>
      </c>
    </row>
    <row r="53" customFormat="false" ht="15" hidden="false" customHeight="false" outlineLevel="0" collapsed="false">
      <c r="A53" s="6" t="s">
        <v>1249</v>
      </c>
      <c r="C53" s="29" t="n">
        <f aca="false">Herramientas!B59</f>
        <v>-48.8670853775761</v>
      </c>
      <c r="F53" s="9" t="s">
        <v>1250</v>
      </c>
    </row>
    <row r="55" customFormat="false" ht="15" hidden="false" customHeight="false" outlineLevel="0" collapsed="false">
      <c r="A55" s="3" t="s">
        <v>1251</v>
      </c>
      <c r="B55" s="4"/>
      <c r="C55" s="4"/>
      <c r="D55" s="4"/>
      <c r="E55" s="4"/>
      <c r="F55" s="4"/>
    </row>
    <row r="56" customFormat="false" ht="15" hidden="false" customHeight="false" outlineLevel="0" collapsed="false">
      <c r="A56" s="9" t="s">
        <v>1252</v>
      </c>
    </row>
    <row r="57" customFormat="false" ht="30" hidden="false" customHeight="true" outlineLevel="0" collapsed="false">
      <c r="A57" s="23" t="s">
        <v>55</v>
      </c>
      <c r="B57" s="24" t="s">
        <v>1253</v>
      </c>
      <c r="C57" s="24"/>
      <c r="D57" s="24" t="s">
        <v>1254</v>
      </c>
      <c r="E57" s="24" t="s">
        <v>1255</v>
      </c>
      <c r="F57" s="24" t="s">
        <v>1256</v>
      </c>
    </row>
    <row r="58" customFormat="false" ht="61.5" hidden="false" customHeight="true" outlineLevel="0" collapsed="false">
      <c r="A58" s="77" t="s">
        <v>1257</v>
      </c>
      <c r="B58" s="32" t="s">
        <v>1258</v>
      </c>
      <c r="C58" s="32"/>
      <c r="D58" s="79" t="s">
        <v>1259</v>
      </c>
      <c r="E58" s="79" t="s">
        <v>1260</v>
      </c>
      <c r="F58" s="79" t="s">
        <v>1261</v>
      </c>
    </row>
    <row r="59" customFormat="false" ht="61.5" hidden="false" customHeight="true" outlineLevel="0" collapsed="false">
      <c r="A59" s="77" t="s">
        <v>1262</v>
      </c>
      <c r="B59" s="32" t="s">
        <v>1263</v>
      </c>
      <c r="C59" s="32"/>
      <c r="D59" s="79" t="s">
        <v>1264</v>
      </c>
      <c r="E59" s="79" t="s">
        <v>1265</v>
      </c>
      <c r="F59" s="79" t="s">
        <v>1266</v>
      </c>
    </row>
    <row r="60" customFormat="false" ht="61.5" hidden="false" customHeight="true" outlineLevel="0" collapsed="false">
      <c r="A60" s="77" t="s">
        <v>1267</v>
      </c>
      <c r="B60" s="32" t="s">
        <v>1268</v>
      </c>
      <c r="C60" s="32"/>
      <c r="D60" s="79" t="s">
        <v>1269</v>
      </c>
      <c r="E60" s="79" t="s">
        <v>1270</v>
      </c>
      <c r="F60" s="79" t="s">
        <v>1271</v>
      </c>
    </row>
    <row r="61" customFormat="false" ht="61.5" hidden="false" customHeight="true" outlineLevel="0" collapsed="false">
      <c r="A61" s="77" t="s">
        <v>1272</v>
      </c>
      <c r="B61" s="32" t="s">
        <v>1273</v>
      </c>
      <c r="C61" s="32"/>
      <c r="D61" s="79" t="s">
        <v>1259</v>
      </c>
      <c r="E61" s="79" t="s">
        <v>1274</v>
      </c>
      <c r="F61" s="79" t="s">
        <v>1275</v>
      </c>
    </row>
    <row r="62" customFormat="false" ht="61.5" hidden="false" customHeight="true" outlineLevel="0" collapsed="false">
      <c r="A62" s="77" t="s">
        <v>1276</v>
      </c>
      <c r="B62" s="32" t="s">
        <v>1277</v>
      </c>
      <c r="C62" s="32"/>
      <c r="D62" s="79" t="s">
        <v>1259</v>
      </c>
      <c r="E62" s="79" t="s">
        <v>1278</v>
      </c>
      <c r="F62" s="79" t="s">
        <v>1279</v>
      </c>
    </row>
    <row r="63" customFormat="false" ht="61.5" hidden="false" customHeight="true" outlineLevel="0" collapsed="false">
      <c r="A63" s="77" t="s">
        <v>1280</v>
      </c>
      <c r="B63" s="32" t="s">
        <v>1281</v>
      </c>
      <c r="C63" s="32"/>
      <c r="D63" s="79" t="s">
        <v>1282</v>
      </c>
      <c r="E63" s="79" t="s">
        <v>1283</v>
      </c>
      <c r="F63" s="79" t="s">
        <v>1284</v>
      </c>
    </row>
    <row r="64" customFormat="false" ht="61.5" hidden="false" customHeight="true" outlineLevel="0" collapsed="false">
      <c r="A64" s="77" t="s">
        <v>1285</v>
      </c>
      <c r="B64" s="32" t="s">
        <v>1286</v>
      </c>
      <c r="C64" s="32"/>
      <c r="D64" s="79" t="s">
        <v>1282</v>
      </c>
      <c r="E64" s="79" t="s">
        <v>1287</v>
      </c>
      <c r="F64" s="79" t="s">
        <v>1288</v>
      </c>
    </row>
    <row r="65" customFormat="false" ht="61.5" hidden="false" customHeight="true" outlineLevel="0" collapsed="false">
      <c r="A65" s="77" t="s">
        <v>1289</v>
      </c>
      <c r="B65" s="32" t="s">
        <v>1290</v>
      </c>
      <c r="C65" s="32"/>
      <c r="D65" s="79" t="s">
        <v>1282</v>
      </c>
      <c r="E65" s="79" t="s">
        <v>1291</v>
      </c>
      <c r="F65" s="79" t="s">
        <v>1292</v>
      </c>
    </row>
    <row r="66" customFormat="false" ht="61.5" hidden="false" customHeight="true" outlineLevel="0" collapsed="false">
      <c r="A66" s="77" t="s">
        <v>1293</v>
      </c>
      <c r="B66" s="32" t="s">
        <v>1294</v>
      </c>
      <c r="C66" s="32"/>
      <c r="D66" s="79" t="s">
        <v>1282</v>
      </c>
      <c r="E66" s="79" t="s">
        <v>1287</v>
      </c>
      <c r="F66" s="79" t="s">
        <v>1295</v>
      </c>
    </row>
    <row r="67" customFormat="false" ht="61.5" hidden="false" customHeight="true" outlineLevel="0" collapsed="false">
      <c r="A67" s="77" t="s">
        <v>1296</v>
      </c>
      <c r="B67" s="32" t="s">
        <v>1297</v>
      </c>
      <c r="C67" s="32"/>
      <c r="D67" s="79" t="s">
        <v>1298</v>
      </c>
      <c r="E67" s="79" t="s">
        <v>1299</v>
      </c>
      <c r="F67" s="79" t="s">
        <v>1300</v>
      </c>
    </row>
    <row r="68" customFormat="false" ht="61.5" hidden="false" customHeight="true" outlineLevel="0" collapsed="false">
      <c r="A68" s="77" t="s">
        <v>1301</v>
      </c>
      <c r="B68" s="32" t="s">
        <v>1302</v>
      </c>
      <c r="C68" s="32"/>
      <c r="D68" s="79" t="s">
        <v>1298</v>
      </c>
      <c r="E68" s="79" t="s">
        <v>1303</v>
      </c>
      <c r="F68" s="79" t="s">
        <v>1304</v>
      </c>
    </row>
    <row r="69" customFormat="false" ht="61.5" hidden="false" customHeight="true" outlineLevel="0" collapsed="false">
      <c r="A69" s="77" t="s">
        <v>1305</v>
      </c>
      <c r="B69" s="32" t="s">
        <v>1306</v>
      </c>
      <c r="C69" s="32"/>
      <c r="D69" s="79" t="s">
        <v>1298</v>
      </c>
      <c r="E69" s="79" t="s">
        <v>1307</v>
      </c>
      <c r="F69" s="79" t="s">
        <v>1308</v>
      </c>
    </row>
    <row r="70" customFormat="false" ht="61.5" hidden="false" customHeight="true" outlineLevel="0" collapsed="false">
      <c r="A70" s="77" t="s">
        <v>1309</v>
      </c>
      <c r="B70" s="32" t="s">
        <v>1310</v>
      </c>
      <c r="C70" s="32"/>
      <c r="D70" s="79" t="s">
        <v>1282</v>
      </c>
      <c r="E70" s="79" t="s">
        <v>1311</v>
      </c>
      <c r="F70" s="79" t="s">
        <v>1312</v>
      </c>
    </row>
    <row r="71" customFormat="false" ht="61.5" hidden="false" customHeight="true" outlineLevel="0" collapsed="false">
      <c r="A71" s="77" t="s">
        <v>1313</v>
      </c>
      <c r="B71" s="32" t="s">
        <v>1314</v>
      </c>
      <c r="C71" s="32"/>
      <c r="D71" s="79" t="s">
        <v>1259</v>
      </c>
      <c r="E71" s="79" t="s">
        <v>1315</v>
      </c>
      <c r="F71" s="79" t="s">
        <v>1316</v>
      </c>
    </row>
    <row r="72" customFormat="false" ht="61.5" hidden="false" customHeight="true" outlineLevel="0" collapsed="false">
      <c r="A72" s="77" t="s">
        <v>1317</v>
      </c>
      <c r="B72" s="32" t="s">
        <v>1318</v>
      </c>
      <c r="C72" s="32"/>
      <c r="D72" s="79" t="s">
        <v>1319</v>
      </c>
      <c r="E72" s="79" t="s">
        <v>1320</v>
      </c>
      <c r="F72" s="79" t="s">
        <v>1321</v>
      </c>
    </row>
  </sheetData>
  <mergeCells count="15">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12" min="2" style="0" width="12"/>
  </cols>
  <sheetData>
    <row r="1" customFormat="false" ht="17.35" hidden="false" customHeight="false" outlineLevel="0" collapsed="false">
      <c r="A1" s="42" t="s">
        <v>1322</v>
      </c>
    </row>
    <row r="2" customFormat="false" ht="15" hidden="false" customHeight="false" outlineLevel="0" collapsed="false">
      <c r="A2" s="9" t="s">
        <v>1323</v>
      </c>
    </row>
    <row r="4" customFormat="false" ht="15" hidden="false" customHeight="false" outlineLevel="0" collapsed="false">
      <c r="A4" s="3" t="s">
        <v>1324</v>
      </c>
      <c r="B4" s="4"/>
      <c r="C4" s="4"/>
      <c r="D4" s="4"/>
      <c r="E4" s="4"/>
      <c r="F4" s="4"/>
      <c r="G4" s="4"/>
      <c r="H4" s="4"/>
      <c r="I4" s="4"/>
      <c r="J4" s="4"/>
      <c r="K4" s="4"/>
      <c r="L4" s="4"/>
    </row>
    <row r="5" customFormat="false" ht="30" hidden="false" customHeight="true" outlineLevel="0" collapsed="false">
      <c r="A5" s="23" t="s">
        <v>1325</v>
      </c>
      <c r="B5" s="24" t="s">
        <v>1326</v>
      </c>
      <c r="C5" s="24" t="s">
        <v>1327</v>
      </c>
      <c r="D5" s="24" t="s">
        <v>1237</v>
      </c>
      <c r="E5" s="24" t="s">
        <v>166</v>
      </c>
      <c r="F5" s="24" t="s">
        <v>1239</v>
      </c>
      <c r="G5" s="24" t="s">
        <v>1328</v>
      </c>
    </row>
    <row r="6" customFormat="false" ht="15" hidden="false" customHeight="false" outlineLevel="0" collapsed="false">
      <c r="A6" s="6" t="s">
        <v>1329</v>
      </c>
      <c r="B6" s="34" t="n">
        <f aca="false">Escenarios!$W$25</f>
        <v>0.16</v>
      </c>
      <c r="C6" s="29" t="n">
        <f aca="false">Escenarios!$W$33</f>
        <v>138.137515732045</v>
      </c>
      <c r="D6" s="34" t="n">
        <f aca="false">Escenarios!$W$31</f>
        <v>0.180321637808098</v>
      </c>
      <c r="E6" s="34" t="n">
        <f aca="false">Escenarios!$W$37</f>
        <v>0.244057975755026</v>
      </c>
      <c r="F6" s="37" t="n">
        <f aca="false">Escenarios!$W$39</f>
        <v>1.25846682217337</v>
      </c>
      <c r="G6" s="9" t="s">
        <v>1330</v>
      </c>
    </row>
    <row r="7" customFormat="false" ht="15" hidden="false" customHeight="false" outlineLevel="0" collapsed="false">
      <c r="A7" s="6" t="s">
        <v>1331</v>
      </c>
      <c r="B7" s="34" t="n">
        <f aca="false">Escenarios!$X$25</f>
        <v>0.1570777225</v>
      </c>
      <c r="C7" s="29" t="n">
        <f aca="false">Escenarios!$X$33</f>
        <v>159.615835860488</v>
      </c>
      <c r="D7" s="34" t="n">
        <f aca="false">Escenarios!$X$31</f>
        <v>0.180321637808098</v>
      </c>
      <c r="E7" s="34" t="n">
        <f aca="false">Escenarios!$X$37</f>
        <v>0.244057975755026</v>
      </c>
      <c r="F7" s="37" t="n">
        <f aca="false">Escenarios!$X$39</f>
        <v>1.25846682217337</v>
      </c>
      <c r="G7" s="9" t="s">
        <v>1332</v>
      </c>
    </row>
    <row r="8" customFormat="false" ht="15" hidden="false" customHeight="false" outlineLevel="0" collapsed="false">
      <c r="A8" s="6" t="s">
        <v>1333</v>
      </c>
      <c r="B8" s="34" t="n">
        <f aca="false">Escenarios!$U$25</f>
        <v>0.1570777225</v>
      </c>
      <c r="C8" s="29" t="n">
        <f aca="false">Escenarios!$U$33</f>
        <v>190.460676558142</v>
      </c>
      <c r="D8" s="34" t="n">
        <f aca="false">Escenarios!$U$31</f>
        <v>0.185693384348158</v>
      </c>
      <c r="E8" s="34" t="n">
        <f aca="false">Escenarios!$U$37</f>
        <v>0.260073507905463</v>
      </c>
      <c r="F8" s="37" t="n">
        <f aca="false">Escenarios!$U$39</f>
        <v>1.25178160785853</v>
      </c>
      <c r="G8" s="9" t="s">
        <v>1334</v>
      </c>
    </row>
    <row r="9" customFormat="false" ht="15" hidden="false" customHeight="false" outlineLevel="0" collapsed="false">
      <c r="A9" s="6" t="s">
        <v>1335</v>
      </c>
      <c r="B9" s="34" t="n">
        <f aca="false">Escenarios!$T$25</f>
        <v>0.1470725</v>
      </c>
      <c r="C9" s="29" t="n">
        <f aca="false">Escenarios!$T$33</f>
        <v>266.308886204684</v>
      </c>
      <c r="D9" s="34" t="n">
        <f aca="false">Escenarios!$T$31</f>
        <v>0.185693384348158</v>
      </c>
      <c r="E9" s="34" t="n">
        <f aca="false">Escenarios!$T$37</f>
        <v>0.280866147178324</v>
      </c>
      <c r="F9" s="37" t="n">
        <f aca="false">Escenarios!$T$39</f>
        <v>1.30556256990244</v>
      </c>
      <c r="G9" s="9" t="s">
        <v>1336</v>
      </c>
    </row>
    <row r="10" customFormat="false" ht="15" hidden="false" customHeight="false" outlineLevel="0" collapsed="false">
      <c r="A10" s="5" t="s">
        <v>1337</v>
      </c>
      <c r="B10" s="34" t="n">
        <f aca="false">Escenarios!$B$25</f>
        <v>0.1470725</v>
      </c>
      <c r="C10" s="62" t="n">
        <f aca="false">Escenarios!$B$33</f>
        <v>502.976125498281</v>
      </c>
      <c r="D10" s="61" t="n">
        <f aca="false">Escenarios!$B$31</f>
        <v>0.226125774918278</v>
      </c>
      <c r="E10" s="61" t="n">
        <f aca="false">Escenarios!$B$37</f>
        <v>0.407599554247206</v>
      </c>
      <c r="F10" s="66" t="n">
        <f aca="false">Escenarios!$B$39</f>
        <v>1.30556256990244</v>
      </c>
      <c r="G10" s="9" t="s">
        <v>1338</v>
      </c>
    </row>
    <row r="11" customFormat="false" ht="15" hidden="false" customHeight="false" outlineLevel="0" collapsed="false">
      <c r="A11" s="9" t="s">
        <v>1339</v>
      </c>
    </row>
    <row r="13" customFormat="false" ht="15" hidden="false" customHeight="false" outlineLevel="0" collapsed="false">
      <c r="A13" s="3" t="s">
        <v>1340</v>
      </c>
      <c r="B13" s="4"/>
      <c r="C13" s="4"/>
      <c r="D13" s="4"/>
      <c r="E13" s="4"/>
      <c r="F13" s="4"/>
      <c r="G13" s="4"/>
      <c r="H13" s="4"/>
      <c r="I13" s="4"/>
      <c r="J13" s="4"/>
      <c r="K13" s="4"/>
      <c r="L13" s="4"/>
    </row>
    <row r="14" customFormat="false" ht="15" hidden="false" customHeight="false" outlineLevel="0" collapsed="false">
      <c r="A14" s="9" t="s">
        <v>1341</v>
      </c>
    </row>
    <row r="15" customFormat="false" ht="15" hidden="false" customHeight="false" outlineLevel="0" collapsed="false">
      <c r="A15" s="9" t="s">
        <v>1342</v>
      </c>
    </row>
    <row r="16" customFormat="false" ht="15" hidden="false" customHeight="false" outlineLevel="0" collapsed="false">
      <c r="A16" s="9" t="s">
        <v>1343</v>
      </c>
    </row>
    <row r="18" customFormat="false" ht="15" hidden="false" customHeight="false" outlineLevel="0" collapsed="false">
      <c r="A18" s="3" t="s">
        <v>1344</v>
      </c>
      <c r="B18" s="4"/>
      <c r="C18" s="4"/>
      <c r="D18" s="4"/>
      <c r="E18" s="4"/>
      <c r="F18" s="4"/>
      <c r="G18" s="4"/>
      <c r="H18" s="4"/>
      <c r="I18" s="4"/>
      <c r="J18" s="4"/>
      <c r="K18" s="4"/>
      <c r="L18" s="4"/>
    </row>
    <row r="19" customFormat="false" ht="15" hidden="false" customHeight="false" outlineLevel="0" collapsed="false">
      <c r="A19" s="9" t="s">
        <v>1345</v>
      </c>
    </row>
    <row r="20" customFormat="false" ht="30" hidden="false" customHeight="true" outlineLevel="0" collapsed="false">
      <c r="A20" s="23" t="s">
        <v>119</v>
      </c>
      <c r="B20" s="24" t="s">
        <v>1346</v>
      </c>
      <c r="C20" s="24"/>
      <c r="D20" s="24" t="s">
        <v>1347</v>
      </c>
      <c r="E20" s="24"/>
      <c r="F20" s="24"/>
      <c r="G20" s="24" t="s">
        <v>987</v>
      </c>
      <c r="H20" s="24" t="s">
        <v>1348</v>
      </c>
      <c r="I20" s="24"/>
      <c r="J20" s="24" t="s">
        <v>1349</v>
      </c>
      <c r="K20" s="24"/>
      <c r="L20" s="24"/>
    </row>
    <row r="21" customFormat="false" ht="66" hidden="false" customHeight="true" outlineLevel="0" collapsed="false">
      <c r="A21" s="77" t="s">
        <v>1350</v>
      </c>
      <c r="B21" s="32" t="s">
        <v>1351</v>
      </c>
      <c r="C21" s="32"/>
      <c r="D21" s="32" t="s">
        <v>1352</v>
      </c>
      <c r="E21" s="32"/>
      <c r="F21" s="32"/>
      <c r="G21" s="92" t="n">
        <f aca="false">Quesería!C148+Quesería!D148</f>
        <v>270.309241770289</v>
      </c>
      <c r="H21" s="32" t="s">
        <v>1353</v>
      </c>
      <c r="I21" s="32"/>
      <c r="J21" s="32" t="s">
        <v>1354</v>
      </c>
      <c r="K21" s="32"/>
      <c r="L21" s="32"/>
    </row>
    <row r="22" customFormat="false" ht="66" hidden="false" customHeight="true" outlineLevel="0" collapsed="false">
      <c r="A22" s="77" t="s">
        <v>1355</v>
      </c>
      <c r="B22" s="32" t="s">
        <v>1356</v>
      </c>
      <c r="C22" s="32"/>
      <c r="D22" s="32" t="s">
        <v>1357</v>
      </c>
      <c r="E22" s="32"/>
      <c r="F22" s="32"/>
      <c r="G22" s="92" t="n">
        <f aca="false">Quesería!C147</f>
        <v>20</v>
      </c>
      <c r="H22" s="32" t="s">
        <v>132</v>
      </c>
      <c r="I22" s="32"/>
      <c r="J22" s="32" t="s">
        <v>1358</v>
      </c>
      <c r="K22" s="32"/>
      <c r="L22" s="32"/>
    </row>
    <row r="23" customFormat="false" ht="66" hidden="false" customHeight="true" outlineLevel="0" collapsed="false">
      <c r="A23" s="77" t="s">
        <v>1359</v>
      </c>
      <c r="B23" s="32" t="s">
        <v>1360</v>
      </c>
      <c r="C23" s="32"/>
      <c r="D23" s="32" t="s">
        <v>1361</v>
      </c>
      <c r="E23" s="32"/>
      <c r="F23" s="32"/>
      <c r="G23" s="92" t="n">
        <f aca="false">Quesería!C149+Quesería!D149</f>
        <v>279.918391963498</v>
      </c>
      <c r="H23" s="32" t="s">
        <v>1362</v>
      </c>
      <c r="I23" s="32"/>
      <c r="J23" s="32" t="s">
        <v>1363</v>
      </c>
      <c r="K23" s="32"/>
      <c r="L23" s="32"/>
    </row>
    <row r="24" customFormat="false" ht="66" hidden="false" customHeight="true" outlineLevel="0" collapsed="false">
      <c r="A24" s="77" t="s">
        <v>1364</v>
      </c>
      <c r="B24" s="32" t="s">
        <v>1365</v>
      </c>
      <c r="C24" s="32"/>
      <c r="D24" s="32" t="s">
        <v>1366</v>
      </c>
      <c r="E24" s="32"/>
      <c r="F24" s="32"/>
      <c r="G24" s="92" t="str">
        <f aca="false">"65 % de la inversión"</f>
        <v>65 % de la inversión</v>
      </c>
      <c r="H24" s="32" t="s">
        <v>1367</v>
      </c>
      <c r="I24" s="32"/>
      <c r="J24" s="32" t="s">
        <v>1368</v>
      </c>
      <c r="K24" s="32"/>
      <c r="L24" s="32"/>
    </row>
    <row r="26" customFormat="false" ht="15" hidden="false" customHeight="false" outlineLevel="0" collapsed="false">
      <c r="A26" s="3" t="s">
        <v>1369</v>
      </c>
      <c r="B26" s="4"/>
      <c r="C26" s="4"/>
      <c r="D26" s="4"/>
      <c r="E26" s="4"/>
      <c r="F26" s="4"/>
      <c r="G26" s="4"/>
      <c r="H26" s="4"/>
      <c r="I26" s="4"/>
      <c r="J26" s="4"/>
      <c r="K26" s="4"/>
      <c r="L26" s="4"/>
    </row>
    <row r="27" customFormat="false" ht="15" hidden="false" customHeight="false" outlineLevel="0" collapsed="false">
      <c r="A27" s="9" t="s">
        <v>1370</v>
      </c>
    </row>
    <row r="28" customFormat="false" ht="57.75" hidden="false" customHeight="true" outlineLevel="0" collapsed="false">
      <c r="A28" s="23" t="s">
        <v>1371</v>
      </c>
      <c r="B28" s="24" t="s">
        <v>1372</v>
      </c>
      <c r="C28" s="24" t="s">
        <v>1373</v>
      </c>
      <c r="D28" s="24" t="s">
        <v>1374</v>
      </c>
      <c r="E28" s="24" t="s">
        <v>1375</v>
      </c>
      <c r="F28" s="24" t="s">
        <v>1376</v>
      </c>
      <c r="G28" s="24" t="s">
        <v>1377</v>
      </c>
      <c r="H28" s="24" t="s">
        <v>1378</v>
      </c>
      <c r="I28" s="24" t="s">
        <v>1379</v>
      </c>
    </row>
    <row r="29" customFormat="false" ht="15" hidden="false" customHeight="false" outlineLevel="0" collapsed="false">
      <c r="A29" s="5" t="s">
        <v>1380</v>
      </c>
      <c r="B29" s="46" t="n">
        <v>0.2</v>
      </c>
      <c r="C29" s="46" t="n">
        <v>0.25</v>
      </c>
      <c r="D29" s="46" t="n">
        <v>0.2</v>
      </c>
      <c r="E29" s="46" t="n">
        <v>0.15</v>
      </c>
      <c r="F29" s="46" t="n">
        <v>0.1</v>
      </c>
      <c r="G29" s="46" t="n">
        <v>0.1</v>
      </c>
    </row>
    <row r="30" customFormat="false" ht="15" hidden="false" customHeight="false" outlineLevel="0" collapsed="false">
      <c r="A30" s="6" t="s">
        <v>1381</v>
      </c>
      <c r="B30" s="53" t="n">
        <v>5</v>
      </c>
      <c r="C30" s="53" t="n">
        <v>5</v>
      </c>
      <c r="D30" s="53" t="n">
        <v>4</v>
      </c>
      <c r="E30" s="53" t="n">
        <v>5</v>
      </c>
      <c r="F30" s="53" t="n">
        <v>5</v>
      </c>
      <c r="G30" s="53" t="n">
        <v>4</v>
      </c>
      <c r="H30" s="12" t="n">
        <f aca="false">SUMPRODUCT(B30:G30,$B$29:$G$29)</f>
        <v>4.7</v>
      </c>
      <c r="I30" s="33" t="n">
        <f aca="false">RANK(H30,$H$30:$H$37,0)</f>
        <v>1</v>
      </c>
    </row>
    <row r="31" customFormat="false" ht="15" hidden="false" customHeight="false" outlineLevel="0" collapsed="false">
      <c r="A31" s="6" t="s">
        <v>1382</v>
      </c>
      <c r="B31" s="53" t="n">
        <v>5</v>
      </c>
      <c r="C31" s="53" t="n">
        <v>4</v>
      </c>
      <c r="D31" s="53" t="n">
        <v>4</v>
      </c>
      <c r="E31" s="53" t="n">
        <v>4</v>
      </c>
      <c r="F31" s="53" t="n">
        <v>4</v>
      </c>
      <c r="G31" s="53" t="n">
        <v>5</v>
      </c>
      <c r="H31" s="12" t="n">
        <f aca="false">SUMPRODUCT(B31:G31,$B$29:$G$29)</f>
        <v>4.3</v>
      </c>
      <c r="I31" s="33" t="n">
        <f aca="false">RANK(H31,$H$30:$H$37,0)</f>
        <v>2</v>
      </c>
    </row>
    <row r="32" customFormat="false" ht="15" hidden="false" customHeight="false" outlineLevel="0" collapsed="false">
      <c r="A32" s="6" t="s">
        <v>1383</v>
      </c>
      <c r="B32" s="53" t="n">
        <v>5</v>
      </c>
      <c r="C32" s="53" t="n">
        <v>4</v>
      </c>
      <c r="D32" s="53" t="n">
        <v>4</v>
      </c>
      <c r="E32" s="53" t="n">
        <v>4</v>
      </c>
      <c r="F32" s="53" t="n">
        <v>3</v>
      </c>
      <c r="G32" s="53" t="n">
        <v>5</v>
      </c>
      <c r="H32" s="12" t="n">
        <f aca="false">SUMPRODUCT(B32:G32,$B$29:$G$29)</f>
        <v>4.2</v>
      </c>
      <c r="I32" s="33" t="n">
        <f aca="false">RANK(H32,$H$30:$H$37,0)</f>
        <v>3</v>
      </c>
    </row>
    <row r="33" customFormat="false" ht="15" hidden="false" customHeight="false" outlineLevel="0" collapsed="false">
      <c r="A33" s="6" t="s">
        <v>1384</v>
      </c>
      <c r="B33" s="53" t="n">
        <v>5</v>
      </c>
      <c r="C33" s="53" t="n">
        <v>4</v>
      </c>
      <c r="D33" s="53" t="n">
        <v>2</v>
      </c>
      <c r="E33" s="53" t="n">
        <v>4</v>
      </c>
      <c r="F33" s="53" t="n">
        <v>4</v>
      </c>
      <c r="G33" s="53" t="n">
        <v>4</v>
      </c>
      <c r="H33" s="12" t="n">
        <f aca="false">SUMPRODUCT(B33:G33,$B$29:$G$29)</f>
        <v>3.8</v>
      </c>
      <c r="I33" s="33" t="n">
        <f aca="false">RANK(H33,$H$30:$H$37,0)</f>
        <v>4</v>
      </c>
    </row>
    <row r="34" customFormat="false" ht="15" hidden="false" customHeight="false" outlineLevel="0" collapsed="false">
      <c r="A34" s="6" t="s">
        <v>1385</v>
      </c>
      <c r="B34" s="53" t="n">
        <v>4</v>
      </c>
      <c r="C34" s="53" t="n">
        <v>4</v>
      </c>
      <c r="D34" s="53" t="n">
        <v>3</v>
      </c>
      <c r="E34" s="53" t="n">
        <v>3</v>
      </c>
      <c r="F34" s="53" t="n">
        <v>4</v>
      </c>
      <c r="G34" s="53" t="n">
        <v>5</v>
      </c>
      <c r="H34" s="12" t="n">
        <f aca="false">SUMPRODUCT(B34:G34,$B$29:$G$29)</f>
        <v>3.75</v>
      </c>
      <c r="I34" s="33" t="n">
        <f aca="false">RANK(H34,$H$30:$H$37,0)</f>
        <v>5</v>
      </c>
    </row>
    <row r="35" customFormat="false" ht="15" hidden="false" customHeight="false" outlineLevel="0" collapsed="false">
      <c r="A35" s="6" t="s">
        <v>1386</v>
      </c>
      <c r="B35" s="53" t="n">
        <v>5</v>
      </c>
      <c r="C35" s="53" t="n">
        <v>5</v>
      </c>
      <c r="D35" s="53" t="n">
        <v>3</v>
      </c>
      <c r="E35" s="53" t="n">
        <v>2</v>
      </c>
      <c r="F35" s="53" t="n">
        <v>2</v>
      </c>
      <c r="G35" s="53" t="n">
        <v>3</v>
      </c>
      <c r="H35" s="12" t="n">
        <f aca="false">SUMPRODUCT(B35:G35,$B$29:$G$29)</f>
        <v>3.65</v>
      </c>
      <c r="I35" s="33" t="n">
        <f aca="false">RANK(H35,$H$30:$H$37,0)</f>
        <v>6</v>
      </c>
    </row>
    <row r="36" customFormat="false" ht="15" hidden="false" customHeight="false" outlineLevel="0" collapsed="false">
      <c r="A36" s="6" t="s">
        <v>1387</v>
      </c>
      <c r="B36" s="53" t="n">
        <v>2</v>
      </c>
      <c r="C36" s="53" t="n">
        <v>3</v>
      </c>
      <c r="D36" s="53" t="n">
        <v>4</v>
      </c>
      <c r="E36" s="53" t="n">
        <v>4</v>
      </c>
      <c r="F36" s="53" t="n">
        <v>3</v>
      </c>
      <c r="G36" s="53" t="n">
        <v>3</v>
      </c>
      <c r="H36" s="12" t="n">
        <f aca="false">SUMPRODUCT(B36:G36,$B$29:$G$29)</f>
        <v>3.15</v>
      </c>
      <c r="I36" s="33" t="n">
        <f aca="false">RANK(H36,$H$30:$H$37,0)</f>
        <v>7</v>
      </c>
    </row>
    <row r="37" customFormat="false" ht="15" hidden="false" customHeight="false" outlineLevel="0" collapsed="false">
      <c r="A37" s="6" t="s">
        <v>1388</v>
      </c>
      <c r="B37" s="53" t="n">
        <v>1</v>
      </c>
      <c r="C37" s="53" t="n">
        <v>2</v>
      </c>
      <c r="D37" s="53" t="n">
        <v>3</v>
      </c>
      <c r="E37" s="53" t="n">
        <v>4</v>
      </c>
      <c r="F37" s="53" t="n">
        <v>3</v>
      </c>
      <c r="G37" s="53" t="n">
        <v>4</v>
      </c>
      <c r="H37" s="12" t="n">
        <f aca="false">SUMPRODUCT(B37:G37,$B$29:$G$29)</f>
        <v>2.6</v>
      </c>
      <c r="I37" s="33" t="n">
        <f aca="false">RANK(H37,$H$30:$H$37,0)</f>
        <v>8</v>
      </c>
    </row>
    <row r="38" customFormat="false" ht="15" hidden="false" customHeight="false" outlineLevel="0" collapsed="false">
      <c r="A38" s="6" t="s">
        <v>1389</v>
      </c>
      <c r="B38" s="37" t="n">
        <f aca="false">SUM(B29:G29)-1</f>
        <v>0</v>
      </c>
    </row>
    <row r="39" customFormat="false" ht="15" hidden="false" customHeight="false" outlineLevel="0" collapsed="false">
      <c r="A39" s="9" t="s">
        <v>1390</v>
      </c>
    </row>
    <row r="41" customFormat="false" ht="15" hidden="false" customHeight="false" outlineLevel="0" collapsed="false">
      <c r="A41" s="3" t="s">
        <v>1391</v>
      </c>
      <c r="B41" s="4"/>
      <c r="C41" s="4"/>
      <c r="D41" s="4"/>
      <c r="E41" s="4"/>
      <c r="F41" s="4"/>
      <c r="G41" s="4"/>
      <c r="H41" s="4"/>
      <c r="I41" s="4"/>
      <c r="J41" s="4"/>
      <c r="K41" s="4"/>
      <c r="L41" s="4"/>
    </row>
    <row r="42" customFormat="false" ht="23.85" hidden="false" customHeight="false" outlineLevel="0" collapsed="false">
      <c r="A42" s="23" t="s">
        <v>1392</v>
      </c>
      <c r="B42" s="24" t="s">
        <v>1393</v>
      </c>
      <c r="C42" s="24"/>
      <c r="D42" s="24"/>
      <c r="E42" s="24"/>
      <c r="F42" s="24"/>
      <c r="G42" s="24" t="s">
        <v>1394</v>
      </c>
    </row>
    <row r="43" customFormat="false" ht="15" hidden="false" customHeight="false" outlineLevel="0" collapsed="false">
      <c r="A43" s="77" t="s">
        <v>1395</v>
      </c>
      <c r="B43" s="10" t="n">
        <f aca="false">Escenarios!$B$33-Escenarios!$E$33</f>
        <v>77.53871539229</v>
      </c>
      <c r="G43" s="9" t="s">
        <v>1396</v>
      </c>
    </row>
    <row r="44" customFormat="false" ht="15" hidden="false" customHeight="false" outlineLevel="0" collapsed="false">
      <c r="A44" s="77" t="s">
        <v>1397</v>
      </c>
      <c r="G44" s="9" t="s">
        <v>1398</v>
      </c>
    </row>
    <row r="45" customFormat="false" ht="15" hidden="false" customHeight="false" outlineLevel="0" collapsed="false">
      <c r="A45" s="77" t="s">
        <v>1399</v>
      </c>
      <c r="B45" s="10" t="n">
        <f aca="false">Quesería!$B$24*Quesería!$E$118</f>
        <v>10.8</v>
      </c>
      <c r="G45" s="9" t="s">
        <v>1400</v>
      </c>
    </row>
    <row r="46" customFormat="false" ht="15" hidden="false" customHeight="false" outlineLevel="0" collapsed="false">
      <c r="A46" s="77" t="s">
        <v>1401</v>
      </c>
      <c r="G46" s="9" t="s">
        <v>1402</v>
      </c>
    </row>
    <row r="47" customFormat="false" ht="15" hidden="false" customHeight="false" outlineLevel="0" collapsed="false">
      <c r="A47" s="77" t="s">
        <v>1403</v>
      </c>
      <c r="G47" s="9" t="s">
        <v>1404</v>
      </c>
    </row>
    <row r="48" customFormat="false" ht="15" hidden="false" customHeight="false" outlineLevel="0" collapsed="false">
      <c r="A48" s="77" t="s">
        <v>1405</v>
      </c>
      <c r="G48" s="9" t="s">
        <v>1406</v>
      </c>
    </row>
    <row r="49" customFormat="false" ht="15" hidden="false" customHeight="false" outlineLevel="0" collapsed="false">
      <c r="A49" s="6" t="s">
        <v>1407</v>
      </c>
      <c r="B49" s="29" t="n">
        <f aca="false">Escenarios!$D$33</f>
        <v>-340.708446867415</v>
      </c>
      <c r="G49" s="9" t="s">
        <v>1408</v>
      </c>
    </row>
    <row r="50" customFormat="false" ht="15" hidden="false" customHeight="false" outlineLevel="0" collapsed="false">
      <c r="A50" s="6" t="s">
        <v>1409</v>
      </c>
      <c r="B50" s="29" t="n">
        <f aca="false">Escenarios!$C$33</f>
        <v>-458.352332832904</v>
      </c>
      <c r="G50" s="9" t="s">
        <v>1410</v>
      </c>
    </row>
    <row r="52" customFormat="false" ht="15" hidden="false" customHeight="false" outlineLevel="0" collapsed="false">
      <c r="A52" s="3" t="s">
        <v>1411</v>
      </c>
      <c r="B52" s="4"/>
      <c r="C52" s="4"/>
      <c r="D52" s="4"/>
      <c r="E52" s="4"/>
      <c r="F52" s="4"/>
      <c r="G52" s="4"/>
      <c r="H52" s="4"/>
      <c r="I52" s="4"/>
      <c r="J52" s="4"/>
      <c r="K52" s="4"/>
      <c r="L52" s="4"/>
    </row>
    <row r="53" customFormat="false" ht="15" hidden="false" customHeight="false" outlineLevel="0" collapsed="false">
      <c r="A53" s="9" t="s">
        <v>1412</v>
      </c>
    </row>
    <row r="54" customFormat="false" ht="15" hidden="false" customHeight="false" outlineLevel="0" collapsed="false">
      <c r="A54" s="23" t="s">
        <v>1413</v>
      </c>
      <c r="B54" s="24" t="s">
        <v>393</v>
      </c>
      <c r="C54" s="24" t="s">
        <v>394</v>
      </c>
      <c r="D54" s="24" t="s">
        <v>395</v>
      </c>
      <c r="E54" s="24" t="s">
        <v>396</v>
      </c>
      <c r="F54" s="24" t="s">
        <v>397</v>
      </c>
      <c r="G54" s="24" t="s">
        <v>398</v>
      </c>
      <c r="H54" s="24" t="s">
        <v>399</v>
      </c>
      <c r="I54" s="24" t="s">
        <v>400</v>
      </c>
      <c r="J54" s="24" t="s">
        <v>401</v>
      </c>
      <c r="K54" s="24" t="s">
        <v>402</v>
      </c>
      <c r="L54" s="24" t="s">
        <v>403</v>
      </c>
    </row>
    <row r="55" customFormat="false" ht="15" hidden="false" customHeight="false" outlineLevel="0" collapsed="false">
      <c r="A55" s="6" t="s">
        <v>1414</v>
      </c>
      <c r="B55" s="29" t="n">
        <f aca="false">Quesería!$F$70*(1+Quesería!$I$70)+Quesería!$F$77*(1+Quesería!$I$77)+Quesería!$F$76*(1+Quesería!$I$76)+Quesería!$F$78*(1+Quesería!$I$78)</f>
        <v>259.506231839144</v>
      </c>
      <c r="C55" s="29" t="n">
        <v>0</v>
      </c>
      <c r="D55" s="29" t="n">
        <v>0</v>
      </c>
      <c r="E55" s="29" t="n">
        <v>0</v>
      </c>
      <c r="F55" s="29" t="n">
        <v>0</v>
      </c>
      <c r="G55" s="29" t="n">
        <v>0</v>
      </c>
      <c r="H55" s="29" t="n">
        <v>0</v>
      </c>
      <c r="I55" s="29" t="n">
        <v>0</v>
      </c>
      <c r="J55" s="29" t="n">
        <v>0</v>
      </c>
      <c r="K55" s="29" t="n">
        <v>0</v>
      </c>
      <c r="L55" s="29" t="n">
        <v>0</v>
      </c>
    </row>
    <row r="56" customFormat="false" ht="15" hidden="false" customHeight="false" outlineLevel="0" collapsed="false">
      <c r="A56" s="6" t="s">
        <v>1415</v>
      </c>
      <c r="B56" s="29" t="n">
        <v>0</v>
      </c>
      <c r="C56" s="29" t="n">
        <f aca="false">(Quesería!$J$104+Quesería!$J$108)*Quesería!$B$20*1</f>
        <v>25.1235</v>
      </c>
      <c r="D56" s="29" t="n">
        <f aca="false">(Quesería!$J$104+Quesería!$J$108)*1</f>
        <v>33.498</v>
      </c>
      <c r="E56" s="29" t="n">
        <f aca="false">(Quesería!$J$104+Quesería!$J$108)*1</f>
        <v>33.498</v>
      </c>
      <c r="F56" s="29" t="n">
        <f aca="false">(Quesería!$J$104+Quesería!$J$108)*1</f>
        <v>33.498</v>
      </c>
      <c r="G56" s="29" t="n">
        <f aca="false">(Quesería!$J$104+Quesería!$J$108)*1</f>
        <v>33.498</v>
      </c>
      <c r="H56" s="29" t="n">
        <f aca="false">(Quesería!$J$104+Quesería!$J$108)*1</f>
        <v>33.498</v>
      </c>
      <c r="I56" s="29" t="n">
        <f aca="false">(Quesería!$J$104+Quesería!$J$108)*1</f>
        <v>33.498</v>
      </c>
      <c r="J56" s="29" t="n">
        <f aca="false">(Quesería!$J$104+Quesería!$J$108)*1</f>
        <v>33.498</v>
      </c>
      <c r="K56" s="29" t="n">
        <f aca="false">(Quesería!$J$104+Quesería!$J$108)*1</f>
        <v>33.498</v>
      </c>
      <c r="L56" s="29" t="n">
        <f aca="false">(Quesería!$J$104+Quesería!$J$108)*1</f>
        <v>33.498</v>
      </c>
    </row>
    <row r="57" customFormat="false" ht="15" hidden="false" customHeight="false" outlineLevel="0" collapsed="false">
      <c r="A57" s="6" t="s">
        <v>1416</v>
      </c>
      <c r="B57" s="29" t="n">
        <v>0</v>
      </c>
      <c r="C57" s="29" t="n">
        <f aca="false">Quesería!$B$54*(B56-B55)*Escenarios!B90/Escenarios!C90</f>
        <v>-86.5020772797147</v>
      </c>
      <c r="D57" s="29" t="n">
        <f aca="false">Quesería!$B$54*(C56-C55)*Escenarios!C90/Escenarios!D90</f>
        <v>8.41456937799043</v>
      </c>
      <c r="E57" s="29" t="n">
        <f aca="false">Quesería!$B$54*(D56-D55)*Escenarios!D90/Escenarios!E90</f>
        <v>11.2733653846154</v>
      </c>
      <c r="F57" s="29" t="n">
        <f aca="false">Quesería!$B$54*(E56-E55)*Escenarios!E90/Escenarios!F90</f>
        <v>11.2733653846154</v>
      </c>
      <c r="G57" s="29" t="n">
        <f aca="false">Quesería!$B$54*(F56-F55)*Escenarios!F90/Escenarios!G90</f>
        <v>11.2733653846154</v>
      </c>
      <c r="H57" s="29" t="n">
        <f aca="false">Quesería!$B$54*(G56-G55)*Escenarios!G90/Escenarios!H90</f>
        <v>11.2733653846154</v>
      </c>
      <c r="I57" s="29" t="n">
        <f aca="false">Quesería!$B$54*(H56-H55)*Escenarios!H90/Escenarios!I90</f>
        <v>11.2733653846154</v>
      </c>
      <c r="J57" s="29" t="n">
        <f aca="false">Quesería!$B$54*(I56-I55)*Escenarios!I90/Escenarios!J90</f>
        <v>11.2733653846154</v>
      </c>
      <c r="K57" s="29" t="n">
        <f aca="false">Quesería!$B$54*(J56-J55)*Escenarios!J90/Escenarios!K90</f>
        <v>11.2733653846154</v>
      </c>
      <c r="L57" s="29" t="n">
        <f aca="false">Quesería!$B$54*(K56-K55)*Escenarios!K90/Escenarios!L90+Quesería!$B$54*(L56-L55)</f>
        <v>22.9976653846154</v>
      </c>
    </row>
    <row r="58" customFormat="false" ht="15" hidden="false" customHeight="false" outlineLevel="0" collapsed="false">
      <c r="A58" s="5" t="s">
        <v>1417</v>
      </c>
      <c r="B58" s="10" t="n">
        <f aca="false">B56-B55-B57</f>
        <v>-259.506231839144</v>
      </c>
      <c r="C58" s="10" t="n">
        <f aca="false">C56-C55-C57</f>
        <v>111.625577279715</v>
      </c>
      <c r="D58" s="10" t="n">
        <f aca="false">D56-D55-D57</f>
        <v>25.0834306220096</v>
      </c>
      <c r="E58" s="10" t="n">
        <f aca="false">E56-E55-E57</f>
        <v>22.2246346153846</v>
      </c>
      <c r="F58" s="10" t="n">
        <f aca="false">F56-F55-F57</f>
        <v>22.2246346153846</v>
      </c>
      <c r="G58" s="10" t="n">
        <f aca="false">G56-G55-G57</f>
        <v>22.2246346153846</v>
      </c>
      <c r="H58" s="10" t="n">
        <f aca="false">H56-H55-H57</f>
        <v>22.2246346153846</v>
      </c>
      <c r="I58" s="10" t="n">
        <f aca="false">I56-I55-I57</f>
        <v>22.2246346153846</v>
      </c>
      <c r="J58" s="10" t="n">
        <f aca="false">J56-J55-J57</f>
        <v>22.2246346153846</v>
      </c>
      <c r="K58" s="10" t="n">
        <f aca="false">K56-K55-K57</f>
        <v>22.2246346153846</v>
      </c>
      <c r="L58" s="10" t="n">
        <f aca="false">L56-L55-L57</f>
        <v>10.5003346153846</v>
      </c>
    </row>
    <row r="59" customFormat="false" ht="15" hidden="false" customHeight="false" outlineLevel="0" collapsed="false">
      <c r="A59" s="5" t="s">
        <v>1418</v>
      </c>
      <c r="B59" s="62" t="n">
        <f aca="false">SUMPRODUCT(B58:L58,Escenarios!B114:L114)</f>
        <v>-48.8670853775761</v>
      </c>
      <c r="G59" s="9" t="s">
        <v>1419</v>
      </c>
    </row>
    <row r="60" customFormat="false" ht="15" hidden="false" customHeight="false" outlineLevel="0" collapsed="false">
      <c r="A60" s="5" t="s">
        <v>1420</v>
      </c>
      <c r="B60" s="8" t="n">
        <f aca="false">1+B59/SUMPRODUCT(B55:L55,Escenarios!B114:L114)</f>
        <v>0.811692054440271</v>
      </c>
    </row>
    <row r="61" customFormat="false" ht="15" hidden="false" customHeight="false" outlineLevel="0" collapsed="false">
      <c r="A61" s="6" t="s">
        <v>1421</v>
      </c>
      <c r="B61" s="29" t="n">
        <f aca="false">(-SUMPRODUCT(B55:L55,Escenarios!B114:L114)+Quesería!$B$54*SUMPRODUCT(B55:K55*Escenarios!B90:K90/Escenarios!C90:L90,Escenarios!C114:L114))+(SUMPRODUCT(B56:L56,Escenarios!B114:L114)-Quesería!$B$54*SUMPRODUCT(B56:K56*Escenarios!B90:K90/Escenarios!C90:L90,Escenarios!C114:L114)-Quesería!$B$54*L56*Escenarios!L114)*Quesería!$J$104/(Quesería!$J$104+Quesería!$J$108)</f>
        <v>-146.216264410107</v>
      </c>
      <c r="G61" s="9" t="s">
        <v>1422</v>
      </c>
    </row>
    <row r="62" customFormat="false" ht="15" hidden="false" customHeight="false" outlineLevel="0" collapsed="false">
      <c r="A62" s="6" t="s">
        <v>1423</v>
      </c>
      <c r="B62" s="29" t="n">
        <f aca="false">(-SUMPRODUCT(B55:L55,Escenarios!B114:L114)+Quesería!$B$54*SUMPRODUCT(B55:K55*Escenarios!B90:K90/Escenarios!C90:L90,Escenarios!C114:L114))+(SUMPRODUCT(B56:L56,Escenarios!B114:L114)-Quesería!$B$54*SUMPRODUCT(B56:K56*Escenarios!B90:K90/Escenarios!C90:L90,Escenarios!C114:L114)-Quesería!$B$54*L56*Escenarios!L114)*(Quesería!$J$104+0.5*Quesería!$J$108)/(Quesería!$J$104+Quesería!$J$108)</f>
        <v>-97.5416748938415</v>
      </c>
      <c r="G62" s="9"/>
    </row>
    <row r="63" customFormat="false" ht="15" hidden="false" customHeight="false" outlineLevel="0" collapsed="false">
      <c r="A63" s="6" t="s">
        <v>1424</v>
      </c>
      <c r="B63" s="29" t="n">
        <f aca="false">(-SUMPRODUCT(B55:L55,Escenarios!B114:L114)+Quesería!$B$54*SUMPRODUCT(B55:K55*Escenarios!B90:K90/Escenarios!C90:L90,Escenarios!C114:L114))+0.5*(SUMPRODUCT(B56:L56,Escenarios!B114:L114)-Quesería!$B$54*SUMPRODUCT(B56:K56*Escenarios!B90:K90/Escenarios!C90:L90,Escenarios!C114:L114)-Quesería!$B$54*L56*Escenarios!L114)</f>
        <v>-114.938136500676</v>
      </c>
      <c r="G63" s="9"/>
    </row>
    <row r="64" customFormat="false" ht="15" hidden="false" customHeight="false" outlineLevel="0" collapsed="false">
      <c r="A64" s="6" t="s">
        <v>1425</v>
      </c>
      <c r="B64" s="37" t="n">
        <f aca="false">-(-SUMPRODUCT(B55:L55,Escenarios!B114:L114)+Quesería!$B$54*SUMPRODUCT(B55:K55*Escenarios!B90:K90/Escenarios!C90:L90,Escenarios!C114:L114))/(SUMPRODUCT(B56:L56,Escenarios!B114:L114)-Quesería!$B$54*SUMPRODUCT(B56:K56*Escenarios!B90:K90/Escenarios!C90:L90,Escenarios!C114:L114)-Quesería!$B$54*L56*Escenarios!L114)</f>
        <v>1.36980708303346</v>
      </c>
      <c r="G64" s="9" t="s">
        <v>1426</v>
      </c>
    </row>
    <row r="65" customFormat="false" ht="15" hidden="false" customHeight="false" outlineLevel="0" collapsed="false">
      <c r="A65" s="6" t="s">
        <v>1427</v>
      </c>
      <c r="B65" s="29" t="n">
        <f aca="false">(SUMPRODUCT(B56:L56,Escenarios!B114:L114)-Quesería!$B$54*SUMPRODUCT(B56:K56*Escenarios!B90:K90/Escenarios!C90:L90,Escenarios!C114:L114)-Quesería!$B$54*L56*Escenarios!L114)-SUMPRODUCT(B55:L55,Escenarios!B114:L114)</f>
        <v>-127.364129592945</v>
      </c>
      <c r="G65" s="9" t="s">
        <v>1428</v>
      </c>
    </row>
    <row r="67" customFormat="false" ht="15" hidden="false" customHeight="false" outlineLevel="0" collapsed="false">
      <c r="A67" s="3" t="s">
        <v>1429</v>
      </c>
      <c r="B67" s="4"/>
      <c r="C67" s="4"/>
      <c r="D67" s="4"/>
      <c r="E67" s="4"/>
      <c r="F67" s="4"/>
      <c r="G67" s="4"/>
      <c r="H67" s="4"/>
      <c r="I67" s="4"/>
      <c r="J67" s="4"/>
      <c r="K67" s="4"/>
      <c r="L67" s="4"/>
    </row>
    <row r="68" customFormat="false" ht="23.85" hidden="false" customHeight="false" outlineLevel="0" collapsed="false">
      <c r="A68" s="23"/>
      <c r="B68" s="24" t="s">
        <v>1327</v>
      </c>
      <c r="C68" s="24" t="s">
        <v>1237</v>
      </c>
      <c r="D68" s="24"/>
      <c r="E68" s="24"/>
      <c r="F68" s="24"/>
      <c r="G68" s="24" t="s">
        <v>938</v>
      </c>
    </row>
    <row r="69" customFormat="false" ht="15" hidden="false" customHeight="false" outlineLevel="0" collapsed="false">
      <c r="A69" s="6" t="s">
        <v>172</v>
      </c>
      <c r="B69" s="29" t="n">
        <f aca="false">Escenarios!$Y$33</f>
        <v>286.189595655785</v>
      </c>
      <c r="C69" s="34" t="n">
        <f aca="false">Escenarios!$Y$31</f>
        <v>0.234932263833018</v>
      </c>
      <c r="G69" s="9" t="s">
        <v>1430</v>
      </c>
    </row>
    <row r="70" customFormat="false" ht="15" hidden="false" customHeight="false" outlineLevel="0" collapsed="false">
      <c r="A70" s="5" t="s">
        <v>1431</v>
      </c>
      <c r="B70" s="10" t="n">
        <f aca="false">Escenarios!$B$33-Escenarios!$Y$33</f>
        <v>216.786529842496</v>
      </c>
      <c r="C70" s="8" t="n">
        <f aca="false">IRR(B73:L73)</f>
        <v>0.216366791466755</v>
      </c>
      <c r="G70" s="9" t="s">
        <v>1432</v>
      </c>
    </row>
    <row r="71" customFormat="false" ht="15" hidden="false" customHeight="false" outlineLevel="0" collapsed="false">
      <c r="A71" s="6" t="s">
        <v>1433</v>
      </c>
      <c r="B71" s="29" t="n">
        <f aca="false">Escenarios!$B$33</f>
        <v>502.976125498281</v>
      </c>
      <c r="C71" s="34" t="n">
        <f aca="false">Escenarios!$B$31</f>
        <v>0.226125774918278</v>
      </c>
      <c r="G71" s="9"/>
    </row>
    <row r="72" customFormat="false" ht="15" hidden="false" customHeight="false" outlineLevel="0" collapsed="false">
      <c r="A72" s="23" t="s">
        <v>1434</v>
      </c>
      <c r="B72" s="24" t="s">
        <v>393</v>
      </c>
      <c r="C72" s="24" t="s">
        <v>394</v>
      </c>
      <c r="D72" s="24" t="s">
        <v>395</v>
      </c>
      <c r="E72" s="24" t="s">
        <v>396</v>
      </c>
      <c r="F72" s="24" t="s">
        <v>397</v>
      </c>
      <c r="G72" s="24" t="s">
        <v>398</v>
      </c>
      <c r="H72" s="24" t="s">
        <v>399</v>
      </c>
      <c r="I72" s="24" t="s">
        <v>400</v>
      </c>
      <c r="J72" s="24" t="s">
        <v>401</v>
      </c>
      <c r="K72" s="24" t="s">
        <v>402</v>
      </c>
      <c r="L72" s="24" t="s">
        <v>403</v>
      </c>
    </row>
    <row r="73" customFormat="false" ht="15" hidden="false" customHeight="false" outlineLevel="0" collapsed="false">
      <c r="A73" s="6" t="s">
        <v>1435</v>
      </c>
      <c r="B73" s="29" t="n">
        <f aca="false">Escenarios!B68-Escenarios!B1057</f>
        <v>0</v>
      </c>
      <c r="C73" s="29" t="n">
        <f aca="false">Escenarios!C68-Escenarios!C1057</f>
        <v>-999.08848510226</v>
      </c>
      <c r="D73" s="29" t="n">
        <f aca="false">Escenarios!D68-Escenarios!D1057</f>
        <v>315.15123182267</v>
      </c>
      <c r="E73" s="29" t="n">
        <f aca="false">Escenarios!E68-Escenarios!E1057</f>
        <v>216.223086111561</v>
      </c>
      <c r="F73" s="29" t="n">
        <f aca="false">Escenarios!F68-Escenarios!F1057</f>
        <v>229.252667807799</v>
      </c>
      <c r="G73" s="29" t="n">
        <f aca="false">Escenarios!G68-Escenarios!G1057</f>
        <v>237.452982412356</v>
      </c>
      <c r="H73" s="29" t="n">
        <f aca="false">Escenarios!H68-Escenarios!H1057</f>
        <v>245.990894459612</v>
      </c>
      <c r="I73" s="29" t="n">
        <f aca="false">Escenarios!I68-Escenarios!I1057</f>
        <v>254.880341082878</v>
      </c>
      <c r="J73" s="29" t="n">
        <f aca="false">Escenarios!J68-Escenarios!J1057</f>
        <v>264.135836483049</v>
      </c>
      <c r="K73" s="29" t="n">
        <f aca="false">Escenarios!K68-Escenarios!K1057</f>
        <v>273.772495896423</v>
      </c>
      <c r="L73" s="29" t="n">
        <f aca="false">Escenarios!L68-Escenarios!L1057</f>
        <v>365.700062303855</v>
      </c>
    </row>
    <row r="74" customFormat="false" ht="15" hidden="false" customHeight="false" outlineLevel="0" collapsed="false">
      <c r="A74" s="6" t="s">
        <v>1436</v>
      </c>
      <c r="B74" s="37" t="n">
        <f aca="false">Escenarios!$Y$39</f>
        <v>1.15934491900943</v>
      </c>
      <c r="G74" s="9" t="s">
        <v>1437</v>
      </c>
    </row>
    <row r="75" customFormat="false" ht="15" hidden="false" customHeight="false" outlineLevel="0" collapsed="false">
      <c r="A75" s="5" t="s">
        <v>1438</v>
      </c>
      <c r="B75" s="10" t="n">
        <f aca="false">MAX(0,1-B74/1.2)*Escenarios!C1064</f>
        <v>21.7274766948116</v>
      </c>
      <c r="G75" s="9" t="s">
        <v>1439</v>
      </c>
    </row>
    <row r="76" customFormat="false" ht="15" hidden="false" customHeight="false" outlineLevel="0" collapsed="false">
      <c r="A76" s="6" t="s">
        <v>1440</v>
      </c>
      <c r="B76" s="29" t="n">
        <f aca="false">Escenarios!C1074-Escenarios!C1066-Escenarios!C1067</f>
        <v>345.123122430726</v>
      </c>
      <c r="G76" s="9" t="s">
        <v>1441</v>
      </c>
    </row>
    <row r="77" customFormat="false" ht="15" hidden="false" customHeight="false" outlineLevel="0" collapsed="false">
      <c r="A77" s="5" t="s">
        <v>1442</v>
      </c>
    </row>
    <row r="78" customFormat="false" ht="15" hidden="false" customHeight="false" outlineLevel="0" collapsed="false">
      <c r="A78" s="9" t="s">
        <v>1443</v>
      </c>
    </row>
    <row r="79" customFormat="false" ht="15" hidden="false" customHeight="false" outlineLevel="0" collapsed="false">
      <c r="A79" s="9" t="s">
        <v>1444</v>
      </c>
    </row>
    <row r="80" customFormat="false" ht="15" hidden="false" customHeight="false" outlineLevel="0" collapsed="false">
      <c r="A80" s="9" t="s">
        <v>1445</v>
      </c>
    </row>
    <row r="81" customFormat="false" ht="15" hidden="false" customHeight="false" outlineLevel="0" collapsed="false">
      <c r="A81" s="9" t="s">
        <v>1446</v>
      </c>
    </row>
    <row r="82" customFormat="false" ht="15" hidden="false" customHeight="false" outlineLevel="0" collapsed="false">
      <c r="A82" s="9" t="s">
        <v>1447</v>
      </c>
    </row>
    <row r="83" customFormat="false" ht="15" hidden="false" customHeight="false" outlineLevel="0" collapsed="false">
      <c r="A83" s="9" t="s">
        <v>1448</v>
      </c>
    </row>
    <row r="84" customFormat="false" ht="15" hidden="false" customHeight="false" outlineLevel="0" collapsed="false">
      <c r="A84" s="5" t="s">
        <v>1449</v>
      </c>
    </row>
    <row r="85" customFormat="false" ht="15" hidden="false" customHeight="false" outlineLevel="0" collapsed="false">
      <c r="A85" s="9" t="s">
        <v>1450</v>
      </c>
    </row>
    <row r="86" customFormat="false" ht="15" hidden="false" customHeight="false" outlineLevel="0" collapsed="false">
      <c r="A86" s="9" t="s">
        <v>1451</v>
      </c>
    </row>
    <row r="87" customFormat="false" ht="15" hidden="false" customHeight="false" outlineLevel="0" collapsed="false">
      <c r="A87" s="9" t="s">
        <v>1452</v>
      </c>
    </row>
    <row r="88" customFormat="false" ht="15" hidden="false" customHeight="false" outlineLevel="0" collapsed="false">
      <c r="A88" s="9" t="s">
        <v>1453</v>
      </c>
    </row>
    <row r="89" customFormat="false" ht="15" hidden="false" customHeight="false" outlineLevel="0" collapsed="false">
      <c r="A89" s="9" t="s">
        <v>1454</v>
      </c>
    </row>
    <row r="90" customFormat="false" ht="15" hidden="false" customHeight="false" outlineLevel="0" collapsed="false">
      <c r="A90" s="9" t="s">
        <v>1455</v>
      </c>
    </row>
    <row r="92" customFormat="false" ht="15" hidden="false" customHeight="false" outlineLevel="0" collapsed="false">
      <c r="A92" s="3" t="s">
        <v>1456</v>
      </c>
      <c r="B92" s="4"/>
      <c r="C92" s="4"/>
      <c r="D92" s="4"/>
      <c r="E92" s="4"/>
      <c r="F92" s="4"/>
      <c r="G92" s="4"/>
      <c r="H92" s="4"/>
      <c r="I92" s="4"/>
      <c r="J92" s="4"/>
      <c r="K92" s="4"/>
      <c r="L92" s="4"/>
    </row>
    <row r="93" customFormat="false" ht="15" hidden="false" customHeight="false" outlineLevel="0" collapsed="false">
      <c r="A93" s="9" t="s">
        <v>1457</v>
      </c>
    </row>
    <row r="94" customFormat="false" ht="15" hidden="false" customHeight="false" outlineLevel="0" collapsed="false">
      <c r="A94" s="9" t="s">
        <v>1458</v>
      </c>
    </row>
    <row r="95" customFormat="false" ht="15" hidden="false" customHeight="false" outlineLevel="0" collapsed="false">
      <c r="A95" s="9" t="s">
        <v>1459</v>
      </c>
    </row>
    <row r="96" customFormat="false" ht="15" hidden="false" customHeight="false" outlineLevel="0" collapsed="false">
      <c r="A96" s="9" t="s">
        <v>1460</v>
      </c>
    </row>
  </sheetData>
  <mergeCells count="16">
    <mergeCell ref="B21:C21"/>
    <mergeCell ref="D21:F21"/>
    <mergeCell ref="H21:I21"/>
    <mergeCell ref="J21:L21"/>
    <mergeCell ref="B22:C22"/>
    <mergeCell ref="D22:F22"/>
    <mergeCell ref="H22:I22"/>
    <mergeCell ref="J22:L22"/>
    <mergeCell ref="B23:C23"/>
    <mergeCell ref="D23:F23"/>
    <mergeCell ref="H23:I23"/>
    <mergeCell ref="J23:L23"/>
    <mergeCell ref="B24:C24"/>
    <mergeCell ref="D24:F24"/>
    <mergeCell ref="H24:I24"/>
    <mergeCell ref="J24: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3" min="2" style="0" width="11"/>
  </cols>
  <sheetData>
    <row r="1" customFormat="false" ht="17.35" hidden="false" customHeight="false" outlineLevel="0" collapsed="false">
      <c r="A1" s="42" t="s">
        <v>1461</v>
      </c>
    </row>
    <row r="2" customFormat="false" ht="15" hidden="false" customHeight="false" outlineLevel="0" collapsed="false">
      <c r="A2" s="9" t="s">
        <v>1462</v>
      </c>
    </row>
    <row r="4" customFormat="false" ht="15" hidden="false" customHeight="false" outlineLevel="0" collapsed="false">
      <c r="A4" s="3" t="s">
        <v>1463</v>
      </c>
      <c r="B4" s="4"/>
      <c r="C4" s="4"/>
      <c r="D4" s="4"/>
      <c r="E4" s="4"/>
      <c r="F4" s="4"/>
      <c r="G4" s="4"/>
      <c r="H4" s="4"/>
      <c r="I4" s="4"/>
      <c r="J4" s="4"/>
      <c r="K4" s="4"/>
      <c r="L4" s="4"/>
    </row>
    <row r="5" customFormat="false" ht="15" hidden="false" customHeight="false" outlineLevel="0" collapsed="false">
      <c r="A5" s="23" t="s">
        <v>109</v>
      </c>
      <c r="B5" s="24" t="s">
        <v>188</v>
      </c>
      <c r="C5" s="24" t="s">
        <v>920</v>
      </c>
    </row>
    <row r="6" customFormat="false" ht="15" hidden="false" customHeight="false" outlineLevel="0" collapsed="false">
      <c r="A6" s="6" t="s">
        <v>1464</v>
      </c>
      <c r="B6" s="48" t="n">
        <v>30457</v>
      </c>
      <c r="C6" s="9" t="s">
        <v>1465</v>
      </c>
    </row>
    <row r="7" customFormat="false" ht="15" hidden="false" customHeight="false" outlineLevel="0" collapsed="false">
      <c r="A7" s="6" t="s">
        <v>1466</v>
      </c>
      <c r="B7" s="48" t="n">
        <v>1806</v>
      </c>
      <c r="C7" s="9" t="s">
        <v>1465</v>
      </c>
    </row>
    <row r="8" customFormat="false" ht="15" hidden="false" customHeight="false" outlineLevel="0" collapsed="false">
      <c r="A8" s="6" t="s">
        <v>1467</v>
      </c>
      <c r="B8" s="48" t="n">
        <v>600</v>
      </c>
      <c r="C8" s="9" t="s">
        <v>1465</v>
      </c>
    </row>
    <row r="9" customFormat="false" ht="15" hidden="false" customHeight="false" outlineLevel="0" collapsed="false">
      <c r="A9" s="6" t="s">
        <v>431</v>
      </c>
      <c r="B9" s="48" t="n">
        <v>252</v>
      </c>
      <c r="C9" s="9" t="s">
        <v>1465</v>
      </c>
    </row>
    <row r="10" customFormat="false" ht="15" hidden="false" customHeight="false" outlineLevel="0" collapsed="false">
      <c r="A10" s="6" t="s">
        <v>1468</v>
      </c>
      <c r="B10" s="48" t="n">
        <v>620</v>
      </c>
      <c r="C10" s="9" t="s">
        <v>1465</v>
      </c>
    </row>
    <row r="11" customFormat="false" ht="15" hidden="false" customHeight="false" outlineLevel="0" collapsed="false">
      <c r="A11" s="6" t="s">
        <v>1469</v>
      </c>
      <c r="B11" s="48" t="n">
        <v>1400</v>
      </c>
      <c r="C11" s="9" t="s">
        <v>1465</v>
      </c>
    </row>
    <row r="12" customFormat="false" ht="15" hidden="false" customHeight="false" outlineLevel="0" collapsed="false">
      <c r="A12" s="6" t="s">
        <v>1470</v>
      </c>
      <c r="B12" s="48" t="n">
        <v>1000</v>
      </c>
      <c r="C12" s="9" t="s">
        <v>1465</v>
      </c>
    </row>
    <row r="14" customFormat="false" ht="15" hidden="false" customHeight="false" outlineLevel="0" collapsed="false">
      <c r="A14" s="3" t="s">
        <v>1471</v>
      </c>
      <c r="B14" s="4"/>
      <c r="C14" s="4"/>
      <c r="D14" s="4"/>
      <c r="E14" s="4"/>
      <c r="F14" s="4"/>
      <c r="G14" s="4"/>
      <c r="H14" s="4"/>
      <c r="I14" s="4"/>
      <c r="J14" s="4"/>
      <c r="K14" s="4"/>
      <c r="L14" s="4"/>
    </row>
    <row r="15" customFormat="false" ht="15" hidden="false" customHeight="false" outlineLevel="0" collapsed="false">
      <c r="A15" s="23" t="s">
        <v>130</v>
      </c>
      <c r="B15" s="24" t="s">
        <v>393</v>
      </c>
      <c r="C15" s="24" t="s">
        <v>394</v>
      </c>
      <c r="D15" s="24" t="s">
        <v>395</v>
      </c>
      <c r="E15" s="24" t="s">
        <v>396</v>
      </c>
      <c r="F15" s="24" t="s">
        <v>397</v>
      </c>
      <c r="G15" s="24" t="s">
        <v>398</v>
      </c>
      <c r="H15" s="24" t="s">
        <v>399</v>
      </c>
      <c r="I15" s="24" t="s">
        <v>400</v>
      </c>
      <c r="J15" s="24" t="s">
        <v>401</v>
      </c>
      <c r="K15" s="24" t="s">
        <v>402</v>
      </c>
      <c r="L15" s="24" t="s">
        <v>403</v>
      </c>
    </row>
    <row r="16" customFormat="false" ht="15" hidden="false" customHeight="false" outlineLevel="0" collapsed="false">
      <c r="A16" s="6" t="s">
        <v>1472</v>
      </c>
      <c r="B16" s="29" t="n">
        <f aca="false">$B$6</f>
        <v>30457</v>
      </c>
      <c r="C16" s="29" t="n">
        <f aca="false">$B$6</f>
        <v>30457</v>
      </c>
      <c r="D16" s="29" t="n">
        <f aca="false">$B$6</f>
        <v>30457</v>
      </c>
      <c r="E16" s="29" t="n">
        <f aca="false">$B$6</f>
        <v>30457</v>
      </c>
      <c r="F16" s="29" t="n">
        <f aca="false">$B$6</f>
        <v>30457</v>
      </c>
      <c r="G16" s="29" t="n">
        <f aca="false">$B$6</f>
        <v>30457</v>
      </c>
      <c r="H16" s="29" t="n">
        <f aca="false">$B$6</f>
        <v>30457</v>
      </c>
      <c r="I16" s="29" t="n">
        <f aca="false">$B$6</f>
        <v>30457</v>
      </c>
      <c r="J16" s="29" t="n">
        <f aca="false">$B$6</f>
        <v>30457</v>
      </c>
      <c r="K16" s="29" t="n">
        <f aca="false">$B$6</f>
        <v>30457</v>
      </c>
      <c r="L16" s="29" t="n">
        <f aca="false">$B$6</f>
        <v>30457</v>
      </c>
    </row>
    <row r="17" customFormat="false" ht="15" hidden="false" customHeight="false" outlineLevel="0" collapsed="false">
      <c r="A17" s="6" t="s">
        <v>1473</v>
      </c>
      <c r="B17" s="29" t="n">
        <f aca="false">Quesería!B151</f>
        <v>77.4042870161869</v>
      </c>
      <c r="C17" s="29" t="n">
        <f aca="false">Quesería!C151</f>
        <v>116.10643052428</v>
      </c>
      <c r="D17" s="29" t="n">
        <f aca="false">Quesería!D151</f>
        <v>297.090260202792</v>
      </c>
      <c r="E17" s="29" t="n">
        <f aca="false">Quesería!E151</f>
        <v>344.517488926264</v>
      </c>
      <c r="F17" s="29" t="n">
        <f aca="false">Quesería!F151</f>
        <v>344.517488926264</v>
      </c>
      <c r="G17" s="29" t="n">
        <f aca="false">Quesería!G151</f>
        <v>344.517488926264</v>
      </c>
      <c r="H17" s="29" t="n">
        <f aca="false">Quesería!H151</f>
        <v>344.517488926264</v>
      </c>
      <c r="I17" s="29" t="n">
        <f aca="false">Quesería!I151</f>
        <v>344.517488926264</v>
      </c>
      <c r="J17" s="29" t="n">
        <f aca="false">Quesería!J151</f>
        <v>344.517488926264</v>
      </c>
      <c r="K17" s="29" t="n">
        <f aca="false">Quesería!K151</f>
        <v>344.517488926264</v>
      </c>
      <c r="L17" s="29" t="n">
        <f aca="false">Quesería!L151</f>
        <v>344.517488926264</v>
      </c>
    </row>
    <row r="18" customFormat="false" ht="15" hidden="false" customHeight="false" outlineLevel="0" collapsed="false">
      <c r="A18" s="5" t="s">
        <v>1474</v>
      </c>
      <c r="B18" s="10" t="n">
        <f aca="false">B16+B17</f>
        <v>30534.4042870162</v>
      </c>
      <c r="C18" s="10" t="n">
        <f aca="false">C16+C17</f>
        <v>30573.1064305243</v>
      </c>
      <c r="D18" s="10" t="n">
        <f aca="false">D16+D17</f>
        <v>30754.0902602028</v>
      </c>
      <c r="E18" s="10" t="n">
        <f aca="false">E16+E17</f>
        <v>30801.5174889263</v>
      </c>
      <c r="F18" s="10" t="n">
        <f aca="false">F16+F17</f>
        <v>30801.5174889263</v>
      </c>
      <c r="G18" s="10" t="n">
        <f aca="false">G16+G17</f>
        <v>30801.5174889263</v>
      </c>
      <c r="H18" s="10" t="n">
        <f aca="false">H16+H17</f>
        <v>30801.5174889263</v>
      </c>
      <c r="I18" s="10" t="n">
        <f aca="false">I16+I17</f>
        <v>30801.5174889263</v>
      </c>
      <c r="J18" s="10" t="n">
        <f aca="false">J16+J17</f>
        <v>30801.5174889263</v>
      </c>
      <c r="K18" s="10" t="n">
        <f aca="false">K16+K17</f>
        <v>30801.5174889263</v>
      </c>
      <c r="L18" s="10" t="n">
        <f aca="false">L16+L17</f>
        <v>30801.5174889263</v>
      </c>
    </row>
    <row r="19" customFormat="false" ht="15" hidden="false" customHeight="false" outlineLevel="0" collapsed="false">
      <c r="A19" s="6" t="s">
        <v>1475</v>
      </c>
      <c r="B19" s="29" t="n">
        <f aca="false">$B$7</f>
        <v>1806</v>
      </c>
      <c r="C19" s="29" t="n">
        <f aca="false">$B$7</f>
        <v>1806</v>
      </c>
      <c r="D19" s="29" t="n">
        <f aca="false">$B$7</f>
        <v>1806</v>
      </c>
      <c r="E19" s="29" t="n">
        <f aca="false">$B$7</f>
        <v>1806</v>
      </c>
      <c r="F19" s="29" t="n">
        <f aca="false">$B$7</f>
        <v>1806</v>
      </c>
      <c r="G19" s="29" t="n">
        <f aca="false">$B$7</f>
        <v>1806</v>
      </c>
      <c r="H19" s="29" t="n">
        <f aca="false">$B$7</f>
        <v>1806</v>
      </c>
      <c r="I19" s="29" t="n">
        <f aca="false">$B$7</f>
        <v>1806</v>
      </c>
      <c r="J19" s="29" t="n">
        <f aca="false">$B$7</f>
        <v>1806</v>
      </c>
      <c r="K19" s="29" t="n">
        <f aca="false">$B$7</f>
        <v>1806</v>
      </c>
      <c r="L19" s="29" t="n">
        <f aca="false">$B$7</f>
        <v>1806</v>
      </c>
    </row>
    <row r="20" customFormat="false" ht="15" hidden="false" customHeight="false" outlineLevel="0" collapsed="false">
      <c r="A20" s="6" t="s">
        <v>1476</v>
      </c>
      <c r="B20" s="29" t="n">
        <f aca="false">Quesería!B142-Quesería!B143-Quesería!B144</f>
        <v>120.716772261203</v>
      </c>
      <c r="C20" s="29" t="n">
        <f aca="false">Quesería!C142-Quesería!C143-Quesería!C144</f>
        <v>120.717017684612</v>
      </c>
      <c r="D20" s="29" t="n">
        <f aca="false">Quesería!D142-Quesería!D143-Quesería!D144</f>
        <v>381.08983891667</v>
      </c>
      <c r="E20" s="29" t="n">
        <f aca="false">Quesería!E142-Quesería!E143-Quesería!E144</f>
        <v>444.910626103125</v>
      </c>
      <c r="F20" s="29" t="n">
        <f aca="false">Quesería!F142-Quesería!F143-Quesería!F144</f>
        <v>445.219837138561</v>
      </c>
      <c r="G20" s="29" t="n">
        <f aca="false">Quesería!G142-Quesería!G143-Quesería!G144</f>
        <v>445.530594229174</v>
      </c>
      <c r="H20" s="29" t="n">
        <f aca="false">Quesería!H142-Quesería!H143-Quesería!H144</f>
        <v>445.84290510524</v>
      </c>
      <c r="I20" s="29" t="n">
        <f aca="false">Quesería!I142-Quesería!I143-Quesería!I144</f>
        <v>446.156777535687</v>
      </c>
      <c r="J20" s="29" t="n">
        <f aca="false">Quesería!J142-Quesería!J143-Quesería!J144</f>
        <v>446.472219328285</v>
      </c>
      <c r="K20" s="29" t="n">
        <f aca="false">Quesería!K142-Quesería!K143-Quesería!K144</f>
        <v>446.789238329847</v>
      </c>
      <c r="L20" s="29" t="n">
        <f aca="false">Quesería!L142-Quesería!L143-Quesería!L144</f>
        <v>447.107842426416</v>
      </c>
    </row>
    <row r="21" customFormat="false" ht="15" hidden="false" customHeight="false" outlineLevel="0" collapsed="false">
      <c r="A21" s="5" t="s">
        <v>1477</v>
      </c>
      <c r="B21" s="10" t="n">
        <f aca="false">B19+B20</f>
        <v>1926.7167722612</v>
      </c>
      <c r="C21" s="10" t="n">
        <f aca="false">C19+C20</f>
        <v>1926.71701768461</v>
      </c>
      <c r="D21" s="10" t="n">
        <f aca="false">D19+D20</f>
        <v>2187.08983891667</v>
      </c>
      <c r="E21" s="10" t="n">
        <f aca="false">E19+E20</f>
        <v>2250.91062610313</v>
      </c>
      <c r="F21" s="10" t="n">
        <f aca="false">F19+F20</f>
        <v>2251.21983713856</v>
      </c>
      <c r="G21" s="10" t="n">
        <f aca="false">G19+G20</f>
        <v>2251.53059422917</v>
      </c>
      <c r="H21" s="10" t="n">
        <f aca="false">H19+H20</f>
        <v>2251.84290510524</v>
      </c>
      <c r="I21" s="10" t="n">
        <f aca="false">I19+I20</f>
        <v>2252.15677753569</v>
      </c>
      <c r="J21" s="10" t="n">
        <f aca="false">J19+J20</f>
        <v>2252.47221932829</v>
      </c>
      <c r="K21" s="10" t="n">
        <f aca="false">K19+K20</f>
        <v>2252.78923832985</v>
      </c>
      <c r="L21" s="10" t="n">
        <f aca="false">L19+L20</f>
        <v>2253.10784242642</v>
      </c>
    </row>
    <row r="22" customFormat="false" ht="15" hidden="false" customHeight="false" outlineLevel="0" collapsed="false">
      <c r="A22" s="6" t="s">
        <v>1478</v>
      </c>
      <c r="B22" s="34" t="n">
        <f aca="false">B21/B18</f>
        <v>0.0630998644725642</v>
      </c>
      <c r="C22" s="34" t="n">
        <f aca="false">C21/C18</f>
        <v>0.0630199951078891</v>
      </c>
      <c r="D22" s="34" t="n">
        <f aca="false">D21/D18</f>
        <v>0.0711154132803878</v>
      </c>
      <c r="E22" s="34" t="n">
        <f aca="false">E21/E18</f>
        <v>0.0730779133499631</v>
      </c>
      <c r="F22" s="34" t="n">
        <f aca="false">F21/F18</f>
        <v>0.0730879521746913</v>
      </c>
      <c r="G22" s="34" t="n">
        <f aca="false">G21/G18</f>
        <v>0.0730980411935432</v>
      </c>
      <c r="H22" s="34" t="n">
        <f aca="false">H21/H18</f>
        <v>0.0731081806574894</v>
      </c>
      <c r="I22" s="34" t="n">
        <f aca="false">I21/I18</f>
        <v>0.0731183708187553</v>
      </c>
      <c r="J22" s="34" t="n">
        <f aca="false">J21/J18</f>
        <v>0.0731286119308275</v>
      </c>
      <c r="K22" s="34" t="n">
        <f aca="false">K21/K18</f>
        <v>0.0731389042484601</v>
      </c>
      <c r="L22" s="34" t="n">
        <f aca="false">L21/L18</f>
        <v>0.0731492480276808</v>
      </c>
    </row>
    <row r="23" customFormat="false" ht="15" hidden="false" customHeight="false" outlineLevel="0" collapsed="false">
      <c r="A23" s="6" t="s">
        <v>1467</v>
      </c>
      <c r="B23" s="29" t="n">
        <f aca="false">$B$8+Quesería!B146</f>
        <v>745.980915430742</v>
      </c>
      <c r="C23" s="29" t="n">
        <f aca="false">$B$8+Quesería!C146</f>
        <v>682.263326952427</v>
      </c>
      <c r="D23" s="29" t="n">
        <f aca="false">$B$8+Quesería!D146</f>
        <v>751.301658966389</v>
      </c>
      <c r="E23" s="29" t="n">
        <f aca="false">$B$8+Quesería!E146</f>
        <v>745.482364390759</v>
      </c>
      <c r="F23" s="29" t="n">
        <f aca="false">$B$8+Quesería!F146</f>
        <v>739.886888837268</v>
      </c>
      <c r="G23" s="29" t="n">
        <f aca="false">$B$8+Quesería!G146</f>
        <v>734.506623881988</v>
      </c>
      <c r="H23" s="29" t="n">
        <f aca="false">$B$8+Quesería!H146</f>
        <v>722.314670590318</v>
      </c>
      <c r="I23" s="29" t="n">
        <f aca="false">$B$8+Quesería!I146</f>
        <v>726.531251665874</v>
      </c>
      <c r="J23" s="29" t="n">
        <f aca="false">$B$8+Quesería!J146</f>
        <v>721.66466506334</v>
      </c>
      <c r="K23" s="29" t="n">
        <f aca="false">$B$8+Quesería!K146</f>
        <v>716.985254868597</v>
      </c>
      <c r="L23" s="29" t="n">
        <f aca="false">$B$8+Quesería!L146</f>
        <v>712.485821989035</v>
      </c>
    </row>
    <row r="24" customFormat="false" ht="15" hidden="false" customHeight="false" outlineLevel="0" collapsed="false">
      <c r="A24" s="6" t="s">
        <v>1479</v>
      </c>
      <c r="B24" s="29" t="n">
        <f aca="false">$B$9+Quesería!B164+Quesería!B166+Quesería!B167+Quesería!B145</f>
        <v>260.335663643967</v>
      </c>
      <c r="C24" s="29" t="n">
        <f aca="false">$B$9+Quesería!C164+Quesería!C166+Quesería!C167+Quesería!C145</f>
        <v>337.423303967181</v>
      </c>
      <c r="D24" s="29" t="n">
        <f aca="false">$B$9+Quesería!D164+Quesería!D166+Quesería!D167+Quesería!D145</f>
        <v>397.59566820473</v>
      </c>
      <c r="E24" s="29" t="n">
        <f aca="false">$B$9+Quesería!E164+Quesería!E166+Quesería!E167+Quesería!E145</f>
        <v>379.803730135642</v>
      </c>
      <c r="F24" s="29" t="n">
        <f aca="false">$B$9+Quesería!F164+Quesería!F166+Quesería!F167+Quesería!F145</f>
        <v>352.583513379954</v>
      </c>
      <c r="G24" s="29" t="n">
        <f aca="false">$B$9+Quesería!G164+Quesería!G166+Quesería!G167+Quesería!G145</f>
        <v>327.39940282494</v>
      </c>
      <c r="H24" s="29" t="n">
        <f aca="false">$B$9+Quesería!H164+Quesería!H166+Quesería!H167+Quesería!H145</f>
        <v>303.97370708306</v>
      </c>
      <c r="I24" s="29" t="n">
        <f aca="false">$B$9+Quesería!I164+Quesería!I166+Quesería!I167+Quesería!I145</f>
        <v>281.93525020888</v>
      </c>
      <c r="J24" s="29" t="n">
        <f aca="false">$B$9+Quesería!J164+Quesería!J166+Quesería!J167+Quesería!J145</f>
        <v>261.429378294727</v>
      </c>
      <c r="K24" s="29" t="n">
        <f aca="false">$B$9+Quesería!K164+Quesería!K166+Quesería!K167+Quesería!K145</f>
        <v>252.383772976935</v>
      </c>
      <c r="L24" s="29" t="n">
        <f aca="false">$B$9+Quesería!L164+Quesería!L166+Quesería!L167+Quesería!L145</f>
        <v>252.383772976935</v>
      </c>
    </row>
    <row r="25" customFormat="false" ht="15" hidden="false" customHeight="false" outlineLevel="0" collapsed="false">
      <c r="A25" s="6" t="s">
        <v>1480</v>
      </c>
      <c r="B25" s="29" t="n">
        <f aca="false">B21-B23-B24</f>
        <v>920.400193186493</v>
      </c>
      <c r="C25" s="29" t="n">
        <f aca="false">C21-C23-C24</f>
        <v>907.030386765005</v>
      </c>
      <c r="D25" s="29" t="n">
        <f aca="false">D21-D23-D24</f>
        <v>1038.19251174555</v>
      </c>
      <c r="E25" s="29" t="n">
        <f aca="false">E21-E23-E24</f>
        <v>1125.62453157672</v>
      </c>
      <c r="F25" s="29" t="n">
        <f aca="false">F21-F23-F24</f>
        <v>1158.74943492134</v>
      </c>
      <c r="G25" s="29" t="n">
        <f aca="false">G21-G23-G24</f>
        <v>1189.62456752225</v>
      </c>
      <c r="H25" s="29" t="n">
        <f aca="false">H21-H23-H24</f>
        <v>1225.55452743186</v>
      </c>
      <c r="I25" s="29" t="n">
        <f aca="false">I21-I23-I24</f>
        <v>1243.69027566093</v>
      </c>
      <c r="J25" s="29" t="n">
        <f aca="false">J21-J23-J24</f>
        <v>1269.37817597022</v>
      </c>
      <c r="K25" s="29" t="n">
        <f aca="false">K21-K23-K24</f>
        <v>1283.42021048432</v>
      </c>
      <c r="L25" s="29" t="n">
        <f aca="false">L21-L23-L24</f>
        <v>1288.23824746045</v>
      </c>
    </row>
    <row r="26" customFormat="false" ht="15" hidden="false" customHeight="false" outlineLevel="0" collapsed="false">
      <c r="A26" s="6" t="s">
        <v>1481</v>
      </c>
      <c r="B26" s="29" t="n">
        <f aca="false">Quesería!$B$54*(B25+0.5*(Quesería!B145+Quesería!B167))</f>
        <v>322.898808752967</v>
      </c>
      <c r="C26" s="29" t="n">
        <f aca="false">Quesería!$B$54*(C25+0.5*(Quesería!C145+Quesería!C167))</f>
        <v>318.19173990469</v>
      </c>
      <c r="D26" s="29" t="n">
        <f aca="false">Quesería!$B$54*(D25+0.5*(Quesería!D145+Quesería!D167))</f>
        <v>363.599856070269</v>
      </c>
      <c r="E26" s="29" t="n">
        <f aca="false">Quesería!$B$54*(E25+0.5*(Quesería!E145+Quesería!E167))</f>
        <v>394.238906543456</v>
      </c>
      <c r="F26" s="29" t="n">
        <f aca="false">Quesería!$B$54*(F25+0.5*(Quesería!F145+Quesería!F167))</f>
        <v>405.809247490486</v>
      </c>
      <c r="G26" s="29" t="n">
        <f aca="false">Quesería!$B$54*(G25+0.5*(Quesería!G145+Quesería!G167))</f>
        <v>416.616544764454</v>
      </c>
      <c r="H26" s="29" t="n">
        <f aca="false">Quesería!$B$54*(H25+0.5*(Quesería!H145+Quesería!H167))</f>
        <v>429.187333654173</v>
      </c>
      <c r="I26" s="29" t="n">
        <f aca="false">Quesería!$B$54*(I25+0.5*(Quesería!I145+Quesería!I167))</f>
        <v>435.47708295903</v>
      </c>
      <c r="J26" s="29" t="n">
        <f aca="false">Quesería!$B$54*(J25+0.5*(Quesería!J145+Quesería!J167))</f>
        <v>444.399154496132</v>
      </c>
      <c r="K26" s="29" t="n">
        <f aca="false">Quesería!$B$54*(K25+0.5*(Quesería!K145+Quesería!K167))</f>
        <v>449.264233940474</v>
      </c>
      <c r="L26" s="29" t="n">
        <f aca="false">Quesería!$B$54*(L25+0.5*(Quesería!L145+Quesería!L167))</f>
        <v>450.95054688212</v>
      </c>
    </row>
    <row r="27" customFormat="false" ht="15" hidden="false" customHeight="false" outlineLevel="0" collapsed="false">
      <c r="A27" s="6" t="s">
        <v>1482</v>
      </c>
      <c r="B27" s="29" t="n">
        <f aca="false">Quesería!B147+Quesería!B149</f>
        <v>0</v>
      </c>
      <c r="C27" s="29" t="n">
        <f aca="false">Quesería!C147+Quesería!C149</f>
        <v>162.014925295407</v>
      </c>
      <c r="D27" s="29" t="n">
        <f aca="false">Quesería!D147+Quesería!D149</f>
        <v>137.903466668091</v>
      </c>
      <c r="E27" s="29" t="n">
        <f aca="false">Quesería!E147+Quesería!E149</f>
        <v>0</v>
      </c>
      <c r="F27" s="29" t="n">
        <f aca="false">Quesería!F147+Quesería!F149</f>
        <v>0</v>
      </c>
      <c r="G27" s="29" t="n">
        <f aca="false">Quesería!G147+Quesería!G149</f>
        <v>0</v>
      </c>
      <c r="H27" s="29" t="n">
        <f aca="false">Quesería!H147+Quesería!H149</f>
        <v>5.01768392412113</v>
      </c>
      <c r="I27" s="29" t="n">
        <f aca="false">Quesería!I147+Quesería!I149</f>
        <v>8.47494190873221</v>
      </c>
      <c r="J27" s="29" t="n">
        <f aca="false">Quesería!J147+Quesería!J149</f>
        <v>0</v>
      </c>
      <c r="K27" s="29" t="n">
        <f aca="false">Quesería!K147+Quesería!K149</f>
        <v>0</v>
      </c>
      <c r="L27" s="29" t="n">
        <f aca="false">Quesería!L147+Quesería!L149</f>
        <v>0</v>
      </c>
    </row>
    <row r="28" customFormat="false" ht="15" hidden="false" customHeight="false" outlineLevel="0" collapsed="false">
      <c r="A28" s="6" t="s">
        <v>1483</v>
      </c>
      <c r="B28" s="29" t="n">
        <f aca="false">Quesería!B148</f>
        <v>0</v>
      </c>
      <c r="C28" s="29" t="n">
        <f aca="false">Quesería!C148</f>
        <v>138.12868344741</v>
      </c>
      <c r="D28" s="29" t="n">
        <f aca="false">Quesería!D148</f>
        <v>132.18055832288</v>
      </c>
      <c r="E28" s="29" t="n">
        <f aca="false">Quesería!E148</f>
        <v>0</v>
      </c>
      <c r="F28" s="29" t="n">
        <f aca="false">Quesería!F148</f>
        <v>0</v>
      </c>
      <c r="G28" s="29" t="n">
        <f aca="false">Quesería!G148</f>
        <v>0</v>
      </c>
      <c r="H28" s="29" t="n">
        <f aca="false">Quesería!H148</f>
        <v>0</v>
      </c>
      <c r="I28" s="29" t="n">
        <f aca="false">Quesería!I148</f>
        <v>0</v>
      </c>
      <c r="J28" s="29" t="n">
        <f aca="false">Quesería!J148</f>
        <v>0</v>
      </c>
      <c r="K28" s="29" t="n">
        <f aca="false">Quesería!K148</f>
        <v>0</v>
      </c>
      <c r="L28" s="29" t="n">
        <f aca="false">Quesería!L148</f>
        <v>0</v>
      </c>
    </row>
    <row r="29" customFormat="false" ht="15" hidden="false" customHeight="false" outlineLevel="0" collapsed="false">
      <c r="A29" s="6" t="s">
        <v>295</v>
      </c>
      <c r="B29" s="29" t="n">
        <f aca="false">B26-B27-B28</f>
        <v>322.898808752967</v>
      </c>
      <c r="C29" s="29" t="n">
        <f aca="false">C26-C27-C28</f>
        <v>18.0481311618728</v>
      </c>
      <c r="D29" s="29" t="n">
        <f aca="false">D26-D27-D28</f>
        <v>93.5158310792981</v>
      </c>
      <c r="E29" s="29" t="n">
        <f aca="false">E26-E27-E28</f>
        <v>394.238906543456</v>
      </c>
      <c r="F29" s="29" t="n">
        <f aca="false">F26-F27-F28</f>
        <v>405.809247490486</v>
      </c>
      <c r="G29" s="29" t="n">
        <f aca="false">G26-G27-G28</f>
        <v>416.616544764454</v>
      </c>
      <c r="H29" s="29" t="n">
        <f aca="false">H26-H27-H28</f>
        <v>424.169649730052</v>
      </c>
      <c r="I29" s="29" t="n">
        <f aca="false">I26-I27-I28</f>
        <v>427.002141050298</v>
      </c>
      <c r="J29" s="29" t="n">
        <f aca="false">J26-J27-J28</f>
        <v>444.399154496132</v>
      </c>
      <c r="K29" s="29" t="n">
        <f aca="false">K26-K27-K28</f>
        <v>449.264233940474</v>
      </c>
      <c r="L29" s="29" t="n">
        <f aca="false">L26-L27-L28</f>
        <v>450.95054688212</v>
      </c>
    </row>
    <row r="30" customFormat="false" ht="15" hidden="false" customHeight="false" outlineLevel="0" collapsed="false">
      <c r="A30" s="5" t="s">
        <v>1484</v>
      </c>
      <c r="B30" s="10" t="n">
        <f aca="false">B25-B29</f>
        <v>597.501384433526</v>
      </c>
      <c r="C30" s="10" t="n">
        <f aca="false">C25-C29</f>
        <v>888.982255603132</v>
      </c>
      <c r="D30" s="10" t="n">
        <f aca="false">D25-D29</f>
        <v>944.676680666253</v>
      </c>
      <c r="E30" s="10" t="n">
        <f aca="false">E25-E29</f>
        <v>731.385625033269</v>
      </c>
      <c r="F30" s="10" t="n">
        <f aca="false">F25-F29</f>
        <v>752.940187430854</v>
      </c>
      <c r="G30" s="10" t="n">
        <f aca="false">G25-G29</f>
        <v>773.008022757792</v>
      </c>
      <c r="H30" s="10" t="n">
        <f aca="false">H25-H29</f>
        <v>801.38487770181</v>
      </c>
      <c r="I30" s="10" t="n">
        <f aca="false">I25-I29</f>
        <v>816.688134610635</v>
      </c>
      <c r="J30" s="10" t="n">
        <f aca="false">J25-J29</f>
        <v>824.979021474086</v>
      </c>
      <c r="K30" s="10" t="n">
        <f aca="false">K25-K29</f>
        <v>834.155976543841</v>
      </c>
      <c r="L30" s="10" t="n">
        <f aca="false">L25-L29</f>
        <v>837.287700578326</v>
      </c>
    </row>
    <row r="31" customFormat="false" ht="15" hidden="false" customHeight="false" outlineLevel="0" collapsed="false">
      <c r="A31" s="6" t="s">
        <v>1485</v>
      </c>
      <c r="B31" s="29" t="n">
        <f aca="false">B30-$B$10</f>
        <v>-22.4986155664736</v>
      </c>
      <c r="C31" s="29" t="n">
        <f aca="false">C30-$B$10</f>
        <v>268.982255603132</v>
      </c>
      <c r="D31" s="29" t="n">
        <f aca="false">D30-$B$10</f>
        <v>324.676680666253</v>
      </c>
      <c r="E31" s="29" t="n">
        <f aca="false">E30-$B$10</f>
        <v>111.385625033269</v>
      </c>
      <c r="F31" s="29" t="n">
        <f aca="false">F30-$B$10</f>
        <v>132.940187430854</v>
      </c>
      <c r="G31" s="29" t="n">
        <f aca="false">G30-$B$10</f>
        <v>153.008022757792</v>
      </c>
      <c r="H31" s="29" t="n">
        <f aca="false">H30-$B$10</f>
        <v>181.38487770181</v>
      </c>
      <c r="I31" s="29" t="n">
        <f aca="false">I30-$B$10</f>
        <v>196.688134610635</v>
      </c>
      <c r="J31" s="29" t="n">
        <f aca="false">J30-$B$10</f>
        <v>204.979021474086</v>
      </c>
      <c r="K31" s="29" t="n">
        <f aca="false">K30-$B$10</f>
        <v>214.155976543841</v>
      </c>
      <c r="L31" s="29" t="n">
        <f aca="false">L30-$B$10</f>
        <v>217.287700578326</v>
      </c>
    </row>
    <row r="32" customFormat="false" ht="15" hidden="false" customHeight="false" outlineLevel="0" collapsed="false">
      <c r="A32" s="6" t="s">
        <v>1486</v>
      </c>
      <c r="B32" s="29" t="n">
        <f aca="false">$B$11</f>
        <v>1400</v>
      </c>
      <c r="C32" s="29" t="n">
        <f aca="false">$B$11</f>
        <v>1400</v>
      </c>
      <c r="D32" s="29" t="n">
        <f aca="false">$B$11</f>
        <v>1400</v>
      </c>
      <c r="E32" s="29" t="n">
        <f aca="false">$B$11</f>
        <v>1400</v>
      </c>
      <c r="F32" s="29" t="n">
        <f aca="false">$B$11</f>
        <v>1400</v>
      </c>
      <c r="G32" s="29" t="n">
        <f aca="false">$B$11</f>
        <v>1400</v>
      </c>
      <c r="H32" s="29" t="n">
        <f aca="false">$B$11</f>
        <v>1400</v>
      </c>
      <c r="I32" s="29" t="n">
        <f aca="false">$B$11</f>
        <v>1400</v>
      </c>
      <c r="J32" s="29" t="n">
        <f aca="false">$B$11</f>
        <v>1400</v>
      </c>
      <c r="K32" s="29" t="n">
        <f aca="false">$B$11</f>
        <v>1400</v>
      </c>
      <c r="L32" s="29" t="n">
        <f aca="false">$B$11</f>
        <v>1400</v>
      </c>
    </row>
    <row r="33" customFormat="false" ht="15" hidden="false" customHeight="false" outlineLevel="0" collapsed="false">
      <c r="A33" s="6" t="s">
        <v>1487</v>
      </c>
      <c r="B33" s="29" t="n">
        <f aca="false">Quesería!B162*Quesería!B136</f>
        <v>605.02015563059</v>
      </c>
      <c r="C33" s="29" t="n">
        <f aca="false">Quesería!C162*Quesería!C136</f>
        <v>1069.21456536756</v>
      </c>
      <c r="D33" s="29" t="n">
        <f aca="false">Quesería!D162*Quesería!D136</f>
        <v>931.272363664467</v>
      </c>
      <c r="E33" s="29" t="n">
        <f aca="false">Quesería!E162*Quesería!E136</f>
        <v>731.484350817178</v>
      </c>
      <c r="F33" s="29" t="n">
        <f aca="false">Quesería!F162*Quesería!F136</f>
        <v>545.687024810709</v>
      </c>
      <c r="G33" s="29" t="n">
        <f aca="false">Quesería!G162*Quesería!G136</f>
        <v>373.0997233627</v>
      </c>
      <c r="H33" s="29" t="n">
        <f aca="false">Quesería!H162*Quesería!H136</f>
        <v>212.981138853279</v>
      </c>
      <c r="I33" s="29" t="n">
        <f aca="false">Quesería!I162*Quesería!I136</f>
        <v>64.6274458691951</v>
      </c>
      <c r="J33" s="29" t="n">
        <f aca="false">Quesería!J162*Quesería!J136</f>
        <v>0</v>
      </c>
      <c r="K33" s="29" t="n">
        <f aca="false">Quesería!K162*Quesería!K136</f>
        <v>0</v>
      </c>
      <c r="L33" s="29" t="n">
        <f aca="false">Quesería!L162*Quesería!L136</f>
        <v>0</v>
      </c>
    </row>
    <row r="34" customFormat="false" ht="15" hidden="false" customHeight="false" outlineLevel="0" collapsed="false">
      <c r="A34" s="5" t="s">
        <v>1488</v>
      </c>
      <c r="B34" s="12" t="n">
        <f aca="false">(B32+B33)/B21</f>
        <v>1.04064083756197</v>
      </c>
      <c r="C34" s="12" t="n">
        <f aca="false">(C32+C33)/C21</f>
        <v>1.28156576326651</v>
      </c>
      <c r="D34" s="12" t="n">
        <f aca="false">(D32+D33)/D21</f>
        <v>1.06592437227874</v>
      </c>
      <c r="E34" s="12" t="n">
        <f aca="false">(E32+E33)/E21</f>
        <v>0.946943128749317</v>
      </c>
      <c r="F34" s="12" t="n">
        <f aca="false">(F32+F33)/F21</f>
        <v>0.864281218880781</v>
      </c>
      <c r="G34" s="12" t="n">
        <f aca="false">(G32+G33)/G21</f>
        <v>0.787508607658841</v>
      </c>
      <c r="H34" s="12" t="n">
        <f aca="false">(H32+H33)/H21</f>
        <v>0.716293812146677</v>
      </c>
      <c r="I34" s="12" t="n">
        <f aca="false">(I32+I33)/I21</f>
        <v>0.650322153625465</v>
      </c>
      <c r="J34" s="12" t="n">
        <f aca="false">(J32+J33)/J21</f>
        <v>0.621539297127268</v>
      </c>
      <c r="K34" s="12" t="n">
        <f aca="false">(K32+K33)/K21</f>
        <v>0.621451832324057</v>
      </c>
      <c r="L34" s="12" t="n">
        <f aca="false">(L32+L33)/L21</f>
        <v>0.621363954994854</v>
      </c>
    </row>
    <row r="35" customFormat="false" ht="15" hidden="false" customHeight="false" outlineLevel="0" collapsed="false">
      <c r="A35" s="6" t="s">
        <v>1489</v>
      </c>
      <c r="B35" s="37" t="n">
        <f aca="false">B21/B24</f>
        <v>7.400894465601</v>
      </c>
      <c r="C35" s="37" t="n">
        <f aca="false">C21/C24</f>
        <v>5.71008876693358</v>
      </c>
      <c r="D35" s="37" t="n">
        <f aca="false">D21/D24</f>
        <v>5.50078890142861</v>
      </c>
      <c r="E35" s="37" t="n">
        <f aca="false">E21/E24</f>
        <v>5.9265100563895</v>
      </c>
      <c r="F35" s="37" t="n">
        <f aca="false">F21/F24</f>
        <v>6.38492655415963</v>
      </c>
      <c r="G35" s="37" t="n">
        <f aca="false">G21/G24</f>
        <v>6.87701496948993</v>
      </c>
      <c r="H35" s="37" t="n">
        <f aca="false">H21/H24</f>
        <v>7.40801869580756</v>
      </c>
      <c r="I35" s="37" t="n">
        <f aca="false">I21/I24</f>
        <v>7.98820571697618</v>
      </c>
      <c r="J35" s="37" t="n">
        <f aca="false">J21/J24</f>
        <v>8.61598736156164</v>
      </c>
      <c r="K35" s="37" t="n">
        <f aca="false">K21/K24</f>
        <v>8.9260462816511</v>
      </c>
      <c r="L35" s="37" t="n">
        <f aca="false">L21/L24</f>
        <v>8.927308661133</v>
      </c>
    </row>
    <row r="36" customFormat="false" ht="15" hidden="false" customHeight="false" outlineLevel="0" collapsed="false">
      <c r="A36" s="6" t="s">
        <v>1490</v>
      </c>
      <c r="B36" s="29" t="n">
        <f aca="false">MAX(0,-Quesería!B169)</f>
        <v>358.744924503166</v>
      </c>
      <c r="C36" s="29" t="n">
        <f aca="false">MAX(0,-Quesería!C169)</f>
        <v>59.8505919146794</v>
      </c>
      <c r="D36" s="29" t="n">
        <f aca="false">MAX(0,-Quesería!D169)</f>
        <v>0</v>
      </c>
      <c r="E36" s="29" t="n">
        <f aca="false">MAX(0,-Quesería!E169)</f>
        <v>0</v>
      </c>
      <c r="F36" s="29" t="n">
        <f aca="false">MAX(0,-Quesería!F169)</f>
        <v>0</v>
      </c>
      <c r="G36" s="29" t="n">
        <f aca="false">MAX(0,-Quesería!G169)</f>
        <v>0</v>
      </c>
      <c r="H36" s="29" t="n">
        <f aca="false">MAX(0,-Quesería!H169)</f>
        <v>0</v>
      </c>
      <c r="I36" s="29" t="n">
        <f aca="false">MAX(0,-Quesería!I169)</f>
        <v>0</v>
      </c>
      <c r="J36" s="29" t="n">
        <f aca="false">MAX(0,-Quesería!J169)</f>
        <v>0</v>
      </c>
      <c r="K36" s="29" t="n">
        <f aca="false">MAX(0,-Quesería!K169)</f>
        <v>0</v>
      </c>
      <c r="L36" s="29" t="n">
        <f aca="false">MAX(0,-Quesería!L169)</f>
        <v>0</v>
      </c>
    </row>
    <row r="37" customFormat="false" ht="15" hidden="false" customHeight="false" outlineLevel="0" collapsed="false">
      <c r="A37" s="6" t="s">
        <v>1491</v>
      </c>
      <c r="B37" s="34" t="n">
        <f aca="false">B36/$B$12</f>
        <v>0.358744924503166</v>
      </c>
      <c r="C37" s="34" t="n">
        <f aca="false">C36/$B$12</f>
        <v>0.0598505919146794</v>
      </c>
      <c r="D37" s="34" t="n">
        <f aca="false">D36/$B$12</f>
        <v>0</v>
      </c>
      <c r="E37" s="34" t="n">
        <f aca="false">E36/$B$12</f>
        <v>0</v>
      </c>
      <c r="F37" s="34" t="n">
        <f aca="false">F36/$B$12</f>
        <v>0</v>
      </c>
      <c r="G37" s="34" t="n">
        <f aca="false">G36/$B$12</f>
        <v>0</v>
      </c>
      <c r="H37" s="34" t="n">
        <f aca="false">H36/$B$12</f>
        <v>0</v>
      </c>
      <c r="I37" s="34" t="n">
        <f aca="false">I36/$B$12</f>
        <v>0</v>
      </c>
      <c r="J37" s="34" t="n">
        <f aca="false">J36/$B$12</f>
        <v>0</v>
      </c>
      <c r="K37" s="34" t="n">
        <f aca="false">K36/$B$12</f>
        <v>0</v>
      </c>
      <c r="L37" s="34" t="n">
        <f aca="false">L36/$B$12</f>
        <v>0</v>
      </c>
    </row>
    <row r="38" customFormat="false" ht="15" hidden="false" customHeight="false" outlineLevel="0" collapsed="false">
      <c r="A38" s="9" t="s">
        <v>1492</v>
      </c>
    </row>
    <row r="40" customFormat="false" ht="15" hidden="false" customHeight="false" outlineLevel="0" collapsed="false">
      <c r="A40" s="3" t="s">
        <v>938</v>
      </c>
      <c r="B40" s="4"/>
      <c r="C40" s="4"/>
      <c r="D40" s="4"/>
      <c r="E40" s="4"/>
      <c r="F40" s="4"/>
      <c r="G40" s="4"/>
      <c r="H40" s="4"/>
      <c r="I40" s="4"/>
      <c r="J40" s="4"/>
      <c r="K40" s="4"/>
      <c r="L40" s="4"/>
    </row>
    <row r="41" customFormat="false" ht="15" hidden="false" customHeight="false" outlineLevel="0" collapsed="false">
      <c r="A41" s="5" t="s">
        <v>1493</v>
      </c>
      <c r="B41" s="66" t="n">
        <f aca="false">MAX(B34:L34)</f>
        <v>1.28156576326651</v>
      </c>
    </row>
    <row r="42" customFormat="false" ht="15" hidden="false" customHeight="false" outlineLevel="0" collapsed="false">
      <c r="A42" s="5" t="s">
        <v>1494</v>
      </c>
      <c r="B42" s="66" t="n">
        <f aca="false">$B$11/$B$7</f>
        <v>0.775193798449612</v>
      </c>
    </row>
    <row r="43" customFormat="false" ht="15" hidden="false" customHeight="false" outlineLevel="0" collapsed="false">
      <c r="A43" s="5" t="s">
        <v>1495</v>
      </c>
      <c r="B43" s="66" t="n">
        <f aca="false">MIN(B35:L35)</f>
        <v>5.50078890142861</v>
      </c>
    </row>
    <row r="44" customFormat="false" ht="15" hidden="false" customHeight="false" outlineLevel="0" collapsed="false">
      <c r="A44" s="5" t="s">
        <v>1496</v>
      </c>
      <c r="B44" s="61" t="n">
        <f aca="false">MAX(B37:L37)</f>
        <v>0.358744924503166</v>
      </c>
    </row>
    <row r="45" customFormat="false" ht="15" hidden="false" customHeight="false" outlineLevel="0" collapsed="false">
      <c r="A45" s="5" t="s">
        <v>1497</v>
      </c>
      <c r="B45" s="62" t="n">
        <f aca="false">D31</f>
        <v>324.676680666253</v>
      </c>
    </row>
    <row r="46" customFormat="false" ht="15" hidden="false" customHeight="false" outlineLevel="0" collapsed="false">
      <c r="A46" s="5" t="s">
        <v>1498</v>
      </c>
      <c r="B46" s="62" t="n">
        <f aca="false">G31</f>
        <v>153.008022757792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7" min="2" style="0" width="13"/>
    <col collapsed="false" customWidth="true" hidden="false" outlineLevel="0" max="8" min="8" style="0" width="16"/>
    <col collapsed="false" customWidth="true" hidden="false" outlineLevel="0" max="10" min="9" style="0" width="13"/>
    <col collapsed="false" customWidth="true" hidden="false" outlineLevel="0" max="11" min="11" style="0" width="70"/>
  </cols>
  <sheetData>
    <row r="1" customFormat="false" ht="17.35" hidden="false" customHeight="false" outlineLevel="0" collapsed="false">
      <c r="A1" s="42" t="s">
        <v>1499</v>
      </c>
    </row>
    <row r="2" customFormat="false" ht="15" hidden="false" customHeight="false" outlineLevel="0" collapsed="false">
      <c r="A2" s="9" t="s">
        <v>1500</v>
      </c>
    </row>
    <row r="4" customFormat="false" ht="15" hidden="false" customHeight="false" outlineLevel="0" collapsed="false">
      <c r="A4" s="3" t="s">
        <v>186</v>
      </c>
      <c r="B4" s="4"/>
      <c r="C4" s="4"/>
      <c r="D4" s="4"/>
      <c r="E4" s="4"/>
      <c r="F4" s="4"/>
      <c r="G4" s="4"/>
      <c r="H4" s="4"/>
    </row>
    <row r="5" customFormat="false" ht="23.85" hidden="false" customHeight="false" outlineLevel="0" collapsed="false">
      <c r="A5" s="23" t="s">
        <v>187</v>
      </c>
      <c r="B5" s="24" t="s">
        <v>188</v>
      </c>
      <c r="C5" s="24" t="s">
        <v>189</v>
      </c>
      <c r="D5" s="24" t="s">
        <v>190</v>
      </c>
    </row>
    <row r="6" customFormat="false" ht="15" hidden="false" customHeight="false" outlineLevel="0" collapsed="false">
      <c r="A6" s="6" t="s">
        <v>1501</v>
      </c>
      <c r="B6" s="93" t="n">
        <v>1.750905</v>
      </c>
      <c r="C6" s="9" t="s">
        <v>1502</v>
      </c>
      <c r="D6" s="9" t="s">
        <v>1503</v>
      </c>
    </row>
    <row r="7" customFormat="false" ht="15" hidden="false" customHeight="false" outlineLevel="0" collapsed="false">
      <c r="A7" s="6" t="s">
        <v>1504</v>
      </c>
      <c r="B7" s="51" t="n">
        <v>182</v>
      </c>
      <c r="C7" s="9" t="s">
        <v>1505</v>
      </c>
      <c r="D7" s="9" t="s">
        <v>1506</v>
      </c>
    </row>
    <row r="8" customFormat="false" ht="15" hidden="false" customHeight="false" outlineLevel="0" collapsed="false">
      <c r="A8" s="6" t="s">
        <v>1507</v>
      </c>
      <c r="B8" s="70" t="n">
        <v>4.8</v>
      </c>
      <c r="C8" s="9" t="s">
        <v>1508</v>
      </c>
      <c r="D8" s="9" t="s">
        <v>1509</v>
      </c>
    </row>
    <row r="9" customFormat="false" ht="15" hidden="false" customHeight="false" outlineLevel="0" collapsed="false">
      <c r="A9" s="6" t="s">
        <v>1510</v>
      </c>
      <c r="B9" s="70" t="n">
        <v>5.4</v>
      </c>
      <c r="C9" s="9" t="s">
        <v>1508</v>
      </c>
      <c r="D9" s="9" t="s">
        <v>1511</v>
      </c>
    </row>
    <row r="10" customFormat="false" ht="15" hidden="false" customHeight="false" outlineLevel="0" collapsed="false">
      <c r="A10" s="6" t="s">
        <v>1512</v>
      </c>
      <c r="B10" s="69" t="n">
        <v>1.38</v>
      </c>
      <c r="C10" s="9" t="s">
        <v>1513</v>
      </c>
      <c r="D10" s="9" t="s">
        <v>1514</v>
      </c>
    </row>
    <row r="11" customFormat="false" ht="15" hidden="false" customHeight="false" outlineLevel="0" collapsed="false">
      <c r="A11" s="6" t="s">
        <v>866</v>
      </c>
      <c r="B11" s="78" t="n">
        <v>3170.46</v>
      </c>
      <c r="C11" s="9" t="s">
        <v>867</v>
      </c>
      <c r="D11" s="9" t="s">
        <v>1515</v>
      </c>
    </row>
    <row r="12" customFormat="false" ht="15" hidden="false" customHeight="false" outlineLevel="0" collapsed="false">
      <c r="A12" s="6" t="s">
        <v>1516</v>
      </c>
      <c r="B12" s="46" t="n">
        <v>0.7</v>
      </c>
      <c r="C12" s="9" t="s">
        <v>1517</v>
      </c>
      <c r="D12" s="9" t="s">
        <v>1518</v>
      </c>
    </row>
    <row r="13" customFormat="false" ht="15" hidden="false" customHeight="false" outlineLevel="0" collapsed="false">
      <c r="A13" s="6" t="s">
        <v>1519</v>
      </c>
      <c r="B13" s="46" t="n">
        <v>0.24</v>
      </c>
      <c r="C13" s="9" t="s">
        <v>1520</v>
      </c>
      <c r="D13" s="9" t="s">
        <v>1521</v>
      </c>
    </row>
    <row r="14" customFormat="false" ht="15" hidden="false" customHeight="false" outlineLevel="0" collapsed="false">
      <c r="A14" s="6" t="s">
        <v>1522</v>
      </c>
      <c r="B14" s="46" t="n">
        <v>0.05</v>
      </c>
      <c r="C14" s="9" t="s">
        <v>1520</v>
      </c>
      <c r="D14" s="9" t="s">
        <v>1523</v>
      </c>
    </row>
    <row r="15" customFormat="false" ht="15" hidden="false" customHeight="false" outlineLevel="0" collapsed="false">
      <c r="A15" s="6" t="s">
        <v>1524</v>
      </c>
      <c r="B15" s="46" t="n">
        <v>0.1</v>
      </c>
      <c r="C15" s="9" t="s">
        <v>1520</v>
      </c>
      <c r="D15" s="9" t="s">
        <v>1525</v>
      </c>
    </row>
    <row r="16" customFormat="false" ht="15" hidden="false" customHeight="false" outlineLevel="0" collapsed="false">
      <c r="A16" s="6" t="s">
        <v>1526</v>
      </c>
      <c r="B16" s="46" t="n">
        <v>0.19</v>
      </c>
      <c r="C16" s="9" t="s">
        <v>196</v>
      </c>
      <c r="D16" s="9" t="s">
        <v>1527</v>
      </c>
    </row>
    <row r="17" customFormat="false" ht="15" hidden="false" customHeight="false" outlineLevel="0" collapsed="false">
      <c r="A17" s="6" t="s">
        <v>1528</v>
      </c>
      <c r="B17" s="46" t="n">
        <v>0.35</v>
      </c>
      <c r="C17" s="9" t="s">
        <v>196</v>
      </c>
      <c r="D17" s="9" t="s">
        <v>1529</v>
      </c>
    </row>
    <row r="18" customFormat="false" ht="15" hidden="false" customHeight="false" outlineLevel="0" collapsed="false">
      <c r="A18" s="6" t="s">
        <v>1530</v>
      </c>
      <c r="B18" s="46" t="n">
        <v>0.116088</v>
      </c>
      <c r="C18" s="9" t="s">
        <v>1531</v>
      </c>
      <c r="D18" s="9" t="s">
        <v>1532</v>
      </c>
    </row>
    <row r="19" customFormat="false" ht="15" hidden="false" customHeight="false" outlineLevel="0" collapsed="false">
      <c r="A19" s="6" t="s">
        <v>1533</v>
      </c>
      <c r="B19" s="50" t="n">
        <v>0.35</v>
      </c>
      <c r="C19" s="9" t="s">
        <v>1534</v>
      </c>
      <c r="D19" s="9" t="s">
        <v>1535</v>
      </c>
    </row>
    <row r="20" customFormat="false" ht="15" hidden="false" customHeight="false" outlineLevel="0" collapsed="false">
      <c r="A20" s="6" t="s">
        <v>1536</v>
      </c>
      <c r="B20" s="51" t="n">
        <v>6</v>
      </c>
      <c r="C20" s="9" t="s">
        <v>559</v>
      </c>
      <c r="D20" s="9" t="s">
        <v>1537</v>
      </c>
    </row>
    <row r="22" customFormat="false" ht="15" hidden="false" customHeight="false" outlineLevel="0" collapsed="false">
      <c r="A22" s="3" t="s">
        <v>1538</v>
      </c>
      <c r="B22" s="4"/>
      <c r="C22" s="4"/>
      <c r="D22" s="4"/>
      <c r="E22" s="4"/>
      <c r="F22" s="4"/>
      <c r="G22" s="4"/>
      <c r="H22" s="4"/>
    </row>
    <row r="23" customFormat="false" ht="27.75" hidden="false" customHeight="true" outlineLevel="0" collapsed="false">
      <c r="A23" s="32" t="s">
        <v>1539</v>
      </c>
      <c r="B23" s="32"/>
      <c r="C23" s="32"/>
      <c r="D23" s="32"/>
      <c r="E23" s="32"/>
      <c r="F23" s="32"/>
      <c r="G23" s="32"/>
      <c r="H23" s="32"/>
    </row>
    <row r="24" customFormat="false" ht="30" hidden="false" customHeight="true" outlineLevel="0" collapsed="false">
      <c r="A24" s="23" t="s">
        <v>1540</v>
      </c>
      <c r="B24" s="24" t="s">
        <v>1541</v>
      </c>
      <c r="C24" s="24" t="s">
        <v>1542</v>
      </c>
      <c r="D24" s="24" t="s">
        <v>1543</v>
      </c>
      <c r="E24" s="24" t="s">
        <v>1544</v>
      </c>
      <c r="F24" s="24" t="s">
        <v>1545</v>
      </c>
      <c r="G24" s="24" t="s">
        <v>1546</v>
      </c>
      <c r="H24" s="24" t="s">
        <v>920</v>
      </c>
    </row>
    <row r="25" customFormat="false" ht="15" hidden="false" customHeight="false" outlineLevel="0" collapsed="false">
      <c r="A25" s="6" t="s">
        <v>1547</v>
      </c>
      <c r="B25" s="6" t="s">
        <v>1548</v>
      </c>
      <c r="C25" s="74" t="n">
        <v>405</v>
      </c>
      <c r="D25" s="51" t="n">
        <v>3</v>
      </c>
      <c r="E25" s="51" t="n">
        <v>1</v>
      </c>
      <c r="F25" s="53" t="n">
        <v>1</v>
      </c>
      <c r="G25" s="75" t="n">
        <f aca="false">C25/D25/E25*F25</f>
        <v>135</v>
      </c>
      <c r="H25" s="9" t="s">
        <v>1549</v>
      </c>
    </row>
    <row r="26" customFormat="false" ht="15" hidden="false" customHeight="false" outlineLevel="0" collapsed="false">
      <c r="A26" s="6" t="s">
        <v>1550</v>
      </c>
      <c r="B26" s="6" t="s">
        <v>1548</v>
      </c>
      <c r="C26" s="74" t="n">
        <v>139</v>
      </c>
      <c r="D26" s="51" t="n">
        <v>1</v>
      </c>
      <c r="E26" s="51" t="n">
        <v>1</v>
      </c>
      <c r="F26" s="53" t="n">
        <v>1</v>
      </c>
      <c r="G26" s="75" t="n">
        <f aca="false">C26/D26/E26*F26</f>
        <v>139</v>
      </c>
      <c r="H26" s="9" t="s">
        <v>1551</v>
      </c>
    </row>
    <row r="27" customFormat="false" ht="15" hidden="false" customHeight="false" outlineLevel="0" collapsed="false">
      <c r="A27" s="6" t="s">
        <v>1552</v>
      </c>
      <c r="B27" s="6" t="s">
        <v>1548</v>
      </c>
      <c r="C27" s="74" t="n">
        <v>500</v>
      </c>
      <c r="D27" s="51" t="n">
        <v>3</v>
      </c>
      <c r="E27" s="51" t="n">
        <v>1</v>
      </c>
      <c r="F27" s="53" t="n">
        <v>1</v>
      </c>
      <c r="G27" s="75" t="n">
        <f aca="false">C27/D27/E27*F27</f>
        <v>166.666666666667</v>
      </c>
      <c r="H27" s="9" t="s">
        <v>1553</v>
      </c>
    </row>
    <row r="28" customFormat="false" ht="15" hidden="false" customHeight="false" outlineLevel="0" collapsed="false">
      <c r="A28" s="6" t="s">
        <v>1554</v>
      </c>
      <c r="B28" s="6" t="s">
        <v>1548</v>
      </c>
      <c r="C28" s="74" t="n">
        <v>60</v>
      </c>
      <c r="D28" s="51" t="n">
        <v>3</v>
      </c>
      <c r="E28" s="51" t="n">
        <v>1</v>
      </c>
      <c r="F28" s="53" t="n">
        <v>1</v>
      </c>
      <c r="G28" s="75" t="n">
        <f aca="false">C28/D28/E28*F28</f>
        <v>20</v>
      </c>
      <c r="H28" s="9" t="s">
        <v>1555</v>
      </c>
    </row>
    <row r="29" customFormat="false" ht="15" hidden="false" customHeight="false" outlineLevel="0" collapsed="false">
      <c r="A29" s="6" t="s">
        <v>1556</v>
      </c>
      <c r="B29" s="6" t="s">
        <v>1557</v>
      </c>
      <c r="C29" s="74" t="n">
        <v>2199</v>
      </c>
      <c r="D29" s="51" t="n">
        <v>3</v>
      </c>
      <c r="E29" s="51" t="n">
        <v>1</v>
      </c>
      <c r="F29" s="53" t="n">
        <v>1</v>
      </c>
      <c r="G29" s="75" t="n">
        <f aca="false">C29/D29/E29*F29</f>
        <v>733</v>
      </c>
      <c r="H29" s="9" t="s">
        <v>1558</v>
      </c>
    </row>
    <row r="30" customFormat="false" ht="15" hidden="false" customHeight="false" outlineLevel="0" collapsed="false">
      <c r="A30" s="6" t="s">
        <v>1559</v>
      </c>
      <c r="B30" s="6" t="s">
        <v>1557</v>
      </c>
      <c r="C30" s="74" t="n">
        <v>2500</v>
      </c>
      <c r="D30" s="51" t="n">
        <v>3</v>
      </c>
      <c r="E30" s="51" t="n">
        <v>1</v>
      </c>
      <c r="F30" s="53" t="n">
        <v>1</v>
      </c>
      <c r="G30" s="75" t="n">
        <f aca="false">C30/D30/E30*F30</f>
        <v>833.333333333333</v>
      </c>
      <c r="H30" s="9" t="s">
        <v>1560</v>
      </c>
    </row>
    <row r="31" customFormat="false" ht="15" hidden="false" customHeight="false" outlineLevel="0" collapsed="false">
      <c r="A31" s="6" t="s">
        <v>1561</v>
      </c>
      <c r="B31" s="6" t="s">
        <v>1562</v>
      </c>
      <c r="C31" s="74" t="n">
        <v>3200</v>
      </c>
      <c r="D31" s="51" t="n">
        <v>3</v>
      </c>
      <c r="E31" s="51" t="n">
        <v>1</v>
      </c>
      <c r="F31" s="53" t="n">
        <v>1</v>
      </c>
      <c r="G31" s="75" t="n">
        <f aca="false">C31/D31/E31*F31</f>
        <v>1066.66666666667</v>
      </c>
      <c r="H31" s="9" t="s">
        <v>1563</v>
      </c>
    </row>
    <row r="32" customFormat="false" ht="15" hidden="false" customHeight="false" outlineLevel="0" collapsed="false">
      <c r="A32" s="6" t="s">
        <v>1564</v>
      </c>
      <c r="B32" s="6" t="s">
        <v>1562</v>
      </c>
      <c r="C32" s="74" t="n">
        <v>3200</v>
      </c>
      <c r="D32" s="51" t="n">
        <v>3</v>
      </c>
      <c r="E32" s="51" t="n">
        <v>1</v>
      </c>
      <c r="F32" s="53" t="n">
        <v>1</v>
      </c>
      <c r="G32" s="75" t="n">
        <f aca="false">C32/D32/E32*F32</f>
        <v>1066.66666666667</v>
      </c>
      <c r="H32" s="9" t="s">
        <v>1565</v>
      </c>
    </row>
    <row r="33" customFormat="false" ht="15" hidden="false" customHeight="false" outlineLevel="0" collapsed="false">
      <c r="A33" s="6" t="s">
        <v>1566</v>
      </c>
      <c r="B33" s="6" t="s">
        <v>1562</v>
      </c>
      <c r="C33" s="74" t="n">
        <v>850</v>
      </c>
      <c r="D33" s="51" t="n">
        <v>3</v>
      </c>
      <c r="E33" s="51" t="n">
        <v>1</v>
      </c>
      <c r="F33" s="53" t="n">
        <v>1</v>
      </c>
      <c r="G33" s="75" t="n">
        <f aca="false">C33/D33/E33*F33</f>
        <v>283.333333333333</v>
      </c>
      <c r="H33" s="9" t="s">
        <v>1567</v>
      </c>
    </row>
    <row r="34" customFormat="false" ht="15" hidden="false" customHeight="false" outlineLevel="0" collapsed="false">
      <c r="A34" s="6" t="s">
        <v>1568</v>
      </c>
      <c r="B34" s="6" t="s">
        <v>1562</v>
      </c>
      <c r="C34" s="74" t="n">
        <v>11000</v>
      </c>
      <c r="D34" s="51" t="n">
        <v>5</v>
      </c>
      <c r="E34" s="51" t="n">
        <v>2</v>
      </c>
      <c r="F34" s="53" t="n">
        <v>1</v>
      </c>
      <c r="G34" s="75" t="n">
        <f aca="false">C34/D34/E34*F34</f>
        <v>1100</v>
      </c>
      <c r="H34" s="9" t="s">
        <v>1569</v>
      </c>
    </row>
    <row r="35" customFormat="false" ht="15" hidden="false" customHeight="false" outlineLevel="0" collapsed="false">
      <c r="A35" s="6" t="s">
        <v>1570</v>
      </c>
      <c r="B35" s="6" t="s">
        <v>1571</v>
      </c>
      <c r="C35" s="74" t="n">
        <v>3000</v>
      </c>
      <c r="D35" s="51" t="n">
        <v>1</v>
      </c>
      <c r="E35" s="51" t="n">
        <v>1</v>
      </c>
      <c r="F35" s="53" t="n">
        <v>1</v>
      </c>
      <c r="G35" s="75" t="n">
        <f aca="false">C35/D35/E35*F35</f>
        <v>3000</v>
      </c>
      <c r="H35" s="9" t="s">
        <v>1572</v>
      </c>
    </row>
    <row r="36" customFormat="false" ht="15" hidden="false" customHeight="false" outlineLevel="0" collapsed="false">
      <c r="A36" s="6" t="s">
        <v>1573</v>
      </c>
      <c r="B36" s="6" t="s">
        <v>1571</v>
      </c>
      <c r="C36" s="74" t="n">
        <v>3400</v>
      </c>
      <c r="D36" s="51" t="n">
        <v>1</v>
      </c>
      <c r="E36" s="51" t="n">
        <v>1</v>
      </c>
      <c r="F36" s="53" t="n">
        <v>1</v>
      </c>
      <c r="G36" s="75" t="n">
        <f aca="false">C36/D36/E36*F36</f>
        <v>3400</v>
      </c>
      <c r="H36" s="9" t="s">
        <v>1574</v>
      </c>
    </row>
    <row r="37" customFormat="false" ht="15" hidden="false" customHeight="false" outlineLevel="0" collapsed="false">
      <c r="A37" s="6" t="s">
        <v>1575</v>
      </c>
      <c r="B37" s="6" t="s">
        <v>1571</v>
      </c>
      <c r="C37" s="74" t="n">
        <v>6000</v>
      </c>
      <c r="D37" s="51" t="n">
        <v>1</v>
      </c>
      <c r="E37" s="51" t="n">
        <v>1</v>
      </c>
      <c r="F37" s="53" t="n">
        <v>1</v>
      </c>
      <c r="G37" s="75" t="n">
        <f aca="false">C37/D37/E37*F37</f>
        <v>6000</v>
      </c>
      <c r="H37" s="9" t="s">
        <v>1576</v>
      </c>
    </row>
    <row r="38" customFormat="false" ht="15" hidden="false" customHeight="false" outlineLevel="0" collapsed="false">
      <c r="A38" s="6" t="s">
        <v>1577</v>
      </c>
      <c r="B38" s="6" t="s">
        <v>1571</v>
      </c>
      <c r="C38" s="74" t="n">
        <v>1500</v>
      </c>
      <c r="D38" s="51" t="n">
        <v>3</v>
      </c>
      <c r="E38" s="51" t="n">
        <v>1</v>
      </c>
      <c r="F38" s="53" t="n">
        <v>1</v>
      </c>
      <c r="G38" s="75" t="n">
        <f aca="false">C38/D38/E38*F38</f>
        <v>500</v>
      </c>
      <c r="H38" s="9" t="s">
        <v>1576</v>
      </c>
    </row>
    <row r="39" customFormat="false" ht="15" hidden="false" customHeight="false" outlineLevel="0" collapsed="false">
      <c r="A39" s="6" t="s">
        <v>1578</v>
      </c>
      <c r="B39" s="6" t="s">
        <v>1579</v>
      </c>
      <c r="C39" s="74" t="n">
        <v>1000</v>
      </c>
      <c r="D39" s="51" t="n">
        <v>3</v>
      </c>
      <c r="E39" s="51" t="n">
        <v>1</v>
      </c>
      <c r="F39" s="53" t="n">
        <v>1</v>
      </c>
      <c r="G39" s="75" t="n">
        <f aca="false">C39/D39/E39*F39</f>
        <v>333.333333333333</v>
      </c>
      <c r="H39" s="9" t="s">
        <v>998</v>
      </c>
    </row>
    <row r="40" customFormat="false" ht="27.75" hidden="false" customHeight="true" outlineLevel="0" collapsed="false">
      <c r="A40" s="32" t="s">
        <v>1580</v>
      </c>
      <c r="B40" s="32"/>
      <c r="C40" s="32"/>
      <c r="D40" s="32"/>
      <c r="E40" s="32"/>
      <c r="F40" s="32"/>
      <c r="G40" s="32"/>
      <c r="H40" s="32"/>
    </row>
    <row r="42" customFormat="false" ht="15" hidden="false" customHeight="false" outlineLevel="0" collapsed="false">
      <c r="A42" s="3" t="s">
        <v>1581</v>
      </c>
      <c r="B42" s="4"/>
      <c r="C42" s="4"/>
      <c r="D42" s="4"/>
      <c r="E42" s="4"/>
      <c r="F42" s="4"/>
      <c r="G42" s="4"/>
      <c r="H42" s="4"/>
    </row>
    <row r="43" customFormat="false" ht="30" hidden="false" customHeight="true" outlineLevel="0" collapsed="false">
      <c r="A43" s="23" t="s">
        <v>1541</v>
      </c>
      <c r="B43" s="24" t="s">
        <v>1582</v>
      </c>
      <c r="C43" s="24" t="s">
        <v>1583</v>
      </c>
      <c r="D43" s="24" t="s">
        <v>1584</v>
      </c>
      <c r="E43" s="24" t="s">
        <v>1585</v>
      </c>
      <c r="F43" s="24" t="s">
        <v>1586</v>
      </c>
      <c r="G43" s="24" t="s">
        <v>1587</v>
      </c>
      <c r="H43" s="24" t="s">
        <v>1588</v>
      </c>
      <c r="I43" s="24" t="s">
        <v>1589</v>
      </c>
      <c r="J43" s="24" t="s">
        <v>1590</v>
      </c>
    </row>
    <row r="44" customFormat="false" ht="15" hidden="false" customHeight="false" outlineLevel="0" collapsed="false">
      <c r="A44" s="6" t="s">
        <v>1591</v>
      </c>
      <c r="B44" s="6" t="s">
        <v>1592</v>
      </c>
      <c r="C44" s="25" t="n">
        <f aca="false">$B$9*$B$6</f>
        <v>9.454887</v>
      </c>
      <c r="D44" s="25" t="n">
        <f aca="false">C44*$B$10</f>
        <v>13.04774406</v>
      </c>
      <c r="E44" s="75" t="n">
        <f aca="false">D44/$B$7*1000000</f>
        <v>71690.9014285714</v>
      </c>
      <c r="F44" s="75" t="n">
        <f aca="false">SUMIF($B$25:$B$39,"Dirección",$G$25:$G$39)*$B$11/($B$7*12*$B$12)</f>
        <v>955.34094714809</v>
      </c>
      <c r="G44" s="94" t="n">
        <f aca="false">E44+F44</f>
        <v>72646.2423757195</v>
      </c>
      <c r="H44" s="94" t="n">
        <f aca="false">G44*(1+$B$13+$B$14+$B$15)</f>
        <v>100978.27690225</v>
      </c>
      <c r="I44" s="9" t="s">
        <v>1548</v>
      </c>
      <c r="J44" s="37" t="n">
        <f aca="false">H44/E44</f>
        <v>1.40852290723194</v>
      </c>
    </row>
    <row r="45" customFormat="false" ht="15" hidden="false" customHeight="false" outlineLevel="0" collapsed="false">
      <c r="A45" s="6" t="s">
        <v>1593</v>
      </c>
      <c r="B45" s="6" t="s">
        <v>1594</v>
      </c>
      <c r="C45" s="25" t="n">
        <f aca="false">$B$8*$B$6</f>
        <v>8.404344</v>
      </c>
      <c r="D45" s="25" t="n">
        <f aca="false">C45</f>
        <v>8.404344</v>
      </c>
      <c r="E45" s="75" t="n">
        <f aca="false">D45/$B$7*1000000</f>
        <v>46177.7142857143</v>
      </c>
      <c r="F45" s="75" t="n">
        <f aca="false">SUMIF($B$25:$B$39,"Procesos",$G$25:$G$39)*$B$11/($B$7*12*$B$12)</f>
        <v>3248.2974751439</v>
      </c>
      <c r="G45" s="94" t="n">
        <f aca="false">E45+F45</f>
        <v>49426.0117608582</v>
      </c>
      <c r="H45" s="94" t="n">
        <f aca="false">G45*(1+$B$13+$B$14+$B$15)</f>
        <v>68702.1563475929</v>
      </c>
      <c r="I45" s="9" t="s">
        <v>1557</v>
      </c>
      <c r="J45" s="37" t="n">
        <f aca="false">H45/E45</f>
        <v>1.4877773274466</v>
      </c>
    </row>
    <row r="46" customFormat="false" ht="15" hidden="false" customHeight="false" outlineLevel="0" collapsed="false">
      <c r="A46" s="6" t="s">
        <v>1595</v>
      </c>
      <c r="B46" s="6" t="s">
        <v>1594</v>
      </c>
      <c r="C46" s="25" t="n">
        <f aca="false">$B$8*$B$6</f>
        <v>8.404344</v>
      </c>
      <c r="D46" s="25" t="n">
        <f aca="false">C46</f>
        <v>8.404344</v>
      </c>
      <c r="E46" s="75" t="n">
        <f aca="false">D46/$B$7*1000000</f>
        <v>46177.7142857143</v>
      </c>
      <c r="F46" s="75" t="n">
        <f aca="false">SUMIF($B$25:$B$39,"Automatización",$G$25:$G$39)*$B$11/($B$7*12*$B$12)</f>
        <v>7292.94283097855</v>
      </c>
      <c r="G46" s="94" t="n">
        <f aca="false">E46+F46</f>
        <v>53470.6571166928</v>
      </c>
      <c r="H46" s="94" t="n">
        <f aca="false">G46*(1+$B$13+$B$14+$B$15)</f>
        <v>74324.2133922031</v>
      </c>
      <c r="I46" s="9" t="s">
        <v>1562</v>
      </c>
      <c r="J46" s="37" t="n">
        <f aca="false">H46/E46</f>
        <v>1.60952560216252</v>
      </c>
    </row>
    <row r="47" customFormat="false" ht="15" hidden="false" customHeight="false" outlineLevel="0" collapsed="false">
      <c r="A47" s="6" t="s">
        <v>1596</v>
      </c>
      <c r="B47" s="6" t="s">
        <v>1594</v>
      </c>
      <c r="C47" s="25" t="n">
        <f aca="false">$B$8*$B$6</f>
        <v>8.404344</v>
      </c>
      <c r="D47" s="25" t="n">
        <f aca="false">C47</f>
        <v>8.404344</v>
      </c>
      <c r="E47" s="75" t="n">
        <f aca="false">D47/$B$7*1000000</f>
        <v>46177.7142857143</v>
      </c>
      <c r="F47" s="75" t="n">
        <f aca="false">SUMIF($B$25:$B$39,"Robótica y simulación",$G$25:$G$39)*$B$11/($B$7*12*$B$12)</f>
        <v>26752.3116169545</v>
      </c>
      <c r="G47" s="94" t="n">
        <f aca="false">E47+F47</f>
        <v>72930.0259026688</v>
      </c>
      <c r="H47" s="94" t="n">
        <f aca="false">G47*(1+$B$13+$B$14+$B$15)</f>
        <v>101372.73600471</v>
      </c>
      <c r="I47" s="9" t="s">
        <v>1571</v>
      </c>
      <c r="J47" s="37" t="n">
        <f aca="false">H47/E47</f>
        <v>2.19527400982839</v>
      </c>
    </row>
    <row r="48" customFormat="false" ht="15" hidden="false" customHeight="false" outlineLevel="0" collapsed="false">
      <c r="A48" s="6" t="s">
        <v>1307</v>
      </c>
      <c r="B48" s="6" t="s">
        <v>1594</v>
      </c>
      <c r="C48" s="25" t="n">
        <f aca="false">$B$8*$B$6</f>
        <v>8.404344</v>
      </c>
      <c r="D48" s="25" t="n">
        <f aca="false">C48</f>
        <v>8.404344</v>
      </c>
      <c r="E48" s="75" t="n">
        <f aca="false">D48/$B$7*1000000</f>
        <v>46177.7142857143</v>
      </c>
      <c r="F48" s="75" t="n">
        <f aca="false">SUMIF($B$25:$B$39,"Gestión y finanzas",$G$25:$G$39)*$B$11/($B$7*12*$B$12)</f>
        <v>691.274201988488</v>
      </c>
      <c r="G48" s="94" t="n">
        <f aca="false">E48+F48</f>
        <v>46868.9884877028</v>
      </c>
      <c r="H48" s="94" t="n">
        <f aca="false">G48*(1+$B$13+$B$14+$B$15)</f>
        <v>65147.8939979069</v>
      </c>
      <c r="I48" s="9" t="s">
        <v>1579</v>
      </c>
      <c r="J48" s="37" t="n">
        <f aca="false">H48/E48</f>
        <v>1.41080811394905</v>
      </c>
    </row>
    <row r="49" customFormat="false" ht="27.75" hidden="false" customHeight="true" outlineLevel="0" collapsed="false">
      <c r="A49" s="32" t="s">
        <v>1597</v>
      </c>
      <c r="B49" s="32"/>
      <c r="C49" s="32"/>
      <c r="D49" s="32"/>
      <c r="E49" s="32"/>
      <c r="F49" s="32"/>
      <c r="G49" s="32"/>
      <c r="H49" s="32"/>
    </row>
    <row r="50" customFormat="false" ht="27.75" hidden="false" customHeight="true" outlineLevel="0" collapsed="false">
      <c r="A50" s="32" t="s">
        <v>1598</v>
      </c>
      <c r="B50" s="32"/>
      <c r="C50" s="32"/>
      <c r="D50" s="32"/>
      <c r="E50" s="32"/>
      <c r="F50" s="32"/>
      <c r="G50" s="32"/>
      <c r="H50" s="32"/>
    </row>
    <row r="52" customFormat="false" ht="15" hidden="false" customHeight="false" outlineLevel="0" collapsed="false">
      <c r="A52" s="3" t="s">
        <v>1599</v>
      </c>
      <c r="B52" s="4"/>
      <c r="C52" s="4"/>
      <c r="D52" s="4"/>
      <c r="E52" s="4"/>
      <c r="F52" s="4"/>
      <c r="G52" s="4"/>
      <c r="H52" s="4"/>
      <c r="I52" s="4"/>
      <c r="J52" s="4"/>
    </row>
    <row r="53" customFormat="false" ht="54" hidden="false" customHeight="true" outlineLevel="0" collapsed="false">
      <c r="A53" s="32" t="s">
        <v>1600</v>
      </c>
      <c r="B53" s="32"/>
      <c r="C53" s="32"/>
      <c r="D53" s="32"/>
      <c r="E53" s="32"/>
      <c r="F53" s="32"/>
      <c r="G53" s="32"/>
      <c r="H53" s="32"/>
      <c r="I53" s="32"/>
      <c r="J53" s="32"/>
      <c r="K53" s="32"/>
    </row>
    <row r="54" customFormat="false" ht="30" hidden="false" customHeight="true" outlineLevel="0" collapsed="false">
      <c r="A54" s="23" t="s">
        <v>1601</v>
      </c>
      <c r="B54" s="24" t="s">
        <v>1602</v>
      </c>
      <c r="C54" s="24" t="s">
        <v>110</v>
      </c>
      <c r="D54" s="24" t="s">
        <v>1541</v>
      </c>
      <c r="E54" s="24" t="s">
        <v>983</v>
      </c>
      <c r="F54" s="24" t="s">
        <v>189</v>
      </c>
      <c r="G54" s="24" t="s">
        <v>1603</v>
      </c>
      <c r="H54" s="24" t="s">
        <v>97</v>
      </c>
      <c r="I54" s="24" t="s">
        <v>988</v>
      </c>
      <c r="J54" s="24" t="s">
        <v>1604</v>
      </c>
      <c r="K54" s="24" t="s">
        <v>1605</v>
      </c>
    </row>
    <row r="55" customFormat="false" ht="15" hidden="false" customHeight="false" outlineLevel="0" collapsed="false">
      <c r="A55" s="6" t="s">
        <v>1606</v>
      </c>
      <c r="B55" s="6" t="s">
        <v>1607</v>
      </c>
      <c r="C55" s="33" t="n">
        <v>0</v>
      </c>
      <c r="D55" s="6" t="s">
        <v>1548</v>
      </c>
      <c r="E55" s="74" t="n">
        <v>1</v>
      </c>
      <c r="F55" s="9" t="s">
        <v>1608</v>
      </c>
      <c r="G55" s="95" t="n">
        <v>60</v>
      </c>
      <c r="H55" s="75" t="n">
        <f aca="false">E55*G55</f>
        <v>60</v>
      </c>
      <c r="I55" s="28" t="s">
        <v>1609</v>
      </c>
      <c r="J55" s="25" t="n">
        <f aca="false">H55*SUMIF($I$44:$I$48,D55,$G$44:$G$48)/1000000</f>
        <v>4.35877454254317</v>
      </c>
      <c r="K55" s="9" t="s">
        <v>1610</v>
      </c>
    </row>
    <row r="56" customFormat="false" ht="15" hidden="false" customHeight="false" outlineLevel="0" collapsed="false">
      <c r="A56" s="6" t="s">
        <v>1611</v>
      </c>
      <c r="B56" s="6" t="s">
        <v>1607</v>
      </c>
      <c r="C56" s="33" t="n">
        <v>0</v>
      </c>
      <c r="D56" s="6" t="s">
        <v>1557</v>
      </c>
      <c r="E56" s="74" t="n">
        <v>1</v>
      </c>
      <c r="F56" s="9" t="s">
        <v>1612</v>
      </c>
      <c r="G56" s="95" t="n">
        <v>160</v>
      </c>
      <c r="H56" s="75" t="n">
        <f aca="false">E56*G56</f>
        <v>160</v>
      </c>
      <c r="I56" s="28" t="s">
        <v>993</v>
      </c>
      <c r="J56" s="25" t="n">
        <f aca="false">H56*SUMIF($I$44:$I$48,D56,$G$44:$G$48)/1000000</f>
        <v>7.90816188173731</v>
      </c>
      <c r="K56" s="9" t="s">
        <v>1613</v>
      </c>
    </row>
    <row r="57" customFormat="false" ht="15" hidden="false" customHeight="false" outlineLevel="0" collapsed="false">
      <c r="A57" s="6" t="s">
        <v>1614</v>
      </c>
      <c r="B57" s="6" t="s">
        <v>1607</v>
      </c>
      <c r="C57" s="33" t="n">
        <v>0</v>
      </c>
      <c r="D57" s="6" t="s">
        <v>1557</v>
      </c>
      <c r="E57" s="74" t="n">
        <v>1</v>
      </c>
      <c r="F57" s="9" t="s">
        <v>1615</v>
      </c>
      <c r="G57" s="95" t="n">
        <v>80</v>
      </c>
      <c r="H57" s="75" t="n">
        <f aca="false">E57*G57</f>
        <v>80</v>
      </c>
      <c r="I57" s="28" t="s">
        <v>1007</v>
      </c>
      <c r="J57" s="25" t="n">
        <f aca="false">H57*SUMIF($I$44:$I$48,D57,$G$44:$G$48)/1000000</f>
        <v>3.95408094086866</v>
      </c>
      <c r="K57" s="9" t="s">
        <v>1616</v>
      </c>
    </row>
    <row r="58" customFormat="false" ht="15" hidden="false" customHeight="false" outlineLevel="0" collapsed="false">
      <c r="A58" s="6" t="s">
        <v>1617</v>
      </c>
      <c r="B58" s="6" t="s">
        <v>1607</v>
      </c>
      <c r="C58" s="33" t="n">
        <v>0</v>
      </c>
      <c r="D58" s="6" t="s">
        <v>1557</v>
      </c>
      <c r="E58" s="74" t="n">
        <v>1</v>
      </c>
      <c r="F58" s="9" t="s">
        <v>1618</v>
      </c>
      <c r="G58" s="95" t="n">
        <v>40</v>
      </c>
      <c r="H58" s="75" t="n">
        <f aca="false">E58*G58</f>
        <v>40</v>
      </c>
      <c r="I58" s="28" t="s">
        <v>1619</v>
      </c>
      <c r="J58" s="25" t="n">
        <f aca="false">H58*SUMIF($I$44:$I$48,D58,$G$44:$G$48)/1000000</f>
        <v>1.97704047043433</v>
      </c>
      <c r="K58" s="9" t="s">
        <v>1620</v>
      </c>
    </row>
    <row r="59" customFormat="false" ht="15" hidden="false" customHeight="false" outlineLevel="0" collapsed="false">
      <c r="A59" s="6" t="s">
        <v>1621</v>
      </c>
      <c r="B59" s="6" t="s">
        <v>1607</v>
      </c>
      <c r="C59" s="33" t="n">
        <v>0</v>
      </c>
      <c r="D59" s="6" t="s">
        <v>1557</v>
      </c>
      <c r="E59" s="74" t="n">
        <v>1</v>
      </c>
      <c r="F59" s="9" t="s">
        <v>1622</v>
      </c>
      <c r="G59" s="95" t="n">
        <v>40</v>
      </c>
      <c r="H59" s="75" t="n">
        <f aca="false">E59*G59</f>
        <v>40</v>
      </c>
      <c r="I59" s="28" t="s">
        <v>1619</v>
      </c>
      <c r="J59" s="25" t="n">
        <f aca="false">H59*SUMIF($I$44:$I$48,D59,$G$44:$G$48)/1000000</f>
        <v>1.97704047043433</v>
      </c>
      <c r="K59" s="9" t="s">
        <v>1623</v>
      </c>
    </row>
    <row r="60" customFormat="false" ht="15" hidden="false" customHeight="false" outlineLevel="0" collapsed="false">
      <c r="A60" s="6" t="s">
        <v>1624</v>
      </c>
      <c r="B60" s="6" t="s">
        <v>1607</v>
      </c>
      <c r="C60" s="33" t="n">
        <v>0</v>
      </c>
      <c r="D60" s="6" t="s">
        <v>1579</v>
      </c>
      <c r="E60" s="74" t="n">
        <v>1</v>
      </c>
      <c r="F60" s="9" t="s">
        <v>1625</v>
      </c>
      <c r="G60" s="95" t="n">
        <v>80</v>
      </c>
      <c r="H60" s="75" t="n">
        <f aca="false">E60*G60</f>
        <v>80</v>
      </c>
      <c r="I60" s="28" t="s">
        <v>1626</v>
      </c>
      <c r="J60" s="25" t="n">
        <f aca="false">H60*SUMIF($I$44:$I$48,D60,$G$44:$G$48)/1000000</f>
        <v>3.74951907901622</v>
      </c>
      <c r="K60" s="9" t="s">
        <v>1627</v>
      </c>
    </row>
    <row r="61" customFormat="false" ht="15" hidden="false" customHeight="false" outlineLevel="0" collapsed="false">
      <c r="A61" s="6" t="s">
        <v>1628</v>
      </c>
      <c r="B61" s="6" t="s">
        <v>1607</v>
      </c>
      <c r="C61" s="33" t="n">
        <v>1</v>
      </c>
      <c r="D61" s="6" t="s">
        <v>1557</v>
      </c>
      <c r="E61" s="74" t="n">
        <v>1</v>
      </c>
      <c r="F61" s="9" t="s">
        <v>1629</v>
      </c>
      <c r="G61" s="95" t="n">
        <v>60</v>
      </c>
      <c r="H61" s="75" t="n">
        <f aca="false">E61*G61</f>
        <v>60</v>
      </c>
      <c r="I61" s="28" t="s">
        <v>1630</v>
      </c>
      <c r="J61" s="25" t="n">
        <f aca="false">H61*SUMIF($I$44:$I$48,D61,$G$44:$G$48)/1000000</f>
        <v>2.96556070565149</v>
      </c>
      <c r="K61" s="9" t="s">
        <v>1631</v>
      </c>
    </row>
    <row r="62" customFormat="false" ht="15" hidden="false" customHeight="false" outlineLevel="0" collapsed="false">
      <c r="A62" s="6" t="s">
        <v>1632</v>
      </c>
      <c r="B62" s="6" t="s">
        <v>1607</v>
      </c>
      <c r="C62" s="33" t="n">
        <v>1</v>
      </c>
      <c r="D62" s="6" t="s">
        <v>1557</v>
      </c>
      <c r="E62" s="74" t="n">
        <v>3</v>
      </c>
      <c r="F62" s="9" t="s">
        <v>1633</v>
      </c>
      <c r="G62" s="95" t="n">
        <v>20</v>
      </c>
      <c r="H62" s="75" t="n">
        <f aca="false">E62*G62</f>
        <v>60</v>
      </c>
      <c r="I62" s="28" t="s">
        <v>1630</v>
      </c>
      <c r="J62" s="25" t="n">
        <f aca="false">H62*SUMIF($I$44:$I$48,D62,$G$44:$G$48)/1000000</f>
        <v>2.96556070565149</v>
      </c>
      <c r="K62" s="9" t="s">
        <v>1634</v>
      </c>
    </row>
    <row r="63" customFormat="false" ht="15" hidden="false" customHeight="false" outlineLevel="0" collapsed="false">
      <c r="A63" s="6" t="s">
        <v>1635</v>
      </c>
      <c r="B63" s="6" t="s">
        <v>1607</v>
      </c>
      <c r="C63" s="33" t="n">
        <v>1</v>
      </c>
      <c r="D63" s="6" t="s">
        <v>1562</v>
      </c>
      <c r="E63" s="74" t="n">
        <v>1</v>
      </c>
      <c r="F63" s="9" t="s">
        <v>1636</v>
      </c>
      <c r="G63" s="95" t="n">
        <v>40</v>
      </c>
      <c r="H63" s="75" t="n">
        <f aca="false">E63*G63</f>
        <v>40</v>
      </c>
      <c r="I63" s="28" t="s">
        <v>1102</v>
      </c>
      <c r="J63" s="25" t="n">
        <f aca="false">H63*SUMIF($I$44:$I$48,D63,$G$44:$G$48)/1000000</f>
        <v>2.13882628466771</v>
      </c>
      <c r="K63" s="9" t="s">
        <v>1637</v>
      </c>
    </row>
    <row r="64" customFormat="false" ht="15" hidden="false" customHeight="false" outlineLevel="0" collapsed="false">
      <c r="A64" s="6" t="s">
        <v>1638</v>
      </c>
      <c r="B64" s="6" t="s">
        <v>1607</v>
      </c>
      <c r="C64" s="33" t="n">
        <v>1</v>
      </c>
      <c r="D64" s="6" t="s">
        <v>1562</v>
      </c>
      <c r="E64" s="74" t="n">
        <v>22</v>
      </c>
      <c r="F64" s="9" t="s">
        <v>1639</v>
      </c>
      <c r="G64" s="95" t="n">
        <v>2</v>
      </c>
      <c r="H64" s="75" t="n">
        <f aca="false">E64*G64</f>
        <v>44</v>
      </c>
      <c r="I64" s="28" t="s">
        <v>1014</v>
      </c>
      <c r="J64" s="25" t="n">
        <f aca="false">H64*SUMIF($I$44:$I$48,D64,$G$44:$G$48)/1000000</f>
        <v>2.35270891313448</v>
      </c>
      <c r="K64" s="9" t="s">
        <v>1640</v>
      </c>
    </row>
    <row r="65" customFormat="false" ht="15" hidden="false" customHeight="false" outlineLevel="0" collapsed="false">
      <c r="A65" s="6" t="s">
        <v>1641</v>
      </c>
      <c r="B65" s="6" t="s">
        <v>1607</v>
      </c>
      <c r="C65" s="33" t="n">
        <v>1</v>
      </c>
      <c r="D65" s="6" t="s">
        <v>1562</v>
      </c>
      <c r="E65" s="74" t="n">
        <v>20</v>
      </c>
      <c r="F65" s="9" t="s">
        <v>1642</v>
      </c>
      <c r="G65" s="95" t="n">
        <v>4</v>
      </c>
      <c r="H65" s="75" t="n">
        <f aca="false">E65*G65</f>
        <v>80</v>
      </c>
      <c r="I65" s="28" t="s">
        <v>1014</v>
      </c>
      <c r="J65" s="25" t="n">
        <f aca="false">H65*SUMIF($I$44:$I$48,D65,$G$44:$G$48)/1000000</f>
        <v>4.27765256933543</v>
      </c>
      <c r="K65" s="9" t="s">
        <v>1643</v>
      </c>
    </row>
    <row r="66" customFormat="false" ht="15" hidden="false" customHeight="false" outlineLevel="0" collapsed="false">
      <c r="A66" s="6" t="s">
        <v>1644</v>
      </c>
      <c r="B66" s="6" t="s">
        <v>1607</v>
      </c>
      <c r="C66" s="33" t="n">
        <v>1</v>
      </c>
      <c r="D66" s="6" t="s">
        <v>1562</v>
      </c>
      <c r="E66" s="74" t="n">
        <v>1</v>
      </c>
      <c r="F66" s="9" t="s">
        <v>51</v>
      </c>
      <c r="G66" s="95" t="n">
        <v>30</v>
      </c>
      <c r="H66" s="75" t="n">
        <f aca="false">E66*G66</f>
        <v>30</v>
      </c>
      <c r="I66" s="28" t="s">
        <v>1014</v>
      </c>
      <c r="J66" s="25" t="n">
        <f aca="false">H66*SUMIF($I$44:$I$48,D66,$G$44:$G$48)/1000000</f>
        <v>1.60411971350079</v>
      </c>
      <c r="K66" s="9" t="s">
        <v>1645</v>
      </c>
    </row>
    <row r="67" customFormat="false" ht="15" hidden="false" customHeight="false" outlineLevel="0" collapsed="false">
      <c r="A67" s="6" t="s">
        <v>1646</v>
      </c>
      <c r="B67" s="6" t="s">
        <v>1607</v>
      </c>
      <c r="C67" s="33" t="n">
        <v>1</v>
      </c>
      <c r="D67" s="6" t="s">
        <v>1562</v>
      </c>
      <c r="E67" s="74" t="n">
        <v>1</v>
      </c>
      <c r="F67" s="9" t="s">
        <v>1629</v>
      </c>
      <c r="G67" s="95" t="n">
        <v>60</v>
      </c>
      <c r="H67" s="75" t="n">
        <f aca="false">E67*G67</f>
        <v>60</v>
      </c>
      <c r="I67" s="28" t="s">
        <v>1048</v>
      </c>
      <c r="J67" s="25" t="n">
        <f aca="false">H67*SUMIF($I$44:$I$48,D67,$G$44:$G$48)/1000000</f>
        <v>3.20823942700157</v>
      </c>
      <c r="K67" s="9" t="s">
        <v>1647</v>
      </c>
    </row>
    <row r="68" customFormat="false" ht="15" hidden="false" customHeight="false" outlineLevel="0" collapsed="false">
      <c r="A68" s="6" t="s">
        <v>1648</v>
      </c>
      <c r="B68" s="6" t="s">
        <v>1607</v>
      </c>
      <c r="C68" s="33" t="n">
        <v>1</v>
      </c>
      <c r="D68" s="6" t="s">
        <v>1562</v>
      </c>
      <c r="E68" s="74" t="n">
        <v>26</v>
      </c>
      <c r="F68" s="9" t="s">
        <v>1649</v>
      </c>
      <c r="G68" s="95" t="n">
        <v>2.6</v>
      </c>
      <c r="H68" s="75" t="n">
        <f aca="false">E68*G68</f>
        <v>67.6</v>
      </c>
      <c r="I68" s="28" t="s">
        <v>1048</v>
      </c>
      <c r="J68" s="25" t="n">
        <f aca="false">H68*SUMIF($I$44:$I$48,D68,$G$44:$G$48)/1000000</f>
        <v>3.61461642108844</v>
      </c>
      <c r="K68" s="9" t="s">
        <v>1650</v>
      </c>
    </row>
    <row r="69" customFormat="false" ht="15" hidden="false" customHeight="false" outlineLevel="0" collapsed="false">
      <c r="A69" s="6" t="s">
        <v>1651</v>
      </c>
      <c r="B69" s="6" t="s">
        <v>1607</v>
      </c>
      <c r="C69" s="33" t="n">
        <v>1</v>
      </c>
      <c r="D69" s="6" t="s">
        <v>1562</v>
      </c>
      <c r="E69" s="74" t="n">
        <v>47</v>
      </c>
      <c r="F69" s="9" t="s">
        <v>1649</v>
      </c>
      <c r="G69" s="95" t="n">
        <v>1.95</v>
      </c>
      <c r="H69" s="75" t="n">
        <f aca="false">E69*G69</f>
        <v>91.65</v>
      </c>
      <c r="I69" s="28" t="s">
        <v>1048</v>
      </c>
      <c r="J69" s="25" t="n">
        <f aca="false">H69*SUMIF($I$44:$I$48,D69,$G$44:$G$48)/1000000</f>
        <v>4.9005857247449</v>
      </c>
      <c r="K69" s="9" t="s">
        <v>1652</v>
      </c>
    </row>
    <row r="70" customFormat="false" ht="15" hidden="false" customHeight="false" outlineLevel="0" collapsed="false">
      <c r="A70" s="6" t="s">
        <v>1653</v>
      </c>
      <c r="B70" s="6" t="s">
        <v>1607</v>
      </c>
      <c r="C70" s="33" t="n">
        <v>1</v>
      </c>
      <c r="D70" s="6" t="s">
        <v>1562</v>
      </c>
      <c r="E70" s="74" t="n">
        <v>7</v>
      </c>
      <c r="F70" s="9" t="s">
        <v>1654</v>
      </c>
      <c r="G70" s="95" t="n">
        <v>16</v>
      </c>
      <c r="H70" s="75" t="n">
        <f aca="false">E70*G70</f>
        <v>112</v>
      </c>
      <c r="I70" s="28" t="s">
        <v>1048</v>
      </c>
      <c r="J70" s="25" t="n">
        <f aca="false">H70*SUMIF($I$44:$I$48,D70,$G$44:$G$48)/1000000</f>
        <v>5.9887135970696</v>
      </c>
      <c r="K70" s="9" t="s">
        <v>1655</v>
      </c>
    </row>
    <row r="71" customFormat="false" ht="15" hidden="false" customHeight="false" outlineLevel="0" collapsed="false">
      <c r="A71" s="6" t="s">
        <v>1656</v>
      </c>
      <c r="B71" s="6" t="s">
        <v>1607</v>
      </c>
      <c r="C71" s="33" t="n">
        <v>1</v>
      </c>
      <c r="D71" s="6" t="s">
        <v>1562</v>
      </c>
      <c r="E71" s="74" t="n">
        <v>3</v>
      </c>
      <c r="F71" s="9" t="s">
        <v>1657</v>
      </c>
      <c r="G71" s="95" t="n">
        <v>12</v>
      </c>
      <c r="H71" s="75" t="n">
        <f aca="false">E71*G71</f>
        <v>36</v>
      </c>
      <c r="I71" s="28" t="s">
        <v>1048</v>
      </c>
      <c r="J71" s="25" t="n">
        <f aca="false">H71*SUMIF($I$44:$I$48,D71,$G$44:$G$48)/1000000</f>
        <v>1.92494365620094</v>
      </c>
      <c r="K71" s="9" t="s">
        <v>1658</v>
      </c>
    </row>
    <row r="72" customFormat="false" ht="15" hidden="false" customHeight="false" outlineLevel="0" collapsed="false">
      <c r="A72" s="6" t="s">
        <v>1659</v>
      </c>
      <c r="B72" s="6" t="s">
        <v>1607</v>
      </c>
      <c r="C72" s="33" t="n">
        <v>1</v>
      </c>
      <c r="D72" s="6" t="s">
        <v>1562</v>
      </c>
      <c r="E72" s="74" t="n">
        <v>4</v>
      </c>
      <c r="F72" s="9" t="s">
        <v>1660</v>
      </c>
      <c r="G72" s="95" t="n">
        <v>4</v>
      </c>
      <c r="H72" s="75" t="n">
        <f aca="false">E72*G72</f>
        <v>16</v>
      </c>
      <c r="I72" s="28" t="s">
        <v>1048</v>
      </c>
      <c r="J72" s="25" t="n">
        <f aca="false">H72*SUMIF($I$44:$I$48,D72,$G$44:$G$48)/1000000</f>
        <v>0.855530513867085</v>
      </c>
      <c r="K72" s="9" t="s">
        <v>1661</v>
      </c>
    </row>
    <row r="73" customFormat="false" ht="15" hidden="false" customHeight="false" outlineLevel="0" collapsed="false">
      <c r="A73" s="6" t="s">
        <v>1662</v>
      </c>
      <c r="B73" s="6" t="s">
        <v>1607</v>
      </c>
      <c r="C73" s="33" t="n">
        <v>1</v>
      </c>
      <c r="D73" s="6" t="s">
        <v>1562</v>
      </c>
      <c r="E73" s="74" t="n">
        <v>16</v>
      </c>
      <c r="F73" s="9" t="s">
        <v>1663</v>
      </c>
      <c r="G73" s="95" t="n">
        <v>6</v>
      </c>
      <c r="H73" s="75" t="n">
        <f aca="false">E73*G73</f>
        <v>96</v>
      </c>
      <c r="I73" s="28" t="s">
        <v>1093</v>
      </c>
      <c r="J73" s="25" t="n">
        <f aca="false">H73*SUMIF($I$44:$I$48,D73,$G$44:$G$48)/1000000</f>
        <v>5.13318308320251</v>
      </c>
      <c r="K73" s="9" t="s">
        <v>1664</v>
      </c>
    </row>
    <row r="74" customFormat="false" ht="15" hidden="false" customHeight="false" outlineLevel="0" collapsed="false">
      <c r="A74" s="6" t="s">
        <v>1665</v>
      </c>
      <c r="B74" s="6" t="s">
        <v>1607</v>
      </c>
      <c r="C74" s="33" t="n">
        <v>1</v>
      </c>
      <c r="D74" s="6" t="s">
        <v>1562</v>
      </c>
      <c r="E74" s="74" t="n">
        <v>1</v>
      </c>
      <c r="F74" s="9" t="s">
        <v>1666</v>
      </c>
      <c r="G74" s="95" t="n">
        <v>40</v>
      </c>
      <c r="H74" s="75" t="n">
        <f aca="false">E74*G74</f>
        <v>40</v>
      </c>
      <c r="I74" s="28" t="s">
        <v>1093</v>
      </c>
      <c r="J74" s="25" t="n">
        <f aca="false">H74*SUMIF($I$44:$I$48,D74,$G$44:$G$48)/1000000</f>
        <v>2.13882628466771</v>
      </c>
      <c r="K74" s="9" t="s">
        <v>1667</v>
      </c>
    </row>
    <row r="75" customFormat="false" ht="15" hidden="false" customHeight="false" outlineLevel="0" collapsed="false">
      <c r="A75" s="6" t="s">
        <v>1668</v>
      </c>
      <c r="B75" s="6" t="s">
        <v>1607</v>
      </c>
      <c r="C75" s="33" t="n">
        <v>1</v>
      </c>
      <c r="D75" s="6" t="s">
        <v>1562</v>
      </c>
      <c r="E75" s="74" t="n">
        <v>1</v>
      </c>
      <c r="F75" s="9" t="s">
        <v>1666</v>
      </c>
      <c r="G75" s="95" t="n">
        <v>120</v>
      </c>
      <c r="H75" s="75" t="n">
        <f aca="false">E75*G75</f>
        <v>120</v>
      </c>
      <c r="I75" s="28" t="s">
        <v>1108</v>
      </c>
      <c r="J75" s="25" t="n">
        <f aca="false">H75*SUMIF($I$44:$I$48,D75,$G$44:$G$48)/1000000</f>
        <v>6.41647885400314</v>
      </c>
      <c r="K75" s="9" t="s">
        <v>1669</v>
      </c>
    </row>
    <row r="76" customFormat="false" ht="15" hidden="false" customHeight="false" outlineLevel="0" collapsed="false">
      <c r="A76" s="6" t="s">
        <v>1670</v>
      </c>
      <c r="B76" s="6" t="s">
        <v>1607</v>
      </c>
      <c r="C76" s="33" t="n">
        <v>1</v>
      </c>
      <c r="D76" s="6" t="s">
        <v>1562</v>
      </c>
      <c r="E76" s="74" t="n">
        <v>1</v>
      </c>
      <c r="F76" s="9" t="s">
        <v>1666</v>
      </c>
      <c r="G76" s="95" t="n">
        <v>40</v>
      </c>
      <c r="H76" s="75" t="n">
        <f aca="false">E76*G76</f>
        <v>40</v>
      </c>
      <c r="I76" s="28" t="s">
        <v>1108</v>
      </c>
      <c r="J76" s="25" t="n">
        <f aca="false">H76*SUMIF($I$44:$I$48,D76,$G$44:$G$48)/1000000</f>
        <v>2.13882628466771</v>
      </c>
      <c r="K76" s="9" t="s">
        <v>1671</v>
      </c>
    </row>
    <row r="77" customFormat="false" ht="15" hidden="false" customHeight="false" outlineLevel="0" collapsed="false">
      <c r="A77" s="6" t="s">
        <v>1672</v>
      </c>
      <c r="B77" s="6" t="s">
        <v>1607</v>
      </c>
      <c r="C77" s="33" t="n">
        <v>1</v>
      </c>
      <c r="D77" s="6" t="s">
        <v>1562</v>
      </c>
      <c r="E77" s="74" t="n">
        <v>1</v>
      </c>
      <c r="F77" s="9" t="s">
        <v>1673</v>
      </c>
      <c r="G77" s="95" t="n">
        <v>16</v>
      </c>
      <c r="H77" s="75" t="n">
        <f aca="false">E77*G77</f>
        <v>16</v>
      </c>
      <c r="I77" s="28" t="s">
        <v>1674</v>
      </c>
      <c r="J77" s="25" t="n">
        <f aca="false">H77*SUMIF($I$44:$I$48,D77,$G$44:$G$48)/1000000</f>
        <v>0.855530513867085</v>
      </c>
      <c r="K77" s="9" t="s">
        <v>1675</v>
      </c>
    </row>
    <row r="78" customFormat="false" ht="15" hidden="false" customHeight="false" outlineLevel="0" collapsed="false">
      <c r="A78" s="6" t="s">
        <v>1676</v>
      </c>
      <c r="B78" s="6" t="s">
        <v>1607</v>
      </c>
      <c r="C78" s="33" t="n">
        <v>1</v>
      </c>
      <c r="D78" s="6" t="s">
        <v>1579</v>
      </c>
      <c r="E78" s="74" t="n">
        <v>1</v>
      </c>
      <c r="F78" s="9" t="s">
        <v>1677</v>
      </c>
      <c r="G78" s="95" t="n">
        <v>16</v>
      </c>
      <c r="H78" s="75" t="n">
        <f aca="false">E78*G78</f>
        <v>16</v>
      </c>
      <c r="I78" s="28" t="s">
        <v>1678</v>
      </c>
      <c r="J78" s="25" t="n">
        <f aca="false">H78*SUMIF($I$44:$I$48,D78,$G$44:$G$48)/1000000</f>
        <v>0.749903815803245</v>
      </c>
      <c r="K78" s="9" t="s">
        <v>1679</v>
      </c>
    </row>
    <row r="79" customFormat="false" ht="15" hidden="false" customHeight="false" outlineLevel="0" collapsed="false">
      <c r="A79" s="6" t="s">
        <v>1680</v>
      </c>
      <c r="B79" s="6" t="s">
        <v>1607</v>
      </c>
      <c r="C79" s="33" t="n">
        <v>1</v>
      </c>
      <c r="D79" s="6" t="s">
        <v>1579</v>
      </c>
      <c r="E79" s="74" t="n">
        <v>1</v>
      </c>
      <c r="F79" s="9" t="s">
        <v>1636</v>
      </c>
      <c r="G79" s="95" t="n">
        <v>40</v>
      </c>
      <c r="H79" s="75" t="n">
        <f aca="false">E79*G79</f>
        <v>40</v>
      </c>
      <c r="I79" s="28" t="s">
        <v>1678</v>
      </c>
      <c r="J79" s="25" t="n">
        <f aca="false">H79*SUMIF($I$44:$I$48,D79,$G$44:$G$48)/1000000</f>
        <v>1.87475953950811</v>
      </c>
      <c r="K79" s="9" t="s">
        <v>1681</v>
      </c>
    </row>
    <row r="80" customFormat="false" ht="15" hidden="false" customHeight="false" outlineLevel="0" collapsed="false">
      <c r="A80" s="6" t="s">
        <v>1682</v>
      </c>
      <c r="B80" s="6" t="s">
        <v>1607</v>
      </c>
      <c r="C80" s="33" t="n">
        <v>1</v>
      </c>
      <c r="D80" s="6" t="s">
        <v>1562</v>
      </c>
      <c r="E80" s="74" t="n">
        <v>1</v>
      </c>
      <c r="F80" s="9" t="s">
        <v>1673</v>
      </c>
      <c r="G80" s="95" t="n">
        <v>60</v>
      </c>
      <c r="H80" s="75" t="n">
        <f aca="false">E80*G80</f>
        <v>60</v>
      </c>
      <c r="I80" s="28" t="s">
        <v>1674</v>
      </c>
      <c r="J80" s="25" t="n">
        <f aca="false">H80*SUMIF($I$44:$I$48,D80,$G$44:$G$48)/1000000</f>
        <v>3.20823942700157</v>
      </c>
      <c r="K80" s="9" t="s">
        <v>1683</v>
      </c>
    </row>
    <row r="81" customFormat="false" ht="15" hidden="false" customHeight="false" outlineLevel="0" collapsed="false">
      <c r="A81" s="6" t="s">
        <v>1684</v>
      </c>
      <c r="B81" s="6" t="s">
        <v>1607</v>
      </c>
      <c r="C81" s="33" t="n">
        <v>1</v>
      </c>
      <c r="D81" s="6" t="s">
        <v>1557</v>
      </c>
      <c r="E81" s="74" t="n">
        <v>1</v>
      </c>
      <c r="F81" s="9" t="s">
        <v>1666</v>
      </c>
      <c r="G81" s="95" t="n">
        <v>24</v>
      </c>
      <c r="H81" s="75" t="n">
        <f aca="false">E81*G81</f>
        <v>24</v>
      </c>
      <c r="I81" s="28" t="s">
        <v>1108</v>
      </c>
      <c r="J81" s="25" t="n">
        <f aca="false">H81*SUMIF($I$44:$I$48,D81,$G$44:$G$48)/1000000</f>
        <v>1.1862242822606</v>
      </c>
      <c r="K81" s="9" t="s">
        <v>1685</v>
      </c>
    </row>
    <row r="82" customFormat="false" ht="15" hidden="false" customHeight="false" outlineLevel="0" collapsed="false">
      <c r="A82" s="6" t="s">
        <v>1686</v>
      </c>
      <c r="B82" s="6" t="s">
        <v>1607</v>
      </c>
      <c r="C82" s="33" t="n">
        <v>1</v>
      </c>
      <c r="D82" s="6" t="s">
        <v>1579</v>
      </c>
      <c r="E82" s="74" t="n">
        <v>1</v>
      </c>
      <c r="F82" s="9" t="s">
        <v>1625</v>
      </c>
      <c r="G82" s="95" t="n">
        <v>24</v>
      </c>
      <c r="H82" s="75" t="n">
        <f aca="false">E82*G82</f>
        <v>24</v>
      </c>
      <c r="I82" s="28" t="s">
        <v>1626</v>
      </c>
      <c r="J82" s="25" t="n">
        <f aca="false">H82*SUMIF($I$44:$I$48,D82,$G$44:$G$48)/1000000</f>
        <v>1.12485572370487</v>
      </c>
      <c r="K82" s="9" t="s">
        <v>1687</v>
      </c>
    </row>
    <row r="83" customFormat="false" ht="15" hidden="false" customHeight="false" outlineLevel="0" collapsed="false">
      <c r="A83" s="6" t="s">
        <v>1688</v>
      </c>
      <c r="B83" s="6" t="s">
        <v>1607</v>
      </c>
      <c r="C83" s="33" t="n">
        <v>1</v>
      </c>
      <c r="D83" s="6" t="s">
        <v>1579</v>
      </c>
      <c r="E83" s="74" t="n">
        <v>1</v>
      </c>
      <c r="F83" s="9" t="s">
        <v>1625</v>
      </c>
      <c r="G83" s="95" t="n">
        <v>16</v>
      </c>
      <c r="H83" s="75" t="n">
        <f aca="false">E83*G83</f>
        <v>16</v>
      </c>
      <c r="I83" s="28" t="s">
        <v>1626</v>
      </c>
      <c r="J83" s="25" t="n">
        <f aca="false">H83*SUMIF($I$44:$I$48,D83,$G$44:$G$48)/1000000</f>
        <v>0.749903815803245</v>
      </c>
      <c r="K83" s="9" t="s">
        <v>1689</v>
      </c>
    </row>
    <row r="84" customFormat="false" ht="15" hidden="false" customHeight="false" outlineLevel="0" collapsed="false">
      <c r="A84" s="6" t="s">
        <v>1690</v>
      </c>
      <c r="B84" s="6" t="s">
        <v>1607</v>
      </c>
      <c r="C84" s="33" t="n">
        <v>1</v>
      </c>
      <c r="D84" s="6" t="s">
        <v>1562</v>
      </c>
      <c r="E84" s="74" t="n">
        <v>1</v>
      </c>
      <c r="F84" s="9" t="s">
        <v>1673</v>
      </c>
      <c r="G84" s="95" t="n">
        <v>8</v>
      </c>
      <c r="H84" s="75" t="n">
        <f aca="false">E84*G84</f>
        <v>8</v>
      </c>
      <c r="I84" s="28" t="s">
        <v>1674</v>
      </c>
      <c r="J84" s="25" t="n">
        <f aca="false">H84*SUMIF($I$44:$I$48,D84,$G$44:$G$48)/1000000</f>
        <v>0.427765256933543</v>
      </c>
      <c r="K84" s="9" t="s">
        <v>1691</v>
      </c>
    </row>
    <row r="85" customFormat="false" ht="15" hidden="false" customHeight="false" outlineLevel="0" collapsed="false">
      <c r="A85" s="6" t="s">
        <v>1692</v>
      </c>
      <c r="B85" s="6" t="s">
        <v>1607</v>
      </c>
      <c r="C85" s="33" t="n">
        <v>1</v>
      </c>
      <c r="D85" s="6" t="s">
        <v>1562</v>
      </c>
      <c r="E85" s="74" t="n">
        <v>4</v>
      </c>
      <c r="F85" s="9" t="s">
        <v>1693</v>
      </c>
      <c r="G85" s="95" t="n">
        <v>3</v>
      </c>
      <c r="H85" s="75" t="n">
        <f aca="false">E85*G85</f>
        <v>12</v>
      </c>
      <c r="I85" s="28" t="s">
        <v>1674</v>
      </c>
      <c r="J85" s="25" t="n">
        <f aca="false">H85*SUMIF($I$44:$I$48,D85,$G$44:$G$48)/1000000</f>
        <v>0.641647885400314</v>
      </c>
      <c r="K85" s="9" t="s">
        <v>1694</v>
      </c>
    </row>
    <row r="86" customFormat="false" ht="15" hidden="false" customHeight="false" outlineLevel="0" collapsed="false">
      <c r="A86" s="6" t="s">
        <v>1695</v>
      </c>
      <c r="B86" s="6" t="s">
        <v>1607</v>
      </c>
      <c r="C86" s="33" t="n">
        <v>1</v>
      </c>
      <c r="D86" s="6" t="s">
        <v>1562</v>
      </c>
      <c r="E86" s="75" t="n">
        <f aca="false">H68+H69+H70+H71+H72+H73+H74+H75+H76+H77+H80+H84+H85</f>
        <v>715.25</v>
      </c>
      <c r="F86" s="9" t="s">
        <v>1696</v>
      </c>
      <c r="G86" s="69" t="n">
        <v>0.15</v>
      </c>
      <c r="H86" s="75" t="n">
        <f aca="false">E86*G86</f>
        <v>107.2875</v>
      </c>
      <c r="I86" s="28" t="s">
        <v>1048</v>
      </c>
      <c r="J86" s="25" t="n">
        <f aca="false">H86*SUMIF($I$44:$I$48,D86,$G$44:$G$48)/1000000</f>
        <v>5.73673312540718</v>
      </c>
      <c r="K86" s="9" t="s">
        <v>1697</v>
      </c>
    </row>
    <row r="87" customFormat="false" ht="15" hidden="false" customHeight="false" outlineLevel="0" collapsed="false">
      <c r="A87" s="6" t="s">
        <v>1698</v>
      </c>
      <c r="B87" s="6" t="s">
        <v>1607</v>
      </c>
      <c r="C87" s="33" t="n">
        <v>1</v>
      </c>
      <c r="D87" s="6" t="s">
        <v>1571</v>
      </c>
      <c r="E87" s="74" t="n">
        <v>1</v>
      </c>
      <c r="F87" s="9" t="s">
        <v>1625</v>
      </c>
      <c r="G87" s="95" t="n">
        <v>120</v>
      </c>
      <c r="H87" s="75" t="n">
        <f aca="false">E87*G87</f>
        <v>120</v>
      </c>
      <c r="I87" s="28" t="s">
        <v>1699</v>
      </c>
      <c r="J87" s="25" t="n">
        <f aca="false">H87*SUMIF($I$44:$I$48,D87,$G$44:$G$48)/1000000</f>
        <v>8.75160310832025</v>
      </c>
      <c r="K87" s="9" t="s">
        <v>1700</v>
      </c>
    </row>
    <row r="88" customFormat="false" ht="15" hidden="false" customHeight="false" outlineLevel="0" collapsed="false">
      <c r="A88" s="6" t="s">
        <v>1701</v>
      </c>
      <c r="B88" s="6" t="s">
        <v>1607</v>
      </c>
      <c r="C88" s="33" t="n">
        <v>1</v>
      </c>
      <c r="D88" s="6" t="s">
        <v>1571</v>
      </c>
      <c r="E88" s="74" t="n">
        <v>1</v>
      </c>
      <c r="F88" s="9" t="s">
        <v>1702</v>
      </c>
      <c r="G88" s="95" t="n">
        <v>120</v>
      </c>
      <c r="H88" s="75" t="n">
        <f aca="false">E88*G88</f>
        <v>120</v>
      </c>
      <c r="I88" s="28" t="s">
        <v>1703</v>
      </c>
      <c r="J88" s="25" t="n">
        <f aca="false">H88*SUMIF($I$44:$I$48,D88,$G$44:$G$48)/1000000</f>
        <v>8.75160310832025</v>
      </c>
      <c r="K88" s="9" t="s">
        <v>1704</v>
      </c>
    </row>
    <row r="89" customFormat="false" ht="15" hidden="false" customHeight="false" outlineLevel="0" collapsed="false">
      <c r="A89" s="6" t="s">
        <v>1705</v>
      </c>
      <c r="B89" s="6" t="s">
        <v>1607</v>
      </c>
      <c r="C89" s="33" t="n">
        <v>1</v>
      </c>
      <c r="D89" s="6" t="s">
        <v>1579</v>
      </c>
      <c r="E89" s="74" t="n">
        <v>1</v>
      </c>
      <c r="F89" s="9" t="s">
        <v>51</v>
      </c>
      <c r="G89" s="95" t="n">
        <v>40</v>
      </c>
      <c r="H89" s="75" t="n">
        <f aca="false">E89*G89</f>
        <v>40</v>
      </c>
      <c r="I89" s="28" t="s">
        <v>1626</v>
      </c>
      <c r="J89" s="25" t="n">
        <f aca="false">H89*SUMIF($I$44:$I$48,D89,$G$44:$G$48)/1000000</f>
        <v>1.87475953950811</v>
      </c>
      <c r="K89" s="9" t="s">
        <v>1706</v>
      </c>
    </row>
    <row r="90" customFormat="false" ht="15" hidden="false" customHeight="false" outlineLevel="0" collapsed="false">
      <c r="A90" s="6" t="s">
        <v>1707</v>
      </c>
      <c r="B90" s="6" t="s">
        <v>1607</v>
      </c>
      <c r="C90" s="33" t="n">
        <v>1</v>
      </c>
      <c r="D90" s="6" t="s">
        <v>1579</v>
      </c>
      <c r="E90" s="74" t="n">
        <v>1</v>
      </c>
      <c r="F90" s="9" t="s">
        <v>1708</v>
      </c>
      <c r="G90" s="95" t="n">
        <v>80</v>
      </c>
      <c r="H90" s="75" t="n">
        <f aca="false">E90*G90</f>
        <v>80</v>
      </c>
      <c r="I90" s="28" t="s">
        <v>1709</v>
      </c>
      <c r="J90" s="25" t="n">
        <f aca="false">H90*SUMIF($I$44:$I$48,D90,$G$44:$G$48)/1000000</f>
        <v>3.74951907901622</v>
      </c>
      <c r="K90" s="9" t="s">
        <v>1710</v>
      </c>
    </row>
    <row r="91" customFormat="false" ht="15" hidden="false" customHeight="false" outlineLevel="0" collapsed="false">
      <c r="A91" s="6" t="s">
        <v>1711</v>
      </c>
      <c r="B91" s="6" t="s">
        <v>1607</v>
      </c>
      <c r="C91" s="33" t="n">
        <v>2</v>
      </c>
      <c r="D91" s="6" t="s">
        <v>1562</v>
      </c>
      <c r="E91" s="74" t="n">
        <v>1</v>
      </c>
      <c r="F91" s="9" t="s">
        <v>1666</v>
      </c>
      <c r="G91" s="95" t="n">
        <v>60</v>
      </c>
      <c r="H91" s="75" t="n">
        <f aca="false">E91*G91</f>
        <v>60</v>
      </c>
      <c r="I91" s="28" t="s">
        <v>1014</v>
      </c>
      <c r="J91" s="25" t="n">
        <f aca="false">H91*SUMIF($I$44:$I$48,D91,$G$44:$G$48)/1000000</f>
        <v>3.20823942700157</v>
      </c>
      <c r="K91" s="9" t="s">
        <v>1712</v>
      </c>
    </row>
    <row r="92" customFormat="false" ht="15" hidden="false" customHeight="false" outlineLevel="0" collapsed="false">
      <c r="A92" s="6" t="s">
        <v>1713</v>
      </c>
      <c r="B92" s="6" t="s">
        <v>1607</v>
      </c>
      <c r="C92" s="33" t="n">
        <v>2</v>
      </c>
      <c r="D92" s="6" t="s">
        <v>1557</v>
      </c>
      <c r="E92" s="74" t="n">
        <v>1</v>
      </c>
      <c r="F92" s="9" t="s">
        <v>1666</v>
      </c>
      <c r="G92" s="95" t="n">
        <v>24</v>
      </c>
      <c r="H92" s="75" t="n">
        <f aca="false">E92*G92</f>
        <v>24</v>
      </c>
      <c r="I92" s="28" t="s">
        <v>1630</v>
      </c>
      <c r="J92" s="25" t="n">
        <f aca="false">H92*SUMIF($I$44:$I$48,D92,$G$44:$G$48)/1000000</f>
        <v>1.1862242822606</v>
      </c>
      <c r="K92" s="9" t="s">
        <v>1714</v>
      </c>
    </row>
    <row r="93" customFormat="false" ht="15" hidden="false" customHeight="false" outlineLevel="0" collapsed="false">
      <c r="A93" s="6" t="s">
        <v>1715</v>
      </c>
      <c r="B93" s="6" t="s">
        <v>1607</v>
      </c>
      <c r="C93" s="33" t="n">
        <v>2</v>
      </c>
      <c r="D93" s="6" t="s">
        <v>1571</v>
      </c>
      <c r="E93" s="74" t="n">
        <v>1</v>
      </c>
      <c r="F93" s="9" t="s">
        <v>1716</v>
      </c>
      <c r="G93" s="95" t="n">
        <v>24</v>
      </c>
      <c r="H93" s="75" t="n">
        <f aca="false">E93*G93</f>
        <v>24</v>
      </c>
      <c r="I93" s="28" t="s">
        <v>1699</v>
      </c>
      <c r="J93" s="25" t="n">
        <f aca="false">H93*SUMIF($I$44:$I$48,D93,$G$44:$G$48)/1000000</f>
        <v>1.75032062166405</v>
      </c>
      <c r="K93" s="9" t="s">
        <v>1717</v>
      </c>
    </row>
    <row r="94" customFormat="false" ht="15" hidden="false" customHeight="false" outlineLevel="0" collapsed="false">
      <c r="A94" s="6" t="s">
        <v>1718</v>
      </c>
      <c r="B94" s="6" t="s">
        <v>1607</v>
      </c>
      <c r="C94" s="33" t="n">
        <v>3</v>
      </c>
      <c r="D94" s="6" t="s">
        <v>1571</v>
      </c>
      <c r="E94" s="74" t="n">
        <v>1</v>
      </c>
      <c r="F94" s="9" t="s">
        <v>1719</v>
      </c>
      <c r="G94" s="95" t="n">
        <v>120</v>
      </c>
      <c r="H94" s="75" t="n">
        <f aca="false">E94*G94</f>
        <v>120</v>
      </c>
      <c r="I94" s="28" t="s">
        <v>1146</v>
      </c>
      <c r="J94" s="25" t="n">
        <f aca="false">H94*SUMIF($I$44:$I$48,D94,$G$44:$G$48)/1000000</f>
        <v>8.75160310832025</v>
      </c>
      <c r="K94" s="9" t="s">
        <v>1720</v>
      </c>
    </row>
    <row r="95" customFormat="false" ht="15" hidden="false" customHeight="false" outlineLevel="0" collapsed="false">
      <c r="A95" s="6" t="s">
        <v>1721</v>
      </c>
      <c r="B95" s="6" t="s">
        <v>1607</v>
      </c>
      <c r="C95" s="33" t="n">
        <v>3</v>
      </c>
      <c r="D95" s="6" t="s">
        <v>1562</v>
      </c>
      <c r="E95" s="74" t="n">
        <v>1</v>
      </c>
      <c r="F95" s="9" t="s">
        <v>1666</v>
      </c>
      <c r="G95" s="95" t="n">
        <v>16</v>
      </c>
      <c r="H95" s="75" t="n">
        <f aca="false">E95*G95</f>
        <v>16</v>
      </c>
      <c r="I95" s="28" t="s">
        <v>1146</v>
      </c>
      <c r="J95" s="25" t="n">
        <f aca="false">H95*SUMIF($I$44:$I$48,D95,$G$44:$G$48)/1000000</f>
        <v>0.855530513867085</v>
      </c>
      <c r="K95" s="9" t="s">
        <v>1722</v>
      </c>
    </row>
    <row r="96" customFormat="false" ht="15" hidden="false" customHeight="false" outlineLevel="0" collapsed="false">
      <c r="A96" s="6" t="s">
        <v>1723</v>
      </c>
      <c r="B96" s="6" t="s">
        <v>1607</v>
      </c>
      <c r="C96" s="33" t="n">
        <v>1</v>
      </c>
      <c r="D96" s="6" t="s">
        <v>1562</v>
      </c>
      <c r="E96" s="74" t="n">
        <v>1</v>
      </c>
      <c r="F96" s="9" t="s">
        <v>1666</v>
      </c>
      <c r="G96" s="95" t="n">
        <v>40</v>
      </c>
      <c r="H96" s="75" t="n">
        <f aca="false">E96*G96</f>
        <v>40</v>
      </c>
      <c r="I96" s="28" t="s">
        <v>1724</v>
      </c>
      <c r="J96" s="25" t="n">
        <f aca="false">H96*SUMIF($I$44:$I$48,D96,$G$44:$G$48)/1000000</f>
        <v>2.13882628466771</v>
      </c>
      <c r="K96" s="9" t="s">
        <v>1725</v>
      </c>
    </row>
    <row r="97" customFormat="false" ht="15" hidden="false" customHeight="false" outlineLevel="0" collapsed="false">
      <c r="A97" s="6" t="s">
        <v>1726</v>
      </c>
      <c r="B97" s="6" t="s">
        <v>1607</v>
      </c>
      <c r="C97" s="33" t="n">
        <v>1</v>
      </c>
      <c r="D97" s="6" t="s">
        <v>1548</v>
      </c>
      <c r="E97" s="74" t="n">
        <v>1</v>
      </c>
      <c r="F97" s="9" t="s">
        <v>1727</v>
      </c>
      <c r="G97" s="95" t="n">
        <v>24</v>
      </c>
      <c r="H97" s="75" t="n">
        <f aca="false">E97*G97</f>
        <v>24</v>
      </c>
      <c r="I97" s="28" t="s">
        <v>1724</v>
      </c>
      <c r="J97" s="25" t="n">
        <f aca="false">H97*SUMIF($I$44:$I$48,D97,$G$44:$G$48)/1000000</f>
        <v>1.74350981701727</v>
      </c>
      <c r="K97" s="9" t="s">
        <v>1728</v>
      </c>
    </row>
    <row r="98" customFormat="false" ht="15" hidden="false" customHeight="false" outlineLevel="0" collapsed="false">
      <c r="A98" s="6" t="s">
        <v>1729</v>
      </c>
      <c r="B98" s="6" t="s">
        <v>1607</v>
      </c>
      <c r="C98" s="33" t="n">
        <v>1</v>
      </c>
      <c r="D98" s="6" t="s">
        <v>1548</v>
      </c>
      <c r="E98" s="75" t="n">
        <f aca="false">SUMIFS($H$55:$H$125,$B$55:$B$125,"Contrato principal",$D$55:$D$125,"&lt;&gt;Dirección")</f>
        <v>2360.5375</v>
      </c>
      <c r="F98" s="9" t="s">
        <v>1730</v>
      </c>
      <c r="G98" s="69" t="n">
        <v>0.1</v>
      </c>
      <c r="H98" s="75" t="n">
        <f aca="false">E98*G98</f>
        <v>236.05375</v>
      </c>
      <c r="I98" s="28" t="s">
        <v>1731</v>
      </c>
      <c r="J98" s="25" t="n">
        <f aca="false">H98*SUMIF($I$44:$I$48,D98,$G$44:$G$48)/1000000</f>
        <v>17.1484179361975</v>
      </c>
      <c r="K98" s="9" t="s">
        <v>1732</v>
      </c>
    </row>
    <row r="99" customFormat="false" ht="15" hidden="false" customHeight="false" outlineLevel="0" collapsed="false">
      <c r="A99" s="6" t="s">
        <v>1733</v>
      </c>
      <c r="B99" s="6" t="s">
        <v>1734</v>
      </c>
      <c r="C99" s="33" t="n">
        <v>1</v>
      </c>
      <c r="D99" s="6" t="s">
        <v>1562</v>
      </c>
      <c r="E99" s="74" t="n">
        <v>2</v>
      </c>
      <c r="F99" s="9" t="s">
        <v>1735</v>
      </c>
      <c r="G99" s="95" t="n">
        <v>40</v>
      </c>
      <c r="H99" s="75" t="n">
        <f aca="false">E99*G99</f>
        <v>80</v>
      </c>
      <c r="I99" s="28" t="s">
        <v>1014</v>
      </c>
      <c r="J99" s="25" t="n">
        <f aca="false">H99*SUMIF($I$44:$I$48,D99,$G$44:$G$48)/1000000</f>
        <v>4.27765256933543</v>
      </c>
      <c r="K99" s="9" t="s">
        <v>1736</v>
      </c>
    </row>
    <row r="100" customFormat="false" ht="15" hidden="false" customHeight="false" outlineLevel="0" collapsed="false">
      <c r="A100" s="6" t="s">
        <v>1737</v>
      </c>
      <c r="B100" s="6" t="s">
        <v>1734</v>
      </c>
      <c r="C100" s="33" t="n">
        <v>1</v>
      </c>
      <c r="D100" s="6" t="s">
        <v>1562</v>
      </c>
      <c r="E100" s="74" t="n">
        <v>4</v>
      </c>
      <c r="F100" s="9" t="s">
        <v>1735</v>
      </c>
      <c r="G100" s="95" t="n">
        <v>40</v>
      </c>
      <c r="H100" s="75" t="n">
        <f aca="false">E100*G100</f>
        <v>160</v>
      </c>
      <c r="I100" s="28" t="s">
        <v>1048</v>
      </c>
      <c r="J100" s="25" t="n">
        <f aca="false">H100*SUMIF($I$44:$I$48,D100,$G$44:$G$48)/1000000</f>
        <v>8.55530513867086</v>
      </c>
      <c r="K100" s="9" t="s">
        <v>1738</v>
      </c>
    </row>
    <row r="101" customFormat="false" ht="15" hidden="false" customHeight="false" outlineLevel="0" collapsed="false">
      <c r="A101" s="6" t="s">
        <v>1739</v>
      </c>
      <c r="B101" s="6" t="s">
        <v>1734</v>
      </c>
      <c r="C101" s="33" t="n">
        <v>1</v>
      </c>
      <c r="D101" s="6" t="s">
        <v>1557</v>
      </c>
      <c r="E101" s="74" t="n">
        <v>2</v>
      </c>
      <c r="F101" s="9" t="s">
        <v>1735</v>
      </c>
      <c r="G101" s="95" t="n">
        <v>40</v>
      </c>
      <c r="H101" s="75" t="n">
        <f aca="false">E101*G101</f>
        <v>80</v>
      </c>
      <c r="I101" s="28" t="s">
        <v>1630</v>
      </c>
      <c r="J101" s="25" t="n">
        <f aca="false">H101*SUMIF($I$44:$I$48,D101,$G$44:$G$48)/1000000</f>
        <v>3.95408094086866</v>
      </c>
      <c r="K101" s="9" t="s">
        <v>1740</v>
      </c>
    </row>
    <row r="102" customFormat="false" ht="15" hidden="false" customHeight="false" outlineLevel="0" collapsed="false">
      <c r="A102" s="6" t="s">
        <v>1741</v>
      </c>
      <c r="B102" s="6" t="s">
        <v>1734</v>
      </c>
      <c r="C102" s="33" t="n">
        <v>1</v>
      </c>
      <c r="D102" s="6" t="s">
        <v>1557</v>
      </c>
      <c r="E102" s="74" t="n">
        <v>1</v>
      </c>
      <c r="F102" s="9" t="s">
        <v>1742</v>
      </c>
      <c r="G102" s="95" t="n">
        <v>40</v>
      </c>
      <c r="H102" s="75" t="n">
        <f aca="false">E102*G102</f>
        <v>40</v>
      </c>
      <c r="I102" s="28" t="s">
        <v>1619</v>
      </c>
      <c r="J102" s="25" t="n">
        <f aca="false">H102*SUMIF($I$44:$I$48,D102,$G$44:$G$48)/1000000</f>
        <v>1.97704047043433</v>
      </c>
      <c r="K102" s="9" t="s">
        <v>1743</v>
      </c>
    </row>
    <row r="103" customFormat="false" ht="15" hidden="false" customHeight="false" outlineLevel="0" collapsed="false">
      <c r="A103" s="6" t="s">
        <v>1744</v>
      </c>
      <c r="B103" s="6" t="s">
        <v>1734</v>
      </c>
      <c r="C103" s="33" t="n">
        <v>1</v>
      </c>
      <c r="D103" s="6" t="s">
        <v>1562</v>
      </c>
      <c r="E103" s="74" t="n">
        <v>1</v>
      </c>
      <c r="F103" s="9" t="s">
        <v>1742</v>
      </c>
      <c r="G103" s="95" t="n">
        <v>40</v>
      </c>
      <c r="H103" s="75" t="n">
        <f aca="false">E103*G103</f>
        <v>40</v>
      </c>
      <c r="I103" s="28" t="s">
        <v>1014</v>
      </c>
      <c r="J103" s="25" t="n">
        <f aca="false">H103*SUMIF($I$44:$I$48,D103,$G$44:$G$48)/1000000</f>
        <v>2.13882628466771</v>
      </c>
      <c r="K103" s="9" t="s">
        <v>1745</v>
      </c>
    </row>
    <row r="104" customFormat="false" ht="15" hidden="false" customHeight="false" outlineLevel="0" collapsed="false">
      <c r="A104" s="6" t="s">
        <v>1746</v>
      </c>
      <c r="B104" s="6" t="s">
        <v>1734</v>
      </c>
      <c r="C104" s="33" t="n">
        <v>1</v>
      </c>
      <c r="D104" s="6" t="s">
        <v>1562</v>
      </c>
      <c r="E104" s="74" t="n">
        <v>1</v>
      </c>
      <c r="F104" s="9" t="s">
        <v>1666</v>
      </c>
      <c r="G104" s="95" t="n">
        <v>60</v>
      </c>
      <c r="H104" s="75" t="n">
        <f aca="false">E104*G104</f>
        <v>60</v>
      </c>
      <c r="I104" s="28" t="s">
        <v>1724</v>
      </c>
      <c r="J104" s="25" t="n">
        <f aca="false">H104*SUMIF($I$44:$I$48,D104,$G$44:$G$48)/1000000</f>
        <v>3.20823942700157</v>
      </c>
      <c r="K104" s="9" t="s">
        <v>1747</v>
      </c>
    </row>
    <row r="105" customFormat="false" ht="15" hidden="false" customHeight="false" outlineLevel="0" collapsed="false">
      <c r="A105" s="6" t="s">
        <v>1748</v>
      </c>
      <c r="B105" s="6" t="s">
        <v>1734</v>
      </c>
      <c r="C105" s="33" t="n">
        <v>1</v>
      </c>
      <c r="D105" s="6" t="s">
        <v>1562</v>
      </c>
      <c r="E105" s="74" t="n">
        <v>12</v>
      </c>
      <c r="F105" s="9" t="s">
        <v>1749</v>
      </c>
      <c r="G105" s="95" t="n">
        <v>8</v>
      </c>
      <c r="H105" s="75" t="n">
        <f aca="false">E105*G105</f>
        <v>96</v>
      </c>
      <c r="I105" s="28" t="s">
        <v>1093</v>
      </c>
      <c r="J105" s="25" t="n">
        <f aca="false">H105*SUMIF($I$44:$I$48,D105,$G$44:$G$48)/1000000</f>
        <v>5.13318308320251</v>
      </c>
      <c r="K105" s="9" t="s">
        <v>1750</v>
      </c>
    </row>
    <row r="106" customFormat="false" ht="15" hidden="false" customHeight="false" outlineLevel="0" collapsed="false">
      <c r="A106" s="6" t="s">
        <v>1751</v>
      </c>
      <c r="B106" s="6" t="s">
        <v>1734</v>
      </c>
      <c r="C106" s="33" t="n">
        <v>1</v>
      </c>
      <c r="D106" s="6" t="s">
        <v>1548</v>
      </c>
      <c r="E106" s="75" t="n">
        <f aca="false">SUMIFS($H$55:$H$125,$B$55:$B$125,"Otrosí 1",$D$55:$D$125,"&lt;&gt;Dirección")</f>
        <v>556</v>
      </c>
      <c r="F106" s="9" t="s">
        <v>1730</v>
      </c>
      <c r="G106" s="69" t="n">
        <v>0.1</v>
      </c>
      <c r="H106" s="75" t="n">
        <f aca="false">E106*G106</f>
        <v>55.6</v>
      </c>
      <c r="I106" s="28" t="s">
        <v>1731</v>
      </c>
      <c r="J106" s="25" t="n">
        <f aca="false">H106*SUMIF($I$44:$I$48,D106,$G$44:$G$48)/1000000</f>
        <v>4.03913107609001</v>
      </c>
      <c r="K106" s="9" t="s">
        <v>1752</v>
      </c>
    </row>
    <row r="107" customFormat="false" ht="15" hidden="false" customHeight="false" outlineLevel="0" collapsed="false">
      <c r="A107" s="6" t="s">
        <v>1753</v>
      </c>
      <c r="B107" s="6" t="s">
        <v>1754</v>
      </c>
      <c r="C107" s="33" t="n">
        <v>2</v>
      </c>
      <c r="D107" s="6" t="s">
        <v>1562</v>
      </c>
      <c r="E107" s="74" t="n">
        <v>1</v>
      </c>
      <c r="F107" s="9" t="s">
        <v>1666</v>
      </c>
      <c r="G107" s="95" t="n">
        <v>40</v>
      </c>
      <c r="H107" s="75" t="n">
        <f aca="false">E107*G107</f>
        <v>40</v>
      </c>
      <c r="I107" s="28" t="s">
        <v>1014</v>
      </c>
      <c r="J107" s="25" t="n">
        <f aca="false">H107*SUMIF($I$44:$I$48,D107,$G$44:$G$48)/1000000</f>
        <v>2.13882628466771</v>
      </c>
      <c r="K107" s="9" t="s">
        <v>1755</v>
      </c>
    </row>
    <row r="108" customFormat="false" ht="15" hidden="false" customHeight="false" outlineLevel="0" collapsed="false">
      <c r="A108" s="6" t="s">
        <v>1756</v>
      </c>
      <c r="B108" s="6" t="s">
        <v>1754</v>
      </c>
      <c r="C108" s="33" t="n">
        <v>2</v>
      </c>
      <c r="D108" s="6" t="s">
        <v>1562</v>
      </c>
      <c r="E108" s="74" t="n">
        <v>14</v>
      </c>
      <c r="F108" s="9" t="s">
        <v>1649</v>
      </c>
      <c r="G108" s="95" t="n">
        <v>2.6</v>
      </c>
      <c r="H108" s="75" t="n">
        <f aca="false">E108*G108</f>
        <v>36.4</v>
      </c>
      <c r="I108" s="28" t="s">
        <v>1048</v>
      </c>
      <c r="J108" s="25" t="n">
        <f aca="false">H108*SUMIF($I$44:$I$48,D108,$G$44:$G$48)/1000000</f>
        <v>1.94633191904762</v>
      </c>
      <c r="K108" s="9" t="s">
        <v>1757</v>
      </c>
    </row>
    <row r="109" customFormat="false" ht="15" hidden="false" customHeight="false" outlineLevel="0" collapsed="false">
      <c r="A109" s="6" t="s">
        <v>1758</v>
      </c>
      <c r="B109" s="6" t="s">
        <v>1754</v>
      </c>
      <c r="C109" s="33" t="n">
        <v>2</v>
      </c>
      <c r="D109" s="6" t="s">
        <v>1562</v>
      </c>
      <c r="E109" s="74" t="n">
        <v>38</v>
      </c>
      <c r="F109" s="9" t="s">
        <v>1649</v>
      </c>
      <c r="G109" s="95" t="n">
        <v>1.95</v>
      </c>
      <c r="H109" s="75" t="n">
        <f aca="false">E109*G109</f>
        <v>74.1</v>
      </c>
      <c r="I109" s="28" t="s">
        <v>1048</v>
      </c>
      <c r="J109" s="25" t="n">
        <f aca="false">H109*SUMIF($I$44:$I$48,D109,$G$44:$G$48)/1000000</f>
        <v>3.96217569234694</v>
      </c>
      <c r="K109" s="9" t="s">
        <v>1759</v>
      </c>
    </row>
    <row r="110" customFormat="false" ht="15" hidden="false" customHeight="false" outlineLevel="0" collapsed="false">
      <c r="A110" s="6" t="s">
        <v>1760</v>
      </c>
      <c r="B110" s="6" t="s">
        <v>1754</v>
      </c>
      <c r="C110" s="33" t="n">
        <v>2</v>
      </c>
      <c r="D110" s="6" t="s">
        <v>1562</v>
      </c>
      <c r="E110" s="74" t="n">
        <v>6</v>
      </c>
      <c r="F110" s="9" t="s">
        <v>1761</v>
      </c>
      <c r="G110" s="95" t="n">
        <v>12</v>
      </c>
      <c r="H110" s="75" t="n">
        <f aca="false">E110*G110</f>
        <v>72</v>
      </c>
      <c r="I110" s="28" t="s">
        <v>1048</v>
      </c>
      <c r="J110" s="25" t="n">
        <f aca="false">H110*SUMIF($I$44:$I$48,D110,$G$44:$G$48)/1000000</f>
        <v>3.84988731240188</v>
      </c>
      <c r="K110" s="9" t="s">
        <v>1762</v>
      </c>
    </row>
    <row r="111" customFormat="false" ht="15" hidden="false" customHeight="false" outlineLevel="0" collapsed="false">
      <c r="A111" s="6" t="s">
        <v>1763</v>
      </c>
      <c r="B111" s="6" t="s">
        <v>1754</v>
      </c>
      <c r="C111" s="33" t="n">
        <v>2</v>
      </c>
      <c r="D111" s="6" t="s">
        <v>1562</v>
      </c>
      <c r="E111" s="74" t="n">
        <v>1</v>
      </c>
      <c r="F111" s="9" t="s">
        <v>1764</v>
      </c>
      <c r="G111" s="95" t="n">
        <v>16</v>
      </c>
      <c r="H111" s="75" t="n">
        <f aca="false">E111*G111</f>
        <v>16</v>
      </c>
      <c r="I111" s="28" t="s">
        <v>1674</v>
      </c>
      <c r="J111" s="25" t="n">
        <f aca="false">H111*SUMIF($I$44:$I$48,D111,$G$44:$G$48)/1000000</f>
        <v>0.855530513867085</v>
      </c>
      <c r="K111" s="9" t="s">
        <v>1765</v>
      </c>
    </row>
    <row r="112" customFormat="false" ht="15" hidden="false" customHeight="false" outlineLevel="0" collapsed="false">
      <c r="A112" s="6" t="s">
        <v>1766</v>
      </c>
      <c r="B112" s="6" t="s">
        <v>1754</v>
      </c>
      <c r="C112" s="33" t="n">
        <v>2</v>
      </c>
      <c r="D112" s="6" t="s">
        <v>1562</v>
      </c>
      <c r="E112" s="74" t="n">
        <v>6</v>
      </c>
      <c r="F112" s="9" t="s">
        <v>1663</v>
      </c>
      <c r="G112" s="95" t="n">
        <v>6</v>
      </c>
      <c r="H112" s="75" t="n">
        <f aca="false">E112*G112</f>
        <v>36</v>
      </c>
      <c r="I112" s="28" t="s">
        <v>1093</v>
      </c>
      <c r="J112" s="25" t="n">
        <f aca="false">H112*SUMIF($I$44:$I$48,D112,$G$44:$G$48)/1000000</f>
        <v>1.92494365620094</v>
      </c>
      <c r="K112" s="9" t="s">
        <v>1767</v>
      </c>
    </row>
    <row r="113" customFormat="false" ht="15" hidden="false" customHeight="false" outlineLevel="0" collapsed="false">
      <c r="A113" s="6" t="s">
        <v>1768</v>
      </c>
      <c r="B113" s="6" t="s">
        <v>1754</v>
      </c>
      <c r="C113" s="33" t="n">
        <v>2</v>
      </c>
      <c r="D113" s="6" t="s">
        <v>1562</v>
      </c>
      <c r="E113" s="74" t="n">
        <v>1</v>
      </c>
      <c r="F113" s="9" t="s">
        <v>1666</v>
      </c>
      <c r="G113" s="95" t="n">
        <v>40</v>
      </c>
      <c r="H113" s="75" t="n">
        <f aca="false">E113*G113</f>
        <v>40</v>
      </c>
      <c r="I113" s="28" t="s">
        <v>1108</v>
      </c>
      <c r="J113" s="25" t="n">
        <f aca="false">H113*SUMIF($I$44:$I$48,D113,$G$44:$G$48)/1000000</f>
        <v>2.13882628466771</v>
      </c>
      <c r="K113" s="9" t="s">
        <v>1769</v>
      </c>
    </row>
    <row r="114" customFormat="false" ht="15" hidden="false" customHeight="false" outlineLevel="0" collapsed="false">
      <c r="A114" s="6" t="s">
        <v>1770</v>
      </c>
      <c r="B114" s="6" t="s">
        <v>1754</v>
      </c>
      <c r="C114" s="33" t="n">
        <v>2</v>
      </c>
      <c r="D114" s="6" t="s">
        <v>1562</v>
      </c>
      <c r="E114" s="75" t="n">
        <f aca="false">H108+H109+H110+H111+H112+H113</f>
        <v>274.5</v>
      </c>
      <c r="F114" s="9" t="s">
        <v>1696</v>
      </c>
      <c r="G114" s="69" t="n">
        <v>0.15</v>
      </c>
      <c r="H114" s="75" t="n">
        <f aca="false">E114*G114</f>
        <v>41.175</v>
      </c>
      <c r="I114" s="28" t="s">
        <v>1048</v>
      </c>
      <c r="J114" s="25" t="n">
        <f aca="false">H114*SUMIF($I$44:$I$48,D114,$G$44:$G$48)/1000000</f>
        <v>2.20165430677983</v>
      </c>
      <c r="K114" s="9" t="s">
        <v>1771</v>
      </c>
    </row>
    <row r="115" customFormat="false" ht="15" hidden="false" customHeight="false" outlineLevel="0" collapsed="false">
      <c r="A115" s="6" t="s">
        <v>1772</v>
      </c>
      <c r="B115" s="6" t="s">
        <v>1754</v>
      </c>
      <c r="C115" s="33" t="n">
        <v>2</v>
      </c>
      <c r="D115" s="6" t="s">
        <v>1571</v>
      </c>
      <c r="E115" s="74" t="n">
        <v>1</v>
      </c>
      <c r="F115" s="9" t="s">
        <v>1625</v>
      </c>
      <c r="G115" s="95" t="n">
        <v>80</v>
      </c>
      <c r="H115" s="75" t="n">
        <f aca="false">E115*G115</f>
        <v>80</v>
      </c>
      <c r="I115" s="28" t="s">
        <v>1703</v>
      </c>
      <c r="J115" s="25" t="n">
        <f aca="false">H115*SUMIF($I$44:$I$48,D115,$G$44:$G$48)/1000000</f>
        <v>5.8344020722135</v>
      </c>
      <c r="K115" s="9" t="s">
        <v>1773</v>
      </c>
    </row>
    <row r="116" customFormat="false" ht="15" hidden="false" customHeight="false" outlineLevel="0" collapsed="false">
      <c r="A116" s="6" t="s">
        <v>1737</v>
      </c>
      <c r="B116" s="6" t="s">
        <v>1754</v>
      </c>
      <c r="C116" s="33" t="n">
        <v>2</v>
      </c>
      <c r="D116" s="6" t="s">
        <v>1562</v>
      </c>
      <c r="E116" s="74" t="n">
        <v>3</v>
      </c>
      <c r="F116" s="9" t="s">
        <v>1735</v>
      </c>
      <c r="G116" s="95" t="n">
        <v>40</v>
      </c>
      <c r="H116" s="75" t="n">
        <f aca="false">E116*G116</f>
        <v>120</v>
      </c>
      <c r="I116" s="28" t="s">
        <v>1048</v>
      </c>
      <c r="J116" s="25" t="n">
        <f aca="false">H116*SUMIF($I$44:$I$48,D116,$G$44:$G$48)/1000000</f>
        <v>6.41647885400314</v>
      </c>
      <c r="K116" s="9" t="s">
        <v>1774</v>
      </c>
    </row>
    <row r="117" customFormat="false" ht="15" hidden="false" customHeight="false" outlineLevel="0" collapsed="false">
      <c r="A117" s="6" t="s">
        <v>1739</v>
      </c>
      <c r="B117" s="6" t="s">
        <v>1754</v>
      </c>
      <c r="C117" s="33" t="n">
        <v>2</v>
      </c>
      <c r="D117" s="6" t="s">
        <v>1557</v>
      </c>
      <c r="E117" s="74" t="n">
        <v>1</v>
      </c>
      <c r="F117" s="9" t="s">
        <v>1735</v>
      </c>
      <c r="G117" s="95" t="n">
        <v>40</v>
      </c>
      <c r="H117" s="75" t="n">
        <f aca="false">E117*G117</f>
        <v>40</v>
      </c>
      <c r="I117" s="28" t="s">
        <v>1630</v>
      </c>
      <c r="J117" s="25" t="n">
        <f aca="false">H117*SUMIF($I$44:$I$48,D117,$G$44:$G$48)/1000000</f>
        <v>1.97704047043433</v>
      </c>
      <c r="K117" s="9" t="s">
        <v>1775</v>
      </c>
    </row>
    <row r="118" customFormat="false" ht="15" hidden="false" customHeight="false" outlineLevel="0" collapsed="false">
      <c r="A118" s="6" t="s">
        <v>1776</v>
      </c>
      <c r="B118" s="6" t="s">
        <v>1754</v>
      </c>
      <c r="C118" s="33" t="n">
        <v>2</v>
      </c>
      <c r="D118" s="6" t="s">
        <v>1557</v>
      </c>
      <c r="E118" s="74" t="n">
        <v>1</v>
      </c>
      <c r="F118" s="9" t="s">
        <v>1666</v>
      </c>
      <c r="G118" s="95" t="n">
        <v>80</v>
      </c>
      <c r="H118" s="75" t="n">
        <f aca="false">E118*G118</f>
        <v>80</v>
      </c>
      <c r="I118" s="28" t="s">
        <v>1630</v>
      </c>
      <c r="J118" s="25" t="n">
        <f aca="false">H118*SUMIF($I$44:$I$48,D118,$G$44:$G$48)/1000000</f>
        <v>3.95408094086866</v>
      </c>
      <c r="K118" s="9" t="s">
        <v>1777</v>
      </c>
    </row>
    <row r="119" customFormat="false" ht="15" hidden="false" customHeight="false" outlineLevel="0" collapsed="false">
      <c r="A119" s="6" t="s">
        <v>1778</v>
      </c>
      <c r="B119" s="6" t="s">
        <v>1754</v>
      </c>
      <c r="C119" s="33" t="n">
        <v>2</v>
      </c>
      <c r="D119" s="6" t="s">
        <v>1557</v>
      </c>
      <c r="E119" s="74" t="n">
        <v>1</v>
      </c>
      <c r="F119" s="9" t="s">
        <v>1742</v>
      </c>
      <c r="G119" s="95" t="n">
        <v>32</v>
      </c>
      <c r="H119" s="75" t="n">
        <f aca="false">E119*G119</f>
        <v>32</v>
      </c>
      <c r="I119" s="28" t="s">
        <v>1619</v>
      </c>
      <c r="J119" s="25" t="n">
        <f aca="false">H119*SUMIF($I$44:$I$48,D119,$G$44:$G$48)/1000000</f>
        <v>1.58163237634746</v>
      </c>
      <c r="K119" s="9" t="s">
        <v>1779</v>
      </c>
    </row>
    <row r="120" customFormat="false" ht="15" hidden="false" customHeight="false" outlineLevel="0" collapsed="false">
      <c r="A120" s="6" t="s">
        <v>1780</v>
      </c>
      <c r="B120" s="6" t="s">
        <v>1754</v>
      </c>
      <c r="C120" s="33" t="n">
        <v>2</v>
      </c>
      <c r="D120" s="6" t="s">
        <v>1557</v>
      </c>
      <c r="E120" s="74" t="n">
        <v>1</v>
      </c>
      <c r="F120" s="9" t="s">
        <v>1742</v>
      </c>
      <c r="G120" s="95" t="n">
        <v>40</v>
      </c>
      <c r="H120" s="75" t="n">
        <f aca="false">E120*G120</f>
        <v>40</v>
      </c>
      <c r="I120" s="28" t="s">
        <v>1619</v>
      </c>
      <c r="J120" s="25" t="n">
        <f aca="false">H120*SUMIF($I$44:$I$48,D120,$G$44:$G$48)/1000000</f>
        <v>1.97704047043433</v>
      </c>
      <c r="K120" s="9" t="s">
        <v>1781</v>
      </c>
    </row>
    <row r="121" customFormat="false" ht="15" hidden="false" customHeight="false" outlineLevel="0" collapsed="false">
      <c r="A121" s="6" t="s">
        <v>1782</v>
      </c>
      <c r="B121" s="6" t="s">
        <v>1754</v>
      </c>
      <c r="C121" s="33" t="n">
        <v>2</v>
      </c>
      <c r="D121" s="6" t="s">
        <v>1562</v>
      </c>
      <c r="E121" s="74" t="n">
        <v>1</v>
      </c>
      <c r="F121" s="9" t="s">
        <v>1666</v>
      </c>
      <c r="G121" s="95" t="n">
        <v>40</v>
      </c>
      <c r="H121" s="75" t="n">
        <f aca="false">E121*G121</f>
        <v>40</v>
      </c>
      <c r="I121" s="28" t="s">
        <v>1724</v>
      </c>
      <c r="J121" s="25" t="n">
        <f aca="false">H121*SUMIF($I$44:$I$48,D121,$G$44:$G$48)/1000000</f>
        <v>2.13882628466771</v>
      </c>
      <c r="K121" s="9" t="s">
        <v>1783</v>
      </c>
    </row>
    <row r="122" customFormat="false" ht="15" hidden="false" customHeight="false" outlineLevel="0" collapsed="false">
      <c r="A122" s="6" t="s">
        <v>1784</v>
      </c>
      <c r="B122" s="6" t="s">
        <v>1754</v>
      </c>
      <c r="C122" s="33" t="n">
        <v>2</v>
      </c>
      <c r="D122" s="6" t="s">
        <v>1562</v>
      </c>
      <c r="E122" s="74" t="n">
        <v>8</v>
      </c>
      <c r="F122" s="9" t="s">
        <v>1749</v>
      </c>
      <c r="G122" s="95" t="n">
        <v>8</v>
      </c>
      <c r="H122" s="75" t="n">
        <f aca="false">E122*G122</f>
        <v>64</v>
      </c>
      <c r="I122" s="28" t="s">
        <v>1093</v>
      </c>
      <c r="J122" s="25" t="n">
        <f aca="false">H122*SUMIF($I$44:$I$48,D122,$G$44:$G$48)/1000000</f>
        <v>3.42212205546834</v>
      </c>
      <c r="K122" s="9" t="s">
        <v>1785</v>
      </c>
    </row>
    <row r="123" customFormat="false" ht="15" hidden="false" customHeight="false" outlineLevel="0" collapsed="false">
      <c r="A123" s="6" t="s">
        <v>1786</v>
      </c>
      <c r="B123" s="6" t="s">
        <v>1754</v>
      </c>
      <c r="C123" s="33" t="n">
        <v>2</v>
      </c>
      <c r="D123" s="6" t="s">
        <v>1579</v>
      </c>
      <c r="E123" s="74" t="n">
        <v>1</v>
      </c>
      <c r="F123" s="9" t="s">
        <v>1708</v>
      </c>
      <c r="G123" s="95" t="n">
        <v>40</v>
      </c>
      <c r="H123" s="75" t="n">
        <f aca="false">E123*G123</f>
        <v>40</v>
      </c>
      <c r="I123" s="28" t="s">
        <v>1626</v>
      </c>
      <c r="J123" s="25" t="n">
        <f aca="false">H123*SUMIF($I$44:$I$48,D123,$G$44:$G$48)/1000000</f>
        <v>1.87475953950811</v>
      </c>
      <c r="K123" s="9" t="s">
        <v>1787</v>
      </c>
    </row>
    <row r="124" customFormat="false" ht="15" hidden="false" customHeight="false" outlineLevel="0" collapsed="false">
      <c r="A124" s="6" t="s">
        <v>1788</v>
      </c>
      <c r="B124" s="6" t="s">
        <v>1754</v>
      </c>
      <c r="C124" s="33" t="n">
        <v>2</v>
      </c>
      <c r="D124" s="6" t="s">
        <v>1548</v>
      </c>
      <c r="E124" s="74" t="n">
        <v>1</v>
      </c>
      <c r="F124" s="9" t="s">
        <v>1789</v>
      </c>
      <c r="G124" s="95" t="n">
        <v>24</v>
      </c>
      <c r="H124" s="75" t="n">
        <f aca="false">E124*G124</f>
        <v>24</v>
      </c>
      <c r="I124" s="28" t="s">
        <v>1731</v>
      </c>
      <c r="J124" s="25" t="n">
        <f aca="false">H124*SUMIF($I$44:$I$48,D124,$G$44:$G$48)/1000000</f>
        <v>1.74350981701727</v>
      </c>
      <c r="K124" s="9" t="s">
        <v>1790</v>
      </c>
    </row>
    <row r="125" customFormat="false" ht="15" hidden="false" customHeight="false" outlineLevel="0" collapsed="false">
      <c r="A125" s="6" t="s">
        <v>1791</v>
      </c>
      <c r="B125" s="6" t="s">
        <v>1754</v>
      </c>
      <c r="C125" s="33" t="n">
        <v>2</v>
      </c>
      <c r="D125" s="6" t="s">
        <v>1548</v>
      </c>
      <c r="E125" s="75" t="n">
        <f aca="false">SUMIFS($H$55:$H$125,$B$55:$B$125,"Otrosí 2",$D$55:$D$125,"&lt;&gt;Dirección")</f>
        <v>891.675</v>
      </c>
      <c r="F125" s="9" t="s">
        <v>1730</v>
      </c>
      <c r="G125" s="69" t="n">
        <v>0.1</v>
      </c>
      <c r="H125" s="75" t="n">
        <f aca="false">E125*G125</f>
        <v>89.1675</v>
      </c>
      <c r="I125" s="28" t="s">
        <v>1731</v>
      </c>
      <c r="J125" s="25" t="n">
        <f aca="false">H125*SUMIF($I$44:$I$48,D125,$G$44:$G$48)/1000000</f>
        <v>6.47768381703697</v>
      </c>
      <c r="K125" s="9" t="s">
        <v>1792</v>
      </c>
    </row>
    <row r="127" customFormat="false" ht="15" hidden="false" customHeight="false" outlineLevel="0" collapsed="false">
      <c r="A127" s="3" t="s">
        <v>1793</v>
      </c>
      <c r="B127" s="4"/>
      <c r="C127" s="4"/>
      <c r="D127" s="4"/>
      <c r="E127" s="4"/>
      <c r="F127" s="4"/>
      <c r="G127" s="4"/>
      <c r="H127" s="4"/>
      <c r="I127" s="4"/>
      <c r="J127" s="4"/>
    </row>
    <row r="128" customFormat="false" ht="43.5" hidden="false" customHeight="true" outlineLevel="0" collapsed="false">
      <c r="A128" s="23" t="s">
        <v>1541</v>
      </c>
      <c r="B128" s="24" t="s">
        <v>1794</v>
      </c>
      <c r="C128" s="24" t="s">
        <v>1795</v>
      </c>
      <c r="D128" s="24" t="s">
        <v>1796</v>
      </c>
      <c r="E128" s="24" t="s">
        <v>1797</v>
      </c>
      <c r="F128" s="24" t="s">
        <v>1798</v>
      </c>
      <c r="G128" s="24" t="s">
        <v>1799</v>
      </c>
      <c r="H128" s="24" t="s">
        <v>88</v>
      </c>
      <c r="I128" s="24" t="s">
        <v>1800</v>
      </c>
      <c r="J128" s="24" t="s">
        <v>1801</v>
      </c>
    </row>
    <row r="129" customFormat="false" ht="15" hidden="false" customHeight="false" outlineLevel="0" collapsed="false">
      <c r="A129" s="6" t="s">
        <v>1802</v>
      </c>
      <c r="B129" s="75" t="n">
        <f aca="false">SUMIFS($H$55:$H$125,$B$55:$B$125,"Contrato principal",$C$55:$C$125,0,$D$55:$D$125,"Dirección")</f>
        <v>60</v>
      </c>
      <c r="C129" s="75" t="n">
        <f aca="false">SUMIFS($H$55:$H$125,$B$55:$B$125,"Contrato principal",$C$55:$C$125,1,$D$55:$D$125,"Dirección")</f>
        <v>260.05375</v>
      </c>
      <c r="D129" s="75" t="n">
        <f aca="false">SUMIFS($H$55:$H$125,$B$55:$B$125,"Contrato principal",$C$55:$C$125,2,$D$55:$D$125,"Dirección")</f>
        <v>0</v>
      </c>
      <c r="E129" s="75" t="n">
        <f aca="false">SUMIFS($H$55:$H$125,$B$55:$B$125,"Contrato principal",$C$55:$C$125,3,$D$55:$D$125,"Dirección")</f>
        <v>0</v>
      </c>
      <c r="F129" s="75" t="n">
        <f aca="false">SUMIFS($H$55:$H$125,$B$55:$B$125,"Otrosí 1",$C$55:$C$125,1,$D$55:$D$125,"Dirección")</f>
        <v>55.6</v>
      </c>
      <c r="G129" s="75" t="n">
        <f aca="false">SUMIFS($H$55:$H$125,$B$55:$B$125,"Otrosí 2",$C$55:$C$125,2,$D$55:$D$125,"Dirección")</f>
        <v>113.1675</v>
      </c>
      <c r="H129" s="94" t="n">
        <f aca="false">SUM(B129:G129)</f>
        <v>488.82125</v>
      </c>
      <c r="I129" s="73" t="n">
        <v>1</v>
      </c>
      <c r="J129" s="34" t="n">
        <f aca="false">SUM(B129:E129)/(I129*16*42)</f>
        <v>0.476270461309524</v>
      </c>
    </row>
    <row r="130" customFormat="false" ht="15" hidden="false" customHeight="false" outlineLevel="0" collapsed="false">
      <c r="A130" s="6" t="s">
        <v>1803</v>
      </c>
      <c r="B130" s="75" t="n">
        <f aca="false">SUMIFS($H$55:$H$125,$B$55:$B$125,"Contrato principal",$C$55:$C$125,0,$D$55:$D$125,"Procesos")</f>
        <v>320</v>
      </c>
      <c r="C130" s="75" t="n">
        <f aca="false">SUMIFS($H$55:$H$125,$B$55:$B$125,"Contrato principal",$C$55:$C$125,1,$D$55:$D$125,"Procesos")</f>
        <v>144</v>
      </c>
      <c r="D130" s="75" t="n">
        <f aca="false">SUMIFS($H$55:$H$125,$B$55:$B$125,"Contrato principal",$C$55:$C$125,2,$D$55:$D$125,"Procesos")</f>
        <v>24</v>
      </c>
      <c r="E130" s="75" t="n">
        <f aca="false">SUMIFS($H$55:$H$125,$B$55:$B$125,"Contrato principal",$C$55:$C$125,3,$D$55:$D$125,"Procesos")</f>
        <v>0</v>
      </c>
      <c r="F130" s="75" t="n">
        <f aca="false">SUMIFS($H$55:$H$125,$B$55:$B$125,"Otrosí 1",$C$55:$C$125,1,$D$55:$D$125,"Procesos")</f>
        <v>120</v>
      </c>
      <c r="G130" s="75" t="n">
        <f aca="false">SUMIFS($H$55:$H$125,$B$55:$B$125,"Otrosí 2",$C$55:$C$125,2,$D$55:$D$125,"Procesos")</f>
        <v>192</v>
      </c>
      <c r="H130" s="94" t="n">
        <f aca="false">SUM(B130:G130)</f>
        <v>800</v>
      </c>
      <c r="I130" s="73" t="n">
        <v>1</v>
      </c>
      <c r="J130" s="34" t="n">
        <f aca="false">SUM(B130:E130)/(I130*16*42)</f>
        <v>0.726190476190476</v>
      </c>
    </row>
    <row r="131" customFormat="false" ht="15" hidden="false" customHeight="false" outlineLevel="0" collapsed="false">
      <c r="A131" s="6" t="s">
        <v>1804</v>
      </c>
      <c r="B131" s="75" t="n">
        <f aca="false">SUMIFS($H$55:$H$125,$B$55:$B$125,"Contrato principal",$C$55:$C$125,0,$D$55:$D$125,"Automatización")</f>
        <v>0</v>
      </c>
      <c r="C131" s="75" t="n">
        <f aca="false">SUMIFS($H$55:$H$125,$B$55:$B$125,"Contrato principal",$C$55:$C$125,1,$D$55:$D$125,"Automatización")</f>
        <v>1116.5375</v>
      </c>
      <c r="D131" s="75" t="n">
        <f aca="false">SUMIFS($H$55:$H$125,$B$55:$B$125,"Contrato principal",$C$55:$C$125,2,$D$55:$D$125,"Automatización")</f>
        <v>60</v>
      </c>
      <c r="E131" s="75" t="n">
        <f aca="false">SUMIFS($H$55:$H$125,$B$55:$B$125,"Contrato principal",$C$55:$C$125,3,$D$55:$D$125,"Automatización")</f>
        <v>16</v>
      </c>
      <c r="F131" s="75" t="n">
        <f aca="false">SUMIFS($H$55:$H$125,$B$55:$B$125,"Otrosí 1",$C$55:$C$125,1,$D$55:$D$125,"Automatización")</f>
        <v>436</v>
      </c>
      <c r="G131" s="75" t="n">
        <f aca="false">SUMIFS($H$55:$H$125,$B$55:$B$125,"Otrosí 2",$C$55:$C$125,2,$D$55:$D$125,"Automatización")</f>
        <v>579.675</v>
      </c>
      <c r="H131" s="94" t="n">
        <f aca="false">SUM(B131:G131)</f>
        <v>2208.2125</v>
      </c>
      <c r="I131" s="73" t="n">
        <v>2</v>
      </c>
      <c r="J131" s="34" t="n">
        <f aca="false">SUM(B131:E131)/(I131*16*42)</f>
        <v>0.8873046875</v>
      </c>
    </row>
    <row r="132" customFormat="false" ht="15" hidden="false" customHeight="false" outlineLevel="0" collapsed="false">
      <c r="A132" s="6" t="s">
        <v>1805</v>
      </c>
      <c r="B132" s="75" t="n">
        <f aca="false">SUMIFS($H$55:$H$125,$B$55:$B$125,"Contrato principal",$C$55:$C$125,0,$D$55:$D$125,"Robótica y simulación")</f>
        <v>0</v>
      </c>
      <c r="C132" s="75" t="n">
        <f aca="false">SUMIFS($H$55:$H$125,$B$55:$B$125,"Contrato principal",$C$55:$C$125,1,$D$55:$D$125,"Robótica y simulación")</f>
        <v>240</v>
      </c>
      <c r="D132" s="75" t="n">
        <f aca="false">SUMIFS($H$55:$H$125,$B$55:$B$125,"Contrato principal",$C$55:$C$125,2,$D$55:$D$125,"Robótica y simulación")</f>
        <v>24</v>
      </c>
      <c r="E132" s="75" t="n">
        <f aca="false">SUMIFS($H$55:$H$125,$B$55:$B$125,"Contrato principal",$C$55:$C$125,3,$D$55:$D$125,"Robótica y simulación")</f>
        <v>120</v>
      </c>
      <c r="F132" s="75" t="n">
        <f aca="false">SUMIFS($H$55:$H$125,$B$55:$B$125,"Otrosí 1",$C$55:$C$125,1,$D$55:$D$125,"Robótica y simulación")</f>
        <v>0</v>
      </c>
      <c r="G132" s="75" t="n">
        <f aca="false">SUMIFS($H$55:$H$125,$B$55:$B$125,"Otrosí 2",$C$55:$C$125,2,$D$55:$D$125,"Robótica y simulación")</f>
        <v>80</v>
      </c>
      <c r="H132" s="94" t="n">
        <f aca="false">SUM(B132:G132)</f>
        <v>464</v>
      </c>
      <c r="I132" s="73" t="n">
        <v>1</v>
      </c>
      <c r="J132" s="34" t="n">
        <f aca="false">SUM(B132:E132)/(I132*16*42)</f>
        <v>0.571428571428571</v>
      </c>
    </row>
    <row r="133" customFormat="false" ht="15" hidden="false" customHeight="false" outlineLevel="0" collapsed="false">
      <c r="A133" s="6" t="s">
        <v>1806</v>
      </c>
      <c r="B133" s="75" t="n">
        <f aca="false">SUMIFS($H$55:$H$125,$B$55:$B$125,"Contrato principal",$C$55:$C$125,0,$D$55:$D$125,"Gestión y finanzas")</f>
        <v>80</v>
      </c>
      <c r="C133" s="75" t="n">
        <f aca="false">SUMIFS($H$55:$H$125,$B$55:$B$125,"Contrato principal",$C$55:$C$125,1,$D$55:$D$125,"Gestión y finanzas")</f>
        <v>216</v>
      </c>
      <c r="D133" s="75" t="n">
        <f aca="false">SUMIFS($H$55:$H$125,$B$55:$B$125,"Contrato principal",$C$55:$C$125,2,$D$55:$D$125,"Gestión y finanzas")</f>
        <v>0</v>
      </c>
      <c r="E133" s="75" t="n">
        <f aca="false">SUMIFS($H$55:$H$125,$B$55:$B$125,"Contrato principal",$C$55:$C$125,3,$D$55:$D$125,"Gestión y finanzas")</f>
        <v>0</v>
      </c>
      <c r="F133" s="75" t="n">
        <f aca="false">SUMIFS($H$55:$H$125,$B$55:$B$125,"Otrosí 1",$C$55:$C$125,1,$D$55:$D$125,"Gestión y finanzas")</f>
        <v>0</v>
      </c>
      <c r="G133" s="75" t="n">
        <f aca="false">SUMIFS($H$55:$H$125,$B$55:$B$125,"Otrosí 2",$C$55:$C$125,2,$D$55:$D$125,"Gestión y finanzas")</f>
        <v>40</v>
      </c>
      <c r="H133" s="94" t="n">
        <f aca="false">SUM(B133:G133)</f>
        <v>336</v>
      </c>
      <c r="I133" s="73" t="n">
        <v>1</v>
      </c>
      <c r="J133" s="34" t="n">
        <f aca="false">SUM(B133:E133)/(I133*16*42)</f>
        <v>0.44047619047619</v>
      </c>
    </row>
    <row r="134" customFormat="false" ht="15" hidden="false" customHeight="false" outlineLevel="0" collapsed="false">
      <c r="A134" s="5" t="s">
        <v>1807</v>
      </c>
      <c r="B134" s="94" t="n">
        <f aca="false">SUM(B129:B133)</f>
        <v>460</v>
      </c>
      <c r="C134" s="94" t="n">
        <f aca="false">SUM(C129:C133)</f>
        <v>1976.59125</v>
      </c>
      <c r="D134" s="94" t="n">
        <f aca="false">SUM(D129:D133)</f>
        <v>108</v>
      </c>
      <c r="E134" s="94" t="n">
        <f aca="false">SUM(E129:E133)</f>
        <v>136</v>
      </c>
      <c r="F134" s="94" t="n">
        <f aca="false">SUM(F129:F133)</f>
        <v>611.6</v>
      </c>
      <c r="G134" s="94" t="n">
        <f aca="false">SUM(G129:G133)</f>
        <v>1004.8425</v>
      </c>
      <c r="H134" s="94" t="n">
        <f aca="false">SUM(H129:H133)</f>
        <v>4297.03375</v>
      </c>
      <c r="J134" s="8" t="n">
        <f aca="false">SUM(B134:E134)/(6*16*42)</f>
        <v>0.66482917906746</v>
      </c>
    </row>
    <row r="135" customFormat="false" ht="27.75" hidden="false" customHeight="true" outlineLevel="0" collapsed="false">
      <c r="A135" s="32" t="s">
        <v>1808</v>
      </c>
      <c r="B135" s="32"/>
      <c r="C135" s="32"/>
      <c r="D135" s="32"/>
      <c r="E135" s="32"/>
      <c r="F135" s="32"/>
      <c r="G135" s="32"/>
      <c r="H135" s="32"/>
      <c r="I135" s="32"/>
      <c r="J135" s="32"/>
      <c r="K135" s="32"/>
    </row>
    <row r="137" customFormat="false" ht="15" hidden="false" customHeight="false" outlineLevel="0" collapsed="false">
      <c r="A137" s="3" t="s">
        <v>1809</v>
      </c>
      <c r="B137" s="4"/>
      <c r="C137" s="4"/>
      <c r="D137" s="4"/>
      <c r="E137" s="4"/>
      <c r="F137" s="4"/>
      <c r="G137" s="4"/>
      <c r="H137" s="4"/>
      <c r="I137" s="4"/>
      <c r="J137" s="4"/>
    </row>
    <row r="138" customFormat="false" ht="43.5" hidden="false" customHeight="true" outlineLevel="0" collapsed="false">
      <c r="A138" s="23" t="s">
        <v>919</v>
      </c>
      <c r="B138" s="24" t="s">
        <v>1794</v>
      </c>
      <c r="C138" s="24" t="s">
        <v>1795</v>
      </c>
      <c r="D138" s="24" t="s">
        <v>1796</v>
      </c>
      <c r="E138" s="24" t="s">
        <v>1797</v>
      </c>
      <c r="F138" s="24" t="s">
        <v>1798</v>
      </c>
      <c r="G138" s="24" t="s">
        <v>1799</v>
      </c>
      <c r="H138" s="24" t="s">
        <v>1607</v>
      </c>
      <c r="I138" s="24" t="s">
        <v>88</v>
      </c>
      <c r="J138" s="24" t="s">
        <v>1810</v>
      </c>
    </row>
    <row r="139" customFormat="false" ht="15" hidden="false" customHeight="false" outlineLevel="0" collapsed="false">
      <c r="A139" s="6" t="s">
        <v>1807</v>
      </c>
      <c r="B139" s="75" t="n">
        <f aca="false">B134</f>
        <v>460</v>
      </c>
      <c r="C139" s="75" t="n">
        <f aca="false">C134</f>
        <v>1976.59125</v>
      </c>
      <c r="D139" s="75" t="n">
        <f aca="false">D134</f>
        <v>108</v>
      </c>
      <c r="E139" s="75" t="n">
        <f aca="false">E134</f>
        <v>136</v>
      </c>
      <c r="F139" s="75" t="n">
        <f aca="false">F134</f>
        <v>611.6</v>
      </c>
      <c r="G139" s="75" t="n">
        <f aca="false">G134</f>
        <v>1004.8425</v>
      </c>
      <c r="H139" s="94" t="n">
        <f aca="false">SUM(B139:E139)</f>
        <v>2680.59125</v>
      </c>
      <c r="I139" s="75" t="n">
        <f aca="false">SUM(B139:G139)</f>
        <v>4297.03375</v>
      </c>
    </row>
    <row r="140" customFormat="false" ht="15" hidden="false" customHeight="false" outlineLevel="0" collapsed="false">
      <c r="A140" s="6" t="s">
        <v>1811</v>
      </c>
      <c r="B140" s="25" t="n">
        <f aca="false">(B129*$E$44+B130*$E$45+B131*$E$46+B132*$E$47+B133*$E$48)/1000000</f>
        <v>22.7725398</v>
      </c>
      <c r="C140" s="25" t="n">
        <f aca="false">(C129*$E$44+C130*$E$45+C131*$E$46+C132*$E$47+C133*$E$48)/1000000</f>
        <v>97.9092659930947</v>
      </c>
      <c r="D140" s="25" t="n">
        <f aca="false">(D129*$E$44+D130*$E$45+D131*$E$46+D132*$E$47+D133*$E$48)/1000000</f>
        <v>4.98719314285714</v>
      </c>
      <c r="E140" s="25" t="n">
        <f aca="false">(E129*$E$44+E130*$E$45+E131*$E$46+E132*$E$47+E133*$E$48)/1000000</f>
        <v>6.28016914285714</v>
      </c>
      <c r="F140" s="25" t="n">
        <f aca="false">(F129*$E$44+F130*$E$45+F131*$E$46+F132*$E$47+F133*$E$48)/1000000</f>
        <v>29.6608232622857</v>
      </c>
      <c r="G140" s="25" t="n">
        <f aca="false">(G129*$E$44+G130*$E$45+G131*$E$46+G132*$E$47+G133*$E$48)/1000000</f>
        <v>49.2885934731321</v>
      </c>
      <c r="H140" s="30" t="n">
        <f aca="false">SUM(B140:E140)</f>
        <v>131.949168078809</v>
      </c>
      <c r="I140" s="25" t="n">
        <f aca="false">SUM(B140:G140)</f>
        <v>210.898584814227</v>
      </c>
      <c r="J140" s="9" t="s">
        <v>1812</v>
      </c>
    </row>
    <row r="141" customFormat="false" ht="15" hidden="false" customHeight="false" outlineLevel="0" collapsed="false">
      <c r="A141" s="6" t="s">
        <v>1813</v>
      </c>
      <c r="B141" s="25" t="n">
        <f aca="false">(B129*$F$44+B130*$F$45+B131*$F$46+B132*$F$47+B133*$F$48)/1000000</f>
        <v>1.15207758503401</v>
      </c>
      <c r="C141" s="25" t="n">
        <f aca="false">(C129*$F$44+C130*$F$45+C131*$F$46+C132*$F$47+C133*$F$48)/1000000</f>
        <v>15.4289090040974</v>
      </c>
      <c r="D141" s="25" t="n">
        <f aca="false">(D129*$F$44+D130*$F$45+D131*$F$46+D132*$F$47+D133*$F$48)/1000000</f>
        <v>1.15759118806907</v>
      </c>
      <c r="E141" s="25" t="n">
        <f aca="false">(E129*$F$44+E130*$F$45+E131*$F$46+E132*$F$47+E133*$F$48)/1000000</f>
        <v>3.32696447933019</v>
      </c>
      <c r="F141" s="25" t="n">
        <f aca="false">(F129*$F$44+F130*$F$45+F131*$F$46+F132*$F$47+F133*$F$48)/1000000</f>
        <v>3.62263572798535</v>
      </c>
      <c r="G141" s="25" t="n">
        <f aca="false">(G129*$F$44+G130*$F$45+G131*$F$46+G132*$F$47+G133*$F$48)/1000000</f>
        <v>7.1271591948474</v>
      </c>
      <c r="H141" s="30" t="n">
        <f aca="false">SUM(B141:E141)</f>
        <v>21.0655422565307</v>
      </c>
      <c r="I141" s="25" t="n">
        <f aca="false">SUM(B141:G141)</f>
        <v>31.8153371793635</v>
      </c>
      <c r="J141" s="9" t="s">
        <v>1814</v>
      </c>
    </row>
    <row r="142" customFormat="false" ht="15" hidden="false" customHeight="false" outlineLevel="0" collapsed="false">
      <c r="A142" s="6" t="s">
        <v>1815</v>
      </c>
      <c r="B142" s="74" t="n">
        <v>8</v>
      </c>
      <c r="C142" s="74" t="n">
        <v>10</v>
      </c>
      <c r="D142" s="74" t="n">
        <v>2</v>
      </c>
      <c r="E142" s="74" t="n">
        <v>2</v>
      </c>
      <c r="F142" s="74" t="n">
        <v>30</v>
      </c>
      <c r="G142" s="74" t="n">
        <v>16</v>
      </c>
      <c r="H142" s="94" t="n">
        <f aca="false">SUM(B142:E142)</f>
        <v>22</v>
      </c>
      <c r="I142" s="75" t="n">
        <f aca="false">SUM(B142:G142)</f>
        <v>68</v>
      </c>
      <c r="J142" s="9" t="s">
        <v>1816</v>
      </c>
    </row>
    <row r="143" customFormat="false" ht="15" hidden="false" customHeight="false" outlineLevel="0" collapsed="false">
      <c r="A143" s="6" t="s">
        <v>1817</v>
      </c>
      <c r="B143" s="25" t="n">
        <f aca="false">B142*$B$19</f>
        <v>2.8</v>
      </c>
      <c r="C143" s="25" t="n">
        <f aca="false">C142*$B$19</f>
        <v>3.5</v>
      </c>
      <c r="D143" s="25" t="n">
        <f aca="false">D142*$B$19</f>
        <v>0.7</v>
      </c>
      <c r="E143" s="25" t="n">
        <f aca="false">E142*$B$19</f>
        <v>0.7</v>
      </c>
      <c r="F143" s="25" t="n">
        <f aca="false">F142*$B$19</f>
        <v>10.5</v>
      </c>
      <c r="G143" s="25" t="n">
        <f aca="false">G142*$B$19</f>
        <v>5.6</v>
      </c>
      <c r="H143" s="30" t="n">
        <f aca="false">SUM(B143:E143)</f>
        <v>7.7</v>
      </c>
      <c r="I143" s="25" t="n">
        <f aca="false">SUM(B143:G143)</f>
        <v>23.8</v>
      </c>
    </row>
    <row r="144" customFormat="false" ht="15" hidden="false" customHeight="false" outlineLevel="0" collapsed="false">
      <c r="A144" s="6" t="s">
        <v>1818</v>
      </c>
      <c r="B144" s="50" t="n">
        <v>0</v>
      </c>
      <c r="C144" s="50" t="n">
        <v>0</v>
      </c>
      <c r="D144" s="50" t="n">
        <v>0</v>
      </c>
      <c r="E144" s="50" t="n">
        <v>0</v>
      </c>
      <c r="F144" s="50" t="n">
        <v>3</v>
      </c>
      <c r="G144" s="50" t="n">
        <v>1</v>
      </c>
      <c r="H144" s="30" t="n">
        <f aca="false">SUM(B144:E144)</f>
        <v>0</v>
      </c>
      <c r="I144" s="25" t="n">
        <f aca="false">SUM(B144:G144)</f>
        <v>4</v>
      </c>
      <c r="J144" s="9" t="s">
        <v>1819</v>
      </c>
    </row>
    <row r="145" customFormat="false" ht="15" hidden="false" customHeight="false" outlineLevel="0" collapsed="false">
      <c r="A145" s="5" t="s">
        <v>1820</v>
      </c>
      <c r="B145" s="30" t="n">
        <f aca="false">B140+B141+B143+B144</f>
        <v>26.724617385034</v>
      </c>
      <c r="C145" s="30" t="n">
        <f aca="false">C140+C141+C143+C144</f>
        <v>116.838174997192</v>
      </c>
      <c r="D145" s="30" t="n">
        <f aca="false">D140+D141+D143+D144</f>
        <v>6.84478433092622</v>
      </c>
      <c r="E145" s="30" t="n">
        <f aca="false">E140+E141+E143+E144</f>
        <v>10.3071336221873</v>
      </c>
      <c r="F145" s="30" t="n">
        <f aca="false">F140+F141+F143+F144</f>
        <v>46.7834589902711</v>
      </c>
      <c r="G145" s="30" t="n">
        <f aca="false">G140+G141+G143+G144</f>
        <v>63.0157526679796</v>
      </c>
      <c r="H145" s="30" t="n">
        <f aca="false">SUM(B145:E145)</f>
        <v>160.71471033534</v>
      </c>
      <c r="I145" s="30" t="n">
        <f aca="false">SUM(B145:G145)</f>
        <v>270.51392199359</v>
      </c>
    </row>
    <row r="146" customFormat="false" ht="15" hidden="false" customHeight="false" outlineLevel="0" collapsed="false">
      <c r="A146" s="6" t="s">
        <v>1821</v>
      </c>
      <c r="B146" s="25" t="n">
        <f aca="false">$B$13*B145</f>
        <v>6.41390817240816</v>
      </c>
      <c r="C146" s="25" t="n">
        <f aca="false">$B$13*C145</f>
        <v>28.0411619993261</v>
      </c>
      <c r="D146" s="25" t="n">
        <f aca="false">$B$13*D145</f>
        <v>1.64274823942229</v>
      </c>
      <c r="E146" s="25" t="n">
        <f aca="false">$B$13*E145</f>
        <v>2.47371206932496</v>
      </c>
      <c r="F146" s="25" t="n">
        <f aca="false">$B$13*F145</f>
        <v>11.2280301576651</v>
      </c>
      <c r="G146" s="25" t="n">
        <f aca="false">$B$13*G145</f>
        <v>15.1237806403151</v>
      </c>
      <c r="H146" s="30" t="n">
        <f aca="false">SUM(B146:E146)</f>
        <v>38.5715304804815</v>
      </c>
      <c r="I146" s="25" t="n">
        <f aca="false">SUM(B146:G146)</f>
        <v>64.9233412784617</v>
      </c>
      <c r="J146" s="9" t="s">
        <v>1822</v>
      </c>
    </row>
    <row r="147" customFormat="false" ht="15" hidden="false" customHeight="false" outlineLevel="0" collapsed="false">
      <c r="A147" s="6" t="s">
        <v>1823</v>
      </c>
      <c r="B147" s="25" t="n">
        <f aca="false">$B$14*B145</f>
        <v>1.3362308692517</v>
      </c>
      <c r="C147" s="25" t="n">
        <f aca="false">$B$14*C145</f>
        <v>5.84190874985961</v>
      </c>
      <c r="D147" s="25" t="n">
        <f aca="false">$B$14*D145</f>
        <v>0.342239216546311</v>
      </c>
      <c r="E147" s="25" t="n">
        <f aca="false">$B$14*E145</f>
        <v>0.515356681109367</v>
      </c>
      <c r="F147" s="25" t="n">
        <f aca="false">$B$14*F145</f>
        <v>2.33917294951355</v>
      </c>
      <c r="G147" s="25" t="n">
        <f aca="false">$B$14*G145</f>
        <v>3.15078763339898</v>
      </c>
      <c r="H147" s="30" t="n">
        <f aca="false">SUM(B147:E147)</f>
        <v>8.03573551676698</v>
      </c>
      <c r="I147" s="25" t="n">
        <f aca="false">SUM(B147:G147)</f>
        <v>13.5256960996795</v>
      </c>
    </row>
    <row r="148" customFormat="false" ht="15" hidden="false" customHeight="false" outlineLevel="0" collapsed="false">
      <c r="A148" s="6" t="s">
        <v>1824</v>
      </c>
      <c r="B148" s="25" t="n">
        <f aca="false">$B$15*B145</f>
        <v>2.6724617385034</v>
      </c>
      <c r="C148" s="25" t="n">
        <f aca="false">$B$15*C145</f>
        <v>11.6838174997192</v>
      </c>
      <c r="D148" s="25" t="n">
        <f aca="false">$B$15*D145</f>
        <v>0.684478433092622</v>
      </c>
      <c r="E148" s="25" t="n">
        <f aca="false">$B$15*E145</f>
        <v>1.03071336221873</v>
      </c>
      <c r="F148" s="25" t="n">
        <f aca="false">$B$15*F145</f>
        <v>4.67834589902711</v>
      </c>
      <c r="G148" s="25" t="n">
        <f aca="false">$B$15*G145</f>
        <v>6.30157526679796</v>
      </c>
      <c r="H148" s="30" t="n">
        <f aca="false">SUM(B148:E148)</f>
        <v>16.071471033534</v>
      </c>
      <c r="I148" s="25" t="n">
        <f aca="false">SUM(B148:G148)</f>
        <v>27.051392199359</v>
      </c>
    </row>
    <row r="149" customFormat="false" ht="15" hidden="false" customHeight="false" outlineLevel="0" collapsed="false">
      <c r="A149" s="5" t="s">
        <v>1825</v>
      </c>
      <c r="B149" s="54" t="n">
        <f aca="false">B145+B146+B147+B148</f>
        <v>37.1472181651973</v>
      </c>
      <c r="C149" s="54" t="n">
        <f aca="false">C145+C146+C147+C148</f>
        <v>162.405063246097</v>
      </c>
      <c r="D149" s="54" t="n">
        <f aca="false">D145+D146+D147+D148</f>
        <v>9.51425021998744</v>
      </c>
      <c r="E149" s="54" t="n">
        <f aca="false">E145+E146+E147+E148</f>
        <v>14.3269157348404</v>
      </c>
      <c r="F149" s="54" t="n">
        <f aca="false">F145+F146+F147+F148</f>
        <v>65.0290079964768</v>
      </c>
      <c r="G149" s="54" t="n">
        <f aca="false">G145+G146+G147+G148</f>
        <v>87.5918962084916</v>
      </c>
      <c r="H149" s="54" t="n">
        <f aca="false">SUM(B149:E149)</f>
        <v>223.393447366122</v>
      </c>
      <c r="I149" s="30" t="n">
        <f aca="false">SUM(B149:G149)</f>
        <v>376.01435157109</v>
      </c>
    </row>
    <row r="150" customFormat="false" ht="15" hidden="false" customHeight="false" outlineLevel="0" collapsed="false">
      <c r="A150" s="6" t="s">
        <v>1826</v>
      </c>
      <c r="B150" s="25" t="n">
        <f aca="false">$B$16*B149</f>
        <v>7.05797145138748</v>
      </c>
      <c r="C150" s="25" t="n">
        <f aca="false">$B$16*C149</f>
        <v>30.8569620167584</v>
      </c>
      <c r="D150" s="25" t="n">
        <f aca="false">$B$16*D149</f>
        <v>1.80770754179761</v>
      </c>
      <c r="E150" s="25" t="n">
        <f aca="false">$B$16*E149</f>
        <v>2.72211398961968</v>
      </c>
      <c r="F150" s="25" t="n">
        <f aca="false">$B$16*F149</f>
        <v>12.3555115193306</v>
      </c>
      <c r="G150" s="25" t="n">
        <f aca="false">$B$16*G149</f>
        <v>16.6424602796134</v>
      </c>
      <c r="H150" s="30" t="n">
        <f aca="false">SUM(B150:E150)</f>
        <v>42.4447549995632</v>
      </c>
      <c r="I150" s="25" t="n">
        <f aca="false">SUM(B150:G150)</f>
        <v>71.4427267985072</v>
      </c>
    </row>
    <row r="151" customFormat="false" ht="15" hidden="false" customHeight="false" outlineLevel="0" collapsed="false">
      <c r="A151" s="6" t="s">
        <v>1827</v>
      </c>
      <c r="B151" s="25" t="n">
        <f aca="false">B149+B150</f>
        <v>44.2051896165848</v>
      </c>
      <c r="C151" s="25" t="n">
        <f aca="false">C149+C150</f>
        <v>193.262025262855</v>
      </c>
      <c r="D151" s="25" t="n">
        <f aca="false">D149+D150</f>
        <v>11.3219577617851</v>
      </c>
      <c r="E151" s="25" t="n">
        <f aca="false">E149+E150</f>
        <v>17.0490297244601</v>
      </c>
      <c r="F151" s="25" t="n">
        <f aca="false">F149+F150</f>
        <v>77.3845195158074</v>
      </c>
      <c r="G151" s="25" t="n">
        <f aca="false">G149+G150</f>
        <v>104.234356488105</v>
      </c>
      <c r="H151" s="30" t="n">
        <f aca="false">SUM(B151:E151)</f>
        <v>265.838202365685</v>
      </c>
      <c r="I151" s="25" t="n">
        <f aca="false">SUM(B151:G151)</f>
        <v>447.457078369598</v>
      </c>
    </row>
    <row r="152" customFormat="false" ht="15" hidden="false" customHeight="false" outlineLevel="0" collapsed="false">
      <c r="A152" s="6" t="s">
        <v>1828</v>
      </c>
      <c r="B152" s="75" t="n">
        <f aca="false">IF(B139&gt;0,B149*1000000/B139,0)</f>
        <v>80754.822098255</v>
      </c>
      <c r="C152" s="75" t="n">
        <f aca="false">IF(C139&gt;0,C149*1000000/C139,0)</f>
        <v>82164.2123762801</v>
      </c>
      <c r="D152" s="75" t="n">
        <f aca="false">IF(D139&gt;0,D149*1000000/D139,0)</f>
        <v>88094.9094443282</v>
      </c>
      <c r="E152" s="75" t="n">
        <f aca="false">IF(E139&gt;0,E149*1000000/E139,0)</f>
        <v>105344.968638532</v>
      </c>
      <c r="F152" s="75" t="n">
        <f aca="false">IF(F139&gt;0,F149*1000000/F139,0)</f>
        <v>106326.043159707</v>
      </c>
      <c r="G152" s="75" t="n">
        <f aca="false">IF(G139&gt;0,G149*1000000/G139,0)</f>
        <v>87169.7765654733</v>
      </c>
      <c r="H152" s="75" t="n">
        <f aca="false">H149*1000000/H139</f>
        <v>83337.3784108719</v>
      </c>
      <c r="I152" s="75" t="n">
        <f aca="false">I149*1000000/I139</f>
        <v>87505.5616147047</v>
      </c>
    </row>
    <row r="153" customFormat="false" ht="15" hidden="false" customHeight="false" outlineLevel="0" collapsed="false">
      <c r="A153" s="6" t="s">
        <v>1829</v>
      </c>
      <c r="B153" s="34" t="n">
        <f aca="false">IF(B149&gt;0,B141*(1+$B$13+$B$14+$B$15)/B149,0)</f>
        <v>0.043109226539542</v>
      </c>
      <c r="C153" s="34" t="n">
        <f aca="false">IF(C149&gt;0,C141*(1+$B$13+$B$14+$B$15)/C149,0)</f>
        <v>0.132053663149636</v>
      </c>
      <c r="D153" s="34" t="n">
        <f aca="false">IF(D149&gt;0,D141*(1+$B$13+$B$14+$B$15)/D149,0)</f>
        <v>0.169120184377297</v>
      </c>
      <c r="E153" s="34" t="n">
        <f aca="false">IF(E149&gt;0,E141*(1+$B$13+$B$14+$B$15)/E149,0)</f>
        <v>0.32278270577268</v>
      </c>
      <c r="F153" s="34" t="n">
        <f aca="false">IF(F149&gt;0,F141*(1+$B$13+$B$14+$B$15)/F149,0)</f>
        <v>0.0774341146672952</v>
      </c>
      <c r="G153" s="34" t="n">
        <f aca="false">IF(G149&gt;0,G141*(1+$B$13+$B$14+$B$15)/G149,0)</f>
        <v>0.11310123093188</v>
      </c>
      <c r="H153" s="34" t="n">
        <f aca="false">H141*(1+$B$13+$B$14+$B$15)/H149</f>
        <v>0.131074138842526</v>
      </c>
      <c r="I153" s="34" t="n">
        <f aca="false">I141*(1+$B$13+$B$14+$B$15)/I149</f>
        <v>0.117610720161446</v>
      </c>
      <c r="J153" s="9" t="s">
        <v>1830</v>
      </c>
    </row>
    <row r="154" customFormat="false" ht="27.75" hidden="false" customHeight="true" outlineLevel="0" collapsed="false">
      <c r="A154" s="32" t="s">
        <v>1831</v>
      </c>
      <c r="B154" s="32"/>
      <c r="C154" s="32"/>
      <c r="D154" s="32"/>
      <c r="E154" s="32"/>
      <c r="F154" s="32"/>
      <c r="G154" s="32"/>
      <c r="H154" s="32"/>
      <c r="I154" s="32"/>
      <c r="J154" s="32"/>
      <c r="K154" s="32"/>
    </row>
    <row r="156" customFormat="false" ht="15" hidden="false" customHeight="false" outlineLevel="0" collapsed="false">
      <c r="A156" s="3" t="s">
        <v>1832</v>
      </c>
      <c r="B156" s="4"/>
      <c r="C156" s="4"/>
      <c r="D156" s="4"/>
      <c r="E156" s="4"/>
      <c r="F156" s="4"/>
      <c r="G156" s="4"/>
      <c r="H156" s="4"/>
      <c r="I156" s="4"/>
      <c r="J156" s="4"/>
    </row>
    <row r="157" customFormat="false" ht="39.75" hidden="false" customHeight="true" outlineLevel="0" collapsed="false">
      <c r="A157" s="32" t="s">
        <v>1833</v>
      </c>
      <c r="B157" s="32"/>
      <c r="C157" s="32"/>
      <c r="D157" s="32"/>
      <c r="E157" s="32"/>
      <c r="F157" s="32"/>
      <c r="G157" s="32"/>
      <c r="H157" s="32"/>
      <c r="I157" s="32"/>
      <c r="J157" s="32"/>
      <c r="K157" s="32"/>
    </row>
    <row r="158" customFormat="false" ht="43.5" hidden="false" customHeight="true" outlineLevel="0" collapsed="false">
      <c r="A158" s="23" t="s">
        <v>988</v>
      </c>
      <c r="B158" s="24" t="s">
        <v>1834</v>
      </c>
      <c r="C158" s="24" t="s">
        <v>1835</v>
      </c>
      <c r="D158" s="24" t="s">
        <v>1836</v>
      </c>
      <c r="E158" s="24" t="s">
        <v>1837</v>
      </c>
      <c r="F158" s="24" t="s">
        <v>97</v>
      </c>
      <c r="G158" s="24" t="s">
        <v>1838</v>
      </c>
      <c r="H158" s="24" t="s">
        <v>1839</v>
      </c>
      <c r="I158" s="24" t="s">
        <v>1840</v>
      </c>
      <c r="J158" s="24" t="s">
        <v>1841</v>
      </c>
    </row>
    <row r="159" customFormat="false" ht="15" hidden="false" customHeight="false" outlineLevel="0" collapsed="false">
      <c r="A159" s="43" t="s">
        <v>1842</v>
      </c>
      <c r="B159" s="44"/>
      <c r="C159" s="44"/>
      <c r="D159" s="44"/>
      <c r="E159" s="44"/>
      <c r="F159" s="44"/>
      <c r="G159" s="44"/>
      <c r="H159" s="44"/>
      <c r="I159" s="44"/>
      <c r="J159" s="44"/>
    </row>
    <row r="160" customFormat="false" ht="15" hidden="false" customHeight="false" outlineLevel="0" collapsed="false">
      <c r="A160" s="6" t="s">
        <v>1843</v>
      </c>
      <c r="B160" s="51" t="n">
        <v>2</v>
      </c>
      <c r="C160" s="75" t="n">
        <f aca="false">SUMIFS($H$55:$H$125,$I$55:$I$125,"1.1",$B$55:$B$125,"Contrato principal")</f>
        <v>60</v>
      </c>
      <c r="D160" s="75" t="n">
        <f aca="false">SUMIFS($H$55:$H$125,$I$55:$I$125,"1.1",$B$55:$B$125,"Otrosí 1")</f>
        <v>0</v>
      </c>
      <c r="E160" s="75" t="n">
        <f aca="false">SUMIFS($H$55:$H$125,$I$55:$I$125,"1.1",$B$55:$B$125,"Otrosí 2")</f>
        <v>0</v>
      </c>
      <c r="F160" s="75" t="n">
        <f aca="false">SUM(C160:E160)</f>
        <v>60</v>
      </c>
      <c r="G160" s="64" t="n">
        <f aca="false">C160/(B160*42)</f>
        <v>0.714285714285714</v>
      </c>
      <c r="H160" s="25" t="n">
        <f aca="false">SUMIF($I$55:$I$125,"1.1",$J$55:$J$125)</f>
        <v>4.35877454254317</v>
      </c>
      <c r="I160" s="30" t="n">
        <f aca="false">H160*(1+$B$13+$B$14+$B$15)</f>
        <v>6.05869661413501</v>
      </c>
      <c r="J160" s="34" t="n">
        <f aca="false">I160/$I$185</f>
        <v>0.0161129398088667</v>
      </c>
    </row>
    <row r="161" customFormat="false" ht="15" hidden="false" customHeight="false" outlineLevel="0" collapsed="false">
      <c r="A161" s="6" t="s">
        <v>1844</v>
      </c>
      <c r="B161" s="51" t="n">
        <v>16</v>
      </c>
      <c r="C161" s="75" t="n">
        <f aca="false">SUMIFS($H$55:$H$125,$I$55:$I$125,"1.2",$B$55:$B$125,"Contrato principal")</f>
        <v>236.05375</v>
      </c>
      <c r="D161" s="75" t="n">
        <f aca="false">SUMIFS($H$55:$H$125,$I$55:$I$125,"1.2",$B$55:$B$125,"Otrosí 1")</f>
        <v>55.6</v>
      </c>
      <c r="E161" s="75" t="n">
        <f aca="false">SUMIFS($H$55:$H$125,$I$55:$I$125,"1.2",$B$55:$B$125,"Otrosí 2")</f>
        <v>113.1675</v>
      </c>
      <c r="F161" s="75" t="n">
        <f aca="false">SUM(C161:E161)</f>
        <v>404.82125</v>
      </c>
      <c r="G161" s="64" t="n">
        <f aca="false">C161/(B161*42)</f>
        <v>0.351270461309524</v>
      </c>
      <c r="H161" s="25" t="n">
        <f aca="false">SUMIF($I$55:$I$125,"1.2",$J$55:$J$125)</f>
        <v>29.4087426463417</v>
      </c>
      <c r="I161" s="30" t="n">
        <f aca="false">H161*(1+$B$13+$B$14+$B$15)</f>
        <v>40.878152278415</v>
      </c>
      <c r="J161" s="34" t="n">
        <f aca="false">I161/$I$185</f>
        <v>0.108714340576669</v>
      </c>
    </row>
    <row r="162" customFormat="false" ht="15" hidden="false" customHeight="false" outlineLevel="0" collapsed="false">
      <c r="A162" s="6" t="s">
        <v>1845</v>
      </c>
      <c r="B162" s="51" t="n">
        <v>2</v>
      </c>
      <c r="C162" s="75" t="n">
        <f aca="false">SUMIFS($H$55:$H$125,$I$55:$I$125,"1.3",$B$55:$B$125,"Contrato principal")</f>
        <v>64</v>
      </c>
      <c r="D162" s="75" t="n">
        <f aca="false">SUMIFS($H$55:$H$125,$I$55:$I$125,"1.3",$B$55:$B$125,"Otrosí 1")</f>
        <v>60</v>
      </c>
      <c r="E162" s="75" t="n">
        <f aca="false">SUMIFS($H$55:$H$125,$I$55:$I$125,"1.3",$B$55:$B$125,"Otrosí 2")</f>
        <v>40</v>
      </c>
      <c r="F162" s="75" t="n">
        <f aca="false">SUM(C162:E162)</f>
        <v>164</v>
      </c>
      <c r="G162" s="64" t="n">
        <f aca="false">C162/(B162*42)</f>
        <v>0.761904761904762</v>
      </c>
      <c r="H162" s="25" t="n">
        <f aca="false">SUMIF($I$55:$I$125,"1.3",$J$55:$J$125)</f>
        <v>9.22940181335427</v>
      </c>
      <c r="I162" s="30" t="n">
        <f aca="false">H162*(1+$B$13+$B$14+$B$15)</f>
        <v>12.8288685205624</v>
      </c>
      <c r="J162" s="34" t="n">
        <f aca="false">I162/$I$185</f>
        <v>0.0341180289182046</v>
      </c>
    </row>
    <row r="163" customFormat="false" ht="15" hidden="false" customHeight="false" outlineLevel="0" collapsed="false">
      <c r="A163" s="43" t="s">
        <v>1846</v>
      </c>
      <c r="B163" s="44"/>
      <c r="C163" s="44"/>
      <c r="D163" s="44"/>
      <c r="E163" s="44"/>
      <c r="F163" s="44"/>
      <c r="G163" s="44"/>
      <c r="H163" s="44"/>
      <c r="I163" s="44"/>
      <c r="J163" s="44"/>
    </row>
    <row r="164" customFormat="false" ht="15" hidden="false" customHeight="false" outlineLevel="0" collapsed="false">
      <c r="A164" s="6" t="s">
        <v>1847</v>
      </c>
      <c r="B164" s="51" t="n">
        <v>2</v>
      </c>
      <c r="C164" s="75" t="n">
        <f aca="false">SUMIFS($H$55:$H$125,$I$55:$I$125,"2.1",$B$55:$B$125,"Contrato principal")</f>
        <v>160</v>
      </c>
      <c r="D164" s="75" t="n">
        <f aca="false">SUMIFS($H$55:$H$125,$I$55:$I$125,"2.1",$B$55:$B$125,"Otrosí 1")</f>
        <v>0</v>
      </c>
      <c r="E164" s="75" t="n">
        <f aca="false">SUMIFS($H$55:$H$125,$I$55:$I$125,"2.1",$B$55:$B$125,"Otrosí 2")</f>
        <v>0</v>
      </c>
      <c r="F164" s="75" t="n">
        <f aca="false">SUM(C164:E164)</f>
        <v>160</v>
      </c>
      <c r="G164" s="64" t="n">
        <f aca="false">C164/(B164*42)</f>
        <v>1.9047619047619</v>
      </c>
      <c r="H164" s="25" t="n">
        <f aca="false">SUMIF($I$55:$I$125,"2.1",$J$55:$J$125)</f>
        <v>7.90816188173731</v>
      </c>
      <c r="I164" s="30" t="n">
        <f aca="false">H164*(1+$B$13+$B$14+$B$15)</f>
        <v>10.9923450156149</v>
      </c>
      <c r="J164" s="34" t="n">
        <f aca="false">I164/$I$185</f>
        <v>0.0292338443192018</v>
      </c>
    </row>
    <row r="165" customFormat="false" ht="15" hidden="false" customHeight="false" outlineLevel="0" collapsed="false">
      <c r="A165" s="6" t="s">
        <v>1848</v>
      </c>
      <c r="B165" s="51" t="n">
        <v>3</v>
      </c>
      <c r="C165" s="75" t="n">
        <f aca="false">SUMIFS($H$55:$H$125,$I$55:$I$125,"2.2",$B$55:$B$125,"Contrato principal")</f>
        <v>144</v>
      </c>
      <c r="D165" s="75" t="n">
        <f aca="false">SUMIFS($H$55:$H$125,$I$55:$I$125,"2.2",$B$55:$B$125,"Otrosí 1")</f>
        <v>80</v>
      </c>
      <c r="E165" s="75" t="n">
        <f aca="false">SUMIFS($H$55:$H$125,$I$55:$I$125,"2.2",$B$55:$B$125,"Otrosí 2")</f>
        <v>120</v>
      </c>
      <c r="F165" s="75" t="n">
        <f aca="false">SUM(C165:E165)</f>
        <v>344</v>
      </c>
      <c r="G165" s="64" t="n">
        <f aca="false">C165/(B165*42)</f>
        <v>1.14285714285714</v>
      </c>
      <c r="H165" s="25" t="n">
        <f aca="false">SUMIF($I$55:$I$125,"2.2",$J$55:$J$125)</f>
        <v>17.0025480457352</v>
      </c>
      <c r="I165" s="30" t="n">
        <f aca="false">H165*(1+$B$13+$B$14+$B$15)</f>
        <v>23.633541783572</v>
      </c>
      <c r="J165" s="34" t="n">
        <f aca="false">I165/$I$185</f>
        <v>0.0628527652862838</v>
      </c>
    </row>
    <row r="166" customFormat="false" ht="15" hidden="false" customHeight="false" outlineLevel="0" collapsed="false">
      <c r="A166" s="6" t="s">
        <v>1849</v>
      </c>
      <c r="B166" s="51" t="n">
        <v>3</v>
      </c>
      <c r="C166" s="75" t="n">
        <f aca="false">SUMIFS($H$55:$H$125,$I$55:$I$125,"2.3",$B$55:$B$125,"Contrato principal")</f>
        <v>80</v>
      </c>
      <c r="D166" s="75" t="n">
        <f aca="false">SUMIFS($H$55:$H$125,$I$55:$I$125,"2.3",$B$55:$B$125,"Otrosí 1")</f>
        <v>0</v>
      </c>
      <c r="E166" s="75" t="n">
        <f aca="false">SUMIFS($H$55:$H$125,$I$55:$I$125,"2.3",$B$55:$B$125,"Otrosí 2")</f>
        <v>0</v>
      </c>
      <c r="F166" s="75" t="n">
        <f aca="false">SUM(C166:E166)</f>
        <v>80</v>
      </c>
      <c r="G166" s="64" t="n">
        <f aca="false">C166/(B166*42)</f>
        <v>0.634920634920635</v>
      </c>
      <c r="H166" s="25" t="n">
        <f aca="false">SUMIF($I$55:$I$125,"2.3",$J$55:$J$125)</f>
        <v>3.95408094086866</v>
      </c>
      <c r="I166" s="30" t="n">
        <f aca="false">H166*(1+$B$13+$B$14+$B$15)</f>
        <v>5.49617250780743</v>
      </c>
      <c r="J166" s="34" t="n">
        <f aca="false">I166/$I$185</f>
        <v>0.0146169221596009</v>
      </c>
    </row>
    <row r="167" customFormat="false" ht="15" hidden="false" customHeight="false" outlineLevel="0" collapsed="false">
      <c r="A167" s="6" t="s">
        <v>1850</v>
      </c>
      <c r="B167" s="51" t="n">
        <v>2</v>
      </c>
      <c r="C167" s="75" t="n">
        <f aca="false">SUMIFS($H$55:$H$125,$I$55:$I$125,"2.4",$B$55:$B$125,"Contrato principal")</f>
        <v>80</v>
      </c>
      <c r="D167" s="75" t="n">
        <f aca="false">SUMIFS($H$55:$H$125,$I$55:$I$125,"2.4",$B$55:$B$125,"Otrosí 1")</f>
        <v>40</v>
      </c>
      <c r="E167" s="75" t="n">
        <f aca="false">SUMIFS($H$55:$H$125,$I$55:$I$125,"2.4",$B$55:$B$125,"Otrosí 2")</f>
        <v>72</v>
      </c>
      <c r="F167" s="75" t="n">
        <f aca="false">SUM(C167:E167)</f>
        <v>192</v>
      </c>
      <c r="G167" s="64" t="n">
        <f aca="false">C167/(B167*42)</f>
        <v>0.952380952380952</v>
      </c>
      <c r="H167" s="25" t="n">
        <f aca="false">SUMIF($I$55:$I$125,"2.4",$J$55:$J$125)</f>
        <v>9.48979425808477</v>
      </c>
      <c r="I167" s="30" t="n">
        <f aca="false">H167*(1+$B$13+$B$14+$B$15)</f>
        <v>13.1908140187378</v>
      </c>
      <c r="J167" s="34" t="n">
        <f aca="false">I167/$I$185</f>
        <v>0.0350806131830421</v>
      </c>
    </row>
    <row r="168" customFormat="false" ht="15" hidden="false" customHeight="false" outlineLevel="0" collapsed="false">
      <c r="A168" s="6" t="s">
        <v>1851</v>
      </c>
      <c r="B168" s="51" t="n">
        <v>3</v>
      </c>
      <c r="C168" s="75" t="n">
        <f aca="false">SUMIFS($H$55:$H$125,$I$55:$I$125,"2.5",$B$55:$B$125,"Contrato principal")</f>
        <v>40</v>
      </c>
      <c r="D168" s="75" t="n">
        <f aca="false">SUMIFS($H$55:$H$125,$I$55:$I$125,"2.5",$B$55:$B$125,"Otrosí 1")</f>
        <v>0</v>
      </c>
      <c r="E168" s="75" t="n">
        <f aca="false">SUMIFS($H$55:$H$125,$I$55:$I$125,"2.5",$B$55:$B$125,"Otrosí 2")</f>
        <v>0</v>
      </c>
      <c r="F168" s="75" t="n">
        <f aca="false">SUM(C168:E168)</f>
        <v>40</v>
      </c>
      <c r="G168" s="64" t="n">
        <f aca="false">C168/(B168*42)</f>
        <v>0.317460317460317</v>
      </c>
      <c r="H168" s="25" t="n">
        <f aca="false">SUMIF($I$55:$I$125,"2.5",$J$55:$J$125)</f>
        <v>2.13882628466771</v>
      </c>
      <c r="I168" s="30" t="n">
        <f aca="false">H168*(1+$B$13+$B$14+$B$15)</f>
        <v>2.97296853568812</v>
      </c>
      <c r="J168" s="34" t="n">
        <f aca="false">I168/$I$185</f>
        <v>0.00790652942704514</v>
      </c>
    </row>
    <row r="169" customFormat="false" ht="15" hidden="false" customHeight="false" outlineLevel="0" collapsed="false">
      <c r="A169" s="43" t="s">
        <v>1852</v>
      </c>
      <c r="B169" s="44"/>
      <c r="C169" s="44"/>
      <c r="D169" s="44"/>
      <c r="E169" s="44"/>
      <c r="F169" s="44"/>
      <c r="G169" s="44"/>
      <c r="H169" s="44"/>
      <c r="I169" s="44"/>
      <c r="J169" s="44"/>
    </row>
    <row r="170" customFormat="false" ht="15" hidden="false" customHeight="false" outlineLevel="0" collapsed="false">
      <c r="A170" s="6" t="s">
        <v>1853</v>
      </c>
      <c r="B170" s="51" t="n">
        <v>3</v>
      </c>
      <c r="C170" s="75" t="n">
        <f aca="false">SUMIFS($H$55:$H$125,$I$55:$I$125,"3.1",$B$55:$B$125,"Contrato principal")</f>
        <v>214</v>
      </c>
      <c r="D170" s="75" t="n">
        <f aca="false">SUMIFS($H$55:$H$125,$I$55:$I$125,"3.1",$B$55:$B$125,"Otrosí 1")</f>
        <v>120</v>
      </c>
      <c r="E170" s="75" t="n">
        <f aca="false">SUMIFS($H$55:$H$125,$I$55:$I$125,"3.1",$B$55:$B$125,"Otrosí 2")</f>
        <v>40</v>
      </c>
      <c r="F170" s="75" t="n">
        <f aca="false">SUM(C170:E170)</f>
        <v>374</v>
      </c>
      <c r="G170" s="64" t="n">
        <f aca="false">C170/(B170*42)</f>
        <v>1.6984126984127</v>
      </c>
      <c r="H170" s="25" t="n">
        <f aca="false">SUMIF($I$55:$I$125,"3.1",$J$55:$J$125)</f>
        <v>19.9980257616431</v>
      </c>
      <c r="I170" s="30" t="n">
        <f aca="false">H170*(1+$B$13+$B$14+$B$15)</f>
        <v>27.7972558086839</v>
      </c>
      <c r="J170" s="34" t="n">
        <f aca="false">I170/$I$185</f>
        <v>0.073926050142872</v>
      </c>
    </row>
    <row r="171" customFormat="false" ht="15" hidden="false" customHeight="false" outlineLevel="0" collapsed="false">
      <c r="A171" s="6" t="s">
        <v>1854</v>
      </c>
      <c r="B171" s="51" t="n">
        <v>4</v>
      </c>
      <c r="C171" s="75" t="n">
        <f aca="false">SUMIFS($H$55:$H$125,$I$55:$I$125,"3.2",$B$55:$B$125,"Contrato principal")</f>
        <v>490.5375</v>
      </c>
      <c r="D171" s="75" t="n">
        <f aca="false">SUMIFS($H$55:$H$125,$I$55:$I$125,"3.2",$B$55:$B$125,"Otrosí 1")</f>
        <v>160</v>
      </c>
      <c r="E171" s="75" t="n">
        <f aca="false">SUMIFS($H$55:$H$125,$I$55:$I$125,"3.2",$B$55:$B$125,"Otrosí 2")</f>
        <v>343.675</v>
      </c>
      <c r="F171" s="75" t="n">
        <f aca="false">SUM(C171:E171)</f>
        <v>994.2125</v>
      </c>
      <c r="G171" s="64" t="n">
        <f aca="false">C171/(B171*42)</f>
        <v>2.91986607142857</v>
      </c>
      <c r="H171" s="25" t="n">
        <f aca="false">SUMIF($I$55:$I$125,"3.2",$J$55:$J$125)</f>
        <v>53.16119568863</v>
      </c>
      <c r="I171" s="30" t="n">
        <f aca="false">H171*(1+$B$13+$B$14+$B$15)</f>
        <v>73.8940620071957</v>
      </c>
      <c r="J171" s="34" t="n">
        <f aca="false">I171/$I$185</f>
        <v>0.196519259699653</v>
      </c>
    </row>
    <row r="172" customFormat="false" ht="15" hidden="false" customHeight="false" outlineLevel="0" collapsed="false">
      <c r="A172" s="6" t="s">
        <v>1855</v>
      </c>
      <c r="B172" s="51" t="n">
        <v>3</v>
      </c>
      <c r="C172" s="75" t="n">
        <f aca="false">SUMIFS($H$55:$H$125,$I$55:$I$125,"3.3",$B$55:$B$125,"Contrato principal")</f>
        <v>136</v>
      </c>
      <c r="D172" s="75" t="n">
        <f aca="false">SUMIFS($H$55:$H$125,$I$55:$I$125,"3.3",$B$55:$B$125,"Otrosí 1")</f>
        <v>96</v>
      </c>
      <c r="E172" s="75" t="n">
        <f aca="false">SUMIFS($H$55:$H$125,$I$55:$I$125,"3.3",$B$55:$B$125,"Otrosí 2")</f>
        <v>100</v>
      </c>
      <c r="F172" s="75" t="n">
        <f aca="false">SUM(C172:E172)</f>
        <v>332</v>
      </c>
      <c r="G172" s="64" t="n">
        <f aca="false">C172/(B172*42)</f>
        <v>1.07936507936508</v>
      </c>
      <c r="H172" s="25" t="n">
        <f aca="false">SUMIF($I$55:$I$125,"3.3",$J$55:$J$125)</f>
        <v>17.752258162742</v>
      </c>
      <c r="I172" s="30" t="n">
        <f aca="false">H172*(1+$B$13+$B$14+$B$15)</f>
        <v>24.6756388462114</v>
      </c>
      <c r="J172" s="34" t="n">
        <f aca="false">I172/$I$185</f>
        <v>0.0656241942444746</v>
      </c>
    </row>
    <row r="173" customFormat="false" ht="15" hidden="false" customHeight="false" outlineLevel="0" collapsed="false">
      <c r="A173" s="43" t="s">
        <v>1856</v>
      </c>
      <c r="B173" s="44"/>
      <c r="C173" s="44"/>
      <c r="D173" s="44"/>
      <c r="E173" s="44"/>
      <c r="F173" s="44"/>
      <c r="G173" s="44"/>
      <c r="H173" s="44"/>
      <c r="I173" s="44"/>
      <c r="J173" s="44"/>
    </row>
    <row r="174" customFormat="false" ht="15" hidden="false" customHeight="false" outlineLevel="0" collapsed="false">
      <c r="A174" s="6" t="s">
        <v>1857</v>
      </c>
      <c r="B174" s="51" t="n">
        <v>4</v>
      </c>
      <c r="C174" s="75" t="n">
        <f aca="false">SUMIFS($H$55:$H$125,$I$55:$I$125,"4.1",$B$55:$B$125,"Contrato principal")</f>
        <v>144</v>
      </c>
      <c r="D174" s="75" t="n">
        <f aca="false">SUMIFS($H$55:$H$125,$I$55:$I$125,"4.1",$B$55:$B$125,"Otrosí 1")</f>
        <v>0</v>
      </c>
      <c r="E174" s="75" t="n">
        <f aca="false">SUMIFS($H$55:$H$125,$I$55:$I$125,"4.1",$B$55:$B$125,"Otrosí 2")</f>
        <v>0</v>
      </c>
      <c r="F174" s="75" t="n">
        <f aca="false">SUM(C174:E174)</f>
        <v>144</v>
      </c>
      <c r="G174" s="64" t="n">
        <f aca="false">C174/(B174*42)</f>
        <v>0.857142857142857</v>
      </c>
      <c r="H174" s="25" t="n">
        <f aca="false">SUMIF($I$55:$I$125,"4.1",$J$55:$J$125)</f>
        <v>10.5019237299843</v>
      </c>
      <c r="I174" s="30" t="n">
        <f aca="false">H174*(1+$B$13+$B$14+$B$15)</f>
        <v>14.5976739846782</v>
      </c>
      <c r="J174" s="34" t="n">
        <f aca="false">I174/$I$185</f>
        <v>0.0388221192188147</v>
      </c>
    </row>
    <row r="175" customFormat="false" ht="15" hidden="false" customHeight="false" outlineLevel="0" collapsed="false">
      <c r="A175" s="6" t="s">
        <v>1858</v>
      </c>
      <c r="B175" s="51" t="n">
        <v>3</v>
      </c>
      <c r="C175" s="75" t="n">
        <f aca="false">SUMIFS($H$55:$H$125,$I$55:$I$125,"4.2",$B$55:$B$125,"Contrato principal")</f>
        <v>136</v>
      </c>
      <c r="D175" s="75" t="n">
        <f aca="false">SUMIFS($H$55:$H$125,$I$55:$I$125,"4.2",$B$55:$B$125,"Otrosí 1")</f>
        <v>0</v>
      </c>
      <c r="E175" s="75" t="n">
        <f aca="false">SUMIFS($H$55:$H$125,$I$55:$I$125,"4.2",$B$55:$B$125,"Otrosí 2")</f>
        <v>0</v>
      </c>
      <c r="F175" s="75" t="n">
        <f aca="false">SUM(C175:E175)</f>
        <v>136</v>
      </c>
      <c r="G175" s="64" t="n">
        <f aca="false">C175/(B175*42)</f>
        <v>1.07936507936508</v>
      </c>
      <c r="H175" s="25" t="n">
        <f aca="false">SUMIF($I$55:$I$125,"4.2",$J$55:$J$125)</f>
        <v>9.60713362218734</v>
      </c>
      <c r="I175" s="30" t="n">
        <f aca="false">H175*(1+$B$13+$B$14+$B$15)</f>
        <v>13.3539157348404</v>
      </c>
      <c r="J175" s="34" t="n">
        <f aca="false">I175/$I$185</f>
        <v>0.035514377786497</v>
      </c>
    </row>
    <row r="176" customFormat="false" ht="15" hidden="false" customHeight="false" outlineLevel="0" collapsed="false">
      <c r="A176" s="6" t="s">
        <v>1859</v>
      </c>
      <c r="B176" s="51" t="n">
        <v>4</v>
      </c>
      <c r="C176" s="75" t="n">
        <f aca="false">SUMIFS($H$55:$H$125,$I$55:$I$125,"4.3",$B$55:$B$125,"Contrato principal")</f>
        <v>120</v>
      </c>
      <c r="D176" s="75" t="n">
        <f aca="false">SUMIFS($H$55:$H$125,$I$55:$I$125,"4.3",$B$55:$B$125,"Otrosí 1")</f>
        <v>0</v>
      </c>
      <c r="E176" s="75" t="n">
        <f aca="false">SUMIFS($H$55:$H$125,$I$55:$I$125,"4.3",$B$55:$B$125,"Otrosí 2")</f>
        <v>80</v>
      </c>
      <c r="F176" s="75" t="n">
        <f aca="false">SUM(C176:E176)</f>
        <v>200</v>
      </c>
      <c r="G176" s="64" t="n">
        <f aca="false">C176/(B176*42)</f>
        <v>0.714285714285714</v>
      </c>
      <c r="H176" s="25" t="n">
        <f aca="false">SUMIF($I$55:$I$125,"4.3",$J$55:$J$125)</f>
        <v>14.5860051805338</v>
      </c>
      <c r="I176" s="30" t="n">
        <f aca="false">H176*(1+$B$13+$B$14+$B$15)</f>
        <v>20.2745472009419</v>
      </c>
      <c r="J176" s="34" t="n">
        <f aca="false">I176/$I$185</f>
        <v>0.0539196100261315</v>
      </c>
    </row>
    <row r="177" customFormat="false" ht="15" hidden="false" customHeight="false" outlineLevel="0" collapsed="false">
      <c r="A177" s="43" t="s">
        <v>1860</v>
      </c>
      <c r="B177" s="44"/>
      <c r="C177" s="44"/>
      <c r="D177" s="44"/>
      <c r="E177" s="44"/>
      <c r="F177" s="44"/>
      <c r="G177" s="44"/>
      <c r="H177" s="44"/>
      <c r="I177" s="44"/>
      <c r="J177" s="44"/>
    </row>
    <row r="178" customFormat="false" ht="15" hidden="false" customHeight="false" outlineLevel="0" collapsed="false">
      <c r="A178" s="6" t="s">
        <v>1861</v>
      </c>
      <c r="B178" s="51" t="n">
        <v>4</v>
      </c>
      <c r="C178" s="75" t="n">
        <f aca="false">SUMIFS($H$55:$H$125,$I$55:$I$125,"5.1",$B$55:$B$125,"Contrato principal")</f>
        <v>184</v>
      </c>
      <c r="D178" s="75" t="n">
        <f aca="false">SUMIFS($H$55:$H$125,$I$55:$I$125,"5.1",$B$55:$B$125,"Otrosí 1")</f>
        <v>0</v>
      </c>
      <c r="E178" s="75" t="n">
        <f aca="false">SUMIFS($H$55:$H$125,$I$55:$I$125,"5.1",$B$55:$B$125,"Otrosí 2")</f>
        <v>40</v>
      </c>
      <c r="F178" s="75" t="n">
        <f aca="false">SUM(C178:E178)</f>
        <v>224</v>
      </c>
      <c r="G178" s="64" t="n">
        <f aca="false">C178/(B178*42)</f>
        <v>1.0952380952381</v>
      </c>
      <c r="H178" s="25" t="n">
        <f aca="false">SUMIF($I$55:$I$125,"5.1",$J$55:$J$125)</f>
        <v>11.8803557055992</v>
      </c>
      <c r="I178" s="30" t="n">
        <f aca="false">H178*(1+$B$13+$B$14+$B$15)</f>
        <v>16.5136944307828</v>
      </c>
      <c r="J178" s="34" t="n">
        <f aca="false">I178/$I$185</f>
        <v>0.0439177237831059</v>
      </c>
    </row>
    <row r="179" customFormat="false" ht="15" hidden="false" customHeight="false" outlineLevel="0" collapsed="false">
      <c r="A179" s="6" t="s">
        <v>1862</v>
      </c>
      <c r="B179" s="51" t="n">
        <v>4</v>
      </c>
      <c r="C179" s="75" t="n">
        <f aca="false">SUMIFS($H$55:$H$125,$I$55:$I$125,"5.2",$B$55:$B$125,"Contrato principal")</f>
        <v>56</v>
      </c>
      <c r="D179" s="75" t="n">
        <f aca="false">SUMIFS($H$55:$H$125,$I$55:$I$125,"5.2",$B$55:$B$125,"Otrosí 1")</f>
        <v>0</v>
      </c>
      <c r="E179" s="75" t="n">
        <f aca="false">SUMIFS($H$55:$H$125,$I$55:$I$125,"5.2",$B$55:$B$125,"Otrosí 2")</f>
        <v>0</v>
      </c>
      <c r="F179" s="75" t="n">
        <f aca="false">SUM(C179:E179)</f>
        <v>56</v>
      </c>
      <c r="G179" s="64" t="n">
        <f aca="false">C179/(B179*42)</f>
        <v>0.333333333333333</v>
      </c>
      <c r="H179" s="25" t="n">
        <f aca="false">SUMIF($I$55:$I$125,"5.2",$J$55:$J$125)</f>
        <v>2.62466335531136</v>
      </c>
      <c r="I179" s="30" t="n">
        <f aca="false">H179*(1+$B$13+$B$14+$B$15)</f>
        <v>3.64828206388279</v>
      </c>
      <c r="J179" s="34" t="n">
        <f aca="false">I179/$I$185</f>
        <v>0.0097025074937679</v>
      </c>
    </row>
    <row r="180" customFormat="false" ht="15" hidden="false" customHeight="false" outlineLevel="0" collapsed="false">
      <c r="A180" s="6" t="s">
        <v>1863</v>
      </c>
      <c r="B180" s="51" t="n">
        <v>2</v>
      </c>
      <c r="C180" s="75" t="n">
        <f aca="false">SUMIFS($H$55:$H$125,$I$55:$I$125,"5.3",$B$55:$B$125,"Contrato principal")</f>
        <v>96</v>
      </c>
      <c r="D180" s="75" t="n">
        <f aca="false">SUMIFS($H$55:$H$125,$I$55:$I$125,"5.3",$B$55:$B$125,"Otrosí 1")</f>
        <v>0</v>
      </c>
      <c r="E180" s="75" t="n">
        <f aca="false">SUMIFS($H$55:$H$125,$I$55:$I$125,"5.3",$B$55:$B$125,"Otrosí 2")</f>
        <v>16</v>
      </c>
      <c r="F180" s="75" t="n">
        <f aca="false">SUM(C180:E180)</f>
        <v>112</v>
      </c>
      <c r="G180" s="64" t="n">
        <f aca="false">C180/(B180*42)</f>
        <v>1.14285714285714</v>
      </c>
      <c r="H180" s="25" t="n">
        <f aca="false">SUMIF($I$55:$I$125,"5.3",$J$55:$J$125)</f>
        <v>5.9887135970696</v>
      </c>
      <c r="I180" s="30" t="n">
        <f aca="false">H180*(1+$B$13+$B$14+$B$15)</f>
        <v>8.32431189992674</v>
      </c>
      <c r="J180" s="34" t="n">
        <f aca="false">I180/$I$185</f>
        <v>0.0221382823957264</v>
      </c>
    </row>
    <row r="181" customFormat="false" ht="15" hidden="false" customHeight="false" outlineLevel="0" collapsed="false">
      <c r="A181" s="43" t="s">
        <v>1864</v>
      </c>
      <c r="B181" s="44"/>
      <c r="C181" s="44"/>
      <c r="D181" s="44"/>
      <c r="E181" s="44"/>
      <c r="F181" s="44"/>
      <c r="G181" s="44"/>
      <c r="H181" s="44"/>
      <c r="I181" s="44"/>
      <c r="J181" s="44"/>
    </row>
    <row r="182" customFormat="false" ht="15" hidden="false" customHeight="false" outlineLevel="0" collapsed="false">
      <c r="A182" s="6" t="s">
        <v>1865</v>
      </c>
      <c r="B182" s="51" t="n">
        <v>12</v>
      </c>
      <c r="C182" s="75" t="n">
        <f aca="false">SUMIFS($H$55:$H$125,$I$55:$I$125,"6.1",$B$55:$B$125,"Contrato principal")</f>
        <v>160</v>
      </c>
      <c r="D182" s="75" t="n">
        <f aca="false">SUMIFS($H$55:$H$125,$I$55:$I$125,"6.1",$B$55:$B$125,"Otrosí 1")</f>
        <v>0</v>
      </c>
      <c r="E182" s="75" t="n">
        <f aca="false">SUMIFS($H$55:$H$125,$I$55:$I$125,"6.1",$B$55:$B$125,"Otrosí 2")</f>
        <v>40</v>
      </c>
      <c r="F182" s="75" t="n">
        <f aca="false">SUM(C182:E182)</f>
        <v>200</v>
      </c>
      <c r="G182" s="64" t="n">
        <f aca="false">C182/(B182*42)</f>
        <v>0.317460317460317</v>
      </c>
      <c r="H182" s="25" t="n">
        <f aca="false">SUMIF($I$55:$I$125,"6.1",$J$55:$J$125)</f>
        <v>9.37379769754056</v>
      </c>
      <c r="I182" s="30" t="n">
        <f aca="false">H182*(1+$B$13+$B$14+$B$15)</f>
        <v>13.0295787995814</v>
      </c>
      <c r="J182" s="34" t="n">
        <f aca="false">I182/$I$185</f>
        <v>0.0346518124777425</v>
      </c>
    </row>
    <row r="183" customFormat="false" ht="15" hidden="false" customHeight="false" outlineLevel="0" collapsed="false">
      <c r="A183" s="6" t="s">
        <v>1866</v>
      </c>
      <c r="B183" s="51" t="n">
        <v>3</v>
      </c>
      <c r="C183" s="75" t="n">
        <f aca="false">SUMIFS($H$55:$H$125,$I$55:$I$125,"6.2",$B$55:$B$125,"Contrato principal")</f>
        <v>80</v>
      </c>
      <c r="D183" s="75" t="n">
        <f aca="false">SUMIFS($H$55:$H$125,$I$55:$I$125,"6.2",$B$55:$B$125,"Otrosí 1")</f>
        <v>0</v>
      </c>
      <c r="E183" s="75" t="n">
        <f aca="false">SUMIFS($H$55:$H$125,$I$55:$I$125,"6.2",$B$55:$B$125,"Otrosí 2")</f>
        <v>0</v>
      </c>
      <c r="F183" s="75" t="n">
        <f aca="false">SUM(C183:E183)</f>
        <v>80</v>
      </c>
      <c r="G183" s="64" t="n">
        <f aca="false">C183/(B183*42)</f>
        <v>0.634920634920635</v>
      </c>
      <c r="H183" s="25" t="n">
        <f aca="false">SUMIF($I$55:$I$125,"6.2",$J$55:$J$125)</f>
        <v>3.74951907901622</v>
      </c>
      <c r="I183" s="30" t="n">
        <f aca="false">H183*(1+$B$13+$B$14+$B$15)</f>
        <v>5.21183151983255</v>
      </c>
      <c r="J183" s="34" t="n">
        <f aca="false">I183/$I$185</f>
        <v>0.013860724991097</v>
      </c>
    </row>
    <row r="184" customFormat="false" ht="15" hidden="false" customHeight="false" outlineLevel="0" collapsed="false">
      <c r="A184" s="6" t="s">
        <v>1867</v>
      </c>
      <c r="I184" s="30" t="n">
        <f aca="false">(I143+I144)*(1+$B$13+$B$14+$B$15)</f>
        <v>38.642</v>
      </c>
      <c r="J184" s="34" t="n">
        <f aca="false">I184/$I$185</f>
        <v>0.102767354061203</v>
      </c>
    </row>
    <row r="185" customFormat="false" ht="15" hidden="false" customHeight="false" outlineLevel="0" collapsed="false">
      <c r="A185" s="5" t="s">
        <v>1868</v>
      </c>
      <c r="C185" s="94" t="n">
        <f aca="false">SUM(C159:C183)</f>
        <v>2680.59125</v>
      </c>
      <c r="D185" s="94" t="n">
        <f aca="false">SUM(D159:D183)</f>
        <v>611.6</v>
      </c>
      <c r="E185" s="94" t="n">
        <f aca="false">SUM(E159:E183)</f>
        <v>1004.8425</v>
      </c>
      <c r="F185" s="94" t="n">
        <f aca="false">SUM(F159:F183)</f>
        <v>4297.03375</v>
      </c>
      <c r="H185" s="30" t="n">
        <f aca="false">SUM(H159:H183)</f>
        <v>242.71392199359</v>
      </c>
      <c r="I185" s="54" t="n">
        <f aca="false">SUM(I159:I183)+I184</f>
        <v>376.014351571091</v>
      </c>
    </row>
    <row r="186" customFormat="false" ht="15" hidden="false" customHeight="false" outlineLevel="0" collapsed="false">
      <c r="A186" s="6" t="s">
        <v>1869</v>
      </c>
      <c r="I186" s="25" t="n">
        <f aca="false">I185-I149</f>
        <v>0</v>
      </c>
    </row>
    <row r="188" customFormat="false" ht="15" hidden="false" customHeight="false" outlineLevel="0" collapsed="false">
      <c r="A188" s="3" t="s">
        <v>1870</v>
      </c>
      <c r="B188" s="4"/>
      <c r="C188" s="4"/>
      <c r="D188" s="4"/>
      <c r="E188" s="4"/>
      <c r="F188" s="4"/>
      <c r="G188" s="4"/>
      <c r="H188" s="4"/>
      <c r="I188" s="4"/>
      <c r="J188" s="4"/>
    </row>
    <row r="189" customFormat="false" ht="30" hidden="false" customHeight="true" outlineLevel="0" collapsed="false">
      <c r="A189" s="23" t="s">
        <v>1541</v>
      </c>
      <c r="B189" s="24" t="s">
        <v>97</v>
      </c>
      <c r="C189" s="24" t="s">
        <v>1871</v>
      </c>
      <c r="D189" s="24" t="s">
        <v>1604</v>
      </c>
      <c r="E189" s="24" t="s">
        <v>1872</v>
      </c>
    </row>
    <row r="190" customFormat="false" ht="15" hidden="false" customHeight="false" outlineLevel="0" collapsed="false">
      <c r="A190" s="6" t="s">
        <v>1591</v>
      </c>
      <c r="B190" s="75" t="n">
        <f aca="false">B129+C129+D129+E129</f>
        <v>320.05375</v>
      </c>
      <c r="C190" s="75" t="n">
        <f aca="false">$G$44</f>
        <v>72646.2423757195</v>
      </c>
      <c r="D190" s="25" t="n">
        <f aca="false">B190*C190/1000000</f>
        <v>23.2507022957579</v>
      </c>
      <c r="E190" s="25" t="n">
        <f aca="false">B190*$F$44/1000000</f>
        <v>0.305760452663298</v>
      </c>
    </row>
    <row r="191" customFormat="false" ht="15" hidden="false" customHeight="false" outlineLevel="0" collapsed="false">
      <c r="A191" s="6" t="s">
        <v>1593</v>
      </c>
      <c r="B191" s="75" t="n">
        <f aca="false">B130+C130+D130+E130</f>
        <v>488</v>
      </c>
      <c r="C191" s="75" t="n">
        <f aca="false">$G$45</f>
        <v>49426.0117608582</v>
      </c>
      <c r="D191" s="25" t="n">
        <f aca="false">B191*C191/1000000</f>
        <v>24.1198937392988</v>
      </c>
      <c r="E191" s="25" t="n">
        <f aca="false">B191*$F$45/1000000</f>
        <v>1.58516916787023</v>
      </c>
    </row>
    <row r="192" customFormat="false" ht="15" hidden="false" customHeight="false" outlineLevel="0" collapsed="false">
      <c r="A192" s="6" t="s">
        <v>1595</v>
      </c>
      <c r="B192" s="75" t="n">
        <f aca="false">B131+C131+D131+E131</f>
        <v>1192.5375</v>
      </c>
      <c r="C192" s="75" t="n">
        <f aca="false">$G$46</f>
        <v>53470.6571166928</v>
      </c>
      <c r="D192" s="25" t="n">
        <f aca="false">B192*C192/1000000</f>
        <v>63.7657637612981</v>
      </c>
      <c r="E192" s="25" t="n">
        <f aca="false">B192*$F$46/1000000</f>
        <v>8.69710781129808</v>
      </c>
    </row>
    <row r="193" customFormat="false" ht="15" hidden="false" customHeight="false" outlineLevel="0" collapsed="false">
      <c r="A193" s="6" t="s">
        <v>1596</v>
      </c>
      <c r="B193" s="75" t="n">
        <f aca="false">B132+C132+D132+E132</f>
        <v>384</v>
      </c>
      <c r="C193" s="75" t="n">
        <f aca="false">$G$47</f>
        <v>72930.0259026688</v>
      </c>
      <c r="D193" s="25" t="n">
        <f aca="false">B193*C193/1000000</f>
        <v>28.0051299466248</v>
      </c>
      <c r="E193" s="25" t="n">
        <f aca="false">B193*$F$47/1000000</f>
        <v>10.2728876609105</v>
      </c>
    </row>
    <row r="194" customFormat="false" ht="15" hidden="false" customHeight="false" outlineLevel="0" collapsed="false">
      <c r="A194" s="6" t="s">
        <v>1307</v>
      </c>
      <c r="B194" s="75" t="n">
        <f aca="false">B133+C133+D133+E133</f>
        <v>296</v>
      </c>
      <c r="C194" s="75" t="n">
        <f aca="false">$G$48</f>
        <v>46868.9884877028</v>
      </c>
      <c r="D194" s="25" t="n">
        <f aca="false">B194*C194/1000000</f>
        <v>13.87322059236</v>
      </c>
      <c r="E194" s="25" t="n">
        <f aca="false">B194*$F$48/1000000</f>
        <v>0.204617163788592</v>
      </c>
    </row>
    <row r="195" customFormat="false" ht="15" hidden="false" customHeight="false" outlineLevel="0" collapsed="false">
      <c r="A195" s="6" t="s">
        <v>1807</v>
      </c>
      <c r="D195" s="75" t="n">
        <f aca="false">SUM(B190:B194)</f>
        <v>2680.59125</v>
      </c>
    </row>
    <row r="196" customFormat="false" ht="15" hidden="false" customHeight="false" outlineLevel="0" collapsed="false">
      <c r="A196" s="6" t="s">
        <v>1873</v>
      </c>
      <c r="D196" s="25" t="n">
        <f aca="false">SUM(D190:D194)</f>
        <v>153.01471033534</v>
      </c>
    </row>
    <row r="197" customFormat="false" ht="15" hidden="false" customHeight="false" outlineLevel="0" collapsed="false">
      <c r="A197" s="6" t="s">
        <v>1817</v>
      </c>
      <c r="D197" s="25" t="n">
        <f aca="false">B143+C143+D143+E143</f>
        <v>7.7</v>
      </c>
    </row>
    <row r="198" customFormat="false" ht="15" hidden="false" customHeight="false" outlineLevel="0" collapsed="false">
      <c r="A198" s="6" t="s">
        <v>1818</v>
      </c>
      <c r="D198" s="25" t="n">
        <f aca="false">B144+C144+D144+E144</f>
        <v>0</v>
      </c>
    </row>
    <row r="199" customFormat="false" ht="15" hidden="false" customHeight="false" outlineLevel="0" collapsed="false">
      <c r="A199" s="5" t="s">
        <v>1820</v>
      </c>
      <c r="D199" s="30" t="n">
        <f aca="false">$D$196+$D$197+$D$198</f>
        <v>160.71471033534</v>
      </c>
    </row>
    <row r="200" customFormat="false" ht="15" hidden="false" customHeight="false" outlineLevel="0" collapsed="false">
      <c r="A200" s="6" t="s">
        <v>1821</v>
      </c>
      <c r="D200" s="25" t="n">
        <f aca="false">$B$13*$D$199</f>
        <v>38.5715304804815</v>
      </c>
    </row>
    <row r="201" customFormat="false" ht="15" hidden="false" customHeight="false" outlineLevel="0" collapsed="false">
      <c r="A201" s="6" t="s">
        <v>1823</v>
      </c>
      <c r="D201" s="25" t="n">
        <f aca="false">$B$14*$D$199</f>
        <v>8.03573551676698</v>
      </c>
    </row>
    <row r="202" customFormat="false" ht="15" hidden="false" customHeight="false" outlineLevel="0" collapsed="false">
      <c r="A202" s="6" t="s">
        <v>1824</v>
      </c>
      <c r="D202" s="25" t="n">
        <f aca="false">$B$15*$D$199</f>
        <v>16.071471033534</v>
      </c>
    </row>
    <row r="203" customFormat="false" ht="15" hidden="false" customHeight="false" outlineLevel="0" collapsed="false">
      <c r="A203" s="5" t="s">
        <v>1825</v>
      </c>
      <c r="D203" s="54" t="n">
        <f aca="false">$D$199+$D$200+$D$201+$D$202</f>
        <v>223.393447366122</v>
      </c>
    </row>
    <row r="204" customFormat="false" ht="15" hidden="false" customHeight="false" outlineLevel="0" collapsed="false">
      <c r="A204" s="6" t="s">
        <v>1826</v>
      </c>
      <c r="D204" s="25" t="n">
        <f aca="false">$B$16*$D$203</f>
        <v>42.4447549995632</v>
      </c>
    </row>
    <row r="205" customFormat="false" ht="15" hidden="false" customHeight="false" outlineLevel="0" collapsed="false">
      <c r="A205" s="5" t="s">
        <v>1827</v>
      </c>
      <c r="D205" s="30" t="n">
        <f aca="false">$D$203+$D$204</f>
        <v>265.838202365685</v>
      </c>
    </row>
    <row r="206" customFormat="false" ht="15" hidden="false" customHeight="false" outlineLevel="0" collapsed="false">
      <c r="A206" s="9" t="s">
        <v>1874</v>
      </c>
    </row>
    <row r="208" customFormat="false" ht="15" hidden="false" customHeight="false" outlineLevel="0" collapsed="false">
      <c r="A208" s="3" t="s">
        <v>1875</v>
      </c>
      <c r="B208" s="4"/>
      <c r="C208" s="4"/>
      <c r="D208" s="4"/>
      <c r="E208" s="4"/>
      <c r="F208" s="4"/>
      <c r="G208" s="4"/>
      <c r="H208" s="4"/>
      <c r="I208" s="4"/>
      <c r="J208" s="4"/>
    </row>
    <row r="209" customFormat="false" ht="30" hidden="false" customHeight="true" outlineLevel="0" collapsed="false">
      <c r="A209" s="23" t="s">
        <v>1541</v>
      </c>
      <c r="B209" s="24" t="s">
        <v>97</v>
      </c>
      <c r="C209" s="24" t="s">
        <v>1871</v>
      </c>
      <c r="D209" s="24" t="s">
        <v>1604</v>
      </c>
      <c r="E209" s="24" t="s">
        <v>1872</v>
      </c>
    </row>
    <row r="210" customFormat="false" ht="15" hidden="false" customHeight="false" outlineLevel="0" collapsed="false">
      <c r="A210" s="6" t="s">
        <v>1591</v>
      </c>
      <c r="B210" s="75" t="n">
        <f aca="false">F129</f>
        <v>55.6</v>
      </c>
      <c r="C210" s="75" t="n">
        <f aca="false">$G$44</f>
        <v>72646.2423757195</v>
      </c>
      <c r="D210" s="25" t="n">
        <f aca="false">B210*C210/1000000</f>
        <v>4.03913107609001</v>
      </c>
      <c r="E210" s="25" t="n">
        <f aca="false">B210*$F$44/1000000</f>
        <v>0.0531169566614338</v>
      </c>
    </row>
    <row r="211" customFormat="false" ht="15" hidden="false" customHeight="false" outlineLevel="0" collapsed="false">
      <c r="A211" s="6" t="s">
        <v>1593</v>
      </c>
      <c r="B211" s="75" t="n">
        <f aca="false">F130</f>
        <v>120</v>
      </c>
      <c r="C211" s="75" t="n">
        <f aca="false">$G$45</f>
        <v>49426.0117608582</v>
      </c>
      <c r="D211" s="25" t="n">
        <f aca="false">B211*C211/1000000</f>
        <v>5.93112141130298</v>
      </c>
      <c r="E211" s="25" t="n">
        <f aca="false">B211*$F$45/1000000</f>
        <v>0.389795697017269</v>
      </c>
    </row>
    <row r="212" customFormat="false" ht="15" hidden="false" customHeight="false" outlineLevel="0" collapsed="false">
      <c r="A212" s="6" t="s">
        <v>1595</v>
      </c>
      <c r="B212" s="75" t="n">
        <f aca="false">F131</f>
        <v>436</v>
      </c>
      <c r="C212" s="75" t="n">
        <f aca="false">$G$46</f>
        <v>53470.6571166928</v>
      </c>
      <c r="D212" s="25" t="n">
        <f aca="false">B212*C212/1000000</f>
        <v>23.3132065028781</v>
      </c>
      <c r="E212" s="25" t="n">
        <f aca="false">B212*$F$46/1000000</f>
        <v>3.17972307430665</v>
      </c>
    </row>
    <row r="213" customFormat="false" ht="15" hidden="false" customHeight="false" outlineLevel="0" collapsed="false">
      <c r="A213" s="6" t="s">
        <v>1596</v>
      </c>
      <c r="B213" s="75" t="n">
        <f aca="false">F132</f>
        <v>0</v>
      </c>
      <c r="C213" s="75" t="n">
        <f aca="false">$G$47</f>
        <v>72930.0259026688</v>
      </c>
      <c r="D213" s="25" t="n">
        <f aca="false">B213*C213/1000000</f>
        <v>0</v>
      </c>
      <c r="E213" s="25" t="n">
        <f aca="false">B213*$F$47/1000000</f>
        <v>0</v>
      </c>
    </row>
    <row r="214" customFormat="false" ht="15" hidden="false" customHeight="false" outlineLevel="0" collapsed="false">
      <c r="A214" s="6" t="s">
        <v>1307</v>
      </c>
      <c r="B214" s="75" t="n">
        <f aca="false">F133</f>
        <v>0</v>
      </c>
      <c r="C214" s="75" t="n">
        <f aca="false">$G$48</f>
        <v>46868.9884877028</v>
      </c>
      <c r="D214" s="25" t="n">
        <f aca="false">B214*C214/1000000</f>
        <v>0</v>
      </c>
      <c r="E214" s="25" t="n">
        <f aca="false">B214*$F$48/1000000</f>
        <v>0</v>
      </c>
    </row>
    <row r="215" customFormat="false" ht="15" hidden="false" customHeight="false" outlineLevel="0" collapsed="false">
      <c r="A215" s="6" t="s">
        <v>1807</v>
      </c>
      <c r="D215" s="75" t="n">
        <f aca="false">SUM(B210:B214)</f>
        <v>611.6</v>
      </c>
    </row>
    <row r="216" customFormat="false" ht="15" hidden="false" customHeight="false" outlineLevel="0" collapsed="false">
      <c r="A216" s="6" t="s">
        <v>1873</v>
      </c>
      <c r="D216" s="25" t="n">
        <f aca="false">SUM(D210:D214)</f>
        <v>33.2834589902711</v>
      </c>
    </row>
    <row r="217" customFormat="false" ht="15" hidden="false" customHeight="false" outlineLevel="0" collapsed="false">
      <c r="A217" s="6" t="s">
        <v>1817</v>
      </c>
      <c r="D217" s="25" t="n">
        <f aca="false">F143</f>
        <v>10.5</v>
      </c>
    </row>
    <row r="218" customFormat="false" ht="15" hidden="false" customHeight="false" outlineLevel="0" collapsed="false">
      <c r="A218" s="6" t="s">
        <v>1818</v>
      </c>
      <c r="D218" s="25" t="n">
        <f aca="false">F144</f>
        <v>3</v>
      </c>
    </row>
    <row r="219" customFormat="false" ht="15" hidden="false" customHeight="false" outlineLevel="0" collapsed="false">
      <c r="A219" s="5" t="s">
        <v>1820</v>
      </c>
      <c r="D219" s="30" t="n">
        <f aca="false">$D$216+$D$217+$D$218</f>
        <v>46.7834589902711</v>
      </c>
    </row>
    <row r="220" customFormat="false" ht="15" hidden="false" customHeight="false" outlineLevel="0" collapsed="false">
      <c r="A220" s="6" t="s">
        <v>1821</v>
      </c>
      <c r="D220" s="25" t="n">
        <f aca="false">$B$13*$D$219</f>
        <v>11.2280301576651</v>
      </c>
    </row>
    <row r="221" customFormat="false" ht="15" hidden="false" customHeight="false" outlineLevel="0" collapsed="false">
      <c r="A221" s="6" t="s">
        <v>1823</v>
      </c>
      <c r="D221" s="25" t="n">
        <f aca="false">$B$14*$D$219</f>
        <v>2.33917294951355</v>
      </c>
    </row>
    <row r="222" customFormat="false" ht="15" hidden="false" customHeight="false" outlineLevel="0" collapsed="false">
      <c r="A222" s="6" t="s">
        <v>1824</v>
      </c>
      <c r="D222" s="25" t="n">
        <f aca="false">$B$15*$D$219</f>
        <v>4.67834589902711</v>
      </c>
    </row>
    <row r="223" customFormat="false" ht="15" hidden="false" customHeight="false" outlineLevel="0" collapsed="false">
      <c r="A223" s="5" t="s">
        <v>1825</v>
      </c>
      <c r="D223" s="54" t="n">
        <f aca="false">$D$219+$D$220+$D$221+$D$222</f>
        <v>65.0290079964768</v>
      </c>
    </row>
    <row r="224" customFormat="false" ht="15" hidden="false" customHeight="false" outlineLevel="0" collapsed="false">
      <c r="A224" s="6" t="s">
        <v>1826</v>
      </c>
      <c r="D224" s="25" t="n">
        <f aca="false">$B$16*$D$223</f>
        <v>12.3555115193306</v>
      </c>
    </row>
    <row r="225" customFormat="false" ht="15" hidden="false" customHeight="false" outlineLevel="0" collapsed="false">
      <c r="A225" s="5" t="s">
        <v>1827</v>
      </c>
      <c r="D225" s="30" t="n">
        <f aca="false">$D$223+$D$224</f>
        <v>77.3845195158074</v>
      </c>
    </row>
    <row r="226" customFormat="false" ht="15" hidden="false" customHeight="false" outlineLevel="0" collapsed="false">
      <c r="A226" s="9" t="s">
        <v>1876</v>
      </c>
    </row>
    <row r="228" customFormat="false" ht="15" hidden="false" customHeight="false" outlineLevel="0" collapsed="false">
      <c r="A228" s="3" t="s">
        <v>1877</v>
      </c>
      <c r="B228" s="4"/>
      <c r="C228" s="4"/>
      <c r="D228" s="4"/>
      <c r="E228" s="4"/>
      <c r="F228" s="4"/>
      <c r="G228" s="4"/>
      <c r="H228" s="4"/>
      <c r="I228" s="4"/>
      <c r="J228" s="4"/>
    </row>
    <row r="229" customFormat="false" ht="30" hidden="false" customHeight="true" outlineLevel="0" collapsed="false">
      <c r="A229" s="23" t="s">
        <v>1541</v>
      </c>
      <c r="B229" s="24" t="s">
        <v>97</v>
      </c>
      <c r="C229" s="24" t="s">
        <v>1871</v>
      </c>
      <c r="D229" s="24" t="s">
        <v>1604</v>
      </c>
      <c r="E229" s="24" t="s">
        <v>1872</v>
      </c>
    </row>
    <row r="230" customFormat="false" ht="15" hidden="false" customHeight="false" outlineLevel="0" collapsed="false">
      <c r="A230" s="6" t="s">
        <v>1591</v>
      </c>
      <c r="B230" s="75" t="n">
        <f aca="false">G129</f>
        <v>113.1675</v>
      </c>
      <c r="C230" s="75" t="n">
        <f aca="false">$G$44</f>
        <v>72646.2423757195</v>
      </c>
      <c r="D230" s="25" t="n">
        <f aca="false">B230*C230/1000000</f>
        <v>8.22119363405424</v>
      </c>
      <c r="E230" s="25" t="n">
        <f aca="false">B230*$F$44/1000000</f>
        <v>0.108113546636381</v>
      </c>
    </row>
    <row r="231" customFormat="false" ht="15" hidden="false" customHeight="false" outlineLevel="0" collapsed="false">
      <c r="A231" s="6" t="s">
        <v>1593</v>
      </c>
      <c r="B231" s="75" t="n">
        <f aca="false">G130</f>
        <v>192</v>
      </c>
      <c r="C231" s="75" t="n">
        <f aca="false">$G$45</f>
        <v>49426.0117608582</v>
      </c>
      <c r="D231" s="25" t="n">
        <f aca="false">B231*C231/1000000</f>
        <v>9.48979425808478</v>
      </c>
      <c r="E231" s="25" t="n">
        <f aca="false">B231*$F$45/1000000</f>
        <v>0.62367311522763</v>
      </c>
    </row>
    <row r="232" customFormat="false" ht="15" hidden="false" customHeight="false" outlineLevel="0" collapsed="false">
      <c r="A232" s="6" t="s">
        <v>1595</v>
      </c>
      <c r="B232" s="75" t="n">
        <f aca="false">G131</f>
        <v>579.675</v>
      </c>
      <c r="C232" s="75" t="n">
        <f aca="false">$G$46</f>
        <v>53470.6571166928</v>
      </c>
      <c r="D232" s="25" t="n">
        <f aca="false">B232*C232/1000000</f>
        <v>30.9956031641189</v>
      </c>
      <c r="E232" s="25" t="n">
        <f aca="false">B232*$F$46/1000000</f>
        <v>4.22753663554749</v>
      </c>
    </row>
    <row r="233" customFormat="false" ht="15" hidden="false" customHeight="false" outlineLevel="0" collapsed="false">
      <c r="A233" s="6" t="s">
        <v>1596</v>
      </c>
      <c r="B233" s="75" t="n">
        <f aca="false">G132</f>
        <v>80</v>
      </c>
      <c r="C233" s="75" t="n">
        <f aca="false">$G$47</f>
        <v>72930.0259026688</v>
      </c>
      <c r="D233" s="25" t="n">
        <f aca="false">B233*C233/1000000</f>
        <v>5.8344020722135</v>
      </c>
      <c r="E233" s="25" t="n">
        <f aca="false">B233*$F$47/1000000</f>
        <v>2.14018492935636</v>
      </c>
    </row>
    <row r="234" customFormat="false" ht="15" hidden="false" customHeight="false" outlineLevel="0" collapsed="false">
      <c r="A234" s="6" t="s">
        <v>1307</v>
      </c>
      <c r="B234" s="75" t="n">
        <f aca="false">G133</f>
        <v>40</v>
      </c>
      <c r="C234" s="75" t="n">
        <f aca="false">$G$48</f>
        <v>46868.9884877028</v>
      </c>
      <c r="D234" s="25" t="n">
        <f aca="false">B234*C234/1000000</f>
        <v>1.87475953950811</v>
      </c>
      <c r="E234" s="25" t="n">
        <f aca="false">B234*$F$48/1000000</f>
        <v>0.0276509680795395</v>
      </c>
    </row>
    <row r="235" customFormat="false" ht="15" hidden="false" customHeight="false" outlineLevel="0" collapsed="false">
      <c r="A235" s="6" t="s">
        <v>1807</v>
      </c>
      <c r="D235" s="75" t="n">
        <f aca="false">SUM(B230:B234)</f>
        <v>1004.8425</v>
      </c>
    </row>
    <row r="236" customFormat="false" ht="15" hidden="false" customHeight="false" outlineLevel="0" collapsed="false">
      <c r="A236" s="6" t="s">
        <v>1873</v>
      </c>
      <c r="D236" s="25" t="n">
        <f aca="false">SUM(D230:D234)</f>
        <v>56.4157526679795</v>
      </c>
    </row>
    <row r="237" customFormat="false" ht="15" hidden="false" customHeight="false" outlineLevel="0" collapsed="false">
      <c r="A237" s="6" t="s">
        <v>1817</v>
      </c>
      <c r="D237" s="25" t="n">
        <f aca="false">G143</f>
        <v>5.6</v>
      </c>
    </row>
    <row r="238" customFormat="false" ht="15" hidden="false" customHeight="false" outlineLevel="0" collapsed="false">
      <c r="A238" s="6" t="s">
        <v>1818</v>
      </c>
      <c r="D238" s="25" t="n">
        <f aca="false">G144</f>
        <v>1</v>
      </c>
    </row>
    <row r="239" customFormat="false" ht="15" hidden="false" customHeight="false" outlineLevel="0" collapsed="false">
      <c r="A239" s="5" t="s">
        <v>1820</v>
      </c>
      <c r="D239" s="30" t="n">
        <f aca="false">$D$236+$D$237+$D$238</f>
        <v>63.0157526679795</v>
      </c>
    </row>
    <row r="240" customFormat="false" ht="15" hidden="false" customHeight="false" outlineLevel="0" collapsed="false">
      <c r="A240" s="6" t="s">
        <v>1821</v>
      </c>
      <c r="D240" s="25" t="n">
        <f aca="false">$B$13*$D$239</f>
        <v>15.1237806403151</v>
      </c>
    </row>
    <row r="241" customFormat="false" ht="15" hidden="false" customHeight="false" outlineLevel="0" collapsed="false">
      <c r="A241" s="6" t="s">
        <v>1823</v>
      </c>
      <c r="D241" s="25" t="n">
        <f aca="false">$B$14*$D$239</f>
        <v>3.15078763339898</v>
      </c>
    </row>
    <row r="242" customFormat="false" ht="15" hidden="false" customHeight="false" outlineLevel="0" collapsed="false">
      <c r="A242" s="6" t="s">
        <v>1824</v>
      </c>
      <c r="D242" s="25" t="n">
        <f aca="false">$B$15*$D$239</f>
        <v>6.30157526679795</v>
      </c>
    </row>
    <row r="243" customFormat="false" ht="15" hidden="false" customHeight="false" outlineLevel="0" collapsed="false">
      <c r="A243" s="5" t="s">
        <v>1825</v>
      </c>
      <c r="D243" s="54" t="n">
        <f aca="false">$D$239+$D$240+$D$241+$D$242</f>
        <v>87.5918962084916</v>
      </c>
    </row>
    <row r="244" customFormat="false" ht="15" hidden="false" customHeight="false" outlineLevel="0" collapsed="false">
      <c r="A244" s="6" t="s">
        <v>1826</v>
      </c>
      <c r="D244" s="25" t="n">
        <f aca="false">$B$16*$D$243</f>
        <v>16.6424602796134</v>
      </c>
    </row>
    <row r="245" customFormat="false" ht="15" hidden="false" customHeight="false" outlineLevel="0" collapsed="false">
      <c r="A245" s="5" t="s">
        <v>1827</v>
      </c>
      <c r="D245" s="30" t="n">
        <f aca="false">$D$243+$D$244</f>
        <v>104.234356488105</v>
      </c>
    </row>
    <row r="246" customFormat="false" ht="15" hidden="false" customHeight="false" outlineLevel="0" collapsed="false">
      <c r="A246" s="9" t="s">
        <v>1878</v>
      </c>
    </row>
    <row r="248" customFormat="false" ht="15" hidden="false" customHeight="false" outlineLevel="0" collapsed="false">
      <c r="A248" s="3" t="s">
        <v>1879</v>
      </c>
      <c r="B248" s="4"/>
      <c r="C248" s="4"/>
      <c r="D248" s="4"/>
      <c r="E248" s="4"/>
      <c r="F248" s="4"/>
      <c r="G248" s="4"/>
      <c r="H248" s="4"/>
      <c r="I248" s="4"/>
      <c r="J248" s="4"/>
    </row>
    <row r="249" customFormat="false" ht="23.85" hidden="false" customHeight="false" outlineLevel="0" collapsed="false">
      <c r="A249" s="23" t="s">
        <v>109</v>
      </c>
      <c r="B249" s="24" t="s">
        <v>1607</v>
      </c>
      <c r="C249" s="24" t="s">
        <v>1734</v>
      </c>
      <c r="D249" s="24" t="s">
        <v>1754</v>
      </c>
      <c r="E249" s="24" t="s">
        <v>88</v>
      </c>
    </row>
    <row r="250" customFormat="false" ht="15" hidden="false" customHeight="false" outlineLevel="0" collapsed="false">
      <c r="A250" s="6" t="s">
        <v>1880</v>
      </c>
      <c r="B250" s="25" t="n">
        <f aca="false">$D$203</f>
        <v>223.393447366122</v>
      </c>
      <c r="C250" s="25" t="n">
        <f aca="false">$D$223</f>
        <v>65.0290079964768</v>
      </c>
      <c r="D250" s="25" t="n">
        <f aca="false">$D$243</f>
        <v>87.5918962084916</v>
      </c>
      <c r="E250" s="25" t="n">
        <f aca="false">B250+C250+D250</f>
        <v>376.01435157109</v>
      </c>
    </row>
    <row r="251" customFormat="false" ht="15" hidden="false" customHeight="false" outlineLevel="0" collapsed="false">
      <c r="A251" s="6" t="s">
        <v>1881</v>
      </c>
      <c r="B251" s="25" t="n">
        <f aca="false">-(($D$191-$E$191)+($D$192-$E$192)+($D$193-$E$193)+($D$194-$E$194))</f>
        <v>-109.004226235714</v>
      </c>
      <c r="C251" s="25" t="n">
        <f aca="false">-(($D$211-$E$211)+($D$212-$E$212)+($D$213-$E$213)+($D$214-$E$214))</f>
        <v>-25.6748091428571</v>
      </c>
      <c r="D251" s="25" t="n">
        <f aca="false">-(($D$231-$E$231)+($D$232-$E$232)+($D$233-$E$233)+($D$234-$E$234))</f>
        <v>-41.1755133857143</v>
      </c>
      <c r="E251" s="25" t="n">
        <f aca="false">B251+C251+D251</f>
        <v>-175.854548764286</v>
      </c>
    </row>
    <row r="252" customFormat="false" ht="15" hidden="false" customHeight="false" outlineLevel="0" collapsed="false">
      <c r="A252" s="6" t="s">
        <v>1882</v>
      </c>
      <c r="B252" s="25" t="n">
        <f aca="false">-($D$190-$E$190)</f>
        <v>-22.9449418430947</v>
      </c>
      <c r="C252" s="25" t="n">
        <f aca="false">-($D$210-$E$210)</f>
        <v>-3.98601411942857</v>
      </c>
      <c r="D252" s="25" t="n">
        <f aca="false">-($D$230-$E$230)</f>
        <v>-8.11308008741786</v>
      </c>
      <c r="E252" s="25" t="n">
        <f aca="false">B252+C252+D252</f>
        <v>-35.0440360499411</v>
      </c>
    </row>
    <row r="253" customFormat="false" ht="15" hidden="false" customHeight="false" outlineLevel="0" collapsed="false">
      <c r="A253" s="6" t="s">
        <v>1883</v>
      </c>
      <c r="B253" s="25" t="n">
        <f aca="false">-($E$190+$E$191+$E$192+$E$193+$E$194)</f>
        <v>-21.0655422565307</v>
      </c>
      <c r="C253" s="25" t="n">
        <f aca="false">-($E$210+$E$211+$E$212+$E$213+$E$214)</f>
        <v>-3.62263572798535</v>
      </c>
      <c r="D253" s="25" t="n">
        <f aca="false">-($E$230+$E$231+$E$232+$E$233+$E$234)</f>
        <v>-7.1271591948474</v>
      </c>
      <c r="E253" s="25" t="n">
        <f aca="false">B253+C253+D253</f>
        <v>-31.8153371793635</v>
      </c>
    </row>
    <row r="254" customFormat="false" ht="15" hidden="false" customHeight="false" outlineLevel="0" collapsed="false">
      <c r="A254" s="6" t="s">
        <v>1884</v>
      </c>
      <c r="B254" s="25" t="n">
        <f aca="false">-$D$197</f>
        <v>-7.7</v>
      </c>
      <c r="C254" s="25" t="n">
        <f aca="false">-$D$217</f>
        <v>-10.5</v>
      </c>
      <c r="D254" s="25" t="n">
        <f aca="false">-$D$237</f>
        <v>-5.6</v>
      </c>
      <c r="E254" s="25" t="n">
        <f aca="false">B254+C254+D254</f>
        <v>-23.8</v>
      </c>
    </row>
    <row r="255" customFormat="false" ht="15" hidden="false" customHeight="false" outlineLevel="0" collapsed="false">
      <c r="A255" s="6" t="s">
        <v>1885</v>
      </c>
      <c r="B255" s="25" t="n">
        <f aca="false">-$D$198</f>
        <v>-0</v>
      </c>
      <c r="C255" s="25" t="n">
        <f aca="false">-$D$218</f>
        <v>-3</v>
      </c>
      <c r="D255" s="25" t="n">
        <f aca="false">-$D$238</f>
        <v>-1</v>
      </c>
      <c r="E255" s="25" t="n">
        <f aca="false">B255+C255+D255</f>
        <v>-4</v>
      </c>
    </row>
    <row r="256" customFormat="false" ht="15" hidden="false" customHeight="false" outlineLevel="0" collapsed="false">
      <c r="A256" s="6" t="s">
        <v>1886</v>
      </c>
      <c r="B256" s="25" t="n">
        <f aca="false">-$D$200</f>
        <v>-38.5715304804815</v>
      </c>
      <c r="C256" s="25" t="n">
        <f aca="false">-$D$220</f>
        <v>-11.2280301576651</v>
      </c>
      <c r="D256" s="25" t="n">
        <f aca="false">-$D$240</f>
        <v>-15.1237806403151</v>
      </c>
      <c r="E256" s="25" t="n">
        <f aca="false">B256+C256+D256</f>
        <v>-64.9233412784617</v>
      </c>
    </row>
    <row r="257" customFormat="false" ht="15" hidden="false" customHeight="false" outlineLevel="0" collapsed="false">
      <c r="A257" s="6" t="s">
        <v>1887</v>
      </c>
      <c r="B257" s="25" t="n">
        <f aca="false">-$D$201</f>
        <v>-8.03573551676698</v>
      </c>
      <c r="C257" s="25" t="n">
        <f aca="false">-$D$221</f>
        <v>-2.33917294951355</v>
      </c>
      <c r="D257" s="25" t="n">
        <f aca="false">-$D$241</f>
        <v>-3.15078763339898</v>
      </c>
      <c r="E257" s="25" t="n">
        <f aca="false">B257+C257+D257</f>
        <v>-13.5256960996795</v>
      </c>
    </row>
    <row r="258" customFormat="false" ht="15" hidden="false" customHeight="false" outlineLevel="0" collapsed="false">
      <c r="A258" s="5" t="s">
        <v>1480</v>
      </c>
      <c r="B258" s="30" t="n">
        <f aca="false">SUM(B250:B257)</f>
        <v>16.0714710335339</v>
      </c>
      <c r="C258" s="30" t="n">
        <f aca="false">SUM(C250:C257)</f>
        <v>4.67834589902711</v>
      </c>
      <c r="D258" s="30" t="n">
        <f aca="false">SUM(D250:D257)</f>
        <v>6.30157526679796</v>
      </c>
      <c r="E258" s="30" t="n">
        <f aca="false">B258+C258+D258</f>
        <v>27.051392199359</v>
      </c>
    </row>
    <row r="259" customFormat="false" ht="15" hidden="false" customHeight="false" outlineLevel="0" collapsed="false">
      <c r="A259" s="6" t="s">
        <v>1888</v>
      </c>
      <c r="B259" s="25" t="n">
        <f aca="false">-$B$17*B258</f>
        <v>-5.62501486173687</v>
      </c>
      <c r="C259" s="25" t="n">
        <f aca="false">-$B$17*C258</f>
        <v>-1.63742106465949</v>
      </c>
      <c r="D259" s="25" t="n">
        <f aca="false">-$B$17*D258</f>
        <v>-2.20555134337929</v>
      </c>
      <c r="E259" s="25" t="n">
        <f aca="false">B259+C259+D259</f>
        <v>-9.46798726977564</v>
      </c>
    </row>
    <row r="260" customFormat="false" ht="15" hidden="false" customHeight="false" outlineLevel="0" collapsed="false">
      <c r="A260" s="5" t="s">
        <v>1889</v>
      </c>
      <c r="B260" s="30" t="n">
        <f aca="false">B258+B259</f>
        <v>10.446456171797</v>
      </c>
      <c r="C260" s="30" t="n">
        <f aca="false">C258+C259</f>
        <v>3.04092483436762</v>
      </c>
      <c r="D260" s="30" t="n">
        <f aca="false">D258+D259</f>
        <v>4.09602392341867</v>
      </c>
      <c r="E260" s="30" t="n">
        <f aca="false">B260+C260+D260</f>
        <v>17.5834049295833</v>
      </c>
    </row>
    <row r="261" customFormat="false" ht="15" hidden="false" customHeight="false" outlineLevel="0" collapsed="false">
      <c r="A261" s="6" t="s">
        <v>1890</v>
      </c>
      <c r="B261" s="25" t="n">
        <f aca="false">B260/$B$20</f>
        <v>1.74107602863284</v>
      </c>
      <c r="C261" s="25" t="n">
        <f aca="false">C260/$B$20</f>
        <v>0.506820805727937</v>
      </c>
      <c r="D261" s="25" t="n">
        <f aca="false">D260/$B$20</f>
        <v>0.682670653903112</v>
      </c>
      <c r="E261" s="25" t="n">
        <f aca="false">B261+C261+D261</f>
        <v>2.93056748826389</v>
      </c>
    </row>
    <row r="262" customFormat="false" ht="15" hidden="false" customHeight="false" outlineLevel="0" collapsed="false">
      <c r="A262" s="9" t="s">
        <v>1891</v>
      </c>
    </row>
    <row r="264" customFormat="false" ht="15" hidden="false" customHeight="false" outlineLevel="0" collapsed="false">
      <c r="A264" s="3" t="s">
        <v>1892</v>
      </c>
      <c r="B264" s="4"/>
      <c r="C264" s="4"/>
      <c r="D264" s="4"/>
      <c r="E264" s="4"/>
      <c r="F264" s="4"/>
      <c r="G264" s="4"/>
      <c r="H264" s="4"/>
      <c r="I264" s="4"/>
      <c r="J264" s="4"/>
    </row>
    <row r="265" customFormat="false" ht="15" hidden="false" customHeight="false" outlineLevel="0" collapsed="false">
      <c r="A265" s="23" t="s">
        <v>152</v>
      </c>
      <c r="B265" s="24" t="s">
        <v>188</v>
      </c>
      <c r="C265" s="24"/>
      <c r="D265" s="24" t="s">
        <v>67</v>
      </c>
    </row>
    <row r="266" customFormat="false" ht="15" hidden="false" customHeight="false" outlineLevel="0" collapsed="false">
      <c r="A266" s="6" t="s">
        <v>1893</v>
      </c>
      <c r="B266" s="8" t="n">
        <f aca="false">$B$15/(1+$B$13+$B$14+$B$15)</f>
        <v>0.0719424460431655</v>
      </c>
      <c r="D266" s="9" t="s">
        <v>1894</v>
      </c>
    </row>
    <row r="267" customFormat="false" ht="15" hidden="false" customHeight="false" outlineLevel="0" collapsed="false">
      <c r="A267" s="6" t="s">
        <v>1895</v>
      </c>
      <c r="B267" s="8" t="n">
        <f aca="false">$E$258/$E$250</f>
        <v>0.0719424460431653</v>
      </c>
      <c r="D267" s="9"/>
    </row>
    <row r="268" customFormat="false" ht="15" hidden="false" customHeight="false" outlineLevel="0" collapsed="false">
      <c r="A268" s="6" t="s">
        <v>1896</v>
      </c>
      <c r="B268" s="8" t="n">
        <f aca="false">$E$260/$E$250</f>
        <v>0.0467625899280575</v>
      </c>
      <c r="D268" s="9"/>
    </row>
    <row r="269" customFormat="false" ht="15" hidden="false" customHeight="false" outlineLevel="0" collapsed="false">
      <c r="A269" s="6" t="s">
        <v>1897</v>
      </c>
      <c r="B269" s="12" t="n">
        <f aca="false">$E$250/($D$190-$E$190+$D$191-$E$191+$D$192-$E$192+$D$193-$E$193+$D$194-$E$194+$D$210-$E$210+$D$211-$E$211+$D$212-$E$212+$D$213-$E$213+$D$214-$E$214+$D$230-$E$230+$D$231-$E$231+$D$232-$E$232+$D$233-$E$233+$D$234-$E$234)</f>
        <v>1.78291547997967</v>
      </c>
      <c r="D269" s="9" t="s">
        <v>1898</v>
      </c>
    </row>
    <row r="270" customFormat="false" ht="15" hidden="false" customHeight="false" outlineLevel="0" collapsed="false">
      <c r="A270" s="6" t="s">
        <v>1899</v>
      </c>
      <c r="B270" s="30" t="n">
        <f aca="false">$E$258-$E$257</f>
        <v>40.5770882990385</v>
      </c>
      <c r="D270" s="9" t="s">
        <v>1900</v>
      </c>
    </row>
    <row r="271" customFormat="false" ht="15" hidden="false" customHeight="false" outlineLevel="0" collapsed="false">
      <c r="A271" s="6" t="s">
        <v>1901</v>
      </c>
      <c r="B271" s="30" t="n">
        <f aca="false">$E$258-$E$257-0.1*($D$196+$D$216+$D$236)</f>
        <v>16.3056960996795</v>
      </c>
      <c r="D271" s="9" t="s">
        <v>1902</v>
      </c>
    </row>
    <row r="272" customFormat="false" ht="15" hidden="false" customHeight="false" outlineLevel="0" collapsed="false">
      <c r="A272" s="6" t="s">
        <v>1903</v>
      </c>
      <c r="B272" s="30" t="n">
        <f aca="false">$E$258-$E$257-0.2*($D$196+$D$216+$D$236)</f>
        <v>-7.96569609967957</v>
      </c>
      <c r="D272" s="9"/>
    </row>
    <row r="273" customFormat="false" ht="15" hidden="false" customHeight="false" outlineLevel="0" collapsed="false">
      <c r="A273" s="6" t="s">
        <v>1904</v>
      </c>
      <c r="B273" s="8" t="n">
        <f aca="false">($E$258-$E$257)/($D$196+$D$216+$D$236)</f>
        <v>0.167180720272445</v>
      </c>
      <c r="D273" s="9" t="s">
        <v>1905</v>
      </c>
    </row>
    <row r="275" customFormat="false" ht="15" hidden="false" customHeight="false" outlineLevel="0" collapsed="false">
      <c r="A275" s="3" t="s">
        <v>1906</v>
      </c>
      <c r="B275" s="4"/>
      <c r="C275" s="4"/>
      <c r="D275" s="4"/>
      <c r="E275" s="4"/>
      <c r="F275" s="4"/>
      <c r="G275" s="4"/>
      <c r="H275" s="4"/>
      <c r="I275" s="4"/>
      <c r="J275" s="4"/>
    </row>
    <row r="276" customFormat="false" ht="23.85" hidden="false" customHeight="false" outlineLevel="0" collapsed="false">
      <c r="A276" s="23" t="s">
        <v>1907</v>
      </c>
      <c r="B276" s="24" t="s">
        <v>97</v>
      </c>
      <c r="C276" s="24" t="s">
        <v>1908</v>
      </c>
      <c r="D276" s="24" t="s">
        <v>1909</v>
      </c>
      <c r="E276" s="24" t="s">
        <v>1910</v>
      </c>
      <c r="F276" s="24" t="s">
        <v>1911</v>
      </c>
    </row>
    <row r="277" customFormat="false" ht="15" hidden="false" customHeight="false" outlineLevel="0" collapsed="false">
      <c r="A277" s="6" t="s">
        <v>1591</v>
      </c>
      <c r="B277" s="75" t="n">
        <f aca="false">(B190+B210+B230)/1</f>
        <v>488.82125</v>
      </c>
      <c r="C277" s="25" t="n">
        <f aca="false">B277*$B$9*$B$6/$B$7</f>
        <v>25.3942290216964</v>
      </c>
      <c r="D277" s="25" t="n">
        <v>0</v>
      </c>
      <c r="E277" s="25" t="n">
        <f aca="false">$E$261</f>
        <v>2.93056748826389</v>
      </c>
      <c r="F277" s="30" t="n">
        <f aca="false">C277+D277+E277</f>
        <v>28.3247965099603</v>
      </c>
    </row>
    <row r="278" customFormat="false" ht="15" hidden="false" customHeight="false" outlineLevel="0" collapsed="false">
      <c r="A278" s="6" t="s">
        <v>1593</v>
      </c>
      <c r="B278" s="75" t="n">
        <f aca="false">(B191+B211+B231)/1</f>
        <v>800</v>
      </c>
      <c r="C278" s="25" t="n">
        <f aca="false">(D191-E191+D211-E211+D231-E231)/1</f>
        <v>36.9421714285714</v>
      </c>
      <c r="D278" s="25" t="n">
        <f aca="false">-$B$18*C278</f>
        <v>-4.2885427968</v>
      </c>
      <c r="E278" s="25" t="n">
        <f aca="false">$E$261</f>
        <v>2.93056748826389</v>
      </c>
      <c r="F278" s="30" t="n">
        <f aca="false">C278+D278+E278</f>
        <v>35.5841961200353</v>
      </c>
    </row>
    <row r="279" customFormat="false" ht="15" hidden="false" customHeight="false" outlineLevel="0" collapsed="false">
      <c r="A279" s="6" t="s">
        <v>1912</v>
      </c>
      <c r="B279" s="75" t="n">
        <f aca="false">(B192+B212+B232)/2</f>
        <v>1104.10625</v>
      </c>
      <c r="C279" s="25" t="n">
        <f aca="false">(D192-E192+D212-E212+D232-E232)/2</f>
        <v>50.9851029535714</v>
      </c>
      <c r="D279" s="25" t="n">
        <f aca="false">-$B$18*C279</f>
        <v>-5.9187586316742</v>
      </c>
      <c r="E279" s="25" t="n">
        <f aca="false">$E$261</f>
        <v>2.93056748826389</v>
      </c>
      <c r="F279" s="30" t="n">
        <f aca="false">C279+D279+E279</f>
        <v>47.9969118101611</v>
      </c>
    </row>
    <row r="280" customFormat="false" ht="15" hidden="false" customHeight="false" outlineLevel="0" collapsed="false">
      <c r="A280" s="6" t="s">
        <v>1596</v>
      </c>
      <c r="B280" s="75" t="n">
        <f aca="false">(B193+B213+B233)/1</f>
        <v>464</v>
      </c>
      <c r="C280" s="25" t="n">
        <f aca="false">(D193-E193+D213-E213+D233-E233)/1</f>
        <v>21.4264594285714</v>
      </c>
      <c r="D280" s="25" t="n">
        <f aca="false">-$B$18*C280</f>
        <v>-2.487354822144</v>
      </c>
      <c r="E280" s="25" t="n">
        <f aca="false">$E$261</f>
        <v>2.93056748826389</v>
      </c>
      <c r="F280" s="30" t="n">
        <f aca="false">C280+D280+E280</f>
        <v>21.8696720946913</v>
      </c>
    </row>
    <row r="281" customFormat="false" ht="15" hidden="false" customHeight="false" outlineLevel="0" collapsed="false">
      <c r="A281" s="6" t="s">
        <v>1307</v>
      </c>
      <c r="B281" s="75" t="n">
        <f aca="false">(B194+B214+B234)/1</f>
        <v>336</v>
      </c>
      <c r="C281" s="25" t="n">
        <f aca="false">(D194-E194+D214-E214+D234-E234)/1</f>
        <v>15.515712</v>
      </c>
      <c r="D281" s="25" t="n">
        <f aca="false">-$B$18*C281</f>
        <v>-1.801187974656</v>
      </c>
      <c r="E281" s="25" t="n">
        <f aca="false">$E$261</f>
        <v>2.93056748826389</v>
      </c>
      <c r="F281" s="30" t="n">
        <f aca="false">C281+D281+E281</f>
        <v>16.6450915136079</v>
      </c>
    </row>
    <row r="282" customFormat="false" ht="15" hidden="false" customHeight="false" outlineLevel="0" collapsed="false">
      <c r="A282" s="9" t="s">
        <v>1913</v>
      </c>
    </row>
    <row r="284" customFormat="false" ht="15" hidden="false" customHeight="false" outlineLevel="0" collapsed="false">
      <c r="A284" s="3" t="s">
        <v>1914</v>
      </c>
      <c r="B284" s="4"/>
      <c r="C284" s="4"/>
      <c r="D284" s="4"/>
      <c r="E284" s="4"/>
      <c r="F284" s="4"/>
      <c r="G284" s="4"/>
      <c r="H284" s="4"/>
      <c r="I284" s="4"/>
      <c r="J284" s="4"/>
    </row>
    <row r="285" customFormat="false" ht="15" hidden="false" customHeight="false" outlineLevel="0" collapsed="false">
      <c r="A285" s="23" t="s">
        <v>1915</v>
      </c>
      <c r="B285" s="24" t="s">
        <v>1916</v>
      </c>
      <c r="C285" s="24" t="s">
        <v>1917</v>
      </c>
      <c r="D285" s="24" t="s">
        <v>1918</v>
      </c>
      <c r="E285" s="24" t="s">
        <v>1919</v>
      </c>
    </row>
    <row r="286" customFormat="false" ht="15" hidden="false" customHeight="false" outlineLevel="0" collapsed="false">
      <c r="A286" s="6" t="s">
        <v>1920</v>
      </c>
      <c r="B286" s="46" t="n">
        <v>0.3</v>
      </c>
      <c r="C286" s="25" t="n">
        <f aca="false">B286*$D$203</f>
        <v>67.0180342098366</v>
      </c>
      <c r="D286" s="25" t="n">
        <f aca="false">B286*$D$205</f>
        <v>79.7514607097056</v>
      </c>
      <c r="E286" s="9" t="s">
        <v>1921</v>
      </c>
    </row>
    <row r="287" customFormat="false" ht="15" hidden="false" customHeight="false" outlineLevel="0" collapsed="false">
      <c r="A287" s="6" t="s">
        <v>1922</v>
      </c>
      <c r="B287" s="46" t="n">
        <v>0.4</v>
      </c>
      <c r="C287" s="25" t="n">
        <f aca="false">B287*$D$203</f>
        <v>89.3573789464488</v>
      </c>
      <c r="D287" s="25" t="n">
        <f aca="false">B287*$D$205</f>
        <v>106.335280946274</v>
      </c>
      <c r="E287" s="9" t="s">
        <v>1923</v>
      </c>
    </row>
    <row r="288" customFormat="false" ht="15" hidden="false" customHeight="false" outlineLevel="0" collapsed="false">
      <c r="A288" s="6" t="s">
        <v>1924</v>
      </c>
      <c r="B288" s="46" t="n">
        <v>0.3</v>
      </c>
      <c r="C288" s="25" t="n">
        <f aca="false">B288*$D$203</f>
        <v>67.0180342098366</v>
      </c>
      <c r="D288" s="25" t="n">
        <f aca="false">B288*$D$205</f>
        <v>79.7514607097056</v>
      </c>
      <c r="E288" s="9" t="s">
        <v>1925</v>
      </c>
    </row>
    <row r="289" customFormat="false" ht="15" hidden="false" customHeight="false" outlineLevel="0" collapsed="false">
      <c r="A289" s="6" t="s">
        <v>1926</v>
      </c>
      <c r="B289" s="46" t="n">
        <v>0.5</v>
      </c>
      <c r="C289" s="25" t="n">
        <f aca="false">B289*$D$223</f>
        <v>32.5145039982384</v>
      </c>
      <c r="D289" s="25" t="n">
        <f aca="false">B289*$D$225</f>
        <v>38.6922597579037</v>
      </c>
      <c r="E289" s="9" t="s">
        <v>1927</v>
      </c>
    </row>
    <row r="290" customFormat="false" ht="15" hidden="false" customHeight="false" outlineLevel="0" collapsed="false">
      <c r="A290" s="6" t="s">
        <v>1928</v>
      </c>
      <c r="B290" s="46" t="n">
        <v>0.5</v>
      </c>
      <c r="C290" s="25" t="n">
        <f aca="false">B290*$D$223</f>
        <v>32.5145039982384</v>
      </c>
      <c r="D290" s="25" t="n">
        <f aca="false">B290*$D$225</f>
        <v>38.6922597579037</v>
      </c>
      <c r="E290" s="9" t="s">
        <v>1929</v>
      </c>
    </row>
    <row r="291" customFormat="false" ht="15" hidden="false" customHeight="false" outlineLevel="0" collapsed="false">
      <c r="A291" s="6" t="s">
        <v>1930</v>
      </c>
      <c r="B291" s="46" t="n">
        <v>0.5</v>
      </c>
      <c r="C291" s="25" t="n">
        <f aca="false">B291*$D$243</f>
        <v>43.7959481042458</v>
      </c>
      <c r="D291" s="25" t="n">
        <f aca="false">B291*$D$245</f>
        <v>52.1171782440525</v>
      </c>
      <c r="E291" s="9" t="s">
        <v>1931</v>
      </c>
    </row>
    <row r="292" customFormat="false" ht="15" hidden="false" customHeight="false" outlineLevel="0" collapsed="false">
      <c r="A292" s="6" t="s">
        <v>1932</v>
      </c>
      <c r="B292" s="46" t="n">
        <v>0.5</v>
      </c>
      <c r="C292" s="25" t="n">
        <f aca="false">B292*$D$243</f>
        <v>43.7959481042458</v>
      </c>
      <c r="D292" s="25" t="n">
        <f aca="false">B292*$D$245</f>
        <v>52.1171782440525</v>
      </c>
      <c r="E292" s="9" t="s">
        <v>132</v>
      </c>
    </row>
    <row r="294" customFormat="false" ht="15" hidden="false" customHeight="false" outlineLevel="0" collapsed="false">
      <c r="A294" s="3" t="s">
        <v>1933</v>
      </c>
      <c r="B294" s="4"/>
      <c r="C294" s="4"/>
      <c r="D294" s="4"/>
      <c r="E294" s="4"/>
      <c r="F294" s="4"/>
      <c r="G294" s="4"/>
      <c r="H294" s="4"/>
      <c r="I294" s="4"/>
      <c r="J294" s="4"/>
    </row>
    <row r="295" customFormat="false" ht="43.5" hidden="false" customHeight="true" outlineLevel="0" collapsed="false">
      <c r="A295" s="32" t="s">
        <v>1934</v>
      </c>
      <c r="B295" s="32"/>
      <c r="C295" s="32"/>
      <c r="D295" s="32"/>
      <c r="E295" s="32"/>
      <c r="F295" s="32"/>
      <c r="G295" s="32"/>
      <c r="H295" s="32"/>
      <c r="I295" s="32"/>
      <c r="J295" s="32"/>
      <c r="K295" s="32"/>
    </row>
    <row r="296" customFormat="false" ht="30" hidden="false" customHeight="true" outlineLevel="0" collapsed="false">
      <c r="A296" s="23" t="s">
        <v>988</v>
      </c>
      <c r="B296" s="24" t="s">
        <v>1935</v>
      </c>
      <c r="C296" s="24" t="s">
        <v>1936</v>
      </c>
      <c r="D296" s="24" t="s">
        <v>1937</v>
      </c>
      <c r="E296" s="24" t="s">
        <v>1938</v>
      </c>
    </row>
    <row r="297" customFormat="false" ht="15" hidden="false" customHeight="false" outlineLevel="0" collapsed="false">
      <c r="A297" s="6" t="s">
        <v>1843</v>
      </c>
      <c r="B297" s="51" t="n">
        <v>1</v>
      </c>
      <c r="C297" s="73" t="n">
        <v>2</v>
      </c>
      <c r="D297" s="73" t="n">
        <f aca="false">B297+C297-1</f>
        <v>2</v>
      </c>
      <c r="E297" s="25" t="n">
        <f aca="false">SUMIFS($J$55:$J$125,$I$55:$I$125,"1.1",$B$55:$B$125,"Contrato principal")</f>
        <v>4.35877454254317</v>
      </c>
    </row>
    <row r="298" customFormat="false" ht="15" hidden="false" customHeight="false" outlineLevel="0" collapsed="false">
      <c r="A298" s="6" t="s">
        <v>1844</v>
      </c>
      <c r="B298" s="51" t="n">
        <v>1</v>
      </c>
      <c r="C298" s="73" t="n">
        <v>16</v>
      </c>
      <c r="D298" s="73" t="n">
        <f aca="false">B298+C298-1</f>
        <v>16</v>
      </c>
      <c r="E298" s="25" t="n">
        <f aca="false">SUMIFS($J$55:$J$125,$I$55:$I$125,"1.2",$B$55:$B$125,"Contrato principal")</f>
        <v>17.1484179361975</v>
      </c>
    </row>
    <row r="299" customFormat="false" ht="15" hidden="false" customHeight="false" outlineLevel="0" collapsed="false">
      <c r="A299" s="6" t="s">
        <v>1845</v>
      </c>
      <c r="B299" s="51" t="n">
        <v>15</v>
      </c>
      <c r="C299" s="73" t="n">
        <v>2</v>
      </c>
      <c r="D299" s="73" t="n">
        <f aca="false">B299+C299-1</f>
        <v>16</v>
      </c>
      <c r="E299" s="25" t="n">
        <f aca="false">SUMIFS($J$55:$J$125,$I$55:$I$125,"1.3",$B$55:$B$125,"Contrato principal")</f>
        <v>3.88233610168498</v>
      </c>
    </row>
    <row r="300" customFormat="false" ht="15" hidden="false" customHeight="false" outlineLevel="0" collapsed="false">
      <c r="A300" s="6" t="s">
        <v>1847</v>
      </c>
      <c r="B300" s="51" t="n">
        <v>1</v>
      </c>
      <c r="C300" s="73" t="n">
        <v>2</v>
      </c>
      <c r="D300" s="73" t="n">
        <f aca="false">B300+C300-1</f>
        <v>2</v>
      </c>
      <c r="E300" s="25" t="n">
        <f aca="false">SUMIFS($J$55:$J$125,$I$55:$I$125,"2.1",$B$55:$B$125,"Contrato principal")</f>
        <v>7.90816188173731</v>
      </c>
    </row>
    <row r="301" customFormat="false" ht="15" hidden="false" customHeight="false" outlineLevel="0" collapsed="false">
      <c r="A301" s="6" t="s">
        <v>1848</v>
      </c>
      <c r="B301" s="51" t="n">
        <v>3</v>
      </c>
      <c r="C301" s="73" t="n">
        <v>3</v>
      </c>
      <c r="D301" s="73" t="n">
        <f aca="false">B301+C301-1</f>
        <v>5</v>
      </c>
      <c r="E301" s="25" t="n">
        <f aca="false">SUMIFS($J$55:$J$125,$I$55:$I$125,"2.2",$B$55:$B$125,"Contrato principal")</f>
        <v>7.11734569356358</v>
      </c>
    </row>
    <row r="302" customFormat="false" ht="15" hidden="false" customHeight="false" outlineLevel="0" collapsed="false">
      <c r="A302" s="6" t="s">
        <v>1849</v>
      </c>
      <c r="B302" s="51" t="n">
        <v>3</v>
      </c>
      <c r="C302" s="73" t="n">
        <v>3</v>
      </c>
      <c r="D302" s="73" t="n">
        <f aca="false">B302+C302-1</f>
        <v>5</v>
      </c>
      <c r="E302" s="25" t="n">
        <f aca="false">SUMIFS($J$55:$J$125,$I$55:$I$125,"2.3",$B$55:$B$125,"Contrato principal")</f>
        <v>3.95408094086866</v>
      </c>
    </row>
    <row r="303" customFormat="false" ht="15" hidden="false" customHeight="false" outlineLevel="0" collapsed="false">
      <c r="A303" s="6" t="s">
        <v>1850</v>
      </c>
      <c r="B303" s="51" t="n">
        <v>6</v>
      </c>
      <c r="C303" s="73" t="n">
        <v>2</v>
      </c>
      <c r="D303" s="73" t="n">
        <f aca="false">B303+C303-1</f>
        <v>7</v>
      </c>
      <c r="E303" s="25" t="n">
        <f aca="false">SUMIFS($J$55:$J$125,$I$55:$I$125,"2.4",$B$55:$B$125,"Contrato principal")</f>
        <v>3.95408094086866</v>
      </c>
    </row>
    <row r="304" customFormat="false" ht="15" hidden="false" customHeight="false" outlineLevel="0" collapsed="false">
      <c r="A304" s="6" t="s">
        <v>1851</v>
      </c>
      <c r="B304" s="51" t="n">
        <v>5</v>
      </c>
      <c r="C304" s="73" t="n">
        <v>3</v>
      </c>
      <c r="D304" s="73" t="n">
        <f aca="false">B304+C304-1</f>
        <v>7</v>
      </c>
      <c r="E304" s="25" t="n">
        <f aca="false">SUMIFS($J$55:$J$125,$I$55:$I$125,"2.5",$B$55:$B$125,"Contrato principal")</f>
        <v>2.13882628466771</v>
      </c>
    </row>
    <row r="305" customFormat="false" ht="15" hidden="false" customHeight="false" outlineLevel="0" collapsed="false">
      <c r="A305" s="6" t="s">
        <v>1853</v>
      </c>
      <c r="B305" s="51" t="n">
        <v>6</v>
      </c>
      <c r="C305" s="73" t="n">
        <v>3</v>
      </c>
      <c r="D305" s="73" t="n">
        <f aca="false">B305+C305-1</f>
        <v>8</v>
      </c>
      <c r="E305" s="25" t="n">
        <f aca="false">SUMIFS($J$55:$J$125,$I$55:$I$125,"3.1",$B$55:$B$125,"Contrato principal")</f>
        <v>11.4427206229723</v>
      </c>
    </row>
    <row r="306" customFormat="false" ht="15" hidden="false" customHeight="false" outlineLevel="0" collapsed="false">
      <c r="A306" s="6" t="s">
        <v>1854</v>
      </c>
      <c r="B306" s="51" t="n">
        <v>8</v>
      </c>
      <c r="C306" s="73" t="n">
        <v>4</v>
      </c>
      <c r="D306" s="73" t="n">
        <f aca="false">B306+C306-1</f>
        <v>11</v>
      </c>
      <c r="E306" s="25" t="n">
        <f aca="false">SUMIFS($J$55:$J$125,$I$55:$I$125,"3.2",$B$55:$B$125,"Contrato principal")</f>
        <v>26.2293624653797</v>
      </c>
    </row>
    <row r="307" customFormat="false" ht="15" hidden="false" customHeight="false" outlineLevel="0" collapsed="false">
      <c r="A307" s="6" t="s">
        <v>1855</v>
      </c>
      <c r="B307" s="51" t="n">
        <v>10</v>
      </c>
      <c r="C307" s="73" t="n">
        <v>3</v>
      </c>
      <c r="D307" s="73" t="n">
        <f aca="false">B307+C307-1</f>
        <v>12</v>
      </c>
      <c r="E307" s="25" t="n">
        <f aca="false">SUMIFS($J$55:$J$125,$I$55:$I$125,"3.3",$B$55:$B$125,"Contrato principal")</f>
        <v>7.27200936787023</v>
      </c>
    </row>
    <row r="308" customFormat="false" ht="15" hidden="false" customHeight="false" outlineLevel="0" collapsed="false">
      <c r="A308" s="6" t="s">
        <v>1857</v>
      </c>
      <c r="B308" s="51" t="n">
        <v>6</v>
      </c>
      <c r="C308" s="73" t="n">
        <v>4</v>
      </c>
      <c r="D308" s="73" t="n">
        <f aca="false">B308+C308-1</f>
        <v>9</v>
      </c>
      <c r="E308" s="25" t="n">
        <f aca="false">SUMIFS($J$55:$J$125,$I$55:$I$125,"4.1",$B$55:$B$125,"Contrato principal")</f>
        <v>10.5019237299843</v>
      </c>
    </row>
    <row r="309" customFormat="false" ht="15" hidden="false" customHeight="false" outlineLevel="0" collapsed="false">
      <c r="A309" s="6" t="s">
        <v>1858</v>
      </c>
      <c r="B309" s="51" t="n">
        <v>10</v>
      </c>
      <c r="C309" s="73" t="n">
        <v>3</v>
      </c>
      <c r="D309" s="73" t="n">
        <f aca="false">B309+C309-1</f>
        <v>12</v>
      </c>
      <c r="E309" s="25" t="n">
        <f aca="false">SUMIFS($J$55:$J$125,$I$55:$I$125,"4.2",$B$55:$B$125,"Contrato principal")</f>
        <v>9.60713362218734</v>
      </c>
    </row>
    <row r="310" customFormat="false" ht="15" hidden="false" customHeight="false" outlineLevel="0" collapsed="false">
      <c r="A310" s="6" t="s">
        <v>1859</v>
      </c>
      <c r="B310" s="51" t="n">
        <v>11</v>
      </c>
      <c r="C310" s="73" t="n">
        <v>4</v>
      </c>
      <c r="D310" s="73" t="n">
        <f aca="false">B310+C310-1</f>
        <v>14</v>
      </c>
      <c r="E310" s="25" t="n">
        <f aca="false">SUMIFS($J$55:$J$125,$I$55:$I$125,"4.3",$B$55:$B$125,"Contrato principal")</f>
        <v>8.75160310832025</v>
      </c>
    </row>
    <row r="311" customFormat="false" ht="15" hidden="false" customHeight="false" outlineLevel="0" collapsed="false">
      <c r="A311" s="6" t="s">
        <v>1861</v>
      </c>
      <c r="B311" s="51" t="n">
        <v>8</v>
      </c>
      <c r="C311" s="73" t="n">
        <v>4</v>
      </c>
      <c r="D311" s="73" t="n">
        <f aca="false">B311+C311-1</f>
        <v>11</v>
      </c>
      <c r="E311" s="25" t="n">
        <f aca="false">SUMIFS($J$55:$J$125,$I$55:$I$125,"5.1",$B$55:$B$125,"Contrato principal")</f>
        <v>9.74152942093145</v>
      </c>
    </row>
    <row r="312" customFormat="false" ht="15" hidden="false" customHeight="false" outlineLevel="0" collapsed="false">
      <c r="A312" s="6" t="s">
        <v>1862</v>
      </c>
      <c r="B312" s="51" t="n">
        <v>9</v>
      </c>
      <c r="C312" s="73" t="n">
        <v>4</v>
      </c>
      <c r="D312" s="73" t="n">
        <f aca="false">B312+C312-1</f>
        <v>12</v>
      </c>
      <c r="E312" s="25" t="n">
        <f aca="false">SUMIFS($J$55:$J$125,$I$55:$I$125,"5.2",$B$55:$B$125,"Contrato principal")</f>
        <v>2.62466335531136</v>
      </c>
    </row>
    <row r="313" customFormat="false" ht="15" hidden="false" customHeight="false" outlineLevel="0" collapsed="false">
      <c r="A313" s="6" t="s">
        <v>1863</v>
      </c>
      <c r="B313" s="51" t="n">
        <v>13</v>
      </c>
      <c r="C313" s="73" t="n">
        <v>2</v>
      </c>
      <c r="D313" s="73" t="n">
        <f aca="false">B313+C313-1</f>
        <v>14</v>
      </c>
      <c r="E313" s="25" t="n">
        <f aca="false">SUMIFS($J$55:$J$125,$I$55:$I$125,"5.3",$B$55:$B$125,"Contrato principal")</f>
        <v>5.13318308320251</v>
      </c>
    </row>
    <row r="314" customFormat="false" ht="15" hidden="false" customHeight="false" outlineLevel="0" collapsed="false">
      <c r="A314" s="6" t="s">
        <v>1865</v>
      </c>
      <c r="B314" s="51" t="n">
        <v>3</v>
      </c>
      <c r="C314" s="73" t="n">
        <v>12</v>
      </c>
      <c r="D314" s="73" t="n">
        <f aca="false">B314+C314-1</f>
        <v>14</v>
      </c>
      <c r="E314" s="25" t="n">
        <f aca="false">SUMIFS($J$55:$J$125,$I$55:$I$125,"6.1",$B$55:$B$125,"Contrato principal")</f>
        <v>7.49903815803245</v>
      </c>
    </row>
    <row r="315" customFormat="false" ht="15" hidden="false" customHeight="false" outlineLevel="0" collapsed="false">
      <c r="A315" s="6" t="s">
        <v>1866</v>
      </c>
      <c r="B315" s="51" t="n">
        <v>12</v>
      </c>
      <c r="C315" s="73" t="n">
        <v>3</v>
      </c>
      <c r="D315" s="73" t="n">
        <f aca="false">B315+C315-1</f>
        <v>14</v>
      </c>
      <c r="E315" s="25" t="n">
        <f aca="false">SUMIFS($J$55:$J$125,$I$55:$I$125,"6.2",$B$55:$B$125,"Contrato principal")</f>
        <v>3.74951907901622</v>
      </c>
    </row>
    <row r="316" customFormat="false" ht="15" hidden="false" customHeight="false" outlineLevel="0" collapsed="false">
      <c r="A316" s="5" t="s">
        <v>1939</v>
      </c>
      <c r="E316" s="30" t="n">
        <f aca="false">SUM(E297:E315)</f>
        <v>153.01471033534</v>
      </c>
    </row>
    <row r="317" customFormat="false" ht="15" hidden="false" customHeight="false" outlineLevel="0" collapsed="false">
      <c r="A317" s="6" t="s">
        <v>1940</v>
      </c>
      <c r="E317" s="25" t="n">
        <f aca="false">$E$316-$D$196</f>
        <v>0</v>
      </c>
    </row>
    <row r="318" customFormat="false" ht="15" hidden="false" customHeight="false" outlineLevel="0" collapsed="false">
      <c r="A318" s="6" t="s">
        <v>1941</v>
      </c>
      <c r="E318" s="73" t="n">
        <f aca="false">MAX(D297:D315)-16</f>
        <v>0</v>
      </c>
    </row>
    <row r="320" customFormat="false" ht="43.5" hidden="false" customHeight="true" outlineLevel="0" collapsed="false">
      <c r="A320" s="23" t="s">
        <v>1942</v>
      </c>
      <c r="B320" s="24" t="s">
        <v>1943</v>
      </c>
      <c r="C320" s="24" t="s">
        <v>1944</v>
      </c>
      <c r="D320" s="24" t="s">
        <v>1945</v>
      </c>
      <c r="E320" s="24" t="s">
        <v>1946</v>
      </c>
      <c r="F320" s="24" t="s">
        <v>1947</v>
      </c>
      <c r="G320" s="24" t="s">
        <v>1948</v>
      </c>
      <c r="H320" s="24" t="s">
        <v>1949</v>
      </c>
      <c r="I320" s="24" t="s">
        <v>1950</v>
      </c>
      <c r="J320" s="24" t="s">
        <v>1951</v>
      </c>
      <c r="K320" s="24" t="s">
        <v>937</v>
      </c>
    </row>
    <row r="321" customFormat="false" ht="15" hidden="false" customHeight="false" outlineLevel="0" collapsed="false">
      <c r="A321" s="96" t="n">
        <v>1</v>
      </c>
      <c r="B321" s="25" t="n">
        <f aca="false">SUMPRODUCT(($B$297:$B$315&lt;=A321)*($D$297:$D$315&gt;=A321)*$E$297:$E$315/$C$297:$C$315)</f>
        <v>7.20524433315258</v>
      </c>
      <c r="C321" s="25" t="n">
        <f aca="false">SUM($B$321:B321)</f>
        <v>7.20524433315258</v>
      </c>
      <c r="D321" s="34" t="n">
        <f aca="false">C321/$E$316</f>
        <v>0.0470885728395781</v>
      </c>
      <c r="E321" s="25" t="n">
        <f aca="false">$D$203*(0.3+IF(A321&gt;=10,0.4,0)+IF(A321&gt;=16,0.3,0))</f>
        <v>67.0180342098366</v>
      </c>
      <c r="F321" s="50"/>
      <c r="G321" s="50"/>
      <c r="H321" s="37" t="str">
        <f aca="false">IF(AND(N(F321)&gt;0,N(G321)&gt;0),F321/G321,"")</f>
        <v/>
      </c>
      <c r="I321" s="37" t="str">
        <f aca="false">IF(N(F321)&gt;0,F321/C321,"")</f>
        <v/>
      </c>
      <c r="J321" s="25" t="str">
        <f aca="false">IF(H321="","",$E$316/H321)</f>
        <v/>
      </c>
      <c r="K321" s="9" t="str">
        <f aca="false">IF(H321="","",IF(MIN(H321,I321)&lt;0.9,"Plan de recuperación: comité con el cliente",IF(MIN(H321,I321)&lt;0.95,"Alerta: revisar el paquete atrasado o con sobrecosto","En control")))</f>
        <v/>
      </c>
    </row>
    <row r="322" customFormat="false" ht="15" hidden="false" customHeight="false" outlineLevel="0" collapsed="false">
      <c r="A322" s="96" t="n">
        <v>2</v>
      </c>
      <c r="B322" s="25" t="n">
        <f aca="false">SUMPRODUCT(($B$297:$B$315&lt;=A322)*($D$297:$D$315&gt;=A322)*$E$297:$E$315/$C$297:$C$315)</f>
        <v>7.20524433315258</v>
      </c>
      <c r="C322" s="25" t="n">
        <f aca="false">SUM($B$321:B322)</f>
        <v>14.4104886663052</v>
      </c>
      <c r="D322" s="34" t="n">
        <f aca="false">C322/$E$316</f>
        <v>0.0941771456791562</v>
      </c>
      <c r="E322" s="25" t="n">
        <f aca="false">$D$203*(0.3+IF(A322&gt;=10,0.4,0)+IF(A322&gt;=16,0.3,0))</f>
        <v>67.0180342098366</v>
      </c>
      <c r="F322" s="50"/>
      <c r="G322" s="50"/>
      <c r="H322" s="37" t="str">
        <f aca="false">IF(AND(N(F322)&gt;0,N(G322)&gt;0),F322/G322,"")</f>
        <v/>
      </c>
      <c r="I322" s="37" t="str">
        <f aca="false">IF(N(F322)&gt;0,F322/C322,"")</f>
        <v/>
      </c>
      <c r="J322" s="25" t="str">
        <f aca="false">IF(H322="","",$E$316/H322)</f>
        <v/>
      </c>
      <c r="K322" s="9" t="str">
        <f aca="false">IF(H322="","",IF(MIN(H322,I322)&lt;0.9,"Plan de recuperación: comité con el cliente",IF(MIN(H322,I322)&lt;0.95,"Alerta: revisar el paquete atrasado o con sobrecosto","En control")))</f>
        <v/>
      </c>
    </row>
    <row r="323" customFormat="false" ht="15" hidden="false" customHeight="false" outlineLevel="0" collapsed="false">
      <c r="A323" s="96" t="n">
        <v>3</v>
      </c>
      <c r="B323" s="25" t="n">
        <f aca="false">SUMPRODUCT(($B$297:$B$315&lt;=A323)*($D$297:$D$315&gt;=A323)*$E$297:$E$315/$C$297:$C$315)</f>
        <v>5.38717151232579</v>
      </c>
      <c r="C323" s="25" t="n">
        <f aca="false">SUM($B$321:B323)</f>
        <v>19.797660178631</v>
      </c>
      <c r="D323" s="34" t="n">
        <f aca="false">C323/$E$316</f>
        <v>0.129384032000867</v>
      </c>
      <c r="E323" s="25" t="n">
        <f aca="false">$D$203*(0.3+IF(A323&gt;=10,0.4,0)+IF(A323&gt;=16,0.3,0))</f>
        <v>67.0180342098366</v>
      </c>
      <c r="F323" s="50"/>
      <c r="G323" s="50"/>
      <c r="H323" s="37" t="str">
        <f aca="false">IF(AND(N(F323)&gt;0,N(G323)&gt;0),F323/G323,"")</f>
        <v/>
      </c>
      <c r="I323" s="37" t="str">
        <f aca="false">IF(N(F323)&gt;0,F323/C323,"")</f>
        <v/>
      </c>
      <c r="J323" s="25" t="str">
        <f aca="false">IF(H323="","",$E$316/H323)</f>
        <v/>
      </c>
      <c r="K323" s="9" t="str">
        <f aca="false">IF(H323="","",IF(MIN(H323,I323)&lt;0.9,"Plan de recuperación: comité con el cliente",IF(MIN(H323,I323)&lt;0.95,"Alerta: revisar el paquete atrasado o con sobrecosto","En control")))</f>
        <v/>
      </c>
    </row>
    <row r="324" customFormat="false" ht="15" hidden="false" customHeight="false" outlineLevel="0" collapsed="false">
      <c r="A324" s="96" t="n">
        <v>4</v>
      </c>
      <c r="B324" s="25" t="n">
        <f aca="false">SUMPRODUCT(($B$297:$B$315&lt;=A324)*($D$297:$D$315&gt;=A324)*$E$297:$E$315/$C$297:$C$315)</f>
        <v>5.38717151232579</v>
      </c>
      <c r="C324" s="25" t="n">
        <f aca="false">SUM($B$321:B324)</f>
        <v>25.1848316909568</v>
      </c>
      <c r="D324" s="34" t="n">
        <f aca="false">C324/$E$316</f>
        <v>0.164590918322578</v>
      </c>
      <c r="E324" s="25" t="n">
        <f aca="false">$D$203*(0.3+IF(A324&gt;=10,0.4,0)+IF(A324&gt;=16,0.3,0))</f>
        <v>67.0180342098366</v>
      </c>
      <c r="F324" s="50"/>
      <c r="G324" s="50"/>
      <c r="H324" s="37" t="str">
        <f aca="false">IF(AND(N(F324)&gt;0,N(G324)&gt;0),F324/G324,"")</f>
        <v/>
      </c>
      <c r="I324" s="37" t="str">
        <f aca="false">IF(N(F324)&gt;0,F324/C324,"")</f>
        <v/>
      </c>
      <c r="J324" s="25" t="str">
        <f aca="false">IF(H324="","",$E$316/H324)</f>
        <v/>
      </c>
      <c r="K324" s="9" t="str">
        <f aca="false">IF(H324="","",IF(MIN(H324,I324)&lt;0.9,"Plan de recuperación: comité con el cliente",IF(MIN(H324,I324)&lt;0.95,"Alerta: revisar el paquete atrasado o con sobrecosto","En control")))</f>
        <v/>
      </c>
    </row>
    <row r="325" customFormat="false" ht="15" hidden="false" customHeight="false" outlineLevel="0" collapsed="false">
      <c r="A325" s="96" t="n">
        <v>5</v>
      </c>
      <c r="B325" s="25" t="n">
        <f aca="false">SUMPRODUCT(($B$297:$B$315&lt;=A325)*($D$297:$D$315&gt;=A325)*$E$297:$E$315/$C$297:$C$315)</f>
        <v>6.10011360721503</v>
      </c>
      <c r="C325" s="25" t="n">
        <f aca="false">SUM($B$321:B325)</f>
        <v>31.2849452981718</v>
      </c>
      <c r="D325" s="34" t="n">
        <f aca="false">C325/$E$316</f>
        <v>0.204457108925078</v>
      </c>
      <c r="E325" s="25" t="n">
        <f aca="false">$D$203*(0.3+IF(A325&gt;=10,0.4,0)+IF(A325&gt;=16,0.3,0))</f>
        <v>67.0180342098366</v>
      </c>
      <c r="F325" s="50"/>
      <c r="G325" s="50"/>
      <c r="H325" s="37" t="str">
        <f aca="false">IF(AND(N(F325)&gt;0,N(G325)&gt;0),F325/G325,"")</f>
        <v/>
      </c>
      <c r="I325" s="37" t="str">
        <f aca="false">IF(N(F325)&gt;0,F325/C325,"")</f>
        <v/>
      </c>
      <c r="J325" s="25" t="str">
        <f aca="false">IF(H325="","",$E$316/H325)</f>
        <v/>
      </c>
      <c r="K325" s="9" t="str">
        <f aca="false">IF(H325="","",IF(MIN(H325,I325)&lt;0.9,"Plan de recuperación: comité con el cliente",IF(MIN(H325,I325)&lt;0.95,"Alerta: revisar el paquete atrasado o con sobrecosto","En control")))</f>
        <v/>
      </c>
    </row>
    <row r="326" customFormat="false" ht="15" hidden="false" customHeight="false" outlineLevel="0" collapsed="false">
      <c r="A326" s="96" t="n">
        <v>6</v>
      </c>
      <c r="B326" s="25" t="n">
        <f aca="false">SUMPRODUCT(($B$297:$B$315&lt;=A326)*($D$297:$D$315&gt;=A326)*$E$297:$E$315/$C$297:$C$315)</f>
        <v>10.8263996729921</v>
      </c>
      <c r="C326" s="25" t="n">
        <f aca="false">SUM($B$321:B326)</f>
        <v>42.1113449711639</v>
      </c>
      <c r="D326" s="34" t="n">
        <f aca="false">C326/$E$316</f>
        <v>0.275211088390618</v>
      </c>
      <c r="E326" s="25" t="n">
        <f aca="false">$D$203*(0.3+IF(A326&gt;=10,0.4,0)+IF(A326&gt;=16,0.3,0))</f>
        <v>67.0180342098366</v>
      </c>
      <c r="F326" s="50"/>
      <c r="G326" s="50"/>
      <c r="H326" s="37" t="str">
        <f aca="false">IF(AND(N(F326)&gt;0,N(G326)&gt;0),F326/G326,"")</f>
        <v/>
      </c>
      <c r="I326" s="37" t="str">
        <f aca="false">IF(N(F326)&gt;0,F326/C326,"")</f>
        <v/>
      </c>
      <c r="J326" s="25" t="str">
        <f aca="false">IF(H326="","",$E$316/H326)</f>
        <v/>
      </c>
      <c r="K326" s="9" t="str">
        <f aca="false">IF(H326="","",IF(MIN(H326,I326)&lt;0.9,"Plan de recuperación: comité con el cliente",IF(MIN(H326,I326)&lt;0.95,"Alerta: revisar el paquete atrasado o con sobrecosto","En control")))</f>
        <v/>
      </c>
    </row>
    <row r="327" customFormat="false" ht="15" hidden="false" customHeight="false" outlineLevel="0" collapsed="false">
      <c r="A327" s="96" t="n">
        <v>7</v>
      </c>
      <c r="B327" s="25" t="n">
        <f aca="false">SUMPRODUCT(($B$297:$B$315&lt;=A327)*($D$297:$D$315&gt;=A327)*$E$297:$E$315/$C$297:$C$315)</f>
        <v>10.8263996729921</v>
      </c>
      <c r="C327" s="25" t="n">
        <f aca="false">SUM($B$321:B327)</f>
        <v>52.937744644156</v>
      </c>
      <c r="D327" s="34" t="n">
        <f aca="false">C327/$E$316</f>
        <v>0.345965067856157</v>
      </c>
      <c r="E327" s="25" t="n">
        <f aca="false">$D$203*(0.3+IF(A327&gt;=10,0.4,0)+IF(A327&gt;=16,0.3,0))</f>
        <v>67.0180342098366</v>
      </c>
      <c r="F327" s="50"/>
      <c r="G327" s="50"/>
      <c r="H327" s="37" t="str">
        <f aca="false">IF(AND(N(F327)&gt;0,N(G327)&gt;0),F327/G327,"")</f>
        <v/>
      </c>
      <c r="I327" s="37" t="str">
        <f aca="false">IF(N(F327)&gt;0,F327/C327,"")</f>
        <v/>
      </c>
      <c r="J327" s="25" t="str">
        <f aca="false">IF(H327="","",$E$316/H327)</f>
        <v/>
      </c>
      <c r="K327" s="9" t="str">
        <f aca="false">IF(H327="","",IF(MIN(H327,I327)&lt;0.9,"Plan de recuperación: comité con el cliente",IF(MIN(H327,I327)&lt;0.95,"Alerta: revisar el paquete atrasado o con sobrecosto","En control")))</f>
        <v/>
      </c>
    </row>
    <row r="328" customFormat="false" ht="15" hidden="false" customHeight="false" outlineLevel="0" collapsed="false">
      <c r="A328" s="96" t="n">
        <v>8</v>
      </c>
      <c r="B328" s="25" t="n">
        <f aca="false">SUMPRODUCT(($B$297:$B$315&lt;=A328)*($D$297:$D$315&gt;=A328)*$E$297:$E$315/$C$297:$C$315)</f>
        <v>17.1291400792463</v>
      </c>
      <c r="C328" s="25" t="n">
        <f aca="false">SUM($B$321:B328)</f>
        <v>70.0668847234023</v>
      </c>
      <c r="D328" s="34" t="n">
        <f aca="false">C328/$E$316</f>
        <v>0.457909468768376</v>
      </c>
      <c r="E328" s="25" t="n">
        <f aca="false">$D$203*(0.3+IF(A328&gt;=10,0.4,0)+IF(A328&gt;=16,0.3,0))</f>
        <v>67.0180342098366</v>
      </c>
      <c r="F328" s="50"/>
      <c r="G328" s="50"/>
      <c r="H328" s="37" t="str">
        <f aca="false">IF(AND(N(F328)&gt;0,N(G328)&gt;0),F328/G328,"")</f>
        <v/>
      </c>
      <c r="I328" s="37" t="str">
        <f aca="false">IF(N(F328)&gt;0,F328/C328,"")</f>
        <v/>
      </c>
      <c r="J328" s="25" t="str">
        <f aca="false">IF(H328="","",$E$316/H328)</f>
        <v/>
      </c>
      <c r="K328" s="9" t="str">
        <f aca="false">IF(H328="","",IF(MIN(H328,I328)&lt;0.9,"Plan de recuperación: comité con el cliente",IF(MIN(H328,I328)&lt;0.95,"Alerta: revisar el paquete atrasado o con sobrecosto","En control")))</f>
        <v/>
      </c>
    </row>
    <row r="329" customFormat="false" ht="15" hidden="false" customHeight="false" outlineLevel="0" collapsed="false">
      <c r="A329" s="96" t="n">
        <v>9</v>
      </c>
      <c r="B329" s="25" t="n">
        <f aca="false">SUMPRODUCT(($B$297:$B$315&lt;=A329)*($D$297:$D$315&gt;=A329)*$E$297:$E$315/$C$297:$C$315)</f>
        <v>13.9710657104168</v>
      </c>
      <c r="C329" s="25" t="n">
        <f aca="false">SUM($B$321:B329)</f>
        <v>84.0379504338191</v>
      </c>
      <c r="D329" s="34" t="n">
        <f aca="false">C329/$E$316</f>
        <v>0.549214845093296</v>
      </c>
      <c r="E329" s="25" t="n">
        <f aca="false">$D$203*(0.3+IF(A329&gt;=10,0.4,0)+IF(A329&gt;=16,0.3,0))</f>
        <v>67.0180342098366</v>
      </c>
      <c r="F329" s="50"/>
      <c r="G329" s="50"/>
      <c r="H329" s="37" t="str">
        <f aca="false">IF(AND(N(F329)&gt;0,N(G329)&gt;0),F329/G329,"")</f>
        <v/>
      </c>
      <c r="I329" s="37" t="str">
        <f aca="false">IF(N(F329)&gt;0,F329/C329,"")</f>
        <v/>
      </c>
      <c r="J329" s="25" t="str">
        <f aca="false">IF(H329="","",$E$316/H329)</f>
        <v/>
      </c>
      <c r="K329" s="9" t="str">
        <f aca="false">IF(H329="","",IF(MIN(H329,I329)&lt;0.9,"Plan de recuperación: comité con el cliente",IF(MIN(H329,I329)&lt;0.95,"Alerta: revisar el paquete atrasado o con sobrecosto","En control")))</f>
        <v/>
      </c>
    </row>
    <row r="330" customFormat="false" ht="15" hidden="false" customHeight="false" outlineLevel="0" collapsed="false">
      <c r="A330" s="96" t="n">
        <v>10</v>
      </c>
      <c r="B330" s="25" t="n">
        <f aca="false">SUMPRODUCT(($B$297:$B$315&lt;=A330)*($D$297:$D$315&gt;=A330)*$E$297:$E$315/$C$297:$C$315)</f>
        <v>16.9719657746065</v>
      </c>
      <c r="C330" s="25" t="n">
        <f aca="false">SUM($B$321:B330)</f>
        <v>101.009916208426</v>
      </c>
      <c r="D330" s="34" t="n">
        <f aca="false">C330/$E$316</f>
        <v>0.660132061728295</v>
      </c>
      <c r="E330" s="25" t="n">
        <f aca="false">$D$203*(0.3+IF(A330&gt;=10,0.4,0)+IF(A330&gt;=16,0.3,0))</f>
        <v>156.375413156285</v>
      </c>
      <c r="F330" s="50"/>
      <c r="G330" s="50"/>
      <c r="H330" s="37" t="str">
        <f aca="false">IF(AND(N(F330)&gt;0,N(G330)&gt;0),F330/G330,"")</f>
        <v/>
      </c>
      <c r="I330" s="37" t="str">
        <f aca="false">IF(N(F330)&gt;0,F330/C330,"")</f>
        <v/>
      </c>
      <c r="J330" s="25" t="str">
        <f aca="false">IF(H330="","",$E$316/H330)</f>
        <v/>
      </c>
      <c r="K330" s="9" t="str">
        <f aca="false">IF(H330="","",IF(MIN(H330,I330)&lt;0.9,"Plan de recuperación: comité con el cliente",IF(MIN(H330,I330)&lt;0.95,"Alerta: revisar el paquete atrasado o con sobrecosto","En control")))</f>
        <v/>
      </c>
    </row>
    <row r="331" customFormat="false" ht="15" hidden="false" customHeight="false" outlineLevel="0" collapsed="false">
      <c r="A331" s="96" t="n">
        <v>11</v>
      </c>
      <c r="B331" s="25" t="n">
        <f aca="false">SUMPRODUCT(($B$297:$B$315&lt;=A331)*($D$297:$D$315&gt;=A331)*$E$297:$E$315/$C$297:$C$315)</f>
        <v>19.1598665516866</v>
      </c>
      <c r="C331" s="25" t="n">
        <f aca="false">SUM($B$321:B331)</f>
        <v>120.169782760112</v>
      </c>
      <c r="D331" s="34" t="n">
        <f aca="false">C331/$E$316</f>
        <v>0.785347908686387</v>
      </c>
      <c r="E331" s="25" t="n">
        <f aca="false">$D$203*(0.3+IF(A331&gt;=10,0.4,0)+IF(A331&gt;=16,0.3,0))</f>
        <v>156.375413156285</v>
      </c>
      <c r="F331" s="50"/>
      <c r="G331" s="50"/>
      <c r="H331" s="37" t="str">
        <f aca="false">IF(AND(N(F331)&gt;0,N(G331)&gt;0),F331/G331,"")</f>
        <v/>
      </c>
      <c r="I331" s="37" t="str">
        <f aca="false">IF(N(F331)&gt;0,F331/C331,"")</f>
        <v/>
      </c>
      <c r="J331" s="25" t="str">
        <f aca="false">IF(H331="","",$E$316/H331)</f>
        <v/>
      </c>
      <c r="K331" s="9" t="str">
        <f aca="false">IF(H331="","",IF(MIN(H331,I331)&lt;0.9,"Plan de recuperación: comité con el cliente",IF(MIN(H331,I331)&lt;0.95,"Alerta: revisar el paquete atrasado o con sobrecosto","En control")))</f>
        <v/>
      </c>
    </row>
    <row r="332" customFormat="false" ht="15" hidden="false" customHeight="false" outlineLevel="0" collapsed="false">
      <c r="A332" s="96" t="n">
        <v>12</v>
      </c>
      <c r="B332" s="25" t="n">
        <f aca="false">SUMPRODUCT(($B$297:$B$315&lt;=A332)*($D$297:$D$315&gt;=A332)*$E$297:$E$315/$C$297:$C$315)</f>
        <v>11.4169832731142</v>
      </c>
      <c r="C332" s="25" t="n">
        <f aca="false">SUM($B$321:B332)</f>
        <v>131.586766033226</v>
      </c>
      <c r="D332" s="34" t="n">
        <f aca="false">C332/$E$316</f>
        <v>0.85996154059206</v>
      </c>
      <c r="E332" s="25" t="n">
        <f aca="false">$D$203*(0.3+IF(A332&gt;=10,0.4,0)+IF(A332&gt;=16,0.3,0))</f>
        <v>156.375413156285</v>
      </c>
      <c r="F332" s="50"/>
      <c r="G332" s="50"/>
      <c r="H332" s="37" t="str">
        <f aca="false">IF(AND(N(F332)&gt;0,N(G332)&gt;0),F332/G332,"")</f>
        <v/>
      </c>
      <c r="I332" s="37" t="str">
        <f aca="false">IF(N(F332)&gt;0,F332/C332,"")</f>
        <v/>
      </c>
      <c r="J332" s="25" t="str">
        <f aca="false">IF(H332="","",$E$316/H332)</f>
        <v/>
      </c>
      <c r="K332" s="9" t="str">
        <f aca="false">IF(H332="","",IF(MIN(H332,I332)&lt;0.9,"Plan de recuperación: comité con el cliente",IF(MIN(H332,I332)&lt;0.95,"Alerta: revisar el paquete atrasado o con sobrecosto","En control")))</f>
        <v/>
      </c>
    </row>
    <row r="333" customFormat="false" ht="15" hidden="false" customHeight="false" outlineLevel="0" collapsed="false">
      <c r="A333" s="96" t="n">
        <v>13</v>
      </c>
      <c r="B333" s="25" t="n">
        <f aca="false">SUMPRODUCT(($B$297:$B$315&lt;=A333)*($D$297:$D$315&gt;=A333)*$E$297:$E$315/$C$297:$C$315)</f>
        <v>7.70102797920178</v>
      </c>
      <c r="C333" s="25" t="n">
        <f aca="false">SUM($B$321:B333)</f>
        <v>139.287794012428</v>
      </c>
      <c r="D333" s="34" t="n">
        <f aca="false">C333/$E$316</f>
        <v>0.91029021789586</v>
      </c>
      <c r="E333" s="25" t="n">
        <f aca="false">$D$203*(0.3+IF(A333&gt;=10,0.4,0)+IF(A333&gt;=16,0.3,0))</f>
        <v>156.375413156285</v>
      </c>
      <c r="F333" s="50"/>
      <c r="G333" s="50"/>
      <c r="H333" s="37" t="str">
        <f aca="false">IF(AND(N(F333)&gt;0,N(G333)&gt;0),F333/G333,"")</f>
        <v/>
      </c>
      <c r="I333" s="37" t="str">
        <f aca="false">IF(N(F333)&gt;0,F333/C333,"")</f>
        <v/>
      </c>
      <c r="J333" s="25" t="str">
        <f aca="false">IF(H333="","",$E$316/H333)</f>
        <v/>
      </c>
      <c r="K333" s="9" t="str">
        <f aca="false">IF(H333="","",IF(MIN(H333,I333)&lt;0.9,"Plan de recuperación: comité con el cliente",IF(MIN(H333,I333)&lt;0.95,"Alerta: revisar el paquete atrasado o con sobrecosto","En control")))</f>
        <v/>
      </c>
    </row>
    <row r="334" customFormat="false" ht="15" hidden="false" customHeight="false" outlineLevel="0" collapsed="false">
      <c r="A334" s="96" t="n">
        <v>14</v>
      </c>
      <c r="B334" s="25" t="n">
        <f aca="false">SUMPRODUCT(($B$297:$B$315&lt;=A334)*($D$297:$D$315&gt;=A334)*$E$297:$E$315/$C$297:$C$315)</f>
        <v>7.70102797920178</v>
      </c>
      <c r="C334" s="25" t="n">
        <f aca="false">SUM($B$321:B334)</f>
        <v>146.98882199163</v>
      </c>
      <c r="D334" s="34" t="n">
        <f aca="false">C334/$E$316</f>
        <v>0.96061889519966</v>
      </c>
      <c r="E334" s="25" t="n">
        <f aca="false">$D$203*(0.3+IF(A334&gt;=10,0.4,0)+IF(A334&gt;=16,0.3,0))</f>
        <v>156.375413156285</v>
      </c>
      <c r="F334" s="50"/>
      <c r="G334" s="50"/>
      <c r="H334" s="37" t="str">
        <f aca="false">IF(AND(N(F334)&gt;0,N(G334)&gt;0),F334/G334,"")</f>
        <v/>
      </c>
      <c r="I334" s="37" t="str">
        <f aca="false">IF(N(F334)&gt;0,F334/C334,"")</f>
        <v/>
      </c>
      <c r="J334" s="25" t="str">
        <f aca="false">IF(H334="","",$E$316/H334)</f>
        <v/>
      </c>
      <c r="K334" s="9" t="str">
        <f aca="false">IF(H334="","",IF(MIN(H334,I334)&lt;0.9,"Plan de recuperación: comité con el cliente",IF(MIN(H334,I334)&lt;0.95,"Alerta: revisar el paquete atrasado o con sobrecosto","En control")))</f>
        <v/>
      </c>
    </row>
    <row r="335" customFormat="false" ht="15" hidden="false" customHeight="false" outlineLevel="0" collapsed="false">
      <c r="A335" s="96" t="n">
        <v>15</v>
      </c>
      <c r="B335" s="25" t="n">
        <f aca="false">SUMPRODUCT(($B$297:$B$315&lt;=A335)*($D$297:$D$315&gt;=A335)*$E$297:$E$315/$C$297:$C$315)</f>
        <v>3.01294417185484</v>
      </c>
      <c r="C335" s="25" t="n">
        <f aca="false">SUM($B$321:B335)</f>
        <v>150.001766163485</v>
      </c>
      <c r="D335" s="34" t="n">
        <f aca="false">C335/$E$316</f>
        <v>0.98030944759983</v>
      </c>
      <c r="E335" s="25" t="n">
        <f aca="false">$D$203*(0.3+IF(A335&gt;=10,0.4,0)+IF(A335&gt;=16,0.3,0))</f>
        <v>156.375413156285</v>
      </c>
      <c r="F335" s="50"/>
      <c r="G335" s="50"/>
      <c r="H335" s="37" t="str">
        <f aca="false">IF(AND(N(F335)&gt;0,N(G335)&gt;0),F335/G335,"")</f>
        <v/>
      </c>
      <c r="I335" s="37" t="str">
        <f aca="false">IF(N(F335)&gt;0,F335/C335,"")</f>
        <v/>
      </c>
      <c r="J335" s="25" t="str">
        <f aca="false">IF(H335="","",$E$316/H335)</f>
        <v/>
      </c>
      <c r="K335" s="9" t="str">
        <f aca="false">IF(H335="","",IF(MIN(H335,I335)&lt;0.9,"Plan de recuperación: comité con el cliente",IF(MIN(H335,I335)&lt;0.95,"Alerta: revisar el paquete atrasado o con sobrecosto","En control")))</f>
        <v/>
      </c>
    </row>
    <row r="336" customFormat="false" ht="15" hidden="false" customHeight="false" outlineLevel="0" collapsed="false">
      <c r="A336" s="96" t="n">
        <v>16</v>
      </c>
      <c r="B336" s="25" t="n">
        <f aca="false">SUMPRODUCT(($B$297:$B$315&lt;=A336)*($D$297:$D$315&gt;=A336)*$E$297:$E$315/$C$297:$C$315)</f>
        <v>3.01294417185484</v>
      </c>
      <c r="C336" s="25" t="n">
        <f aca="false">SUM($B$321:B336)</f>
        <v>153.01471033534</v>
      </c>
      <c r="D336" s="34" t="n">
        <f aca="false">C336/$E$316</f>
        <v>1</v>
      </c>
      <c r="E336" s="25" t="n">
        <f aca="false">$D$203*(0.3+IF(A336&gt;=10,0.4,0)+IF(A336&gt;=16,0.3,0))</f>
        <v>223.393447366122</v>
      </c>
      <c r="F336" s="50"/>
      <c r="G336" s="50"/>
      <c r="H336" s="37" t="str">
        <f aca="false">IF(AND(N(F336)&gt;0,N(G336)&gt;0),F336/G336,"")</f>
        <v/>
      </c>
      <c r="I336" s="37" t="str">
        <f aca="false">IF(N(F336)&gt;0,F336/C336,"")</f>
        <v/>
      </c>
      <c r="J336" s="25" t="str">
        <f aca="false">IF(H336="","",$E$316/H336)</f>
        <v/>
      </c>
      <c r="K336" s="9" t="str">
        <f aca="false">IF(H336="","",IF(MIN(H336,I336)&lt;0.9,"Plan de recuperación: comité con el cliente",IF(MIN(H336,I336)&lt;0.95,"Alerta: revisar el paquete atrasado o con sobrecosto","En control")))</f>
        <v/>
      </c>
    </row>
    <row r="337" customFormat="false" ht="15" hidden="false" customHeight="false" outlineLevel="0" collapsed="false">
      <c r="A337" s="6" t="s">
        <v>1952</v>
      </c>
      <c r="C337" s="25" t="n">
        <f aca="false">C336-$E$316</f>
        <v>0</v>
      </c>
    </row>
    <row r="338" customFormat="false" ht="30" hidden="false" customHeight="true" outlineLevel="0" collapsed="false">
      <c r="A338" s="32" t="s">
        <v>1953</v>
      </c>
      <c r="B338" s="32"/>
      <c r="C338" s="32"/>
      <c r="D338" s="32"/>
      <c r="E338" s="32"/>
      <c r="F338" s="32"/>
      <c r="G338" s="32"/>
      <c r="H338" s="32"/>
      <c r="I338" s="32"/>
      <c r="J338" s="32"/>
      <c r="K338" s="32"/>
    </row>
    <row r="339" customFormat="false" ht="30" hidden="false" customHeight="true" outlineLevel="0" collapsed="false">
      <c r="A339" s="32" t="s">
        <v>1954</v>
      </c>
      <c r="B339" s="32"/>
      <c r="C339" s="32"/>
      <c r="D339" s="32"/>
      <c r="E339" s="32"/>
      <c r="F339" s="32"/>
      <c r="G339" s="32"/>
      <c r="H339" s="32"/>
      <c r="I339" s="32"/>
      <c r="J339" s="32"/>
      <c r="K339" s="32"/>
    </row>
    <row r="358" customFormat="false" ht="15" hidden="false" customHeight="false" outlineLevel="0" collapsed="false">
      <c r="A358" s="3" t="s">
        <v>1955</v>
      </c>
      <c r="B358" s="4"/>
      <c r="C358" s="4"/>
      <c r="D358" s="4"/>
      <c r="E358" s="4"/>
      <c r="F358" s="4"/>
      <c r="G358" s="4"/>
      <c r="H358" s="4"/>
      <c r="I358" s="4"/>
      <c r="J358" s="4"/>
    </row>
    <row r="359" customFormat="false" ht="15" hidden="false" customHeight="false" outlineLevel="0" collapsed="false">
      <c r="A359" s="9" t="s">
        <v>1956</v>
      </c>
    </row>
    <row r="360" customFormat="false" ht="15" hidden="false" customHeight="false" outlineLevel="0" collapsed="false">
      <c r="A360" s="9" t="s">
        <v>1957</v>
      </c>
    </row>
    <row r="361" customFormat="false" ht="15" hidden="false" customHeight="false" outlineLevel="0" collapsed="false">
      <c r="A361" s="9" t="s">
        <v>1958</v>
      </c>
    </row>
    <row r="362" customFormat="false" ht="15" hidden="false" customHeight="false" outlineLevel="0" collapsed="false">
      <c r="A362" s="9" t="s">
        <v>1959</v>
      </c>
    </row>
    <row r="363" customFormat="false" ht="15" hidden="false" customHeight="false" outlineLevel="0" collapsed="false">
      <c r="A363" s="9" t="s">
        <v>1960</v>
      </c>
    </row>
    <row r="364" customFormat="false" ht="15" hidden="false" customHeight="false" outlineLevel="0" collapsed="false">
      <c r="A364" s="9" t="s">
        <v>1961</v>
      </c>
    </row>
    <row r="366" customFormat="false" ht="23.85" hidden="false" customHeight="false" outlineLevel="0" collapsed="false">
      <c r="A366" s="23" t="s">
        <v>1962</v>
      </c>
      <c r="B366" s="24" t="s">
        <v>1963</v>
      </c>
      <c r="C366" s="24"/>
      <c r="D366" s="24"/>
      <c r="E366" s="24"/>
      <c r="F366" s="24" t="s">
        <v>1964</v>
      </c>
    </row>
    <row r="367" customFormat="false" ht="27.75" hidden="false" customHeight="true" outlineLevel="0" collapsed="false">
      <c r="A367" s="77" t="s">
        <v>1965</v>
      </c>
      <c r="B367" s="32" t="s">
        <v>61</v>
      </c>
      <c r="C367" s="32"/>
      <c r="D367" s="32"/>
      <c r="E367" s="32"/>
      <c r="F367" s="32" t="s">
        <v>1966</v>
      </c>
      <c r="G367" s="32"/>
      <c r="H367" s="32"/>
      <c r="I367" s="32"/>
      <c r="J367" s="32"/>
      <c r="K367" s="32"/>
    </row>
    <row r="368" customFormat="false" ht="27.75" hidden="false" customHeight="true" outlineLevel="0" collapsed="false">
      <c r="A368" s="77" t="s">
        <v>1967</v>
      </c>
      <c r="B368" s="32" t="s">
        <v>61</v>
      </c>
      <c r="C368" s="32"/>
      <c r="D368" s="32"/>
      <c r="E368" s="32"/>
      <c r="F368" s="32" t="s">
        <v>1968</v>
      </c>
      <c r="G368" s="32"/>
      <c r="H368" s="32"/>
      <c r="I368" s="32"/>
      <c r="J368" s="32"/>
      <c r="K368" s="32"/>
    </row>
    <row r="369" customFormat="false" ht="27.75" hidden="false" customHeight="true" outlineLevel="0" collapsed="false">
      <c r="A369" s="77" t="s">
        <v>1969</v>
      </c>
      <c r="B369" s="32" t="s">
        <v>1970</v>
      </c>
      <c r="C369" s="32"/>
      <c r="D369" s="32"/>
      <c r="E369" s="32"/>
      <c r="F369" s="32" t="s">
        <v>1971</v>
      </c>
      <c r="G369" s="32"/>
      <c r="H369" s="32"/>
      <c r="I369" s="32"/>
      <c r="J369" s="32"/>
      <c r="K369" s="32"/>
    </row>
    <row r="370" customFormat="false" ht="27.75" hidden="false" customHeight="true" outlineLevel="0" collapsed="false">
      <c r="A370" s="77" t="s">
        <v>1972</v>
      </c>
      <c r="B370" s="32" t="s">
        <v>1973</v>
      </c>
      <c r="C370" s="32"/>
      <c r="D370" s="32"/>
      <c r="E370" s="32"/>
      <c r="F370" s="32" t="s">
        <v>1974</v>
      </c>
      <c r="G370" s="32"/>
      <c r="H370" s="32"/>
      <c r="I370" s="32"/>
      <c r="J370" s="32"/>
      <c r="K370" s="32"/>
    </row>
    <row r="371" customFormat="false" ht="27.75" hidden="false" customHeight="true" outlineLevel="0" collapsed="false">
      <c r="A371" s="77" t="s">
        <v>1975</v>
      </c>
      <c r="B371" s="32" t="s">
        <v>1976</v>
      </c>
      <c r="C371" s="32"/>
      <c r="D371" s="32"/>
      <c r="E371" s="32"/>
      <c r="F371" s="32" t="s">
        <v>1974</v>
      </c>
      <c r="G371" s="32"/>
      <c r="H371" s="32"/>
      <c r="I371" s="32"/>
      <c r="J371" s="32"/>
      <c r="K371" s="32"/>
    </row>
    <row r="372" customFormat="false" ht="27.75" hidden="false" customHeight="true" outlineLevel="0" collapsed="false">
      <c r="A372" s="77" t="s">
        <v>1977</v>
      </c>
      <c r="B372" s="32" t="s">
        <v>1978</v>
      </c>
      <c r="C372" s="32"/>
      <c r="D372" s="32"/>
      <c r="E372" s="32"/>
      <c r="F372" s="32" t="s">
        <v>1979</v>
      </c>
      <c r="G372" s="32"/>
      <c r="H372" s="32"/>
      <c r="I372" s="32"/>
      <c r="J372" s="32"/>
      <c r="K372" s="32"/>
    </row>
    <row r="373" customFormat="false" ht="27.75" hidden="false" customHeight="true" outlineLevel="0" collapsed="false">
      <c r="A373" s="77" t="s">
        <v>1980</v>
      </c>
      <c r="B373" s="32" t="s">
        <v>1981</v>
      </c>
      <c r="C373" s="32"/>
      <c r="D373" s="32"/>
      <c r="E373" s="32"/>
      <c r="F373" s="32" t="s">
        <v>1974</v>
      </c>
      <c r="G373" s="32"/>
      <c r="H373" s="32"/>
      <c r="I373" s="32"/>
      <c r="J373" s="32"/>
      <c r="K373" s="32"/>
    </row>
    <row r="374" customFormat="false" ht="27.75" hidden="false" customHeight="true" outlineLevel="0" collapsed="false">
      <c r="A374" s="77" t="s">
        <v>1982</v>
      </c>
      <c r="B374" s="32" t="s">
        <v>1983</v>
      </c>
      <c r="C374" s="32"/>
      <c r="D374" s="32"/>
      <c r="E374" s="32"/>
      <c r="F374" s="32" t="s">
        <v>1984</v>
      </c>
      <c r="G374" s="32"/>
      <c r="H374" s="32"/>
      <c r="I374" s="32"/>
      <c r="J374" s="32"/>
      <c r="K374" s="32"/>
    </row>
    <row r="375" customFormat="false" ht="27.75" hidden="false" customHeight="true" outlineLevel="0" collapsed="false">
      <c r="A375" s="77" t="s">
        <v>1985</v>
      </c>
      <c r="B375" s="32" t="s">
        <v>1986</v>
      </c>
      <c r="C375" s="32"/>
      <c r="D375" s="32"/>
      <c r="E375" s="32"/>
      <c r="F375" s="32" t="s">
        <v>1987</v>
      </c>
      <c r="G375" s="32"/>
      <c r="H375" s="32"/>
      <c r="I375" s="32"/>
      <c r="J375" s="32"/>
      <c r="K375" s="32"/>
    </row>
    <row r="376" customFormat="false" ht="27.75" hidden="false" customHeight="true" outlineLevel="0" collapsed="false">
      <c r="A376" s="77" t="s">
        <v>1988</v>
      </c>
      <c r="B376" s="32" t="s">
        <v>1989</v>
      </c>
      <c r="C376" s="32"/>
      <c r="D376" s="32"/>
      <c r="E376" s="32"/>
      <c r="F376" s="32" t="s">
        <v>1987</v>
      </c>
      <c r="G376" s="32"/>
      <c r="H376" s="32"/>
      <c r="I376" s="32"/>
      <c r="J376" s="32"/>
      <c r="K376" s="32"/>
    </row>
    <row r="377" customFormat="false" ht="27.75" hidden="false" customHeight="true" outlineLevel="0" collapsed="false">
      <c r="A377" s="77" t="s">
        <v>1990</v>
      </c>
      <c r="B377" s="32" t="s">
        <v>1991</v>
      </c>
      <c r="C377" s="32"/>
      <c r="D377" s="32"/>
      <c r="E377" s="32"/>
      <c r="F377" s="32" t="s">
        <v>1992</v>
      </c>
      <c r="G377" s="32"/>
      <c r="H377" s="32"/>
      <c r="I377" s="32"/>
      <c r="J377" s="32"/>
      <c r="K377" s="32"/>
    </row>
    <row r="378" customFormat="false" ht="27.75" hidden="false" customHeight="true" outlineLevel="0" collapsed="false">
      <c r="A378" s="77" t="s">
        <v>1993</v>
      </c>
      <c r="B378" s="32" t="s">
        <v>1994</v>
      </c>
      <c r="C378" s="32"/>
      <c r="D378" s="32"/>
      <c r="E378" s="32"/>
      <c r="F378" s="32" t="s">
        <v>1987</v>
      </c>
      <c r="G378" s="32"/>
      <c r="H378" s="32"/>
      <c r="I378" s="32"/>
      <c r="J378" s="32"/>
      <c r="K378" s="32"/>
    </row>
    <row r="380" customFormat="false" ht="15" hidden="false" customHeight="false" outlineLevel="0" collapsed="false">
      <c r="A380" s="3" t="s">
        <v>1995</v>
      </c>
      <c r="B380" s="4"/>
      <c r="C380" s="4"/>
      <c r="D380" s="4"/>
      <c r="E380" s="4"/>
      <c r="F380" s="4"/>
      <c r="G380" s="4"/>
      <c r="H380" s="4"/>
      <c r="I380" s="4"/>
      <c r="J380" s="4"/>
    </row>
    <row r="381" customFormat="false" ht="15" hidden="false" customHeight="false" outlineLevel="0" collapsed="false">
      <c r="A381" s="9" t="s">
        <v>1996</v>
      </c>
    </row>
    <row r="382" customFormat="false" ht="15" hidden="false" customHeight="false" outlineLevel="0" collapsed="false">
      <c r="A382" s="9" t="s">
        <v>1997</v>
      </c>
    </row>
    <row r="383" customFormat="false" ht="15" hidden="false" customHeight="false" outlineLevel="0" collapsed="false">
      <c r="A383" s="9" t="s">
        <v>1998</v>
      </c>
    </row>
    <row r="384" customFormat="false" ht="15" hidden="false" customHeight="false" outlineLevel="0" collapsed="false">
      <c r="A384" s="9" t="s">
        <v>1999</v>
      </c>
    </row>
    <row r="385" customFormat="false" ht="15" hidden="false" customHeight="false" outlineLevel="0" collapsed="false">
      <c r="A385" s="9" t="s">
        <v>2000</v>
      </c>
    </row>
    <row r="387" customFormat="false" ht="15" hidden="false" customHeight="false" outlineLevel="0" collapsed="false">
      <c r="A387" s="3" t="s">
        <v>2001</v>
      </c>
      <c r="B387" s="4"/>
      <c r="C387" s="4"/>
      <c r="D387" s="4"/>
      <c r="E387" s="4"/>
      <c r="F387" s="4"/>
      <c r="G387" s="4"/>
      <c r="H387" s="4"/>
    </row>
    <row r="388" customFormat="false" ht="15" hidden="false" customHeight="false" outlineLevel="0" collapsed="false">
      <c r="A388" s="9" t="s">
        <v>2002</v>
      </c>
    </row>
    <row r="389" customFormat="false" ht="23.85" hidden="false" customHeight="false" outlineLevel="0" collapsed="false">
      <c r="A389" s="23" t="s">
        <v>2003</v>
      </c>
      <c r="B389" s="24" t="s">
        <v>1502</v>
      </c>
      <c r="C389" s="24" t="s">
        <v>190</v>
      </c>
    </row>
    <row r="390" customFormat="false" ht="30" hidden="false" customHeight="true" outlineLevel="0" collapsed="false">
      <c r="A390" s="77" t="s">
        <v>2004</v>
      </c>
      <c r="B390" s="97" t="n">
        <v>0.295</v>
      </c>
      <c r="C390" s="79" t="s">
        <v>2005</v>
      </c>
    </row>
    <row r="391" customFormat="false" ht="30" hidden="false" customHeight="true" outlineLevel="0" collapsed="false">
      <c r="A391" s="77" t="s">
        <v>2006</v>
      </c>
      <c r="B391" s="97" t="n">
        <v>1.365</v>
      </c>
      <c r="C391" s="79" t="s">
        <v>2007</v>
      </c>
    </row>
    <row r="392" customFormat="false" ht="30" hidden="false" customHeight="true" outlineLevel="0" collapsed="false">
      <c r="A392" s="77" t="s">
        <v>2008</v>
      </c>
      <c r="B392" s="97" t="n">
        <v>1.2</v>
      </c>
      <c r="C392" s="79" t="s">
        <v>2009</v>
      </c>
    </row>
    <row r="393" customFormat="false" ht="30" hidden="false" customHeight="true" outlineLevel="0" collapsed="false">
      <c r="A393" s="77" t="s">
        <v>2010</v>
      </c>
      <c r="B393" s="97" t="n">
        <v>0.191</v>
      </c>
      <c r="C393" s="79" t="s">
        <v>2011</v>
      </c>
    </row>
    <row r="394" customFormat="false" ht="30" hidden="false" customHeight="true" outlineLevel="0" collapsed="false">
      <c r="A394" s="77" t="s">
        <v>2012</v>
      </c>
      <c r="B394" s="98" t="n">
        <f aca="false">6*14*Cotizaciones!$B$6/1000000</f>
        <v>0.26631864</v>
      </c>
      <c r="C394" s="79" t="s">
        <v>2013</v>
      </c>
    </row>
    <row r="395" customFormat="false" ht="30" hidden="false" customHeight="true" outlineLevel="0" collapsed="false">
      <c r="A395" s="77" t="s">
        <v>2014</v>
      </c>
      <c r="B395" s="98" t="n">
        <f aca="false">6*44900/1000000</f>
        <v>0.2694</v>
      </c>
      <c r="C395" s="79" t="s">
        <v>2015</v>
      </c>
    </row>
    <row r="396" customFormat="false" ht="30" hidden="false" customHeight="true" outlineLevel="0" collapsed="false">
      <c r="A396" s="77" t="s">
        <v>2016</v>
      </c>
      <c r="B396" s="98" t="n">
        <f aca="false">6*4.5/60</f>
        <v>0.45</v>
      </c>
      <c r="C396" s="79" t="s">
        <v>2017</v>
      </c>
    </row>
    <row r="397" customFormat="false" ht="30" hidden="false" customHeight="true" outlineLevel="0" collapsed="false">
      <c r="A397" s="77" t="s">
        <v>2018</v>
      </c>
      <c r="B397" s="97" t="n">
        <v>0.25</v>
      </c>
      <c r="C397" s="79" t="s">
        <v>2019</v>
      </c>
    </row>
    <row r="398" customFormat="false" ht="30" hidden="false" customHeight="true" outlineLevel="0" collapsed="false">
      <c r="A398" s="77" t="s">
        <v>2020</v>
      </c>
      <c r="B398" s="97" t="n">
        <v>0.3</v>
      </c>
      <c r="C398" s="79" t="s">
        <v>2021</v>
      </c>
    </row>
    <row r="399" customFormat="false" ht="30" hidden="false" customHeight="true" outlineLevel="0" collapsed="false">
      <c r="A399" s="77" t="s">
        <v>2022</v>
      </c>
      <c r="B399" s="97" t="n">
        <v>0.1</v>
      </c>
      <c r="C399" s="79" t="s">
        <v>2023</v>
      </c>
    </row>
    <row r="400" customFormat="false" ht="15" hidden="false" customHeight="false" outlineLevel="0" collapsed="false">
      <c r="A400" s="5" t="s">
        <v>2024</v>
      </c>
      <c r="B400" s="99" t="n">
        <f aca="false">SUM(B390:B399)</f>
        <v>4.68671864</v>
      </c>
    </row>
    <row r="401" customFormat="false" ht="53.7" hidden="false" customHeight="false" outlineLevel="0" collapsed="false">
      <c r="A401" s="6" t="s">
        <v>2025</v>
      </c>
      <c r="B401" s="46" t="n">
        <v>0.5</v>
      </c>
      <c r="C401" s="79" t="s">
        <v>2026</v>
      </c>
    </row>
    <row r="403" customFormat="false" ht="15" hidden="false" customHeight="false" outlineLevel="0" collapsed="false">
      <c r="A403" s="23" t="s">
        <v>2027</v>
      </c>
      <c r="B403" s="24"/>
      <c r="C403" s="24"/>
      <c r="D403" s="24" t="s">
        <v>130</v>
      </c>
    </row>
    <row r="404" customFormat="false" ht="15" hidden="false" customHeight="false" outlineLevel="0" collapsed="false">
      <c r="A404" s="6" t="s">
        <v>2028</v>
      </c>
      <c r="D404" s="98" t="n">
        <f aca="false">$B$400*8</f>
        <v>37.49374912</v>
      </c>
    </row>
    <row r="405" customFormat="false" ht="15" hidden="false" customHeight="false" outlineLevel="0" collapsed="false">
      <c r="A405" s="6" t="s">
        <v>2029</v>
      </c>
      <c r="D405" s="98" t="n">
        <f aca="false">$D$44*$B$401*8+$E$252</f>
        <v>17.1469401900589</v>
      </c>
    </row>
    <row r="406" customFormat="false" ht="15" hidden="false" customHeight="false" outlineLevel="0" collapsed="false">
      <c r="A406" s="6" t="s">
        <v>2030</v>
      </c>
      <c r="D406" s="98" t="n">
        <f aca="false">0.00966*($D$203+$D$223+$D$243)</f>
        <v>3.63229863617673</v>
      </c>
    </row>
    <row r="407" customFormat="false" ht="15" hidden="false" customHeight="false" outlineLevel="0" collapsed="false">
      <c r="A407" s="5" t="s">
        <v>88</v>
      </c>
      <c r="D407" s="99" t="n">
        <f aca="false">D404+D405+D406</f>
        <v>58.2729879462357</v>
      </c>
    </row>
    <row r="408" customFormat="false" ht="15" hidden="false" customHeight="false" outlineLevel="0" collapsed="false">
      <c r="A408" s="6" t="s">
        <v>2031</v>
      </c>
      <c r="D408" s="98" t="n">
        <f aca="false">($D$200+$D$220+$D$240)</f>
        <v>64.9233412784617</v>
      </c>
    </row>
    <row r="409" customFormat="false" ht="15" hidden="false" customHeight="false" outlineLevel="0" collapsed="false">
      <c r="A409" s="5" t="s">
        <v>2032</v>
      </c>
      <c r="D409" s="100" t="n">
        <f aca="false">D408-D407</f>
        <v>6.65035333222598</v>
      </c>
    </row>
    <row r="410" customFormat="false" ht="15" hidden="false" customHeight="false" outlineLevel="0" collapsed="false">
      <c r="A410" s="5" t="s">
        <v>2033</v>
      </c>
      <c r="D410" s="100" t="n">
        <f aca="false">$E$258+D408-D407</f>
        <v>33.701745531585</v>
      </c>
    </row>
    <row r="411" customFormat="false" ht="30" hidden="false" customHeight="true" outlineLevel="0" collapsed="false">
      <c r="A411" s="79" t="s">
        <v>2034</v>
      </c>
    </row>
    <row r="413" customFormat="false" ht="15" hidden="false" customHeight="false" outlineLevel="0" collapsed="false">
      <c r="A413" s="3" t="s">
        <v>2035</v>
      </c>
      <c r="B413" s="4"/>
      <c r="C413" s="4"/>
      <c r="D413" s="4"/>
      <c r="E413" s="4"/>
      <c r="F413" s="4"/>
      <c r="G413" s="4"/>
      <c r="H413" s="4"/>
    </row>
    <row r="414" customFormat="false" ht="30" hidden="false" customHeight="true" outlineLevel="0" collapsed="false">
      <c r="A414" s="79" t="s">
        <v>2036</v>
      </c>
    </row>
    <row r="415" customFormat="false" ht="35.05" hidden="false" customHeight="false" outlineLevel="0" collapsed="false">
      <c r="A415" s="23" t="s">
        <v>2037</v>
      </c>
      <c r="B415" s="24" t="s">
        <v>2038</v>
      </c>
      <c r="C415" s="24" t="s">
        <v>1582</v>
      </c>
      <c r="D415" s="24" t="s">
        <v>987</v>
      </c>
      <c r="E415" s="24" t="s">
        <v>2039</v>
      </c>
      <c r="F415" s="24" t="s">
        <v>2040</v>
      </c>
      <c r="G415" s="24" t="s">
        <v>2041</v>
      </c>
    </row>
    <row r="416" customFormat="false" ht="42" hidden="false" customHeight="true" outlineLevel="0" collapsed="false">
      <c r="A416" s="77" t="s">
        <v>1591</v>
      </c>
      <c r="B416" s="79" t="s">
        <v>2042</v>
      </c>
      <c r="C416" s="77" t="s">
        <v>1592</v>
      </c>
      <c r="D416" s="98" t="n">
        <f aca="false">$D$190-$E$190</f>
        <v>22.9449418430947</v>
      </c>
      <c r="E416" s="98" t="n">
        <f aca="false">D416*0.3</f>
        <v>6.88348255292839</v>
      </c>
      <c r="F416" s="98" t="n">
        <f aca="false">D416*0.4</f>
        <v>9.17797673723786</v>
      </c>
      <c r="G416" s="98" t="n">
        <f aca="false">D416*0.3</f>
        <v>6.88348255292839</v>
      </c>
    </row>
    <row r="417" customFormat="false" ht="42" hidden="false" customHeight="true" outlineLevel="0" collapsed="false">
      <c r="A417" s="77" t="s">
        <v>1593</v>
      </c>
      <c r="B417" s="79" t="s">
        <v>2043</v>
      </c>
      <c r="C417" s="77" t="s">
        <v>2044</v>
      </c>
      <c r="D417" s="98" t="n">
        <f aca="false">$D$191-$E$191</f>
        <v>22.5347245714286</v>
      </c>
      <c r="E417" s="98" t="n">
        <f aca="false">D417*0.3</f>
        <v>6.76041737142857</v>
      </c>
      <c r="F417" s="98" t="n">
        <f aca="false">D417*0.4</f>
        <v>9.01388982857143</v>
      </c>
      <c r="G417" s="98" t="n">
        <f aca="false">D417*0.3</f>
        <v>6.76041737142857</v>
      </c>
    </row>
    <row r="418" customFormat="false" ht="42" hidden="false" customHeight="true" outlineLevel="0" collapsed="false">
      <c r="A418" s="77" t="s">
        <v>1595</v>
      </c>
      <c r="B418" s="79" t="s">
        <v>2045</v>
      </c>
      <c r="C418" s="77" t="s">
        <v>2044</v>
      </c>
      <c r="D418" s="98" t="n">
        <f aca="false">$D$192-$E$192</f>
        <v>55.06865595</v>
      </c>
      <c r="E418" s="98" t="n">
        <f aca="false">D418*0.3</f>
        <v>16.520596785</v>
      </c>
      <c r="F418" s="98" t="n">
        <f aca="false">D418*0.4</f>
        <v>22.02746238</v>
      </c>
      <c r="G418" s="98" t="n">
        <f aca="false">D418*0.3</f>
        <v>16.520596785</v>
      </c>
    </row>
    <row r="419" customFormat="false" ht="42" hidden="false" customHeight="true" outlineLevel="0" collapsed="false">
      <c r="A419" s="77" t="s">
        <v>1596</v>
      </c>
      <c r="B419" s="79" t="s">
        <v>2046</v>
      </c>
      <c r="C419" s="77" t="s">
        <v>2044</v>
      </c>
      <c r="D419" s="98" t="n">
        <f aca="false">$D$193-$E$193</f>
        <v>17.7322422857143</v>
      </c>
      <c r="E419" s="98" t="n">
        <f aca="false">D419*0.3</f>
        <v>5.31967268571429</v>
      </c>
      <c r="F419" s="98" t="n">
        <f aca="false">D419*0.4</f>
        <v>7.09289691428572</v>
      </c>
      <c r="G419" s="98" t="n">
        <f aca="false">D419*0.3</f>
        <v>5.31967268571429</v>
      </c>
    </row>
    <row r="420" customFormat="false" ht="42" hidden="false" customHeight="true" outlineLevel="0" collapsed="false">
      <c r="A420" s="77" t="s">
        <v>1307</v>
      </c>
      <c r="B420" s="79" t="s">
        <v>2047</v>
      </c>
      <c r="C420" s="77" t="s">
        <v>2044</v>
      </c>
      <c r="D420" s="98" t="n">
        <f aca="false">$D$194-$E$194</f>
        <v>13.6686034285714</v>
      </c>
      <c r="E420" s="98" t="n">
        <f aca="false">D420*0.3</f>
        <v>4.10058102857143</v>
      </c>
      <c r="F420" s="98" t="n">
        <f aca="false">D420*0.4</f>
        <v>5.46744137142857</v>
      </c>
      <c r="G420" s="98" t="n">
        <f aca="false">D420*0.3</f>
        <v>4.10058102857143</v>
      </c>
    </row>
    <row r="422" customFormat="false" ht="23.85" hidden="false" customHeight="false" outlineLevel="0" collapsed="false">
      <c r="A422" s="23" t="s">
        <v>2048</v>
      </c>
      <c r="B422" s="24" t="s">
        <v>2038</v>
      </c>
      <c r="C422" s="24" t="s">
        <v>1582</v>
      </c>
      <c r="D422" s="24" t="s">
        <v>987</v>
      </c>
      <c r="E422" s="24" t="s">
        <v>2049</v>
      </c>
      <c r="F422" s="24" t="s">
        <v>2050</v>
      </c>
    </row>
    <row r="423" customFormat="false" ht="42" hidden="false" customHeight="true" outlineLevel="0" collapsed="false">
      <c r="A423" s="77" t="s">
        <v>1591</v>
      </c>
      <c r="B423" s="79" t="s">
        <v>2051</v>
      </c>
      <c r="C423" s="77" t="s">
        <v>1592</v>
      </c>
      <c r="D423" s="98" t="n">
        <f aca="false">$D$210-$E$210</f>
        <v>3.98601411942857</v>
      </c>
      <c r="E423" s="98" t="n">
        <f aca="false">D423*0.5</f>
        <v>1.99300705971429</v>
      </c>
      <c r="F423" s="98" t="n">
        <f aca="false">D423*0.5</f>
        <v>1.99300705971429</v>
      </c>
    </row>
    <row r="424" customFormat="false" ht="42" hidden="false" customHeight="true" outlineLevel="0" collapsed="false">
      <c r="A424" s="77" t="s">
        <v>1593</v>
      </c>
      <c r="B424" s="79" t="s">
        <v>2052</v>
      </c>
      <c r="C424" s="77" t="s">
        <v>2044</v>
      </c>
      <c r="D424" s="98" t="n">
        <f aca="false">$D$211-$E$211</f>
        <v>5.54132571428572</v>
      </c>
      <c r="E424" s="98" t="n">
        <f aca="false">D424*0.5</f>
        <v>2.77066285714286</v>
      </c>
      <c r="F424" s="98" t="n">
        <f aca="false">D424*0.5</f>
        <v>2.77066285714286</v>
      </c>
    </row>
    <row r="425" customFormat="false" ht="42" hidden="false" customHeight="true" outlineLevel="0" collapsed="false">
      <c r="A425" s="77" t="s">
        <v>1595</v>
      </c>
      <c r="B425" s="79" t="s">
        <v>2053</v>
      </c>
      <c r="C425" s="77" t="s">
        <v>2044</v>
      </c>
      <c r="D425" s="98" t="n">
        <f aca="false">$D$212-$E$212</f>
        <v>20.1334834285714</v>
      </c>
      <c r="E425" s="98" t="n">
        <f aca="false">D425*0.5</f>
        <v>10.0667417142857</v>
      </c>
      <c r="F425" s="98" t="n">
        <f aca="false">D425*0.5</f>
        <v>10.0667417142857</v>
      </c>
    </row>
    <row r="427" customFormat="false" ht="35.05" hidden="false" customHeight="false" outlineLevel="0" collapsed="false">
      <c r="A427" s="23" t="s">
        <v>2054</v>
      </c>
      <c r="B427" s="24" t="s">
        <v>2038</v>
      </c>
      <c r="C427" s="24" t="s">
        <v>1582</v>
      </c>
      <c r="D427" s="24" t="s">
        <v>987</v>
      </c>
      <c r="E427" s="24" t="s">
        <v>2055</v>
      </c>
      <c r="F427" s="24" t="s">
        <v>2056</v>
      </c>
    </row>
    <row r="428" customFormat="false" ht="42" hidden="false" customHeight="true" outlineLevel="0" collapsed="false">
      <c r="A428" s="77" t="s">
        <v>1591</v>
      </c>
      <c r="B428" s="79" t="s">
        <v>2057</v>
      </c>
      <c r="C428" s="77" t="s">
        <v>1592</v>
      </c>
      <c r="D428" s="98" t="n">
        <f aca="false">$D$230-$E$230</f>
        <v>8.11308008741786</v>
      </c>
      <c r="E428" s="98" t="n">
        <f aca="false">D428*0.5</f>
        <v>4.05654004370893</v>
      </c>
      <c r="F428" s="98" t="n">
        <f aca="false">D428*0.5</f>
        <v>4.05654004370893</v>
      </c>
    </row>
    <row r="429" customFormat="false" ht="42" hidden="false" customHeight="true" outlineLevel="0" collapsed="false">
      <c r="A429" s="77" t="s">
        <v>1593</v>
      </c>
      <c r="B429" s="79" t="s">
        <v>2058</v>
      </c>
      <c r="C429" s="77" t="s">
        <v>2044</v>
      </c>
      <c r="D429" s="98" t="n">
        <f aca="false">$D$231-$E$231</f>
        <v>8.86612114285714</v>
      </c>
      <c r="E429" s="98" t="n">
        <f aca="false">D429*0.5</f>
        <v>4.43306057142857</v>
      </c>
      <c r="F429" s="98" t="n">
        <f aca="false">D429*0.5</f>
        <v>4.43306057142857</v>
      </c>
    </row>
    <row r="430" customFormat="false" ht="42" hidden="false" customHeight="true" outlineLevel="0" collapsed="false">
      <c r="A430" s="77" t="s">
        <v>1595</v>
      </c>
      <c r="B430" s="79" t="s">
        <v>2059</v>
      </c>
      <c r="C430" s="77" t="s">
        <v>2044</v>
      </c>
      <c r="D430" s="98" t="n">
        <f aca="false">$D$232-$E$232</f>
        <v>26.7680665285714</v>
      </c>
      <c r="E430" s="98" t="n">
        <f aca="false">D430*0.5</f>
        <v>13.3840332642857</v>
      </c>
      <c r="F430" s="98" t="n">
        <f aca="false">D430*0.5</f>
        <v>13.3840332642857</v>
      </c>
    </row>
    <row r="431" customFormat="false" ht="42" hidden="false" customHeight="true" outlineLevel="0" collapsed="false">
      <c r="A431" s="77" t="s">
        <v>1596</v>
      </c>
      <c r="B431" s="79" t="s">
        <v>2060</v>
      </c>
      <c r="C431" s="77" t="s">
        <v>2044</v>
      </c>
      <c r="D431" s="98" t="n">
        <f aca="false">$D$233-$E$233</f>
        <v>3.69421714285714</v>
      </c>
      <c r="E431" s="98" t="n">
        <f aca="false">D431*0.5</f>
        <v>1.84710857142857</v>
      </c>
      <c r="F431" s="98" t="n">
        <f aca="false">D431*0.5</f>
        <v>1.84710857142857</v>
      </c>
    </row>
    <row r="432" customFormat="false" ht="42" hidden="false" customHeight="true" outlineLevel="0" collapsed="false">
      <c r="A432" s="77" t="s">
        <v>1307</v>
      </c>
      <c r="B432" s="79" t="s">
        <v>2061</v>
      </c>
      <c r="C432" s="77" t="s">
        <v>2044</v>
      </c>
      <c r="D432" s="98" t="n">
        <f aca="false">$D$234-$E$234</f>
        <v>1.84710857142857</v>
      </c>
      <c r="E432" s="98" t="n">
        <f aca="false">D432*0.5</f>
        <v>0.923554285714286</v>
      </c>
      <c r="F432" s="98" t="n">
        <f aca="false">D432*0.5</f>
        <v>0.923554285714286</v>
      </c>
    </row>
    <row r="434" customFormat="false" ht="15" hidden="false" customHeight="false" outlineLevel="0" collapsed="false">
      <c r="A434" s="3" t="s">
        <v>2062</v>
      </c>
      <c r="B434" s="4"/>
      <c r="C434" s="4"/>
      <c r="D434" s="4"/>
      <c r="E434" s="4"/>
      <c r="F434" s="4"/>
      <c r="G434" s="4"/>
      <c r="H434" s="4"/>
    </row>
    <row r="435" customFormat="false" ht="30" hidden="false" customHeight="true" outlineLevel="0" collapsed="false">
      <c r="A435" s="79" t="s">
        <v>2063</v>
      </c>
    </row>
    <row r="436" customFormat="false" ht="23.85" hidden="false" customHeight="false" outlineLevel="0" collapsed="false">
      <c r="A436" s="23" t="s">
        <v>919</v>
      </c>
      <c r="B436" s="24" t="s">
        <v>188</v>
      </c>
      <c r="C436" s="24" t="s">
        <v>189</v>
      </c>
      <c r="D436" s="24" t="s">
        <v>1810</v>
      </c>
    </row>
    <row r="437" customFormat="false" ht="15" hidden="false" customHeight="false" outlineLevel="0" collapsed="false">
      <c r="A437" s="6" t="s">
        <v>1516</v>
      </c>
      <c r="B437" s="34" t="n">
        <f aca="false">$B$12</f>
        <v>0.7</v>
      </c>
      <c r="C437" s="6" t="s">
        <v>1517</v>
      </c>
      <c r="D437" s="9" t="s">
        <v>2064</v>
      </c>
    </row>
    <row r="438" customFormat="false" ht="15" hidden="false" customHeight="false" outlineLevel="0" collapsed="false">
      <c r="A438" s="6" t="s">
        <v>2065</v>
      </c>
      <c r="B438" s="75" t="n">
        <f aca="false">6*$B$7*12</f>
        <v>13104</v>
      </c>
      <c r="C438" s="6" t="s">
        <v>2066</v>
      </c>
      <c r="D438" s="9" t="s">
        <v>2067</v>
      </c>
    </row>
    <row r="439" customFormat="false" ht="15" hidden="false" customHeight="false" outlineLevel="0" collapsed="false">
      <c r="A439" s="6" t="s">
        <v>2068</v>
      </c>
      <c r="B439" s="75" t="n">
        <f aca="false">$B$438*$B$437</f>
        <v>9172.8</v>
      </c>
      <c r="C439" s="6" t="s">
        <v>2066</v>
      </c>
    </row>
    <row r="440" customFormat="false" ht="15" hidden="false" customHeight="false" outlineLevel="0" collapsed="false">
      <c r="A440" s="6" t="s">
        <v>2069</v>
      </c>
      <c r="B440" s="64" t="n">
        <f aca="false">$B$439/($D$195+$D$215+$D$235)</f>
        <v>2.13468186048108</v>
      </c>
      <c r="C440" s="6" t="s">
        <v>2070</v>
      </c>
      <c r="D440" s="9" t="s">
        <v>2071</v>
      </c>
    </row>
    <row r="441" customFormat="false" ht="15" hidden="false" customHeight="false" outlineLevel="0" collapsed="false">
      <c r="A441" s="6" t="s">
        <v>2072</v>
      </c>
      <c r="B441" s="101" t="n">
        <f aca="false">($D$203+$D$223+$D$243)*1000000/($D$195+$D$215+$D$235)</f>
        <v>87505.5616147047</v>
      </c>
      <c r="C441" s="6" t="s">
        <v>562</v>
      </c>
      <c r="D441" s="9" t="s">
        <v>2073</v>
      </c>
    </row>
    <row r="442" customFormat="false" ht="15" hidden="false" customHeight="false" outlineLevel="0" collapsed="false">
      <c r="A442" s="6" t="s">
        <v>2074</v>
      </c>
      <c r="B442" s="101" t="n">
        <f aca="false">($D$199+$D$219+$D$239)*1000000/($D$195+$D$215+$D$235)</f>
        <v>62953.6414494278</v>
      </c>
      <c r="C442" s="6" t="s">
        <v>562</v>
      </c>
      <c r="D442" s="9" t="s">
        <v>2075</v>
      </c>
    </row>
    <row r="444" customFormat="false" ht="23.85" hidden="false" customHeight="false" outlineLevel="0" collapsed="false">
      <c r="A444" s="23" t="s">
        <v>2076</v>
      </c>
      <c r="B444" s="24" t="s">
        <v>188</v>
      </c>
      <c r="C444" s="24"/>
      <c r="D444" s="24" t="s">
        <v>1810</v>
      </c>
    </row>
    <row r="445" customFormat="false" ht="15" hidden="false" customHeight="false" outlineLevel="0" collapsed="false">
      <c r="A445" s="6" t="s">
        <v>2077</v>
      </c>
      <c r="B445" s="25" t="n">
        <f aca="false">$B$439*$B$441/1000000</f>
        <v>802.671015579363</v>
      </c>
      <c r="D445" s="9" t="s">
        <v>2078</v>
      </c>
    </row>
    <row r="446" customFormat="false" ht="15" hidden="false" customHeight="false" outlineLevel="0" collapsed="false">
      <c r="A446" s="6" t="s">
        <v>2079</v>
      </c>
      <c r="B446" s="25" t="n">
        <f aca="false">-$B$439*$B$442/1000000</f>
        <v>-577.461162287311</v>
      </c>
    </row>
    <row r="447" customFormat="false" ht="15" hidden="false" customHeight="false" outlineLevel="0" collapsed="false">
      <c r="A447" s="6" t="s">
        <v>2080</v>
      </c>
      <c r="B447" s="25" t="n">
        <f aca="false">-($B$439*$B$442/1000000)*IntegraMotion!$B$14</f>
        <v>-28.8730581143656</v>
      </c>
    </row>
    <row r="448" customFormat="false" ht="15" hidden="false" customHeight="false" outlineLevel="0" collapsed="false">
      <c r="A448" s="6" t="s">
        <v>2081</v>
      </c>
      <c r="B448" s="25" t="n">
        <f aca="false">-$B$400*12</f>
        <v>-56.24062368</v>
      </c>
      <c r="D448" s="9" t="s">
        <v>2082</v>
      </c>
    </row>
    <row r="449" customFormat="false" ht="95.5" hidden="false" customHeight="false" outlineLevel="0" collapsed="false">
      <c r="A449" s="6" t="s">
        <v>2083</v>
      </c>
      <c r="B449" s="25" t="n">
        <f aca="false">-$D$44*12*(1-$B$437)</f>
        <v>-46.971878616</v>
      </c>
      <c r="D449" s="79" t="s">
        <v>2084</v>
      </c>
    </row>
    <row r="450" customFormat="false" ht="15" hidden="false" customHeight="false" outlineLevel="0" collapsed="false">
      <c r="A450" s="6" t="s">
        <v>2085</v>
      </c>
      <c r="B450" s="25" t="n">
        <f aca="false">-0.00966*B445</f>
        <v>-7.75380201049665</v>
      </c>
    </row>
    <row r="451" customFormat="false" ht="15" hidden="false" customHeight="false" outlineLevel="0" collapsed="false">
      <c r="A451" s="5" t="s">
        <v>1480</v>
      </c>
      <c r="B451" s="30" t="n">
        <f aca="false">SUM(B445:B450)</f>
        <v>85.3704908711893</v>
      </c>
    </row>
    <row r="452" customFormat="false" ht="15" hidden="false" customHeight="false" outlineLevel="0" collapsed="false">
      <c r="A452" s="6" t="s">
        <v>2086</v>
      </c>
      <c r="B452" s="25" t="n">
        <f aca="false">-MAX(0,B451)*$B$17</f>
        <v>-29.8796718049163</v>
      </c>
    </row>
    <row r="453" customFormat="false" ht="15" hidden="false" customHeight="false" outlineLevel="0" collapsed="false">
      <c r="A453" s="5" t="s">
        <v>2087</v>
      </c>
      <c r="B453" s="54" t="n">
        <f aca="false">B451+B452</f>
        <v>55.4908190662731</v>
      </c>
    </row>
    <row r="454" customFormat="false" ht="15" hidden="false" customHeight="false" outlineLevel="0" collapsed="false">
      <c r="A454" s="6" t="s">
        <v>2088</v>
      </c>
      <c r="B454" s="54" t="n">
        <f aca="false">B453/6</f>
        <v>9.24846984437884</v>
      </c>
    </row>
    <row r="455" customFormat="false" ht="53.7" hidden="false" customHeight="false" outlineLevel="0" collapsed="false">
      <c r="A455" s="6" t="s">
        <v>2089</v>
      </c>
      <c r="B455" s="25" t="n">
        <f aca="false">$C$45*12*$B$437</f>
        <v>70.5964896</v>
      </c>
      <c r="D455" s="79" t="s">
        <v>2090</v>
      </c>
    </row>
    <row r="456" customFormat="false" ht="15" hidden="false" customHeight="false" outlineLevel="0" collapsed="false">
      <c r="A456" s="5" t="s">
        <v>2091</v>
      </c>
      <c r="B456" s="61" t="n">
        <f aca="false">($B$400*12+$D$44*12)/($B$438*($B$441-$B$442*(1+IntegraMotion!$B$14)-0.00966*$B$441)/1000000+$D$44*12)</f>
        <v>0.499589062666632</v>
      </c>
      <c r="D456" s="9" t="s">
        <v>2092</v>
      </c>
    </row>
    <row r="457" customFormat="false" ht="30" hidden="false" customHeight="true" outlineLevel="0" collapsed="false">
      <c r="A457" s="79" t="s">
        <v>2093</v>
      </c>
    </row>
    <row r="459" customFormat="false" ht="15" hidden="false" customHeight="false" outlineLevel="0" collapsed="false">
      <c r="A459" s="3" t="s">
        <v>2094</v>
      </c>
      <c r="B459" s="4"/>
      <c r="C459" s="4"/>
      <c r="D459" s="4"/>
      <c r="E459" s="4"/>
      <c r="F459" s="4"/>
      <c r="G459" s="4"/>
      <c r="H459" s="4"/>
    </row>
    <row r="460" customFormat="false" ht="15" hidden="false" customHeight="false" outlineLevel="0" collapsed="false">
      <c r="A460" s="43" t="s">
        <v>919</v>
      </c>
      <c r="B460" s="43" t="s">
        <v>2095</v>
      </c>
      <c r="C460" s="43" t="s">
        <v>2096</v>
      </c>
      <c r="D460" s="43" t="s">
        <v>132</v>
      </c>
      <c r="E460" s="43" t="s">
        <v>1810</v>
      </c>
    </row>
    <row r="461" customFormat="false" ht="15" hidden="false" customHeight="false" outlineLevel="0" collapsed="false">
      <c r="A461" s="6" t="s">
        <v>2097</v>
      </c>
      <c r="B461" s="102" t="n">
        <f aca="false">$B$6</f>
        <v>1.750905</v>
      </c>
      <c r="C461" s="102" t="n">
        <f aca="false">B461*(1+Entorno!$B$12)</f>
        <v>1.899731925</v>
      </c>
      <c r="D461" s="102" t="n">
        <f aca="false">C461*(1+Entorno!$C$7)*(1+Entorno!$B$13)</f>
        <v>2.00469211385625</v>
      </c>
      <c r="E461" s="9" t="s">
        <v>2098</v>
      </c>
    </row>
    <row r="462" customFormat="false" ht="15" hidden="false" customHeight="false" outlineLevel="0" collapsed="false">
      <c r="A462" s="6" t="s">
        <v>2099</v>
      </c>
      <c r="B462" s="80" t="n">
        <f aca="false">$C$45</f>
        <v>8.404344</v>
      </c>
      <c r="C462" s="80" t="n">
        <f aca="false">B462*C$461/B$461</f>
        <v>9.11871324</v>
      </c>
      <c r="D462" s="80" t="n">
        <f aca="false">B462*D$461/B$461</f>
        <v>9.62252214651</v>
      </c>
      <c r="E462" s="9" t="s">
        <v>2100</v>
      </c>
    </row>
    <row r="463" customFormat="false" ht="15" hidden="false" customHeight="false" outlineLevel="0" collapsed="false">
      <c r="A463" s="6" t="s">
        <v>2101</v>
      </c>
      <c r="B463" s="75" t="n">
        <f aca="false">$B$441</f>
        <v>87505.5616147047</v>
      </c>
      <c r="C463" s="75" t="n">
        <f aca="false">B463*C$461/B$461</f>
        <v>94943.5343519546</v>
      </c>
      <c r="D463" s="75" t="n">
        <f aca="false">B463*D$461/B$461</f>
        <v>100189.1646249</v>
      </c>
      <c r="E463" s="9" t="s">
        <v>2102</v>
      </c>
    </row>
    <row r="464" customFormat="false" ht="15" hidden="false" customHeight="false" outlineLevel="0" collapsed="false">
      <c r="A464" s="6" t="s">
        <v>2103</v>
      </c>
      <c r="B464" s="29" t="n">
        <f aca="false">$D$203</f>
        <v>223.393447366122</v>
      </c>
      <c r="C464" s="29" t="n">
        <f aca="false">B464*C$461/B$461</f>
        <v>242.381890392242</v>
      </c>
      <c r="D464" s="29" t="n">
        <f aca="false">B464*D$461/B$461</f>
        <v>255.773489836414</v>
      </c>
      <c r="E464" s="9" t="s">
        <v>2104</v>
      </c>
    </row>
    <row r="465" customFormat="false" ht="15" hidden="false" customHeight="false" outlineLevel="0" collapsed="false">
      <c r="A465" s="6" t="s">
        <v>2105</v>
      </c>
      <c r="B465" s="29" t="n">
        <f aca="false">$D$223</f>
        <v>65.0290079964768</v>
      </c>
      <c r="C465" s="29" t="n">
        <f aca="false">B465*C$461/B$461</f>
        <v>70.5564736761773</v>
      </c>
      <c r="D465" s="29" t="n">
        <f aca="false">B465*D$461/B$461</f>
        <v>74.4547188467861</v>
      </c>
      <c r="E465" s="9" t="s">
        <v>2106</v>
      </c>
    </row>
    <row r="466" customFormat="false" ht="15" hidden="false" customHeight="false" outlineLevel="0" collapsed="false">
      <c r="A466" s="6" t="s">
        <v>2107</v>
      </c>
      <c r="B466" s="29" t="n">
        <f aca="false">$D$243</f>
        <v>87.5918962084916</v>
      </c>
      <c r="C466" s="29" t="n">
        <f aca="false">B466*C$461/B$461</f>
        <v>95.0372073862133</v>
      </c>
      <c r="D466" s="29" t="n">
        <f aca="false">B466*D$461/B$461</f>
        <v>100.288013094302</v>
      </c>
      <c r="E466" s="9" t="s">
        <v>2108</v>
      </c>
    </row>
    <row r="467" customFormat="false" ht="15" hidden="false" customHeight="false" outlineLevel="0" collapsed="false">
      <c r="A467" s="5" t="s">
        <v>2109</v>
      </c>
      <c r="B467" s="62" t="n">
        <f aca="false">B464</f>
        <v>223.393447366122</v>
      </c>
      <c r="C467" s="62" t="n">
        <f aca="false">C465</f>
        <v>70.5564736761773</v>
      </c>
      <c r="D467" s="62" t="n">
        <f aca="false">D466</f>
        <v>100.288013094302</v>
      </c>
    </row>
    <row r="468" customFormat="false" ht="57.75" hidden="false" customHeight="true" outlineLevel="0" collapsed="false">
      <c r="A468" s="32" t="s">
        <v>2110</v>
      </c>
      <c r="B468" s="32"/>
      <c r="C468" s="32"/>
      <c r="D468" s="32"/>
      <c r="E468" s="32"/>
      <c r="F468" s="32"/>
      <c r="G468" s="32"/>
      <c r="H468" s="32"/>
    </row>
  </sheetData>
  <mergeCells count="36">
    <mergeCell ref="A23:H23"/>
    <mergeCell ref="A40:H40"/>
    <mergeCell ref="A49:H49"/>
    <mergeCell ref="A50:H50"/>
    <mergeCell ref="A53:K53"/>
    <mergeCell ref="A135:K135"/>
    <mergeCell ref="A154:K154"/>
    <mergeCell ref="A157:K157"/>
    <mergeCell ref="A295:K295"/>
    <mergeCell ref="A338:K338"/>
    <mergeCell ref="A339:K339"/>
    <mergeCell ref="B367:E367"/>
    <mergeCell ref="F367:K367"/>
    <mergeCell ref="B368:E368"/>
    <mergeCell ref="F368:K368"/>
    <mergeCell ref="B369:E369"/>
    <mergeCell ref="F369:K369"/>
    <mergeCell ref="B370:E370"/>
    <mergeCell ref="F370:K370"/>
    <mergeCell ref="B371:E371"/>
    <mergeCell ref="F371:K371"/>
    <mergeCell ref="B372:E372"/>
    <mergeCell ref="F372:K372"/>
    <mergeCell ref="B373:E373"/>
    <mergeCell ref="F373:K373"/>
    <mergeCell ref="B374:E374"/>
    <mergeCell ref="F374:K374"/>
    <mergeCell ref="B375:E375"/>
    <mergeCell ref="F375:K375"/>
    <mergeCell ref="B376:E376"/>
    <mergeCell ref="F376:K376"/>
    <mergeCell ref="B377:E377"/>
    <mergeCell ref="F377:K377"/>
    <mergeCell ref="B378:E378"/>
    <mergeCell ref="F378:K378"/>
    <mergeCell ref="A468:H4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6" min="5" style="0" width="14"/>
    <col collapsed="false" customWidth="true" hidden="false" outlineLevel="0" max="7" min="7" style="0" width="16"/>
    <col collapsed="false" customWidth="true" hidden="false" outlineLevel="0" max="8" min="8" style="0" width="50"/>
  </cols>
  <sheetData>
    <row r="1" customFormat="false" ht="17.35" hidden="false" customHeight="false" outlineLevel="0" collapsed="false">
      <c r="A1" s="42" t="s">
        <v>2111</v>
      </c>
    </row>
    <row r="2" customFormat="false" ht="15" hidden="false" customHeight="false" outlineLevel="0" collapsed="false">
      <c r="A2" s="9" t="s">
        <v>2112</v>
      </c>
    </row>
    <row r="4" customFormat="false" ht="15" hidden="false" customHeight="false" outlineLevel="0" collapsed="false">
      <c r="A4" s="3" t="s">
        <v>2113</v>
      </c>
      <c r="B4" s="4"/>
      <c r="C4" s="4"/>
      <c r="D4" s="4"/>
      <c r="E4" s="4"/>
      <c r="F4" s="4"/>
      <c r="G4" s="4"/>
      <c r="H4" s="4"/>
    </row>
    <row r="5" customFormat="false" ht="15" hidden="false" customHeight="false" outlineLevel="0" collapsed="false">
      <c r="A5" s="5" t="s">
        <v>2114</v>
      </c>
    </row>
    <row r="6" customFormat="false" ht="23.85" hidden="false" customHeight="false" outlineLevel="0" collapsed="false">
      <c r="A6" s="23" t="s">
        <v>1541</v>
      </c>
      <c r="B6" s="24" t="s">
        <v>189</v>
      </c>
      <c r="C6" s="24" t="s">
        <v>2115</v>
      </c>
      <c r="D6" s="24" t="s">
        <v>2116</v>
      </c>
      <c r="E6" s="24" t="s">
        <v>2117</v>
      </c>
      <c r="F6" s="24" t="s">
        <v>2118</v>
      </c>
      <c r="G6" s="24" t="s">
        <v>2119</v>
      </c>
      <c r="H6" s="24" t="s">
        <v>1810</v>
      </c>
    </row>
    <row r="7" customFormat="false" ht="53.7" hidden="false" customHeight="false" outlineLevel="0" collapsed="false">
      <c r="A7" s="6" t="s">
        <v>1591</v>
      </c>
      <c r="B7" s="28" t="s">
        <v>2120</v>
      </c>
      <c r="C7" s="101" t="n">
        <f aca="false">IntegraMotion!$E$44</f>
        <v>71690.9014285714</v>
      </c>
      <c r="D7" s="101" t="n">
        <f aca="false">IntegraMotion!$F$44</f>
        <v>955.34094714809</v>
      </c>
      <c r="E7" s="101" t="n">
        <f aca="false">IntegraMotion!$D$197*1000000/IntegraMotion!$D$195</f>
        <v>2872.50060970691</v>
      </c>
      <c r="F7" s="101" t="n">
        <f aca="false">IntegraMotion!$D$198*1000000/IntegraMotion!$D$195</f>
        <v>0</v>
      </c>
      <c r="G7" s="103" t="n">
        <f aca="false">C7+D7+E7+F7</f>
        <v>75518.7429854264</v>
      </c>
      <c r="H7" s="79" t="s">
        <v>2121</v>
      </c>
    </row>
    <row r="8" customFormat="false" ht="15" hidden="false" customHeight="false" outlineLevel="0" collapsed="false">
      <c r="A8" s="6" t="s">
        <v>1593</v>
      </c>
      <c r="B8" s="28" t="s">
        <v>2120</v>
      </c>
      <c r="C8" s="101" t="n">
        <f aca="false">IntegraMotion!$E$45</f>
        <v>46177.7142857143</v>
      </c>
      <c r="D8" s="101" t="n">
        <f aca="false">IntegraMotion!$F$45</f>
        <v>3248.2974751439</v>
      </c>
      <c r="E8" s="101" t="n">
        <f aca="false">IntegraMotion!$D$197*1000000/IntegraMotion!$D$195</f>
        <v>2872.50060970691</v>
      </c>
      <c r="F8" s="101" t="n">
        <f aca="false">IntegraMotion!$D$198*1000000/IntegraMotion!$D$195</f>
        <v>0</v>
      </c>
      <c r="G8" s="103" t="n">
        <f aca="false">C8+D8+E8+F8</f>
        <v>52298.5123705651</v>
      </c>
    </row>
    <row r="9" customFormat="false" ht="15" hidden="false" customHeight="false" outlineLevel="0" collapsed="false">
      <c r="A9" s="6" t="s">
        <v>1595</v>
      </c>
      <c r="B9" s="28" t="s">
        <v>2120</v>
      </c>
      <c r="C9" s="101" t="n">
        <f aca="false">IntegraMotion!$E$46</f>
        <v>46177.7142857143</v>
      </c>
      <c r="D9" s="101" t="n">
        <f aca="false">IntegraMotion!$F$46</f>
        <v>7292.94283097855</v>
      </c>
      <c r="E9" s="101" t="n">
        <f aca="false">IntegraMotion!$D$197*1000000/IntegraMotion!$D$195</f>
        <v>2872.50060970691</v>
      </c>
      <c r="F9" s="101" t="n">
        <f aca="false">IntegraMotion!$D$198*1000000/IntegraMotion!$D$195</f>
        <v>0</v>
      </c>
      <c r="G9" s="103" t="n">
        <f aca="false">C9+D9+E9+F9</f>
        <v>56343.1577263997</v>
      </c>
    </row>
    <row r="10" customFormat="false" ht="15" hidden="false" customHeight="false" outlineLevel="0" collapsed="false">
      <c r="A10" s="6" t="s">
        <v>1596</v>
      </c>
      <c r="B10" s="28" t="s">
        <v>2120</v>
      </c>
      <c r="C10" s="101" t="n">
        <f aca="false">IntegraMotion!$E$47</f>
        <v>46177.7142857143</v>
      </c>
      <c r="D10" s="101" t="n">
        <f aca="false">IntegraMotion!$F$47</f>
        <v>26752.3116169545</v>
      </c>
      <c r="E10" s="101" t="n">
        <f aca="false">IntegraMotion!$D$197*1000000/IntegraMotion!$D$195</f>
        <v>2872.50060970691</v>
      </c>
      <c r="F10" s="101" t="n">
        <f aca="false">IntegraMotion!$D$198*1000000/IntegraMotion!$D$195</f>
        <v>0</v>
      </c>
      <c r="G10" s="103" t="n">
        <f aca="false">C10+D10+E10+F10</f>
        <v>75802.5265123757</v>
      </c>
    </row>
    <row r="11" customFormat="false" ht="15" hidden="false" customHeight="false" outlineLevel="0" collapsed="false">
      <c r="A11" s="6" t="s">
        <v>1307</v>
      </c>
      <c r="B11" s="28" t="s">
        <v>2120</v>
      </c>
      <c r="C11" s="101" t="n">
        <f aca="false">IntegraMotion!$E$48</f>
        <v>46177.7142857143</v>
      </c>
      <c r="D11" s="101" t="n">
        <f aca="false">IntegraMotion!$F$48</f>
        <v>691.274201988488</v>
      </c>
      <c r="E11" s="101" t="n">
        <f aca="false">IntegraMotion!$D$197*1000000/IntegraMotion!$D$195</f>
        <v>2872.50060970691</v>
      </c>
      <c r="F11" s="101" t="n">
        <f aca="false">IntegraMotion!$D$198*1000000/IntegraMotion!$D$195</f>
        <v>0</v>
      </c>
      <c r="G11" s="103" t="n">
        <f aca="false">C11+D11+E11+F11</f>
        <v>49741.4890974097</v>
      </c>
    </row>
    <row r="13" customFormat="false" ht="15" hidden="false" customHeight="false" outlineLevel="0" collapsed="false">
      <c r="A13" s="5" t="s">
        <v>2122</v>
      </c>
    </row>
    <row r="14" customFormat="false" ht="23.85" hidden="false" customHeight="false" outlineLevel="0" collapsed="false">
      <c r="A14" s="23" t="s">
        <v>2123</v>
      </c>
      <c r="B14" s="24" t="s">
        <v>189</v>
      </c>
      <c r="C14" s="24" t="s">
        <v>983</v>
      </c>
      <c r="D14" s="24" t="s">
        <v>2124</v>
      </c>
      <c r="E14" s="24" t="s">
        <v>2125</v>
      </c>
    </row>
    <row r="15" customFormat="false" ht="15" hidden="false" customHeight="false" outlineLevel="0" collapsed="false">
      <c r="A15" s="6" t="s">
        <v>1591</v>
      </c>
      <c r="B15" s="28" t="s">
        <v>2126</v>
      </c>
      <c r="C15" s="76" t="n">
        <f aca="false">IntegraMotion!$B$190</f>
        <v>320.05375</v>
      </c>
      <c r="D15" s="101" t="n">
        <f aca="false">G7</f>
        <v>75518.7429854264</v>
      </c>
      <c r="E15" s="98" t="n">
        <f aca="false">C15*D15/1000000</f>
        <v>24.1700568877719</v>
      </c>
    </row>
    <row r="16" customFormat="false" ht="15" hidden="false" customHeight="false" outlineLevel="0" collapsed="false">
      <c r="A16" s="6" t="s">
        <v>1593</v>
      </c>
      <c r="B16" s="28" t="s">
        <v>2126</v>
      </c>
      <c r="C16" s="76" t="n">
        <f aca="false">IntegraMotion!$B$191</f>
        <v>488</v>
      </c>
      <c r="D16" s="101" t="n">
        <f aca="false">G8</f>
        <v>52298.5123705651</v>
      </c>
      <c r="E16" s="98" t="n">
        <f aca="false">C16*D16/1000000</f>
        <v>25.5216740368358</v>
      </c>
    </row>
    <row r="17" customFormat="false" ht="15" hidden="false" customHeight="false" outlineLevel="0" collapsed="false">
      <c r="A17" s="6" t="s">
        <v>1595</v>
      </c>
      <c r="B17" s="28" t="s">
        <v>2126</v>
      </c>
      <c r="C17" s="76" t="n">
        <f aca="false">IntegraMotion!$B$192</f>
        <v>1192.5375</v>
      </c>
      <c r="D17" s="101" t="n">
        <f aca="false">G9</f>
        <v>56343.1577263997</v>
      </c>
      <c r="E17" s="98" t="n">
        <f aca="false">C17*D17/1000000</f>
        <v>67.1913284571464</v>
      </c>
    </row>
    <row r="18" customFormat="false" ht="15" hidden="false" customHeight="false" outlineLevel="0" collapsed="false">
      <c r="A18" s="6" t="s">
        <v>1596</v>
      </c>
      <c r="B18" s="28" t="s">
        <v>2126</v>
      </c>
      <c r="C18" s="76" t="n">
        <f aca="false">IntegraMotion!$B$193</f>
        <v>384</v>
      </c>
      <c r="D18" s="101" t="n">
        <f aca="false">G10</f>
        <v>75802.5265123757</v>
      </c>
      <c r="E18" s="98" t="n">
        <f aca="false">C18*D18/1000000</f>
        <v>29.1081701807523</v>
      </c>
    </row>
    <row r="19" customFormat="false" ht="15" hidden="false" customHeight="false" outlineLevel="0" collapsed="false">
      <c r="A19" s="6" t="s">
        <v>1307</v>
      </c>
      <c r="B19" s="28" t="s">
        <v>2126</v>
      </c>
      <c r="C19" s="76" t="n">
        <f aca="false">IntegraMotion!$B$194</f>
        <v>296</v>
      </c>
      <c r="D19" s="101" t="n">
        <f aca="false">G11</f>
        <v>49741.4890974097</v>
      </c>
      <c r="E19" s="98" t="n">
        <f aca="false">C19*D19/1000000</f>
        <v>14.7234807728333</v>
      </c>
    </row>
    <row r="20" customFormat="false" ht="15" hidden="false" customHeight="false" outlineLevel="0" collapsed="false">
      <c r="A20" s="5" t="s">
        <v>1820</v>
      </c>
      <c r="E20" s="99" t="n">
        <f aca="false">SUM(E15:E19)</f>
        <v>160.71471033534</v>
      </c>
    </row>
    <row r="21" customFormat="false" ht="15" hidden="false" customHeight="false" outlineLevel="0" collapsed="false">
      <c r="A21" s="6" t="s">
        <v>1821</v>
      </c>
      <c r="E21" s="98" t="n">
        <f aca="false">E20*IntegraMotion!$B$13</f>
        <v>38.5715304804815</v>
      </c>
    </row>
    <row r="22" customFormat="false" ht="15" hidden="false" customHeight="false" outlineLevel="0" collapsed="false">
      <c r="A22" s="6" t="s">
        <v>1823</v>
      </c>
      <c r="E22" s="98" t="n">
        <f aca="false">E20*IntegraMotion!$B$14</f>
        <v>8.03573551676698</v>
      </c>
    </row>
    <row r="23" customFormat="false" ht="15" hidden="false" customHeight="false" outlineLevel="0" collapsed="false">
      <c r="A23" s="6" t="s">
        <v>1824</v>
      </c>
      <c r="E23" s="98" t="n">
        <f aca="false">E20*IntegraMotion!$B$15</f>
        <v>16.071471033534</v>
      </c>
    </row>
    <row r="24" customFormat="false" ht="15" hidden="false" customHeight="false" outlineLevel="0" collapsed="false">
      <c r="A24" s="5" t="s">
        <v>2127</v>
      </c>
      <c r="E24" s="100" t="n">
        <f aca="false">E20+E21+E22+E23</f>
        <v>223.393447366122</v>
      </c>
    </row>
    <row r="25" customFormat="false" ht="15" hidden="false" customHeight="false" outlineLevel="0" collapsed="false">
      <c r="A25" s="6" t="s">
        <v>1826</v>
      </c>
      <c r="E25" s="98" t="n">
        <f aca="false">E24*IntegraMotion!$B$16</f>
        <v>42.4447549995632</v>
      </c>
    </row>
    <row r="26" customFormat="false" ht="15" hidden="false" customHeight="false" outlineLevel="0" collapsed="false">
      <c r="A26" s="5" t="s">
        <v>2128</v>
      </c>
      <c r="E26" s="99" t="n">
        <f aca="false">E24+E25</f>
        <v>265.838202365685</v>
      </c>
    </row>
    <row r="27" customFormat="false" ht="15" hidden="false" customHeight="false" outlineLevel="0" collapsed="false">
      <c r="A27" s="6" t="s">
        <v>2129</v>
      </c>
      <c r="E27" s="98" t="n">
        <f aca="false">E24-IntegraMotion!$D$203</f>
        <v>0</v>
      </c>
    </row>
    <row r="29" customFormat="false" ht="15" hidden="false" customHeight="false" outlineLevel="0" collapsed="false">
      <c r="A29" s="3" t="s">
        <v>102</v>
      </c>
      <c r="B29" s="4"/>
      <c r="C29" s="4"/>
      <c r="D29" s="4"/>
      <c r="E29" s="4"/>
      <c r="F29" s="4"/>
      <c r="G29" s="4"/>
      <c r="H29" s="4"/>
    </row>
    <row r="30" customFormat="false" ht="15" hidden="false" customHeight="false" outlineLevel="0" collapsed="false">
      <c r="A30" s="5" t="s">
        <v>2114</v>
      </c>
    </row>
    <row r="31" customFormat="false" ht="23.85" hidden="false" customHeight="false" outlineLevel="0" collapsed="false">
      <c r="A31" s="23" t="s">
        <v>1541</v>
      </c>
      <c r="B31" s="24" t="s">
        <v>189</v>
      </c>
      <c r="C31" s="24" t="s">
        <v>2115</v>
      </c>
      <c r="D31" s="24" t="s">
        <v>2116</v>
      </c>
      <c r="E31" s="24" t="s">
        <v>2117</v>
      </c>
      <c r="F31" s="24" t="s">
        <v>2118</v>
      </c>
      <c r="G31" s="24" t="s">
        <v>2119</v>
      </c>
      <c r="H31" s="24" t="s">
        <v>1810</v>
      </c>
    </row>
    <row r="32" customFormat="false" ht="53.7" hidden="false" customHeight="false" outlineLevel="0" collapsed="false">
      <c r="A32" s="6" t="s">
        <v>1591</v>
      </c>
      <c r="B32" s="28" t="s">
        <v>2120</v>
      </c>
      <c r="C32" s="101" t="n">
        <f aca="false">IntegraMotion!$E$44</f>
        <v>71690.9014285714</v>
      </c>
      <c r="D32" s="101" t="n">
        <f aca="false">IntegraMotion!$F$44</f>
        <v>955.34094714809</v>
      </c>
      <c r="E32" s="101" t="n">
        <f aca="false">IntegraMotion!$D$217*1000000/IntegraMotion!$D$215</f>
        <v>17168.0837148463</v>
      </c>
      <c r="F32" s="101" t="n">
        <f aca="false">IntegraMotion!$D$218*1000000/IntegraMotion!$D$215</f>
        <v>4905.16677567037</v>
      </c>
      <c r="G32" s="103" t="n">
        <f aca="false">C32+D32+E32+F32</f>
        <v>94719.4928662362</v>
      </c>
      <c r="H32" s="79" t="s">
        <v>2121</v>
      </c>
    </row>
    <row r="33" customFormat="false" ht="15" hidden="false" customHeight="false" outlineLevel="0" collapsed="false">
      <c r="A33" s="6" t="s">
        <v>1593</v>
      </c>
      <c r="B33" s="28" t="s">
        <v>2120</v>
      </c>
      <c r="C33" s="101" t="n">
        <f aca="false">IntegraMotion!$E$45</f>
        <v>46177.7142857143</v>
      </c>
      <c r="D33" s="101" t="n">
        <f aca="false">IntegraMotion!$F$45</f>
        <v>3248.2974751439</v>
      </c>
      <c r="E33" s="101" t="n">
        <f aca="false">IntegraMotion!$D$217*1000000/IntegraMotion!$D$215</f>
        <v>17168.0837148463</v>
      </c>
      <c r="F33" s="101" t="n">
        <f aca="false">IntegraMotion!$D$218*1000000/IntegraMotion!$D$215</f>
        <v>4905.16677567037</v>
      </c>
      <c r="G33" s="103" t="n">
        <f aca="false">C33+D33+E33+F33</f>
        <v>71499.2622513749</v>
      </c>
    </row>
    <row r="34" customFormat="false" ht="15" hidden="false" customHeight="false" outlineLevel="0" collapsed="false">
      <c r="A34" s="6" t="s">
        <v>1595</v>
      </c>
      <c r="B34" s="28" t="s">
        <v>2120</v>
      </c>
      <c r="C34" s="101" t="n">
        <f aca="false">IntegraMotion!$E$46</f>
        <v>46177.7142857143</v>
      </c>
      <c r="D34" s="101" t="n">
        <f aca="false">IntegraMotion!$F$46</f>
        <v>7292.94283097855</v>
      </c>
      <c r="E34" s="101" t="n">
        <f aca="false">IntegraMotion!$D$217*1000000/IntegraMotion!$D$215</f>
        <v>17168.0837148463</v>
      </c>
      <c r="F34" s="101" t="n">
        <f aca="false">IntegraMotion!$D$218*1000000/IntegraMotion!$D$215</f>
        <v>4905.16677567037</v>
      </c>
      <c r="G34" s="103" t="n">
        <f aca="false">C34+D34+E34+F34</f>
        <v>75543.9076072095</v>
      </c>
    </row>
    <row r="35" customFormat="false" ht="15" hidden="false" customHeight="false" outlineLevel="0" collapsed="false">
      <c r="A35" s="6" t="s">
        <v>1596</v>
      </c>
      <c r="B35" s="28" t="s">
        <v>2120</v>
      </c>
      <c r="C35" s="101" t="n">
        <f aca="false">IntegraMotion!$E$47</f>
        <v>46177.7142857143</v>
      </c>
      <c r="D35" s="101" t="n">
        <f aca="false">IntegraMotion!$F$47</f>
        <v>26752.3116169545</v>
      </c>
      <c r="E35" s="101" t="n">
        <f aca="false">IntegraMotion!$D$217*1000000/IntegraMotion!$D$215</f>
        <v>17168.0837148463</v>
      </c>
      <c r="F35" s="101" t="n">
        <f aca="false">IntegraMotion!$D$218*1000000/IntegraMotion!$D$215</f>
        <v>4905.16677567037</v>
      </c>
      <c r="G35" s="103" t="n">
        <f aca="false">C35+D35+E35+F35</f>
        <v>95003.2763931854</v>
      </c>
    </row>
    <row r="36" customFormat="false" ht="15" hidden="false" customHeight="false" outlineLevel="0" collapsed="false">
      <c r="A36" s="6" t="s">
        <v>1307</v>
      </c>
      <c r="B36" s="28" t="s">
        <v>2120</v>
      </c>
      <c r="C36" s="101" t="n">
        <f aca="false">IntegraMotion!$E$48</f>
        <v>46177.7142857143</v>
      </c>
      <c r="D36" s="101" t="n">
        <f aca="false">IntegraMotion!$F$48</f>
        <v>691.274201988488</v>
      </c>
      <c r="E36" s="101" t="n">
        <f aca="false">IntegraMotion!$D$217*1000000/IntegraMotion!$D$215</f>
        <v>17168.0837148463</v>
      </c>
      <c r="F36" s="101" t="n">
        <f aca="false">IntegraMotion!$D$218*1000000/IntegraMotion!$D$215</f>
        <v>4905.16677567037</v>
      </c>
      <c r="G36" s="103" t="n">
        <f aca="false">C36+D36+E36+F36</f>
        <v>68942.2389782195</v>
      </c>
    </row>
    <row r="38" customFormat="false" ht="15" hidden="false" customHeight="false" outlineLevel="0" collapsed="false">
      <c r="A38" s="5" t="s">
        <v>2122</v>
      </c>
    </row>
    <row r="39" customFormat="false" ht="23.85" hidden="false" customHeight="false" outlineLevel="0" collapsed="false">
      <c r="A39" s="23" t="s">
        <v>2123</v>
      </c>
      <c r="B39" s="24" t="s">
        <v>189</v>
      </c>
      <c r="C39" s="24" t="s">
        <v>983</v>
      </c>
      <c r="D39" s="24" t="s">
        <v>2124</v>
      </c>
      <c r="E39" s="24" t="s">
        <v>2125</v>
      </c>
    </row>
    <row r="40" customFormat="false" ht="15" hidden="false" customHeight="false" outlineLevel="0" collapsed="false">
      <c r="A40" s="6" t="s">
        <v>1591</v>
      </c>
      <c r="B40" s="28" t="s">
        <v>2126</v>
      </c>
      <c r="C40" s="76" t="n">
        <f aca="false">IntegraMotion!$B$210</f>
        <v>55.6</v>
      </c>
      <c r="D40" s="101" t="n">
        <f aca="false">G32</f>
        <v>94719.4928662362</v>
      </c>
      <c r="E40" s="98" t="n">
        <f aca="false">C40*D40/1000000</f>
        <v>5.26640380336273</v>
      </c>
    </row>
    <row r="41" customFormat="false" ht="15" hidden="false" customHeight="false" outlineLevel="0" collapsed="false">
      <c r="A41" s="6" t="s">
        <v>1593</v>
      </c>
      <c r="B41" s="28" t="s">
        <v>2126</v>
      </c>
      <c r="C41" s="76" t="n">
        <f aca="false">IntegraMotion!$B$211</f>
        <v>120</v>
      </c>
      <c r="D41" s="101" t="n">
        <f aca="false">G33</f>
        <v>71499.2622513749</v>
      </c>
      <c r="E41" s="98" t="n">
        <f aca="false">C41*D41/1000000</f>
        <v>8.57991147016499</v>
      </c>
    </row>
    <row r="42" customFormat="false" ht="15" hidden="false" customHeight="false" outlineLevel="0" collapsed="false">
      <c r="A42" s="6" t="s">
        <v>1595</v>
      </c>
      <c r="B42" s="28" t="s">
        <v>2126</v>
      </c>
      <c r="C42" s="76" t="n">
        <f aca="false">IntegraMotion!$B$212</f>
        <v>436</v>
      </c>
      <c r="D42" s="101" t="n">
        <f aca="false">G34</f>
        <v>75543.9076072095</v>
      </c>
      <c r="E42" s="98" t="n">
        <f aca="false">C42*D42/1000000</f>
        <v>32.9371437167433</v>
      </c>
    </row>
    <row r="43" customFormat="false" ht="15" hidden="false" customHeight="false" outlineLevel="0" collapsed="false">
      <c r="A43" s="6" t="s">
        <v>1596</v>
      </c>
      <c r="B43" s="28" t="s">
        <v>2126</v>
      </c>
      <c r="C43" s="76" t="n">
        <f aca="false">IntegraMotion!$B$213</f>
        <v>0</v>
      </c>
      <c r="D43" s="101" t="n">
        <f aca="false">G35</f>
        <v>95003.2763931854</v>
      </c>
      <c r="E43" s="98" t="n">
        <f aca="false">C43*D43/1000000</f>
        <v>0</v>
      </c>
    </row>
    <row r="44" customFormat="false" ht="15" hidden="false" customHeight="false" outlineLevel="0" collapsed="false">
      <c r="A44" s="6" t="s">
        <v>1307</v>
      </c>
      <c r="B44" s="28" t="s">
        <v>2126</v>
      </c>
      <c r="C44" s="76" t="n">
        <f aca="false">IntegraMotion!$B$214</f>
        <v>0</v>
      </c>
      <c r="D44" s="101" t="n">
        <f aca="false">G36</f>
        <v>68942.2389782195</v>
      </c>
      <c r="E44" s="98" t="n">
        <f aca="false">C44*D44/1000000</f>
        <v>0</v>
      </c>
    </row>
    <row r="45" customFormat="false" ht="15" hidden="false" customHeight="false" outlineLevel="0" collapsed="false">
      <c r="A45" s="5" t="s">
        <v>1820</v>
      </c>
      <c r="E45" s="99" t="n">
        <f aca="false">SUM(E40:E44)</f>
        <v>46.7834589902711</v>
      </c>
    </row>
    <row r="46" customFormat="false" ht="15" hidden="false" customHeight="false" outlineLevel="0" collapsed="false">
      <c r="A46" s="6" t="s">
        <v>1821</v>
      </c>
      <c r="E46" s="98" t="n">
        <f aca="false">E45*IntegraMotion!$B$13</f>
        <v>11.2280301576651</v>
      </c>
    </row>
    <row r="47" customFormat="false" ht="15" hidden="false" customHeight="false" outlineLevel="0" collapsed="false">
      <c r="A47" s="6" t="s">
        <v>1823</v>
      </c>
      <c r="E47" s="98" t="n">
        <f aca="false">E45*IntegraMotion!$B$14</f>
        <v>2.33917294951355</v>
      </c>
    </row>
    <row r="48" customFormat="false" ht="15" hidden="false" customHeight="false" outlineLevel="0" collapsed="false">
      <c r="A48" s="6" t="s">
        <v>1824</v>
      </c>
      <c r="E48" s="98" t="n">
        <f aca="false">E45*IntegraMotion!$B$15</f>
        <v>4.67834589902711</v>
      </c>
    </row>
    <row r="49" customFormat="false" ht="15" hidden="false" customHeight="false" outlineLevel="0" collapsed="false">
      <c r="A49" s="5" t="s">
        <v>2127</v>
      </c>
      <c r="E49" s="100" t="n">
        <f aca="false">E45+E46+E47+E48</f>
        <v>65.0290079964768</v>
      </c>
    </row>
    <row r="50" customFormat="false" ht="15" hidden="false" customHeight="false" outlineLevel="0" collapsed="false">
      <c r="A50" s="6" t="s">
        <v>1826</v>
      </c>
      <c r="E50" s="98" t="n">
        <f aca="false">E49*IntegraMotion!$B$16</f>
        <v>12.3555115193306</v>
      </c>
    </row>
    <row r="51" customFormat="false" ht="15" hidden="false" customHeight="false" outlineLevel="0" collapsed="false">
      <c r="A51" s="5" t="s">
        <v>2128</v>
      </c>
      <c r="E51" s="99" t="n">
        <f aca="false">E49+E50</f>
        <v>77.3845195158074</v>
      </c>
    </row>
    <row r="52" customFormat="false" ht="15" hidden="false" customHeight="false" outlineLevel="0" collapsed="false">
      <c r="A52" s="6" t="s">
        <v>2129</v>
      </c>
      <c r="E52" s="98" t="n">
        <f aca="false">E49-IntegraMotion!$D$223</f>
        <v>0</v>
      </c>
    </row>
    <row r="54" customFormat="false" ht="15" hidden="false" customHeight="false" outlineLevel="0" collapsed="false">
      <c r="A54" s="3" t="s">
        <v>2130</v>
      </c>
      <c r="B54" s="4"/>
      <c r="C54" s="4"/>
      <c r="D54" s="4"/>
      <c r="E54" s="4"/>
      <c r="F54" s="4"/>
      <c r="G54" s="4"/>
      <c r="H54" s="4"/>
    </row>
    <row r="55" customFormat="false" ht="15" hidden="false" customHeight="false" outlineLevel="0" collapsed="false">
      <c r="A55" s="5" t="s">
        <v>2114</v>
      </c>
    </row>
    <row r="56" customFormat="false" ht="23.85" hidden="false" customHeight="false" outlineLevel="0" collapsed="false">
      <c r="A56" s="23" t="s">
        <v>1541</v>
      </c>
      <c r="B56" s="24" t="s">
        <v>189</v>
      </c>
      <c r="C56" s="24" t="s">
        <v>2115</v>
      </c>
      <c r="D56" s="24" t="s">
        <v>2116</v>
      </c>
      <c r="E56" s="24" t="s">
        <v>2117</v>
      </c>
      <c r="F56" s="24" t="s">
        <v>2118</v>
      </c>
      <c r="G56" s="24" t="s">
        <v>2119</v>
      </c>
      <c r="H56" s="24" t="s">
        <v>1810</v>
      </c>
    </row>
    <row r="57" customFormat="false" ht="53.7" hidden="false" customHeight="false" outlineLevel="0" collapsed="false">
      <c r="A57" s="6" t="s">
        <v>1591</v>
      </c>
      <c r="B57" s="28" t="s">
        <v>2120</v>
      </c>
      <c r="C57" s="101" t="n">
        <f aca="false">IntegraMotion!$E$44</f>
        <v>71690.9014285714</v>
      </c>
      <c r="D57" s="101" t="n">
        <f aca="false">IntegraMotion!$F$44</f>
        <v>955.34094714809</v>
      </c>
      <c r="E57" s="101" t="n">
        <f aca="false">IntegraMotion!$D$237*1000000/IntegraMotion!$D$235</f>
        <v>5573.01268606772</v>
      </c>
      <c r="F57" s="101" t="n">
        <f aca="false">IntegraMotion!$D$238*1000000/IntegraMotion!$D$235</f>
        <v>995.180836797807</v>
      </c>
      <c r="G57" s="103" t="n">
        <f aca="false">C57+D57+E57+F57</f>
        <v>79214.435898585</v>
      </c>
      <c r="H57" s="79" t="s">
        <v>2121</v>
      </c>
    </row>
    <row r="58" customFormat="false" ht="15" hidden="false" customHeight="false" outlineLevel="0" collapsed="false">
      <c r="A58" s="6" t="s">
        <v>1593</v>
      </c>
      <c r="B58" s="28" t="s">
        <v>2120</v>
      </c>
      <c r="C58" s="101" t="n">
        <f aca="false">IntegraMotion!$E$45</f>
        <v>46177.7142857143</v>
      </c>
      <c r="D58" s="101" t="n">
        <f aca="false">IntegraMotion!$F$45</f>
        <v>3248.2974751439</v>
      </c>
      <c r="E58" s="101" t="n">
        <f aca="false">IntegraMotion!$D$237*1000000/IntegraMotion!$D$235</f>
        <v>5573.01268606772</v>
      </c>
      <c r="F58" s="101" t="n">
        <f aca="false">IntegraMotion!$D$238*1000000/IntegraMotion!$D$235</f>
        <v>995.180836797807</v>
      </c>
      <c r="G58" s="103" t="n">
        <f aca="false">C58+D58+E58+F58</f>
        <v>55994.2052837237</v>
      </c>
    </row>
    <row r="59" customFormat="false" ht="15" hidden="false" customHeight="false" outlineLevel="0" collapsed="false">
      <c r="A59" s="6" t="s">
        <v>1595</v>
      </c>
      <c r="B59" s="28" t="s">
        <v>2120</v>
      </c>
      <c r="C59" s="101" t="n">
        <f aca="false">IntegraMotion!$E$46</f>
        <v>46177.7142857143</v>
      </c>
      <c r="D59" s="101" t="n">
        <f aca="false">IntegraMotion!$F$46</f>
        <v>7292.94283097855</v>
      </c>
      <c r="E59" s="101" t="n">
        <f aca="false">IntegraMotion!$D$237*1000000/IntegraMotion!$D$235</f>
        <v>5573.01268606772</v>
      </c>
      <c r="F59" s="101" t="n">
        <f aca="false">IntegraMotion!$D$238*1000000/IntegraMotion!$D$235</f>
        <v>995.180836797807</v>
      </c>
      <c r="G59" s="103" t="n">
        <f aca="false">C59+D59+E59+F59</f>
        <v>60038.8506395584</v>
      </c>
    </row>
    <row r="60" customFormat="false" ht="15" hidden="false" customHeight="false" outlineLevel="0" collapsed="false">
      <c r="A60" s="6" t="s">
        <v>1596</v>
      </c>
      <c r="B60" s="28" t="s">
        <v>2120</v>
      </c>
      <c r="C60" s="101" t="n">
        <f aca="false">IntegraMotion!$E$47</f>
        <v>46177.7142857143</v>
      </c>
      <c r="D60" s="101" t="n">
        <f aca="false">IntegraMotion!$F$47</f>
        <v>26752.3116169545</v>
      </c>
      <c r="E60" s="101" t="n">
        <f aca="false">IntegraMotion!$D$237*1000000/IntegraMotion!$D$235</f>
        <v>5573.01268606772</v>
      </c>
      <c r="F60" s="101" t="n">
        <f aca="false">IntegraMotion!$D$238*1000000/IntegraMotion!$D$235</f>
        <v>995.180836797807</v>
      </c>
      <c r="G60" s="103" t="n">
        <f aca="false">C60+D60+E60+F60</f>
        <v>79498.2194255343</v>
      </c>
    </row>
    <row r="61" customFormat="false" ht="15" hidden="false" customHeight="false" outlineLevel="0" collapsed="false">
      <c r="A61" s="6" t="s">
        <v>1307</v>
      </c>
      <c r="B61" s="28" t="s">
        <v>2120</v>
      </c>
      <c r="C61" s="101" t="n">
        <f aca="false">IntegraMotion!$E$48</f>
        <v>46177.7142857143</v>
      </c>
      <c r="D61" s="101" t="n">
        <f aca="false">IntegraMotion!$F$48</f>
        <v>691.274201988488</v>
      </c>
      <c r="E61" s="101" t="n">
        <f aca="false">IntegraMotion!$D$237*1000000/IntegraMotion!$D$235</f>
        <v>5573.01268606772</v>
      </c>
      <c r="F61" s="101" t="n">
        <f aca="false">IntegraMotion!$D$238*1000000/IntegraMotion!$D$235</f>
        <v>995.180836797807</v>
      </c>
      <c r="G61" s="103" t="n">
        <f aca="false">C61+D61+E61+F61</f>
        <v>53437.1820105683</v>
      </c>
    </row>
    <row r="63" customFormat="false" ht="15" hidden="false" customHeight="false" outlineLevel="0" collapsed="false">
      <c r="A63" s="5" t="s">
        <v>2122</v>
      </c>
    </row>
    <row r="64" customFormat="false" ht="23.85" hidden="false" customHeight="false" outlineLevel="0" collapsed="false">
      <c r="A64" s="23" t="s">
        <v>2123</v>
      </c>
      <c r="B64" s="24" t="s">
        <v>189</v>
      </c>
      <c r="C64" s="24" t="s">
        <v>983</v>
      </c>
      <c r="D64" s="24" t="s">
        <v>2124</v>
      </c>
      <c r="E64" s="24" t="s">
        <v>2125</v>
      </c>
    </row>
    <row r="65" customFormat="false" ht="15" hidden="false" customHeight="false" outlineLevel="0" collapsed="false">
      <c r="A65" s="6" t="s">
        <v>1591</v>
      </c>
      <c r="B65" s="28" t="s">
        <v>2126</v>
      </c>
      <c r="C65" s="76" t="n">
        <f aca="false">IntegraMotion!$B$230</f>
        <v>113.1675</v>
      </c>
      <c r="D65" s="101" t="n">
        <f aca="false">G57</f>
        <v>79214.435898585</v>
      </c>
      <c r="E65" s="98" t="n">
        <f aca="false">C65*D65/1000000</f>
        <v>8.96449967455312</v>
      </c>
    </row>
    <row r="66" customFormat="false" ht="15" hidden="false" customHeight="false" outlineLevel="0" collapsed="false">
      <c r="A66" s="6" t="s">
        <v>1593</v>
      </c>
      <c r="B66" s="28" t="s">
        <v>2126</v>
      </c>
      <c r="C66" s="76" t="n">
        <f aca="false">IntegraMotion!$B$231</f>
        <v>192</v>
      </c>
      <c r="D66" s="101" t="n">
        <f aca="false">G58</f>
        <v>55994.2052837237</v>
      </c>
      <c r="E66" s="98" t="n">
        <f aca="false">C66*D66/1000000</f>
        <v>10.750887414475</v>
      </c>
    </row>
    <row r="67" customFormat="false" ht="15" hidden="false" customHeight="false" outlineLevel="0" collapsed="false">
      <c r="A67" s="6" t="s">
        <v>1595</v>
      </c>
      <c r="B67" s="28" t="s">
        <v>2126</v>
      </c>
      <c r="C67" s="76" t="n">
        <f aca="false">IntegraMotion!$B$232</f>
        <v>579.675</v>
      </c>
      <c r="D67" s="101" t="n">
        <f aca="false">G59</f>
        <v>60038.8506395584</v>
      </c>
      <c r="E67" s="98" t="n">
        <f aca="false">C67*D67/1000000</f>
        <v>34.803020744486</v>
      </c>
    </row>
    <row r="68" customFormat="false" ht="15" hidden="false" customHeight="false" outlineLevel="0" collapsed="false">
      <c r="A68" s="6" t="s">
        <v>1596</v>
      </c>
      <c r="B68" s="28" t="s">
        <v>2126</v>
      </c>
      <c r="C68" s="76" t="n">
        <f aca="false">IntegraMotion!$B$233</f>
        <v>80</v>
      </c>
      <c r="D68" s="101" t="n">
        <f aca="false">G60</f>
        <v>79498.2194255343</v>
      </c>
      <c r="E68" s="98" t="n">
        <f aca="false">C68*D68/1000000</f>
        <v>6.35985755404274</v>
      </c>
    </row>
    <row r="69" customFormat="false" ht="15" hidden="false" customHeight="false" outlineLevel="0" collapsed="false">
      <c r="A69" s="6" t="s">
        <v>1307</v>
      </c>
      <c r="B69" s="28" t="s">
        <v>2126</v>
      </c>
      <c r="C69" s="76" t="n">
        <f aca="false">IntegraMotion!$B$234</f>
        <v>40</v>
      </c>
      <c r="D69" s="101" t="n">
        <f aca="false">G61</f>
        <v>53437.1820105683</v>
      </c>
      <c r="E69" s="98" t="n">
        <f aca="false">C69*D69/1000000</f>
        <v>2.13748728042273</v>
      </c>
    </row>
    <row r="70" customFormat="false" ht="15" hidden="false" customHeight="false" outlineLevel="0" collapsed="false">
      <c r="A70" s="5" t="s">
        <v>1820</v>
      </c>
      <c r="E70" s="99" t="n">
        <f aca="false">SUM(E65:E69)</f>
        <v>63.0157526679795</v>
      </c>
    </row>
    <row r="71" customFormat="false" ht="15" hidden="false" customHeight="false" outlineLevel="0" collapsed="false">
      <c r="A71" s="6" t="s">
        <v>1821</v>
      </c>
      <c r="E71" s="98" t="n">
        <f aca="false">E70*IntegraMotion!$B$13</f>
        <v>15.1237806403151</v>
      </c>
    </row>
    <row r="72" customFormat="false" ht="15" hidden="false" customHeight="false" outlineLevel="0" collapsed="false">
      <c r="A72" s="6" t="s">
        <v>1823</v>
      </c>
      <c r="E72" s="98" t="n">
        <f aca="false">E70*IntegraMotion!$B$14</f>
        <v>3.15078763339898</v>
      </c>
    </row>
    <row r="73" customFormat="false" ht="15" hidden="false" customHeight="false" outlineLevel="0" collapsed="false">
      <c r="A73" s="6" t="s">
        <v>1824</v>
      </c>
      <c r="E73" s="98" t="n">
        <f aca="false">E70*IntegraMotion!$B$15</f>
        <v>6.30157526679795</v>
      </c>
    </row>
    <row r="74" customFormat="false" ht="15" hidden="false" customHeight="false" outlineLevel="0" collapsed="false">
      <c r="A74" s="5" t="s">
        <v>2127</v>
      </c>
      <c r="E74" s="100" t="n">
        <f aca="false">E70+E71+E72+E73</f>
        <v>87.5918962084916</v>
      </c>
    </row>
    <row r="75" customFormat="false" ht="15" hidden="false" customHeight="false" outlineLevel="0" collapsed="false">
      <c r="A75" s="6" t="s">
        <v>1826</v>
      </c>
      <c r="E75" s="98" t="n">
        <f aca="false">E74*IntegraMotion!$B$16</f>
        <v>16.6424602796134</v>
      </c>
    </row>
    <row r="76" customFormat="false" ht="15" hidden="false" customHeight="false" outlineLevel="0" collapsed="false">
      <c r="A76" s="5" t="s">
        <v>2128</v>
      </c>
      <c r="E76" s="99" t="n">
        <f aca="false">E74+E75</f>
        <v>104.234356488105</v>
      </c>
    </row>
    <row r="77" customFormat="false" ht="15" hidden="false" customHeight="false" outlineLevel="0" collapsed="false">
      <c r="A77" s="6" t="s">
        <v>2129</v>
      </c>
      <c r="E77" s="98" t="n">
        <f aca="false">E74-IntegraMotion!$D$243</f>
        <v>0</v>
      </c>
    </row>
    <row r="79" customFormat="false" ht="15" hidden="false" customHeight="false" outlineLevel="0" collapsed="false">
      <c r="A79" s="9" t="s">
        <v>2131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4"/>
    <col collapsed="false" customWidth="true" hidden="false" outlineLevel="0" max="3" min="3" style="0" width="12"/>
    <col collapsed="false" customWidth="true" hidden="false" outlineLevel="0" max="4" min="4" style="0" width="60"/>
  </cols>
  <sheetData>
    <row r="1" customFormat="false" ht="17.35" hidden="false" customHeight="false" outlineLevel="0" collapsed="false">
      <c r="A1" s="42" t="s">
        <v>2132</v>
      </c>
    </row>
    <row r="2" customFormat="false" ht="15" hidden="false" customHeight="false" outlineLevel="0" collapsed="false">
      <c r="A2" s="9" t="s">
        <v>2133</v>
      </c>
    </row>
    <row r="4" customFormat="false" ht="15" hidden="false" customHeight="false" outlineLevel="0" collapsed="false">
      <c r="A4" s="3" t="s">
        <v>65</v>
      </c>
      <c r="B4" s="4"/>
      <c r="C4" s="4"/>
      <c r="D4" s="4"/>
    </row>
    <row r="5" customFormat="false" ht="15" hidden="false" customHeight="false" outlineLevel="0" collapsed="false">
      <c r="A5" s="23" t="s">
        <v>2134</v>
      </c>
      <c r="B5" s="24" t="s">
        <v>1159</v>
      </c>
      <c r="C5" s="24" t="s">
        <v>937</v>
      </c>
      <c r="D5" s="24" t="s">
        <v>2135</v>
      </c>
    </row>
    <row r="6" customFormat="false" ht="15" hidden="false" customHeight="false" outlineLevel="0" collapsed="false">
      <c r="A6" s="6" t="s">
        <v>2136</v>
      </c>
      <c r="B6" s="83" t="n">
        <f aca="false">SUMPRODUCT((Empresa!B27:L27+Empresa!B28:L28&gt;Empresa!B26:L26)*1)</f>
        <v>0</v>
      </c>
      <c r="C6" s="104" t="str">
        <f aca="false">IF(ABS(B6)&lt;0.001,"OK","Revisar")</f>
        <v>OK</v>
      </c>
      <c r="D6" s="9" t="s">
        <v>2137</v>
      </c>
    </row>
    <row r="7" customFormat="false" ht="15" hidden="false" customHeight="false" outlineLevel="0" collapsed="false">
      <c r="A7" s="6" t="s">
        <v>2138</v>
      </c>
      <c r="B7" s="83" t="n">
        <f aca="false">SUM(Quesería!F70:F89)-Quesería!$F$97</f>
        <v>0</v>
      </c>
      <c r="C7" s="104" t="str">
        <f aca="false">IF(ABS(B7)&lt;0.001,"OK","Revisar")</f>
        <v>OK</v>
      </c>
      <c r="D7" s="9" t="s">
        <v>2139</v>
      </c>
    </row>
    <row r="8" customFormat="false" ht="15" hidden="false" customHeight="false" outlineLevel="0" collapsed="false">
      <c r="A8" s="6" t="s">
        <v>2140</v>
      </c>
      <c r="B8" s="83" t="n">
        <f aca="false">SUM(Quesería!E104:E118)-Quesería!$E$127</f>
        <v>0</v>
      </c>
      <c r="C8" s="104" t="str">
        <f aca="false">IF(ABS(B8)&lt;0.001,"OK","Revisar")</f>
        <v>OK</v>
      </c>
      <c r="D8" s="9" t="s">
        <v>2141</v>
      </c>
    </row>
    <row r="9" customFormat="false" ht="15" hidden="false" customHeight="false" outlineLevel="0" collapsed="false">
      <c r="A9" s="6" t="s">
        <v>2142</v>
      </c>
      <c r="B9" s="83" t="n">
        <f aca="false">'Beneficios y costos'!E155-Quesería!$E$127</f>
        <v>0</v>
      </c>
      <c r="C9" s="104" t="str">
        <f aca="false">IF(ABS(B9)&lt;0.001,"OK","Revisar")</f>
        <v>OK</v>
      </c>
      <c r="D9" s="9" t="s">
        <v>2143</v>
      </c>
    </row>
    <row r="10" customFormat="false" ht="15" hidden="false" customHeight="false" outlineLevel="0" collapsed="false">
      <c r="A10" s="6" t="s">
        <v>2144</v>
      </c>
      <c r="B10" s="83" t="n">
        <f aca="false">SUM(Quesería!C104:C118)-SUM('Beneficios y costos'!C121:C135)</f>
        <v>0</v>
      </c>
      <c r="C10" s="104" t="str">
        <f aca="false">IF(ABS(B10)&lt;0.001,"OK","Revisar")</f>
        <v>OK</v>
      </c>
      <c r="D10" s="9" t="s">
        <v>2145</v>
      </c>
    </row>
    <row r="11" customFormat="false" ht="15" hidden="false" customHeight="false" outlineLevel="0" collapsed="false">
      <c r="A11" s="6" t="s">
        <v>2146</v>
      </c>
      <c r="B11" s="83" t="n">
        <f aca="false">SUM(Quesería!B154:L154)-(SUM(Quesería!B142:L142)+-SUM(Quesería!B143:L143)+-SUM(Quesería!B144:L144)+-SUM(Quesería!B145:L145)+-SUM(Quesería!B150:L150)+-SUM(Quesería!B137:L137)+-SUM(Quesería!B138:L138)+-SUM(Quesería!B139:L139)+-SUM(Quesería!B152:L152)+SUM(Quesería!B153:L153))</f>
        <v>0</v>
      </c>
      <c r="C11" s="104" t="str">
        <f aca="false">IF(ABS(B11)&lt;0.001,"OK","Revisar")</f>
        <v>OK</v>
      </c>
      <c r="D11" s="9" t="s">
        <v>2147</v>
      </c>
    </row>
    <row r="12" customFormat="false" ht="15" hidden="false" customHeight="false" outlineLevel="0" collapsed="false">
      <c r="A12" s="6" t="s">
        <v>2148</v>
      </c>
      <c r="B12" s="83" t="n">
        <f aca="false">Quesería!J162</f>
        <v>0</v>
      </c>
      <c r="C12" s="104" t="str">
        <f aca="false">IF(ABS(B12)&lt;0.001,"OK","Revisar")</f>
        <v>OK</v>
      </c>
      <c r="D12" s="9" t="s">
        <v>2149</v>
      </c>
    </row>
    <row r="13" customFormat="false" ht="15" hidden="false" customHeight="false" outlineLevel="0" collapsed="false">
      <c r="A13" s="6" t="s">
        <v>2150</v>
      </c>
      <c r="B13" s="83" t="n">
        <f aca="false">SUMPRODUCT(Quesería!B165:L165/Quesería!B136:L136)-(Quesería!$B$44*Quesería!B137*Quesería!B134+Quesería!$B$44*Quesería!C137*Quesería!C134)</f>
        <v>0</v>
      </c>
      <c r="C13" s="104" t="str">
        <f aca="false">IF(ABS(B13)&lt;0.001,"OK","Revisar")</f>
        <v>OK</v>
      </c>
      <c r="D13" s="9" t="s">
        <v>2151</v>
      </c>
    </row>
    <row r="14" customFormat="false" ht="15" hidden="false" customHeight="false" outlineLevel="0" collapsed="false">
      <c r="A14" s="6" t="s">
        <v>2152</v>
      </c>
      <c r="B14" s="83" t="n">
        <f aca="false">Escenarios!$B$32-Quesería!B179</f>
        <v>0</v>
      </c>
      <c r="C14" s="104" t="str">
        <f aca="false">IF(ABS(B14)&lt;0.001,"OK","Revisar")</f>
        <v>OK</v>
      </c>
      <c r="D14" s="9" t="s">
        <v>2153</v>
      </c>
    </row>
    <row r="15" customFormat="false" ht="15" hidden="false" customHeight="false" outlineLevel="0" collapsed="false">
      <c r="A15" s="6" t="s">
        <v>2154</v>
      </c>
      <c r="B15" s="83" t="n">
        <f aca="false">Escenarios!$B$33-Quesería!B181</f>
        <v>0</v>
      </c>
      <c r="C15" s="104" t="str">
        <f aca="false">IF(ABS(B15)&lt;0.001,"OK","Revisar")</f>
        <v>OK</v>
      </c>
      <c r="D15" s="9"/>
    </row>
    <row r="16" customFormat="false" ht="15" hidden="false" customHeight="false" outlineLevel="0" collapsed="false">
      <c r="A16" s="6" t="s">
        <v>2155</v>
      </c>
      <c r="B16" s="83" t="n">
        <f aca="false">Escenarios!$B$39-Quesería!B188</f>
        <v>0</v>
      </c>
      <c r="C16" s="104" t="str">
        <f aca="false">IF(ABS(B16)&lt;0.001,"OK","Revisar")</f>
        <v>OK</v>
      </c>
      <c r="D16" s="9"/>
    </row>
    <row r="17" customFormat="false" ht="15" hidden="false" customHeight="false" outlineLevel="0" collapsed="false">
      <c r="A17" s="6" t="s">
        <v>2156</v>
      </c>
      <c r="B17" s="83" t="n">
        <f aca="false">SUMPRODUCT(Escenarios!B1048:L1048,Escenarios!B1036:L1036)-Quesería!$F$92*Escenarios!B1036-Escenarios!G1040*Escenarios!G1036-Escenarios!H1040*Escenarios!H1036*4/5</f>
        <v>0</v>
      </c>
      <c r="C17" s="104" t="str">
        <f aca="false">IF(ABS(B17)&lt;0.001,"OK","Revisar")</f>
        <v>OK</v>
      </c>
      <c r="D17" s="9" t="s">
        <v>2157</v>
      </c>
    </row>
    <row r="18" customFormat="false" ht="15" hidden="false" customHeight="false" outlineLevel="0" collapsed="false">
      <c r="A18" s="6" t="s">
        <v>2158</v>
      </c>
      <c r="B18" s="83" t="n">
        <f aca="false">SUM('Beneficios y costos'!B81:D81)</f>
        <v>0</v>
      </c>
      <c r="C18" s="104" t="str">
        <f aca="false">IF(ABS(B18)&lt;0.001,"OK","Revisar")</f>
        <v>OK</v>
      </c>
      <c r="D18" s="9" t="s">
        <v>2159</v>
      </c>
    </row>
    <row r="19" customFormat="false" ht="15" hidden="false" customHeight="false" outlineLevel="0" collapsed="false">
      <c r="A19" s="6" t="s">
        <v>2160</v>
      </c>
      <c r="B19" s="83" t="n">
        <f aca="false">Quesería!$B$15-(SUM('Beneficios y costos'!B61:B68)+'Beneficios y costos'!B55)</f>
        <v>0</v>
      </c>
      <c r="C19" s="104" t="str">
        <f aca="false">IF(ABS(B19)&lt;0.001,"OK","Revisar")</f>
        <v>OK</v>
      </c>
      <c r="D19" s="9" t="s">
        <v>2161</v>
      </c>
    </row>
    <row r="20" customFormat="false" ht="15" hidden="false" customHeight="false" outlineLevel="0" collapsed="false">
      <c r="A20" s="6" t="s">
        <v>2162</v>
      </c>
      <c r="B20" s="83" t="n">
        <f aca="false">Quesería!$B$14-SUM('Beneficios y costos'!B54:B56)</f>
        <v>0</v>
      </c>
      <c r="C20" s="104" t="str">
        <f aca="false">IF(ABS(B20)&lt;0.001,"OK","Revisar")</f>
        <v>OK</v>
      </c>
      <c r="D20" s="9"/>
    </row>
    <row r="21" customFormat="false" ht="15" hidden="false" customHeight="false" outlineLevel="0" collapsed="false">
      <c r="A21" s="6" t="s">
        <v>2163</v>
      </c>
      <c r="B21" s="83" t="n">
        <f aca="false">'Beneficios y costos'!$D$211-(SUM('Beneficios y costos'!$J$192:$J$198)+SUM('Beneficios y costos'!$E$203:$E$207))</f>
        <v>0</v>
      </c>
      <c r="C21" s="104" t="str">
        <f aca="false">IF(ABS(B21)&lt;0.001,"OK","Revisar")</f>
        <v>OK</v>
      </c>
      <c r="D21" s="9" t="s">
        <v>2164</v>
      </c>
    </row>
    <row r="22" customFormat="false" ht="15" hidden="false" customHeight="false" outlineLevel="0" collapsed="false">
      <c r="A22" s="6" t="s">
        <v>2165</v>
      </c>
      <c r="B22" s="83" t="n">
        <f aca="false">ROUND((Empresa!$B$7-Empresa!$B$8-Empresa!$B$9)*(1-Quesería!$B$54),0)-Empresa!$B$10</f>
        <v>0</v>
      </c>
      <c r="C22" s="104" t="str">
        <f aca="false">IF(ABS(B22)&lt;0.001,"OK","Revisar")</f>
        <v>OK</v>
      </c>
      <c r="D22" s="9" t="s">
        <v>2166</v>
      </c>
    </row>
    <row r="23" customFormat="false" ht="15" hidden="false" customHeight="false" outlineLevel="0" collapsed="false">
      <c r="A23" s="6" t="s">
        <v>2167</v>
      </c>
      <c r="B23" s="83" t="n">
        <f aca="false">SUM(Empresa!B20:L20)-SUM(Quesería!B142:L142)+SUM(Quesería!B143:L143)+SUM(Quesería!B144:L144)</f>
        <v>-8.31335000839317E-013</v>
      </c>
      <c r="C23" s="104" t="str">
        <f aca="false">IF(ABS(B23)&lt;0.001,"OK","Revisar")</f>
        <v>OK</v>
      </c>
      <c r="D23" s="9" t="s">
        <v>2168</v>
      </c>
    </row>
    <row r="24" customFormat="false" ht="15" hidden="false" customHeight="false" outlineLevel="0" collapsed="false">
      <c r="A24" s="6" t="s">
        <v>2169</v>
      </c>
      <c r="B24" s="83" t="n">
        <f aca="false">ABS(Cotizaciones!F14-Quesería!D84)+ABS(Cotizaciones!F15-Quesería!D85)+ABS(Cotizaciones!F16-Quesería!D75)+ABS(Cotizaciones!F18-Quesería!D71)+ABS(Cotizaciones!F19-Quesería!D72)+ABS(Cotizaciones!F20-Quesería!D74)+ABS(Cotizaciones!F21-Quesería!D86)+ABS(Cotizaciones!F13-Quesería!D73)</f>
        <v>0</v>
      </c>
      <c r="C24" s="104" t="str">
        <f aca="false">IF(ABS(B24)&lt;0.001,"OK","Revisar")</f>
        <v>OK</v>
      </c>
      <c r="D24" s="9" t="s">
        <v>2170</v>
      </c>
    </row>
    <row r="25" customFormat="false" ht="15" hidden="false" customHeight="false" outlineLevel="0" collapsed="false">
      <c r="A25" s="6" t="s">
        <v>2171</v>
      </c>
      <c r="B25" s="83" t="n">
        <f aca="false">APU!E27</f>
        <v>0</v>
      </c>
      <c r="C25" s="104" t="str">
        <f aca="false">IF(ABS(B25)&lt;0.001,"OK","Revisar")</f>
        <v>OK</v>
      </c>
      <c r="D25" s="9" t="s">
        <v>2172</v>
      </c>
    </row>
    <row r="26" customFormat="false" ht="15" hidden="false" customHeight="false" outlineLevel="0" collapsed="false">
      <c r="A26" s="6" t="s">
        <v>2173</v>
      </c>
      <c r="B26" s="83" t="n">
        <f aca="false">APU!E52</f>
        <v>0</v>
      </c>
      <c r="C26" s="104" t="str">
        <f aca="false">IF(ABS(B26)&lt;0.001,"OK","Revisar")</f>
        <v>OK</v>
      </c>
      <c r="D26" s="9" t="s">
        <v>2172</v>
      </c>
    </row>
    <row r="27" customFormat="false" ht="15" hidden="false" customHeight="false" outlineLevel="0" collapsed="false">
      <c r="A27" s="6" t="s">
        <v>2174</v>
      </c>
      <c r="B27" s="83" t="n">
        <f aca="false">APU!E77</f>
        <v>0</v>
      </c>
      <c r="C27" s="104" t="str">
        <f aca="false">IF(ABS(B27)&lt;0.001,"OK","Revisar")</f>
        <v>OK</v>
      </c>
      <c r="D27" s="9" t="s">
        <v>2172</v>
      </c>
    </row>
    <row r="28" customFormat="false" ht="15" hidden="false" customHeight="false" outlineLevel="0" collapsed="false">
      <c r="A28" s="6" t="s">
        <v>2175</v>
      </c>
      <c r="B28" s="83" t="n">
        <f aca="false">Quesería!D76+Quesería!D77+Quesería!D78-IntegraMotion!$D$203*1</f>
        <v>0</v>
      </c>
      <c r="C28" s="104" t="str">
        <f aca="false">IF(ABS(B28)&lt;0.001,"OK","Revisar")</f>
        <v>OK</v>
      </c>
      <c r="D28" s="9" t="s">
        <v>2176</v>
      </c>
    </row>
    <row r="29" customFormat="false" ht="15" hidden="false" customHeight="false" outlineLevel="0" collapsed="false">
      <c r="A29" s="6" t="s">
        <v>2177</v>
      </c>
      <c r="B29" s="83" t="n">
        <f aca="false">Quesería!D79-IntegraMotion!$D$223*Entorno!$B$14</f>
        <v>0</v>
      </c>
      <c r="C29" s="104" t="str">
        <f aca="false">IF(ABS(B29)&lt;0.001,"OK","Revisar")</f>
        <v>OK</v>
      </c>
      <c r="D29" s="9" t="s">
        <v>2176</v>
      </c>
    </row>
    <row r="30" customFormat="false" ht="15" hidden="false" customHeight="false" outlineLevel="0" collapsed="false">
      <c r="A30" s="6" t="s">
        <v>2178</v>
      </c>
      <c r="B30" s="83" t="n">
        <f aca="false">Quesería!D88-IntegraMotion!$D$243*Entorno!$B$15</f>
        <v>0</v>
      </c>
      <c r="C30" s="104" t="str">
        <f aca="false">IF(ABS(B30)&lt;0.001,"OK","Revisar")</f>
        <v>OK</v>
      </c>
      <c r="D30" s="9" t="s">
        <v>2176</v>
      </c>
    </row>
    <row r="31" customFormat="false" ht="15" hidden="false" customHeight="false" outlineLevel="0" collapsed="false">
      <c r="A31" s="6" t="s">
        <v>2179</v>
      </c>
      <c r="B31" s="83" t="n">
        <f aca="false">Resumen!D16</f>
        <v>0</v>
      </c>
      <c r="C31" s="104" t="str">
        <f aca="false">IF(ABS(B31)&lt;0.001,"OK","Revisar")</f>
        <v>OK</v>
      </c>
      <c r="D31" s="9" t="s">
        <v>2180</v>
      </c>
    </row>
    <row r="32" customFormat="false" ht="15" hidden="false" customHeight="false" outlineLevel="0" collapsed="false">
      <c r="A32" s="6" t="s">
        <v>2181</v>
      </c>
      <c r="B32" s="83" t="n">
        <f aca="false">Resumen!L95</f>
        <v>0</v>
      </c>
      <c r="C32" s="104" t="str">
        <f aca="false">IF(ABS(B32)&lt;0.001,"OK","Revisar")</f>
        <v>OK</v>
      </c>
      <c r="D32" s="9" t="s">
        <v>2182</v>
      </c>
    </row>
    <row r="33" customFormat="false" ht="15" hidden="false" customHeight="false" outlineLevel="0" collapsed="false">
      <c r="A33" s="6" t="s">
        <v>2183</v>
      </c>
      <c r="B33" s="83" t="n">
        <f aca="false">BOM!L84</f>
        <v>0</v>
      </c>
      <c r="C33" s="104" t="str">
        <f aca="false">IF(ABS(B33)&lt;0.001,"OK","Revisar")</f>
        <v>OK</v>
      </c>
      <c r="D33" s="9" t="s">
        <v>2184</v>
      </c>
    </row>
    <row r="34" customFormat="false" ht="15" hidden="false" customHeight="false" outlineLevel="0" collapsed="false">
      <c r="A34" s="6" t="s">
        <v>2185</v>
      </c>
      <c r="B34" s="83" t="n">
        <f aca="false">IntegraMotion!I186</f>
        <v>0</v>
      </c>
      <c r="C34" s="104" t="str">
        <f aca="false">IF(ABS(B34)&lt;0.001,"OK","Revisar")</f>
        <v>OK</v>
      </c>
      <c r="D34" s="9" t="s">
        <v>2186</v>
      </c>
    </row>
    <row r="35" customFormat="false" ht="15" hidden="false" customHeight="false" outlineLevel="0" collapsed="false">
      <c r="A35" s="6" t="s">
        <v>2187</v>
      </c>
      <c r="B35" s="83" t="n">
        <f aca="false">'Beneficios y costos'!C97</f>
        <v>0</v>
      </c>
      <c r="C35" s="104" t="str">
        <f aca="false">IF(ABS(B35)&lt;0.001,"OK","Revisar")</f>
        <v>OK</v>
      </c>
      <c r="D35" s="9" t="s">
        <v>2188</v>
      </c>
    </row>
    <row r="36" customFormat="false" ht="15" hidden="false" customHeight="false" outlineLevel="0" collapsed="false">
      <c r="A36" s="6" t="s">
        <v>2189</v>
      </c>
      <c r="B36" s="83" t="n">
        <f aca="false">Herramientas!B38</f>
        <v>0</v>
      </c>
      <c r="C36" s="104" t="str">
        <f aca="false">IF(ABS(B36)&lt;0.001,"OK","Revisar")</f>
        <v>OK</v>
      </c>
      <c r="D36" s="9" t="s">
        <v>2190</v>
      </c>
    </row>
    <row r="37" customFormat="false" ht="15" hidden="false" customHeight="false" outlineLevel="0" collapsed="false">
      <c r="A37" s="6" t="s">
        <v>2191</v>
      </c>
      <c r="B37" s="83" t="n">
        <f aca="false">IntegraMotion!E317</f>
        <v>0</v>
      </c>
      <c r="C37" s="104" t="str">
        <f aca="false">IF(ABS(B37)&lt;0.001,"OK","Revisar")</f>
        <v>OK</v>
      </c>
      <c r="D37" s="9" t="s">
        <v>2192</v>
      </c>
    </row>
    <row r="38" customFormat="false" ht="15" hidden="false" customHeight="false" outlineLevel="0" collapsed="false">
      <c r="A38" s="6" t="s">
        <v>2193</v>
      </c>
      <c r="B38" s="83" t="n">
        <f aca="false">IntegraMotion!C337</f>
        <v>0</v>
      </c>
      <c r="C38" s="104" t="str">
        <f aca="false">IF(ABS(B38)&lt;0.001,"OK","Revisar")</f>
        <v>OK</v>
      </c>
      <c r="D38" s="9" t="s">
        <v>2194</v>
      </c>
    </row>
    <row r="39" customFormat="false" ht="15" hidden="false" customHeight="false" outlineLevel="0" collapsed="false">
      <c r="A39" s="6" t="s">
        <v>2195</v>
      </c>
      <c r="B39" s="83" t="n">
        <f aca="false">MAX(0,IntegraMotion!E318)</f>
        <v>0</v>
      </c>
      <c r="C39" s="104" t="str">
        <f aca="false">IF(ABS(B39)&lt;0.001,"OK","Revisar")</f>
        <v>OK</v>
      </c>
      <c r="D39" s="9" t="s">
        <v>2196</v>
      </c>
    </row>
    <row r="41" customFormat="false" ht="15" hidden="false" customHeight="false" outlineLevel="0" collapsed="false">
      <c r="A41" s="5" t="s">
        <v>2197</v>
      </c>
      <c r="B41" s="104" t="str">
        <f aca="false">COUNTIF(C6:C39,"OK")&amp;" de "&amp;ROWS(C6:C39)</f>
        <v>34 de 34</v>
      </c>
      <c r="C41" s="105" t="str">
        <f aca="false">IF(COUNTIF(C6:C39,"Revisar")=0,"OK","Revisar")</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2026-10-24T22:29:14Z</dcterms:created>
  <dc:creator>openpyxl</dc:creator>
  <dc:description/>
  <dc:language>en-US</dc:language>
  <cp:lastModifiedBy/>
  <dcterms:modified xsi:type="dcterms:W3CDTF">2026-10-24T17:29:20Z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